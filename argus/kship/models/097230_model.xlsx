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SLS" sheetId="6" state="visible" r:id="rId6"/>
    <sheet name="시나리오" sheetId="7" state="visible" r:id="rId7"/>
    <sheet name="분기" sheetId="8" state="visible" r:id="rId8"/>
    <sheet name="연간예상" sheetId="9" state="visible" r:id="rId9"/>
    <sheet name="TP" sheetId="10" state="visible" r:id="rId10"/>
    <sheet name="외화" sheetId="11" state="visible" r:id="rId11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BS연결!$C$5:$AO$102</definedName>
    <definedName name="BS별도H">BS별도!$C$1:$AO$1</definedName>
    <definedName name="BS별도">BS별도!$C$5:$AO$91</definedName>
    <definedName name="SUBQH">subQ!$A$1:$AO$1</definedName>
    <definedName name="subQ">subQ!$A$5:$AO$45</definedName>
    <definedName name="SLS_H">SLS!$A$1:$FE$1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6" borderId="0" pivotButton="0" quotePrefix="0" xfId="0"/>
    <xf numFmtId="164" fontId="1" fillId="5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3" borderId="0" pivotButton="0" quotePrefix="0" xfId="0"/>
    <xf numFmtId="165" fontId="0" fillId="5" borderId="0" pivotButton="0" quotePrefix="0" xfId="0"/>
    <xf numFmtId="164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3" fontId="0" fillId="5" borderId="1" pivotButton="0" quotePrefix="0" xfId="0"/>
    <xf numFmtId="166" fontId="0" fillId="0" borderId="0" pivotButton="0" quotePrefix="0" xfId="0"/>
    <xf numFmtId="3" fontId="0" fillId="6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3절 스칼라 '판관비율' 참조 — 숫자로 덮어쓰면 이 분기만 바뀐다
매출액 × 판관비율 5.36%(최근 4분기 중위)</t>
      </text>
    </comment>
    <comment ref="AD21" authorId="0" shapeId="0">
      <text>
        <t>3절 스칼라 '판관비율' 참조 — 숫자로 덮어쓰면 이 분기만 바뀐다
매출액 × 판관비율 5.36%(최근 4분기 중위)</t>
      </text>
    </comment>
    <comment ref="AF21" authorId="0" shapeId="0">
      <text>
        <t>3절 스칼라 '판관비율' 참조 — 숫자로 덮어쓰면 이 분기만 바뀐다
매출액 × 판관비율 5.36%(최근 4분기 중위)</t>
      </text>
    </comment>
    <comment ref="AG21" authorId="0" shapeId="0">
      <text>
        <t>3절 스칼라 '판관비율' 참조 — 숫자로 덮어쓰면 이 분기만 바뀐다
매출액 × 판관비율 5.36%(최근 4분기 중위)</t>
      </text>
    </comment>
    <comment ref="AH21" authorId="0" shapeId="0">
      <text>
        <t>3절 스칼라 '판관비율' 참조 — 숫자로 덮어쓰면 이 분기만 바뀐다
매출액 × 판관비율 5.36%(최근 4분기 중위)</t>
      </text>
    </comment>
    <comment ref="AI21" authorId="0" shapeId="0">
      <text>
        <t>3절 스칼라 '판관비율' 참조 — 숫자로 덮어쓰면 이 분기만 바뀐다
매출액 × 판관비율 5.36%(최근 4분기 중위)</t>
      </text>
    </comment>
    <comment ref="AK21" authorId="0" shapeId="0">
      <text>
        <t>3절 스칼라 '판관비율' 참조 — 숫자로 덮어쓰면 이 분기만 바뀐다
매출액 × 판관비율 5.36%(최근 4분기 중위)</t>
      </text>
    </comment>
    <comment ref="AL21" authorId="0" shapeId="0">
      <text>
        <t>3절 스칼라 '판관비율' 참조 — 숫자로 덮어쓰면 이 분기만 바뀐다
매출액 × 판관비율 5.36%(최근 4분기 중위)</t>
      </text>
    </comment>
    <comment ref="AM21" authorId="0" shapeId="0">
      <text>
        <t>3절 스칼라 '판관비율' 참조 — 숫자로 덮어쓰면 이 분기만 바뀐다
매출액 × 판관비율 5.36%(최근 4분기 중위)</t>
      </text>
    </comment>
    <comment ref="AN21" authorId="0" shapeId="0">
      <text>
        <t>3절 스칼라 '판관비율' 참조 — 숫자로 덮어쓰면 이 분기만 바뀐다
매출액 × 판관비율 5.36%(최근 4분기 중위)</t>
      </text>
    </comment>
    <comment ref="AC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3" authorId="0" shapeId="0">
      <text>
        <t>모델값 역산(implied): 모델 v 그대로
일회성 미가정 → 0</t>
      </text>
    </comment>
    <comment ref="AD23" authorId="0" shapeId="0">
      <text>
        <t>모델값 역산(implied): 모델 v 그대로
일회성 미가정 → 0</t>
      </text>
    </comment>
    <comment ref="AF23" authorId="0" shapeId="0">
      <text>
        <t>모델값 역산(implied): 모델 v 그대로
일회성 미가정 → 0</t>
      </text>
    </comment>
    <comment ref="AG23" authorId="0" shapeId="0">
      <text>
        <t>모델값 역산(implied): 모델 v 그대로
일회성 미가정 → 0</t>
      </text>
    </comment>
    <comment ref="AH23" authorId="0" shapeId="0">
      <text>
        <t>모델값 역산(implied): 모델 v 그대로
일회성 미가정 → 0</t>
      </text>
    </comment>
    <comment ref="AI23" authorId="0" shapeId="0">
      <text>
        <t>모델값 역산(implied): 모델 v 그대로
일회성 미가정 → 0</t>
      </text>
    </comment>
    <comment ref="AK23" authorId="0" shapeId="0">
      <text>
        <t>모델값 역산(implied): 모델 v 그대로
일회성 미가정 → 0</t>
      </text>
    </comment>
    <comment ref="AL23" authorId="0" shapeId="0">
      <text>
        <t>모델값 역산(implied): 모델 v 그대로
일회성 미가정 → 0</t>
      </text>
    </comment>
    <comment ref="AM23" authorId="0" shapeId="0">
      <text>
        <t>모델값 역산(implied): 모델 v 그대로
일회성 미가정 → 0</t>
      </text>
    </comment>
    <comment ref="AN23" authorId="0" shapeId="0">
      <text>
        <t>모델값 역산(implied): 모델 v 그대로
일회성 미가정 → 0</t>
      </text>
    </comment>
    <comment ref="AC24" authorId="0" shapeId="0">
      <text>
        <t>모델값 역산(implied): v / 세전이익 · 모델 가정 tax_schedule 0.0045(r4)
max(세전, 0) × 세율 0.5%(이월결손 경로 유지 — 최근 8분기 중 세전 &gt; 0 인 6분기(2024Q3~2026Q2) 법인세/세전 중위 0.5%·최근 4분기 중위 0.1% 가 모두 5% 미만 → 이월결손 공제 중으로 보고 0.5% 를 2026Q4 까지 유지, 2027Q1~2028Q4 선형 램프로 법정세율 근사 22% 수렴)</t>
      </text>
    </comment>
    <comment ref="AD24" authorId="0" shapeId="0">
      <text>
        <t>모델값 역산(implied): v / 세전이익 · 모델 가정 tax_schedule 0.0045(r4)
max(세전, 0) × 세율 0.5%(이월결손 경로 유지 — 최근 8분기 중 세전 &gt; 0 인 6분기(2024Q3~2026Q2) 법인세/세전 중위 0.5%·최근 4분기 중위 0.1% 가 모두 5% 미만 → 이월결손 공제 중으로 보고 0.5% 를 2026Q4 까지 유지, 2027Q1~2028Q4 선형 램프로 법정세율 근사 22% 수렴)</t>
      </text>
    </comment>
    <comment ref="AF24" authorId="0" shapeId="0">
      <text>
        <t>모델값 역산(implied): v / 세전이익 · 모델 가정 tax_schedule 0.0315(r4)
max(세전, 0) × 세율 3.1%(이월결손 경로 램프 1/8 — 최근 8분기 중 세전 &gt; 0 인 6분기(2024Q3~2026Q2) 법인세/세전 중위 0.5%·최근 4분기 중위 0.1% 가 모두 5% 미만 → 이월결손 공제 중으로 보고 0.5% 를 2026Q4 까지 유지, 2027Q1~2028Q4 선형 램프로 법정세율 근사 22% 수렴)</t>
      </text>
    </comment>
    <comment ref="AG24" authorId="0" shapeId="0">
      <text>
        <t>모델값 역산(implied): v / 세전이익 · 모델 가정 tax_schedule 0.0584(r4)
max(세전, 0) × 세율 5.8%(이월결손 경로 램프 2/8 — 최근 8분기 중 세전 &gt; 0 인 6분기(2024Q3~2026Q2) 법인세/세전 중위 0.5%·최근 4분기 중위 0.1% 가 모두 5% 미만 → 이월결손 공제 중으로 보고 0.5% 를 2026Q4 까지 유지, 2027Q1~2028Q4 선형 램프로 법정세율 근사 22% 수렴)</t>
      </text>
    </comment>
    <comment ref="AH24" authorId="0" shapeId="0">
      <text>
        <t>모델값 역산(implied): v / 세전이익 · 모델 가정 tax_schedule 0.0853(r4)
max(세전, 0) × 세율 8.5%(이월결손 경로 램프 3/8 — 최근 8분기 중 세전 &gt; 0 인 6분기(2024Q3~2026Q2) 법인세/세전 중위 0.5%·최근 4분기 중위 0.1% 가 모두 5% 미만 → 이월결손 공제 중으로 보고 0.5% 를 2026Q4 까지 유지, 2027Q1~2028Q4 선형 램프로 법정세율 근사 22% 수렴)</t>
      </text>
    </comment>
    <comment ref="AI24" authorId="0" shapeId="0">
      <text>
        <t>모델값 역산(implied): v / 세전이익 · 모델 가정 tax_schedule 0.1123(r4)
max(세전, 0) × 세율 11.2%(이월결손 경로 램프 4/8 — 최근 8분기 중 세전 &gt; 0 인 6분기(2024Q3~2026Q2) 법인세/세전 중위 0.5%·최근 4분기 중위 0.1% 가 모두 5% 미만 → 이월결손 공제 중으로 보고 0.5% 를 2026Q4 까지 유지, 2027Q1~2028Q4 선형 램프로 법정세율 근사 22% 수렴)</t>
      </text>
    </comment>
    <comment ref="AK24" authorId="0" shapeId="0">
      <text>
        <t>모델값 역산(implied): v / 세전이익 · 모델 가정 tax_schedule 0.1392(r4)
max(세전, 0) × 세율 13.9%(이월결손 경로 램프 5/8 — 최근 8분기 중 세전 &gt; 0 인 6분기(2024Q3~2026Q2) 법인세/세전 중위 0.5%·최근 4분기 중위 0.1% 가 모두 5% 미만 → 이월결손 공제 중으로 보고 0.5% 를 2026Q4 까지 유지, 2027Q1~2028Q4 선형 램프로 법정세율 근사 22% 수렴)</t>
      </text>
    </comment>
    <comment ref="AL24" authorId="0" shapeId="0">
      <text>
        <t>모델값 역산(implied): v / 세전이익 · 모델 가정 tax_schedule 0.1661(r4)
max(세전, 0) × 세율 16.6%(이월결손 경로 램프 6/8 — 최근 8분기 중 세전 &gt; 0 인 6분기(2024Q3~2026Q2) 법인세/세전 중위 0.5%·최근 4분기 중위 0.1% 가 모두 5% 미만 → 이월결손 공제 중으로 보고 0.5% 를 2026Q4 까지 유지, 2027Q1~2028Q4 선형 램프로 법정세율 근사 22% 수렴)</t>
      </text>
    </comment>
    <comment ref="AM24" authorId="0" shapeId="0">
      <text>
        <t>모델값 역산(implied): v / 세전이익 · 모델 가정 tax_schedule 0.1931(r4)
max(세전, 0) × 세율 19.3%(이월결손 경로 램프 7/8 — 최근 8분기 중 세전 &gt; 0 인 6분기(2024Q3~2026Q2) 법인세/세전 중위 0.5%·최근 4분기 중위 0.1% 가 모두 5% 미만 → 이월결손 공제 중으로 보고 0.5% 를 2026Q4 까지 유지, 2027Q1~2028Q4 선형 램프로 법정세율 근사 22% 수렴)</t>
      </text>
    </comment>
    <comment ref="AN24" authorId="0" shapeId="0">
      <text>
        <t>모델값 역산(implied): v / 세전이익 · 모델 가정 tax_schedule 0.22(r4)
max(세전, 0) × 세율 22.0%(이월결손 경로 램프 8/8 — 최근 8분기 중 세전 &gt; 0 인 6분기(2024Q3~2026Q2) 법인세/세전 중위 0.5%·최근 4분기 중위 0.1% 가 모두 5% 미만 → 이월결손 공제 중으로 보고 0.5% 를 2026Q4 까지 유지, 2027Q1~2028Q4 선형 램프로 법정세율 근사 22% 수렴)</t>
      </text>
    </comment>
    <comment ref="AC25" authorId="0" shapeId="0">
      <text>
        <t>3절 스칼라 '지배주주비중' 참조 — 숫자로 덮어쓰면 이 분기만 바뀐다
당기순이익 × (1 − 비지배 비중 0.0%, 최근 8분기 실측)</t>
      </text>
    </comment>
    <comment ref="AD25" authorId="0" shapeId="0">
      <text>
        <t>3절 스칼라 '지배주주비중' 참조 — 숫자로 덮어쓰면 이 분기만 바뀐다
당기순이익 × (1 − 비지배 비중 0.0%, 최근 8분기 실측)</t>
      </text>
    </comment>
    <comment ref="AF25" authorId="0" shapeId="0">
      <text>
        <t>3절 스칼라 '지배주주비중' 참조 — 숫자로 덮어쓰면 이 분기만 바뀐다
당기순이익 × (1 − 비지배 비중 0.0%, 최근 8분기 실측)</t>
      </text>
    </comment>
    <comment ref="AG25" authorId="0" shapeId="0">
      <text>
        <t>3절 스칼라 '지배주주비중' 참조 — 숫자로 덮어쓰면 이 분기만 바뀐다
당기순이익 × (1 − 비지배 비중 0.0%, 최근 8분기 실측)</t>
      </text>
    </comment>
    <comment ref="AH25" authorId="0" shapeId="0">
      <text>
        <t>3절 스칼라 '지배주주비중' 참조 — 숫자로 덮어쓰면 이 분기만 바뀐다
당기순이익 × (1 − 비지배 비중 0.0%, 최근 8분기 실측)</t>
      </text>
    </comment>
    <comment ref="AI25" authorId="0" shapeId="0">
      <text>
        <t>3절 스칼라 '지배주주비중' 참조 — 숫자로 덮어쓰면 이 분기만 바뀐다
당기순이익 × (1 − 비지배 비중 0.0%, 최근 8분기 실측)</t>
      </text>
    </comment>
    <comment ref="AK25" authorId="0" shapeId="0">
      <text>
        <t>3절 스칼라 '지배주주비중' 참조 — 숫자로 덮어쓰면 이 분기만 바뀐다
당기순이익 × (1 − 비지배 비중 0.0%, 최근 8분기 실측)</t>
      </text>
    </comment>
    <comment ref="AL25" authorId="0" shapeId="0">
      <text>
        <t>3절 스칼라 '지배주주비중' 참조 — 숫자로 덮어쓰면 이 분기만 바뀐다
당기순이익 × (1 − 비지배 비중 0.0%, 최근 8분기 실측)</t>
      </text>
    </comment>
    <comment ref="AM25" authorId="0" shapeId="0">
      <text>
        <t>3절 스칼라 '지배주주비중' 참조 — 숫자로 덮어쓰면 이 분기만 바뀐다
당기순이익 × (1 − 비지배 비중 0.0%, 최근 8분기 실측)</t>
      </text>
    </comment>
    <comment ref="AN25" authorId="0" shapeId="0">
      <text>
        <t>3절 스칼라 '지배주주비중' 참조 — 숫자로 덮어쓰면 이 분기만 바뀐다
당기순이익 × (1 − 비지배 비중 0.0%, 최근 8분기 실측)</t>
      </text>
    </comment>
    <comment ref="AC27" authorId="0" shapeId="0">
      <text>
        <t>모델값 역산(implied): v / 전분기 − 1
마지막 실적 유지(가정)</t>
      </text>
    </comment>
    <comment ref="AD27" authorId="0" shapeId="0">
      <text>
        <t>모델값 역산(implied): v / 전분기 − 1
마지막 실적 유지(가정)</t>
      </text>
    </comment>
    <comment ref="AF27" authorId="0" shapeId="0">
      <text>
        <t>모델값 역산(implied): v / 전분기 − 1
마지막 실적 유지(가정)</t>
      </text>
    </comment>
    <comment ref="AG27" authorId="0" shapeId="0">
      <text>
        <t>모델값 역산(implied): v / 전분기 − 1
마지막 실적 유지(가정)</t>
      </text>
    </comment>
    <comment ref="AH27" authorId="0" shapeId="0">
      <text>
        <t>모델값 역산(implied): v / 전분기 − 1
마지막 실적 유지(가정)</t>
      </text>
    </comment>
    <comment ref="AI27" authorId="0" shapeId="0">
      <text>
        <t>모델값 역산(implied): v / 전분기 − 1
마지막 실적 유지(가정)</t>
      </text>
    </comment>
    <comment ref="AK27" authorId="0" shapeId="0">
      <text>
        <t>모델값 역산(implied): v / 전분기 − 1
마지막 실적 유지(가정)</t>
      </text>
    </comment>
    <comment ref="AL27" authorId="0" shapeId="0">
      <text>
        <t>모델값 역산(implied): v / 전분기 − 1
마지막 실적 유지(가정)</t>
      </text>
    </comment>
    <comment ref="AM27" authorId="0" shapeId="0">
      <text>
        <t>모델값 역산(implied): v / 전분기 − 1
마지막 실적 유지(가정)</t>
      </text>
    </comment>
    <comment ref="AN27" authorId="0" shapeId="0">
      <text>
        <t>모델값 역산(implied): v / 전분기 − 1
마지막 실적 유지(가정)</t>
      </text>
    </comment>
    <comment ref="AC28" authorId="0" shapeId="0">
      <text>
        <t>모델값 역산(implied): 전분기(시트값) + 당기순이익(시트 수식값) − v
전분기 + 당기순이익 − 배당(Q2 지급 가정)</t>
      </text>
    </comment>
    <comment ref="AD28" authorId="0" shapeId="0">
      <text>
        <t>모델값 역산(implied): 전분기(시트값) + 당기순이익(시트 수식값) − v
전분기 + 당기순이익 − 배당(Q2 지급 가정)</t>
      </text>
    </comment>
    <comment ref="AF28" authorId="0" shapeId="0">
      <text>
        <t>모델값 역산(implied): 전분기(시트값) + 당기순이익(시트 수식값) − v
전분기 + 당기순이익 − 배당(Q2 지급 가정)</t>
      </text>
    </comment>
    <comment ref="AG28" authorId="0" shapeId="0">
      <text>
        <t>모델값 역산(implied): 전분기(시트값) + 당기순이익(시트 수식값) − v
전분기 + 당기순이익 − 배당(Q2 지급 가정)</t>
      </text>
    </comment>
    <comment ref="AH28" authorId="0" shapeId="0">
      <text>
        <t>모델값 역산(implied): 전분기(시트값) + 당기순이익(시트 수식값) − v
전분기 + 당기순이익 − 배당(Q2 지급 가정)</t>
      </text>
    </comment>
    <comment ref="AI28" authorId="0" shapeId="0">
      <text>
        <t>모델값 역산(implied): 전분기(시트값) + 당기순이익(시트 수식값) − v
전분기 + 당기순이익 − 배당(Q2 지급 가정)</t>
      </text>
    </comment>
    <comment ref="AK28" authorId="0" shapeId="0">
      <text>
        <t>모델값 역산(implied): 전분기(시트값) + 당기순이익(시트 수식값) − v
전분기 + 당기순이익 − 배당(Q2 지급 가정)</t>
      </text>
    </comment>
    <comment ref="AL28" authorId="0" shapeId="0">
      <text>
        <t>모델값 역산(implied): 전분기(시트값) + 당기순이익(시트 수식값) − v
전분기 + 당기순이익 − 배당(Q2 지급 가정)</t>
      </text>
    </comment>
    <comment ref="AM28" authorId="0" shapeId="0">
      <text>
        <t>모델값 역산(implied): 전분기(시트값) + 당기순이익(시트 수식값) − v
전분기 + 당기순이익 − 배당(Q2 지급 가정)</t>
      </text>
    </comment>
    <comment ref="AN28" authorId="0" shapeId="0">
      <text>
        <t>모델값 역산(implied): 전분기(시트값) + 당기순이익(시트 수식값) − v
전분기 + 당기순이익 − 배당(Q2 지급 가정)</t>
      </text>
    </comment>
    <comment ref="AC29" authorId="0" shapeId="0">
      <text>
        <t>모델값 역산(implied): 전분기(시트값) + 지배주주순이익(시트 수식값) − v
전분기 + 지배주주순이익 − 배당</t>
      </text>
    </comment>
    <comment ref="AD29" authorId="0" shapeId="0">
      <text>
        <t>모델값 역산(implied): 전분기(시트값) + 지배주주순이익(시트 수식값) − v
전분기 + 지배주주순이익 − 배당</t>
      </text>
    </comment>
    <comment ref="AF29" authorId="0" shapeId="0">
      <text>
        <t>모델값 역산(implied): 전분기(시트값) + 지배주주순이익(시트 수식값) − v
전분기 + 지배주주순이익 − 배당</t>
      </text>
    </comment>
    <comment ref="AG29" authorId="0" shapeId="0">
      <text>
        <t>모델값 역산(implied): 전분기(시트값) + 지배주주순이익(시트 수식값) − v
전분기 + 지배주주순이익 − 배당</t>
      </text>
    </comment>
    <comment ref="AH29" authorId="0" shapeId="0">
      <text>
        <t>모델값 역산(implied): 전분기(시트값) + 지배주주순이익(시트 수식값) − v
전분기 + 지배주주순이익 − 배당</t>
      </text>
    </comment>
    <comment ref="AI29" authorId="0" shapeId="0">
      <text>
        <t>모델값 역산(implied): 전분기(시트값) + 지배주주순이익(시트 수식값) − v
전분기 + 지배주주순이익 − 배당</t>
      </text>
    </comment>
    <comment ref="AK29" authorId="0" shapeId="0">
      <text>
        <t>모델값 역산(implied): 전분기(시트값) + 지배주주순이익(시트 수식값) − v
전분기 + 지배주주순이익 − 배당</t>
      </text>
    </comment>
    <comment ref="AL29" authorId="0" shapeId="0">
      <text>
        <t>모델값 역산(implied): 전분기(시트값) + 지배주주순이익(시트 수식값) − v
전분기 + 지배주주순이익 − 배당</t>
      </text>
    </comment>
    <comment ref="AM29" authorId="0" shapeId="0">
      <text>
        <t>모델값 역산(implied): 전분기(시트값) + 지배주주순이익(시트 수식값) − v
전분기 + 지배주주순이익 − 배당</t>
      </text>
    </comment>
    <comment ref="AN29" authorId="0" shapeId="0">
      <text>
        <t>모델값 역산(implied): 전분기(시트값) + 지배주주순이익(시트 수식값) − v
전분기 + 지배주주순이익 − 배당</t>
      </text>
    </comment>
    <comment ref="AC30" authorId="0" shapeId="0">
      <text>
        <t>모델값 역산(implied): v / 전분기 − 1
마지막 실적 유지(가정)</t>
      </text>
    </comment>
    <comment ref="AD30" authorId="0" shapeId="0">
      <text>
        <t>모델값 역산(implied): v / 전분기 − 1
마지막 실적 유지(가정)</t>
      </text>
    </comment>
    <comment ref="AF30" authorId="0" shapeId="0">
      <text>
        <t>모델값 역산(implied): v / 전분기 − 1
마지막 실적 유지(가정)</t>
      </text>
    </comment>
    <comment ref="AG30" authorId="0" shapeId="0">
      <text>
        <t>모델값 역산(implied): v / 전분기 − 1
마지막 실적 유지(가정)</t>
      </text>
    </comment>
    <comment ref="AH30" authorId="0" shapeId="0">
      <text>
        <t>모델값 역산(implied): v / 전분기 − 1
마지막 실적 유지(가정)</t>
      </text>
    </comment>
    <comment ref="AI30" authorId="0" shapeId="0">
      <text>
        <t>모델값 역산(implied): v / 전분기 − 1
마지막 실적 유지(가정)</t>
      </text>
    </comment>
    <comment ref="AK30" authorId="0" shapeId="0">
      <text>
        <t>모델값 역산(implied): v / 전분기 − 1
마지막 실적 유지(가정)</t>
      </text>
    </comment>
    <comment ref="AL30" authorId="0" shapeId="0">
      <text>
        <t>모델값 역산(implied): v / 전분기 − 1
마지막 실적 유지(가정)</t>
      </text>
    </comment>
    <comment ref="AM30" authorId="0" shapeId="0">
      <text>
        <t>모델값 역산(implied): v / 전분기 − 1
마지막 실적 유지(가정)</t>
      </text>
    </comment>
    <comment ref="AN30" authorId="0" shapeId="0">
      <text>
        <t>모델값 역산(implied): v / 전분기 − 1
마지막 실적 유지(가정)</t>
      </text>
    </comment>
    <comment ref="AC31" authorId="0" shapeId="0">
      <text>
        <t>모델값 역산(implied): v / 전분기 − 1
전분기 − FCF 근사[순이익 − 배당(감가상각비 없음 → CAPEX≈감가 가정, CAPEX 중위 32억은 행에만)] (운전자본 불변·총차입금 유지 가정 → 변동은 전부 현금)</t>
      </text>
    </comment>
    <comment ref="AD31" authorId="0" shapeId="0">
      <text>
        <t>모델값 역산(implied): v / 전분기 − 1
전분기 − FCF 근사[순이익 − 배당(감가상각비 없음 → CAPEX≈감가 가정, CAPEX 중위 32억은 행에만)] (운전자본 불변·총차입금 유지 가정 → 변동은 전부 현금)</t>
      </text>
    </comment>
    <comment ref="AF31" authorId="0" shapeId="0">
      <text>
        <t>모델값 역산(implied): v / 전분기 − 1
전분기 − FCF 근사[순이익 − 배당(감가상각비 없음 → CAPEX≈감가 가정, CAPEX 중위 32억은 행에만)] (운전자본 불변·총차입금 유지 가정 → 변동은 전부 현금)</t>
      </text>
    </comment>
    <comment ref="AG31" authorId="0" shapeId="0">
      <text>
        <t>모델값 역산(implied): v / 전분기 − 1
전분기 − FCF 근사[순이익 − 배당(감가상각비 없음 → CAPEX≈감가 가정, CAPEX 중위 32억은 행에만)] (운전자본 불변·총차입금 유지 가정 → 변동은 전부 현금)</t>
      </text>
    </comment>
    <comment ref="AH31" authorId="0" shapeId="0">
      <text>
        <t>모델값 역산(implied): v / 전분기 − 1
전분기 − FCF 근사[순이익 − 배당(감가상각비 없음 → CAPEX≈감가 가정, CAPEX 중위 32억은 행에만)] (운전자본 불변·총차입금 유지 가정 → 변동은 전부 현금)</t>
      </text>
    </comment>
    <comment ref="AI31" authorId="0" shapeId="0">
      <text>
        <t>모델값 역산(implied): v / 전분기 − 1
전분기 − FCF 근사[순이익 − 배당(감가상각비 없음 → CAPEX≈감가 가정, CAPEX 중위 32억은 행에만)] (운전자본 불변·총차입금 유지 가정 → 변동은 전부 현금)</t>
      </text>
    </comment>
    <comment ref="AK31" authorId="0" shapeId="0">
      <text>
        <t>모델값 역산(implied): v / 전분기 − 1
전분기 − FCF 근사[순이익 − 배당(감가상각비 없음 → CAPEX≈감가 가정, CAPEX 중위 32억은 행에만)] (운전자본 불변·총차입금 유지 가정 → 변동은 전부 현금)</t>
      </text>
    </comment>
    <comment ref="AL31" authorId="0" shapeId="0">
      <text>
        <t>모델값 역산(implied): v / 전분기 − 1
전분기 − FCF 근사[순이익 − 배당(감가상각비 없음 → CAPEX≈감가 가정, CAPEX 중위 32억은 행에만)] (운전자본 불변·총차입금 유지 가정 → 변동은 전부 현금)</t>
      </text>
    </comment>
    <comment ref="AM31" authorId="0" shapeId="0">
      <text>
        <t>모델값 역산(implied): v / 전분기 − 1
전분기 − FCF 근사[순이익 − 배당(감가상각비 없음 → CAPEX≈감가 가정, CAPEX 중위 32억은 행에만)] (운전자본 불변·총차입금 유지 가정 → 변동은 전부 현금)</t>
      </text>
    </comment>
    <comment ref="AN31" authorId="0" shapeId="0">
      <text>
        <t>모델값 역산(implied): v / 전분기 − 1
전분기 − FCF 근사[순이익 − 배당(감가상각비 없음 → CAPEX≈감가 가정, CAPEX 중위 32억은 행에만)] (운전자본 불변·총차입금 유지 가정 → 변동은 전부 현금)</t>
      </text>
    </comment>
    <comment ref="AC32" authorId="0" shapeId="0">
      <text>
        <t>모델값 역산(implied): v / 전분기 − 1
전분기 + FCF 근사 — 순차입금 롤과 같은 가정</t>
      </text>
    </comment>
    <comment ref="AD32" authorId="0" shapeId="0">
      <text>
        <t>모델값 역산(implied): v / 전분기 − 1
전분기 + FCF 근사 — 순차입금 롤과 같은 가정</t>
      </text>
    </comment>
    <comment ref="AF32" authorId="0" shapeId="0">
      <text>
        <t>모델값 역산(implied): v / 전분기 − 1
전분기 + FCF 근사 — 순차입금 롤과 같은 가정</t>
      </text>
    </comment>
    <comment ref="AG32" authorId="0" shapeId="0">
      <text>
        <t>모델값 역산(implied): v / 전분기 − 1
전분기 + FCF 근사 — 순차입금 롤과 같은 가정</t>
      </text>
    </comment>
    <comment ref="AH32" authorId="0" shapeId="0">
      <text>
        <t>모델값 역산(implied): v / 전분기 − 1
전분기 + FCF 근사 — 순차입금 롤과 같은 가정</t>
      </text>
    </comment>
    <comment ref="AI32" authorId="0" shapeId="0">
      <text>
        <t>모델값 역산(implied): v / 전분기 − 1
전분기 + FCF 근사 — 순차입금 롤과 같은 가정</t>
      </text>
    </comment>
    <comment ref="AK32" authorId="0" shapeId="0">
      <text>
        <t>모델값 역산(implied): v / 전분기 − 1
전분기 + FCF 근사 — 순차입금 롤과 같은 가정</t>
      </text>
    </comment>
    <comment ref="AL32" authorId="0" shapeId="0">
      <text>
        <t>모델값 역산(implied): v / 전분기 − 1
전분기 + FCF 근사 — 순차입금 롤과 같은 가정</t>
      </text>
    </comment>
    <comment ref="AM32" authorId="0" shapeId="0">
      <text>
        <t>모델값 역산(implied): v / 전분기 − 1
전분기 + FCF 근사 — 순차입금 롤과 같은 가정</t>
      </text>
    </comment>
    <comment ref="AN32" authorId="0" shapeId="0">
      <text>
        <t>모델값 역산(implied): v / 전분기 − 1
전분기 + FCF 근사 — 순차입금 롤과 같은 가정</t>
      </text>
    </comment>
    <comment ref="AC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4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36" authorId="0" shapeId="0">
      <text>
        <t>모델값 역산(implied): v / 전분기 − 1
유통주식수 유지 — fin.shares.common_outstanding(2026Q2)</t>
      </text>
    </comment>
    <comment ref="AD36" authorId="0" shapeId="0">
      <text>
        <t>모델값 역산(implied): v / 전분기 − 1
유통주식수 유지 — fin.shares.common_outstanding(2026Q2)</t>
      </text>
    </comment>
    <comment ref="AF36" authorId="0" shapeId="0">
      <text>
        <t>모델값 역산(implied): v / 전분기 − 1
유통주식수 유지 — fin.shares.common_outstanding(2026Q2)</t>
      </text>
    </comment>
    <comment ref="AG36" authorId="0" shapeId="0">
      <text>
        <t>모델값 역산(implied): v / 전분기 − 1
유통주식수 유지 — fin.shares.common_outstanding(2026Q2)</t>
      </text>
    </comment>
    <comment ref="AH36" authorId="0" shapeId="0">
      <text>
        <t>모델값 역산(implied): v / 전분기 − 1
유통주식수 유지 — fin.shares.common_outstanding(2026Q2)</t>
      </text>
    </comment>
    <comment ref="AI36" authorId="0" shapeId="0">
      <text>
        <t>모델값 역산(implied): v / 전분기 − 1
유통주식수 유지 — fin.shares.common_outstanding(2026Q2)</t>
      </text>
    </comment>
    <comment ref="AK36" authorId="0" shapeId="0">
      <text>
        <t>모델값 역산(implied): v / 전분기 − 1
유통주식수 유지 — fin.shares.common_outstanding(2026Q2)</t>
      </text>
    </comment>
    <comment ref="AL36" authorId="0" shapeId="0">
      <text>
        <t>모델값 역산(implied): v / 전분기 − 1
유통주식수 유지 — fin.shares.common_outstanding(2026Q2)</t>
      </text>
    </comment>
    <comment ref="AM36" authorId="0" shapeId="0">
      <text>
        <t>모델값 역산(implied): v / 전분기 − 1
유통주식수 유지 — fin.shares.common_outstanding(2026Q2)</t>
      </text>
    </comment>
    <comment ref="AN36" authorId="0" shapeId="0">
      <text>
        <t>모델값 역산(implied): v / 전분기 − 1
유통주식수 유지 — fin.shares.common_outstanding(2026Q2)</t>
      </text>
    </comment>
    <comment ref="AD37" authorId="0" shapeId="0">
      <text>
        <t>모델값 역산(implied): 모델 v 그대로
직전 결산 DPS 0원 유지</t>
      </text>
    </comment>
    <comment ref="AI37" authorId="0" shapeId="0">
      <text>
        <t>모델값 역산(implied): 모델 v 그대로
직전 결산 DPS 0원 유지</t>
      </text>
    </comment>
    <comment ref="AN37" authorId="0" shapeId="0">
      <text>
        <t>모델값 역산(implied): 모델 v 그대로
직전 결산 DPS 0원 유지</t>
      </text>
    </comment>
    <comment ref="AC38" authorId="0" shapeId="0">
      <text>
        <t>역산: 모델 매출조선 − SLS 재구성 원화/100 − 매출조선신규 (모델 runoff_per_q 2153.0; 계약 스케줄 소수 3자리 반올림 차 포함)
SLS 해양 원화 1051억(sls.by_quarter.marine_hedged_krw_m(헤지 70% 적용; origin 2026Q2 이후 체결 1건 SLS 유지 — 원장 수준 신규수주와 체결 분기별 상계(net_panel))) + 원장 밖 잔고 소진 2153억(최근 4분기 '부문매출−SLS' 중위 2153억/분기, 잔여 6734억) + 신규수주 매출 0억(폴백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0억)) · origin 이후 공시 수주 SLS 71억 유지(원장 수준 신규수주 체결 분기별 상계, net_panel)</t>
      </text>
    </comment>
    <comment ref="AD38" authorId="0" shapeId="0">
      <text>
        <t>역산: 모델 매출조선 − SLS 재구성 원화/100 − 매출조선신규 (모델 runoff_per_q 2153.0; 계약 스케줄 소수 3자리 반올림 차 포함)
SLS 해양 원화 1610억(sls.by_quarter.marine_hedged_krw_m(헤지 70% 적용; origin 2026Q2 이후 체결 1건 SLS 유지 — 원장 수준 신규수주와 체결 분기별 상계(net_panel))) + 원장 밖 잔고 소진 2153억(최근 4분기 '부문매출−SLS' 중위 2153억/분기, 잔여 4581억) + 신규수주 매출 0억(폴백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0억)) · origin 이후 공시 수주 SLS 645억 유지(원장 수준 신규수주 체결 분기별 상계, net_panel)</t>
      </text>
    </comment>
    <comment ref="AF38" authorId="0" shapeId="0">
      <text>
        <t>역산: 모델 매출조선 − SLS 재구성 원화/100 − 매출조선신규 (모델 runoff_per_q 2153.0; 계약 스케줄 소수 3자리 반올림 차 포함)
SLS 해양 원화 1574억(sls.by_quarter.marine_hedged_krw_m(헤지 70% 적용; origin 2026Q2 이후 체결 1건 SLS 유지 — 원장 수준 신규수주와 체결 분기별 상계(net_panel))) + 원장 밖 잔고 소진 2153억(최근 4분기 '부문매출−SLS' 중위 2153억/분기, 잔여 2428억) + 신규수주 매출 103억(폴백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0억)) · origin 이후 공시 수주 SLS 631억 유지(원장 수준 신규수주 체결 분기별 상계, net_panel)</t>
      </text>
    </comment>
    <comment ref="AG38" authorId="0" shapeId="0">
      <text>
        <t>역산: 모델 매출조선 − SLS 재구성 원화/100 − 매출조선신규 (모델 runoff_per_q 2153.0; 계약 스케줄 소수 3자리 반올림 차 포함)
SLS 해양 원화 1591억(sls.by_quarter.marine_hedged_krw_m(헤지 70% 적용; origin 2026Q2 이후 체결 1건 SLS 유지 — 원장 수준 신규수주와 체결 분기별 상계(net_panel))) + 원장 밖 잔고 소진 2153억(최근 4분기 '부문매출−SLS' 중위 2153억/분기, 잔여 275억) + 신규수주 매출 382억(폴백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0억)) · origin 이후 공시 수주 SLS 638억 유지(원장 수준 신규수주 체결 분기별 상계, net_panel)</t>
      </text>
    </comment>
    <comment ref="AH38" authorId="0" shapeId="0">
      <text>
        <t>역산: 모델 매출조선 − SLS 재구성 원화/100 − 매출조선신규 (모델 runoff_per_q 2153.0; 계약 스케줄 소수 3자리 반올림 차 포함)
SLS 해양 원화 1609억(sls.by_quarter.marine_hedged_krw_m(헤지 70% 적용; origin 2026Q2 이후 체결 1건 SLS 유지 — 원장 수준 신규수주와 체결 분기별 상계(net_panel))) + 원장 밖 잔고 소진 275억(최근 4분기 '부문매출−SLS' 중위 2153억/분기, 잔여 0억) + 신규수주 매출 791억(폴백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0억)) · origin 이후 공시 수주 SLS 645억 유지(원장 수준 신규수주 체결 분기별 상계, net_panel)</t>
      </text>
    </comment>
    <comment ref="AI38" authorId="0" shapeId="0">
      <text>
        <t>역산: 모델 매출조선 − SLS 재구성 원화/100 − 매출조선신규 (모델 runoff_per_q 2153.0; 계약 스케줄 소수 3자리 반올림 차 포함)
SLS 해양 원화 1609억(sls.by_quarter.marine_hedged_krw_m(헤지 70% 적용; origin 2026Q2 이후 체결 1건 SLS 유지 — 원장 수준 신규수주와 체결 분기별 상계(net_panel))) + 원장 밖 잔고 소진 0억(최근 4분기 '부문매출−SLS' 중위 2153억/분기, 잔여 0억) + 신규수주 매출 1287억(폴백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0억)) · origin 이후 공시 수주 SLS 645억 유지(원장 수준 신규수주 체결 분기별 상계, net_panel)</t>
      </text>
    </comment>
    <comment ref="AK38" authorId="0" shapeId="0">
      <text>
        <t>역산: 모델 매출조선 − SLS 재구성 원화/100 − 매출조선신규 (모델 runoff_per_q 2153.0; 계약 스케줄 소수 3자리 반올림 차 포함)
SLS 해양 원화 1591억(sls.by_quarter.marine_hedged_krw_m(헤지 70% 적용; origin 2026Q2 이후 체결 1건 SLS 유지 — 원장 수준 신규수주와 체결 분기별 상계(net_panel))) + 원장 밖 잔고 소진 0억(최근 4분기 '부문매출−SLS' 중위 2153억/분기, 잔여 0억) + 신규수주 매출 1825억(폴백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0억)) · origin 이후 공시 수주 SLS 638억 유지(원장 수준 신규수주 체결 분기별 상계, net_panel)</t>
      </text>
    </comment>
    <comment ref="AL38" authorId="0" shapeId="0">
      <text>
        <t>역산: 모델 매출조선 − SLS 재구성 원화/100 − 매출조선신규 (모델 runoff_per_q 2153.0; 계약 스케줄 소수 3자리 반올림 차 포함)
SLS 해양 원화 1591억(sls.by_quarter.marine_hedged_krw_m(헤지 70% 적용; origin 2026Q2 이후 체결 1건 SLS 유지 — 원장 수준 신규수주와 체결 분기별 상계(net_panel))) + 원장 밖 잔고 소진 0억(최근 4분기 '부문매출−SLS' 중위 2153억/분기, 잔여 0억) + 신규수주 매출 2358억(폴백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0억)) · origin 이후 공시 수주 SLS 638억 유지(원장 수준 신규수주 체결 분기별 상계, net_panel)</t>
      </text>
    </comment>
    <comment ref="AM38" authorId="0" shapeId="0">
      <text>
        <t>역산: 모델 매출조선 − SLS 재구성 원화/100 − 매출조선신규 (모델 runoff_per_q 2153.0; 계약 스케줄 소수 3자리 반올림 차 포함)
SLS 해양 원화 1246억(sls.by_quarter.marine_hedged_krw_m(헤지 70% 적용; origin 2026Q2 이후 체결 1건 SLS 유지 — 원장 수준 신규수주와 체결 분기별 상계(net_panel))) + 원장 밖 잔고 소진 0억(최근 4분기 '부문매출−SLS' 중위 2153억/분기, 잔여 0억) + 신규수주 매출 2844억(폴백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0억)) · origin 이후 공시 수주 SLS 645억 유지(원장 수준 신규수주 체결 분기별 상계, net_panel)</t>
      </text>
    </comment>
    <comment ref="AN38" authorId="0" shapeId="0">
      <text>
        <t>역산: 모델 매출조선 − SLS 재구성 원화/100 − 매출조선신규 (모델 runoff_per_q 2153.0; 계약 스케줄 소수 3자리 반올림 차 포함)
SLS 해양 원화 1002억(sls.by_quarter.marine_hedged_krw_m(헤지 70% 적용; origin 2026Q2 이후 체결 1건 SLS 유지 — 원장 수준 신규수주와 체결 분기별 상계(net_panel))) + 원장 밖 잔고 소진 0억(최근 4분기 '부문매출−SLS' 중위 2153억/분기, 잔여 0억) + 신규수주 매출 3236억(폴백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0억)) · origin 이후 공시 수주 SLS 645억 유지(원장 수준 신규수주 체결 분기별 상계, net_panel)</t>
      </text>
    </comment>
    <comment ref="AC39" authorId="0" shapeId="0">
      <text>
        <t>모델값 역산(implied): 모델 v 그대로
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 — 매출조선에 포함(합산 금지)</t>
      </text>
    </comment>
    <comment ref="AD39" authorId="0" shapeId="0">
      <text>
        <t>모델값 역산(implied): 모델 v 그대로
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 — 매출조선에 포함(합산 금지)</t>
      </text>
    </comment>
    <comment ref="AF39" authorId="0" shapeId="0">
      <text>
        <t>모델값 역산(implied): 모델 v 그대로
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 — 매출조선에 포함(합산 금지)</t>
      </text>
    </comment>
    <comment ref="AG39" authorId="0" shapeId="0">
      <text>
        <t>모델값 역산(implied): 모델 v 그대로
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 — 매출조선에 포함(합산 금지)</t>
      </text>
    </comment>
    <comment ref="AH39" authorId="0" shapeId="0">
      <text>
        <t>모델값 역산(implied): 모델 v 그대로
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 — 매출조선에 포함(합산 금지)</t>
      </text>
    </comment>
    <comment ref="AI39" authorId="0" shapeId="0">
      <text>
        <t>모델값 역산(implied): 모델 v 그대로
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 — 매출조선에 포함(합산 금지)</t>
      </text>
    </comment>
    <comment ref="AK39" authorId="0" shapeId="0">
      <text>
        <t>모델값 역산(implied): 모델 v 그대로
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 — 매출조선에 포함(합산 금지)</t>
      </text>
    </comment>
    <comment ref="AL39" authorId="0" shapeId="0">
      <text>
        <t>모델값 역산(implied): 모델 v 그대로
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 — 매출조선에 포함(합산 금지)</t>
      </text>
    </comment>
    <comment ref="AM39" authorId="0" shapeId="0">
      <text>
        <t>모델값 역산(implied): 모델 v 그대로
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 — 매출조선에 포함(합산 금지)</t>
      </text>
    </comment>
    <comment ref="AN39" authorId="0" shapeId="0">
      <text>
        <t>모델값 역산(implied): 모델 v 그대로
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 — 매출조선에 포함(합산 금지)</t>
      </text>
    </comment>
    <comment ref="AC40" authorId="0" shapeId="0">
      <text>
        <t>모델값 역산(implied): v / 매출조선
매출조선 × 타겟 OPM(부문 OP 미공시 → 회사 OPM 적용; 신규수주분 포함)</t>
      </text>
    </comment>
    <comment ref="AD40" authorId="0" shapeId="0">
      <text>
        <t>모델값 역산(implied): v / 매출조선
매출조선 × 타겟 OPM(부문 OP 미공시 → 회사 OPM 적용; 신규수주분 포함)</t>
      </text>
    </comment>
    <comment ref="AF40" authorId="0" shapeId="0">
      <text>
        <t>모델값 역산(implied): v / 매출조선
매출조선 × 타겟 OPM(부문 OP 미공시 → 회사 OPM 적용; 신규수주분 포함)</t>
      </text>
    </comment>
    <comment ref="AG40" authorId="0" shapeId="0">
      <text>
        <t>모델값 역산(implied): v / 매출조선
매출조선 × 타겟 OPM(부문 OP 미공시 → 회사 OPM 적용; 신규수주분 포함)</t>
      </text>
    </comment>
    <comment ref="AH40" authorId="0" shapeId="0">
      <text>
        <t>모델값 역산(implied): v / 매출조선
매출조선 × 타겟 OPM(부문 OP 미공시 → 회사 OPM 적용; 신규수주분 포함)</t>
      </text>
    </comment>
    <comment ref="AI40" authorId="0" shapeId="0">
      <text>
        <t>모델값 역산(implied): v / 매출조선
매출조선 × 타겟 OPM(부문 OP 미공시 → 회사 OPM 적용; 신규수주분 포함)</t>
      </text>
    </comment>
    <comment ref="AK40" authorId="0" shapeId="0">
      <text>
        <t>모델값 역산(implied): v / 매출조선
매출조선 × 타겟 OPM(부문 OP 미공시 → 회사 OPM 적용; 신규수주분 포함)</t>
      </text>
    </comment>
    <comment ref="AL40" authorId="0" shapeId="0">
      <text>
        <t>모델값 역산(implied): v / 매출조선
매출조선 × 타겟 OPM(부문 OP 미공시 → 회사 OPM 적용; 신규수주분 포함)</t>
      </text>
    </comment>
    <comment ref="AM40" authorId="0" shapeId="0">
      <text>
        <t>모델값 역산(implied): v / 매출조선
매출조선 × 타겟 OPM(부문 OP 미공시 → 회사 OPM 적용; 신규수주분 포함)</t>
      </text>
    </comment>
    <comment ref="AN40" authorId="0" shapeId="0">
      <text>
        <t>모델값 역산(implied): v / 매출조선
매출조선 × 타겟 OPM(부문 OP 미공시 → 회사 OPM 적용; 신규수주분 포함)</t>
      </text>
    </comment>
    <comment ref="AC41" authorId="0" shapeId="0">
      <text>
        <t>모델값 역산(implied): v / 전년동기 − 1
기타 부문(연결 − 조선 부문) 최근 4분기 중위 2726억 유지</t>
      </text>
    </comment>
    <comment ref="AD41" authorId="0" shapeId="0">
      <text>
        <t>모델값 역산(implied): v / 전분기 − 1 (전년동기 없음 → 전분기 대비)
기타 부문(연결 − 조선 부문) 최근 4분기 중위 2726억 유지</t>
      </text>
    </comment>
    <comment ref="AF41" authorId="0" shapeId="0">
      <text>
        <t>모델값 역산(implied): v / 전분기 − 1 (전년동기 없음 → 전분기 대비)
기타 부문(연결 − 조선 부문) 최근 4분기 중위 2726억 유지</t>
      </text>
    </comment>
    <comment ref="AG41" authorId="0" shapeId="0">
      <text>
        <t>모델값 역산(implied): v / 전년동기 − 1
기타 부문(연결 − 조선 부문) 최근 4분기 중위 2726억 유지</t>
      </text>
    </comment>
    <comment ref="AH41" authorId="0" shapeId="0">
      <text>
        <t>모델값 역산(implied): v / 전년동기 − 1
기타 부문(연결 − 조선 부문) 최근 4분기 중위 2726억 유지</t>
      </text>
    </comment>
    <comment ref="AI41" authorId="0" shapeId="0">
      <text>
        <t>모델값 역산(implied): v / 전년동기 − 1
기타 부문(연결 − 조선 부문) 최근 4분기 중위 2726억 유지</t>
      </text>
    </comment>
    <comment ref="AK41" authorId="0" shapeId="0">
      <text>
        <t>모델값 역산(implied): v / 전년동기 − 1
기타 부문(연결 − 조선 부문) 최근 4분기 중위 2726억 유지</t>
      </text>
    </comment>
    <comment ref="AL41" authorId="0" shapeId="0">
      <text>
        <t>모델값 역산(implied): v / 전년동기 − 1
기타 부문(연결 − 조선 부문) 최근 4분기 중위 2726억 유지</t>
      </text>
    </comment>
    <comment ref="AM41" authorId="0" shapeId="0">
      <text>
        <t>모델값 역산(implied): v / 전년동기 − 1
기타 부문(연결 − 조선 부문) 최근 4분기 중위 2726억 유지</t>
      </text>
    </comment>
    <comment ref="AN41" authorId="0" shapeId="0">
      <text>
        <t>모델값 역산(implied): v / 전년동기 − 1
기타 부문(연결 − 조선 부문) 최근 4분기 중위 2726억 유지</t>
      </text>
    </comment>
    <comment ref="AC42" authorId="0" shapeId="0">
      <text>
        <t>모델값 역산(implied): v / 매출기타
매출기타 × 회사 OPM(부문 OP 미공시)</t>
      </text>
    </comment>
    <comment ref="AD42" authorId="0" shapeId="0">
      <text>
        <t>모델값 역산(implied): v / 매출기타
매출기타 × 회사 OPM(부문 OP 미공시)</t>
      </text>
    </comment>
    <comment ref="AF42" authorId="0" shapeId="0">
      <text>
        <t>모델값 역산(implied): v / 매출기타
매출기타 × 회사 OPM(부문 OP 미공시)</t>
      </text>
    </comment>
    <comment ref="AG42" authorId="0" shapeId="0">
      <text>
        <t>모델값 역산(implied): v / 매출기타
매출기타 × 회사 OPM(부문 OP 미공시)</t>
      </text>
    </comment>
    <comment ref="AH42" authorId="0" shapeId="0">
      <text>
        <t>모델값 역산(implied): v / 매출기타
매출기타 × 회사 OPM(부문 OP 미공시)</t>
      </text>
    </comment>
    <comment ref="AI42" authorId="0" shapeId="0">
      <text>
        <t>모델값 역산(implied): v / 매출기타
매출기타 × 회사 OPM(부문 OP 미공시)</t>
      </text>
    </comment>
    <comment ref="AK42" authorId="0" shapeId="0">
      <text>
        <t>모델값 역산(implied): v / 매출기타
매출기타 × 회사 OPM(부문 OP 미공시)</t>
      </text>
    </comment>
    <comment ref="AL42" authorId="0" shapeId="0">
      <text>
        <t>모델값 역산(implied): v / 매출기타
매출기타 × 회사 OPM(부문 OP 미공시)</t>
      </text>
    </comment>
    <comment ref="AM42" authorId="0" shapeId="0">
      <text>
        <t>모델값 역산(implied): v / 매출기타
매출기타 × 회사 OPM(부문 OP 미공시)</t>
      </text>
    </comment>
    <comment ref="AN42" authorId="0" shapeId="0">
      <text>
        <t>모델값 역산(implied): v / 매출기타
매출기타 × 회사 OPM(부문 OP 미공시)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매출조선 + 매출기타
[identity]</t>
      </text>
    </comment>
    <comment ref="AD5" authorId="0" shapeId="0">
      <text>
        <t>추정: 매출조선 + 매출기타
[identity]</t>
      </text>
    </comment>
    <comment ref="AF5" authorId="0" shapeId="0">
      <text>
        <t>추정: 매출조선 + 매출기타
[identity]</t>
      </text>
    </comment>
    <comment ref="AG5" authorId="0" shapeId="0">
      <text>
        <t>추정: 매출조선 + 매출기타
[identity]</t>
      </text>
    </comment>
    <comment ref="AH5" authorId="0" shapeId="0">
      <text>
        <t>추정: 매출조선 + 매출기타
[identity]</t>
      </text>
    </comment>
    <comment ref="AI5" authorId="0" shapeId="0">
      <text>
        <t>추정: 매출조선 + 매출기타
[identity]</t>
      </text>
    </comment>
    <comment ref="AK5" authorId="0" shapeId="0">
      <text>
        <t>추정: 매출조선 + 매출기타
[identity]</t>
      </text>
    </comment>
    <comment ref="AL5" authorId="0" shapeId="0">
      <text>
        <t>추정: 매출조선 + 매출기타
[identity]</t>
      </text>
    </comment>
    <comment ref="AM5" authorId="0" shapeId="0">
      <text>
        <t>추정: 매출조선 + 매출기타
[identity]</t>
      </text>
    </comment>
    <comment ref="AN5" authorId="0" shapeId="0">
      <text>
        <t>추정: 매출조선 + 매출기타
[identity]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5.36%(최근 4분기 중위)
[ratio]</t>
      </text>
    </comment>
    <comment ref="AD8" authorId="0" shapeId="0">
      <text>
        <t>추정: 매출액 × 판관비율 5.36%(최근 4분기 중위)
[ratio]</t>
      </text>
    </comment>
    <comment ref="AF8" authorId="0" shapeId="0">
      <text>
        <t>추정: 매출액 × 판관비율 5.36%(최근 4분기 중위)
[ratio]</t>
      </text>
    </comment>
    <comment ref="AG8" authorId="0" shapeId="0">
      <text>
        <t>추정: 매출액 × 판관비율 5.36%(최근 4분기 중위)
[ratio]</t>
      </text>
    </comment>
    <comment ref="AH8" authorId="0" shapeId="0">
      <text>
        <t>추정: 매출액 × 판관비율 5.36%(최근 4분기 중위)
[ratio]</t>
      </text>
    </comment>
    <comment ref="AI8" authorId="0" shapeId="0">
      <text>
        <t>추정: 매출액 × 판관비율 5.36%(최근 4분기 중위)
[ratio]</t>
      </text>
    </comment>
    <comment ref="AK8" authorId="0" shapeId="0">
      <text>
        <t>추정: 매출액 × 판관비율 5.36%(최근 4분기 중위)
[ratio]</t>
      </text>
    </comment>
    <comment ref="AL8" authorId="0" shapeId="0">
      <text>
        <t>추정: 매출액 × 판관비율 5.36%(최근 4분기 중위)
[ratio]</t>
      </text>
    </comment>
    <comment ref="AM8" authorId="0" shapeId="0">
      <text>
        <t>추정: 매출액 × 판관비율 5.36%(최근 4분기 중위)
[ratio]</t>
      </text>
    </comment>
    <comment ref="AN8" authorId="0" shapeId="0">
      <text>
        <t>추정: 매출액 × 판관비율 5.36%(최근 4분기 중위)
[ratio]</t>
      </text>
    </comment>
    <comment ref="AC9" authorId="0" shapeId="0">
      <text>
        <t>추정: 매출액 × OPM(SLS 코호트 타겟 7.4%(코호트 모드 reference_anchor; 등급 비중 24% × 코호트 10.8% + 등급없음 76% × 최근 4분기 실측 OPM 중위 6.3%) + 회사 캘리브레이션 +1.6%p(최근 3분기 실측−타겟 중위) — 신규수주 매출에도 같은 타겟 — 코호트 경로 없음 → 실측 중위 고정(원 타겟 전 분기 10.8% 상수(코호트 모드 reference_anchor); 경로 변화는 등급 없는 비중의 실측 중위 6.3% 채움에서만, 추정 구간 타겟 7.37%→8.08%))
[identity]</t>
      </text>
    </comment>
    <comment ref="AD9" authorId="0" shapeId="0">
      <text>
        <t>추정: 매출액 × OPM(SLS 코호트 타겟 7.9%(코호트 모드 reference_anchor; 등급 비중 35% × 코호트 10.8% + 등급없음 65% × 최근 4분기 실측 OPM 중위 6.3%) + 회사 캘리브레이션 +1.6%p(최근 3분기 실측−타겟 중위) — 신규수주 매출에도 같은 타겟 — 코호트 경로 없음 → 실측 중위 고정(원 타겟 전 분기 10.8% 상수(코호트 모드 reference_anchor); 경로 변화는 등급 없는 비중의 실측 중위 6.3% 채움에서만, 추정 구간 타겟 7.37%→8.08%))
[identity]</t>
      </text>
    </comment>
    <comment ref="AF9" authorId="0" shapeId="0">
      <text>
        <t>추정: 매출액 × OPM(SLS 코호트 타겟 8.0%(코호트 모드 reference_anchor; 등급 비중 37% × 코호트 10.8% + 등급없음 63% × 최근 4분기 실측 OPM 중위 6.3%) + 회사 캘리브레이션 +1.6%p(최근 3분기 실측−타겟 중위) — 신규수주 매출에도 같은 타겟 — 코호트 경로 없음 → 실측 중위 고정(원 타겟 전 분기 10.8% 상수(코호트 모드 reference_anchor); 경로 변화는 등급 없는 비중의 실측 중위 6.3% 채움에서만, 추정 구간 타겟 7.37%→8.08%))
[identity]</t>
      </text>
    </comment>
    <comment ref="AG9" authorId="0" shapeId="0">
      <text>
        <t>추정: 매출액 × OPM(SLS 코호트 타겟 8.1%(코호트 모드 reference_anchor; 등급 비중 41% × 코호트 10.8% + 등급없음 59% × 최근 4분기 실측 OPM 중위 6.3%) + 회사 캘리브레이션 +1.6%p(최근 3분기 실측−타겟 중위) — 신규수주 매출에도 같은 타겟 — 코호트 경로 없음 → 실측 중위 고정(원 타겟 전 분기 10.8% 상수(코호트 모드 reference_anchor); 경로 변화는 등급 없는 비중의 실측 중위 6.3% 채움에서만, 추정 구간 타겟 7.37%→8.08%))
[identity]</t>
      </text>
    </comment>
    <comment ref="AH9" authorId="0" shapeId="0">
      <text>
        <t>추정: 매출액 × OPM(SLS 코호트 타겟 8.2%(코호트 모드 reference_anchor; 등급 비중 43% × 코호트 10.8% + 등급없음 57% × 최근 4분기 실측 OPM 중위 6.3%) + 회사 캘리브레이션 +1.6%p(최근 3분기 실측−타겟 중위) — 신규수주 매출에도 같은 타겟 — 코호트 경로 없음 → 실측 중위 고정(원 타겟 전 분기 10.8% 상수(코호트 모드 reference_anchor); 경로 변화는 등급 없는 비중의 실측 중위 6.3% 채움에서만, 추정 구간 타겟 7.37%→8.08%))
[identity]</t>
      </text>
    </comment>
    <comment ref="AI9" authorId="0" shapeId="0">
      <text>
        <t>추정: 매출액 × OPM(SLS 코호트 타겟 8.3%(코호트 모드 reference_anchor; 등급 비중 45% × 코호트 10.8% + 등급없음 55% × 최근 4분기 실측 OPM 중위 6.3%) + 회사 캘리브레이션 +1.6%p(최근 3분기 실측−타겟 중위) — 신규수주 매출에도 같은 타겟 — 코호트 경로 없음 → 실측 중위 고정(원 타겟 전 분기 10.8% 상수(코호트 모드 reference_anchor); 경로 변화는 등급 없는 비중의 실측 중위 6.3% 채움에서만, 추정 구간 타겟 7.37%→8.08%))
[identity]</t>
      </text>
    </comment>
    <comment ref="AK9" authorId="0" shapeId="0">
      <text>
        <t>추정: 매출액 × OPM(SLS 코호트 타겟 8.4%(코호트 모드 reference_anchor; 등급 비중 48% × 코호트 10.8% + 등급없음 52% × 최근 4분기 실측 OPM 중위 6.3%) + 회사 캘리브레이션 +1.6%p(최근 3분기 실측−타겟 중위) — 신규수주 매출에도 같은 타겟 — 코호트 경로 없음 → 실측 중위 고정(원 타겟 전 분기 10.8% 상수(코호트 모드 reference_anchor); 경로 변화는 등급 없는 비중의 실측 중위 6.3% 채움에서만, 추정 구간 타겟 7.37%→8.08%))
[identity]</t>
      </text>
    </comment>
    <comment ref="AL9" authorId="0" shapeId="0">
      <text>
        <t>추정: 매출액 × OPM(SLS 코호트 타겟 8.5%(코호트 모드 reference_anchor; 등급 비중 49% × 코호트 10.8% + 등급없음 51% × 최근 4분기 실측 OPM 중위 6.3%) + 회사 캘리브레이션 +1.6%p(최근 3분기 실측−타겟 중위) — 신규수주 매출에도 같은 타겟 — 코호트 경로 없음 → 실측 중위 고정(원 타겟 전 분기 10.8% 상수(코호트 모드 reference_anchor); 경로 변화는 등급 없는 비중의 실측 중위 6.3% 채움에서만, 추정 구간 타겟 7.37%→8.08%))
[identity]</t>
      </text>
    </comment>
    <comment ref="AM9" authorId="0" shapeId="0">
      <text>
        <t>추정: 매출액 × OPM(SLS 코호트 타겟 8.3%(코호트 모드 reference_anchor; 등급 비중 44% × 코호트 10.8% + 등급없음 56% × 최근 4분기 실측 OPM 중위 6.3%) + 회사 캘리브레이션 +1.6%p(최근 3분기 실측−타겟 중위) — 신규수주 매출에도 같은 타겟 — 코호트 경로 없음 → 실측 중위 고정(원 타겟 전 분기 10.8% 상수(코호트 모드 reference_anchor); 경로 변화는 등급 없는 비중의 실측 중위 6.3% 채움에서만, 추정 구간 타겟 7.37%→8.08%))
[identity]</t>
      </text>
    </comment>
    <comment ref="AN9" authorId="0" shapeId="0">
      <text>
        <t>추정: 매출액 × OPM(SLS 코호트 타겟 8.1%(코호트 모드 reference_anchor; 등급 비중 40% × 코호트 10.8% + 등급없음 60% × 최근 4분기 실측 OPM 중위 6.3%) + 회사 캘리브레이션 +1.6%p(최근 3분기 실측−타겟 중위) — 신규수주 매출에도 같은 타겟 — 코호트 경로 없음 → 실측 중위 고정(원 타겟 전 분기 10.8% 상수(코호트 모드 reference_anchor); 경로 변화는 등급 없는 비중의 실측 중위 6.3% 채움에서만, 추정 구간 타겟 7.37%→8.08%))
[identity]</t>
      </text>
    </comment>
    <comment ref="AC10" authorId="0" shapeId="0">
      <text>
        <t>추정: SLS 코호트 타겟 7.4%(코호트 모드 reference_anchor; 등급 비중 24% × 코호트 10.8% + 등급없음 76% × 최근 4분기 실측 OPM 중위 6.3%) + 회사 캘리브레이션 +1.6%p(최근 3분기 실측−타겟 중위) — 신규수주 매출에도 같은 타겟 — 코호트 경로 없음 → 실측 중위 고정(원 타겟 전 분기 10.8% 상수(코호트 모드 reference_anchor); 경로 변화는 등급 없는 비중의 실측 중위 6.3% 채움에서만, 추정 구간 타겟 7.37%→8.08%)
[divide]</t>
      </text>
    </comment>
    <comment ref="AD10" authorId="0" shapeId="0">
      <text>
        <t>추정: SLS 코호트 타겟 7.9%(코호트 모드 reference_anchor; 등급 비중 35% × 코호트 10.8% + 등급없음 65% × 최근 4분기 실측 OPM 중위 6.3%) + 회사 캘리브레이션 +1.6%p(최근 3분기 실측−타겟 중위) — 신규수주 매출에도 같은 타겟 — 코호트 경로 없음 → 실측 중위 고정(원 타겟 전 분기 10.8% 상수(코호트 모드 reference_anchor); 경로 변화는 등급 없는 비중의 실측 중위 6.3% 채움에서만, 추정 구간 타겟 7.37%→8.08%)
[divide]</t>
      </text>
    </comment>
    <comment ref="AF10" authorId="0" shapeId="0">
      <text>
        <t>추정: SLS 코호트 타겟 8.0%(코호트 모드 reference_anchor; 등급 비중 37% × 코호트 10.8% + 등급없음 63% × 최근 4분기 실측 OPM 중위 6.3%) + 회사 캘리브레이션 +1.6%p(최근 3분기 실측−타겟 중위) — 신규수주 매출에도 같은 타겟 — 코호트 경로 없음 → 실측 중위 고정(원 타겟 전 분기 10.8% 상수(코호트 모드 reference_anchor); 경로 변화는 등급 없는 비중의 실측 중위 6.3% 채움에서만, 추정 구간 타겟 7.37%→8.08%)
[divide]</t>
      </text>
    </comment>
    <comment ref="AG10" authorId="0" shapeId="0">
      <text>
        <t>추정: SLS 코호트 타겟 8.1%(코호트 모드 reference_anchor; 등급 비중 41% × 코호트 10.8% + 등급없음 59% × 최근 4분기 실측 OPM 중위 6.3%) + 회사 캘리브레이션 +1.6%p(최근 3분기 실측−타겟 중위) — 신규수주 매출에도 같은 타겟 — 코호트 경로 없음 → 실측 중위 고정(원 타겟 전 분기 10.8% 상수(코호트 모드 reference_anchor); 경로 변화는 등급 없는 비중의 실측 중위 6.3% 채움에서만, 추정 구간 타겟 7.37%→8.08%)
[divide]</t>
      </text>
    </comment>
    <comment ref="AH10" authorId="0" shapeId="0">
      <text>
        <t>추정: SLS 코호트 타겟 8.2%(코호트 모드 reference_anchor; 등급 비중 43% × 코호트 10.8% + 등급없음 57% × 최근 4분기 실측 OPM 중위 6.3%) + 회사 캘리브레이션 +1.6%p(최근 3분기 실측−타겟 중위) — 신규수주 매출에도 같은 타겟 — 코호트 경로 없음 → 실측 중위 고정(원 타겟 전 분기 10.8% 상수(코호트 모드 reference_anchor); 경로 변화는 등급 없는 비중의 실측 중위 6.3% 채움에서만, 추정 구간 타겟 7.37%→8.08%)
[divide]</t>
      </text>
    </comment>
    <comment ref="AI10" authorId="0" shapeId="0">
      <text>
        <t>추정: SLS 코호트 타겟 8.3%(코호트 모드 reference_anchor; 등급 비중 45% × 코호트 10.8% + 등급없음 55% × 최근 4분기 실측 OPM 중위 6.3%) + 회사 캘리브레이션 +1.6%p(최근 3분기 실측−타겟 중위) — 신규수주 매출에도 같은 타겟 — 코호트 경로 없음 → 실측 중위 고정(원 타겟 전 분기 10.8% 상수(코호트 모드 reference_anchor); 경로 변화는 등급 없는 비중의 실측 중위 6.3% 채움에서만, 추정 구간 타겟 7.37%→8.08%)
[divide]</t>
      </text>
    </comment>
    <comment ref="AK10" authorId="0" shapeId="0">
      <text>
        <t>추정: SLS 코호트 타겟 8.4%(코호트 모드 reference_anchor; 등급 비중 48% × 코호트 10.8% + 등급없음 52% × 최근 4분기 실측 OPM 중위 6.3%) + 회사 캘리브레이션 +1.6%p(최근 3분기 실측−타겟 중위) — 신규수주 매출에도 같은 타겟 — 코호트 경로 없음 → 실측 중위 고정(원 타겟 전 분기 10.8% 상수(코호트 모드 reference_anchor); 경로 변화는 등급 없는 비중의 실측 중위 6.3% 채움에서만, 추정 구간 타겟 7.37%→8.08%)
[divide]</t>
      </text>
    </comment>
    <comment ref="AL10" authorId="0" shapeId="0">
      <text>
        <t>추정: SLS 코호트 타겟 8.5%(코호트 모드 reference_anchor; 등급 비중 49% × 코호트 10.8% + 등급없음 51% × 최근 4분기 실측 OPM 중위 6.3%) + 회사 캘리브레이션 +1.6%p(최근 3분기 실측−타겟 중위) — 신규수주 매출에도 같은 타겟 — 코호트 경로 없음 → 실측 중위 고정(원 타겟 전 분기 10.8% 상수(코호트 모드 reference_anchor); 경로 변화는 등급 없는 비중의 실측 중위 6.3% 채움에서만, 추정 구간 타겟 7.37%→8.08%)
[divide]</t>
      </text>
    </comment>
    <comment ref="AM10" authorId="0" shapeId="0">
      <text>
        <t>추정: SLS 코호트 타겟 8.3%(코호트 모드 reference_anchor; 등급 비중 44% × 코호트 10.8% + 등급없음 56% × 최근 4분기 실측 OPM 중위 6.3%) + 회사 캘리브레이션 +1.6%p(최근 3분기 실측−타겟 중위) — 신규수주 매출에도 같은 타겟 — 코호트 경로 없음 → 실측 중위 고정(원 타겟 전 분기 10.8% 상수(코호트 모드 reference_anchor); 경로 변화는 등급 없는 비중의 실측 중위 6.3% 채움에서만, 추정 구간 타겟 7.37%→8.08%)
[divide]</t>
      </text>
    </comment>
    <comment ref="AN10" authorId="0" shapeId="0">
      <text>
        <t>추정: SLS 코호트 타겟 8.1%(코호트 모드 reference_anchor; 등급 비중 40% × 코호트 10.8% + 등급없음 60% × 최근 4분기 실측 OPM 중위 6.3%) + 회사 캘리브레이션 +1.6%p(최근 3분기 실측−타겟 중위) — 신규수주 매출에도 같은 타겟 — 코호트 경로 없음 → 실측 중위 고정(원 타겟 전 분기 10.8% 상수(코호트 모드 reference_anchor); 경로 변화는 등급 없는 비중의 실측 중위 6.3% 채움에서만, 추정 구간 타겟 7.37%→8.08%)
[divide]</t>
      </text>
    </comment>
    <comment ref="AC11" authorId="0" shapeId="0">
      <text>
        <t>추정: 이자손익 + 외환손익 0 + 파생상품손익 0 + 기타금융손익 +0.00억(잔차 실측 0분기 &lt; 4 → 0) (항등식); 이자손익 = 이자발생자산 2815억 × 3.23%(주석 이자수익 ÷ 평균 이자발생자산(2025Q2~2026Q2)) − 총차입금 4751억 × 7.87%(주석 이자비용 ÷ 평균 총차입금(2025Q3~2026Q2))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0분기 &lt; 4 → 0) (항등식); 이자손익 = 이자발생자산 3277억 × 3.23%(주석 이자수익 ÷ 평균 이자발생자산(2025Q2~2026Q2)) − 총차입금 4751억 × 7.87%(주석 이자비용 ÷ 평균 총차입금(2025Q3~2026Q2))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0분기 &lt; 4 → 0) (항등식); 이자손익 = 이자발생자산 3824억 × 3.23%(주석 이자수익 ÷ 평균 이자발생자산(2025Q2~2026Q2)) − 총차입금 4751억 × 7.87%(주석 이자비용 ÷ 평균 총차입금(2025Q3~2026Q2)) (연율) ÷ 4; 환율 효과는 환관련손익 행 별도
[identity]</t>
      </text>
    </comment>
    <comment ref="AG11" authorId="0" shapeId="0">
      <text>
        <t>추정: 이자손익 + 외환손익 0 + 파생상품손익 0 + 기타금융손익 +0.00억(잔차 실측 0분기 &lt; 4 → 0) (항등식); 이자손익 = 이자발생자산 4373억 × 3.23%(주석 이자수익 ÷ 평균 이자발생자산(2025Q2~2026Q2)) − 총차입금 4751억 × 7.87%(주석 이자비용 ÷ 평균 총차입금(2025Q3~2026Q2))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0분기 &lt; 4 → 0) (항등식); 이자손익 = 이자발생자산 4951억 × 3.23%(주석 이자수익 ÷ 평균 이자발생자산(2025Q2~2026Q2)) − 총차입금 4751억 × 7.87%(주석 이자비용 ÷ 평균 총차입금(2025Q3~2026Q2))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0분기 &lt; 4 → 0) (항등식); 이자손익 = 이자발생자산 5390억 × 3.23%(주석 이자수익 ÷ 평균 이자발생자산(2025Q2~2026Q2)) − 총차입금 4751억 × 7.87%(주석 이자비용 ÷ 평균 총차입금(2025Q3~2026Q2))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0분기 &lt; 4 → 0) (항등식); 이자손익 = 이자발생자산 5843억 × 3.23%(주석 이자수익 ÷ 평균 이자발생자산(2025Q2~2026Q2)) − 총차입금 4751억 × 7.87%(주석 이자비용 ÷ 평균 총차입금(2025Q3~2026Q2)) (연율) ÷ 4; 환율 효과는 환관련손익 행 별도
[identity]</t>
      </text>
    </comment>
    <comment ref="AL11" authorId="0" shapeId="0">
      <text>
        <t>추정: 이자손익 + 외환손익 0 + 파생상품손익 0 + 기타금융손익 +0.00억(잔차 실측 0분기 &lt; 4 → 0) (항등식); 이자손익 = 이자발생자산 6337억 × 3.23%(주석 이자수익 ÷ 평균 이자발생자산(2025Q2~2026Q2)) − 총차입금 4751억 × 7.87%(주석 이자비용 ÷ 평균 총차입금(2025Q3~2026Q2)) (연율) ÷ 4; 환율 효과는 환관련손익 행 별도
[identity]</t>
      </text>
    </comment>
    <comment ref="AM11" authorId="0" shapeId="0">
      <text>
        <t>추정: 이자손익 + 외환손익 0 + 파생상품손익 0 + 기타금융손익 +0.00억(잔차 실측 0분기 &lt; 4 → 0) (항등식); 이자손익 = 이자발생자산 6867억 × 3.23%(주석 이자수익 ÷ 평균 이자발생자산(2025Q2~2026Q2)) − 총차입금 4751억 × 7.87%(주석 이자비용 ÷ 평균 총차입금(2025Q3~2026Q2)) (연율) ÷ 4; 환율 효과는 환관련손익 행 별도
[identity]</t>
      </text>
    </comment>
    <comment ref="AN11" authorId="0" shapeId="0">
      <text>
        <t>추정: 이자손익 + 외환손익 0 + 파생상품손익 0 + 기타금융손익 +0.00억(잔차 실측 0분기 &lt; 4 → 0) (항등식); 이자손익 = 이자발생자산 7382억 × 3.23%(주석 이자수익 ÷ 평균 이자발생자산(2025Q2~2026Q2)) − 총차입금 4751억 × 7.87%(주석 이자비용 ÷ 평균 총차입금(2025Q3~2026Q2)) (연율) ÷ 4; 환율 효과는 환관련손익 행 별도
[identity]</t>
      </text>
    </comment>
    <comment ref="AC12" authorId="0" shapeId="0">
      <text>
        <t>추정: 이자발생자산 2815억 × 3.23%(주석 이자수익 ÷ 평균 이자발생자산(2025Q2~2026Q2)) − 총차입금 4751억 × 7.87%(주석 이자비용 ÷ 평균 총차입금(2025Q3~2026Q2)) (연율) ÷ 4
[interest]</t>
      </text>
    </comment>
    <comment ref="AD12" authorId="0" shapeId="0">
      <text>
        <t>추정: 이자발생자산 3277억 × 3.23%(주석 이자수익 ÷ 평균 이자발생자산(2025Q2~2026Q2)) − 총차입금 4751억 × 7.87%(주석 이자비용 ÷ 평균 총차입금(2025Q3~2026Q2)) (연율) ÷ 4
[interest]</t>
      </text>
    </comment>
    <comment ref="AF12" authorId="0" shapeId="0">
      <text>
        <t>추정: 이자발생자산 3824억 × 3.23%(주석 이자수익 ÷ 평균 이자발생자산(2025Q2~2026Q2)) − 총차입금 4751억 × 7.87%(주석 이자비용 ÷ 평균 총차입금(2025Q3~2026Q2)) (연율) ÷ 4
[interest]</t>
      </text>
    </comment>
    <comment ref="AG12" authorId="0" shapeId="0">
      <text>
        <t>추정: 이자발생자산 4373억 × 3.23%(주석 이자수익 ÷ 평균 이자발생자산(2025Q2~2026Q2)) − 총차입금 4751억 × 7.87%(주석 이자비용 ÷ 평균 총차입금(2025Q3~2026Q2)) (연율) ÷ 4
[interest]</t>
      </text>
    </comment>
    <comment ref="AH12" authorId="0" shapeId="0">
      <text>
        <t>추정: 이자발생자산 4951억 × 3.23%(주석 이자수익 ÷ 평균 이자발생자산(2025Q2~2026Q2)) − 총차입금 4751억 × 7.87%(주석 이자비용 ÷ 평균 총차입금(2025Q3~2026Q2)) (연율) ÷ 4
[interest]</t>
      </text>
    </comment>
    <comment ref="AI12" authorId="0" shapeId="0">
      <text>
        <t>추정: 이자발생자산 5390억 × 3.23%(주석 이자수익 ÷ 평균 이자발생자산(2025Q2~2026Q2)) − 총차입금 4751억 × 7.87%(주석 이자비용 ÷ 평균 총차입금(2025Q3~2026Q2)) (연율) ÷ 4
[interest]</t>
      </text>
    </comment>
    <comment ref="AK12" authorId="0" shapeId="0">
      <text>
        <t>추정: 이자발생자산 5843억 × 3.23%(주석 이자수익 ÷ 평균 이자발생자산(2025Q2~2026Q2)) − 총차입금 4751억 × 7.87%(주석 이자비용 ÷ 평균 총차입금(2025Q3~2026Q2)) (연율) ÷ 4
[interest]</t>
      </text>
    </comment>
    <comment ref="AL12" authorId="0" shapeId="0">
      <text>
        <t>추정: 이자발생자산 6337억 × 3.23%(주석 이자수익 ÷ 평균 이자발생자산(2025Q2~2026Q2)) − 총차입금 4751억 × 7.87%(주석 이자비용 ÷ 평균 총차입금(2025Q3~2026Q2)) (연율) ÷ 4
[interest]</t>
      </text>
    </comment>
    <comment ref="AM12" authorId="0" shapeId="0">
      <text>
        <t>추정: 이자발생자산 6867억 × 3.23%(주석 이자수익 ÷ 평균 이자발생자산(2025Q2~2026Q2)) − 총차입금 4751억 × 7.87%(주석 이자비용 ÷ 평균 총차입금(2025Q3~2026Q2)) (연율) ÷ 4
[interest]</t>
      </text>
    </comment>
    <comment ref="AN12" authorId="0" shapeId="0">
      <text>
        <t>추정: 이자발생자산 7382억 × 3.23%(주석 이자수익 ÷ 평균 이자발생자산(2025Q2~2026Q2)) − 총차입금 4751억 × 7.87%(주석 이자비용 ÷ 평균 총차입금(2025Q3~2026Q2)) (연율) ÷ 4
[interest]</t>
      </text>
    </comment>
    <comment ref="G13" authorId="0" shapeId="0">
      <text>
        <t>BS 계정 합·차: +외환차익 -외환차손 +외화환산이익 -외화환산손실</t>
      </text>
    </comment>
    <comment ref="H13" authorId="0" shapeId="0">
      <text>
        <t>BS 계정 합·차: +외환차익 -외환차손 +외화환산이익 -외화환산손실</t>
      </text>
    </comment>
    <comment ref="I13" authorId="0" shapeId="0">
      <text>
        <t>BS 계정 합·차: +외환차익 -외환차손 +외화환산이익 -외화환산손실</t>
      </text>
    </comment>
    <comment ref="J13" authorId="0" shapeId="0">
      <text>
        <t>BS 계정 합·차: +외환차익 -외환차손 +외화환산이익 -외화환산손실</t>
      </text>
    </comment>
    <comment ref="L13" authorId="0" shapeId="0">
      <text>
        <t>BS 계정 합·차: +외환차익 -외환차손 +외화환산이익 -외화환산손실</t>
      </text>
    </comment>
    <comment ref="M13" authorId="0" shapeId="0">
      <text>
        <t>BS 계정 합·차: +외환차익 -외환차손 +외화환산이익 -외화환산손실</t>
      </text>
    </comment>
    <comment ref="N13" authorId="0" shapeId="0">
      <text>
        <t>BS 계정 합·차: +외환차익 -외환차손 +외화환산이익 -외화환산손실</t>
      </text>
    </comment>
    <comment ref="O13" authorId="0" shapeId="0">
      <text>
        <t>BS 계정 합·차: +외환차익 -외환차손 +외화환산이익 -외화환산손실</t>
      </text>
    </comment>
    <comment ref="Q13" authorId="0" shapeId="0">
      <text>
        <t>BS 계정 합·차: +외환차익 -외환차손 +외화환산이익 -외화환산손실</t>
      </text>
    </comment>
    <comment ref="R13" authorId="0" shapeId="0">
      <text>
        <t>BS 계정 합·차: +외환차익 -외환차손 +외화환산이익 -외화환산손실</t>
      </text>
    </comment>
    <comment ref="S13" authorId="0" shapeId="0">
      <text>
        <t>BS 계정 합·차: +외환차익 -외환차손 +외화환산이익 -외화환산손실</t>
      </text>
    </comment>
    <comment ref="T13" authorId="0" shapeId="0">
      <text>
        <t>BS 계정 합·차: +외환차익 -외환차손 +외화환산이익 -외화환산손실</t>
      </text>
    </comment>
    <comment ref="V13" authorId="0" shapeId="0">
      <text>
        <t>BS 계정 합·차: +외환차익 -외환차손 +외화환산이익 -외화환산손실</t>
      </text>
    </comment>
    <comment ref="W13" authorId="0" shapeId="0">
      <text>
        <t>BS 계정 합·차: +외환차익 -외환차손 +외화환산이익 -외화환산손실</t>
      </text>
    </comment>
    <comment ref="X13" authorId="0" shapeId="0">
      <text>
        <t>BS 계정 합·차: +외환차익 -외환차손 +외화환산이익 -외화환산손실</t>
      </text>
    </comment>
    <comment ref="Y13" authorId="0" shapeId="0">
      <text>
        <t>BS 계정 합·차: +외환차익 -외환차손 +외화환산이익 -외화환산손실</t>
      </text>
    </comment>
    <comment ref="AA13" authorId="0" shapeId="0">
      <text>
        <t>BS 계정 합·차: +외환차익 -외환차손 +외화환산이익 -외화환산손실</t>
      </text>
    </comment>
    <comment ref="AB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C14" authorId="0" shapeId="0">
      <text>
        <t>추정: 일회성 미가정 → 0
[abs]</t>
      </text>
    </comment>
    <comment ref="AD14" authorId="0" shapeId="0">
      <text>
        <t>추정: 일회성 미가정 → 0
[abs]</t>
      </text>
    </comment>
    <comment ref="AF14" authorId="0" shapeId="0">
      <text>
        <t>추정: 일회성 미가정 → 0
[abs]</t>
      </text>
    </comment>
    <comment ref="AG14" authorId="0" shapeId="0">
      <text>
        <t>추정: 일회성 미가정 → 0
[abs]</t>
      </text>
    </comment>
    <comment ref="AH14" authorId="0" shapeId="0">
      <text>
        <t>추정: 일회성 미가정 → 0
[abs]</t>
      </text>
    </comment>
    <comment ref="AI14" authorId="0" shapeId="0">
      <text>
        <t>추정: 일회성 미가정 → 0
[abs]</t>
      </text>
    </comment>
    <comment ref="AK14" authorId="0" shapeId="0">
      <text>
        <t>추정: 일회성 미가정 → 0
[abs]</t>
      </text>
    </comment>
    <comment ref="AL14" authorId="0" shapeId="0">
      <text>
        <t>추정: 일회성 미가정 → 0
[abs]</t>
      </text>
    </comment>
    <comment ref="AM14" authorId="0" shapeId="0">
      <text>
        <t>추정: 일회성 미가정 → 0
[abs]</t>
      </text>
    </comment>
    <comment ref="AN14" authorId="0" shapeId="0">
      <text>
        <t>추정: 일회성 미가정 → 0
[abs]</t>
      </text>
    </comment>
    <comment ref="AC15" authorId="0" shapeId="0">
      <text>
        <t>추정: 영업이익 + 금융손익 + 기타영업외 + 지분법 + 환관련(항등식)
[identity]</t>
      </text>
    </comment>
    <comment ref="AD15" authorId="0" shapeId="0">
      <text>
        <t>추정: 영업이익 + 금융손익 + 기타영업외 + 지분법 + 환관련(항등식)
[identity]</t>
      </text>
    </comment>
    <comment ref="AF15" authorId="0" shapeId="0">
      <text>
        <t>추정: 영업이익 + 금융손익 + 기타영업외 + 지분법 + 환관련(항등식)
[identity]</t>
      </text>
    </comment>
    <comment ref="AG15" authorId="0" shapeId="0">
      <text>
        <t>추정: 영업이익 + 금융손익 + 기타영업외 + 지분법 + 환관련(항등식)
[identity]</t>
      </text>
    </comment>
    <comment ref="AH15" authorId="0" shapeId="0">
      <text>
        <t>추정: 영업이익 + 금융손익 + 기타영업외 + 지분법 + 환관련(항등식)
[identity]</t>
      </text>
    </comment>
    <comment ref="AI15" authorId="0" shapeId="0">
      <text>
        <t>추정: 영업이익 + 금융손익 + 기타영업외 + 지분법 + 환관련(항등식)
[identity]</t>
      </text>
    </comment>
    <comment ref="AK15" authorId="0" shapeId="0">
      <text>
        <t>추정: 영업이익 + 금융손익 + 기타영업외 + 지분법 + 환관련(항등식)
[identity]</t>
      </text>
    </comment>
    <comment ref="AL15" authorId="0" shapeId="0">
      <text>
        <t>추정: 영업이익 + 금융손익 + 기타영업외 + 지분법 + 환관련(항등식)
[identity]</t>
      </text>
    </comment>
    <comment ref="AM15" authorId="0" shapeId="0">
      <text>
        <t>추정: 영업이익 + 금융손익 + 기타영업외 + 지분법 + 환관련(항등식)
[identity]</t>
      </text>
    </comment>
    <comment ref="AN15" authorId="0" shapeId="0">
      <text>
        <t>추정: 영업이익 + 금융손익 + 기타영업외 + 지분법 + 환관련(항등식)
[identity]</t>
      </text>
    </comment>
    <comment ref="AC16" authorId="0" shapeId="0">
      <text>
        <t>추정: max(세전, 0) × 세율 0.5%(이월결손 경로 유지 — 최근 8분기 중 세전 &gt; 0 인 6분기(2024Q3~2026Q2) 법인세/세전 중위 0.5%·최근 4분기 중위 0.1% 가 모두 5% 미만 → 이월결손 공제 중으로 보고 0.5% 를 2026Q4 까지 유지, 2027Q1~2028Q4 선형 램프로 법정세율 근사 22% 수렴)
[tax]</t>
      </text>
    </comment>
    <comment ref="AD16" authorId="0" shapeId="0">
      <text>
        <t>추정: max(세전, 0) × 세율 0.5%(이월결손 경로 유지 — 최근 8분기 중 세전 &gt; 0 인 6분기(2024Q3~2026Q2) 법인세/세전 중위 0.5%·최근 4분기 중위 0.1% 가 모두 5% 미만 → 이월결손 공제 중으로 보고 0.5% 를 2026Q4 까지 유지, 2027Q1~2028Q4 선형 램프로 법정세율 근사 22% 수렴)
[tax]</t>
      </text>
    </comment>
    <comment ref="AF16" authorId="0" shapeId="0">
      <text>
        <t>추정: max(세전, 0) × 세율 3.1%(이월결손 경로 램프 1/8 — 최근 8분기 중 세전 &gt; 0 인 6분기(2024Q3~2026Q2) 법인세/세전 중위 0.5%·최근 4분기 중위 0.1% 가 모두 5% 미만 → 이월결손 공제 중으로 보고 0.5% 를 2026Q4 까지 유지, 2027Q1~2028Q4 선형 램프로 법정세율 근사 22% 수렴)
[tax]</t>
      </text>
    </comment>
    <comment ref="AG16" authorId="0" shapeId="0">
      <text>
        <t>추정: max(세전, 0) × 세율 5.8%(이월결손 경로 램프 2/8 — 최근 8분기 중 세전 &gt; 0 인 6분기(2024Q3~2026Q2) 법인세/세전 중위 0.5%·최근 4분기 중위 0.1% 가 모두 5% 미만 → 이월결손 공제 중으로 보고 0.5% 를 2026Q4 까지 유지, 2027Q1~2028Q4 선형 램프로 법정세율 근사 22% 수렴)
[tax]</t>
      </text>
    </comment>
    <comment ref="AH16" authorId="0" shapeId="0">
      <text>
        <t>추정: max(세전, 0) × 세율 8.5%(이월결손 경로 램프 3/8 — 최근 8분기 중 세전 &gt; 0 인 6분기(2024Q3~2026Q2) 법인세/세전 중위 0.5%·최근 4분기 중위 0.1% 가 모두 5% 미만 → 이월결손 공제 중으로 보고 0.5% 를 2026Q4 까지 유지, 2027Q1~2028Q4 선형 램프로 법정세율 근사 22% 수렴)
[tax]</t>
      </text>
    </comment>
    <comment ref="AI16" authorId="0" shapeId="0">
      <text>
        <t>추정: max(세전, 0) × 세율 11.2%(이월결손 경로 램프 4/8 — 최근 8분기 중 세전 &gt; 0 인 6분기(2024Q3~2026Q2) 법인세/세전 중위 0.5%·최근 4분기 중위 0.1% 가 모두 5% 미만 → 이월결손 공제 중으로 보고 0.5% 를 2026Q4 까지 유지, 2027Q1~2028Q4 선형 램프로 법정세율 근사 22% 수렴)
[tax]</t>
      </text>
    </comment>
    <comment ref="AK16" authorId="0" shapeId="0">
      <text>
        <t>추정: max(세전, 0) × 세율 13.9%(이월결손 경로 램프 5/8 — 최근 8분기 중 세전 &gt; 0 인 6분기(2024Q3~2026Q2) 법인세/세전 중위 0.5%·최근 4분기 중위 0.1% 가 모두 5% 미만 → 이월결손 공제 중으로 보고 0.5% 를 2026Q4 까지 유지, 2027Q1~2028Q4 선형 램프로 법정세율 근사 22% 수렴)
[tax]</t>
      </text>
    </comment>
    <comment ref="AL16" authorId="0" shapeId="0">
      <text>
        <t>추정: max(세전, 0) × 세율 16.6%(이월결손 경로 램프 6/8 — 최근 8분기 중 세전 &gt; 0 인 6분기(2024Q3~2026Q2) 법인세/세전 중위 0.5%·최근 4분기 중위 0.1% 가 모두 5% 미만 → 이월결손 공제 중으로 보고 0.5% 를 2026Q4 까지 유지, 2027Q1~2028Q4 선형 램프로 법정세율 근사 22% 수렴)
[tax]</t>
      </text>
    </comment>
    <comment ref="AM16" authorId="0" shapeId="0">
      <text>
        <t>추정: max(세전, 0) × 세율 19.3%(이월결손 경로 램프 7/8 — 최근 8분기 중 세전 &gt; 0 인 6분기(2024Q3~2026Q2) 법인세/세전 중위 0.5%·최근 4분기 중위 0.1% 가 모두 5% 미만 → 이월결손 공제 중으로 보고 0.5% 를 2026Q4 까지 유지, 2027Q1~2028Q4 선형 램프로 법정세율 근사 22% 수렴)
[tax]</t>
      </text>
    </comment>
    <comment ref="AN16" authorId="0" shapeId="0">
      <text>
        <t>추정: max(세전, 0) × 세율 22.0%(이월결손 경로 램프 8/8 — 최근 8분기 중 세전 &gt; 0 인 6분기(2024Q3~2026Q2) 법인세/세전 중위 0.5%·최근 4분기 중위 0.1% 가 모두 5% 미만 → 이월결손 공제 중으로 보고 0.5% 를 2026Q4 까지 유지, 2027Q1~2028Q4 선형 램프로 법정세율 근사 22% 수렴)
[tax]</t>
      </text>
    </comment>
    <comment ref="AC17" authorId="0" shapeId="0">
      <text>
        <t>추정: 세전이익 − 법인세비용(항등식)
[identity]</t>
      </text>
    </comment>
    <comment ref="AD17" authorId="0" shapeId="0">
      <text>
        <t>추정: 세전이익 − 법인세비용(항등식)
[identity]</t>
      </text>
    </comment>
    <comment ref="AF17" authorId="0" shapeId="0">
      <text>
        <t>추정: 세전이익 − 법인세비용(항등식)
[identity]</t>
      </text>
    </comment>
    <comment ref="AG17" authorId="0" shapeId="0">
      <text>
        <t>추정: 세전이익 − 법인세비용(항등식)
[identity]</t>
      </text>
    </comment>
    <comment ref="AH17" authorId="0" shapeId="0">
      <text>
        <t>추정: 세전이익 − 법인세비용(항등식)
[identity]</t>
      </text>
    </comment>
    <comment ref="AI17" authorId="0" shapeId="0">
      <text>
        <t>추정: 세전이익 − 법인세비용(항등식)
[identity]</t>
      </text>
    </comment>
    <comment ref="AK17" authorId="0" shapeId="0">
      <text>
        <t>추정: 세전이익 − 법인세비용(항등식)
[identity]</t>
      </text>
    </comment>
    <comment ref="AL17" authorId="0" shapeId="0">
      <text>
        <t>추정: 세전이익 − 법인세비용(항등식)
[identity]</t>
      </text>
    </comment>
    <comment ref="AM17" authorId="0" shapeId="0">
      <text>
        <t>추정: 세전이익 − 법인세비용(항등식)
[identity]</t>
      </text>
    </comment>
    <comment ref="AN17" authorId="0" shapeId="0">
      <text>
        <t>추정: 세전이익 − 법인세비용(항등식)
[identity]</t>
      </text>
    </comment>
    <comment ref="AC18" authorId="0" shapeId="0">
      <text>
        <t>추정: 당기순이익 × (1 − 비지배 비중 0.0%, 최근 8분기 실측)
[ratio]</t>
      </text>
    </comment>
    <comment ref="AD18" authorId="0" shapeId="0">
      <text>
        <t>추정: 당기순이익 × (1 − 비지배 비중 0.0%, 최근 8분기 실측)
[ratio]</t>
      </text>
    </comment>
    <comment ref="AF18" authorId="0" shapeId="0">
      <text>
        <t>추정: 당기순이익 × (1 − 비지배 비중 0.0%, 최근 8분기 실측)
[ratio]</t>
      </text>
    </comment>
    <comment ref="AG18" authorId="0" shapeId="0">
      <text>
        <t>추정: 당기순이익 × (1 − 비지배 비중 0.0%, 최근 8분기 실측)
[ratio]</t>
      </text>
    </comment>
    <comment ref="AH18" authorId="0" shapeId="0">
      <text>
        <t>추정: 당기순이익 × (1 − 비지배 비중 0.0%, 최근 8분기 실측)
[ratio]</t>
      </text>
    </comment>
    <comment ref="AI18" authorId="0" shapeId="0">
      <text>
        <t>추정: 당기순이익 × (1 − 비지배 비중 0.0%, 최근 8분기 실측)
[ratio]</t>
      </text>
    </comment>
    <comment ref="AK18" authorId="0" shapeId="0">
      <text>
        <t>추정: 당기순이익 × (1 − 비지배 비중 0.0%, 최근 8분기 실측)
[ratio]</t>
      </text>
    </comment>
    <comment ref="AL18" authorId="0" shapeId="0">
      <text>
        <t>추정: 당기순이익 × (1 − 비지배 비중 0.0%, 최근 8분기 실측)
[ratio]</t>
      </text>
    </comment>
    <comment ref="AM18" authorId="0" shapeId="0">
      <text>
        <t>추정: 당기순이익 × (1 − 비지배 비중 0.0%, 최근 8분기 실측)
[ratio]</t>
      </text>
    </comment>
    <comment ref="AN18" authorId="0" shapeId="0">
      <text>
        <t>추정: 당기순이익 × (1 − 비지배 비중 0.0%, 최근 8분기 실측)
[ratio]</t>
      </text>
    </comment>
    <comment ref="AC20" authorId="0" shapeId="0">
      <text>
        <t>추정: 부채총계 + 자본총계(항등식)
[identity]</t>
      </text>
    </comment>
    <comment ref="AD20" authorId="0" shapeId="0">
      <text>
        <t>추정: 부채총계 + 자본총계(항등식)
[identity]</t>
      </text>
    </comment>
    <comment ref="AF20" authorId="0" shapeId="0">
      <text>
        <t>추정: 부채총계 + 자본총계(항등식)
[identity]</t>
      </text>
    </comment>
    <comment ref="AG20" authorId="0" shapeId="0">
      <text>
        <t>추정: 부채총계 + 자본총계(항등식)
[identity]</t>
      </text>
    </comment>
    <comment ref="AH20" authorId="0" shapeId="0">
      <text>
        <t>추정: 부채총계 + 자본총계(항등식)
[identity]</t>
      </text>
    </comment>
    <comment ref="AI20" authorId="0" shapeId="0">
      <text>
        <t>추정: 부채총계 + 자본총계(항등식)
[identity]</t>
      </text>
    </comment>
    <comment ref="AK20" authorId="0" shapeId="0">
      <text>
        <t>추정: 부채총계 + 자본총계(항등식)
[identity]</t>
      </text>
    </comment>
    <comment ref="AL20" authorId="0" shapeId="0">
      <text>
        <t>추정: 부채총계 + 자본총계(항등식)
[identity]</t>
      </text>
    </comment>
    <comment ref="AM20" authorId="0" shapeId="0">
      <text>
        <t>추정: 부채총계 + 자본총계(항등식)
[identity]</t>
      </text>
    </comment>
    <comment ref="AN20" authorId="0" shapeId="0">
      <text>
        <t>추정: 부채총계 + 자본총계(항등식)
[identity]</t>
      </text>
    </comment>
    <comment ref="AC21" authorId="0" shapeId="0">
      <text>
        <t>추정: 마지막 실적 유지(가정)
[qoq]</t>
      </text>
    </comment>
    <comment ref="AD21" authorId="0" shapeId="0">
      <text>
        <t>추정: 마지막 실적 유지(가정)
[qoq]</t>
      </text>
    </comment>
    <comment ref="AF21" authorId="0" shapeId="0">
      <text>
        <t>추정: 마지막 실적 유지(가정)
[qoq]</t>
      </text>
    </comment>
    <comment ref="AG21" authorId="0" shapeId="0">
      <text>
        <t>추정: 마지막 실적 유지(가정)
[qoq]</t>
      </text>
    </comment>
    <comment ref="AH21" authorId="0" shapeId="0">
      <text>
        <t>추정: 마지막 실적 유지(가정)
[qoq]</t>
      </text>
    </comment>
    <comment ref="AI21" authorId="0" shapeId="0">
      <text>
        <t>추정: 마지막 실적 유지(가정)
[qoq]</t>
      </text>
    </comment>
    <comment ref="AK21" authorId="0" shapeId="0">
      <text>
        <t>추정: 마지막 실적 유지(가정)
[qoq]</t>
      </text>
    </comment>
    <comment ref="AL21" authorId="0" shapeId="0">
      <text>
        <t>추정: 마지막 실적 유지(가정)
[qoq]</t>
      </text>
    </comment>
    <comment ref="AM21" authorId="0" shapeId="0">
      <text>
        <t>추정: 마지막 실적 유지(가정)
[qoq]</t>
      </text>
    </comment>
    <comment ref="AN21" authorId="0" shapeId="0">
      <text>
        <t>추정: 마지막 실적 유지(가정)
[qoq]</t>
      </text>
    </comment>
    <comment ref="AC22" authorId="0" shapeId="0">
      <text>
        <t>추정: 전분기 + 당기순이익 − 배당(Q2 지급 가정)
[roll]</t>
      </text>
    </comment>
    <comment ref="AD22" authorId="0" shapeId="0">
      <text>
        <t>추정: 전분기 + 당기순이익 − 배당(Q2 지급 가정)
[roll]</t>
      </text>
    </comment>
    <comment ref="AF22" authorId="0" shapeId="0">
      <text>
        <t>추정: 전분기 + 당기순이익 − 배당(Q2 지급 가정)
[roll]</t>
      </text>
    </comment>
    <comment ref="AG22" authorId="0" shapeId="0">
      <text>
        <t>추정: 전분기 + 당기순이익 − 배당(Q2 지급 가정)
[roll]</t>
      </text>
    </comment>
    <comment ref="AH22" authorId="0" shapeId="0">
      <text>
        <t>추정: 전분기 + 당기순이익 − 배당(Q2 지급 가정)
[roll]</t>
      </text>
    </comment>
    <comment ref="AI22" authorId="0" shapeId="0">
      <text>
        <t>추정: 전분기 + 당기순이익 − 배당(Q2 지급 가정)
[roll]</t>
      </text>
    </comment>
    <comment ref="AK22" authorId="0" shapeId="0">
      <text>
        <t>추정: 전분기 + 당기순이익 − 배당(Q2 지급 가정)
[roll]</t>
      </text>
    </comment>
    <comment ref="AL22" authorId="0" shapeId="0">
      <text>
        <t>추정: 전분기 + 당기순이익 − 배당(Q2 지급 가정)
[roll]</t>
      </text>
    </comment>
    <comment ref="AM22" authorId="0" shapeId="0">
      <text>
        <t>추정: 전분기 + 당기순이익 − 배당(Q2 지급 가정)
[roll]</t>
      </text>
    </comment>
    <comment ref="AN22" authorId="0" shapeId="0">
      <text>
        <t>추정: 전분기 + 당기순이익 − 배당(Q2 지급 가정)
[roll]</t>
      </text>
    </comment>
    <comment ref="AC23" authorId="0" shapeId="0">
      <text>
        <t>추정: 전분기 + 지배주주순이익 − 배당
[roll]</t>
      </text>
    </comment>
    <comment ref="AD23" authorId="0" shapeId="0">
      <text>
        <t>추정: 전분기 + 지배주주순이익 − 배당
[roll]</t>
      </text>
    </comment>
    <comment ref="AF23" authorId="0" shapeId="0">
      <text>
        <t>추정: 전분기 + 지배주주순이익 − 배당
[roll]</t>
      </text>
    </comment>
    <comment ref="AG23" authorId="0" shapeId="0">
      <text>
        <t>추정: 전분기 + 지배주주순이익 − 배당
[roll]</t>
      </text>
    </comment>
    <comment ref="AH23" authorId="0" shapeId="0">
      <text>
        <t>추정: 전분기 + 지배주주순이익 − 배당
[roll]</t>
      </text>
    </comment>
    <comment ref="AI23" authorId="0" shapeId="0">
      <text>
        <t>추정: 전분기 + 지배주주순이익 − 배당
[roll]</t>
      </text>
    </comment>
    <comment ref="AK23" authorId="0" shapeId="0">
      <text>
        <t>추정: 전분기 + 지배주주순이익 − 배당
[roll]</t>
      </text>
    </comment>
    <comment ref="AL23" authorId="0" shapeId="0">
      <text>
        <t>추정: 전분기 + 지배주주순이익 − 배당
[roll]</t>
      </text>
    </comment>
    <comment ref="AM23" authorId="0" shapeId="0">
      <text>
        <t>추정: 전분기 + 지배주주순이익 − 배당
[roll]</t>
      </text>
    </comment>
    <comment ref="AN23" authorId="0" shapeId="0">
      <text>
        <t>추정: 전분기 + 지배주주순이익 − 배당
[roll]</t>
      </text>
    </comment>
    <comment ref="AC24" authorId="0" shapeId="0">
      <text>
        <t>추정: 마지막 실적 유지(가정)
[qoq]</t>
      </text>
    </comment>
    <comment ref="AD24" authorId="0" shapeId="0">
      <text>
        <t>추정: 마지막 실적 유지(가정)
[qoq]</t>
      </text>
    </comment>
    <comment ref="AF24" authorId="0" shapeId="0">
      <text>
        <t>추정: 마지막 실적 유지(가정)
[qoq]</t>
      </text>
    </comment>
    <comment ref="AG24" authorId="0" shapeId="0">
      <text>
        <t>추정: 마지막 실적 유지(가정)
[qoq]</t>
      </text>
    </comment>
    <comment ref="AH24" authorId="0" shapeId="0">
      <text>
        <t>추정: 마지막 실적 유지(가정)
[qoq]</t>
      </text>
    </comment>
    <comment ref="AI24" authorId="0" shapeId="0">
      <text>
        <t>추정: 마지막 실적 유지(가정)
[qoq]</t>
      </text>
    </comment>
    <comment ref="AK24" authorId="0" shapeId="0">
      <text>
        <t>추정: 마지막 실적 유지(가정)
[qoq]</t>
      </text>
    </comment>
    <comment ref="AL24" authorId="0" shapeId="0">
      <text>
        <t>추정: 마지막 실적 유지(가정)
[qoq]</t>
      </text>
    </comment>
    <comment ref="AM24" authorId="0" shapeId="0">
      <text>
        <t>추정: 마지막 실적 유지(가정)
[qoq]</t>
      </text>
    </comment>
    <comment ref="AN24" authorId="0" shapeId="0">
      <text>
        <t>추정: 마지막 실적 유지(가정)
[qoq]</t>
      </text>
    </comment>
    <comment ref="AC25" authorId="0" shapeId="0">
      <text>
        <t>추정: 전분기 − FCF 근사[순이익 − 배당(감가상각비 없음 → CAPEX≈감가 가정, CAPEX 중위 32억은 행에만)] (운전자본 불변·총차입금 유지 가정 → 변동은 전부 현금)
[qoq]</t>
      </text>
    </comment>
    <comment ref="AD25" authorId="0" shapeId="0">
      <text>
        <t>추정: 전분기 − FCF 근사[순이익 − 배당(감가상각비 없음 → CAPEX≈감가 가정, CAPEX 중위 32억은 행에만)] (운전자본 불변·총차입금 유지 가정 → 변동은 전부 현금)
[qoq]</t>
      </text>
    </comment>
    <comment ref="AF25" authorId="0" shapeId="0">
      <text>
        <t>추정: 전분기 − FCF 근사[순이익 − 배당(감가상각비 없음 → CAPEX≈감가 가정, CAPEX 중위 32억은 행에만)] (운전자본 불변·총차입금 유지 가정 → 변동은 전부 현금)
[qoq]</t>
      </text>
    </comment>
    <comment ref="AG25" authorId="0" shapeId="0">
      <text>
        <t>추정: 전분기 − FCF 근사[순이익 − 배당(감가상각비 없음 → CAPEX≈감가 가정, CAPEX 중위 32억은 행에만)] (운전자본 불변·총차입금 유지 가정 → 변동은 전부 현금)
[qoq]</t>
      </text>
    </comment>
    <comment ref="AH25" authorId="0" shapeId="0">
      <text>
        <t>추정: 전분기 − FCF 근사[순이익 − 배당(감가상각비 없음 → CAPEX≈감가 가정, CAPEX 중위 32억은 행에만)] (운전자본 불변·총차입금 유지 가정 → 변동은 전부 현금)
[qoq]</t>
      </text>
    </comment>
    <comment ref="AI25" authorId="0" shapeId="0">
      <text>
        <t>추정: 전분기 − FCF 근사[순이익 − 배당(감가상각비 없음 → CAPEX≈감가 가정, CAPEX 중위 32억은 행에만)] (운전자본 불변·총차입금 유지 가정 → 변동은 전부 현금)
[qoq]</t>
      </text>
    </comment>
    <comment ref="AK25" authorId="0" shapeId="0">
      <text>
        <t>추정: 전분기 − FCF 근사[순이익 − 배당(감가상각비 없음 → CAPEX≈감가 가정, CAPEX 중위 32억은 행에만)] (운전자본 불변·총차입금 유지 가정 → 변동은 전부 현금)
[qoq]</t>
      </text>
    </comment>
    <comment ref="AL25" authorId="0" shapeId="0">
      <text>
        <t>추정: 전분기 − FCF 근사[순이익 − 배당(감가상각비 없음 → CAPEX≈감가 가정, CAPEX 중위 32억은 행에만)] (운전자본 불변·총차입금 유지 가정 → 변동은 전부 현금)
[qoq]</t>
      </text>
    </comment>
    <comment ref="AM25" authorId="0" shapeId="0">
      <text>
        <t>추정: 전분기 − FCF 근사[순이익 − 배당(감가상각비 없음 → CAPEX≈감가 가정, CAPEX 중위 32억은 행에만)] (운전자본 불변·총차입금 유지 가정 → 변동은 전부 현금)
[qoq]</t>
      </text>
    </comment>
    <comment ref="AN25" authorId="0" shapeId="0">
      <text>
        <t>추정: 전분기 − FCF 근사[순이익 − 배당(감가상각비 없음 → CAPEX≈감가 가정, CAPEX 중위 32억은 행에만)] (운전자본 불변·총차입금 유지 가정 → 변동은 전부 현금)
[qoq]</t>
      </text>
    </comment>
    <comment ref="AC26" authorId="0" shapeId="0">
      <text>
        <t>추정: 전분기 + FCF 근사 — 순차입금 롤과 같은 가정
[qoq]</t>
      </text>
    </comment>
    <comment ref="AD26" authorId="0" shapeId="0">
      <text>
        <t>추정: 전분기 + FCF 근사 — 순차입금 롤과 같은 가정
[qoq]</t>
      </text>
    </comment>
    <comment ref="AF26" authorId="0" shapeId="0">
      <text>
        <t>추정: 전분기 + FCF 근사 — 순차입금 롤과 같은 가정
[qoq]</t>
      </text>
    </comment>
    <comment ref="AG26" authorId="0" shapeId="0">
      <text>
        <t>추정: 전분기 + FCF 근사 — 순차입금 롤과 같은 가정
[qoq]</t>
      </text>
    </comment>
    <comment ref="AH26" authorId="0" shapeId="0">
      <text>
        <t>추정: 전분기 + FCF 근사 — 순차입금 롤과 같은 가정
[qoq]</t>
      </text>
    </comment>
    <comment ref="AI26" authorId="0" shapeId="0">
      <text>
        <t>추정: 전분기 + FCF 근사 — 순차입금 롤과 같은 가정
[qoq]</t>
      </text>
    </comment>
    <comment ref="AK26" authorId="0" shapeId="0">
      <text>
        <t>추정: 전분기 + FCF 근사 — 순차입금 롤과 같은 가정
[qoq]</t>
      </text>
    </comment>
    <comment ref="AL26" authorId="0" shapeId="0">
      <text>
        <t>추정: 전분기 + FCF 근사 — 순차입금 롤과 같은 가정
[qoq]</t>
      </text>
    </comment>
    <comment ref="AM26" authorId="0" shapeId="0">
      <text>
        <t>추정: 전분기 + FCF 근사 — 순차입금 롤과 같은 가정
[qoq]</t>
      </text>
    </comment>
    <comment ref="AN26" authorId="0" shapeId="0">
      <text>
        <t>추정: 전분기 + FCF 근사 — 순차입금 롤과 같은 가정
[qoq]</t>
      </text>
    </comment>
    <comment ref="AC28" authorId="0" shapeId="0">
      <text>
        <t>추정: 최근 4분기(2025Q3~2026Q2) CAPEX 중위 유지 — 순차입금 롤에 미반영(감가상각비 없음 → CAPEX≈감가 가정)
[yoy]</t>
      </text>
    </comment>
    <comment ref="AD28" authorId="0" shapeId="0">
      <text>
        <t>추정: 최근 4분기(2025Q3~2026Q2) CAPEX 중위 유지 — 순차입금 롤에 미반영(감가상각비 없음 → CAPEX≈감가 가정)
[yoy]</t>
      </text>
    </comment>
    <comment ref="AF28" authorId="0" shapeId="0">
      <text>
        <t>추정: 최근 4분기(2025Q3~2026Q2) CAPEX 중위 유지 — 순차입금 롤에 미반영(감가상각비 없음 → CAPEX≈감가 가정)
[yoy]</t>
      </text>
    </comment>
    <comment ref="AG28" authorId="0" shapeId="0">
      <text>
        <t>추정: 최근 4분기(2025Q3~2026Q2) CAPEX 중위 유지 — 순차입금 롤에 미반영(감가상각비 없음 → CAPEX≈감가 가정)
[yoy]</t>
      </text>
    </comment>
    <comment ref="AH28" authorId="0" shapeId="0">
      <text>
        <t>추정: 최근 4분기(2025Q3~2026Q2) CAPEX 중위 유지 — 순차입금 롤에 미반영(감가상각비 없음 → CAPEX≈감가 가정)
[yoy]</t>
      </text>
    </comment>
    <comment ref="AI28" authorId="0" shapeId="0">
      <text>
        <t>추정: 최근 4분기(2025Q3~2026Q2) CAPEX 중위 유지 — 순차입금 롤에 미반영(감가상각비 없음 → CAPEX≈감가 가정)
[yoy]</t>
      </text>
    </comment>
    <comment ref="AK28" authorId="0" shapeId="0">
      <text>
        <t>추정: 최근 4분기(2025Q3~2026Q2) CAPEX 중위 유지 — 순차입금 롤에 미반영(감가상각비 없음 → CAPEX≈감가 가정)
[yoy]</t>
      </text>
    </comment>
    <comment ref="AL28" authorId="0" shapeId="0">
      <text>
        <t>추정: 최근 4분기(2025Q3~2026Q2) CAPEX 중위 유지 — 순차입금 롤에 미반영(감가상각비 없음 → CAPEX≈감가 가정)
[yoy]</t>
      </text>
    </comment>
    <comment ref="AM28" authorId="0" shapeId="0">
      <text>
        <t>추정: 최근 4분기(2025Q3~2026Q2) CAPEX 중위 유지 — 순차입금 롤에 미반영(감가상각비 없음 → CAPEX≈감가 가정)
[yoy]</t>
      </text>
    </comment>
    <comment ref="AN28" authorId="0" shapeId="0">
      <text>
        <t>추정: 최근 4분기(2025Q3~2026Q2) CAPEX 중위 유지 — 순차입금 롤에 미반영(감가상각비 없음 → CAPEX≈감가 가정)
[yoy]</t>
      </text>
    </comment>
    <comment ref="E30" authorId="0" shapeId="0">
      <text>
        <t>실측(계정 매핑 없음(파생·부문·시세 행) — 모델값 직접) — fin.shares.common_outstanding</t>
      </text>
    </comment>
    <comment ref="G30" authorId="0" shapeId="0">
      <text>
        <t>실측(계정 매핑 없음(파생·부문·시세 행) — 모델값 직접) — fin.shares.common_outstanding</t>
      </text>
    </comment>
    <comment ref="H30" authorId="0" shapeId="0">
      <text>
        <t>실측(계정 매핑 없음(파생·부문·시세 행) — 모델값 직접) — fin.shares.common_outstanding</t>
      </text>
    </comment>
    <comment ref="I30" authorId="0" shapeId="0">
      <text>
        <t>실측(계정 매핑 없음(파생·부문·시세 행) — 모델값 직접) — fin.shares.common_outstanding</t>
      </text>
    </comment>
    <comment ref="J30" authorId="0" shapeId="0">
      <text>
        <t>실측(계정 매핑 없음(파생·부문·시세 행) — 모델값 직접) — fin.shares.common_outstanding</t>
      </text>
    </comment>
    <comment ref="L30" authorId="0" shapeId="0">
      <text>
        <t>실측(계정 매핑 없음(파생·부문·시세 행) — 모델값 직접) — fin.shares.common_outstanding</t>
      </text>
    </comment>
    <comment ref="M30" authorId="0" shapeId="0">
      <text>
        <t>실측(계정 매핑 없음(파생·부문·시세 행) — 모델값 직접) — fin.shares.common_outstanding</t>
      </text>
    </comment>
    <comment ref="N30" authorId="0" shapeId="0">
      <text>
        <t>실측(계정 매핑 없음(파생·부문·시세 행) — 모델값 직접) — fin.shares.common_outstanding</t>
      </text>
    </comment>
    <comment ref="O30" authorId="0" shapeId="0">
      <text>
        <t>실측(계정 매핑 없음(파생·부문·시세 행) — 모델값 직접) — fin.shares.common_outstanding</t>
      </text>
    </comment>
    <comment ref="Q30" authorId="0" shapeId="0">
      <text>
        <t>실측(계정 매핑 없음(파생·부문·시세 행) — 모델값 직접) — fin.shares.common_outstanding</t>
      </text>
    </comment>
    <comment ref="R30" authorId="0" shapeId="0">
      <text>
        <t>실측(계정 매핑 없음(파생·부문·시세 행) — 모델값 직접) — fin.shares.common_outstanding</t>
      </text>
    </comment>
    <comment ref="S30" authorId="0" shapeId="0">
      <text>
        <t>실측(계정 매핑 없음(파생·부문·시세 행) — 모델값 직접) — fin.shares.common_outstanding</t>
      </text>
    </comment>
    <comment ref="T30" authorId="0" shapeId="0">
      <text>
        <t>실측(계정 매핑 없음(파생·부문·시세 행) — 모델값 직접) — fin.shares.common_outstanding</t>
      </text>
    </comment>
    <comment ref="V30" authorId="0" shapeId="0">
      <text>
        <t>실측(계정 매핑 없음(파생·부문·시세 행) — 모델값 직접) — fin.shares.common_outstanding</t>
      </text>
    </comment>
    <comment ref="W30" authorId="0" shapeId="0">
      <text>
        <t>실측(계정 매핑 없음(파생·부문·시세 행) — 모델값 직접) — fin.shares.common_outstanding</t>
      </text>
    </comment>
    <comment ref="X30" authorId="0" shapeId="0">
      <text>
        <t>실측(계정 매핑 없음(파생·부문·시세 행) — 모델값 직접) — fin.shares.common_outstanding</t>
      </text>
    </comment>
    <comment ref="Y30" authorId="0" shapeId="0">
      <text>
        <t>실측(계정 매핑 없음(파생·부문·시세 행) — 모델값 직접) — fin.shares.common_outstanding</t>
      </text>
    </comment>
    <comment ref="AA30" authorId="0" shapeId="0">
      <text>
        <t>실측(계정 매핑 없음(파생·부문·시세 행) — 모델값 직접) — fin.shares.common_outstanding</t>
      </text>
    </comment>
    <comment ref="AB30" authorId="0" shapeId="0">
      <text>
        <t>실측(계정 매핑 없음(파생·부문·시세 행) — 모델값 직접) — fin.shares.common_outstanding</t>
      </text>
    </comment>
    <comment ref="AC30" authorId="0" shapeId="0">
      <text>
        <t>추정: 유통주식수 유지 — fin.shares.common_outstanding(2026Q2)
[qoq]</t>
      </text>
    </comment>
    <comment ref="AD30" authorId="0" shapeId="0">
      <text>
        <t>추정: 유통주식수 유지 — fin.shares.common_outstanding(2026Q2)
[qoq]</t>
      </text>
    </comment>
    <comment ref="AF30" authorId="0" shapeId="0">
      <text>
        <t>추정: 유통주식수 유지 — fin.shares.common_outstanding(2026Q2)
[qoq]</t>
      </text>
    </comment>
    <comment ref="AG30" authorId="0" shapeId="0">
      <text>
        <t>추정: 유통주식수 유지 — fin.shares.common_outstanding(2026Q2)
[qoq]</t>
      </text>
    </comment>
    <comment ref="AH30" authorId="0" shapeId="0">
      <text>
        <t>추정: 유통주식수 유지 — fin.shares.common_outstanding(2026Q2)
[qoq]</t>
      </text>
    </comment>
    <comment ref="AI30" authorId="0" shapeId="0">
      <text>
        <t>추정: 유통주식수 유지 — fin.shares.common_outstanding(2026Q2)
[qoq]</t>
      </text>
    </comment>
    <comment ref="AK30" authorId="0" shapeId="0">
      <text>
        <t>추정: 유통주식수 유지 — fin.shares.common_outstanding(2026Q2)
[qoq]</t>
      </text>
    </comment>
    <comment ref="AL30" authorId="0" shapeId="0">
      <text>
        <t>추정: 유통주식수 유지 — fin.shares.common_outstanding(2026Q2)
[qoq]</t>
      </text>
    </comment>
    <comment ref="AM30" authorId="0" shapeId="0">
      <text>
        <t>추정: 유통주식수 유지 — fin.shares.common_outstanding(2026Q2)
[qoq]</t>
      </text>
    </comment>
    <comment ref="AN30" authorId="0" shapeId="0">
      <text>
        <t>추정: 유통주식수 유지 — fin.shares.common_outstanding(2026Q2)
[qoq]</t>
      </text>
    </comment>
    <comment ref="AC31" authorId="0" shapeId="0">
      <text>
        <t>추정: 지배주주순이익 ÷ 유통주식수
[per_share]</t>
      </text>
    </comment>
    <comment ref="AD31" authorId="0" shapeId="0">
      <text>
        <t>추정: 지배주주순이익 ÷ 유통주식수
[per_share]</t>
      </text>
    </comment>
    <comment ref="AF31" authorId="0" shapeId="0">
      <text>
        <t>추정: 지배주주순이익 ÷ 유통주식수
[per_share]</t>
      </text>
    </comment>
    <comment ref="AG31" authorId="0" shapeId="0">
      <text>
        <t>추정: 지배주주순이익 ÷ 유통주식수
[per_share]</t>
      </text>
    </comment>
    <comment ref="AH31" authorId="0" shapeId="0">
      <text>
        <t>추정: 지배주주순이익 ÷ 유통주식수
[per_share]</t>
      </text>
    </comment>
    <comment ref="AI31" authorId="0" shapeId="0">
      <text>
        <t>추정: 지배주주순이익 ÷ 유통주식수
[per_share]</t>
      </text>
    </comment>
    <comment ref="AK31" authorId="0" shapeId="0">
      <text>
        <t>추정: 지배주주순이익 ÷ 유통주식수
[per_share]</t>
      </text>
    </comment>
    <comment ref="AL31" authorId="0" shapeId="0">
      <text>
        <t>추정: 지배주주순이익 ÷ 유통주식수
[per_share]</t>
      </text>
    </comment>
    <comment ref="AM31" authorId="0" shapeId="0">
      <text>
        <t>추정: 지배주주순이익 ÷ 유통주식수
[per_share]</t>
      </text>
    </comment>
    <comment ref="AN31" authorId="0" shapeId="0">
      <text>
        <t>추정: 지배주주순이익 ÷ 유통주식수
[per_share]</t>
      </text>
    </comment>
    <comment ref="AC32" authorId="0" shapeId="0">
      <text>
        <t>추정: 지배주주지분 ÷ 유통주식수
[per_share]</t>
      </text>
    </comment>
    <comment ref="AD32" authorId="0" shapeId="0">
      <text>
        <t>추정: 지배주주지분 ÷ 유통주식수
[per_share]</t>
      </text>
    </comment>
    <comment ref="AF32" authorId="0" shapeId="0">
      <text>
        <t>추정: 지배주주지분 ÷ 유통주식수
[per_share]</t>
      </text>
    </comment>
    <comment ref="AG32" authorId="0" shapeId="0">
      <text>
        <t>추정: 지배주주지분 ÷ 유통주식수
[per_share]</t>
      </text>
    </comment>
    <comment ref="AH32" authorId="0" shapeId="0">
      <text>
        <t>추정: 지배주주지분 ÷ 유통주식수
[per_share]</t>
      </text>
    </comment>
    <comment ref="AI32" authorId="0" shapeId="0">
      <text>
        <t>추정: 지배주주지분 ÷ 유통주식수
[per_share]</t>
      </text>
    </comment>
    <comment ref="AK32" authorId="0" shapeId="0">
      <text>
        <t>추정: 지배주주지분 ÷ 유통주식수
[per_share]</t>
      </text>
    </comment>
    <comment ref="AL32" authorId="0" shapeId="0">
      <text>
        <t>추정: 지배주주지분 ÷ 유통주식수
[per_share]</t>
      </text>
    </comment>
    <comment ref="AM32" authorId="0" shapeId="0">
      <text>
        <t>추정: 지배주주지분 ÷ 유통주식수
[per_share]</t>
      </text>
    </comment>
    <comment ref="AN32" authorId="0" shapeId="0">
      <text>
        <t>추정: 지배주주지분 ÷ 유통주식수
[per_share]</t>
      </text>
    </comment>
    <comment ref="E33" authorId="0" shapeId="0">
      <text>
        <t>실측(계정 매핑 없음(파생·부문·시세 행) — 모델값 직접) — fin.dividend.dps_common(연간, Q4 에 표기)</t>
      </text>
    </comment>
    <comment ref="F33" authorId="0" shapeId="0">
      <text>
        <t>연간(actual) — 분기 미완 연도, 모델 a 값 직접</t>
      </text>
    </comment>
    <comment ref="J33" authorId="0" shapeId="0">
      <text>
        <t>실측(계정 매핑 없음(파생·부문·시세 행) — 모델값 직접) — fin.dividend.dps_common(연간, Q4 에 표기)</t>
      </text>
    </comment>
    <comment ref="O33" authorId="0" shapeId="0">
      <text>
        <t>실측(계정 매핑 없음(파생·부문·시세 행) — 모델값 직접) — fin.dividend.dps_common(연간, Q4 에 표기)</t>
      </text>
    </comment>
    <comment ref="T33" authorId="0" shapeId="0">
      <text>
        <t>실측(계정 매핑 없음(파생·부문·시세 행) — 모델값 직접) — fin.dividend.dps_common(연간, Q4 에 표기)</t>
      </text>
    </comment>
    <comment ref="Y33" authorId="0" shapeId="0">
      <text>
        <t>실측(계정 매핑 없음(파생·부문·시세 행) — 모델값 직접) — fin.dividend.dps_common(연간, Q4 에 표기)</t>
      </text>
    </comment>
    <comment ref="AD33" authorId="0" shapeId="0">
      <text>
        <t>추정: 직전 결산 DPS 0원 유지
[abs]</t>
      </text>
    </comment>
    <comment ref="AI33" authorId="0" shapeId="0">
      <text>
        <t>추정: 직전 결산 DPS 0원 유지
[abs]</t>
      </text>
    </comment>
    <comment ref="AN33" authorId="0" shapeId="0">
      <text>
        <t>추정: 직전 결산 DPS 0원 유지
[abs]</t>
      </text>
    </comment>
    <comment ref="AC34" authorId="0" shapeId="0">
      <text>
        <t>추정: 현재 종가 ÷ TTM EPS(추정 포함)
[valuation]</t>
      </text>
    </comment>
    <comment ref="AD34" authorId="0" shapeId="0">
      <text>
        <t>추정: 현재 종가 ÷ TTM EPS(추정 포함)
[valuation]</t>
      </text>
    </comment>
    <comment ref="AF34" authorId="0" shapeId="0">
      <text>
        <t>추정: 현재 종가 ÷ TTM EPS(추정 포함)
[valuation]</t>
      </text>
    </comment>
    <comment ref="AG34" authorId="0" shapeId="0">
      <text>
        <t>추정: 현재 종가 ÷ TTM EPS(추정 포함)
[valuation]</t>
      </text>
    </comment>
    <comment ref="AH34" authorId="0" shapeId="0">
      <text>
        <t>추정: 현재 종가 ÷ TTM EPS(추정 포함)
[valuation]</t>
      </text>
    </comment>
    <comment ref="AI34" authorId="0" shapeId="0">
      <text>
        <t>추정: 현재 종가 ÷ TTM EPS(추정 포함)
[valuation]</t>
      </text>
    </comment>
    <comment ref="AK34" authorId="0" shapeId="0">
      <text>
        <t>추정: 현재 종가 ÷ TTM EPS(추정 포함)
[valuation]</t>
      </text>
    </comment>
    <comment ref="AL34" authorId="0" shapeId="0">
      <text>
        <t>추정: 현재 종가 ÷ TTM EPS(추정 포함)
[valuation]</t>
      </text>
    </comment>
    <comment ref="AM34" authorId="0" shapeId="0">
      <text>
        <t>추정: 현재 종가 ÷ TTM EPS(추정 포함)
[valuation]</t>
      </text>
    </comment>
    <comment ref="AN34" authorId="0" shapeId="0">
      <text>
        <t>추정: 현재 종가 ÷ TTM EPS(추정 포함)
[valuation]</t>
      </text>
    </comment>
    <comment ref="AC35" authorId="0" shapeId="0">
      <text>
        <t>추정: 현재 종가 ÷ BPS(추정 포함)
[valuation]</t>
      </text>
    </comment>
    <comment ref="AD35" authorId="0" shapeId="0">
      <text>
        <t>추정: 현재 종가 ÷ BPS(추정 포함)
[valuation]</t>
      </text>
    </comment>
    <comment ref="AF35" authorId="0" shapeId="0">
      <text>
        <t>추정: 현재 종가 ÷ BPS(추정 포함)
[valuation]</t>
      </text>
    </comment>
    <comment ref="AG35" authorId="0" shapeId="0">
      <text>
        <t>추정: 현재 종가 ÷ BPS(추정 포함)
[valuation]</t>
      </text>
    </comment>
    <comment ref="AH35" authorId="0" shapeId="0">
      <text>
        <t>추정: 현재 종가 ÷ BPS(추정 포함)
[valuation]</t>
      </text>
    </comment>
    <comment ref="AI35" authorId="0" shapeId="0">
      <text>
        <t>추정: 현재 종가 ÷ BPS(추정 포함)
[valuation]</t>
      </text>
    </comment>
    <comment ref="AK35" authorId="0" shapeId="0">
      <text>
        <t>추정: 현재 종가 ÷ BPS(추정 포함)
[valuation]</t>
      </text>
    </comment>
    <comment ref="AL35" authorId="0" shapeId="0">
      <text>
        <t>추정: 현재 종가 ÷ BPS(추정 포함)
[valuation]</t>
      </text>
    </comment>
    <comment ref="AM35" authorId="0" shapeId="0">
      <text>
        <t>추정: 현재 종가 ÷ BPS(추정 포함)
[valuation]</t>
      </text>
    </comment>
    <comment ref="AN35" authorId="0" shapeId="0">
      <text>
        <t>추정: 현재 종가 ÷ BPS(추정 포함)
[valuation]</t>
      </text>
    </comment>
    <comment ref="H36" authorId="0" shapeId="0">
      <text>
        <t>실측(계정 매핑 없음(파생·부문·시세 행) — 모델값 직접) — sls.reconcile.reported_segment_rev_m ← yards_cache 부문표(3개월분)</t>
      </text>
    </comment>
    <comment ref="I36" authorId="0" shapeId="0">
      <text>
        <t>실측(계정 매핑 없음(파생·부문·시세 행) — 모델값 직접) — sls.reconcile.reported_segment_rev_m ← yards_cache 부문표(3개월분)</t>
      </text>
    </comment>
    <comment ref="M36" authorId="0" shapeId="0">
      <text>
        <t>실측(계정 매핑 없음(파생·부문·시세 행) — 모델값 직접) — sls.reconcile.reported_segment_rev_m ← yards_cache 부문표(3개월분)</t>
      </text>
    </comment>
    <comment ref="N36" authorId="0" shapeId="0">
      <text>
        <t>실측(계정 매핑 없음(파생·부문·시세 행) — 모델값 직접) — sls.reconcile.reported_segment_rev_m ← yards_cache 부문표(3개월분)</t>
      </text>
    </comment>
    <comment ref="O36" authorId="0" shapeId="0">
      <text>
        <t>실측(계정 매핑 없음(파생·부문·시세 행) — 모델값 직접) — sls.reconcile.reported_segment_rev_m ← yards_cache 부문표(3개월분)</t>
      </text>
    </comment>
    <comment ref="R36" authorId="0" shapeId="0">
      <text>
        <t>실측(계정 매핑 없음(파생·부문·시세 행) — 모델값 직접) — sls.reconcile.reported_segment_rev_m ← yards_cache 부문표(3개월분)</t>
      </text>
    </comment>
    <comment ref="S36" authorId="0" shapeId="0">
      <text>
        <t>실측(계정 매핑 없음(파생·부문·시세 행) — 모델값 직접) — sls.reconcile.reported_segment_rev_m ← yards_cache 부문표(3개월분)</t>
      </text>
    </comment>
    <comment ref="W36" authorId="0" shapeId="0">
      <text>
        <t>실측(계정 매핑 없음(파생·부문·시세 행) — 모델값 직접) — sls.reconcile.reported_segment_rev_m ← yards_cache 부문표(3개월분)</t>
      </text>
    </comment>
    <comment ref="X36" authorId="0" shapeId="0">
      <text>
        <t>실측(계정 매핑 없음(파생·부문·시세 행) — 모델값 직접) — sls.reconcile.reported_segment_rev_m ← yards_cache 부문표(3개월분)</t>
      </text>
    </comment>
    <comment ref="AB36" authorId="0" shapeId="0">
      <text>
        <t>실측(계정 매핑 없음(파생·부문·시세 행) — 모델값 직접) — sls.reconcile.reported_segment_rev_m ← yards_cache 부문표(3개월분)</t>
      </text>
    </comment>
    <comment ref="AC36" authorId="0" shapeId="0">
      <text>
        <t>추정: SLS 해양 원화 1051억(sls.by_quarter.marine_hedged_krw_m(헤지 70% 적용; origin 2026Q2 이후 체결 1건 SLS 유지 — 원장 수준 신규수주와 체결 분기별 상계(net_panel))) + 원장 밖 잔고 소진 2153억(최근 4분기 '부문매출−SLS' 중위 2153억/분기, 잔여 6734억) + 신규수주 매출 0억(폴백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0억)) · origin 이후 공시 수주 SLS 71억 유지(원장 수준 신규수주 체결 분기별 상계, net_panel)
[sls_link]</t>
      </text>
    </comment>
    <comment ref="AD36" authorId="0" shapeId="0">
      <text>
        <t>추정: SLS 해양 원화 1610억(sls.by_quarter.marine_hedged_krw_m(헤지 70% 적용; origin 2026Q2 이후 체결 1건 SLS 유지 — 원장 수준 신규수주와 체결 분기별 상계(net_panel))) + 원장 밖 잔고 소진 2153억(최근 4분기 '부문매출−SLS' 중위 2153억/분기, 잔여 4581억) + 신규수주 매출 0억(폴백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0억)) · origin 이후 공시 수주 SLS 645억 유지(원장 수준 신규수주 체결 분기별 상계, net_panel)
[sls_link]</t>
      </text>
    </comment>
    <comment ref="AF36" authorId="0" shapeId="0">
      <text>
        <t>추정: SLS 해양 원화 1574억(sls.by_quarter.marine_hedged_krw_m(헤지 70% 적용; origin 2026Q2 이후 체결 1건 SLS 유지 — 원장 수준 신규수주와 체결 분기별 상계(net_panel))) + 원장 밖 잔고 소진 2153억(최근 4분기 '부문매출−SLS' 중위 2153억/분기, 잔여 2428억) + 신규수주 매출 103억(폴백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0억)) · origin 이후 공시 수주 SLS 631억 유지(원장 수준 신규수주 체결 분기별 상계, net_panel)
[sls_link]</t>
      </text>
    </comment>
    <comment ref="AG36" authorId="0" shapeId="0">
      <text>
        <t>추정: SLS 해양 원화 1591억(sls.by_quarter.marine_hedged_krw_m(헤지 70% 적용; origin 2026Q2 이후 체결 1건 SLS 유지 — 원장 수준 신규수주와 체결 분기별 상계(net_panel))) + 원장 밖 잔고 소진 2153억(최근 4분기 '부문매출−SLS' 중위 2153억/분기, 잔여 275억) + 신규수주 매출 382억(폴백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0억)) · origin 이후 공시 수주 SLS 638억 유지(원장 수준 신규수주 체결 분기별 상계, net_panel)
[sls_link]</t>
      </text>
    </comment>
    <comment ref="AH36" authorId="0" shapeId="0">
      <text>
        <t>추정: SLS 해양 원화 1609억(sls.by_quarter.marine_hedged_krw_m(헤지 70% 적용; origin 2026Q2 이후 체결 1건 SLS 유지 — 원장 수준 신규수주와 체결 분기별 상계(net_panel))) + 원장 밖 잔고 소진 275억(최근 4분기 '부문매출−SLS' 중위 2153억/분기, 잔여 0억) + 신규수주 매출 791억(폴백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0억)) · origin 이후 공시 수주 SLS 645억 유지(원장 수준 신규수주 체결 분기별 상계, net_panel)
[sls_link]</t>
      </text>
    </comment>
    <comment ref="AI36" authorId="0" shapeId="0">
      <text>
        <t>추정: SLS 해양 원화 1609억(sls.by_quarter.marine_hedged_krw_m(헤지 70% 적용; origin 2026Q2 이후 체결 1건 SLS 유지 — 원장 수준 신규수주와 체결 분기별 상계(net_panel))) + 원장 밖 잔고 소진 0억(최근 4분기 '부문매출−SLS' 중위 2153억/분기, 잔여 0억) + 신규수주 매출 1287억(폴백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0억)) · origin 이후 공시 수주 SLS 645억 유지(원장 수준 신규수주 체결 분기별 상계, net_panel)
[sls_link]</t>
      </text>
    </comment>
    <comment ref="AK36" authorId="0" shapeId="0">
      <text>
        <t>추정: SLS 해양 원화 1591억(sls.by_quarter.marine_hedged_krw_m(헤지 70% 적용; origin 2026Q2 이후 체결 1건 SLS 유지 — 원장 수준 신규수주와 체결 분기별 상계(net_panel))) + 원장 밖 잔고 소진 0억(최근 4분기 '부문매출−SLS' 중위 2153억/분기, 잔여 0억) + 신규수주 매출 1825억(폴백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0억)) · origin 이후 공시 수주 SLS 638억 유지(원장 수준 신규수주 체결 분기별 상계, net_panel)
[sls_link]</t>
      </text>
    </comment>
    <comment ref="AL36" authorId="0" shapeId="0">
      <text>
        <t>추정: SLS 해양 원화 1591억(sls.by_quarter.marine_hedged_krw_m(헤지 70% 적용; origin 2026Q2 이후 체결 1건 SLS 유지 — 원장 수준 신규수주와 체결 분기별 상계(net_panel))) + 원장 밖 잔고 소진 0억(최근 4분기 '부문매출−SLS' 중위 2153억/분기, 잔여 0억) + 신규수주 매출 2358억(폴백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0억)) · origin 이후 공시 수주 SLS 638억 유지(원장 수준 신규수주 체결 분기별 상계, net_panel)
[sls_link]</t>
      </text>
    </comment>
    <comment ref="AM36" authorId="0" shapeId="0">
      <text>
        <t>추정: SLS 해양 원화 1246억(sls.by_quarter.marine_hedged_krw_m(헤지 70% 적용; origin 2026Q2 이후 체결 1건 SLS 유지 — 원장 수준 신규수주와 체결 분기별 상계(net_panel))) + 원장 밖 잔고 소진 0억(최근 4분기 '부문매출−SLS' 중위 2153억/분기, 잔여 0억) + 신규수주 매출 2844억(폴백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0억)) · origin 이후 공시 수주 SLS 645억 유지(원장 수준 신규수주 체결 분기별 상계, net_panel)
[sls_link]</t>
      </text>
    </comment>
    <comment ref="AN36" authorId="0" shapeId="0">
      <text>
        <t>추정: SLS 해양 원화 1002억(sls.by_quarter.marine_hedged_krw_m(헤지 70% 적용; origin 2026Q2 이후 체결 1건 SLS 유지 — 원장 수준 신규수주와 체결 분기별 상계(net_panel))) + 원장 밖 잔고 소진 0억(최근 4분기 '부문매출−SLS' 중위 2153억/분기, 잔여 0억) + 신규수주 매출 3236억(폴백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0억)) · origin 이후 공시 수주 SLS 645억 유지(원장 수준 신규수주 체결 분기별 상계, net_panel)
[sls_link]</t>
      </text>
    </comment>
    <comment ref="AA37" authorId="0" shapeId="0">
      <text>
        <t>추정(실적 구간 갭필): 정의상 0 — origin 2026Q2 이전 실적 분기, origin 이후 신규수주 매출(fin 값 아님)</t>
      </text>
    </comment>
    <comment ref="AB37" authorId="0" shapeId="0">
      <text>
        <t>추정(실적 구간 갭필): 정의상 0 — origin 2026Q2 이전 실적 분기, origin 이후 신규수주 매출(fin 값 아님)</t>
      </text>
    </comment>
    <comment ref="AC37" authorId="0" shapeId="0">
      <text>
        <t>추정: 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 — 매출조선에 포함(합산 금지)
[abs]</t>
      </text>
    </comment>
    <comment ref="AD37" authorId="0" shapeId="0">
      <text>
        <t>추정: 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 — 매출조선에 포함(합산 금지)
[abs]</t>
      </text>
    </comment>
    <comment ref="AF37" authorId="0" shapeId="0">
      <text>
        <t>추정: 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 — 매출조선에 포함(합산 금지)
[abs]</t>
      </text>
    </comment>
    <comment ref="AG37" authorId="0" shapeId="0">
      <text>
        <t>추정: 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 — 매출조선에 포함(합산 금지)
[abs]</t>
      </text>
    </comment>
    <comment ref="AH37" authorId="0" shapeId="0">
      <text>
        <t>추정: 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 — 매출조선에 포함(합산 금지)
[abs]</t>
      </text>
    </comment>
    <comment ref="AI37" authorId="0" shapeId="0">
      <text>
        <t>추정: 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 — 매출조선에 포함(합산 금지)
[abs]</t>
      </text>
    </comment>
    <comment ref="AK37" authorId="0" shapeId="0">
      <text>
        <t>추정: 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 — 매출조선에 포함(합산 금지)
[abs]</t>
      </text>
    </comment>
    <comment ref="AL37" authorId="0" shapeId="0">
      <text>
        <t>추정: 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 — 매출조선에 포함(합산 금지)
[abs]</t>
      </text>
    </comment>
    <comment ref="AM37" authorId="0" shapeId="0">
      <text>
        <t>추정: 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 — 매출조선에 포함(합산 금지)
[abs]</t>
      </text>
    </comment>
    <comment ref="AN37" authorId="0" shapeId="0">
      <text>
        <t>추정: 폴백 사슬 new_order_revenue → covered_scope_new_revenue → ledger_signing_rate: 패널 신규수주(분기 110억)가 공시 체결 속도(분기 평균 3,640억)의 3% → 원장 체결 분기(체결 &gt; 0 인 3분기) min/median/max(3,533/3,572/3,814억, 창 3분기 2025Q4~2026Q2)를 보수/base/낙관 신규수주로(패널 자체 N 하한), 인식은 패널 역산 커널(covered_scope_new_revenue) · 저신뢰; origin 이후 공시 수주 체결 분기별 상계(net_panel: 2026Q3 원장 수준 3,572억(패널 110억) − 공시 6,790억 = 0억) — 매출조선에 포함(합산 금지)
[abs]</t>
      </text>
    </comment>
    <comment ref="AC38" authorId="0" shapeId="0">
      <text>
        <t>추정: 매출조선 × 타겟 OPM(부문 OP 미공시 → 회사 OPM 적용; 신규수주분 포함)
[ratio]</t>
      </text>
    </comment>
    <comment ref="AD38" authorId="0" shapeId="0">
      <text>
        <t>추정: 매출조선 × 타겟 OPM(부문 OP 미공시 → 회사 OPM 적용; 신규수주분 포함)
[ratio]</t>
      </text>
    </comment>
    <comment ref="AF38" authorId="0" shapeId="0">
      <text>
        <t>추정: 매출조선 × 타겟 OPM(부문 OP 미공시 → 회사 OPM 적용; 신규수주분 포함)
[ratio]</t>
      </text>
    </comment>
    <comment ref="AG38" authorId="0" shapeId="0">
      <text>
        <t>추정: 매출조선 × 타겟 OPM(부문 OP 미공시 → 회사 OPM 적용; 신규수주분 포함)
[ratio]</t>
      </text>
    </comment>
    <comment ref="AH38" authorId="0" shapeId="0">
      <text>
        <t>추정: 매출조선 × 타겟 OPM(부문 OP 미공시 → 회사 OPM 적용; 신규수주분 포함)
[ratio]</t>
      </text>
    </comment>
    <comment ref="AI38" authorId="0" shapeId="0">
      <text>
        <t>추정: 매출조선 × 타겟 OPM(부문 OP 미공시 → 회사 OPM 적용; 신규수주분 포함)
[ratio]</t>
      </text>
    </comment>
    <comment ref="AK38" authorId="0" shapeId="0">
      <text>
        <t>추정: 매출조선 × 타겟 OPM(부문 OP 미공시 → 회사 OPM 적용; 신규수주분 포함)
[ratio]</t>
      </text>
    </comment>
    <comment ref="AL38" authorId="0" shapeId="0">
      <text>
        <t>추정: 매출조선 × 타겟 OPM(부문 OP 미공시 → 회사 OPM 적용; 신규수주분 포함)
[ratio]</t>
      </text>
    </comment>
    <comment ref="AM38" authorId="0" shapeId="0">
      <text>
        <t>추정: 매출조선 × 타겟 OPM(부문 OP 미공시 → 회사 OPM 적용; 신규수주분 포함)
[ratio]</t>
      </text>
    </comment>
    <comment ref="AN38" authorId="0" shapeId="0">
      <text>
        <t>추정: 매출조선 × 타겟 OPM(부문 OP 미공시 → 회사 OPM 적용; 신규수주분 포함)
[ratio]</t>
      </text>
    </comment>
    <comment ref="AA39" authorId="0" shapeId="0">
      <text>
        <t>추정(실적 구간 갭필): 정의상 0 — origin 2026Q2 이전 실적 분기(fin 값 아님)</t>
      </text>
    </comment>
    <comment ref="AB39" authorId="0" shapeId="0">
      <text>
        <t>추정(실적 구간 갭필): 정의상 0 — origin 2026Q2 이전 실적 분기(fin 값 아님)</t>
      </text>
    </comment>
    <comment ref="AC39" authorId="0" shapeId="0">
      <text>
        <t>추정: 매출조선신규 × 타겟 OPM(신규분에도 같은 타겟) — OP조선에 포함
[ratio_parent]</t>
      </text>
    </comment>
    <comment ref="AD39" authorId="0" shapeId="0">
      <text>
        <t>추정: 매출조선신규 × 타겟 OPM(신규분에도 같은 타겟) — OP조선에 포함
[ratio_parent]</t>
      </text>
    </comment>
    <comment ref="AF39" authorId="0" shapeId="0">
      <text>
        <t>추정: 매출조선신규 × 타겟 OPM(신규분에도 같은 타겟) — OP조선에 포함
[ratio_parent]</t>
      </text>
    </comment>
    <comment ref="AG39" authorId="0" shapeId="0">
      <text>
        <t>추정: 매출조선신규 × 타겟 OPM(신규분에도 같은 타겟) — OP조선에 포함
[ratio_parent]</t>
      </text>
    </comment>
    <comment ref="AH39" authorId="0" shapeId="0">
      <text>
        <t>추정: 매출조선신규 × 타겟 OPM(신규분에도 같은 타겟) — OP조선에 포함
[ratio_parent]</t>
      </text>
    </comment>
    <comment ref="AI39" authorId="0" shapeId="0">
      <text>
        <t>추정: 매출조선신규 × 타겟 OPM(신규분에도 같은 타겟) — OP조선에 포함
[ratio_parent]</t>
      </text>
    </comment>
    <comment ref="AK39" authorId="0" shapeId="0">
      <text>
        <t>추정: 매출조선신규 × 타겟 OPM(신규분에도 같은 타겟) — OP조선에 포함
[ratio_parent]</t>
      </text>
    </comment>
    <comment ref="AL39" authorId="0" shapeId="0">
      <text>
        <t>추정: 매출조선신규 × 타겟 OPM(신규분에도 같은 타겟) — OP조선에 포함
[ratio_parent]</t>
      </text>
    </comment>
    <comment ref="AM39" authorId="0" shapeId="0">
      <text>
        <t>추정: 매출조선신규 × 타겟 OPM(신규분에도 같은 타겟) — OP조선에 포함
[ratio_parent]</t>
      </text>
    </comment>
    <comment ref="AN39" authorId="0" shapeId="0">
      <text>
        <t>추정: 매출조선신규 × 타겟 OPM(신규분에도 같은 타겟) — OP조선에 포함
[ratio_parent]</t>
      </text>
    </comment>
    <comment ref="H40" authorId="0" shapeId="0">
      <text>
        <t>실측(계정 매핑 없음(파생·부문·시세 행) — 모델값 직접) — 연결 매출 − 조선 부문(파생)</t>
      </text>
    </comment>
    <comment ref="I40" authorId="0" shapeId="0">
      <text>
        <t>실측(계정 매핑 없음(파생·부문·시세 행) — 모델값 직접) — 연결 매출 − 조선 부문(파생)</t>
      </text>
    </comment>
    <comment ref="M40" authorId="0" shapeId="0">
      <text>
        <t>실측(계정 매핑 없음(파생·부문·시세 행) — 모델값 직접) — 연결 매출 − 조선 부문(파생)</t>
      </text>
    </comment>
    <comment ref="N40" authorId="0" shapeId="0">
      <text>
        <t>실측(계정 매핑 없음(파생·부문·시세 행) — 모델값 직접) — 연결 매출 − 조선 부문(파생)</t>
      </text>
    </comment>
    <comment ref="O40" authorId="0" shapeId="0">
      <text>
        <t>실측(계정 매핑 없음(파생·부문·시세 행) — 모델값 직접) — 연결 매출 − 조선 부문(파생)</t>
      </text>
    </comment>
    <comment ref="R40" authorId="0" shapeId="0">
      <text>
        <t>실측(계정 매핑 없음(파생·부문·시세 행) — 모델값 직접) — 연결 매출 − 조선 부문(파생)</t>
      </text>
    </comment>
    <comment ref="S40" authorId="0" shapeId="0">
      <text>
        <t>실측(계정 매핑 없음(파생·부문·시세 행) — 모델값 직접) — 연결 매출 − 조선 부문(파생)</t>
      </text>
    </comment>
    <comment ref="W40" authorId="0" shapeId="0">
      <text>
        <t>실측(계정 매핑 없음(파생·부문·시세 행) — 모델값 직접) — 연결 매출 − 조선 부문(파생)</t>
      </text>
    </comment>
    <comment ref="X40" authorId="0" shapeId="0">
      <text>
        <t>실측(계정 매핑 없음(파생·부문·시세 행) — 모델값 직접) — 연결 매출 − 조선 부문(파생)</t>
      </text>
    </comment>
    <comment ref="AB40" authorId="0" shapeId="0">
      <text>
        <t>실측(계정 매핑 없음(파생·부문·시세 행) — 모델값 직접) — 연결 매출 − 조선 부문(파생)</t>
      </text>
    </comment>
    <comment ref="AC40" authorId="0" shapeId="0">
      <text>
        <t>추정: 기타 부문(연결 − 조선 부문) 최근 4분기 중위 2726억 유지
[yoy]</t>
      </text>
    </comment>
    <comment ref="AD40" authorId="0" shapeId="0">
      <text>
        <t>추정: 기타 부문(연결 − 조선 부문) 최근 4분기 중위 2726억 유지
[yoy]</t>
      </text>
    </comment>
    <comment ref="AF40" authorId="0" shapeId="0">
      <text>
        <t>추정: 기타 부문(연결 − 조선 부문) 최근 4분기 중위 2726억 유지
[yoy]</t>
      </text>
    </comment>
    <comment ref="AG40" authorId="0" shapeId="0">
      <text>
        <t>추정: 기타 부문(연결 − 조선 부문) 최근 4분기 중위 2726억 유지
[yoy]</t>
      </text>
    </comment>
    <comment ref="AH40" authorId="0" shapeId="0">
      <text>
        <t>추정: 기타 부문(연결 − 조선 부문) 최근 4분기 중위 2726억 유지
[yoy]</t>
      </text>
    </comment>
    <comment ref="AI40" authorId="0" shapeId="0">
      <text>
        <t>추정: 기타 부문(연결 − 조선 부문) 최근 4분기 중위 2726억 유지
[yoy]</t>
      </text>
    </comment>
    <comment ref="AK40" authorId="0" shapeId="0">
      <text>
        <t>추정: 기타 부문(연결 − 조선 부문) 최근 4분기 중위 2726억 유지
[yoy]</t>
      </text>
    </comment>
    <comment ref="AL40" authorId="0" shapeId="0">
      <text>
        <t>추정: 기타 부문(연결 − 조선 부문) 최근 4분기 중위 2726억 유지
[yoy]</t>
      </text>
    </comment>
    <comment ref="AM40" authorId="0" shapeId="0">
      <text>
        <t>추정: 기타 부문(연결 − 조선 부문) 최근 4분기 중위 2726억 유지
[yoy]</t>
      </text>
    </comment>
    <comment ref="AN40" authorId="0" shapeId="0">
      <text>
        <t>추정: 기타 부문(연결 − 조선 부문) 최근 4분기 중위 2726억 유지
[yoy]</t>
      </text>
    </comment>
    <comment ref="AC41" authorId="0" shapeId="0">
      <text>
        <t>추정: 매출기타 × 회사 OPM(부문 OP 미공시)
[ratio]</t>
      </text>
    </comment>
    <comment ref="AD41" authorId="0" shapeId="0">
      <text>
        <t>추정: 매출기타 × 회사 OPM(부문 OP 미공시)
[ratio]</t>
      </text>
    </comment>
    <comment ref="AF41" authorId="0" shapeId="0">
      <text>
        <t>추정: 매출기타 × 회사 OPM(부문 OP 미공시)
[ratio]</t>
      </text>
    </comment>
    <comment ref="AG41" authorId="0" shapeId="0">
      <text>
        <t>추정: 매출기타 × 회사 OPM(부문 OP 미공시)
[ratio]</t>
      </text>
    </comment>
    <comment ref="AH41" authorId="0" shapeId="0">
      <text>
        <t>추정: 매출기타 × 회사 OPM(부문 OP 미공시)
[ratio]</t>
      </text>
    </comment>
    <comment ref="AI41" authorId="0" shapeId="0">
      <text>
        <t>추정: 매출기타 × 회사 OPM(부문 OP 미공시)
[ratio]</t>
      </text>
    </comment>
    <comment ref="AK41" authorId="0" shapeId="0">
      <text>
        <t>추정: 매출기타 × 회사 OPM(부문 OP 미공시)
[ratio]</t>
      </text>
    </comment>
    <comment ref="AL41" authorId="0" shapeId="0">
      <text>
        <t>추정: 매출기타 × 회사 OPM(부문 OP 미공시)
[ratio]</t>
      </text>
    </comment>
    <comment ref="AM41" authorId="0" shapeId="0">
      <text>
        <t>추정: 매출기타 × 회사 OPM(부문 OP 미공시)
[ratio]</t>
      </text>
    </comment>
    <comment ref="AN41" authorId="0" shapeId="0">
      <text>
        <t>추정: 매출기타 × 회사 OPM(부문 OP 미공시)
[ratio]</t>
      </text>
    </comment>
  </commentList>
</comments>
</file>

<file path=xl/comments/comment3.xml><?xml version="1.0" encoding="utf-8"?>
<comments xmlns="http://schemas.openxmlformats.org/spreadsheetml/2006/main">
  <authors>
    <author>kship</author>
  </authors>
  <commentList>
    <comment ref="FG29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30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31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32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33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34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35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36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37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38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39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40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41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42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43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44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45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46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47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48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49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50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51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52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53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54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55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56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57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58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59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60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61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62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63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64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65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66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67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68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69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70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71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72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FG73" authorId="0" shapeId="0">
      <text>
        <t>모델 포함 규칙: 해양(type≠OTHER) · origin 분기말까지 체결분(이후 체결은 패널 신규수주에 포함으로 봄). 0 으로 바꾸면 그 계약을 매출에서 뺀다</t>
      </text>
    </comment>
  </commentList>
</comments>
</file>

<file path=xl/comments/comment4.xml><?xml version="1.0" encoding="utf-8"?>
<comments xmlns="http://schemas.openxmlformats.org/spreadsheetml/2006/main">
  <authors>
    <author>kship</author>
  </authors>
  <commentList>
    <comment ref="E12" authorId="0" shapeId="0">
      <text>
        <t>공시 계약 원장 체결 속도 existing_only ledger_signing_rate(억원) · 폴백·저신뢰 — 공시 계약 원장(sls.contracts) 체결 분기 min/median/max × forecast_panel 역산 커널(covered_scope_new_revenue) (억원)</t>
      </text>
    </comment>
    <comment ref="F12" authorId="0" shapeId="0">
      <text>
        <t>공시 계약 원장 체결 속도 existing_only ledger_signing_rate(억원) · 폴백·저신뢰 — 공시 계약 원장(sls.contracts) 체결 분기 min/median/max × forecast_panel 역산 커널(covered_scope_new_revenue) (억원)</t>
      </text>
    </comment>
    <comment ref="H12" authorId="0" shapeId="0">
      <text>
        <t>공시 계약 원장 체결 속도 existing_only ledger_signing_rate(억원) · 폴백·저신뢰 — 공시 계약 원장(sls.contracts) 체결 분기 min/median/max × forecast_panel 역산 커널(covered_scope_new_revenue) (억원)</t>
      </text>
    </comment>
    <comment ref="I12" authorId="0" shapeId="0">
      <text>
        <t>공시 계약 원장 체결 속도 existing_only ledger_signing_rate(억원) · 폴백·저신뢰 — 공시 계약 원장(sls.contracts) 체결 분기 min/median/max × forecast_panel 역산 커널(covered_scope_new_revenue) (억원)</t>
      </text>
    </comment>
    <comment ref="J12" authorId="0" shapeId="0">
      <text>
        <t>공시 계약 원장 체결 속도 existing_only ledger_signing_rate(억원) · 폴백·저신뢰 — 공시 계약 원장(sls.contracts) 체결 분기 min/median/max × forecast_panel 역산 커널(covered_scope_new_revenue) (억원)</t>
      </text>
    </comment>
    <comment ref="K12" authorId="0" shapeId="0">
      <text>
        <t>공시 계약 원장 체결 속도 existing_only ledger_signing_rate(억원) · 폴백·저신뢰 — 공시 계약 원장(sls.contracts) 체결 분기 min/median/max × forecast_panel 역산 커널(covered_scope_new_revenue) (억원)</t>
      </text>
    </comment>
    <comment ref="M12" authorId="0" shapeId="0">
      <text>
        <t>공시 계약 원장 체결 속도 existing_only ledger_signing_rate(억원) · 폴백·저신뢰 — 공시 계약 원장(sls.contracts) 체결 분기 min/median/max × forecast_panel 역산 커널(covered_scope_new_revenue) (억원)</t>
      </text>
    </comment>
    <comment ref="N12" authorId="0" shapeId="0">
      <text>
        <t>공시 계약 원장 체결 속도 existing_only ledger_signing_rate(억원) · 폴백·저신뢰 — 공시 계약 원장(sls.contracts) 체결 분기 min/median/max × forecast_panel 역산 커널(covered_scope_new_revenue) (억원)</t>
      </text>
    </comment>
    <comment ref="O12" authorId="0" shapeId="0">
      <text>
        <t>공시 계약 원장 체결 속도 existing_only ledger_signing_rate(억원) · 폴백·저신뢰 — 공시 계약 원장(sls.contracts) 체결 분기 min/median/max × forecast_panel 역산 커널(covered_scope_new_revenue) (억원)</t>
      </text>
    </comment>
    <comment ref="P12" authorId="0" shapeId="0">
      <text>
        <t>공시 계약 원장 체결 속도 existing_only ledger_signing_rate(억원) · 폴백·저신뢰 — 공시 계약 원장(sls.contracts) 체결 분기 min/median/max × forecast_panel 역산 커널(covered_scope_new_revenue) (억원)</t>
      </text>
    </comment>
    <comment ref="E18" authorId="0" shapeId="0">
      <text>
        <t>공시 계약 원장 체결 속도 conservative ledger_signing_rate(억원) · 폴백·저신뢰 — 공시 계약 원장(sls.contracts) 체결 분기 min/median/max × forecast_panel 역산 커널(covered_scope_new_revenue) (억원)</t>
      </text>
    </comment>
    <comment ref="F18" authorId="0" shapeId="0">
      <text>
        <t>공시 계약 원장 체결 속도 conservative ledger_signing_rate(억원) · 폴백·저신뢰 — 공시 계약 원장(sls.contracts) 체결 분기 min/median/max × forecast_panel 역산 커널(covered_scope_new_revenue) (억원)</t>
      </text>
    </comment>
    <comment ref="H18" authorId="0" shapeId="0">
      <text>
        <t>공시 계약 원장 체결 속도 conservative ledger_signing_rate(억원) · 폴백·저신뢰 — 공시 계약 원장(sls.contracts) 체결 분기 min/median/max × forecast_panel 역산 커널(covered_scope_new_revenue) (억원)</t>
      </text>
    </comment>
    <comment ref="I18" authorId="0" shapeId="0">
      <text>
        <t>공시 계약 원장 체결 속도 conservative ledger_signing_rate(억원) · 폴백·저신뢰 — 공시 계약 원장(sls.contracts) 체결 분기 min/median/max × forecast_panel 역산 커널(covered_scope_new_revenue) (억원)</t>
      </text>
    </comment>
    <comment ref="J18" authorId="0" shapeId="0">
      <text>
        <t>공시 계약 원장 체결 속도 conservative ledger_signing_rate(억원) · 폴백·저신뢰 — 공시 계약 원장(sls.contracts) 체결 분기 min/median/max × forecast_panel 역산 커널(covered_scope_new_revenue) (억원)</t>
      </text>
    </comment>
    <comment ref="K18" authorId="0" shapeId="0">
      <text>
        <t>공시 계약 원장 체결 속도 conservative ledger_signing_rate(억원) · 폴백·저신뢰 — 공시 계약 원장(sls.contracts) 체결 분기 min/median/max × forecast_panel 역산 커널(covered_scope_new_revenue) (억원)</t>
      </text>
    </comment>
    <comment ref="M18" authorId="0" shapeId="0">
      <text>
        <t>공시 계약 원장 체결 속도 conservative ledger_signing_rate(억원) · 폴백·저신뢰 — 공시 계약 원장(sls.contracts) 체결 분기 min/median/max × forecast_panel 역산 커널(covered_scope_new_revenue) (억원)</t>
      </text>
    </comment>
    <comment ref="N18" authorId="0" shapeId="0">
      <text>
        <t>공시 계약 원장 체결 속도 conservative ledger_signing_rate(억원) · 폴백·저신뢰 — 공시 계약 원장(sls.contracts) 체결 분기 min/median/max × forecast_panel 역산 커널(covered_scope_new_revenue) (억원)</t>
      </text>
    </comment>
    <comment ref="O18" authorId="0" shapeId="0">
      <text>
        <t>공시 계약 원장 체결 속도 conservative ledger_signing_rate(억원) · 폴백·저신뢰 — 공시 계약 원장(sls.contracts) 체결 분기 min/median/max × forecast_panel 역산 커널(covered_scope_new_revenue) (억원)</t>
      </text>
    </comment>
    <comment ref="P18" authorId="0" shapeId="0">
      <text>
        <t>공시 계약 원장 체결 속도 conservative ledger_signing_rate(억원) · 폴백·저신뢰 — 공시 계약 원장(sls.contracts) 체결 분기 min/median/max × forecast_panel 역산 커널(covered_scope_new_revenue) (억원)</t>
      </text>
    </comment>
    <comment ref="E24" authorId="0" shapeId="0">
      <text>
        <t>공시 계약 원장 체결 속도 optimistic ledger_signing_rate(억원) · 폴백·저신뢰 — 공시 계약 원장(sls.contracts) 체결 분기 min/median/max × forecast_panel 역산 커널(covered_scope_new_revenue) (억원)</t>
      </text>
    </comment>
    <comment ref="F24" authorId="0" shapeId="0">
      <text>
        <t>공시 계약 원장 체결 속도 optimistic ledger_signing_rate(억원) · 폴백·저신뢰 — 공시 계약 원장(sls.contracts) 체결 분기 min/median/max × forecast_panel 역산 커널(covered_scope_new_revenue) (억원)</t>
      </text>
    </comment>
    <comment ref="H24" authorId="0" shapeId="0">
      <text>
        <t>공시 계약 원장 체결 속도 optimistic ledger_signing_rate(억원) · 폴백·저신뢰 — 공시 계약 원장(sls.contracts) 체결 분기 min/median/max × forecast_panel 역산 커널(covered_scope_new_revenue) (억원)</t>
      </text>
    </comment>
    <comment ref="I24" authorId="0" shapeId="0">
      <text>
        <t>공시 계약 원장 체결 속도 optimistic ledger_signing_rate(억원) · 폴백·저신뢰 — 공시 계약 원장(sls.contracts) 체결 분기 min/median/max × forecast_panel 역산 커널(covered_scope_new_revenue) (억원)</t>
      </text>
    </comment>
    <comment ref="J24" authorId="0" shapeId="0">
      <text>
        <t>공시 계약 원장 체결 속도 optimistic ledger_signing_rate(억원) · 폴백·저신뢰 — 공시 계약 원장(sls.contracts) 체결 분기 min/median/max × forecast_panel 역산 커널(covered_scope_new_revenue) (억원)</t>
      </text>
    </comment>
    <comment ref="K24" authorId="0" shapeId="0">
      <text>
        <t>공시 계약 원장 체결 속도 optimistic ledger_signing_rate(억원) · 폴백·저신뢰 — 공시 계약 원장(sls.contracts) 체결 분기 min/median/max × forecast_panel 역산 커널(covered_scope_new_revenue) (억원)</t>
      </text>
    </comment>
    <comment ref="M24" authorId="0" shapeId="0">
      <text>
        <t>공시 계약 원장 체결 속도 optimistic ledger_signing_rate(억원) · 폴백·저신뢰 — 공시 계약 원장(sls.contracts) 체결 분기 min/median/max × forecast_panel 역산 커널(covered_scope_new_revenue) (억원)</t>
      </text>
    </comment>
    <comment ref="N24" authorId="0" shapeId="0">
      <text>
        <t>공시 계약 원장 체결 속도 optimistic ledger_signing_rate(억원) · 폴백·저신뢰 — 공시 계약 원장(sls.contracts) 체결 분기 min/median/max × forecast_panel 역산 커널(covered_scope_new_revenue) (억원)</t>
      </text>
    </comment>
    <comment ref="O24" authorId="0" shapeId="0">
      <text>
        <t>공시 계약 원장 체결 속도 optimistic ledger_signing_rate(억원) · 폴백·저신뢰 — 공시 계약 원장(sls.contracts) 체결 분기 min/median/max × forecast_panel 역산 커널(covered_scope_new_revenue) (억원)</t>
      </text>
    </comment>
    <comment ref="P24" authorId="0" shapeId="0">
      <text>
        <t>공시 계약 원장 체결 속도 optimistic ledger_signing_rate(억원) · 폴백·저신뢰 — 공시 계약 원장(sls.contracts) 체결 분기 min/median/max × forecast_panel 역산 커널(covered_scope_new_revenue) (억원)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HJ중공업(097230) 실적 모델 — ARGUS 한국조선</t>
        </is>
      </c>
    </row>
    <row r="2">
      <c r="A2" t="inlineStr">
        <is>
          <t>기준 분기 2026Q2 · 마지막 실적 2026Q2 · 생성 2026-10-14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0.45% → 22%(terminal, 2026Q4 까지 유지 → 2027Q1~2028Q4 선형 램프) — 이월결손 램프(assumptions.tax_schedule): 변수 drv:법인세비용 추정 분기 셀이 분기별 세율(3절 '세율' 스칼라 연결 안 됨 — 그 값은 시작 세율) · 근거: 최근 8분기 중 세전 &gt; 0 인 6분기(2024Q3~2026Q2) 법인세/세전 중위 0.5%·최근 4분기 중위 0.1% 가 모두 5% 미만 → 이월결손 공제 중으로 보고 0.5% 를 2026Q4 까지 유지, 2027Q1~2028Q4 선형 램프로 법정세율 근사 22% 수렴</t>
        </is>
      </c>
    </row>
    <row r="23">
      <c r="A23" t="inlineStr">
        <is>
          <t>· 판관비율 5.36%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3.23% / 부채 7.87% — 이자손익 = (전분기 이자발생자산 × 자산이자율 − 전분기 총차입금 × 부채이자율)/4, 최소자승 역산(모델 assumptions [0.0323, 0.0787] 는 4자리 반올림이라 그대로 쓰면 ±1억 어긋남) · 출처: {"asset": "주석 이자수익 ÷ 평균 이자발생자산(2025Q2~2026Q2)", "debt": "주석 이자비용 ÷ 평균 총차입금(2025Q3~2026Q2)"}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선표(SLS) — 헤지비율 70.0%(estimate) · 헤지환율 계약별 수주시점 환율 · 코호트 모드 reference_anchor · 잔고 캡 미적용 · subQ 매출조선 = SLS 합계/100 + 원장 밖 잔고 소진(변수 drv:매출조선, 역산) + 매출조선신규 — 계약 45건 중 포함 4건(marine_hedged_krw_m_signed_by_origin), 재구성 최대차 2.6 백만원</t>
        </is>
      </c>
    </row>
    <row r="28">
      <c r="A28" t="inlineStr">
        <is>
          <t>· 신규수주 — 공시 계약 원장 체결 속도 폴백(저신뢰) base 시나리오를 매출조선신규 행에 포함(calibrated=False, status partial — 공시 계약은 체결 분기별로 패널 신규수주와 상계(SLS 일정 유지)). 보수/낙관/기존만 은 시나리오 시트에만(합산 안 함)</t>
        </is>
      </c>
    </row>
    <row r="29">
      <c r="A29" t="inlineStr">
        <is>
          <t>· 연결된 가정: 판관비율, 지배주주비중, 이자율, 선표 · 연결 안 된 가정(모델값·분기별 역산 그대로): 세율(이월결손 램프(assumptions.tax_schedule, 0.45%→22%) — 분기별 세율 드라이버 행 사용)</t>
        </is>
      </c>
    </row>
    <row r="30">
      <c r="A30" t="inlineStr">
        <is>
          <t>· 밸류에이션 — PER 밴드 15.6/25.6/30.0배(hist_quarterly(분기 평균가 ÷ TTM EPS, 6분기, 25/50/75 백분위) · 캡 5~30배 적용(원값 15.6/25.6/41.6)) · COE 9.0% · 12M fwd EPS 가중 0.5(가정). 모델 산출값 구간이며 추천이 아니다</t>
        </is>
      </c>
    </row>
    <row r="31">
      <c r="A31" t="inlineStr"/>
    </row>
    <row r="32">
      <c r="A32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3">
      <c r="A33" t="inlineStr">
        <is>
          <t>재현: cd argus/kship/tools &amp;&amp; python3 kship_model_xlsx.py --model assets/models/097230.json --verify   (모델 json 부터: kship_model.py --build --all --xlsx · xlsx 58사 일괄: kship_model_xlsx.py --all --verify)</t>
        </is>
      </c>
    </row>
    <row r="34">
      <c r="A34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5">
      <c r="A35" t="inlineStr">
        <is>
          <t>한계: 모델 quality.warnings — 조선 부문 매출 음수 분기 1개 제외(부문표 누계 정정 차분 — sls.reconcile.reported_segment_rev_m; yards 레인 확인): 2022Q4 -8411억 / 2023Q2 조선 부문 매출(6762억) &gt; 연결 매출(5014억) — 부문표/파서 문제(yards 레인 확인) / OPM 경로: 코호트 경로 없음 → 실측 중위 고정(원 타겟 전 분기 10.8% 상수(코호트 모드 reference_anchor); 경로 변화는 등급 없는 비중의 실측 중위 6.3% 채움에서만, 추정 구간 타겟 7.37%→8.08%) / 추정 매출조선 = 2026Q2 기준 잔고 소진분 + ledger_signing_rate(공시 계약 원장 체결 속도 × forecast_panel 역산 커널 covered_scope_new_revenue) 신규수주 매출(미보정 book-value proxy, status partial; FY합 12,826억) — 보수/낙관은 scenarios 블록(합산 안 함) / 신규수주 폴백 사슬 new_order_revenue → covered_scope_new_revenue → ledger_signing_rate(저신뢰): 패널 covered_scope 신규수주(분기 110억)가 공시 체결 속도(분기 평균 3,640억)의 3% &lt; 50% · 원장 창 3분기(2025Q4~2026Q2) → 원장 체결 분기 min/median/max 3,533/3,572/3,814억을 보수/base/낙관 분기 신규수주로, 인식 패널 역산 커널(covered_scope_new_revenue); 선형 대안(T=12분기, 원장 계약 일정 길이 중위) base FY 매출 2026 0억 · 2027 2,977억 · 2028 7,739억(공시 상계 후 — 행과 같은 축; 상계 전 2026 298억 · 2027 4,167억 · 2028 8,930억) / 신규수주 ledger_signing_rate(저신뢰): 원장은 공시 대상 대형 계약만 잡는 하한 · 표본 3분기(2025Q4 3,814억 · 2026Q1 3,533억 · 2026Q2 3,572억; 수준 통계는 체결 &gt; 0 인 3분기) — 보수~낙관 폭이 좁아 불확실성을 과소표시할 수 있음(저신뢰) / origin 이후 공시 수주 1건 6,790억은 SLS 일정으로 전부 유지, 원장 수준 신규수주에서 체결 분기별 상계(2026Q3 원장 수준 3,572억(패널 110억) − 공시 6,790억 = 0억) — 매출조선신규(원장 수준) −3,490억(2026 103억 · 2027 1,722억 · 2028 1,666억) · 패널 new_order_revenue 정의 불확실 — order_basis=positive_part_of_empirical_net_replenishment; includes_unseparated_FX_cancellations(경험적 순보충 분위의 통계 흐름, 공시 계약을 개별 반영하지 않음) · new_order_arrival=quarter_end; first_recognition_next_quarter · progress_curve=R1_smoothstep_unfitted; contract_period_not_actual_build_stage; 패널 기존잔고는 origin 이후 공시 7건을 제외(industry_axes.schedule_exclusions.not_known_at_origin); 2026Q3 공시 수주 6,790억 vs 원장 수준 base 신규수주 3,572억(190%). 공시 수주의 인식 시점·진행률(선형, 체결 분기부터)은 패널 가정과 다르다(calibrated=false) — FY 유지 SLS(공시) vs 매출조선신규(원장 수준)(상계 후): 2026 716억 vs 0억 · 2027 2,558억 vs 2,563억 · 2028 2,565억 vs 10,263억 / 법인세율 이월결손 경로: 최근 양(+)세전 6분기 유효세율 중위 0.5% → 0.5% 를 2026Q4 까지 유지, 2027Q1~2028Q4 선형 램프로 법정세율 근사 22% 수렴 — 결손 잔액·만기는 주석 미파싱(추정) / 감가상각비가 face·CF 에 없음(주석 미파싱) → EBITDA·EV/EBITDA 미산출 / 금융손익 실적→추정 단절: 최근 4분기 실적 -34/-23/+17/-50(중위 -28억) → 추정 2026Q3 -71억(차 -42억, -149%) — 추정은 이자손익 + 기타금융 중위, 외환·파생 평가손익 0 가정(환율 효과는 환관련손익 행). 값은 바꾸지 않음 — 지배NI·EPS 해석 시 참고</t>
        </is>
      </c>
    </row>
    <row r="36">
      <c r="A36" t="inlineStr">
        <is>
          <t>백테스트: {"freeze": "2025Q2", "horizon": 4, "revenue_wape_pct": 19.4, "op_wape_pct": 100.0, "n": 4, "note": "단일 회사 4분기 — 통계 아님", "driver_at_freeze": "sls_marine_plus_uncovered_backlog_runoff", "selection_oos_at_freeze": null,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4962.89, "rev_act": 4522.08, "op_pred": 0.0, "op_act": 57.94}, {"q": "2025Q4", "rev_pred": 4962.89, "rev_act": 6296.54, "op_pred": 0.0, "op_act": 504.87}, {"q": "2026Q1", "rev_pred": 4962.89, "rev_act": 5414.0, "op_pred": 0.0, "op_act": 245.81}, {"q": "2026Q2", "rev_pred": 4962.89, "rev_act": 7299.08, "op_pred": 0.0, "op_act": 648.53}]}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1343.39</v>
      </c>
      <c r="AE6" s="17" t="n">
        <v>1456.01</v>
      </c>
      <c r="AF6" s="16" t="n">
        <v>1341.45</v>
      </c>
      <c r="AG6" s="16" t="n">
        <v>1341.45</v>
      </c>
      <c r="AH6" s="16" t="n">
        <v>1341.45</v>
      </c>
      <c r="AI6" s="16" t="n">
        <v>1341.45</v>
      </c>
      <c r="AJ6" s="11" t="n"/>
      <c r="AK6" s="16" t="n">
        <v>1341.45</v>
      </c>
      <c r="AL6" s="16" t="n">
        <v>1341.45</v>
      </c>
      <c r="AM6" s="16" t="n">
        <v>1341.45</v>
      </c>
      <c r="AN6" s="16" t="n">
        <v>1341.45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1341.45</v>
      </c>
      <c r="AE7" s="17" t="n">
        <v>1341.45</v>
      </c>
      <c r="AF7" s="16" t="n">
        <v>1341.45</v>
      </c>
      <c r="AG7" s="16" t="n">
        <v>1341.45</v>
      </c>
      <c r="AH7" s="16" t="n">
        <v>1341.45</v>
      </c>
      <c r="AI7" s="16" t="n">
        <v>1341.45</v>
      </c>
      <c r="AJ7" s="11" t="n"/>
      <c r="AK7" s="16" t="n">
        <v>1341.45</v>
      </c>
      <c r="AL7" s="16" t="n">
        <v>1341.45</v>
      </c>
      <c r="AM7" s="16" t="n">
        <v>1341.45</v>
      </c>
      <c r="AN7" s="16" t="n">
        <v>1341.45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849.39</v>
      </c>
      <c r="AE8" s="17" t="n">
        <v>918.46</v>
      </c>
      <c r="AF8" s="16" t="n">
        <v>848.37</v>
      </c>
      <c r="AG8" s="16" t="n">
        <v>848.37</v>
      </c>
      <c r="AH8" s="16" t="n">
        <v>848.37</v>
      </c>
      <c r="AI8" s="16" t="n">
        <v>848.37</v>
      </c>
      <c r="AJ8" s="11" t="n"/>
      <c r="AK8" s="16" t="n">
        <v>848.37</v>
      </c>
      <c r="AL8" s="16" t="n">
        <v>848.37</v>
      </c>
      <c r="AM8" s="16" t="n">
        <v>848.37</v>
      </c>
      <c r="AN8" s="16" t="n">
        <v>848.37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848.37</v>
      </c>
      <c r="AE9" s="17" t="n">
        <v>848.37</v>
      </c>
      <c r="AF9" s="16" t="n">
        <v>848.37</v>
      </c>
      <c r="AG9" s="16" t="n">
        <v>848.37</v>
      </c>
      <c r="AH9" s="16" t="n">
        <v>848.37</v>
      </c>
      <c r="AI9" s="16" t="n">
        <v>848.37</v>
      </c>
      <c r="AJ9" s="11" t="n"/>
      <c r="AK9" s="16" t="n">
        <v>848.37</v>
      </c>
      <c r="AL9" s="16" t="n">
        <v>848.37</v>
      </c>
      <c r="AM9" s="16" t="n">
        <v>848.37</v>
      </c>
      <c r="AN9" s="16" t="n">
        <v>848.37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1506.62</v>
      </c>
      <c r="AE10" s="17" t="n">
        <v>1688.01</v>
      </c>
      <c r="AF10" s="16" t="n">
        <v>1500.82</v>
      </c>
      <c r="AG10" s="16" t="n">
        <v>1500.82</v>
      </c>
      <c r="AH10" s="16" t="n">
        <v>1500.82</v>
      </c>
      <c r="AI10" s="16" t="n">
        <v>1500.82</v>
      </c>
      <c r="AJ10" s="11" t="n"/>
      <c r="AK10" s="16" t="n">
        <v>1500.82</v>
      </c>
      <c r="AL10" s="16" t="n">
        <v>1500.82</v>
      </c>
      <c r="AM10" s="16" t="n">
        <v>1500.82</v>
      </c>
      <c r="AN10" s="16" t="n">
        <v>1500.82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1500.82</v>
      </c>
      <c r="AE11" s="17" t="n">
        <v>1500.82</v>
      </c>
      <c r="AF11" s="16" t="n">
        <v>1500.82</v>
      </c>
      <c r="AG11" s="16" t="n">
        <v>1500.82</v>
      </c>
      <c r="AH11" s="16" t="n">
        <v>1500.82</v>
      </c>
      <c r="AI11" s="16" t="n">
        <v>1500.82</v>
      </c>
      <c r="AJ11" s="11" t="n"/>
      <c r="AK11" s="16" t="n">
        <v>1500.82</v>
      </c>
      <c r="AL11" s="16" t="n">
        <v>1500.82</v>
      </c>
      <c r="AM11" s="16" t="n">
        <v>1500.82</v>
      </c>
      <c r="AN11" s="16" t="n">
        <v>1500.82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200.49</v>
      </c>
      <c r="AE12" s="17" t="n">
        <v>213.61</v>
      </c>
      <c r="AF12" s="16" t="n">
        <v>200.4</v>
      </c>
      <c r="AG12" s="16" t="n">
        <v>200.4</v>
      </c>
      <c r="AH12" s="16" t="n">
        <v>200.4</v>
      </c>
      <c r="AI12" s="16" t="n">
        <v>200.4</v>
      </c>
      <c r="AJ12" s="11" t="n"/>
      <c r="AK12" s="16" t="n">
        <v>200.4</v>
      </c>
      <c r="AL12" s="16" t="n">
        <v>200.4</v>
      </c>
      <c r="AM12" s="16" t="n">
        <v>200.4</v>
      </c>
      <c r="AN12" s="16" t="n">
        <v>200.4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200.4</v>
      </c>
      <c r="AE13" s="17" t="n">
        <v>200.4</v>
      </c>
      <c r="AF13" s="16" t="n">
        <v>200.4</v>
      </c>
      <c r="AG13" s="16" t="n">
        <v>200.4</v>
      </c>
      <c r="AH13" s="16" t="n">
        <v>200.4</v>
      </c>
      <c r="AI13" s="16" t="n">
        <v>200.4</v>
      </c>
      <c r="AJ13" s="11" t="n"/>
      <c r="AK13" s="16" t="n">
        <v>200.4</v>
      </c>
      <c r="AL13" s="16" t="n">
        <v>200.4</v>
      </c>
      <c r="AM13" s="16" t="n">
        <v>200.4</v>
      </c>
      <c r="AN13" s="16" t="n">
        <v>200.4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8040</v>
      </c>
      <c r="F15" s="9" t="n"/>
      <c r="G15" s="18" t="n">
        <v>7950</v>
      </c>
      <c r="H15" s="18" t="n">
        <v>7200</v>
      </c>
      <c r="I15" s="18" t="n">
        <v>4300</v>
      </c>
      <c r="J15" s="18" t="n">
        <v>3915</v>
      </c>
      <c r="K15" s="9" t="n"/>
      <c r="L15" s="18" t="n">
        <v>3640</v>
      </c>
      <c r="M15" s="18" t="n">
        <v>4095</v>
      </c>
      <c r="N15" s="18" t="n">
        <v>3650</v>
      </c>
      <c r="O15" s="18" t="n">
        <v>4450</v>
      </c>
      <c r="P15" s="9" t="n"/>
      <c r="Q15" s="18" t="n">
        <v>3295</v>
      </c>
      <c r="R15" s="18" t="n">
        <v>3585</v>
      </c>
      <c r="S15" s="18" t="n">
        <v>2655</v>
      </c>
      <c r="T15" s="18" t="n">
        <v>5930</v>
      </c>
      <c r="U15" s="9" t="n"/>
      <c r="V15" s="18" t="n">
        <v>5900</v>
      </c>
      <c r="W15" s="18" t="n">
        <v>7950</v>
      </c>
      <c r="X15" s="18" t="n">
        <v>28000</v>
      </c>
      <c r="Y15" s="18" t="n">
        <v>21050</v>
      </c>
      <c r="Z15" s="9" t="n"/>
      <c r="AA15" s="18" t="n">
        <v>21750</v>
      </c>
      <c r="AB15" s="19" t="n">
        <v>20150</v>
      </c>
      <c r="AC15" s="20" t="n">
        <v>14710</v>
      </c>
      <c r="AD15" s="20" t="n">
        <v>13410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10500</v>
      </c>
      <c r="F16" s="9" t="n"/>
      <c r="G16" s="18" t="n">
        <v>8300</v>
      </c>
      <c r="H16" s="18" t="n">
        <v>8450</v>
      </c>
      <c r="I16" s="18" t="n">
        <v>7260</v>
      </c>
      <c r="J16" s="18" t="n">
        <v>4850</v>
      </c>
      <c r="K16" s="9" t="n"/>
      <c r="L16" s="18" t="n">
        <v>4225</v>
      </c>
      <c r="M16" s="18" t="n">
        <v>4285</v>
      </c>
      <c r="N16" s="18" t="n">
        <v>4975</v>
      </c>
      <c r="O16" s="18" t="n">
        <v>4500</v>
      </c>
      <c r="P16" s="9" t="n"/>
      <c r="Q16" s="18" t="n">
        <v>4310</v>
      </c>
      <c r="R16" s="18" t="n">
        <v>3785</v>
      </c>
      <c r="S16" s="18" t="n">
        <v>3775</v>
      </c>
      <c r="T16" s="18" t="n">
        <v>7190</v>
      </c>
      <c r="U16" s="9" t="n"/>
      <c r="V16" s="18" t="n">
        <v>9900</v>
      </c>
      <c r="W16" s="18" t="n">
        <v>8590</v>
      </c>
      <c r="X16" s="18" t="n">
        <v>34350</v>
      </c>
      <c r="Y16" s="18" t="n">
        <v>33100</v>
      </c>
      <c r="Z16" s="9" t="n"/>
      <c r="AA16" s="18" t="n">
        <v>29300</v>
      </c>
      <c r="AB16" s="19" t="n">
        <v>33800</v>
      </c>
      <c r="AC16" s="20" t="n">
        <v>20500</v>
      </c>
      <c r="AD16" s="20" t="n">
        <v>15630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7350</v>
      </c>
      <c r="F17" s="9" t="n"/>
      <c r="G17" s="18" t="n">
        <v>6690</v>
      </c>
      <c r="H17" s="18" t="n">
        <v>6500</v>
      </c>
      <c r="I17" s="18" t="n">
        <v>4075</v>
      </c>
      <c r="J17" s="18" t="n">
        <v>3240</v>
      </c>
      <c r="K17" s="9" t="n"/>
      <c r="L17" s="18" t="n">
        <v>3290</v>
      </c>
      <c r="M17" s="18" t="n">
        <v>3425</v>
      </c>
      <c r="N17" s="18" t="n">
        <v>3610</v>
      </c>
      <c r="O17" s="18" t="n">
        <v>3270</v>
      </c>
      <c r="P17" s="9" t="n"/>
      <c r="Q17" s="18" t="n">
        <v>3250</v>
      </c>
      <c r="R17" s="18" t="n">
        <v>2875</v>
      </c>
      <c r="S17" s="18" t="n">
        <v>2585</v>
      </c>
      <c r="T17" s="18" t="n">
        <v>2180</v>
      </c>
      <c r="U17" s="9" t="n"/>
      <c r="V17" s="18" t="n">
        <v>5540</v>
      </c>
      <c r="W17" s="18" t="n">
        <v>5630</v>
      </c>
      <c r="X17" s="18" t="n">
        <v>6950</v>
      </c>
      <c r="Y17" s="18" t="n">
        <v>19650</v>
      </c>
      <c r="Z17" s="9" t="n"/>
      <c r="AA17" s="18" t="n">
        <v>18800</v>
      </c>
      <c r="AB17" s="19" t="n">
        <v>18400</v>
      </c>
      <c r="AC17" s="20" t="n">
        <v>12910</v>
      </c>
      <c r="AD17" s="20" t="n">
        <v>12630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8731.4</v>
      </c>
      <c r="F18" s="9" t="n"/>
      <c r="G18" s="18" t="n">
        <v>7593.9</v>
      </c>
      <c r="H18" s="18" t="n">
        <v>7663.9</v>
      </c>
      <c r="I18" s="18" t="n">
        <v>6338.3</v>
      </c>
      <c r="J18" s="18" t="n">
        <v>4026.9</v>
      </c>
      <c r="K18" s="9" t="n"/>
      <c r="L18" s="18" t="n">
        <v>3834.4</v>
      </c>
      <c r="M18" s="18" t="n">
        <v>3802.3</v>
      </c>
      <c r="N18" s="18" t="n">
        <v>4042.3</v>
      </c>
      <c r="O18" s="18" t="n">
        <v>3724.7</v>
      </c>
      <c r="P18" s="9" t="n"/>
      <c r="Q18" s="18" t="n">
        <v>3575.7</v>
      </c>
      <c r="R18" s="18" t="n">
        <v>3208.9</v>
      </c>
      <c r="S18" s="18" t="n">
        <v>3080.5</v>
      </c>
      <c r="T18" s="18" t="n">
        <v>3454.6</v>
      </c>
      <c r="U18" s="9" t="n"/>
      <c r="V18" s="18" t="n">
        <v>6934</v>
      </c>
      <c r="W18" s="18" t="n">
        <v>7398.3</v>
      </c>
      <c r="X18" s="18" t="n">
        <v>16561.2</v>
      </c>
      <c r="Y18" s="18" t="n">
        <v>23805.1</v>
      </c>
      <c r="Z18" s="9" t="n"/>
      <c r="AA18" s="18" t="n">
        <v>24852.4</v>
      </c>
      <c r="AB18" s="19" t="n">
        <v>24395.1</v>
      </c>
      <c r="AC18" s="20" t="n">
        <v>16326.3</v>
      </c>
      <c r="AD18" s="20" t="n">
        <v>14411.2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drv:판관비</t>
        </is>
      </c>
      <c r="B21" s="2" t="inlineStr">
        <is>
          <t>ratio</t>
        </is>
      </c>
      <c r="C21" t="inlineStr">
        <is>
          <t>판관비율(/매출)</t>
        </is>
      </c>
      <c r="E21" s="21">
        <f>IFERROR(subQ!E8/subQ!E5,"")</f>
        <v/>
      </c>
      <c r="F21" s="22">
        <f>IFERROR(subQ!F8/subQ!F5,"")</f>
        <v/>
      </c>
      <c r="G21" s="21">
        <f>IFERROR(subQ!G8/subQ!G5,"")</f>
        <v/>
      </c>
      <c r="H21" s="21">
        <f>IFERROR(subQ!H8/subQ!H5,"")</f>
        <v/>
      </c>
      <c r="I21" s="21">
        <f>IFERROR(subQ!I8/subQ!I5,"")</f>
        <v/>
      </c>
      <c r="J21" s="21">
        <f>IFERROR(subQ!J8/subQ!J5,"")</f>
        <v/>
      </c>
      <c r="K21" s="22">
        <f>IFERROR(subQ!K8/subQ!K5,"")</f>
        <v/>
      </c>
      <c r="L21" s="21">
        <f>IFERROR(subQ!L8/subQ!L5,"")</f>
        <v/>
      </c>
      <c r="M21" s="21">
        <f>IFERROR(subQ!M8/subQ!M5,"")</f>
        <v/>
      </c>
      <c r="N21" s="21">
        <f>IFERROR(subQ!N8/subQ!N5,"")</f>
        <v/>
      </c>
      <c r="O21" s="21">
        <f>IFERROR(subQ!O8/subQ!O5,"")</f>
        <v/>
      </c>
      <c r="P21" s="22">
        <f>IFERROR(subQ!P8/subQ!P5,"")</f>
        <v/>
      </c>
      <c r="Q21" s="21">
        <f>IFERROR(subQ!Q8/subQ!Q5,"")</f>
        <v/>
      </c>
      <c r="R21" s="21">
        <f>IFERROR(subQ!R8/subQ!R5,"")</f>
        <v/>
      </c>
      <c r="S21" s="21">
        <f>IFERROR(subQ!S8/subQ!S5,"")</f>
        <v/>
      </c>
      <c r="T21" s="21">
        <f>IFERROR(subQ!T8/subQ!T5,"")</f>
        <v/>
      </c>
      <c r="U21" s="22">
        <f>IFERROR(subQ!U8/subQ!U5,"")</f>
        <v/>
      </c>
      <c r="V21" s="21">
        <f>IFERROR(subQ!V8/subQ!V5,"")</f>
        <v/>
      </c>
      <c r="W21" s="21">
        <f>IFERROR(subQ!W8/subQ!W5,"")</f>
        <v/>
      </c>
      <c r="X21" s="21">
        <f>IFERROR(subQ!X8/subQ!X5,"")</f>
        <v/>
      </c>
      <c r="Y21" s="21">
        <f>IFERROR(subQ!Y8/subQ!Y5,"")</f>
        <v/>
      </c>
      <c r="Z21" s="22">
        <f>IFERROR(subQ!Z8/subQ!Z5,"")</f>
        <v/>
      </c>
      <c r="AA21" s="21">
        <f>IFERROR(subQ!AA8/subQ!AA5,"")</f>
        <v/>
      </c>
      <c r="AB21" s="23">
        <f>IFERROR(subQ!AB8/subQ!AB5,"")</f>
        <v/>
      </c>
      <c r="AC21" s="24">
        <f>$D$53</f>
        <v/>
      </c>
      <c r="AD21" s="24">
        <f>$D$53</f>
        <v/>
      </c>
      <c r="AE21" s="25">
        <f>IFERROR(subQ!AE8/subQ!AE5,"")</f>
        <v/>
      </c>
      <c r="AF21" s="24">
        <f>$D$53</f>
        <v/>
      </c>
      <c r="AG21" s="24">
        <f>$D$53</f>
        <v/>
      </c>
      <c r="AH21" s="24">
        <f>$D$53</f>
        <v/>
      </c>
      <c r="AI21" s="24">
        <f>$D$53</f>
        <v/>
      </c>
      <c r="AJ21" s="25">
        <f>IFERROR(subQ!AJ8/subQ!AJ5,"")</f>
        <v/>
      </c>
      <c r="AK21" s="24">
        <f>$D$53</f>
        <v/>
      </c>
      <c r="AL21" s="24">
        <f>$D$53</f>
        <v/>
      </c>
      <c r="AM21" s="24">
        <f>$D$53</f>
        <v/>
      </c>
      <c r="AN21" s="24">
        <f>$D$53</f>
        <v/>
      </c>
      <c r="AO21" s="25">
        <f>IFERROR(subQ!AO8/subQ!AO5,"")</f>
        <v/>
      </c>
    </row>
    <row r="22">
      <c r="A22" s="12" t="inlineStr">
        <is>
          <t>drv:외환손익</t>
        </is>
      </c>
      <c r="B22" s="2" t="inlineStr">
        <is>
          <t>abs</t>
        </is>
      </c>
      <c r="C22" t="inlineStr">
        <is>
          <t>외환손익 (가정, 억원)</t>
        </is>
      </c>
      <c r="E22" s="26">
        <f>subQ!E13</f>
        <v/>
      </c>
      <c r="F22" s="27">
        <f>subQ!F13</f>
        <v/>
      </c>
      <c r="G22" s="26">
        <f>subQ!G13</f>
        <v/>
      </c>
      <c r="H22" s="26">
        <f>subQ!H13</f>
        <v/>
      </c>
      <c r="I22" s="26">
        <f>subQ!I13</f>
        <v/>
      </c>
      <c r="J22" s="26">
        <f>subQ!J13</f>
        <v/>
      </c>
      <c r="K22" s="27">
        <f>subQ!K13</f>
        <v/>
      </c>
      <c r="L22" s="26">
        <f>subQ!L13</f>
        <v/>
      </c>
      <c r="M22" s="26">
        <f>subQ!M13</f>
        <v/>
      </c>
      <c r="N22" s="26">
        <f>subQ!N13</f>
        <v/>
      </c>
      <c r="O22" s="26">
        <f>subQ!O13</f>
        <v/>
      </c>
      <c r="P22" s="27">
        <f>subQ!P13</f>
        <v/>
      </c>
      <c r="Q22" s="26">
        <f>subQ!Q13</f>
        <v/>
      </c>
      <c r="R22" s="26">
        <f>subQ!R13</f>
        <v/>
      </c>
      <c r="S22" s="26">
        <f>subQ!S13</f>
        <v/>
      </c>
      <c r="T22" s="26">
        <f>subQ!T13</f>
        <v/>
      </c>
      <c r="U22" s="27">
        <f>subQ!U13</f>
        <v/>
      </c>
      <c r="V22" s="26">
        <f>subQ!V13</f>
        <v/>
      </c>
      <c r="W22" s="26">
        <f>subQ!W13</f>
        <v/>
      </c>
      <c r="X22" s="26">
        <f>subQ!X13</f>
        <v/>
      </c>
      <c r="Y22" s="26">
        <f>subQ!Y13</f>
        <v/>
      </c>
      <c r="Z22" s="27">
        <f>subQ!Z13</f>
        <v/>
      </c>
      <c r="AA22" s="26">
        <f>subQ!AA13</f>
        <v/>
      </c>
      <c r="AB22" s="28">
        <f>subQ!AB13</f>
        <v/>
      </c>
      <c r="AC22" s="29" t="n">
        <v>0</v>
      </c>
      <c r="AD22" s="29" t="n">
        <v>0</v>
      </c>
      <c r="AE22" s="30">
        <f>subQ!AE13</f>
        <v/>
      </c>
      <c r="AF22" s="29" t="n">
        <v>0</v>
      </c>
      <c r="AG22" s="29" t="n">
        <v>0</v>
      </c>
      <c r="AH22" s="29" t="n">
        <v>0</v>
      </c>
      <c r="AI22" s="29" t="n">
        <v>0</v>
      </c>
      <c r="AJ22" s="30">
        <f>subQ!AJ13</f>
        <v/>
      </c>
      <c r="AK22" s="29" t="n">
        <v>0</v>
      </c>
      <c r="AL22" s="29" t="n">
        <v>0</v>
      </c>
      <c r="AM22" s="29" t="n">
        <v>0</v>
      </c>
      <c r="AN22" s="29" t="n">
        <v>0</v>
      </c>
      <c r="AO22" s="30">
        <f>subQ!AO13</f>
        <v/>
      </c>
    </row>
    <row r="23">
      <c r="A23" s="12" t="inlineStr">
        <is>
          <t>drv:기타영업외손익</t>
        </is>
      </c>
      <c r="B23" s="2" t="inlineStr">
        <is>
          <t>abs</t>
        </is>
      </c>
      <c r="C23" t="inlineStr">
        <is>
          <t>기타영업외손익 (가정, 억원)</t>
        </is>
      </c>
      <c r="E23" s="26">
        <f>subQ!E14</f>
        <v/>
      </c>
      <c r="F23" s="27">
        <f>subQ!F14</f>
        <v/>
      </c>
      <c r="G23" s="26">
        <f>subQ!G14</f>
        <v/>
      </c>
      <c r="H23" s="26">
        <f>subQ!H14</f>
        <v/>
      </c>
      <c r="I23" s="26">
        <f>subQ!I14</f>
        <v/>
      </c>
      <c r="J23" s="26">
        <f>subQ!J14</f>
        <v/>
      </c>
      <c r="K23" s="27">
        <f>subQ!K14</f>
        <v/>
      </c>
      <c r="L23" s="26">
        <f>subQ!L14</f>
        <v/>
      </c>
      <c r="M23" s="26">
        <f>subQ!M14</f>
        <v/>
      </c>
      <c r="N23" s="26">
        <f>subQ!N14</f>
        <v/>
      </c>
      <c r="O23" s="26">
        <f>subQ!O14</f>
        <v/>
      </c>
      <c r="P23" s="27">
        <f>subQ!P14</f>
        <v/>
      </c>
      <c r="Q23" s="26">
        <f>subQ!Q14</f>
        <v/>
      </c>
      <c r="R23" s="26">
        <f>subQ!R14</f>
        <v/>
      </c>
      <c r="S23" s="26">
        <f>subQ!S14</f>
        <v/>
      </c>
      <c r="T23" s="26">
        <f>subQ!T14</f>
        <v/>
      </c>
      <c r="U23" s="27">
        <f>subQ!U14</f>
        <v/>
      </c>
      <c r="V23" s="26">
        <f>subQ!V14</f>
        <v/>
      </c>
      <c r="W23" s="26">
        <f>subQ!W14</f>
        <v/>
      </c>
      <c r="X23" s="26">
        <f>subQ!X14</f>
        <v/>
      </c>
      <c r="Y23" s="26">
        <f>subQ!Y14</f>
        <v/>
      </c>
      <c r="Z23" s="27">
        <f>subQ!Z14</f>
        <v/>
      </c>
      <c r="AA23" s="26">
        <f>subQ!AA14</f>
        <v/>
      </c>
      <c r="AB23" s="28">
        <f>subQ!AB14</f>
        <v/>
      </c>
      <c r="AC23" s="29" t="n">
        <v>0</v>
      </c>
      <c r="AD23" s="29" t="n">
        <v>0</v>
      </c>
      <c r="AE23" s="30">
        <f>subQ!AE14</f>
        <v/>
      </c>
      <c r="AF23" s="29" t="n">
        <v>0</v>
      </c>
      <c r="AG23" s="29" t="n">
        <v>0</v>
      </c>
      <c r="AH23" s="29" t="n">
        <v>0</v>
      </c>
      <c r="AI23" s="29" t="n">
        <v>0</v>
      </c>
      <c r="AJ23" s="30">
        <f>subQ!AJ14</f>
        <v/>
      </c>
      <c r="AK23" s="29" t="n">
        <v>0</v>
      </c>
      <c r="AL23" s="29" t="n">
        <v>0</v>
      </c>
      <c r="AM23" s="29" t="n">
        <v>0</v>
      </c>
      <c r="AN23" s="29" t="n">
        <v>0</v>
      </c>
      <c r="AO23" s="30">
        <f>subQ!AO14</f>
        <v/>
      </c>
    </row>
    <row r="24">
      <c r="A24" s="12" t="inlineStr">
        <is>
          <t>drv:법인세비용</t>
        </is>
      </c>
      <c r="B24" s="2" t="inlineStr">
        <is>
          <t>tax</t>
        </is>
      </c>
      <c r="C24" t="inlineStr">
        <is>
          <t>법인세율(/세전) — 법인세 = MAX(세전,0) × 분기별 세율(이월결손 램프, assumptions.tax_schedule)</t>
        </is>
      </c>
      <c r="E24" s="21">
        <f>IFERROR(subQ!E16/subQ!E15,"")</f>
        <v/>
      </c>
      <c r="F24" s="22">
        <f>IFERROR(subQ!F16/subQ!F15,"")</f>
        <v/>
      </c>
      <c r="G24" s="21">
        <f>IFERROR(subQ!G16/subQ!G15,"")</f>
        <v/>
      </c>
      <c r="H24" s="21">
        <f>IFERROR(subQ!H16/subQ!H15,"")</f>
        <v/>
      </c>
      <c r="I24" s="21">
        <f>IFERROR(subQ!I16/subQ!I15,"")</f>
        <v/>
      </c>
      <c r="J24" s="21">
        <f>IFERROR(subQ!J16/subQ!J15,"")</f>
        <v/>
      </c>
      <c r="K24" s="22">
        <f>IFERROR(subQ!K16/subQ!K15,"")</f>
        <v/>
      </c>
      <c r="L24" s="21">
        <f>IFERROR(subQ!L16/subQ!L15,"")</f>
        <v/>
      </c>
      <c r="M24" s="21">
        <f>IFERROR(subQ!M16/subQ!M15,"")</f>
        <v/>
      </c>
      <c r="N24" s="21">
        <f>IFERROR(subQ!N16/subQ!N15,"")</f>
        <v/>
      </c>
      <c r="O24" s="21">
        <f>IFERROR(subQ!O16/subQ!O15,"")</f>
        <v/>
      </c>
      <c r="P24" s="22">
        <f>IFERROR(subQ!P16/subQ!P15,"")</f>
        <v/>
      </c>
      <c r="Q24" s="21">
        <f>IFERROR(subQ!Q16/subQ!Q15,"")</f>
        <v/>
      </c>
      <c r="R24" s="21">
        <f>IFERROR(subQ!R16/subQ!R15,"")</f>
        <v/>
      </c>
      <c r="S24" s="21">
        <f>IFERROR(subQ!S16/subQ!S15,"")</f>
        <v/>
      </c>
      <c r="T24" s="21">
        <f>IFERROR(subQ!T16/subQ!T15,"")</f>
        <v/>
      </c>
      <c r="U24" s="22">
        <f>IFERROR(subQ!U16/subQ!U15,"")</f>
        <v/>
      </c>
      <c r="V24" s="21">
        <f>IFERROR(subQ!V16/subQ!V15,"")</f>
        <v/>
      </c>
      <c r="W24" s="21">
        <f>IFERROR(subQ!W16/subQ!W15,"")</f>
        <v/>
      </c>
      <c r="X24" s="21">
        <f>IFERROR(subQ!X16/subQ!X15,"")</f>
        <v/>
      </c>
      <c r="Y24" s="21">
        <f>IFERROR(subQ!Y16/subQ!Y15,"")</f>
        <v/>
      </c>
      <c r="Z24" s="22">
        <f>IFERROR(subQ!Z16/subQ!Z15,"")</f>
        <v/>
      </c>
      <c r="AA24" s="21">
        <f>IFERROR(subQ!AA16/subQ!AA15,"")</f>
        <v/>
      </c>
      <c r="AB24" s="23">
        <f>IFERROR(subQ!AB16/subQ!AB15,"")</f>
        <v/>
      </c>
      <c r="AC24" s="31" t="n">
        <v>0.004526838</v>
      </c>
      <c r="AD24" s="31" t="n">
        <v>0.004528014</v>
      </c>
      <c r="AE24" s="25">
        <f>IFERROR(subQ!AE16/subQ!AE15,"")</f>
        <v/>
      </c>
      <c r="AF24" s="31" t="n">
        <v>0.031454969</v>
      </c>
      <c r="AG24" s="31" t="n">
        <v>0.058388922</v>
      </c>
      <c r="AH24" s="31" t="n">
        <v>0.085336388</v>
      </c>
      <c r="AI24" s="31" t="n">
        <v>0.112254297</v>
      </c>
      <c r="AJ24" s="25">
        <f>IFERROR(subQ!AJ16/subQ!AJ15,"")</f>
        <v/>
      </c>
      <c r="AK24" s="31" t="n">
        <v>0.139201673</v>
      </c>
      <c r="AL24" s="31" t="n">
        <v>0.166132227</v>
      </c>
      <c r="AM24" s="31" t="n">
        <v>0.193073186</v>
      </c>
      <c r="AN24" s="31" t="n">
        <v>0.219997204</v>
      </c>
      <c r="AO24" s="25">
        <f>IFERROR(subQ!AO16/subQ!AO15,"")</f>
        <v/>
      </c>
    </row>
    <row r="25">
      <c r="A25" s="12" t="inlineStr">
        <is>
          <t>drv:지배주주순이익</t>
        </is>
      </c>
      <c r="B25" s="2" t="inlineStr">
        <is>
          <t>ratio</t>
        </is>
      </c>
      <c r="C25" t="inlineStr">
        <is>
          <t>지배주주 비중(/당기순이익)</t>
        </is>
      </c>
      <c r="E25" s="21">
        <f>IFERROR(subQ!E18/subQ!E17,"")</f>
        <v/>
      </c>
      <c r="F25" s="22">
        <f>IFERROR(subQ!F18/subQ!F17,"")</f>
        <v/>
      </c>
      <c r="G25" s="21">
        <f>IFERROR(subQ!G18/subQ!G17,"")</f>
        <v/>
      </c>
      <c r="H25" s="21">
        <f>IFERROR(subQ!H18/subQ!H17,"")</f>
        <v/>
      </c>
      <c r="I25" s="21">
        <f>IFERROR(subQ!I18/subQ!I17,"")</f>
        <v/>
      </c>
      <c r="J25" s="21">
        <f>IFERROR(subQ!J18/subQ!J17,"")</f>
        <v/>
      </c>
      <c r="K25" s="22">
        <f>IFERROR(subQ!K18/subQ!K17,"")</f>
        <v/>
      </c>
      <c r="L25" s="21">
        <f>IFERROR(subQ!L18/subQ!L17,"")</f>
        <v/>
      </c>
      <c r="M25" s="21">
        <f>IFERROR(subQ!M18/subQ!M17,"")</f>
        <v/>
      </c>
      <c r="N25" s="21">
        <f>IFERROR(subQ!N18/subQ!N17,"")</f>
        <v/>
      </c>
      <c r="O25" s="21">
        <f>IFERROR(subQ!O18/subQ!O17,"")</f>
        <v/>
      </c>
      <c r="P25" s="22">
        <f>IFERROR(subQ!P18/subQ!P17,"")</f>
        <v/>
      </c>
      <c r="Q25" s="21">
        <f>IFERROR(subQ!Q18/subQ!Q17,"")</f>
        <v/>
      </c>
      <c r="R25" s="21">
        <f>IFERROR(subQ!R18/subQ!R17,"")</f>
        <v/>
      </c>
      <c r="S25" s="21">
        <f>IFERROR(subQ!S18/subQ!S17,"")</f>
        <v/>
      </c>
      <c r="T25" s="21">
        <f>IFERROR(subQ!T18/subQ!T17,"")</f>
        <v/>
      </c>
      <c r="U25" s="22">
        <f>IFERROR(subQ!U18/subQ!U17,"")</f>
        <v/>
      </c>
      <c r="V25" s="21">
        <f>IFERROR(subQ!V18/subQ!V17,"")</f>
        <v/>
      </c>
      <c r="W25" s="21">
        <f>IFERROR(subQ!W18/subQ!W17,"")</f>
        <v/>
      </c>
      <c r="X25" s="21">
        <f>IFERROR(subQ!X18/subQ!X17,"")</f>
        <v/>
      </c>
      <c r="Y25" s="21">
        <f>IFERROR(subQ!Y18/subQ!Y17,"")</f>
        <v/>
      </c>
      <c r="Z25" s="22">
        <f>IFERROR(subQ!Z18/subQ!Z17,"")</f>
        <v/>
      </c>
      <c r="AA25" s="21">
        <f>IFERROR(subQ!AA18/subQ!AA17,"")</f>
        <v/>
      </c>
      <c r="AB25" s="23">
        <f>IFERROR(subQ!AB18/subQ!AB17,"")</f>
        <v/>
      </c>
      <c r="AC25" s="24">
        <f>$D$54</f>
        <v/>
      </c>
      <c r="AD25" s="24">
        <f>$D$54</f>
        <v/>
      </c>
      <c r="AE25" s="25">
        <f>IFERROR(subQ!AE18/subQ!AE17,"")</f>
        <v/>
      </c>
      <c r="AF25" s="24">
        <f>$D$54</f>
        <v/>
      </c>
      <c r="AG25" s="24">
        <f>$D$54</f>
        <v/>
      </c>
      <c r="AH25" s="24">
        <f>$D$54</f>
        <v/>
      </c>
      <c r="AI25" s="24">
        <f>$D$54</f>
        <v/>
      </c>
      <c r="AJ25" s="25">
        <f>IFERROR(subQ!AJ18/subQ!AJ17,"")</f>
        <v/>
      </c>
      <c r="AK25" s="24">
        <f>$D$54</f>
        <v/>
      </c>
      <c r="AL25" s="24">
        <f>$D$54</f>
        <v/>
      </c>
      <c r="AM25" s="24">
        <f>$D$54</f>
        <v/>
      </c>
      <c r="AN25" s="24">
        <f>$D$54</f>
        <v/>
      </c>
      <c r="AO25" s="25">
        <f>IFERROR(subQ!AO18/subQ!AO17,"")</f>
        <v/>
      </c>
    </row>
    <row r="26">
      <c r="A26" s="12" t="inlineStr">
        <is>
          <t>drv:중단사업이익</t>
        </is>
      </c>
      <c r="B26" s="2" t="inlineStr">
        <is>
          <t>abs</t>
        </is>
      </c>
      <c r="C26" t="inlineStr">
        <is>
          <t>중단사업이익 (가정, 억원)</t>
        </is>
      </c>
      <c r="E26" s="26">
        <f>subQ!E19</f>
        <v/>
      </c>
      <c r="F26" s="27">
        <f>subQ!F19</f>
        <v/>
      </c>
      <c r="G26" s="26">
        <f>subQ!G19</f>
        <v/>
      </c>
      <c r="H26" s="26">
        <f>subQ!H19</f>
        <v/>
      </c>
      <c r="I26" s="26">
        <f>subQ!I19</f>
        <v/>
      </c>
      <c r="J26" s="26">
        <f>subQ!J19</f>
        <v/>
      </c>
      <c r="K26" s="27">
        <f>subQ!K19</f>
        <v/>
      </c>
      <c r="L26" s="26">
        <f>subQ!L19</f>
        <v/>
      </c>
      <c r="M26" s="26">
        <f>subQ!M19</f>
        <v/>
      </c>
      <c r="N26" s="26">
        <f>subQ!N19</f>
        <v/>
      </c>
      <c r="O26" s="26">
        <f>subQ!O19</f>
        <v/>
      </c>
      <c r="P26" s="27">
        <f>subQ!P19</f>
        <v/>
      </c>
      <c r="Q26" s="26">
        <f>subQ!Q19</f>
        <v/>
      </c>
      <c r="R26" s="26">
        <f>subQ!R19</f>
        <v/>
      </c>
      <c r="S26" s="26">
        <f>subQ!S19</f>
        <v/>
      </c>
      <c r="T26" s="26">
        <f>subQ!T19</f>
        <v/>
      </c>
      <c r="U26" s="27">
        <f>subQ!U19</f>
        <v/>
      </c>
      <c r="V26" s="26">
        <f>subQ!V19</f>
        <v/>
      </c>
      <c r="W26" s="26">
        <f>subQ!W19</f>
        <v/>
      </c>
      <c r="X26" s="26">
        <f>subQ!X19</f>
        <v/>
      </c>
      <c r="Y26" s="26">
        <f>subQ!Y19</f>
        <v/>
      </c>
      <c r="Z26" s="27">
        <f>subQ!Z19</f>
        <v/>
      </c>
      <c r="AA26" s="26">
        <f>subQ!AA19</f>
        <v/>
      </c>
      <c r="AB26" s="28">
        <f>subQ!AB19</f>
        <v/>
      </c>
      <c r="AC26" s="32" t="n"/>
      <c r="AD26" s="32" t="n"/>
      <c r="AE26" s="30">
        <f>subQ!AE19</f>
        <v/>
      </c>
      <c r="AF26" s="32" t="n"/>
      <c r="AG26" s="32" t="n"/>
      <c r="AH26" s="32" t="n"/>
      <c r="AI26" s="32" t="n"/>
      <c r="AJ26" s="30">
        <f>subQ!AJ19</f>
        <v/>
      </c>
      <c r="AK26" s="32" t="n"/>
      <c r="AL26" s="32" t="n"/>
      <c r="AM26" s="32" t="n"/>
      <c r="AN26" s="32" t="n"/>
      <c r="AO26" s="30">
        <f>subQ!AO19</f>
        <v/>
      </c>
    </row>
    <row r="27">
      <c r="A27" s="12" t="inlineStr">
        <is>
          <t>drv:부채총계</t>
        </is>
      </c>
      <c r="B27" s="2" t="inlineStr">
        <is>
          <t>qoq</t>
        </is>
      </c>
      <c r="C27" t="inlineStr">
        <is>
          <t>부채총계 QoQ</t>
        </is>
      </c>
      <c r="E27" s="21" t="n"/>
      <c r="F27" s="22" t="n"/>
      <c r="G27" s="21">
        <f>IFERROR(subQ!G21/subQ!E21-1,"")</f>
        <v/>
      </c>
      <c r="H27" s="21">
        <f>IFERROR(subQ!H21/subQ!G21-1,"")</f>
        <v/>
      </c>
      <c r="I27" s="21">
        <f>IFERROR(subQ!I21/subQ!H21-1,"")</f>
        <v/>
      </c>
      <c r="J27" s="21">
        <f>IFERROR(subQ!J21/subQ!I21-1,"")</f>
        <v/>
      </c>
      <c r="K27" s="22" t="n"/>
      <c r="L27" s="21">
        <f>IFERROR(subQ!L21/subQ!J21-1,"")</f>
        <v/>
      </c>
      <c r="M27" s="21">
        <f>IFERROR(subQ!M21/subQ!L21-1,"")</f>
        <v/>
      </c>
      <c r="N27" s="21">
        <f>IFERROR(subQ!N21/subQ!M21-1,"")</f>
        <v/>
      </c>
      <c r="O27" s="21">
        <f>IFERROR(subQ!O21/subQ!N21-1,"")</f>
        <v/>
      </c>
      <c r="P27" s="22" t="n"/>
      <c r="Q27" s="21">
        <f>IFERROR(subQ!Q21/subQ!O21-1,"")</f>
        <v/>
      </c>
      <c r="R27" s="21">
        <f>IFERROR(subQ!R21/subQ!Q21-1,"")</f>
        <v/>
      </c>
      <c r="S27" s="21">
        <f>IFERROR(subQ!S21/subQ!R21-1,"")</f>
        <v/>
      </c>
      <c r="T27" s="21">
        <f>IFERROR(subQ!T21/subQ!S21-1,"")</f>
        <v/>
      </c>
      <c r="U27" s="22" t="n"/>
      <c r="V27" s="21">
        <f>IFERROR(subQ!V21/subQ!T21-1,"")</f>
        <v/>
      </c>
      <c r="W27" s="21">
        <f>IFERROR(subQ!W21/subQ!V21-1,"")</f>
        <v/>
      </c>
      <c r="X27" s="21">
        <f>IFERROR(subQ!X21/subQ!W21-1,"")</f>
        <v/>
      </c>
      <c r="Y27" s="21">
        <f>IFERROR(subQ!Y21/subQ!X21-1,"")</f>
        <v/>
      </c>
      <c r="Z27" s="22" t="n"/>
      <c r="AA27" s="21">
        <f>IFERROR(subQ!AA21/subQ!Y21-1,"")</f>
        <v/>
      </c>
      <c r="AB27" s="23">
        <f>IFERROR(subQ!AB21/subQ!AA21-1,"")</f>
        <v/>
      </c>
      <c r="AC27" s="31" t="n">
        <v>0</v>
      </c>
      <c r="AD27" s="31" t="n">
        <v>0</v>
      </c>
      <c r="AE27" s="25" t="n"/>
      <c r="AF27" s="31" t="n">
        <v>0</v>
      </c>
      <c r="AG27" s="31" t="n">
        <v>0</v>
      </c>
      <c r="AH27" s="31" t="n">
        <v>0</v>
      </c>
      <c r="AI27" s="31" t="n">
        <v>0</v>
      </c>
      <c r="AJ27" s="25" t="n"/>
      <c r="AK27" s="31" t="n">
        <v>0</v>
      </c>
      <c r="AL27" s="31" t="n">
        <v>0</v>
      </c>
      <c r="AM27" s="31" t="n">
        <v>0</v>
      </c>
      <c r="AN27" s="31" t="n">
        <v>0</v>
      </c>
      <c r="AO27" s="25" t="n"/>
    </row>
    <row r="28">
      <c r="A28" s="12" t="inlineStr">
        <is>
          <t>drv:자본총계</t>
        </is>
      </c>
      <c r="B28" s="2" t="inlineStr">
        <is>
          <t>roll</t>
        </is>
      </c>
      <c r="C28" t="inlineStr">
        <is>
          <t>자본총계 기타변동(배당 등, 억원)</t>
        </is>
      </c>
      <c r="E28" s="26" t="n"/>
      <c r="F28" s="27" t="n"/>
      <c r="G28" s="26">
        <f>IFERROR(subQ!E22+subQ!G17-subQ!G22,"")</f>
        <v/>
      </c>
      <c r="H28" s="26">
        <f>IFERROR(subQ!G22+subQ!H17-subQ!H22,"")</f>
        <v/>
      </c>
      <c r="I28" s="26">
        <f>IFERROR(subQ!H22+subQ!I17-subQ!I22,"")</f>
        <v/>
      </c>
      <c r="J28" s="26">
        <f>IFERROR(subQ!I22+subQ!J17-subQ!J22,"")</f>
        <v/>
      </c>
      <c r="K28" s="27" t="n"/>
      <c r="L28" s="26">
        <f>IFERROR(subQ!J22+subQ!L17-subQ!L22,"")</f>
        <v/>
      </c>
      <c r="M28" s="26">
        <f>IFERROR(subQ!L22+subQ!M17-subQ!M22,"")</f>
        <v/>
      </c>
      <c r="N28" s="26">
        <f>IFERROR(subQ!M22+subQ!N17-subQ!N22,"")</f>
        <v/>
      </c>
      <c r="O28" s="26">
        <f>IFERROR(subQ!N22+subQ!O17-subQ!O22,"")</f>
        <v/>
      </c>
      <c r="P28" s="27" t="n"/>
      <c r="Q28" s="26">
        <f>IFERROR(subQ!O22+subQ!Q17-subQ!Q22,"")</f>
        <v/>
      </c>
      <c r="R28" s="26">
        <f>IFERROR(subQ!Q22+subQ!R17-subQ!R22,"")</f>
        <v/>
      </c>
      <c r="S28" s="26">
        <f>IFERROR(subQ!R22+subQ!S17-subQ!S22,"")</f>
        <v/>
      </c>
      <c r="T28" s="26">
        <f>IFERROR(subQ!S22+subQ!T17-subQ!T22,"")</f>
        <v/>
      </c>
      <c r="U28" s="27" t="n"/>
      <c r="V28" s="26">
        <f>IFERROR(subQ!T22+subQ!V17-subQ!V22,"")</f>
        <v/>
      </c>
      <c r="W28" s="26">
        <f>IFERROR(subQ!V22+subQ!W17-subQ!W22,"")</f>
        <v/>
      </c>
      <c r="X28" s="26">
        <f>IFERROR(subQ!W22+subQ!X17-subQ!X22,"")</f>
        <v/>
      </c>
      <c r="Y28" s="26">
        <f>IFERROR(subQ!X22+subQ!Y17-subQ!Y22,"")</f>
        <v/>
      </c>
      <c r="Z28" s="27" t="n"/>
      <c r="AA28" s="26">
        <f>IFERROR(subQ!Y22+subQ!AA17-subQ!AA22,"")</f>
        <v/>
      </c>
      <c r="AB28" s="28">
        <f>IFERROR(subQ!AA22+subQ!AB17-subQ!AB22,"")</f>
        <v/>
      </c>
      <c r="AC28" s="29" t="n">
        <v>-0.002075406</v>
      </c>
      <c r="AD28" s="29" t="n">
        <v>-0.007476581</v>
      </c>
      <c r="AE28" s="30" t="n"/>
      <c r="AF28" s="29" t="n">
        <v>0.009488244</v>
      </c>
      <c r="AG28" s="29" t="n">
        <v>0.001637916</v>
      </c>
      <c r="AH28" s="29" t="n">
        <v>0.0005523150000000001</v>
      </c>
      <c r="AI28" s="29" t="n">
        <v>0.001637795</v>
      </c>
      <c r="AJ28" s="30" t="n"/>
      <c r="AK28" s="29" t="n">
        <v>-0.004154874</v>
      </c>
      <c r="AL28" s="29" t="n">
        <v>0.007380463</v>
      </c>
      <c r="AM28" s="29" t="n">
        <v>-0.010869227</v>
      </c>
      <c r="AN28" s="29" t="n">
        <v>0.004536662</v>
      </c>
      <c r="AO28" s="30" t="n"/>
    </row>
    <row r="29">
      <c r="A29" s="12" t="inlineStr">
        <is>
          <t>drv:지배주주지분</t>
        </is>
      </c>
      <c r="B29" s="2" t="inlineStr">
        <is>
          <t>roll</t>
        </is>
      </c>
      <c r="C29" t="inlineStr">
        <is>
          <t>지배주주지분 기타변동(배당 등, 억원)</t>
        </is>
      </c>
      <c r="E29" s="26" t="n"/>
      <c r="F29" s="27" t="n"/>
      <c r="G29" s="26">
        <f>IFERROR(subQ!E23+subQ!G18-subQ!G23,"")</f>
        <v/>
      </c>
      <c r="H29" s="26">
        <f>IFERROR(subQ!G23+subQ!H18-subQ!H23,"")</f>
        <v/>
      </c>
      <c r="I29" s="26">
        <f>IFERROR(subQ!H23+subQ!I18-subQ!I23,"")</f>
        <v/>
      </c>
      <c r="J29" s="26">
        <f>IFERROR(subQ!I23+subQ!J18-subQ!J23,"")</f>
        <v/>
      </c>
      <c r="K29" s="27" t="n"/>
      <c r="L29" s="26">
        <f>IFERROR(subQ!J23+subQ!L18-subQ!L23,"")</f>
        <v/>
      </c>
      <c r="M29" s="26">
        <f>IFERROR(subQ!L23+subQ!M18-subQ!M23,"")</f>
        <v/>
      </c>
      <c r="N29" s="26">
        <f>IFERROR(subQ!M23+subQ!N18-subQ!N23,"")</f>
        <v/>
      </c>
      <c r="O29" s="26">
        <f>IFERROR(subQ!N23+subQ!O18-subQ!O23,"")</f>
        <v/>
      </c>
      <c r="P29" s="27" t="n"/>
      <c r="Q29" s="26">
        <f>IFERROR(subQ!O23+subQ!Q18-subQ!Q23,"")</f>
        <v/>
      </c>
      <c r="R29" s="26">
        <f>IFERROR(subQ!Q23+subQ!R18-subQ!R23,"")</f>
        <v/>
      </c>
      <c r="S29" s="26">
        <f>IFERROR(subQ!R23+subQ!S18-subQ!S23,"")</f>
        <v/>
      </c>
      <c r="T29" s="26">
        <f>IFERROR(subQ!S23+subQ!T18-subQ!T23,"")</f>
        <v/>
      </c>
      <c r="U29" s="27" t="n"/>
      <c r="V29" s="26">
        <f>IFERROR(subQ!T23+subQ!V18-subQ!V23,"")</f>
        <v/>
      </c>
      <c r="W29" s="26">
        <f>IFERROR(subQ!V23+subQ!W18-subQ!W23,"")</f>
        <v/>
      </c>
      <c r="X29" s="26">
        <f>IFERROR(subQ!W23+subQ!X18-subQ!X23,"")</f>
        <v/>
      </c>
      <c r="Y29" s="26">
        <f>IFERROR(subQ!X23+subQ!Y18-subQ!Y23,"")</f>
        <v/>
      </c>
      <c r="Z29" s="27" t="n"/>
      <c r="AA29" s="26">
        <f>IFERROR(subQ!Y23+subQ!AA18-subQ!AA23,"")</f>
        <v/>
      </c>
      <c r="AB29" s="28">
        <f>IFERROR(subQ!AA23+subQ!AB18-subQ!AB23,"")</f>
        <v/>
      </c>
      <c r="AC29" s="29" t="n">
        <v>-0.002075406</v>
      </c>
      <c r="AD29" s="29" t="n">
        <v>-0.007476581</v>
      </c>
      <c r="AE29" s="30" t="n"/>
      <c r="AF29" s="29" t="n">
        <v>0.009488244</v>
      </c>
      <c r="AG29" s="29" t="n">
        <v>0.001637916</v>
      </c>
      <c r="AH29" s="29" t="n">
        <v>0.0005523150000000001</v>
      </c>
      <c r="AI29" s="29" t="n">
        <v>0.001637795</v>
      </c>
      <c r="AJ29" s="30" t="n"/>
      <c r="AK29" s="29" t="n">
        <v>-0.004154874</v>
      </c>
      <c r="AL29" s="29" t="n">
        <v>0.007380463</v>
      </c>
      <c r="AM29" s="29" t="n">
        <v>-0.010869227</v>
      </c>
      <c r="AN29" s="29" t="n">
        <v>0.004536662</v>
      </c>
      <c r="AO29" s="30" t="n"/>
    </row>
    <row r="30">
      <c r="A30" s="12" t="inlineStr">
        <is>
          <t>drv:총차입금</t>
        </is>
      </c>
      <c r="B30" s="2" t="inlineStr">
        <is>
          <t>qoq</t>
        </is>
      </c>
      <c r="C30" t="inlineStr">
        <is>
          <t>총차입금 QoQ</t>
        </is>
      </c>
      <c r="E30" s="21" t="n"/>
      <c r="F30" s="22" t="n"/>
      <c r="G30" s="21">
        <f>IFERROR(subQ!G24/subQ!E24-1,"")</f>
        <v/>
      </c>
      <c r="H30" s="21">
        <f>IFERROR(subQ!H24/subQ!G24-1,"")</f>
        <v/>
      </c>
      <c r="I30" s="21">
        <f>IFERROR(subQ!I24/subQ!H24-1,"")</f>
        <v/>
      </c>
      <c r="J30" s="21">
        <f>IFERROR(subQ!J24/subQ!I24-1,"")</f>
        <v/>
      </c>
      <c r="K30" s="22" t="n"/>
      <c r="L30" s="21">
        <f>IFERROR(subQ!L24/subQ!J24-1,"")</f>
        <v/>
      </c>
      <c r="M30" s="21">
        <f>IFERROR(subQ!M24/subQ!L24-1,"")</f>
        <v/>
      </c>
      <c r="N30" s="21">
        <f>IFERROR(subQ!N24/subQ!M24-1,"")</f>
        <v/>
      </c>
      <c r="O30" s="21">
        <f>IFERROR(subQ!O24/subQ!N24-1,"")</f>
        <v/>
      </c>
      <c r="P30" s="22" t="n"/>
      <c r="Q30" s="21">
        <f>IFERROR(subQ!Q24/subQ!O24-1,"")</f>
        <v/>
      </c>
      <c r="R30" s="21">
        <f>IFERROR(subQ!R24/subQ!Q24-1,"")</f>
        <v/>
      </c>
      <c r="S30" s="21">
        <f>IFERROR(subQ!S24/subQ!R24-1,"")</f>
        <v/>
      </c>
      <c r="T30" s="21">
        <f>IFERROR(subQ!T24/subQ!S24-1,"")</f>
        <v/>
      </c>
      <c r="U30" s="22" t="n"/>
      <c r="V30" s="21">
        <f>IFERROR(subQ!V24/subQ!T24-1,"")</f>
        <v/>
      </c>
      <c r="W30" s="21">
        <f>IFERROR(subQ!W24/subQ!V24-1,"")</f>
        <v/>
      </c>
      <c r="X30" s="21">
        <f>IFERROR(subQ!X24/subQ!W24-1,"")</f>
        <v/>
      </c>
      <c r="Y30" s="21">
        <f>IFERROR(subQ!Y24/subQ!X24-1,"")</f>
        <v/>
      </c>
      <c r="Z30" s="22" t="n"/>
      <c r="AA30" s="21">
        <f>IFERROR(subQ!AA24/subQ!Y24-1,"")</f>
        <v/>
      </c>
      <c r="AB30" s="23">
        <f>IFERROR(subQ!AB24/subQ!AA24-1,"")</f>
        <v/>
      </c>
      <c r="AC30" s="31" t="n">
        <v>0</v>
      </c>
      <c r="AD30" s="31" t="n">
        <v>0</v>
      </c>
      <c r="AE30" s="25" t="n"/>
      <c r="AF30" s="31" t="n">
        <v>0</v>
      </c>
      <c r="AG30" s="31" t="n">
        <v>0</v>
      </c>
      <c r="AH30" s="31" t="n">
        <v>0</v>
      </c>
      <c r="AI30" s="31" t="n">
        <v>0</v>
      </c>
      <c r="AJ30" s="25" t="n"/>
      <c r="AK30" s="31" t="n">
        <v>0</v>
      </c>
      <c r="AL30" s="31" t="n">
        <v>0</v>
      </c>
      <c r="AM30" s="31" t="n">
        <v>0</v>
      </c>
      <c r="AN30" s="31" t="n">
        <v>0</v>
      </c>
      <c r="AO30" s="25" t="n"/>
    </row>
    <row r="31">
      <c r="A31" s="12" t="inlineStr">
        <is>
          <t>drv:순차입금</t>
        </is>
      </c>
      <c r="B31" s="2" t="inlineStr">
        <is>
          <t>qoq</t>
        </is>
      </c>
      <c r="C31" t="inlineStr">
        <is>
          <t>순차입금 QoQ</t>
        </is>
      </c>
      <c r="E31" s="21" t="n"/>
      <c r="F31" s="22" t="n"/>
      <c r="G31" s="21">
        <f>IFERROR(subQ!G25/subQ!E25-1,"")</f>
        <v/>
      </c>
      <c r="H31" s="21">
        <f>IFERROR(subQ!H25/subQ!G25-1,"")</f>
        <v/>
      </c>
      <c r="I31" s="21">
        <f>IFERROR(subQ!I25/subQ!H25-1,"")</f>
        <v/>
      </c>
      <c r="J31" s="21">
        <f>IFERROR(subQ!J25/subQ!I25-1,"")</f>
        <v/>
      </c>
      <c r="K31" s="22" t="n"/>
      <c r="L31" s="21">
        <f>IFERROR(subQ!L25/subQ!J25-1,"")</f>
        <v/>
      </c>
      <c r="M31" s="21">
        <f>IFERROR(subQ!M25/subQ!L25-1,"")</f>
        <v/>
      </c>
      <c r="N31" s="21">
        <f>IFERROR(subQ!N25/subQ!M25-1,"")</f>
        <v/>
      </c>
      <c r="O31" s="21">
        <f>IFERROR(subQ!O25/subQ!N25-1,"")</f>
        <v/>
      </c>
      <c r="P31" s="22" t="n"/>
      <c r="Q31" s="21">
        <f>IFERROR(subQ!Q25/subQ!O25-1,"")</f>
        <v/>
      </c>
      <c r="R31" s="21">
        <f>IFERROR(subQ!R25/subQ!Q25-1,"")</f>
        <v/>
      </c>
      <c r="S31" s="21">
        <f>IFERROR(subQ!S25/subQ!R25-1,"")</f>
        <v/>
      </c>
      <c r="T31" s="21">
        <f>IFERROR(subQ!T25/subQ!S25-1,"")</f>
        <v/>
      </c>
      <c r="U31" s="22" t="n"/>
      <c r="V31" s="21">
        <f>IFERROR(subQ!V25/subQ!T25-1,"")</f>
        <v/>
      </c>
      <c r="W31" s="21">
        <f>IFERROR(subQ!W25/subQ!V25-1,"")</f>
        <v/>
      </c>
      <c r="X31" s="21">
        <f>IFERROR(subQ!X25/subQ!W25-1,"")</f>
        <v/>
      </c>
      <c r="Y31" s="21">
        <f>IFERROR(subQ!Y25/subQ!X25-1,"")</f>
        <v/>
      </c>
      <c r="Z31" s="22" t="n"/>
      <c r="AA31" s="21">
        <f>IFERROR(subQ!AA25/subQ!Y25-1,"")</f>
        <v/>
      </c>
      <c r="AB31" s="23">
        <f>IFERROR(subQ!AB25/subQ!AA25-1,"")</f>
        <v/>
      </c>
      <c r="AC31" s="31" t="n">
        <v>-0.231261925</v>
      </c>
      <c r="AD31" s="31" t="n">
        <v>-0.356609145</v>
      </c>
      <c r="AE31" s="25" t="n"/>
      <c r="AF31" s="31" t="n">
        <v>-0.556178808</v>
      </c>
      <c r="AG31" s="31" t="n">
        <v>-1.31708263</v>
      </c>
      <c r="AH31" s="31" t="n">
        <v>3.159435931</v>
      </c>
      <c r="AI31" s="31" t="n">
        <v>0.783557047</v>
      </c>
      <c r="AJ31" s="25" t="n"/>
      <c r="AK31" s="31" t="n">
        <v>0.478940171</v>
      </c>
      <c r="AL31" s="31" t="n">
        <v>0.347873701</v>
      </c>
      <c r="AM31" s="31" t="n">
        <v>0.25051084</v>
      </c>
      <c r="AN31" s="31" t="n">
        <v>0.195331375</v>
      </c>
      <c r="AO31" s="25" t="n"/>
    </row>
    <row r="32">
      <c r="A32" s="12" t="inlineStr">
        <is>
          <t>drv:이자발생자산</t>
        </is>
      </c>
      <c r="B32" s="2" t="inlineStr">
        <is>
          <t>qoq</t>
        </is>
      </c>
      <c r="C32" t="inlineStr">
        <is>
          <t>이자발생자산 QoQ</t>
        </is>
      </c>
      <c r="E32" s="21" t="n"/>
      <c r="F32" s="22" t="n"/>
      <c r="G32" s="21">
        <f>IFERROR(subQ!G26/subQ!E26-1,"")</f>
        <v/>
      </c>
      <c r="H32" s="21">
        <f>IFERROR(subQ!H26/subQ!G26-1,"")</f>
        <v/>
      </c>
      <c r="I32" s="21">
        <f>IFERROR(subQ!I26/subQ!H26-1,"")</f>
        <v/>
      </c>
      <c r="J32" s="21">
        <f>IFERROR(subQ!J26/subQ!I26-1,"")</f>
        <v/>
      </c>
      <c r="K32" s="22" t="n"/>
      <c r="L32" s="21">
        <f>IFERROR(subQ!L26/subQ!J26-1,"")</f>
        <v/>
      </c>
      <c r="M32" s="21">
        <f>IFERROR(subQ!M26/subQ!L26-1,"")</f>
        <v/>
      </c>
      <c r="N32" s="21">
        <f>IFERROR(subQ!N26/subQ!M26-1,"")</f>
        <v/>
      </c>
      <c r="O32" s="21">
        <f>IFERROR(subQ!O26/subQ!N26-1,"")</f>
        <v/>
      </c>
      <c r="P32" s="22" t="n"/>
      <c r="Q32" s="21">
        <f>IFERROR(subQ!Q26/subQ!O26-1,"")</f>
        <v/>
      </c>
      <c r="R32" s="21">
        <f>IFERROR(subQ!R26/subQ!Q26-1,"")</f>
        <v/>
      </c>
      <c r="S32" s="21">
        <f>IFERROR(subQ!S26/subQ!R26-1,"")</f>
        <v/>
      </c>
      <c r="T32" s="21">
        <f>IFERROR(subQ!T26/subQ!S26-1,"")</f>
        <v/>
      </c>
      <c r="U32" s="22" t="n"/>
      <c r="V32" s="21">
        <f>IFERROR(subQ!V26/subQ!T26-1,"")</f>
        <v/>
      </c>
      <c r="W32" s="21">
        <f>IFERROR(subQ!W26/subQ!V26-1,"")</f>
        <v/>
      </c>
      <c r="X32" s="21">
        <f>IFERROR(subQ!X26/subQ!W26-1,"")</f>
        <v/>
      </c>
      <c r="Y32" s="21">
        <f>IFERROR(subQ!Y26/subQ!X26-1,"")</f>
        <v/>
      </c>
      <c r="Z32" s="22" t="n"/>
      <c r="AA32" s="21">
        <f>IFERROR(subQ!AA26/subQ!Y26-1,"")</f>
        <v/>
      </c>
      <c r="AB32" s="23">
        <f>IFERROR(subQ!AB26/subQ!AA26-1,"")</f>
        <v/>
      </c>
      <c r="AC32" s="31" t="n">
        <v>0.164057893</v>
      </c>
      <c r="AD32" s="31" t="n">
        <v>0.167066464</v>
      </c>
      <c r="AE32" s="25" t="n"/>
      <c r="AF32" s="31" t="n">
        <v>0.143645007</v>
      </c>
      <c r="AG32" s="31" t="n">
        <v>0.132009722</v>
      </c>
      <c r="AH32" s="31" t="n">
        <v>0.08870022900000001</v>
      </c>
      <c r="AI32" s="31" t="n">
        <v>0.084045011</v>
      </c>
      <c r="AJ32" s="25" t="n"/>
      <c r="AK32" s="31" t="n">
        <v>0.084520541</v>
      </c>
      <c r="AL32" s="31" t="n">
        <v>0.083717341</v>
      </c>
      <c r="AM32" s="31" t="n">
        <v>0.07498139700000001</v>
      </c>
      <c r="AN32" s="31" t="n">
        <v>0.068011997</v>
      </c>
      <c r="AO32" s="25" t="n"/>
    </row>
    <row r="33">
      <c r="A33" s="12" t="inlineStr">
        <is>
          <t>drv:현금및현금성자산</t>
        </is>
      </c>
      <c r="B33" s="2" t="inlineStr">
        <is>
          <t>qoq</t>
        </is>
      </c>
      <c r="C33" t="inlineStr">
        <is>
          <t>현금및현금성자산 QoQ</t>
        </is>
      </c>
      <c r="E33" s="21" t="n"/>
      <c r="F33" s="22" t="n"/>
      <c r="G33" s="21">
        <f>IFERROR(subQ!G27/subQ!E27-1,"")</f>
        <v/>
      </c>
      <c r="H33" s="21">
        <f>IFERROR(subQ!H27/subQ!G27-1,"")</f>
        <v/>
      </c>
      <c r="I33" s="21">
        <f>IFERROR(subQ!I27/subQ!H27-1,"")</f>
        <v/>
      </c>
      <c r="J33" s="21">
        <f>IFERROR(subQ!J27/subQ!I27-1,"")</f>
        <v/>
      </c>
      <c r="K33" s="22" t="n"/>
      <c r="L33" s="21">
        <f>IFERROR(subQ!L27/subQ!J27-1,"")</f>
        <v/>
      </c>
      <c r="M33" s="21">
        <f>IFERROR(subQ!M27/subQ!L27-1,"")</f>
        <v/>
      </c>
      <c r="N33" s="21">
        <f>IFERROR(subQ!N27/subQ!M27-1,"")</f>
        <v/>
      </c>
      <c r="O33" s="21">
        <f>IFERROR(subQ!O27/subQ!N27-1,"")</f>
        <v/>
      </c>
      <c r="P33" s="22" t="n"/>
      <c r="Q33" s="21">
        <f>IFERROR(subQ!Q27/subQ!O27-1,"")</f>
        <v/>
      </c>
      <c r="R33" s="21">
        <f>IFERROR(subQ!R27/subQ!Q27-1,"")</f>
        <v/>
      </c>
      <c r="S33" s="21">
        <f>IFERROR(subQ!S27/subQ!R27-1,"")</f>
        <v/>
      </c>
      <c r="T33" s="21">
        <f>IFERROR(subQ!T27/subQ!S27-1,"")</f>
        <v/>
      </c>
      <c r="U33" s="22" t="n"/>
      <c r="V33" s="21">
        <f>IFERROR(subQ!V27/subQ!T27-1,"")</f>
        <v/>
      </c>
      <c r="W33" s="21">
        <f>IFERROR(subQ!W27/subQ!V27-1,"")</f>
        <v/>
      </c>
      <c r="X33" s="21">
        <f>IFERROR(subQ!X27/subQ!W27-1,"")</f>
        <v/>
      </c>
      <c r="Y33" s="21">
        <f>IFERROR(subQ!Y27/subQ!X27-1,"")</f>
        <v/>
      </c>
      <c r="Z33" s="22" t="n"/>
      <c r="AA33" s="21">
        <f>IFERROR(subQ!AA27/subQ!Y27-1,"")</f>
        <v/>
      </c>
      <c r="AB33" s="23">
        <f>IFERROR(subQ!AB27/subQ!AA27-1,"")</f>
        <v/>
      </c>
      <c r="AC33" s="33" t="n"/>
      <c r="AD33" s="33" t="n"/>
      <c r="AE33" s="25" t="n"/>
      <c r="AF33" s="33" t="n"/>
      <c r="AG33" s="33" t="n"/>
      <c r="AH33" s="33" t="n"/>
      <c r="AI33" s="33" t="n"/>
      <c r="AJ33" s="25" t="n"/>
      <c r="AK33" s="33" t="n"/>
      <c r="AL33" s="33" t="n"/>
      <c r="AM33" s="33" t="n"/>
      <c r="AN33" s="33" t="n"/>
      <c r="AO33" s="25" t="n"/>
    </row>
    <row r="34">
      <c r="A34" s="12" t="inlineStr">
        <is>
          <t>drv:CAPEX</t>
        </is>
      </c>
      <c r="B34" s="2" t="inlineStr">
        <is>
          <t>yoy</t>
        </is>
      </c>
      <c r="C34" t="inlineStr">
        <is>
          <t>CAPEX YoY</t>
        </is>
      </c>
      <c r="E34" s="21" t="n"/>
      <c r="F34" s="22" t="n"/>
      <c r="G34" s="21" t="n"/>
      <c r="H34" s="21" t="n"/>
      <c r="I34" s="21" t="n"/>
      <c r="J34" s="21">
        <f>IFERROR(subQ!J28/subQ!E28-1,"")</f>
        <v/>
      </c>
      <c r="K34" s="22" t="n"/>
      <c r="L34" s="21">
        <f>IFERROR(subQ!L28/subQ!G28-1,"")</f>
        <v/>
      </c>
      <c r="M34" s="21">
        <f>IFERROR(subQ!M28/subQ!H28-1,"")</f>
        <v/>
      </c>
      <c r="N34" s="21">
        <f>IFERROR(subQ!N28/subQ!I28-1,"")</f>
        <v/>
      </c>
      <c r="O34" s="21">
        <f>IFERROR(subQ!O28/subQ!J28-1,"")</f>
        <v/>
      </c>
      <c r="P34" s="22" t="n"/>
      <c r="Q34" s="21">
        <f>IFERROR(subQ!Q28/subQ!L28-1,"")</f>
        <v/>
      </c>
      <c r="R34" s="21">
        <f>IFERROR(subQ!R28/subQ!M28-1,"")</f>
        <v/>
      </c>
      <c r="S34" s="21">
        <f>IFERROR(subQ!S28/subQ!N28-1,"")</f>
        <v/>
      </c>
      <c r="T34" s="21">
        <f>IFERROR(subQ!T28/subQ!O28-1,"")</f>
        <v/>
      </c>
      <c r="U34" s="22" t="n"/>
      <c r="V34" s="21">
        <f>IFERROR(subQ!V28/subQ!Q28-1,"")</f>
        <v/>
      </c>
      <c r="W34" s="21">
        <f>IFERROR(subQ!W28/subQ!R28-1,"")</f>
        <v/>
      </c>
      <c r="X34" s="21">
        <f>IFERROR(subQ!X28/subQ!S28-1,"")</f>
        <v/>
      </c>
      <c r="Y34" s="21">
        <f>IFERROR(subQ!Y28/subQ!T28-1,"")</f>
        <v/>
      </c>
      <c r="Z34" s="22" t="n"/>
      <c r="AA34" s="21">
        <f>IFERROR(subQ!AA28/subQ!V28-1,"")</f>
        <v/>
      </c>
      <c r="AB34" s="23">
        <f>IFERROR(subQ!AB28/subQ!W28-1,"")</f>
        <v/>
      </c>
      <c r="AC34" s="31" t="n">
        <v>-0.332987121</v>
      </c>
      <c r="AD34" s="31" t="n">
        <v>-0.012303906</v>
      </c>
      <c r="AE34" s="25" t="n"/>
      <c r="AF34" s="31" t="n">
        <v>0.012614317</v>
      </c>
      <c r="AG34" s="31" t="n">
        <v>0.157117117</v>
      </c>
      <c r="AH34" s="31" t="n">
        <v>0</v>
      </c>
      <c r="AI34" s="31" t="n">
        <v>0</v>
      </c>
      <c r="AJ34" s="25" t="n"/>
      <c r="AK34" s="31" t="n">
        <v>0</v>
      </c>
      <c r="AL34" s="31" t="n">
        <v>0</v>
      </c>
      <c r="AM34" s="31" t="n">
        <v>0</v>
      </c>
      <c r="AN34" s="31" t="n">
        <v>0</v>
      </c>
      <c r="AO34" s="25" t="n"/>
    </row>
    <row r="35">
      <c r="A35" s="12" t="inlineStr">
        <is>
          <t>drv:영업활동현금흐름</t>
        </is>
      </c>
      <c r="B35" s="2" t="inlineStr">
        <is>
          <t>yoy</t>
        </is>
      </c>
      <c r="C35" t="inlineStr">
        <is>
          <t>영업활동현금흐름 YoY</t>
        </is>
      </c>
      <c r="E35" s="21" t="n"/>
      <c r="F35" s="22" t="n"/>
      <c r="G35" s="21" t="n"/>
      <c r="H35" s="21" t="n"/>
      <c r="I35" s="21" t="n"/>
      <c r="J35" s="21">
        <f>IFERROR(subQ!J29/subQ!E29-1,"")</f>
        <v/>
      </c>
      <c r="K35" s="22" t="n"/>
      <c r="L35" s="21">
        <f>IFERROR(subQ!L29/subQ!G29-1,"")</f>
        <v/>
      </c>
      <c r="M35" s="21">
        <f>IFERROR(subQ!M29/subQ!H29-1,"")</f>
        <v/>
      </c>
      <c r="N35" s="21">
        <f>IFERROR(subQ!N29/subQ!I29-1,"")</f>
        <v/>
      </c>
      <c r="O35" s="21">
        <f>IFERROR(subQ!O29/subQ!J29-1,"")</f>
        <v/>
      </c>
      <c r="P35" s="22" t="n"/>
      <c r="Q35" s="21">
        <f>IFERROR(subQ!Q29/subQ!L29-1,"")</f>
        <v/>
      </c>
      <c r="R35" s="21">
        <f>IFERROR(subQ!R29/subQ!M29-1,"")</f>
        <v/>
      </c>
      <c r="S35" s="21">
        <f>IFERROR(subQ!S29/subQ!N29-1,"")</f>
        <v/>
      </c>
      <c r="T35" s="21">
        <f>IFERROR(subQ!T29/subQ!O29-1,"")</f>
        <v/>
      </c>
      <c r="U35" s="22" t="n"/>
      <c r="V35" s="21">
        <f>IFERROR(subQ!V29/subQ!Q29-1,"")</f>
        <v/>
      </c>
      <c r="W35" s="21">
        <f>IFERROR(subQ!W29/subQ!R29-1,"")</f>
        <v/>
      </c>
      <c r="X35" s="21">
        <f>IFERROR(subQ!X29/subQ!S29-1,"")</f>
        <v/>
      </c>
      <c r="Y35" s="21">
        <f>IFERROR(subQ!Y29/subQ!T29-1,"")</f>
        <v/>
      </c>
      <c r="Z35" s="22" t="n"/>
      <c r="AA35" s="21">
        <f>IFERROR(subQ!AA29/subQ!V29-1,"")</f>
        <v/>
      </c>
      <c r="AB35" s="23">
        <f>IFERROR(subQ!AB29/subQ!W29-1,"")</f>
        <v/>
      </c>
      <c r="AC35" s="33" t="n"/>
      <c r="AD35" s="33" t="n"/>
      <c r="AE35" s="25" t="n"/>
      <c r="AF35" s="33" t="n"/>
      <c r="AG35" s="33" t="n"/>
      <c r="AH35" s="33" t="n"/>
      <c r="AI35" s="33" t="n"/>
      <c r="AJ35" s="25" t="n"/>
      <c r="AK35" s="33" t="n"/>
      <c r="AL35" s="33" t="n"/>
      <c r="AM35" s="33" t="n"/>
      <c r="AN35" s="33" t="n"/>
      <c r="AO35" s="25" t="n"/>
    </row>
    <row r="36">
      <c r="A36" s="12" t="inlineStr">
        <is>
          <t>drv:주식수</t>
        </is>
      </c>
      <c r="B36" s="2" t="inlineStr">
        <is>
          <t>qoq</t>
        </is>
      </c>
      <c r="C36" t="inlineStr">
        <is>
          <t>주식수 QoQ</t>
        </is>
      </c>
      <c r="E36" s="21" t="n"/>
      <c r="F36" s="22" t="n"/>
      <c r="G36" s="21">
        <f>IFERROR(subQ!G30/subQ!E30-1,"")</f>
        <v/>
      </c>
      <c r="H36" s="21">
        <f>IFERROR(subQ!H30/subQ!G30-1,"")</f>
        <v/>
      </c>
      <c r="I36" s="21">
        <f>IFERROR(subQ!I30/subQ!H30-1,"")</f>
        <v/>
      </c>
      <c r="J36" s="21">
        <f>IFERROR(subQ!J30/subQ!I30-1,"")</f>
        <v/>
      </c>
      <c r="K36" s="22" t="n"/>
      <c r="L36" s="21">
        <f>IFERROR(subQ!L30/subQ!J30-1,"")</f>
        <v/>
      </c>
      <c r="M36" s="21">
        <f>IFERROR(subQ!M30/subQ!L30-1,"")</f>
        <v/>
      </c>
      <c r="N36" s="21">
        <f>IFERROR(subQ!N30/subQ!M30-1,"")</f>
        <v/>
      </c>
      <c r="O36" s="21">
        <f>IFERROR(subQ!O30/subQ!N30-1,"")</f>
        <v/>
      </c>
      <c r="P36" s="22" t="n"/>
      <c r="Q36" s="21">
        <f>IFERROR(subQ!Q30/subQ!O30-1,"")</f>
        <v/>
      </c>
      <c r="R36" s="21">
        <f>IFERROR(subQ!R30/subQ!Q30-1,"")</f>
        <v/>
      </c>
      <c r="S36" s="21">
        <f>IFERROR(subQ!S30/subQ!R30-1,"")</f>
        <v/>
      </c>
      <c r="T36" s="21">
        <f>IFERROR(subQ!T30/subQ!S30-1,"")</f>
        <v/>
      </c>
      <c r="U36" s="22" t="n"/>
      <c r="V36" s="21">
        <f>IFERROR(subQ!V30/subQ!T30-1,"")</f>
        <v/>
      </c>
      <c r="W36" s="21">
        <f>IFERROR(subQ!W30/subQ!V30-1,"")</f>
        <v/>
      </c>
      <c r="X36" s="21">
        <f>IFERROR(subQ!X30/subQ!W30-1,"")</f>
        <v/>
      </c>
      <c r="Y36" s="21">
        <f>IFERROR(subQ!Y30/subQ!X30-1,"")</f>
        <v/>
      </c>
      <c r="Z36" s="22" t="n"/>
      <c r="AA36" s="21">
        <f>IFERROR(subQ!AA30/subQ!Y30-1,"")</f>
        <v/>
      </c>
      <c r="AB36" s="23">
        <f>IFERROR(subQ!AB30/subQ!AA30-1,"")</f>
        <v/>
      </c>
      <c r="AC36" s="31" t="n">
        <v>0</v>
      </c>
      <c r="AD36" s="31" t="n">
        <v>0</v>
      </c>
      <c r="AE36" s="25" t="n"/>
      <c r="AF36" s="31" t="n">
        <v>0</v>
      </c>
      <c r="AG36" s="31" t="n">
        <v>0</v>
      </c>
      <c r="AH36" s="31" t="n">
        <v>0</v>
      </c>
      <c r="AI36" s="31" t="n">
        <v>0</v>
      </c>
      <c r="AJ36" s="25" t="n"/>
      <c r="AK36" s="31" t="n">
        <v>0</v>
      </c>
      <c r="AL36" s="31" t="n">
        <v>0</v>
      </c>
      <c r="AM36" s="31" t="n">
        <v>0</v>
      </c>
      <c r="AN36" s="31" t="n">
        <v>0</v>
      </c>
      <c r="AO36" s="25" t="n"/>
    </row>
    <row r="37">
      <c r="A37" s="12" t="inlineStr">
        <is>
          <t>drv:DPS</t>
        </is>
      </c>
      <c r="B37" s="2" t="inlineStr">
        <is>
          <t>abs</t>
        </is>
      </c>
      <c r="C37" t="inlineStr">
        <is>
          <t>DPS (가정, 원)</t>
        </is>
      </c>
      <c r="E37" s="26">
        <f>subQ!E33</f>
        <v/>
      </c>
      <c r="F37" s="27">
        <f>subQ!F33</f>
        <v/>
      </c>
      <c r="G37" s="26">
        <f>subQ!G33</f>
        <v/>
      </c>
      <c r="H37" s="26">
        <f>subQ!H33</f>
        <v/>
      </c>
      <c r="I37" s="26">
        <f>subQ!I33</f>
        <v/>
      </c>
      <c r="J37" s="26">
        <f>subQ!J33</f>
        <v/>
      </c>
      <c r="K37" s="27">
        <f>subQ!K33</f>
        <v/>
      </c>
      <c r="L37" s="26">
        <f>subQ!L33</f>
        <v/>
      </c>
      <c r="M37" s="26">
        <f>subQ!M33</f>
        <v/>
      </c>
      <c r="N37" s="26">
        <f>subQ!N33</f>
        <v/>
      </c>
      <c r="O37" s="26">
        <f>subQ!O33</f>
        <v/>
      </c>
      <c r="P37" s="27">
        <f>subQ!P33</f>
        <v/>
      </c>
      <c r="Q37" s="26">
        <f>subQ!Q33</f>
        <v/>
      </c>
      <c r="R37" s="26">
        <f>subQ!R33</f>
        <v/>
      </c>
      <c r="S37" s="26">
        <f>subQ!S33</f>
        <v/>
      </c>
      <c r="T37" s="26">
        <f>subQ!T33</f>
        <v/>
      </c>
      <c r="U37" s="27">
        <f>subQ!U33</f>
        <v/>
      </c>
      <c r="V37" s="26">
        <f>subQ!V33</f>
        <v/>
      </c>
      <c r="W37" s="26">
        <f>subQ!W33</f>
        <v/>
      </c>
      <c r="X37" s="26">
        <f>subQ!X33</f>
        <v/>
      </c>
      <c r="Y37" s="26">
        <f>subQ!Y33</f>
        <v/>
      </c>
      <c r="Z37" s="27">
        <f>subQ!Z33</f>
        <v/>
      </c>
      <c r="AA37" s="26">
        <f>subQ!AA33</f>
        <v/>
      </c>
      <c r="AB37" s="28">
        <f>subQ!AB33</f>
        <v/>
      </c>
      <c r="AC37" s="32" t="n"/>
      <c r="AD37" s="29" t="n">
        <v>0</v>
      </c>
      <c r="AE37" s="30">
        <f>subQ!AE33</f>
        <v/>
      </c>
      <c r="AF37" s="32" t="n"/>
      <c r="AG37" s="32" t="n"/>
      <c r="AH37" s="32" t="n"/>
      <c r="AI37" s="29" t="n">
        <v>0</v>
      </c>
      <c r="AJ37" s="30">
        <f>subQ!AJ33</f>
        <v/>
      </c>
      <c r="AK37" s="32" t="n"/>
      <c r="AL37" s="32" t="n"/>
      <c r="AM37" s="32" t="n"/>
      <c r="AN37" s="29" t="n">
        <v>0</v>
      </c>
      <c r="AO37" s="30">
        <f>subQ!AO33</f>
        <v/>
      </c>
    </row>
    <row r="38">
      <c r="A38" s="12" t="inlineStr">
        <is>
          <t>drv:매출조선</t>
        </is>
      </c>
      <c r="B38" s="2" t="inlineStr">
        <is>
          <t>sls_link</t>
        </is>
      </c>
      <c r="C38" t="inlineStr">
        <is>
          <t>원장 밖 잔고 소진(억원) — 매출조선 = SLS 원화/100 + 이 행 + 매출조선신규</t>
        </is>
      </c>
      <c r="E38" s="26">
        <f>IFERROR(subQ!E36-SLS!S122/100,"")</f>
        <v/>
      </c>
      <c r="F38" s="27" t="n"/>
      <c r="G38" s="26">
        <f>IFERROR(subQ!G36-SLS!T122/100,"")</f>
        <v/>
      </c>
      <c r="H38" s="26">
        <f>IFERROR(subQ!H36-SLS!U122/100,"")</f>
        <v/>
      </c>
      <c r="I38" s="26">
        <f>IFERROR(subQ!I36-SLS!V122/100,"")</f>
        <v/>
      </c>
      <c r="J38" s="26">
        <f>IFERROR(subQ!J36-SLS!W122/100,"")</f>
        <v/>
      </c>
      <c r="K38" s="27" t="n"/>
      <c r="L38" s="26">
        <f>IFERROR(subQ!L36-SLS!X122/100,"")</f>
        <v/>
      </c>
      <c r="M38" s="26">
        <f>IFERROR(subQ!M36-SLS!Y122/100,"")</f>
        <v/>
      </c>
      <c r="N38" s="26">
        <f>IFERROR(subQ!N36-SLS!Z122/100,"")</f>
        <v/>
      </c>
      <c r="O38" s="26">
        <f>IFERROR(subQ!O36-SLS!AA122/100,"")</f>
        <v/>
      </c>
      <c r="P38" s="27" t="n"/>
      <c r="Q38" s="26">
        <f>IFERROR(subQ!Q36-SLS!AB122/100,"")</f>
        <v/>
      </c>
      <c r="R38" s="26">
        <f>IFERROR(subQ!R36-SLS!AC122/100,"")</f>
        <v/>
      </c>
      <c r="S38" s="26">
        <f>IFERROR(subQ!S36-SLS!AD122/100,"")</f>
        <v/>
      </c>
      <c r="T38" s="26">
        <f>IFERROR(subQ!T36-SLS!AE122/100,"")</f>
        <v/>
      </c>
      <c r="U38" s="27" t="n"/>
      <c r="V38" s="26">
        <f>IFERROR(subQ!V36-SLS!AF122/100,"")</f>
        <v/>
      </c>
      <c r="W38" s="26">
        <f>IFERROR(subQ!W36-SLS!AG122/100,"")</f>
        <v/>
      </c>
      <c r="X38" s="26">
        <f>IFERROR(subQ!X36-SLS!AH122/100,"")</f>
        <v/>
      </c>
      <c r="Y38" s="26">
        <f>IFERROR(subQ!Y36-SLS!AI122/100,"")</f>
        <v/>
      </c>
      <c r="Z38" s="27" t="n"/>
      <c r="AA38" s="26">
        <f>IFERROR(subQ!AA36-SLS!AJ122/100,"")</f>
        <v/>
      </c>
      <c r="AB38" s="28">
        <f>IFERROR(subQ!AB36-SLS!AK122/100,"")</f>
        <v/>
      </c>
      <c r="AC38" s="29" t="n">
        <v>2224.230436</v>
      </c>
      <c r="AD38" s="29" t="n">
        <v>2797.998438</v>
      </c>
      <c r="AE38" s="30" t="n"/>
      <c r="AF38" s="29" t="n">
        <v>2783.719674</v>
      </c>
      <c r="AG38" s="29" t="n">
        <v>2790.738906</v>
      </c>
      <c r="AH38" s="29" t="n">
        <v>919.559681</v>
      </c>
      <c r="AI38" s="29" t="n">
        <v>644.719681</v>
      </c>
      <c r="AJ38" s="30" t="n"/>
      <c r="AK38" s="29" t="n">
        <v>637.738906</v>
      </c>
      <c r="AL38" s="29" t="n">
        <v>637.738906</v>
      </c>
      <c r="AM38" s="29" t="n">
        <v>644.738625</v>
      </c>
      <c r="AN38" s="29" t="n">
        <v>644.767394</v>
      </c>
      <c r="AO38" s="30" t="n"/>
    </row>
    <row r="39">
      <c r="A39" s="12" t="inlineStr">
        <is>
          <t>drv:매출조선신규</t>
        </is>
      </c>
      <c r="B39" s="2" t="inlineStr">
        <is>
          <t>abs</t>
        </is>
      </c>
      <c r="C39" t="inlineStr">
        <is>
          <t>매출조선신규 (공시 계약 원장 체결 속도 폴백 신규수주 매출, 억원 — 가정)</t>
        </is>
      </c>
      <c r="E39" s="26">
        <f>subQ!E37</f>
        <v/>
      </c>
      <c r="F39" s="27">
        <f>subQ!F37</f>
        <v/>
      </c>
      <c r="G39" s="26">
        <f>subQ!G37</f>
        <v/>
      </c>
      <c r="H39" s="26">
        <f>subQ!H37</f>
        <v/>
      </c>
      <c r="I39" s="26">
        <f>subQ!I37</f>
        <v/>
      </c>
      <c r="J39" s="26">
        <f>subQ!J37</f>
        <v/>
      </c>
      <c r="K39" s="27">
        <f>subQ!K37</f>
        <v/>
      </c>
      <c r="L39" s="26">
        <f>subQ!L37</f>
        <v/>
      </c>
      <c r="M39" s="26">
        <f>subQ!M37</f>
        <v/>
      </c>
      <c r="N39" s="26">
        <f>subQ!N37</f>
        <v/>
      </c>
      <c r="O39" s="26">
        <f>subQ!O37</f>
        <v/>
      </c>
      <c r="P39" s="27">
        <f>subQ!P37</f>
        <v/>
      </c>
      <c r="Q39" s="26">
        <f>subQ!Q37</f>
        <v/>
      </c>
      <c r="R39" s="26">
        <f>subQ!R37</f>
        <v/>
      </c>
      <c r="S39" s="26">
        <f>subQ!S37</f>
        <v/>
      </c>
      <c r="T39" s="26">
        <f>subQ!T37</f>
        <v/>
      </c>
      <c r="U39" s="27">
        <f>subQ!U37</f>
        <v/>
      </c>
      <c r="V39" s="26">
        <f>subQ!V37</f>
        <v/>
      </c>
      <c r="W39" s="26">
        <f>subQ!W37</f>
        <v/>
      </c>
      <c r="X39" s="26">
        <f>subQ!X37</f>
        <v/>
      </c>
      <c r="Y39" s="26">
        <f>subQ!Y37</f>
        <v/>
      </c>
      <c r="Z39" s="27">
        <f>subQ!Z37</f>
        <v/>
      </c>
      <c r="AA39" s="26">
        <f>subQ!AA37</f>
        <v/>
      </c>
      <c r="AB39" s="28">
        <f>subQ!AB37</f>
        <v/>
      </c>
      <c r="AC39" s="29" t="n">
        <v>0</v>
      </c>
      <c r="AD39" s="29" t="n">
        <v>0</v>
      </c>
      <c r="AE39" s="30">
        <f>subQ!AE37</f>
        <v/>
      </c>
      <c r="AF39" s="29" t="n">
        <v>102.88</v>
      </c>
      <c r="AG39" s="29" t="n">
        <v>381.61</v>
      </c>
      <c r="AH39" s="29" t="n">
        <v>791.37</v>
      </c>
      <c r="AI39" s="29" t="n">
        <v>1287.31</v>
      </c>
      <c r="AJ39" s="30">
        <f>subQ!AJ37</f>
        <v/>
      </c>
      <c r="AK39" s="29" t="n">
        <v>1824.59</v>
      </c>
      <c r="AL39" s="29" t="n">
        <v>2358.38</v>
      </c>
      <c r="AM39" s="29" t="n">
        <v>2843.84</v>
      </c>
      <c r="AN39" s="29" t="n">
        <v>3236.14</v>
      </c>
      <c r="AO39" s="30">
        <f>subQ!AO37</f>
        <v/>
      </c>
    </row>
    <row r="40">
      <c r="A40" s="12" t="inlineStr">
        <is>
          <t>drv:OP조선</t>
        </is>
      </c>
      <c r="B40" s="2" t="inlineStr">
        <is>
          <t>ratio</t>
        </is>
      </c>
      <c r="C40" t="inlineStr">
        <is>
          <t>OP조선 마진(/매출조선)</t>
        </is>
      </c>
      <c r="E40" s="21">
        <f>IFERROR(subQ!E38/subQ!E36,"")</f>
        <v/>
      </c>
      <c r="F40" s="22">
        <f>IFERROR(subQ!F38/subQ!F36,"")</f>
        <v/>
      </c>
      <c r="G40" s="21">
        <f>IFERROR(subQ!G38/subQ!G36,"")</f>
        <v/>
      </c>
      <c r="H40" s="21">
        <f>IFERROR(subQ!H38/subQ!H36,"")</f>
        <v/>
      </c>
      <c r="I40" s="21">
        <f>IFERROR(subQ!I38/subQ!I36,"")</f>
        <v/>
      </c>
      <c r="J40" s="21">
        <f>IFERROR(subQ!J38/subQ!J36,"")</f>
        <v/>
      </c>
      <c r="K40" s="22">
        <f>IFERROR(subQ!K38/subQ!K36,"")</f>
        <v/>
      </c>
      <c r="L40" s="21">
        <f>IFERROR(subQ!L38/subQ!L36,"")</f>
        <v/>
      </c>
      <c r="M40" s="21">
        <f>IFERROR(subQ!M38/subQ!M36,"")</f>
        <v/>
      </c>
      <c r="N40" s="21">
        <f>IFERROR(subQ!N38/subQ!N36,"")</f>
        <v/>
      </c>
      <c r="O40" s="21">
        <f>IFERROR(subQ!O38/subQ!O36,"")</f>
        <v/>
      </c>
      <c r="P40" s="22">
        <f>IFERROR(subQ!P38/subQ!P36,"")</f>
        <v/>
      </c>
      <c r="Q40" s="21">
        <f>IFERROR(subQ!Q38/subQ!Q36,"")</f>
        <v/>
      </c>
      <c r="R40" s="21">
        <f>IFERROR(subQ!R38/subQ!R36,"")</f>
        <v/>
      </c>
      <c r="S40" s="21">
        <f>IFERROR(subQ!S38/subQ!S36,"")</f>
        <v/>
      </c>
      <c r="T40" s="21">
        <f>IFERROR(subQ!T38/subQ!T36,"")</f>
        <v/>
      </c>
      <c r="U40" s="22">
        <f>IFERROR(subQ!U38/subQ!U36,"")</f>
        <v/>
      </c>
      <c r="V40" s="21">
        <f>IFERROR(subQ!V38/subQ!V36,"")</f>
        <v/>
      </c>
      <c r="W40" s="21">
        <f>IFERROR(subQ!W38/subQ!W36,"")</f>
        <v/>
      </c>
      <c r="X40" s="21">
        <f>IFERROR(subQ!X38/subQ!X36,"")</f>
        <v/>
      </c>
      <c r="Y40" s="21">
        <f>IFERROR(subQ!Y38/subQ!Y36,"")</f>
        <v/>
      </c>
      <c r="Z40" s="22">
        <f>IFERROR(subQ!Z38/subQ!Z36,"")</f>
        <v/>
      </c>
      <c r="AA40" s="21">
        <f>IFERROR(subQ!AA38/subQ!AA36,"")</f>
        <v/>
      </c>
      <c r="AB40" s="23">
        <f>IFERROR(subQ!AB38/subQ!AB36,"")</f>
        <v/>
      </c>
      <c r="AC40" s="31" t="n">
        <v>0.09015805</v>
      </c>
      <c r="AD40" s="31" t="n">
        <v>0.095074961</v>
      </c>
      <c r="AE40" s="25">
        <f>IFERROR(subQ!AE38/subQ!AE36,"")</f>
        <v/>
      </c>
      <c r="AF40" s="31" t="n">
        <v>0.096055981</v>
      </c>
      <c r="AG40" s="31" t="n">
        <v>0.097964892</v>
      </c>
      <c r="AH40" s="31" t="n">
        <v>0.09878698399999999</v>
      </c>
      <c r="AI40" s="31" t="n">
        <v>0.099639189</v>
      </c>
      <c r="AJ40" s="25">
        <f>IFERROR(subQ!AJ38/subQ!AJ36,"")</f>
        <v/>
      </c>
      <c r="AK40" s="31" t="n">
        <v>0.100935291</v>
      </c>
      <c r="AL40" s="31" t="n">
        <v>0.101626901</v>
      </c>
      <c r="AM40" s="31" t="n">
        <v>0.099193318</v>
      </c>
      <c r="AN40" s="31" t="n">
        <v>0.097282324</v>
      </c>
      <c r="AO40" s="25">
        <f>IFERROR(subQ!AO38/subQ!AO36,"")</f>
        <v/>
      </c>
    </row>
    <row r="41">
      <c r="A41" s="12" t="inlineStr">
        <is>
          <t>drv:매출기타</t>
        </is>
      </c>
      <c r="B41" s="2" t="inlineStr">
        <is>
          <t>yoy</t>
        </is>
      </c>
      <c r="C41" t="inlineStr">
        <is>
          <t>매출기타 YoY</t>
        </is>
      </c>
      <c r="E41" s="21" t="n"/>
      <c r="F41" s="22" t="n"/>
      <c r="G41" s="21" t="n"/>
      <c r="H41" s="21" t="n"/>
      <c r="I41" s="21" t="n"/>
      <c r="J41" s="21">
        <f>IFERROR(subQ!J40/subQ!E40-1,"")</f>
        <v/>
      </c>
      <c r="K41" s="22" t="n"/>
      <c r="L41" s="21">
        <f>IFERROR(subQ!L40/subQ!G40-1,"")</f>
        <v/>
      </c>
      <c r="M41" s="21">
        <f>IFERROR(subQ!M40/subQ!H40-1,"")</f>
        <v/>
      </c>
      <c r="N41" s="21">
        <f>IFERROR(subQ!N40/subQ!I40-1,"")</f>
        <v/>
      </c>
      <c r="O41" s="21">
        <f>IFERROR(subQ!O40/subQ!J40-1,"")</f>
        <v/>
      </c>
      <c r="P41" s="22" t="n"/>
      <c r="Q41" s="21">
        <f>IFERROR(subQ!Q40/subQ!L40-1,"")</f>
        <v/>
      </c>
      <c r="R41" s="21">
        <f>IFERROR(subQ!R40/subQ!M40-1,"")</f>
        <v/>
      </c>
      <c r="S41" s="21">
        <f>IFERROR(subQ!S40/subQ!N40-1,"")</f>
        <v/>
      </c>
      <c r="T41" s="21">
        <f>IFERROR(subQ!T40/subQ!O40-1,"")</f>
        <v/>
      </c>
      <c r="U41" s="22" t="n"/>
      <c r="V41" s="21">
        <f>IFERROR(subQ!V40/subQ!Q40-1,"")</f>
        <v/>
      </c>
      <c r="W41" s="21">
        <f>IFERROR(subQ!W40/subQ!R40-1,"")</f>
        <v/>
      </c>
      <c r="X41" s="21">
        <f>IFERROR(subQ!X40/subQ!S40-1,"")</f>
        <v/>
      </c>
      <c r="Y41" s="21">
        <f>IFERROR(subQ!Y40/subQ!T40-1,"")</f>
        <v/>
      </c>
      <c r="Z41" s="22" t="n"/>
      <c r="AA41" s="21">
        <f>IFERROR(subQ!AA40/subQ!V40-1,"")</f>
        <v/>
      </c>
      <c r="AB41" s="23">
        <f>IFERROR(subQ!AB40/subQ!W40-1,"")</f>
        <v/>
      </c>
      <c r="AC41" s="31" t="n">
        <v>0.092004263</v>
      </c>
      <c r="AD41" s="31" t="n">
        <v>0</v>
      </c>
      <c r="AE41" s="25" t="n"/>
      <c r="AF41" s="31" t="n">
        <v>0</v>
      </c>
      <c r="AG41" s="31" t="n">
        <v>-0.185882655</v>
      </c>
      <c r="AH41" s="31" t="n">
        <v>0</v>
      </c>
      <c r="AI41" s="31" t="n">
        <v>0</v>
      </c>
      <c r="AJ41" s="25" t="n"/>
      <c r="AK41" s="31" t="n">
        <v>0</v>
      </c>
      <c r="AL41" s="31" t="n">
        <v>0</v>
      </c>
      <c r="AM41" s="31" t="n">
        <v>0</v>
      </c>
      <c r="AN41" s="31" t="n">
        <v>0</v>
      </c>
      <c r="AO41" s="25" t="n"/>
    </row>
    <row r="42">
      <c r="A42" s="12" t="inlineStr">
        <is>
          <t>drv:OP기타</t>
        </is>
      </c>
      <c r="B42" s="2" t="inlineStr">
        <is>
          <t>ratio</t>
        </is>
      </c>
      <c r="C42" t="inlineStr">
        <is>
          <t>OP기타 마진(/매출기타)</t>
        </is>
      </c>
      <c r="E42" s="21">
        <f>IFERROR(subQ!E41/subQ!E40,"")</f>
        <v/>
      </c>
      <c r="F42" s="22">
        <f>IFERROR(subQ!F41/subQ!F40,"")</f>
        <v/>
      </c>
      <c r="G42" s="21">
        <f>IFERROR(subQ!G41/subQ!G40,"")</f>
        <v/>
      </c>
      <c r="H42" s="21">
        <f>IFERROR(subQ!H41/subQ!H40,"")</f>
        <v/>
      </c>
      <c r="I42" s="21">
        <f>IFERROR(subQ!I41/subQ!I40,"")</f>
        <v/>
      </c>
      <c r="J42" s="21">
        <f>IFERROR(subQ!J41/subQ!J40,"")</f>
        <v/>
      </c>
      <c r="K42" s="22">
        <f>IFERROR(subQ!K41/subQ!K40,"")</f>
        <v/>
      </c>
      <c r="L42" s="21">
        <f>IFERROR(subQ!L41/subQ!L40,"")</f>
        <v/>
      </c>
      <c r="M42" s="21">
        <f>IFERROR(subQ!M41/subQ!M40,"")</f>
        <v/>
      </c>
      <c r="N42" s="21">
        <f>IFERROR(subQ!N41/subQ!N40,"")</f>
        <v/>
      </c>
      <c r="O42" s="21">
        <f>IFERROR(subQ!O41/subQ!O40,"")</f>
        <v/>
      </c>
      <c r="P42" s="22">
        <f>IFERROR(subQ!P41/subQ!P40,"")</f>
        <v/>
      </c>
      <c r="Q42" s="21">
        <f>IFERROR(subQ!Q41/subQ!Q40,"")</f>
        <v/>
      </c>
      <c r="R42" s="21">
        <f>IFERROR(subQ!R41/subQ!R40,"")</f>
        <v/>
      </c>
      <c r="S42" s="21">
        <f>IFERROR(subQ!S41/subQ!S40,"")</f>
        <v/>
      </c>
      <c r="T42" s="21">
        <f>IFERROR(subQ!T41/subQ!T40,"")</f>
        <v/>
      </c>
      <c r="U42" s="22">
        <f>IFERROR(subQ!U41/subQ!U40,"")</f>
        <v/>
      </c>
      <c r="V42" s="21">
        <f>IFERROR(subQ!V41/subQ!V40,"")</f>
        <v/>
      </c>
      <c r="W42" s="21">
        <f>IFERROR(subQ!W41/subQ!W40,"")</f>
        <v/>
      </c>
      <c r="X42" s="21">
        <f>IFERROR(subQ!X41/subQ!X40,"")</f>
        <v/>
      </c>
      <c r="Y42" s="21">
        <f>IFERROR(subQ!Y41/subQ!Y40,"")</f>
        <v/>
      </c>
      <c r="Z42" s="22">
        <f>IFERROR(subQ!Z41/subQ!Z40,"")</f>
        <v/>
      </c>
      <c r="AA42" s="21">
        <f>IFERROR(subQ!AA41/subQ!AA40,"")</f>
        <v/>
      </c>
      <c r="AB42" s="23">
        <f>IFERROR(subQ!AB41/subQ!AB40,"")</f>
        <v/>
      </c>
      <c r="AC42" s="31" t="n">
        <v>0.090155665</v>
      </c>
      <c r="AD42" s="31" t="n">
        <v>0.09507544800000001</v>
      </c>
      <c r="AE42" s="25">
        <f>IFERROR(subQ!AE41/subQ!AE40,"")</f>
        <v/>
      </c>
      <c r="AF42" s="31" t="n">
        <v>0.096058671</v>
      </c>
      <c r="AG42" s="31" t="n">
        <v>0.097966416</v>
      </c>
      <c r="AH42" s="31" t="n">
        <v>0.098788215</v>
      </c>
      <c r="AI42" s="31" t="n">
        <v>0.099635694</v>
      </c>
      <c r="AJ42" s="25">
        <f>IFERROR(subQ!AJ41/subQ!AJ40,"")</f>
        <v/>
      </c>
      <c r="AK42" s="31" t="n">
        <v>0.100934429</v>
      </c>
      <c r="AL42" s="31" t="n">
        <v>0.101627821</v>
      </c>
      <c r="AM42" s="31" t="n">
        <v>0.09919544499999999</v>
      </c>
      <c r="AN42" s="31" t="n">
        <v>0.097280362</v>
      </c>
      <c r="AO42" s="25">
        <f>IFERROR(subQ!AO41/subQ!AO40,"")</f>
        <v/>
      </c>
    </row>
    <row r="43"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B44" s="1" t="inlineStr">
        <is>
          <t>3. 밸류에이션·스칼라</t>
        </is>
      </c>
      <c r="C44" s="2" t="inlineStr">
        <is>
          <t>노란 셀 = 가정. '연결' 표시는 추정 전 분기 수식이 이 셀을 참조한다는 뜻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sc:종가</t>
        </is>
      </c>
      <c r="C45" t="inlineStr">
        <is>
          <t>종가</t>
        </is>
      </c>
      <c r="D45" s="34" t="n">
        <v>13410</v>
      </c>
      <c r="E45" s="2" t="inlineStr">
        <is>
          <t>원 — 네이버 정규장 종가(aik 확정종가 대조 · aik 13,500원)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sc:기준일</t>
        </is>
      </c>
      <c r="C46" t="inlineStr">
        <is>
          <t>기준일</t>
        </is>
      </c>
      <c r="D46" s="35" t="inlineStr">
        <is>
          <t>20261014</t>
        </is>
      </c>
      <c r="E46" s="2" t="inlineStr">
        <is>
          <t>종가 기준일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sc:COE</t>
        </is>
      </c>
      <c r="C47" t="inlineStr">
        <is>
          <t>COE</t>
        </is>
      </c>
      <c r="D47" s="31" t="n">
        <v>0.09</v>
      </c>
      <c r="E47" s="2" t="inlineStr">
        <is>
          <t>자기자본비용(가정) — TP 적정 PBR = ROE/COE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sc:PER_lo</t>
        </is>
      </c>
      <c r="C48" t="inlineStr">
        <is>
          <t>PER_lo</t>
        </is>
      </c>
      <c r="D48" s="29" t="n">
        <v>15.6</v>
      </c>
      <c r="E48" s="2" t="inlineStr">
        <is>
          <t>PER 밴드 하단(배) — hist_quarterly(분기 평균가 ÷ TTM EPS, 6분기, 25/50/75 백분위) · 캡 5~30배 적용(원값 15.6/25.6/41.6)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sc:PER_mid</t>
        </is>
      </c>
      <c r="C49" t="inlineStr">
        <is>
          <t>PER_mid</t>
        </is>
      </c>
      <c r="D49" s="29" t="n">
        <v>25.6</v>
      </c>
      <c r="E49" s="2" t="inlineStr">
        <is>
          <t>PER 밴드 중단(배)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sc:PER_hi</t>
        </is>
      </c>
      <c r="C50" t="inlineStr">
        <is>
          <t>PER_hi</t>
        </is>
      </c>
      <c r="D50" s="29" t="n">
        <v>30</v>
      </c>
      <c r="E50" s="2" t="inlineStr">
        <is>
          <t>PER 밴드 상단(배)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sc:EPS_Y1가중</t>
        </is>
      </c>
      <c r="C51" t="inlineStr">
        <is>
          <t>EPS_Y1가중</t>
        </is>
      </c>
      <c r="D51" s="31" t="n">
        <v>0.5</v>
      </c>
      <c r="E51" s="2" t="inlineStr">
        <is>
          <t>12M fwd EPS = FY(last_actual연도)E × w + FY+1E × (1−w) — 기준 분기 2Q 이면 0.5(가정)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sc:세율</t>
        </is>
      </c>
      <c r="C52" t="inlineStr">
        <is>
          <t>세율</t>
        </is>
      </c>
      <c r="D52" s="36" t="n">
        <v>0.0045</v>
      </c>
      <c r="E52" s="2" t="inlineStr">
        <is>
          <t>참고(연결 안 됨: 이월결손 램프(assumptions.tax_schedule, 0.45%→22%) — 분기별 세율 드라이버 행 사용) — 모델 assumptions 값(시작 0.45% → terminal 22%, 2026Q4 까지 유지 → 2027Q1~2028Q4 선형 램프 — 분기별 값은 2절 drv:법인세비용 행) · 최근 8분기 중 세전 &gt; 0 인 6분기(2024Q3~2026Q2) 법인세/세전 중위 0.5%·최근 4분기 중위 0.1% 가 모두 5% 미만 → 이월결손 공제 중으로 보고 0.5% 를 2026Q4 까지 유지, 2027Q1~2028Q4 선형 램프로 법정세율 근사 22% 수렴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sc:판관비율</t>
        </is>
      </c>
      <c r="C53" t="inlineStr">
        <is>
          <t>판관비율</t>
        </is>
      </c>
      <c r="D53" s="36" t="n">
        <v>0.05359723274754401</v>
      </c>
      <c r="E53" s="2" t="inlineStr">
        <is>
          <t>연결 — 판관비 = 매출액 × 판관비율(역산, 재현 오차 ≤ 0.05억 · 모델 assumptions 0.0536)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sc:지배주주비중</t>
        </is>
      </c>
      <c r="C54" t="inlineStr">
        <is>
          <t>지배주주비중</t>
        </is>
      </c>
      <c r="D54" s="36" t="n">
        <v>1</v>
      </c>
      <c r="E54" s="2" t="inlineStr">
        <is>
          <t>연결 — 지배주주순이익 = 당기순이익 × 비중(역산, 재현 오차 ≤ 0.05억)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sc:이자율_자산</t>
        </is>
      </c>
      <c r="C55" t="inlineStr">
        <is>
          <t>이자율_자산</t>
        </is>
      </c>
      <c r="D55" s="36" t="n">
        <v>0.03234797457070401</v>
      </c>
      <c r="E55" s="2" t="inlineStr">
        <is>
          <t>연결 — 이자손익 = (전분기 이자발생자산 × 자산이자율 − 전분기 총차입금 × 부채이자율)/4(역산, 재현 오차 ≤ 0.05억 · 모델 assumptions 0.0323)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sc:이자율_부채</t>
        </is>
      </c>
      <c r="C56" t="inlineStr">
        <is>
          <t>이자율_부채</t>
        </is>
      </c>
      <c r="D56" s="36" t="n">
        <v>0.07870390338519757</v>
      </c>
      <c r="E56" s="2" t="inlineStr">
        <is>
          <t>연결 — 같은 수식의 부채 쪽(총차입금 행이 없으면 0)(역산, 재현 오차 ≤ 0.05억 · 모델 assumptions 0.0787)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sc:배당성향</t>
        </is>
      </c>
      <c r="C57" t="inlineStr">
        <is>
          <t>배당성향</t>
        </is>
      </c>
      <c r="D57" s="31" t="n">
        <v>0</v>
      </c>
      <c r="E57" s="2" t="inlineStr">
        <is>
          <t>배당성향(참고 — 모델은 직전 DPS 유지·Q2 지급 가정)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s="12" t="inlineStr">
        <is>
          <t>sc:외화순노출_백만$</t>
        </is>
      </c>
      <c r="C58" t="inlineStr">
        <is>
          <t>외화순노출_백만$</t>
        </is>
      </c>
      <c r="D58" s="29" t="n"/>
      <c r="E58" s="2" t="inlineStr">
        <is>
          <t>외화 순노출 × Δ기말환율 (외화 시트 방식) — 외화 순노출 미공시(face) → 0 + 표기</t>
        </is>
      </c>
      <c r="F58" s="9" t="n"/>
      <c r="K58" s="9" t="n"/>
      <c r="P58" s="9" t="n"/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s="12" t="inlineStr">
        <is>
          <t>sc:헤지비율</t>
        </is>
      </c>
      <c r="C59" t="inlineStr">
        <is>
          <t>헤지비율</t>
        </is>
      </c>
      <c r="D59" s="31" t="n">
        <v>0.7</v>
      </c>
      <c r="E59" s="2" t="inlineStr">
        <is>
          <t>SLS 원화 = Σ 스케줄 × (헤지비율 × 헤지환율 + (1−헤지비율) × 건조시점 환율[원/달러(평균)]) — estimate · 통화선도 공시 없음 → HEDGE 70% 가정(레퍼런스 SLS 시트 HEDGE 행은 미포 65%·삼성重 100% — 그 사이에 둔 설정값). hedge_rate 는 계약별 수주시점 환율로 대체</t>
        </is>
      </c>
      <c r="F59" s="9" t="n"/>
      <c r="K59" s="9" t="n"/>
      <c r="P59" s="9" t="n"/>
      <c r="U59" s="9" t="n"/>
      <c r="Z59" s="9" t="n"/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s="12" t="inlineStr">
        <is>
          <t>sc:헤지환율_약정</t>
        </is>
      </c>
      <c r="C60" t="inlineStr">
        <is>
          <t>헤지환율_약정</t>
        </is>
      </c>
      <c r="D60" s="16" t="n"/>
      <c r="E60" s="2" t="inlineStr">
        <is>
          <t>정기보고서 평균 약정환율(measured) — 비어 있으면 계약별 수주시점 환율(fx_at_sign)을 쓴다</t>
        </is>
      </c>
      <c r="F60" s="9" t="n"/>
      <c r="K60" s="9" t="n"/>
      <c r="P60" s="9" t="n"/>
      <c r="U60" s="9" t="n"/>
      <c r="Z60" s="9" t="n"/>
      <c r="AB60" s="5" t="n"/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HJ중공업(연)</t>
        </is>
      </c>
      <c r="C3" s="2" t="inlineStr">
        <is>
          <t>UPDATE: 26-10-14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948999</v>
      </c>
      <c r="F5" s="37" t="n">
        <v>948999</v>
      </c>
      <c r="G5" s="18" t="n">
        <v>934919</v>
      </c>
      <c r="H5" s="18" t="n">
        <v>905536</v>
      </c>
      <c r="I5" s="18" t="n">
        <v>919574</v>
      </c>
      <c r="J5" s="18" t="n">
        <v>1430318</v>
      </c>
      <c r="K5" s="37" t="n">
        <v>1430318</v>
      </c>
      <c r="L5" s="18" t="n">
        <v>1527237</v>
      </c>
      <c r="M5" s="18" t="n">
        <v>1499074</v>
      </c>
      <c r="N5" s="18" t="n">
        <v>1721672</v>
      </c>
      <c r="O5" s="18" t="n">
        <v>1727429</v>
      </c>
      <c r="P5" s="37" t="n">
        <v>1727429</v>
      </c>
      <c r="Q5" s="18" t="n">
        <v>1684956</v>
      </c>
      <c r="R5" s="18" t="n">
        <v>1604577</v>
      </c>
      <c r="S5" s="18" t="n">
        <v>1043559</v>
      </c>
      <c r="T5" s="18" t="n">
        <v>1073183</v>
      </c>
      <c r="U5" s="37" t="n">
        <v>1073183</v>
      </c>
      <c r="V5" s="18" t="n">
        <v>1087315</v>
      </c>
      <c r="W5" s="18" t="n">
        <v>1150434</v>
      </c>
      <c r="X5" s="18" t="n">
        <v>1161936</v>
      </c>
      <c r="Y5" s="18" t="n">
        <v>1258882</v>
      </c>
      <c r="Z5" s="37" t="n">
        <v>1258882</v>
      </c>
      <c r="AA5" s="18" t="n">
        <v>1259495</v>
      </c>
      <c r="AB5" s="19" t="n">
        <v>1444391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118309</v>
      </c>
      <c r="F6" s="37" t="n">
        <v>118309</v>
      </c>
      <c r="G6" s="18" t="n">
        <v>117115</v>
      </c>
      <c r="H6" s="18" t="n">
        <v>136160</v>
      </c>
      <c r="I6" s="18" t="n">
        <v>82734</v>
      </c>
      <c r="J6" s="18" t="n">
        <v>102233</v>
      </c>
      <c r="K6" s="37" t="n">
        <v>102233</v>
      </c>
      <c r="L6" s="18" t="n">
        <v>151777</v>
      </c>
      <c r="M6" s="18" t="n">
        <v>129563</v>
      </c>
      <c r="N6" s="18" t="n">
        <v>354177</v>
      </c>
      <c r="O6" s="18" t="n">
        <v>350257</v>
      </c>
      <c r="P6" s="37" t="n">
        <v>350257</v>
      </c>
      <c r="Q6" s="18" t="n">
        <v>286569</v>
      </c>
      <c r="R6" s="18" t="n">
        <v>257006</v>
      </c>
      <c r="S6" s="18" t="n">
        <v>195208</v>
      </c>
      <c r="T6" s="18" t="n">
        <v>207128</v>
      </c>
      <c r="U6" s="37" t="n">
        <v>207128</v>
      </c>
      <c r="V6" s="18" t="n">
        <v>80370</v>
      </c>
      <c r="W6" s="18" t="n">
        <v>170190</v>
      </c>
      <c r="X6" s="18" t="n">
        <v>202147</v>
      </c>
      <c r="Y6" s="18" t="n">
        <v>332206</v>
      </c>
      <c r="Z6" s="37" t="n">
        <v>332206</v>
      </c>
      <c r="AA6" s="18" t="n">
        <v>163666</v>
      </c>
      <c r="AB6" s="19" t="n">
        <v>249747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45186</v>
      </c>
      <c r="F7" s="37" t="n">
        <v>45186</v>
      </c>
      <c r="G7" s="18" t="n">
        <v>39745</v>
      </c>
      <c r="H7" s="18" t="n">
        <v>27373</v>
      </c>
      <c r="I7" s="18" t="n">
        <v>22968</v>
      </c>
      <c r="J7" s="18" t="n">
        <v>53406</v>
      </c>
      <c r="K7" s="37" t="n">
        <v>53406</v>
      </c>
      <c r="L7" s="18" t="n">
        <v>16846</v>
      </c>
      <c r="M7" s="18" t="n">
        <v>12287</v>
      </c>
      <c r="N7" s="18" t="n">
        <v>12344</v>
      </c>
      <c r="O7" s="18" t="n">
        <v>12562</v>
      </c>
      <c r="P7" s="37" t="n">
        <v>12562</v>
      </c>
      <c r="Q7" s="18" t="n">
        <v>12582</v>
      </c>
      <c r="R7" s="18" t="n">
        <v>11366</v>
      </c>
      <c r="S7" s="18" t="n">
        <v>32232</v>
      </c>
      <c r="T7" s="18" t="n">
        <v>24244</v>
      </c>
      <c r="U7" s="37" t="n">
        <v>24244</v>
      </c>
      <c r="V7" s="18" t="n">
        <v>32937</v>
      </c>
      <c r="W7" s="18" t="n">
        <v>43023</v>
      </c>
      <c r="X7" s="18" t="n">
        <v>32489</v>
      </c>
      <c r="Z7" s="9" t="n"/>
      <c r="AA7" s="18" t="n">
        <v>22279</v>
      </c>
      <c r="AB7" s="19" t="n">
        <v>25642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45186</v>
      </c>
      <c r="F8" s="37" t="n">
        <v>45186</v>
      </c>
      <c r="G8" s="18" t="n">
        <v>39745</v>
      </c>
      <c r="H8" s="18" t="n">
        <v>27373</v>
      </c>
      <c r="I8" s="18" t="n">
        <v>22968</v>
      </c>
      <c r="J8" s="18" t="n">
        <v>53406</v>
      </c>
      <c r="K8" s="37" t="n">
        <v>53406</v>
      </c>
      <c r="L8" s="18" t="n">
        <v>16846</v>
      </c>
      <c r="M8" s="18" t="n">
        <v>12287</v>
      </c>
      <c r="N8" s="18" t="n">
        <v>12344</v>
      </c>
      <c r="O8" s="18" t="n">
        <v>12562</v>
      </c>
      <c r="P8" s="37" t="n">
        <v>12562</v>
      </c>
      <c r="Q8" s="18" t="n">
        <v>12582</v>
      </c>
      <c r="R8" s="18" t="n">
        <v>11366</v>
      </c>
      <c r="S8" s="18" t="n">
        <v>32232</v>
      </c>
      <c r="T8" s="18" t="n">
        <v>24244</v>
      </c>
      <c r="U8" s="37" t="n">
        <v>24244</v>
      </c>
      <c r="V8" s="18" t="n">
        <v>32937</v>
      </c>
      <c r="W8" s="18" t="n">
        <v>43023</v>
      </c>
      <c r="X8" s="18" t="n">
        <v>32489</v>
      </c>
      <c r="Z8" s="9" t="n"/>
      <c r="AA8" s="18" t="n">
        <v>22279</v>
      </c>
      <c r="AB8" s="19" t="n">
        <v>25642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125946</v>
      </c>
      <c r="F9" s="37" t="n">
        <v>125946</v>
      </c>
      <c r="G9" s="18" t="n">
        <v>81033</v>
      </c>
      <c r="H9" s="18" t="n">
        <v>111314</v>
      </c>
      <c r="I9" s="18" t="n">
        <v>120201</v>
      </c>
      <c r="J9" s="18" t="n">
        <v>191243</v>
      </c>
      <c r="K9" s="37" t="n">
        <v>191243</v>
      </c>
      <c r="L9" s="18" t="n">
        <v>174100</v>
      </c>
      <c r="M9" s="18" t="n">
        <v>140661</v>
      </c>
      <c r="N9" s="18" t="n">
        <v>88754</v>
      </c>
      <c r="O9" s="18" t="n">
        <v>187650</v>
      </c>
      <c r="P9" s="37" t="n">
        <v>187650</v>
      </c>
      <c r="Q9" s="18" t="n">
        <v>202263</v>
      </c>
      <c r="R9" s="18" t="n">
        <v>206662</v>
      </c>
      <c r="S9" s="18" t="n">
        <v>134221</v>
      </c>
      <c r="T9" s="18" t="n">
        <v>140270</v>
      </c>
      <c r="U9" s="37" t="n">
        <v>140270</v>
      </c>
      <c r="V9" s="18" t="n">
        <v>152468</v>
      </c>
      <c r="W9" s="18" t="n">
        <v>165509</v>
      </c>
      <c r="X9" s="18" t="n">
        <v>152458</v>
      </c>
      <c r="Y9" s="18" t="n">
        <v>182938</v>
      </c>
      <c r="Z9" s="37" t="n">
        <v>182938</v>
      </c>
      <c r="AA9" s="18" t="n">
        <v>149796</v>
      </c>
      <c r="AB9" s="19" t="n">
        <v>186655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계약자산</t>
        </is>
      </c>
      <c r="E10" s="18" t="n">
        <v>267748</v>
      </c>
      <c r="F10" s="37" t="n">
        <v>267748</v>
      </c>
      <c r="G10" s="18" t="n">
        <v>244889</v>
      </c>
      <c r="H10" s="18" t="n">
        <v>158347</v>
      </c>
      <c r="I10" s="18" t="n">
        <v>217745</v>
      </c>
      <c r="J10" s="18" t="n">
        <v>233295</v>
      </c>
      <c r="K10" s="37" t="n">
        <v>233295</v>
      </c>
      <c r="L10" s="18" t="n">
        <v>220328</v>
      </c>
      <c r="M10" s="18" t="n">
        <v>268614</v>
      </c>
      <c r="N10" s="18" t="n">
        <v>330340</v>
      </c>
      <c r="O10" s="18" t="n">
        <v>387498</v>
      </c>
      <c r="P10" s="37" t="n">
        <v>387498</v>
      </c>
      <c r="Q10" s="18" t="n">
        <v>288610</v>
      </c>
      <c r="R10" s="18" t="n">
        <v>267775</v>
      </c>
      <c r="S10" s="18" t="n">
        <v>210411</v>
      </c>
      <c r="T10" s="18" t="n">
        <v>274766</v>
      </c>
      <c r="U10" s="37" t="n">
        <v>274766</v>
      </c>
      <c r="V10" s="18" t="n">
        <v>270254</v>
      </c>
      <c r="W10" s="18" t="n">
        <v>244218</v>
      </c>
      <c r="X10" s="18" t="n">
        <v>219922</v>
      </c>
      <c r="Y10" s="18" t="n">
        <v>225908</v>
      </c>
      <c r="Z10" s="37" t="n">
        <v>225908</v>
      </c>
      <c r="AA10" s="18" t="n">
        <v>371333</v>
      </c>
      <c r="AB10" s="19" t="n">
        <v>419831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선급금</t>
        </is>
      </c>
      <c r="E11" s="18" t="n">
        <v>149511</v>
      </c>
      <c r="F11" s="37" t="n">
        <v>149511</v>
      </c>
      <c r="G11" s="18" t="n">
        <v>197216</v>
      </c>
      <c r="H11" s="18" t="n">
        <v>195378</v>
      </c>
      <c r="I11" s="18" t="n">
        <v>186976</v>
      </c>
      <c r="J11" s="18" t="n">
        <v>166055</v>
      </c>
      <c r="K11" s="37" t="n">
        <v>166055</v>
      </c>
      <c r="L11" s="18" t="n">
        <v>213315</v>
      </c>
      <c r="M11" s="18" t="n">
        <v>213426</v>
      </c>
      <c r="N11" s="18" t="n">
        <v>194801</v>
      </c>
      <c r="O11" s="18" t="n">
        <v>204693</v>
      </c>
      <c r="P11" s="37" t="n">
        <v>204693</v>
      </c>
      <c r="Q11" s="18" t="n">
        <v>290391</v>
      </c>
      <c r="R11" s="18" t="n">
        <v>278756</v>
      </c>
      <c r="S11" s="18" t="n">
        <v>290243</v>
      </c>
      <c r="T11" s="18" t="n">
        <v>250695</v>
      </c>
      <c r="U11" s="37" t="n">
        <v>250695</v>
      </c>
      <c r="V11" s="18" t="n">
        <v>343448</v>
      </c>
      <c r="W11" s="18" t="n">
        <v>316910</v>
      </c>
      <c r="X11" s="18" t="n">
        <v>326142</v>
      </c>
      <c r="Y11" s="18" t="n">
        <v>272035</v>
      </c>
      <c r="Z11" s="37" t="n">
        <v>272035</v>
      </c>
      <c r="AA11" s="18" t="n">
        <v>313316</v>
      </c>
      <c r="AB11" s="19" t="n">
        <v>324473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선급금등</t>
        </is>
      </c>
      <c r="E12" s="18" t="n">
        <v>149511</v>
      </c>
      <c r="F12" s="37" t="n">
        <v>149511</v>
      </c>
      <c r="G12" s="18" t="n">
        <v>197216</v>
      </c>
      <c r="H12" s="18" t="n">
        <v>195378</v>
      </c>
      <c r="I12" s="18" t="n">
        <v>186976</v>
      </c>
      <c r="J12" s="18" t="n">
        <v>166055</v>
      </c>
      <c r="K12" s="37" t="n">
        <v>166055</v>
      </c>
      <c r="L12" s="18" t="n">
        <v>213315</v>
      </c>
      <c r="M12" s="18" t="n">
        <v>213426</v>
      </c>
      <c r="N12" s="18" t="n">
        <v>194801</v>
      </c>
      <c r="O12" s="18" t="n">
        <v>204693</v>
      </c>
      <c r="P12" s="37" t="n">
        <v>204693</v>
      </c>
      <c r="Q12" s="18" t="n">
        <v>290391</v>
      </c>
      <c r="R12" s="18" t="n">
        <v>278756</v>
      </c>
      <c r="S12" s="18" t="n">
        <v>290243</v>
      </c>
      <c r="T12" s="18" t="n">
        <v>250695</v>
      </c>
      <c r="U12" s="37" t="n">
        <v>250695</v>
      </c>
      <c r="V12" s="18" t="n">
        <v>343448</v>
      </c>
      <c r="W12" s="18" t="n">
        <v>316910</v>
      </c>
      <c r="X12" s="18" t="n">
        <v>326142</v>
      </c>
      <c r="Y12" s="18" t="n">
        <v>272035</v>
      </c>
      <c r="Z12" s="37" t="n">
        <v>272035</v>
      </c>
      <c r="AA12" s="18" t="n">
        <v>313316</v>
      </c>
      <c r="AB12" s="19" t="n">
        <v>324473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기타유동자산</t>
        </is>
      </c>
      <c r="E13" s="18" t="n">
        <v>211903</v>
      </c>
      <c r="F13" s="37" t="n">
        <v>211903</v>
      </c>
      <c r="G13" s="18" t="n">
        <v>265279</v>
      </c>
      <c r="H13" s="18" t="n">
        <v>260427</v>
      </c>
      <c r="I13" s="18" t="n">
        <v>249701</v>
      </c>
      <c r="J13" s="18" t="n">
        <v>226637</v>
      </c>
      <c r="K13" s="37" t="n">
        <v>226637</v>
      </c>
      <c r="L13" s="18" t="n">
        <v>281024</v>
      </c>
      <c r="M13" s="18" t="n">
        <v>273368</v>
      </c>
      <c r="N13" s="18" t="n">
        <v>251191</v>
      </c>
      <c r="O13" s="18" t="n">
        <v>261430</v>
      </c>
      <c r="P13" s="37" t="n">
        <v>261430</v>
      </c>
      <c r="Q13" s="18" t="n">
        <v>357675</v>
      </c>
      <c r="R13" s="18" t="n">
        <v>337450</v>
      </c>
      <c r="S13" s="18" t="n">
        <v>349685</v>
      </c>
      <c r="T13" s="18" t="n">
        <v>315072</v>
      </c>
      <c r="U13" s="37" t="n">
        <v>315072</v>
      </c>
      <c r="V13" s="18" t="n">
        <v>416850</v>
      </c>
      <c r="W13" s="18" t="n">
        <v>398286</v>
      </c>
      <c r="X13" s="18" t="n">
        <v>413773</v>
      </c>
      <c r="Y13" s="18" t="n">
        <v>357976</v>
      </c>
      <c r="Z13" s="37" t="n">
        <v>357976</v>
      </c>
      <c r="AA13" s="18" t="n">
        <v>415652</v>
      </c>
      <c r="AB13" s="19" t="n">
        <v>424375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재고자산</t>
        </is>
      </c>
      <c r="E14" s="18" t="n">
        <v>147110</v>
      </c>
      <c r="F14" s="37" t="n">
        <v>147110</v>
      </c>
      <c r="G14" s="18" t="n">
        <v>149202</v>
      </c>
      <c r="H14" s="18" t="n">
        <v>181122</v>
      </c>
      <c r="I14" s="18" t="n">
        <v>210942</v>
      </c>
      <c r="J14" s="18" t="n">
        <v>200698</v>
      </c>
      <c r="K14" s="37" t="n">
        <v>200698</v>
      </c>
      <c r="L14" s="18" t="n">
        <v>220097</v>
      </c>
      <c r="M14" s="18" t="n">
        <v>249327</v>
      </c>
      <c r="N14" s="18" t="n">
        <v>235852</v>
      </c>
      <c r="O14" s="18" t="n">
        <v>135297</v>
      </c>
      <c r="P14" s="37" t="n">
        <v>135297</v>
      </c>
      <c r="Q14" s="18" t="n">
        <v>146227</v>
      </c>
      <c r="R14" s="18" t="n">
        <v>134224</v>
      </c>
      <c r="S14" s="18" t="n">
        <v>115631</v>
      </c>
      <c r="T14" s="18" t="n">
        <v>105441</v>
      </c>
      <c r="U14" s="37" t="n">
        <v>105441</v>
      </c>
      <c r="V14" s="18" t="n">
        <v>125217</v>
      </c>
      <c r="W14" s="18" t="n">
        <v>120608</v>
      </c>
      <c r="X14" s="18" t="n">
        <v>122852</v>
      </c>
      <c r="Y14" s="18" t="n">
        <v>115769</v>
      </c>
      <c r="Z14" s="37" t="n">
        <v>115769</v>
      </c>
      <c r="AA14" s="18" t="n">
        <v>122106</v>
      </c>
      <c r="AB14" s="19" t="n">
        <v>125168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기타유동금융자산</t>
        </is>
      </c>
      <c r="E15" s="18" t="n">
        <v>32717</v>
      </c>
      <c r="F15" s="37" t="n">
        <v>32717</v>
      </c>
      <c r="G15" s="18" t="n">
        <v>27576</v>
      </c>
      <c r="H15" s="18" t="n">
        <v>20713</v>
      </c>
      <c r="I15" s="18" t="n">
        <v>15203</v>
      </c>
      <c r="J15" s="18" t="n">
        <v>33262</v>
      </c>
      <c r="K15" s="37" t="n">
        <v>33262</v>
      </c>
      <c r="L15" s="18" t="n">
        <v>33560</v>
      </c>
      <c r="M15" s="18" t="n">
        <v>15757</v>
      </c>
      <c r="N15" s="18" t="n">
        <v>6042</v>
      </c>
      <c r="O15" s="18" t="n">
        <v>8897</v>
      </c>
      <c r="P15" s="37" t="n">
        <v>8897</v>
      </c>
      <c r="Q15" s="18" t="n">
        <v>7199</v>
      </c>
      <c r="R15" s="18" t="n">
        <v>6269</v>
      </c>
      <c r="S15" s="18" t="n">
        <v>6091</v>
      </c>
      <c r="T15" s="18" t="n">
        <v>6262</v>
      </c>
      <c r="U15" s="37" t="n">
        <v>6262</v>
      </c>
      <c r="V15" s="18" t="n">
        <v>9219</v>
      </c>
      <c r="W15" s="18" t="n">
        <v>8600</v>
      </c>
      <c r="X15" s="18" t="n">
        <v>18295</v>
      </c>
      <c r="Y15" s="18" t="n">
        <v>17966</v>
      </c>
      <c r="Z15" s="37" t="n">
        <v>17966</v>
      </c>
      <c r="AA15" s="18" t="n">
        <v>14663</v>
      </c>
      <c r="AB15" s="19" t="n">
        <v>12973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매각예정비유동자산및처분자산</t>
        </is>
      </c>
      <c r="E16" s="18" t="n">
        <v>80</v>
      </c>
      <c r="F16" s="37" t="n">
        <v>80</v>
      </c>
      <c r="G16" s="18" t="n">
        <v>80</v>
      </c>
      <c r="H16" s="18" t="n">
        <v>80</v>
      </c>
      <c r="I16" s="18" t="n">
        <v>80</v>
      </c>
      <c r="J16" s="18" t="n">
        <v>379542</v>
      </c>
      <c r="K16" s="37" t="n">
        <v>379542</v>
      </c>
      <c r="L16" s="18" t="n">
        <v>379542</v>
      </c>
      <c r="M16" s="18" t="n">
        <v>379542</v>
      </c>
      <c r="N16" s="18" t="n">
        <v>379542</v>
      </c>
      <c r="O16" s="18" t="n">
        <v>379542</v>
      </c>
      <c r="P16" s="37" t="n">
        <v>379542</v>
      </c>
      <c r="Q16" s="18" t="n">
        <v>379542</v>
      </c>
      <c r="R16" s="18" t="n">
        <v>379542</v>
      </c>
      <c r="S16" s="18" t="n">
        <v>80</v>
      </c>
      <c r="T16" s="18" t="n">
        <v>0</v>
      </c>
      <c r="U16" s="37" t="n">
        <v>0</v>
      </c>
      <c r="Y16" s="18" t="n">
        <v>0</v>
      </c>
      <c r="Z16" s="37" t="n">
        <v>0</v>
      </c>
      <c r="AB16" s="5" t="n"/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비유동자산</t>
        </is>
      </c>
      <c r="E17" s="18" t="n">
        <v>1436237</v>
      </c>
      <c r="F17" s="37" t="n">
        <v>1436237</v>
      </c>
      <c r="G17" s="18" t="n">
        <v>1437022</v>
      </c>
      <c r="H17" s="18" t="n">
        <v>1499898</v>
      </c>
      <c r="I17" s="18" t="n">
        <v>1508661</v>
      </c>
      <c r="J17" s="18" t="n">
        <v>1137379</v>
      </c>
      <c r="K17" s="37" t="n">
        <v>1137379</v>
      </c>
      <c r="L17" s="18" t="n">
        <v>1117654</v>
      </c>
      <c r="M17" s="18" t="n">
        <v>1124410</v>
      </c>
      <c r="N17" s="18" t="n">
        <v>1056109</v>
      </c>
      <c r="O17" s="18" t="n">
        <v>1163156</v>
      </c>
      <c r="P17" s="37" t="n">
        <v>1163156</v>
      </c>
      <c r="Q17" s="18" t="n">
        <v>1167916</v>
      </c>
      <c r="R17" s="18" t="n">
        <v>1159935</v>
      </c>
      <c r="S17" s="18" t="n">
        <v>1143077</v>
      </c>
      <c r="T17" s="18" t="n">
        <v>1131246</v>
      </c>
      <c r="U17" s="37" t="n">
        <v>1131246</v>
      </c>
      <c r="V17" s="18" t="n">
        <v>1132069</v>
      </c>
      <c r="W17" s="18" t="n">
        <v>1134733</v>
      </c>
      <c r="X17" s="18" t="n">
        <v>1126095</v>
      </c>
      <c r="Y17" s="18" t="n">
        <v>1194200</v>
      </c>
      <c r="Z17" s="37" t="n">
        <v>1194200</v>
      </c>
      <c r="AA17" s="18" t="n">
        <v>1192015</v>
      </c>
      <c r="AB17" s="19" t="n">
        <v>1199989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종속기업및관계기업투자</t>
        </is>
      </c>
      <c r="E18" s="18" t="n">
        <v>36250</v>
      </c>
      <c r="F18" s="37" t="n">
        <v>36250</v>
      </c>
      <c r="G18" s="18" t="n">
        <v>36057</v>
      </c>
      <c r="H18" s="18" t="n">
        <v>45863</v>
      </c>
      <c r="I18" s="18" t="n">
        <v>45985</v>
      </c>
      <c r="J18" s="18" t="n">
        <v>45985</v>
      </c>
      <c r="K18" s="37" t="n">
        <v>45985</v>
      </c>
      <c r="L18" s="18" t="n">
        <v>46138</v>
      </c>
      <c r="M18" s="18" t="n">
        <v>61401</v>
      </c>
      <c r="N18" s="18" t="n">
        <v>59818</v>
      </c>
      <c r="O18" s="18" t="n">
        <v>61737</v>
      </c>
      <c r="P18" s="37" t="n">
        <v>61737</v>
      </c>
      <c r="Q18" s="18" t="n">
        <v>59238</v>
      </c>
      <c r="R18" s="18" t="n">
        <v>60312</v>
      </c>
      <c r="S18" s="18" t="n">
        <v>57373</v>
      </c>
      <c r="T18" s="18" t="n">
        <v>52170</v>
      </c>
      <c r="U18" s="37" t="n">
        <v>52170</v>
      </c>
      <c r="V18" s="18" t="n">
        <v>58501</v>
      </c>
      <c r="W18" s="18" t="n">
        <v>60396</v>
      </c>
      <c r="X18" s="18" t="n">
        <v>39989</v>
      </c>
      <c r="Y18" s="18" t="n">
        <v>39086</v>
      </c>
      <c r="Z18" s="37" t="n">
        <v>39086</v>
      </c>
      <c r="AA18" s="18" t="n">
        <v>38893</v>
      </c>
      <c r="AB18" s="19" t="n">
        <v>40702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투자자산</t>
        </is>
      </c>
      <c r="E19" s="18" t="n">
        <v>88694</v>
      </c>
      <c r="F19" s="37" t="n">
        <v>88694</v>
      </c>
      <c r="G19" s="18" t="n">
        <v>90602</v>
      </c>
      <c r="H19" s="18" t="n">
        <v>109543</v>
      </c>
      <c r="I19" s="18" t="n">
        <v>130421</v>
      </c>
      <c r="J19" s="18" t="n">
        <v>130707</v>
      </c>
      <c r="K19" s="37" t="n">
        <v>130707</v>
      </c>
      <c r="L19" s="18" t="n">
        <v>142903</v>
      </c>
      <c r="M19" s="18" t="n">
        <v>150247</v>
      </c>
      <c r="N19" s="18" t="n">
        <v>151509</v>
      </c>
      <c r="O19" s="18" t="n">
        <v>156794</v>
      </c>
      <c r="P19" s="37" t="n">
        <v>156794</v>
      </c>
      <c r="Q19" s="18" t="n">
        <v>156218</v>
      </c>
      <c r="R19" s="18" t="n">
        <v>150884</v>
      </c>
      <c r="S19" s="18" t="n">
        <v>140633</v>
      </c>
      <c r="T19" s="18" t="n">
        <v>135418</v>
      </c>
      <c r="U19" s="37" t="n">
        <v>135418</v>
      </c>
      <c r="V19" s="18" t="n">
        <v>145936</v>
      </c>
      <c r="W19" s="18" t="n">
        <v>144027</v>
      </c>
      <c r="X19" s="18" t="n">
        <v>135210</v>
      </c>
      <c r="Y19" s="18" t="n">
        <v>115422</v>
      </c>
      <c r="Z19" s="37" t="n">
        <v>115422</v>
      </c>
      <c r="AA19" s="18" t="n">
        <v>119305</v>
      </c>
      <c r="AB19" s="19" t="n">
        <v>123529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유형자산</t>
        </is>
      </c>
      <c r="E20" s="18" t="n">
        <v>923488</v>
      </c>
      <c r="F20" s="37" t="n">
        <v>923488</v>
      </c>
      <c r="G20" s="18" t="n">
        <v>925918</v>
      </c>
      <c r="H20" s="18" t="n">
        <v>969278</v>
      </c>
      <c r="I20" s="18" t="n">
        <v>973379</v>
      </c>
      <c r="J20" s="18" t="n">
        <v>644984</v>
      </c>
      <c r="K20" s="37" t="n">
        <v>644984</v>
      </c>
      <c r="L20" s="18" t="n">
        <v>643554</v>
      </c>
      <c r="M20" s="18" t="n">
        <v>642554</v>
      </c>
      <c r="N20" s="18" t="n">
        <v>642000</v>
      </c>
      <c r="O20" s="18" t="n">
        <v>745840</v>
      </c>
      <c r="P20" s="37" t="n">
        <v>745840</v>
      </c>
      <c r="Q20" s="18" t="n">
        <v>745993</v>
      </c>
      <c r="R20" s="18" t="n">
        <v>743881</v>
      </c>
      <c r="S20" s="18" t="n">
        <v>742429</v>
      </c>
      <c r="T20" s="18" t="n">
        <v>740427</v>
      </c>
      <c r="U20" s="37" t="n">
        <v>740427</v>
      </c>
      <c r="V20" s="18" t="n">
        <v>738843</v>
      </c>
      <c r="W20" s="18" t="n">
        <v>738493</v>
      </c>
      <c r="X20" s="18" t="n">
        <v>740851</v>
      </c>
      <c r="Y20" s="18" t="n">
        <v>822328</v>
      </c>
      <c r="Z20" s="37" t="n">
        <v>822328</v>
      </c>
      <c r="AA20" s="18" t="n">
        <v>821228</v>
      </c>
      <c r="AB20" s="19" t="n">
        <v>823995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투자부동산</t>
        </is>
      </c>
      <c r="E21" s="18" t="n">
        <v>59891</v>
      </c>
      <c r="F21" s="37" t="n">
        <v>59891</v>
      </c>
      <c r="G21" s="18" t="n">
        <v>59798</v>
      </c>
      <c r="H21" s="18" t="n">
        <v>59704</v>
      </c>
      <c r="I21" s="18" t="n">
        <v>59611</v>
      </c>
      <c r="J21" s="18" t="n">
        <v>10643</v>
      </c>
      <c r="K21" s="37" t="n">
        <v>10643</v>
      </c>
      <c r="L21" s="18" t="n">
        <v>10643</v>
      </c>
      <c r="M21" s="18" t="n">
        <v>10643</v>
      </c>
      <c r="N21" s="18" t="n">
        <v>10643</v>
      </c>
      <c r="O21" s="18" t="n">
        <v>56345</v>
      </c>
      <c r="P21" s="37" t="n">
        <v>56345</v>
      </c>
      <c r="Q21" s="18" t="n">
        <v>55337</v>
      </c>
      <c r="R21" s="18" t="n">
        <v>52374</v>
      </c>
      <c r="S21" s="18" t="n">
        <v>50605</v>
      </c>
      <c r="T21" s="18" t="n">
        <v>48478</v>
      </c>
      <c r="U21" s="37" t="n">
        <v>48478</v>
      </c>
      <c r="V21" s="18" t="n">
        <v>46700</v>
      </c>
      <c r="W21" s="18" t="n">
        <v>44918</v>
      </c>
      <c r="X21" s="18" t="n">
        <v>43541</v>
      </c>
      <c r="Y21" s="18" t="n">
        <v>42005</v>
      </c>
      <c r="Z21" s="37" t="n">
        <v>42005</v>
      </c>
      <c r="AA21" s="18" t="n">
        <v>38820</v>
      </c>
      <c r="AB21" s="19" t="n">
        <v>38488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무형자산</t>
        </is>
      </c>
      <c r="E22" s="18" t="n">
        <v>6209</v>
      </c>
      <c r="F22" s="37" t="n">
        <v>6209</v>
      </c>
      <c r="G22" s="18" t="n">
        <v>6094</v>
      </c>
      <c r="H22" s="18" t="n">
        <v>5979</v>
      </c>
      <c r="I22" s="18" t="n">
        <v>5865</v>
      </c>
      <c r="J22" s="18" t="n">
        <v>5748</v>
      </c>
      <c r="K22" s="37" t="n">
        <v>5748</v>
      </c>
      <c r="L22" s="18" t="n">
        <v>5635</v>
      </c>
      <c r="M22" s="18" t="n">
        <v>6224</v>
      </c>
      <c r="N22" s="18" t="n">
        <v>5536</v>
      </c>
      <c r="O22" s="18" t="n">
        <v>5416</v>
      </c>
      <c r="P22" s="37" t="n">
        <v>5416</v>
      </c>
      <c r="Q22" s="18" t="n">
        <v>5301</v>
      </c>
      <c r="R22" s="18" t="n">
        <v>5168</v>
      </c>
      <c r="S22" s="18" t="n">
        <v>5053</v>
      </c>
      <c r="T22" s="18" t="n">
        <v>4940</v>
      </c>
      <c r="U22" s="37" t="n">
        <v>4940</v>
      </c>
      <c r="V22" s="18" t="n">
        <v>4825</v>
      </c>
      <c r="W22" s="18" t="n">
        <v>4708</v>
      </c>
      <c r="X22" s="18" t="n">
        <v>4593</v>
      </c>
      <c r="Y22" s="18" t="n">
        <v>4479</v>
      </c>
      <c r="Z22" s="37" t="n">
        <v>4479</v>
      </c>
      <c r="AA22" s="18" t="n">
        <v>4364</v>
      </c>
      <c r="AB22" s="19" t="n">
        <v>4249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장기대여금</t>
        </is>
      </c>
      <c r="E23" s="18" t="n">
        <v>44026</v>
      </c>
      <c r="F23" s="37" t="n">
        <v>44026</v>
      </c>
      <c r="G23" s="18" t="n">
        <v>47165</v>
      </c>
      <c r="H23" s="18" t="n">
        <v>60983</v>
      </c>
      <c r="I23" s="18" t="n">
        <v>79778</v>
      </c>
      <c r="J23" s="18" t="n">
        <v>80036</v>
      </c>
      <c r="K23" s="37" t="n">
        <v>80036</v>
      </c>
      <c r="L23" s="18" t="n">
        <v>85839</v>
      </c>
      <c r="M23" s="18" t="n">
        <v>80538</v>
      </c>
      <c r="N23" s="18" t="n">
        <v>83411</v>
      </c>
      <c r="O23" s="18" t="n">
        <v>87206</v>
      </c>
      <c r="P23" s="37" t="n">
        <v>87206</v>
      </c>
      <c r="Q23" s="18" t="n">
        <v>88692</v>
      </c>
      <c r="R23" s="18" t="n">
        <v>87067</v>
      </c>
      <c r="S23" s="18" t="n">
        <v>81840</v>
      </c>
      <c r="T23" s="18" t="n">
        <v>79469</v>
      </c>
      <c r="U23" s="37" t="n">
        <v>79469</v>
      </c>
      <c r="V23" s="18" t="n">
        <v>83954</v>
      </c>
      <c r="W23" s="18" t="n">
        <v>80064</v>
      </c>
      <c r="X23" s="18" t="n">
        <v>89654</v>
      </c>
      <c r="Y23" s="18" t="n">
        <v>71374</v>
      </c>
      <c r="Z23" s="37" t="n">
        <v>71374</v>
      </c>
      <c r="AA23" s="18" t="n">
        <v>75590</v>
      </c>
      <c r="AB23" s="19" t="n">
        <v>76730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사용권자산</t>
        </is>
      </c>
      <c r="E24" s="18" t="n">
        <v>185908</v>
      </c>
      <c r="F24" s="37" t="n">
        <v>185908</v>
      </c>
      <c r="G24" s="18" t="n">
        <v>184257</v>
      </c>
      <c r="H24" s="18" t="n">
        <v>183731</v>
      </c>
      <c r="I24" s="18" t="n">
        <v>183002</v>
      </c>
      <c r="J24" s="18" t="n">
        <v>181681</v>
      </c>
      <c r="K24" s="37" t="n">
        <v>181681</v>
      </c>
      <c r="L24" s="18" t="n">
        <v>180966</v>
      </c>
      <c r="M24" s="18" t="n">
        <v>180233</v>
      </c>
      <c r="N24" s="18" t="n">
        <v>93155</v>
      </c>
      <c r="O24" s="18" t="n">
        <v>46514</v>
      </c>
      <c r="P24" s="37" t="n">
        <v>46514</v>
      </c>
      <c r="Q24" s="18" t="n">
        <v>44015</v>
      </c>
      <c r="R24" s="18" t="n">
        <v>44146</v>
      </c>
      <c r="S24" s="18" t="n">
        <v>42273</v>
      </c>
      <c r="T24" s="18" t="n">
        <v>41620</v>
      </c>
      <c r="U24" s="37" t="n">
        <v>41620</v>
      </c>
      <c r="V24" s="18" t="n">
        <v>39488</v>
      </c>
      <c r="W24" s="18" t="n">
        <v>47924</v>
      </c>
      <c r="X24" s="18" t="n">
        <v>45908</v>
      </c>
      <c r="Y24" s="18" t="n">
        <v>43870</v>
      </c>
      <c r="Z24" s="37" t="n">
        <v>43870</v>
      </c>
      <c r="AA24" s="18" t="n">
        <v>43124</v>
      </c>
      <c r="AB24" s="19" t="n">
        <v>39979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기타비유동자산</t>
        </is>
      </c>
      <c r="E25" s="18" t="n">
        <v>224791</v>
      </c>
      <c r="F25" s="37" t="n">
        <v>224791</v>
      </c>
      <c r="G25" s="18" t="n">
        <v>222252</v>
      </c>
      <c r="H25" s="18" t="n">
        <v>223165</v>
      </c>
      <c r="I25" s="18" t="n">
        <v>206634</v>
      </c>
      <c r="J25" s="18" t="n">
        <v>210622</v>
      </c>
      <c r="K25" s="37" t="n">
        <v>210622</v>
      </c>
      <c r="L25" s="18" t="n">
        <v>210867</v>
      </c>
      <c r="M25" s="18" t="n">
        <v>211254</v>
      </c>
      <c r="N25" s="18" t="n">
        <v>134434</v>
      </c>
      <c r="O25" s="18" t="n">
        <v>89941</v>
      </c>
      <c r="P25" s="37" t="n">
        <v>89941</v>
      </c>
      <c r="Q25" s="18" t="n">
        <v>91352</v>
      </c>
      <c r="R25" s="18" t="n">
        <v>92884</v>
      </c>
      <c r="S25" s="18" t="n">
        <v>89490</v>
      </c>
      <c r="T25" s="18" t="n">
        <v>84698</v>
      </c>
      <c r="U25" s="37" t="n">
        <v>84698</v>
      </c>
      <c r="V25" s="18" t="n">
        <v>79002</v>
      </c>
      <c r="W25" s="18" t="n">
        <v>85538</v>
      </c>
      <c r="X25" s="18" t="n">
        <v>84270</v>
      </c>
      <c r="Y25" s="18" t="n">
        <v>92026</v>
      </c>
      <c r="Z25" s="37" t="n">
        <v>92026</v>
      </c>
      <c r="AA25" s="18" t="n">
        <v>90614</v>
      </c>
      <c r="AB25" s="19" t="n">
        <v>91902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장기매출채권및기타채권</t>
        </is>
      </c>
      <c r="E26" s="18" t="n">
        <v>339</v>
      </c>
      <c r="F26" s="37" t="n">
        <v>339</v>
      </c>
      <c r="G26" s="18" t="n">
        <v>346</v>
      </c>
      <c r="H26" s="18" t="n">
        <v>0</v>
      </c>
      <c r="I26" s="18" t="n">
        <v>0</v>
      </c>
      <c r="J26" s="18" t="n">
        <v>0</v>
      </c>
      <c r="K26" s="37" t="n">
        <v>0</v>
      </c>
      <c r="O26" s="18" t="n">
        <v>0</v>
      </c>
      <c r="P26" s="37" t="n">
        <v>0</v>
      </c>
      <c r="T26" s="18" t="n">
        <v>0</v>
      </c>
      <c r="U26" s="37" t="n">
        <v>0</v>
      </c>
      <c r="Y26" s="18" t="n">
        <v>0</v>
      </c>
      <c r="Z26" s="37" t="n">
        <v>0</v>
      </c>
      <c r="AB26" s="5" t="n"/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장기금융자산</t>
        </is>
      </c>
      <c r="E27" s="18" t="n">
        <v>8418</v>
      </c>
      <c r="F27" s="37" t="n">
        <v>8418</v>
      </c>
      <c r="G27" s="18" t="n">
        <v>7380</v>
      </c>
      <c r="H27" s="18" t="n">
        <v>2697</v>
      </c>
      <c r="I27" s="18" t="n">
        <v>4658</v>
      </c>
      <c r="J27" s="18" t="n">
        <v>4686</v>
      </c>
      <c r="K27" s="37" t="n">
        <v>4686</v>
      </c>
      <c r="L27" s="18" t="n">
        <v>10926</v>
      </c>
      <c r="M27" s="18" t="n">
        <v>8308</v>
      </c>
      <c r="N27" s="18" t="n">
        <v>8280</v>
      </c>
      <c r="O27" s="18" t="n">
        <v>7851</v>
      </c>
      <c r="P27" s="37" t="n">
        <v>7851</v>
      </c>
      <c r="Q27" s="18" t="n">
        <v>8288</v>
      </c>
      <c r="R27" s="18" t="n">
        <v>3505</v>
      </c>
      <c r="S27" s="18" t="n">
        <v>1420</v>
      </c>
      <c r="T27" s="18" t="n">
        <v>3779</v>
      </c>
      <c r="U27" s="37" t="n">
        <v>3779</v>
      </c>
      <c r="V27" s="18" t="n">
        <v>3481</v>
      </c>
      <c r="W27" s="18" t="n">
        <v>3567</v>
      </c>
      <c r="X27" s="18" t="n">
        <v>5567</v>
      </c>
      <c r="Y27" s="18" t="n">
        <v>4962</v>
      </c>
      <c r="Z27" s="37" t="n">
        <v>4962</v>
      </c>
      <c r="AA27" s="18" t="n">
        <v>4822</v>
      </c>
      <c r="AB27" s="19" t="n">
        <v>6097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자산총계</t>
        </is>
      </c>
      <c r="E28" s="18" t="n">
        <v>2385236</v>
      </c>
      <c r="F28" s="37" t="n">
        <v>2385236</v>
      </c>
      <c r="G28" s="18" t="n">
        <v>2371941</v>
      </c>
      <c r="H28" s="18" t="n">
        <v>2405434</v>
      </c>
      <c r="I28" s="18" t="n">
        <v>2428235</v>
      </c>
      <c r="J28" s="18" t="n">
        <v>2567697</v>
      </c>
      <c r="K28" s="37" t="n">
        <v>2567697</v>
      </c>
      <c r="L28" s="18" t="n">
        <v>2644891</v>
      </c>
      <c r="M28" s="18" t="n">
        <v>2623484</v>
      </c>
      <c r="N28" s="18" t="n">
        <v>2777781</v>
      </c>
      <c r="O28" s="18" t="n">
        <v>2890585</v>
      </c>
      <c r="P28" s="37" t="n">
        <v>2890585</v>
      </c>
      <c r="Q28" s="18" t="n">
        <v>2852872</v>
      </c>
      <c r="R28" s="18" t="n">
        <v>2764512</v>
      </c>
      <c r="S28" s="18" t="n">
        <v>2186636</v>
      </c>
      <c r="T28" s="18" t="n">
        <v>2204429</v>
      </c>
      <c r="U28" s="37" t="n">
        <v>2204429</v>
      </c>
      <c r="V28" s="18" t="n">
        <v>2219384</v>
      </c>
      <c r="W28" s="18" t="n">
        <v>2285167</v>
      </c>
      <c r="X28" s="18" t="n">
        <v>2288031</v>
      </c>
      <c r="Y28" s="18" t="n">
        <v>2453082</v>
      </c>
      <c r="Z28" s="37" t="n">
        <v>2453082</v>
      </c>
      <c r="AA28" s="18" t="n">
        <v>2451510</v>
      </c>
      <c r="AB28" s="19" t="n">
        <v>2644380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유동부채</t>
        </is>
      </c>
      <c r="E29" s="18" t="n">
        <v>949994</v>
      </c>
      <c r="F29" s="37" t="n">
        <v>949994</v>
      </c>
      <c r="G29" s="18" t="n">
        <v>934823</v>
      </c>
      <c r="H29" s="18" t="n">
        <v>892571</v>
      </c>
      <c r="I29" s="18" t="n">
        <v>1034810</v>
      </c>
      <c r="J29" s="18" t="n">
        <v>1418222</v>
      </c>
      <c r="K29" s="37" t="n">
        <v>1418222</v>
      </c>
      <c r="L29" s="18" t="n">
        <v>1555760</v>
      </c>
      <c r="M29" s="18" t="n">
        <v>2141496</v>
      </c>
      <c r="N29" s="18" t="n">
        <v>2133838</v>
      </c>
      <c r="O29" s="18" t="n">
        <v>2125811</v>
      </c>
      <c r="P29" s="37" t="n">
        <v>2125811</v>
      </c>
      <c r="Q29" s="18" t="n">
        <v>2066092</v>
      </c>
      <c r="R29" s="18" t="n">
        <v>2017808</v>
      </c>
      <c r="S29" s="18" t="n">
        <v>1485051</v>
      </c>
      <c r="T29" s="18" t="n">
        <v>1555136</v>
      </c>
      <c r="U29" s="37" t="n">
        <v>1555136</v>
      </c>
      <c r="V29" s="18" t="n">
        <v>1560570</v>
      </c>
      <c r="W29" s="18" t="n">
        <v>1577354</v>
      </c>
      <c r="X29" s="18" t="n">
        <v>1585489</v>
      </c>
      <c r="Y29" s="18" t="n">
        <v>1491810</v>
      </c>
      <c r="Z29" s="37" t="n">
        <v>1491810</v>
      </c>
      <c r="AA29" s="18" t="n">
        <v>1458784</v>
      </c>
      <c r="AB29" s="19" t="n">
        <v>1391706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매입채무및기타채무</t>
        </is>
      </c>
      <c r="E30" s="18" t="n">
        <v>314782</v>
      </c>
      <c r="F30" s="37" t="n">
        <v>314782</v>
      </c>
      <c r="G30" s="18" t="n">
        <v>257206</v>
      </c>
      <c r="H30" s="18" t="n">
        <v>260808</v>
      </c>
      <c r="I30" s="18" t="n">
        <v>262620</v>
      </c>
      <c r="J30" s="18" t="n">
        <v>330500</v>
      </c>
      <c r="K30" s="37" t="n">
        <v>330500</v>
      </c>
      <c r="L30" s="18" t="n">
        <v>353136</v>
      </c>
      <c r="M30" s="18" t="n">
        <v>405750</v>
      </c>
      <c r="N30" s="18" t="n">
        <v>396293</v>
      </c>
      <c r="O30" s="18" t="n">
        <v>475323</v>
      </c>
      <c r="P30" s="37" t="n">
        <v>475323</v>
      </c>
      <c r="Q30" s="18" t="n">
        <v>436846</v>
      </c>
      <c r="R30" s="18" t="n">
        <v>511763</v>
      </c>
      <c r="S30" s="18" t="n">
        <v>381001</v>
      </c>
      <c r="T30" s="18" t="n">
        <v>386632</v>
      </c>
      <c r="U30" s="37" t="n">
        <v>386632</v>
      </c>
      <c r="V30" s="18" t="n">
        <v>393985</v>
      </c>
      <c r="W30" s="18" t="n">
        <v>409447</v>
      </c>
      <c r="X30" s="18" t="n">
        <v>439740</v>
      </c>
      <c r="Y30" s="18" t="n">
        <v>399070</v>
      </c>
      <c r="Z30" s="37" t="n">
        <v>399070</v>
      </c>
      <c r="AA30" s="18" t="n">
        <v>397446</v>
      </c>
      <c r="AB30" s="19" t="n">
        <v>401860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유동성장기부채</t>
        </is>
      </c>
      <c r="E31" s="18" t="n">
        <v>150785</v>
      </c>
      <c r="F31" s="37" t="n">
        <v>150785</v>
      </c>
      <c r="G31" s="18" t="n">
        <v>150785</v>
      </c>
      <c r="H31" s="18" t="n">
        <v>70785</v>
      </c>
      <c r="I31" s="18" t="n">
        <v>70785</v>
      </c>
      <c r="J31" s="18" t="n">
        <v>70785</v>
      </c>
      <c r="K31" s="37" t="n">
        <v>70785</v>
      </c>
      <c r="L31" s="18" t="n">
        <v>123685</v>
      </c>
      <c r="M31" s="18" t="n">
        <v>657143</v>
      </c>
      <c r="N31" s="18" t="n">
        <v>662313</v>
      </c>
      <c r="O31" s="18" t="n">
        <v>656520</v>
      </c>
      <c r="P31" s="37" t="n">
        <v>656520</v>
      </c>
      <c r="Q31" s="18" t="n">
        <v>662635</v>
      </c>
      <c r="R31" s="18" t="n">
        <v>623770</v>
      </c>
      <c r="S31" s="18" t="n">
        <v>452151</v>
      </c>
      <c r="T31" s="18" t="n">
        <v>70178</v>
      </c>
      <c r="U31" s="37" t="n">
        <v>70178</v>
      </c>
      <c r="V31" s="18" t="n">
        <v>68176</v>
      </c>
      <c r="W31" s="18" t="n">
        <v>65926</v>
      </c>
      <c r="X31" s="18" t="n">
        <v>62896</v>
      </c>
      <c r="Y31" s="18" t="n">
        <v>87896</v>
      </c>
      <c r="Z31" s="37" t="n">
        <v>87896</v>
      </c>
      <c r="AA31" s="18" t="n">
        <v>87896</v>
      </c>
      <c r="AB31" s="19" t="n">
        <v>42646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계약부채</t>
        </is>
      </c>
      <c r="E32" s="18" t="n">
        <v>298803</v>
      </c>
      <c r="F32" s="37" t="n">
        <v>298803</v>
      </c>
      <c r="G32" s="18" t="n">
        <v>356841</v>
      </c>
      <c r="H32" s="18" t="n">
        <v>401262</v>
      </c>
      <c r="I32" s="18" t="n">
        <v>372818</v>
      </c>
      <c r="J32" s="18" t="n">
        <v>472547</v>
      </c>
      <c r="K32" s="37" t="n">
        <v>472547</v>
      </c>
      <c r="L32" s="18" t="n">
        <v>554724</v>
      </c>
      <c r="M32" s="18" t="n">
        <v>546181</v>
      </c>
      <c r="N32" s="18" t="n">
        <v>711032</v>
      </c>
      <c r="O32" s="18" t="n">
        <v>616653</v>
      </c>
      <c r="P32" s="37" t="n">
        <v>616653</v>
      </c>
      <c r="Q32" s="18" t="n">
        <v>635090</v>
      </c>
      <c r="R32" s="18" t="n">
        <v>578712</v>
      </c>
      <c r="S32" s="18" t="n">
        <v>457810</v>
      </c>
      <c r="T32" s="18" t="n">
        <v>507566</v>
      </c>
      <c r="U32" s="37" t="n">
        <v>507566</v>
      </c>
      <c r="V32" s="18" t="n">
        <v>518746</v>
      </c>
      <c r="W32" s="18" t="n">
        <v>618176</v>
      </c>
      <c r="X32" s="18" t="n">
        <v>607326</v>
      </c>
      <c r="Y32" s="18" t="n">
        <v>542275</v>
      </c>
      <c r="Z32" s="37" t="n">
        <v>542275</v>
      </c>
      <c r="AA32" s="18" t="n">
        <v>519638</v>
      </c>
      <c r="AB32" s="19" t="n">
        <v>565272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단기충당부채</t>
        </is>
      </c>
      <c r="E33" s="18" t="n">
        <v>143937</v>
      </c>
      <c r="F33" s="37" t="n">
        <v>143937</v>
      </c>
      <c r="G33" s="18" t="n">
        <v>124560</v>
      </c>
      <c r="H33" s="18" t="n">
        <v>113702</v>
      </c>
      <c r="I33" s="18" t="n">
        <v>100629</v>
      </c>
      <c r="J33" s="18" t="n">
        <v>131793</v>
      </c>
      <c r="K33" s="37" t="n">
        <v>131793</v>
      </c>
      <c r="L33" s="18" t="n">
        <v>113111</v>
      </c>
      <c r="M33" s="18" t="n">
        <v>127901</v>
      </c>
      <c r="N33" s="18" t="n">
        <v>119811</v>
      </c>
      <c r="O33" s="18" t="n">
        <v>132953</v>
      </c>
      <c r="P33" s="37" t="n">
        <v>132953</v>
      </c>
      <c r="Q33" s="18" t="n">
        <v>86857</v>
      </c>
      <c r="R33" s="18" t="n">
        <v>65063</v>
      </c>
      <c r="S33" s="18" t="n">
        <v>55403</v>
      </c>
      <c r="T33" s="18" t="n">
        <v>71805</v>
      </c>
      <c r="U33" s="37" t="n">
        <v>71805</v>
      </c>
      <c r="V33" s="18" t="n">
        <v>66097</v>
      </c>
      <c r="W33" s="18" t="n">
        <v>59700</v>
      </c>
      <c r="X33" s="18" t="n">
        <v>59636</v>
      </c>
      <c r="Y33" s="18" t="n">
        <v>50616</v>
      </c>
      <c r="Z33" s="37" t="n">
        <v>50616</v>
      </c>
      <c r="AA33" s="18" t="n">
        <v>44973</v>
      </c>
      <c r="AB33" s="19" t="n">
        <v>47563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기타유동금융부채</t>
        </is>
      </c>
      <c r="E34" s="18" t="n">
        <v>28688</v>
      </c>
      <c r="F34" s="37" t="n">
        <v>28688</v>
      </c>
      <c r="G34" s="18" t="n">
        <v>28765</v>
      </c>
      <c r="H34" s="18" t="n">
        <v>29401</v>
      </c>
      <c r="I34" s="18" t="n">
        <v>194259</v>
      </c>
      <c r="J34" s="18" t="n">
        <v>193791</v>
      </c>
      <c r="K34" s="37" t="n">
        <v>193791</v>
      </c>
      <c r="L34" s="18" t="n">
        <v>193875</v>
      </c>
      <c r="M34" s="18" t="n">
        <v>194121</v>
      </c>
      <c r="N34" s="18" t="n">
        <v>33779</v>
      </c>
      <c r="O34" s="18" t="n">
        <v>35581</v>
      </c>
      <c r="P34" s="37" t="n">
        <v>35581</v>
      </c>
      <c r="Q34" s="18" t="n">
        <v>36656</v>
      </c>
      <c r="R34" s="18" t="n">
        <v>31943</v>
      </c>
      <c r="S34" s="18" t="n">
        <v>29211</v>
      </c>
      <c r="T34" s="18" t="n">
        <v>28368</v>
      </c>
      <c r="U34" s="37" t="n">
        <v>28368</v>
      </c>
      <c r="V34" s="18" t="n">
        <v>30245</v>
      </c>
      <c r="W34" s="18" t="n">
        <v>31776</v>
      </c>
      <c r="X34" s="18" t="n">
        <v>29285</v>
      </c>
      <c r="Y34" s="18" t="n">
        <v>29616</v>
      </c>
      <c r="Z34" s="37" t="n">
        <v>29616</v>
      </c>
      <c r="AA34" s="18" t="n">
        <v>31985</v>
      </c>
      <c r="AB34" s="19" t="n">
        <v>35734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단기금융부채</t>
        </is>
      </c>
      <c r="E35" s="18" t="n">
        <v>28688</v>
      </c>
      <c r="F35" s="37" t="n">
        <v>28688</v>
      </c>
      <c r="G35" s="18" t="n">
        <v>28765</v>
      </c>
      <c r="H35" s="18" t="n">
        <v>29401</v>
      </c>
      <c r="I35" s="18" t="n">
        <v>194259</v>
      </c>
      <c r="J35" s="18" t="n">
        <v>193791</v>
      </c>
      <c r="K35" s="37" t="n">
        <v>193791</v>
      </c>
      <c r="L35" s="18" t="n">
        <v>193875</v>
      </c>
      <c r="M35" s="18" t="n">
        <v>194121</v>
      </c>
      <c r="N35" s="18" t="n">
        <v>33779</v>
      </c>
      <c r="O35" s="18" t="n">
        <v>35581</v>
      </c>
      <c r="P35" s="37" t="n">
        <v>35581</v>
      </c>
      <c r="Q35" s="18" t="n">
        <v>36656</v>
      </c>
      <c r="R35" s="18" t="n">
        <v>31943</v>
      </c>
      <c r="S35" s="18" t="n">
        <v>29211</v>
      </c>
      <c r="T35" s="18" t="n">
        <v>28368</v>
      </c>
      <c r="U35" s="37" t="n">
        <v>28368</v>
      </c>
      <c r="V35" s="18" t="n">
        <v>30245</v>
      </c>
      <c r="W35" s="18" t="n">
        <v>31776</v>
      </c>
      <c r="X35" s="18" t="n">
        <v>29285</v>
      </c>
      <c r="Y35" s="18" t="n">
        <v>29616</v>
      </c>
      <c r="Z35" s="37" t="n">
        <v>29616</v>
      </c>
      <c r="AA35" s="18" t="n">
        <v>31985</v>
      </c>
      <c r="AB35" s="19" t="n">
        <v>35734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기타유동부채</t>
        </is>
      </c>
      <c r="E36" s="18" t="n">
        <v>12999</v>
      </c>
      <c r="F36" s="37" t="n">
        <v>12999</v>
      </c>
      <c r="G36" s="18" t="n">
        <v>16666</v>
      </c>
      <c r="H36" s="18" t="n">
        <v>16613</v>
      </c>
      <c r="I36" s="18" t="n">
        <v>33699</v>
      </c>
      <c r="J36" s="18" t="n">
        <v>218806</v>
      </c>
      <c r="K36" s="37" t="n">
        <v>218806</v>
      </c>
      <c r="L36" s="18" t="n">
        <v>217229</v>
      </c>
      <c r="M36" s="18" t="n">
        <v>210400</v>
      </c>
      <c r="N36" s="18" t="n">
        <v>210610</v>
      </c>
      <c r="O36" s="18" t="n">
        <v>208781</v>
      </c>
      <c r="P36" s="37" t="n">
        <v>208781</v>
      </c>
      <c r="Q36" s="18" t="n">
        <v>208008</v>
      </c>
      <c r="R36" s="18" t="n">
        <v>206557</v>
      </c>
      <c r="S36" s="18" t="n">
        <v>109475</v>
      </c>
      <c r="T36" s="18" t="n">
        <v>108840</v>
      </c>
      <c r="U36" s="37" t="n">
        <v>108840</v>
      </c>
      <c r="V36" s="18" t="n">
        <v>109148</v>
      </c>
      <c r="W36" s="18" t="n">
        <v>110152</v>
      </c>
      <c r="X36" s="18" t="n">
        <v>110513</v>
      </c>
      <c r="Y36" s="18" t="n">
        <v>111817</v>
      </c>
      <c r="Z36" s="37" t="n">
        <v>111817</v>
      </c>
      <c r="AA36" s="18" t="n">
        <v>109403</v>
      </c>
      <c r="AB36" s="19" t="n">
        <v>108598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비유동부채</t>
        </is>
      </c>
      <c r="E37" s="18" t="n">
        <v>1003237</v>
      </c>
      <c r="F37" s="37" t="n">
        <v>1003237</v>
      </c>
      <c r="G37" s="18" t="n">
        <v>1015066</v>
      </c>
      <c r="H37" s="18" t="n">
        <v>1105384</v>
      </c>
      <c r="I37" s="18" t="n">
        <v>1006201</v>
      </c>
      <c r="J37" s="18" t="n">
        <v>764485</v>
      </c>
      <c r="K37" s="37" t="n">
        <v>764485</v>
      </c>
      <c r="L37" s="18" t="n">
        <v>728779</v>
      </c>
      <c r="M37" s="18" t="n">
        <v>201420</v>
      </c>
      <c r="N37" s="18" t="n">
        <v>367906</v>
      </c>
      <c r="O37" s="18" t="n">
        <v>423862</v>
      </c>
      <c r="P37" s="37" t="n">
        <v>423862</v>
      </c>
      <c r="Q37" s="18" t="n">
        <v>432029</v>
      </c>
      <c r="R37" s="18" t="n">
        <v>433452</v>
      </c>
      <c r="S37" s="18" t="n">
        <v>335929</v>
      </c>
      <c r="T37" s="18" t="n">
        <v>305896</v>
      </c>
      <c r="U37" s="37" t="n">
        <v>305896</v>
      </c>
      <c r="V37" s="18" t="n">
        <v>310079</v>
      </c>
      <c r="W37" s="18" t="n">
        <v>364169</v>
      </c>
      <c r="X37" s="18" t="n">
        <v>355236</v>
      </c>
      <c r="Y37" s="18" t="n">
        <v>291684</v>
      </c>
      <c r="Z37" s="37" t="n">
        <v>291684</v>
      </c>
      <c r="AA37" s="18" t="n">
        <v>298775</v>
      </c>
      <c r="AB37" s="19" t="n">
        <v>499746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사채</t>
        </is>
      </c>
      <c r="E38" s="18" t="n">
        <v>28455</v>
      </c>
      <c r="F38" s="37" t="n">
        <v>28455</v>
      </c>
      <c r="G38" s="18" t="n">
        <v>28695</v>
      </c>
      <c r="H38" s="18" t="n">
        <v>28937</v>
      </c>
      <c r="I38" s="18" t="n">
        <v>29179</v>
      </c>
      <c r="J38" s="18" t="n">
        <v>29421</v>
      </c>
      <c r="K38" s="37" t="n">
        <v>29421</v>
      </c>
      <c r="L38" s="18" t="n">
        <v>29664</v>
      </c>
      <c r="M38" s="18" t="n">
        <v>0</v>
      </c>
      <c r="N38" s="18" t="n">
        <v>0</v>
      </c>
      <c r="O38" s="18" t="n">
        <v>0</v>
      </c>
      <c r="P38" s="37" t="n">
        <v>0</v>
      </c>
      <c r="T38" s="18" t="n">
        <v>0</v>
      </c>
      <c r="U38" s="37" t="n">
        <v>0</v>
      </c>
      <c r="Y38" s="18" t="n">
        <v>0</v>
      </c>
      <c r="Z38" s="37" t="n">
        <v>0</v>
      </c>
      <c r="AB38" s="5" t="n"/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장기차입금</t>
        </is>
      </c>
      <c r="E39" s="18" t="n">
        <v>501064</v>
      </c>
      <c r="F39" s="37" t="n">
        <v>501064</v>
      </c>
      <c r="G39" s="18" t="n">
        <v>504714</v>
      </c>
      <c r="H39" s="18" t="n">
        <v>512205</v>
      </c>
      <c r="I39" s="18" t="n">
        <v>575853</v>
      </c>
      <c r="J39" s="18" t="n">
        <v>551007</v>
      </c>
      <c r="K39" s="37" t="n">
        <v>551007</v>
      </c>
      <c r="L39" s="18" t="n">
        <v>502539</v>
      </c>
      <c r="M39" s="18" t="n">
        <v>1571</v>
      </c>
      <c r="N39" s="18" t="n">
        <v>785</v>
      </c>
      <c r="O39" s="18" t="n">
        <v>25785</v>
      </c>
      <c r="P39" s="37" t="n">
        <v>25785</v>
      </c>
      <c r="Q39" s="18" t="n">
        <v>25785</v>
      </c>
      <c r="R39" s="18" t="n">
        <v>25785</v>
      </c>
      <c r="S39" s="18" t="n">
        <v>25000</v>
      </c>
      <c r="T39" s="18" t="n">
        <v>25000</v>
      </c>
      <c r="U39" s="37" t="n">
        <v>25000</v>
      </c>
      <c r="V39" s="18" t="n">
        <v>25000</v>
      </c>
      <c r="W39" s="18" t="n">
        <v>68428</v>
      </c>
      <c r="X39" s="18" t="n">
        <v>68610</v>
      </c>
      <c r="Y39" s="18" t="n">
        <v>43798</v>
      </c>
      <c r="Z39" s="37" t="n">
        <v>43798</v>
      </c>
      <c r="AA39" s="18" t="n">
        <v>43987</v>
      </c>
      <c r="AB39" s="19" t="n">
        <v>242397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확정급여부채</t>
        </is>
      </c>
      <c r="E40" s="18" t="n">
        <v>60832</v>
      </c>
      <c r="F40" s="37" t="n">
        <v>60832</v>
      </c>
      <c r="G40" s="18" t="n">
        <v>70087</v>
      </c>
      <c r="H40" s="18" t="n">
        <v>72630</v>
      </c>
      <c r="I40" s="18" t="n">
        <v>74669</v>
      </c>
      <c r="J40" s="18" t="n">
        <v>63747</v>
      </c>
      <c r="K40" s="37" t="n">
        <v>63747</v>
      </c>
      <c r="L40" s="18" t="n">
        <v>73192</v>
      </c>
      <c r="M40" s="18" t="n">
        <v>75422</v>
      </c>
      <c r="N40" s="18" t="n">
        <v>77765</v>
      </c>
      <c r="O40" s="18" t="n">
        <v>80222</v>
      </c>
      <c r="P40" s="37" t="n">
        <v>80222</v>
      </c>
      <c r="Q40" s="18" t="n">
        <v>88247</v>
      </c>
      <c r="R40" s="18" t="n">
        <v>90644</v>
      </c>
      <c r="S40" s="18" t="n">
        <v>94025</v>
      </c>
      <c r="T40" s="18" t="n">
        <v>92436</v>
      </c>
      <c r="U40" s="37" t="n">
        <v>92436</v>
      </c>
      <c r="V40" s="18" t="n">
        <v>101442</v>
      </c>
      <c r="W40" s="18" t="n">
        <v>104137</v>
      </c>
      <c r="X40" s="18" t="n">
        <v>107500</v>
      </c>
      <c r="Y40" s="18" t="n">
        <v>76072</v>
      </c>
      <c r="Z40" s="37" t="n">
        <v>76072</v>
      </c>
      <c r="AA40" s="18" t="n">
        <v>86530</v>
      </c>
      <c r="AB40" s="19" t="n">
        <v>89731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장기충당부채</t>
        </is>
      </c>
      <c r="E41" s="18" t="n">
        <v>17572</v>
      </c>
      <c r="F41" s="37" t="n">
        <v>17572</v>
      </c>
      <c r="G41" s="18" t="n">
        <v>16835</v>
      </c>
      <c r="H41" s="18" t="n">
        <v>16488</v>
      </c>
      <c r="I41" s="18" t="n">
        <v>17164</v>
      </c>
      <c r="J41" s="18" t="n">
        <v>17439</v>
      </c>
      <c r="K41" s="37" t="n">
        <v>17439</v>
      </c>
      <c r="L41" s="18" t="n">
        <v>18800</v>
      </c>
      <c r="M41" s="18" t="n">
        <v>20162</v>
      </c>
      <c r="N41" s="18" t="n">
        <v>19697</v>
      </c>
      <c r="O41" s="18" t="n">
        <v>24224</v>
      </c>
      <c r="P41" s="37" t="n">
        <v>24224</v>
      </c>
      <c r="Q41" s="18" t="n">
        <v>26319</v>
      </c>
      <c r="R41" s="18" t="n">
        <v>27245</v>
      </c>
      <c r="S41" s="18" t="n">
        <v>27155</v>
      </c>
      <c r="T41" s="18" t="n">
        <v>0</v>
      </c>
      <c r="U41" s="37" t="n">
        <v>0</v>
      </c>
      <c r="Y41" s="18" t="n">
        <v>0</v>
      </c>
      <c r="Z41" s="37" t="n">
        <v>0</v>
      </c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이연법인세부채</t>
        </is>
      </c>
      <c r="E42" s="18" t="n">
        <v>84194</v>
      </c>
      <c r="F42" s="37" t="n">
        <v>84194</v>
      </c>
      <c r="G42" s="18" t="n">
        <v>84194</v>
      </c>
      <c r="H42" s="18" t="n">
        <v>84194</v>
      </c>
      <c r="I42" s="18" t="n">
        <v>84194</v>
      </c>
      <c r="J42" s="18" t="n">
        <v>80368</v>
      </c>
      <c r="K42" s="37" t="n">
        <v>80368</v>
      </c>
      <c r="L42" s="18" t="n">
        <v>80367</v>
      </c>
      <c r="M42" s="18" t="n">
        <v>80367</v>
      </c>
      <c r="N42" s="18" t="n">
        <v>80367</v>
      </c>
      <c r="O42" s="18" t="n">
        <v>104537</v>
      </c>
      <c r="P42" s="37" t="n">
        <v>104537</v>
      </c>
      <c r="Q42" s="18" t="n">
        <v>104430</v>
      </c>
      <c r="R42" s="18" t="n">
        <v>104391</v>
      </c>
      <c r="S42" s="18" t="n">
        <v>104525</v>
      </c>
      <c r="T42" s="18" t="n">
        <v>104525</v>
      </c>
      <c r="U42" s="37" t="n">
        <v>104525</v>
      </c>
      <c r="V42" s="18" t="n">
        <v>104448</v>
      </c>
      <c r="W42" s="18" t="n">
        <v>104430</v>
      </c>
      <c r="X42" s="18" t="n">
        <v>104524</v>
      </c>
      <c r="Y42" s="18" t="n">
        <v>100060</v>
      </c>
      <c r="Z42" s="37" t="n">
        <v>100060</v>
      </c>
      <c r="AA42" s="18" t="n">
        <v>99944</v>
      </c>
      <c r="AB42" s="19" t="n">
        <v>99894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기타비유동금융부채</t>
        </is>
      </c>
      <c r="E43" s="18" t="n">
        <v>183575</v>
      </c>
      <c r="F43" s="37" t="n">
        <v>183575</v>
      </c>
      <c r="G43" s="18" t="n">
        <v>182872</v>
      </c>
      <c r="H43" s="18" t="n">
        <v>182638</v>
      </c>
      <c r="I43" s="18" t="n">
        <v>17647</v>
      </c>
      <c r="J43" s="18" t="n">
        <v>17121</v>
      </c>
      <c r="K43" s="37" t="n">
        <v>17121</v>
      </c>
      <c r="L43" s="18" t="n">
        <v>18668</v>
      </c>
      <c r="M43" s="18" t="n">
        <v>18183</v>
      </c>
      <c r="N43" s="18" t="n">
        <v>79319</v>
      </c>
      <c r="O43" s="18" t="n">
        <v>77909</v>
      </c>
      <c r="P43" s="37" t="n">
        <v>77909</v>
      </c>
      <c r="Q43" s="18" t="n">
        <v>75874</v>
      </c>
      <c r="R43" s="18" t="n">
        <v>73823</v>
      </c>
      <c r="S43" s="18" t="n">
        <v>68937</v>
      </c>
      <c r="T43" s="18" t="n">
        <v>66884</v>
      </c>
      <c r="U43" s="37" t="n">
        <v>66884</v>
      </c>
      <c r="V43" s="18" t="n">
        <v>61184</v>
      </c>
      <c r="W43" s="18" t="n">
        <v>66730</v>
      </c>
      <c r="X43" s="18" t="n">
        <v>63186</v>
      </c>
      <c r="Y43" s="18" t="n">
        <v>60922</v>
      </c>
      <c r="Z43" s="37" t="n">
        <v>60922</v>
      </c>
      <c r="AA43" s="18" t="n">
        <v>57191</v>
      </c>
      <c r="AB43" s="19" t="n">
        <v>54142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장기금융부채</t>
        </is>
      </c>
      <c r="E44" s="18" t="n">
        <v>183575</v>
      </c>
      <c r="F44" s="37" t="n">
        <v>183575</v>
      </c>
      <c r="G44" s="18" t="n">
        <v>182872</v>
      </c>
      <c r="H44" s="18" t="n">
        <v>182638</v>
      </c>
      <c r="I44" s="18" t="n">
        <v>17647</v>
      </c>
      <c r="J44" s="18" t="n">
        <v>17121</v>
      </c>
      <c r="K44" s="37" t="n">
        <v>17121</v>
      </c>
      <c r="L44" s="18" t="n">
        <v>18668</v>
      </c>
      <c r="M44" s="18" t="n">
        <v>18183</v>
      </c>
      <c r="N44" s="18" t="n">
        <v>79319</v>
      </c>
      <c r="O44" s="18" t="n">
        <v>77909</v>
      </c>
      <c r="P44" s="37" t="n">
        <v>77909</v>
      </c>
      <c r="Q44" s="18" t="n">
        <v>75874</v>
      </c>
      <c r="R44" s="18" t="n">
        <v>73823</v>
      </c>
      <c r="S44" s="18" t="n">
        <v>68937</v>
      </c>
      <c r="T44" s="18" t="n">
        <v>66884</v>
      </c>
      <c r="U44" s="37" t="n">
        <v>66884</v>
      </c>
      <c r="V44" s="18" t="n">
        <v>61184</v>
      </c>
      <c r="W44" s="18" t="n">
        <v>66730</v>
      </c>
      <c r="X44" s="18" t="n">
        <v>63186</v>
      </c>
      <c r="Y44" s="18" t="n">
        <v>60922</v>
      </c>
      <c r="Z44" s="37" t="n">
        <v>60922</v>
      </c>
      <c r="AA44" s="18" t="n">
        <v>57191</v>
      </c>
      <c r="AB44" s="19" t="n">
        <v>54142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기타비유동부채</t>
        </is>
      </c>
      <c r="E45" s="18" t="n">
        <v>127545</v>
      </c>
      <c r="F45" s="37" t="n">
        <v>127545</v>
      </c>
      <c r="G45" s="18" t="n">
        <v>127669</v>
      </c>
      <c r="H45" s="18" t="n">
        <v>208292</v>
      </c>
      <c r="I45" s="18" t="n">
        <v>207495</v>
      </c>
      <c r="J45" s="18" t="n">
        <v>5382</v>
      </c>
      <c r="K45" s="37" t="n">
        <v>5382</v>
      </c>
      <c r="L45" s="18" t="n">
        <v>5549</v>
      </c>
      <c r="M45" s="18" t="n">
        <v>5715</v>
      </c>
      <c r="N45" s="18" t="n">
        <v>109973</v>
      </c>
      <c r="O45" s="18" t="n">
        <v>111185</v>
      </c>
      <c r="P45" s="37" t="n">
        <v>111185</v>
      </c>
      <c r="Q45" s="18" t="n">
        <v>111374</v>
      </c>
      <c r="R45" s="18" t="n">
        <v>111564</v>
      </c>
      <c r="S45" s="18" t="n">
        <v>6140</v>
      </c>
      <c r="T45" s="18" t="n">
        <v>8806</v>
      </c>
      <c r="U45" s="37" t="n">
        <v>8806</v>
      </c>
      <c r="V45" s="18" t="n">
        <v>9058</v>
      </c>
      <c r="W45" s="18" t="n">
        <v>9310</v>
      </c>
      <c r="X45" s="18" t="n">
        <v>8860</v>
      </c>
      <c r="Y45" s="18" t="n">
        <v>10832</v>
      </c>
      <c r="Z45" s="37" t="n">
        <v>10832</v>
      </c>
      <c r="AA45" s="18" t="n">
        <v>11123</v>
      </c>
      <c r="AB45" s="19" t="n">
        <v>11414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부채총계</t>
        </is>
      </c>
      <c r="E46" s="18" t="n">
        <v>1953231</v>
      </c>
      <c r="F46" s="37" t="n">
        <v>1953231</v>
      </c>
      <c r="G46" s="18" t="n">
        <v>1949889</v>
      </c>
      <c r="H46" s="18" t="n">
        <v>1997955</v>
      </c>
      <c r="I46" s="18" t="n">
        <v>2041011</v>
      </c>
      <c r="J46" s="18" t="n">
        <v>2182707</v>
      </c>
      <c r="K46" s="37" t="n">
        <v>2182707</v>
      </c>
      <c r="L46" s="18" t="n">
        <v>2284539</v>
      </c>
      <c r="M46" s="18" t="n">
        <v>2342916</v>
      </c>
      <c r="N46" s="18" t="n">
        <v>2501744</v>
      </c>
      <c r="O46" s="18" t="n">
        <v>2549673</v>
      </c>
      <c r="P46" s="37" t="n">
        <v>2549673</v>
      </c>
      <c r="Q46" s="18" t="n">
        <v>2498121</v>
      </c>
      <c r="R46" s="18" t="n">
        <v>2451260</v>
      </c>
      <c r="S46" s="18" t="n">
        <v>1820980</v>
      </c>
      <c r="T46" s="18" t="n">
        <v>1861032</v>
      </c>
      <c r="U46" s="37" t="n">
        <v>1861032</v>
      </c>
      <c r="V46" s="18" t="n">
        <v>1870649</v>
      </c>
      <c r="W46" s="18" t="n">
        <v>1941523</v>
      </c>
      <c r="X46" s="18" t="n">
        <v>1940725</v>
      </c>
      <c r="Y46" s="18" t="n">
        <v>1783494</v>
      </c>
      <c r="Z46" s="37" t="n">
        <v>1783494</v>
      </c>
      <c r="AA46" s="18" t="n">
        <v>1757559</v>
      </c>
      <c r="AB46" s="19" t="n">
        <v>1891452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지배주주지분</t>
        </is>
      </c>
      <c r="E47" s="18" t="n">
        <v>432073</v>
      </c>
      <c r="F47" s="37" t="n">
        <v>432073</v>
      </c>
      <c r="G47" s="18" t="n">
        <v>422120</v>
      </c>
      <c r="H47" s="18" t="n">
        <v>407547</v>
      </c>
      <c r="I47" s="18" t="n">
        <v>387291</v>
      </c>
      <c r="J47" s="18" t="n">
        <v>385056</v>
      </c>
      <c r="K47" s="37" t="n">
        <v>385056</v>
      </c>
      <c r="L47" s="18" t="n">
        <v>360417</v>
      </c>
      <c r="M47" s="18" t="n">
        <v>280134</v>
      </c>
      <c r="N47" s="18" t="n">
        <v>275749</v>
      </c>
      <c r="O47" s="18" t="n">
        <v>340793</v>
      </c>
      <c r="P47" s="37" t="n">
        <v>340793</v>
      </c>
      <c r="Q47" s="18" t="n">
        <v>354787</v>
      </c>
      <c r="R47" s="18" t="n">
        <v>313212</v>
      </c>
      <c r="S47" s="18" t="n">
        <v>365642</v>
      </c>
      <c r="T47" s="18" t="n">
        <v>343448</v>
      </c>
      <c r="U47" s="37" t="n">
        <v>343448</v>
      </c>
      <c r="V47" s="18" t="n">
        <v>348784</v>
      </c>
      <c r="W47" s="18" t="n">
        <v>343690</v>
      </c>
      <c r="X47" s="18" t="n">
        <v>347350</v>
      </c>
      <c r="Y47" s="18" t="n">
        <v>669629</v>
      </c>
      <c r="Z47" s="37" t="n">
        <v>669629</v>
      </c>
      <c r="AA47" s="18" t="n">
        <v>693989</v>
      </c>
      <c r="AB47" s="19" t="n">
        <v>752963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자본금</t>
        </is>
      </c>
      <c r="E48" s="18" t="n">
        <v>416371</v>
      </c>
      <c r="F48" s="37" t="n">
        <v>416371</v>
      </c>
      <c r="G48" s="18" t="n">
        <v>416371</v>
      </c>
      <c r="H48" s="18" t="n">
        <v>416371</v>
      </c>
      <c r="I48" s="18" t="n">
        <v>416371</v>
      </c>
      <c r="J48" s="18" t="n">
        <v>416371</v>
      </c>
      <c r="K48" s="37" t="n">
        <v>416371</v>
      </c>
      <c r="L48" s="18" t="n">
        <v>416371</v>
      </c>
      <c r="M48" s="18" t="n">
        <v>416371</v>
      </c>
      <c r="N48" s="18" t="n">
        <v>416371</v>
      </c>
      <c r="O48" s="18" t="n">
        <v>416371</v>
      </c>
      <c r="P48" s="37" t="n">
        <v>416371</v>
      </c>
      <c r="Q48" s="18" t="n">
        <v>416371</v>
      </c>
      <c r="R48" s="18" t="n">
        <v>416371</v>
      </c>
      <c r="S48" s="18" t="n">
        <v>416371</v>
      </c>
      <c r="T48" s="18" t="n">
        <v>416371</v>
      </c>
      <c r="U48" s="37" t="n">
        <v>416371</v>
      </c>
      <c r="V48" s="18" t="n">
        <v>416371</v>
      </c>
      <c r="W48" s="18" t="n">
        <v>416371</v>
      </c>
      <c r="X48" s="18" t="n">
        <v>416371</v>
      </c>
      <c r="Y48" s="18" t="n">
        <v>451477</v>
      </c>
      <c r="Z48" s="37" t="n">
        <v>451477</v>
      </c>
      <c r="AA48" s="18" t="n">
        <v>451477</v>
      </c>
      <c r="AB48" s="19" t="n">
        <v>451477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자본잉여금</t>
        </is>
      </c>
      <c r="E49" s="18" t="n">
        <v>1050101</v>
      </c>
      <c r="F49" s="37" t="n">
        <v>1050101</v>
      </c>
      <c r="G49" s="18" t="n">
        <v>1050101</v>
      </c>
      <c r="H49" s="18" t="n">
        <v>1050101</v>
      </c>
      <c r="I49" s="18" t="n">
        <v>1050101</v>
      </c>
      <c r="J49" s="18" t="n">
        <v>1050101</v>
      </c>
      <c r="K49" s="37" t="n">
        <v>1050101</v>
      </c>
      <c r="L49" s="18" t="n">
        <v>1050101</v>
      </c>
      <c r="M49" s="18" t="n">
        <v>1050101</v>
      </c>
      <c r="N49" s="18" t="n">
        <v>1050101</v>
      </c>
      <c r="O49" s="18" t="n">
        <v>1050101</v>
      </c>
      <c r="P49" s="37" t="n">
        <v>1050101</v>
      </c>
      <c r="Q49" s="18" t="n">
        <v>1050101</v>
      </c>
      <c r="R49" s="18" t="n">
        <v>1050101</v>
      </c>
      <c r="S49" s="18" t="n">
        <v>1050101</v>
      </c>
      <c r="T49" s="18" t="n">
        <v>1050101</v>
      </c>
      <c r="U49" s="37" t="n">
        <v>1050101</v>
      </c>
      <c r="V49" s="18" t="n">
        <v>1050101</v>
      </c>
      <c r="W49" s="18" t="n">
        <v>1050101</v>
      </c>
      <c r="X49" s="18" t="n">
        <v>1050101</v>
      </c>
      <c r="Y49" s="18" t="n">
        <v>1224791</v>
      </c>
      <c r="Z49" s="37" t="n">
        <v>1224791</v>
      </c>
      <c r="AA49" s="18" t="n">
        <v>1224791</v>
      </c>
      <c r="AB49" s="19" t="n">
        <v>1224791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이익잉여금</t>
        </is>
      </c>
      <c r="E50" s="18" t="n">
        <v>-1358658</v>
      </c>
      <c r="F50" s="37" t="n">
        <v>-1358658</v>
      </c>
      <c r="G50" s="18" t="n">
        <v>-1367904</v>
      </c>
      <c r="H50" s="18" t="n">
        <v>-1382350</v>
      </c>
      <c r="I50" s="18" t="n">
        <v>-1402989</v>
      </c>
      <c r="J50" s="18" t="n">
        <v>-1408225</v>
      </c>
      <c r="K50" s="37" t="n">
        <v>-1408225</v>
      </c>
      <c r="L50" s="18" t="n">
        <v>-1432685</v>
      </c>
      <c r="M50" s="18" t="n">
        <v>-1512893</v>
      </c>
      <c r="N50" s="18" t="n">
        <v>-1517304</v>
      </c>
      <c r="O50" s="18" t="n">
        <v>-1532564</v>
      </c>
      <c r="P50" s="37" t="n">
        <v>-1532564</v>
      </c>
      <c r="Q50" s="18" t="n">
        <v>-1518585</v>
      </c>
      <c r="R50" s="18" t="n">
        <v>-1560159</v>
      </c>
      <c r="S50" s="18" t="n">
        <v>-1508564</v>
      </c>
      <c r="T50" s="18" t="n">
        <v>-1462760</v>
      </c>
      <c r="U50" s="37" t="n">
        <v>-1462760</v>
      </c>
      <c r="V50" s="18" t="n">
        <v>-1457460</v>
      </c>
      <c r="W50" s="18" t="n">
        <v>-1464135</v>
      </c>
      <c r="X50" s="18" t="n">
        <v>-1460368</v>
      </c>
      <c r="Y50" s="18" t="n">
        <v>-1408011</v>
      </c>
      <c r="Z50" s="37" t="n">
        <v>-1408011</v>
      </c>
      <c r="AA50" s="18" t="n">
        <v>-1382885</v>
      </c>
      <c r="AB50" s="19" t="n">
        <v>-1320480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기타자본</t>
        </is>
      </c>
      <c r="E51" s="18" t="n">
        <v>11590</v>
      </c>
      <c r="F51" s="37" t="n">
        <v>11590</v>
      </c>
      <c r="G51" s="18" t="n">
        <v>11590</v>
      </c>
      <c r="H51" s="18" t="n">
        <v>11590</v>
      </c>
      <c r="I51" s="18" t="n">
        <v>10167</v>
      </c>
      <c r="J51" s="18" t="n">
        <v>11590</v>
      </c>
      <c r="K51" s="37" t="n">
        <v>11590</v>
      </c>
      <c r="L51" s="18" t="n">
        <v>10167</v>
      </c>
      <c r="M51" s="18" t="n">
        <v>10167</v>
      </c>
      <c r="N51" s="18" t="n">
        <v>10167</v>
      </c>
      <c r="O51" s="18" t="n">
        <v>417046</v>
      </c>
      <c r="P51" s="37" t="n">
        <v>417046</v>
      </c>
      <c r="Q51" s="18" t="n">
        <v>417061</v>
      </c>
      <c r="R51" s="18" t="n">
        <v>417060</v>
      </c>
      <c r="S51" s="18" t="n">
        <v>417895</v>
      </c>
      <c r="T51" s="18" t="n">
        <v>349897</v>
      </c>
      <c r="U51" s="37" t="n">
        <v>349897</v>
      </c>
      <c r="V51" s="18" t="n">
        <v>349933</v>
      </c>
      <c r="W51" s="18" t="n">
        <v>351514</v>
      </c>
      <c r="X51" s="18" t="n">
        <v>351407</v>
      </c>
      <c r="Y51" s="18" t="n">
        <v>411533</v>
      </c>
      <c r="Z51" s="37" t="n">
        <v>411533</v>
      </c>
      <c r="AA51" s="18" t="n">
        <v>410767</v>
      </c>
      <c r="AB51" s="19" t="n">
        <v>407336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비지배주주지분</t>
        </is>
      </c>
      <c r="E52" s="18" t="n">
        <v>-68</v>
      </c>
      <c r="F52" s="37" t="n">
        <v>-68</v>
      </c>
      <c r="G52" s="18" t="n">
        <v>-68</v>
      </c>
      <c r="H52" s="18" t="n">
        <v>-68</v>
      </c>
      <c r="I52" s="18" t="n">
        <v>-67</v>
      </c>
      <c r="J52" s="18" t="n">
        <v>-66</v>
      </c>
      <c r="K52" s="37" t="n">
        <v>-66</v>
      </c>
      <c r="L52" s="18" t="n">
        <v>-65</v>
      </c>
      <c r="M52" s="18" t="n">
        <v>434</v>
      </c>
      <c r="N52" s="18" t="n">
        <v>288</v>
      </c>
      <c r="O52" s="18" t="n">
        <v>119</v>
      </c>
      <c r="P52" s="37" t="n">
        <v>119</v>
      </c>
      <c r="Q52" s="18" t="n">
        <v>-36</v>
      </c>
      <c r="R52" s="18" t="n">
        <v>40</v>
      </c>
      <c r="S52" s="18" t="n">
        <v>14</v>
      </c>
      <c r="T52" s="18" t="n">
        <v>-51</v>
      </c>
      <c r="U52" s="37" t="n">
        <v>-51</v>
      </c>
      <c r="V52" s="18" t="n">
        <v>-49</v>
      </c>
      <c r="W52" s="18" t="n">
        <v>-46</v>
      </c>
      <c r="X52" s="18" t="n">
        <v>-44</v>
      </c>
      <c r="Y52" s="18" t="n">
        <v>-41</v>
      </c>
      <c r="Z52" s="37" t="n">
        <v>-41</v>
      </c>
      <c r="AA52" s="18" t="n">
        <v>-38</v>
      </c>
      <c r="AB52" s="19" t="n">
        <v>-35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자본총계</t>
        </is>
      </c>
      <c r="E53" s="18" t="n">
        <v>432005</v>
      </c>
      <c r="F53" s="37" t="n">
        <v>432005</v>
      </c>
      <c r="G53" s="18" t="n">
        <v>422052</v>
      </c>
      <c r="H53" s="18" t="n">
        <v>407479</v>
      </c>
      <c r="I53" s="18" t="n">
        <v>387224</v>
      </c>
      <c r="J53" s="18" t="n">
        <v>384990</v>
      </c>
      <c r="K53" s="37" t="n">
        <v>384990</v>
      </c>
      <c r="L53" s="18" t="n">
        <v>360352</v>
      </c>
      <c r="M53" s="18" t="n">
        <v>280568</v>
      </c>
      <c r="N53" s="18" t="n">
        <v>276037</v>
      </c>
      <c r="O53" s="18" t="n">
        <v>340912</v>
      </c>
      <c r="P53" s="37" t="n">
        <v>340912</v>
      </c>
      <c r="Q53" s="18" t="n">
        <v>354751</v>
      </c>
      <c r="R53" s="18" t="n">
        <v>313252</v>
      </c>
      <c r="S53" s="18" t="n">
        <v>365656</v>
      </c>
      <c r="T53" s="18" t="n">
        <v>343397</v>
      </c>
      <c r="U53" s="37" t="n">
        <v>343397</v>
      </c>
      <c r="V53" s="18" t="n">
        <v>348735</v>
      </c>
      <c r="W53" s="18" t="n">
        <v>343644</v>
      </c>
      <c r="X53" s="18" t="n">
        <v>347306</v>
      </c>
      <c r="Y53" s="18" t="n">
        <v>669588</v>
      </c>
      <c r="Z53" s="37" t="n">
        <v>669588</v>
      </c>
      <c r="AA53" s="18" t="n">
        <v>693951</v>
      </c>
      <c r="AB53" s="19" t="n">
        <v>752928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부채와자본총계</t>
        </is>
      </c>
      <c r="E54" s="18" t="n">
        <v>2385236</v>
      </c>
      <c r="F54" s="37" t="n">
        <v>2385236</v>
      </c>
      <c r="G54" s="18" t="n">
        <v>2371941</v>
      </c>
      <c r="H54" s="18" t="n">
        <v>2405434</v>
      </c>
      <c r="I54" s="18" t="n">
        <v>2428235</v>
      </c>
      <c r="J54" s="18" t="n">
        <v>2567697</v>
      </c>
      <c r="K54" s="37" t="n">
        <v>2567697</v>
      </c>
      <c r="L54" s="18" t="n">
        <v>2644891</v>
      </c>
      <c r="M54" s="18" t="n">
        <v>2623484</v>
      </c>
      <c r="N54" s="18" t="n">
        <v>2777781</v>
      </c>
      <c r="O54" s="18" t="n">
        <v>2890585</v>
      </c>
      <c r="P54" s="37" t="n">
        <v>2890585</v>
      </c>
      <c r="Q54" s="18" t="n">
        <v>2852872</v>
      </c>
      <c r="R54" s="18" t="n">
        <v>2764512</v>
      </c>
      <c r="S54" s="18" t="n">
        <v>2186636</v>
      </c>
      <c r="T54" s="18" t="n">
        <v>2204429</v>
      </c>
      <c r="U54" s="37" t="n">
        <v>2204429</v>
      </c>
      <c r="V54" s="18" t="n">
        <v>2219384</v>
      </c>
      <c r="W54" s="18" t="n">
        <v>2285167</v>
      </c>
      <c r="X54" s="18" t="n">
        <v>2288031</v>
      </c>
      <c r="Y54" s="18" t="n">
        <v>2453082</v>
      </c>
      <c r="Z54" s="37" t="n">
        <v>2453082</v>
      </c>
      <c r="AA54" s="18" t="n">
        <v>2451510</v>
      </c>
      <c r="AB54" s="19" t="n">
        <v>2644380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총차입금</t>
        </is>
      </c>
      <c r="E55" s="18" t="n">
        <v>680304</v>
      </c>
      <c r="F55" s="37" t="n">
        <v>680304</v>
      </c>
      <c r="G55" s="18" t="n">
        <v>684194</v>
      </c>
      <c r="H55" s="18" t="n">
        <v>611927</v>
      </c>
      <c r="I55" s="18" t="n">
        <v>675817</v>
      </c>
      <c r="J55" s="18" t="n">
        <v>651213</v>
      </c>
      <c r="K55" s="37" t="n">
        <v>651213</v>
      </c>
      <c r="L55" s="18" t="n">
        <v>655888</v>
      </c>
      <c r="M55" s="18" t="n">
        <v>658714</v>
      </c>
      <c r="N55" s="18" t="n">
        <v>663098</v>
      </c>
      <c r="O55" s="18" t="n">
        <v>682305</v>
      </c>
      <c r="P55" s="37" t="n">
        <v>682305</v>
      </c>
      <c r="Q55" s="18" t="n">
        <v>688420</v>
      </c>
      <c r="R55" s="18" t="n">
        <v>649555</v>
      </c>
      <c r="S55" s="18" t="n">
        <v>477151</v>
      </c>
      <c r="T55" s="18" t="n">
        <v>476925</v>
      </c>
      <c r="U55" s="37" t="n">
        <v>476925</v>
      </c>
      <c r="V55" s="18" t="n">
        <v>467349</v>
      </c>
      <c r="W55" s="18" t="n">
        <v>416531</v>
      </c>
      <c r="X55" s="18" t="n">
        <v>407599</v>
      </c>
      <c r="Y55" s="18" t="n">
        <v>402214</v>
      </c>
      <c r="Z55" s="37" t="n">
        <v>402214</v>
      </c>
      <c r="AA55" s="18" t="n">
        <v>399326</v>
      </c>
      <c r="AB55" s="19" t="n">
        <v>475076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순차입금</t>
        </is>
      </c>
      <c r="E56" s="18" t="n">
        <v>516809</v>
      </c>
      <c r="F56" s="37" t="n">
        <v>516809</v>
      </c>
      <c r="G56" s="18" t="n">
        <v>527334</v>
      </c>
      <c r="H56" s="18" t="n">
        <v>448394</v>
      </c>
      <c r="I56" s="18" t="n">
        <v>570115</v>
      </c>
      <c r="J56" s="18" t="n">
        <v>495574</v>
      </c>
      <c r="K56" s="37" t="n">
        <v>495574</v>
      </c>
      <c r="L56" s="18" t="n">
        <v>487265</v>
      </c>
      <c r="M56" s="18" t="n">
        <v>516864</v>
      </c>
      <c r="N56" s="18" t="n">
        <v>296577</v>
      </c>
      <c r="O56" s="18" t="n">
        <v>319486</v>
      </c>
      <c r="P56" s="37" t="n">
        <v>319486</v>
      </c>
      <c r="Q56" s="18" t="n">
        <v>389269</v>
      </c>
      <c r="R56" s="18" t="n">
        <v>381183</v>
      </c>
      <c r="S56" s="18" t="n">
        <v>249711</v>
      </c>
      <c r="T56" s="18" t="n">
        <v>245553</v>
      </c>
      <c r="U56" s="37" t="n">
        <v>245553</v>
      </c>
      <c r="V56" s="18" t="n">
        <v>354042</v>
      </c>
      <c r="W56" s="18" t="n">
        <v>203318</v>
      </c>
      <c r="X56" s="18" t="n">
        <v>172963</v>
      </c>
      <c r="Y56" s="18" t="n">
        <v>70008</v>
      </c>
      <c r="Z56" s="37" t="n">
        <v>70008</v>
      </c>
      <c r="AA56" s="18" t="n">
        <v>213381</v>
      </c>
      <c r="AB56" s="19" t="n">
        <v>199687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이자발생자산</t>
        </is>
      </c>
      <c r="E57" s="18" t="n">
        <v>171913</v>
      </c>
      <c r="F57" s="37" t="n">
        <v>171913</v>
      </c>
      <c r="G57" s="18" t="n">
        <v>164240</v>
      </c>
      <c r="H57" s="18" t="n">
        <v>166230</v>
      </c>
      <c r="I57" s="18" t="n">
        <v>110360</v>
      </c>
      <c r="J57" s="18" t="n">
        <v>160325</v>
      </c>
      <c r="K57" s="37" t="n">
        <v>160325</v>
      </c>
      <c r="L57" s="18" t="n">
        <v>179549</v>
      </c>
      <c r="M57" s="18" t="n">
        <v>150158</v>
      </c>
      <c r="N57" s="18" t="n">
        <v>374801</v>
      </c>
      <c r="O57" s="18" t="n">
        <v>370670</v>
      </c>
      <c r="P57" s="37" t="n">
        <v>370670</v>
      </c>
      <c r="Q57" s="18" t="n">
        <v>307439</v>
      </c>
      <c r="R57" s="18" t="n">
        <v>271877</v>
      </c>
      <c r="S57" s="18" t="n">
        <v>228860</v>
      </c>
      <c r="T57" s="18" t="n">
        <v>235151</v>
      </c>
      <c r="U57" s="37" t="n">
        <v>235151</v>
      </c>
      <c r="V57" s="18" t="n">
        <v>116788</v>
      </c>
      <c r="W57" s="18" t="n">
        <v>216780</v>
      </c>
      <c r="X57" s="18" t="n">
        <v>240203</v>
      </c>
      <c r="Y57" s="18" t="n">
        <v>337168</v>
      </c>
      <c r="Z57" s="37" t="n">
        <v>337168</v>
      </c>
      <c r="AA57" s="18" t="n">
        <v>190767</v>
      </c>
      <c r="AB57" s="19" t="n">
        <v>281486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단기차입금</t>
        </is>
      </c>
      <c r="F58" s="9" t="n"/>
      <c r="K58" s="9" t="n"/>
      <c r="P58" s="9" t="n"/>
      <c r="T58" s="18" t="n">
        <v>381747</v>
      </c>
      <c r="U58" s="37" t="n">
        <v>381747</v>
      </c>
      <c r="V58" s="18" t="n">
        <v>374173</v>
      </c>
      <c r="W58" s="18" t="n">
        <v>282177</v>
      </c>
      <c r="X58" s="18" t="n">
        <v>276093</v>
      </c>
      <c r="Y58" s="18" t="n">
        <v>270520</v>
      </c>
      <c r="Z58" s="37" t="n">
        <v>270520</v>
      </c>
      <c r="AA58" s="18" t="n">
        <v>267443</v>
      </c>
      <c r="AB58" s="19" t="n">
        <v>190033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매출액(수익)</t>
        </is>
      </c>
      <c r="E59" s="18" t="n">
        <v>513363</v>
      </c>
      <c r="F59" s="9" t="n"/>
      <c r="G59" s="18" t="n">
        <v>347994</v>
      </c>
      <c r="H59" s="18" t="n">
        <v>445457</v>
      </c>
      <c r="I59" s="18" t="n">
        <v>397849</v>
      </c>
      <c r="J59" s="18" t="n">
        <v>596863</v>
      </c>
      <c r="K59" s="37" t="n">
        <v>1788163</v>
      </c>
      <c r="L59" s="18" t="n">
        <v>405021</v>
      </c>
      <c r="M59" s="18" t="n">
        <v>501378</v>
      </c>
      <c r="N59" s="18" t="n">
        <v>490517</v>
      </c>
      <c r="O59" s="18" t="n">
        <v>765157</v>
      </c>
      <c r="P59" s="37" t="n">
        <v>2162073</v>
      </c>
      <c r="Q59" s="18" t="n">
        <v>467581</v>
      </c>
      <c r="R59" s="18" t="n">
        <v>484800</v>
      </c>
      <c r="S59" s="18" t="n">
        <v>453768</v>
      </c>
      <c r="T59" s="18" t="n">
        <v>479813</v>
      </c>
      <c r="U59" s="37" t="n">
        <v>1885962</v>
      </c>
      <c r="V59" s="18" t="n">
        <v>410066</v>
      </c>
      <c r="W59" s="18" t="n">
        <v>507777</v>
      </c>
      <c r="X59" s="18" t="n">
        <v>452208</v>
      </c>
      <c r="Y59" s="18" t="n">
        <v>629654</v>
      </c>
      <c r="Z59" s="37" t="n">
        <v>1999705</v>
      </c>
      <c r="AA59" s="18" t="n">
        <v>541400</v>
      </c>
      <c r="AB59" s="19" t="n">
        <v>729908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매출원가</t>
        </is>
      </c>
      <c r="E60" s="18" t="n">
        <v>582739</v>
      </c>
      <c r="F60" s="9" t="n"/>
      <c r="G60" s="18" t="n">
        <v>324101</v>
      </c>
      <c r="H60" s="18" t="n">
        <v>422136</v>
      </c>
      <c r="I60" s="18" t="n">
        <v>370830</v>
      </c>
      <c r="J60" s="18" t="n">
        <v>574461</v>
      </c>
      <c r="K60" s="37" t="n">
        <v>1691528</v>
      </c>
      <c r="L60" s="18" t="n">
        <v>393036</v>
      </c>
      <c r="M60" s="18" t="n">
        <v>550472</v>
      </c>
      <c r="N60" s="18" t="n">
        <v>502803</v>
      </c>
      <c r="O60" s="18" t="n">
        <v>717645</v>
      </c>
      <c r="P60" s="37" t="n">
        <v>2163956</v>
      </c>
      <c r="Q60" s="18" t="n">
        <v>431551</v>
      </c>
      <c r="R60" s="18" t="n">
        <v>500573</v>
      </c>
      <c r="S60" s="18" t="n">
        <v>397443</v>
      </c>
      <c r="T60" s="18" t="n">
        <v>450134</v>
      </c>
      <c r="U60" s="37" t="n">
        <v>1779701</v>
      </c>
      <c r="V60" s="18" t="n">
        <v>379158</v>
      </c>
      <c r="W60" s="18" t="n">
        <v>474703</v>
      </c>
      <c r="X60" s="18" t="n">
        <v>421290</v>
      </c>
      <c r="Y60" s="18" t="n">
        <v>547627</v>
      </c>
      <c r="Z60" s="37" t="n">
        <v>1822778</v>
      </c>
      <c r="AA60" s="18" t="n">
        <v>485022</v>
      </c>
      <c r="AB60" s="19" t="n">
        <v>627365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매출총이익</t>
        </is>
      </c>
      <c r="E61" s="18" t="n">
        <v>-69376</v>
      </c>
      <c r="F61" s="9" t="n"/>
      <c r="G61" s="18" t="n">
        <v>23893</v>
      </c>
      <c r="H61" s="18" t="n">
        <v>23321</v>
      </c>
      <c r="I61" s="18" t="n">
        <v>27019</v>
      </c>
      <c r="J61" s="18" t="n">
        <v>22402</v>
      </c>
      <c r="K61" s="37" t="n">
        <v>96635</v>
      </c>
      <c r="L61" s="18" t="n">
        <v>11985</v>
      </c>
      <c r="M61" s="18" t="n">
        <v>-49094</v>
      </c>
      <c r="N61" s="18" t="n">
        <v>-12286</v>
      </c>
      <c r="O61" s="18" t="n">
        <v>47512</v>
      </c>
      <c r="P61" s="37" t="n">
        <v>-1883</v>
      </c>
      <c r="Q61" s="18" t="n">
        <v>36030</v>
      </c>
      <c r="R61" s="18" t="n">
        <v>-15773</v>
      </c>
      <c r="S61" s="18" t="n">
        <v>56325</v>
      </c>
      <c r="T61" s="18" t="n">
        <v>29679</v>
      </c>
      <c r="U61" s="37" t="n">
        <v>106261</v>
      </c>
      <c r="V61" s="18" t="n">
        <v>30908</v>
      </c>
      <c r="W61" s="18" t="n">
        <v>33074</v>
      </c>
      <c r="X61" s="18" t="n">
        <v>30918</v>
      </c>
      <c r="Y61" s="18" t="n">
        <v>82027</v>
      </c>
      <c r="Z61" s="37" t="n">
        <v>176927</v>
      </c>
      <c r="AA61" s="18" t="n">
        <v>56378</v>
      </c>
      <c r="AB61" s="19" t="n">
        <v>102543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판관비</t>
        </is>
      </c>
      <c r="E62" s="18" t="n">
        <v>23660</v>
      </c>
      <c r="F62" s="9" t="n"/>
      <c r="G62" s="18" t="n">
        <v>21310</v>
      </c>
      <c r="H62" s="18" t="n">
        <v>21006</v>
      </c>
      <c r="I62" s="18" t="n">
        <v>27057</v>
      </c>
      <c r="J62" s="18" t="n">
        <v>20637</v>
      </c>
      <c r="K62" s="37" t="n">
        <v>90010</v>
      </c>
      <c r="L62" s="18" t="n">
        <v>23076</v>
      </c>
      <c r="M62" s="18" t="n">
        <v>26078</v>
      </c>
      <c r="N62" s="18" t="n">
        <v>28638</v>
      </c>
      <c r="O62" s="18" t="n">
        <v>29112</v>
      </c>
      <c r="P62" s="37" t="n">
        <v>106904</v>
      </c>
      <c r="Q62" s="18" t="n">
        <v>24131</v>
      </c>
      <c r="R62" s="18" t="n">
        <v>23771</v>
      </c>
      <c r="S62" s="18" t="n">
        <v>23418</v>
      </c>
      <c r="T62" s="18" t="n">
        <v>27689</v>
      </c>
      <c r="U62" s="37" t="n">
        <v>99009</v>
      </c>
      <c r="V62" s="18" t="n">
        <v>25454</v>
      </c>
      <c r="W62" s="18" t="n">
        <v>27735</v>
      </c>
      <c r="X62" s="18" t="n">
        <v>25124</v>
      </c>
      <c r="Y62" s="18" t="n">
        <v>31540</v>
      </c>
      <c r="Z62" s="37" t="n">
        <v>109853</v>
      </c>
      <c r="AA62" s="18" t="n">
        <v>31797</v>
      </c>
      <c r="AB62" s="19" t="n">
        <v>37690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영업이익</t>
        </is>
      </c>
      <c r="E63" s="18" t="n">
        <v>-93036</v>
      </c>
      <c r="F63" s="9" t="n"/>
      <c r="G63" s="18" t="n">
        <v>2583</v>
      </c>
      <c r="H63" s="18" t="n">
        <v>2315</v>
      </c>
      <c r="I63" s="18" t="n">
        <v>-38</v>
      </c>
      <c r="J63" s="18" t="n">
        <v>1765</v>
      </c>
      <c r="K63" s="37" t="n">
        <v>6625</v>
      </c>
      <c r="L63" s="18" t="n">
        <v>-11091</v>
      </c>
      <c r="M63" s="18" t="n">
        <v>-75172</v>
      </c>
      <c r="N63" s="18" t="n">
        <v>-40924</v>
      </c>
      <c r="O63" s="18" t="n">
        <v>18400</v>
      </c>
      <c r="P63" s="37" t="n">
        <v>-108787</v>
      </c>
      <c r="Q63" s="18" t="n">
        <v>11899</v>
      </c>
      <c r="R63" s="18" t="n">
        <v>-39544</v>
      </c>
      <c r="S63" s="18" t="n">
        <v>32907</v>
      </c>
      <c r="T63" s="18" t="n">
        <v>1990</v>
      </c>
      <c r="U63" s="37" t="n">
        <v>7252</v>
      </c>
      <c r="V63" s="18" t="n">
        <v>5454</v>
      </c>
      <c r="W63" s="18" t="n">
        <v>5339</v>
      </c>
      <c r="X63" s="18" t="n">
        <v>5794</v>
      </c>
      <c r="Y63" s="18" t="n">
        <v>50487</v>
      </c>
      <c r="Z63" s="37" t="n">
        <v>67074</v>
      </c>
      <c r="AA63" s="18" t="n">
        <v>24581</v>
      </c>
      <c r="AB63" s="19" t="n">
        <v>64853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기타영업외수익</t>
        </is>
      </c>
      <c r="E64" s="18" t="n">
        <v>4979</v>
      </c>
      <c r="F64" s="9" t="n"/>
      <c r="G64" s="18" t="n">
        <v>644</v>
      </c>
      <c r="H64" s="18" t="n">
        <v>2553</v>
      </c>
      <c r="I64" s="18" t="n">
        <v>1216</v>
      </c>
      <c r="J64" s="18" t="n">
        <v>7355</v>
      </c>
      <c r="K64" s="37" t="n">
        <v>11768</v>
      </c>
      <c r="L64" s="18" t="n">
        <v>3028</v>
      </c>
      <c r="M64" s="18" t="n">
        <v>6454</v>
      </c>
      <c r="N64" s="18" t="n">
        <v>42104</v>
      </c>
      <c r="O64" s="18" t="n">
        <v>2080</v>
      </c>
      <c r="P64" s="37" t="n">
        <v>53666</v>
      </c>
      <c r="Q64" s="18" t="n">
        <v>831</v>
      </c>
      <c r="R64" s="18" t="n">
        <v>5412</v>
      </c>
      <c r="S64" s="18" t="n">
        <v>32495</v>
      </c>
      <c r="T64" s="18" t="n">
        <v>3414</v>
      </c>
      <c r="U64" s="37" t="n">
        <v>42152</v>
      </c>
      <c r="V64" s="18" t="n">
        <v>4262</v>
      </c>
      <c r="W64" s="18" t="n">
        <v>826</v>
      </c>
      <c r="X64" s="18" t="n">
        <v>4271</v>
      </c>
      <c r="Y64" s="18" t="n">
        <v>4364</v>
      </c>
      <c r="Z64" s="37" t="n">
        <v>13723</v>
      </c>
      <c r="AA64" s="18" t="n">
        <v>2342</v>
      </c>
      <c r="AB64" s="19" t="n">
        <v>6139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기타영업외비용</t>
        </is>
      </c>
      <c r="E65" s="18" t="n">
        <v>5923</v>
      </c>
      <c r="F65" s="9" t="n"/>
      <c r="G65" s="18" t="n">
        <v>2082</v>
      </c>
      <c r="H65" s="18" t="n">
        <v>2630</v>
      </c>
      <c r="I65" s="18" t="n">
        <v>3731</v>
      </c>
      <c r="J65" s="18" t="n">
        <v>8657</v>
      </c>
      <c r="K65" s="37" t="n">
        <v>17100</v>
      </c>
      <c r="L65" s="18" t="n">
        <v>6851</v>
      </c>
      <c r="M65" s="18" t="n">
        <v>1064</v>
      </c>
      <c r="N65" s="18" t="n">
        <v>3012</v>
      </c>
      <c r="O65" s="18" t="n">
        <v>3865</v>
      </c>
      <c r="P65" s="37" t="n">
        <v>14792</v>
      </c>
      <c r="Q65" s="18" t="n">
        <v>509</v>
      </c>
      <c r="R65" s="18" t="n">
        <v>1976</v>
      </c>
      <c r="S65" s="18" t="n">
        <v>1813</v>
      </c>
      <c r="T65" s="18" t="n">
        <v>5950</v>
      </c>
      <c r="U65" s="37" t="n">
        <v>10248</v>
      </c>
      <c r="V65" s="18" t="n">
        <v>1959</v>
      </c>
      <c r="W65" s="18" t="n">
        <v>6338</v>
      </c>
      <c r="X65" s="18" t="n">
        <v>1397</v>
      </c>
      <c r="Y65" s="18" t="n">
        <v>27452</v>
      </c>
      <c r="Z65" s="37" t="n">
        <v>37146</v>
      </c>
      <c r="AA65" s="18" t="n">
        <v>3722</v>
      </c>
      <c r="AB65" s="19" t="n">
        <v>3506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금융수익</t>
        </is>
      </c>
      <c r="E66" s="18" t="n">
        <v>4518</v>
      </c>
      <c r="F66" s="9" t="n"/>
      <c r="G66" s="18" t="n">
        <v>1094</v>
      </c>
      <c r="H66" s="18" t="n">
        <v>2325</v>
      </c>
      <c r="I66" s="18" t="n">
        <v>3313</v>
      </c>
      <c r="J66" s="18" t="n">
        <v>831</v>
      </c>
      <c r="K66" s="37" t="n">
        <v>7563</v>
      </c>
      <c r="L66" s="18" t="n">
        <v>3384</v>
      </c>
      <c r="M66" s="18" t="n">
        <v>4808</v>
      </c>
      <c r="N66" s="18" t="n">
        <v>13157</v>
      </c>
      <c r="O66" s="18" t="n">
        <v>-3517</v>
      </c>
      <c r="P66" s="37" t="n">
        <v>17832</v>
      </c>
      <c r="Q66" s="18" t="n">
        <v>16372</v>
      </c>
      <c r="R66" s="18" t="n">
        <v>7029</v>
      </c>
      <c r="S66" s="18" t="n">
        <v>961</v>
      </c>
      <c r="T66" s="18" t="n">
        <v>7284</v>
      </c>
      <c r="U66" s="37" t="n">
        <v>31646</v>
      </c>
      <c r="V66" s="18" t="n">
        <v>2000</v>
      </c>
      <c r="W66" s="18" t="n">
        <v>9562</v>
      </c>
      <c r="X66" s="18" t="n">
        <v>1324</v>
      </c>
      <c r="Y66" s="18" t="n">
        <v>7172</v>
      </c>
      <c r="Z66" s="37" t="n">
        <v>20058</v>
      </c>
      <c r="AA66" s="18" t="n">
        <v>16631</v>
      </c>
      <c r="AB66" s="19" t="n">
        <v>11947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금융비용</t>
        </is>
      </c>
      <c r="E67" s="18" t="n">
        <v>12189</v>
      </c>
      <c r="F67" s="9" t="n"/>
      <c r="G67" s="18" t="n">
        <v>13416</v>
      </c>
      <c r="H67" s="18" t="n">
        <v>17641</v>
      </c>
      <c r="I67" s="18" t="n">
        <v>21482</v>
      </c>
      <c r="J67" s="18" t="n">
        <v>8353</v>
      </c>
      <c r="K67" s="37" t="n">
        <v>60892</v>
      </c>
      <c r="L67" s="18" t="n">
        <v>13894</v>
      </c>
      <c r="M67" s="18" t="n">
        <v>11742</v>
      </c>
      <c r="N67" s="18" t="n">
        <v>13735</v>
      </c>
      <c r="O67" s="18" t="n">
        <v>10960</v>
      </c>
      <c r="P67" s="37" t="n">
        <v>50331</v>
      </c>
      <c r="Q67" s="18" t="n">
        <v>15085</v>
      </c>
      <c r="R67" s="18" t="n">
        <v>13342</v>
      </c>
      <c r="S67" s="18" t="n">
        <v>9617</v>
      </c>
      <c r="T67" s="18" t="n">
        <v>20672</v>
      </c>
      <c r="U67" s="37" t="n">
        <v>58716</v>
      </c>
      <c r="V67" s="18" t="n">
        <v>11349</v>
      </c>
      <c r="W67" s="18" t="n">
        <v>17906</v>
      </c>
      <c r="X67" s="18" t="n">
        <v>4713</v>
      </c>
      <c r="Y67" s="18" t="n">
        <v>9461</v>
      </c>
      <c r="Z67" s="37" t="n">
        <v>43429</v>
      </c>
      <c r="AA67" s="18" t="n">
        <v>14893</v>
      </c>
      <c r="AB67" s="19" t="n">
        <v>16974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법인세비용차감전계속사업이익</t>
        </is>
      </c>
      <c r="E68" s="18" t="n">
        <v>-101777</v>
      </c>
      <c r="F68" s="9" t="n"/>
      <c r="G68" s="18" t="n">
        <v>-11192</v>
      </c>
      <c r="H68" s="18" t="n">
        <v>-12924</v>
      </c>
      <c r="I68" s="18" t="n">
        <v>-20452</v>
      </c>
      <c r="J68" s="18" t="n">
        <v>-7059</v>
      </c>
      <c r="K68" s="37" t="n">
        <v>-51627</v>
      </c>
      <c r="L68" s="18" t="n">
        <v>-24012</v>
      </c>
      <c r="M68" s="18" t="n">
        <v>-76453</v>
      </c>
      <c r="N68" s="18" t="n">
        <v>-3993</v>
      </c>
      <c r="O68" s="18" t="n">
        <v>1057</v>
      </c>
      <c r="P68" s="37" t="n">
        <v>-103401</v>
      </c>
      <c r="Q68" s="18" t="n">
        <v>11769</v>
      </c>
      <c r="R68" s="18" t="n">
        <v>-41347</v>
      </c>
      <c r="S68" s="18" t="n">
        <v>51994</v>
      </c>
      <c r="T68" s="18" t="n">
        <v>-19136</v>
      </c>
      <c r="U68" s="37" t="n">
        <v>3280</v>
      </c>
      <c r="V68" s="18" t="n">
        <v>5687</v>
      </c>
      <c r="W68" s="18" t="n">
        <v>-6622</v>
      </c>
      <c r="X68" s="18" t="n">
        <v>3977</v>
      </c>
      <c r="Y68" s="18" t="n">
        <v>24207</v>
      </c>
      <c r="Z68" s="37" t="n">
        <v>27249</v>
      </c>
      <c r="AA68" s="18" t="n">
        <v>25316</v>
      </c>
      <c r="AB68" s="19" t="n">
        <v>64266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법인세비용</t>
        </is>
      </c>
      <c r="E69" s="18" t="n">
        <v>-20239</v>
      </c>
      <c r="F69" s="9" t="n"/>
      <c r="G69" s="18" t="n">
        <v>-2161</v>
      </c>
      <c r="H69" s="18" t="n">
        <v>1232</v>
      </c>
      <c r="I69" s="18" t="n">
        <v>45</v>
      </c>
      <c r="J69" s="18" t="n">
        <v>-583</v>
      </c>
      <c r="K69" s="37" t="n">
        <v>-1467</v>
      </c>
      <c r="L69" s="18" t="n">
        <v>79</v>
      </c>
      <c r="M69" s="18" t="n">
        <v>3654</v>
      </c>
      <c r="N69" s="18" t="n">
        <v>483</v>
      </c>
      <c r="O69" s="18" t="n">
        <v>6702</v>
      </c>
      <c r="P69" s="37" t="n">
        <v>10918</v>
      </c>
      <c r="Q69" s="18" t="n">
        <v>-2366</v>
      </c>
      <c r="R69" s="18" t="n">
        <v>27</v>
      </c>
      <c r="S69" s="18" t="n">
        <v>0</v>
      </c>
      <c r="T69" s="18" t="n">
        <v>394</v>
      </c>
      <c r="U69" s="37" t="n">
        <v>-1945</v>
      </c>
      <c r="V69" s="18" t="n">
        <v>131</v>
      </c>
      <c r="W69" s="18" t="n">
        <v>-7</v>
      </c>
      <c r="X69" s="18" t="n">
        <v>36</v>
      </c>
      <c r="Y69" s="18" t="n">
        <v>-24355</v>
      </c>
      <c r="Z69" s="37" t="n">
        <v>-24195</v>
      </c>
      <c r="AA69" s="18" t="n">
        <v>-197</v>
      </c>
      <c r="AB69" s="19" t="n">
        <v>1723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계속사업이익</t>
        </is>
      </c>
      <c r="E70" s="18" t="n">
        <v>-81538</v>
      </c>
      <c r="F70" s="9" t="n"/>
      <c r="I70" s="18" t="n">
        <v>-20497</v>
      </c>
      <c r="J70" s="18" t="n">
        <v>-6476</v>
      </c>
      <c r="K70" s="9" t="n"/>
      <c r="N70" s="18" t="n">
        <v>-4476</v>
      </c>
      <c r="O70" s="18" t="n">
        <v>-5645</v>
      </c>
      <c r="P70" s="9" t="n"/>
      <c r="Q70" s="18" t="n">
        <v>14135</v>
      </c>
      <c r="R70" s="18" t="n">
        <v>-41374</v>
      </c>
      <c r="S70" s="18" t="n">
        <v>51994</v>
      </c>
      <c r="T70" s="18" t="n">
        <v>-19530</v>
      </c>
      <c r="U70" s="37" t="n">
        <v>5225</v>
      </c>
      <c r="V70" s="18" t="n">
        <v>5556</v>
      </c>
      <c r="W70" s="18" t="n">
        <v>-6615</v>
      </c>
      <c r="X70" s="18" t="n">
        <v>3941</v>
      </c>
      <c r="Y70" s="18" t="n">
        <v>48562</v>
      </c>
      <c r="Z70" s="37" t="n">
        <v>51444</v>
      </c>
      <c r="AA70" s="18" t="n">
        <v>25513</v>
      </c>
      <c r="AB70" s="19" t="n">
        <v>62543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당기순이익</t>
        </is>
      </c>
      <c r="E71" s="18" t="n">
        <v>-81538</v>
      </c>
      <c r="F71" s="9" t="n"/>
      <c r="I71" s="18" t="n">
        <v>-20497</v>
      </c>
      <c r="J71" s="18" t="n">
        <v>-6476</v>
      </c>
      <c r="K71" s="9" t="n"/>
      <c r="N71" s="18" t="n">
        <v>-4476</v>
      </c>
      <c r="O71" s="18" t="n">
        <v>-5645</v>
      </c>
      <c r="P71" s="9" t="n"/>
      <c r="Q71" s="18" t="n">
        <v>14135</v>
      </c>
      <c r="R71" s="18" t="n">
        <v>-41374</v>
      </c>
      <c r="S71" s="18" t="n">
        <v>51994</v>
      </c>
      <c r="T71" s="18" t="n">
        <v>-19530</v>
      </c>
      <c r="U71" s="37" t="n">
        <v>5225</v>
      </c>
      <c r="V71" s="18" t="n">
        <v>5556</v>
      </c>
      <c r="W71" s="18" t="n">
        <v>-6615</v>
      </c>
      <c r="X71" s="18" t="n">
        <v>3941</v>
      </c>
      <c r="Y71" s="18" t="n">
        <v>48562</v>
      </c>
      <c r="Z71" s="37" t="n">
        <v>51444</v>
      </c>
      <c r="AA71" s="18" t="n">
        <v>25513</v>
      </c>
      <c r="AB71" s="19" t="n">
        <v>62543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(지배주주지분)당기순이익</t>
        </is>
      </c>
      <c r="E72" s="18" t="n">
        <v>-81536</v>
      </c>
      <c r="F72" s="9" t="n"/>
      <c r="G72" s="18" t="n">
        <v>-9031</v>
      </c>
      <c r="H72" s="18" t="n">
        <v>-14156</v>
      </c>
      <c r="I72" s="18" t="n">
        <v>-20498</v>
      </c>
      <c r="J72" s="18" t="n">
        <v>-6477</v>
      </c>
      <c r="K72" s="37" t="n">
        <v>-50162</v>
      </c>
      <c r="L72" s="18" t="n">
        <v>-24092</v>
      </c>
      <c r="M72" s="18" t="n">
        <v>-80108</v>
      </c>
      <c r="N72" s="18" t="n">
        <v>-4321</v>
      </c>
      <c r="O72" s="18" t="n">
        <v>-5487</v>
      </c>
      <c r="P72" s="37" t="n">
        <v>-114008</v>
      </c>
      <c r="Q72" s="18" t="n">
        <v>14295</v>
      </c>
      <c r="R72" s="18" t="n">
        <v>-41444</v>
      </c>
      <c r="S72" s="18" t="n">
        <v>52016</v>
      </c>
      <c r="T72" s="18" t="n">
        <v>-19524</v>
      </c>
      <c r="U72" s="37" t="n">
        <v>5343</v>
      </c>
      <c r="V72" s="18" t="n">
        <v>5554</v>
      </c>
      <c r="W72" s="18" t="n">
        <v>-6618</v>
      </c>
      <c r="X72" s="18" t="n">
        <v>3939</v>
      </c>
      <c r="Y72" s="18" t="n">
        <v>48559</v>
      </c>
      <c r="Z72" s="37" t="n">
        <v>51434</v>
      </c>
      <c r="AA72" s="18" t="n">
        <v>25510</v>
      </c>
      <c r="AB72" s="19" t="n">
        <v>62540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(비지배주주지분)당기순이익</t>
        </is>
      </c>
      <c r="E73" s="18" t="n">
        <v>-2</v>
      </c>
      <c r="F73" s="9" t="n"/>
      <c r="G73" s="18" t="n">
        <v>0</v>
      </c>
      <c r="H73" s="18" t="n">
        <v>0</v>
      </c>
      <c r="I73" s="18" t="n">
        <v>1</v>
      </c>
      <c r="J73" s="18" t="n">
        <v>1</v>
      </c>
      <c r="K73" s="37" t="n">
        <v>2</v>
      </c>
      <c r="L73" s="18" t="n">
        <v>1</v>
      </c>
      <c r="M73" s="18" t="n">
        <v>1</v>
      </c>
      <c r="N73" s="18" t="n">
        <v>-155</v>
      </c>
      <c r="O73" s="18" t="n">
        <v>-158</v>
      </c>
      <c r="P73" s="37" t="n">
        <v>-311</v>
      </c>
      <c r="Q73" s="18" t="n">
        <v>-160</v>
      </c>
      <c r="R73" s="18" t="n">
        <v>70</v>
      </c>
      <c r="S73" s="18" t="n">
        <v>-22</v>
      </c>
      <c r="T73" s="18" t="n">
        <v>-6</v>
      </c>
      <c r="U73" s="37" t="n">
        <v>-118</v>
      </c>
      <c r="V73" s="18" t="n">
        <v>2</v>
      </c>
      <c r="W73" s="18" t="n">
        <v>3</v>
      </c>
      <c r="X73" s="18" t="n">
        <v>2</v>
      </c>
      <c r="Y73" s="18" t="n">
        <v>3</v>
      </c>
      <c r="Z73" s="37" t="n">
        <v>10</v>
      </c>
      <c r="AA73" s="18" t="n">
        <v>3</v>
      </c>
      <c r="AB73" s="19" t="n">
        <v>3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금융손익</t>
        </is>
      </c>
      <c r="E74" s="18" t="n">
        <v>-7671</v>
      </c>
      <c r="F74" s="9" t="n"/>
      <c r="G74" s="18" t="n">
        <v>-12322</v>
      </c>
      <c r="H74" s="18" t="n">
        <v>-15316</v>
      </c>
      <c r="I74" s="18" t="n">
        <v>-18169</v>
      </c>
      <c r="J74" s="18" t="n">
        <v>-7522</v>
      </c>
      <c r="K74" s="37" t="n">
        <v>-53329</v>
      </c>
      <c r="L74" s="18" t="n">
        <v>-10510</v>
      </c>
      <c r="M74" s="18" t="n">
        <v>-6934</v>
      </c>
      <c r="N74" s="18" t="n">
        <v>-578</v>
      </c>
      <c r="O74" s="18" t="n">
        <v>-14477</v>
      </c>
      <c r="P74" s="37" t="n">
        <v>-32499</v>
      </c>
      <c r="Q74" s="18" t="n">
        <v>1287</v>
      </c>
      <c r="R74" s="18" t="n">
        <v>-6313</v>
      </c>
      <c r="S74" s="18" t="n">
        <v>-8656</v>
      </c>
      <c r="T74" s="18" t="n">
        <v>-13388</v>
      </c>
      <c r="U74" s="37" t="n">
        <v>-27070</v>
      </c>
      <c r="V74" s="18" t="n">
        <v>-9349</v>
      </c>
      <c r="W74" s="18" t="n">
        <v>-8344</v>
      </c>
      <c r="X74" s="18" t="n">
        <v>-3389</v>
      </c>
      <c r="Y74" s="18" t="n">
        <v>-2289</v>
      </c>
      <c r="Z74" s="37" t="n">
        <v>-23371</v>
      </c>
      <c r="AA74" s="18" t="n">
        <v>1738</v>
      </c>
      <c r="AB74" s="19" t="n">
        <v>-5027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기타영업외손익</t>
        </is>
      </c>
      <c r="E75" s="18" t="n">
        <v>-944</v>
      </c>
      <c r="F75" s="9" t="n"/>
      <c r="G75" s="18" t="n">
        <v>-1438</v>
      </c>
      <c r="H75" s="18" t="n">
        <v>-77</v>
      </c>
      <c r="I75" s="18" t="n">
        <v>-2515</v>
      </c>
      <c r="J75" s="18" t="n">
        <v>-1302</v>
      </c>
      <c r="K75" s="37" t="n">
        <v>-5332</v>
      </c>
      <c r="L75" s="18" t="n">
        <v>-3823</v>
      </c>
      <c r="M75" s="18" t="n">
        <v>5390</v>
      </c>
      <c r="N75" s="18" t="n">
        <v>39092</v>
      </c>
      <c r="O75" s="18" t="n">
        <v>-1785</v>
      </c>
      <c r="P75" s="37" t="n">
        <v>38874</v>
      </c>
      <c r="Q75" s="18" t="n">
        <v>322</v>
      </c>
      <c r="R75" s="18" t="n">
        <v>3436</v>
      </c>
      <c r="S75" s="18" t="n">
        <v>30682</v>
      </c>
      <c r="T75" s="18" t="n">
        <v>-2536</v>
      </c>
      <c r="U75" s="37" t="n">
        <v>31904</v>
      </c>
      <c r="V75" s="18" t="n">
        <v>2303</v>
      </c>
      <c r="W75" s="18" t="n">
        <v>-5512</v>
      </c>
      <c r="X75" s="18" t="n">
        <v>2874</v>
      </c>
      <c r="Y75" s="18" t="n">
        <v>-23088</v>
      </c>
      <c r="Z75" s="37" t="n">
        <v>-23423</v>
      </c>
      <c r="AA75" s="18" t="n">
        <v>-1380</v>
      </c>
      <c r="AB75" s="19" t="n">
        <v>2633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중단사업이익</t>
        </is>
      </c>
      <c r="E76" s="18" t="n">
        <v>0</v>
      </c>
      <c r="F76" s="9" t="n"/>
      <c r="K76" s="9" t="n"/>
      <c r="P76" s="9" t="n"/>
      <c r="U76" s="9" t="n"/>
      <c r="Z76" s="9" t="n"/>
      <c r="AB76" s="5" t="n"/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이자수익</t>
        </is>
      </c>
      <c r="F77" s="9" t="n"/>
      <c r="G77" s="18" t="n">
        <v>845</v>
      </c>
      <c r="H77" s="18" t="n">
        <v>392</v>
      </c>
      <c r="I77" s="18" t="n">
        <v>612</v>
      </c>
      <c r="J77" s="18" t="n">
        <v>962</v>
      </c>
      <c r="K77" s="37" t="n">
        <v>2811</v>
      </c>
      <c r="L77" s="18" t="n">
        <v>1214</v>
      </c>
      <c r="M77" s="18" t="n">
        <v>1211</v>
      </c>
      <c r="N77" s="18" t="n">
        <v>2288</v>
      </c>
      <c r="P77" s="9" t="n"/>
      <c r="Q77" s="18" t="n">
        <v>3213</v>
      </c>
      <c r="R77" s="18" t="n">
        <v>1237</v>
      </c>
      <c r="S77" s="18" t="n">
        <v>2439</v>
      </c>
      <c r="U77" s="9" t="n"/>
      <c r="V77" s="18" t="n">
        <v>839</v>
      </c>
      <c r="W77" s="18" t="n">
        <v>1697</v>
      </c>
      <c r="X77" s="18" t="n">
        <v>1520</v>
      </c>
      <c r="Z77" s="9" t="n"/>
      <c r="AA77" s="18" t="n">
        <v>2071</v>
      </c>
      <c r="AB77" s="19" t="n">
        <v>2227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이자비용</t>
        </is>
      </c>
      <c r="F78" s="9" t="n"/>
      <c r="G78" s="18" t="n">
        <v>11287</v>
      </c>
      <c r="H78" s="18" t="n">
        <v>11429</v>
      </c>
      <c r="I78" s="18" t="n">
        <v>10393</v>
      </c>
      <c r="J78" s="18" t="n">
        <v>10463</v>
      </c>
      <c r="K78" s="37" t="n">
        <v>43572</v>
      </c>
      <c r="L78" s="18" t="n">
        <v>10193</v>
      </c>
      <c r="M78" s="18" t="n">
        <v>10269</v>
      </c>
      <c r="N78" s="18" t="n">
        <v>10075</v>
      </c>
      <c r="O78" s="18" t="n">
        <v>9686</v>
      </c>
      <c r="P78" s="37" t="n">
        <v>40223</v>
      </c>
      <c r="Q78" s="18" t="n">
        <v>9949</v>
      </c>
      <c r="R78" s="18" t="n">
        <v>9576</v>
      </c>
      <c r="S78" s="18" t="n">
        <v>12419</v>
      </c>
      <c r="T78" s="18" t="n">
        <v>9953</v>
      </c>
      <c r="U78" s="37" t="n">
        <v>41897</v>
      </c>
      <c r="V78" s="18" t="n">
        <v>9595</v>
      </c>
      <c r="W78" s="18" t="n">
        <v>9387</v>
      </c>
      <c r="X78" s="18" t="n">
        <v>8151</v>
      </c>
      <c r="Y78" s="18" t="n">
        <v>8218</v>
      </c>
      <c r="Z78" s="37" t="n">
        <v>35351</v>
      </c>
      <c r="AA78" s="18" t="n">
        <v>7859</v>
      </c>
      <c r="AB78" s="19" t="n">
        <v>8911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외환차익</t>
        </is>
      </c>
      <c r="F79" s="9" t="n"/>
      <c r="G79" s="18" t="n">
        <v>125</v>
      </c>
      <c r="H79" s="18" t="n">
        <v>1491</v>
      </c>
      <c r="I79" s="18" t="n">
        <v>615</v>
      </c>
      <c r="J79" s="18" t="n">
        <v>1778</v>
      </c>
      <c r="K79" s="37" t="n">
        <v>4009</v>
      </c>
      <c r="L79" s="18" t="n">
        <v>500</v>
      </c>
      <c r="M79" s="18" t="n">
        <v>3755</v>
      </c>
      <c r="N79" s="18" t="n">
        <v>3331</v>
      </c>
      <c r="O79" s="18" t="n">
        <v>1922</v>
      </c>
      <c r="P79" s="37" t="n">
        <v>9508</v>
      </c>
      <c r="Q79" s="18" t="n">
        <v>6961</v>
      </c>
      <c r="R79" s="18" t="n">
        <v>6031</v>
      </c>
      <c r="S79" s="18" t="n">
        <v>2883</v>
      </c>
      <c r="T79" s="18" t="n">
        <v>3116</v>
      </c>
      <c r="U79" s="37" t="n">
        <v>18991</v>
      </c>
      <c r="V79" s="18" t="n">
        <v>439</v>
      </c>
      <c r="W79" s="18" t="n">
        <v>684</v>
      </c>
      <c r="X79" s="18" t="n">
        <v>1617</v>
      </c>
      <c r="Y79" s="18" t="n">
        <v>5517</v>
      </c>
      <c r="Z79" s="37" t="n">
        <v>8257</v>
      </c>
      <c r="AA79" s="18" t="n">
        <v>2590</v>
      </c>
      <c r="AB79" s="19" t="n">
        <v>8458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외환차손</t>
        </is>
      </c>
      <c r="F80" s="9" t="n"/>
      <c r="G80" s="18" t="n">
        <v>64</v>
      </c>
      <c r="H80" s="18" t="n">
        <v>77</v>
      </c>
      <c r="I80" s="18" t="n">
        <v>102</v>
      </c>
      <c r="J80" s="18" t="n">
        <v>2025</v>
      </c>
      <c r="K80" s="37" t="n">
        <v>2268</v>
      </c>
      <c r="L80" s="18" t="n">
        <v>401</v>
      </c>
      <c r="M80" s="18" t="n">
        <v>457</v>
      </c>
      <c r="N80" s="18" t="n">
        <v>1275</v>
      </c>
      <c r="O80" s="18" t="n">
        <v>331</v>
      </c>
      <c r="P80" s="37" t="n">
        <v>2464</v>
      </c>
      <c r="Q80" s="18" t="n">
        <v>235</v>
      </c>
      <c r="R80" s="18" t="n">
        <v>1154</v>
      </c>
      <c r="S80" s="18" t="n">
        <v>1144</v>
      </c>
      <c r="T80" s="18" t="n">
        <v>1205</v>
      </c>
      <c r="U80" s="37" t="n">
        <v>3738</v>
      </c>
      <c r="V80" s="18" t="n">
        <v>1554</v>
      </c>
      <c r="W80" s="18" t="n">
        <v>2235</v>
      </c>
      <c r="X80" s="18" t="n">
        <v>1139</v>
      </c>
      <c r="Y80" s="18" t="n">
        <v>1248</v>
      </c>
      <c r="Z80" s="37" t="n">
        <v>6176</v>
      </c>
      <c r="AA80" s="18" t="n">
        <v>459</v>
      </c>
      <c r="AB80" s="19" t="n">
        <v>4088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외화환산이익</t>
        </is>
      </c>
      <c r="F81" s="9" t="n"/>
      <c r="G81" s="18" t="n">
        <v>124</v>
      </c>
      <c r="H81" s="18" t="n">
        <v>442</v>
      </c>
      <c r="I81" s="18" t="n">
        <v>2086</v>
      </c>
      <c r="J81" s="18" t="n">
        <v>-1909</v>
      </c>
      <c r="K81" s="37" t="n">
        <v>743</v>
      </c>
      <c r="L81" s="18" t="n">
        <v>1670</v>
      </c>
      <c r="M81" s="18" t="n">
        <v>-158</v>
      </c>
      <c r="N81" s="18" t="n">
        <v>7537</v>
      </c>
      <c r="O81" s="18" t="n">
        <v>-8722</v>
      </c>
      <c r="P81" s="37" t="n">
        <v>327</v>
      </c>
      <c r="Q81" s="18" t="n">
        <v>6197</v>
      </c>
      <c r="R81" s="18" t="n">
        <v>-239</v>
      </c>
      <c r="S81" s="18" t="n">
        <v>-4361</v>
      </c>
      <c r="T81" s="18" t="n">
        <v>2363</v>
      </c>
      <c r="U81" s="37" t="n">
        <v>3960</v>
      </c>
      <c r="V81" s="18" t="n">
        <v>722</v>
      </c>
      <c r="W81" s="18" t="n">
        <v>7181</v>
      </c>
      <c r="X81" s="18" t="n">
        <v>-1813</v>
      </c>
      <c r="Y81" s="18" t="n">
        <v>-854</v>
      </c>
      <c r="Z81" s="37" t="n">
        <v>5236</v>
      </c>
      <c r="AA81" s="18" t="n">
        <v>11970</v>
      </c>
      <c r="AB81" s="19" t="n">
        <v>688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외화환산손실</t>
        </is>
      </c>
      <c r="F82" s="9" t="n"/>
      <c r="G82" s="18" t="n">
        <v>2017</v>
      </c>
      <c r="H82" s="18" t="n">
        <v>6098</v>
      </c>
      <c r="I82" s="18" t="n">
        <v>10938</v>
      </c>
      <c r="J82" s="18" t="n">
        <v>-4196</v>
      </c>
      <c r="K82" s="37" t="n">
        <v>14857</v>
      </c>
      <c r="L82" s="18" t="n">
        <v>3252</v>
      </c>
      <c r="M82" s="18" t="n">
        <v>979</v>
      </c>
      <c r="N82" s="18" t="n">
        <v>2336</v>
      </c>
      <c r="O82" s="18" t="n">
        <v>881</v>
      </c>
      <c r="P82" s="37" t="n">
        <v>7448</v>
      </c>
      <c r="Q82" s="18" t="n">
        <v>4853</v>
      </c>
      <c r="R82" s="18" t="n">
        <v>2575</v>
      </c>
      <c r="S82" s="18" t="n">
        <v>-3996</v>
      </c>
      <c r="T82" s="18" t="n">
        <v>9452</v>
      </c>
      <c r="U82" s="37" t="n">
        <v>12884</v>
      </c>
      <c r="V82" s="18" t="n">
        <v>152</v>
      </c>
      <c r="W82" s="18" t="n">
        <v>6236</v>
      </c>
      <c r="X82" s="18" t="n">
        <v>-4577</v>
      </c>
      <c r="Y82" s="18" t="n">
        <v>-5</v>
      </c>
      <c r="Z82" s="37" t="n">
        <v>1806</v>
      </c>
      <c r="AA82" s="18" t="n">
        <v>6241</v>
      </c>
      <c r="AB82" s="19" t="n">
        <v>450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이자손익</t>
        </is>
      </c>
      <c r="F83" s="9" t="n"/>
      <c r="G83" s="18" t="n">
        <v>-10442</v>
      </c>
      <c r="H83" s="18" t="n">
        <v>-11037</v>
      </c>
      <c r="I83" s="18" t="n">
        <v>-9781</v>
      </c>
      <c r="J83" s="18" t="n">
        <v>-9501</v>
      </c>
      <c r="K83" s="37" t="n">
        <v>-40761</v>
      </c>
      <c r="L83" s="18" t="n">
        <v>-8979</v>
      </c>
      <c r="M83" s="18" t="n">
        <v>-9058</v>
      </c>
      <c r="N83" s="18" t="n">
        <v>-7787</v>
      </c>
      <c r="P83" s="9" t="n"/>
      <c r="Q83" s="18" t="n">
        <v>-6736</v>
      </c>
      <c r="R83" s="18" t="n">
        <v>-8339</v>
      </c>
      <c r="S83" s="18" t="n">
        <v>-9980</v>
      </c>
      <c r="U83" s="9" t="n"/>
      <c r="V83" s="18" t="n">
        <v>-8756</v>
      </c>
      <c r="W83" s="18" t="n">
        <v>-7690</v>
      </c>
      <c r="X83" s="18" t="n">
        <v>-6631</v>
      </c>
      <c r="Z83" s="9" t="n"/>
      <c r="AA83" s="18" t="n">
        <v>-5788</v>
      </c>
      <c r="AB83" s="19" t="n">
        <v>-6684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총포괄손익</t>
        </is>
      </c>
      <c r="F84" s="9" t="n"/>
      <c r="K84" s="9" t="n"/>
      <c r="P84" s="9" t="n"/>
      <c r="Q84" s="18" t="n">
        <v>13839</v>
      </c>
      <c r="R84" s="18" t="n">
        <v>-41499</v>
      </c>
      <c r="S84" s="18" t="n">
        <v>52404</v>
      </c>
      <c r="U84" s="9" t="n"/>
      <c r="V84" s="18" t="n">
        <v>5338</v>
      </c>
      <c r="W84" s="18" t="n">
        <v>-5091</v>
      </c>
      <c r="X84" s="18" t="n">
        <v>3662</v>
      </c>
      <c r="Z84" s="9" t="n"/>
      <c r="AA84" s="18" t="n">
        <v>24363</v>
      </c>
      <c r="AB84" s="19" t="n">
        <v>58977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파생상품손실</t>
        </is>
      </c>
      <c r="F85" s="9" t="n"/>
      <c r="K85" s="9" t="n"/>
      <c r="P85" s="9" t="n"/>
      <c r="U85" s="9" t="n"/>
      <c r="Z85" s="9" t="n"/>
      <c r="AA85" s="18" t="n">
        <v>334</v>
      </c>
      <c r="AB85" s="5" t="n"/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영업활동으로인한현금흐름</t>
        </is>
      </c>
      <c r="E86" s="18" t="n">
        <v>41500</v>
      </c>
      <c r="F86" s="9" t="n"/>
      <c r="G86" s="18" t="n">
        <v>7785</v>
      </c>
      <c r="H86" s="18" t="n">
        <v>70019</v>
      </c>
      <c r="I86" s="18" t="n">
        <v>-111398</v>
      </c>
      <c r="J86" s="18" t="n">
        <v>118169</v>
      </c>
      <c r="K86" s="37" t="n">
        <v>84575</v>
      </c>
      <c r="L86" s="18" t="n">
        <v>39948</v>
      </c>
      <c r="M86" s="18" t="n">
        <v>-77319</v>
      </c>
      <c r="N86" s="18" t="n">
        <v>243178</v>
      </c>
      <c r="O86" s="18" t="n">
        <v>-51019</v>
      </c>
      <c r="P86" s="37" t="n">
        <v>154788</v>
      </c>
      <c r="Q86" s="18" t="n">
        <v>-50504</v>
      </c>
      <c r="R86" s="18" t="n">
        <v>19866</v>
      </c>
      <c r="S86" s="18" t="n">
        <v>-77385</v>
      </c>
      <c r="T86" s="18" t="n">
        <v>21658</v>
      </c>
      <c r="U86" s="37" t="n">
        <v>-86365</v>
      </c>
      <c r="V86" s="18" t="n">
        <v>-102684</v>
      </c>
      <c r="W86" s="18" t="n">
        <v>146868</v>
      </c>
      <c r="X86" s="18" t="n">
        <v>38921</v>
      </c>
      <c r="Y86" s="18" t="n">
        <v>-76775</v>
      </c>
      <c r="Z86" s="37" t="n">
        <v>6330</v>
      </c>
      <c r="AA86" s="18" t="n">
        <v>-163853</v>
      </c>
      <c r="AB86" s="19" t="n">
        <v>21461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이자수취(CF)</t>
        </is>
      </c>
      <c r="E87" s="18" t="n">
        <v>136</v>
      </c>
      <c r="F87" s="9" t="n"/>
      <c r="G87" s="18" t="n">
        <v>277</v>
      </c>
      <c r="H87" s="18" t="n">
        <v>424</v>
      </c>
      <c r="I87" s="18" t="n">
        <v>429</v>
      </c>
      <c r="J87" s="18" t="n">
        <v>761</v>
      </c>
      <c r="K87" s="37" t="n">
        <v>1891</v>
      </c>
      <c r="L87" s="18" t="n">
        <v>873</v>
      </c>
      <c r="M87" s="18" t="n">
        <v>1117</v>
      </c>
      <c r="N87" s="18" t="n">
        <v>1917</v>
      </c>
      <c r="O87" s="18" t="n">
        <v>3064</v>
      </c>
      <c r="P87" s="37" t="n">
        <v>6971</v>
      </c>
      <c r="Q87" s="18" t="n">
        <v>2569</v>
      </c>
      <c r="R87" s="18" t="n">
        <v>2160</v>
      </c>
      <c r="S87" s="18" t="n">
        <v>2186</v>
      </c>
      <c r="T87" s="18" t="n">
        <v>1595</v>
      </c>
      <c r="U87" s="37" t="n">
        <v>8510</v>
      </c>
      <c r="V87" s="18" t="n">
        <v>748</v>
      </c>
      <c r="W87" s="18" t="n">
        <v>1033</v>
      </c>
      <c r="X87" s="18" t="n">
        <v>1431</v>
      </c>
      <c r="Y87" s="18" t="n">
        <v>2076</v>
      </c>
      <c r="Z87" s="37" t="n">
        <v>5288</v>
      </c>
      <c r="AA87" s="18" t="n">
        <v>1613</v>
      </c>
      <c r="AB87" s="19" t="n">
        <v>1610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배당금수취(CF)</t>
        </is>
      </c>
      <c r="E88" s="18" t="n">
        <v>0</v>
      </c>
      <c r="F88" s="9" t="n"/>
      <c r="G88" s="18" t="n">
        <v>10</v>
      </c>
      <c r="H88" s="18" t="n">
        <v>1014</v>
      </c>
      <c r="I88" s="18" t="n">
        <v>0</v>
      </c>
      <c r="J88" s="18" t="n">
        <v>1</v>
      </c>
      <c r="K88" s="37" t="n">
        <v>1025</v>
      </c>
      <c r="L88" s="18" t="n">
        <v>0</v>
      </c>
      <c r="M88" s="18" t="n">
        <v>501</v>
      </c>
      <c r="N88" s="18" t="n">
        <v>7</v>
      </c>
      <c r="O88" s="18" t="n">
        <v>0</v>
      </c>
      <c r="P88" s="37" t="n">
        <v>508</v>
      </c>
      <c r="Q88" s="18" t="n">
        <v>3</v>
      </c>
      <c r="R88" s="18" t="n">
        <v>418</v>
      </c>
      <c r="S88" s="18" t="n">
        <v>0</v>
      </c>
      <c r="T88" s="18" t="n">
        <v>20</v>
      </c>
      <c r="U88" s="37" t="n">
        <v>441</v>
      </c>
      <c r="V88" s="18" t="n">
        <v>0</v>
      </c>
      <c r="W88" s="18" t="n">
        <v>60</v>
      </c>
      <c r="X88" s="18" t="n">
        <v>9</v>
      </c>
      <c r="Y88" s="18" t="n">
        <v>0</v>
      </c>
      <c r="Z88" s="37" t="n">
        <v>69</v>
      </c>
      <c r="AA88" s="18" t="n">
        <v>709</v>
      </c>
      <c r="AB88" s="19" t="n">
        <v>1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이자지급(CF)</t>
        </is>
      </c>
      <c r="E89" s="18" t="n">
        <v>-6939</v>
      </c>
      <c r="F89" s="9" t="n"/>
      <c r="G89" s="18" t="n">
        <v>-6772</v>
      </c>
      <c r="H89" s="18" t="n">
        <v>-7054</v>
      </c>
      <c r="I89" s="18" t="n">
        <v>-5770</v>
      </c>
      <c r="J89" s="18" t="n">
        <v>-5149</v>
      </c>
      <c r="K89" s="37" t="n">
        <v>-24745</v>
      </c>
      <c r="L89" s="18" t="n">
        <v>-6529</v>
      </c>
      <c r="M89" s="18" t="n">
        <v>-4305</v>
      </c>
      <c r="N89" s="18" t="n">
        <v>-11778</v>
      </c>
      <c r="O89" s="18" t="n">
        <v>-7418</v>
      </c>
      <c r="P89" s="37" t="n">
        <v>-30030</v>
      </c>
      <c r="Q89" s="18" t="n">
        <v>-7739</v>
      </c>
      <c r="R89" s="18" t="n">
        <v>-7297</v>
      </c>
      <c r="S89" s="18" t="n">
        <v>-14500</v>
      </c>
      <c r="T89" s="18" t="n">
        <v>-9827</v>
      </c>
      <c r="U89" s="37" t="n">
        <v>-39363</v>
      </c>
      <c r="V89" s="18" t="n">
        <v>-9664</v>
      </c>
      <c r="W89" s="18" t="n">
        <v>-9041</v>
      </c>
      <c r="X89" s="18" t="n">
        <v>-8510</v>
      </c>
      <c r="Y89" s="18" t="n">
        <v>-8595</v>
      </c>
      <c r="Z89" s="37" t="n">
        <v>-35810</v>
      </c>
      <c r="AA89" s="18" t="n">
        <v>-7001</v>
      </c>
      <c r="AB89" s="19" t="n">
        <v>-8181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투자활동으로인한현금흐름</t>
        </is>
      </c>
      <c r="E90" s="18" t="n">
        <v>7771</v>
      </c>
      <c r="F90" s="9" t="n"/>
      <c r="G90" s="18" t="n">
        <v>-5896</v>
      </c>
      <c r="H90" s="18" t="n">
        <v>32203</v>
      </c>
      <c r="I90" s="18" t="n">
        <v>8139</v>
      </c>
      <c r="J90" s="18" t="n">
        <v>-71061</v>
      </c>
      <c r="K90" s="37" t="n">
        <v>-36615</v>
      </c>
      <c r="L90" s="18" t="n">
        <v>11920</v>
      </c>
      <c r="M90" s="18" t="n">
        <v>60153</v>
      </c>
      <c r="N90" s="18" t="n">
        <v>-19725</v>
      </c>
      <c r="O90" s="18" t="n">
        <v>34535</v>
      </c>
      <c r="P90" s="37" t="n">
        <v>86883</v>
      </c>
      <c r="Q90" s="18" t="n">
        <v>-12273</v>
      </c>
      <c r="R90" s="18" t="n">
        <v>4515</v>
      </c>
      <c r="S90" s="18" t="n">
        <v>192327</v>
      </c>
      <c r="T90" s="18" t="n">
        <v>2965</v>
      </c>
      <c r="U90" s="37" t="n">
        <v>187534</v>
      </c>
      <c r="V90" s="18" t="n">
        <v>-10995</v>
      </c>
      <c r="W90" s="18" t="n">
        <v>-4995</v>
      </c>
      <c r="X90" s="18" t="n">
        <v>5853</v>
      </c>
      <c r="Y90" s="18" t="n">
        <v>7114</v>
      </c>
      <c r="Z90" s="37" t="n">
        <v>-3023</v>
      </c>
      <c r="AA90" s="18" t="n">
        <v>1182</v>
      </c>
      <c r="AB90" s="19" t="n">
        <v>-3243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유형자산의증가</t>
        </is>
      </c>
      <c r="E91" s="18" t="n">
        <v>1369</v>
      </c>
      <c r="F91" s="9" t="n"/>
      <c r="G91" s="18" t="n">
        <v>5163</v>
      </c>
      <c r="H91" s="18" t="n">
        <v>46236</v>
      </c>
      <c r="I91" s="18" t="n">
        <v>7436</v>
      </c>
      <c r="J91" s="18" t="n">
        <v>5440</v>
      </c>
      <c r="K91" s="37" t="n">
        <v>64275</v>
      </c>
      <c r="L91" s="18" t="n">
        <v>1559</v>
      </c>
      <c r="M91" s="18" t="n">
        <v>2198</v>
      </c>
      <c r="N91" s="18" t="n">
        <v>2727</v>
      </c>
      <c r="O91" s="18" t="n">
        <v>2997</v>
      </c>
      <c r="P91" s="37" t="n">
        <v>9481</v>
      </c>
      <c r="Q91" s="18" t="n">
        <v>1981</v>
      </c>
      <c r="R91" s="18" t="n">
        <v>1593</v>
      </c>
      <c r="S91" s="18" t="n">
        <v>932</v>
      </c>
      <c r="T91" s="18" t="n">
        <v>888</v>
      </c>
      <c r="U91" s="37" t="n">
        <v>5394</v>
      </c>
      <c r="V91" s="18" t="n">
        <v>1204</v>
      </c>
      <c r="W91" s="18" t="n">
        <v>1766</v>
      </c>
      <c r="X91" s="18" t="n">
        <v>4627</v>
      </c>
      <c r="Y91" s="18" t="n">
        <v>3064</v>
      </c>
      <c r="Z91" s="37" t="n">
        <v>10661</v>
      </c>
      <c r="AA91" s="18" t="n">
        <v>2984</v>
      </c>
      <c r="AB91" s="19" t="n">
        <v>2589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CAPEX</t>
        </is>
      </c>
      <c r="E92" s="18" t="n">
        <v>1605</v>
      </c>
      <c r="F92" s="9" t="n"/>
      <c r="G92" s="18" t="n">
        <v>5362</v>
      </c>
      <c r="H92" s="18" t="n">
        <v>46436</v>
      </c>
      <c r="I92" s="18" t="n">
        <v>7635</v>
      </c>
      <c r="J92" s="18" t="n">
        <v>5640</v>
      </c>
      <c r="K92" s="37" t="n">
        <v>65073</v>
      </c>
      <c r="L92" s="18" t="n">
        <v>1559</v>
      </c>
      <c r="M92" s="18" t="n">
        <v>2902</v>
      </c>
      <c r="N92" s="18" t="n">
        <v>2727</v>
      </c>
      <c r="O92" s="18" t="n">
        <v>2964</v>
      </c>
      <c r="P92" s="37" t="n">
        <v>10152</v>
      </c>
      <c r="Q92" s="18" t="n">
        <v>2167</v>
      </c>
      <c r="R92" s="18" t="n">
        <v>1780</v>
      </c>
      <c r="S92" s="18" t="n">
        <v>1119</v>
      </c>
      <c r="T92" s="18" t="n">
        <v>1075</v>
      </c>
      <c r="U92" s="37" t="n">
        <v>6141</v>
      </c>
      <c r="V92" s="18" t="n">
        <v>1391</v>
      </c>
      <c r="W92" s="18" t="n">
        <v>1952</v>
      </c>
      <c r="X92" s="18" t="n">
        <v>4814</v>
      </c>
      <c r="Y92" s="18" t="n">
        <v>3251</v>
      </c>
      <c r="Z92" s="37" t="n">
        <v>11408</v>
      </c>
      <c r="AA92" s="18" t="n">
        <v>3171</v>
      </c>
      <c r="AB92" s="19" t="n">
        <v>2775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유형자산의감소</t>
        </is>
      </c>
      <c r="E93" s="18" t="n">
        <v>4</v>
      </c>
      <c r="F93" s="9" t="n"/>
      <c r="G93" s="18" t="n">
        <v>3</v>
      </c>
      <c r="H93" s="18" t="n">
        <v>160</v>
      </c>
      <c r="I93" s="18" t="n">
        <v>77</v>
      </c>
      <c r="K93" s="9" t="n"/>
      <c r="L93" s="18" t="n">
        <v>22</v>
      </c>
      <c r="M93" s="18" t="n">
        <v>181</v>
      </c>
      <c r="N93" s="18" t="n">
        <v>48</v>
      </c>
      <c r="O93" s="18" t="n">
        <v>453</v>
      </c>
      <c r="P93" s="37" t="n">
        <v>704</v>
      </c>
      <c r="Q93" s="18" t="n">
        <v>148</v>
      </c>
      <c r="R93" s="18" t="n">
        <v>383</v>
      </c>
      <c r="S93" s="18" t="n">
        <v>281</v>
      </c>
      <c r="T93" s="18" t="n">
        <v>26</v>
      </c>
      <c r="U93" s="37" t="n">
        <v>838</v>
      </c>
      <c r="V93" s="18" t="n">
        <v>340</v>
      </c>
      <c r="W93" s="18" t="n">
        <v>17</v>
      </c>
      <c r="X93" s="18" t="n">
        <v>16</v>
      </c>
      <c r="Y93" s="18" t="n">
        <v>2141</v>
      </c>
      <c r="Z93" s="37" t="n">
        <v>2514</v>
      </c>
      <c r="AA93" s="18" t="n">
        <v>16</v>
      </c>
      <c r="AB93" s="19" t="n">
        <v>2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무형자산의증가</t>
        </is>
      </c>
      <c r="E94" s="18" t="n">
        <v>236</v>
      </c>
      <c r="F94" s="9" t="n"/>
      <c r="G94" s="18" t="n">
        <v>199</v>
      </c>
      <c r="H94" s="18" t="n">
        <v>200</v>
      </c>
      <c r="I94" s="18" t="n">
        <v>199</v>
      </c>
      <c r="J94" s="18" t="n">
        <v>200</v>
      </c>
      <c r="K94" s="37" t="n">
        <v>798</v>
      </c>
      <c r="L94" s="18" t="n">
        <v>0</v>
      </c>
      <c r="M94" s="18" t="n">
        <v>704</v>
      </c>
      <c r="N94" s="18" t="n">
        <v>0</v>
      </c>
      <c r="P94" s="9" t="n"/>
      <c r="Q94" s="18" t="n">
        <v>186</v>
      </c>
      <c r="R94" s="18" t="n">
        <v>187</v>
      </c>
      <c r="S94" s="18" t="n">
        <v>187</v>
      </c>
      <c r="T94" s="18" t="n">
        <v>187</v>
      </c>
      <c r="U94" s="37" t="n">
        <v>747</v>
      </c>
      <c r="V94" s="18" t="n">
        <v>187</v>
      </c>
      <c r="W94" s="18" t="n">
        <v>186</v>
      </c>
      <c r="X94" s="18" t="n">
        <v>187</v>
      </c>
      <c r="Y94" s="18" t="n">
        <v>187</v>
      </c>
      <c r="Z94" s="37" t="n">
        <v>747</v>
      </c>
      <c r="AA94" s="18" t="n">
        <v>187</v>
      </c>
      <c r="AB94" s="19" t="n">
        <v>186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무형자산의감소</t>
        </is>
      </c>
      <c r="E95" s="18" t="n">
        <v>13</v>
      </c>
      <c r="F95" s="9" t="n"/>
      <c r="G95" s="18" t="n">
        <v>52</v>
      </c>
      <c r="I95" s="18" t="n">
        <v>13</v>
      </c>
      <c r="J95" s="18" t="n">
        <v>13</v>
      </c>
      <c r="K95" s="9" t="n"/>
      <c r="L95" s="18" t="n">
        <v>13</v>
      </c>
      <c r="M95" s="18" t="n">
        <v>13</v>
      </c>
      <c r="N95" s="18" t="n">
        <v>13</v>
      </c>
      <c r="O95" s="18" t="n">
        <v>13</v>
      </c>
      <c r="P95" s="37" t="n">
        <v>52</v>
      </c>
      <c r="Q95" s="18" t="n">
        <v>0</v>
      </c>
      <c r="R95" s="18" t="n">
        <v>0</v>
      </c>
      <c r="S95" s="18" t="n">
        <v>0</v>
      </c>
      <c r="T95" s="18" t="n">
        <v>0</v>
      </c>
      <c r="U95" s="37" t="n">
        <v>0</v>
      </c>
      <c r="Z95" s="9" t="n"/>
      <c r="AB95" s="5" t="n"/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재무활동으로인한현금흐름</t>
        </is>
      </c>
      <c r="E96" s="18" t="n">
        <v>-5966</v>
      </c>
      <c r="F96" s="9" t="n"/>
      <c r="G96" s="18" t="n">
        <v>-3067</v>
      </c>
      <c r="H96" s="18" t="n">
        <v>-83474</v>
      </c>
      <c r="I96" s="18" t="n">
        <v>48025</v>
      </c>
      <c r="J96" s="18" t="n">
        <v>-18835</v>
      </c>
      <c r="K96" s="37" t="n">
        <v>-57351</v>
      </c>
      <c r="L96" s="18" t="n">
        <v>-3374</v>
      </c>
      <c r="M96" s="18" t="n">
        <v>-3866</v>
      </c>
      <c r="N96" s="18" t="n">
        <v>-4223</v>
      </c>
      <c r="O96" s="18" t="n">
        <v>20657</v>
      </c>
      <c r="P96" s="37" t="n">
        <v>9194</v>
      </c>
      <c r="Q96" s="18" t="n">
        <v>-4568</v>
      </c>
      <c r="R96" s="18" t="n">
        <v>-53406</v>
      </c>
      <c r="S96" s="18" t="n">
        <v>-173571</v>
      </c>
      <c r="T96" s="18" t="n">
        <v>-13289</v>
      </c>
      <c r="U96" s="37" t="n">
        <v>-244834</v>
      </c>
      <c r="V96" s="18" t="n">
        <v>-13314</v>
      </c>
      <c r="W96" s="18" t="n">
        <v>-48115</v>
      </c>
      <c r="X96" s="18" t="n">
        <v>-17163</v>
      </c>
      <c r="Y96" s="18" t="n">
        <v>199224</v>
      </c>
      <c r="Z96" s="37" t="n">
        <v>120632</v>
      </c>
      <c r="AA96" s="18" t="n">
        <v>-11116</v>
      </c>
      <c r="AB96" s="19" t="n">
        <v>69489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현금및현금성자산의증감</t>
        </is>
      </c>
      <c r="E97" s="18" t="n">
        <v>43305</v>
      </c>
      <c r="F97" s="9" t="n"/>
      <c r="G97" s="18" t="n">
        <v>-1178</v>
      </c>
      <c r="H97" s="18" t="n">
        <v>18748</v>
      </c>
      <c r="I97" s="18" t="n">
        <v>-55234</v>
      </c>
      <c r="J97" s="18" t="n">
        <v>28273</v>
      </c>
      <c r="K97" s="37" t="n">
        <v>-9391</v>
      </c>
      <c r="L97" s="18" t="n">
        <v>48494</v>
      </c>
      <c r="M97" s="18" t="n">
        <v>-21032</v>
      </c>
      <c r="N97" s="18" t="n">
        <v>219230</v>
      </c>
      <c r="O97" s="18" t="n">
        <v>4173</v>
      </c>
      <c r="P97" s="37" t="n">
        <v>250865</v>
      </c>
      <c r="Q97" s="18" t="n">
        <v>-67345</v>
      </c>
      <c r="R97" s="18" t="n">
        <v>-29025</v>
      </c>
      <c r="S97" s="18" t="n">
        <v>-58629</v>
      </c>
      <c r="T97" s="18" t="n">
        <v>11334</v>
      </c>
      <c r="U97" s="37" t="n">
        <v>-143665</v>
      </c>
      <c r="V97" s="18" t="n">
        <v>-126993</v>
      </c>
      <c r="W97" s="18" t="n">
        <v>93758</v>
      </c>
      <c r="X97" s="18" t="n">
        <v>27611</v>
      </c>
      <c r="Y97" s="18" t="n">
        <v>129563</v>
      </c>
      <c r="Z97" s="37" t="n">
        <v>123939</v>
      </c>
      <c r="AA97" s="18" t="n">
        <v>-173787</v>
      </c>
      <c r="AB97" s="19" t="n">
        <v>87707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기말현금및현금성자산</t>
        </is>
      </c>
      <c r="E98" s="18" t="n">
        <v>42932</v>
      </c>
      <c r="F98" s="9" t="n"/>
      <c r="G98" s="18" t="n">
        <v>117115</v>
      </c>
      <c r="H98" s="18" t="n">
        <v>19045</v>
      </c>
      <c r="I98" s="18" t="n">
        <v>-53426</v>
      </c>
      <c r="J98" s="18" t="n">
        <v>19499</v>
      </c>
      <c r="K98" s="37" t="n">
        <v>102233</v>
      </c>
      <c r="L98" s="18" t="n">
        <v>151777</v>
      </c>
      <c r="M98" s="18" t="n">
        <v>-22214</v>
      </c>
      <c r="N98" s="18" t="n">
        <v>224614</v>
      </c>
      <c r="O98" s="18" t="n">
        <v>-3920</v>
      </c>
      <c r="P98" s="37" t="n">
        <v>350257</v>
      </c>
      <c r="Q98" s="18" t="n">
        <v>286569</v>
      </c>
      <c r="R98" s="18" t="n">
        <v>-29563</v>
      </c>
      <c r="S98" s="18" t="n">
        <v>-61798</v>
      </c>
      <c r="T98" s="18" t="n">
        <v>11920</v>
      </c>
      <c r="U98" s="37" t="n">
        <v>207128</v>
      </c>
      <c r="V98" s="18" t="n">
        <v>80370</v>
      </c>
      <c r="W98" s="18" t="n">
        <v>89820</v>
      </c>
      <c r="X98" s="18" t="n">
        <v>31957</v>
      </c>
      <c r="Y98" s="18" t="n">
        <v>130059</v>
      </c>
      <c r="Z98" s="37" t="n">
        <v>332206</v>
      </c>
      <c r="AA98" s="18" t="n">
        <v>163666</v>
      </c>
      <c r="AB98" s="19" t="n">
        <v>86081</v>
      </c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유동성장기부채의감소</t>
        </is>
      </c>
      <c r="F99" s="9" t="n"/>
      <c r="I99" s="18" t="n">
        <v>785</v>
      </c>
      <c r="K99" s="9" t="n"/>
      <c r="N99" s="18" t="n">
        <v>0</v>
      </c>
      <c r="O99" s="18" t="n">
        <v>4285</v>
      </c>
      <c r="P99" s="9" t="n"/>
      <c r="S99" s="18" t="n">
        <v>664966</v>
      </c>
      <c r="U99" s="9" t="n"/>
      <c r="V99" s="18" t="n">
        <v>2002</v>
      </c>
      <c r="W99" s="18" t="n">
        <v>0</v>
      </c>
      <c r="X99" s="18" t="n">
        <v>3030</v>
      </c>
      <c r="Y99" s="18" t="n">
        <v>1</v>
      </c>
      <c r="Z99" s="37" t="n">
        <v>5033</v>
      </c>
      <c r="AA99" s="18" t="n">
        <v>0</v>
      </c>
      <c r="AB99" s="19" t="n">
        <v>25000</v>
      </c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장기차입금의증가</t>
        </is>
      </c>
      <c r="F100" s="9" t="n"/>
      <c r="J100" s="18" t="n">
        <v>0</v>
      </c>
      <c r="K100" s="9" t="n"/>
      <c r="O100" s="18" t="n">
        <v>25000</v>
      </c>
      <c r="P100" s="9" t="n"/>
      <c r="U100" s="9" t="n"/>
      <c r="X100" s="18" t="n">
        <v>0</v>
      </c>
      <c r="Y100" s="18" t="n">
        <v>0</v>
      </c>
      <c r="Z100" s="9" t="n"/>
      <c r="AB100" s="5" t="n"/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단기차입금의감소</t>
        </is>
      </c>
      <c r="F101" s="9" t="n"/>
      <c r="K101" s="9" t="n"/>
      <c r="P101" s="9" t="n"/>
      <c r="U101" s="9" t="n"/>
      <c r="V101" s="18" t="n">
        <v>7361</v>
      </c>
      <c r="W101" s="18" t="n">
        <v>374386</v>
      </c>
      <c r="X101" s="18" t="n">
        <v>8588</v>
      </c>
      <c r="Y101" s="18" t="n">
        <v>7361</v>
      </c>
      <c r="Z101" s="37" t="n">
        <v>397696</v>
      </c>
      <c r="AA101" s="18" t="n">
        <v>7369</v>
      </c>
      <c r="AB101" s="19" t="n">
        <v>269100</v>
      </c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단기차입금의증가</t>
        </is>
      </c>
      <c r="F102" s="9" t="n"/>
      <c r="K102" s="9" t="n"/>
      <c r="P102" s="9" t="n"/>
      <c r="U102" s="9" t="n"/>
      <c r="X102" s="18" t="n">
        <v>0</v>
      </c>
      <c r="Y102" s="18" t="n">
        <v>-1</v>
      </c>
      <c r="Z102" s="9" t="n"/>
      <c r="AB102" s="5" t="n"/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HJ중공업(별)</t>
        </is>
      </c>
      <c r="C3" s="2" t="inlineStr">
        <is>
          <t>UPDATE: 26-10-14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948911</v>
      </c>
      <c r="F5" s="37" t="n">
        <v>948911</v>
      </c>
      <c r="G5" s="18" t="n">
        <v>934811</v>
      </c>
      <c r="H5" s="18" t="n">
        <v>905456</v>
      </c>
      <c r="I5" s="18" t="n">
        <v>919500</v>
      </c>
      <c r="J5" s="18" t="n">
        <v>1430242</v>
      </c>
      <c r="K5" s="37" t="n">
        <v>1430242</v>
      </c>
      <c r="L5" s="18" t="n">
        <v>1527162</v>
      </c>
      <c r="M5" s="18" t="n">
        <v>1469744</v>
      </c>
      <c r="N5" s="18" t="n">
        <v>1717779</v>
      </c>
      <c r="O5" s="18" t="n">
        <v>1724579</v>
      </c>
      <c r="P5" s="37" t="n">
        <v>1724579</v>
      </c>
      <c r="Q5" s="18" t="n">
        <v>1682650</v>
      </c>
      <c r="R5" s="18" t="n">
        <v>1602652</v>
      </c>
      <c r="S5" s="18" t="n">
        <v>1041804</v>
      </c>
      <c r="T5" s="18" t="n">
        <v>1073132</v>
      </c>
      <c r="U5" s="37" t="n">
        <v>1073132</v>
      </c>
      <c r="V5" s="18" t="n">
        <v>1087266</v>
      </c>
      <c r="W5" s="18" t="n">
        <v>1150107</v>
      </c>
      <c r="X5" s="18" t="n">
        <v>1161613</v>
      </c>
      <c r="Y5" s="18" t="n">
        <v>1258557</v>
      </c>
      <c r="Z5" s="37" t="n">
        <v>1258557</v>
      </c>
      <c r="AA5" s="18" t="n">
        <v>1259136</v>
      </c>
      <c r="AB5" s="19" t="n">
        <v>1444063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118298</v>
      </c>
      <c r="F6" s="37" t="n">
        <v>118298</v>
      </c>
      <c r="G6" s="18" t="n">
        <v>117104</v>
      </c>
      <c r="H6" s="18" t="n">
        <v>136138</v>
      </c>
      <c r="I6" s="18" t="n">
        <v>82718</v>
      </c>
      <c r="J6" s="18" t="n">
        <v>102217</v>
      </c>
      <c r="K6" s="37" t="n">
        <v>102217</v>
      </c>
      <c r="L6" s="18" t="n">
        <v>151763</v>
      </c>
      <c r="M6" s="18" t="n">
        <v>100845</v>
      </c>
      <c r="N6" s="18" t="n">
        <v>350400</v>
      </c>
      <c r="O6" s="18" t="n">
        <v>347519</v>
      </c>
      <c r="P6" s="37" t="n">
        <v>347519</v>
      </c>
      <c r="Q6" s="18" t="n">
        <v>284379</v>
      </c>
      <c r="R6" s="18" t="n">
        <v>255142</v>
      </c>
      <c r="S6" s="18" t="n">
        <v>193509</v>
      </c>
      <c r="T6" s="18" t="n">
        <v>207117</v>
      </c>
      <c r="U6" s="37" t="n">
        <v>207117</v>
      </c>
      <c r="V6" s="18" t="n">
        <v>80360</v>
      </c>
      <c r="W6" s="18" t="n">
        <v>169892</v>
      </c>
      <c r="X6" s="18" t="n">
        <v>201935</v>
      </c>
      <c r="Y6" s="18" t="n">
        <v>332116</v>
      </c>
      <c r="Z6" s="37" t="n">
        <v>332116</v>
      </c>
      <c r="AA6" s="18" t="n">
        <v>163576</v>
      </c>
      <c r="AB6" s="19" t="n">
        <v>249647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45056</v>
      </c>
      <c r="F7" s="37" t="n">
        <v>45056</v>
      </c>
      <c r="G7" s="18" t="n">
        <v>39615</v>
      </c>
      <c r="H7" s="18" t="n">
        <v>27263</v>
      </c>
      <c r="I7" s="18" t="n">
        <v>22858</v>
      </c>
      <c r="J7" s="18" t="n">
        <v>53296</v>
      </c>
      <c r="K7" s="37" t="n">
        <v>53296</v>
      </c>
      <c r="L7" s="18" t="n">
        <v>16736</v>
      </c>
      <c r="M7" s="18" t="n">
        <v>12183</v>
      </c>
      <c r="N7" s="18" t="n">
        <v>12240</v>
      </c>
      <c r="O7" s="18" t="n">
        <v>12458</v>
      </c>
      <c r="P7" s="37" t="n">
        <v>12458</v>
      </c>
      <c r="Q7" s="18" t="n">
        <v>12478</v>
      </c>
      <c r="R7" s="18" t="n">
        <v>11276</v>
      </c>
      <c r="S7" s="18" t="n">
        <v>32142</v>
      </c>
      <c r="T7" s="18" t="n">
        <v>24154</v>
      </c>
      <c r="U7" s="37" t="n">
        <v>24154</v>
      </c>
      <c r="V7" s="18" t="n">
        <v>32847</v>
      </c>
      <c r="W7" s="18" t="n">
        <v>42942</v>
      </c>
      <c r="X7" s="18" t="n">
        <v>32408</v>
      </c>
      <c r="Y7" s="18" t="n">
        <v>26038</v>
      </c>
      <c r="Z7" s="37" t="n">
        <v>26038</v>
      </c>
      <c r="AA7" s="18" t="n">
        <v>22198</v>
      </c>
      <c r="AB7" s="19" t="n">
        <v>25560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45056</v>
      </c>
      <c r="F8" s="37" t="n">
        <v>45056</v>
      </c>
      <c r="G8" s="18" t="n">
        <v>39615</v>
      </c>
      <c r="H8" s="18" t="n">
        <v>27263</v>
      </c>
      <c r="I8" s="18" t="n">
        <v>22858</v>
      </c>
      <c r="J8" s="18" t="n">
        <v>53296</v>
      </c>
      <c r="K8" s="37" t="n">
        <v>53296</v>
      </c>
      <c r="L8" s="18" t="n">
        <v>16736</v>
      </c>
      <c r="M8" s="18" t="n">
        <v>12183</v>
      </c>
      <c r="N8" s="18" t="n">
        <v>12240</v>
      </c>
      <c r="O8" s="18" t="n">
        <v>12458</v>
      </c>
      <c r="P8" s="37" t="n">
        <v>12458</v>
      </c>
      <c r="Q8" s="18" t="n">
        <v>12478</v>
      </c>
      <c r="R8" s="18" t="n">
        <v>11276</v>
      </c>
      <c r="S8" s="18" t="n">
        <v>32142</v>
      </c>
      <c r="T8" s="18" t="n">
        <v>24154</v>
      </c>
      <c r="U8" s="37" t="n">
        <v>24154</v>
      </c>
      <c r="V8" s="18" t="n">
        <v>32847</v>
      </c>
      <c r="W8" s="18" t="n">
        <v>42942</v>
      </c>
      <c r="X8" s="18" t="n">
        <v>32408</v>
      </c>
      <c r="Y8" s="18" t="n">
        <v>26038</v>
      </c>
      <c r="Z8" s="37" t="n">
        <v>26038</v>
      </c>
      <c r="AA8" s="18" t="n">
        <v>22198</v>
      </c>
      <c r="AB8" s="19" t="n">
        <v>25560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125998</v>
      </c>
      <c r="F9" s="37" t="n">
        <v>125998</v>
      </c>
      <c r="G9" s="18" t="n">
        <v>81066</v>
      </c>
      <c r="H9" s="18" t="n">
        <v>111366</v>
      </c>
      <c r="I9" s="18" t="n">
        <v>120253</v>
      </c>
      <c r="J9" s="18" t="n">
        <v>191295</v>
      </c>
      <c r="K9" s="37" t="n">
        <v>191295</v>
      </c>
      <c r="L9" s="18" t="n">
        <v>174153</v>
      </c>
      <c r="M9" s="18" t="n">
        <v>140611</v>
      </c>
      <c r="N9" s="18" t="n">
        <v>88751</v>
      </c>
      <c r="O9" s="18" t="n">
        <v>187649</v>
      </c>
      <c r="P9" s="37" t="n">
        <v>187649</v>
      </c>
      <c r="Q9" s="18" t="n">
        <v>202261</v>
      </c>
      <c r="R9" s="18" t="n">
        <v>206701</v>
      </c>
      <c r="S9" s="18" t="n">
        <v>134264</v>
      </c>
      <c r="T9" s="18" t="n">
        <v>140323</v>
      </c>
      <c r="U9" s="37" t="n">
        <v>140323</v>
      </c>
      <c r="V9" s="18" t="n">
        <v>152521</v>
      </c>
      <c r="W9" s="18" t="n">
        <v>165562</v>
      </c>
      <c r="X9" s="18" t="n">
        <v>152510</v>
      </c>
      <c r="Y9" s="18" t="n">
        <v>182991</v>
      </c>
      <c r="Z9" s="37" t="n">
        <v>182991</v>
      </c>
      <c r="AA9" s="18" t="n">
        <v>149848</v>
      </c>
      <c r="AB9" s="19" t="n">
        <v>186707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계약자산</t>
        </is>
      </c>
      <c r="E10" s="18" t="n">
        <v>267748</v>
      </c>
      <c r="F10" s="37" t="n">
        <v>267748</v>
      </c>
      <c r="G10" s="18" t="n">
        <v>244889</v>
      </c>
      <c r="H10" s="18" t="n">
        <v>158347</v>
      </c>
      <c r="I10" s="18" t="n">
        <v>217745</v>
      </c>
      <c r="J10" s="18" t="n">
        <v>233295</v>
      </c>
      <c r="K10" s="37" t="n">
        <v>233295</v>
      </c>
      <c r="L10" s="18" t="n">
        <v>220328</v>
      </c>
      <c r="M10" s="18" t="n">
        <v>268615</v>
      </c>
      <c r="N10" s="18" t="n">
        <v>330340</v>
      </c>
      <c r="O10" s="18" t="n">
        <v>387497</v>
      </c>
      <c r="P10" s="37" t="n">
        <v>387497</v>
      </c>
      <c r="Q10" s="18" t="n">
        <v>288610</v>
      </c>
      <c r="R10" s="18" t="n">
        <v>267775</v>
      </c>
      <c r="S10" s="18" t="n">
        <v>210411</v>
      </c>
      <c r="T10" s="18" t="n">
        <v>274766</v>
      </c>
      <c r="U10" s="37" t="n">
        <v>274766</v>
      </c>
      <c r="V10" s="18" t="n">
        <v>270254</v>
      </c>
      <c r="W10" s="18" t="n">
        <v>244218</v>
      </c>
      <c r="X10" s="18" t="n">
        <v>219922</v>
      </c>
      <c r="Y10" s="18" t="n">
        <v>225908</v>
      </c>
      <c r="Z10" s="37" t="n">
        <v>225908</v>
      </c>
      <c r="AA10" s="18" t="n">
        <v>371333</v>
      </c>
      <c r="AB10" s="19" t="n">
        <v>419831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선급금</t>
        </is>
      </c>
      <c r="E11" s="18" t="n">
        <v>149512</v>
      </c>
      <c r="F11" s="37" t="n">
        <v>149512</v>
      </c>
      <c r="G11" s="18" t="n">
        <v>197216</v>
      </c>
      <c r="H11" s="18" t="n">
        <v>195378</v>
      </c>
      <c r="I11" s="18" t="n">
        <v>186976</v>
      </c>
      <c r="J11" s="18" t="n">
        <v>166055</v>
      </c>
      <c r="K11" s="37" t="n">
        <v>166055</v>
      </c>
      <c r="L11" s="18" t="n">
        <v>213314</v>
      </c>
      <c r="M11" s="18" t="n">
        <v>213426</v>
      </c>
      <c r="N11" s="18" t="n">
        <v>194799</v>
      </c>
      <c r="O11" s="18" t="n">
        <v>204694</v>
      </c>
      <c r="P11" s="37" t="n">
        <v>204694</v>
      </c>
      <c r="Q11" s="18" t="n">
        <v>290387</v>
      </c>
      <c r="R11" s="18" t="n">
        <v>278752</v>
      </c>
      <c r="S11" s="18" t="n">
        <v>290239</v>
      </c>
      <c r="T11" s="18" t="n">
        <v>250694</v>
      </c>
      <c r="U11" s="37" t="n">
        <v>250694</v>
      </c>
      <c r="V11" s="18" t="n">
        <v>343447</v>
      </c>
      <c r="W11" s="18" t="n">
        <v>316909</v>
      </c>
      <c r="X11" s="18" t="n">
        <v>326142</v>
      </c>
      <c r="Y11" s="18" t="n">
        <v>272033</v>
      </c>
      <c r="Z11" s="37" t="n">
        <v>272033</v>
      </c>
      <c r="AA11" s="18" t="n">
        <v>313315</v>
      </c>
      <c r="AB11" s="19" t="n">
        <v>324474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선급금등</t>
        </is>
      </c>
      <c r="E12" s="18" t="n">
        <v>149512</v>
      </c>
      <c r="F12" s="37" t="n">
        <v>149512</v>
      </c>
      <c r="G12" s="18" t="n">
        <v>197216</v>
      </c>
      <c r="H12" s="18" t="n">
        <v>195378</v>
      </c>
      <c r="I12" s="18" t="n">
        <v>186976</v>
      </c>
      <c r="J12" s="18" t="n">
        <v>166055</v>
      </c>
      <c r="K12" s="37" t="n">
        <v>166055</v>
      </c>
      <c r="L12" s="18" t="n">
        <v>213314</v>
      </c>
      <c r="M12" s="18" t="n">
        <v>213426</v>
      </c>
      <c r="N12" s="18" t="n">
        <v>194799</v>
      </c>
      <c r="O12" s="18" t="n">
        <v>204694</v>
      </c>
      <c r="P12" s="37" t="n">
        <v>204694</v>
      </c>
      <c r="Q12" s="18" t="n">
        <v>290387</v>
      </c>
      <c r="R12" s="18" t="n">
        <v>278752</v>
      </c>
      <c r="S12" s="18" t="n">
        <v>290239</v>
      </c>
      <c r="T12" s="18" t="n">
        <v>250694</v>
      </c>
      <c r="U12" s="37" t="n">
        <v>250694</v>
      </c>
      <c r="V12" s="18" t="n">
        <v>343447</v>
      </c>
      <c r="W12" s="18" t="n">
        <v>316909</v>
      </c>
      <c r="X12" s="18" t="n">
        <v>326142</v>
      </c>
      <c r="Y12" s="18" t="n">
        <v>272033</v>
      </c>
      <c r="Z12" s="37" t="n">
        <v>272033</v>
      </c>
      <c r="AA12" s="18" t="n">
        <v>313315</v>
      </c>
      <c r="AB12" s="19" t="n">
        <v>324474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기타유동자산</t>
        </is>
      </c>
      <c r="E13" s="18" t="n">
        <v>211904</v>
      </c>
      <c r="F13" s="37" t="n">
        <v>211904</v>
      </c>
      <c r="G13" s="18" t="n">
        <v>265279</v>
      </c>
      <c r="H13" s="18" t="n">
        <v>260427</v>
      </c>
      <c r="I13" s="18" t="n">
        <v>249701</v>
      </c>
      <c r="J13" s="18" t="n">
        <v>226637</v>
      </c>
      <c r="K13" s="37" t="n">
        <v>226637</v>
      </c>
      <c r="L13" s="18" t="n">
        <v>281022</v>
      </c>
      <c r="M13" s="18" t="n">
        <v>272909</v>
      </c>
      <c r="N13" s="18" t="n">
        <v>251184</v>
      </c>
      <c r="O13" s="18" t="n">
        <v>261427</v>
      </c>
      <c r="P13" s="37" t="n">
        <v>261427</v>
      </c>
      <c r="Q13" s="18" t="n">
        <v>357668</v>
      </c>
      <c r="R13" s="18" t="n">
        <v>337442</v>
      </c>
      <c r="S13" s="18" t="n">
        <v>349678</v>
      </c>
      <c r="T13" s="18" t="n">
        <v>315070</v>
      </c>
      <c r="U13" s="37" t="n">
        <v>315070</v>
      </c>
      <c r="V13" s="18" t="n">
        <v>416849</v>
      </c>
      <c r="W13" s="18" t="n">
        <v>398285</v>
      </c>
      <c r="X13" s="18" t="n">
        <v>413691</v>
      </c>
      <c r="Y13" s="18" t="n">
        <v>357770</v>
      </c>
      <c r="Z13" s="37" t="n">
        <v>357770</v>
      </c>
      <c r="AA13" s="18" t="n">
        <v>415413</v>
      </c>
      <c r="AB13" s="19" t="n">
        <v>424177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재고자산</t>
        </is>
      </c>
      <c r="E14" s="18" t="n">
        <v>147110</v>
      </c>
      <c r="F14" s="37" t="n">
        <v>147110</v>
      </c>
      <c r="G14" s="18" t="n">
        <v>149202</v>
      </c>
      <c r="H14" s="18" t="n">
        <v>181122</v>
      </c>
      <c r="I14" s="18" t="n">
        <v>210942</v>
      </c>
      <c r="J14" s="18" t="n">
        <v>200698</v>
      </c>
      <c r="K14" s="37" t="n">
        <v>200698</v>
      </c>
      <c r="L14" s="18" t="n">
        <v>220097</v>
      </c>
      <c r="M14" s="18" t="n">
        <v>249327</v>
      </c>
      <c r="N14" s="18" t="n">
        <v>235852</v>
      </c>
      <c r="O14" s="18" t="n">
        <v>135297</v>
      </c>
      <c r="P14" s="37" t="n">
        <v>135297</v>
      </c>
      <c r="Q14" s="18" t="n">
        <v>146227</v>
      </c>
      <c r="R14" s="18" t="n">
        <v>134224</v>
      </c>
      <c r="S14" s="18" t="n">
        <v>115631</v>
      </c>
      <c r="T14" s="18" t="n">
        <v>105441</v>
      </c>
      <c r="U14" s="37" t="n">
        <v>105441</v>
      </c>
      <c r="V14" s="18" t="n">
        <v>125217</v>
      </c>
      <c r="W14" s="18" t="n">
        <v>120608</v>
      </c>
      <c r="X14" s="18" t="n">
        <v>122852</v>
      </c>
      <c r="Y14" s="18" t="n">
        <v>115769</v>
      </c>
      <c r="Z14" s="37" t="n">
        <v>115769</v>
      </c>
      <c r="AA14" s="18" t="n">
        <v>122106</v>
      </c>
      <c r="AB14" s="19" t="n">
        <v>125168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기타유동금융자산</t>
        </is>
      </c>
      <c r="E15" s="18" t="n">
        <v>32717</v>
      </c>
      <c r="F15" s="37" t="n">
        <v>32717</v>
      </c>
      <c r="G15" s="18" t="n">
        <v>27576</v>
      </c>
      <c r="H15" s="18" t="n">
        <v>20713</v>
      </c>
      <c r="I15" s="18" t="n">
        <v>15203</v>
      </c>
      <c r="J15" s="18" t="n">
        <v>33260</v>
      </c>
      <c r="K15" s="37" t="n">
        <v>33260</v>
      </c>
      <c r="L15" s="18" t="n">
        <v>33558</v>
      </c>
      <c r="M15" s="18" t="n">
        <v>15757</v>
      </c>
      <c r="N15" s="18" t="n">
        <v>6040</v>
      </c>
      <c r="O15" s="18" t="n">
        <v>8894</v>
      </c>
      <c r="P15" s="37" t="n">
        <v>8894</v>
      </c>
      <c r="Q15" s="18" t="n">
        <v>7196</v>
      </c>
      <c r="R15" s="18" t="n">
        <v>6267</v>
      </c>
      <c r="S15" s="18" t="n">
        <v>6089</v>
      </c>
      <c r="T15" s="18" t="n">
        <v>6261</v>
      </c>
      <c r="U15" s="37" t="n">
        <v>6261</v>
      </c>
      <c r="V15" s="18" t="n">
        <v>9218</v>
      </c>
      <c r="W15" s="18" t="n">
        <v>8600</v>
      </c>
      <c r="X15" s="18" t="n">
        <v>18295</v>
      </c>
      <c r="Y15" s="18" t="n">
        <v>17965</v>
      </c>
      <c r="Z15" s="37" t="n">
        <v>17965</v>
      </c>
      <c r="AA15" s="18" t="n">
        <v>14662</v>
      </c>
      <c r="AB15" s="19" t="n">
        <v>12973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매각예정비유동자산및처분자산</t>
        </is>
      </c>
      <c r="E16" s="18" t="n">
        <v>80</v>
      </c>
      <c r="F16" s="37" t="n">
        <v>80</v>
      </c>
      <c r="G16" s="18" t="n">
        <v>80</v>
      </c>
      <c r="H16" s="18" t="n">
        <v>80</v>
      </c>
      <c r="I16" s="18" t="n">
        <v>80</v>
      </c>
      <c r="J16" s="18" t="n">
        <v>379542</v>
      </c>
      <c r="K16" s="37" t="n">
        <v>379542</v>
      </c>
      <c r="L16" s="18" t="n">
        <v>379542</v>
      </c>
      <c r="M16" s="18" t="n">
        <v>379542</v>
      </c>
      <c r="N16" s="18" t="n">
        <v>379542</v>
      </c>
      <c r="O16" s="18" t="n">
        <v>379542</v>
      </c>
      <c r="P16" s="37" t="n">
        <v>379542</v>
      </c>
      <c r="Q16" s="18" t="n">
        <v>379542</v>
      </c>
      <c r="R16" s="18" t="n">
        <v>379542</v>
      </c>
      <c r="S16" s="18" t="n">
        <v>80</v>
      </c>
      <c r="T16" s="18" t="n">
        <v>0</v>
      </c>
      <c r="U16" s="37" t="n">
        <v>0</v>
      </c>
      <c r="Y16" s="18" t="n">
        <v>0</v>
      </c>
      <c r="Z16" s="37" t="n">
        <v>0</v>
      </c>
      <c r="AB16" s="5" t="n"/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비유동자산</t>
        </is>
      </c>
      <c r="E17" s="18" t="n">
        <v>1432133</v>
      </c>
      <c r="F17" s="37" t="n">
        <v>1432133</v>
      </c>
      <c r="G17" s="18" t="n">
        <v>1433035</v>
      </c>
      <c r="H17" s="18" t="n">
        <v>1496027</v>
      </c>
      <c r="I17" s="18" t="n">
        <v>1504906</v>
      </c>
      <c r="J17" s="18" t="n">
        <v>1133741</v>
      </c>
      <c r="K17" s="37" t="n">
        <v>1133741</v>
      </c>
      <c r="L17" s="18" t="n">
        <v>1114133</v>
      </c>
      <c r="M17" s="18" t="n">
        <v>1122429</v>
      </c>
      <c r="N17" s="18" t="n">
        <v>1054376</v>
      </c>
      <c r="O17" s="18" t="n">
        <v>1161038</v>
      </c>
      <c r="P17" s="37" t="n">
        <v>1161038</v>
      </c>
      <c r="Q17" s="18" t="n">
        <v>1165440</v>
      </c>
      <c r="R17" s="18" t="n">
        <v>1157800</v>
      </c>
      <c r="S17" s="18" t="n">
        <v>1140982</v>
      </c>
      <c r="T17" s="18" t="n">
        <v>1129115</v>
      </c>
      <c r="U17" s="37" t="n">
        <v>1129115</v>
      </c>
      <c r="V17" s="18" t="n">
        <v>1130054</v>
      </c>
      <c r="W17" s="18" t="n">
        <v>1133118</v>
      </c>
      <c r="X17" s="18" t="n">
        <v>1124597</v>
      </c>
      <c r="Y17" s="18" t="n">
        <v>1192819</v>
      </c>
      <c r="Z17" s="37" t="n">
        <v>1192819</v>
      </c>
      <c r="AA17" s="18" t="n">
        <v>1190749</v>
      </c>
      <c r="AB17" s="19" t="n">
        <v>1198852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종속기업및관계기업투자</t>
        </is>
      </c>
      <c r="E18" s="18" t="n">
        <v>36250</v>
      </c>
      <c r="F18" s="37" t="n">
        <v>36250</v>
      </c>
      <c r="G18" s="18" t="n">
        <v>36057</v>
      </c>
      <c r="H18" s="18" t="n">
        <v>45863</v>
      </c>
      <c r="I18" s="18" t="n">
        <v>45985</v>
      </c>
      <c r="J18" s="18" t="n">
        <v>45985</v>
      </c>
      <c r="K18" s="37" t="n">
        <v>45985</v>
      </c>
      <c r="L18" s="18" t="n">
        <v>46138</v>
      </c>
      <c r="M18" s="18" t="n">
        <v>62896</v>
      </c>
      <c r="N18" s="18" t="n">
        <v>60869</v>
      </c>
      <c r="O18" s="18" t="n">
        <v>62275</v>
      </c>
      <c r="P18" s="37" t="n">
        <v>62275</v>
      </c>
      <c r="Q18" s="18" t="n">
        <v>59301</v>
      </c>
      <c r="R18" s="18" t="n">
        <v>60596</v>
      </c>
      <c r="S18" s="18" t="n">
        <v>57573</v>
      </c>
      <c r="T18" s="18" t="n">
        <v>52171</v>
      </c>
      <c r="U18" s="37" t="n">
        <v>52171</v>
      </c>
      <c r="V18" s="18" t="n">
        <v>58501</v>
      </c>
      <c r="W18" s="18" t="n">
        <v>60396</v>
      </c>
      <c r="X18" s="18" t="n">
        <v>39989</v>
      </c>
      <c r="Y18" s="18" t="n">
        <v>39087</v>
      </c>
      <c r="Z18" s="37" t="n">
        <v>39087</v>
      </c>
      <c r="AA18" s="18" t="n">
        <v>38893</v>
      </c>
      <c r="AB18" s="19" t="n">
        <v>40702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투자자산</t>
        </is>
      </c>
      <c r="E19" s="18" t="n">
        <v>88694</v>
      </c>
      <c r="F19" s="37" t="n">
        <v>88694</v>
      </c>
      <c r="G19" s="18" t="n">
        <v>90602</v>
      </c>
      <c r="H19" s="18" t="n">
        <v>109543</v>
      </c>
      <c r="I19" s="18" t="n">
        <v>130421</v>
      </c>
      <c r="J19" s="18" t="n">
        <v>130707</v>
      </c>
      <c r="K19" s="37" t="n">
        <v>130707</v>
      </c>
      <c r="L19" s="18" t="n">
        <v>142903</v>
      </c>
      <c r="M19" s="18" t="n">
        <v>151742</v>
      </c>
      <c r="N19" s="18" t="n">
        <v>152560</v>
      </c>
      <c r="O19" s="18" t="n">
        <v>157332</v>
      </c>
      <c r="P19" s="37" t="n">
        <v>157332</v>
      </c>
      <c r="Q19" s="18" t="n">
        <v>156281</v>
      </c>
      <c r="R19" s="18" t="n">
        <v>151168</v>
      </c>
      <c r="S19" s="18" t="n">
        <v>140833</v>
      </c>
      <c r="T19" s="18" t="n">
        <v>135419</v>
      </c>
      <c r="U19" s="37" t="n">
        <v>135419</v>
      </c>
      <c r="V19" s="18" t="n">
        <v>145937</v>
      </c>
      <c r="W19" s="18" t="n">
        <v>144310</v>
      </c>
      <c r="X19" s="18" t="n">
        <v>135493</v>
      </c>
      <c r="Y19" s="18" t="n">
        <v>115707</v>
      </c>
      <c r="Z19" s="37" t="n">
        <v>115707</v>
      </c>
      <c r="AA19" s="18" t="n">
        <v>119589</v>
      </c>
      <c r="AB19" s="19" t="n">
        <v>123812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유형자산</t>
        </is>
      </c>
      <c r="E20" s="18" t="n">
        <v>921567</v>
      </c>
      <c r="F20" s="37" t="n">
        <v>921567</v>
      </c>
      <c r="G20" s="18" t="n">
        <v>924011</v>
      </c>
      <c r="H20" s="18" t="n">
        <v>967385</v>
      </c>
      <c r="I20" s="18" t="n">
        <v>971500</v>
      </c>
      <c r="J20" s="18" t="n">
        <v>643121</v>
      </c>
      <c r="K20" s="37" t="n">
        <v>643121</v>
      </c>
      <c r="L20" s="18" t="n">
        <v>641704</v>
      </c>
      <c r="M20" s="18" t="n">
        <v>640650</v>
      </c>
      <c r="N20" s="18" t="n">
        <v>640112</v>
      </c>
      <c r="O20" s="18" t="n">
        <v>743975</v>
      </c>
      <c r="P20" s="37" t="n">
        <v>743975</v>
      </c>
      <c r="Q20" s="18" t="n">
        <v>744142</v>
      </c>
      <c r="R20" s="18" t="n">
        <v>742048</v>
      </c>
      <c r="S20" s="18" t="n">
        <v>740618</v>
      </c>
      <c r="T20" s="18" t="n">
        <v>738677</v>
      </c>
      <c r="U20" s="37" t="n">
        <v>738677</v>
      </c>
      <c r="V20" s="18" t="n">
        <v>737108</v>
      </c>
      <c r="W20" s="18" t="n">
        <v>736772</v>
      </c>
      <c r="X20" s="18" t="n">
        <v>739145</v>
      </c>
      <c r="Y20" s="18" t="n">
        <v>820636</v>
      </c>
      <c r="Z20" s="37" t="n">
        <v>820636</v>
      </c>
      <c r="AA20" s="18" t="n">
        <v>819550</v>
      </c>
      <c r="AB20" s="19" t="n">
        <v>822331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투자부동산</t>
        </is>
      </c>
      <c r="E21" s="18" t="n">
        <v>59891</v>
      </c>
      <c r="F21" s="37" t="n">
        <v>59891</v>
      </c>
      <c r="G21" s="18" t="n">
        <v>59798</v>
      </c>
      <c r="H21" s="18" t="n">
        <v>59705</v>
      </c>
      <c r="I21" s="18" t="n">
        <v>59611</v>
      </c>
      <c r="J21" s="18" t="n">
        <v>10643</v>
      </c>
      <c r="K21" s="37" t="n">
        <v>10643</v>
      </c>
      <c r="L21" s="18" t="n">
        <v>10643</v>
      </c>
      <c r="M21" s="18" t="n">
        <v>10643</v>
      </c>
      <c r="N21" s="18" t="n">
        <v>10643</v>
      </c>
      <c r="O21" s="18" t="n">
        <v>56345</v>
      </c>
      <c r="P21" s="37" t="n">
        <v>56345</v>
      </c>
      <c r="Q21" s="18" t="n">
        <v>55337</v>
      </c>
      <c r="R21" s="18" t="n">
        <v>52374</v>
      </c>
      <c r="S21" s="18" t="n">
        <v>50605</v>
      </c>
      <c r="T21" s="18" t="n">
        <v>48478</v>
      </c>
      <c r="U21" s="37" t="n">
        <v>48478</v>
      </c>
      <c r="V21" s="18" t="n">
        <v>46700</v>
      </c>
      <c r="W21" s="18" t="n">
        <v>44918</v>
      </c>
      <c r="X21" s="18" t="n">
        <v>43541</v>
      </c>
      <c r="Y21" s="18" t="n">
        <v>42005</v>
      </c>
      <c r="Z21" s="37" t="n">
        <v>42005</v>
      </c>
      <c r="AA21" s="18" t="n">
        <v>38820</v>
      </c>
      <c r="AB21" s="19" t="n">
        <v>38488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무형자산</t>
        </is>
      </c>
      <c r="E22" s="18" t="n">
        <v>2323</v>
      </c>
      <c r="F22" s="37" t="n">
        <v>2323</v>
      </c>
      <c r="G22" s="18" t="n">
        <v>2323</v>
      </c>
      <c r="H22" s="18" t="n">
        <v>2323</v>
      </c>
      <c r="I22" s="18" t="n">
        <v>2325</v>
      </c>
      <c r="J22" s="18" t="n">
        <v>2323</v>
      </c>
      <c r="K22" s="37" t="n">
        <v>2323</v>
      </c>
      <c r="L22" s="18" t="n">
        <v>2325</v>
      </c>
      <c r="M22" s="18" t="n">
        <v>3028</v>
      </c>
      <c r="N22" s="18" t="n">
        <v>3028</v>
      </c>
      <c r="O22" s="18" t="n">
        <v>3027</v>
      </c>
      <c r="P22" s="37" t="n">
        <v>3027</v>
      </c>
      <c r="Q22" s="18" t="n">
        <v>3028</v>
      </c>
      <c r="R22" s="18" t="n">
        <v>3010</v>
      </c>
      <c r="S22" s="18" t="n">
        <v>3010</v>
      </c>
      <c r="T22" s="18" t="n">
        <v>3012</v>
      </c>
      <c r="U22" s="37" t="n">
        <v>3012</v>
      </c>
      <c r="V22" s="18" t="n">
        <v>3012</v>
      </c>
      <c r="W22" s="18" t="n">
        <v>3011</v>
      </c>
      <c r="X22" s="18" t="n">
        <v>3011</v>
      </c>
      <c r="Y22" s="18" t="n">
        <v>3011</v>
      </c>
      <c r="Z22" s="37" t="n">
        <v>3011</v>
      </c>
      <c r="AA22" s="18" t="n">
        <v>3012</v>
      </c>
      <c r="AB22" s="19" t="n">
        <v>3012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장기대여금</t>
        </is>
      </c>
      <c r="E23" s="18" t="n">
        <v>44026</v>
      </c>
      <c r="F23" s="37" t="n">
        <v>44026</v>
      </c>
      <c r="G23" s="18" t="n">
        <v>47165</v>
      </c>
      <c r="H23" s="18" t="n">
        <v>60983</v>
      </c>
      <c r="I23" s="18" t="n">
        <v>79778</v>
      </c>
      <c r="J23" s="18" t="n">
        <v>80036</v>
      </c>
      <c r="K23" s="37" t="n">
        <v>80036</v>
      </c>
      <c r="L23" s="18" t="n">
        <v>85839</v>
      </c>
      <c r="M23" s="18" t="n">
        <v>80538</v>
      </c>
      <c r="N23" s="18" t="n">
        <v>83411</v>
      </c>
      <c r="O23" s="18" t="n">
        <v>87206</v>
      </c>
      <c r="P23" s="37" t="n">
        <v>87206</v>
      </c>
      <c r="Q23" s="18" t="n">
        <v>88692</v>
      </c>
      <c r="R23" s="18" t="n">
        <v>87067</v>
      </c>
      <c r="S23" s="18" t="n">
        <v>81840</v>
      </c>
      <c r="T23" s="18" t="n">
        <v>79469</v>
      </c>
      <c r="U23" s="37" t="n">
        <v>79469</v>
      </c>
      <c r="V23" s="18" t="n">
        <v>83955</v>
      </c>
      <c r="W23" s="18" t="n">
        <v>80347</v>
      </c>
      <c r="X23" s="18" t="n">
        <v>89937</v>
      </c>
      <c r="Y23" s="18" t="n">
        <v>71658</v>
      </c>
      <c r="Z23" s="37" t="n">
        <v>71658</v>
      </c>
      <c r="AA23" s="18" t="n">
        <v>75874</v>
      </c>
      <c r="AB23" s="19" t="n">
        <v>77013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사용권자산</t>
        </is>
      </c>
      <c r="E24" s="18" t="n">
        <v>185908</v>
      </c>
      <c r="F24" s="37" t="n">
        <v>185908</v>
      </c>
      <c r="G24" s="18" t="n">
        <v>184257</v>
      </c>
      <c r="H24" s="18" t="n">
        <v>183731</v>
      </c>
      <c r="I24" s="18" t="n">
        <v>183002</v>
      </c>
      <c r="J24" s="18" t="n">
        <v>181681</v>
      </c>
      <c r="K24" s="37" t="n">
        <v>181681</v>
      </c>
      <c r="L24" s="18" t="n">
        <v>180966</v>
      </c>
      <c r="M24" s="18" t="n">
        <v>180233</v>
      </c>
      <c r="N24" s="18" t="n">
        <v>93156</v>
      </c>
      <c r="O24" s="18" t="n">
        <v>46514</v>
      </c>
      <c r="P24" s="37" t="n">
        <v>46514</v>
      </c>
      <c r="Q24" s="18" t="n">
        <v>44015</v>
      </c>
      <c r="R24" s="18" t="n">
        <v>44146</v>
      </c>
      <c r="S24" s="18" t="n">
        <v>42273</v>
      </c>
      <c r="T24" s="18" t="n">
        <v>41620</v>
      </c>
      <c r="U24" s="37" t="n">
        <v>41620</v>
      </c>
      <c r="V24" s="18" t="n">
        <v>39488</v>
      </c>
      <c r="W24" s="18" t="n">
        <v>47924</v>
      </c>
      <c r="X24" s="18" t="n">
        <v>45908</v>
      </c>
      <c r="Y24" s="18" t="n">
        <v>43870</v>
      </c>
      <c r="Z24" s="37" t="n">
        <v>43870</v>
      </c>
      <c r="AA24" s="18" t="n">
        <v>43124</v>
      </c>
      <c r="AB24" s="19" t="n">
        <v>39979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기타비유동자산</t>
        </is>
      </c>
      <c r="E25" s="18" t="n">
        <v>224791</v>
      </c>
      <c r="F25" s="37" t="n">
        <v>224791</v>
      </c>
      <c r="G25" s="18" t="n">
        <v>222253</v>
      </c>
      <c r="H25" s="18" t="n">
        <v>223165</v>
      </c>
      <c r="I25" s="18" t="n">
        <v>206634</v>
      </c>
      <c r="J25" s="18" t="n">
        <v>210621</v>
      </c>
      <c r="K25" s="37" t="n">
        <v>210621</v>
      </c>
      <c r="L25" s="18" t="n">
        <v>210868</v>
      </c>
      <c r="M25" s="18" t="n">
        <v>211254</v>
      </c>
      <c r="N25" s="18" t="n">
        <v>134435</v>
      </c>
      <c r="O25" s="18" t="n">
        <v>89941</v>
      </c>
      <c r="P25" s="37" t="n">
        <v>89941</v>
      </c>
      <c r="Q25" s="18" t="n">
        <v>91352</v>
      </c>
      <c r="R25" s="18" t="n">
        <v>92884</v>
      </c>
      <c r="S25" s="18" t="n">
        <v>89490</v>
      </c>
      <c r="T25" s="18" t="n">
        <v>84698</v>
      </c>
      <c r="U25" s="37" t="n">
        <v>84698</v>
      </c>
      <c r="V25" s="18" t="n">
        <v>79001</v>
      </c>
      <c r="W25" s="18" t="n">
        <v>85538</v>
      </c>
      <c r="X25" s="18" t="n">
        <v>84270</v>
      </c>
      <c r="Y25" s="18" t="n">
        <v>92026</v>
      </c>
      <c r="Z25" s="37" t="n">
        <v>92026</v>
      </c>
      <c r="AA25" s="18" t="n">
        <v>90613</v>
      </c>
      <c r="AB25" s="19" t="n">
        <v>91902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장기매출채권및기타채권</t>
        </is>
      </c>
      <c r="E26" s="18" t="n">
        <v>2042</v>
      </c>
      <c r="F26" s="37" t="n">
        <v>2042</v>
      </c>
      <c r="G26" s="18" t="n">
        <v>2036</v>
      </c>
      <c r="H26" s="18" t="n">
        <v>1677</v>
      </c>
      <c r="I26" s="18" t="n">
        <v>1664</v>
      </c>
      <c r="J26" s="18" t="n">
        <v>1651</v>
      </c>
      <c r="K26" s="37" t="n">
        <v>1651</v>
      </c>
      <c r="L26" s="18" t="n">
        <v>1638</v>
      </c>
      <c r="M26" s="18" t="n">
        <v>1624</v>
      </c>
      <c r="N26" s="18" t="n">
        <v>1611</v>
      </c>
      <c r="O26" s="18" t="n">
        <v>1598</v>
      </c>
      <c r="P26" s="37" t="n">
        <v>1598</v>
      </c>
      <c r="Q26" s="18" t="n">
        <v>1585</v>
      </c>
      <c r="R26" s="18" t="n">
        <v>1572</v>
      </c>
      <c r="T26" s="18" t="n">
        <v>0</v>
      </c>
      <c r="U26" s="37" t="n">
        <v>0</v>
      </c>
      <c r="V26" s="18" t="n">
        <v>1533</v>
      </c>
      <c r="W26" s="18" t="n">
        <v>1520</v>
      </c>
      <c r="X26" s="18" t="n">
        <v>1507</v>
      </c>
      <c r="Y26" s="18" t="n">
        <v>0</v>
      </c>
      <c r="Z26" s="37" t="n">
        <v>0</v>
      </c>
      <c r="AA26" s="18" t="n">
        <v>1481</v>
      </c>
      <c r="AB26" s="19" t="n">
        <v>1481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장기금융자산</t>
        </is>
      </c>
      <c r="E27" s="18" t="n">
        <v>8418</v>
      </c>
      <c r="F27" s="37" t="n">
        <v>8418</v>
      </c>
      <c r="G27" s="18" t="n">
        <v>7380</v>
      </c>
      <c r="H27" s="18" t="n">
        <v>2697</v>
      </c>
      <c r="I27" s="18" t="n">
        <v>4658</v>
      </c>
      <c r="J27" s="18" t="n">
        <v>4686</v>
      </c>
      <c r="K27" s="37" t="n">
        <v>4686</v>
      </c>
      <c r="L27" s="18" t="n">
        <v>10926</v>
      </c>
      <c r="M27" s="18" t="n">
        <v>8308</v>
      </c>
      <c r="N27" s="18" t="n">
        <v>8280</v>
      </c>
      <c r="O27" s="18" t="n">
        <v>7851</v>
      </c>
      <c r="P27" s="37" t="n">
        <v>7851</v>
      </c>
      <c r="Q27" s="18" t="n">
        <v>8288</v>
      </c>
      <c r="R27" s="18" t="n">
        <v>3505</v>
      </c>
      <c r="S27" s="18" t="n">
        <v>1420</v>
      </c>
      <c r="T27" s="18" t="n">
        <v>3779</v>
      </c>
      <c r="U27" s="37" t="n">
        <v>3779</v>
      </c>
      <c r="V27" s="18" t="n">
        <v>3481</v>
      </c>
      <c r="W27" s="18" t="n">
        <v>3567</v>
      </c>
      <c r="X27" s="18" t="n">
        <v>5567</v>
      </c>
      <c r="Y27" s="18" t="n">
        <v>4962</v>
      </c>
      <c r="Z27" s="37" t="n">
        <v>4962</v>
      </c>
      <c r="AA27" s="18" t="n">
        <v>4822</v>
      </c>
      <c r="AB27" s="19" t="n">
        <v>6097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자산총계</t>
        </is>
      </c>
      <c r="E28" s="18" t="n">
        <v>2381044</v>
      </c>
      <c r="F28" s="37" t="n">
        <v>2381044</v>
      </c>
      <c r="G28" s="18" t="n">
        <v>2367846</v>
      </c>
      <c r="H28" s="18" t="n">
        <v>2401483</v>
      </c>
      <c r="I28" s="18" t="n">
        <v>2424406</v>
      </c>
      <c r="J28" s="18" t="n">
        <v>2563983</v>
      </c>
      <c r="K28" s="37" t="n">
        <v>2563983</v>
      </c>
      <c r="L28" s="18" t="n">
        <v>2641295</v>
      </c>
      <c r="M28" s="18" t="n">
        <v>2592173</v>
      </c>
      <c r="N28" s="18" t="n">
        <v>2772155</v>
      </c>
      <c r="O28" s="18" t="n">
        <v>2885617</v>
      </c>
      <c r="P28" s="37" t="n">
        <v>2885617</v>
      </c>
      <c r="Q28" s="18" t="n">
        <v>2848090</v>
      </c>
      <c r="R28" s="18" t="n">
        <v>2760452</v>
      </c>
      <c r="S28" s="18" t="n">
        <v>2182786</v>
      </c>
      <c r="T28" s="18" t="n">
        <v>2202247</v>
      </c>
      <c r="U28" s="37" t="n">
        <v>2202247</v>
      </c>
      <c r="V28" s="18" t="n">
        <v>2217320</v>
      </c>
      <c r="W28" s="18" t="n">
        <v>2283225</v>
      </c>
      <c r="X28" s="18" t="n">
        <v>2286210</v>
      </c>
      <c r="Y28" s="18" t="n">
        <v>2451376</v>
      </c>
      <c r="Z28" s="37" t="n">
        <v>2451376</v>
      </c>
      <c r="AA28" s="18" t="n">
        <v>2449885</v>
      </c>
      <c r="AB28" s="19" t="n">
        <v>2642915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유동부채</t>
        </is>
      </c>
      <c r="E29" s="18" t="n">
        <v>947510</v>
      </c>
      <c r="F29" s="37" t="n">
        <v>947510</v>
      </c>
      <c r="G29" s="18" t="n">
        <v>932325</v>
      </c>
      <c r="H29" s="18" t="n">
        <v>890113</v>
      </c>
      <c r="I29" s="18" t="n">
        <v>1032367</v>
      </c>
      <c r="J29" s="18" t="n">
        <v>1415824</v>
      </c>
      <c r="K29" s="37" t="n">
        <v>1415824</v>
      </c>
      <c r="L29" s="18" t="n">
        <v>1554976</v>
      </c>
      <c r="M29" s="18" t="n">
        <v>2113375</v>
      </c>
      <c r="N29" s="18" t="n">
        <v>2130565</v>
      </c>
      <c r="O29" s="18" t="n">
        <v>2122908</v>
      </c>
      <c r="P29" s="37" t="n">
        <v>2122908</v>
      </c>
      <c r="Q29" s="18" t="n">
        <v>2063119</v>
      </c>
      <c r="R29" s="18" t="n">
        <v>2015511</v>
      </c>
      <c r="S29" s="18" t="n">
        <v>1482820</v>
      </c>
      <c r="T29" s="18" t="n">
        <v>1554390</v>
      </c>
      <c r="U29" s="37" t="n">
        <v>1554390</v>
      </c>
      <c r="V29" s="18" t="n">
        <v>1559816</v>
      </c>
      <c r="W29" s="18" t="n">
        <v>1576602</v>
      </c>
      <c r="X29" s="18" t="n">
        <v>1584741</v>
      </c>
      <c r="Y29" s="18" t="n">
        <v>1491064</v>
      </c>
      <c r="Z29" s="37" t="n">
        <v>1491064</v>
      </c>
      <c r="AA29" s="18" t="n">
        <v>1457993</v>
      </c>
      <c r="AB29" s="19" t="n">
        <v>1390955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매입채무및기타채무</t>
        </is>
      </c>
      <c r="E30" s="18" t="n">
        <v>312298</v>
      </c>
      <c r="F30" s="37" t="n">
        <v>312298</v>
      </c>
      <c r="G30" s="18" t="n">
        <v>254708</v>
      </c>
      <c r="H30" s="18" t="n">
        <v>258352</v>
      </c>
      <c r="I30" s="18" t="n">
        <v>260178</v>
      </c>
      <c r="J30" s="18" t="n">
        <v>328103</v>
      </c>
      <c r="K30" s="37" t="n">
        <v>328103</v>
      </c>
      <c r="L30" s="18" t="n">
        <v>352352</v>
      </c>
      <c r="M30" s="18" t="n">
        <v>377630</v>
      </c>
      <c r="N30" s="18" t="n">
        <v>393842</v>
      </c>
      <c r="O30" s="18" t="n">
        <v>473208</v>
      </c>
      <c r="P30" s="37" t="n">
        <v>473208</v>
      </c>
      <c r="Q30" s="18" t="n">
        <v>434694</v>
      </c>
      <c r="R30" s="18" t="n">
        <v>510082</v>
      </c>
      <c r="S30" s="18" t="n">
        <v>379361</v>
      </c>
      <c r="T30" s="18" t="n">
        <v>385888</v>
      </c>
      <c r="U30" s="37" t="n">
        <v>385888</v>
      </c>
      <c r="V30" s="18" t="n">
        <v>393232</v>
      </c>
      <c r="W30" s="18" t="n">
        <v>408696</v>
      </c>
      <c r="X30" s="18" t="n">
        <v>438994</v>
      </c>
      <c r="Y30" s="18" t="n">
        <v>398325</v>
      </c>
      <c r="Z30" s="37" t="n">
        <v>398325</v>
      </c>
      <c r="AA30" s="18" t="n">
        <v>396656</v>
      </c>
      <c r="AB30" s="19" t="n">
        <v>401109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유동성장기부채</t>
        </is>
      </c>
      <c r="E31" s="18" t="n">
        <v>150785</v>
      </c>
      <c r="F31" s="37" t="n">
        <v>150785</v>
      </c>
      <c r="G31" s="18" t="n">
        <v>150785</v>
      </c>
      <c r="H31" s="18" t="n">
        <v>70785</v>
      </c>
      <c r="I31" s="18" t="n">
        <v>70785</v>
      </c>
      <c r="J31" s="18" t="n">
        <v>70785</v>
      </c>
      <c r="K31" s="37" t="n">
        <v>70785</v>
      </c>
      <c r="L31" s="18" t="n">
        <v>123685</v>
      </c>
      <c r="M31" s="18" t="n">
        <v>657143</v>
      </c>
      <c r="N31" s="18" t="n">
        <v>662313</v>
      </c>
      <c r="O31" s="18" t="n">
        <v>656520</v>
      </c>
      <c r="P31" s="37" t="n">
        <v>656520</v>
      </c>
      <c r="Q31" s="18" t="n">
        <v>662635</v>
      </c>
      <c r="R31" s="18" t="n">
        <v>623770</v>
      </c>
      <c r="S31" s="18" t="n">
        <v>452151</v>
      </c>
      <c r="T31" s="18" t="n">
        <v>70178</v>
      </c>
      <c r="U31" s="37" t="n">
        <v>70178</v>
      </c>
      <c r="V31" s="18" t="n">
        <v>68176</v>
      </c>
      <c r="W31" s="18" t="n">
        <v>65926</v>
      </c>
      <c r="X31" s="18" t="n">
        <v>62896</v>
      </c>
      <c r="Y31" s="18" t="n">
        <v>87896</v>
      </c>
      <c r="Z31" s="37" t="n">
        <v>87896</v>
      </c>
      <c r="AA31" s="18" t="n">
        <v>87896</v>
      </c>
      <c r="AB31" s="19" t="n">
        <v>42646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계약부채</t>
        </is>
      </c>
      <c r="E32" s="18" t="n">
        <v>298803</v>
      </c>
      <c r="F32" s="37" t="n">
        <v>298803</v>
      </c>
      <c r="G32" s="18" t="n">
        <v>356841</v>
      </c>
      <c r="H32" s="18" t="n">
        <v>401262</v>
      </c>
      <c r="I32" s="18" t="n">
        <v>372818</v>
      </c>
      <c r="J32" s="18" t="n">
        <v>472547</v>
      </c>
      <c r="K32" s="37" t="n">
        <v>472547</v>
      </c>
      <c r="L32" s="18" t="n">
        <v>554724</v>
      </c>
      <c r="M32" s="18" t="n">
        <v>546181</v>
      </c>
      <c r="N32" s="18" t="n">
        <v>711032</v>
      </c>
      <c r="O32" s="18" t="n">
        <v>616653</v>
      </c>
      <c r="P32" s="37" t="n">
        <v>616653</v>
      </c>
      <c r="Q32" s="18" t="n">
        <v>635090</v>
      </c>
      <c r="R32" s="18" t="n">
        <v>578712</v>
      </c>
      <c r="S32" s="18" t="n">
        <v>457810</v>
      </c>
      <c r="T32" s="18" t="n">
        <v>507566</v>
      </c>
      <c r="U32" s="37" t="n">
        <v>507566</v>
      </c>
      <c r="V32" s="18" t="n">
        <v>518746</v>
      </c>
      <c r="W32" s="18" t="n">
        <v>618176</v>
      </c>
      <c r="X32" s="18" t="n">
        <v>607326</v>
      </c>
      <c r="Y32" s="18" t="n">
        <v>542275</v>
      </c>
      <c r="Z32" s="37" t="n">
        <v>542275</v>
      </c>
      <c r="AA32" s="18" t="n">
        <v>519638</v>
      </c>
      <c r="AB32" s="19" t="n">
        <v>565272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단기충당부채</t>
        </is>
      </c>
      <c r="E33" s="18" t="n">
        <v>143937</v>
      </c>
      <c r="F33" s="37" t="n">
        <v>143937</v>
      </c>
      <c r="G33" s="18" t="n">
        <v>124560</v>
      </c>
      <c r="H33" s="18" t="n">
        <v>113702</v>
      </c>
      <c r="I33" s="18" t="n">
        <v>100629</v>
      </c>
      <c r="J33" s="18" t="n">
        <v>131793</v>
      </c>
      <c r="K33" s="37" t="n">
        <v>131793</v>
      </c>
      <c r="L33" s="18" t="n">
        <v>113111</v>
      </c>
      <c r="M33" s="18" t="n">
        <v>127901</v>
      </c>
      <c r="N33" s="18" t="n">
        <v>119811</v>
      </c>
      <c r="O33" s="18" t="n">
        <v>132953</v>
      </c>
      <c r="P33" s="37" t="n">
        <v>132953</v>
      </c>
      <c r="Q33" s="18" t="n">
        <v>86857</v>
      </c>
      <c r="R33" s="18" t="n">
        <v>65063</v>
      </c>
      <c r="S33" s="18" t="n">
        <v>55403</v>
      </c>
      <c r="T33" s="18" t="n">
        <v>71805</v>
      </c>
      <c r="U33" s="37" t="n">
        <v>71805</v>
      </c>
      <c r="V33" s="18" t="n">
        <v>66097</v>
      </c>
      <c r="W33" s="18" t="n">
        <v>59700</v>
      </c>
      <c r="X33" s="18" t="n">
        <v>59636</v>
      </c>
      <c r="Y33" s="18" t="n">
        <v>50616</v>
      </c>
      <c r="Z33" s="37" t="n">
        <v>50616</v>
      </c>
      <c r="AA33" s="18" t="n">
        <v>44973</v>
      </c>
      <c r="AB33" s="19" t="n">
        <v>47563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기타유동금융부채</t>
        </is>
      </c>
      <c r="E34" s="18" t="n">
        <v>28688</v>
      </c>
      <c r="F34" s="37" t="n">
        <v>28688</v>
      </c>
      <c r="G34" s="18" t="n">
        <v>28765</v>
      </c>
      <c r="H34" s="18" t="n">
        <v>29400</v>
      </c>
      <c r="I34" s="18" t="n">
        <v>194259</v>
      </c>
      <c r="J34" s="18" t="n">
        <v>193791</v>
      </c>
      <c r="K34" s="37" t="n">
        <v>193791</v>
      </c>
      <c r="L34" s="18" t="n">
        <v>193875</v>
      </c>
      <c r="M34" s="18" t="n">
        <v>194121</v>
      </c>
      <c r="N34" s="18" t="n">
        <v>33487</v>
      </c>
      <c r="O34" s="18" t="n">
        <v>35299</v>
      </c>
      <c r="P34" s="37" t="n">
        <v>35299</v>
      </c>
      <c r="Q34" s="18" t="n">
        <v>36363</v>
      </c>
      <c r="R34" s="18" t="n">
        <v>31864</v>
      </c>
      <c r="S34" s="18" t="n">
        <v>29133</v>
      </c>
      <c r="T34" s="18" t="n">
        <v>28368</v>
      </c>
      <c r="U34" s="37" t="n">
        <v>28368</v>
      </c>
      <c r="V34" s="18" t="n">
        <v>30245</v>
      </c>
      <c r="W34" s="18" t="n">
        <v>31776</v>
      </c>
      <c r="X34" s="18" t="n">
        <v>29285</v>
      </c>
      <c r="Y34" s="18" t="n">
        <v>29616</v>
      </c>
      <c r="Z34" s="37" t="n">
        <v>29616</v>
      </c>
      <c r="AA34" s="18" t="n">
        <v>31985</v>
      </c>
      <c r="AB34" s="19" t="n">
        <v>35735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단기금융부채</t>
        </is>
      </c>
      <c r="E35" s="18" t="n">
        <v>28688</v>
      </c>
      <c r="F35" s="37" t="n">
        <v>28688</v>
      </c>
      <c r="G35" s="18" t="n">
        <v>28765</v>
      </c>
      <c r="H35" s="18" t="n">
        <v>29400</v>
      </c>
      <c r="I35" s="18" t="n">
        <v>194259</v>
      </c>
      <c r="J35" s="18" t="n">
        <v>193791</v>
      </c>
      <c r="K35" s="37" t="n">
        <v>193791</v>
      </c>
      <c r="L35" s="18" t="n">
        <v>193875</v>
      </c>
      <c r="M35" s="18" t="n">
        <v>194121</v>
      </c>
      <c r="N35" s="18" t="n">
        <v>33487</v>
      </c>
      <c r="O35" s="18" t="n">
        <v>35299</v>
      </c>
      <c r="P35" s="37" t="n">
        <v>35299</v>
      </c>
      <c r="Q35" s="18" t="n">
        <v>36363</v>
      </c>
      <c r="R35" s="18" t="n">
        <v>31864</v>
      </c>
      <c r="S35" s="18" t="n">
        <v>29133</v>
      </c>
      <c r="T35" s="18" t="n">
        <v>28368</v>
      </c>
      <c r="U35" s="37" t="n">
        <v>28368</v>
      </c>
      <c r="V35" s="18" t="n">
        <v>30245</v>
      </c>
      <c r="W35" s="18" t="n">
        <v>31776</v>
      </c>
      <c r="X35" s="18" t="n">
        <v>29285</v>
      </c>
      <c r="Y35" s="18" t="n">
        <v>29616</v>
      </c>
      <c r="Z35" s="37" t="n">
        <v>29616</v>
      </c>
      <c r="AA35" s="18" t="n">
        <v>31985</v>
      </c>
      <c r="AB35" s="19" t="n">
        <v>35735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기타유동부채</t>
        </is>
      </c>
      <c r="E36" s="18" t="n">
        <v>12999</v>
      </c>
      <c r="F36" s="37" t="n">
        <v>12999</v>
      </c>
      <c r="G36" s="18" t="n">
        <v>16666</v>
      </c>
      <c r="H36" s="18" t="n">
        <v>16612</v>
      </c>
      <c r="I36" s="18" t="n">
        <v>33698</v>
      </c>
      <c r="J36" s="18" t="n">
        <v>218805</v>
      </c>
      <c r="K36" s="37" t="n">
        <v>218805</v>
      </c>
      <c r="L36" s="18" t="n">
        <v>217229</v>
      </c>
      <c r="M36" s="18" t="n">
        <v>210399</v>
      </c>
      <c r="N36" s="18" t="n">
        <v>210080</v>
      </c>
      <c r="O36" s="18" t="n">
        <v>208275</v>
      </c>
      <c r="P36" s="37" t="n">
        <v>208275</v>
      </c>
      <c r="Q36" s="18" t="n">
        <v>207480</v>
      </c>
      <c r="R36" s="18" t="n">
        <v>206020</v>
      </c>
      <c r="S36" s="18" t="n">
        <v>108962</v>
      </c>
      <c r="T36" s="18" t="n">
        <v>108838</v>
      </c>
      <c r="U36" s="37" t="n">
        <v>108838</v>
      </c>
      <c r="V36" s="18" t="n">
        <v>109147</v>
      </c>
      <c r="W36" s="18" t="n">
        <v>110151</v>
      </c>
      <c r="X36" s="18" t="n">
        <v>110511</v>
      </c>
      <c r="Y36" s="18" t="n">
        <v>111816</v>
      </c>
      <c r="Z36" s="37" t="n">
        <v>111816</v>
      </c>
      <c r="AA36" s="18" t="n">
        <v>109402</v>
      </c>
      <c r="AB36" s="19" t="n">
        <v>108597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비유동부채</t>
        </is>
      </c>
      <c r="E37" s="18" t="n">
        <v>1001336</v>
      </c>
      <c r="F37" s="37" t="n">
        <v>1001336</v>
      </c>
      <c r="G37" s="18" t="n">
        <v>1013278</v>
      </c>
      <c r="H37" s="18" t="n">
        <v>1103697</v>
      </c>
      <c r="I37" s="18" t="n">
        <v>1004639</v>
      </c>
      <c r="J37" s="18" t="n">
        <v>763003</v>
      </c>
      <c r="K37" s="37" t="n">
        <v>763003</v>
      </c>
      <c r="L37" s="18" t="n">
        <v>725807</v>
      </c>
      <c r="M37" s="18" t="n">
        <v>198581</v>
      </c>
      <c r="N37" s="18" t="n">
        <v>365201</v>
      </c>
      <c r="O37" s="18" t="n">
        <v>421300</v>
      </c>
      <c r="P37" s="37" t="n">
        <v>421300</v>
      </c>
      <c r="Q37" s="18" t="n">
        <v>429610</v>
      </c>
      <c r="R37" s="18" t="n">
        <v>431171</v>
      </c>
      <c r="S37" s="18" t="n">
        <v>333786</v>
      </c>
      <c r="T37" s="18" t="n">
        <v>303895</v>
      </c>
      <c r="U37" s="37" t="n">
        <v>303895</v>
      </c>
      <c r="V37" s="18" t="n">
        <v>308225</v>
      </c>
      <c r="W37" s="18" t="n">
        <v>362462</v>
      </c>
      <c r="X37" s="18" t="n">
        <v>353677</v>
      </c>
      <c r="Y37" s="18" t="n">
        <v>290276</v>
      </c>
      <c r="Z37" s="37" t="n">
        <v>290276</v>
      </c>
      <c r="AA37" s="18" t="n">
        <v>297522</v>
      </c>
      <c r="AB37" s="19" t="n">
        <v>498649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사채</t>
        </is>
      </c>
      <c r="E38" s="18" t="n">
        <v>28455</v>
      </c>
      <c r="F38" s="37" t="n">
        <v>28455</v>
      </c>
      <c r="G38" s="18" t="n">
        <v>28695</v>
      </c>
      <c r="H38" s="18" t="n">
        <v>28937</v>
      </c>
      <c r="I38" s="18" t="n">
        <v>29179</v>
      </c>
      <c r="J38" s="18" t="n">
        <v>29421</v>
      </c>
      <c r="K38" s="37" t="n">
        <v>29421</v>
      </c>
      <c r="L38" s="18" t="n">
        <v>29664</v>
      </c>
      <c r="M38" s="18" t="n">
        <v>0</v>
      </c>
      <c r="N38" s="18" t="n">
        <v>0</v>
      </c>
      <c r="O38" s="18" t="n">
        <v>0</v>
      </c>
      <c r="P38" s="37" t="n">
        <v>0</v>
      </c>
      <c r="T38" s="18" t="n">
        <v>0</v>
      </c>
      <c r="U38" s="37" t="n">
        <v>0</v>
      </c>
      <c r="Y38" s="18" t="n">
        <v>0</v>
      </c>
      <c r="Z38" s="37" t="n">
        <v>0</v>
      </c>
      <c r="AB38" s="5" t="n"/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장기차입금</t>
        </is>
      </c>
      <c r="E39" s="18" t="n">
        <v>501064</v>
      </c>
      <c r="F39" s="37" t="n">
        <v>501064</v>
      </c>
      <c r="G39" s="18" t="n">
        <v>504714</v>
      </c>
      <c r="H39" s="18" t="n">
        <v>512205</v>
      </c>
      <c r="I39" s="18" t="n">
        <v>575853</v>
      </c>
      <c r="J39" s="18" t="n">
        <v>551007</v>
      </c>
      <c r="K39" s="37" t="n">
        <v>551007</v>
      </c>
      <c r="L39" s="18" t="n">
        <v>502539</v>
      </c>
      <c r="M39" s="18" t="n">
        <v>1571</v>
      </c>
      <c r="N39" s="18" t="n">
        <v>785</v>
      </c>
      <c r="O39" s="18" t="n">
        <v>25785</v>
      </c>
      <c r="P39" s="37" t="n">
        <v>25785</v>
      </c>
      <c r="Q39" s="18" t="n">
        <v>25785</v>
      </c>
      <c r="R39" s="18" t="n">
        <v>25785</v>
      </c>
      <c r="S39" s="18" t="n">
        <v>25000</v>
      </c>
      <c r="T39" s="18" t="n">
        <v>25000</v>
      </c>
      <c r="U39" s="37" t="n">
        <v>25000</v>
      </c>
      <c r="V39" s="18" t="n">
        <v>25000</v>
      </c>
      <c r="W39" s="18" t="n">
        <v>68428</v>
      </c>
      <c r="X39" s="18" t="n">
        <v>68610</v>
      </c>
      <c r="Y39" s="18" t="n">
        <v>43798</v>
      </c>
      <c r="Z39" s="37" t="n">
        <v>43798</v>
      </c>
      <c r="AA39" s="18" t="n">
        <v>43987</v>
      </c>
      <c r="AB39" s="19" t="n">
        <v>242397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확정급여부채</t>
        </is>
      </c>
      <c r="E40" s="18" t="n">
        <v>60832</v>
      </c>
      <c r="F40" s="37" t="n">
        <v>60832</v>
      </c>
      <c r="G40" s="18" t="n">
        <v>70087</v>
      </c>
      <c r="H40" s="18" t="n">
        <v>72630</v>
      </c>
      <c r="I40" s="18" t="n">
        <v>74669</v>
      </c>
      <c r="J40" s="18" t="n">
        <v>63747</v>
      </c>
      <c r="K40" s="37" t="n">
        <v>63747</v>
      </c>
      <c r="L40" s="18" t="n">
        <v>73192</v>
      </c>
      <c r="M40" s="18" t="n">
        <v>75422</v>
      </c>
      <c r="N40" s="18" t="n">
        <v>77765</v>
      </c>
      <c r="O40" s="18" t="n">
        <v>80222</v>
      </c>
      <c r="P40" s="37" t="n">
        <v>80222</v>
      </c>
      <c r="Q40" s="18" t="n">
        <v>88247</v>
      </c>
      <c r="R40" s="18" t="n">
        <v>90644</v>
      </c>
      <c r="S40" s="18" t="n">
        <v>94025</v>
      </c>
      <c r="T40" s="18" t="n">
        <v>92436</v>
      </c>
      <c r="U40" s="37" t="n">
        <v>92436</v>
      </c>
      <c r="V40" s="18" t="n">
        <v>101442</v>
      </c>
      <c r="W40" s="18" t="n">
        <v>104137</v>
      </c>
      <c r="X40" s="18" t="n">
        <v>107500</v>
      </c>
      <c r="Y40" s="18" t="n">
        <v>76072</v>
      </c>
      <c r="Z40" s="37" t="n">
        <v>76072</v>
      </c>
      <c r="AA40" s="18" t="n">
        <v>86530</v>
      </c>
      <c r="AB40" s="19" t="n">
        <v>89731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장기충당부채</t>
        </is>
      </c>
      <c r="E41" s="18" t="n">
        <v>17572</v>
      </c>
      <c r="F41" s="37" t="n">
        <v>17572</v>
      </c>
      <c r="G41" s="18" t="n">
        <v>16835</v>
      </c>
      <c r="H41" s="18" t="n">
        <v>16488</v>
      </c>
      <c r="I41" s="18" t="n">
        <v>17164</v>
      </c>
      <c r="J41" s="18" t="n">
        <v>17439</v>
      </c>
      <c r="K41" s="37" t="n">
        <v>17439</v>
      </c>
      <c r="L41" s="18" t="n">
        <v>18800</v>
      </c>
      <c r="M41" s="18" t="n">
        <v>20162</v>
      </c>
      <c r="N41" s="18" t="n">
        <v>19697</v>
      </c>
      <c r="O41" s="18" t="n">
        <v>24224</v>
      </c>
      <c r="P41" s="37" t="n">
        <v>24224</v>
      </c>
      <c r="Q41" s="18" t="n">
        <v>26319</v>
      </c>
      <c r="R41" s="18" t="n">
        <v>27245</v>
      </c>
      <c r="S41" s="18" t="n">
        <v>27155</v>
      </c>
      <c r="T41" s="18" t="n">
        <v>0</v>
      </c>
      <c r="U41" s="37" t="n">
        <v>0</v>
      </c>
      <c r="Y41" s="18" t="n">
        <v>0</v>
      </c>
      <c r="Z41" s="37" t="n">
        <v>0</v>
      </c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이연법인세부채</t>
        </is>
      </c>
      <c r="E42" s="18" t="n">
        <v>84194</v>
      </c>
      <c r="F42" s="37" t="n">
        <v>84194</v>
      </c>
      <c r="G42" s="18" t="n">
        <v>84194</v>
      </c>
      <c r="H42" s="18" t="n">
        <v>84194</v>
      </c>
      <c r="I42" s="18" t="n">
        <v>84194</v>
      </c>
      <c r="J42" s="18" t="n">
        <v>80368</v>
      </c>
      <c r="K42" s="37" t="n">
        <v>80368</v>
      </c>
      <c r="L42" s="18" t="n">
        <v>80367</v>
      </c>
      <c r="M42" s="18" t="n">
        <v>80367</v>
      </c>
      <c r="N42" s="18" t="n">
        <v>80368</v>
      </c>
      <c r="O42" s="18" t="n">
        <v>104537</v>
      </c>
      <c r="P42" s="37" t="n">
        <v>104537</v>
      </c>
      <c r="Q42" s="18" t="n">
        <v>104430</v>
      </c>
      <c r="R42" s="18" t="n">
        <v>104391</v>
      </c>
      <c r="S42" s="18" t="n">
        <v>104525</v>
      </c>
      <c r="T42" s="18" t="n">
        <v>104525</v>
      </c>
      <c r="U42" s="37" t="n">
        <v>104525</v>
      </c>
      <c r="V42" s="18" t="n">
        <v>104448</v>
      </c>
      <c r="W42" s="18" t="n">
        <v>104431</v>
      </c>
      <c r="X42" s="18" t="n">
        <v>104524</v>
      </c>
      <c r="Y42" s="18" t="n">
        <v>100060</v>
      </c>
      <c r="Z42" s="37" t="n">
        <v>100060</v>
      </c>
      <c r="AA42" s="18" t="n">
        <v>99944</v>
      </c>
      <c r="AB42" s="19" t="n">
        <v>99894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기타비유동금융부채</t>
        </is>
      </c>
      <c r="E43" s="18" t="n">
        <v>181674</v>
      </c>
      <c r="F43" s="37" t="n">
        <v>181674</v>
      </c>
      <c r="G43" s="18" t="n">
        <v>181084</v>
      </c>
      <c r="H43" s="18" t="n">
        <v>180950</v>
      </c>
      <c r="I43" s="18" t="n">
        <v>16085</v>
      </c>
      <c r="J43" s="18" t="n">
        <v>15638</v>
      </c>
      <c r="K43" s="37" t="n">
        <v>15638</v>
      </c>
      <c r="L43" s="18" t="n">
        <v>15697</v>
      </c>
      <c r="M43" s="18" t="n">
        <v>15344</v>
      </c>
      <c r="N43" s="18" t="n">
        <v>76614</v>
      </c>
      <c r="O43" s="18" t="n">
        <v>75348</v>
      </c>
      <c r="P43" s="37" t="n">
        <v>75348</v>
      </c>
      <c r="Q43" s="18" t="n">
        <v>73455</v>
      </c>
      <c r="R43" s="18" t="n">
        <v>71541</v>
      </c>
      <c r="S43" s="18" t="n">
        <v>66794</v>
      </c>
      <c r="T43" s="18" t="n">
        <v>64883</v>
      </c>
      <c r="U43" s="37" t="n">
        <v>64883</v>
      </c>
      <c r="V43" s="18" t="n">
        <v>59330</v>
      </c>
      <c r="W43" s="18" t="n">
        <v>65021</v>
      </c>
      <c r="X43" s="18" t="n">
        <v>61627</v>
      </c>
      <c r="Y43" s="18" t="n">
        <v>59514</v>
      </c>
      <c r="Z43" s="37" t="n">
        <v>59514</v>
      </c>
      <c r="AA43" s="18" t="n">
        <v>55938</v>
      </c>
      <c r="AB43" s="19" t="n">
        <v>53045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장기금융부채</t>
        </is>
      </c>
      <c r="E44" s="18" t="n">
        <v>181674</v>
      </c>
      <c r="F44" s="37" t="n">
        <v>181674</v>
      </c>
      <c r="G44" s="18" t="n">
        <v>181084</v>
      </c>
      <c r="H44" s="18" t="n">
        <v>180950</v>
      </c>
      <c r="I44" s="18" t="n">
        <v>16085</v>
      </c>
      <c r="J44" s="18" t="n">
        <v>15638</v>
      </c>
      <c r="K44" s="37" t="n">
        <v>15638</v>
      </c>
      <c r="L44" s="18" t="n">
        <v>15697</v>
      </c>
      <c r="M44" s="18" t="n">
        <v>15344</v>
      </c>
      <c r="N44" s="18" t="n">
        <v>76614</v>
      </c>
      <c r="O44" s="18" t="n">
        <v>75348</v>
      </c>
      <c r="P44" s="37" t="n">
        <v>75348</v>
      </c>
      <c r="Q44" s="18" t="n">
        <v>73455</v>
      </c>
      <c r="R44" s="18" t="n">
        <v>71541</v>
      </c>
      <c r="S44" s="18" t="n">
        <v>66794</v>
      </c>
      <c r="T44" s="18" t="n">
        <v>64883</v>
      </c>
      <c r="U44" s="37" t="n">
        <v>64883</v>
      </c>
      <c r="V44" s="18" t="n">
        <v>59330</v>
      </c>
      <c r="W44" s="18" t="n">
        <v>65021</v>
      </c>
      <c r="X44" s="18" t="n">
        <v>61627</v>
      </c>
      <c r="Y44" s="18" t="n">
        <v>59514</v>
      </c>
      <c r="Z44" s="37" t="n">
        <v>59514</v>
      </c>
      <c r="AA44" s="18" t="n">
        <v>55938</v>
      </c>
      <c r="AB44" s="19" t="n">
        <v>53045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기타비유동부채</t>
        </is>
      </c>
      <c r="E45" s="18" t="n">
        <v>127545</v>
      </c>
      <c r="F45" s="37" t="n">
        <v>127545</v>
      </c>
      <c r="G45" s="18" t="n">
        <v>127669</v>
      </c>
      <c r="H45" s="18" t="n">
        <v>208293</v>
      </c>
      <c r="I45" s="18" t="n">
        <v>207495</v>
      </c>
      <c r="J45" s="18" t="n">
        <v>5383</v>
      </c>
      <c r="K45" s="37" t="n">
        <v>5383</v>
      </c>
      <c r="L45" s="18" t="n">
        <v>5548</v>
      </c>
      <c r="M45" s="18" t="n">
        <v>5715</v>
      </c>
      <c r="N45" s="18" t="n">
        <v>109972</v>
      </c>
      <c r="O45" s="18" t="n">
        <v>111184</v>
      </c>
      <c r="P45" s="37" t="n">
        <v>111184</v>
      </c>
      <c r="Q45" s="18" t="n">
        <v>111374</v>
      </c>
      <c r="R45" s="18" t="n">
        <v>111565</v>
      </c>
      <c r="S45" s="18" t="n">
        <v>6140</v>
      </c>
      <c r="T45" s="18" t="n">
        <v>8806</v>
      </c>
      <c r="U45" s="37" t="n">
        <v>8806</v>
      </c>
      <c r="V45" s="18" t="n">
        <v>9058</v>
      </c>
      <c r="W45" s="18" t="n">
        <v>9310</v>
      </c>
      <c r="X45" s="18" t="n">
        <v>8860</v>
      </c>
      <c r="Y45" s="18" t="n">
        <v>10832</v>
      </c>
      <c r="Z45" s="37" t="n">
        <v>10832</v>
      </c>
      <c r="AA45" s="18" t="n">
        <v>11123</v>
      </c>
      <c r="AB45" s="19" t="n">
        <v>11414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부채총계</t>
        </is>
      </c>
      <c r="E46" s="18" t="n">
        <v>1948846</v>
      </c>
      <c r="F46" s="37" t="n">
        <v>1948846</v>
      </c>
      <c r="G46" s="18" t="n">
        <v>1945603</v>
      </c>
      <c r="H46" s="18" t="n">
        <v>1993810</v>
      </c>
      <c r="I46" s="18" t="n">
        <v>2037006</v>
      </c>
      <c r="J46" s="18" t="n">
        <v>2178827</v>
      </c>
      <c r="K46" s="37" t="n">
        <v>2178827</v>
      </c>
      <c r="L46" s="18" t="n">
        <v>2280783</v>
      </c>
      <c r="M46" s="18" t="n">
        <v>2311956</v>
      </c>
      <c r="N46" s="18" t="n">
        <v>2495766</v>
      </c>
      <c r="O46" s="18" t="n">
        <v>2544208</v>
      </c>
      <c r="P46" s="37" t="n">
        <v>2544208</v>
      </c>
      <c r="Q46" s="18" t="n">
        <v>2492729</v>
      </c>
      <c r="R46" s="18" t="n">
        <v>2446682</v>
      </c>
      <c r="S46" s="18" t="n">
        <v>1816606</v>
      </c>
      <c r="T46" s="18" t="n">
        <v>1858285</v>
      </c>
      <c r="U46" s="37" t="n">
        <v>1858285</v>
      </c>
      <c r="V46" s="18" t="n">
        <v>1868041</v>
      </c>
      <c r="W46" s="18" t="n">
        <v>1939064</v>
      </c>
      <c r="X46" s="18" t="n">
        <v>1938418</v>
      </c>
      <c r="Y46" s="18" t="n">
        <v>1781340</v>
      </c>
      <c r="Z46" s="37" t="n">
        <v>1781340</v>
      </c>
      <c r="AA46" s="18" t="n">
        <v>1755515</v>
      </c>
      <c r="AB46" s="19" t="n">
        <v>1889604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자본금</t>
        </is>
      </c>
      <c r="E47" s="18" t="n">
        <v>416371</v>
      </c>
      <c r="F47" s="37" t="n">
        <v>416371</v>
      </c>
      <c r="G47" s="18" t="n">
        <v>416371</v>
      </c>
      <c r="H47" s="18" t="n">
        <v>416371</v>
      </c>
      <c r="I47" s="18" t="n">
        <v>416371</v>
      </c>
      <c r="J47" s="18" t="n">
        <v>416371</v>
      </c>
      <c r="K47" s="37" t="n">
        <v>416371</v>
      </c>
      <c r="L47" s="18" t="n">
        <v>416371</v>
      </c>
      <c r="M47" s="18" t="n">
        <v>416371</v>
      </c>
      <c r="N47" s="18" t="n">
        <v>416371</v>
      </c>
      <c r="O47" s="18" t="n">
        <v>416371</v>
      </c>
      <c r="P47" s="37" t="n">
        <v>416371</v>
      </c>
      <c r="Q47" s="18" t="n">
        <v>416371</v>
      </c>
      <c r="R47" s="18" t="n">
        <v>416371</v>
      </c>
      <c r="S47" s="18" t="n">
        <v>416371</v>
      </c>
      <c r="T47" s="18" t="n">
        <v>416371</v>
      </c>
      <c r="U47" s="37" t="n">
        <v>416371</v>
      </c>
      <c r="V47" s="18" t="n">
        <v>416371</v>
      </c>
      <c r="W47" s="18" t="n">
        <v>416371</v>
      </c>
      <c r="X47" s="18" t="n">
        <v>416371</v>
      </c>
      <c r="Y47" s="18" t="n">
        <v>451477</v>
      </c>
      <c r="Z47" s="37" t="n">
        <v>451477</v>
      </c>
      <c r="AA47" s="18" t="n">
        <v>451477</v>
      </c>
      <c r="AB47" s="19" t="n">
        <v>451477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자본잉여금</t>
        </is>
      </c>
      <c r="E48" s="18" t="n">
        <v>1050101</v>
      </c>
      <c r="F48" s="37" t="n">
        <v>1050101</v>
      </c>
      <c r="G48" s="18" t="n">
        <v>1050101</v>
      </c>
      <c r="H48" s="18" t="n">
        <v>1050101</v>
      </c>
      <c r="I48" s="18" t="n">
        <v>1050101</v>
      </c>
      <c r="J48" s="18" t="n">
        <v>1050101</v>
      </c>
      <c r="K48" s="37" t="n">
        <v>1050101</v>
      </c>
      <c r="L48" s="18" t="n">
        <v>1050101</v>
      </c>
      <c r="M48" s="18" t="n">
        <v>1050101</v>
      </c>
      <c r="N48" s="18" t="n">
        <v>1050101</v>
      </c>
      <c r="O48" s="18" t="n">
        <v>1050101</v>
      </c>
      <c r="P48" s="37" t="n">
        <v>1050101</v>
      </c>
      <c r="Q48" s="18" t="n">
        <v>1050101</v>
      </c>
      <c r="R48" s="18" t="n">
        <v>1050101</v>
      </c>
      <c r="S48" s="18" t="n">
        <v>1050101</v>
      </c>
      <c r="T48" s="18" t="n">
        <v>1050101</v>
      </c>
      <c r="U48" s="37" t="n">
        <v>1050101</v>
      </c>
      <c r="V48" s="18" t="n">
        <v>1050101</v>
      </c>
      <c r="W48" s="18" t="n">
        <v>1050101</v>
      </c>
      <c r="X48" s="18" t="n">
        <v>1050101</v>
      </c>
      <c r="Y48" s="18" t="n">
        <v>1224791</v>
      </c>
      <c r="Z48" s="37" t="n">
        <v>1224791</v>
      </c>
      <c r="AA48" s="18" t="n">
        <v>1224791</v>
      </c>
      <c r="AB48" s="19" t="n">
        <v>1224791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이익잉여금</t>
        </is>
      </c>
      <c r="E49" s="18" t="n">
        <v>-1356822</v>
      </c>
      <c r="F49" s="37" t="n">
        <v>-1356822</v>
      </c>
      <c r="G49" s="18" t="n">
        <v>-1366070</v>
      </c>
      <c r="H49" s="18" t="n">
        <v>-1380513</v>
      </c>
      <c r="I49" s="18" t="n">
        <v>-1401169</v>
      </c>
      <c r="J49" s="18" t="n">
        <v>-1406414</v>
      </c>
      <c r="K49" s="37" t="n">
        <v>-1406414</v>
      </c>
      <c r="L49" s="18" t="n">
        <v>-1430879</v>
      </c>
      <c r="M49" s="18" t="n">
        <v>-1511099</v>
      </c>
      <c r="N49" s="18" t="n">
        <v>-1514953</v>
      </c>
      <c r="O49" s="18" t="n">
        <v>-1530237</v>
      </c>
      <c r="P49" s="37" t="n">
        <v>-1530237</v>
      </c>
      <c r="Q49" s="18" t="n">
        <v>-1516300</v>
      </c>
      <c r="R49" s="18" t="n">
        <v>-1557889</v>
      </c>
      <c r="S49" s="18" t="n">
        <v>-1506315</v>
      </c>
      <c r="T49" s="18" t="n">
        <v>-1460536</v>
      </c>
      <c r="U49" s="37" t="n">
        <v>-1460536</v>
      </c>
      <c r="V49" s="18" t="n">
        <v>-1455255</v>
      </c>
      <c r="W49" s="18" t="n">
        <v>-1461954</v>
      </c>
      <c r="X49" s="18" t="n">
        <v>-1458216</v>
      </c>
      <c r="Y49" s="18" t="n">
        <v>-1405892</v>
      </c>
      <c r="Z49" s="37" t="n">
        <v>-1405892</v>
      </c>
      <c r="AA49" s="18" t="n">
        <v>-1380792</v>
      </c>
      <c r="AB49" s="19" t="n">
        <v>-1318421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기타자본</t>
        </is>
      </c>
      <c r="E50" s="18" t="n">
        <v>9938</v>
      </c>
      <c r="F50" s="37" t="n">
        <v>9938</v>
      </c>
      <c r="G50" s="18" t="n">
        <v>9938</v>
      </c>
      <c r="H50" s="18" t="n">
        <v>8515</v>
      </c>
      <c r="I50" s="18" t="n">
        <v>8515</v>
      </c>
      <c r="J50" s="18" t="n">
        <v>9938</v>
      </c>
      <c r="K50" s="37" t="n">
        <v>9938</v>
      </c>
      <c r="L50" s="18" t="n">
        <v>8515</v>
      </c>
      <c r="M50" s="18" t="n">
        <v>8515</v>
      </c>
      <c r="N50" s="18" t="n">
        <v>8515</v>
      </c>
      <c r="O50" s="18" t="n">
        <v>413689</v>
      </c>
      <c r="P50" s="37" t="n">
        <v>413689</v>
      </c>
      <c r="Q50" s="18" t="n">
        <v>413704</v>
      </c>
      <c r="R50" s="18" t="n">
        <v>413702</v>
      </c>
      <c r="S50" s="18" t="n">
        <v>414538</v>
      </c>
      <c r="T50" s="18" t="n">
        <v>346541</v>
      </c>
      <c r="U50" s="37" t="n">
        <v>346541</v>
      </c>
      <c r="V50" s="18" t="n">
        <v>346577</v>
      </c>
      <c r="W50" s="18" t="n">
        <v>348158</v>
      </c>
      <c r="X50" s="18" t="n">
        <v>348051</v>
      </c>
      <c r="Y50" s="18" t="n">
        <v>408175</v>
      </c>
      <c r="Z50" s="37" t="n">
        <v>408175</v>
      </c>
      <c r="AA50" s="18" t="n">
        <v>407409</v>
      </c>
      <c r="AB50" s="19" t="n">
        <v>403979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자본총계</t>
        </is>
      </c>
      <c r="E51" s="18" t="n">
        <v>432198</v>
      </c>
      <c r="F51" s="37" t="n">
        <v>432198</v>
      </c>
      <c r="G51" s="18" t="n">
        <v>422243</v>
      </c>
      <c r="H51" s="18" t="n">
        <v>407673</v>
      </c>
      <c r="I51" s="18" t="n">
        <v>387400</v>
      </c>
      <c r="J51" s="18" t="n">
        <v>385156</v>
      </c>
      <c r="K51" s="37" t="n">
        <v>385156</v>
      </c>
      <c r="L51" s="18" t="n">
        <v>360512</v>
      </c>
      <c r="M51" s="18" t="n">
        <v>280217</v>
      </c>
      <c r="N51" s="18" t="n">
        <v>276389</v>
      </c>
      <c r="O51" s="18" t="n">
        <v>341409</v>
      </c>
      <c r="P51" s="37" t="n">
        <v>341409</v>
      </c>
      <c r="Q51" s="18" t="n">
        <v>355361</v>
      </c>
      <c r="R51" s="18" t="n">
        <v>313770</v>
      </c>
      <c r="S51" s="18" t="n">
        <v>366180</v>
      </c>
      <c r="T51" s="18" t="n">
        <v>343962</v>
      </c>
      <c r="U51" s="37" t="n">
        <v>343962</v>
      </c>
      <c r="V51" s="18" t="n">
        <v>349279</v>
      </c>
      <c r="W51" s="18" t="n">
        <v>344161</v>
      </c>
      <c r="X51" s="18" t="n">
        <v>347792</v>
      </c>
      <c r="Y51" s="18" t="n">
        <v>670036</v>
      </c>
      <c r="Z51" s="37" t="n">
        <v>670036</v>
      </c>
      <c r="AA51" s="18" t="n">
        <v>694370</v>
      </c>
      <c r="AB51" s="19" t="n">
        <v>753311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부채와자본총계</t>
        </is>
      </c>
      <c r="E52" s="18" t="n">
        <v>2381044</v>
      </c>
      <c r="F52" s="37" t="n">
        <v>2381044</v>
      </c>
      <c r="G52" s="18" t="n">
        <v>2367846</v>
      </c>
      <c r="H52" s="18" t="n">
        <v>2401483</v>
      </c>
      <c r="I52" s="18" t="n">
        <v>2424406</v>
      </c>
      <c r="J52" s="18" t="n">
        <v>2563983</v>
      </c>
      <c r="K52" s="37" t="n">
        <v>2563983</v>
      </c>
      <c r="L52" s="18" t="n">
        <v>2641295</v>
      </c>
      <c r="M52" s="18" t="n">
        <v>2592173</v>
      </c>
      <c r="N52" s="18" t="n">
        <v>2772155</v>
      </c>
      <c r="O52" s="18" t="n">
        <v>2885617</v>
      </c>
      <c r="P52" s="37" t="n">
        <v>2885617</v>
      </c>
      <c r="Q52" s="18" t="n">
        <v>2848090</v>
      </c>
      <c r="R52" s="18" t="n">
        <v>2760452</v>
      </c>
      <c r="S52" s="18" t="n">
        <v>2182786</v>
      </c>
      <c r="T52" s="18" t="n">
        <v>2202247</v>
      </c>
      <c r="U52" s="37" t="n">
        <v>2202247</v>
      </c>
      <c r="V52" s="18" t="n">
        <v>2217320</v>
      </c>
      <c r="W52" s="18" t="n">
        <v>2283225</v>
      </c>
      <c r="X52" s="18" t="n">
        <v>2286210</v>
      </c>
      <c r="Y52" s="18" t="n">
        <v>2451376</v>
      </c>
      <c r="Z52" s="37" t="n">
        <v>2451376</v>
      </c>
      <c r="AA52" s="18" t="n">
        <v>2449885</v>
      </c>
      <c r="AB52" s="19" t="n">
        <v>2642915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지배주주지분</t>
        </is>
      </c>
      <c r="E53" s="18" t="n">
        <v>432198</v>
      </c>
      <c r="F53" s="37" t="n">
        <v>432198</v>
      </c>
      <c r="G53" s="18" t="n">
        <v>422243</v>
      </c>
      <c r="H53" s="18" t="n">
        <v>407673</v>
      </c>
      <c r="I53" s="18" t="n">
        <v>387400</v>
      </c>
      <c r="J53" s="18" t="n">
        <v>385156</v>
      </c>
      <c r="K53" s="37" t="n">
        <v>385156</v>
      </c>
      <c r="L53" s="18" t="n">
        <v>360512</v>
      </c>
      <c r="M53" s="18" t="n">
        <v>280217</v>
      </c>
      <c r="N53" s="18" t="n">
        <v>276389</v>
      </c>
      <c r="O53" s="18" t="n">
        <v>341409</v>
      </c>
      <c r="P53" s="37" t="n">
        <v>341409</v>
      </c>
      <c r="Q53" s="18" t="n">
        <v>355361</v>
      </c>
      <c r="R53" s="18" t="n">
        <v>313770</v>
      </c>
      <c r="S53" s="18" t="n">
        <v>366180</v>
      </c>
      <c r="T53" s="18" t="n">
        <v>343962</v>
      </c>
      <c r="U53" s="37" t="n">
        <v>343962</v>
      </c>
      <c r="V53" s="18" t="n">
        <v>349279</v>
      </c>
      <c r="W53" s="18" t="n">
        <v>344161</v>
      </c>
      <c r="X53" s="18" t="n">
        <v>347792</v>
      </c>
      <c r="Y53" s="18" t="n">
        <v>670036</v>
      </c>
      <c r="Z53" s="37" t="n">
        <v>670036</v>
      </c>
      <c r="AA53" s="18" t="n">
        <v>694370</v>
      </c>
      <c r="AB53" s="19" t="n">
        <v>753311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총차입금</t>
        </is>
      </c>
      <c r="E54" s="18" t="n">
        <v>680304</v>
      </c>
      <c r="F54" s="37" t="n">
        <v>680304</v>
      </c>
      <c r="G54" s="18" t="n">
        <v>684194</v>
      </c>
      <c r="H54" s="18" t="n">
        <v>611927</v>
      </c>
      <c r="I54" s="18" t="n">
        <v>675817</v>
      </c>
      <c r="J54" s="18" t="n">
        <v>651213</v>
      </c>
      <c r="K54" s="37" t="n">
        <v>651213</v>
      </c>
      <c r="L54" s="18" t="n">
        <v>655888</v>
      </c>
      <c r="M54" s="18" t="n">
        <v>658714</v>
      </c>
      <c r="N54" s="18" t="n">
        <v>663098</v>
      </c>
      <c r="O54" s="18" t="n">
        <v>682305</v>
      </c>
      <c r="P54" s="37" t="n">
        <v>682305</v>
      </c>
      <c r="Q54" s="18" t="n">
        <v>688420</v>
      </c>
      <c r="R54" s="18" t="n">
        <v>649555</v>
      </c>
      <c r="S54" s="18" t="n">
        <v>477151</v>
      </c>
      <c r="T54" s="18" t="n">
        <v>476925</v>
      </c>
      <c r="U54" s="37" t="n">
        <v>476925</v>
      </c>
      <c r="V54" s="18" t="n">
        <v>467349</v>
      </c>
      <c r="W54" s="18" t="n">
        <v>416531</v>
      </c>
      <c r="X54" s="18" t="n">
        <v>407599</v>
      </c>
      <c r="Y54" s="18" t="n">
        <v>402214</v>
      </c>
      <c r="Z54" s="37" t="n">
        <v>402214</v>
      </c>
      <c r="AA54" s="18" t="n">
        <v>399326</v>
      </c>
      <c r="AB54" s="19" t="n">
        <v>475076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순차입금</t>
        </is>
      </c>
      <c r="E55" s="18" t="n">
        <v>516950</v>
      </c>
      <c r="F55" s="37" t="n">
        <v>516950</v>
      </c>
      <c r="G55" s="18" t="n">
        <v>527475</v>
      </c>
      <c r="H55" s="18" t="n">
        <v>448526</v>
      </c>
      <c r="I55" s="18" t="n">
        <v>570241</v>
      </c>
      <c r="J55" s="18" t="n">
        <v>495700</v>
      </c>
      <c r="K55" s="37" t="n">
        <v>495700</v>
      </c>
      <c r="L55" s="18" t="n">
        <v>487389</v>
      </c>
      <c r="M55" s="18" t="n">
        <v>545686</v>
      </c>
      <c r="N55" s="18" t="n">
        <v>300458</v>
      </c>
      <c r="O55" s="18" t="n">
        <v>322328</v>
      </c>
      <c r="P55" s="37" t="n">
        <v>322328</v>
      </c>
      <c r="Q55" s="18" t="n">
        <v>391563</v>
      </c>
      <c r="R55" s="18" t="n">
        <v>383137</v>
      </c>
      <c r="S55" s="18" t="n">
        <v>251500</v>
      </c>
      <c r="T55" s="18" t="n">
        <v>245654</v>
      </c>
      <c r="U55" s="37" t="n">
        <v>245654</v>
      </c>
      <c r="V55" s="18" t="n">
        <v>354142</v>
      </c>
      <c r="W55" s="18" t="n">
        <v>203697</v>
      </c>
      <c r="X55" s="18" t="n">
        <v>173256</v>
      </c>
      <c r="Y55" s="18" t="n">
        <v>44060</v>
      </c>
      <c r="Z55" s="37" t="n">
        <v>44060</v>
      </c>
      <c r="AA55" s="18" t="n">
        <v>213552</v>
      </c>
      <c r="AB55" s="19" t="n">
        <v>199869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이자발생자산</t>
        </is>
      </c>
      <c r="E56" s="18" t="n">
        <v>171772</v>
      </c>
      <c r="F56" s="37" t="n">
        <v>171772</v>
      </c>
      <c r="G56" s="18" t="n">
        <v>164099</v>
      </c>
      <c r="H56" s="18" t="n">
        <v>166098</v>
      </c>
      <c r="I56" s="18" t="n">
        <v>110234</v>
      </c>
      <c r="J56" s="18" t="n">
        <v>160199</v>
      </c>
      <c r="K56" s="37" t="n">
        <v>160199</v>
      </c>
      <c r="L56" s="18" t="n">
        <v>179425</v>
      </c>
      <c r="M56" s="18" t="n">
        <v>121336</v>
      </c>
      <c r="N56" s="18" t="n">
        <v>370920</v>
      </c>
      <c r="O56" s="18" t="n">
        <v>367828</v>
      </c>
      <c r="P56" s="37" t="n">
        <v>367828</v>
      </c>
      <c r="Q56" s="18" t="n">
        <v>305145</v>
      </c>
      <c r="R56" s="18" t="n">
        <v>269923</v>
      </c>
      <c r="S56" s="18" t="n">
        <v>227071</v>
      </c>
      <c r="T56" s="18" t="n">
        <v>235050</v>
      </c>
      <c r="U56" s="37" t="n">
        <v>235050</v>
      </c>
      <c r="V56" s="18" t="n">
        <v>116688</v>
      </c>
      <c r="W56" s="18" t="n">
        <v>216401</v>
      </c>
      <c r="X56" s="18" t="n">
        <v>239910</v>
      </c>
      <c r="Y56" s="18" t="n">
        <v>363116</v>
      </c>
      <c r="Z56" s="37" t="n">
        <v>363116</v>
      </c>
      <c r="AA56" s="18" t="n">
        <v>190596</v>
      </c>
      <c r="AB56" s="19" t="n">
        <v>281304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단기차입금</t>
        </is>
      </c>
      <c r="F57" s="9" t="n"/>
      <c r="K57" s="9" t="n"/>
      <c r="P57" s="9" t="n"/>
      <c r="T57" s="18" t="n">
        <v>381747</v>
      </c>
      <c r="U57" s="37" t="n">
        <v>381747</v>
      </c>
      <c r="V57" s="18" t="n">
        <v>374173</v>
      </c>
      <c r="W57" s="18" t="n">
        <v>282177</v>
      </c>
      <c r="X57" s="18" t="n">
        <v>276093</v>
      </c>
      <c r="Y57" s="18" t="n">
        <v>270520</v>
      </c>
      <c r="Z57" s="37" t="n">
        <v>270520</v>
      </c>
      <c r="AA57" s="18" t="n">
        <v>267443</v>
      </c>
      <c r="AB57" s="19" t="n">
        <v>190033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매출액(수익)</t>
        </is>
      </c>
      <c r="E58" s="18" t="n">
        <v>513126</v>
      </c>
      <c r="F58" s="9" t="n"/>
      <c r="G58" s="18" t="n">
        <v>347795</v>
      </c>
      <c r="H58" s="18" t="n">
        <v>445257</v>
      </c>
      <c r="I58" s="18" t="n">
        <v>397650</v>
      </c>
      <c r="J58" s="18" t="n">
        <v>596664</v>
      </c>
      <c r="K58" s="37" t="n">
        <v>1787366</v>
      </c>
      <c r="L58" s="18" t="n">
        <v>404822</v>
      </c>
      <c r="M58" s="18" t="n">
        <v>501178</v>
      </c>
      <c r="N58" s="18" t="n">
        <v>490317</v>
      </c>
      <c r="O58" s="18" t="n">
        <v>764948</v>
      </c>
      <c r="P58" s="37" t="n">
        <v>2161265</v>
      </c>
      <c r="Q58" s="18" t="n">
        <v>467381</v>
      </c>
      <c r="R58" s="18" t="n">
        <v>484600</v>
      </c>
      <c r="S58" s="18" t="n">
        <v>453568</v>
      </c>
      <c r="T58" s="18" t="n">
        <v>479614</v>
      </c>
      <c r="U58" s="37" t="n">
        <v>1885163</v>
      </c>
      <c r="V58" s="18" t="n">
        <v>409866</v>
      </c>
      <c r="W58" s="18" t="n">
        <v>507577</v>
      </c>
      <c r="X58" s="18" t="n">
        <v>452009</v>
      </c>
      <c r="Y58" s="18" t="n">
        <v>629454</v>
      </c>
      <c r="Z58" s="37" t="n">
        <v>1998906</v>
      </c>
      <c r="AA58" s="18" t="n">
        <v>541201</v>
      </c>
      <c r="AB58" s="19" t="n">
        <v>729708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매출원가</t>
        </is>
      </c>
      <c r="E59" s="18" t="n">
        <v>582624</v>
      </c>
      <c r="F59" s="9" t="n"/>
      <c r="G59" s="18" t="n">
        <v>323986</v>
      </c>
      <c r="H59" s="18" t="n">
        <v>422021</v>
      </c>
      <c r="I59" s="18" t="n">
        <v>370715</v>
      </c>
      <c r="J59" s="18" t="n">
        <v>574347</v>
      </c>
      <c r="K59" s="37" t="n">
        <v>1691069</v>
      </c>
      <c r="L59" s="18" t="n">
        <v>392922</v>
      </c>
      <c r="M59" s="18" t="n">
        <v>550357</v>
      </c>
      <c r="N59" s="18" t="n">
        <v>502687</v>
      </c>
      <c r="O59" s="18" t="n">
        <v>717523</v>
      </c>
      <c r="P59" s="37" t="n">
        <v>2163489</v>
      </c>
      <c r="Q59" s="18" t="n">
        <v>431435</v>
      </c>
      <c r="R59" s="18" t="n">
        <v>500459</v>
      </c>
      <c r="S59" s="18" t="n">
        <v>397328</v>
      </c>
      <c r="T59" s="18" t="n">
        <v>450019</v>
      </c>
      <c r="U59" s="37" t="n">
        <v>1779241</v>
      </c>
      <c r="V59" s="18" t="n">
        <v>379044</v>
      </c>
      <c r="W59" s="18" t="n">
        <v>474587</v>
      </c>
      <c r="X59" s="18" t="n">
        <v>421175</v>
      </c>
      <c r="Y59" s="18" t="n">
        <v>547511</v>
      </c>
      <c r="Z59" s="37" t="n">
        <v>1822317</v>
      </c>
      <c r="AA59" s="18" t="n">
        <v>484908</v>
      </c>
      <c r="AB59" s="19" t="n">
        <v>627249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매출총이익</t>
        </is>
      </c>
      <c r="E60" s="18" t="n">
        <v>-69498</v>
      </c>
      <c r="F60" s="9" t="n"/>
      <c r="G60" s="18" t="n">
        <v>23809</v>
      </c>
      <c r="H60" s="18" t="n">
        <v>23236</v>
      </c>
      <c r="I60" s="18" t="n">
        <v>26935</v>
      </c>
      <c r="J60" s="18" t="n">
        <v>22317</v>
      </c>
      <c r="K60" s="37" t="n">
        <v>96297</v>
      </c>
      <c r="L60" s="18" t="n">
        <v>11900</v>
      </c>
      <c r="M60" s="18" t="n">
        <v>-49179</v>
      </c>
      <c r="N60" s="18" t="n">
        <v>-12370</v>
      </c>
      <c r="O60" s="18" t="n">
        <v>47425</v>
      </c>
      <c r="P60" s="37" t="n">
        <v>-2224</v>
      </c>
      <c r="Q60" s="18" t="n">
        <v>35946</v>
      </c>
      <c r="R60" s="18" t="n">
        <v>-15859</v>
      </c>
      <c r="S60" s="18" t="n">
        <v>56240</v>
      </c>
      <c r="T60" s="18" t="n">
        <v>29595</v>
      </c>
      <c r="U60" s="37" t="n">
        <v>105922</v>
      </c>
      <c r="V60" s="18" t="n">
        <v>30822</v>
      </c>
      <c r="W60" s="18" t="n">
        <v>32990</v>
      </c>
      <c r="X60" s="18" t="n">
        <v>30834</v>
      </c>
      <c r="Y60" s="18" t="n">
        <v>81943</v>
      </c>
      <c r="Z60" s="37" t="n">
        <v>176589</v>
      </c>
      <c r="AA60" s="18" t="n">
        <v>56293</v>
      </c>
      <c r="AB60" s="19" t="n">
        <v>102459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판관비</t>
        </is>
      </c>
      <c r="E61" s="18" t="n">
        <v>23641</v>
      </c>
      <c r="F61" s="9" t="n"/>
      <c r="G61" s="18" t="n">
        <v>21287</v>
      </c>
      <c r="H61" s="18" t="n">
        <v>20991</v>
      </c>
      <c r="I61" s="18" t="n">
        <v>27037</v>
      </c>
      <c r="J61" s="18" t="n">
        <v>20622</v>
      </c>
      <c r="K61" s="37" t="n">
        <v>89937</v>
      </c>
      <c r="L61" s="18" t="n">
        <v>23054</v>
      </c>
      <c r="M61" s="18" t="n">
        <v>26059</v>
      </c>
      <c r="N61" s="18" t="n">
        <v>28472</v>
      </c>
      <c r="O61" s="18" t="n">
        <v>28420</v>
      </c>
      <c r="P61" s="37" t="n">
        <v>106005</v>
      </c>
      <c r="Q61" s="18" t="n">
        <v>23483</v>
      </c>
      <c r="R61" s="18" t="n">
        <v>24055</v>
      </c>
      <c r="S61" s="18" t="n">
        <v>23266</v>
      </c>
      <c r="T61" s="18" t="n">
        <v>27661</v>
      </c>
      <c r="U61" s="37" t="n">
        <v>98465</v>
      </c>
      <c r="V61" s="18" t="n">
        <v>25433</v>
      </c>
      <c r="W61" s="18" t="n">
        <v>27717</v>
      </c>
      <c r="X61" s="18" t="n">
        <v>25109</v>
      </c>
      <c r="Y61" s="18" t="n">
        <v>31526</v>
      </c>
      <c r="Z61" s="37" t="n">
        <v>109785</v>
      </c>
      <c r="AA61" s="18" t="n">
        <v>31777</v>
      </c>
      <c r="AB61" s="19" t="n">
        <v>37671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영업이익</t>
        </is>
      </c>
      <c r="E62" s="18" t="n">
        <v>-93139</v>
      </c>
      <c r="F62" s="9" t="n"/>
      <c r="G62" s="18" t="n">
        <v>2522</v>
      </c>
      <c r="H62" s="18" t="n">
        <v>2245</v>
      </c>
      <c r="I62" s="18" t="n">
        <v>-102</v>
      </c>
      <c r="J62" s="18" t="n">
        <v>1695</v>
      </c>
      <c r="K62" s="37" t="n">
        <v>6360</v>
      </c>
      <c r="L62" s="18" t="n">
        <v>-11154</v>
      </c>
      <c r="M62" s="18" t="n">
        <v>-75238</v>
      </c>
      <c r="N62" s="18" t="n">
        <v>-40842</v>
      </c>
      <c r="O62" s="18" t="n">
        <v>19005</v>
      </c>
      <c r="P62" s="37" t="n">
        <v>-108229</v>
      </c>
      <c r="Q62" s="18" t="n">
        <v>12463</v>
      </c>
      <c r="R62" s="18" t="n">
        <v>-39914</v>
      </c>
      <c r="S62" s="18" t="n">
        <v>32974</v>
      </c>
      <c r="T62" s="18" t="n">
        <v>1934</v>
      </c>
      <c r="U62" s="37" t="n">
        <v>7457</v>
      </c>
      <c r="V62" s="18" t="n">
        <v>5389</v>
      </c>
      <c r="W62" s="18" t="n">
        <v>5273</v>
      </c>
      <c r="X62" s="18" t="n">
        <v>5725</v>
      </c>
      <c r="Y62" s="18" t="n">
        <v>50417</v>
      </c>
      <c r="Z62" s="37" t="n">
        <v>66804</v>
      </c>
      <c r="AA62" s="18" t="n">
        <v>24516</v>
      </c>
      <c r="AB62" s="19" t="n">
        <v>64788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기타영업외수익</t>
        </is>
      </c>
      <c r="E63" s="18" t="n">
        <v>4979</v>
      </c>
      <c r="F63" s="9" t="n"/>
      <c r="G63" s="18" t="n">
        <v>644</v>
      </c>
      <c r="H63" s="18" t="n">
        <v>2553</v>
      </c>
      <c r="I63" s="18" t="n">
        <v>1216</v>
      </c>
      <c r="J63" s="18" t="n">
        <v>7355</v>
      </c>
      <c r="K63" s="37" t="n">
        <v>11768</v>
      </c>
      <c r="L63" s="18" t="n">
        <v>3028</v>
      </c>
      <c r="M63" s="18" t="n">
        <v>6455</v>
      </c>
      <c r="N63" s="18" t="n">
        <v>42103</v>
      </c>
      <c r="O63" s="18" t="n">
        <v>2079</v>
      </c>
      <c r="P63" s="37" t="n">
        <v>53665</v>
      </c>
      <c r="Q63" s="18" t="n">
        <v>799</v>
      </c>
      <c r="R63" s="18" t="n">
        <v>5411</v>
      </c>
      <c r="S63" s="18" t="n">
        <v>32496</v>
      </c>
      <c r="T63" s="18" t="n">
        <v>3414</v>
      </c>
      <c r="U63" s="37" t="n">
        <v>42120</v>
      </c>
      <c r="V63" s="18" t="n">
        <v>4263</v>
      </c>
      <c r="W63" s="18" t="n">
        <v>826</v>
      </c>
      <c r="X63" s="18" t="n">
        <v>4271</v>
      </c>
      <c r="Y63" s="18" t="n">
        <v>4362</v>
      </c>
      <c r="Z63" s="37" t="n">
        <v>13722</v>
      </c>
      <c r="AA63" s="18" t="n">
        <v>2343</v>
      </c>
      <c r="AB63" s="19" t="n">
        <v>6138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기타영업외비용</t>
        </is>
      </c>
      <c r="E64" s="18" t="n">
        <v>5923</v>
      </c>
      <c r="F64" s="9" t="n"/>
      <c r="G64" s="18" t="n">
        <v>2082</v>
      </c>
      <c r="H64" s="18" t="n">
        <v>2630</v>
      </c>
      <c r="I64" s="18" t="n">
        <v>3731</v>
      </c>
      <c r="J64" s="18" t="n">
        <v>8657</v>
      </c>
      <c r="K64" s="37" t="n">
        <v>17100</v>
      </c>
      <c r="L64" s="18" t="n">
        <v>6850</v>
      </c>
      <c r="M64" s="18" t="n">
        <v>1064</v>
      </c>
      <c r="N64" s="18" t="n">
        <v>2440</v>
      </c>
      <c r="O64" s="18" t="n">
        <v>3865</v>
      </c>
      <c r="P64" s="37" t="n">
        <v>14219</v>
      </c>
      <c r="Q64" s="18" t="n">
        <v>509</v>
      </c>
      <c r="R64" s="18" t="n">
        <v>1976</v>
      </c>
      <c r="S64" s="18" t="n">
        <v>1813</v>
      </c>
      <c r="T64" s="18" t="n">
        <v>5950</v>
      </c>
      <c r="U64" s="37" t="n">
        <v>10248</v>
      </c>
      <c r="V64" s="18" t="n">
        <v>1957</v>
      </c>
      <c r="W64" s="18" t="n">
        <v>6338</v>
      </c>
      <c r="X64" s="18" t="n">
        <v>1398</v>
      </c>
      <c r="Y64" s="18" t="n">
        <v>27451</v>
      </c>
      <c r="Z64" s="37" t="n">
        <v>37144</v>
      </c>
      <c r="AA64" s="18" t="n">
        <v>3719</v>
      </c>
      <c r="AB64" s="19" t="n">
        <v>3506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금융수익</t>
        </is>
      </c>
      <c r="E65" s="18" t="n">
        <v>4518</v>
      </c>
      <c r="F65" s="9" t="n"/>
      <c r="G65" s="18" t="n">
        <v>1094</v>
      </c>
      <c r="H65" s="18" t="n">
        <v>2325</v>
      </c>
      <c r="I65" s="18" t="n">
        <v>3312</v>
      </c>
      <c r="J65" s="18" t="n">
        <v>829</v>
      </c>
      <c r="K65" s="37" t="n">
        <v>7560</v>
      </c>
      <c r="L65" s="18" t="n">
        <v>3384</v>
      </c>
      <c r="M65" s="18" t="n">
        <v>4807</v>
      </c>
      <c r="N65" s="18" t="n">
        <v>13152</v>
      </c>
      <c r="O65" s="18" t="n">
        <v>-3520</v>
      </c>
      <c r="P65" s="37" t="n">
        <v>17823</v>
      </c>
      <c r="Q65" s="18" t="n">
        <v>16371</v>
      </c>
      <c r="R65" s="18" t="n">
        <v>7029</v>
      </c>
      <c r="S65" s="18" t="n">
        <v>959</v>
      </c>
      <c r="T65" s="18" t="n">
        <v>7283</v>
      </c>
      <c r="U65" s="37" t="n">
        <v>31642</v>
      </c>
      <c r="V65" s="18" t="n">
        <v>2001</v>
      </c>
      <c r="W65" s="18" t="n">
        <v>9560</v>
      </c>
      <c r="X65" s="18" t="n">
        <v>1324</v>
      </c>
      <c r="Y65" s="18" t="n">
        <v>7170</v>
      </c>
      <c r="Z65" s="37" t="n">
        <v>20055</v>
      </c>
      <c r="AA65" s="18" t="n">
        <v>16623</v>
      </c>
      <c r="AB65" s="19" t="n">
        <v>11954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금융비용</t>
        </is>
      </c>
      <c r="E66" s="18" t="n">
        <v>12059</v>
      </c>
      <c r="F66" s="9" t="n"/>
      <c r="G66" s="18" t="n">
        <v>13357</v>
      </c>
      <c r="H66" s="18" t="n">
        <v>17567</v>
      </c>
      <c r="I66" s="18" t="n">
        <v>21436</v>
      </c>
      <c r="J66" s="18" t="n">
        <v>8292</v>
      </c>
      <c r="K66" s="37" t="n">
        <v>60652</v>
      </c>
      <c r="L66" s="18" t="n">
        <v>13839</v>
      </c>
      <c r="M66" s="18" t="n">
        <v>11688</v>
      </c>
      <c r="N66" s="18" t="n">
        <v>13204</v>
      </c>
      <c r="O66" s="18" t="n">
        <v>10946</v>
      </c>
      <c r="P66" s="37" t="n">
        <v>49677</v>
      </c>
      <c r="Q66" s="18" t="n">
        <v>15006</v>
      </c>
      <c r="R66" s="18" t="n">
        <v>13262</v>
      </c>
      <c r="S66" s="18" t="n">
        <v>9611</v>
      </c>
      <c r="T66" s="18" t="n">
        <v>20608</v>
      </c>
      <c r="U66" s="37" t="n">
        <v>58487</v>
      </c>
      <c r="V66" s="18" t="n">
        <v>11308</v>
      </c>
      <c r="W66" s="18" t="n">
        <v>17867</v>
      </c>
      <c r="X66" s="18" t="n">
        <v>4675</v>
      </c>
      <c r="Y66" s="18" t="n">
        <v>9425</v>
      </c>
      <c r="Z66" s="37" t="n">
        <v>43275</v>
      </c>
      <c r="AA66" s="18" t="n">
        <v>14853</v>
      </c>
      <c r="AB66" s="19" t="n">
        <v>16951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법인세비용차감전계속사업이익</t>
        </is>
      </c>
      <c r="E67" s="18" t="n">
        <v>-101750</v>
      </c>
      <c r="F67" s="9" t="n"/>
      <c r="G67" s="18" t="n">
        <v>-11194</v>
      </c>
      <c r="H67" s="18" t="n">
        <v>-12920</v>
      </c>
      <c r="I67" s="18" t="n">
        <v>-20471</v>
      </c>
      <c r="J67" s="18" t="n">
        <v>-7070</v>
      </c>
      <c r="K67" s="37" t="n">
        <v>-51655</v>
      </c>
      <c r="L67" s="18" t="n">
        <v>-24019</v>
      </c>
      <c r="M67" s="18" t="n">
        <v>-76466</v>
      </c>
      <c r="N67" s="18" t="n">
        <v>-3282</v>
      </c>
      <c r="O67" s="18" t="n">
        <v>1191</v>
      </c>
      <c r="P67" s="37" t="n">
        <v>-102576</v>
      </c>
      <c r="Q67" s="18" t="n">
        <v>11887</v>
      </c>
      <c r="R67" s="18" t="n">
        <v>-41433</v>
      </c>
      <c r="S67" s="18" t="n">
        <v>51994</v>
      </c>
      <c r="T67" s="18" t="n">
        <v>-19154</v>
      </c>
      <c r="U67" s="37" t="n">
        <v>3294</v>
      </c>
      <c r="V67" s="18" t="n">
        <v>5667</v>
      </c>
      <c r="W67" s="18" t="n">
        <v>-6650</v>
      </c>
      <c r="X67" s="18" t="n">
        <v>3945</v>
      </c>
      <c r="Y67" s="18" t="n">
        <v>24171</v>
      </c>
      <c r="Z67" s="37" t="n">
        <v>27133</v>
      </c>
      <c r="AA67" s="18" t="n">
        <v>25287</v>
      </c>
      <c r="AB67" s="19" t="n">
        <v>64230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법인세비용</t>
        </is>
      </c>
      <c r="E68" s="18" t="n">
        <v>-20237</v>
      </c>
      <c r="F68" s="9" t="n"/>
      <c r="G68" s="18" t="n">
        <v>-2160</v>
      </c>
      <c r="H68" s="18" t="n">
        <v>1232</v>
      </c>
      <c r="I68" s="18" t="n">
        <v>44</v>
      </c>
      <c r="J68" s="18" t="n">
        <v>-584</v>
      </c>
      <c r="K68" s="37" t="n">
        <v>-1468</v>
      </c>
      <c r="L68" s="18" t="n">
        <v>79</v>
      </c>
      <c r="M68" s="18" t="n">
        <v>3655</v>
      </c>
      <c r="N68" s="18" t="n">
        <v>481</v>
      </c>
      <c r="O68" s="18" t="n">
        <v>6701</v>
      </c>
      <c r="P68" s="37" t="n">
        <v>10916</v>
      </c>
      <c r="Q68" s="18" t="n">
        <v>-2366</v>
      </c>
      <c r="R68" s="18" t="n">
        <v>27</v>
      </c>
      <c r="S68" s="18" t="n">
        <v>-1</v>
      </c>
      <c r="T68" s="18" t="n">
        <v>395</v>
      </c>
      <c r="U68" s="37" t="n">
        <v>-1945</v>
      </c>
      <c r="V68" s="18" t="n">
        <v>131</v>
      </c>
      <c r="W68" s="18" t="n">
        <v>-7</v>
      </c>
      <c r="X68" s="18" t="n">
        <v>35</v>
      </c>
      <c r="Y68" s="18" t="n">
        <v>-24354</v>
      </c>
      <c r="Z68" s="37" t="n">
        <v>-24195</v>
      </c>
      <c r="AA68" s="18" t="n">
        <v>-198</v>
      </c>
      <c r="AB68" s="19" t="n">
        <v>1724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당기순이익</t>
        </is>
      </c>
      <c r="E69" s="18" t="n">
        <v>-81513</v>
      </c>
      <c r="F69" s="9" t="n"/>
      <c r="I69" s="18" t="n">
        <v>-20515</v>
      </c>
      <c r="J69" s="18" t="n">
        <v>-6486</v>
      </c>
      <c r="K69" s="9" t="n"/>
      <c r="N69" s="18" t="n">
        <v>-3763</v>
      </c>
      <c r="O69" s="18" t="n">
        <v>-5510</v>
      </c>
      <c r="P69" s="9" t="n"/>
      <c r="Q69" s="18" t="n">
        <v>14253</v>
      </c>
      <c r="R69" s="18" t="n">
        <v>-41460</v>
      </c>
      <c r="S69" s="18" t="n">
        <v>51995</v>
      </c>
      <c r="T69" s="18" t="n">
        <v>-19549</v>
      </c>
      <c r="U69" s="37" t="n">
        <v>5239</v>
      </c>
      <c r="V69" s="18" t="n">
        <v>5536</v>
      </c>
      <c r="W69" s="18" t="n">
        <v>-6643</v>
      </c>
      <c r="X69" s="18" t="n">
        <v>3910</v>
      </c>
      <c r="Y69" s="18" t="n">
        <v>48525</v>
      </c>
      <c r="Z69" s="37" t="n">
        <v>51328</v>
      </c>
      <c r="AA69" s="18" t="n">
        <v>25485</v>
      </c>
      <c r="AB69" s="19" t="n">
        <v>62506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금융손익</t>
        </is>
      </c>
      <c r="E70" s="18" t="n">
        <v>-7541</v>
      </c>
      <c r="F70" s="9" t="n"/>
      <c r="G70" s="18" t="n">
        <v>-12263</v>
      </c>
      <c r="H70" s="18" t="n">
        <v>-15242</v>
      </c>
      <c r="I70" s="18" t="n">
        <v>-18124</v>
      </c>
      <c r="J70" s="18" t="n">
        <v>-7463</v>
      </c>
      <c r="K70" s="37" t="n">
        <v>-53092</v>
      </c>
      <c r="L70" s="18" t="n">
        <v>-10455</v>
      </c>
      <c r="M70" s="18" t="n">
        <v>-6881</v>
      </c>
      <c r="N70" s="18" t="n">
        <v>-52</v>
      </c>
      <c r="O70" s="18" t="n">
        <v>-14466</v>
      </c>
      <c r="P70" s="37" t="n">
        <v>-31854</v>
      </c>
      <c r="Q70" s="18" t="n">
        <v>1365</v>
      </c>
      <c r="R70" s="18" t="n">
        <v>-6233</v>
      </c>
      <c r="S70" s="18" t="n">
        <v>-8652</v>
      </c>
      <c r="T70" s="18" t="n">
        <v>-13325</v>
      </c>
      <c r="U70" s="37" t="n">
        <v>-26845</v>
      </c>
      <c r="V70" s="18" t="n">
        <v>-9307</v>
      </c>
      <c r="W70" s="18" t="n">
        <v>-8307</v>
      </c>
      <c r="X70" s="18" t="n">
        <v>-3351</v>
      </c>
      <c r="Y70" s="18" t="n">
        <v>-2255</v>
      </c>
      <c r="Z70" s="37" t="n">
        <v>-23220</v>
      </c>
      <c r="AA70" s="18" t="n">
        <v>1770</v>
      </c>
      <c r="AB70" s="19" t="n">
        <v>-4997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기타영업외손익</t>
        </is>
      </c>
      <c r="E71" s="18" t="n">
        <v>-944</v>
      </c>
      <c r="F71" s="9" t="n"/>
      <c r="G71" s="18" t="n">
        <v>-1438</v>
      </c>
      <c r="H71" s="18" t="n">
        <v>-77</v>
      </c>
      <c r="I71" s="18" t="n">
        <v>-2515</v>
      </c>
      <c r="J71" s="18" t="n">
        <v>-1302</v>
      </c>
      <c r="K71" s="37" t="n">
        <v>-5332</v>
      </c>
      <c r="L71" s="18" t="n">
        <v>-3822</v>
      </c>
      <c r="M71" s="18" t="n">
        <v>5391</v>
      </c>
      <c r="N71" s="18" t="n">
        <v>39663</v>
      </c>
      <c r="O71" s="18" t="n">
        <v>-1786</v>
      </c>
      <c r="P71" s="37" t="n">
        <v>39446</v>
      </c>
      <c r="Q71" s="18" t="n">
        <v>290</v>
      </c>
      <c r="R71" s="18" t="n">
        <v>3435</v>
      </c>
      <c r="S71" s="18" t="n">
        <v>30683</v>
      </c>
      <c r="T71" s="18" t="n">
        <v>-2536</v>
      </c>
      <c r="U71" s="37" t="n">
        <v>31872</v>
      </c>
      <c r="V71" s="18" t="n">
        <v>2306</v>
      </c>
      <c r="W71" s="18" t="n">
        <v>-5512</v>
      </c>
      <c r="X71" s="18" t="n">
        <v>2873</v>
      </c>
      <c r="Y71" s="18" t="n">
        <v>-23089</v>
      </c>
      <c r="Z71" s="37" t="n">
        <v>-23422</v>
      </c>
      <c r="AA71" s="18" t="n">
        <v>-1376</v>
      </c>
      <c r="AB71" s="19" t="n">
        <v>2632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(지배주주지분)당기순이익</t>
        </is>
      </c>
      <c r="E72" s="18" t="n">
        <v>-81513</v>
      </c>
      <c r="F72" s="9" t="n"/>
      <c r="I72" s="18" t="n">
        <v>-20515</v>
      </c>
      <c r="J72" s="18" t="n">
        <v>-6486</v>
      </c>
      <c r="K72" s="9" t="n"/>
      <c r="N72" s="18" t="n">
        <v>-3763</v>
      </c>
      <c r="O72" s="18" t="n">
        <v>-5510</v>
      </c>
      <c r="P72" s="9" t="n"/>
      <c r="Q72" s="18" t="n">
        <v>14253</v>
      </c>
      <c r="R72" s="18" t="n">
        <v>-41460</v>
      </c>
      <c r="S72" s="18" t="n">
        <v>51995</v>
      </c>
      <c r="T72" s="18" t="n">
        <v>-19549</v>
      </c>
      <c r="U72" s="37" t="n">
        <v>5239</v>
      </c>
      <c r="V72" s="18" t="n">
        <v>5536</v>
      </c>
      <c r="W72" s="18" t="n">
        <v>-6643</v>
      </c>
      <c r="X72" s="18" t="n">
        <v>3910</v>
      </c>
      <c r="Y72" s="18" t="n">
        <v>48525</v>
      </c>
      <c r="Z72" s="37" t="n">
        <v>51328</v>
      </c>
      <c r="AA72" s="18" t="n">
        <v>25485</v>
      </c>
      <c r="AB72" s="19" t="n">
        <v>62506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계속사업이익</t>
        </is>
      </c>
      <c r="E73" s="18" t="n">
        <v>-81513</v>
      </c>
      <c r="F73" s="9" t="n"/>
      <c r="I73" s="18" t="n">
        <v>-20515</v>
      </c>
      <c r="J73" s="18" t="n">
        <v>-6486</v>
      </c>
      <c r="K73" s="9" t="n"/>
      <c r="N73" s="18" t="n">
        <v>-3763</v>
      </c>
      <c r="O73" s="18" t="n">
        <v>-5510</v>
      </c>
      <c r="P73" s="9" t="n"/>
      <c r="Q73" s="18" t="n">
        <v>14253</v>
      </c>
      <c r="R73" s="18" t="n">
        <v>-41460</v>
      </c>
      <c r="S73" s="18" t="n">
        <v>51995</v>
      </c>
      <c r="T73" s="18" t="n">
        <v>-19549</v>
      </c>
      <c r="U73" s="37" t="n">
        <v>5239</v>
      </c>
      <c r="V73" s="18" t="n">
        <v>5536</v>
      </c>
      <c r="W73" s="18" t="n">
        <v>-6643</v>
      </c>
      <c r="X73" s="18" t="n">
        <v>3910</v>
      </c>
      <c r="Y73" s="18" t="n">
        <v>48525</v>
      </c>
      <c r="Z73" s="37" t="n">
        <v>51328</v>
      </c>
      <c r="AA73" s="18" t="n">
        <v>25485</v>
      </c>
      <c r="AB73" s="19" t="n">
        <v>62506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총포괄손익</t>
        </is>
      </c>
      <c r="E74" s="18" t="n">
        <v>171322</v>
      </c>
      <c r="F74" s="9" t="n"/>
      <c r="G74" s="18" t="n">
        <v>-9955</v>
      </c>
      <c r="I74" s="18" t="n">
        <v>-20273</v>
      </c>
      <c r="J74" s="18" t="n">
        <v>-2244</v>
      </c>
      <c r="K74" s="9" t="n"/>
      <c r="L74" s="18" t="n">
        <v>-24644</v>
      </c>
      <c r="M74" s="18" t="n">
        <v>-80295</v>
      </c>
      <c r="N74" s="18" t="n">
        <v>-3828</v>
      </c>
      <c r="O74" s="18" t="n">
        <v>65020</v>
      </c>
      <c r="P74" s="37" t="n">
        <v>-43747</v>
      </c>
      <c r="Q74" s="18" t="n">
        <v>13952</v>
      </c>
      <c r="R74" s="18" t="n">
        <v>-41591</v>
      </c>
      <c r="S74" s="18" t="n">
        <v>52410</v>
      </c>
      <c r="T74" s="18" t="n">
        <v>-22218</v>
      </c>
      <c r="U74" s="37" t="n">
        <v>2553</v>
      </c>
      <c r="V74" s="18" t="n">
        <v>5317</v>
      </c>
      <c r="W74" s="18" t="n">
        <v>-5118</v>
      </c>
      <c r="X74" s="18" t="n">
        <v>3631</v>
      </c>
      <c r="Y74" s="18" t="n">
        <v>112448</v>
      </c>
      <c r="Z74" s="37" t="n">
        <v>116278</v>
      </c>
      <c r="AA74" s="18" t="n">
        <v>24334</v>
      </c>
      <c r="AB74" s="19" t="n">
        <v>58941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영업활동으로인한현금흐름</t>
        </is>
      </c>
      <c r="E75" s="18" t="n">
        <v>41271</v>
      </c>
      <c r="F75" s="9" t="n"/>
      <c r="G75" s="18" t="n">
        <v>7586</v>
      </c>
      <c r="H75" s="18" t="n">
        <v>69827</v>
      </c>
      <c r="I75" s="18" t="n">
        <v>-111591</v>
      </c>
      <c r="J75" s="18" t="n">
        <v>117969</v>
      </c>
      <c r="K75" s="37" t="n">
        <v>83791</v>
      </c>
      <c r="L75" s="18" t="n">
        <v>39950</v>
      </c>
      <c r="M75" s="18" t="n">
        <v>-77311</v>
      </c>
      <c r="N75" s="18" t="n">
        <v>268080</v>
      </c>
      <c r="O75" s="18" t="n">
        <v>-49589</v>
      </c>
      <c r="P75" s="37" t="n">
        <v>181130</v>
      </c>
      <c r="Q75" s="18" t="n">
        <v>-50175</v>
      </c>
      <c r="R75" s="18" t="n">
        <v>19753</v>
      </c>
      <c r="S75" s="18" t="n">
        <v>-77372</v>
      </c>
      <c r="T75" s="18" t="n">
        <v>21594</v>
      </c>
      <c r="U75" s="37" t="n">
        <v>-86200</v>
      </c>
      <c r="V75" s="18" t="n">
        <v>-102883</v>
      </c>
      <c r="W75" s="18" t="n">
        <v>146674</v>
      </c>
      <c r="X75" s="18" t="n">
        <v>38807</v>
      </c>
      <c r="Y75" s="18" t="n">
        <v>-76853</v>
      </c>
      <c r="Z75" s="37" t="n">
        <v>5745</v>
      </c>
      <c r="AA75" s="18" t="n">
        <v>-164053</v>
      </c>
      <c r="AB75" s="19" t="n">
        <v>21263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이자수취(CF)</t>
        </is>
      </c>
      <c r="E76" s="18" t="n">
        <v>136</v>
      </c>
      <c r="F76" s="9" t="n"/>
      <c r="G76" s="18" t="n">
        <v>277</v>
      </c>
      <c r="H76" s="18" t="n">
        <v>422</v>
      </c>
      <c r="I76" s="18" t="n">
        <v>430</v>
      </c>
      <c r="J76" s="18" t="n">
        <v>760</v>
      </c>
      <c r="K76" s="37" t="n">
        <v>1889</v>
      </c>
      <c r="L76" s="18" t="n">
        <v>873</v>
      </c>
      <c r="M76" s="18" t="n">
        <v>1114</v>
      </c>
      <c r="N76" s="18" t="n">
        <v>1912</v>
      </c>
      <c r="O76" s="18" t="n">
        <v>3064</v>
      </c>
      <c r="P76" s="37" t="n">
        <v>6963</v>
      </c>
      <c r="Q76" s="18" t="n">
        <v>2569</v>
      </c>
      <c r="R76" s="18" t="n">
        <v>2156</v>
      </c>
      <c r="S76" s="18" t="n">
        <v>2186</v>
      </c>
      <c r="T76" s="18" t="n">
        <v>1595</v>
      </c>
      <c r="U76" s="37" t="n">
        <v>8506</v>
      </c>
      <c r="V76" s="18" t="n">
        <v>748</v>
      </c>
      <c r="W76" s="18" t="n">
        <v>1031</v>
      </c>
      <c r="X76" s="18" t="n">
        <v>1431</v>
      </c>
      <c r="Y76" s="18" t="n">
        <v>2076</v>
      </c>
      <c r="Z76" s="37" t="n">
        <v>5286</v>
      </c>
      <c r="AA76" s="18" t="n">
        <v>1605</v>
      </c>
      <c r="AB76" s="19" t="n">
        <v>1616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배당금수취(CF)</t>
        </is>
      </c>
      <c r="E77" s="18" t="n">
        <v>1</v>
      </c>
      <c r="F77" s="9" t="n"/>
      <c r="G77" s="18" t="n">
        <v>10</v>
      </c>
      <c r="H77" s="18" t="n">
        <v>1015</v>
      </c>
      <c r="I77" s="18" t="n">
        <v>-1</v>
      </c>
      <c r="J77" s="18" t="n">
        <v>1</v>
      </c>
      <c r="K77" s="37" t="n">
        <v>1025</v>
      </c>
      <c r="L77" s="18" t="n">
        <v>0</v>
      </c>
      <c r="M77" s="18" t="n">
        <v>501</v>
      </c>
      <c r="N77" s="18" t="n">
        <v>7</v>
      </c>
      <c r="O77" s="18" t="n">
        <v>0</v>
      </c>
      <c r="P77" s="37" t="n">
        <v>508</v>
      </c>
      <c r="Q77" s="18" t="n">
        <v>3</v>
      </c>
      <c r="R77" s="18" t="n">
        <v>418</v>
      </c>
      <c r="S77" s="18" t="n">
        <v>0</v>
      </c>
      <c r="T77" s="18" t="n">
        <v>20</v>
      </c>
      <c r="U77" s="37" t="n">
        <v>441</v>
      </c>
      <c r="V77" s="18" t="n">
        <v>0</v>
      </c>
      <c r="W77" s="18" t="n">
        <v>60</v>
      </c>
      <c r="X77" s="18" t="n">
        <v>9</v>
      </c>
      <c r="Y77" s="18" t="n">
        <v>0</v>
      </c>
      <c r="Z77" s="37" t="n">
        <v>69</v>
      </c>
      <c r="AA77" s="18" t="n">
        <v>709</v>
      </c>
      <c r="AB77" s="19" t="n">
        <v>1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이자지급(CF)</t>
        </is>
      </c>
      <c r="E78" s="18" t="n">
        <v>-6939</v>
      </c>
      <c r="F78" s="9" t="n"/>
      <c r="G78" s="18" t="n">
        <v>-6772</v>
      </c>
      <c r="H78" s="18" t="n">
        <v>-7054</v>
      </c>
      <c r="I78" s="18" t="n">
        <v>-5770</v>
      </c>
      <c r="J78" s="18" t="n">
        <v>-5149</v>
      </c>
      <c r="K78" s="37" t="n">
        <v>-24745</v>
      </c>
      <c r="L78" s="18" t="n">
        <v>-6529</v>
      </c>
      <c r="M78" s="18" t="n">
        <v>-4305</v>
      </c>
      <c r="N78" s="18" t="n">
        <v>-11778</v>
      </c>
      <c r="O78" s="18" t="n">
        <v>-7418</v>
      </c>
      <c r="P78" s="37" t="n">
        <v>-30030</v>
      </c>
      <c r="Q78" s="18" t="n">
        <v>-7739</v>
      </c>
      <c r="R78" s="18" t="n">
        <v>-7297</v>
      </c>
      <c r="S78" s="18" t="n">
        <v>-14500</v>
      </c>
      <c r="T78" s="18" t="n">
        <v>-9827</v>
      </c>
      <c r="U78" s="37" t="n">
        <v>-39363</v>
      </c>
      <c r="V78" s="18" t="n">
        <v>-9664</v>
      </c>
      <c r="W78" s="18" t="n">
        <v>-9041</v>
      </c>
      <c r="X78" s="18" t="n">
        <v>-8510</v>
      </c>
      <c r="Y78" s="18" t="n">
        <v>-8595</v>
      </c>
      <c r="Z78" s="37" t="n">
        <v>-35810</v>
      </c>
      <c r="AA78" s="18" t="n">
        <v>-6993</v>
      </c>
      <c r="AB78" s="19" t="n">
        <v>-8189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투자활동으로인한현금흐름</t>
        </is>
      </c>
      <c r="E79" s="18" t="n">
        <v>8006</v>
      </c>
      <c r="F79" s="9" t="n"/>
      <c r="G79" s="18" t="n">
        <v>-5697</v>
      </c>
      <c r="H79" s="18" t="n">
        <v>32383</v>
      </c>
      <c r="I79" s="18" t="n">
        <v>8338</v>
      </c>
      <c r="J79" s="18" t="n">
        <v>-70861</v>
      </c>
      <c r="K79" s="37" t="n">
        <v>-35837</v>
      </c>
      <c r="L79" s="18" t="n">
        <v>11921</v>
      </c>
      <c r="M79" s="18" t="n">
        <v>31440</v>
      </c>
      <c r="N79" s="18" t="n">
        <v>-19686</v>
      </c>
      <c r="O79" s="18" t="n">
        <v>34045</v>
      </c>
      <c r="P79" s="37" t="n">
        <v>57720</v>
      </c>
      <c r="Q79" s="18" t="n">
        <v>-12074</v>
      </c>
      <c r="R79" s="18" t="n">
        <v>4701</v>
      </c>
      <c r="S79" s="18" t="n">
        <v>192527</v>
      </c>
      <c r="T79" s="18" t="n">
        <v>4693</v>
      </c>
      <c r="U79" s="37" t="n">
        <v>189847</v>
      </c>
      <c r="V79" s="18" t="n">
        <v>-10795</v>
      </c>
      <c r="W79" s="18" t="n">
        <v>-5088</v>
      </c>
      <c r="X79" s="18" t="n">
        <v>6053</v>
      </c>
      <c r="Y79" s="18" t="n">
        <v>7314</v>
      </c>
      <c r="Z79" s="37" t="n">
        <v>-2516</v>
      </c>
      <c r="AA79" s="18" t="n">
        <v>1383</v>
      </c>
      <c r="AB79" s="19" t="n">
        <v>-3057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유형자산의증가</t>
        </is>
      </c>
      <c r="E80" s="18" t="n">
        <v>1369</v>
      </c>
      <c r="F80" s="9" t="n"/>
      <c r="G80" s="18" t="n">
        <v>5163</v>
      </c>
      <c r="H80" s="18" t="n">
        <v>46236</v>
      </c>
      <c r="I80" s="18" t="n">
        <v>7436</v>
      </c>
      <c r="J80" s="18" t="n">
        <v>5440</v>
      </c>
      <c r="K80" s="37" t="n">
        <v>64275</v>
      </c>
      <c r="L80" s="18" t="n">
        <v>1559</v>
      </c>
      <c r="M80" s="18" t="n">
        <v>2198</v>
      </c>
      <c r="N80" s="18" t="n">
        <v>2688</v>
      </c>
      <c r="O80" s="18" t="n">
        <v>3036</v>
      </c>
      <c r="P80" s="37" t="n">
        <v>9481</v>
      </c>
      <c r="Q80" s="18" t="n">
        <v>1981</v>
      </c>
      <c r="R80" s="18" t="n">
        <v>1593</v>
      </c>
      <c r="S80" s="18" t="n">
        <v>932</v>
      </c>
      <c r="T80" s="18" t="n">
        <v>888</v>
      </c>
      <c r="U80" s="37" t="n">
        <v>5394</v>
      </c>
      <c r="V80" s="18" t="n">
        <v>1204</v>
      </c>
      <c r="W80" s="18" t="n">
        <v>1766</v>
      </c>
      <c r="X80" s="18" t="n">
        <v>4627</v>
      </c>
      <c r="Y80" s="18" t="n">
        <v>3064</v>
      </c>
      <c r="Z80" s="37" t="n">
        <v>10661</v>
      </c>
      <c r="AA80" s="18" t="n">
        <v>2984</v>
      </c>
      <c r="AB80" s="19" t="n">
        <v>2589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CAPEX</t>
        </is>
      </c>
      <c r="E81" s="18" t="n">
        <v>1369</v>
      </c>
      <c r="F81" s="9" t="n"/>
      <c r="G81" s="18" t="n">
        <v>5163</v>
      </c>
      <c r="H81" s="18" t="n">
        <v>46236</v>
      </c>
      <c r="I81" s="18" t="n">
        <v>7436</v>
      </c>
      <c r="J81" s="18" t="n">
        <v>5440</v>
      </c>
      <c r="K81" s="37" t="n">
        <v>64275</v>
      </c>
      <c r="L81" s="18" t="n">
        <v>1559</v>
      </c>
      <c r="M81" s="18" t="n">
        <v>2902</v>
      </c>
      <c r="N81" s="18" t="n">
        <v>2688</v>
      </c>
      <c r="O81" s="18" t="n">
        <v>3036</v>
      </c>
      <c r="P81" s="37" t="n">
        <v>10185</v>
      </c>
      <c r="Q81" s="18" t="n">
        <v>1981</v>
      </c>
      <c r="R81" s="18" t="n">
        <v>1593</v>
      </c>
      <c r="S81" s="18" t="n">
        <v>932</v>
      </c>
      <c r="T81" s="18" t="n">
        <v>888</v>
      </c>
      <c r="U81" s="37" t="n">
        <v>5394</v>
      </c>
      <c r="V81" s="18" t="n">
        <v>1204</v>
      </c>
      <c r="W81" s="18" t="n">
        <v>1766</v>
      </c>
      <c r="X81" s="18" t="n">
        <v>4627</v>
      </c>
      <c r="Y81" s="18" t="n">
        <v>3064</v>
      </c>
      <c r="Z81" s="37" t="n">
        <v>10661</v>
      </c>
      <c r="AA81" s="18" t="n">
        <v>2984</v>
      </c>
      <c r="AB81" s="19" t="n">
        <v>2589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유형자산의감소</t>
        </is>
      </c>
      <c r="E82" s="18" t="n">
        <v>4</v>
      </c>
      <c r="F82" s="9" t="n"/>
      <c r="G82" s="18" t="n">
        <v>3</v>
      </c>
      <c r="H82" s="18" t="n">
        <v>160</v>
      </c>
      <c r="I82" s="18" t="n">
        <v>77</v>
      </c>
      <c r="K82" s="9" t="n"/>
      <c r="L82" s="18" t="n">
        <v>22</v>
      </c>
      <c r="M82" s="18" t="n">
        <v>181</v>
      </c>
      <c r="N82" s="18" t="n">
        <v>48</v>
      </c>
      <c r="O82" s="18" t="n">
        <v>420</v>
      </c>
      <c r="P82" s="37" t="n">
        <v>671</v>
      </c>
      <c r="Q82" s="18" t="n">
        <v>148</v>
      </c>
      <c r="R82" s="18" t="n">
        <v>383</v>
      </c>
      <c r="S82" s="18" t="n">
        <v>281</v>
      </c>
      <c r="T82" s="18" t="n">
        <v>26</v>
      </c>
      <c r="U82" s="37" t="n">
        <v>838</v>
      </c>
      <c r="V82" s="18" t="n">
        <v>340</v>
      </c>
      <c r="W82" s="18" t="n">
        <v>17</v>
      </c>
      <c r="X82" s="18" t="n">
        <v>16</v>
      </c>
      <c r="Y82" s="18" t="n">
        <v>2141</v>
      </c>
      <c r="Z82" s="37" t="n">
        <v>2514</v>
      </c>
      <c r="AA82" s="18" t="n">
        <v>16</v>
      </c>
      <c r="AB82" s="19" t="n">
        <v>2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무형자산의감소</t>
        </is>
      </c>
      <c r="E83" s="18" t="n">
        <v>13</v>
      </c>
      <c r="F83" s="9" t="n"/>
      <c r="G83" s="18" t="n">
        <v>52</v>
      </c>
      <c r="I83" s="18" t="n">
        <v>13</v>
      </c>
      <c r="J83" s="18" t="n">
        <v>13</v>
      </c>
      <c r="K83" s="9" t="n"/>
      <c r="L83" s="18" t="n">
        <v>13</v>
      </c>
      <c r="M83" s="18" t="n">
        <v>13</v>
      </c>
      <c r="N83" s="18" t="n">
        <v>13</v>
      </c>
      <c r="O83" s="18" t="n">
        <v>13</v>
      </c>
      <c r="P83" s="37" t="n">
        <v>52</v>
      </c>
      <c r="Q83" s="18" t="n">
        <v>13</v>
      </c>
      <c r="R83" s="18" t="n">
        <v>13</v>
      </c>
      <c r="S83" s="18" t="n">
        <v>13</v>
      </c>
      <c r="T83" s="18" t="n">
        <v>13</v>
      </c>
      <c r="U83" s="37" t="n">
        <v>52</v>
      </c>
      <c r="V83" s="18" t="n">
        <v>13</v>
      </c>
      <c r="W83" s="18" t="n">
        <v>13</v>
      </c>
      <c r="X83" s="18" t="n">
        <v>13</v>
      </c>
      <c r="Y83" s="18" t="n">
        <v>13</v>
      </c>
      <c r="Z83" s="37" t="n">
        <v>52</v>
      </c>
      <c r="AA83" s="18" t="n">
        <v>13</v>
      </c>
      <c r="AB83" s="19" t="n">
        <v>0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재무활동으로인한현금흐름</t>
        </is>
      </c>
      <c r="E84" s="18" t="n">
        <v>-5967</v>
      </c>
      <c r="F84" s="9" t="n"/>
      <c r="G84" s="18" t="n">
        <v>-3067</v>
      </c>
      <c r="H84" s="18" t="n">
        <v>-83474</v>
      </c>
      <c r="I84" s="18" t="n">
        <v>48025</v>
      </c>
      <c r="J84" s="18" t="n">
        <v>-18835</v>
      </c>
      <c r="K84" s="37" t="n">
        <v>-57351</v>
      </c>
      <c r="L84" s="18" t="n">
        <v>-3375</v>
      </c>
      <c r="M84" s="18" t="n">
        <v>-3865</v>
      </c>
      <c r="N84" s="18" t="n">
        <v>-4223</v>
      </c>
      <c r="O84" s="18" t="n">
        <v>20657</v>
      </c>
      <c r="P84" s="37" t="n">
        <v>9194</v>
      </c>
      <c r="Q84" s="18" t="n">
        <v>-4567</v>
      </c>
      <c r="R84" s="18" t="n">
        <v>-53188</v>
      </c>
      <c r="S84" s="18" t="n">
        <v>-173575</v>
      </c>
      <c r="T84" s="18" t="n">
        <v>-13285</v>
      </c>
      <c r="U84" s="37" t="n">
        <v>-244615</v>
      </c>
      <c r="V84" s="18" t="n">
        <v>-13314</v>
      </c>
      <c r="W84" s="18" t="n">
        <v>-48116</v>
      </c>
      <c r="X84" s="18" t="n">
        <v>-17162</v>
      </c>
      <c r="Y84" s="18" t="n">
        <v>199224</v>
      </c>
      <c r="Z84" s="37" t="n">
        <v>120632</v>
      </c>
      <c r="AA84" s="18" t="n">
        <v>-11116</v>
      </c>
      <c r="AB84" s="19" t="n">
        <v>69491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현금및현금성자산의증감</t>
        </is>
      </c>
      <c r="E85" s="18" t="n">
        <v>43310</v>
      </c>
      <c r="F85" s="9" t="n"/>
      <c r="G85" s="18" t="n">
        <v>-1178</v>
      </c>
      <c r="H85" s="18" t="n">
        <v>18736</v>
      </c>
      <c r="I85" s="18" t="n">
        <v>-55228</v>
      </c>
      <c r="J85" s="18" t="n">
        <v>28273</v>
      </c>
      <c r="K85" s="37" t="n">
        <v>-9397</v>
      </c>
      <c r="L85" s="18" t="n">
        <v>48496</v>
      </c>
      <c r="M85" s="18" t="n">
        <v>-49736</v>
      </c>
      <c r="N85" s="18" t="n">
        <v>244171</v>
      </c>
      <c r="O85" s="18" t="n">
        <v>5113</v>
      </c>
      <c r="P85" s="37" t="n">
        <v>248044</v>
      </c>
      <c r="Q85" s="18" t="n">
        <v>-66816</v>
      </c>
      <c r="R85" s="18" t="n">
        <v>-28734</v>
      </c>
      <c r="S85" s="18" t="n">
        <v>-58420</v>
      </c>
      <c r="T85" s="18" t="n">
        <v>13002</v>
      </c>
      <c r="U85" s="37" t="n">
        <v>-140968</v>
      </c>
      <c r="V85" s="18" t="n">
        <v>-126992</v>
      </c>
      <c r="W85" s="18" t="n">
        <v>93470</v>
      </c>
      <c r="X85" s="18" t="n">
        <v>27698</v>
      </c>
      <c r="Y85" s="18" t="n">
        <v>129685</v>
      </c>
      <c r="Z85" s="37" t="n">
        <v>123861</v>
      </c>
      <c r="AA85" s="18" t="n">
        <v>-173786</v>
      </c>
      <c r="AB85" s="19" t="n">
        <v>87697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기말현금및현금성자산</t>
        </is>
      </c>
      <c r="E86" s="18" t="n">
        <v>42937</v>
      </c>
      <c r="F86" s="9" t="n"/>
      <c r="G86" s="18" t="n">
        <v>117104</v>
      </c>
      <c r="H86" s="18" t="n">
        <v>19034</v>
      </c>
      <c r="I86" s="18" t="n">
        <v>-53420</v>
      </c>
      <c r="J86" s="18" t="n">
        <v>19499</v>
      </c>
      <c r="K86" s="37" t="n">
        <v>102217</v>
      </c>
      <c r="L86" s="18" t="n">
        <v>151763</v>
      </c>
      <c r="M86" s="18" t="n">
        <v>-50918</v>
      </c>
      <c r="N86" s="18" t="n">
        <v>249555</v>
      </c>
      <c r="O86" s="18" t="n">
        <v>-2881</v>
      </c>
      <c r="P86" s="37" t="n">
        <v>347519</v>
      </c>
      <c r="Q86" s="18" t="n">
        <v>284379</v>
      </c>
      <c r="R86" s="18" t="n">
        <v>-29237</v>
      </c>
      <c r="S86" s="18" t="n">
        <v>-61633</v>
      </c>
      <c r="T86" s="18" t="n">
        <v>13608</v>
      </c>
      <c r="U86" s="37" t="n">
        <v>207117</v>
      </c>
      <c r="V86" s="18" t="n">
        <v>80360</v>
      </c>
      <c r="W86" s="18" t="n">
        <v>89532</v>
      </c>
      <c r="X86" s="18" t="n">
        <v>32043</v>
      </c>
      <c r="Y86" s="18" t="n">
        <v>130181</v>
      </c>
      <c r="Z86" s="37" t="n">
        <v>332116</v>
      </c>
      <c r="AA86" s="18" t="n">
        <v>163576</v>
      </c>
      <c r="AB86" s="19" t="n">
        <v>86071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유동성장기부채의감소</t>
        </is>
      </c>
      <c r="F87" s="9" t="n"/>
      <c r="I87" s="18" t="n">
        <v>785</v>
      </c>
      <c r="K87" s="9" t="n"/>
      <c r="N87" s="18" t="n">
        <v>0</v>
      </c>
      <c r="O87" s="18" t="n">
        <v>4285</v>
      </c>
      <c r="P87" s="9" t="n"/>
      <c r="S87" s="18" t="n">
        <v>664966</v>
      </c>
      <c r="U87" s="9" t="n"/>
      <c r="V87" s="18" t="n">
        <v>2002</v>
      </c>
      <c r="W87" s="18" t="n">
        <v>1</v>
      </c>
      <c r="X87" s="18" t="n">
        <v>3029</v>
      </c>
      <c r="Y87" s="18" t="n">
        <v>1</v>
      </c>
      <c r="Z87" s="37" t="n">
        <v>5033</v>
      </c>
      <c r="AA87" s="18" t="n">
        <v>0</v>
      </c>
      <c r="AB87" s="19" t="n">
        <v>25000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무형자산의증가</t>
        </is>
      </c>
      <c r="F88" s="9" t="n"/>
      <c r="K88" s="9" t="n"/>
      <c r="N88" s="18" t="n">
        <v>0</v>
      </c>
      <c r="O88" s="18" t="n">
        <v>0</v>
      </c>
      <c r="P88" s="9" t="n"/>
      <c r="S88" s="18" t="n">
        <v>0</v>
      </c>
      <c r="T88" s="18" t="n">
        <v>0</v>
      </c>
      <c r="U88" s="9" t="n"/>
      <c r="Z88" s="9" t="n"/>
      <c r="AB88" s="5" t="n"/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장기차입금의증가</t>
        </is>
      </c>
      <c r="F89" s="9" t="n"/>
      <c r="K89" s="9" t="n"/>
      <c r="O89" s="18" t="n">
        <v>25000</v>
      </c>
      <c r="P89" s="9" t="n"/>
      <c r="U89" s="9" t="n"/>
      <c r="X89" s="18" t="n">
        <v>0</v>
      </c>
      <c r="Y89" s="18" t="n">
        <v>0</v>
      </c>
      <c r="Z89" s="9" t="n"/>
      <c r="AB89" s="5" t="n"/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단기차입금의감소</t>
        </is>
      </c>
      <c r="F90" s="9" t="n"/>
      <c r="K90" s="9" t="n"/>
      <c r="P90" s="9" t="n"/>
      <c r="U90" s="9" t="n"/>
      <c r="V90" s="18" t="n">
        <v>7361</v>
      </c>
      <c r="W90" s="18" t="n">
        <v>374386</v>
      </c>
      <c r="X90" s="18" t="n">
        <v>8588</v>
      </c>
      <c r="Y90" s="18" t="n">
        <v>7361</v>
      </c>
      <c r="Z90" s="37" t="n">
        <v>397696</v>
      </c>
      <c r="AA90" s="18" t="n">
        <v>7370</v>
      </c>
      <c r="AB90" s="19" t="n">
        <v>269099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단기차입금의증가</t>
        </is>
      </c>
      <c r="F91" s="9" t="n"/>
      <c r="K91" s="9" t="n"/>
      <c r="P91" s="9" t="n"/>
      <c r="U91" s="9" t="n"/>
      <c r="X91" s="18" t="n">
        <v>0</v>
      </c>
      <c r="Y91" s="18" t="n">
        <v>-1</v>
      </c>
      <c r="Z91" s="9" t="n"/>
      <c r="AB91" s="5" t="n"/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IFERROR(AC36+AC40,"")</f>
        <v/>
      </c>
      <c r="AD5" s="20">
        <f>IFERROR(AD36+AD40,"")</f>
        <v/>
      </c>
      <c r="AE5" s="38">
        <f>SUM(AA5:AD5)</f>
        <v/>
      </c>
      <c r="AF5" s="20">
        <f>IFERROR(AF36+AF40,"")</f>
        <v/>
      </c>
      <c r="AG5" s="20">
        <f>IFERROR(AG36+AG40,"")</f>
        <v/>
      </c>
      <c r="AH5" s="20">
        <f>IFERROR(AH36+AH40,"")</f>
        <v/>
      </c>
      <c r="AI5" s="20">
        <f>IFERROR(AI36+AI40,"")</f>
        <v/>
      </c>
      <c r="AJ5" s="38">
        <f>SUM(AF5:AI5)</f>
        <v/>
      </c>
      <c r="AK5" s="20">
        <f>IFERROR(AK36+AK40,"")</f>
        <v/>
      </c>
      <c r="AL5" s="20">
        <f>IFERROR(AL36+AL40,"")</f>
        <v/>
      </c>
      <c r="AM5" s="20">
        <f>IFERROR(AM36+AM40,"")</f>
        <v/>
      </c>
      <c r="AN5" s="20">
        <f>IFERROR(AN36+AN40,"")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IFERROR(AC5*변수!AC21,"")</f>
        <v/>
      </c>
      <c r="AD8" s="20">
        <f>IFERROR(AD5*변수!AD21,"")</f>
        <v/>
      </c>
      <c r="AE8" s="38">
        <f>SUM(AA8:AD8)</f>
        <v/>
      </c>
      <c r="AF8" s="20">
        <f>IFERROR(AF5*변수!AF21,"")</f>
        <v/>
      </c>
      <c r="AG8" s="20">
        <f>IFERROR(AG5*변수!AG21,"")</f>
        <v/>
      </c>
      <c r="AH8" s="20">
        <f>IFERROR(AH5*변수!AH21,"")</f>
        <v/>
      </c>
      <c r="AI8" s="20">
        <f>IFERROR(AI5*변수!AI21,"")</f>
        <v/>
      </c>
      <c r="AJ8" s="38">
        <f>SUM(AF8:AI8)</f>
        <v/>
      </c>
      <c r="AK8" s="20">
        <f>IFERROR(AK5*변수!AK21,"")</f>
        <v/>
      </c>
      <c r="AL8" s="20">
        <f>IFERROR(AL5*변수!AL21,"")</f>
        <v/>
      </c>
      <c r="AM8" s="20">
        <f>IFERROR(AM5*변수!AM21,"")</f>
        <v/>
      </c>
      <c r="AN8" s="20">
        <f>IFERROR(AN5*변수!AN21,"")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IFERROR(AC38+AC41,"")</f>
        <v/>
      </c>
      <c r="AD9" s="20">
        <f>IFERROR(AD38+AD41,"")</f>
        <v/>
      </c>
      <c r="AE9" s="38">
        <f>SUM(AA9:AD9)</f>
        <v/>
      </c>
      <c r="AF9" s="20">
        <f>IFERROR(AF38+AF41,"")</f>
        <v/>
      </c>
      <c r="AG9" s="20">
        <f>IFERROR(AG38+AG41,"")</f>
        <v/>
      </c>
      <c r="AH9" s="20">
        <f>IFERROR(AH38+AH41,"")</f>
        <v/>
      </c>
      <c r="AI9" s="20">
        <f>IFERROR(AI38+AI41,"")</f>
        <v/>
      </c>
      <c r="AJ9" s="38">
        <f>SUM(AF9:AI9)</f>
        <v/>
      </c>
      <c r="AK9" s="20">
        <f>IFERROR(AK38+AK41,"")</f>
        <v/>
      </c>
      <c r="AL9" s="20">
        <f>IFERROR(AL38+AL41,"")</f>
        <v/>
      </c>
      <c r="AM9" s="20">
        <f>IFERROR(AM38+AM41,"")</f>
        <v/>
      </c>
      <c r="AN9" s="20">
        <f>IFERROR(AN38+AN41,"")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3">
        <f>IFERROR(AC9/AC5,"")</f>
        <v/>
      </c>
      <c r="AD10" s="33">
        <f>IFERROR(AD9/AD5,"")</f>
        <v/>
      </c>
      <c r="AE10" s="25">
        <f>IFERROR(AE9/AE5,"")</f>
        <v/>
      </c>
      <c r="AF10" s="33">
        <f>IFERROR(AF9/AF5,"")</f>
        <v/>
      </c>
      <c r="AG10" s="33">
        <f>IFERROR(AG9/AG5,"")</f>
        <v/>
      </c>
      <c r="AH10" s="33">
        <f>IFERROR(AH9/AH5,"")</f>
        <v/>
      </c>
      <c r="AI10" s="33">
        <f>IFERROR(AI9/AI5,"")</f>
        <v/>
      </c>
      <c r="AJ10" s="25">
        <f>IFERROR(AJ9/AJ5,"")</f>
        <v/>
      </c>
      <c r="AK10" s="33">
        <f>IFERROR(AK9/AK5,"")</f>
        <v/>
      </c>
      <c r="AL10" s="33">
        <f>IFERROR(AL9/AL5,"")</f>
        <v/>
      </c>
      <c r="AM10" s="33">
        <f>IFERROR(AM9/AM5,"")</f>
        <v/>
      </c>
      <c r="AN10" s="33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IFERROR(AC12+AC13,"")</f>
        <v/>
      </c>
      <c r="AD11" s="20">
        <f>IFERROR(AD12+AD13,"")</f>
        <v/>
      </c>
      <c r="AE11" s="38">
        <f>SUM(AA11:AD11)</f>
        <v/>
      </c>
      <c r="AF11" s="20">
        <f>IFERROR(AF12+AF13,"")</f>
        <v/>
      </c>
      <c r="AG11" s="20">
        <f>IFERROR(AG12+AG13,"")</f>
        <v/>
      </c>
      <c r="AH11" s="20">
        <f>IFERROR(AH12+AH13,"")</f>
        <v/>
      </c>
      <c r="AI11" s="20">
        <f>IFERROR(AI12+AI13,"")</f>
        <v/>
      </c>
      <c r="AJ11" s="38">
        <f>SUM(AF11:AI11)</f>
        <v/>
      </c>
      <c r="AK11" s="20">
        <f>IFERROR(AK12+AK13,"")</f>
        <v/>
      </c>
      <c r="AL11" s="20">
        <f>IFERROR(AL12+AL13,"")</f>
        <v/>
      </c>
      <c r="AM11" s="20">
        <f>IFERROR(AM12+AM13,"")</f>
        <v/>
      </c>
      <c r="AN11" s="20">
        <f>IFERROR(AN12+AN13,"")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IFERROR(VLOOKUP($D12,BS연결,MATCH(K$1,BS연결H,0),0)/100,"")</f>
        <v/>
      </c>
      <c r="L12" s="18">
        <f>IFERROR(VLOOKUP($D12,BS연결,MATCH(L$1,BS연결H,0),0)/100,"")</f>
        <v/>
      </c>
      <c r="M12" s="18">
        <f>IFERROR(VLOOKUP($D12,BS연결,MATCH(M$1,BS연결H,0),0)/100,"")</f>
        <v/>
      </c>
      <c r="N12" s="18">
        <f>IFERROR(VLOOKUP($D12,BS연결,MATCH(N$1,BS연결H,0),0)/100,"")</f>
        <v/>
      </c>
      <c r="O12" s="18" t="n"/>
      <c r="P12" s="37">
        <f>SUM(L12:O12)</f>
        <v/>
      </c>
      <c r="Q12" s="18">
        <f>IFERROR(VLOOKUP($D12,BS연결,MATCH(Q$1,BS연결H,0),0)/100,"")</f>
        <v/>
      </c>
      <c r="R12" s="18">
        <f>IFERROR(VLOOKUP($D12,BS연결,MATCH(R$1,BS연결H,0),0)/100,"")</f>
        <v/>
      </c>
      <c r="S12" s="18">
        <f>IFERROR(VLOOKUP($D12,BS연결,MATCH(S$1,BS연결H,0),0)/100,"")</f>
        <v/>
      </c>
      <c r="T12" s="18" t="n"/>
      <c r="U12" s="37">
        <f>SUM(Q12:T12)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 t="n"/>
      <c r="Z12" s="37">
        <f>SUM(V12:Y12)</f>
        <v/>
      </c>
      <c r="AA12" s="18">
        <f>IFERROR(VLOOKUP($D12,BS연결,MATCH(AA$1,BS연결H,0),0)/100,"")</f>
        <v/>
      </c>
      <c r="AB12" s="19">
        <f>IFERROR(VLOOKUP($D12,BS연결,MATCH(AB$1,BS연결H,0),0)/100,"")</f>
        <v/>
      </c>
      <c r="AC12" s="20">
        <f>IFERROR((AB26*변수!$D$55-AB24*변수!$D$56)/4,"")</f>
        <v/>
      </c>
      <c r="AD12" s="20">
        <f>IFERROR((AC26*변수!$D$55-AC24*변수!$D$56)/4,"")</f>
        <v/>
      </c>
      <c r="AE12" s="38">
        <f>SUM(AA12:AD12)</f>
        <v/>
      </c>
      <c r="AF12" s="20">
        <f>IFERROR((AD26*변수!$D$55-AD24*변수!$D$56)/4,"")</f>
        <v/>
      </c>
      <c r="AG12" s="20">
        <f>IFERROR((AF26*변수!$D$55-AF24*변수!$D$56)/4,"")</f>
        <v/>
      </c>
      <c r="AH12" s="20">
        <f>IFERROR((AG26*변수!$D$55-AG24*변수!$D$56)/4,"")</f>
        <v/>
      </c>
      <c r="AI12" s="20">
        <f>IFERROR((AH26*변수!$D$55-AH24*변수!$D$56)/4,"")</f>
        <v/>
      </c>
      <c r="AJ12" s="38">
        <f>SUM(AF12:AI12)</f>
        <v/>
      </c>
      <c r="AK12" s="20">
        <f>IFERROR((AI26*변수!$D$55-AI24*변수!$D$56)/4,"")</f>
        <v/>
      </c>
      <c r="AL12" s="20">
        <f>IFERROR((AK26*변수!$D$55-AK24*변수!$D$56)/4,"")</f>
        <v/>
      </c>
      <c r="AM12" s="20">
        <f>IFERROR((AL26*변수!$D$55-AL24*변수!$D$56)/4,"")</f>
        <v/>
      </c>
      <c r="AN12" s="20">
        <f>IFERROR((AM26*변수!$D$55-AM24*변수!$D$56)/4,"")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>
        <f>IFERROR((VLOOKUP("외환차익",BS연결,MATCH(G$1,BS연결H,0),0)-VLOOKUP("외환차손",BS연결,MATCH(G$1,BS연결H,0),0)+VLOOKUP("외화환산이익",BS연결,MATCH(G$1,BS연결H,0),0)-VLOOKUP("외화환산손실",BS연결,MATCH(G$1,BS연결H,0),0))/100,"")</f>
        <v/>
      </c>
      <c r="H13" s="18">
        <f>IFERROR((VLOOKUP("외환차익",BS연결,MATCH(H$1,BS연결H,0),0)-VLOOKUP("외환차손",BS연결,MATCH(H$1,BS연결H,0),0)+VLOOKUP("외화환산이익",BS연결,MATCH(H$1,BS연결H,0),0)-VLOOKUP("외화환산손실",BS연결,MATCH(H$1,BS연결H,0),0))/100,"")</f>
        <v/>
      </c>
      <c r="I13" s="18">
        <f>IFERROR((VLOOKUP("외환차익",BS연결,MATCH(I$1,BS연결H,0),0)-VLOOKUP("외환차손",BS연결,MATCH(I$1,BS연결H,0),0)+VLOOKUP("외화환산이익",BS연결,MATCH(I$1,BS연결H,0),0)-VLOOKUP("외화환산손실",BS연결,MATCH(I$1,BS연결H,0),0))/100,"")</f>
        <v/>
      </c>
      <c r="J13" s="18">
        <f>IFERROR((VLOOKUP("외환차익",BS연결,MATCH(J$1,BS연결H,0),0)-VLOOKUP("외환차손",BS연결,MATCH(J$1,BS연결H,0),0)+VLOOKUP("외화환산이익",BS연결,MATCH(J$1,BS연결H,0),0)-VLOOKUP("외화환산손실",BS연결,MATCH(J$1,BS연결H,0),0))/100,"")</f>
        <v/>
      </c>
      <c r="K13" s="37">
        <f>SUM(G13:J13)</f>
        <v/>
      </c>
      <c r="L13" s="18">
        <f>IFERROR((VLOOKUP("외환차익",BS연결,MATCH(L$1,BS연결H,0),0)-VLOOKUP("외환차손",BS연결,MATCH(L$1,BS연결H,0),0)+VLOOKUP("외화환산이익",BS연결,MATCH(L$1,BS연결H,0),0)-VLOOKUP("외화환산손실",BS연결,MATCH(L$1,BS연결H,0),0))/100,"")</f>
        <v/>
      </c>
      <c r="M13" s="18">
        <f>IFERROR((VLOOKUP("외환차익",BS연결,MATCH(M$1,BS연결H,0),0)-VLOOKUP("외환차손",BS연결,MATCH(M$1,BS연결H,0),0)+VLOOKUP("외화환산이익",BS연결,MATCH(M$1,BS연결H,0),0)-VLOOKUP("외화환산손실",BS연결,MATCH(M$1,BS연결H,0),0))/100,"")</f>
        <v/>
      </c>
      <c r="N13" s="18">
        <f>IFERROR((VLOOKUP("외환차익",BS연결,MATCH(N$1,BS연결H,0),0)-VLOOKUP("외환차손",BS연결,MATCH(N$1,BS연결H,0),0)+VLOOKUP("외화환산이익",BS연결,MATCH(N$1,BS연결H,0),0)-VLOOKUP("외화환산손실",BS연결,MATCH(N$1,BS연결H,0),0))/100,"")</f>
        <v/>
      </c>
      <c r="O13" s="18">
        <f>IFERROR((VLOOKUP("외환차익",BS연결,MATCH(O$1,BS연결H,0),0)-VLOOKUP("외환차손",BS연결,MATCH(O$1,BS연결H,0),0)+VLOOKUP("외화환산이익",BS연결,MATCH(O$1,BS연결H,0),0)-VLOOKUP("외화환산손실",BS연결,MATCH(O$1,BS연결H,0),0))/100,"")</f>
        <v/>
      </c>
      <c r="P13" s="37">
        <f>SUM(L13:O13)</f>
        <v/>
      </c>
      <c r="Q13" s="18">
        <f>IFERROR((VLOOKUP("외환차익",BS연결,MATCH(Q$1,BS연결H,0),0)-VLOOKUP("외환차손",BS연결,MATCH(Q$1,BS연결H,0),0)+VLOOKUP("외화환산이익",BS연결,MATCH(Q$1,BS연결H,0),0)-VLOOKUP("외화환산손실",BS연결,MATCH(Q$1,BS연결H,0),0))/100,"")</f>
        <v/>
      </c>
      <c r="R13" s="18">
        <f>IFERROR((VLOOKUP("외환차익",BS연결,MATCH(R$1,BS연결H,0),0)-VLOOKUP("외환차손",BS연결,MATCH(R$1,BS연결H,0),0)+VLOOKUP("외화환산이익",BS연결,MATCH(R$1,BS연결H,0),0)-VLOOKUP("외화환산손실",BS연결,MATCH(R$1,BS연결H,0),0))/100,"")</f>
        <v/>
      </c>
      <c r="S13" s="18">
        <f>IFERROR((VLOOKUP("외환차익",BS연결,MATCH(S$1,BS연결H,0),0)-VLOOKUP("외환차손",BS연결,MATCH(S$1,BS연결H,0),0)+VLOOKUP("외화환산이익",BS연결,MATCH(S$1,BS연결H,0),0)-VLOOKUP("외화환산손실",BS연결,MATCH(S$1,BS연결H,0),0))/100,"")</f>
        <v/>
      </c>
      <c r="T13" s="18">
        <f>IFERROR((VLOOKUP("외환차익",BS연결,MATCH(T$1,BS연결H,0),0)-VLOOKUP("외환차손",BS연결,MATCH(T$1,BS연결H,0),0)+VLOOKUP("외화환산이익",BS연결,MATCH(T$1,BS연결H,0),0)-VLOOKUP("외화환산손실",BS연결,MATCH(T$1,BS연결H,0),0))/100,"")</f>
        <v/>
      </c>
      <c r="U13" s="37">
        <f>SUM(Q13:T13)</f>
        <v/>
      </c>
      <c r="V13" s="18">
        <f>IFERROR((VLOOKUP("외환차익",BS연결,MATCH(V$1,BS연결H,0),0)-VLOOKUP("외환차손",BS연결,MATCH(V$1,BS연결H,0),0)+VLOOKUP("외화환산이익",BS연결,MATCH(V$1,BS연결H,0),0)-VLOOKUP("외화환산손실",BS연결,MATCH(V$1,BS연결H,0),0))/100,"")</f>
        <v/>
      </c>
      <c r="W13" s="18">
        <f>IFERROR((VLOOKUP("외환차익",BS연결,MATCH(W$1,BS연결H,0),0)-VLOOKUP("외환차손",BS연결,MATCH(W$1,BS연결H,0),0)+VLOOKUP("외화환산이익",BS연결,MATCH(W$1,BS연결H,0),0)-VLOOKUP("외화환산손실",BS연결,MATCH(W$1,BS연결H,0),0))/100,"")</f>
        <v/>
      </c>
      <c r="X13" s="18">
        <f>IFERROR((VLOOKUP("외환차익",BS연결,MATCH(X$1,BS연결H,0),0)-VLOOKUP("외환차손",BS연결,MATCH(X$1,BS연결H,0),0)+VLOOKUP("외화환산이익",BS연결,MATCH(X$1,BS연결H,0),0)-VLOOKUP("외화환산손실",BS연결,MATCH(X$1,BS연결H,0),0))/100,"")</f>
        <v/>
      </c>
      <c r="Y13" s="18">
        <f>IFERROR((VLOOKUP("외환차익",BS연결,MATCH(Y$1,BS연결H,0),0)-VLOOKUP("외환차손",BS연결,MATCH(Y$1,BS연결H,0),0)+VLOOKUP("외화환산이익",BS연결,MATCH(Y$1,BS연결H,0),0)-VLOOKUP("외화환산손실",BS연결,MATCH(Y$1,BS연결H,0),0))/100,"")</f>
        <v/>
      </c>
      <c r="Z13" s="37">
        <f>SUM(V13:Y13)</f>
        <v/>
      </c>
      <c r="AA13" s="18">
        <f>IFERROR((VLOOKUP("외환차익",BS연결,MATCH(AA$1,BS연결H,0),0)-VLOOKUP("외환차손",BS연결,MATCH(AA$1,BS연결H,0),0)+VLOOKUP("외화환산이익",BS연결,MATCH(AA$1,BS연결H,0),0)-VLOOKUP("외화환산손실",BS연결,MATCH(AA$1,BS연결H,0),0))/100,"")</f>
        <v/>
      </c>
      <c r="AB13" s="19">
        <f>IFERROR((VLOOKUP("외환차익",BS연결,MATCH(AB$1,BS연결H,0),0)-VLOOKUP("외환차손",BS연결,MATCH(AB$1,BS연결H,0),0)+VLOOKUP("외화환산이익",BS연결,MATCH(AB$1,BS연결H,0),0)-VLOOKUP("외화환산손실",BS연결,MATCH(AB$1,BS연결H,0),0))/100,"")</f>
        <v/>
      </c>
      <c r="AC13" s="20">
        <f>변수!AC22</f>
        <v/>
      </c>
      <c r="AD13" s="20">
        <f>변수!AD22</f>
        <v/>
      </c>
      <c r="AE13" s="38">
        <f>SUM(AA13:AD13)</f>
        <v/>
      </c>
      <c r="AF13" s="20">
        <f>변수!AF22</f>
        <v/>
      </c>
      <c r="AG13" s="20">
        <f>변수!AG22</f>
        <v/>
      </c>
      <c r="AH13" s="20">
        <f>변수!AH22</f>
        <v/>
      </c>
      <c r="AI13" s="20">
        <f>변수!AI22</f>
        <v/>
      </c>
      <c r="AJ13" s="38">
        <f>SUM(AF13:AI13)</f>
        <v/>
      </c>
      <c r="AK13" s="20">
        <f>변수!AK22</f>
        <v/>
      </c>
      <c r="AL13" s="20">
        <f>변수!AL22</f>
        <v/>
      </c>
      <c r="AM13" s="20">
        <f>변수!AM22</f>
        <v/>
      </c>
      <c r="AN13" s="20">
        <f>변수!AN22</f>
        <v/>
      </c>
      <c r="AO13" s="38">
        <f>SUM(AK13:AN13)</f>
        <v/>
      </c>
    </row>
    <row r="14">
      <c r="A14" s="12" t="inlineStr">
        <is>
          <t>기타영업외손익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기타영업외손익</t>
        </is>
      </c>
      <c r="E14" s="18">
        <f>IFERROR(VLOOKUP($D14,BS연결,MATCH(E$1,BS연결H,0),0)/100,"")</f>
        <v/>
      </c>
      <c r="F14" s="37" t="n"/>
      <c r="G14" s="18">
        <f>IFERROR(VLOOKUP($D14,BS연결,MATCH(G$1,BS연결H,0),0)/100,"")</f>
        <v/>
      </c>
      <c r="H14" s="18">
        <f>IFERROR(VLOOKUP($D14,BS연결,MATCH(H$1,BS연결H,0),0)/100,"")</f>
        <v/>
      </c>
      <c r="I14" s="18">
        <f>IFERROR(VLOOKUP($D14,BS연결,MATCH(I$1,BS연결H,0),0)/100,"")</f>
        <v/>
      </c>
      <c r="J14" s="18">
        <f>IFERROR(VLOOKUP($D14,BS연결,MATCH(J$1,BS연결H,0),0)/100,"")</f>
        <v/>
      </c>
      <c r="K14" s="37">
        <f>IFERROR(VLOOKUP($D14,BS연결,MATCH(K$1,BS연결H,0),0)/100,"")</f>
        <v/>
      </c>
      <c r="L14" s="18">
        <f>IFERROR(VLOOKUP($D14,BS연결,MATCH(L$1,BS연결H,0),0)/100,"")</f>
        <v/>
      </c>
      <c r="M14" s="18">
        <f>IFERROR(VLOOKUP($D14,BS연결,MATCH(M$1,BS연결H,0),0)/100,"")</f>
        <v/>
      </c>
      <c r="N14" s="18">
        <f>IFERROR(VLOOKUP($D14,BS연결,MATCH(N$1,BS연결H,0),0)/100,"")</f>
        <v/>
      </c>
      <c r="O14" s="18">
        <f>IFERROR(VLOOKUP($D14,BS연결,MATCH(O$1,BS연결H,0),0)/100,"")</f>
        <v/>
      </c>
      <c r="P14" s="37">
        <f>IFERROR(VLOOKUP($D14,BS연결,MATCH(P$1,BS연결H,0),0)/100,"")</f>
        <v/>
      </c>
      <c r="Q14" s="18">
        <f>IFERROR(VLOOKUP($D14,BS연결,MATCH(Q$1,BS연결H,0),0)/100,"")</f>
        <v/>
      </c>
      <c r="R14" s="18">
        <f>IFERROR(VLOOKUP($D14,BS연결,MATCH(R$1,BS연결H,0),0)/100,"")</f>
        <v/>
      </c>
      <c r="S14" s="18">
        <f>IFERROR(VLOOKUP($D14,BS연결,MATCH(S$1,BS연결H,0),0)/100,"")</f>
        <v/>
      </c>
      <c r="T14" s="18">
        <f>IFERROR(VLOOKUP($D14,BS연결,MATCH(T$1,BS연결H,0),0)/100,"")</f>
        <v/>
      </c>
      <c r="U14" s="37">
        <f>IFERROR(VLOOKUP($D14,BS연결,MATCH(U$1,BS연결H,0),0)/100,"")</f>
        <v/>
      </c>
      <c r="V14" s="18">
        <f>IFERROR(VLOOKUP($D14,BS연결,MATCH(V$1,BS연결H,0),0)/100,"")</f>
        <v/>
      </c>
      <c r="W14" s="18">
        <f>IFERROR(VLOOKUP($D14,BS연결,MATCH(W$1,BS연결H,0),0)/100,"")</f>
        <v/>
      </c>
      <c r="X14" s="18">
        <f>IFERROR(VLOOKUP($D14,BS연결,MATCH(X$1,BS연결H,0),0)/100,"")</f>
        <v/>
      </c>
      <c r="Y14" s="18">
        <f>IFERROR(VLOOKUP($D14,BS연결,MATCH(Y$1,BS연결H,0),0)/100,"")</f>
        <v/>
      </c>
      <c r="Z14" s="37">
        <f>IFERROR(VLOOKUP($D14,BS연결,MATCH(Z$1,BS연결H,0),0)/100,"")</f>
        <v/>
      </c>
      <c r="AA14" s="18">
        <f>IFERROR(VLOOKUP($D14,BS연결,MATCH(AA$1,BS연결H,0),0)/100,"")</f>
        <v/>
      </c>
      <c r="AB14" s="19">
        <f>IFERROR(VLOOKUP($D14,BS연결,MATCH(AB$1,BS연결H,0),0)/100,"")</f>
        <v/>
      </c>
      <c r="AC14" s="20">
        <f>변수!AC23</f>
        <v/>
      </c>
      <c r="AD14" s="20">
        <f>변수!AD23</f>
        <v/>
      </c>
      <c r="AE14" s="38">
        <f>SUM(AA14:AD14)</f>
        <v/>
      </c>
      <c r="AF14" s="20">
        <f>변수!AF23</f>
        <v/>
      </c>
      <c r="AG14" s="20">
        <f>변수!AG23</f>
        <v/>
      </c>
      <c r="AH14" s="20">
        <f>변수!AH23</f>
        <v/>
      </c>
      <c r="AI14" s="20">
        <f>변수!AI23</f>
        <v/>
      </c>
      <c r="AJ14" s="38">
        <f>SUM(AF14:AI14)</f>
        <v/>
      </c>
      <c r="AK14" s="20">
        <f>변수!AK23</f>
        <v/>
      </c>
      <c r="AL14" s="20">
        <f>변수!AL23</f>
        <v/>
      </c>
      <c r="AM14" s="20">
        <f>변수!AM23</f>
        <v/>
      </c>
      <c r="AN14" s="20">
        <f>변수!AN23</f>
        <v/>
      </c>
      <c r="AO14" s="38">
        <f>SUM(AK14:AN14)</f>
        <v/>
      </c>
    </row>
    <row r="15">
      <c r="A15" s="12" t="inlineStr">
        <is>
          <t>세전이익</t>
        </is>
      </c>
      <c r="B15" t="inlineStr">
        <is>
          <t>손익</t>
        </is>
      </c>
      <c r="C15" t="inlineStr">
        <is>
          <t>억원</t>
        </is>
      </c>
      <c r="D15" t="inlineStr">
        <is>
          <t>법인세비용차감전계속사업이익</t>
        </is>
      </c>
      <c r="E15" s="18">
        <f>IFERROR(VLOOKUP($D15,BS연결,MATCH(E$1,BS연결H,0),0)/100,"")</f>
        <v/>
      </c>
      <c r="F15" s="37" t="n"/>
      <c r="G15" s="18">
        <f>IFERROR(VLOOKUP($D15,BS연결,MATCH(G$1,BS연결H,0),0)/100,"")</f>
        <v/>
      </c>
      <c r="H15" s="18">
        <f>IFERROR(VLOOKUP($D15,BS연결,MATCH(H$1,BS연결H,0),0)/100,"")</f>
        <v/>
      </c>
      <c r="I15" s="18">
        <f>IFERROR(VLOOKUP($D15,BS연결,MATCH(I$1,BS연결H,0),0)/100,"")</f>
        <v/>
      </c>
      <c r="J15" s="18">
        <f>IFERROR(VLOOKUP($D15,BS연결,MATCH(J$1,BS연결H,0),0)/100,"")</f>
        <v/>
      </c>
      <c r="K15" s="37">
        <f>IFERROR(VLOOKUP($D15,BS연결,MATCH(K$1,BS연결H,0),0)/100,"")</f>
        <v/>
      </c>
      <c r="L15" s="18">
        <f>IFERROR(VLOOKUP($D15,BS연결,MATCH(L$1,BS연결H,0),0)/100,"")</f>
        <v/>
      </c>
      <c r="M15" s="18">
        <f>IFERROR(VLOOKUP($D15,BS연결,MATCH(M$1,BS연결H,0),0)/100,"")</f>
        <v/>
      </c>
      <c r="N15" s="18">
        <f>IFERROR(VLOOKUP($D15,BS연결,MATCH(N$1,BS연결H,0),0)/100,"")</f>
        <v/>
      </c>
      <c r="O15" s="18">
        <f>IFERROR(VLOOKUP($D15,BS연결,MATCH(O$1,BS연결H,0),0)/100,"")</f>
        <v/>
      </c>
      <c r="P15" s="37">
        <f>IFERROR(VLOOKUP($D15,BS연결,MATCH(P$1,BS연결H,0),0)/100,"")</f>
        <v/>
      </c>
      <c r="Q15" s="18">
        <f>IFERROR(VLOOKUP($D15,BS연결,MATCH(Q$1,BS연결H,0),0)/100,"")</f>
        <v/>
      </c>
      <c r="R15" s="18">
        <f>IFERROR(VLOOKUP($D15,BS연결,MATCH(R$1,BS연결H,0),0)/100,"")</f>
        <v/>
      </c>
      <c r="S15" s="18">
        <f>IFERROR(VLOOKUP($D15,BS연결,MATCH(S$1,BS연결H,0),0)/100,"")</f>
        <v/>
      </c>
      <c r="T15" s="18">
        <f>IFERROR(VLOOKUP($D15,BS연결,MATCH(T$1,BS연결H,0),0)/100,"")</f>
        <v/>
      </c>
      <c r="U15" s="37">
        <f>IFERROR(VLOOKUP($D15,BS연결,MATCH(U$1,BS연결H,0),0)/100,"")</f>
        <v/>
      </c>
      <c r="V15" s="18">
        <f>IFERROR(VLOOKUP($D15,BS연결,MATCH(V$1,BS연결H,0),0)/100,"")</f>
        <v/>
      </c>
      <c r="W15" s="18">
        <f>IFERROR(VLOOKUP($D15,BS연결,MATCH(W$1,BS연결H,0),0)/100,"")</f>
        <v/>
      </c>
      <c r="X15" s="18">
        <f>IFERROR(VLOOKUP($D15,BS연결,MATCH(X$1,BS연결H,0),0)/100,"")</f>
        <v/>
      </c>
      <c r="Y15" s="18">
        <f>IFERROR(VLOOKUP($D15,BS연결,MATCH(Y$1,BS연결H,0),0)/100,"")</f>
        <v/>
      </c>
      <c r="Z15" s="37">
        <f>IFERROR(VLOOKUP($D15,BS연결,MATCH(Z$1,BS연결H,0),0)/100,"")</f>
        <v/>
      </c>
      <c r="AA15" s="18">
        <f>IFERROR(VLOOKUP($D15,BS연결,MATCH(AA$1,BS연결H,0),0)/100,"")</f>
        <v/>
      </c>
      <c r="AB15" s="19">
        <f>IFERROR(VLOOKUP($D15,BS연결,MATCH(AB$1,BS연결H,0),0)/100,"")</f>
        <v/>
      </c>
      <c r="AC15" s="20">
        <f>IFERROR(AC9+AC11+AC14,"")</f>
        <v/>
      </c>
      <c r="AD15" s="20">
        <f>IFERROR(AD9+AD11+AD14,"")</f>
        <v/>
      </c>
      <c r="AE15" s="38">
        <f>SUM(AA15:AD15)</f>
        <v/>
      </c>
      <c r="AF15" s="20">
        <f>IFERROR(AF9+AF11+AF14,"")</f>
        <v/>
      </c>
      <c r="AG15" s="20">
        <f>IFERROR(AG9+AG11+AG14,"")</f>
        <v/>
      </c>
      <c r="AH15" s="20">
        <f>IFERROR(AH9+AH11+AH14,"")</f>
        <v/>
      </c>
      <c r="AI15" s="20">
        <f>IFERROR(AI9+AI11+AI14,"")</f>
        <v/>
      </c>
      <c r="AJ15" s="38">
        <f>SUM(AF15:AI15)</f>
        <v/>
      </c>
      <c r="AK15" s="20">
        <f>IFERROR(AK9+AK11+AK14,"")</f>
        <v/>
      </c>
      <c r="AL15" s="20">
        <f>IFERROR(AL9+AL11+AL14,"")</f>
        <v/>
      </c>
      <c r="AM15" s="20">
        <f>IFERROR(AM9+AM11+AM14,"")</f>
        <v/>
      </c>
      <c r="AN15" s="20">
        <f>IFERROR(AN9+AN11+AN14,"")</f>
        <v/>
      </c>
      <c r="AO15" s="38">
        <f>SUM(AK15:AN15)</f>
        <v/>
      </c>
    </row>
    <row r="16">
      <c r="A16" s="12" t="inlineStr">
        <is>
          <t>법인세비용</t>
        </is>
      </c>
      <c r="B16" t="inlineStr">
        <is>
          <t>손익</t>
        </is>
      </c>
      <c r="C16" t="inlineStr">
        <is>
          <t>억원</t>
        </is>
      </c>
      <c r="D16" t="inlineStr">
        <is>
          <t>법인세비용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IFERROR(MAX(AC15,0)*변수!AC24,"")</f>
        <v/>
      </c>
      <c r="AD16" s="20">
        <f>IFERROR(MAX(AD15,0)*변수!AD24,"")</f>
        <v/>
      </c>
      <c r="AE16" s="38">
        <f>SUM(AA16:AD16)</f>
        <v/>
      </c>
      <c r="AF16" s="20">
        <f>IFERROR(MAX(AF15,0)*변수!AF24,"")</f>
        <v/>
      </c>
      <c r="AG16" s="20">
        <f>IFERROR(MAX(AG15,0)*변수!AG24,"")</f>
        <v/>
      </c>
      <c r="AH16" s="20">
        <f>IFERROR(MAX(AH15,0)*변수!AH24,"")</f>
        <v/>
      </c>
      <c r="AI16" s="20">
        <f>IFERROR(MAX(AI15,0)*변수!AI24,"")</f>
        <v/>
      </c>
      <c r="AJ16" s="38">
        <f>SUM(AF16:AI16)</f>
        <v/>
      </c>
      <c r="AK16" s="20">
        <f>IFERROR(MAX(AK15,0)*변수!AK24,"")</f>
        <v/>
      </c>
      <c r="AL16" s="20">
        <f>IFERROR(MAX(AL15,0)*변수!AL24,"")</f>
        <v/>
      </c>
      <c r="AM16" s="20">
        <f>IFERROR(MAX(AM15,0)*변수!AM24,"")</f>
        <v/>
      </c>
      <c r="AN16" s="20">
        <f>IFERROR(MAX(AN15,0)*변수!AN24,"")</f>
        <v/>
      </c>
      <c r="AO16" s="38">
        <f>SUM(AK16:AN16)</f>
        <v/>
      </c>
    </row>
    <row r="17">
      <c r="A17" s="12" t="inlineStr">
        <is>
          <t>당기순이익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당기순이익</t>
        </is>
      </c>
      <c r="E17" s="18">
        <f>IFERROR(VLOOKUP($D17,BS연결,MATCH(E$1,BS연결H,0),0)/100,"")</f>
        <v/>
      </c>
      <c r="F17" s="37" t="n"/>
      <c r="G17" s="18" t="n"/>
      <c r="H17" s="18" t="n"/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SUM(G17:J17)</f>
        <v/>
      </c>
      <c r="L17" s="18" t="n"/>
      <c r="M17" s="18" t="n"/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SUM(L17:O17)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IFERROR(AC15-AC16,"")</f>
        <v/>
      </c>
      <c r="AD17" s="20">
        <f>IFERROR(AD15-AD16,"")</f>
        <v/>
      </c>
      <c r="AE17" s="38">
        <f>SUM(AA17:AD17)</f>
        <v/>
      </c>
      <c r="AF17" s="20">
        <f>IFERROR(AF15-AF16,"")</f>
        <v/>
      </c>
      <c r="AG17" s="20">
        <f>IFERROR(AG15-AG16,"")</f>
        <v/>
      </c>
      <c r="AH17" s="20">
        <f>IFERROR(AH15-AH16,"")</f>
        <v/>
      </c>
      <c r="AI17" s="20">
        <f>IFERROR(AI15-AI16,"")</f>
        <v/>
      </c>
      <c r="AJ17" s="38">
        <f>SUM(AF17:AI17)</f>
        <v/>
      </c>
      <c r="AK17" s="20">
        <f>IFERROR(AK15-AK16,"")</f>
        <v/>
      </c>
      <c r="AL17" s="20">
        <f>IFERROR(AL15-AL16,"")</f>
        <v/>
      </c>
      <c r="AM17" s="20">
        <f>IFERROR(AM15-AM16,"")</f>
        <v/>
      </c>
      <c r="AN17" s="20">
        <f>IFERROR(AN15-AN16,"")</f>
        <v/>
      </c>
      <c r="AO17" s="38">
        <f>SUM(AK17:AN17)</f>
        <v/>
      </c>
    </row>
    <row r="18">
      <c r="A18" s="12" t="inlineStr">
        <is>
          <t>지배주주순이익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(지배주주지분)당기순이익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IFERROR(AC17*변수!AC25,"")</f>
        <v/>
      </c>
      <c r="AD18" s="20">
        <f>IFERROR(AD17*변수!AD25,"")</f>
        <v/>
      </c>
      <c r="AE18" s="38">
        <f>SUM(AA18:AD18)</f>
        <v/>
      </c>
      <c r="AF18" s="20">
        <f>IFERROR(AF17*변수!AF25,"")</f>
        <v/>
      </c>
      <c r="AG18" s="20">
        <f>IFERROR(AG17*변수!AG25,"")</f>
        <v/>
      </c>
      <c r="AH18" s="20">
        <f>IFERROR(AH17*변수!AH25,"")</f>
        <v/>
      </c>
      <c r="AI18" s="20">
        <f>IFERROR(AI17*변수!AI25,"")</f>
        <v/>
      </c>
      <c r="AJ18" s="38">
        <f>SUM(AF18:AI18)</f>
        <v/>
      </c>
      <c r="AK18" s="20">
        <f>IFERROR(AK17*변수!AK25,"")</f>
        <v/>
      </c>
      <c r="AL18" s="20">
        <f>IFERROR(AL17*변수!AL25,"")</f>
        <v/>
      </c>
      <c r="AM18" s="20">
        <f>IFERROR(AM17*변수!AM25,"")</f>
        <v/>
      </c>
      <c r="AN18" s="20">
        <f>IFERROR(AN17*변수!AN25,"")</f>
        <v/>
      </c>
      <c r="AO18" s="38">
        <f>SUM(AK18:AN18)</f>
        <v/>
      </c>
    </row>
    <row r="19">
      <c r="A19" s="12" t="inlineStr">
        <is>
          <t>중단사업이익</t>
        </is>
      </c>
      <c r="B19" t="inlineStr">
        <is>
          <t>손익</t>
        </is>
      </c>
      <c r="C19" t="inlineStr">
        <is>
          <t>억원</t>
        </is>
      </c>
      <c r="D19" t="inlineStr">
        <is>
          <t>중단사업이익</t>
        </is>
      </c>
      <c r="E19" s="18">
        <f>IFERROR(VLOOKUP($D19,BS연결,MATCH(E$1,BS연결H,0),0)/100,"")</f>
        <v/>
      </c>
      <c r="F19" s="37" t="n"/>
      <c r="G19" s="18" t="n"/>
      <c r="H19" s="18" t="n"/>
      <c r="I19" s="18" t="n"/>
      <c r="J19" s="18" t="n"/>
      <c r="K19" s="37">
        <f>SUM(G19:J19)</f>
        <v/>
      </c>
      <c r="L19" s="18" t="n"/>
      <c r="M19" s="18" t="n"/>
      <c r="N19" s="18" t="n"/>
      <c r="O19" s="18" t="n"/>
      <c r="P19" s="37">
        <f>SUM(L19:O19)</f>
        <v/>
      </c>
      <c r="Q19" s="18" t="n"/>
      <c r="R19" s="18" t="n"/>
      <c r="S19" s="18" t="n"/>
      <c r="T19" s="18" t="n"/>
      <c r="U19" s="37">
        <f>SUM(Q19:T19)</f>
        <v/>
      </c>
      <c r="V19" s="18" t="n"/>
      <c r="W19" s="18" t="n"/>
      <c r="X19" s="18" t="n"/>
      <c r="Y19" s="18" t="n"/>
      <c r="Z19" s="37">
        <f>SUM(V19:Y19)</f>
        <v/>
      </c>
      <c r="AA19" s="18" t="n"/>
      <c r="AB19" s="19" t="n"/>
      <c r="AC19" s="20" t="n"/>
      <c r="AD19" s="20" t="n"/>
      <c r="AE19" s="38">
        <f>SUM(AA19:AD19)</f>
        <v/>
      </c>
      <c r="AF19" s="20" t="n"/>
      <c r="AG19" s="20" t="n"/>
      <c r="AH19" s="20" t="n"/>
      <c r="AI19" s="20" t="n"/>
      <c r="AJ19" s="38">
        <f>SUM(AF19:AI19)</f>
        <v/>
      </c>
      <c r="AK19" s="20" t="n"/>
      <c r="AL19" s="20" t="n"/>
      <c r="AM19" s="20" t="n"/>
      <c r="AN19" s="20" t="n"/>
      <c r="AO19" s="38">
        <f>SUM(AK19:AN19)</f>
        <v/>
      </c>
    </row>
    <row r="20">
      <c r="A20" s="12" t="inlineStr">
        <is>
          <t>자산총계</t>
        </is>
      </c>
      <c r="B20" t="inlineStr">
        <is>
          <t>재무상태</t>
        </is>
      </c>
      <c r="C20" t="inlineStr">
        <is>
          <t>억원</t>
        </is>
      </c>
      <c r="D20" t="inlineStr">
        <is>
          <t>자산총계</t>
        </is>
      </c>
      <c r="E20" s="18">
        <f>IFERROR(VLOOKUP($D20,BS연결,MATCH(E$1,BS연결H,0),0)/100,"")</f>
        <v/>
      </c>
      <c r="F20" s="37">
        <f>IFERROR(VLOOKUP($D20,BS연결,MATCH(F$1,BS연결H,0),0)/100,"")</f>
        <v/>
      </c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IFERROR(AC21+AC22,"")</f>
        <v/>
      </c>
      <c r="AD20" s="20">
        <f>IFERROR(AD21+AD22,"")</f>
        <v/>
      </c>
      <c r="AE20" s="38">
        <f>AD20</f>
        <v/>
      </c>
      <c r="AF20" s="20">
        <f>IFERROR(AF21+AF22,"")</f>
        <v/>
      </c>
      <c r="AG20" s="20">
        <f>IFERROR(AG21+AG22,"")</f>
        <v/>
      </c>
      <c r="AH20" s="20">
        <f>IFERROR(AH21+AH22,"")</f>
        <v/>
      </c>
      <c r="AI20" s="20">
        <f>IFERROR(AI21+AI22,"")</f>
        <v/>
      </c>
      <c r="AJ20" s="38">
        <f>AI20</f>
        <v/>
      </c>
      <c r="AK20" s="20">
        <f>IFERROR(AK21+AK22,"")</f>
        <v/>
      </c>
      <c r="AL20" s="20">
        <f>IFERROR(AL21+AL22,"")</f>
        <v/>
      </c>
      <c r="AM20" s="20">
        <f>IFERROR(AM21+AM22,"")</f>
        <v/>
      </c>
      <c r="AN20" s="20">
        <f>IFERROR(AN21+AN22,"")</f>
        <v/>
      </c>
      <c r="AO20" s="38">
        <f>AN20</f>
        <v/>
      </c>
    </row>
    <row r="21">
      <c r="A21" s="12" t="inlineStr">
        <is>
          <t>부채총계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부채총계</t>
        </is>
      </c>
      <c r="E21" s="18">
        <f>IFERROR(VLOOKUP($D21,BS연결,MATCH(E$1,BS연결H,0),0)/100,"")</f>
        <v/>
      </c>
      <c r="F21" s="37">
        <f>IFERROR(VLOOKUP($D21,BS연결,MATCH(F$1,BS연결H,0),0)/100,"")</f>
        <v/>
      </c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IFERROR(AB21*(1+변수!AC27),"")</f>
        <v/>
      </c>
      <c r="AD21" s="20">
        <f>IFERROR(AC21*(1+변수!AD27),"")</f>
        <v/>
      </c>
      <c r="AE21" s="38">
        <f>AD21</f>
        <v/>
      </c>
      <c r="AF21" s="20">
        <f>IFERROR(AD21*(1+변수!AF27),"")</f>
        <v/>
      </c>
      <c r="AG21" s="20">
        <f>IFERROR(AF21*(1+변수!AG27),"")</f>
        <v/>
      </c>
      <c r="AH21" s="20">
        <f>IFERROR(AG21*(1+변수!AH27),"")</f>
        <v/>
      </c>
      <c r="AI21" s="20">
        <f>IFERROR(AH21*(1+변수!AI27),"")</f>
        <v/>
      </c>
      <c r="AJ21" s="38">
        <f>AI21</f>
        <v/>
      </c>
      <c r="AK21" s="20">
        <f>IFERROR(AI21*(1+변수!AK27),"")</f>
        <v/>
      </c>
      <c r="AL21" s="20">
        <f>IFERROR(AK21*(1+변수!AL27),"")</f>
        <v/>
      </c>
      <c r="AM21" s="20">
        <f>IFERROR(AL21*(1+변수!AM27),"")</f>
        <v/>
      </c>
      <c r="AN21" s="20">
        <f>IFERROR(AM21*(1+변수!AN27),"")</f>
        <v/>
      </c>
      <c r="AO21" s="38">
        <f>AN21</f>
        <v/>
      </c>
    </row>
    <row r="22">
      <c r="A22" s="12" t="inlineStr">
        <is>
          <t>자본총계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자본총계</t>
        </is>
      </c>
      <c r="E22" s="18">
        <f>IFERROR(VLOOKUP($D22,BS연결,MATCH(E$1,BS연결H,0),0)/100,"")</f>
        <v/>
      </c>
      <c r="F22" s="37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7">
        <f>IFERROR(VLOOKUP($D22,BS연결,MATCH(U$1,BS연결H,0),0)/100,"")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IFERROR(AB22+AC17-변수!AC28,"")</f>
        <v/>
      </c>
      <c r="AD22" s="20">
        <f>IFERROR(AC22+AD17-변수!AD28,"")</f>
        <v/>
      </c>
      <c r="AE22" s="38">
        <f>AD22</f>
        <v/>
      </c>
      <c r="AF22" s="20">
        <f>IFERROR(AD22+AF17-변수!AF28,"")</f>
        <v/>
      </c>
      <c r="AG22" s="20">
        <f>IFERROR(AF22+AG17-변수!AG28,"")</f>
        <v/>
      </c>
      <c r="AH22" s="20">
        <f>IFERROR(AG22+AH17-변수!AH28,"")</f>
        <v/>
      </c>
      <c r="AI22" s="20">
        <f>IFERROR(AH22+AI17-변수!AI28,"")</f>
        <v/>
      </c>
      <c r="AJ22" s="38">
        <f>AI22</f>
        <v/>
      </c>
      <c r="AK22" s="20">
        <f>IFERROR(AI22+AK17-변수!AK28,"")</f>
        <v/>
      </c>
      <c r="AL22" s="20">
        <f>IFERROR(AK22+AL17-변수!AL28,"")</f>
        <v/>
      </c>
      <c r="AM22" s="20">
        <f>IFERROR(AL22+AM17-변수!AM28,"")</f>
        <v/>
      </c>
      <c r="AN22" s="20">
        <f>IFERROR(AM22+AN17-변수!AN28,"")</f>
        <v/>
      </c>
      <c r="AO22" s="38">
        <f>AN22</f>
        <v/>
      </c>
    </row>
    <row r="23">
      <c r="A23" s="12" t="inlineStr">
        <is>
          <t>지배주주지분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지배주주지분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IFERROR(AB23+AC18-변수!AC29,"")</f>
        <v/>
      </c>
      <c r="AD23" s="20">
        <f>IFERROR(AC23+AD18-변수!AD29,"")</f>
        <v/>
      </c>
      <c r="AE23" s="38">
        <f>AD23</f>
        <v/>
      </c>
      <c r="AF23" s="20">
        <f>IFERROR(AD23+AF18-변수!AF29,"")</f>
        <v/>
      </c>
      <c r="AG23" s="20">
        <f>IFERROR(AF23+AG18-변수!AG29,"")</f>
        <v/>
      </c>
      <c r="AH23" s="20">
        <f>IFERROR(AG23+AH18-변수!AH29,"")</f>
        <v/>
      </c>
      <c r="AI23" s="20">
        <f>IFERROR(AH23+AI18-변수!AI29,"")</f>
        <v/>
      </c>
      <c r="AJ23" s="38">
        <f>AI23</f>
        <v/>
      </c>
      <c r="AK23" s="20">
        <f>IFERROR(AI23+AK18-변수!AK29,"")</f>
        <v/>
      </c>
      <c r="AL23" s="20">
        <f>IFERROR(AK23+AL18-변수!AL29,"")</f>
        <v/>
      </c>
      <c r="AM23" s="20">
        <f>IFERROR(AL23+AM18-변수!AM29,"")</f>
        <v/>
      </c>
      <c r="AN23" s="20">
        <f>IFERROR(AM23+AN18-변수!AN29,"")</f>
        <v/>
      </c>
      <c r="AO23" s="38">
        <f>AN23</f>
        <v/>
      </c>
    </row>
    <row r="24">
      <c r="A24" s="12" t="inlineStr">
        <is>
          <t>총차입금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총차입금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IFERROR(AB24*(1+변수!AC30),"")</f>
        <v/>
      </c>
      <c r="AD24" s="20">
        <f>IFERROR(AC24*(1+변수!AD30),"")</f>
        <v/>
      </c>
      <c r="AE24" s="38">
        <f>AD24</f>
        <v/>
      </c>
      <c r="AF24" s="20">
        <f>IFERROR(AD24*(1+변수!AF30),"")</f>
        <v/>
      </c>
      <c r="AG24" s="20">
        <f>IFERROR(AF24*(1+변수!AG30),"")</f>
        <v/>
      </c>
      <c r="AH24" s="20">
        <f>IFERROR(AG24*(1+변수!AH30),"")</f>
        <v/>
      </c>
      <c r="AI24" s="20">
        <f>IFERROR(AH24*(1+변수!AI30),"")</f>
        <v/>
      </c>
      <c r="AJ24" s="38">
        <f>AI24</f>
        <v/>
      </c>
      <c r="AK24" s="20">
        <f>IFERROR(AI24*(1+변수!AK30),"")</f>
        <v/>
      </c>
      <c r="AL24" s="20">
        <f>IFERROR(AK24*(1+변수!AL30),"")</f>
        <v/>
      </c>
      <c r="AM24" s="20">
        <f>IFERROR(AL24*(1+변수!AM30),"")</f>
        <v/>
      </c>
      <c r="AN24" s="20">
        <f>IFERROR(AM24*(1+변수!AN30),"")</f>
        <v/>
      </c>
      <c r="AO24" s="38">
        <f>AN24</f>
        <v/>
      </c>
    </row>
    <row r="25">
      <c r="A25" s="12" t="inlineStr">
        <is>
          <t>순차입금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순차입금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IFERROR(AB25*(1+변수!AC31),"")</f>
        <v/>
      </c>
      <c r="AD25" s="20">
        <f>IFERROR(AC25*(1+변수!AD31),"")</f>
        <v/>
      </c>
      <c r="AE25" s="38">
        <f>AD25</f>
        <v/>
      </c>
      <c r="AF25" s="20">
        <f>IFERROR(AD25*(1+변수!AF31),"")</f>
        <v/>
      </c>
      <c r="AG25" s="20">
        <f>IFERROR(AF25*(1+변수!AG31),"")</f>
        <v/>
      </c>
      <c r="AH25" s="20">
        <f>IFERROR(AG25*(1+변수!AH31),"")</f>
        <v/>
      </c>
      <c r="AI25" s="20">
        <f>IFERROR(AH25*(1+변수!AI31),"")</f>
        <v/>
      </c>
      <c r="AJ25" s="38">
        <f>AI25</f>
        <v/>
      </c>
      <c r="AK25" s="20">
        <f>IFERROR(AI25*(1+변수!AK31),"")</f>
        <v/>
      </c>
      <c r="AL25" s="20">
        <f>IFERROR(AK25*(1+변수!AL31),"")</f>
        <v/>
      </c>
      <c r="AM25" s="20">
        <f>IFERROR(AL25*(1+변수!AM31),"")</f>
        <v/>
      </c>
      <c r="AN25" s="20">
        <f>IFERROR(AM25*(1+변수!AN31),"")</f>
        <v/>
      </c>
      <c r="AO25" s="38">
        <f>AN25</f>
        <v/>
      </c>
    </row>
    <row r="26">
      <c r="A26" s="12" t="inlineStr">
        <is>
          <t>이자발생자산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이자발생자산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IFERROR(AB26*(1+변수!AC32),"")</f>
        <v/>
      </c>
      <c r="AD26" s="20">
        <f>IFERROR(AC26*(1+변수!AD32),"")</f>
        <v/>
      </c>
      <c r="AE26" s="38">
        <f>AD26</f>
        <v/>
      </c>
      <c r="AF26" s="20">
        <f>IFERROR(AD26*(1+변수!AF32),"")</f>
        <v/>
      </c>
      <c r="AG26" s="20">
        <f>IFERROR(AF26*(1+변수!AG32),"")</f>
        <v/>
      </c>
      <c r="AH26" s="20">
        <f>IFERROR(AG26*(1+변수!AH32),"")</f>
        <v/>
      </c>
      <c r="AI26" s="20">
        <f>IFERROR(AH26*(1+변수!AI32),"")</f>
        <v/>
      </c>
      <c r="AJ26" s="38">
        <f>AI26</f>
        <v/>
      </c>
      <c r="AK26" s="20">
        <f>IFERROR(AI26*(1+변수!AK32),"")</f>
        <v/>
      </c>
      <c r="AL26" s="20">
        <f>IFERROR(AK26*(1+변수!AL32),"")</f>
        <v/>
      </c>
      <c r="AM26" s="20">
        <f>IFERROR(AL26*(1+변수!AM32),"")</f>
        <v/>
      </c>
      <c r="AN26" s="20">
        <f>IFERROR(AM26*(1+변수!AN32),"")</f>
        <v/>
      </c>
      <c r="AO26" s="38">
        <f>AN26</f>
        <v/>
      </c>
    </row>
    <row r="27">
      <c r="A27" s="12" t="inlineStr">
        <is>
          <t>현금및현금성자산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현금및현금성자산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 t="n"/>
      <c r="AD27" s="20" t="n"/>
      <c r="AE27" s="38">
        <f>AD27</f>
        <v/>
      </c>
      <c r="AF27" s="20" t="n"/>
      <c r="AG27" s="20" t="n"/>
      <c r="AH27" s="20" t="n"/>
      <c r="AI27" s="20" t="n"/>
      <c r="AJ27" s="38">
        <f>AI27</f>
        <v/>
      </c>
      <c r="AK27" s="20" t="n"/>
      <c r="AL27" s="20" t="n"/>
      <c r="AM27" s="20" t="n"/>
      <c r="AN27" s="20" t="n"/>
      <c r="AO27" s="38">
        <f>AN27</f>
        <v/>
      </c>
    </row>
    <row r="28">
      <c r="A28" s="12" t="inlineStr">
        <is>
          <t>CAPEX</t>
        </is>
      </c>
      <c r="B28" t="inlineStr">
        <is>
          <t>현금흐름</t>
        </is>
      </c>
      <c r="C28" t="inlineStr">
        <is>
          <t>억원</t>
        </is>
      </c>
      <c r="D28" t="inlineStr">
        <is>
          <t>CAPEX</t>
        </is>
      </c>
      <c r="E28" s="18">
        <f>IFERROR(VLOOKUP($D28,BS연결,MATCH(E$1,BS연결H,0),0)/100,"")</f>
        <v/>
      </c>
      <c r="F28" s="37" t="n"/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>
        <f>IFERROR(X28*(1+변수!AC34),"")</f>
        <v/>
      </c>
      <c r="AD28" s="20">
        <f>IFERROR(Y28*(1+변수!AD34),"")</f>
        <v/>
      </c>
      <c r="AE28" s="38">
        <f>SUM(AA28:AD28)</f>
        <v/>
      </c>
      <c r="AF28" s="20">
        <f>IFERROR(AA28*(1+변수!AF34),"")</f>
        <v/>
      </c>
      <c r="AG28" s="20">
        <f>IFERROR(AB28*(1+변수!AG34),"")</f>
        <v/>
      </c>
      <c r="AH28" s="20">
        <f>IFERROR(AC28*(1+변수!AH34),"")</f>
        <v/>
      </c>
      <c r="AI28" s="20">
        <f>IFERROR(AD28*(1+변수!AI34),"")</f>
        <v/>
      </c>
      <c r="AJ28" s="38">
        <f>SUM(AF28:AI28)</f>
        <v/>
      </c>
      <c r="AK28" s="20">
        <f>IFERROR(AF28*(1+변수!AK34),"")</f>
        <v/>
      </c>
      <c r="AL28" s="20">
        <f>IFERROR(AG28*(1+변수!AL34),"")</f>
        <v/>
      </c>
      <c r="AM28" s="20">
        <f>IFERROR(AH28*(1+변수!AM34),"")</f>
        <v/>
      </c>
      <c r="AN28" s="20">
        <f>IFERROR(AI28*(1+변수!AN34),"")</f>
        <v/>
      </c>
      <c r="AO28" s="38">
        <f>SUM(AK28:AN28)</f>
        <v/>
      </c>
    </row>
    <row r="29">
      <c r="A29" s="12" t="inlineStr">
        <is>
          <t>영업활동현금흐름</t>
        </is>
      </c>
      <c r="B29" t="inlineStr">
        <is>
          <t>현금흐름</t>
        </is>
      </c>
      <c r="C29" t="inlineStr">
        <is>
          <t>억원</t>
        </is>
      </c>
      <c r="D29" t="inlineStr">
        <is>
          <t>영업활동으로인한현금흐름</t>
        </is>
      </c>
      <c r="E29" s="18">
        <f>IFERROR(VLOOKUP($D29,BS연결,MATCH(E$1,BS연결H,0),0)/100,"")</f>
        <v/>
      </c>
      <c r="F29" s="37" t="n"/>
      <c r="G29" s="18">
        <f>IFERROR(VLOOKUP($D29,BS연결,MATCH(G$1,BS연결H,0),0)/100,"")</f>
        <v/>
      </c>
      <c r="H29" s="18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37">
        <f>IFERROR(VLOOKUP($D29,BS연결,MATCH(K$1,BS연결H,0),0)/100,"")</f>
        <v/>
      </c>
      <c r="L29" s="18">
        <f>IFERROR(VLOOKUP($D29,BS연결,MATCH(L$1,BS연결H,0),0)/100,"")</f>
        <v/>
      </c>
      <c r="M29" s="18">
        <f>IFERROR(VLOOKUP($D29,BS연결,MATCH(M$1,BS연결H,0),0)/100,"")</f>
        <v/>
      </c>
      <c r="N29" s="18">
        <f>IFERROR(VLOOKUP($D29,BS연결,MATCH(N$1,BS연결H,0),0)/100,"")</f>
        <v/>
      </c>
      <c r="O29" s="18">
        <f>IFERROR(VLOOKUP($D29,BS연결,MATCH(O$1,BS연결H,0),0)/100,"")</f>
        <v/>
      </c>
      <c r="P29" s="37">
        <f>IFERROR(VLOOKUP($D29,BS연결,MATCH(P$1,BS연결H,0),0)/100,"")</f>
        <v/>
      </c>
      <c r="Q29" s="18">
        <f>IFERROR(VLOOKUP($D29,BS연결,MATCH(Q$1,BS연결H,0),0)/100,"")</f>
        <v/>
      </c>
      <c r="R29" s="18">
        <f>IFERROR(VLOOKUP($D29,BS연결,MATCH(R$1,BS연결H,0),0)/100,"")</f>
        <v/>
      </c>
      <c r="S29" s="18">
        <f>IFERROR(VLOOKUP($D29,BS연결,MATCH(S$1,BS연결H,0),0)/100,"")</f>
        <v/>
      </c>
      <c r="T29" s="18">
        <f>IFERROR(VLOOKUP($D29,BS연결,MATCH(T$1,BS연결H,0),0)/100,"")</f>
        <v/>
      </c>
      <c r="U29" s="37">
        <f>IFERROR(VLOOKUP($D29,BS연결,MATCH(U$1,BS연결H,0),0)/100,"")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>
        <f>IFERROR(VLOOKUP($D29,BS연결,MATCH(Y$1,BS연결H,0),0)/100,"")</f>
        <v/>
      </c>
      <c r="Z29" s="37">
        <f>IFERROR(VLOOKUP($D29,BS연결,MATCH(Z$1,BS연결H,0),0)/100,"")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 t="n"/>
      <c r="AD29" s="20" t="n"/>
      <c r="AE29" s="38">
        <f>SUM(AA29:AD29)</f>
        <v/>
      </c>
      <c r="AF29" s="20" t="n"/>
      <c r="AG29" s="20" t="n"/>
      <c r="AH29" s="20" t="n"/>
      <c r="AI29" s="20" t="n"/>
      <c r="AJ29" s="38">
        <f>SUM(AF29:AI29)</f>
        <v/>
      </c>
      <c r="AK29" s="20" t="n"/>
      <c r="AL29" s="20" t="n"/>
      <c r="AM29" s="20" t="n"/>
      <c r="AN29" s="20" t="n"/>
      <c r="AO29" s="38">
        <f>SUM(AK29:AN29)</f>
        <v/>
      </c>
    </row>
    <row r="30">
      <c r="A30" s="12" t="inlineStr">
        <is>
          <t>주식수</t>
        </is>
      </c>
      <c r="B30" t="inlineStr">
        <is>
          <t>주당</t>
        </is>
      </c>
      <c r="C30" t="inlineStr">
        <is>
          <t>백만주</t>
        </is>
      </c>
      <c r="D30" t="inlineStr">
        <is>
          <t>유통주식수</t>
        </is>
      </c>
      <c r="E30" s="26" t="n">
        <v>83.268</v>
      </c>
      <c r="F30" s="27">
        <f>E30</f>
        <v/>
      </c>
      <c r="G30" s="26" t="n">
        <v>83.268</v>
      </c>
      <c r="H30" s="26" t="n">
        <v>83.268</v>
      </c>
      <c r="I30" s="26" t="n">
        <v>83.268</v>
      </c>
      <c r="J30" s="26" t="n">
        <v>83.268</v>
      </c>
      <c r="K30" s="27">
        <f>J30</f>
        <v/>
      </c>
      <c r="L30" s="26" t="n">
        <v>83.268</v>
      </c>
      <c r="M30" s="26" t="n">
        <v>83.268</v>
      </c>
      <c r="N30" s="26" t="n">
        <v>83.268</v>
      </c>
      <c r="O30" s="26" t="n">
        <v>83.268</v>
      </c>
      <c r="P30" s="27">
        <f>O30</f>
        <v/>
      </c>
      <c r="Q30" s="26" t="n">
        <v>83.268</v>
      </c>
      <c r="R30" s="26" t="n">
        <v>83.268</v>
      </c>
      <c r="S30" s="26" t="n">
        <v>83.268</v>
      </c>
      <c r="T30" s="26" t="n">
        <v>83.268</v>
      </c>
      <c r="U30" s="27">
        <f>T30</f>
        <v/>
      </c>
      <c r="V30" s="26" t="n">
        <v>83.268</v>
      </c>
      <c r="W30" s="26" t="n">
        <v>83.268</v>
      </c>
      <c r="X30" s="26" t="n">
        <v>83.268</v>
      </c>
      <c r="Y30" s="26" t="n">
        <v>90.289</v>
      </c>
      <c r="Z30" s="27">
        <f>Y30</f>
        <v/>
      </c>
      <c r="AA30" s="26" t="n">
        <v>90.289</v>
      </c>
      <c r="AB30" s="28" t="n">
        <v>90.289</v>
      </c>
      <c r="AC30" s="32">
        <f>IFERROR(AB30*(1+변수!AC36),"")</f>
        <v/>
      </c>
      <c r="AD30" s="32">
        <f>IFERROR(AC30*(1+변수!AD36),"")</f>
        <v/>
      </c>
      <c r="AE30" s="30">
        <f>AD30</f>
        <v/>
      </c>
      <c r="AF30" s="32">
        <f>IFERROR(AD30*(1+변수!AF36),"")</f>
        <v/>
      </c>
      <c r="AG30" s="32">
        <f>IFERROR(AF30*(1+변수!AG36),"")</f>
        <v/>
      </c>
      <c r="AH30" s="32">
        <f>IFERROR(AG30*(1+변수!AH36),"")</f>
        <v/>
      </c>
      <c r="AI30" s="32">
        <f>IFERROR(AH30*(1+변수!AI36),"")</f>
        <v/>
      </c>
      <c r="AJ30" s="30">
        <f>AI30</f>
        <v/>
      </c>
      <c r="AK30" s="32">
        <f>IFERROR(AI30*(1+변수!AK36),"")</f>
        <v/>
      </c>
      <c r="AL30" s="32">
        <f>IFERROR(AK30*(1+변수!AL36),"")</f>
        <v/>
      </c>
      <c r="AM30" s="32">
        <f>IFERROR(AL30*(1+변수!AM36),"")</f>
        <v/>
      </c>
      <c r="AN30" s="32">
        <f>IFERROR(AM30*(1+변수!AN36),"")</f>
        <v/>
      </c>
      <c r="AO30" s="30">
        <f>AN30</f>
        <v/>
      </c>
    </row>
    <row r="31">
      <c r="A31" s="12" t="inlineStr">
        <is>
          <t>EPS</t>
        </is>
      </c>
      <c r="B31" t="inlineStr">
        <is>
          <t>주당</t>
        </is>
      </c>
      <c r="C31" t="inlineStr">
        <is>
          <t>원</t>
        </is>
      </c>
      <c r="D31" t="inlineStr">
        <is>
          <t>EPS</t>
        </is>
      </c>
      <c r="E31" s="18">
        <f>IFERROR(E18*100/E30,"")</f>
        <v/>
      </c>
      <c r="F31" s="37" t="n"/>
      <c r="G31" s="18">
        <f>IFERROR(G18*100/G30,"")</f>
        <v/>
      </c>
      <c r="H31" s="18">
        <f>IFERROR(H18*100/H30,"")</f>
        <v/>
      </c>
      <c r="I31" s="18">
        <f>IFERROR(I18*100/I30,"")</f>
        <v/>
      </c>
      <c r="J31" s="18">
        <f>IFERROR(J18*100/J30,"")</f>
        <v/>
      </c>
      <c r="K31" s="37">
        <f>SUM(G31:J31)</f>
        <v/>
      </c>
      <c r="L31" s="18">
        <f>IFERROR(L18*100/L30,"")</f>
        <v/>
      </c>
      <c r="M31" s="18">
        <f>IFERROR(M18*100/M30,"")</f>
        <v/>
      </c>
      <c r="N31" s="18">
        <f>IFERROR(N18*100/N30,"")</f>
        <v/>
      </c>
      <c r="O31" s="18">
        <f>IFERROR(O18*100/O30,"")</f>
        <v/>
      </c>
      <c r="P31" s="37">
        <f>SUM(L31:O31)</f>
        <v/>
      </c>
      <c r="Q31" s="18">
        <f>IFERROR(Q18*100/Q30,"")</f>
        <v/>
      </c>
      <c r="R31" s="18">
        <f>IFERROR(R18*100/R30,"")</f>
        <v/>
      </c>
      <c r="S31" s="18">
        <f>IFERROR(S18*100/S30,"")</f>
        <v/>
      </c>
      <c r="T31" s="18">
        <f>IFERROR(T18*100/T30,"")</f>
        <v/>
      </c>
      <c r="U31" s="37">
        <f>SUM(Q31:T31)</f>
        <v/>
      </c>
      <c r="V31" s="18">
        <f>IFERROR(V18*100/V30,"")</f>
        <v/>
      </c>
      <c r="W31" s="18">
        <f>IFERROR(W18*100/W30,"")</f>
        <v/>
      </c>
      <c r="X31" s="18">
        <f>IFERROR(X18*100/X30,"")</f>
        <v/>
      </c>
      <c r="Y31" s="18">
        <f>IFERROR(Y18*100/Y30,"")</f>
        <v/>
      </c>
      <c r="Z31" s="37">
        <f>SUM(V31:Y31)</f>
        <v/>
      </c>
      <c r="AA31" s="18">
        <f>IFERROR(AA18*100/AA30,"")</f>
        <v/>
      </c>
      <c r="AB31" s="19">
        <f>IFERROR(AB18*100/AB30,"")</f>
        <v/>
      </c>
      <c r="AC31" s="20">
        <f>IFERROR(AC18*100/AC30,"")</f>
        <v/>
      </c>
      <c r="AD31" s="20">
        <f>IFERROR(AD18*100/AD30,"")</f>
        <v/>
      </c>
      <c r="AE31" s="38">
        <f>SUM(AA31:AD31)</f>
        <v/>
      </c>
      <c r="AF31" s="20">
        <f>IFERROR(AF18*100/AF30,"")</f>
        <v/>
      </c>
      <c r="AG31" s="20">
        <f>IFERROR(AG18*100/AG30,"")</f>
        <v/>
      </c>
      <c r="AH31" s="20">
        <f>IFERROR(AH18*100/AH30,"")</f>
        <v/>
      </c>
      <c r="AI31" s="20">
        <f>IFERROR(AI18*100/AI30,"")</f>
        <v/>
      </c>
      <c r="AJ31" s="38">
        <f>SUM(AF31:AI31)</f>
        <v/>
      </c>
      <c r="AK31" s="20">
        <f>IFERROR(AK18*100/AK30,"")</f>
        <v/>
      </c>
      <c r="AL31" s="20">
        <f>IFERROR(AL18*100/AL30,"")</f>
        <v/>
      </c>
      <c r="AM31" s="20">
        <f>IFERROR(AM18*100/AM30,"")</f>
        <v/>
      </c>
      <c r="AN31" s="20">
        <f>IFERROR(AN18*100/AN30,"")</f>
        <v/>
      </c>
      <c r="AO31" s="38">
        <f>SUM(AK31:AN31)</f>
        <v/>
      </c>
    </row>
    <row r="32">
      <c r="A32" s="12" t="inlineStr">
        <is>
          <t>BPS</t>
        </is>
      </c>
      <c r="B32" t="inlineStr">
        <is>
          <t>주당</t>
        </is>
      </c>
      <c r="C32" t="inlineStr">
        <is>
          <t>원</t>
        </is>
      </c>
      <c r="D32" t="inlineStr">
        <is>
          <t>BPS</t>
        </is>
      </c>
      <c r="E32" s="18">
        <f>IFERROR(E23*100/E30,"")</f>
        <v/>
      </c>
      <c r="F32" s="37">
        <f>E32</f>
        <v/>
      </c>
      <c r="G32" s="18">
        <f>IFERROR(G23*100/G30,"")</f>
        <v/>
      </c>
      <c r="H32" s="18">
        <f>IFERROR(H23*100/H30,"")</f>
        <v/>
      </c>
      <c r="I32" s="18">
        <f>IFERROR(I23*100/I30,"")</f>
        <v/>
      </c>
      <c r="J32" s="18">
        <f>IFERROR(J23*100/J30,"")</f>
        <v/>
      </c>
      <c r="K32" s="37">
        <f>J32</f>
        <v/>
      </c>
      <c r="L32" s="18">
        <f>IFERROR(L23*100/L30,"")</f>
        <v/>
      </c>
      <c r="M32" s="18">
        <f>IFERROR(M23*100/M30,"")</f>
        <v/>
      </c>
      <c r="N32" s="18">
        <f>IFERROR(N23*100/N30,"")</f>
        <v/>
      </c>
      <c r="O32" s="18">
        <f>IFERROR(O23*100/O30,"")</f>
        <v/>
      </c>
      <c r="P32" s="37">
        <f>O32</f>
        <v/>
      </c>
      <c r="Q32" s="18">
        <f>IFERROR(Q23*100/Q30,"")</f>
        <v/>
      </c>
      <c r="R32" s="18">
        <f>IFERROR(R23*100/R30,"")</f>
        <v/>
      </c>
      <c r="S32" s="18">
        <f>IFERROR(S23*100/S30,"")</f>
        <v/>
      </c>
      <c r="T32" s="18">
        <f>IFERROR(T23*100/T30,"")</f>
        <v/>
      </c>
      <c r="U32" s="37">
        <f>T32</f>
        <v/>
      </c>
      <c r="V32" s="18">
        <f>IFERROR(V23*100/V30,"")</f>
        <v/>
      </c>
      <c r="W32" s="18">
        <f>IFERROR(W23*100/W30,"")</f>
        <v/>
      </c>
      <c r="X32" s="18">
        <f>IFERROR(X23*100/X30,"")</f>
        <v/>
      </c>
      <c r="Y32" s="18">
        <f>IFERROR(Y23*100/Y30,"")</f>
        <v/>
      </c>
      <c r="Z32" s="37">
        <f>Y32</f>
        <v/>
      </c>
      <c r="AA32" s="18">
        <f>IFERROR(AA23*100/AA30,"")</f>
        <v/>
      </c>
      <c r="AB32" s="19">
        <f>IFERROR(AB23*100/AB30,"")</f>
        <v/>
      </c>
      <c r="AC32" s="20">
        <f>IFERROR(AC23*100/AC30,"")</f>
        <v/>
      </c>
      <c r="AD32" s="20">
        <f>IFERROR(AD23*100/AD30,"")</f>
        <v/>
      </c>
      <c r="AE32" s="38">
        <f>AD32</f>
        <v/>
      </c>
      <c r="AF32" s="20">
        <f>IFERROR(AF23*100/AF30,"")</f>
        <v/>
      </c>
      <c r="AG32" s="20">
        <f>IFERROR(AG23*100/AG30,"")</f>
        <v/>
      </c>
      <c r="AH32" s="20">
        <f>IFERROR(AH23*100/AH30,"")</f>
        <v/>
      </c>
      <c r="AI32" s="20">
        <f>IFERROR(AI23*100/AI30,"")</f>
        <v/>
      </c>
      <c r="AJ32" s="38">
        <f>AI32</f>
        <v/>
      </c>
      <c r="AK32" s="20">
        <f>IFERROR(AK23*100/AK30,"")</f>
        <v/>
      </c>
      <c r="AL32" s="20">
        <f>IFERROR(AL23*100/AL30,"")</f>
        <v/>
      </c>
      <c r="AM32" s="20">
        <f>IFERROR(AM23*100/AM30,"")</f>
        <v/>
      </c>
      <c r="AN32" s="20">
        <f>IFERROR(AN23*100/AN30,"")</f>
        <v/>
      </c>
      <c r="AO32" s="38">
        <f>AN32</f>
        <v/>
      </c>
    </row>
    <row r="33">
      <c r="A33" s="12" t="inlineStr">
        <is>
          <t>DPS</t>
        </is>
      </c>
      <c r="B33" t="inlineStr">
        <is>
          <t>주당</t>
        </is>
      </c>
      <c r="C33" t="inlineStr">
        <is>
          <t>원</t>
        </is>
      </c>
      <c r="D33" t="inlineStr">
        <is>
          <t>DPS(보통주)</t>
        </is>
      </c>
      <c r="E33" s="18" t="n">
        <v>0</v>
      </c>
      <c r="F33" s="37" t="n">
        <v>0</v>
      </c>
      <c r="G33" s="18" t="n"/>
      <c r="H33" s="18" t="n"/>
      <c r="I33" s="18" t="n"/>
      <c r="J33" s="18" t="n">
        <v>0</v>
      </c>
      <c r="K33" s="37">
        <f>SUM(G33:J33)</f>
        <v/>
      </c>
      <c r="L33" s="18" t="n"/>
      <c r="M33" s="18" t="n"/>
      <c r="N33" s="18" t="n"/>
      <c r="O33" s="18" t="n">
        <v>0</v>
      </c>
      <c r="P33" s="37">
        <f>SUM(L33:O33)</f>
        <v/>
      </c>
      <c r="Q33" s="18" t="n"/>
      <c r="R33" s="18" t="n"/>
      <c r="S33" s="18" t="n"/>
      <c r="T33" s="18" t="n">
        <v>0</v>
      </c>
      <c r="U33" s="37">
        <f>SUM(Q33:T33)</f>
        <v/>
      </c>
      <c r="V33" s="18" t="n"/>
      <c r="W33" s="18" t="n"/>
      <c r="X33" s="18" t="n"/>
      <c r="Y33" s="18" t="n">
        <v>0</v>
      </c>
      <c r="Z33" s="37">
        <f>SUM(V33:Y33)</f>
        <v/>
      </c>
      <c r="AA33" s="18" t="n"/>
      <c r="AB33" s="19" t="n"/>
      <c r="AC33" s="20" t="n"/>
      <c r="AD33" s="20">
        <f>변수!AD37</f>
        <v/>
      </c>
      <c r="AE33" s="38">
        <f>SUM(AA33:AD33)</f>
        <v/>
      </c>
      <c r="AF33" s="20" t="n"/>
      <c r="AG33" s="20" t="n"/>
      <c r="AH33" s="20" t="n"/>
      <c r="AI33" s="20">
        <f>변수!AI37</f>
        <v/>
      </c>
      <c r="AJ33" s="38">
        <f>SUM(AF33:AI33)</f>
        <v/>
      </c>
      <c r="AK33" s="20" t="n"/>
      <c r="AL33" s="20" t="n"/>
      <c r="AM33" s="20" t="n"/>
      <c r="AN33" s="20">
        <f>변수!AN37</f>
        <v/>
      </c>
      <c r="AO33" s="38">
        <f>SUM(AK33:AN33)</f>
        <v/>
      </c>
    </row>
    <row r="34">
      <c r="A34" s="12" t="inlineStr">
        <is>
          <t>PER</t>
        </is>
      </c>
      <c r="B34" t="inlineStr">
        <is>
          <t>주당</t>
        </is>
      </c>
      <c r="C34" t="inlineStr">
        <is>
          <t>배</t>
        </is>
      </c>
      <c r="D34" t="inlineStr">
        <is>
          <t>PER</t>
        </is>
      </c>
      <c r="E34" s="13" t="n"/>
      <c r="F34" s="14">
        <f>E34</f>
        <v/>
      </c>
      <c r="G34" s="13" t="n"/>
      <c r="H34" s="13" t="n"/>
      <c r="I34" s="13" t="n"/>
      <c r="J34" s="13" t="n"/>
      <c r="K34" s="14">
        <f>J34</f>
        <v/>
      </c>
      <c r="L34" s="13" t="n"/>
      <c r="M34" s="13" t="n"/>
      <c r="N34" s="13" t="n"/>
      <c r="O34" s="13" t="n"/>
      <c r="P34" s="14">
        <f>O34</f>
        <v/>
      </c>
      <c r="Q34" s="13" t="n"/>
      <c r="R34" s="13" t="n"/>
      <c r="S34" s="13">
        <f>IFERROR(변수!S18/(O31+Q31+R31+S31),"")</f>
        <v/>
      </c>
      <c r="T34" s="13">
        <f>IFERROR(변수!T18/(Q31+R31+S31+T31),"")</f>
        <v/>
      </c>
      <c r="U34" s="14">
        <f>T34</f>
        <v/>
      </c>
      <c r="V34" s="13" t="n"/>
      <c r="W34" s="13">
        <f>IFERROR(변수!W18/(S31+T31+V31+W31),"")</f>
        <v/>
      </c>
      <c r="X34" s="13" t="n"/>
      <c r="Y34" s="13">
        <f>IFERROR(변수!Y18/(V31+W31+X31+Y31),"")</f>
        <v/>
      </c>
      <c r="Z34" s="14">
        <f>Y34</f>
        <v/>
      </c>
      <c r="AA34" s="13">
        <f>IFERROR(변수!AA18/(W31+X31+Y31+AA31),"")</f>
        <v/>
      </c>
      <c r="AB34" s="15">
        <f>IFERROR(변수!AB18/(X31+Y31+AA31+AB31),"")</f>
        <v/>
      </c>
      <c r="AC34" s="39">
        <f>IFERROR(변수!$D$45/(Y31+AA31+AB31+AC31),"")</f>
        <v/>
      </c>
      <c r="AD34" s="39">
        <f>IFERROR(변수!$D$45/(AA31+AB31+AC31+AD31),"")</f>
        <v/>
      </c>
      <c r="AE34" s="40">
        <f>AD34</f>
        <v/>
      </c>
      <c r="AF34" s="39">
        <f>IFERROR(변수!$D$45/(AB31+AC31+AD31+AF31),"")</f>
        <v/>
      </c>
      <c r="AG34" s="39">
        <f>IFERROR(변수!$D$45/(AC31+AD31+AF31+AG31),"")</f>
        <v/>
      </c>
      <c r="AH34" s="39">
        <f>IFERROR(변수!$D$45/(AD31+AF31+AG31+AH31),"")</f>
        <v/>
      </c>
      <c r="AI34" s="39">
        <f>IFERROR(변수!$D$45/(AF31+AG31+AH31+AI31),"")</f>
        <v/>
      </c>
      <c r="AJ34" s="40">
        <f>AI34</f>
        <v/>
      </c>
      <c r="AK34" s="39">
        <f>IFERROR(변수!$D$45/(AG31+AH31+AI31+AK31),"")</f>
        <v/>
      </c>
      <c r="AL34" s="39">
        <f>IFERROR(변수!$D$45/(AH31+AI31+AK31+AL31),"")</f>
        <v/>
      </c>
      <c r="AM34" s="39">
        <f>IFERROR(변수!$D$45/(AI31+AK31+AL31+AM31),"")</f>
        <v/>
      </c>
      <c r="AN34" s="39">
        <f>IFERROR(변수!$D$45/(AK31+AL31+AM31+AN31),"")</f>
        <v/>
      </c>
      <c r="AO34" s="40">
        <f>AN34</f>
        <v/>
      </c>
    </row>
    <row r="35">
      <c r="A35" s="12" t="inlineStr">
        <is>
          <t>PBR</t>
        </is>
      </c>
      <c r="B35" t="inlineStr">
        <is>
          <t>주당</t>
        </is>
      </c>
      <c r="C35" t="inlineStr">
        <is>
          <t>배</t>
        </is>
      </c>
      <c r="D35" t="inlineStr">
        <is>
          <t>PBR</t>
        </is>
      </c>
      <c r="E35" s="13">
        <f>IFERROR(변수!E18/E32,"")</f>
        <v/>
      </c>
      <c r="F35" s="14">
        <f>E35</f>
        <v/>
      </c>
      <c r="G35" s="13">
        <f>IFERROR(변수!G18/G32,"")</f>
        <v/>
      </c>
      <c r="H35" s="13">
        <f>IFERROR(변수!H18/H32,"")</f>
        <v/>
      </c>
      <c r="I35" s="13">
        <f>IFERROR(변수!I18/I32,"")</f>
        <v/>
      </c>
      <c r="J35" s="13">
        <f>IFERROR(변수!J18/J32,"")</f>
        <v/>
      </c>
      <c r="K35" s="14">
        <f>J35</f>
        <v/>
      </c>
      <c r="L35" s="13">
        <f>IFERROR(변수!L18/L32,"")</f>
        <v/>
      </c>
      <c r="M35" s="13">
        <f>IFERROR(변수!M18/M32,"")</f>
        <v/>
      </c>
      <c r="N35" s="13">
        <f>IFERROR(변수!N18/N32,"")</f>
        <v/>
      </c>
      <c r="O35" s="13">
        <f>IFERROR(변수!O18/O32,"")</f>
        <v/>
      </c>
      <c r="P35" s="14">
        <f>O35</f>
        <v/>
      </c>
      <c r="Q35" s="13">
        <f>IFERROR(변수!Q18/Q32,"")</f>
        <v/>
      </c>
      <c r="R35" s="13">
        <f>IFERROR(변수!R18/R32,"")</f>
        <v/>
      </c>
      <c r="S35" s="13">
        <f>IFERROR(변수!S18/S32,"")</f>
        <v/>
      </c>
      <c r="T35" s="13">
        <f>IFERROR(변수!T18/T32,"")</f>
        <v/>
      </c>
      <c r="U35" s="14">
        <f>T35</f>
        <v/>
      </c>
      <c r="V35" s="13">
        <f>IFERROR(변수!V18/V32,"")</f>
        <v/>
      </c>
      <c r="W35" s="13">
        <f>IFERROR(변수!W18/W32,"")</f>
        <v/>
      </c>
      <c r="X35" s="13">
        <f>IFERROR(변수!X18/X32,"")</f>
        <v/>
      </c>
      <c r="Y35" s="13">
        <f>IFERROR(변수!Y18/Y32,"")</f>
        <v/>
      </c>
      <c r="Z35" s="14">
        <f>Y35</f>
        <v/>
      </c>
      <c r="AA35" s="13">
        <f>IFERROR(변수!AA18/AA32,"")</f>
        <v/>
      </c>
      <c r="AB35" s="15">
        <f>IFERROR(변수!AB18/AB32,"")</f>
        <v/>
      </c>
      <c r="AC35" s="39">
        <f>IFERROR(변수!$D$45/AC32,"")</f>
        <v/>
      </c>
      <c r="AD35" s="39">
        <f>IFERROR(변수!$D$45/AD32,"")</f>
        <v/>
      </c>
      <c r="AE35" s="40">
        <f>AD35</f>
        <v/>
      </c>
      <c r="AF35" s="39">
        <f>IFERROR(변수!$D$45/AF32,"")</f>
        <v/>
      </c>
      <c r="AG35" s="39">
        <f>IFERROR(변수!$D$45/AG32,"")</f>
        <v/>
      </c>
      <c r="AH35" s="39">
        <f>IFERROR(변수!$D$45/AH32,"")</f>
        <v/>
      </c>
      <c r="AI35" s="39">
        <f>IFERROR(변수!$D$45/AI32,"")</f>
        <v/>
      </c>
      <c r="AJ35" s="40">
        <f>AI35</f>
        <v/>
      </c>
      <c r="AK35" s="39">
        <f>IFERROR(변수!$D$45/AK32,"")</f>
        <v/>
      </c>
      <c r="AL35" s="39">
        <f>IFERROR(변수!$D$45/AL32,"")</f>
        <v/>
      </c>
      <c r="AM35" s="39">
        <f>IFERROR(변수!$D$45/AM32,"")</f>
        <v/>
      </c>
      <c r="AN35" s="39">
        <f>IFERROR(변수!$D$45/AN32,"")</f>
        <v/>
      </c>
      <c r="AO35" s="40">
        <f>AN35</f>
        <v/>
      </c>
    </row>
    <row r="36">
      <c r="A36" s="12" t="inlineStr">
        <is>
          <t>매출조선</t>
        </is>
      </c>
      <c r="B36" t="inlineStr">
        <is>
          <t>사업부</t>
        </is>
      </c>
      <c r="C36" t="inlineStr">
        <is>
          <t>억원</t>
        </is>
      </c>
      <c r="D36" t="inlineStr">
        <is>
          <t>매출 조선·해양(방산·신조선·상선·특수선)</t>
        </is>
      </c>
      <c r="E36" s="18" t="n"/>
      <c r="F36" s="37" t="n"/>
      <c r="G36" s="18" t="n"/>
      <c r="H36" s="18" t="n">
        <v>902</v>
      </c>
      <c r="I36" s="18" t="n">
        <v>2402</v>
      </c>
      <c r="J36" s="18" t="n"/>
      <c r="K36" s="37">
        <f>SUM(G36:J36)</f>
        <v/>
      </c>
      <c r="L36" s="18" t="n"/>
      <c r="M36" s="18" t="n">
        <v>6762</v>
      </c>
      <c r="N36" s="18" t="n">
        <v>1683</v>
      </c>
      <c r="O36" s="18" t="n">
        <v>2951</v>
      </c>
      <c r="P36" s="37">
        <f>SUM(L36:O36)</f>
        <v/>
      </c>
      <c r="Q36" s="18" t="n"/>
      <c r="R36" s="18" t="n">
        <v>2034</v>
      </c>
      <c r="S36" s="18" t="n">
        <v>1884</v>
      </c>
      <c r="T36" s="18" t="n"/>
      <c r="U36" s="37">
        <f>SUM(Q36:T36)</f>
        <v/>
      </c>
      <c r="V36" s="18" t="n"/>
      <c r="W36" s="18" t="n">
        <v>2280</v>
      </c>
      <c r="X36" s="18" t="n">
        <v>2026</v>
      </c>
      <c r="Y36" s="18" t="n"/>
      <c r="Z36" s="37">
        <f>SUM(V36:Y36)</f>
        <v/>
      </c>
      <c r="AA36" s="18" t="n"/>
      <c r="AB36" s="19" t="n">
        <v>3951</v>
      </c>
      <c r="AC36" s="20">
        <f>IFERROR(SLS!AL122/100+변수!AC38+AC37,"")</f>
        <v/>
      </c>
      <c r="AD36" s="20">
        <f>IFERROR(SLS!AM122/100+변수!AD38+AD37,"")</f>
        <v/>
      </c>
      <c r="AE36" s="38">
        <f>SUM(AA36:AD36)</f>
        <v/>
      </c>
      <c r="AF36" s="20">
        <f>IFERROR(SLS!AN122/100+변수!AF38+AF37,"")</f>
        <v/>
      </c>
      <c r="AG36" s="20">
        <f>IFERROR(SLS!AO122/100+변수!AG38+AG37,"")</f>
        <v/>
      </c>
      <c r="AH36" s="20">
        <f>IFERROR(SLS!AP122/100+변수!AH38+AH37,"")</f>
        <v/>
      </c>
      <c r="AI36" s="20">
        <f>IFERROR(SLS!AQ122/100+변수!AI38+AI37,"")</f>
        <v/>
      </c>
      <c r="AJ36" s="38">
        <f>SUM(AF36:AI36)</f>
        <v/>
      </c>
      <c r="AK36" s="20">
        <f>IFERROR(SLS!AR122/100+변수!AK38+AK37,"")</f>
        <v/>
      </c>
      <c r="AL36" s="20">
        <f>IFERROR(SLS!AS122/100+변수!AL38+AL37,"")</f>
        <v/>
      </c>
      <c r="AM36" s="20">
        <f>IFERROR(SLS!AT122/100+변수!AM38+AM37,"")</f>
        <v/>
      </c>
      <c r="AN36" s="20">
        <f>IFERROR(SLS!AU122/100+변수!AN38+AN37,"")</f>
        <v/>
      </c>
      <c r="AO36" s="38">
        <f>SUM(AK36:AN36)</f>
        <v/>
      </c>
    </row>
    <row r="37">
      <c r="A37" s="12" t="inlineStr">
        <is>
          <t>매출조선신규</t>
        </is>
      </c>
      <c r="B37" t="inlineStr">
        <is>
          <t>사업부</t>
        </is>
      </c>
      <c r="C37" t="inlineStr">
        <is>
          <t>억원</t>
        </is>
      </c>
      <c r="D37" t="inlineStr">
        <is>
          <t>매출 조선·해양(방산·신조선·상선·특수선) 신규수주(원장 체결 속도(폴백) — 매출조선에 포함)</t>
        </is>
      </c>
      <c r="E37" s="18" t="n"/>
      <c r="F37" s="37" t="n"/>
      <c r="G37" s="18" t="n"/>
      <c r="H37" s="18" t="n"/>
      <c r="I37" s="18" t="n"/>
      <c r="J37" s="18" t="n"/>
      <c r="K37" s="37">
        <f>SUM(G37:J37)</f>
        <v/>
      </c>
      <c r="L37" s="18" t="n"/>
      <c r="M37" s="18" t="n"/>
      <c r="N37" s="18" t="n"/>
      <c r="O37" s="18" t="n"/>
      <c r="P37" s="37">
        <f>SUM(L37:O37)</f>
        <v/>
      </c>
      <c r="Q37" s="18" t="n"/>
      <c r="R37" s="18" t="n"/>
      <c r="S37" s="18" t="n"/>
      <c r="T37" s="18" t="n"/>
      <c r="U37" s="37">
        <f>SUM(Q37:T37)</f>
        <v/>
      </c>
      <c r="V37" s="18" t="n"/>
      <c r="W37" s="18" t="n"/>
      <c r="X37" s="18" t="n"/>
      <c r="Y37" s="18" t="n"/>
      <c r="Z37" s="37">
        <f>SUM(V37:Y37)</f>
        <v/>
      </c>
      <c r="AA37" s="20" t="n">
        <v>0</v>
      </c>
      <c r="AB37" s="41" t="n">
        <v>0</v>
      </c>
      <c r="AC37" s="20">
        <f>변수!AC39</f>
        <v/>
      </c>
      <c r="AD37" s="20">
        <f>변수!AD39</f>
        <v/>
      </c>
      <c r="AE37" s="38">
        <f>SUM(AA37:AD37)</f>
        <v/>
      </c>
      <c r="AF37" s="20">
        <f>변수!AF39</f>
        <v/>
      </c>
      <c r="AG37" s="20">
        <f>변수!AG39</f>
        <v/>
      </c>
      <c r="AH37" s="20">
        <f>변수!AH39</f>
        <v/>
      </c>
      <c r="AI37" s="20">
        <f>변수!AI39</f>
        <v/>
      </c>
      <c r="AJ37" s="38">
        <f>SUM(AF37:AI37)</f>
        <v/>
      </c>
      <c r="AK37" s="20">
        <f>변수!AK39</f>
        <v/>
      </c>
      <c r="AL37" s="20">
        <f>변수!AL39</f>
        <v/>
      </c>
      <c r="AM37" s="20">
        <f>변수!AM39</f>
        <v/>
      </c>
      <c r="AN37" s="20">
        <f>변수!AN39</f>
        <v/>
      </c>
      <c r="AO37" s="38">
        <f>SUM(AK37:AN37)</f>
        <v/>
      </c>
    </row>
    <row r="38">
      <c r="A38" s="12" t="inlineStr">
        <is>
          <t>OP조선</t>
        </is>
      </c>
      <c r="B38" t="inlineStr">
        <is>
          <t>사업부</t>
        </is>
      </c>
      <c r="C38" t="inlineStr">
        <is>
          <t>억원</t>
        </is>
      </c>
      <c r="D38" t="inlineStr">
        <is>
          <t>OP 조선·해양(방산·신조선·상선·특수선)</t>
        </is>
      </c>
      <c r="E38" s="18" t="n"/>
      <c r="F38" s="37" t="n"/>
      <c r="G38" s="18" t="n"/>
      <c r="H38" s="18" t="n"/>
      <c r="I38" s="18" t="n"/>
      <c r="J38" s="18" t="n"/>
      <c r="K38" s="37">
        <f>SUM(G38:J38)</f>
        <v/>
      </c>
      <c r="L38" s="18" t="n"/>
      <c r="M38" s="18" t="n"/>
      <c r="N38" s="18" t="n"/>
      <c r="O38" s="18" t="n"/>
      <c r="P38" s="37">
        <f>SUM(L38:O38)</f>
        <v/>
      </c>
      <c r="Q38" s="18" t="n"/>
      <c r="R38" s="18" t="n"/>
      <c r="S38" s="18" t="n"/>
      <c r="T38" s="18" t="n"/>
      <c r="U38" s="37">
        <f>SUM(Q38:T38)</f>
        <v/>
      </c>
      <c r="V38" s="18" t="n"/>
      <c r="W38" s="18" t="n"/>
      <c r="X38" s="18" t="n"/>
      <c r="Y38" s="18" t="n"/>
      <c r="Z38" s="37">
        <f>SUM(V38:Y38)</f>
        <v/>
      </c>
      <c r="AA38" s="18" t="n"/>
      <c r="AB38" s="19" t="n"/>
      <c r="AC38" s="20">
        <f>IFERROR(AC36*변수!AC40,"")</f>
        <v/>
      </c>
      <c r="AD38" s="20">
        <f>IFERROR(AD36*변수!AD40,"")</f>
        <v/>
      </c>
      <c r="AE38" s="38">
        <f>SUM(AA38:AD38)</f>
        <v/>
      </c>
      <c r="AF38" s="20">
        <f>IFERROR(AF36*변수!AF40,"")</f>
        <v/>
      </c>
      <c r="AG38" s="20">
        <f>IFERROR(AG36*변수!AG40,"")</f>
        <v/>
      </c>
      <c r="AH38" s="20">
        <f>IFERROR(AH36*변수!AH40,"")</f>
        <v/>
      </c>
      <c r="AI38" s="20">
        <f>IFERROR(AI36*변수!AI40,"")</f>
        <v/>
      </c>
      <c r="AJ38" s="38">
        <f>SUM(AF38:AI38)</f>
        <v/>
      </c>
      <c r="AK38" s="20">
        <f>IFERROR(AK36*변수!AK40,"")</f>
        <v/>
      </c>
      <c r="AL38" s="20">
        <f>IFERROR(AL36*변수!AL40,"")</f>
        <v/>
      </c>
      <c r="AM38" s="20">
        <f>IFERROR(AM36*변수!AM40,"")</f>
        <v/>
      </c>
      <c r="AN38" s="20">
        <f>IFERROR(AN36*변수!AN40,"")</f>
        <v/>
      </c>
      <c r="AO38" s="38">
        <f>SUM(AK38:AN38)</f>
        <v/>
      </c>
    </row>
    <row r="39">
      <c r="A39" s="12" t="inlineStr">
        <is>
          <t>OP조선신규</t>
        </is>
      </c>
      <c r="B39" t="inlineStr">
        <is>
          <t>사업부</t>
        </is>
      </c>
      <c r="C39" t="inlineStr">
        <is>
          <t>억원</t>
        </is>
      </c>
      <c r="D39" t="inlineStr">
        <is>
          <t>OP 조선·해양(방산·신조선·상선·특수선) 신규수주(매출조선신규 × OPM — OP조선에 포함)</t>
        </is>
      </c>
      <c r="E39" s="18" t="n"/>
      <c r="F39" s="37" t="n"/>
      <c r="G39" s="18" t="n"/>
      <c r="H39" s="18" t="n"/>
      <c r="I39" s="18" t="n"/>
      <c r="J39" s="18" t="n"/>
      <c r="K39" s="37">
        <f>SUM(G39:J39)</f>
        <v/>
      </c>
      <c r="L39" s="18" t="n"/>
      <c r="M39" s="18" t="n"/>
      <c r="N39" s="18" t="n"/>
      <c r="O39" s="18" t="n"/>
      <c r="P39" s="37">
        <f>SUM(L39:O39)</f>
        <v/>
      </c>
      <c r="Q39" s="18" t="n"/>
      <c r="R39" s="18" t="n"/>
      <c r="S39" s="18" t="n"/>
      <c r="T39" s="18" t="n"/>
      <c r="U39" s="37">
        <f>SUM(Q39:T39)</f>
        <v/>
      </c>
      <c r="V39" s="18" t="n"/>
      <c r="W39" s="18" t="n"/>
      <c r="X39" s="18" t="n"/>
      <c r="Y39" s="18" t="n"/>
      <c r="Z39" s="37">
        <f>SUM(V39:Y39)</f>
        <v/>
      </c>
      <c r="AA39" s="20" t="n">
        <v>0</v>
      </c>
      <c r="AB39" s="41" t="n">
        <v>0</v>
      </c>
      <c r="AC39" s="20">
        <f>IFERROR(AC37*변수!AC40,"")</f>
        <v/>
      </c>
      <c r="AD39" s="20">
        <f>IFERROR(AD37*변수!AD40,"")</f>
        <v/>
      </c>
      <c r="AE39" s="38">
        <f>SUM(AA39:AD39)</f>
        <v/>
      </c>
      <c r="AF39" s="20">
        <f>IFERROR(AF37*변수!AF40,"")</f>
        <v/>
      </c>
      <c r="AG39" s="20">
        <f>IFERROR(AG37*변수!AG40,"")</f>
        <v/>
      </c>
      <c r="AH39" s="20">
        <f>IFERROR(AH37*변수!AH40,"")</f>
        <v/>
      </c>
      <c r="AI39" s="20">
        <f>IFERROR(AI37*변수!AI40,"")</f>
        <v/>
      </c>
      <c r="AJ39" s="38">
        <f>SUM(AF39:AI39)</f>
        <v/>
      </c>
      <c r="AK39" s="20">
        <f>IFERROR(AK37*변수!AK40,"")</f>
        <v/>
      </c>
      <c r="AL39" s="20">
        <f>IFERROR(AL37*변수!AL40,"")</f>
        <v/>
      </c>
      <c r="AM39" s="20">
        <f>IFERROR(AM37*변수!AM40,"")</f>
        <v/>
      </c>
      <c r="AN39" s="20">
        <f>IFERROR(AN37*변수!AN40,"")</f>
        <v/>
      </c>
      <c r="AO39" s="38">
        <f>SUM(AK39:AN39)</f>
        <v/>
      </c>
    </row>
    <row r="40">
      <c r="A40" s="12" t="inlineStr">
        <is>
          <t>매출기타</t>
        </is>
      </c>
      <c r="B40" t="inlineStr">
        <is>
          <t>사업부</t>
        </is>
      </c>
      <c r="C40" t="inlineStr">
        <is>
          <t>억원</t>
        </is>
      </c>
      <c r="D40" t="inlineStr">
        <is>
          <t>매출 기타 부문(총매출 − 조선)</t>
        </is>
      </c>
      <c r="E40" s="18" t="n"/>
      <c r="F40" s="37" t="n"/>
      <c r="G40" s="18" t="n"/>
      <c r="H40" s="18" t="n">
        <v>3552.57</v>
      </c>
      <c r="I40" s="18" t="n">
        <v>1576.49</v>
      </c>
      <c r="J40" s="18" t="n"/>
      <c r="K40" s="37">
        <f>SUM(G40:J40)</f>
        <v/>
      </c>
      <c r="L40" s="18" t="n"/>
      <c r="M40" s="18" t="n">
        <v>0</v>
      </c>
      <c r="N40" s="18" t="n">
        <v>3222.17</v>
      </c>
      <c r="O40" s="18" t="n">
        <v>4700.57</v>
      </c>
      <c r="P40" s="37">
        <f>SUM(L40:O40)</f>
        <v/>
      </c>
      <c r="Q40" s="18" t="n"/>
      <c r="R40" s="18" t="n">
        <v>2814</v>
      </c>
      <c r="S40" s="18" t="n">
        <v>2653.68</v>
      </c>
      <c r="T40" s="18" t="n"/>
      <c r="U40" s="37">
        <f>SUM(Q40:T40)</f>
        <v/>
      </c>
      <c r="V40" s="18" t="n"/>
      <c r="W40" s="18" t="n">
        <v>2797.77</v>
      </c>
      <c r="X40" s="18" t="n">
        <v>2496.08</v>
      </c>
      <c r="Y40" s="18" t="n"/>
      <c r="Z40" s="37">
        <f>SUM(V40:Y40)</f>
        <v/>
      </c>
      <c r="AA40" s="18" t="n"/>
      <c r="AB40" s="19" t="n">
        <v>3348.08</v>
      </c>
      <c r="AC40" s="20">
        <f>IFERROR(X40*(1+변수!AC41),"")</f>
        <v/>
      </c>
      <c r="AD40" s="20">
        <f>IFERROR(AC40*(1+변수!AD41),"")</f>
        <v/>
      </c>
      <c r="AE40" s="38">
        <f>SUM(AA40:AD40)</f>
        <v/>
      </c>
      <c r="AF40" s="20">
        <f>IFERROR(AD40*(1+변수!AF41),"")</f>
        <v/>
      </c>
      <c r="AG40" s="20">
        <f>IFERROR(AB40*(1+변수!AG41),"")</f>
        <v/>
      </c>
      <c r="AH40" s="20">
        <f>IFERROR(AC40*(1+변수!AH41),"")</f>
        <v/>
      </c>
      <c r="AI40" s="20">
        <f>IFERROR(AD40*(1+변수!AI41),"")</f>
        <v/>
      </c>
      <c r="AJ40" s="38">
        <f>SUM(AF40:AI40)</f>
        <v/>
      </c>
      <c r="AK40" s="20">
        <f>IFERROR(AF40*(1+변수!AK41),"")</f>
        <v/>
      </c>
      <c r="AL40" s="20">
        <f>IFERROR(AG40*(1+변수!AL41),"")</f>
        <v/>
      </c>
      <c r="AM40" s="20">
        <f>IFERROR(AH40*(1+변수!AM41),"")</f>
        <v/>
      </c>
      <c r="AN40" s="20">
        <f>IFERROR(AI40*(1+변수!AN41),"")</f>
        <v/>
      </c>
      <c r="AO40" s="38">
        <f>SUM(AK40:AN40)</f>
        <v/>
      </c>
    </row>
    <row r="41">
      <c r="A41" s="12" t="inlineStr">
        <is>
          <t>OP기타</t>
        </is>
      </c>
      <c r="B41" t="inlineStr">
        <is>
          <t>사업부</t>
        </is>
      </c>
      <c r="C41" t="inlineStr">
        <is>
          <t>억원</t>
        </is>
      </c>
      <c r="D41" t="inlineStr">
        <is>
          <t>OP 기타 부문(총매출 − 조선)</t>
        </is>
      </c>
      <c r="E41" s="18" t="n"/>
      <c r="F41" s="37" t="n"/>
      <c r="G41" s="18" t="n"/>
      <c r="H41" s="18" t="n"/>
      <c r="I41" s="18" t="n"/>
      <c r="J41" s="18" t="n"/>
      <c r="K41" s="37">
        <f>SUM(G41:J41)</f>
        <v/>
      </c>
      <c r="L41" s="18" t="n"/>
      <c r="M41" s="18" t="n"/>
      <c r="N41" s="18" t="n"/>
      <c r="O41" s="18" t="n"/>
      <c r="P41" s="37">
        <f>SUM(L41:O41)</f>
        <v/>
      </c>
      <c r="Q41" s="18" t="n"/>
      <c r="R41" s="18" t="n"/>
      <c r="S41" s="18" t="n"/>
      <c r="T41" s="18" t="n"/>
      <c r="U41" s="37">
        <f>SUM(Q41:T41)</f>
        <v/>
      </c>
      <c r="V41" s="18" t="n"/>
      <c r="W41" s="18" t="n"/>
      <c r="X41" s="18" t="n"/>
      <c r="Y41" s="18" t="n"/>
      <c r="Z41" s="37">
        <f>SUM(V41:Y41)</f>
        <v/>
      </c>
      <c r="AA41" s="18" t="n"/>
      <c r="AB41" s="19" t="n"/>
      <c r="AC41" s="20">
        <f>IFERROR(AC40*변수!AC42,"")</f>
        <v/>
      </c>
      <c r="AD41" s="20">
        <f>IFERROR(AD40*변수!AD42,"")</f>
        <v/>
      </c>
      <c r="AE41" s="38">
        <f>SUM(AA41:AD41)</f>
        <v/>
      </c>
      <c r="AF41" s="20">
        <f>IFERROR(AF40*변수!AF42,"")</f>
        <v/>
      </c>
      <c r="AG41" s="20">
        <f>IFERROR(AG40*변수!AG42,"")</f>
        <v/>
      </c>
      <c r="AH41" s="20">
        <f>IFERROR(AH40*변수!AH42,"")</f>
        <v/>
      </c>
      <c r="AI41" s="20">
        <f>IFERROR(AI40*변수!AI42,"")</f>
        <v/>
      </c>
      <c r="AJ41" s="38">
        <f>SUM(AF41:AI41)</f>
        <v/>
      </c>
      <c r="AK41" s="20">
        <f>IFERROR(AK40*변수!AK42,"")</f>
        <v/>
      </c>
      <c r="AL41" s="20">
        <f>IFERROR(AL40*변수!AL42,"")</f>
        <v/>
      </c>
      <c r="AM41" s="20">
        <f>IFERROR(AM40*변수!AM42,"")</f>
        <v/>
      </c>
      <c r="AN41" s="20">
        <f>IFERROR(AN40*변수!AN42,"")</f>
        <v/>
      </c>
      <c r="AO41" s="38">
        <f>SUM(AK41:AN41)</f>
        <v/>
      </c>
    </row>
    <row r="42">
      <c r="B42" s="2" t="inlineStr">
        <is>
          <t>비율(참고)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NPM</t>
        </is>
      </c>
      <c r="C43" t="inlineStr">
        <is>
          <t>%</t>
        </is>
      </c>
      <c r="D43" t="inlineStr">
        <is>
          <t>지배주주순이익 / 매출액</t>
        </is>
      </c>
      <c r="E43" s="21">
        <f>IFERROR(E18/E5,"")</f>
        <v/>
      </c>
      <c r="F43" s="22">
        <f>IFERROR(F18/F5,"")</f>
        <v/>
      </c>
      <c r="G43" s="21">
        <f>IFERROR(G18/G5,"")</f>
        <v/>
      </c>
      <c r="H43" s="21">
        <f>IFERROR(H18/H5,"")</f>
        <v/>
      </c>
      <c r="I43" s="21">
        <f>IFERROR(I18/I5,"")</f>
        <v/>
      </c>
      <c r="J43" s="21">
        <f>IFERROR(J18/J5,"")</f>
        <v/>
      </c>
      <c r="K43" s="22">
        <f>IFERROR(K18/K5,"")</f>
        <v/>
      </c>
      <c r="L43" s="21">
        <f>IFERROR(L18/L5,"")</f>
        <v/>
      </c>
      <c r="M43" s="21">
        <f>IFERROR(M18/M5,"")</f>
        <v/>
      </c>
      <c r="N43" s="21">
        <f>IFERROR(N18/N5,"")</f>
        <v/>
      </c>
      <c r="O43" s="21">
        <f>IFERROR(O18/O5,"")</f>
        <v/>
      </c>
      <c r="P43" s="22">
        <f>IFERROR(P18/P5,"")</f>
        <v/>
      </c>
      <c r="Q43" s="21">
        <f>IFERROR(Q18/Q5,"")</f>
        <v/>
      </c>
      <c r="R43" s="21">
        <f>IFERROR(R18/R5,"")</f>
        <v/>
      </c>
      <c r="S43" s="21">
        <f>IFERROR(S18/S5,"")</f>
        <v/>
      </c>
      <c r="T43" s="21">
        <f>IFERROR(T18/T5,"")</f>
        <v/>
      </c>
      <c r="U43" s="22">
        <f>IFERROR(U18/U5,"")</f>
        <v/>
      </c>
      <c r="V43" s="21">
        <f>IFERROR(V18/V5,"")</f>
        <v/>
      </c>
      <c r="W43" s="21">
        <f>IFERROR(W18/W5,"")</f>
        <v/>
      </c>
      <c r="X43" s="21">
        <f>IFERROR(X18/X5,"")</f>
        <v/>
      </c>
      <c r="Y43" s="21">
        <f>IFERROR(Y18/Y5,"")</f>
        <v/>
      </c>
      <c r="Z43" s="22">
        <f>IFERROR(Z18/Z5,"")</f>
        <v/>
      </c>
      <c r="AA43" s="21">
        <f>IFERROR(AA18/AA5,"")</f>
        <v/>
      </c>
      <c r="AB43" s="23">
        <f>IFERROR(AB18/AB5,"")</f>
        <v/>
      </c>
      <c r="AC43" s="33">
        <f>IFERROR(AC18/AC5,"")</f>
        <v/>
      </c>
      <c r="AD43" s="33">
        <f>IFERROR(AD18/AD5,"")</f>
        <v/>
      </c>
      <c r="AE43" s="25">
        <f>IFERROR(AE18/AE5,"")</f>
        <v/>
      </c>
      <c r="AF43" s="33">
        <f>IFERROR(AF18/AF5,"")</f>
        <v/>
      </c>
      <c r="AG43" s="33">
        <f>IFERROR(AG18/AG5,"")</f>
        <v/>
      </c>
      <c r="AH43" s="33">
        <f>IFERROR(AH18/AH5,"")</f>
        <v/>
      </c>
      <c r="AI43" s="33">
        <f>IFERROR(AI18/AI5,"")</f>
        <v/>
      </c>
      <c r="AJ43" s="25">
        <f>IFERROR(AJ18/AJ5,"")</f>
        <v/>
      </c>
      <c r="AK43" s="33">
        <f>IFERROR(AK18/AK5,"")</f>
        <v/>
      </c>
      <c r="AL43" s="33">
        <f>IFERROR(AL18/AL5,"")</f>
        <v/>
      </c>
      <c r="AM43" s="33">
        <f>IFERROR(AM18/AM5,"")</f>
        <v/>
      </c>
      <c r="AN43" s="33">
        <f>IFERROR(AN18/AN5,"")</f>
        <v/>
      </c>
      <c r="AO43" s="25">
        <f>IFERROR(AO18/AO5,"")</f>
        <v/>
      </c>
    </row>
    <row r="44">
      <c r="A44" s="12" t="inlineStr">
        <is>
          <t>매출원가율</t>
        </is>
      </c>
      <c r="C44" t="inlineStr">
        <is>
          <t>%</t>
        </is>
      </c>
      <c r="D44" t="inlineStr">
        <is>
          <t>매출원가 / 매출액</t>
        </is>
      </c>
      <c r="E44" s="21">
        <f>IFERROR(E6/E5,"")</f>
        <v/>
      </c>
      <c r="F44" s="22">
        <f>IFERROR(F6/F5,"")</f>
        <v/>
      </c>
      <c r="G44" s="21">
        <f>IFERROR(G6/G5,"")</f>
        <v/>
      </c>
      <c r="H44" s="21">
        <f>IFERROR(H6/H5,"")</f>
        <v/>
      </c>
      <c r="I44" s="21">
        <f>IFERROR(I6/I5,"")</f>
        <v/>
      </c>
      <c r="J44" s="21">
        <f>IFERROR(J6/J5,"")</f>
        <v/>
      </c>
      <c r="K44" s="22">
        <f>IFERROR(K6/K5,"")</f>
        <v/>
      </c>
      <c r="L44" s="21">
        <f>IFERROR(L6/L5,"")</f>
        <v/>
      </c>
      <c r="M44" s="21">
        <f>IFERROR(M6/M5,"")</f>
        <v/>
      </c>
      <c r="N44" s="21">
        <f>IFERROR(N6/N5,"")</f>
        <v/>
      </c>
      <c r="O44" s="21">
        <f>IFERROR(O6/O5,"")</f>
        <v/>
      </c>
      <c r="P44" s="22">
        <f>IFERROR(P6/P5,"")</f>
        <v/>
      </c>
      <c r="Q44" s="21">
        <f>IFERROR(Q6/Q5,"")</f>
        <v/>
      </c>
      <c r="R44" s="21">
        <f>IFERROR(R6/R5,"")</f>
        <v/>
      </c>
      <c r="S44" s="21">
        <f>IFERROR(S6/S5,"")</f>
        <v/>
      </c>
      <c r="T44" s="21">
        <f>IFERROR(T6/T5,"")</f>
        <v/>
      </c>
      <c r="U44" s="22">
        <f>IFERROR(U6/U5,"")</f>
        <v/>
      </c>
      <c r="V44" s="21">
        <f>IFERROR(V6/V5,"")</f>
        <v/>
      </c>
      <c r="W44" s="21">
        <f>IFERROR(W6/W5,"")</f>
        <v/>
      </c>
      <c r="X44" s="21">
        <f>IFERROR(X6/X5,"")</f>
        <v/>
      </c>
      <c r="Y44" s="21">
        <f>IFERROR(Y6/Y5,"")</f>
        <v/>
      </c>
      <c r="Z44" s="22">
        <f>IFERROR(Z6/Z5,"")</f>
        <v/>
      </c>
      <c r="AA44" s="21">
        <f>IFERROR(AA6/AA5,"")</f>
        <v/>
      </c>
      <c r="AB44" s="23">
        <f>IFERROR(AB6/AB5,"")</f>
        <v/>
      </c>
      <c r="AC44" s="33">
        <f>IFERROR(AC6/AC5,"")</f>
        <v/>
      </c>
      <c r="AD44" s="33">
        <f>IFERROR(AD6/AD5,"")</f>
        <v/>
      </c>
      <c r="AE44" s="25">
        <f>IFERROR(AE6/AE5,"")</f>
        <v/>
      </c>
      <c r="AF44" s="33">
        <f>IFERROR(AF6/AF5,"")</f>
        <v/>
      </c>
      <c r="AG44" s="33">
        <f>IFERROR(AG6/AG5,"")</f>
        <v/>
      </c>
      <c r="AH44" s="33">
        <f>IFERROR(AH6/AH5,"")</f>
        <v/>
      </c>
      <c r="AI44" s="33">
        <f>IFERROR(AI6/AI5,"")</f>
        <v/>
      </c>
      <c r="AJ44" s="25">
        <f>IFERROR(AJ6/AJ5,"")</f>
        <v/>
      </c>
      <c r="AK44" s="33">
        <f>IFERROR(AK6/AK5,"")</f>
        <v/>
      </c>
      <c r="AL44" s="33">
        <f>IFERROR(AL6/AL5,"")</f>
        <v/>
      </c>
      <c r="AM44" s="33">
        <f>IFERROR(AM6/AM5,"")</f>
        <v/>
      </c>
      <c r="AN44" s="33">
        <f>IFERROR(AN6/AN5,"")</f>
        <v/>
      </c>
      <c r="AO44" s="25">
        <f>IFERROR(AO6/AO5,"")</f>
        <v/>
      </c>
    </row>
    <row r="45">
      <c r="A45" s="12" t="inlineStr">
        <is>
          <t>판관비율</t>
        </is>
      </c>
      <c r="C45" t="inlineStr">
        <is>
          <t>%</t>
        </is>
      </c>
      <c r="D45" t="inlineStr">
        <is>
          <t>판관비 / 매출액</t>
        </is>
      </c>
      <c r="E45" s="21">
        <f>IFERROR(E8/E5,"")</f>
        <v/>
      </c>
      <c r="F45" s="22">
        <f>IFERROR(F8/F5,"")</f>
        <v/>
      </c>
      <c r="G45" s="21">
        <f>IFERROR(G8/G5,"")</f>
        <v/>
      </c>
      <c r="H45" s="21">
        <f>IFERROR(H8/H5,"")</f>
        <v/>
      </c>
      <c r="I45" s="21">
        <f>IFERROR(I8/I5,"")</f>
        <v/>
      </c>
      <c r="J45" s="21">
        <f>IFERROR(J8/J5,"")</f>
        <v/>
      </c>
      <c r="K45" s="22">
        <f>IFERROR(K8/K5,"")</f>
        <v/>
      </c>
      <c r="L45" s="21">
        <f>IFERROR(L8/L5,"")</f>
        <v/>
      </c>
      <c r="M45" s="21">
        <f>IFERROR(M8/M5,"")</f>
        <v/>
      </c>
      <c r="N45" s="21">
        <f>IFERROR(N8/N5,"")</f>
        <v/>
      </c>
      <c r="O45" s="21">
        <f>IFERROR(O8/O5,"")</f>
        <v/>
      </c>
      <c r="P45" s="22">
        <f>IFERROR(P8/P5,"")</f>
        <v/>
      </c>
      <c r="Q45" s="21">
        <f>IFERROR(Q8/Q5,"")</f>
        <v/>
      </c>
      <c r="R45" s="21">
        <f>IFERROR(R8/R5,"")</f>
        <v/>
      </c>
      <c r="S45" s="21">
        <f>IFERROR(S8/S5,"")</f>
        <v/>
      </c>
      <c r="T45" s="21">
        <f>IFERROR(T8/T5,"")</f>
        <v/>
      </c>
      <c r="U45" s="22">
        <f>IFERROR(U8/U5,"")</f>
        <v/>
      </c>
      <c r="V45" s="21">
        <f>IFERROR(V8/V5,"")</f>
        <v/>
      </c>
      <c r="W45" s="21">
        <f>IFERROR(W8/W5,"")</f>
        <v/>
      </c>
      <c r="X45" s="21">
        <f>IFERROR(X8/X5,"")</f>
        <v/>
      </c>
      <c r="Y45" s="21">
        <f>IFERROR(Y8/Y5,"")</f>
        <v/>
      </c>
      <c r="Z45" s="22">
        <f>IFERROR(Z8/Z5,"")</f>
        <v/>
      </c>
      <c r="AA45" s="21">
        <f>IFERROR(AA8/AA5,"")</f>
        <v/>
      </c>
      <c r="AB45" s="23">
        <f>IFERROR(AB8/AB5,"")</f>
        <v/>
      </c>
      <c r="AC45" s="33">
        <f>IFERROR(AC8/AC5,"")</f>
        <v/>
      </c>
      <c r="AD45" s="33">
        <f>IFERROR(AD8/AD5,"")</f>
        <v/>
      </c>
      <c r="AE45" s="25">
        <f>IFERROR(AE8/AE5,"")</f>
        <v/>
      </c>
      <c r="AF45" s="33">
        <f>IFERROR(AF8/AF5,"")</f>
        <v/>
      </c>
      <c r="AG45" s="33">
        <f>IFERROR(AG8/AG5,"")</f>
        <v/>
      </c>
      <c r="AH45" s="33">
        <f>IFERROR(AH8/AH5,"")</f>
        <v/>
      </c>
      <c r="AI45" s="33">
        <f>IFERROR(AI8/AI5,"")</f>
        <v/>
      </c>
      <c r="AJ45" s="25">
        <f>IFERROR(AJ8/AJ5,"")</f>
        <v/>
      </c>
      <c r="AK45" s="33">
        <f>IFERROR(AK8/AK5,"")</f>
        <v/>
      </c>
      <c r="AL45" s="33">
        <f>IFERROR(AL8/AL5,"")</f>
        <v/>
      </c>
      <c r="AM45" s="33">
        <f>IFERROR(AM8/AM5,"")</f>
        <v/>
      </c>
      <c r="AN45" s="33">
        <f>IFERROR(AN8/AN5,"")</f>
        <v/>
      </c>
      <c r="AO45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N17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  <col width="11" customWidth="1" min="148" max="148"/>
    <col width="11" customWidth="1" min="149" max="149"/>
    <col width="11" customWidth="1" min="150" max="150"/>
    <col width="11" customWidth="1" min="151" max="151"/>
    <col width="11" customWidth="1" min="152" max="152"/>
    <col width="11" customWidth="1" min="153" max="153"/>
    <col width="11" customWidth="1" min="154" max="154"/>
    <col width="11" customWidth="1" min="155" max="155"/>
    <col width="11" customWidth="1" min="156" max="156"/>
    <col width="11" customWidth="1" min="157" max="157"/>
    <col width="11" customWidth="1" min="158" max="158"/>
    <col width="11" customWidth="1" min="159" max="159"/>
    <col width="11" customWidth="1" min="160" max="160"/>
    <col width="11" customWidth="1" min="161" max="161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</cols>
  <sheetData>
    <row r="1">
      <c r="C1" s="2" t="inlineStr">
        <is>
          <t>이름: SLS_H · 선표 매출인식(백만$) — sls json origin 2026Q2</t>
        </is>
      </c>
      <c r="E1" s="3" t="inlineStr">
        <is>
          <t>2Q18</t>
        </is>
      </c>
      <c r="F1" s="3" t="inlineStr">
        <is>
          <t>3Q18</t>
        </is>
      </c>
      <c r="G1" s="3" t="inlineStr">
        <is>
          <t>4Q18</t>
        </is>
      </c>
      <c r="H1" s="3" t="inlineStr">
        <is>
          <t>1Q19</t>
        </is>
      </c>
      <c r="I1" s="3" t="inlineStr">
        <is>
          <t>2Q19</t>
        </is>
      </c>
      <c r="J1" s="3" t="inlineStr">
        <is>
          <t>3Q19</t>
        </is>
      </c>
      <c r="K1" s="3" t="inlineStr">
        <is>
          <t>4Q19</t>
        </is>
      </c>
      <c r="L1" s="3" t="inlineStr">
        <is>
          <t>1Q20</t>
        </is>
      </c>
      <c r="M1" s="3" t="inlineStr">
        <is>
          <t>2Q20</t>
        </is>
      </c>
      <c r="N1" s="3" t="inlineStr">
        <is>
          <t>3Q20</t>
        </is>
      </c>
      <c r="O1" s="3" t="inlineStr">
        <is>
          <t>4Q20</t>
        </is>
      </c>
      <c r="P1" s="3" t="inlineStr">
        <is>
          <t>1Q21</t>
        </is>
      </c>
      <c r="Q1" s="3" t="inlineStr">
        <is>
          <t>2Q21</t>
        </is>
      </c>
      <c r="R1" s="3" t="inlineStr">
        <is>
          <t>3Q21</t>
        </is>
      </c>
      <c r="S1" s="3" t="inlineStr">
        <is>
          <t>4Q21</t>
        </is>
      </c>
      <c r="T1" s="3" t="inlineStr">
        <is>
          <t>1Q22</t>
        </is>
      </c>
      <c r="U1" s="3" t="inlineStr">
        <is>
          <t>2Q22</t>
        </is>
      </c>
      <c r="V1" s="3" t="inlineStr">
        <is>
          <t>3Q22</t>
        </is>
      </c>
      <c r="W1" s="3" t="inlineStr">
        <is>
          <t>4Q22</t>
        </is>
      </c>
      <c r="X1" s="3" t="inlineStr">
        <is>
          <t>1Q23</t>
        </is>
      </c>
      <c r="Y1" s="3" t="inlineStr">
        <is>
          <t>2Q23</t>
        </is>
      </c>
      <c r="Z1" s="3" t="inlineStr">
        <is>
          <t>3Q23</t>
        </is>
      </c>
      <c r="AA1" s="3" t="inlineStr">
        <is>
          <t>4Q23</t>
        </is>
      </c>
      <c r="AB1" s="3" t="inlineStr">
        <is>
          <t>1Q24</t>
        </is>
      </c>
      <c r="AC1" s="3" t="inlineStr">
        <is>
          <t>2Q24</t>
        </is>
      </c>
      <c r="AD1" s="3" t="inlineStr">
        <is>
          <t>3Q24</t>
        </is>
      </c>
      <c r="AE1" s="3" t="inlineStr">
        <is>
          <t>4Q24</t>
        </is>
      </c>
      <c r="AF1" s="3" t="inlineStr">
        <is>
          <t>1Q25</t>
        </is>
      </c>
      <c r="AG1" s="3" t="inlineStr">
        <is>
          <t>2Q25</t>
        </is>
      </c>
      <c r="AH1" s="3" t="inlineStr">
        <is>
          <t>3Q25</t>
        </is>
      </c>
      <c r="AI1" s="3" t="inlineStr">
        <is>
          <t>4Q25</t>
        </is>
      </c>
      <c r="AJ1" s="3" t="inlineStr">
        <is>
          <t>1Q26</t>
        </is>
      </c>
      <c r="AK1" s="3" t="inlineStr">
        <is>
          <t>2Q26</t>
        </is>
      </c>
      <c r="AL1" s="3" t="inlineStr">
        <is>
          <t>3Q26</t>
        </is>
      </c>
      <c r="AM1" s="3" t="inlineStr">
        <is>
          <t>4Q26</t>
        </is>
      </c>
      <c r="AN1" s="3" t="inlineStr">
        <is>
          <t>1Q27</t>
        </is>
      </c>
      <c r="AO1" s="3" t="inlineStr">
        <is>
          <t>2Q27</t>
        </is>
      </c>
      <c r="AP1" s="3" t="inlineStr">
        <is>
          <t>3Q27</t>
        </is>
      </c>
      <c r="AQ1" s="3" t="inlineStr">
        <is>
          <t>4Q27</t>
        </is>
      </c>
      <c r="AR1" s="3" t="inlineStr">
        <is>
          <t>1Q28</t>
        </is>
      </c>
      <c r="AS1" s="3" t="inlineStr">
        <is>
          <t>2Q28</t>
        </is>
      </c>
      <c r="AT1" s="3" t="inlineStr">
        <is>
          <t>3Q28</t>
        </is>
      </c>
      <c r="AU1" s="3" t="inlineStr">
        <is>
          <t>4Q28</t>
        </is>
      </c>
      <c r="AV1" s="3" t="inlineStr">
        <is>
          <t>1Q29</t>
        </is>
      </c>
      <c r="AW1" s="3" t="inlineStr">
        <is>
          <t>2Q29</t>
        </is>
      </c>
      <c r="AX1" s="3" t="inlineStr">
        <is>
          <t>3Q29</t>
        </is>
      </c>
      <c r="AY1" s="3" t="inlineStr">
        <is>
          <t>4Q29</t>
        </is>
      </c>
      <c r="AZ1" s="3" t="inlineStr">
        <is>
          <t>1Q30</t>
        </is>
      </c>
      <c r="BA1" s="3" t="inlineStr">
        <is>
          <t>2Q30</t>
        </is>
      </c>
      <c r="BB1" s="3" t="inlineStr">
        <is>
          <t>3Q30</t>
        </is>
      </c>
      <c r="BC1" s="3" t="inlineStr">
        <is>
          <t>4Q30</t>
        </is>
      </c>
      <c r="BD1" s="3" t="inlineStr">
        <is>
          <t>1Q31</t>
        </is>
      </c>
      <c r="BE1" s="3" t="inlineStr">
        <is>
          <t>2Q31</t>
        </is>
      </c>
      <c r="BF1" s="3" t="inlineStr">
        <is>
          <t>3Q31</t>
        </is>
      </c>
      <c r="BG1" s="3" t="inlineStr">
        <is>
          <t>4Q31</t>
        </is>
      </c>
      <c r="BH1" s="3" t="inlineStr">
        <is>
          <t>1Q32</t>
        </is>
      </c>
      <c r="BI1" s="3" t="inlineStr">
        <is>
          <t>2Q32</t>
        </is>
      </c>
      <c r="BJ1" s="3" t="inlineStr">
        <is>
          <t>3Q32</t>
        </is>
      </c>
      <c r="BK1" s="3" t="inlineStr">
        <is>
          <t>4Q32</t>
        </is>
      </c>
      <c r="BL1" s="3" t="inlineStr">
        <is>
          <t>1Q33</t>
        </is>
      </c>
      <c r="BM1" s="3" t="inlineStr">
        <is>
          <t>2Q33</t>
        </is>
      </c>
      <c r="BN1" s="3" t="inlineStr">
        <is>
          <t>3Q33</t>
        </is>
      </c>
      <c r="BO1" s="3" t="inlineStr">
        <is>
          <t>4Q33</t>
        </is>
      </c>
      <c r="BP1" s="3" t="inlineStr">
        <is>
          <t>1Q34</t>
        </is>
      </c>
      <c r="BQ1" s="3" t="inlineStr">
        <is>
          <t>2Q34</t>
        </is>
      </c>
      <c r="BR1" s="3" t="inlineStr">
        <is>
          <t>3Q34</t>
        </is>
      </c>
      <c r="BS1" s="3" t="inlineStr">
        <is>
          <t>4Q34</t>
        </is>
      </c>
      <c r="BT1" s="3" t="inlineStr">
        <is>
          <t>1Q35</t>
        </is>
      </c>
      <c r="BU1" s="3" t="inlineStr">
        <is>
          <t>2Q35</t>
        </is>
      </c>
      <c r="BV1" s="3" t="inlineStr">
        <is>
          <t>3Q35</t>
        </is>
      </c>
      <c r="BW1" s="3" t="inlineStr">
        <is>
          <t>4Q35</t>
        </is>
      </c>
      <c r="BX1" s="3" t="inlineStr">
        <is>
          <t>1Q36</t>
        </is>
      </c>
      <c r="BY1" s="3" t="inlineStr">
        <is>
          <t>2Q36</t>
        </is>
      </c>
      <c r="BZ1" s="3" t="inlineStr">
        <is>
          <t>3Q36</t>
        </is>
      </c>
      <c r="CA1" s="3" t="inlineStr">
        <is>
          <t>4Q36</t>
        </is>
      </c>
      <c r="CB1" s="3" t="inlineStr">
        <is>
          <t>1Q37</t>
        </is>
      </c>
      <c r="CC1" s="3" t="inlineStr">
        <is>
          <t>2Q37</t>
        </is>
      </c>
      <c r="CD1" s="3" t="inlineStr">
        <is>
          <t>3Q37</t>
        </is>
      </c>
      <c r="CE1" s="3" t="inlineStr">
        <is>
          <t>4Q37</t>
        </is>
      </c>
      <c r="CF1" s="3" t="inlineStr">
        <is>
          <t>1Q38</t>
        </is>
      </c>
      <c r="CG1" s="3" t="inlineStr">
        <is>
          <t>2Q38</t>
        </is>
      </c>
      <c r="CH1" s="3" t="inlineStr">
        <is>
          <t>3Q38</t>
        </is>
      </c>
      <c r="CI1" s="3" t="inlineStr">
        <is>
          <t>4Q38</t>
        </is>
      </c>
      <c r="CJ1" s="3" t="inlineStr">
        <is>
          <t>1Q39</t>
        </is>
      </c>
      <c r="CK1" s="3" t="inlineStr">
        <is>
          <t>2Q39</t>
        </is>
      </c>
      <c r="CL1" s="3" t="inlineStr">
        <is>
          <t>3Q39</t>
        </is>
      </c>
      <c r="CM1" s="3" t="inlineStr">
        <is>
          <t>4Q39</t>
        </is>
      </c>
      <c r="CN1" s="3" t="inlineStr">
        <is>
          <t>1Q40</t>
        </is>
      </c>
      <c r="CO1" s="3" t="inlineStr">
        <is>
          <t>2Q40</t>
        </is>
      </c>
      <c r="CP1" s="3" t="inlineStr">
        <is>
          <t>3Q40</t>
        </is>
      </c>
      <c r="CQ1" s="3" t="inlineStr">
        <is>
          <t>4Q40</t>
        </is>
      </c>
      <c r="CR1" s="3" t="inlineStr">
        <is>
          <t>1Q41</t>
        </is>
      </c>
      <c r="CS1" s="3" t="inlineStr">
        <is>
          <t>2Q41</t>
        </is>
      </c>
      <c r="CT1" s="3" t="inlineStr">
        <is>
          <t>3Q41</t>
        </is>
      </c>
      <c r="CU1" s="3" t="inlineStr">
        <is>
          <t>4Q41</t>
        </is>
      </c>
      <c r="CV1" s="3" t="inlineStr">
        <is>
          <t>1Q42</t>
        </is>
      </c>
      <c r="CW1" s="3" t="inlineStr">
        <is>
          <t>2Q42</t>
        </is>
      </c>
      <c r="CX1" s="3" t="inlineStr">
        <is>
          <t>3Q42</t>
        </is>
      </c>
      <c r="CY1" s="3" t="inlineStr">
        <is>
          <t>4Q42</t>
        </is>
      </c>
      <c r="CZ1" s="3" t="inlineStr">
        <is>
          <t>1Q43</t>
        </is>
      </c>
      <c r="DA1" s="3" t="inlineStr">
        <is>
          <t>2Q43</t>
        </is>
      </c>
      <c r="DB1" s="3" t="inlineStr">
        <is>
          <t>3Q43</t>
        </is>
      </c>
      <c r="DC1" s="3" t="inlineStr">
        <is>
          <t>4Q43</t>
        </is>
      </c>
      <c r="DD1" s="3" t="inlineStr">
        <is>
          <t>1Q44</t>
        </is>
      </c>
      <c r="DE1" s="3" t="inlineStr">
        <is>
          <t>2Q44</t>
        </is>
      </c>
      <c r="DF1" s="3" t="inlineStr">
        <is>
          <t>3Q44</t>
        </is>
      </c>
      <c r="DG1" s="3" t="inlineStr">
        <is>
          <t>4Q44</t>
        </is>
      </c>
      <c r="DH1" s="3" t="inlineStr">
        <is>
          <t>1Q45</t>
        </is>
      </c>
      <c r="DI1" s="3" t="inlineStr">
        <is>
          <t>2Q45</t>
        </is>
      </c>
      <c r="DJ1" s="3" t="inlineStr">
        <is>
          <t>3Q45</t>
        </is>
      </c>
      <c r="DK1" s="3" t="inlineStr">
        <is>
          <t>4Q45</t>
        </is>
      </c>
      <c r="DL1" s="3" t="inlineStr">
        <is>
          <t>1Q46</t>
        </is>
      </c>
      <c r="DM1" s="3" t="inlineStr">
        <is>
          <t>2Q46</t>
        </is>
      </c>
      <c r="DN1" s="3" t="inlineStr">
        <is>
          <t>3Q46</t>
        </is>
      </c>
      <c r="DO1" s="3" t="inlineStr">
        <is>
          <t>4Q46</t>
        </is>
      </c>
      <c r="DP1" s="3" t="inlineStr">
        <is>
          <t>1Q47</t>
        </is>
      </c>
      <c r="DQ1" s="3" t="inlineStr">
        <is>
          <t>2Q47</t>
        </is>
      </c>
      <c r="DR1" s="3" t="inlineStr">
        <is>
          <t>3Q47</t>
        </is>
      </c>
      <c r="DS1" s="3" t="inlineStr">
        <is>
          <t>4Q47</t>
        </is>
      </c>
      <c r="DT1" s="3" t="inlineStr">
        <is>
          <t>1Q48</t>
        </is>
      </c>
      <c r="DU1" s="3" t="inlineStr">
        <is>
          <t>2Q48</t>
        </is>
      </c>
      <c r="DV1" s="3" t="inlineStr">
        <is>
          <t>3Q48</t>
        </is>
      </c>
      <c r="DW1" s="3" t="inlineStr">
        <is>
          <t>4Q48</t>
        </is>
      </c>
      <c r="DX1" s="3" t="inlineStr">
        <is>
          <t>1Q49</t>
        </is>
      </c>
      <c r="DY1" s="3" t="inlineStr">
        <is>
          <t>2Q49</t>
        </is>
      </c>
      <c r="DZ1" s="3" t="n">
        <v>2018</v>
      </c>
      <c r="EA1" s="3" t="n">
        <v>2019</v>
      </c>
      <c r="EB1" s="3" t="n">
        <v>2020</v>
      </c>
      <c r="EC1" s="3" t="n">
        <v>2021</v>
      </c>
      <c r="ED1" s="3" t="n">
        <v>2022</v>
      </c>
      <c r="EE1" s="3" t="n">
        <v>2023</v>
      </c>
      <c r="EF1" s="3" t="n">
        <v>2024</v>
      </c>
      <c r="EG1" s="3" t="n">
        <v>2025</v>
      </c>
      <c r="EH1" s="3" t="n">
        <v>2026</v>
      </c>
      <c r="EI1" s="3" t="n">
        <v>2027</v>
      </c>
      <c r="EJ1" s="3" t="n">
        <v>2028</v>
      </c>
      <c r="EK1" s="3" t="n">
        <v>2029</v>
      </c>
      <c r="EL1" s="3" t="n">
        <v>2030</v>
      </c>
      <c r="EM1" s="3" t="n">
        <v>2031</v>
      </c>
      <c r="EN1" s="3" t="n">
        <v>2032</v>
      </c>
      <c r="EO1" s="3" t="n">
        <v>2033</v>
      </c>
      <c r="EP1" s="3" t="n">
        <v>2034</v>
      </c>
      <c r="EQ1" s="3" t="n">
        <v>2035</v>
      </c>
      <c r="ER1" s="3" t="n">
        <v>2036</v>
      </c>
      <c r="ES1" s="3" t="n">
        <v>2037</v>
      </c>
      <c r="ET1" s="3" t="n">
        <v>2038</v>
      </c>
      <c r="EU1" s="3" t="n">
        <v>2039</v>
      </c>
      <c r="EV1" s="3" t="n">
        <v>2040</v>
      </c>
      <c r="EW1" s="3" t="n">
        <v>2041</v>
      </c>
      <c r="EX1" s="3" t="n">
        <v>2042</v>
      </c>
      <c r="EY1" s="3" t="n">
        <v>2043</v>
      </c>
      <c r="EZ1" s="3" t="n">
        <v>2044</v>
      </c>
      <c r="FA1" s="3" t="n">
        <v>2045</v>
      </c>
      <c r="FB1" s="3" t="n">
        <v>2046</v>
      </c>
      <c r="FC1" s="3" t="n">
        <v>2047</v>
      </c>
      <c r="FD1" s="3" t="n">
        <v>2048</v>
      </c>
      <c r="FE1" s="3" t="n">
        <v>2049</v>
      </c>
    </row>
    <row r="2">
      <c r="A2" s="2" t="inlineStr">
        <is>
          <t>코호트 표(레퍼런스 실측 캘리브레이션): ①적자 −1.1% ②BEP 1% ③중마진 4.3% ④호황 5.4% ⑤초호황 10.8% — 회사별 캘리브레이션은 target_opm.basis 참조 · 코호트 모드 reference_anchor(대안 ledger_relative) · 잔고 캡 미적용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  <c r="AP3" s="2" t="n">
        <v>38</v>
      </c>
      <c r="AQ3" s="2" t="n">
        <v>39</v>
      </c>
      <c r="AR3" s="2" t="n">
        <v>40</v>
      </c>
      <c r="AS3" s="2" t="n">
        <v>41</v>
      </c>
      <c r="AT3" s="2" t="n">
        <v>42</v>
      </c>
      <c r="AU3" s="2" t="n">
        <v>43</v>
      </c>
      <c r="AV3" s="2" t="n">
        <v>44</v>
      </c>
      <c r="AW3" s="2" t="n">
        <v>45</v>
      </c>
      <c r="AX3" s="2" t="n">
        <v>46</v>
      </c>
      <c r="AY3" s="2" t="n">
        <v>47</v>
      </c>
      <c r="AZ3" s="2" t="n">
        <v>48</v>
      </c>
      <c r="BA3" s="2" t="n">
        <v>49</v>
      </c>
      <c r="BB3" s="2" t="n">
        <v>50</v>
      </c>
      <c r="BC3" s="2" t="n">
        <v>51</v>
      </c>
      <c r="BD3" s="2" t="n">
        <v>52</v>
      </c>
      <c r="BE3" s="2" t="n">
        <v>53</v>
      </c>
      <c r="BF3" s="2" t="n">
        <v>54</v>
      </c>
      <c r="BG3" s="2" t="n">
        <v>55</v>
      </c>
      <c r="BH3" s="2" t="n">
        <v>56</v>
      </c>
      <c r="BI3" s="2" t="n">
        <v>57</v>
      </c>
      <c r="BJ3" s="2" t="n">
        <v>58</v>
      </c>
      <c r="BK3" s="2" t="n">
        <v>59</v>
      </c>
      <c r="BL3" s="2" t="n">
        <v>60</v>
      </c>
      <c r="BM3" s="2" t="n">
        <v>61</v>
      </c>
      <c r="BN3" s="2" t="n">
        <v>62</v>
      </c>
      <c r="BO3" s="2" t="n">
        <v>63</v>
      </c>
      <c r="BP3" s="2" t="n">
        <v>64</v>
      </c>
      <c r="BQ3" s="2" t="n">
        <v>65</v>
      </c>
      <c r="BR3" s="2" t="n">
        <v>66</v>
      </c>
      <c r="BS3" s="2" t="n">
        <v>67</v>
      </c>
      <c r="BT3" s="2" t="n">
        <v>68</v>
      </c>
      <c r="BU3" s="2" t="n">
        <v>69</v>
      </c>
      <c r="BV3" s="2" t="n">
        <v>70</v>
      </c>
      <c r="BW3" s="2" t="n">
        <v>71</v>
      </c>
      <c r="BX3" s="2" t="n">
        <v>72</v>
      </c>
      <c r="BY3" s="2" t="n">
        <v>73</v>
      </c>
      <c r="BZ3" s="2" t="n">
        <v>74</v>
      </c>
      <c r="CA3" s="2" t="n">
        <v>75</v>
      </c>
      <c r="CB3" s="2" t="n">
        <v>76</v>
      </c>
      <c r="CC3" s="2" t="n">
        <v>77</v>
      </c>
      <c r="CD3" s="2" t="n">
        <v>78</v>
      </c>
      <c r="CE3" s="2" t="n">
        <v>79</v>
      </c>
      <c r="CF3" s="2" t="n">
        <v>80</v>
      </c>
      <c r="CG3" s="2" t="n">
        <v>81</v>
      </c>
      <c r="CH3" s="2" t="n">
        <v>82</v>
      </c>
      <c r="CI3" s="2" t="n">
        <v>83</v>
      </c>
      <c r="CJ3" s="2" t="n">
        <v>84</v>
      </c>
      <c r="CK3" s="2" t="n">
        <v>85</v>
      </c>
      <c r="CL3" s="2" t="n">
        <v>86</v>
      </c>
      <c r="CM3" s="2" t="n">
        <v>87</v>
      </c>
      <c r="CN3" s="2" t="n">
        <v>88</v>
      </c>
      <c r="CO3" s="2" t="n">
        <v>89</v>
      </c>
      <c r="CP3" s="2" t="n">
        <v>90</v>
      </c>
      <c r="CQ3" s="2" t="n">
        <v>91</v>
      </c>
      <c r="CR3" s="2" t="n">
        <v>92</v>
      </c>
      <c r="CS3" s="2" t="n">
        <v>93</v>
      </c>
      <c r="CT3" s="2" t="n">
        <v>94</v>
      </c>
      <c r="CU3" s="2" t="n">
        <v>95</v>
      </c>
      <c r="CV3" s="2" t="n">
        <v>96</v>
      </c>
      <c r="CW3" s="2" t="n">
        <v>97</v>
      </c>
      <c r="CX3" s="2" t="n">
        <v>98</v>
      </c>
      <c r="CY3" s="2" t="n">
        <v>99</v>
      </c>
      <c r="CZ3" s="2" t="n">
        <v>100</v>
      </c>
      <c r="DA3" s="2" t="n">
        <v>101</v>
      </c>
      <c r="DB3" s="2" t="n">
        <v>102</v>
      </c>
      <c r="DC3" s="2" t="n">
        <v>103</v>
      </c>
      <c r="DD3" s="2" t="n">
        <v>104</v>
      </c>
      <c r="DE3" s="2" t="n">
        <v>105</v>
      </c>
      <c r="DF3" s="2" t="n">
        <v>106</v>
      </c>
      <c r="DG3" s="2" t="n">
        <v>107</v>
      </c>
      <c r="DH3" s="2" t="n">
        <v>108</v>
      </c>
      <c r="DI3" s="2" t="n">
        <v>109</v>
      </c>
      <c r="DJ3" s="2" t="n">
        <v>110</v>
      </c>
      <c r="DK3" s="2" t="n">
        <v>111</v>
      </c>
      <c r="DL3" s="2" t="n">
        <v>112</v>
      </c>
      <c r="DM3" s="2" t="n">
        <v>113</v>
      </c>
      <c r="DN3" s="2" t="n">
        <v>114</v>
      </c>
      <c r="DO3" s="2" t="n">
        <v>115</v>
      </c>
      <c r="DP3" s="2" t="n">
        <v>116</v>
      </c>
      <c r="DQ3" s="2" t="n">
        <v>117</v>
      </c>
      <c r="DR3" s="2" t="n">
        <v>118</v>
      </c>
      <c r="DS3" s="2" t="n">
        <v>119</v>
      </c>
      <c r="DT3" s="2" t="n">
        <v>120</v>
      </c>
      <c r="DU3" s="2" t="n">
        <v>121</v>
      </c>
      <c r="DV3" s="2" t="n">
        <v>122</v>
      </c>
      <c r="DW3" s="2" t="n">
        <v>123</v>
      </c>
      <c r="DX3" s="2" t="n">
        <v>124</v>
      </c>
      <c r="DY3" s="2" t="n">
        <v>125</v>
      </c>
      <c r="DZ3" s="2" t="n">
        <v>126</v>
      </c>
      <c r="EA3" s="2" t="n">
        <v>127</v>
      </c>
      <c r="EB3" s="2" t="n">
        <v>128</v>
      </c>
      <c r="EC3" s="2" t="n">
        <v>129</v>
      </c>
      <c r="ED3" s="2" t="n">
        <v>130</v>
      </c>
      <c r="EE3" s="2" t="n">
        <v>131</v>
      </c>
      <c r="EF3" s="2" t="n">
        <v>132</v>
      </c>
      <c r="EG3" s="2" t="n">
        <v>133</v>
      </c>
      <c r="EH3" s="2" t="n">
        <v>134</v>
      </c>
      <c r="EI3" s="2" t="n">
        <v>135</v>
      </c>
      <c r="EJ3" s="2" t="n">
        <v>136</v>
      </c>
      <c r="EK3" s="2" t="n">
        <v>137</v>
      </c>
      <c r="EL3" s="2" t="n">
        <v>138</v>
      </c>
      <c r="EM3" s="2" t="n">
        <v>139</v>
      </c>
      <c r="EN3" s="2" t="n">
        <v>140</v>
      </c>
      <c r="EO3" s="2" t="n">
        <v>141</v>
      </c>
      <c r="EP3" s="2" t="n">
        <v>142</v>
      </c>
      <c r="EQ3" s="2" t="n">
        <v>143</v>
      </c>
      <c r="ER3" s="2" t="n">
        <v>144</v>
      </c>
      <c r="ES3" s="2" t="n">
        <v>145</v>
      </c>
      <c r="ET3" s="2" t="n">
        <v>146</v>
      </c>
      <c r="EU3" s="2" t="n">
        <v>147</v>
      </c>
      <c r="EV3" s="2" t="n">
        <v>148</v>
      </c>
      <c r="EW3" s="2" t="n">
        <v>149</v>
      </c>
      <c r="EX3" s="2" t="n">
        <v>150</v>
      </c>
      <c r="EY3" s="2" t="n">
        <v>151</v>
      </c>
      <c r="EZ3" s="2" t="n">
        <v>152</v>
      </c>
      <c r="FA3" s="2" t="n">
        <v>153</v>
      </c>
      <c r="FB3" s="2" t="n">
        <v>154</v>
      </c>
      <c r="FC3" s="2" t="n">
        <v>155</v>
      </c>
      <c r="FD3" s="2" t="n">
        <v>156</v>
      </c>
      <c r="FE3" s="2" t="n">
        <v>157</v>
      </c>
    </row>
    <row r="4">
      <c r="E4" s="7" t="inlineStr">
        <is>
          <t>2018.06</t>
        </is>
      </c>
      <c r="F4" s="7" t="inlineStr">
        <is>
          <t>2018.09</t>
        </is>
      </c>
      <c r="G4" s="7" t="inlineStr">
        <is>
          <t>2018.12</t>
        </is>
      </c>
      <c r="H4" s="7" t="inlineStr">
        <is>
          <t>2019.03</t>
        </is>
      </c>
      <c r="I4" s="7" t="inlineStr">
        <is>
          <t>2019.06</t>
        </is>
      </c>
      <c r="J4" s="7" t="inlineStr">
        <is>
          <t>2019.09</t>
        </is>
      </c>
      <c r="K4" s="7" t="inlineStr">
        <is>
          <t>2019.12</t>
        </is>
      </c>
      <c r="L4" s="7" t="inlineStr">
        <is>
          <t>2020.03</t>
        </is>
      </c>
      <c r="M4" s="7" t="inlineStr">
        <is>
          <t>2020.06</t>
        </is>
      </c>
      <c r="N4" s="7" t="inlineStr">
        <is>
          <t>2020.09</t>
        </is>
      </c>
      <c r="O4" s="7" t="inlineStr">
        <is>
          <t>2020.12</t>
        </is>
      </c>
      <c r="P4" s="7" t="inlineStr">
        <is>
          <t>2021.03</t>
        </is>
      </c>
      <c r="Q4" s="7" t="inlineStr">
        <is>
          <t>2021.06</t>
        </is>
      </c>
      <c r="R4" s="7" t="inlineStr">
        <is>
          <t>2021.09</t>
        </is>
      </c>
      <c r="S4" s="7" t="inlineStr">
        <is>
          <t>2021.12</t>
        </is>
      </c>
      <c r="T4" s="7" t="inlineStr">
        <is>
          <t>2022.03</t>
        </is>
      </c>
      <c r="U4" s="7" t="inlineStr">
        <is>
          <t>2022.06</t>
        </is>
      </c>
      <c r="V4" s="7" t="inlineStr">
        <is>
          <t>2022.09</t>
        </is>
      </c>
      <c r="W4" s="7" t="inlineStr">
        <is>
          <t>2022.12</t>
        </is>
      </c>
      <c r="X4" s="7" t="inlineStr">
        <is>
          <t>2023.03</t>
        </is>
      </c>
      <c r="Y4" s="7" t="inlineStr">
        <is>
          <t>2023.06</t>
        </is>
      </c>
      <c r="Z4" s="7" t="inlineStr">
        <is>
          <t>2023.09</t>
        </is>
      </c>
      <c r="AA4" s="7" t="inlineStr">
        <is>
          <t>2023.12</t>
        </is>
      </c>
      <c r="AB4" s="7" t="inlineStr">
        <is>
          <t>2024.03</t>
        </is>
      </c>
      <c r="AC4" s="7" t="inlineStr">
        <is>
          <t>2024.06</t>
        </is>
      </c>
      <c r="AD4" s="7" t="inlineStr">
        <is>
          <t>2024.09</t>
        </is>
      </c>
      <c r="AE4" s="7" t="inlineStr">
        <is>
          <t>2024.12</t>
        </is>
      </c>
      <c r="AF4" s="7" t="inlineStr">
        <is>
          <t>2025.03</t>
        </is>
      </c>
      <c r="AG4" s="7" t="inlineStr">
        <is>
          <t>2025.06</t>
        </is>
      </c>
      <c r="AH4" s="7" t="inlineStr">
        <is>
          <t>2025.09</t>
        </is>
      </c>
      <c r="AI4" s="7" t="inlineStr">
        <is>
          <t>2025.12</t>
        </is>
      </c>
      <c r="AJ4" s="7" t="inlineStr">
        <is>
          <t>2026.03</t>
        </is>
      </c>
      <c r="AK4" s="7" t="inlineStr">
        <is>
          <t>2026.06</t>
        </is>
      </c>
      <c r="AL4" s="7" t="inlineStr">
        <is>
          <t>2026.09</t>
        </is>
      </c>
      <c r="AM4" s="7" t="inlineStr">
        <is>
          <t>2026.12</t>
        </is>
      </c>
      <c r="AN4" s="7" t="inlineStr">
        <is>
          <t>2027.03</t>
        </is>
      </c>
      <c r="AO4" s="7" t="inlineStr">
        <is>
          <t>2027.06</t>
        </is>
      </c>
      <c r="AP4" s="7" t="inlineStr">
        <is>
          <t>2027.09</t>
        </is>
      </c>
      <c r="AQ4" s="7" t="inlineStr">
        <is>
          <t>2027.12</t>
        </is>
      </c>
      <c r="AR4" s="7" t="inlineStr">
        <is>
          <t>2028.03</t>
        </is>
      </c>
      <c r="AS4" s="7" t="inlineStr">
        <is>
          <t>2028.06</t>
        </is>
      </c>
      <c r="AT4" s="7" t="inlineStr">
        <is>
          <t>2028.09</t>
        </is>
      </c>
      <c r="AU4" s="7" t="inlineStr">
        <is>
          <t>2028.12</t>
        </is>
      </c>
      <c r="AV4" s="7" t="inlineStr">
        <is>
          <t>2029.03</t>
        </is>
      </c>
      <c r="AW4" s="7" t="inlineStr">
        <is>
          <t>2029.06</t>
        </is>
      </c>
      <c r="AX4" s="7" t="inlineStr">
        <is>
          <t>2029.09</t>
        </is>
      </c>
      <c r="AY4" s="7" t="inlineStr">
        <is>
          <t>2029.12</t>
        </is>
      </c>
      <c r="AZ4" s="7" t="inlineStr">
        <is>
          <t>2030.03</t>
        </is>
      </c>
      <c r="BA4" s="7" t="inlineStr">
        <is>
          <t>2030.06</t>
        </is>
      </c>
      <c r="BB4" s="7" t="inlineStr">
        <is>
          <t>2030.09</t>
        </is>
      </c>
      <c r="BC4" s="7" t="inlineStr">
        <is>
          <t>2030.12</t>
        </is>
      </c>
      <c r="BD4" s="7" t="inlineStr">
        <is>
          <t>2031.03</t>
        </is>
      </c>
      <c r="BE4" s="7" t="inlineStr">
        <is>
          <t>2031.06</t>
        </is>
      </c>
      <c r="BF4" s="7" t="inlineStr">
        <is>
          <t>2031.09</t>
        </is>
      </c>
      <c r="BG4" s="7" t="inlineStr">
        <is>
          <t>2031.12</t>
        </is>
      </c>
      <c r="BH4" s="7" t="inlineStr">
        <is>
          <t>2032.03</t>
        </is>
      </c>
      <c r="BI4" s="7" t="inlineStr">
        <is>
          <t>2032.06</t>
        </is>
      </c>
      <c r="BJ4" s="7" t="inlineStr">
        <is>
          <t>2032.09</t>
        </is>
      </c>
      <c r="BK4" s="7" t="inlineStr">
        <is>
          <t>2032.12</t>
        </is>
      </c>
      <c r="BL4" s="7" t="inlineStr">
        <is>
          <t>2033.03</t>
        </is>
      </c>
      <c r="BM4" s="7" t="inlineStr">
        <is>
          <t>2033.06</t>
        </is>
      </c>
      <c r="BN4" s="7" t="inlineStr">
        <is>
          <t>2033.09</t>
        </is>
      </c>
      <c r="BO4" s="7" t="inlineStr">
        <is>
          <t>2033.12</t>
        </is>
      </c>
      <c r="BP4" s="7" t="inlineStr">
        <is>
          <t>2034.03</t>
        </is>
      </c>
      <c r="BQ4" s="7" t="inlineStr">
        <is>
          <t>2034.06</t>
        </is>
      </c>
      <c r="BR4" s="7" t="inlineStr">
        <is>
          <t>2034.09</t>
        </is>
      </c>
      <c r="BS4" s="7" t="inlineStr">
        <is>
          <t>2034.12</t>
        </is>
      </c>
      <c r="BT4" s="7" t="inlineStr">
        <is>
          <t>2035.03</t>
        </is>
      </c>
      <c r="BU4" s="7" t="inlineStr">
        <is>
          <t>2035.06</t>
        </is>
      </c>
      <c r="BV4" s="7" t="inlineStr">
        <is>
          <t>2035.09</t>
        </is>
      </c>
      <c r="BW4" s="7" t="inlineStr">
        <is>
          <t>2035.12</t>
        </is>
      </c>
      <c r="BX4" s="7" t="inlineStr">
        <is>
          <t>2036.03</t>
        </is>
      </c>
      <c r="BY4" s="7" t="inlineStr">
        <is>
          <t>2036.06</t>
        </is>
      </c>
      <c r="BZ4" s="7" t="inlineStr">
        <is>
          <t>2036.09</t>
        </is>
      </c>
      <c r="CA4" s="7" t="inlineStr">
        <is>
          <t>2036.12</t>
        </is>
      </c>
      <c r="CB4" s="7" t="inlineStr">
        <is>
          <t>2037.03</t>
        </is>
      </c>
      <c r="CC4" s="7" t="inlineStr">
        <is>
          <t>2037.06</t>
        </is>
      </c>
      <c r="CD4" s="7" t="inlineStr">
        <is>
          <t>2037.09</t>
        </is>
      </c>
      <c r="CE4" s="7" t="inlineStr">
        <is>
          <t>2037.12</t>
        </is>
      </c>
      <c r="CF4" s="7" t="inlineStr">
        <is>
          <t>2038.03</t>
        </is>
      </c>
      <c r="CG4" s="7" t="inlineStr">
        <is>
          <t>2038.06</t>
        </is>
      </c>
      <c r="CH4" s="7" t="inlineStr">
        <is>
          <t>2038.09</t>
        </is>
      </c>
      <c r="CI4" s="7" t="inlineStr">
        <is>
          <t>2038.12</t>
        </is>
      </c>
      <c r="CJ4" s="7" t="inlineStr">
        <is>
          <t>2039.03</t>
        </is>
      </c>
      <c r="CK4" s="7" t="inlineStr">
        <is>
          <t>2039.06</t>
        </is>
      </c>
      <c r="CL4" s="7" t="inlineStr">
        <is>
          <t>2039.09</t>
        </is>
      </c>
      <c r="CM4" s="7" t="inlineStr">
        <is>
          <t>2039.12</t>
        </is>
      </c>
      <c r="CN4" s="7" t="inlineStr">
        <is>
          <t>2040.03</t>
        </is>
      </c>
      <c r="CO4" s="7" t="inlineStr">
        <is>
          <t>2040.06</t>
        </is>
      </c>
      <c r="CP4" s="7" t="inlineStr">
        <is>
          <t>2040.09</t>
        </is>
      </c>
      <c r="CQ4" s="7" t="inlineStr">
        <is>
          <t>2040.12</t>
        </is>
      </c>
      <c r="CR4" s="7" t="inlineStr">
        <is>
          <t>2041.03</t>
        </is>
      </c>
      <c r="CS4" s="7" t="inlineStr">
        <is>
          <t>2041.06</t>
        </is>
      </c>
      <c r="CT4" s="7" t="inlineStr">
        <is>
          <t>2041.09</t>
        </is>
      </c>
      <c r="CU4" s="7" t="inlineStr">
        <is>
          <t>2041.12</t>
        </is>
      </c>
      <c r="CV4" s="7" t="inlineStr">
        <is>
          <t>2042.03</t>
        </is>
      </c>
      <c r="CW4" s="7" t="inlineStr">
        <is>
          <t>2042.06</t>
        </is>
      </c>
      <c r="CX4" s="7" t="inlineStr">
        <is>
          <t>2042.09</t>
        </is>
      </c>
      <c r="CY4" s="7" t="inlineStr">
        <is>
          <t>2042.12</t>
        </is>
      </c>
      <c r="CZ4" s="7" t="inlineStr">
        <is>
          <t>2043.03</t>
        </is>
      </c>
      <c r="DA4" s="7" t="inlineStr">
        <is>
          <t>2043.06</t>
        </is>
      </c>
      <c r="DB4" s="7" t="inlineStr">
        <is>
          <t>2043.09</t>
        </is>
      </c>
      <c r="DC4" s="7" t="inlineStr">
        <is>
          <t>2043.12</t>
        </is>
      </c>
      <c r="DD4" s="7" t="inlineStr">
        <is>
          <t>2044.03</t>
        </is>
      </c>
      <c r="DE4" s="7" t="inlineStr">
        <is>
          <t>2044.06</t>
        </is>
      </c>
      <c r="DF4" s="7" t="inlineStr">
        <is>
          <t>2044.09</t>
        </is>
      </c>
      <c r="DG4" s="7" t="inlineStr">
        <is>
          <t>2044.12</t>
        </is>
      </c>
      <c r="DH4" s="7" t="inlineStr">
        <is>
          <t>2045.03</t>
        </is>
      </c>
      <c r="DI4" s="7" t="inlineStr">
        <is>
          <t>2045.06</t>
        </is>
      </c>
      <c r="DJ4" s="7" t="inlineStr">
        <is>
          <t>2045.09</t>
        </is>
      </c>
      <c r="DK4" s="7" t="inlineStr">
        <is>
          <t>2045.12</t>
        </is>
      </c>
      <c r="DL4" s="7" t="inlineStr">
        <is>
          <t>2046.03</t>
        </is>
      </c>
      <c r="DM4" s="7" t="inlineStr">
        <is>
          <t>2046.06</t>
        </is>
      </c>
      <c r="DN4" s="7" t="inlineStr">
        <is>
          <t>2046.09</t>
        </is>
      </c>
      <c r="DO4" s="7" t="inlineStr">
        <is>
          <t>2046.12</t>
        </is>
      </c>
      <c r="DP4" s="7" t="inlineStr">
        <is>
          <t>2047.03</t>
        </is>
      </c>
      <c r="DQ4" s="7" t="inlineStr">
        <is>
          <t>2047.06</t>
        </is>
      </c>
      <c r="DR4" s="7" t="inlineStr">
        <is>
          <t>2047.09</t>
        </is>
      </c>
      <c r="DS4" s="7" t="inlineStr">
        <is>
          <t>2047.12</t>
        </is>
      </c>
      <c r="DT4" s="7" t="inlineStr">
        <is>
          <t>2048.03</t>
        </is>
      </c>
      <c r="DU4" s="7" t="inlineStr">
        <is>
          <t>2048.06</t>
        </is>
      </c>
      <c r="DV4" s="7" t="inlineStr">
        <is>
          <t>2048.09</t>
        </is>
      </c>
      <c r="DW4" s="7" t="inlineStr">
        <is>
          <t>2048.12</t>
        </is>
      </c>
      <c r="DX4" s="7" t="inlineStr">
        <is>
          <t>2049.03</t>
        </is>
      </c>
      <c r="DY4" s="7" t="inlineStr">
        <is>
          <t>2049.06</t>
        </is>
      </c>
      <c r="DZ4" s="7" t="inlineStr">
        <is>
          <t>2018.12A</t>
        </is>
      </c>
      <c r="EA4" s="7" t="inlineStr">
        <is>
          <t>2019.12A</t>
        </is>
      </c>
      <c r="EB4" s="7" t="inlineStr">
        <is>
          <t>2020.12A</t>
        </is>
      </c>
      <c r="EC4" s="7" t="inlineStr">
        <is>
          <t>2021.12A</t>
        </is>
      </c>
      <c r="ED4" s="7" t="inlineStr">
        <is>
          <t>2022.12A</t>
        </is>
      </c>
      <c r="EE4" s="7" t="inlineStr">
        <is>
          <t>2023.12A</t>
        </is>
      </c>
      <c r="EF4" s="7" t="inlineStr">
        <is>
          <t>2024.12A</t>
        </is>
      </c>
      <c r="EG4" s="7" t="inlineStr">
        <is>
          <t>2025.12A</t>
        </is>
      </c>
      <c r="EH4" s="7" t="inlineStr">
        <is>
          <t>2026.12A</t>
        </is>
      </c>
      <c r="EI4" s="7" t="inlineStr">
        <is>
          <t>2027.12A</t>
        </is>
      </c>
      <c r="EJ4" s="7" t="inlineStr">
        <is>
          <t>2028.12A</t>
        </is>
      </c>
      <c r="EK4" s="7" t="inlineStr">
        <is>
          <t>2029.12A</t>
        </is>
      </c>
      <c r="EL4" s="7" t="inlineStr">
        <is>
          <t>2030.12A</t>
        </is>
      </c>
      <c r="EM4" s="7" t="inlineStr">
        <is>
          <t>2031.12A</t>
        </is>
      </c>
      <c r="EN4" s="7" t="inlineStr">
        <is>
          <t>2032.12A</t>
        </is>
      </c>
      <c r="EO4" s="7" t="inlineStr">
        <is>
          <t>2033.12A</t>
        </is>
      </c>
      <c r="EP4" s="7" t="inlineStr">
        <is>
          <t>2034.12A</t>
        </is>
      </c>
      <c r="EQ4" s="7" t="inlineStr">
        <is>
          <t>2035.12A</t>
        </is>
      </c>
      <c r="ER4" s="7" t="inlineStr">
        <is>
          <t>2036.12A</t>
        </is>
      </c>
      <c r="ES4" s="7" t="inlineStr">
        <is>
          <t>2037.12A</t>
        </is>
      </c>
      <c r="ET4" s="7" t="inlineStr">
        <is>
          <t>2038.12A</t>
        </is>
      </c>
      <c r="EU4" s="7" t="inlineStr">
        <is>
          <t>2039.12A</t>
        </is>
      </c>
      <c r="EV4" s="7" t="inlineStr">
        <is>
          <t>2040.12A</t>
        </is>
      </c>
      <c r="EW4" s="7" t="inlineStr">
        <is>
          <t>2041.12A</t>
        </is>
      </c>
      <c r="EX4" s="7" t="inlineStr">
        <is>
          <t>2042.12A</t>
        </is>
      </c>
      <c r="EY4" s="7" t="inlineStr">
        <is>
          <t>2043.12A</t>
        </is>
      </c>
      <c r="EZ4" s="7" t="inlineStr">
        <is>
          <t>2044.12A</t>
        </is>
      </c>
      <c r="FA4" s="7" t="inlineStr">
        <is>
          <t>2045.12A</t>
        </is>
      </c>
      <c r="FB4" s="7" t="inlineStr">
        <is>
          <t>2046.12A</t>
        </is>
      </c>
      <c r="FC4" s="7" t="inlineStr">
        <is>
          <t>2047.12A</t>
        </is>
      </c>
      <c r="FD4" s="7" t="inlineStr">
        <is>
          <t>2048.12A</t>
        </is>
      </c>
      <c r="FE4" s="7" t="inlineStr">
        <is>
          <t>2049.12A</t>
        </is>
      </c>
    </row>
    <row r="5">
      <c r="A5" s="12" t="inlineStr">
        <is>
          <t>usd_m</t>
        </is>
      </c>
      <c r="D5" t="inlineStr">
        <is>
          <t>매출인식 합계(백만$)</t>
        </is>
      </c>
      <c r="E5" s="26" t="n">
        <v>2.933</v>
      </c>
      <c r="F5" s="26" t="n">
        <v>6.133</v>
      </c>
      <c r="G5" s="26" t="n">
        <v>6.133</v>
      </c>
      <c r="H5" s="26" t="n">
        <v>6.7</v>
      </c>
      <c r="I5" s="26" t="n">
        <v>12.374</v>
      </c>
      <c r="J5" s="26" t="n">
        <v>14.461</v>
      </c>
      <c r="K5" s="26" t="n">
        <v>14.729</v>
      </c>
      <c r="L5" s="26" t="n">
        <v>19.188</v>
      </c>
      <c r="M5" s="26" t="n">
        <v>19.188</v>
      </c>
      <c r="N5" s="26" t="n">
        <v>19.399</v>
      </c>
      <c r="O5" s="26" t="n">
        <v>30.827</v>
      </c>
      <c r="P5" s="26" t="n">
        <v>45.288</v>
      </c>
      <c r="Q5" s="26" t="n">
        <v>50.661</v>
      </c>
      <c r="R5" s="26" t="n">
        <v>56.415</v>
      </c>
      <c r="S5" s="26" t="n">
        <v>59.244</v>
      </c>
      <c r="T5" s="26" t="n">
        <v>58.81</v>
      </c>
      <c r="U5" s="26" t="n">
        <v>59.464</v>
      </c>
      <c r="V5" s="26" t="n">
        <v>61.318</v>
      </c>
      <c r="W5" s="26" t="n">
        <v>65.621</v>
      </c>
      <c r="X5" s="26" t="n">
        <v>73.087</v>
      </c>
      <c r="Y5" s="26" t="n">
        <v>81.759</v>
      </c>
      <c r="Z5" s="26" t="n">
        <v>100.274</v>
      </c>
      <c r="AA5" s="26" t="n">
        <v>115.314</v>
      </c>
      <c r="AB5" s="26" t="n">
        <v>115.48</v>
      </c>
      <c r="AC5" s="26" t="n">
        <v>122.384</v>
      </c>
      <c r="AD5" s="26" t="n">
        <v>123.839</v>
      </c>
      <c r="AE5" s="26" t="n">
        <v>124.336</v>
      </c>
      <c r="AF5" s="26" t="n">
        <v>125.212</v>
      </c>
      <c r="AG5" s="26" t="n">
        <v>124.929</v>
      </c>
      <c r="AH5" s="26" t="n">
        <v>125.517</v>
      </c>
      <c r="AI5" s="26" t="n">
        <v>135.044</v>
      </c>
      <c r="AJ5" s="26" t="n">
        <v>185.789</v>
      </c>
      <c r="AK5" s="26" t="n">
        <v>220.765</v>
      </c>
      <c r="AL5" s="26" t="n">
        <v>242.223</v>
      </c>
      <c r="AM5" s="26" t="n">
        <v>284.659</v>
      </c>
      <c r="AN5" s="26" t="n">
        <v>262.202</v>
      </c>
      <c r="AO5" s="26" t="n">
        <v>238.019</v>
      </c>
      <c r="AP5" s="26" t="n">
        <v>230.448</v>
      </c>
      <c r="AQ5" s="26" t="n">
        <v>220.853</v>
      </c>
      <c r="AR5" s="26" t="n">
        <v>205.334</v>
      </c>
      <c r="AS5" s="26" t="n">
        <v>199.002</v>
      </c>
      <c r="AT5" s="26" t="n">
        <v>167.999</v>
      </c>
      <c r="AU5" s="26" t="n">
        <v>143.676</v>
      </c>
      <c r="AV5" s="26" t="n">
        <v>129.805</v>
      </c>
      <c r="AW5" s="26" t="n">
        <v>91.577</v>
      </c>
      <c r="AX5" s="26" t="n">
        <v>73.018</v>
      </c>
      <c r="AY5" s="26" t="n">
        <v>59.31</v>
      </c>
      <c r="AZ5" s="26" t="n">
        <v>37.304</v>
      </c>
      <c r="BA5" s="26" t="n">
        <v>35.273</v>
      </c>
      <c r="BB5" s="26" t="n">
        <v>30.118</v>
      </c>
      <c r="BC5" s="26" t="n">
        <v>15.253</v>
      </c>
      <c r="BD5" s="26" t="n">
        <v>12.997</v>
      </c>
      <c r="BE5" s="26" t="n">
        <v>12.049</v>
      </c>
      <c r="BF5" s="26" t="n">
        <v>11.181</v>
      </c>
      <c r="BG5" s="26" t="n">
        <v>11.181</v>
      </c>
      <c r="BH5" s="26" t="n">
        <v>11.06</v>
      </c>
      <c r="BI5" s="26" t="n">
        <v>7.648</v>
      </c>
      <c r="BJ5" s="26" t="n">
        <v>6.882</v>
      </c>
      <c r="BK5" s="26" t="n">
        <v>6.882</v>
      </c>
      <c r="BL5" s="26" t="n">
        <v>6.732</v>
      </c>
      <c r="BM5" s="26" t="n">
        <v>6.807</v>
      </c>
      <c r="BN5" s="26" t="n">
        <v>5.966</v>
      </c>
      <c r="BO5" s="26" t="n">
        <v>4.25</v>
      </c>
      <c r="BP5" s="26" t="n">
        <v>4.158</v>
      </c>
      <c r="BQ5" s="26" t="n">
        <v>1.785</v>
      </c>
      <c r="BR5" s="26" t="n">
        <v>0.602</v>
      </c>
      <c r="BS5" s="26" t="n">
        <v>0.602</v>
      </c>
      <c r="BT5" s="26" t="n">
        <v>0.589</v>
      </c>
      <c r="BU5" s="26" t="n">
        <v>0.596</v>
      </c>
      <c r="BV5" s="26" t="n">
        <v>0.602</v>
      </c>
      <c r="BW5" s="26" t="n">
        <v>0.602</v>
      </c>
      <c r="BX5" s="26" t="n">
        <v>0.596</v>
      </c>
      <c r="BY5" s="26" t="n">
        <v>0.596</v>
      </c>
      <c r="BZ5" s="26" t="n">
        <v>0.602</v>
      </c>
      <c r="CA5" s="26" t="n">
        <v>0.602</v>
      </c>
      <c r="CB5" s="26" t="n">
        <v>0.589</v>
      </c>
      <c r="CC5" s="26" t="n">
        <v>0.596</v>
      </c>
      <c r="CD5" s="26" t="n">
        <v>0.602</v>
      </c>
      <c r="CE5" s="26" t="n">
        <v>0.602</v>
      </c>
      <c r="CF5" s="26" t="n">
        <v>0.589</v>
      </c>
      <c r="CG5" s="26" t="n">
        <v>0.596</v>
      </c>
      <c r="CH5" s="26" t="n">
        <v>0.602</v>
      </c>
      <c r="CI5" s="26" t="n">
        <v>0.602</v>
      </c>
      <c r="CJ5" s="26" t="n">
        <v>0.589</v>
      </c>
      <c r="CK5" s="26" t="n">
        <v>0.596</v>
      </c>
      <c r="CL5" s="26" t="n">
        <v>0.602</v>
      </c>
      <c r="CM5" s="26" t="n">
        <v>0.602</v>
      </c>
      <c r="CN5" s="26" t="n">
        <v>0.596</v>
      </c>
      <c r="CO5" s="26" t="n">
        <v>0.596</v>
      </c>
      <c r="CP5" s="26" t="n">
        <v>0.602</v>
      </c>
      <c r="CQ5" s="26" t="n">
        <v>0.602</v>
      </c>
      <c r="CR5" s="26" t="n">
        <v>0.589</v>
      </c>
      <c r="CS5" s="26" t="n">
        <v>0.596</v>
      </c>
      <c r="CT5" s="26" t="n">
        <v>0.602</v>
      </c>
      <c r="CU5" s="26" t="n">
        <v>0.602</v>
      </c>
      <c r="CV5" s="26" t="n">
        <v>0.589</v>
      </c>
      <c r="CW5" s="26" t="n">
        <v>0.596</v>
      </c>
      <c r="CX5" s="26" t="n">
        <v>0.602</v>
      </c>
      <c r="CY5" s="26" t="n">
        <v>0.602</v>
      </c>
      <c r="CZ5" s="26" t="n">
        <v>0.589</v>
      </c>
      <c r="DA5" s="26" t="n">
        <v>0.596</v>
      </c>
      <c r="DB5" s="26" t="n">
        <v>0.602</v>
      </c>
      <c r="DC5" s="26" t="n">
        <v>0.602</v>
      </c>
      <c r="DD5" s="26" t="n">
        <v>0.596</v>
      </c>
      <c r="DE5" s="26" t="n">
        <v>0.596</v>
      </c>
      <c r="DF5" s="26" t="n">
        <v>0.602</v>
      </c>
      <c r="DG5" s="26" t="n">
        <v>0.602</v>
      </c>
      <c r="DH5" s="26" t="n">
        <v>0.589</v>
      </c>
      <c r="DI5" s="26" t="n">
        <v>0.596</v>
      </c>
      <c r="DJ5" s="26" t="n">
        <v>0.602</v>
      </c>
      <c r="DK5" s="26" t="n">
        <v>0.602</v>
      </c>
      <c r="DL5" s="26" t="n">
        <v>0.589</v>
      </c>
      <c r="DM5" s="26" t="n">
        <v>0.596</v>
      </c>
      <c r="DN5" s="26" t="n">
        <v>0.602</v>
      </c>
      <c r="DO5" s="26" t="n">
        <v>0.602</v>
      </c>
      <c r="DP5" s="26" t="n">
        <v>0.589</v>
      </c>
      <c r="DQ5" s="26" t="n">
        <v>0.596</v>
      </c>
      <c r="DR5" s="26" t="n">
        <v>0.602</v>
      </c>
      <c r="DS5" s="26" t="n">
        <v>0.602</v>
      </c>
      <c r="DT5" s="26" t="n">
        <v>0.596</v>
      </c>
      <c r="DU5" s="26" t="n">
        <v>0.596</v>
      </c>
      <c r="DV5" s="26" t="n">
        <v>0.602</v>
      </c>
      <c r="DW5" s="26" t="n">
        <v>0.602</v>
      </c>
      <c r="DX5" s="26" t="n">
        <v>0.589</v>
      </c>
      <c r="DY5" s="26" t="n">
        <v>0.399</v>
      </c>
      <c r="DZ5" s="26" t="n">
        <v>15.199</v>
      </c>
      <c r="EA5" s="26" t="n">
        <v>48.264</v>
      </c>
      <c r="EB5" s="26" t="n">
        <v>88.602</v>
      </c>
      <c r="EC5" s="26" t="n">
        <v>211.608</v>
      </c>
      <c r="ED5" s="26" t="n">
        <v>245.213</v>
      </c>
      <c r="EE5" s="26" t="n">
        <v>370.434</v>
      </c>
      <c r="EF5" s="26" t="n">
        <v>486.039</v>
      </c>
      <c r="EG5" s="26" t="n">
        <v>510.702</v>
      </c>
      <c r="EH5" s="26" t="n">
        <v>933.436</v>
      </c>
      <c r="EI5" s="26" t="n">
        <v>951.522</v>
      </c>
      <c r="EJ5" s="26" t="n">
        <v>716.011</v>
      </c>
      <c r="EK5" s="26" t="n">
        <v>353.71</v>
      </c>
      <c r="EL5" s="26" t="n">
        <v>117.948</v>
      </c>
      <c r="EM5" s="26" t="n">
        <v>47.408</v>
      </c>
      <c r="EN5" s="26" t="n">
        <v>32.472</v>
      </c>
      <c r="EO5" s="26" t="n">
        <v>23.755</v>
      </c>
      <c r="EP5" s="26" t="n">
        <v>7.147</v>
      </c>
      <c r="EQ5" s="26" t="n">
        <v>2.389</v>
      </c>
      <c r="ER5" s="26" t="n">
        <v>2.396</v>
      </c>
      <c r="ES5" s="26" t="n">
        <v>2.389</v>
      </c>
      <c r="ET5" s="26" t="n">
        <v>2.389</v>
      </c>
      <c r="EU5" s="26" t="n">
        <v>2.389</v>
      </c>
      <c r="EV5" s="26" t="n">
        <v>2.396</v>
      </c>
      <c r="EW5" s="26" t="n">
        <v>2.389</v>
      </c>
      <c r="EX5" s="26" t="n">
        <v>2.389</v>
      </c>
      <c r="EY5" s="26" t="n">
        <v>2.389</v>
      </c>
      <c r="EZ5" s="26" t="n">
        <v>2.396</v>
      </c>
      <c r="FA5" s="26" t="n">
        <v>2.389</v>
      </c>
      <c r="FB5" s="26" t="n">
        <v>2.389</v>
      </c>
      <c r="FC5" s="26" t="n">
        <v>2.389</v>
      </c>
      <c r="FD5" s="26" t="n">
        <v>2.396</v>
      </c>
      <c r="FE5" s="26" t="n">
        <v>0.988</v>
      </c>
    </row>
    <row r="6">
      <c r="A6" s="12" t="inlineStr">
        <is>
          <t>marine_usd_m</t>
        </is>
      </c>
      <c r="D6" t="inlineStr">
        <is>
          <t>해양(type≠OTHER) 합계(백만$)</t>
        </is>
      </c>
      <c r="E6" s="26" t="n">
        <v>0</v>
      </c>
      <c r="F6" s="26" t="n">
        <v>0</v>
      </c>
      <c r="G6" s="26" t="n">
        <v>0</v>
      </c>
      <c r="H6" s="26" t="n">
        <v>0</v>
      </c>
      <c r="I6" s="26" t="n">
        <v>0</v>
      </c>
      <c r="J6" s="26" t="n">
        <v>0</v>
      </c>
      <c r="K6" s="26" t="n">
        <v>0</v>
      </c>
      <c r="L6" s="26" t="n">
        <v>0</v>
      </c>
      <c r="M6" s="26" t="n">
        <v>0</v>
      </c>
      <c r="N6" s="26" t="n">
        <v>0</v>
      </c>
      <c r="O6" s="26" t="n">
        <v>0</v>
      </c>
      <c r="P6" s="26" t="n">
        <v>0</v>
      </c>
      <c r="Q6" s="26" t="n">
        <v>0</v>
      </c>
      <c r="R6" s="26" t="n">
        <v>0</v>
      </c>
      <c r="S6" s="26" t="n">
        <v>0</v>
      </c>
      <c r="T6" s="26" t="n">
        <v>0</v>
      </c>
      <c r="U6" s="26" t="n">
        <v>0</v>
      </c>
      <c r="V6" s="26" t="n">
        <v>0</v>
      </c>
      <c r="W6" s="26" t="n">
        <v>0</v>
      </c>
      <c r="X6" s="26" t="n">
        <v>0</v>
      </c>
      <c r="Y6" s="26" t="n">
        <v>0</v>
      </c>
      <c r="Z6" s="26" t="n">
        <v>0</v>
      </c>
      <c r="AA6" s="26" t="n">
        <v>0</v>
      </c>
      <c r="AB6" s="26" t="n">
        <v>0</v>
      </c>
      <c r="AC6" s="26" t="n">
        <v>0</v>
      </c>
      <c r="AD6" s="26" t="n">
        <v>0</v>
      </c>
      <c r="AE6" s="26" t="n">
        <v>0</v>
      </c>
      <c r="AF6" s="26" t="n">
        <v>0</v>
      </c>
      <c r="AG6" s="26" t="n">
        <v>0</v>
      </c>
      <c r="AH6" s="26" t="n">
        <v>0</v>
      </c>
      <c r="AI6" s="26" t="n">
        <v>2.682</v>
      </c>
      <c r="AJ6" s="26" t="n">
        <v>31.491</v>
      </c>
      <c r="AK6" s="26" t="n">
        <v>60.559</v>
      </c>
      <c r="AL6" s="26" t="n">
        <v>72.245</v>
      </c>
      <c r="AM6" s="26" t="n">
        <v>113.423</v>
      </c>
      <c r="AN6" s="26" t="n">
        <v>110.957</v>
      </c>
      <c r="AO6" s="26" t="n">
        <v>112.19</v>
      </c>
      <c r="AP6" s="26" t="n">
        <v>113.423</v>
      </c>
      <c r="AQ6" s="26" t="n">
        <v>113.423</v>
      </c>
      <c r="AR6" s="26" t="n">
        <v>112.19</v>
      </c>
      <c r="AS6" s="26" t="n">
        <v>112.19</v>
      </c>
      <c r="AT6" s="26" t="n">
        <v>88.001</v>
      </c>
      <c r="AU6" s="26" t="n">
        <v>71.209</v>
      </c>
      <c r="AV6" s="26" t="n">
        <v>58.914</v>
      </c>
      <c r="AW6" s="26" t="n">
        <v>28.936</v>
      </c>
      <c r="AX6" s="26" t="n">
        <v>14.024</v>
      </c>
      <c r="AY6" s="26" t="n">
        <v>4.725</v>
      </c>
      <c r="AZ6" s="26" t="n">
        <v>0</v>
      </c>
      <c r="BA6" s="26" t="n">
        <v>0</v>
      </c>
      <c r="BB6" s="26" t="n">
        <v>0</v>
      </c>
      <c r="BC6" s="26" t="n">
        <v>0</v>
      </c>
      <c r="BD6" s="26" t="n">
        <v>0</v>
      </c>
      <c r="BE6" s="26" t="n">
        <v>0</v>
      </c>
      <c r="BF6" s="26" t="n">
        <v>0</v>
      </c>
      <c r="BG6" s="26" t="n">
        <v>0</v>
      </c>
      <c r="BH6" s="26" t="n">
        <v>0</v>
      </c>
      <c r="BI6" s="26" t="n">
        <v>0</v>
      </c>
      <c r="BJ6" s="26" t="n">
        <v>0</v>
      </c>
      <c r="BK6" s="26" t="n">
        <v>0</v>
      </c>
      <c r="BL6" s="26" t="n">
        <v>0</v>
      </c>
      <c r="BM6" s="26" t="n">
        <v>0</v>
      </c>
      <c r="BN6" s="26" t="n">
        <v>0</v>
      </c>
      <c r="BO6" s="26" t="n">
        <v>0</v>
      </c>
      <c r="BP6" s="26" t="n">
        <v>0</v>
      </c>
      <c r="BQ6" s="26" t="n">
        <v>0</v>
      </c>
      <c r="BR6" s="26" t="n">
        <v>0</v>
      </c>
      <c r="BS6" s="26" t="n">
        <v>0</v>
      </c>
      <c r="BT6" s="26" t="n">
        <v>0</v>
      </c>
      <c r="BU6" s="26" t="n">
        <v>0</v>
      </c>
      <c r="BV6" s="26" t="n">
        <v>0</v>
      </c>
      <c r="BW6" s="26" t="n">
        <v>0</v>
      </c>
      <c r="BX6" s="26" t="n">
        <v>0</v>
      </c>
      <c r="BY6" s="26" t="n">
        <v>0</v>
      </c>
      <c r="BZ6" s="26" t="n">
        <v>0</v>
      </c>
      <c r="CA6" s="26" t="n">
        <v>0</v>
      </c>
      <c r="CB6" s="26" t="n">
        <v>0</v>
      </c>
      <c r="CC6" s="26" t="n">
        <v>0</v>
      </c>
      <c r="CD6" s="26" t="n">
        <v>0</v>
      </c>
      <c r="CE6" s="26" t="n">
        <v>0</v>
      </c>
      <c r="CF6" s="26" t="n">
        <v>0</v>
      </c>
      <c r="CG6" s="26" t="n">
        <v>0</v>
      </c>
      <c r="CH6" s="26" t="n">
        <v>0</v>
      </c>
      <c r="CI6" s="26" t="n">
        <v>0</v>
      </c>
      <c r="CJ6" s="26" t="n">
        <v>0</v>
      </c>
      <c r="CK6" s="26" t="n">
        <v>0</v>
      </c>
      <c r="CL6" s="26" t="n">
        <v>0</v>
      </c>
      <c r="CM6" s="26" t="n">
        <v>0</v>
      </c>
      <c r="CN6" s="26" t="n">
        <v>0</v>
      </c>
      <c r="CO6" s="26" t="n">
        <v>0</v>
      </c>
      <c r="CP6" s="26" t="n">
        <v>0</v>
      </c>
      <c r="CQ6" s="26" t="n">
        <v>0</v>
      </c>
      <c r="CR6" s="26" t="n">
        <v>0</v>
      </c>
      <c r="CS6" s="26" t="n">
        <v>0</v>
      </c>
      <c r="CT6" s="26" t="n">
        <v>0</v>
      </c>
      <c r="CU6" s="26" t="n">
        <v>0</v>
      </c>
      <c r="CV6" s="26" t="n">
        <v>0</v>
      </c>
      <c r="CW6" s="26" t="n">
        <v>0</v>
      </c>
      <c r="CX6" s="26" t="n">
        <v>0</v>
      </c>
      <c r="CY6" s="26" t="n">
        <v>0</v>
      </c>
      <c r="CZ6" s="26" t="n">
        <v>0</v>
      </c>
      <c r="DA6" s="26" t="n">
        <v>0</v>
      </c>
      <c r="DB6" s="26" t="n">
        <v>0</v>
      </c>
      <c r="DC6" s="26" t="n">
        <v>0</v>
      </c>
      <c r="DD6" s="26" t="n">
        <v>0</v>
      </c>
      <c r="DE6" s="26" t="n">
        <v>0</v>
      </c>
      <c r="DF6" s="26" t="n">
        <v>0</v>
      </c>
      <c r="DG6" s="26" t="n">
        <v>0</v>
      </c>
      <c r="DH6" s="26" t="n">
        <v>0</v>
      </c>
      <c r="DI6" s="26" t="n">
        <v>0</v>
      </c>
      <c r="DJ6" s="26" t="n">
        <v>0</v>
      </c>
      <c r="DK6" s="26" t="n">
        <v>0</v>
      </c>
      <c r="DL6" s="26" t="n">
        <v>0</v>
      </c>
      <c r="DM6" s="26" t="n">
        <v>0</v>
      </c>
      <c r="DN6" s="26" t="n">
        <v>0</v>
      </c>
      <c r="DO6" s="26" t="n">
        <v>0</v>
      </c>
      <c r="DP6" s="26" t="n">
        <v>0</v>
      </c>
      <c r="DQ6" s="26" t="n">
        <v>0</v>
      </c>
      <c r="DR6" s="26" t="n">
        <v>0</v>
      </c>
      <c r="DS6" s="26" t="n">
        <v>0</v>
      </c>
      <c r="DT6" s="26" t="n">
        <v>0</v>
      </c>
      <c r="DU6" s="26" t="n">
        <v>0</v>
      </c>
      <c r="DV6" s="26" t="n">
        <v>0</v>
      </c>
      <c r="DW6" s="26" t="n">
        <v>0</v>
      </c>
      <c r="DX6" s="26" t="n">
        <v>0</v>
      </c>
      <c r="DY6" s="26" t="n">
        <v>0</v>
      </c>
      <c r="DZ6" s="26" t="n">
        <v>0</v>
      </c>
      <c r="EA6" s="26" t="n">
        <v>0</v>
      </c>
      <c r="EB6" s="26" t="n">
        <v>0</v>
      </c>
      <c r="EC6" s="26" t="n">
        <v>0</v>
      </c>
      <c r="ED6" s="26" t="n">
        <v>0</v>
      </c>
      <c r="EE6" s="26" t="n">
        <v>0</v>
      </c>
      <c r="EF6" s="26" t="n">
        <v>0</v>
      </c>
      <c r="EG6" s="26" t="n">
        <v>2.682</v>
      </c>
      <c r="EH6" s="26" t="n">
        <v>277.718</v>
      </c>
      <c r="EI6" s="26" t="n">
        <v>449.993</v>
      </c>
      <c r="EJ6" s="26" t="n">
        <v>383.59</v>
      </c>
      <c r="EK6" s="26" t="n">
        <v>106.599</v>
      </c>
      <c r="EL6" s="26" t="n">
        <v>0</v>
      </c>
      <c r="EM6" s="26" t="n">
        <v>0</v>
      </c>
      <c r="EN6" s="26" t="n">
        <v>0</v>
      </c>
      <c r="EO6" s="26" t="n">
        <v>0</v>
      </c>
      <c r="EP6" s="26" t="n">
        <v>0</v>
      </c>
      <c r="EQ6" s="26" t="n">
        <v>0</v>
      </c>
      <c r="ER6" s="26" t="n">
        <v>0</v>
      </c>
      <c r="ES6" s="26" t="n">
        <v>0</v>
      </c>
      <c r="ET6" s="26" t="n">
        <v>0</v>
      </c>
      <c r="EU6" s="26" t="n">
        <v>0</v>
      </c>
      <c r="EV6" s="26" t="n">
        <v>0</v>
      </c>
      <c r="EW6" s="26" t="n">
        <v>0</v>
      </c>
      <c r="EX6" s="26" t="n">
        <v>0</v>
      </c>
      <c r="EY6" s="26" t="n">
        <v>0</v>
      </c>
      <c r="EZ6" s="26" t="n">
        <v>0</v>
      </c>
      <c r="FA6" s="26" t="n">
        <v>0</v>
      </c>
      <c r="FB6" s="26" t="n">
        <v>0</v>
      </c>
      <c r="FC6" s="26" t="n">
        <v>0</v>
      </c>
      <c r="FD6" s="26" t="n">
        <v>0</v>
      </c>
      <c r="FE6" s="26" t="n">
        <v>0</v>
      </c>
    </row>
    <row r="7">
      <c r="A7" s="12" t="inlineStr">
        <is>
          <t>type:OTHER</t>
        </is>
      </c>
      <c r="D7" t="inlineStr">
        <is>
          <t>선종 OTHER</t>
        </is>
      </c>
      <c r="E7" s="26" t="n">
        <v>2.933</v>
      </c>
      <c r="F7" s="26" t="n">
        <v>6.133</v>
      </c>
      <c r="G7" s="26" t="n">
        <v>6.133</v>
      </c>
      <c r="H7" s="26" t="n">
        <v>6.7</v>
      </c>
      <c r="I7" s="26" t="n">
        <v>12.374</v>
      </c>
      <c r="J7" s="26" t="n">
        <v>14.461</v>
      </c>
      <c r="K7" s="26" t="n">
        <v>14.729</v>
      </c>
      <c r="L7" s="26" t="n">
        <v>19.188</v>
      </c>
      <c r="M7" s="26" t="n">
        <v>19.188</v>
      </c>
      <c r="N7" s="26" t="n">
        <v>19.399</v>
      </c>
      <c r="O7" s="26" t="n">
        <v>30.827</v>
      </c>
      <c r="P7" s="26" t="n">
        <v>45.288</v>
      </c>
      <c r="Q7" s="26" t="n">
        <v>50.661</v>
      </c>
      <c r="R7" s="26" t="n">
        <v>56.415</v>
      </c>
      <c r="S7" s="26" t="n">
        <v>59.244</v>
      </c>
      <c r="T7" s="26" t="n">
        <v>58.81</v>
      </c>
      <c r="U7" s="26" t="n">
        <v>59.464</v>
      </c>
      <c r="V7" s="26" t="n">
        <v>61.318</v>
      </c>
      <c r="W7" s="26" t="n">
        <v>65.621</v>
      </c>
      <c r="X7" s="26" t="n">
        <v>73.087</v>
      </c>
      <c r="Y7" s="26" t="n">
        <v>81.759</v>
      </c>
      <c r="Z7" s="26" t="n">
        <v>100.274</v>
      </c>
      <c r="AA7" s="26" t="n">
        <v>115.314</v>
      </c>
      <c r="AB7" s="26" t="n">
        <v>115.48</v>
      </c>
      <c r="AC7" s="26" t="n">
        <v>122.384</v>
      </c>
      <c r="AD7" s="26" t="n">
        <v>123.839</v>
      </c>
      <c r="AE7" s="26" t="n">
        <v>124.336</v>
      </c>
      <c r="AF7" s="26" t="n">
        <v>125.212</v>
      </c>
      <c r="AG7" s="26" t="n">
        <v>124.929</v>
      </c>
      <c r="AH7" s="26" t="n">
        <v>125.517</v>
      </c>
      <c r="AI7" s="26" t="n">
        <v>132.362</v>
      </c>
      <c r="AJ7" s="26" t="n">
        <v>154.299</v>
      </c>
      <c r="AK7" s="26" t="n">
        <v>160.206</v>
      </c>
      <c r="AL7" s="26" t="n">
        <v>169.978</v>
      </c>
      <c r="AM7" s="26" t="n">
        <v>171.236</v>
      </c>
      <c r="AN7" s="26" t="n">
        <v>151.245</v>
      </c>
      <c r="AO7" s="26" t="n">
        <v>125.829</v>
      </c>
      <c r="AP7" s="26" t="n">
        <v>117.026</v>
      </c>
      <c r="AQ7" s="26" t="n">
        <v>107.431</v>
      </c>
      <c r="AR7" s="26" t="n">
        <v>93.14400000000001</v>
      </c>
      <c r="AS7" s="26" t="n">
        <v>86.812</v>
      </c>
      <c r="AT7" s="26" t="n">
        <v>79.998</v>
      </c>
      <c r="AU7" s="26" t="n">
        <v>72.46599999999999</v>
      </c>
      <c r="AV7" s="26" t="n">
        <v>70.89100000000001</v>
      </c>
      <c r="AW7" s="26" t="n">
        <v>62.641</v>
      </c>
      <c r="AX7" s="26" t="n">
        <v>58.995</v>
      </c>
      <c r="AY7" s="26" t="n">
        <v>54.584</v>
      </c>
      <c r="AZ7" s="26" t="n">
        <v>37.304</v>
      </c>
      <c r="BA7" s="26" t="n">
        <v>35.273</v>
      </c>
      <c r="BB7" s="26" t="n">
        <v>30.118</v>
      </c>
      <c r="BC7" s="26" t="n">
        <v>15.253</v>
      </c>
      <c r="BD7" s="26" t="n">
        <v>12.997</v>
      </c>
      <c r="BE7" s="26" t="n">
        <v>12.049</v>
      </c>
      <c r="BF7" s="26" t="n">
        <v>11.181</v>
      </c>
      <c r="BG7" s="26" t="n">
        <v>11.181</v>
      </c>
      <c r="BH7" s="26" t="n">
        <v>11.06</v>
      </c>
      <c r="BI7" s="26" t="n">
        <v>7.648</v>
      </c>
      <c r="BJ7" s="26" t="n">
        <v>6.882</v>
      </c>
      <c r="BK7" s="26" t="n">
        <v>6.882</v>
      </c>
      <c r="BL7" s="26" t="n">
        <v>6.732</v>
      </c>
      <c r="BM7" s="26" t="n">
        <v>6.807</v>
      </c>
      <c r="BN7" s="26" t="n">
        <v>5.966</v>
      </c>
      <c r="BO7" s="26" t="n">
        <v>4.25</v>
      </c>
      <c r="BP7" s="26" t="n">
        <v>4.158</v>
      </c>
      <c r="BQ7" s="26" t="n">
        <v>1.785</v>
      </c>
      <c r="BR7" s="26" t="n">
        <v>0.602</v>
      </c>
      <c r="BS7" s="26" t="n">
        <v>0.602</v>
      </c>
      <c r="BT7" s="26" t="n">
        <v>0.589</v>
      </c>
      <c r="BU7" s="26" t="n">
        <v>0.596</v>
      </c>
      <c r="BV7" s="26" t="n">
        <v>0.602</v>
      </c>
      <c r="BW7" s="26" t="n">
        <v>0.602</v>
      </c>
      <c r="BX7" s="26" t="n">
        <v>0.596</v>
      </c>
      <c r="BY7" s="26" t="n">
        <v>0.596</v>
      </c>
      <c r="BZ7" s="26" t="n">
        <v>0.602</v>
      </c>
      <c r="CA7" s="26" t="n">
        <v>0.602</v>
      </c>
      <c r="CB7" s="26" t="n">
        <v>0.589</v>
      </c>
      <c r="CC7" s="26" t="n">
        <v>0.596</v>
      </c>
      <c r="CD7" s="26" t="n">
        <v>0.602</v>
      </c>
      <c r="CE7" s="26" t="n">
        <v>0.602</v>
      </c>
      <c r="CF7" s="26" t="n">
        <v>0.589</v>
      </c>
      <c r="CG7" s="26" t="n">
        <v>0.596</v>
      </c>
      <c r="CH7" s="26" t="n">
        <v>0.602</v>
      </c>
      <c r="CI7" s="26" t="n">
        <v>0.602</v>
      </c>
      <c r="CJ7" s="26" t="n">
        <v>0.589</v>
      </c>
      <c r="CK7" s="26" t="n">
        <v>0.596</v>
      </c>
      <c r="CL7" s="26" t="n">
        <v>0.602</v>
      </c>
      <c r="CM7" s="26" t="n">
        <v>0.602</v>
      </c>
      <c r="CN7" s="26" t="n">
        <v>0.596</v>
      </c>
      <c r="CO7" s="26" t="n">
        <v>0.596</v>
      </c>
      <c r="CP7" s="26" t="n">
        <v>0.602</v>
      </c>
      <c r="CQ7" s="26" t="n">
        <v>0.602</v>
      </c>
      <c r="CR7" s="26" t="n">
        <v>0.589</v>
      </c>
      <c r="CS7" s="26" t="n">
        <v>0.596</v>
      </c>
      <c r="CT7" s="26" t="n">
        <v>0.602</v>
      </c>
      <c r="CU7" s="26" t="n">
        <v>0.602</v>
      </c>
      <c r="CV7" s="26" t="n">
        <v>0.589</v>
      </c>
      <c r="CW7" s="26" t="n">
        <v>0.596</v>
      </c>
      <c r="CX7" s="26" t="n">
        <v>0.602</v>
      </c>
      <c r="CY7" s="26" t="n">
        <v>0.602</v>
      </c>
      <c r="CZ7" s="26" t="n">
        <v>0.589</v>
      </c>
      <c r="DA7" s="26" t="n">
        <v>0.596</v>
      </c>
      <c r="DB7" s="26" t="n">
        <v>0.602</v>
      </c>
      <c r="DC7" s="26" t="n">
        <v>0.602</v>
      </c>
      <c r="DD7" s="26" t="n">
        <v>0.596</v>
      </c>
      <c r="DE7" s="26" t="n">
        <v>0.596</v>
      </c>
      <c r="DF7" s="26" t="n">
        <v>0.602</v>
      </c>
      <c r="DG7" s="26" t="n">
        <v>0.602</v>
      </c>
      <c r="DH7" s="26" t="n">
        <v>0.589</v>
      </c>
      <c r="DI7" s="26" t="n">
        <v>0.596</v>
      </c>
      <c r="DJ7" s="26" t="n">
        <v>0.602</v>
      </c>
      <c r="DK7" s="26" t="n">
        <v>0.602</v>
      </c>
      <c r="DL7" s="26" t="n">
        <v>0.589</v>
      </c>
      <c r="DM7" s="26" t="n">
        <v>0.596</v>
      </c>
      <c r="DN7" s="26" t="n">
        <v>0.602</v>
      </c>
      <c r="DO7" s="26" t="n">
        <v>0.602</v>
      </c>
      <c r="DP7" s="26" t="n">
        <v>0.589</v>
      </c>
      <c r="DQ7" s="26" t="n">
        <v>0.596</v>
      </c>
      <c r="DR7" s="26" t="n">
        <v>0.602</v>
      </c>
      <c r="DS7" s="26" t="n">
        <v>0.602</v>
      </c>
      <c r="DT7" s="26" t="n">
        <v>0.596</v>
      </c>
      <c r="DU7" s="26" t="n">
        <v>0.596</v>
      </c>
      <c r="DV7" s="26" t="n">
        <v>0.602</v>
      </c>
      <c r="DW7" s="26" t="n">
        <v>0.602</v>
      </c>
      <c r="DX7" s="26" t="n">
        <v>0.589</v>
      </c>
      <c r="DY7" s="26" t="n">
        <v>0.399</v>
      </c>
      <c r="DZ7" s="26" t="n">
        <v>15.199</v>
      </c>
      <c r="EA7" s="26" t="n">
        <v>48.264</v>
      </c>
      <c r="EB7" s="26" t="n">
        <v>88.602</v>
      </c>
      <c r="EC7" s="26" t="n">
        <v>211.608</v>
      </c>
      <c r="ED7" s="26" t="n">
        <v>245.213</v>
      </c>
      <c r="EE7" s="26" t="n">
        <v>370.434</v>
      </c>
      <c r="EF7" s="26" t="n">
        <v>486.039</v>
      </c>
      <c r="EG7" s="26" t="n">
        <v>508.02</v>
      </c>
      <c r="EH7" s="26" t="n">
        <v>655.7190000000001</v>
      </c>
      <c r="EI7" s="26" t="n">
        <v>501.531</v>
      </c>
      <c r="EJ7" s="26" t="n">
        <v>332.42</v>
      </c>
      <c r="EK7" s="26" t="n">
        <v>247.111</v>
      </c>
      <c r="EL7" s="26" t="n">
        <v>117.948</v>
      </c>
      <c r="EM7" s="26" t="n">
        <v>47.408</v>
      </c>
      <c r="EN7" s="26" t="n">
        <v>32.472</v>
      </c>
      <c r="EO7" s="26" t="n">
        <v>23.755</v>
      </c>
      <c r="EP7" s="26" t="n">
        <v>7.147</v>
      </c>
      <c r="EQ7" s="26" t="n">
        <v>2.389</v>
      </c>
      <c r="ER7" s="26" t="n">
        <v>2.396</v>
      </c>
      <c r="ES7" s="26" t="n">
        <v>2.389</v>
      </c>
      <c r="ET7" s="26" t="n">
        <v>2.389</v>
      </c>
      <c r="EU7" s="26" t="n">
        <v>2.389</v>
      </c>
      <c r="EV7" s="26" t="n">
        <v>2.396</v>
      </c>
      <c r="EW7" s="26" t="n">
        <v>2.389</v>
      </c>
      <c r="EX7" s="26" t="n">
        <v>2.389</v>
      </c>
      <c r="EY7" s="26" t="n">
        <v>2.389</v>
      </c>
      <c r="EZ7" s="26" t="n">
        <v>2.396</v>
      </c>
      <c r="FA7" s="26" t="n">
        <v>2.389</v>
      </c>
      <c r="FB7" s="26" t="n">
        <v>2.389</v>
      </c>
      <c r="FC7" s="26" t="n">
        <v>2.389</v>
      </c>
      <c r="FD7" s="26" t="n">
        <v>2.396</v>
      </c>
      <c r="FE7" s="26" t="n">
        <v>0.988</v>
      </c>
    </row>
    <row r="8">
      <c r="A8" s="12" t="inlineStr">
        <is>
          <t>type:NAVAL</t>
        </is>
      </c>
      <c r="D8" t="inlineStr">
        <is>
          <t>선종 NAVAL</t>
        </is>
      </c>
      <c r="AI8" s="26" t="n">
        <v>2.682</v>
      </c>
      <c r="AJ8" s="26" t="n">
        <v>17.675</v>
      </c>
      <c r="AK8" s="26" t="n">
        <v>17.871</v>
      </c>
      <c r="AL8" s="26" t="n">
        <v>18.067</v>
      </c>
      <c r="AM8" s="26" t="n">
        <v>18.067</v>
      </c>
      <c r="AN8" s="26" t="n">
        <v>17.675</v>
      </c>
      <c r="AO8" s="26" t="n">
        <v>17.871</v>
      </c>
      <c r="AP8" s="26" t="n">
        <v>18.067</v>
      </c>
      <c r="AQ8" s="26" t="n">
        <v>18.067</v>
      </c>
      <c r="AR8" s="26" t="n">
        <v>17.871</v>
      </c>
      <c r="AS8" s="26" t="n">
        <v>17.871</v>
      </c>
      <c r="AT8" s="26" t="n">
        <v>18.067</v>
      </c>
      <c r="AU8" s="26" t="n">
        <v>17.013</v>
      </c>
      <c r="AV8" s="26" t="n">
        <v>13.719</v>
      </c>
      <c r="AW8" s="26" t="n">
        <v>13.871</v>
      </c>
      <c r="AX8" s="26" t="n">
        <v>14.024</v>
      </c>
      <c r="AY8" s="26" t="n">
        <v>4.725</v>
      </c>
      <c r="EG8" s="26" t="n">
        <v>2.682</v>
      </c>
      <c r="EH8" s="26" t="n">
        <v>71.68000000000001</v>
      </c>
      <c r="EI8" s="26" t="n">
        <v>71.68000000000001</v>
      </c>
      <c r="EJ8" s="26" t="n">
        <v>70.822</v>
      </c>
      <c r="EK8" s="26" t="n">
        <v>46.339</v>
      </c>
    </row>
    <row r="9">
      <c r="A9" s="12" t="inlineStr">
        <is>
          <t>type:CONT</t>
        </is>
      </c>
      <c r="D9" t="inlineStr">
        <is>
          <t>선종 CONT</t>
        </is>
      </c>
      <c r="AJ9" s="26" t="n">
        <v>13.816</v>
      </c>
      <c r="AK9" s="26" t="n">
        <v>42.688</v>
      </c>
      <c r="AL9" s="26" t="n">
        <v>54.177</v>
      </c>
      <c r="AM9" s="26" t="n">
        <v>95.355</v>
      </c>
      <c r="AN9" s="26" t="n">
        <v>93.282</v>
      </c>
      <c r="AO9" s="26" t="n">
        <v>94.319</v>
      </c>
      <c r="AP9" s="26" t="n">
        <v>95.355</v>
      </c>
      <c r="AQ9" s="26" t="n">
        <v>95.355</v>
      </c>
      <c r="AR9" s="26" t="n">
        <v>94.319</v>
      </c>
      <c r="AS9" s="26" t="n">
        <v>94.319</v>
      </c>
      <c r="AT9" s="26" t="n">
        <v>69.93300000000001</v>
      </c>
      <c r="AU9" s="26" t="n">
        <v>54.197</v>
      </c>
      <c r="AV9" s="26" t="n">
        <v>45.195</v>
      </c>
      <c r="AW9" s="26" t="n">
        <v>15.065</v>
      </c>
      <c r="EH9" s="26" t="n">
        <v>206.036</v>
      </c>
      <c r="EI9" s="26" t="n">
        <v>378.311</v>
      </c>
      <c r="EJ9" s="26" t="n">
        <v>312.768</v>
      </c>
      <c r="EK9" s="26" t="n">
        <v>60.26</v>
      </c>
    </row>
    <row r="10">
      <c r="A10" s="12" t="inlineStr">
        <is>
          <t>cohort:등급없음</t>
        </is>
      </c>
      <c r="D10" t="inlineStr">
        <is>
          <t>코호트 등급없음</t>
        </is>
      </c>
      <c r="E10" s="26" t="n">
        <v>2.933</v>
      </c>
      <c r="F10" s="26" t="n">
        <v>6.133</v>
      </c>
      <c r="G10" s="26" t="n">
        <v>6.133</v>
      </c>
      <c r="H10" s="26" t="n">
        <v>6.7</v>
      </c>
      <c r="I10" s="26" t="n">
        <v>12.374</v>
      </c>
      <c r="J10" s="26" t="n">
        <v>14.461</v>
      </c>
      <c r="K10" s="26" t="n">
        <v>14.729</v>
      </c>
      <c r="L10" s="26" t="n">
        <v>19.188</v>
      </c>
      <c r="M10" s="26" t="n">
        <v>19.188</v>
      </c>
      <c r="N10" s="26" t="n">
        <v>19.399</v>
      </c>
      <c r="O10" s="26" t="n">
        <v>30.827</v>
      </c>
      <c r="P10" s="26" t="n">
        <v>45.288</v>
      </c>
      <c r="Q10" s="26" t="n">
        <v>50.661</v>
      </c>
      <c r="R10" s="26" t="n">
        <v>56.415</v>
      </c>
      <c r="S10" s="26" t="n">
        <v>59.244</v>
      </c>
      <c r="T10" s="26" t="n">
        <v>58.81</v>
      </c>
      <c r="U10" s="26" t="n">
        <v>59.464</v>
      </c>
      <c r="V10" s="26" t="n">
        <v>61.318</v>
      </c>
      <c r="W10" s="26" t="n">
        <v>65.621</v>
      </c>
      <c r="X10" s="26" t="n">
        <v>73.087</v>
      </c>
      <c r="Y10" s="26" t="n">
        <v>81.759</v>
      </c>
      <c r="Z10" s="26" t="n">
        <v>100.274</v>
      </c>
      <c r="AA10" s="26" t="n">
        <v>115.314</v>
      </c>
      <c r="AB10" s="26" t="n">
        <v>115.48</v>
      </c>
      <c r="AC10" s="26" t="n">
        <v>122.384</v>
      </c>
      <c r="AD10" s="26" t="n">
        <v>123.839</v>
      </c>
      <c r="AE10" s="26" t="n">
        <v>124.336</v>
      </c>
      <c r="AF10" s="26" t="n">
        <v>125.212</v>
      </c>
      <c r="AG10" s="26" t="n">
        <v>124.929</v>
      </c>
      <c r="AH10" s="26" t="n">
        <v>125.517</v>
      </c>
      <c r="AI10" s="26" t="n">
        <v>134.648</v>
      </c>
      <c r="AJ10" s="26" t="n">
        <v>168.017</v>
      </c>
      <c r="AK10" s="26" t="n">
        <v>174.078</v>
      </c>
      <c r="AL10" s="26" t="n">
        <v>184.002</v>
      </c>
      <c r="AM10" s="26" t="n">
        <v>185.26</v>
      </c>
      <c r="AN10" s="26" t="n">
        <v>164.964</v>
      </c>
      <c r="AO10" s="26" t="n">
        <v>139.7</v>
      </c>
      <c r="AP10" s="26" t="n">
        <v>131.049</v>
      </c>
      <c r="AQ10" s="26" t="n">
        <v>121.454</v>
      </c>
      <c r="AR10" s="26" t="n">
        <v>107.016</v>
      </c>
      <c r="AS10" s="26" t="n">
        <v>100.684</v>
      </c>
      <c r="AT10" s="26" t="n">
        <v>94.021</v>
      </c>
      <c r="AU10" s="26" t="n">
        <v>86.48999999999999</v>
      </c>
      <c r="AV10" s="26" t="n">
        <v>84.61</v>
      </c>
      <c r="AW10" s="26" t="n">
        <v>76.512</v>
      </c>
      <c r="AX10" s="26" t="n">
        <v>73.018</v>
      </c>
      <c r="AY10" s="26" t="n">
        <v>59.31</v>
      </c>
      <c r="AZ10" s="26" t="n">
        <v>37.304</v>
      </c>
      <c r="BA10" s="26" t="n">
        <v>35.273</v>
      </c>
      <c r="BB10" s="26" t="n">
        <v>30.118</v>
      </c>
      <c r="BC10" s="26" t="n">
        <v>15.253</v>
      </c>
      <c r="BD10" s="26" t="n">
        <v>12.997</v>
      </c>
      <c r="BE10" s="26" t="n">
        <v>12.049</v>
      </c>
      <c r="BF10" s="26" t="n">
        <v>11.181</v>
      </c>
      <c r="BG10" s="26" t="n">
        <v>11.181</v>
      </c>
      <c r="BH10" s="26" t="n">
        <v>11.06</v>
      </c>
      <c r="BI10" s="26" t="n">
        <v>7.648</v>
      </c>
      <c r="BJ10" s="26" t="n">
        <v>6.882</v>
      </c>
      <c r="BK10" s="26" t="n">
        <v>6.882</v>
      </c>
      <c r="BL10" s="26" t="n">
        <v>6.732</v>
      </c>
      <c r="BM10" s="26" t="n">
        <v>6.807</v>
      </c>
      <c r="BN10" s="26" t="n">
        <v>5.966</v>
      </c>
      <c r="BO10" s="26" t="n">
        <v>4.25</v>
      </c>
      <c r="BP10" s="26" t="n">
        <v>4.158</v>
      </c>
      <c r="BQ10" s="26" t="n">
        <v>1.785</v>
      </c>
      <c r="BR10" s="26" t="n">
        <v>0.602</v>
      </c>
      <c r="BS10" s="26" t="n">
        <v>0.602</v>
      </c>
      <c r="BT10" s="26" t="n">
        <v>0.589</v>
      </c>
      <c r="BU10" s="26" t="n">
        <v>0.596</v>
      </c>
      <c r="BV10" s="26" t="n">
        <v>0.602</v>
      </c>
      <c r="BW10" s="26" t="n">
        <v>0.602</v>
      </c>
      <c r="BX10" s="26" t="n">
        <v>0.596</v>
      </c>
      <c r="BY10" s="26" t="n">
        <v>0.596</v>
      </c>
      <c r="BZ10" s="26" t="n">
        <v>0.602</v>
      </c>
      <c r="CA10" s="26" t="n">
        <v>0.602</v>
      </c>
      <c r="CB10" s="26" t="n">
        <v>0.589</v>
      </c>
      <c r="CC10" s="26" t="n">
        <v>0.596</v>
      </c>
      <c r="CD10" s="26" t="n">
        <v>0.602</v>
      </c>
      <c r="CE10" s="26" t="n">
        <v>0.602</v>
      </c>
      <c r="CF10" s="26" t="n">
        <v>0.589</v>
      </c>
      <c r="CG10" s="26" t="n">
        <v>0.596</v>
      </c>
      <c r="CH10" s="26" t="n">
        <v>0.602</v>
      </c>
      <c r="CI10" s="26" t="n">
        <v>0.602</v>
      </c>
      <c r="CJ10" s="26" t="n">
        <v>0.589</v>
      </c>
      <c r="CK10" s="26" t="n">
        <v>0.596</v>
      </c>
      <c r="CL10" s="26" t="n">
        <v>0.602</v>
      </c>
      <c r="CM10" s="26" t="n">
        <v>0.602</v>
      </c>
      <c r="CN10" s="26" t="n">
        <v>0.596</v>
      </c>
      <c r="CO10" s="26" t="n">
        <v>0.596</v>
      </c>
      <c r="CP10" s="26" t="n">
        <v>0.602</v>
      </c>
      <c r="CQ10" s="26" t="n">
        <v>0.602</v>
      </c>
      <c r="CR10" s="26" t="n">
        <v>0.589</v>
      </c>
      <c r="CS10" s="26" t="n">
        <v>0.596</v>
      </c>
      <c r="CT10" s="26" t="n">
        <v>0.602</v>
      </c>
      <c r="CU10" s="26" t="n">
        <v>0.602</v>
      </c>
      <c r="CV10" s="26" t="n">
        <v>0.589</v>
      </c>
      <c r="CW10" s="26" t="n">
        <v>0.596</v>
      </c>
      <c r="CX10" s="26" t="n">
        <v>0.602</v>
      </c>
      <c r="CY10" s="26" t="n">
        <v>0.602</v>
      </c>
      <c r="CZ10" s="26" t="n">
        <v>0.589</v>
      </c>
      <c r="DA10" s="26" t="n">
        <v>0.596</v>
      </c>
      <c r="DB10" s="26" t="n">
        <v>0.602</v>
      </c>
      <c r="DC10" s="26" t="n">
        <v>0.602</v>
      </c>
      <c r="DD10" s="26" t="n">
        <v>0.596</v>
      </c>
      <c r="DE10" s="26" t="n">
        <v>0.596</v>
      </c>
      <c r="DF10" s="26" t="n">
        <v>0.602</v>
      </c>
      <c r="DG10" s="26" t="n">
        <v>0.602</v>
      </c>
      <c r="DH10" s="26" t="n">
        <v>0.589</v>
      </c>
      <c r="DI10" s="26" t="n">
        <v>0.596</v>
      </c>
      <c r="DJ10" s="26" t="n">
        <v>0.602</v>
      </c>
      <c r="DK10" s="26" t="n">
        <v>0.602</v>
      </c>
      <c r="DL10" s="26" t="n">
        <v>0.589</v>
      </c>
      <c r="DM10" s="26" t="n">
        <v>0.596</v>
      </c>
      <c r="DN10" s="26" t="n">
        <v>0.602</v>
      </c>
      <c r="DO10" s="26" t="n">
        <v>0.602</v>
      </c>
      <c r="DP10" s="26" t="n">
        <v>0.589</v>
      </c>
      <c r="DQ10" s="26" t="n">
        <v>0.596</v>
      </c>
      <c r="DR10" s="26" t="n">
        <v>0.602</v>
      </c>
      <c r="DS10" s="26" t="n">
        <v>0.602</v>
      </c>
      <c r="DT10" s="26" t="n">
        <v>0.596</v>
      </c>
      <c r="DU10" s="26" t="n">
        <v>0.596</v>
      </c>
      <c r="DV10" s="26" t="n">
        <v>0.602</v>
      </c>
      <c r="DW10" s="26" t="n">
        <v>0.602</v>
      </c>
      <c r="DX10" s="26" t="n">
        <v>0.589</v>
      </c>
      <c r="DY10" s="26" t="n">
        <v>0.399</v>
      </c>
      <c r="DZ10" s="26" t="n">
        <v>15.199</v>
      </c>
      <c r="EA10" s="26" t="n">
        <v>48.264</v>
      </c>
      <c r="EB10" s="26" t="n">
        <v>88.602</v>
      </c>
      <c r="EC10" s="26" t="n">
        <v>211.608</v>
      </c>
      <c r="ED10" s="26" t="n">
        <v>245.213</v>
      </c>
      <c r="EE10" s="26" t="n">
        <v>370.434</v>
      </c>
      <c r="EF10" s="26" t="n">
        <v>486.039</v>
      </c>
      <c r="EG10" s="26" t="n">
        <v>510.306</v>
      </c>
      <c r="EH10" s="26" t="n">
        <v>711.357</v>
      </c>
      <c r="EI10" s="26" t="n">
        <v>557.167</v>
      </c>
      <c r="EJ10" s="26" t="n">
        <v>388.211</v>
      </c>
      <c r="EK10" s="26" t="n">
        <v>293.45</v>
      </c>
      <c r="EL10" s="26" t="n">
        <v>117.948</v>
      </c>
      <c r="EM10" s="26" t="n">
        <v>47.408</v>
      </c>
      <c r="EN10" s="26" t="n">
        <v>32.472</v>
      </c>
      <c r="EO10" s="26" t="n">
        <v>23.755</v>
      </c>
      <c r="EP10" s="26" t="n">
        <v>7.147</v>
      </c>
      <c r="EQ10" s="26" t="n">
        <v>2.389</v>
      </c>
      <c r="ER10" s="26" t="n">
        <v>2.396</v>
      </c>
      <c r="ES10" s="26" t="n">
        <v>2.389</v>
      </c>
      <c r="ET10" s="26" t="n">
        <v>2.389</v>
      </c>
      <c r="EU10" s="26" t="n">
        <v>2.389</v>
      </c>
      <c r="EV10" s="26" t="n">
        <v>2.396</v>
      </c>
      <c r="EW10" s="26" t="n">
        <v>2.389</v>
      </c>
      <c r="EX10" s="26" t="n">
        <v>2.389</v>
      </c>
      <c r="EY10" s="26" t="n">
        <v>2.389</v>
      </c>
      <c r="EZ10" s="26" t="n">
        <v>2.396</v>
      </c>
      <c r="FA10" s="26" t="n">
        <v>2.389</v>
      </c>
      <c r="FB10" s="26" t="n">
        <v>2.389</v>
      </c>
      <c r="FC10" s="26" t="n">
        <v>2.389</v>
      </c>
      <c r="FD10" s="26" t="n">
        <v>2.396</v>
      </c>
      <c r="FE10" s="26" t="n">
        <v>0.988</v>
      </c>
    </row>
    <row r="11">
      <c r="A11" s="12" t="inlineStr">
        <is>
          <t>cohort:⑤초호황</t>
        </is>
      </c>
      <c r="D11" t="inlineStr">
        <is>
          <t>코호트 ⑤초호황</t>
        </is>
      </c>
      <c r="AI11" s="26" t="n">
        <v>0.396</v>
      </c>
      <c r="AJ11" s="26" t="n">
        <v>17.772</v>
      </c>
      <c r="AK11" s="26" t="n">
        <v>46.688</v>
      </c>
      <c r="AL11" s="26" t="n">
        <v>58.221</v>
      </c>
      <c r="AM11" s="26" t="n">
        <v>99.399</v>
      </c>
      <c r="AN11" s="26" t="n">
        <v>97.238</v>
      </c>
      <c r="AO11" s="26" t="n">
        <v>98.319</v>
      </c>
      <c r="AP11" s="26" t="n">
        <v>99.399</v>
      </c>
      <c r="AQ11" s="26" t="n">
        <v>99.399</v>
      </c>
      <c r="AR11" s="26" t="n">
        <v>98.319</v>
      </c>
      <c r="AS11" s="26" t="n">
        <v>98.319</v>
      </c>
      <c r="AT11" s="26" t="n">
        <v>73.977</v>
      </c>
      <c r="AU11" s="26" t="n">
        <v>57.186</v>
      </c>
      <c r="AV11" s="26" t="n">
        <v>45.195</v>
      </c>
      <c r="AW11" s="26" t="n">
        <v>15.065</v>
      </c>
      <c r="EG11" s="26" t="n">
        <v>0.396</v>
      </c>
      <c r="EH11" s="26" t="n">
        <v>222.08</v>
      </c>
      <c r="EI11" s="26" t="n">
        <v>394.355</v>
      </c>
      <c r="EJ11" s="26" t="n">
        <v>327.801</v>
      </c>
      <c r="EK11" s="26" t="n">
        <v>60.26</v>
      </c>
    </row>
    <row r="12">
      <c r="A12" s="12" t="inlineStr">
        <is>
          <t>hedge_ratio</t>
        </is>
      </c>
      <c r="D12" t="inlineStr">
        <is>
          <t>헤지비율</t>
        </is>
      </c>
      <c r="E12" s="21" t="n">
        <v>0.7</v>
      </c>
      <c r="F12" s="21" t="n">
        <v>0.7</v>
      </c>
      <c r="G12" s="21" t="n">
        <v>0.7</v>
      </c>
      <c r="H12" s="21" t="n">
        <v>0.7</v>
      </c>
      <c r="I12" s="21" t="n">
        <v>0.7</v>
      </c>
      <c r="J12" s="21" t="n">
        <v>0.7</v>
      </c>
      <c r="K12" s="21" t="n">
        <v>0.7</v>
      </c>
      <c r="L12" s="21" t="n">
        <v>0.7</v>
      </c>
      <c r="M12" s="21" t="n">
        <v>0.7</v>
      </c>
      <c r="N12" s="21" t="n">
        <v>0.7</v>
      </c>
      <c r="O12" s="21" t="n">
        <v>0.7</v>
      </c>
      <c r="P12" s="21" t="n">
        <v>0.7</v>
      </c>
      <c r="Q12" s="21" t="n">
        <v>0.7</v>
      </c>
      <c r="R12" s="21" t="n">
        <v>0.7</v>
      </c>
      <c r="S12" s="21" t="n">
        <v>0.7</v>
      </c>
      <c r="T12" s="21" t="n">
        <v>0.7</v>
      </c>
      <c r="U12" s="21" t="n">
        <v>0.7</v>
      </c>
      <c r="V12" s="21" t="n">
        <v>0.7</v>
      </c>
      <c r="W12" s="21" t="n">
        <v>0.7</v>
      </c>
      <c r="X12" s="21" t="n">
        <v>0.7</v>
      </c>
      <c r="Y12" s="21" t="n">
        <v>0.7</v>
      </c>
      <c r="Z12" s="21" t="n">
        <v>0.7</v>
      </c>
      <c r="AA12" s="21" t="n">
        <v>0.7</v>
      </c>
      <c r="AB12" s="21" t="n">
        <v>0.7</v>
      </c>
      <c r="AC12" s="21" t="n">
        <v>0.7</v>
      </c>
      <c r="AD12" s="21" t="n">
        <v>0.7</v>
      </c>
      <c r="AE12" s="21" t="n">
        <v>0.7</v>
      </c>
      <c r="AF12" s="21" t="n">
        <v>0.7</v>
      </c>
      <c r="AG12" s="21" t="n">
        <v>0.7</v>
      </c>
      <c r="AH12" s="21" t="n">
        <v>0.7</v>
      </c>
      <c r="AI12" s="21" t="n">
        <v>0.7</v>
      </c>
      <c r="AJ12" s="21" t="n">
        <v>0.7</v>
      </c>
      <c r="AK12" s="21" t="n">
        <v>0.7</v>
      </c>
      <c r="AL12" s="21" t="n">
        <v>0.7</v>
      </c>
      <c r="AM12" s="21" t="n">
        <v>0.7</v>
      </c>
      <c r="AN12" s="21" t="n">
        <v>0.7</v>
      </c>
      <c r="AO12" s="21" t="n">
        <v>0.7</v>
      </c>
      <c r="AP12" s="21" t="n">
        <v>0.7</v>
      </c>
      <c r="AQ12" s="21" t="n">
        <v>0.7</v>
      </c>
      <c r="AR12" s="21" t="n">
        <v>0.7</v>
      </c>
      <c r="AS12" s="21" t="n">
        <v>0.7</v>
      </c>
      <c r="AT12" s="21" t="n">
        <v>0.7</v>
      </c>
      <c r="AU12" s="21" t="n">
        <v>0.7</v>
      </c>
      <c r="AV12" s="21" t="n">
        <v>0.7</v>
      </c>
      <c r="AW12" s="21" t="n">
        <v>0.7</v>
      </c>
      <c r="AX12" s="21" t="n">
        <v>0.7</v>
      </c>
      <c r="AY12" s="21" t="n">
        <v>0.7</v>
      </c>
      <c r="AZ12" s="21" t="n">
        <v>0.7</v>
      </c>
      <c r="BA12" s="21" t="n">
        <v>0.7</v>
      </c>
      <c r="BB12" s="21" t="n">
        <v>0.7</v>
      </c>
      <c r="BC12" s="21" t="n">
        <v>0.7</v>
      </c>
      <c r="BD12" s="21" t="n">
        <v>0.7</v>
      </c>
      <c r="BE12" s="21" t="n">
        <v>0.7</v>
      </c>
      <c r="BF12" s="21" t="n">
        <v>0.7</v>
      </c>
      <c r="BG12" s="21" t="n">
        <v>0.7</v>
      </c>
      <c r="BH12" s="21" t="n">
        <v>0.7</v>
      </c>
      <c r="BI12" s="21" t="n">
        <v>0.7</v>
      </c>
      <c r="BJ12" s="21" t="n">
        <v>0.7</v>
      </c>
      <c r="BK12" s="21" t="n">
        <v>0.7</v>
      </c>
      <c r="BL12" s="21" t="n">
        <v>0.7</v>
      </c>
      <c r="BM12" s="21" t="n">
        <v>0.7</v>
      </c>
      <c r="BN12" s="21" t="n">
        <v>0.7</v>
      </c>
      <c r="BO12" s="21" t="n">
        <v>0.7</v>
      </c>
      <c r="BP12" s="21" t="n">
        <v>0.7</v>
      </c>
      <c r="BQ12" s="21" t="n">
        <v>0.7</v>
      </c>
      <c r="BR12" s="21" t="n">
        <v>0.7</v>
      </c>
      <c r="BS12" s="21" t="n">
        <v>0.7</v>
      </c>
      <c r="BT12" s="21" t="n">
        <v>0.7</v>
      </c>
      <c r="BU12" s="21" t="n">
        <v>0.7</v>
      </c>
      <c r="BV12" s="21" t="n">
        <v>0.7</v>
      </c>
      <c r="BW12" s="21" t="n">
        <v>0.7</v>
      </c>
      <c r="BX12" s="21" t="n">
        <v>0.7</v>
      </c>
      <c r="BY12" s="21" t="n">
        <v>0.7</v>
      </c>
      <c r="BZ12" s="21" t="n">
        <v>0.7</v>
      </c>
      <c r="CA12" s="21" t="n">
        <v>0.7</v>
      </c>
      <c r="CB12" s="21" t="n">
        <v>0.7</v>
      </c>
      <c r="CC12" s="21" t="n">
        <v>0.7</v>
      </c>
      <c r="CD12" s="21" t="n">
        <v>0.7</v>
      </c>
      <c r="CE12" s="21" t="n">
        <v>0.7</v>
      </c>
      <c r="CF12" s="21" t="n">
        <v>0.7</v>
      </c>
      <c r="CG12" s="21" t="n">
        <v>0.7</v>
      </c>
      <c r="CH12" s="21" t="n">
        <v>0.7</v>
      </c>
      <c r="CI12" s="21" t="n">
        <v>0.7</v>
      </c>
      <c r="CJ12" s="21" t="n">
        <v>0.7</v>
      </c>
      <c r="CK12" s="21" t="n">
        <v>0.7</v>
      </c>
      <c r="CL12" s="21" t="n">
        <v>0.7</v>
      </c>
      <c r="CM12" s="21" t="n">
        <v>0.7</v>
      </c>
      <c r="CN12" s="21" t="n">
        <v>0.7</v>
      </c>
      <c r="CO12" s="21" t="n">
        <v>0.7</v>
      </c>
      <c r="CP12" s="21" t="n">
        <v>0.7</v>
      </c>
      <c r="CQ12" s="21" t="n">
        <v>0.7</v>
      </c>
      <c r="CR12" s="21" t="n">
        <v>0.7</v>
      </c>
      <c r="CS12" s="21" t="n">
        <v>0.7</v>
      </c>
      <c r="CT12" s="21" t="n">
        <v>0.7</v>
      </c>
      <c r="CU12" s="21" t="n">
        <v>0.7</v>
      </c>
      <c r="CV12" s="21" t="n">
        <v>0.7</v>
      </c>
      <c r="CW12" s="21" t="n">
        <v>0.7</v>
      </c>
      <c r="CX12" s="21" t="n">
        <v>0.7</v>
      </c>
      <c r="CY12" s="21" t="n">
        <v>0.7</v>
      </c>
      <c r="CZ12" s="21" t="n">
        <v>0.7</v>
      </c>
      <c r="DA12" s="21" t="n">
        <v>0.7</v>
      </c>
      <c r="DB12" s="21" t="n">
        <v>0.7</v>
      </c>
      <c r="DC12" s="21" t="n">
        <v>0.7</v>
      </c>
      <c r="DD12" s="21" t="n">
        <v>0.7</v>
      </c>
      <c r="DE12" s="21" t="n">
        <v>0.7</v>
      </c>
      <c r="DF12" s="21" t="n">
        <v>0.7</v>
      </c>
      <c r="DG12" s="21" t="n">
        <v>0.7</v>
      </c>
      <c r="DH12" s="21" t="n">
        <v>0.7</v>
      </c>
      <c r="DI12" s="21" t="n">
        <v>0.7</v>
      </c>
      <c r="DJ12" s="21" t="n">
        <v>0.7</v>
      </c>
      <c r="DK12" s="21" t="n">
        <v>0.7</v>
      </c>
      <c r="DL12" s="21" t="n">
        <v>0.7</v>
      </c>
      <c r="DM12" s="21" t="n">
        <v>0.7</v>
      </c>
      <c r="DN12" s="21" t="n">
        <v>0.7</v>
      </c>
      <c r="DO12" s="21" t="n">
        <v>0.7</v>
      </c>
      <c r="DP12" s="21" t="n">
        <v>0.7</v>
      </c>
      <c r="DQ12" s="21" t="n">
        <v>0.7</v>
      </c>
      <c r="DR12" s="21" t="n">
        <v>0.7</v>
      </c>
      <c r="DS12" s="21" t="n">
        <v>0.7</v>
      </c>
      <c r="DT12" s="21" t="n">
        <v>0.7</v>
      </c>
      <c r="DU12" s="21" t="n">
        <v>0.7</v>
      </c>
      <c r="DV12" s="21" t="n">
        <v>0.7</v>
      </c>
      <c r="DW12" s="21" t="n">
        <v>0.7</v>
      </c>
      <c r="DX12" s="21" t="n">
        <v>0.7</v>
      </c>
      <c r="DY12" s="21" t="n">
        <v>0.7</v>
      </c>
    </row>
    <row r="13">
      <c r="A13" s="12" t="inlineStr">
        <is>
          <t>hedge_rate</t>
        </is>
      </c>
      <c r="D13" t="inlineStr">
        <is>
          <t>헤지환율(가중)</t>
        </is>
      </c>
      <c r="E13" s="13" t="n">
        <v>1080.48</v>
      </c>
      <c r="F13" s="13" t="n">
        <v>1080.48</v>
      </c>
      <c r="G13" s="13" t="n">
        <v>1080.48</v>
      </c>
      <c r="H13" s="13" t="n">
        <v>1085.22</v>
      </c>
      <c r="I13" s="13" t="n">
        <v>1106.95</v>
      </c>
      <c r="J13" s="13" t="n">
        <v>1115.14</v>
      </c>
      <c r="K13" s="13" t="n">
        <v>1116.26</v>
      </c>
      <c r="L13" s="13" t="n">
        <v>1130.69</v>
      </c>
      <c r="M13" s="13" t="n">
        <v>1130.69</v>
      </c>
      <c r="N13" s="13" t="n">
        <v>1130.69</v>
      </c>
      <c r="O13" s="13" t="n">
        <v>1125.98</v>
      </c>
      <c r="P13" s="13" t="n">
        <v>1123.3</v>
      </c>
      <c r="Q13" s="13" t="n">
        <v>1122.51</v>
      </c>
      <c r="R13" s="13" t="n">
        <v>1124.2</v>
      </c>
      <c r="S13" s="13" t="n">
        <v>1126.74</v>
      </c>
      <c r="T13" s="13" t="n">
        <v>1127.57</v>
      </c>
      <c r="U13" s="13" t="n">
        <v>1127.57</v>
      </c>
      <c r="V13" s="13" t="n">
        <v>1131.77</v>
      </c>
      <c r="W13" s="13" t="n">
        <v>1145.89</v>
      </c>
      <c r="X13" s="13" t="n">
        <v>1170.82</v>
      </c>
      <c r="Y13" s="13" t="n">
        <v>1183.49</v>
      </c>
      <c r="Z13" s="13" t="n">
        <v>1206.46</v>
      </c>
      <c r="AA13" s="13" t="n">
        <v>1220.45</v>
      </c>
      <c r="AB13" s="13" t="n">
        <v>1221.79</v>
      </c>
      <c r="AC13" s="13" t="n">
        <v>1227.91</v>
      </c>
      <c r="AD13" s="13" t="n">
        <v>1228</v>
      </c>
      <c r="AE13" s="13" t="n">
        <v>1228.67</v>
      </c>
      <c r="AF13" s="13" t="n">
        <v>1233.83</v>
      </c>
      <c r="AG13" s="13" t="n">
        <v>1249.21</v>
      </c>
      <c r="AH13" s="13" t="n">
        <v>1254.23</v>
      </c>
      <c r="AI13" s="13" t="n">
        <v>1267.98</v>
      </c>
      <c r="AJ13" s="13" t="n">
        <v>1322.94</v>
      </c>
      <c r="AK13" s="13" t="n">
        <v>1377.69</v>
      </c>
      <c r="AL13" s="13" t="n">
        <v>1386.2</v>
      </c>
      <c r="AM13" s="13" t="n">
        <v>1391.05</v>
      </c>
      <c r="AN13" s="13" t="n">
        <v>1404.14</v>
      </c>
      <c r="AO13" s="13" t="n">
        <v>1421.74</v>
      </c>
      <c r="AP13" s="13" t="n">
        <v>1427.05</v>
      </c>
      <c r="AQ13" s="13" t="n">
        <v>1432.32</v>
      </c>
      <c r="AR13" s="13" t="n">
        <v>1439.67</v>
      </c>
      <c r="AS13" s="13" t="n">
        <v>1446.65</v>
      </c>
      <c r="AT13" s="13" t="n">
        <v>1447.91</v>
      </c>
      <c r="AU13" s="13" t="n">
        <v>1445.29</v>
      </c>
      <c r="AV13" s="13" t="n">
        <v>1441.8</v>
      </c>
      <c r="AW13" s="13" t="n">
        <v>1446.14</v>
      </c>
      <c r="AX13" s="13" t="n">
        <v>1450.05</v>
      </c>
      <c r="AY13" s="13" t="n">
        <v>1455.06</v>
      </c>
      <c r="AZ13" s="13" t="n">
        <v>1461.42</v>
      </c>
      <c r="BA13" s="13" t="n">
        <v>1462.26</v>
      </c>
      <c r="BB13" s="13" t="n">
        <v>1461.55</v>
      </c>
      <c r="BC13" s="13" t="n">
        <v>1427.55</v>
      </c>
      <c r="BD13" s="13" t="n">
        <v>1461.07</v>
      </c>
      <c r="BE13" s="13" t="n">
        <v>1466.32</v>
      </c>
      <c r="BF13" s="13" t="n">
        <v>1463.15</v>
      </c>
      <c r="BG13" s="13" t="n">
        <v>1463.15</v>
      </c>
      <c r="BH13" s="13" t="n">
        <v>1463.15</v>
      </c>
      <c r="BI13" s="13" t="n">
        <v>1445.93</v>
      </c>
      <c r="BJ13" s="13" t="n">
        <v>1439.03</v>
      </c>
      <c r="BK13" s="13" t="n">
        <v>1439.03</v>
      </c>
      <c r="BL13" s="13" t="n">
        <v>1439.03</v>
      </c>
      <c r="BM13" s="13" t="n">
        <v>1439.03</v>
      </c>
      <c r="BN13" s="13" t="n">
        <v>1442.14</v>
      </c>
      <c r="BO13" s="13" t="n">
        <v>1451.59</v>
      </c>
      <c r="BP13" s="13" t="n">
        <v>1451.59</v>
      </c>
      <c r="BQ13" s="13" t="n">
        <v>1454.84</v>
      </c>
      <c r="BR13" s="13" t="n">
        <v>1466.12</v>
      </c>
      <c r="BS13" s="13" t="n">
        <v>1466.12</v>
      </c>
      <c r="BT13" s="13" t="n">
        <v>1466.12</v>
      </c>
      <c r="BU13" s="13" t="n">
        <v>1466.12</v>
      </c>
      <c r="BV13" s="13" t="n">
        <v>1466.12</v>
      </c>
      <c r="BW13" s="13" t="n">
        <v>1466.12</v>
      </c>
      <c r="BX13" s="13" t="n">
        <v>1466.12</v>
      </c>
      <c r="BY13" s="13" t="n">
        <v>1466.12</v>
      </c>
      <c r="BZ13" s="13" t="n">
        <v>1466.12</v>
      </c>
      <c r="CA13" s="13" t="n">
        <v>1466.12</v>
      </c>
      <c r="CB13" s="13" t="n">
        <v>1466.12</v>
      </c>
      <c r="CC13" s="13" t="n">
        <v>1466.12</v>
      </c>
      <c r="CD13" s="13" t="n">
        <v>1466.12</v>
      </c>
      <c r="CE13" s="13" t="n">
        <v>1466.12</v>
      </c>
      <c r="CF13" s="13" t="n">
        <v>1466.12</v>
      </c>
      <c r="CG13" s="13" t="n">
        <v>1466.12</v>
      </c>
      <c r="CH13" s="13" t="n">
        <v>1466.12</v>
      </c>
      <c r="CI13" s="13" t="n">
        <v>1466.12</v>
      </c>
      <c r="CJ13" s="13" t="n">
        <v>1466.12</v>
      </c>
      <c r="CK13" s="13" t="n">
        <v>1466.12</v>
      </c>
      <c r="CL13" s="13" t="n">
        <v>1466.12</v>
      </c>
      <c r="CM13" s="13" t="n">
        <v>1466.12</v>
      </c>
      <c r="CN13" s="13" t="n">
        <v>1466.12</v>
      </c>
      <c r="CO13" s="13" t="n">
        <v>1466.12</v>
      </c>
      <c r="CP13" s="13" t="n">
        <v>1466.12</v>
      </c>
      <c r="CQ13" s="13" t="n">
        <v>1466.12</v>
      </c>
      <c r="CR13" s="13" t="n">
        <v>1466.12</v>
      </c>
      <c r="CS13" s="13" t="n">
        <v>1466.12</v>
      </c>
      <c r="CT13" s="13" t="n">
        <v>1466.12</v>
      </c>
      <c r="CU13" s="13" t="n">
        <v>1466.12</v>
      </c>
      <c r="CV13" s="13" t="n">
        <v>1466.12</v>
      </c>
      <c r="CW13" s="13" t="n">
        <v>1466.12</v>
      </c>
      <c r="CX13" s="13" t="n">
        <v>1466.12</v>
      </c>
      <c r="CY13" s="13" t="n">
        <v>1466.12</v>
      </c>
      <c r="CZ13" s="13" t="n">
        <v>1466.12</v>
      </c>
      <c r="DA13" s="13" t="n">
        <v>1466.12</v>
      </c>
      <c r="DB13" s="13" t="n">
        <v>1466.12</v>
      </c>
      <c r="DC13" s="13" t="n">
        <v>1466.12</v>
      </c>
      <c r="DD13" s="13" t="n">
        <v>1466.12</v>
      </c>
      <c r="DE13" s="13" t="n">
        <v>1466.12</v>
      </c>
      <c r="DF13" s="13" t="n">
        <v>1466.12</v>
      </c>
      <c r="DG13" s="13" t="n">
        <v>1466.12</v>
      </c>
      <c r="DH13" s="13" t="n">
        <v>1466.12</v>
      </c>
      <c r="DI13" s="13" t="n">
        <v>1466.12</v>
      </c>
      <c r="DJ13" s="13" t="n">
        <v>1466.12</v>
      </c>
      <c r="DK13" s="13" t="n">
        <v>1466.12</v>
      </c>
      <c r="DL13" s="13" t="n">
        <v>1466.12</v>
      </c>
      <c r="DM13" s="13" t="n">
        <v>1466.12</v>
      </c>
      <c r="DN13" s="13" t="n">
        <v>1466.12</v>
      </c>
      <c r="DO13" s="13" t="n">
        <v>1466.12</v>
      </c>
      <c r="DP13" s="13" t="n">
        <v>1466.12</v>
      </c>
      <c r="DQ13" s="13" t="n">
        <v>1466.12</v>
      </c>
      <c r="DR13" s="13" t="n">
        <v>1466.12</v>
      </c>
      <c r="DS13" s="13" t="n">
        <v>1466.12</v>
      </c>
      <c r="DT13" s="13" t="n">
        <v>1466.12</v>
      </c>
      <c r="DU13" s="13" t="n">
        <v>1466.12</v>
      </c>
      <c r="DV13" s="13" t="n">
        <v>1466.12</v>
      </c>
      <c r="DW13" s="13" t="n">
        <v>1466.12</v>
      </c>
      <c r="DX13" s="13" t="n">
        <v>1466.12</v>
      </c>
      <c r="DY13" s="13" t="n">
        <v>1466.12</v>
      </c>
    </row>
    <row r="14">
      <c r="A14" s="12" t="inlineStr">
        <is>
          <t>spot_assumed</t>
        </is>
      </c>
      <c r="D14" t="inlineStr">
        <is>
          <t>건조시점 환율(sls 가정)</t>
        </is>
      </c>
      <c r="E14" s="13" t="n">
        <v>1080.48</v>
      </c>
      <c r="F14" s="13" t="n">
        <v>1121.86</v>
      </c>
      <c r="G14" s="13" t="n">
        <v>1127.53</v>
      </c>
      <c r="H14" s="13" t="n">
        <v>1125.78</v>
      </c>
      <c r="I14" s="13" t="n">
        <v>1167.69</v>
      </c>
      <c r="J14" s="13" t="n">
        <v>1193.96</v>
      </c>
      <c r="K14" s="13" t="n">
        <v>1176.23</v>
      </c>
      <c r="L14" s="13" t="n">
        <v>1193.92</v>
      </c>
      <c r="M14" s="13" t="n">
        <v>1219.69</v>
      </c>
      <c r="N14" s="13" t="n">
        <v>1187.81</v>
      </c>
      <c r="O14" s="13" t="n">
        <v>1117.97</v>
      </c>
      <c r="P14" s="13" t="n">
        <v>1114.99</v>
      </c>
      <c r="Q14" s="13" t="n">
        <v>1121.13</v>
      </c>
      <c r="R14" s="13" t="n">
        <v>1159.91</v>
      </c>
      <c r="S14" s="13" t="n">
        <v>1183.5</v>
      </c>
      <c r="T14" s="13" t="n">
        <v>1205.78</v>
      </c>
      <c r="U14" s="13" t="n">
        <v>1262.09</v>
      </c>
      <c r="V14" s="13" t="n">
        <v>1341.93</v>
      </c>
      <c r="W14" s="13" t="n">
        <v>1360.12</v>
      </c>
      <c r="X14" s="13" t="n">
        <v>1276.95</v>
      </c>
      <c r="Y14" s="13" t="n">
        <v>1315.69</v>
      </c>
      <c r="Z14" s="13" t="n">
        <v>1313.62</v>
      </c>
      <c r="AA14" s="13" t="n">
        <v>1322.01</v>
      </c>
      <c r="AB14" s="13" t="n">
        <v>1330.14</v>
      </c>
      <c r="AC14" s="13" t="n">
        <v>1371.28</v>
      </c>
      <c r="AD14" s="13" t="n">
        <v>1356.22</v>
      </c>
      <c r="AE14" s="13" t="n">
        <v>1396.3</v>
      </c>
      <c r="AF14" s="13" t="n">
        <v>1452.28</v>
      </c>
      <c r="AG14" s="13" t="n">
        <v>1398.52</v>
      </c>
      <c r="AH14" s="13" t="n">
        <v>1386.95</v>
      </c>
      <c r="AI14" s="13" t="n">
        <v>1449.19</v>
      </c>
      <c r="AJ14" s="13" t="n">
        <v>1466.12</v>
      </c>
      <c r="AK14" s="13" t="n">
        <v>1501.75</v>
      </c>
      <c r="AL14" s="13" t="n">
        <v>1418.75</v>
      </c>
      <c r="AM14" s="13" t="n">
        <v>1343.39</v>
      </c>
      <c r="AN14" s="13" t="n">
        <v>1341.45</v>
      </c>
      <c r="AO14" s="13" t="n">
        <v>1341.45</v>
      </c>
      <c r="AP14" s="13" t="n">
        <v>1341.45</v>
      </c>
      <c r="AQ14" s="13" t="n">
        <v>1341.45</v>
      </c>
      <c r="AR14" s="13" t="n">
        <v>1341.45</v>
      </c>
      <c r="AS14" s="13" t="n">
        <v>1341.45</v>
      </c>
      <c r="AT14" s="13" t="n">
        <v>1341.45</v>
      </c>
      <c r="AU14" s="13" t="n">
        <v>1341.45</v>
      </c>
      <c r="AV14" s="13" t="n">
        <v>1341.45</v>
      </c>
      <c r="AW14" s="13" t="n">
        <v>1341.45</v>
      </c>
      <c r="AX14" s="13" t="n">
        <v>1341.45</v>
      </c>
      <c r="AY14" s="13" t="n">
        <v>1341.45</v>
      </c>
      <c r="AZ14" s="13" t="n">
        <v>1341.45</v>
      </c>
      <c r="BA14" s="13" t="n">
        <v>1341.45</v>
      </c>
      <c r="BB14" s="13" t="n">
        <v>1341.45</v>
      </c>
      <c r="BC14" s="13" t="n">
        <v>1341.45</v>
      </c>
      <c r="BD14" s="13" t="n">
        <v>1341.45</v>
      </c>
      <c r="BE14" s="13" t="n">
        <v>1341.45</v>
      </c>
      <c r="BF14" s="13" t="n">
        <v>1341.45</v>
      </c>
      <c r="BG14" s="13" t="n">
        <v>1341.45</v>
      </c>
      <c r="BH14" s="13" t="n">
        <v>1341.45</v>
      </c>
      <c r="BI14" s="13" t="n">
        <v>1341.45</v>
      </c>
      <c r="BJ14" s="13" t="n">
        <v>1341.45</v>
      </c>
      <c r="BK14" s="13" t="n">
        <v>1341.45</v>
      </c>
      <c r="BL14" s="13" t="n">
        <v>1341.45</v>
      </c>
      <c r="BM14" s="13" t="n">
        <v>1341.45</v>
      </c>
      <c r="BN14" s="13" t="n">
        <v>1341.45</v>
      </c>
      <c r="BO14" s="13" t="n">
        <v>1341.45</v>
      </c>
      <c r="BP14" s="13" t="n">
        <v>1341.45</v>
      </c>
      <c r="BQ14" s="13" t="n">
        <v>1341.45</v>
      </c>
      <c r="BR14" s="13" t="n">
        <v>1341.45</v>
      </c>
      <c r="BS14" s="13" t="n">
        <v>1341.45</v>
      </c>
      <c r="BT14" s="13" t="n">
        <v>1341.45</v>
      </c>
      <c r="BU14" s="13" t="n">
        <v>1341.45</v>
      </c>
      <c r="BV14" s="13" t="n">
        <v>1341.45</v>
      </c>
      <c r="BW14" s="13" t="n">
        <v>1341.45</v>
      </c>
      <c r="BX14" s="13" t="n">
        <v>1341.45</v>
      </c>
      <c r="BY14" s="13" t="n">
        <v>1341.45</v>
      </c>
      <c r="BZ14" s="13" t="n">
        <v>1341.45</v>
      </c>
      <c r="CA14" s="13" t="n">
        <v>1341.45</v>
      </c>
      <c r="CB14" s="13" t="n">
        <v>1341.45</v>
      </c>
      <c r="CC14" s="13" t="n">
        <v>1341.45</v>
      </c>
      <c r="CD14" s="13" t="n">
        <v>1341.45</v>
      </c>
      <c r="CE14" s="13" t="n">
        <v>1341.45</v>
      </c>
      <c r="CF14" s="13" t="n">
        <v>1341.45</v>
      </c>
      <c r="CG14" s="13" t="n">
        <v>1341.45</v>
      </c>
      <c r="CH14" s="13" t="n">
        <v>1341.45</v>
      </c>
      <c r="CI14" s="13" t="n">
        <v>1341.45</v>
      </c>
      <c r="CJ14" s="13" t="n">
        <v>1341.45</v>
      </c>
      <c r="CK14" s="13" t="n">
        <v>1341.45</v>
      </c>
      <c r="CL14" s="13" t="n">
        <v>1341.45</v>
      </c>
      <c r="CM14" s="13" t="n">
        <v>1341.45</v>
      </c>
      <c r="CN14" s="13" t="n">
        <v>1341.45</v>
      </c>
      <c r="CO14" s="13" t="n">
        <v>1341.45</v>
      </c>
      <c r="CP14" s="13" t="n">
        <v>1341.45</v>
      </c>
      <c r="CQ14" s="13" t="n">
        <v>1341.45</v>
      </c>
      <c r="CR14" s="13" t="n">
        <v>1341.45</v>
      </c>
      <c r="CS14" s="13" t="n">
        <v>1341.45</v>
      </c>
      <c r="CT14" s="13" t="n">
        <v>1341.45</v>
      </c>
      <c r="CU14" s="13" t="n">
        <v>1341.45</v>
      </c>
      <c r="CV14" s="13" t="n">
        <v>1341.45</v>
      </c>
      <c r="CW14" s="13" t="n">
        <v>1341.45</v>
      </c>
      <c r="CX14" s="13" t="n">
        <v>1341.45</v>
      </c>
      <c r="CY14" s="13" t="n">
        <v>1341.45</v>
      </c>
      <c r="CZ14" s="13" t="n">
        <v>1341.45</v>
      </c>
      <c r="DA14" s="13" t="n">
        <v>1341.45</v>
      </c>
      <c r="DB14" s="13" t="n">
        <v>1341.45</v>
      </c>
      <c r="DC14" s="13" t="n">
        <v>1341.45</v>
      </c>
      <c r="DD14" s="13" t="n">
        <v>1341.45</v>
      </c>
      <c r="DE14" s="13" t="n">
        <v>1341.45</v>
      </c>
      <c r="DF14" s="13" t="n">
        <v>1341.45</v>
      </c>
      <c r="DG14" s="13" t="n">
        <v>1341.45</v>
      </c>
      <c r="DH14" s="13" t="n">
        <v>1341.45</v>
      </c>
      <c r="DI14" s="13" t="n">
        <v>1341.45</v>
      </c>
      <c r="DJ14" s="13" t="n">
        <v>1341.45</v>
      </c>
      <c r="DK14" s="13" t="n">
        <v>1341.45</v>
      </c>
      <c r="DL14" s="13" t="n">
        <v>1341.45</v>
      </c>
      <c r="DM14" s="13" t="n">
        <v>1341.45</v>
      </c>
      <c r="DN14" s="13" t="n">
        <v>1341.45</v>
      </c>
      <c r="DO14" s="13" t="n">
        <v>1341.45</v>
      </c>
      <c r="DP14" s="13" t="n">
        <v>1341.45</v>
      </c>
      <c r="DQ14" s="13" t="n">
        <v>1341.45</v>
      </c>
      <c r="DR14" s="13" t="n">
        <v>1341.45</v>
      </c>
      <c r="DS14" s="13" t="n">
        <v>1341.45</v>
      </c>
      <c r="DT14" s="13" t="n">
        <v>1341.45</v>
      </c>
      <c r="DU14" s="13" t="n">
        <v>1341.45</v>
      </c>
      <c r="DV14" s="13" t="n">
        <v>1341.45</v>
      </c>
      <c r="DW14" s="13" t="n">
        <v>1341.45</v>
      </c>
      <c r="DX14" s="13" t="n">
        <v>1341.45</v>
      </c>
      <c r="DY14" s="13" t="n">
        <v>1341.45</v>
      </c>
    </row>
    <row r="15">
      <c r="A15" s="12" t="inlineStr">
        <is>
          <t>applied_rate</t>
        </is>
      </c>
      <c r="D15" t="inlineStr">
        <is>
          <t>적용환율</t>
        </is>
      </c>
      <c r="E15" s="13" t="n">
        <v>1080.48</v>
      </c>
      <c r="F15" s="13" t="n">
        <v>1092.89</v>
      </c>
      <c r="G15" s="13" t="n">
        <v>1094.6</v>
      </c>
      <c r="H15" s="13" t="n">
        <v>1097.39</v>
      </c>
      <c r="I15" s="13" t="n">
        <v>1125.17</v>
      </c>
      <c r="J15" s="13" t="n">
        <v>1138.79</v>
      </c>
      <c r="K15" s="13" t="n">
        <v>1134.25</v>
      </c>
      <c r="L15" s="13" t="n">
        <v>1149.66</v>
      </c>
      <c r="M15" s="13" t="n">
        <v>1157.39</v>
      </c>
      <c r="N15" s="13" t="n">
        <v>1147.83</v>
      </c>
      <c r="O15" s="13" t="n">
        <v>1123.57</v>
      </c>
      <c r="P15" s="13" t="n">
        <v>1120.81</v>
      </c>
      <c r="Q15" s="13" t="n">
        <v>1122.1</v>
      </c>
      <c r="R15" s="13" t="n">
        <v>1134.91</v>
      </c>
      <c r="S15" s="13" t="n">
        <v>1143.77</v>
      </c>
      <c r="T15" s="13" t="n">
        <v>1151.03</v>
      </c>
      <c r="U15" s="13" t="n">
        <v>1167.92</v>
      </c>
      <c r="V15" s="13" t="n">
        <v>1194.81</v>
      </c>
      <c r="W15" s="13" t="n">
        <v>1210.16</v>
      </c>
      <c r="X15" s="13" t="n">
        <v>1202.66</v>
      </c>
      <c r="Y15" s="13" t="n">
        <v>1223.15</v>
      </c>
      <c r="Z15" s="13" t="n">
        <v>1238.61</v>
      </c>
      <c r="AA15" s="13" t="n">
        <v>1250.91</v>
      </c>
      <c r="AB15" s="13" t="n">
        <v>1254.3</v>
      </c>
      <c r="AC15" s="13" t="n">
        <v>1270.92</v>
      </c>
      <c r="AD15" s="13" t="n">
        <v>1266.46</v>
      </c>
      <c r="AE15" s="13" t="n">
        <v>1278.96</v>
      </c>
      <c r="AF15" s="13" t="n">
        <v>1299.36</v>
      </c>
      <c r="AG15" s="13" t="n">
        <v>1294</v>
      </c>
      <c r="AH15" s="13" t="n">
        <v>1294.04</v>
      </c>
      <c r="AI15" s="13" t="n">
        <v>1322.34</v>
      </c>
      <c r="AJ15" s="13" t="n">
        <v>1365.89</v>
      </c>
      <c r="AK15" s="13" t="n">
        <v>1414.91</v>
      </c>
      <c r="AL15" s="13" t="n">
        <v>1395.96</v>
      </c>
      <c r="AM15" s="13" t="n">
        <v>1376.75</v>
      </c>
      <c r="AN15" s="13" t="n">
        <v>1385.34</v>
      </c>
      <c r="AO15" s="13" t="n">
        <v>1397.65</v>
      </c>
      <c r="AP15" s="13" t="n">
        <v>1401.37</v>
      </c>
      <c r="AQ15" s="13" t="n">
        <v>1405.06</v>
      </c>
      <c r="AR15" s="13" t="n">
        <v>1410.2</v>
      </c>
      <c r="AS15" s="13" t="n">
        <v>1415.09</v>
      </c>
      <c r="AT15" s="13" t="n">
        <v>1415.97</v>
      </c>
      <c r="AU15" s="13" t="n">
        <v>1414.14</v>
      </c>
      <c r="AV15" s="13" t="n">
        <v>1411.7</v>
      </c>
      <c r="AW15" s="13" t="n">
        <v>1414.73</v>
      </c>
      <c r="AX15" s="13" t="n">
        <v>1417.47</v>
      </c>
      <c r="AY15" s="13" t="n">
        <v>1420.98</v>
      </c>
      <c r="AZ15" s="13" t="n">
        <v>1425.43</v>
      </c>
      <c r="BA15" s="13" t="n">
        <v>1426.02</v>
      </c>
      <c r="BB15" s="13" t="n">
        <v>1425.52</v>
      </c>
      <c r="BC15" s="13" t="n">
        <v>1401.72</v>
      </c>
      <c r="BD15" s="13" t="n">
        <v>1425.18</v>
      </c>
      <c r="BE15" s="13" t="n">
        <v>1428.86</v>
      </c>
      <c r="BF15" s="13" t="n">
        <v>1426.64</v>
      </c>
      <c r="BG15" s="13" t="n">
        <v>1426.64</v>
      </c>
      <c r="BH15" s="13" t="n">
        <v>1426.64</v>
      </c>
      <c r="BI15" s="13" t="n">
        <v>1414.59</v>
      </c>
      <c r="BJ15" s="13" t="n">
        <v>1409.76</v>
      </c>
      <c r="BK15" s="13" t="n">
        <v>1409.76</v>
      </c>
      <c r="BL15" s="13" t="n">
        <v>1409.76</v>
      </c>
      <c r="BM15" s="13" t="n">
        <v>1409.76</v>
      </c>
      <c r="BN15" s="13" t="n">
        <v>1411.94</v>
      </c>
      <c r="BO15" s="13" t="n">
        <v>1418.55</v>
      </c>
      <c r="BP15" s="13" t="n">
        <v>1418.55</v>
      </c>
      <c r="BQ15" s="13" t="n">
        <v>1420.82</v>
      </c>
      <c r="BR15" s="13" t="n">
        <v>1428.72</v>
      </c>
      <c r="BS15" s="13" t="n">
        <v>1428.72</v>
      </c>
      <c r="BT15" s="13" t="n">
        <v>1428.72</v>
      </c>
      <c r="BU15" s="13" t="n">
        <v>1428.72</v>
      </c>
      <c r="BV15" s="13" t="n">
        <v>1428.72</v>
      </c>
      <c r="BW15" s="13" t="n">
        <v>1428.72</v>
      </c>
      <c r="BX15" s="13" t="n">
        <v>1428.72</v>
      </c>
      <c r="BY15" s="13" t="n">
        <v>1428.72</v>
      </c>
      <c r="BZ15" s="13" t="n">
        <v>1428.72</v>
      </c>
      <c r="CA15" s="13" t="n">
        <v>1428.72</v>
      </c>
      <c r="CB15" s="13" t="n">
        <v>1428.72</v>
      </c>
      <c r="CC15" s="13" t="n">
        <v>1428.72</v>
      </c>
      <c r="CD15" s="13" t="n">
        <v>1428.72</v>
      </c>
      <c r="CE15" s="13" t="n">
        <v>1428.72</v>
      </c>
      <c r="CF15" s="13" t="n">
        <v>1428.72</v>
      </c>
      <c r="CG15" s="13" t="n">
        <v>1428.72</v>
      </c>
      <c r="CH15" s="13" t="n">
        <v>1428.72</v>
      </c>
      <c r="CI15" s="13" t="n">
        <v>1428.72</v>
      </c>
      <c r="CJ15" s="13" t="n">
        <v>1428.72</v>
      </c>
      <c r="CK15" s="13" t="n">
        <v>1428.72</v>
      </c>
      <c r="CL15" s="13" t="n">
        <v>1428.72</v>
      </c>
      <c r="CM15" s="13" t="n">
        <v>1428.72</v>
      </c>
      <c r="CN15" s="13" t="n">
        <v>1428.72</v>
      </c>
      <c r="CO15" s="13" t="n">
        <v>1428.72</v>
      </c>
      <c r="CP15" s="13" t="n">
        <v>1428.72</v>
      </c>
      <c r="CQ15" s="13" t="n">
        <v>1428.72</v>
      </c>
      <c r="CR15" s="13" t="n">
        <v>1428.72</v>
      </c>
      <c r="CS15" s="13" t="n">
        <v>1428.72</v>
      </c>
      <c r="CT15" s="13" t="n">
        <v>1428.72</v>
      </c>
      <c r="CU15" s="13" t="n">
        <v>1428.72</v>
      </c>
      <c r="CV15" s="13" t="n">
        <v>1428.72</v>
      </c>
      <c r="CW15" s="13" t="n">
        <v>1428.72</v>
      </c>
      <c r="CX15" s="13" t="n">
        <v>1428.72</v>
      </c>
      <c r="CY15" s="13" t="n">
        <v>1428.72</v>
      </c>
      <c r="CZ15" s="13" t="n">
        <v>1428.72</v>
      </c>
      <c r="DA15" s="13" t="n">
        <v>1428.72</v>
      </c>
      <c r="DB15" s="13" t="n">
        <v>1428.72</v>
      </c>
      <c r="DC15" s="13" t="n">
        <v>1428.72</v>
      </c>
      <c r="DD15" s="13" t="n">
        <v>1428.72</v>
      </c>
      <c r="DE15" s="13" t="n">
        <v>1428.72</v>
      </c>
      <c r="DF15" s="13" t="n">
        <v>1428.72</v>
      </c>
      <c r="DG15" s="13" t="n">
        <v>1428.72</v>
      </c>
      <c r="DH15" s="13" t="n">
        <v>1428.72</v>
      </c>
      <c r="DI15" s="13" t="n">
        <v>1428.72</v>
      </c>
      <c r="DJ15" s="13" t="n">
        <v>1428.72</v>
      </c>
      <c r="DK15" s="13" t="n">
        <v>1428.72</v>
      </c>
      <c r="DL15" s="13" t="n">
        <v>1428.72</v>
      </c>
      <c r="DM15" s="13" t="n">
        <v>1428.72</v>
      </c>
      <c r="DN15" s="13" t="n">
        <v>1428.72</v>
      </c>
      <c r="DO15" s="13" t="n">
        <v>1428.72</v>
      </c>
      <c r="DP15" s="13" t="n">
        <v>1428.72</v>
      </c>
      <c r="DQ15" s="13" t="n">
        <v>1428.72</v>
      </c>
      <c r="DR15" s="13" t="n">
        <v>1428.72</v>
      </c>
      <c r="DS15" s="13" t="n">
        <v>1428.72</v>
      </c>
      <c r="DT15" s="13" t="n">
        <v>1428.72</v>
      </c>
      <c r="DU15" s="13" t="n">
        <v>1428.72</v>
      </c>
      <c r="DV15" s="13" t="n">
        <v>1428.72</v>
      </c>
      <c r="DW15" s="13" t="n">
        <v>1428.72</v>
      </c>
      <c r="DX15" s="13" t="n">
        <v>1428.72</v>
      </c>
      <c r="DY15" s="13" t="n">
        <v>1428.72</v>
      </c>
    </row>
    <row r="16">
      <c r="A16" s="12" t="inlineStr">
        <is>
          <t>hedged_krw_m</t>
        </is>
      </c>
      <c r="D16" t="inlineStr">
        <is>
          <t>헤지적용 원화매출(백만원)</t>
        </is>
      </c>
      <c r="E16" s="18" t="n">
        <v>3169.1</v>
      </c>
      <c r="F16" s="18" t="n">
        <v>6702.4</v>
      </c>
      <c r="G16" s="18" t="n">
        <v>6712.8</v>
      </c>
      <c r="H16" s="18" t="n">
        <v>7352.3</v>
      </c>
      <c r="I16" s="18" t="n">
        <v>13923.4</v>
      </c>
      <c r="J16" s="18" t="n">
        <v>16467.9</v>
      </c>
      <c r="K16" s="18" t="n">
        <v>16706.7</v>
      </c>
      <c r="L16" s="18" t="n">
        <v>22060</v>
      </c>
      <c r="M16" s="18" t="n">
        <v>22208.4</v>
      </c>
      <c r="N16" s="18" t="n">
        <v>22266.9</v>
      </c>
      <c r="O16" s="18" t="n">
        <v>34636.6</v>
      </c>
      <c r="P16" s="18" t="n">
        <v>50759</v>
      </c>
      <c r="Q16" s="18" t="n">
        <v>56847.1</v>
      </c>
      <c r="R16" s="18" t="n">
        <v>64025.8</v>
      </c>
      <c r="S16" s="18" t="n">
        <v>67761.2</v>
      </c>
      <c r="T16" s="18" t="n">
        <v>67692.2</v>
      </c>
      <c r="U16" s="18" t="n">
        <v>69448.89999999999</v>
      </c>
      <c r="V16" s="18" t="n">
        <v>73263.5</v>
      </c>
      <c r="W16" s="18" t="n">
        <v>79412</v>
      </c>
      <c r="X16" s="18" t="n">
        <v>87898.7</v>
      </c>
      <c r="Y16" s="18" t="n">
        <v>100004.1</v>
      </c>
      <c r="Z16" s="18" t="n">
        <v>124200.3</v>
      </c>
      <c r="AA16" s="18" t="n">
        <v>144247.5</v>
      </c>
      <c r="AB16" s="18" t="n">
        <v>144846.3</v>
      </c>
      <c r="AC16" s="18" t="n">
        <v>155540</v>
      </c>
      <c r="AD16" s="18" t="n">
        <v>156837.5</v>
      </c>
      <c r="AE16" s="18" t="n">
        <v>159020.9</v>
      </c>
      <c r="AF16" s="18" t="n">
        <v>162696</v>
      </c>
      <c r="AG16" s="18" t="n">
        <v>161657.6</v>
      </c>
      <c r="AH16" s="18" t="n">
        <v>162424.3</v>
      </c>
      <c r="AI16" s="18" t="n">
        <v>178574.1</v>
      </c>
      <c r="AJ16" s="18" t="n">
        <v>253768</v>
      </c>
      <c r="AK16" s="18" t="n">
        <v>312363.2</v>
      </c>
      <c r="AL16" s="18" t="n">
        <v>338133.5</v>
      </c>
      <c r="AM16" s="18" t="n">
        <v>391904.6</v>
      </c>
      <c r="AN16" s="18" t="n">
        <v>363237.5</v>
      </c>
      <c r="AO16" s="18" t="n">
        <v>332667.1</v>
      </c>
      <c r="AP16" s="18" t="n">
        <v>322943.8</v>
      </c>
      <c r="AQ16" s="18" t="n">
        <v>310312.4</v>
      </c>
      <c r="AR16" s="18" t="n">
        <v>289562.9</v>
      </c>
      <c r="AS16" s="18" t="n">
        <v>281605.5</v>
      </c>
      <c r="AT16" s="18" t="n">
        <v>237881.5</v>
      </c>
      <c r="AU16" s="18" t="n">
        <v>203177.4</v>
      </c>
      <c r="AV16" s="18" t="n">
        <v>183245.1</v>
      </c>
      <c r="AW16" s="18" t="n">
        <v>129557.2</v>
      </c>
      <c r="AX16" s="18" t="n">
        <v>103501.5</v>
      </c>
      <c r="AY16" s="18" t="n">
        <v>84277.60000000001</v>
      </c>
      <c r="AZ16" s="18" t="n">
        <v>53174.8</v>
      </c>
      <c r="BA16" s="18" t="n">
        <v>50299.8</v>
      </c>
      <c r="BB16" s="18" t="n">
        <v>42934.1</v>
      </c>
      <c r="BC16" s="18" t="n">
        <v>21380.8</v>
      </c>
      <c r="BD16" s="18" t="n">
        <v>18523.7</v>
      </c>
      <c r="BE16" s="18" t="n">
        <v>17217</v>
      </c>
      <c r="BF16" s="18" t="n">
        <v>15951.5</v>
      </c>
      <c r="BG16" s="18" t="n">
        <v>15951.5</v>
      </c>
      <c r="BH16" s="18" t="n">
        <v>15778.1</v>
      </c>
      <c r="BI16" s="18" t="n">
        <v>10818.8</v>
      </c>
      <c r="BJ16" s="18" t="n">
        <v>9701.4</v>
      </c>
      <c r="BK16" s="18" t="n">
        <v>9701.4</v>
      </c>
      <c r="BL16" s="18" t="n">
        <v>9490.5</v>
      </c>
      <c r="BM16" s="18" t="n">
        <v>9595.9</v>
      </c>
      <c r="BN16" s="18" t="n">
        <v>8423.9</v>
      </c>
      <c r="BO16" s="18" t="n">
        <v>6028.8</v>
      </c>
      <c r="BP16" s="18" t="n">
        <v>5897.7</v>
      </c>
      <c r="BQ16" s="18" t="n">
        <v>2536.6</v>
      </c>
      <c r="BR16" s="18" t="n">
        <v>860.8</v>
      </c>
      <c r="BS16" s="18" t="n">
        <v>860.8</v>
      </c>
      <c r="BT16" s="18" t="n">
        <v>842</v>
      </c>
      <c r="BU16" s="18" t="n">
        <v>851.4</v>
      </c>
      <c r="BV16" s="18" t="n">
        <v>860.8</v>
      </c>
      <c r="BW16" s="18" t="n">
        <v>860.8</v>
      </c>
      <c r="BX16" s="18" t="n">
        <v>851.4</v>
      </c>
      <c r="BY16" s="18" t="n">
        <v>851.4</v>
      </c>
      <c r="BZ16" s="18" t="n">
        <v>860.8</v>
      </c>
      <c r="CA16" s="18" t="n">
        <v>860.8</v>
      </c>
      <c r="CB16" s="18" t="n">
        <v>842</v>
      </c>
      <c r="CC16" s="18" t="n">
        <v>851.4</v>
      </c>
      <c r="CD16" s="18" t="n">
        <v>860.8</v>
      </c>
      <c r="CE16" s="18" t="n">
        <v>860.8</v>
      </c>
      <c r="CF16" s="18" t="n">
        <v>842</v>
      </c>
      <c r="CG16" s="18" t="n">
        <v>851.4</v>
      </c>
      <c r="CH16" s="18" t="n">
        <v>860.8</v>
      </c>
      <c r="CI16" s="18" t="n">
        <v>860.8</v>
      </c>
      <c r="CJ16" s="18" t="n">
        <v>842</v>
      </c>
      <c r="CK16" s="18" t="n">
        <v>851.4</v>
      </c>
      <c r="CL16" s="18" t="n">
        <v>860.8</v>
      </c>
      <c r="CM16" s="18" t="n">
        <v>860.8</v>
      </c>
      <c r="CN16" s="18" t="n">
        <v>851.4</v>
      </c>
      <c r="CO16" s="18" t="n">
        <v>851.4</v>
      </c>
      <c r="CP16" s="18" t="n">
        <v>860.8</v>
      </c>
      <c r="CQ16" s="18" t="n">
        <v>860.8</v>
      </c>
      <c r="CR16" s="18" t="n">
        <v>842</v>
      </c>
      <c r="CS16" s="18" t="n">
        <v>851.4</v>
      </c>
      <c r="CT16" s="18" t="n">
        <v>860.8</v>
      </c>
      <c r="CU16" s="18" t="n">
        <v>860.8</v>
      </c>
      <c r="CV16" s="18" t="n">
        <v>842</v>
      </c>
      <c r="CW16" s="18" t="n">
        <v>851.4</v>
      </c>
      <c r="CX16" s="18" t="n">
        <v>860.8</v>
      </c>
      <c r="CY16" s="18" t="n">
        <v>860.8</v>
      </c>
      <c r="CZ16" s="18" t="n">
        <v>842</v>
      </c>
      <c r="DA16" s="18" t="n">
        <v>851.4</v>
      </c>
      <c r="DB16" s="18" t="n">
        <v>860.8</v>
      </c>
      <c r="DC16" s="18" t="n">
        <v>860.8</v>
      </c>
      <c r="DD16" s="18" t="n">
        <v>851.4</v>
      </c>
      <c r="DE16" s="18" t="n">
        <v>851.4</v>
      </c>
      <c r="DF16" s="18" t="n">
        <v>860.8</v>
      </c>
      <c r="DG16" s="18" t="n">
        <v>860.8</v>
      </c>
      <c r="DH16" s="18" t="n">
        <v>842</v>
      </c>
      <c r="DI16" s="18" t="n">
        <v>851.4</v>
      </c>
      <c r="DJ16" s="18" t="n">
        <v>860.8</v>
      </c>
      <c r="DK16" s="18" t="n">
        <v>860.8</v>
      </c>
      <c r="DL16" s="18" t="n">
        <v>842</v>
      </c>
      <c r="DM16" s="18" t="n">
        <v>851.4</v>
      </c>
      <c r="DN16" s="18" t="n">
        <v>860.8</v>
      </c>
      <c r="DO16" s="18" t="n">
        <v>860.8</v>
      </c>
      <c r="DP16" s="18" t="n">
        <v>842</v>
      </c>
      <c r="DQ16" s="18" t="n">
        <v>851.4</v>
      </c>
      <c r="DR16" s="18" t="n">
        <v>860.8</v>
      </c>
      <c r="DS16" s="18" t="n">
        <v>860.8</v>
      </c>
      <c r="DT16" s="18" t="n">
        <v>851.4</v>
      </c>
      <c r="DU16" s="18" t="n">
        <v>851.4</v>
      </c>
      <c r="DV16" s="18" t="n">
        <v>860.8</v>
      </c>
      <c r="DW16" s="18" t="n">
        <v>860.8</v>
      </c>
      <c r="DX16" s="18" t="n">
        <v>842</v>
      </c>
      <c r="DY16" s="18" t="n">
        <v>570.7</v>
      </c>
      <c r="DZ16" s="18" t="n">
        <v>16584.3</v>
      </c>
      <c r="EA16" s="18" t="n">
        <v>54450.3</v>
      </c>
      <c r="EB16" s="18" t="n">
        <v>101171.9</v>
      </c>
      <c r="EC16" s="18" t="n">
        <v>239393.1</v>
      </c>
      <c r="ED16" s="18" t="n">
        <v>289816.6</v>
      </c>
      <c r="EE16" s="18" t="n">
        <v>456350.6</v>
      </c>
      <c r="EF16" s="18" t="n">
        <v>616244.7</v>
      </c>
      <c r="EG16" s="18" t="n">
        <v>665352</v>
      </c>
      <c r="EH16" s="18" t="n">
        <v>1296169.3</v>
      </c>
      <c r="EI16" s="18" t="n">
        <v>1329160.8</v>
      </c>
      <c r="EJ16" s="18" t="n">
        <v>1012227.3</v>
      </c>
      <c r="EK16" s="18" t="n">
        <v>500581.4</v>
      </c>
      <c r="EL16" s="18" t="n">
        <v>167789.5</v>
      </c>
      <c r="EM16" s="18" t="n">
        <v>67643.7</v>
      </c>
      <c r="EN16" s="18" t="n">
        <v>45999.7</v>
      </c>
      <c r="EO16" s="18" t="n">
        <v>33539.1</v>
      </c>
      <c r="EP16" s="18" t="n">
        <v>10155.9</v>
      </c>
      <c r="EQ16" s="18" t="n">
        <v>3415</v>
      </c>
      <c r="ER16" s="18" t="n">
        <v>3424.4</v>
      </c>
      <c r="ES16" s="18" t="n">
        <v>3415</v>
      </c>
      <c r="ET16" s="18" t="n">
        <v>3415</v>
      </c>
      <c r="EU16" s="18" t="n">
        <v>3415</v>
      </c>
      <c r="EV16" s="18" t="n">
        <v>3424.4</v>
      </c>
      <c r="EW16" s="18" t="n">
        <v>3415</v>
      </c>
      <c r="EX16" s="18" t="n">
        <v>3415</v>
      </c>
      <c r="EY16" s="18" t="n">
        <v>3415</v>
      </c>
      <c r="EZ16" s="18" t="n">
        <v>3424.4</v>
      </c>
      <c r="FA16" s="18" t="n">
        <v>3415</v>
      </c>
      <c r="FB16" s="18" t="n">
        <v>3415</v>
      </c>
      <c r="FC16" s="18" t="n">
        <v>3415</v>
      </c>
      <c r="FD16" s="18" t="n">
        <v>3424.4</v>
      </c>
      <c r="FE16" s="18" t="n">
        <v>1412.7</v>
      </c>
    </row>
    <row r="17">
      <c r="A17" s="12" t="inlineStr">
        <is>
          <t>marine_hedged_krw_m</t>
        </is>
      </c>
      <c r="D17" t="inlineStr">
        <is>
          <t>해양 원화(백만원)</t>
        </is>
      </c>
      <c r="E17" s="18" t="n">
        <v>0</v>
      </c>
      <c r="F17" s="18" t="n">
        <v>0</v>
      </c>
      <c r="G17" s="18" t="n">
        <v>0</v>
      </c>
      <c r="H17" s="18" t="n">
        <v>0</v>
      </c>
      <c r="I17" s="18" t="n">
        <v>0</v>
      </c>
      <c r="J17" s="18" t="n">
        <v>0</v>
      </c>
      <c r="K17" s="18" t="n">
        <v>0</v>
      </c>
      <c r="L17" s="18" t="n">
        <v>0</v>
      </c>
      <c r="M17" s="18" t="n">
        <v>0</v>
      </c>
      <c r="N17" s="18" t="n">
        <v>0</v>
      </c>
      <c r="O17" s="18" t="n">
        <v>0</v>
      </c>
      <c r="P17" s="18" t="n">
        <v>0</v>
      </c>
      <c r="Q17" s="18" t="n">
        <v>0</v>
      </c>
      <c r="R17" s="18" t="n">
        <v>0</v>
      </c>
      <c r="S17" s="18" t="n">
        <v>0</v>
      </c>
      <c r="T17" s="18" t="n">
        <v>0</v>
      </c>
      <c r="U17" s="18" t="n">
        <v>0</v>
      </c>
      <c r="V17" s="18" t="n">
        <v>0</v>
      </c>
      <c r="W17" s="18" t="n">
        <v>0</v>
      </c>
      <c r="X17" s="18" t="n">
        <v>0</v>
      </c>
      <c r="Y17" s="18" t="n">
        <v>0</v>
      </c>
      <c r="Z17" s="18" t="n">
        <v>0</v>
      </c>
      <c r="AA17" s="18" t="n">
        <v>0</v>
      </c>
      <c r="AB17" s="18" t="n">
        <v>0</v>
      </c>
      <c r="AC17" s="18" t="n">
        <v>0</v>
      </c>
      <c r="AD17" s="18" t="n">
        <v>0</v>
      </c>
      <c r="AE17" s="18" t="n">
        <v>0</v>
      </c>
      <c r="AF17" s="18" t="n">
        <v>0</v>
      </c>
      <c r="AG17" s="18" t="n">
        <v>0</v>
      </c>
      <c r="AH17" s="18" t="n">
        <v>0</v>
      </c>
      <c r="AI17" s="18" t="n">
        <v>3886.8</v>
      </c>
      <c r="AJ17" s="18" t="n">
        <v>45959.9</v>
      </c>
      <c r="AK17" s="18" t="n">
        <v>89659.60000000001</v>
      </c>
      <c r="AL17" s="18" t="n">
        <v>105104.1</v>
      </c>
      <c r="AM17" s="18" t="n">
        <v>160960.9</v>
      </c>
      <c r="AN17" s="18" t="n">
        <v>157397.2</v>
      </c>
      <c r="AO17" s="18" t="n">
        <v>159146</v>
      </c>
      <c r="AP17" s="18" t="n">
        <v>160894.9</v>
      </c>
      <c r="AQ17" s="18" t="n">
        <v>160894.9</v>
      </c>
      <c r="AR17" s="18" t="n">
        <v>159146</v>
      </c>
      <c r="AS17" s="18" t="n">
        <v>159146</v>
      </c>
      <c r="AT17" s="18" t="n">
        <v>124574.5</v>
      </c>
      <c r="AU17" s="18" t="n">
        <v>100204.2</v>
      </c>
      <c r="AV17" s="18" t="n">
        <v>82510.3</v>
      </c>
      <c r="AW17" s="18" t="n">
        <v>40677.9</v>
      </c>
      <c r="AX17" s="18" t="n">
        <v>19869.7</v>
      </c>
      <c r="AY17" s="18" t="n">
        <v>6695.2</v>
      </c>
      <c r="AZ17" s="18" t="n">
        <v>0</v>
      </c>
      <c r="BA17" s="18" t="n">
        <v>0</v>
      </c>
      <c r="BB17" s="18" t="n">
        <v>0</v>
      </c>
      <c r="BC17" s="18" t="n">
        <v>0</v>
      </c>
      <c r="BD17" s="18" t="n">
        <v>0</v>
      </c>
      <c r="BE17" s="18" t="n">
        <v>0</v>
      </c>
      <c r="BF17" s="18" t="n">
        <v>0</v>
      </c>
      <c r="BG17" s="18" t="n">
        <v>0</v>
      </c>
      <c r="BH17" s="18" t="n">
        <v>0</v>
      </c>
      <c r="BI17" s="18" t="n">
        <v>0</v>
      </c>
      <c r="BJ17" s="18" t="n">
        <v>0</v>
      </c>
      <c r="BK17" s="18" t="n">
        <v>0</v>
      </c>
      <c r="BL17" s="18" t="n">
        <v>0</v>
      </c>
      <c r="BM17" s="18" t="n">
        <v>0</v>
      </c>
      <c r="BN17" s="18" t="n">
        <v>0</v>
      </c>
      <c r="BO17" s="18" t="n">
        <v>0</v>
      </c>
      <c r="BP17" s="18" t="n">
        <v>0</v>
      </c>
      <c r="BQ17" s="18" t="n">
        <v>0</v>
      </c>
      <c r="BR17" s="18" t="n">
        <v>0</v>
      </c>
      <c r="BS17" s="18" t="n">
        <v>0</v>
      </c>
      <c r="BT17" s="18" t="n">
        <v>0</v>
      </c>
      <c r="BU17" s="18" t="n">
        <v>0</v>
      </c>
      <c r="BV17" s="18" t="n">
        <v>0</v>
      </c>
      <c r="BW17" s="18" t="n">
        <v>0</v>
      </c>
      <c r="BX17" s="18" t="n">
        <v>0</v>
      </c>
      <c r="BY17" s="18" t="n">
        <v>0</v>
      </c>
      <c r="BZ17" s="18" t="n">
        <v>0</v>
      </c>
      <c r="CA17" s="18" t="n">
        <v>0</v>
      </c>
      <c r="CB17" s="18" t="n">
        <v>0</v>
      </c>
      <c r="CC17" s="18" t="n">
        <v>0</v>
      </c>
      <c r="CD17" s="18" t="n">
        <v>0</v>
      </c>
      <c r="CE17" s="18" t="n">
        <v>0</v>
      </c>
      <c r="CF17" s="18" t="n">
        <v>0</v>
      </c>
      <c r="CG17" s="18" t="n">
        <v>0</v>
      </c>
      <c r="CH17" s="18" t="n">
        <v>0</v>
      </c>
      <c r="CI17" s="18" t="n">
        <v>0</v>
      </c>
      <c r="CJ17" s="18" t="n">
        <v>0</v>
      </c>
      <c r="CK17" s="18" t="n">
        <v>0</v>
      </c>
      <c r="CL17" s="18" t="n">
        <v>0</v>
      </c>
      <c r="CM17" s="18" t="n">
        <v>0</v>
      </c>
      <c r="CN17" s="18" t="n">
        <v>0</v>
      </c>
      <c r="CO17" s="18" t="n">
        <v>0</v>
      </c>
      <c r="CP17" s="18" t="n">
        <v>0</v>
      </c>
      <c r="CQ17" s="18" t="n">
        <v>0</v>
      </c>
      <c r="CR17" s="18" t="n">
        <v>0</v>
      </c>
      <c r="CS17" s="18" t="n">
        <v>0</v>
      </c>
      <c r="CT17" s="18" t="n">
        <v>0</v>
      </c>
      <c r="CU17" s="18" t="n">
        <v>0</v>
      </c>
      <c r="CV17" s="18" t="n">
        <v>0</v>
      </c>
      <c r="CW17" s="18" t="n">
        <v>0</v>
      </c>
      <c r="CX17" s="18" t="n">
        <v>0</v>
      </c>
      <c r="CY17" s="18" t="n">
        <v>0</v>
      </c>
      <c r="CZ17" s="18" t="n">
        <v>0</v>
      </c>
      <c r="DA17" s="18" t="n">
        <v>0</v>
      </c>
      <c r="DB17" s="18" t="n">
        <v>0</v>
      </c>
      <c r="DC17" s="18" t="n">
        <v>0</v>
      </c>
      <c r="DD17" s="18" t="n">
        <v>0</v>
      </c>
      <c r="DE17" s="18" t="n">
        <v>0</v>
      </c>
      <c r="DF17" s="18" t="n">
        <v>0</v>
      </c>
      <c r="DG17" s="18" t="n">
        <v>0</v>
      </c>
      <c r="DH17" s="18" t="n">
        <v>0</v>
      </c>
      <c r="DI17" s="18" t="n">
        <v>0</v>
      </c>
      <c r="DJ17" s="18" t="n">
        <v>0</v>
      </c>
      <c r="DK17" s="18" t="n">
        <v>0</v>
      </c>
      <c r="DL17" s="18" t="n">
        <v>0</v>
      </c>
      <c r="DM17" s="18" t="n">
        <v>0</v>
      </c>
      <c r="DN17" s="18" t="n">
        <v>0</v>
      </c>
      <c r="DO17" s="18" t="n">
        <v>0</v>
      </c>
      <c r="DP17" s="18" t="n">
        <v>0</v>
      </c>
      <c r="DQ17" s="18" t="n">
        <v>0</v>
      </c>
      <c r="DR17" s="18" t="n">
        <v>0</v>
      </c>
      <c r="DS17" s="18" t="n">
        <v>0</v>
      </c>
      <c r="DT17" s="18" t="n">
        <v>0</v>
      </c>
      <c r="DU17" s="18" t="n">
        <v>0</v>
      </c>
      <c r="DV17" s="18" t="n">
        <v>0</v>
      </c>
      <c r="DW17" s="18" t="n">
        <v>0</v>
      </c>
      <c r="DX17" s="18" t="n">
        <v>0</v>
      </c>
      <c r="DY17" s="18" t="n">
        <v>0</v>
      </c>
      <c r="DZ17" s="18" t="n">
        <v>0</v>
      </c>
      <c r="EA17" s="18" t="n">
        <v>0</v>
      </c>
      <c r="EB17" s="18" t="n">
        <v>0</v>
      </c>
      <c r="EC17" s="18" t="n">
        <v>0</v>
      </c>
      <c r="ED17" s="18" t="n">
        <v>0</v>
      </c>
      <c r="EE17" s="18" t="n">
        <v>0</v>
      </c>
      <c r="EF17" s="18" t="n">
        <v>0</v>
      </c>
      <c r="EG17" s="18" t="n">
        <v>3886.8</v>
      </c>
      <c r="EH17" s="18" t="n">
        <v>401684.5</v>
      </c>
      <c r="EI17" s="18" t="n">
        <v>638333</v>
      </c>
      <c r="EJ17" s="18" t="n">
        <v>543070.7</v>
      </c>
      <c r="EK17" s="18" t="n">
        <v>149753.1</v>
      </c>
      <c r="EL17" s="18" t="n">
        <v>0</v>
      </c>
      <c r="EM17" s="18" t="n">
        <v>0</v>
      </c>
      <c r="EN17" s="18" t="n">
        <v>0</v>
      </c>
      <c r="EO17" s="18" t="n">
        <v>0</v>
      </c>
      <c r="EP17" s="18" t="n">
        <v>0</v>
      </c>
      <c r="EQ17" s="18" t="n">
        <v>0</v>
      </c>
      <c r="ER17" s="18" t="n">
        <v>0</v>
      </c>
      <c r="ES17" s="18" t="n">
        <v>0</v>
      </c>
      <c r="ET17" s="18" t="n">
        <v>0</v>
      </c>
      <c r="EU17" s="18" t="n">
        <v>0</v>
      </c>
      <c r="EV17" s="18" t="n">
        <v>0</v>
      </c>
      <c r="EW17" s="18" t="n">
        <v>0</v>
      </c>
      <c r="EX17" s="18" t="n">
        <v>0</v>
      </c>
      <c r="EY17" s="18" t="n">
        <v>0</v>
      </c>
      <c r="EZ17" s="18" t="n">
        <v>0</v>
      </c>
      <c r="FA17" s="18" t="n">
        <v>0</v>
      </c>
      <c r="FB17" s="18" t="n">
        <v>0</v>
      </c>
      <c r="FC17" s="18" t="n">
        <v>0</v>
      </c>
      <c r="FD17" s="18" t="n">
        <v>0</v>
      </c>
      <c r="FE17" s="18" t="n">
        <v>0</v>
      </c>
    </row>
    <row r="18">
      <c r="A18" s="12" t="inlineStr">
        <is>
          <t>marine_hedged_krw_m_signed_by_origin</t>
        </is>
      </c>
      <c r="D18" t="inlineStr">
        <is>
          <t>해양 원화 — origin 분기말까지 체결분(백만원)</t>
        </is>
      </c>
      <c r="E18" s="18" t="n">
        <v>0</v>
      </c>
      <c r="F18" s="18" t="n">
        <v>0</v>
      </c>
      <c r="G18" s="18" t="n">
        <v>0</v>
      </c>
      <c r="H18" s="18" t="n">
        <v>0</v>
      </c>
      <c r="I18" s="18" t="n">
        <v>0</v>
      </c>
      <c r="J18" s="18" t="n">
        <v>0</v>
      </c>
      <c r="K18" s="18" t="n">
        <v>0</v>
      </c>
      <c r="L18" s="18" t="n">
        <v>0</v>
      </c>
      <c r="M18" s="18" t="n">
        <v>0</v>
      </c>
      <c r="N18" s="18" t="n">
        <v>0</v>
      </c>
      <c r="O18" s="18" t="n">
        <v>0</v>
      </c>
      <c r="P18" s="18" t="n">
        <v>0</v>
      </c>
      <c r="Q18" s="18" t="n">
        <v>0</v>
      </c>
      <c r="R18" s="18" t="n">
        <v>0</v>
      </c>
      <c r="S18" s="18" t="n">
        <v>0</v>
      </c>
      <c r="T18" s="18" t="n">
        <v>0</v>
      </c>
      <c r="U18" s="18" t="n">
        <v>0</v>
      </c>
      <c r="V18" s="18" t="n">
        <v>0</v>
      </c>
      <c r="W18" s="18" t="n">
        <v>0</v>
      </c>
      <c r="X18" s="18" t="n">
        <v>0</v>
      </c>
      <c r="Y18" s="18" t="n">
        <v>0</v>
      </c>
      <c r="Z18" s="18" t="n">
        <v>0</v>
      </c>
      <c r="AA18" s="18" t="n">
        <v>0</v>
      </c>
      <c r="AB18" s="18" t="n">
        <v>0</v>
      </c>
      <c r="AC18" s="18" t="n">
        <v>0</v>
      </c>
      <c r="AD18" s="18" t="n">
        <v>0</v>
      </c>
      <c r="AE18" s="18" t="n">
        <v>0</v>
      </c>
      <c r="AF18" s="18" t="n">
        <v>0</v>
      </c>
      <c r="AG18" s="18" t="n">
        <v>0</v>
      </c>
      <c r="AH18" s="18" t="n">
        <v>0</v>
      </c>
      <c r="AI18" s="18" t="n">
        <v>3886.8</v>
      </c>
      <c r="AJ18" s="18" t="n">
        <v>45959.9</v>
      </c>
      <c r="AK18" s="18" t="n">
        <v>89659.60000000001</v>
      </c>
      <c r="AL18" s="18" t="n">
        <v>97979.60000000001</v>
      </c>
      <c r="AM18" s="18" t="n">
        <v>96459.8</v>
      </c>
      <c r="AN18" s="18" t="n">
        <v>94324.60000000001</v>
      </c>
      <c r="AO18" s="18" t="n">
        <v>95372.60000000001</v>
      </c>
      <c r="AP18" s="18" t="n">
        <v>96420.7</v>
      </c>
      <c r="AQ18" s="18" t="n">
        <v>96420.7</v>
      </c>
      <c r="AR18" s="18" t="n">
        <v>95372.60000000001</v>
      </c>
      <c r="AS18" s="18" t="n">
        <v>95372.60000000001</v>
      </c>
      <c r="AT18" s="18" t="n">
        <v>60100.3</v>
      </c>
      <c r="AU18" s="18" t="n">
        <v>35729.9</v>
      </c>
      <c r="AV18" s="18" t="n">
        <v>19437.7</v>
      </c>
      <c r="AW18" s="18" t="n">
        <v>19653.7</v>
      </c>
      <c r="AX18" s="18" t="n">
        <v>19869.7</v>
      </c>
      <c r="AY18" s="18" t="n">
        <v>6695.2</v>
      </c>
      <c r="AZ18" s="18" t="n">
        <v>0</v>
      </c>
      <c r="BA18" s="18" t="n">
        <v>0</v>
      </c>
      <c r="BB18" s="18" t="n">
        <v>0</v>
      </c>
      <c r="BC18" s="18" t="n">
        <v>0</v>
      </c>
      <c r="BD18" s="18" t="n">
        <v>0</v>
      </c>
      <c r="BE18" s="18" t="n">
        <v>0</v>
      </c>
      <c r="BF18" s="18" t="n">
        <v>0</v>
      </c>
      <c r="BG18" s="18" t="n">
        <v>0</v>
      </c>
      <c r="BH18" s="18" t="n">
        <v>0</v>
      </c>
      <c r="BI18" s="18" t="n">
        <v>0</v>
      </c>
      <c r="BJ18" s="18" t="n">
        <v>0</v>
      </c>
      <c r="BK18" s="18" t="n">
        <v>0</v>
      </c>
      <c r="BL18" s="18" t="n">
        <v>0</v>
      </c>
      <c r="BM18" s="18" t="n">
        <v>0</v>
      </c>
      <c r="BN18" s="18" t="n">
        <v>0</v>
      </c>
      <c r="BO18" s="18" t="n">
        <v>0</v>
      </c>
      <c r="BP18" s="18" t="n">
        <v>0</v>
      </c>
      <c r="BQ18" s="18" t="n">
        <v>0</v>
      </c>
      <c r="BR18" s="18" t="n">
        <v>0</v>
      </c>
      <c r="BS18" s="18" t="n">
        <v>0</v>
      </c>
      <c r="BT18" s="18" t="n">
        <v>0</v>
      </c>
      <c r="BU18" s="18" t="n">
        <v>0</v>
      </c>
      <c r="BV18" s="18" t="n">
        <v>0</v>
      </c>
      <c r="BW18" s="18" t="n">
        <v>0</v>
      </c>
      <c r="BX18" s="18" t="n">
        <v>0</v>
      </c>
      <c r="BY18" s="18" t="n">
        <v>0</v>
      </c>
      <c r="BZ18" s="18" t="n">
        <v>0</v>
      </c>
      <c r="CA18" s="18" t="n">
        <v>0</v>
      </c>
      <c r="CB18" s="18" t="n">
        <v>0</v>
      </c>
      <c r="CC18" s="18" t="n">
        <v>0</v>
      </c>
      <c r="CD18" s="18" t="n">
        <v>0</v>
      </c>
      <c r="CE18" s="18" t="n">
        <v>0</v>
      </c>
      <c r="CF18" s="18" t="n">
        <v>0</v>
      </c>
      <c r="CG18" s="18" t="n">
        <v>0</v>
      </c>
      <c r="CH18" s="18" t="n">
        <v>0</v>
      </c>
      <c r="CI18" s="18" t="n">
        <v>0</v>
      </c>
      <c r="CJ18" s="18" t="n">
        <v>0</v>
      </c>
      <c r="CK18" s="18" t="n">
        <v>0</v>
      </c>
      <c r="CL18" s="18" t="n">
        <v>0</v>
      </c>
      <c r="CM18" s="18" t="n">
        <v>0</v>
      </c>
      <c r="CN18" s="18" t="n">
        <v>0</v>
      </c>
      <c r="CO18" s="18" t="n">
        <v>0</v>
      </c>
      <c r="CP18" s="18" t="n">
        <v>0</v>
      </c>
      <c r="CQ18" s="18" t="n">
        <v>0</v>
      </c>
      <c r="CR18" s="18" t="n">
        <v>0</v>
      </c>
      <c r="CS18" s="18" t="n">
        <v>0</v>
      </c>
      <c r="CT18" s="18" t="n">
        <v>0</v>
      </c>
      <c r="CU18" s="18" t="n">
        <v>0</v>
      </c>
      <c r="CV18" s="18" t="n">
        <v>0</v>
      </c>
      <c r="CW18" s="18" t="n">
        <v>0</v>
      </c>
      <c r="CX18" s="18" t="n">
        <v>0</v>
      </c>
      <c r="CY18" s="18" t="n">
        <v>0</v>
      </c>
      <c r="CZ18" s="18" t="n">
        <v>0</v>
      </c>
      <c r="DA18" s="18" t="n">
        <v>0</v>
      </c>
      <c r="DB18" s="18" t="n">
        <v>0</v>
      </c>
      <c r="DC18" s="18" t="n">
        <v>0</v>
      </c>
      <c r="DD18" s="18" t="n">
        <v>0</v>
      </c>
      <c r="DE18" s="18" t="n">
        <v>0</v>
      </c>
      <c r="DF18" s="18" t="n">
        <v>0</v>
      </c>
      <c r="DG18" s="18" t="n">
        <v>0</v>
      </c>
      <c r="DH18" s="18" t="n">
        <v>0</v>
      </c>
      <c r="DI18" s="18" t="n">
        <v>0</v>
      </c>
      <c r="DJ18" s="18" t="n">
        <v>0</v>
      </c>
      <c r="DK18" s="18" t="n">
        <v>0</v>
      </c>
      <c r="DL18" s="18" t="n">
        <v>0</v>
      </c>
      <c r="DM18" s="18" t="n">
        <v>0</v>
      </c>
      <c r="DN18" s="18" t="n">
        <v>0</v>
      </c>
      <c r="DO18" s="18" t="n">
        <v>0</v>
      </c>
      <c r="DP18" s="18" t="n">
        <v>0</v>
      </c>
      <c r="DQ18" s="18" t="n">
        <v>0</v>
      </c>
      <c r="DR18" s="18" t="n">
        <v>0</v>
      </c>
      <c r="DS18" s="18" t="n">
        <v>0</v>
      </c>
      <c r="DT18" s="18" t="n">
        <v>0</v>
      </c>
      <c r="DU18" s="18" t="n">
        <v>0</v>
      </c>
      <c r="DV18" s="18" t="n">
        <v>0</v>
      </c>
      <c r="DW18" s="18" t="n">
        <v>0</v>
      </c>
      <c r="DX18" s="18" t="n">
        <v>0</v>
      </c>
      <c r="DY18" s="18" t="n">
        <v>0</v>
      </c>
    </row>
    <row r="19">
      <c r="A19" s="12" t="inlineStr">
        <is>
          <t>marine_hedged_krw_m_post_origin</t>
        </is>
      </c>
      <c r="D19" t="inlineStr">
        <is>
          <t>해양 원화 — origin 이후 체결분(백만원)</t>
        </is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18" t="n">
        <v>0</v>
      </c>
      <c r="K19" s="18" t="n">
        <v>0</v>
      </c>
      <c r="L19" s="18" t="n">
        <v>0</v>
      </c>
      <c r="M19" s="18" t="n">
        <v>0</v>
      </c>
      <c r="N19" s="18" t="n">
        <v>0</v>
      </c>
      <c r="O19" s="18" t="n">
        <v>0</v>
      </c>
      <c r="P19" s="18" t="n">
        <v>0</v>
      </c>
      <c r="Q19" s="18" t="n">
        <v>0</v>
      </c>
      <c r="R19" s="18" t="n">
        <v>0</v>
      </c>
      <c r="S19" s="18" t="n">
        <v>0</v>
      </c>
      <c r="T19" s="18" t="n">
        <v>0</v>
      </c>
      <c r="U19" s="18" t="n">
        <v>0</v>
      </c>
      <c r="V19" s="18" t="n">
        <v>0</v>
      </c>
      <c r="W19" s="18" t="n">
        <v>0</v>
      </c>
      <c r="X19" s="18" t="n">
        <v>0</v>
      </c>
      <c r="Y19" s="18" t="n">
        <v>0</v>
      </c>
      <c r="Z19" s="18" t="n">
        <v>0</v>
      </c>
      <c r="AA19" s="18" t="n">
        <v>0</v>
      </c>
      <c r="AB19" s="18" t="n">
        <v>0</v>
      </c>
      <c r="AC19" s="18" t="n">
        <v>0</v>
      </c>
      <c r="AD19" s="18" t="n">
        <v>0</v>
      </c>
      <c r="AE19" s="18" t="n">
        <v>0</v>
      </c>
      <c r="AF19" s="18" t="n">
        <v>0</v>
      </c>
      <c r="AG19" s="18" t="n">
        <v>0</v>
      </c>
      <c r="AH19" s="18" t="n">
        <v>0</v>
      </c>
      <c r="AI19" s="18" t="n">
        <v>0</v>
      </c>
      <c r="AJ19" s="18" t="n">
        <v>0</v>
      </c>
      <c r="AK19" s="18" t="n">
        <v>0</v>
      </c>
      <c r="AL19" s="18" t="n">
        <v>7124.5</v>
      </c>
      <c r="AM19" s="18" t="n">
        <v>64501.1</v>
      </c>
      <c r="AN19" s="18" t="n">
        <v>63072.6</v>
      </c>
      <c r="AO19" s="18" t="n">
        <v>63773.4</v>
      </c>
      <c r="AP19" s="18" t="n">
        <v>64474.2</v>
      </c>
      <c r="AQ19" s="18" t="n">
        <v>64474.2</v>
      </c>
      <c r="AR19" s="18" t="n">
        <v>63773.4</v>
      </c>
      <c r="AS19" s="18" t="n">
        <v>63773.4</v>
      </c>
      <c r="AT19" s="18" t="n">
        <v>64474.2</v>
      </c>
      <c r="AU19" s="18" t="n">
        <v>64474.2</v>
      </c>
      <c r="AV19" s="18" t="n">
        <v>63072.6</v>
      </c>
      <c r="AW19" s="18" t="n">
        <v>21024.2</v>
      </c>
      <c r="AX19" s="18" t="n">
        <v>0</v>
      </c>
      <c r="AY19" s="18" t="n">
        <v>0</v>
      </c>
      <c r="AZ19" s="18" t="n">
        <v>0</v>
      </c>
      <c r="BA19" s="18" t="n">
        <v>0</v>
      </c>
      <c r="BB19" s="18" t="n">
        <v>0</v>
      </c>
      <c r="BC19" s="18" t="n">
        <v>0</v>
      </c>
      <c r="BD19" s="18" t="n">
        <v>0</v>
      </c>
      <c r="BE19" s="18" t="n">
        <v>0</v>
      </c>
      <c r="BF19" s="18" t="n">
        <v>0</v>
      </c>
      <c r="BG19" s="18" t="n">
        <v>0</v>
      </c>
      <c r="BH19" s="18" t="n">
        <v>0</v>
      </c>
      <c r="BI19" s="18" t="n">
        <v>0</v>
      </c>
      <c r="BJ19" s="18" t="n">
        <v>0</v>
      </c>
      <c r="BK19" s="18" t="n">
        <v>0</v>
      </c>
      <c r="BL19" s="18" t="n">
        <v>0</v>
      </c>
      <c r="BM19" s="18" t="n">
        <v>0</v>
      </c>
      <c r="BN19" s="18" t="n">
        <v>0</v>
      </c>
      <c r="BO19" s="18" t="n">
        <v>0</v>
      </c>
      <c r="BP19" s="18" t="n">
        <v>0</v>
      </c>
      <c r="BQ19" s="18" t="n">
        <v>0</v>
      </c>
      <c r="BR19" s="18" t="n">
        <v>0</v>
      </c>
      <c r="BS19" s="18" t="n">
        <v>0</v>
      </c>
      <c r="BT19" s="18" t="n">
        <v>0</v>
      </c>
      <c r="BU19" s="18" t="n">
        <v>0</v>
      </c>
      <c r="BV19" s="18" t="n">
        <v>0</v>
      </c>
      <c r="BW19" s="18" t="n">
        <v>0</v>
      </c>
      <c r="BX19" s="18" t="n">
        <v>0</v>
      </c>
      <c r="BY19" s="18" t="n">
        <v>0</v>
      </c>
      <c r="BZ19" s="18" t="n">
        <v>0</v>
      </c>
      <c r="CA19" s="18" t="n">
        <v>0</v>
      </c>
      <c r="CB19" s="18" t="n">
        <v>0</v>
      </c>
      <c r="CC19" s="18" t="n">
        <v>0</v>
      </c>
      <c r="CD19" s="18" t="n">
        <v>0</v>
      </c>
      <c r="CE19" s="18" t="n">
        <v>0</v>
      </c>
      <c r="CF19" s="18" t="n">
        <v>0</v>
      </c>
      <c r="CG19" s="18" t="n">
        <v>0</v>
      </c>
      <c r="CH19" s="18" t="n">
        <v>0</v>
      </c>
      <c r="CI19" s="18" t="n">
        <v>0</v>
      </c>
      <c r="CJ19" s="18" t="n">
        <v>0</v>
      </c>
      <c r="CK19" s="18" t="n">
        <v>0</v>
      </c>
      <c r="CL19" s="18" t="n">
        <v>0</v>
      </c>
      <c r="CM19" s="18" t="n">
        <v>0</v>
      </c>
      <c r="CN19" s="18" t="n">
        <v>0</v>
      </c>
      <c r="CO19" s="18" t="n">
        <v>0</v>
      </c>
      <c r="CP19" s="18" t="n">
        <v>0</v>
      </c>
      <c r="CQ19" s="18" t="n">
        <v>0</v>
      </c>
      <c r="CR19" s="18" t="n">
        <v>0</v>
      </c>
      <c r="CS19" s="18" t="n">
        <v>0</v>
      </c>
      <c r="CT19" s="18" t="n">
        <v>0</v>
      </c>
      <c r="CU19" s="18" t="n">
        <v>0</v>
      </c>
      <c r="CV19" s="18" t="n">
        <v>0</v>
      </c>
      <c r="CW19" s="18" t="n">
        <v>0</v>
      </c>
      <c r="CX19" s="18" t="n">
        <v>0</v>
      </c>
      <c r="CY19" s="18" t="n">
        <v>0</v>
      </c>
      <c r="CZ19" s="18" t="n">
        <v>0</v>
      </c>
      <c r="DA19" s="18" t="n">
        <v>0</v>
      </c>
      <c r="DB19" s="18" t="n">
        <v>0</v>
      </c>
      <c r="DC19" s="18" t="n">
        <v>0</v>
      </c>
      <c r="DD19" s="18" t="n">
        <v>0</v>
      </c>
      <c r="DE19" s="18" t="n">
        <v>0</v>
      </c>
      <c r="DF19" s="18" t="n">
        <v>0</v>
      </c>
      <c r="DG19" s="18" t="n">
        <v>0</v>
      </c>
      <c r="DH19" s="18" t="n">
        <v>0</v>
      </c>
      <c r="DI19" s="18" t="n">
        <v>0</v>
      </c>
      <c r="DJ19" s="18" t="n">
        <v>0</v>
      </c>
      <c r="DK19" s="18" t="n">
        <v>0</v>
      </c>
      <c r="DL19" s="18" t="n">
        <v>0</v>
      </c>
      <c r="DM19" s="18" t="n">
        <v>0</v>
      </c>
      <c r="DN19" s="18" t="n">
        <v>0</v>
      </c>
      <c r="DO19" s="18" t="n">
        <v>0</v>
      </c>
      <c r="DP19" s="18" t="n">
        <v>0</v>
      </c>
      <c r="DQ19" s="18" t="n">
        <v>0</v>
      </c>
      <c r="DR19" s="18" t="n">
        <v>0</v>
      </c>
      <c r="DS19" s="18" t="n">
        <v>0</v>
      </c>
      <c r="DT19" s="18" t="n">
        <v>0</v>
      </c>
      <c r="DU19" s="18" t="n">
        <v>0</v>
      </c>
      <c r="DV19" s="18" t="n">
        <v>0</v>
      </c>
      <c r="DW19" s="18" t="n">
        <v>0</v>
      </c>
      <c r="DX19" s="18" t="n">
        <v>0</v>
      </c>
      <c r="DY19" s="18" t="n">
        <v>0</v>
      </c>
    </row>
    <row r="20">
      <c r="A20" s="12" t="inlineStr">
        <is>
          <t>target_opm</t>
        </is>
      </c>
      <c r="D20" t="inlineStr">
        <is>
          <t>타겟 OPM(코호트)</t>
        </is>
      </c>
      <c r="AI20" s="21" t="n">
        <v>0.108</v>
      </c>
      <c r="AJ20" s="21" t="n">
        <v>0.108</v>
      </c>
      <c r="AK20" s="21" t="n">
        <v>0.108</v>
      </c>
      <c r="AL20" s="21" t="n">
        <v>0.108</v>
      </c>
      <c r="AM20" s="21" t="n">
        <v>0.108</v>
      </c>
      <c r="AN20" s="21" t="n">
        <v>0.108</v>
      </c>
      <c r="AO20" s="21" t="n">
        <v>0.108</v>
      </c>
      <c r="AP20" s="21" t="n">
        <v>0.108</v>
      </c>
      <c r="AQ20" s="21" t="n">
        <v>0.108</v>
      </c>
      <c r="AR20" s="21" t="n">
        <v>0.108</v>
      </c>
      <c r="AS20" s="21" t="n">
        <v>0.108</v>
      </c>
      <c r="AT20" s="21" t="n">
        <v>0.108</v>
      </c>
      <c r="AU20" s="21" t="n">
        <v>0.108</v>
      </c>
      <c r="AV20" s="21" t="n">
        <v>0.108</v>
      </c>
      <c r="AW20" s="21" t="n">
        <v>0.108</v>
      </c>
    </row>
    <row r="22">
      <c r="A22" s="1" t="inlineStr">
        <is>
          <t>선표 연결(수식) — 원화(백만원) = 스케줄(백만$) × 포함 × (1 + (캡배율 − 1) × origin 이후) × (헤지비율 × 헤지환율 + (1 − 헤지비율) × 건조시점 환율)</t>
        </is>
      </c>
      <c r="J22" s="2" t="inlineStr">
        <is>
          <t>subQ 매출조선 = 합계/100 + 변수 잔고 소진 + 매출조선신규</t>
        </is>
      </c>
    </row>
    <row r="23">
      <c r="A23" s="12" t="inlineStr">
        <is>
          <t>헤지비율</t>
        </is>
      </c>
      <c r="D23" s="21">
        <f>변수!$D$59</f>
        <v/>
      </c>
      <c r="E23" s="2" t="inlineStr">
        <is>
          <t>변수 3절 '헤지비율' 참조 — 통화선도 공시 없음 → HEDGE 70% 가정(레퍼런스 SLS 시트 HEDGE 행은 미포 65%·삼성重 100% — 그 사이에 둔 설정값). hedge_rate 는 계약별 수주시점 환율로 대체</t>
        </is>
      </c>
    </row>
    <row r="24">
      <c r="A24" s="12" t="inlineStr">
        <is>
          <t>헤지환율 방식</t>
        </is>
      </c>
      <c r="D24" t="inlineStr">
        <is>
          <t>계약별 수주시점 환율(fx_at_sign)</t>
        </is>
      </c>
    </row>
    <row r="25">
      <c r="A25" s="12" t="inlineStr">
        <is>
          <t>spot_krw</t>
        </is>
      </c>
      <c r="D25" t="inlineStr">
        <is>
          <t>건조시점 원/달러(평균) — 변수 환율 행 참조, 변수 범위 밖 분기는 sls spot_assumed</t>
        </is>
      </c>
      <c r="E25" s="13">
        <f>IFERROR(VLOOKUP(" 원/달러(평균)",환율,MATCH(E$1,변수H,0),0),1080.48)</f>
        <v/>
      </c>
      <c r="F25" s="13">
        <f>IFERROR(VLOOKUP(" 원/달러(평균)",환율,MATCH(F$1,변수H,0),0),1121.86)</f>
        <v/>
      </c>
      <c r="G25" s="13">
        <f>IFERROR(VLOOKUP(" 원/달러(평균)",환율,MATCH(G$1,변수H,0),0),1127.53)</f>
        <v/>
      </c>
      <c r="H25" s="13">
        <f>IFERROR(VLOOKUP(" 원/달러(평균)",환율,MATCH(H$1,변수H,0),0),1125.78)</f>
        <v/>
      </c>
      <c r="I25" s="13">
        <f>IFERROR(VLOOKUP(" 원/달러(평균)",환율,MATCH(I$1,변수H,0),0),1167.69)</f>
        <v/>
      </c>
      <c r="J25" s="13">
        <f>IFERROR(VLOOKUP(" 원/달러(평균)",환율,MATCH(J$1,변수H,0),0),1193.96)</f>
        <v/>
      </c>
      <c r="K25" s="13">
        <f>IFERROR(VLOOKUP(" 원/달러(평균)",환율,MATCH(K$1,변수H,0),0),1176.23)</f>
        <v/>
      </c>
      <c r="L25" s="13">
        <f>IFERROR(VLOOKUP(" 원/달러(평균)",환율,MATCH(L$1,변수H,0),0),1193.92)</f>
        <v/>
      </c>
      <c r="M25" s="13">
        <f>IFERROR(VLOOKUP(" 원/달러(평균)",환율,MATCH(M$1,변수H,0),0),1219.69)</f>
        <v/>
      </c>
      <c r="N25" s="13">
        <f>IFERROR(VLOOKUP(" 원/달러(평균)",환율,MATCH(N$1,변수H,0),0),1187.81)</f>
        <v/>
      </c>
      <c r="O25" s="13">
        <f>IFERROR(VLOOKUP(" 원/달러(평균)",환율,MATCH(O$1,변수H,0),0),1117.97)</f>
        <v/>
      </c>
      <c r="P25" s="13">
        <f>IFERROR(VLOOKUP(" 원/달러(평균)",환율,MATCH(P$1,변수H,0),0),1114.99)</f>
        <v/>
      </c>
      <c r="Q25" s="13">
        <f>IFERROR(VLOOKUP(" 원/달러(평균)",환율,MATCH(Q$1,변수H,0),0),1121.13)</f>
        <v/>
      </c>
      <c r="R25" s="13">
        <f>IFERROR(VLOOKUP(" 원/달러(평균)",환율,MATCH(R$1,변수H,0),0),1159.91)</f>
        <v/>
      </c>
      <c r="S25" s="13">
        <f>IFERROR(VLOOKUP(" 원/달러(평균)",환율,MATCH(S$1,변수H,0),0),1183.5)</f>
        <v/>
      </c>
      <c r="T25" s="13">
        <f>IFERROR(VLOOKUP(" 원/달러(평균)",환율,MATCH(T$1,변수H,0),0),1205.78)</f>
        <v/>
      </c>
      <c r="U25" s="13">
        <f>IFERROR(VLOOKUP(" 원/달러(평균)",환율,MATCH(U$1,변수H,0),0),1262.09)</f>
        <v/>
      </c>
      <c r="V25" s="13">
        <f>IFERROR(VLOOKUP(" 원/달러(평균)",환율,MATCH(V$1,변수H,0),0),1341.93)</f>
        <v/>
      </c>
      <c r="W25" s="13">
        <f>IFERROR(VLOOKUP(" 원/달러(평균)",환율,MATCH(W$1,변수H,0),0),1360.12)</f>
        <v/>
      </c>
      <c r="X25" s="13">
        <f>IFERROR(VLOOKUP(" 원/달러(평균)",환율,MATCH(X$1,변수H,0),0),1276.95)</f>
        <v/>
      </c>
      <c r="Y25" s="13">
        <f>IFERROR(VLOOKUP(" 원/달러(평균)",환율,MATCH(Y$1,변수H,0),0),1315.69)</f>
        <v/>
      </c>
      <c r="Z25" s="13">
        <f>IFERROR(VLOOKUP(" 원/달러(평균)",환율,MATCH(Z$1,변수H,0),0),1313.62)</f>
        <v/>
      </c>
      <c r="AA25" s="13">
        <f>IFERROR(VLOOKUP(" 원/달러(평균)",환율,MATCH(AA$1,변수H,0),0),1322.01)</f>
        <v/>
      </c>
      <c r="AB25" s="13">
        <f>IFERROR(VLOOKUP(" 원/달러(평균)",환율,MATCH(AB$1,변수H,0),0),1330.14)</f>
        <v/>
      </c>
      <c r="AC25" s="13">
        <f>IFERROR(VLOOKUP(" 원/달러(평균)",환율,MATCH(AC$1,변수H,0),0),1371.28)</f>
        <v/>
      </c>
      <c r="AD25" s="13">
        <f>IFERROR(VLOOKUP(" 원/달러(평균)",환율,MATCH(AD$1,변수H,0),0),1356.22)</f>
        <v/>
      </c>
      <c r="AE25" s="13">
        <f>IFERROR(VLOOKUP(" 원/달러(평균)",환율,MATCH(AE$1,변수H,0),0),1396.3)</f>
        <v/>
      </c>
      <c r="AF25" s="13">
        <f>IFERROR(VLOOKUP(" 원/달러(평균)",환율,MATCH(AF$1,변수H,0),0),1452.28)</f>
        <v/>
      </c>
      <c r="AG25" s="13">
        <f>IFERROR(VLOOKUP(" 원/달러(평균)",환율,MATCH(AG$1,변수H,0),0),1398.52)</f>
        <v/>
      </c>
      <c r="AH25" s="13">
        <f>IFERROR(VLOOKUP(" 원/달러(평균)",환율,MATCH(AH$1,변수H,0),0),1386.95)</f>
        <v/>
      </c>
      <c r="AI25" s="13">
        <f>IFERROR(VLOOKUP(" 원/달러(평균)",환율,MATCH(AI$1,변수H,0),0),1449.19)</f>
        <v/>
      </c>
      <c r="AJ25" s="13">
        <f>IFERROR(VLOOKUP(" 원/달러(평균)",환율,MATCH(AJ$1,변수H,0),0),1466.12)</f>
        <v/>
      </c>
      <c r="AK25" s="13">
        <f>IFERROR(VLOOKUP(" 원/달러(평균)",환율,MATCH(AK$1,변수H,0),0),1501.75)</f>
        <v/>
      </c>
      <c r="AL25" s="13">
        <f>IFERROR(VLOOKUP(" 원/달러(평균)",환율,MATCH(AL$1,변수H,0),0),1418.75)</f>
        <v/>
      </c>
      <c r="AM25" s="13">
        <f>IFERROR(VLOOKUP(" 원/달러(평균)",환율,MATCH(AM$1,변수H,0),0),1343.39)</f>
        <v/>
      </c>
      <c r="AN25" s="13">
        <f>IFERROR(VLOOKUP(" 원/달러(평균)",환율,MATCH(AN$1,변수H,0),0),1341.45)</f>
        <v/>
      </c>
      <c r="AO25" s="13">
        <f>IFERROR(VLOOKUP(" 원/달러(평균)",환율,MATCH(AO$1,변수H,0),0),1341.45)</f>
        <v/>
      </c>
      <c r="AP25" s="13">
        <f>IFERROR(VLOOKUP(" 원/달러(평균)",환율,MATCH(AP$1,변수H,0),0),1341.45)</f>
        <v/>
      </c>
      <c r="AQ25" s="13">
        <f>IFERROR(VLOOKUP(" 원/달러(평균)",환율,MATCH(AQ$1,변수H,0),0),1341.45)</f>
        <v/>
      </c>
      <c r="AR25" s="13">
        <f>IFERROR(VLOOKUP(" 원/달러(평균)",환율,MATCH(AR$1,변수H,0),0),1341.45)</f>
        <v/>
      </c>
      <c r="AS25" s="13">
        <f>IFERROR(VLOOKUP(" 원/달러(평균)",환율,MATCH(AS$1,변수H,0),0),1341.45)</f>
        <v/>
      </c>
      <c r="AT25" s="13">
        <f>IFERROR(VLOOKUP(" 원/달러(평균)",환율,MATCH(AT$1,변수H,0),0),1341.45)</f>
        <v/>
      </c>
      <c r="AU25" s="13">
        <f>IFERROR(VLOOKUP(" 원/달러(평균)",환율,MATCH(AU$1,변수H,0),0),1341.45)</f>
        <v/>
      </c>
      <c r="AV25" s="13">
        <f>IFERROR(VLOOKUP(" 원/달러(평균)",환율,MATCH(AV$1,변수H,0),0),1341.45)</f>
        <v/>
      </c>
      <c r="AW25" s="13">
        <f>IFERROR(VLOOKUP(" 원/달러(평균)",환율,MATCH(AW$1,변수H,0),0),1341.45)</f>
        <v/>
      </c>
      <c r="AX25" s="13">
        <f>IFERROR(VLOOKUP(" 원/달러(평균)",환율,MATCH(AX$1,변수H,0),0),1341.45)</f>
        <v/>
      </c>
      <c r="AY25" s="13">
        <f>IFERROR(VLOOKUP(" 원/달러(평균)",환율,MATCH(AY$1,변수H,0),0),1341.45)</f>
        <v/>
      </c>
      <c r="AZ25" s="13">
        <f>IFERROR(VLOOKUP(" 원/달러(평균)",환율,MATCH(AZ$1,변수H,0),0),1341.45)</f>
        <v/>
      </c>
      <c r="BA25" s="13">
        <f>IFERROR(VLOOKUP(" 원/달러(평균)",환율,MATCH(BA$1,변수H,0),0),1341.45)</f>
        <v/>
      </c>
      <c r="BB25" s="13">
        <f>IFERROR(VLOOKUP(" 원/달러(평균)",환율,MATCH(BB$1,변수H,0),0),1341.45)</f>
        <v/>
      </c>
      <c r="BC25" s="13">
        <f>IFERROR(VLOOKUP(" 원/달러(평균)",환율,MATCH(BC$1,변수H,0),0),1341.45)</f>
        <v/>
      </c>
      <c r="BD25" s="13">
        <f>IFERROR(VLOOKUP(" 원/달러(평균)",환율,MATCH(BD$1,변수H,0),0),1341.45)</f>
        <v/>
      </c>
      <c r="BE25" s="13">
        <f>IFERROR(VLOOKUP(" 원/달러(평균)",환율,MATCH(BE$1,변수H,0),0),1341.45)</f>
        <v/>
      </c>
      <c r="BF25" s="13">
        <f>IFERROR(VLOOKUP(" 원/달러(평균)",환율,MATCH(BF$1,변수H,0),0),1341.45)</f>
        <v/>
      </c>
      <c r="BG25" s="13">
        <f>IFERROR(VLOOKUP(" 원/달러(평균)",환율,MATCH(BG$1,변수H,0),0),1341.45)</f>
        <v/>
      </c>
      <c r="BH25" s="13">
        <f>IFERROR(VLOOKUP(" 원/달러(평균)",환율,MATCH(BH$1,변수H,0),0),1341.45)</f>
        <v/>
      </c>
      <c r="BI25" s="13">
        <f>IFERROR(VLOOKUP(" 원/달러(평균)",환율,MATCH(BI$1,변수H,0),0),1341.45)</f>
        <v/>
      </c>
      <c r="BJ25" s="13">
        <f>IFERROR(VLOOKUP(" 원/달러(평균)",환율,MATCH(BJ$1,변수H,0),0),1341.45)</f>
        <v/>
      </c>
      <c r="BK25" s="13">
        <f>IFERROR(VLOOKUP(" 원/달러(평균)",환율,MATCH(BK$1,변수H,0),0),1341.45)</f>
        <v/>
      </c>
      <c r="BL25" s="13">
        <f>IFERROR(VLOOKUP(" 원/달러(평균)",환율,MATCH(BL$1,변수H,0),0),1341.45)</f>
        <v/>
      </c>
      <c r="BM25" s="13">
        <f>IFERROR(VLOOKUP(" 원/달러(평균)",환율,MATCH(BM$1,변수H,0),0),1341.45)</f>
        <v/>
      </c>
      <c r="BN25" s="13">
        <f>IFERROR(VLOOKUP(" 원/달러(평균)",환율,MATCH(BN$1,변수H,0),0),1341.45)</f>
        <v/>
      </c>
      <c r="BO25" s="13">
        <f>IFERROR(VLOOKUP(" 원/달러(평균)",환율,MATCH(BO$1,변수H,0),0),1341.45)</f>
        <v/>
      </c>
      <c r="BP25" s="13">
        <f>IFERROR(VLOOKUP(" 원/달러(평균)",환율,MATCH(BP$1,변수H,0),0),1341.45)</f>
        <v/>
      </c>
      <c r="BQ25" s="13">
        <f>IFERROR(VLOOKUP(" 원/달러(평균)",환율,MATCH(BQ$1,변수H,0),0),1341.45)</f>
        <v/>
      </c>
      <c r="BR25" s="13">
        <f>IFERROR(VLOOKUP(" 원/달러(평균)",환율,MATCH(BR$1,변수H,0),0),1341.45)</f>
        <v/>
      </c>
      <c r="BS25" s="13">
        <f>IFERROR(VLOOKUP(" 원/달러(평균)",환율,MATCH(BS$1,변수H,0),0),1341.45)</f>
        <v/>
      </c>
      <c r="BT25" s="13">
        <f>IFERROR(VLOOKUP(" 원/달러(평균)",환율,MATCH(BT$1,변수H,0),0),1341.45)</f>
        <v/>
      </c>
      <c r="BU25" s="13">
        <f>IFERROR(VLOOKUP(" 원/달러(평균)",환율,MATCH(BU$1,변수H,0),0),1341.45)</f>
        <v/>
      </c>
      <c r="BV25" s="13">
        <f>IFERROR(VLOOKUP(" 원/달러(평균)",환율,MATCH(BV$1,변수H,0),0),1341.45)</f>
        <v/>
      </c>
      <c r="BW25" s="13">
        <f>IFERROR(VLOOKUP(" 원/달러(평균)",환율,MATCH(BW$1,변수H,0),0),1341.45)</f>
        <v/>
      </c>
      <c r="BX25" s="13">
        <f>IFERROR(VLOOKUP(" 원/달러(평균)",환율,MATCH(BX$1,변수H,0),0),1341.45)</f>
        <v/>
      </c>
      <c r="BY25" s="13">
        <f>IFERROR(VLOOKUP(" 원/달러(평균)",환율,MATCH(BY$1,변수H,0),0),1341.45)</f>
        <v/>
      </c>
      <c r="BZ25" s="13">
        <f>IFERROR(VLOOKUP(" 원/달러(평균)",환율,MATCH(BZ$1,변수H,0),0),1341.45)</f>
        <v/>
      </c>
      <c r="CA25" s="13">
        <f>IFERROR(VLOOKUP(" 원/달러(평균)",환율,MATCH(CA$1,변수H,0),0),1341.45)</f>
        <v/>
      </c>
      <c r="CB25" s="13">
        <f>IFERROR(VLOOKUP(" 원/달러(평균)",환율,MATCH(CB$1,변수H,0),0),1341.45)</f>
        <v/>
      </c>
      <c r="CC25" s="13">
        <f>IFERROR(VLOOKUP(" 원/달러(평균)",환율,MATCH(CC$1,변수H,0),0),1341.45)</f>
        <v/>
      </c>
      <c r="CD25" s="13">
        <f>IFERROR(VLOOKUP(" 원/달러(평균)",환율,MATCH(CD$1,변수H,0),0),1341.45)</f>
        <v/>
      </c>
      <c r="CE25" s="13">
        <f>IFERROR(VLOOKUP(" 원/달러(평균)",환율,MATCH(CE$1,변수H,0),0),1341.45)</f>
        <v/>
      </c>
      <c r="CF25" s="13">
        <f>IFERROR(VLOOKUP(" 원/달러(평균)",환율,MATCH(CF$1,변수H,0),0),1341.45)</f>
        <v/>
      </c>
      <c r="CG25" s="13">
        <f>IFERROR(VLOOKUP(" 원/달러(평균)",환율,MATCH(CG$1,변수H,0),0),1341.45)</f>
        <v/>
      </c>
      <c r="CH25" s="13">
        <f>IFERROR(VLOOKUP(" 원/달러(평균)",환율,MATCH(CH$1,변수H,0),0),1341.45)</f>
        <v/>
      </c>
      <c r="CI25" s="13">
        <f>IFERROR(VLOOKUP(" 원/달러(평균)",환율,MATCH(CI$1,변수H,0),0),1341.45)</f>
        <v/>
      </c>
      <c r="CJ25" s="13">
        <f>IFERROR(VLOOKUP(" 원/달러(평균)",환율,MATCH(CJ$1,변수H,0),0),1341.45)</f>
        <v/>
      </c>
      <c r="CK25" s="13">
        <f>IFERROR(VLOOKUP(" 원/달러(평균)",환율,MATCH(CK$1,변수H,0),0),1341.45)</f>
        <v/>
      </c>
      <c r="CL25" s="13">
        <f>IFERROR(VLOOKUP(" 원/달러(평균)",환율,MATCH(CL$1,변수H,0),0),1341.45)</f>
        <v/>
      </c>
      <c r="CM25" s="13">
        <f>IFERROR(VLOOKUP(" 원/달러(평균)",환율,MATCH(CM$1,변수H,0),0),1341.45)</f>
        <v/>
      </c>
      <c r="CN25" s="13">
        <f>IFERROR(VLOOKUP(" 원/달러(평균)",환율,MATCH(CN$1,변수H,0),0),1341.45)</f>
        <v/>
      </c>
      <c r="CO25" s="13">
        <f>IFERROR(VLOOKUP(" 원/달러(평균)",환율,MATCH(CO$1,변수H,0),0),1341.45)</f>
        <v/>
      </c>
      <c r="CP25" s="13">
        <f>IFERROR(VLOOKUP(" 원/달러(평균)",환율,MATCH(CP$1,변수H,0),0),1341.45)</f>
        <v/>
      </c>
      <c r="CQ25" s="13">
        <f>IFERROR(VLOOKUP(" 원/달러(평균)",환율,MATCH(CQ$1,변수H,0),0),1341.45)</f>
        <v/>
      </c>
      <c r="CR25" s="13">
        <f>IFERROR(VLOOKUP(" 원/달러(평균)",환율,MATCH(CR$1,변수H,0),0),1341.45)</f>
        <v/>
      </c>
      <c r="CS25" s="13">
        <f>IFERROR(VLOOKUP(" 원/달러(평균)",환율,MATCH(CS$1,변수H,0),0),1341.45)</f>
        <v/>
      </c>
      <c r="CT25" s="13">
        <f>IFERROR(VLOOKUP(" 원/달러(평균)",환율,MATCH(CT$1,변수H,0),0),1341.45)</f>
        <v/>
      </c>
      <c r="CU25" s="13">
        <f>IFERROR(VLOOKUP(" 원/달러(평균)",환율,MATCH(CU$1,변수H,0),0),1341.45)</f>
        <v/>
      </c>
      <c r="CV25" s="13">
        <f>IFERROR(VLOOKUP(" 원/달러(평균)",환율,MATCH(CV$1,변수H,0),0),1341.45)</f>
        <v/>
      </c>
      <c r="CW25" s="13">
        <f>IFERROR(VLOOKUP(" 원/달러(평균)",환율,MATCH(CW$1,변수H,0),0),1341.45)</f>
        <v/>
      </c>
      <c r="CX25" s="13">
        <f>IFERROR(VLOOKUP(" 원/달러(평균)",환율,MATCH(CX$1,변수H,0),0),1341.45)</f>
        <v/>
      </c>
      <c r="CY25" s="13">
        <f>IFERROR(VLOOKUP(" 원/달러(평균)",환율,MATCH(CY$1,변수H,0),0),1341.45)</f>
        <v/>
      </c>
      <c r="CZ25" s="13">
        <f>IFERROR(VLOOKUP(" 원/달러(평균)",환율,MATCH(CZ$1,변수H,0),0),1341.45)</f>
        <v/>
      </c>
      <c r="DA25" s="13">
        <f>IFERROR(VLOOKUP(" 원/달러(평균)",환율,MATCH(DA$1,변수H,0),0),1341.45)</f>
        <v/>
      </c>
      <c r="DB25" s="13">
        <f>IFERROR(VLOOKUP(" 원/달러(평균)",환율,MATCH(DB$1,변수H,0),0),1341.45)</f>
        <v/>
      </c>
      <c r="DC25" s="13">
        <f>IFERROR(VLOOKUP(" 원/달러(평균)",환율,MATCH(DC$1,변수H,0),0),1341.45)</f>
        <v/>
      </c>
      <c r="DD25" s="13">
        <f>IFERROR(VLOOKUP(" 원/달러(평균)",환율,MATCH(DD$1,변수H,0),0),1341.45)</f>
        <v/>
      </c>
      <c r="DE25" s="13">
        <f>IFERROR(VLOOKUP(" 원/달러(평균)",환율,MATCH(DE$1,변수H,0),0),1341.45)</f>
        <v/>
      </c>
      <c r="DF25" s="13">
        <f>IFERROR(VLOOKUP(" 원/달러(평균)",환율,MATCH(DF$1,변수H,0),0),1341.45)</f>
        <v/>
      </c>
      <c r="DG25" s="13">
        <f>IFERROR(VLOOKUP(" 원/달러(평균)",환율,MATCH(DG$1,변수H,0),0),1341.45)</f>
        <v/>
      </c>
      <c r="DH25" s="13">
        <f>IFERROR(VLOOKUP(" 원/달러(평균)",환율,MATCH(DH$1,변수H,0),0),1341.45)</f>
        <v/>
      </c>
      <c r="DI25" s="13">
        <f>IFERROR(VLOOKUP(" 원/달러(평균)",환율,MATCH(DI$1,변수H,0),0),1341.45)</f>
        <v/>
      </c>
      <c r="DJ25" s="13">
        <f>IFERROR(VLOOKUP(" 원/달러(평균)",환율,MATCH(DJ$1,변수H,0),0),1341.45)</f>
        <v/>
      </c>
      <c r="DK25" s="13">
        <f>IFERROR(VLOOKUP(" 원/달러(평균)",환율,MATCH(DK$1,변수H,0),0),1341.45)</f>
        <v/>
      </c>
      <c r="DL25" s="13">
        <f>IFERROR(VLOOKUP(" 원/달러(평균)",환율,MATCH(DL$1,변수H,0),0),1341.45)</f>
        <v/>
      </c>
      <c r="DM25" s="13">
        <f>IFERROR(VLOOKUP(" 원/달러(평균)",환율,MATCH(DM$1,변수H,0),0),1341.45)</f>
        <v/>
      </c>
      <c r="DN25" s="13">
        <f>IFERROR(VLOOKUP(" 원/달러(평균)",환율,MATCH(DN$1,변수H,0),0),1341.45)</f>
        <v/>
      </c>
      <c r="DO25" s="13">
        <f>IFERROR(VLOOKUP(" 원/달러(평균)",환율,MATCH(DO$1,변수H,0),0),1341.45)</f>
        <v/>
      </c>
      <c r="DP25" s="13">
        <f>IFERROR(VLOOKUP(" 원/달러(평균)",환율,MATCH(DP$1,변수H,0),0),1341.45)</f>
        <v/>
      </c>
      <c r="DQ25" s="13">
        <f>IFERROR(VLOOKUP(" 원/달러(평균)",환율,MATCH(DQ$1,변수H,0),0),1341.45)</f>
        <v/>
      </c>
      <c r="DR25" s="13">
        <f>IFERROR(VLOOKUP(" 원/달러(평균)",환율,MATCH(DR$1,변수H,0),0),1341.45)</f>
        <v/>
      </c>
      <c r="DS25" s="13">
        <f>IFERROR(VLOOKUP(" 원/달러(평균)",환율,MATCH(DS$1,변수H,0),0),1341.45)</f>
        <v/>
      </c>
      <c r="DT25" s="13">
        <f>IFERROR(VLOOKUP(" 원/달러(평균)",환율,MATCH(DT$1,변수H,0),0),1341.45)</f>
        <v/>
      </c>
      <c r="DU25" s="13">
        <f>IFERROR(VLOOKUP(" 원/달러(평균)",환율,MATCH(DU$1,변수H,0),0),1341.45)</f>
        <v/>
      </c>
      <c r="DV25" s="13">
        <f>IFERROR(VLOOKUP(" 원/달러(평균)",환율,MATCH(DV$1,변수H,0),0),1341.45)</f>
        <v/>
      </c>
      <c r="DW25" s="13">
        <f>IFERROR(VLOOKUP(" 원/달러(평균)",환율,MATCH(DW$1,변수H,0),0),1341.45)</f>
        <v/>
      </c>
      <c r="DX25" s="13">
        <f>IFERROR(VLOOKUP(" 원/달러(평균)",환율,MATCH(DX$1,변수H,0),0),1341.45)</f>
        <v/>
      </c>
      <c r="DY25" s="13">
        <f>IFERROR(VLOOKUP(" 원/달러(평균)",환율,MATCH(DY$1,변수H,0),0),1341.45)</f>
        <v/>
      </c>
    </row>
    <row r="26">
      <c r="A26" s="12" t="inlineStr">
        <is>
          <t>after_origin</t>
        </is>
      </c>
      <c r="D26" t="inlineStr">
        <is>
          <t>origin(2026Q2) 이후 분기 = 1 (잔고 캡 배율 적용 구간)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</row>
    <row r="28">
      <c r="A28" s="1" t="inlineStr">
        <is>
          <t>① 계약별 매출인식 스케줄(백만$, sls 저장값)</t>
        </is>
      </c>
      <c r="B28" s="1" t="inlineStr">
        <is>
          <t>type</t>
        </is>
      </c>
      <c r="C28" s="1" t="inlineStr">
        <is>
          <t>ships</t>
        </is>
      </c>
      <c r="D28" s="1" t="inlineStr">
        <is>
          <t>name</t>
        </is>
      </c>
      <c r="FG28" s="1" t="inlineStr">
        <is>
          <t>포함(1/0)</t>
        </is>
      </c>
      <c r="FH28" s="1" t="inlineStr">
        <is>
          <t>헤지환율</t>
        </is>
      </c>
      <c r="FI28" s="1" t="inlineStr">
        <is>
          <t>캡배율</t>
        </is>
      </c>
      <c r="FJ28" s="1" t="inlineStr">
        <is>
          <t>체결일</t>
        </is>
      </c>
      <c r="FK28" s="1" t="inlineStr">
        <is>
          <t>origin이내</t>
        </is>
      </c>
      <c r="FL28" s="1" t="inlineStr">
        <is>
          <t>코호트</t>
        </is>
      </c>
      <c r="FM28" s="1" t="inlineStr">
        <is>
          <t>계약액(백만$)</t>
        </is>
      </c>
      <c r="FN28" s="1" t="inlineStr">
        <is>
          <t>종료</t>
        </is>
      </c>
    </row>
    <row r="29">
      <c r="A29" t="inlineStr">
        <is>
          <t>20250930800101</t>
        </is>
      </c>
      <c r="B29" t="inlineStr">
        <is>
          <t>OTHER</t>
        </is>
      </c>
      <c r="D29" t="inlineStr">
        <is>
          <t>대전 도마변동9재정비촉진구역 주택재개발정비사업</t>
        </is>
      </c>
      <c r="R29" s="26" t="n">
        <v>2.988</v>
      </c>
      <c r="S29" s="26" t="n">
        <v>3.715</v>
      </c>
      <c r="T29" s="26" t="n">
        <v>3.634</v>
      </c>
      <c r="U29" s="26" t="n">
        <v>3.675</v>
      </c>
      <c r="V29" s="26" t="n">
        <v>3.715</v>
      </c>
      <c r="W29" s="26" t="n">
        <v>3.715</v>
      </c>
      <c r="X29" s="26" t="n">
        <v>3.634</v>
      </c>
      <c r="Y29" s="26" t="n">
        <v>3.675</v>
      </c>
      <c r="Z29" s="26" t="n">
        <v>3.715</v>
      </c>
      <c r="AA29" s="26" t="n">
        <v>3.715</v>
      </c>
      <c r="AB29" s="26" t="n">
        <v>3.675</v>
      </c>
      <c r="AC29" s="26" t="n">
        <v>3.675</v>
      </c>
      <c r="AD29" s="26" t="n">
        <v>3.715</v>
      </c>
      <c r="AE29" s="26" t="n">
        <v>3.715</v>
      </c>
      <c r="AF29" s="26" t="n">
        <v>3.634</v>
      </c>
      <c r="AG29" s="26" t="n">
        <v>3.675</v>
      </c>
      <c r="AH29" s="26" t="n">
        <v>3.715</v>
      </c>
      <c r="AI29" s="26" t="n">
        <v>3.715</v>
      </c>
      <c r="AJ29" s="26" t="n">
        <v>3.634</v>
      </c>
      <c r="AK29" s="26" t="n">
        <v>3.675</v>
      </c>
      <c r="AL29" s="26" t="n">
        <v>3.715</v>
      </c>
      <c r="AM29" s="26" t="n">
        <v>3.715</v>
      </c>
      <c r="AN29" s="26" t="n">
        <v>2.911</v>
      </c>
      <c r="FG29" s="35" t="n">
        <v>0</v>
      </c>
      <c r="FH29" s="16" t="n">
        <v>1159.91</v>
      </c>
      <c r="FI29" s="42" t="n">
        <v>1</v>
      </c>
      <c r="FJ29" t="inlineStr">
        <is>
          <t>2021-07-19</t>
        </is>
      </c>
      <c r="FK29" t="n">
        <v>1</v>
      </c>
      <c r="FM29" s="26" t="n">
        <v>83.34999999999999</v>
      </c>
      <c r="FN29" t="inlineStr">
        <is>
          <t>2027-03-13</t>
        </is>
      </c>
    </row>
    <row r="30">
      <c r="A30" t="inlineStr">
        <is>
          <t>20251103800145</t>
        </is>
      </c>
      <c r="B30" t="inlineStr">
        <is>
          <t>OTHER</t>
        </is>
      </c>
      <c r="D30" t="inlineStr">
        <is>
          <t>부천 역곡동 46번지 일원 가로주택정비사업 공사</t>
        </is>
      </c>
      <c r="Y30" s="26" t="n">
        <v>2.162</v>
      </c>
      <c r="Z30" s="26" t="n">
        <v>3.108</v>
      </c>
      <c r="AA30" s="26" t="n">
        <v>3.108</v>
      </c>
      <c r="AB30" s="26" t="n">
        <v>3.074</v>
      </c>
      <c r="AC30" s="26" t="n">
        <v>3.074</v>
      </c>
      <c r="AD30" s="26" t="n">
        <v>3.108</v>
      </c>
      <c r="AE30" s="26" t="n">
        <v>3.108</v>
      </c>
      <c r="AF30" s="26" t="n">
        <v>3.04</v>
      </c>
      <c r="AG30" s="26" t="n">
        <v>3.074</v>
      </c>
      <c r="AH30" s="26" t="n">
        <v>3.108</v>
      </c>
      <c r="AI30" s="26" t="n">
        <v>3.108</v>
      </c>
      <c r="AJ30" s="26" t="n">
        <v>3.04</v>
      </c>
      <c r="AK30" s="26" t="n">
        <v>3.074</v>
      </c>
      <c r="AL30" s="26" t="n">
        <v>3.108</v>
      </c>
      <c r="AM30" s="26" t="n">
        <v>3.108</v>
      </c>
      <c r="AN30" s="26" t="n">
        <v>3.04</v>
      </c>
      <c r="AO30" s="26" t="n">
        <v>3.074</v>
      </c>
      <c r="AP30" s="26" t="n">
        <v>3.108</v>
      </c>
      <c r="AQ30" s="26" t="n">
        <v>0.706</v>
      </c>
      <c r="FG30" s="35" t="n">
        <v>0</v>
      </c>
      <c r="FH30" s="16" t="n">
        <v>1315.69</v>
      </c>
      <c r="FI30" s="42" t="n">
        <v>1</v>
      </c>
      <c r="FJ30" t="inlineStr">
        <is>
          <t>2023-04-28</t>
        </is>
      </c>
      <c r="FK30" t="n">
        <v>1</v>
      </c>
      <c r="FM30" s="26" t="n">
        <v>55.33</v>
      </c>
      <c r="FN30" t="inlineStr">
        <is>
          <t>2027-10-21</t>
        </is>
      </c>
    </row>
    <row r="31">
      <c r="A31" t="inlineStr">
        <is>
          <t>20251110800052</t>
        </is>
      </c>
      <c r="B31" t="inlineStr">
        <is>
          <t>OTHER</t>
        </is>
      </c>
      <c r="D31" t="inlineStr">
        <is>
          <t>부산공동어시장 현대화사업</t>
        </is>
      </c>
      <c r="AI31" s="26" t="n">
        <v>1.862</v>
      </c>
      <c r="AJ31" s="26" t="n">
        <v>3.162</v>
      </c>
      <c r="AK31" s="26" t="n">
        <v>3.198</v>
      </c>
      <c r="AL31" s="26" t="n">
        <v>3.233</v>
      </c>
      <c r="AM31" s="26" t="n">
        <v>3.233</v>
      </c>
      <c r="AN31" s="26" t="n">
        <v>3.162</v>
      </c>
      <c r="AO31" s="26" t="n">
        <v>3.198</v>
      </c>
      <c r="AP31" s="26" t="n">
        <v>3.233</v>
      </c>
      <c r="AQ31" s="26" t="n">
        <v>3.233</v>
      </c>
      <c r="AR31" s="26" t="n">
        <v>3.198</v>
      </c>
      <c r="AS31" s="26" t="n">
        <v>3.198</v>
      </c>
      <c r="AT31" s="26" t="n">
        <v>3.233</v>
      </c>
      <c r="AU31" s="26" t="n">
        <v>3.233</v>
      </c>
      <c r="AV31" s="26" t="n">
        <v>3.162</v>
      </c>
      <c r="AW31" s="26" t="n">
        <v>3.198</v>
      </c>
      <c r="AX31" s="26" t="n">
        <v>3.233</v>
      </c>
      <c r="AY31" s="26" t="n">
        <v>1.684</v>
      </c>
      <c r="FG31" s="35" t="n">
        <v>0</v>
      </c>
      <c r="FH31" s="16" t="n">
        <v>1449.19</v>
      </c>
      <c r="FI31" s="42" t="n">
        <v>1</v>
      </c>
      <c r="FJ31" t="inlineStr">
        <is>
          <t>2025-11-09</t>
        </is>
      </c>
      <c r="FK31" t="n">
        <v>1</v>
      </c>
      <c r="FM31" s="26" t="n">
        <v>51.653</v>
      </c>
      <c r="FN31" t="inlineStr">
        <is>
          <t>2029-11-17</t>
        </is>
      </c>
    </row>
    <row r="32">
      <c r="A32" t="inlineStr">
        <is>
          <t>20251126800540</t>
        </is>
      </c>
      <c r="B32" t="inlineStr">
        <is>
          <t>OTHER</t>
        </is>
      </c>
      <c r="D32" t="inlineStr">
        <is>
          <t>합동해안양륙군수지원(JLOTS)체계 상세설계 및 함건조</t>
        </is>
      </c>
      <c r="W32" s="26" t="n">
        <v>0.744</v>
      </c>
      <c r="X32" s="26" t="n">
        <v>6.697</v>
      </c>
      <c r="Y32" s="26" t="n">
        <v>6.772</v>
      </c>
      <c r="Z32" s="26" t="n">
        <v>6.846</v>
      </c>
      <c r="AA32" s="26" t="n">
        <v>6.846</v>
      </c>
      <c r="AB32" s="26" t="n">
        <v>6.772</v>
      </c>
      <c r="AC32" s="26" t="n">
        <v>6.772</v>
      </c>
      <c r="AD32" s="26" t="n">
        <v>6.846</v>
      </c>
      <c r="AE32" s="26" t="n">
        <v>6.846</v>
      </c>
      <c r="AF32" s="26" t="n">
        <v>6.697</v>
      </c>
      <c r="AG32" s="26" t="n">
        <v>6.772</v>
      </c>
      <c r="AH32" s="26" t="n">
        <v>6.846</v>
      </c>
      <c r="AI32" s="26" t="n">
        <v>6.846</v>
      </c>
      <c r="AJ32" s="26" t="n">
        <v>6.697</v>
      </c>
      <c r="AK32" s="26" t="n">
        <v>6.772</v>
      </c>
      <c r="AL32" s="26" t="n">
        <v>6.846</v>
      </c>
      <c r="AM32" s="26" t="n">
        <v>6.846</v>
      </c>
      <c r="AN32" s="26" t="n">
        <v>6.697</v>
      </c>
      <c r="AO32" s="26" t="n">
        <v>4.541</v>
      </c>
      <c r="FG32" s="35" t="n">
        <v>0</v>
      </c>
      <c r="FH32" s="16" t="n">
        <v>1360.12</v>
      </c>
      <c r="FI32" s="42" t="n">
        <v>1</v>
      </c>
      <c r="FJ32" t="inlineStr">
        <is>
          <t>2022-12-22</t>
        </is>
      </c>
      <c r="FK32" t="n">
        <v>1</v>
      </c>
      <c r="FM32" s="26" t="n">
        <v>120.701</v>
      </c>
      <c r="FN32" t="inlineStr">
        <is>
          <t>2027-05-31</t>
        </is>
      </c>
    </row>
    <row r="33">
      <c r="A33" t="inlineStr">
        <is>
          <t>20251127800440</t>
        </is>
      </c>
      <c r="B33" t="inlineStr">
        <is>
          <t>OTHER</t>
        </is>
      </c>
      <c r="D33" t="inlineStr">
        <is>
          <t>과천갈현A-1BL 및 의왕군포안산 A1-3BL 민간참여 공공주택건설사업</t>
        </is>
      </c>
      <c r="AI33" s="26" t="n">
        <v>1.427</v>
      </c>
      <c r="AJ33" s="26" t="n">
        <v>3.568</v>
      </c>
      <c r="AK33" s="26" t="n">
        <v>3.608</v>
      </c>
      <c r="AL33" s="26" t="n">
        <v>3.648</v>
      </c>
      <c r="AM33" s="26" t="n">
        <v>3.648</v>
      </c>
      <c r="AN33" s="26" t="n">
        <v>3.568</v>
      </c>
      <c r="AO33" s="26" t="n">
        <v>3.608</v>
      </c>
      <c r="AP33" s="26" t="n">
        <v>3.648</v>
      </c>
      <c r="AQ33" s="26" t="n">
        <v>3.648</v>
      </c>
      <c r="AR33" s="26" t="n">
        <v>3.608</v>
      </c>
      <c r="AS33" s="26" t="n">
        <v>3.608</v>
      </c>
      <c r="AT33" s="26" t="n">
        <v>3.648</v>
      </c>
      <c r="AU33" s="26" t="n">
        <v>3.648</v>
      </c>
      <c r="AV33" s="26" t="n">
        <v>3.568</v>
      </c>
      <c r="AW33" s="26" t="n">
        <v>3.608</v>
      </c>
      <c r="AX33" s="26" t="n">
        <v>3.648</v>
      </c>
      <c r="AY33" s="26" t="n">
        <v>3.648</v>
      </c>
      <c r="AZ33" s="26" t="n">
        <v>3.568</v>
      </c>
      <c r="BA33" s="26" t="n">
        <v>3.608</v>
      </c>
      <c r="BB33" s="26" t="n">
        <v>3.648</v>
      </c>
      <c r="BC33" s="26" t="n">
        <v>3.648</v>
      </c>
      <c r="BD33" s="26" t="n">
        <v>3.568</v>
      </c>
      <c r="BE33" s="26" t="n">
        <v>3.608</v>
      </c>
      <c r="BF33" s="26" t="n">
        <v>3.648</v>
      </c>
      <c r="BG33" s="26" t="n">
        <v>3.648</v>
      </c>
      <c r="BH33" s="26" t="n">
        <v>3.608</v>
      </c>
      <c r="BI33" s="26" t="n">
        <v>3.608</v>
      </c>
      <c r="BJ33" s="26" t="n">
        <v>3.648</v>
      </c>
      <c r="BK33" s="26" t="n">
        <v>3.648</v>
      </c>
      <c r="BL33" s="26" t="n">
        <v>3.568</v>
      </c>
      <c r="BM33" s="26" t="n">
        <v>3.608</v>
      </c>
      <c r="BN33" s="26" t="n">
        <v>3.648</v>
      </c>
      <c r="BO33" s="26" t="n">
        <v>3.648</v>
      </c>
      <c r="BP33" s="26" t="n">
        <v>3.568</v>
      </c>
      <c r="BQ33" s="26" t="n">
        <v>1.182</v>
      </c>
      <c r="FG33" s="35" t="n">
        <v>0</v>
      </c>
      <c r="FH33" s="16" t="n">
        <v>1449.19</v>
      </c>
      <c r="FI33" s="42" t="n">
        <v>1</v>
      </c>
      <c r="FJ33" t="inlineStr">
        <is>
          <t>2025-11-26</t>
        </is>
      </c>
      <c r="FK33" t="n">
        <v>1</v>
      </c>
      <c r="FM33" s="26" t="n">
        <v>122.033</v>
      </c>
      <c r="FN33" t="inlineStr">
        <is>
          <t>2034-04-30</t>
        </is>
      </c>
    </row>
    <row r="34">
      <c r="A34" t="inlineStr">
        <is>
          <t>20251127800601</t>
        </is>
      </c>
      <c r="B34" t="inlineStr">
        <is>
          <t>OTHER</t>
        </is>
      </c>
      <c r="D34" t="inlineStr">
        <is>
          <t>평택지역 전기공급시설 전력구공사(신평택-고덕#3) 1공구</t>
        </is>
      </c>
      <c r="AI34" s="26" t="n">
        <v>2.738</v>
      </c>
      <c r="AJ34" s="26" t="n">
        <v>7.04</v>
      </c>
      <c r="AK34" s="26" t="n">
        <v>7.119</v>
      </c>
      <c r="AL34" s="26" t="n">
        <v>7.197</v>
      </c>
      <c r="AM34" s="26" t="n">
        <v>7.197</v>
      </c>
      <c r="AN34" s="26" t="n">
        <v>7.04</v>
      </c>
      <c r="AO34" s="26" t="n">
        <v>7.119</v>
      </c>
      <c r="AP34" s="26" t="n">
        <v>7.197</v>
      </c>
      <c r="AQ34" s="26" t="n">
        <v>7.197</v>
      </c>
      <c r="AR34" s="26" t="n">
        <v>7.119</v>
      </c>
      <c r="AS34" s="26" t="n">
        <v>7.119</v>
      </c>
      <c r="AT34" s="26" t="n">
        <v>7.197</v>
      </c>
      <c r="AU34" s="26" t="n">
        <v>7.197</v>
      </c>
      <c r="AV34" s="26" t="n">
        <v>7.04</v>
      </c>
      <c r="AW34" s="26" t="n">
        <v>7.119</v>
      </c>
      <c r="AX34" s="26" t="n">
        <v>7.197</v>
      </c>
      <c r="AY34" s="26" t="n">
        <v>6.727</v>
      </c>
      <c r="FG34" s="35" t="n">
        <v>0</v>
      </c>
      <c r="FH34" s="16" t="n">
        <v>1449.19</v>
      </c>
      <c r="FI34" s="42" t="n">
        <v>1</v>
      </c>
      <c r="FJ34" t="inlineStr">
        <is>
          <t>2025-11-27</t>
        </is>
      </c>
      <c r="FK34" t="n">
        <v>1</v>
      </c>
      <c r="FM34" s="26" t="n">
        <v>116.559</v>
      </c>
      <c r="FN34" t="inlineStr">
        <is>
          <t>2029-12-25</t>
        </is>
      </c>
    </row>
    <row r="35">
      <c r="A35" t="inlineStr">
        <is>
          <t>20251205800202</t>
        </is>
      </c>
      <c r="B35" t="inlineStr">
        <is>
          <t>OTHER</t>
        </is>
      </c>
      <c r="D35" t="inlineStr">
        <is>
          <t>엄궁대교 건설공사</t>
        </is>
      </c>
      <c r="AE35" s="26" t="n">
        <v>0.497</v>
      </c>
      <c r="AF35" s="26" t="n">
        <v>3.197</v>
      </c>
      <c r="AG35" s="26" t="n">
        <v>3.233</v>
      </c>
      <c r="AH35" s="26" t="n">
        <v>3.268</v>
      </c>
      <c r="AI35" s="26" t="n">
        <v>3.268</v>
      </c>
      <c r="AJ35" s="26" t="n">
        <v>3.197</v>
      </c>
      <c r="AK35" s="26" t="n">
        <v>3.233</v>
      </c>
      <c r="AL35" s="26" t="n">
        <v>3.268</v>
      </c>
      <c r="AM35" s="26" t="n">
        <v>3.268</v>
      </c>
      <c r="AN35" s="26" t="n">
        <v>3.197</v>
      </c>
      <c r="AO35" s="26" t="n">
        <v>3.233</v>
      </c>
      <c r="AP35" s="26" t="n">
        <v>3.268</v>
      </c>
      <c r="AQ35" s="26" t="n">
        <v>3.268</v>
      </c>
      <c r="AR35" s="26" t="n">
        <v>3.233</v>
      </c>
      <c r="AS35" s="26" t="n">
        <v>3.233</v>
      </c>
      <c r="AT35" s="26" t="n">
        <v>3.268</v>
      </c>
      <c r="AU35" s="26" t="n">
        <v>3.268</v>
      </c>
      <c r="AV35" s="26" t="n">
        <v>3.197</v>
      </c>
      <c r="AW35" s="26" t="n">
        <v>3.233</v>
      </c>
      <c r="AX35" s="26" t="n">
        <v>3.268</v>
      </c>
      <c r="AY35" s="26" t="n">
        <v>3.268</v>
      </c>
      <c r="AZ35" s="26" t="n">
        <v>0.5669999999999999</v>
      </c>
      <c r="FG35" s="35" t="n">
        <v>0</v>
      </c>
      <c r="FH35" s="16" t="n">
        <v>1396.3</v>
      </c>
      <c r="FI35" s="42" t="n">
        <v>1</v>
      </c>
      <c r="FJ35" t="inlineStr">
        <is>
          <t>2024-12-18</t>
        </is>
      </c>
      <c r="FK35" t="n">
        <v>1</v>
      </c>
      <c r="FM35" s="26" t="n">
        <v>65.93000000000001</v>
      </c>
      <c r="FN35" t="inlineStr">
        <is>
          <t>2030-01-16</t>
        </is>
      </c>
    </row>
    <row r="36">
      <c r="A36" t="inlineStr">
        <is>
          <t>20251217800479</t>
        </is>
      </c>
      <c r="B36" t="inlineStr">
        <is>
          <t>NAVAL</t>
        </is>
      </c>
      <c r="D36" t="inlineStr">
        <is>
          <t>검독수리 Batch-II 후속함(13~16번함)</t>
        </is>
      </c>
      <c r="AI36" s="26" t="n">
        <v>2.286</v>
      </c>
      <c r="AJ36" s="26" t="n">
        <v>13.719</v>
      </c>
      <c r="AK36" s="26" t="n">
        <v>13.871</v>
      </c>
      <c r="AL36" s="26" t="n">
        <v>14.024</v>
      </c>
      <c r="AM36" s="26" t="n">
        <v>14.024</v>
      </c>
      <c r="AN36" s="26" t="n">
        <v>13.719</v>
      </c>
      <c r="AO36" s="26" t="n">
        <v>13.871</v>
      </c>
      <c r="AP36" s="26" t="n">
        <v>14.024</v>
      </c>
      <c r="AQ36" s="26" t="n">
        <v>14.024</v>
      </c>
      <c r="AR36" s="26" t="n">
        <v>13.871</v>
      </c>
      <c r="AS36" s="26" t="n">
        <v>13.871</v>
      </c>
      <c r="AT36" s="26" t="n">
        <v>14.024</v>
      </c>
      <c r="AU36" s="26" t="n">
        <v>14.024</v>
      </c>
      <c r="AV36" s="26" t="n">
        <v>13.719</v>
      </c>
      <c r="AW36" s="26" t="n">
        <v>13.871</v>
      </c>
      <c r="AX36" s="26" t="n">
        <v>14.024</v>
      </c>
      <c r="AY36" s="26" t="n">
        <v>4.724</v>
      </c>
      <c r="FG36" s="35" t="n">
        <v>1</v>
      </c>
      <c r="FH36" s="16" t="n">
        <v>1449.19</v>
      </c>
      <c r="FI36" s="42" t="n">
        <v>1</v>
      </c>
      <c r="FJ36" t="inlineStr">
        <is>
          <t>2025-12-17</t>
        </is>
      </c>
      <c r="FK36" t="n">
        <v>1</v>
      </c>
      <c r="FM36" s="26" t="n">
        <v>215.69</v>
      </c>
      <c r="FN36" t="inlineStr">
        <is>
          <t>2029-10-31</t>
        </is>
      </c>
    </row>
    <row r="37">
      <c r="A37" t="inlineStr">
        <is>
          <t>20251222800631</t>
        </is>
      </c>
      <c r="B37" t="inlineStr">
        <is>
          <t>OTHER</t>
        </is>
      </c>
      <c r="D37" t="inlineStr">
        <is>
          <t>고속국도 제292호선 오송지선 건설공사</t>
        </is>
      </c>
      <c r="K37" s="26" t="n">
        <v>0.268</v>
      </c>
      <c r="L37" s="26" t="n">
        <v>4.885</v>
      </c>
      <c r="M37" s="26" t="n">
        <v>4.885</v>
      </c>
      <c r="N37" s="26" t="n">
        <v>4.938</v>
      </c>
      <c r="O37" s="26" t="n">
        <v>4.938</v>
      </c>
      <c r="P37" s="26" t="n">
        <v>4.831</v>
      </c>
      <c r="Q37" s="26" t="n">
        <v>4.885</v>
      </c>
      <c r="R37" s="26" t="n">
        <v>4.938</v>
      </c>
      <c r="S37" s="26" t="n">
        <v>4.938</v>
      </c>
      <c r="T37" s="26" t="n">
        <v>4.831</v>
      </c>
      <c r="U37" s="26" t="n">
        <v>4.885</v>
      </c>
      <c r="V37" s="26" t="n">
        <v>4.938</v>
      </c>
      <c r="W37" s="26" t="n">
        <v>4.938</v>
      </c>
      <c r="X37" s="26" t="n">
        <v>4.831</v>
      </c>
      <c r="Y37" s="26" t="n">
        <v>4.885</v>
      </c>
      <c r="Z37" s="26" t="n">
        <v>4.938</v>
      </c>
      <c r="AA37" s="26" t="n">
        <v>4.938</v>
      </c>
      <c r="AB37" s="26" t="n">
        <v>4.885</v>
      </c>
      <c r="AC37" s="26" t="n">
        <v>4.885</v>
      </c>
      <c r="AD37" s="26" t="n">
        <v>4.938</v>
      </c>
      <c r="AE37" s="26" t="n">
        <v>4.938</v>
      </c>
      <c r="AF37" s="26" t="n">
        <v>4.831</v>
      </c>
      <c r="AG37" s="26" t="n">
        <v>4.885</v>
      </c>
      <c r="AH37" s="26" t="n">
        <v>4.938</v>
      </c>
      <c r="AI37" s="26" t="n">
        <v>4.938</v>
      </c>
      <c r="AJ37" s="26" t="n">
        <v>4.831</v>
      </c>
      <c r="AK37" s="26" t="n">
        <v>4.885</v>
      </c>
      <c r="AL37" s="26" t="n">
        <v>4.938</v>
      </c>
      <c r="AM37" s="26" t="n">
        <v>4.936</v>
      </c>
      <c r="FG37" s="35" t="n">
        <v>0</v>
      </c>
      <c r="FH37" s="16" t="n">
        <v>1176.23</v>
      </c>
      <c r="FI37" s="42" t="n">
        <v>1</v>
      </c>
      <c r="FJ37" t="inlineStr">
        <is>
          <t>2019-12-27</t>
        </is>
      </c>
      <c r="FK37" t="n">
        <v>1</v>
      </c>
      <c r="FM37" s="26" t="n">
        <v>137.518</v>
      </c>
      <c r="FN37" t="inlineStr">
        <is>
          <t>2026-12-31</t>
        </is>
      </c>
    </row>
    <row r="38">
      <c r="A38" t="inlineStr">
        <is>
          <t>20251224800003</t>
        </is>
      </c>
      <c r="B38" t="inlineStr">
        <is>
          <t>NAVAL</t>
        </is>
      </c>
      <c r="C38" t="n">
        <v>1</v>
      </c>
      <c r="D38" t="inlineStr">
        <is>
          <t>(선박) 다목적 화학방제함 1척 건조</t>
        </is>
      </c>
      <c r="AI38" s="26" t="n">
        <v>0.396</v>
      </c>
      <c r="AJ38" s="26" t="n">
        <v>3.956</v>
      </c>
      <c r="AK38" s="26" t="n">
        <v>4</v>
      </c>
      <c r="AL38" s="26" t="n">
        <v>4.044</v>
      </c>
      <c r="AM38" s="26" t="n">
        <v>4.044</v>
      </c>
      <c r="AN38" s="26" t="n">
        <v>3.956</v>
      </c>
      <c r="AO38" s="26" t="n">
        <v>4</v>
      </c>
      <c r="AP38" s="26" t="n">
        <v>4.044</v>
      </c>
      <c r="AQ38" s="26" t="n">
        <v>4.044</v>
      </c>
      <c r="AR38" s="26" t="n">
        <v>4</v>
      </c>
      <c r="AS38" s="26" t="n">
        <v>4</v>
      </c>
      <c r="AT38" s="26" t="n">
        <v>4.044</v>
      </c>
      <c r="AU38" s="26" t="n">
        <v>2.987</v>
      </c>
      <c r="FG38" s="35" t="n">
        <v>1</v>
      </c>
      <c r="FH38" s="16" t="n">
        <v>1449.19</v>
      </c>
      <c r="FI38" s="42" t="n">
        <v>1</v>
      </c>
      <c r="FJ38" t="inlineStr">
        <is>
          <t>2025-12-23</t>
        </is>
      </c>
      <c r="FK38" t="n">
        <v>1</v>
      </c>
      <c r="FL38" t="inlineStr">
        <is>
          <t>⑤초호황</t>
        </is>
      </c>
      <c r="FM38" s="26" t="n">
        <v>47.515</v>
      </c>
      <c r="FN38" t="inlineStr">
        <is>
          <t>2028-12-07</t>
        </is>
      </c>
    </row>
    <row r="39">
      <c r="A39" t="inlineStr">
        <is>
          <t>20251224800596</t>
        </is>
      </c>
      <c r="B39" t="inlineStr">
        <is>
          <t>OTHER</t>
        </is>
      </c>
      <c r="D39" t="inlineStr">
        <is>
          <t>고속국도 제50호 영동선 안산-북수원간 확장(개량)공사(제2공구)</t>
        </is>
      </c>
      <c r="Q39" s="26" t="n">
        <v>4.67</v>
      </c>
      <c r="R39" s="26" t="n">
        <v>6.929</v>
      </c>
      <c r="S39" s="26" t="n">
        <v>6.929</v>
      </c>
      <c r="T39" s="26" t="n">
        <v>6.779</v>
      </c>
      <c r="U39" s="26" t="n">
        <v>6.854</v>
      </c>
      <c r="V39" s="26" t="n">
        <v>6.929</v>
      </c>
      <c r="W39" s="26" t="n">
        <v>6.929</v>
      </c>
      <c r="X39" s="26" t="n">
        <v>6.779</v>
      </c>
      <c r="Y39" s="26" t="n">
        <v>6.854</v>
      </c>
      <c r="Z39" s="26" t="n">
        <v>6.929</v>
      </c>
      <c r="AA39" s="26" t="n">
        <v>6.929</v>
      </c>
      <c r="AB39" s="26" t="n">
        <v>6.854</v>
      </c>
      <c r="AC39" s="26" t="n">
        <v>6.854</v>
      </c>
      <c r="AD39" s="26" t="n">
        <v>6.929</v>
      </c>
      <c r="AE39" s="26" t="n">
        <v>6.929</v>
      </c>
      <c r="AF39" s="26" t="n">
        <v>6.779</v>
      </c>
      <c r="AG39" s="26" t="n">
        <v>6.854</v>
      </c>
      <c r="AH39" s="26" t="n">
        <v>6.929</v>
      </c>
      <c r="AI39" s="26" t="n">
        <v>6.929</v>
      </c>
      <c r="AJ39" s="26" t="n">
        <v>6.779</v>
      </c>
      <c r="AK39" s="26" t="n">
        <v>6.854</v>
      </c>
      <c r="AL39" s="26" t="n">
        <v>6.929</v>
      </c>
      <c r="AM39" s="26" t="n">
        <v>6.929</v>
      </c>
      <c r="AN39" s="26" t="n">
        <v>6.779</v>
      </c>
      <c r="AO39" s="26" t="n">
        <v>0.23</v>
      </c>
      <c r="FG39" s="35" t="n">
        <v>0</v>
      </c>
      <c r="FH39" s="16" t="n">
        <v>1114.99</v>
      </c>
      <c r="FI39" s="42" t="n">
        <v>1</v>
      </c>
      <c r="FJ39" t="inlineStr">
        <is>
          <t>2021-02-18</t>
        </is>
      </c>
      <c r="FK39" t="n">
        <v>1</v>
      </c>
      <c r="FM39" s="26" t="n">
        <v>163.067</v>
      </c>
      <c r="FN39" t="inlineStr">
        <is>
          <t>2027-04-03</t>
        </is>
      </c>
    </row>
    <row r="40">
      <c r="A40" t="inlineStr">
        <is>
          <t>20251231800507</t>
        </is>
      </c>
      <c r="B40" t="inlineStr">
        <is>
          <t>OTHER</t>
        </is>
      </c>
      <c r="D40" t="inlineStr">
        <is>
          <t>인천국제공항 제2여객터미널 확장 골조 및 마감공사(서편)</t>
        </is>
      </c>
      <c r="O40" s="26" t="n">
        <v>5.099</v>
      </c>
      <c r="P40" s="26" t="n">
        <v>15.823</v>
      </c>
      <c r="Q40" s="26" t="n">
        <v>15.999</v>
      </c>
      <c r="R40" s="26" t="n">
        <v>16.175</v>
      </c>
      <c r="S40" s="26" t="n">
        <v>16.175</v>
      </c>
      <c r="T40" s="26" t="n">
        <v>15.823</v>
      </c>
      <c r="U40" s="26" t="n">
        <v>15.999</v>
      </c>
      <c r="V40" s="26" t="n">
        <v>16.175</v>
      </c>
      <c r="W40" s="26" t="n">
        <v>16.175</v>
      </c>
      <c r="X40" s="26" t="n">
        <v>15.823</v>
      </c>
      <c r="Y40" s="26" t="n">
        <v>15.999</v>
      </c>
      <c r="Z40" s="26" t="n">
        <v>16.175</v>
      </c>
      <c r="AA40" s="26" t="n">
        <v>16.175</v>
      </c>
      <c r="AB40" s="26" t="n">
        <v>15.999</v>
      </c>
      <c r="AC40" s="26" t="n">
        <v>15.999</v>
      </c>
      <c r="AD40" s="26" t="n">
        <v>16.175</v>
      </c>
      <c r="AE40" s="26" t="n">
        <v>16.175</v>
      </c>
      <c r="AF40" s="26" t="n">
        <v>15.823</v>
      </c>
      <c r="AG40" s="26" t="n">
        <v>15.999</v>
      </c>
      <c r="AH40" s="26" t="n">
        <v>16.175</v>
      </c>
      <c r="AI40" s="26" t="n">
        <v>16.175</v>
      </c>
      <c r="AJ40" s="26" t="n">
        <v>15.824</v>
      </c>
      <c r="FG40" s="35" t="n">
        <v>0</v>
      </c>
      <c r="FH40" s="16" t="n">
        <v>1117.97</v>
      </c>
      <c r="FI40" s="42" t="n">
        <v>1</v>
      </c>
      <c r="FJ40" t="inlineStr">
        <is>
          <t>2020-12-03</t>
        </is>
      </c>
      <c r="FK40" t="n">
        <v>1</v>
      </c>
      <c r="FM40" s="26" t="n">
        <v>341.959</v>
      </c>
      <c r="FN40" t="inlineStr">
        <is>
          <t>2026-03-31</t>
        </is>
      </c>
    </row>
    <row r="41">
      <c r="A41" t="inlineStr">
        <is>
          <t>20251231800547</t>
        </is>
      </c>
      <c r="B41" t="inlineStr">
        <is>
          <t>OTHER</t>
        </is>
      </c>
      <c r="D41" t="inlineStr">
        <is>
          <t>킨텍스 제3전시장 건립공사</t>
        </is>
      </c>
      <c r="AF41" s="26" t="n">
        <v>0.868</v>
      </c>
      <c r="AG41" s="26" t="n">
        <v>2.725</v>
      </c>
      <c r="AH41" s="26" t="n">
        <v>2.755</v>
      </c>
      <c r="AI41" s="26" t="n">
        <v>2.755</v>
      </c>
      <c r="AJ41" s="26" t="n">
        <v>2.695</v>
      </c>
      <c r="AK41" s="26" t="n">
        <v>2.725</v>
      </c>
      <c r="AL41" s="26" t="n">
        <v>2.755</v>
      </c>
      <c r="AM41" s="26" t="n">
        <v>2.755</v>
      </c>
      <c r="AN41" s="26" t="n">
        <v>2.695</v>
      </c>
      <c r="AO41" s="26" t="n">
        <v>2.725</v>
      </c>
      <c r="AP41" s="26" t="n">
        <v>2.755</v>
      </c>
      <c r="AQ41" s="26" t="n">
        <v>2.755</v>
      </c>
      <c r="AR41" s="26" t="n">
        <v>2.725</v>
      </c>
      <c r="AS41" s="26" t="n">
        <v>2.725</v>
      </c>
      <c r="AT41" s="26" t="n">
        <v>2.181</v>
      </c>
      <c r="FG41" s="35" t="n">
        <v>0</v>
      </c>
      <c r="FH41" s="16" t="n">
        <v>1449.19</v>
      </c>
      <c r="FI41" s="42" t="n">
        <v>1</v>
      </c>
      <c r="FJ41" t="inlineStr">
        <is>
          <t>2025-12-31</t>
        </is>
      </c>
      <c r="FK41" t="n">
        <v>1</v>
      </c>
      <c r="FM41" s="26" t="n">
        <v>38.594</v>
      </c>
      <c r="FN41" t="inlineStr">
        <is>
          <t>2028-09-11</t>
        </is>
      </c>
    </row>
    <row r="42">
      <c r="A42" t="inlineStr">
        <is>
          <t>20260107800221</t>
        </is>
      </c>
      <c r="B42" t="inlineStr">
        <is>
          <t>OTHER</t>
        </is>
      </c>
      <c r="D42" t="inlineStr">
        <is>
          <t>대전 삼성6구역 재개발정비사업 공사</t>
        </is>
      </c>
      <c r="AJ42" s="26" t="n">
        <v>4.12</v>
      </c>
      <c r="AK42" s="26" t="n">
        <v>4.463</v>
      </c>
      <c r="AL42" s="26" t="n">
        <v>4.512</v>
      </c>
      <c r="AM42" s="26" t="n">
        <v>4.512</v>
      </c>
      <c r="AN42" s="26" t="n">
        <v>4.414</v>
      </c>
      <c r="AO42" s="26" t="n">
        <v>4.463</v>
      </c>
      <c r="AP42" s="26" t="n">
        <v>4.512</v>
      </c>
      <c r="AQ42" s="26" t="n">
        <v>4.512</v>
      </c>
      <c r="AR42" s="26" t="n">
        <v>4.463</v>
      </c>
      <c r="AS42" s="26" t="n">
        <v>4.463</v>
      </c>
      <c r="AT42" s="26" t="n">
        <v>4.512</v>
      </c>
      <c r="AU42" s="26" t="n">
        <v>4.512</v>
      </c>
      <c r="AV42" s="26" t="n">
        <v>4.414</v>
      </c>
      <c r="AW42" s="26" t="n">
        <v>4.463</v>
      </c>
      <c r="AX42" s="26" t="n">
        <v>4.512</v>
      </c>
      <c r="AY42" s="26" t="n">
        <v>4.512</v>
      </c>
      <c r="AZ42" s="26" t="n">
        <v>4.414</v>
      </c>
      <c r="BA42" s="26" t="n">
        <v>4.463</v>
      </c>
      <c r="BB42" s="26" t="n">
        <v>0.099</v>
      </c>
      <c r="FG42" s="35" t="n">
        <v>0</v>
      </c>
      <c r="FH42" s="16" t="n">
        <v>1466.12</v>
      </c>
      <c r="FI42" s="42" t="n">
        <v>1</v>
      </c>
      <c r="FJ42" t="inlineStr">
        <is>
          <t>2026-01-07</t>
        </is>
      </c>
      <c r="FK42" t="n">
        <v>1</v>
      </c>
      <c r="FM42" s="26" t="n">
        <v>80.33499999999999</v>
      </c>
      <c r="FN42" t="inlineStr">
        <is>
          <t>2030-07-02</t>
        </is>
      </c>
    </row>
    <row r="43">
      <c r="A43" t="inlineStr">
        <is>
          <t>20260116800164</t>
        </is>
      </c>
      <c r="B43" t="inlineStr">
        <is>
          <t>OTHER</t>
        </is>
      </c>
      <c r="D43" t="inlineStr">
        <is>
          <t>여수 천연가스발전소 건설공사</t>
        </is>
      </c>
      <c r="AJ43" s="26" t="n">
        <v>7.9</v>
      </c>
      <c r="AK43" s="26" t="n">
        <v>9.586</v>
      </c>
      <c r="AL43" s="26" t="n">
        <v>9.691000000000001</v>
      </c>
      <c r="AM43" s="26" t="n">
        <v>9.691000000000001</v>
      </c>
      <c r="AN43" s="26" t="n">
        <v>9.481</v>
      </c>
      <c r="AO43" s="26" t="n">
        <v>9.586</v>
      </c>
      <c r="AP43" s="26" t="n">
        <v>9.691000000000001</v>
      </c>
      <c r="AQ43" s="26" t="n">
        <v>9.691000000000001</v>
      </c>
      <c r="AR43" s="26" t="n">
        <v>9.586</v>
      </c>
      <c r="AS43" s="26" t="n">
        <v>9.586</v>
      </c>
      <c r="AT43" s="26" t="n">
        <v>9.691000000000001</v>
      </c>
      <c r="AU43" s="26" t="n">
        <v>9.691000000000001</v>
      </c>
      <c r="AV43" s="26" t="n">
        <v>9.481</v>
      </c>
      <c r="AW43" s="26" t="n">
        <v>3.055</v>
      </c>
      <c r="FG43" s="35" t="n">
        <v>0</v>
      </c>
      <c r="FH43" s="16" t="n">
        <v>1466.12</v>
      </c>
      <c r="FI43" s="42" t="n">
        <v>1</v>
      </c>
      <c r="FJ43" t="inlineStr">
        <is>
          <t>2026-01-16</t>
        </is>
      </c>
      <c r="FK43" t="n">
        <v>1</v>
      </c>
      <c r="FM43" s="26" t="n">
        <v>126.407</v>
      </c>
      <c r="FN43" t="inlineStr">
        <is>
          <t>2029-04-29</t>
        </is>
      </c>
    </row>
    <row r="44">
      <c r="A44" t="inlineStr">
        <is>
          <t>20260120800250</t>
        </is>
      </c>
      <c r="B44" t="inlineStr">
        <is>
          <t>OTHER</t>
        </is>
      </c>
      <c r="D44" t="inlineStr">
        <is>
          <t>포항 대잠동 행복아파트2단지 소규모재건축사업 공사</t>
        </is>
      </c>
      <c r="X44" s="26" t="n">
        <v>1.005</v>
      </c>
      <c r="Y44" s="26" t="n">
        <v>3.657</v>
      </c>
      <c r="Z44" s="26" t="n">
        <v>3.698</v>
      </c>
      <c r="AA44" s="26" t="n">
        <v>3.698</v>
      </c>
      <c r="AB44" s="26" t="n">
        <v>3.658</v>
      </c>
      <c r="AC44" s="26" t="n">
        <v>3.657</v>
      </c>
      <c r="AD44" s="26" t="n">
        <v>3.698</v>
      </c>
      <c r="AE44" s="26" t="n">
        <v>3.698</v>
      </c>
      <c r="AF44" s="26" t="n">
        <v>3.617</v>
      </c>
      <c r="AG44" s="26" t="n">
        <v>3.658</v>
      </c>
      <c r="AH44" s="26" t="n">
        <v>3.698</v>
      </c>
      <c r="AI44" s="26" t="n">
        <v>3.698</v>
      </c>
      <c r="AJ44" s="26" t="n">
        <v>3.617</v>
      </c>
      <c r="AK44" s="26" t="n">
        <v>3.658</v>
      </c>
      <c r="AL44" s="26" t="n">
        <v>3.698</v>
      </c>
      <c r="AM44" s="26" t="n">
        <v>3.698</v>
      </c>
      <c r="AN44" s="26" t="n">
        <v>3.617</v>
      </c>
      <c r="AO44" s="26" t="n">
        <v>3.658</v>
      </c>
      <c r="AP44" s="26" t="n">
        <v>2.449</v>
      </c>
      <c r="FG44" s="35" t="n">
        <v>0</v>
      </c>
      <c r="FH44" s="16" t="n">
        <v>1276.95</v>
      </c>
      <c r="FI44" s="42" t="n">
        <v>1</v>
      </c>
      <c r="FJ44" t="inlineStr">
        <is>
          <t>2023-03-07</t>
        </is>
      </c>
      <c r="FK44" t="n">
        <v>1</v>
      </c>
      <c r="FM44" s="26" t="n">
        <v>65.83499999999999</v>
      </c>
      <c r="FN44" t="inlineStr">
        <is>
          <t>2027-08-30</t>
        </is>
      </c>
    </row>
    <row r="45">
      <c r="A45" t="inlineStr">
        <is>
          <t>20260211800125</t>
        </is>
      </c>
      <c r="B45" t="inlineStr">
        <is>
          <t>CONT</t>
        </is>
      </c>
      <c r="C45" t="n">
        <v>2</v>
      </c>
      <c r="D45" t="inlineStr">
        <is>
          <t>컨테이너선 2척 수주</t>
        </is>
      </c>
      <c r="AJ45" s="26" t="n">
        <v>13.816</v>
      </c>
      <c r="AK45" s="26" t="n">
        <v>25.145</v>
      </c>
      <c r="AL45" s="26" t="n">
        <v>25.422</v>
      </c>
      <c r="AM45" s="26" t="n">
        <v>25.422</v>
      </c>
      <c r="AN45" s="26" t="n">
        <v>24.869</v>
      </c>
      <c r="AO45" s="26" t="n">
        <v>25.145</v>
      </c>
      <c r="AP45" s="26" t="n">
        <v>25.422</v>
      </c>
      <c r="AQ45" s="26" t="n">
        <v>25.422</v>
      </c>
      <c r="AR45" s="26" t="n">
        <v>25.145</v>
      </c>
      <c r="AS45" s="26" t="n">
        <v>25.145</v>
      </c>
      <c r="FG45" s="35" t="n">
        <v>1</v>
      </c>
      <c r="FH45" s="16" t="n">
        <v>1466.12</v>
      </c>
      <c r="FI45" s="42" t="n">
        <v>1</v>
      </c>
      <c r="FJ45" t="inlineStr">
        <is>
          <t>2026-02-10</t>
        </is>
      </c>
      <c r="FK45" t="n">
        <v>1</v>
      </c>
      <c r="FL45" t="inlineStr">
        <is>
          <t>⑤초호황</t>
        </is>
      </c>
      <c r="FM45" s="26" t="n">
        <v>240.953</v>
      </c>
      <c r="FN45" t="inlineStr">
        <is>
          <t>2028-06-30</t>
        </is>
      </c>
    </row>
    <row r="46">
      <c r="A46" t="inlineStr">
        <is>
          <t>20260227801603</t>
        </is>
      </c>
      <c r="B46" t="inlineStr">
        <is>
          <t>OTHER</t>
        </is>
      </c>
      <c r="D46" t="inlineStr">
        <is>
          <t>수도권광역급행철도A노선 민간투자시설사업 건설공사</t>
        </is>
      </c>
      <c r="H46" s="26" t="n">
        <v>0.7</v>
      </c>
      <c r="I46" s="26" t="n">
        <v>5.312</v>
      </c>
      <c r="J46" s="26" t="n">
        <v>5.37</v>
      </c>
      <c r="K46" s="26" t="n">
        <v>5.37</v>
      </c>
      <c r="L46" s="26" t="n">
        <v>5.312</v>
      </c>
      <c r="M46" s="26" t="n">
        <v>5.312</v>
      </c>
      <c r="N46" s="26" t="n">
        <v>5.37</v>
      </c>
      <c r="O46" s="26" t="n">
        <v>5.37</v>
      </c>
      <c r="P46" s="26" t="n">
        <v>5.253</v>
      </c>
      <c r="Q46" s="26" t="n">
        <v>5.312</v>
      </c>
      <c r="R46" s="26" t="n">
        <v>5.37</v>
      </c>
      <c r="S46" s="26" t="n">
        <v>5.37</v>
      </c>
      <c r="T46" s="26" t="n">
        <v>5.253</v>
      </c>
      <c r="U46" s="26" t="n">
        <v>5.312</v>
      </c>
      <c r="V46" s="26" t="n">
        <v>5.37</v>
      </c>
      <c r="W46" s="26" t="n">
        <v>5.37</v>
      </c>
      <c r="X46" s="26" t="n">
        <v>5.253</v>
      </c>
      <c r="Y46" s="26" t="n">
        <v>5.312</v>
      </c>
      <c r="Z46" s="26" t="n">
        <v>5.37</v>
      </c>
      <c r="AA46" s="26" t="n">
        <v>5.37</v>
      </c>
      <c r="AB46" s="26" t="n">
        <v>5.312</v>
      </c>
      <c r="AC46" s="26" t="n">
        <v>5.312</v>
      </c>
      <c r="AD46" s="26" t="n">
        <v>5.37</v>
      </c>
      <c r="AE46" s="26" t="n">
        <v>5.37</v>
      </c>
      <c r="AF46" s="26" t="n">
        <v>5.253</v>
      </c>
      <c r="AG46" s="26" t="n">
        <v>5.312</v>
      </c>
      <c r="AH46" s="26" t="n">
        <v>5.37</v>
      </c>
      <c r="AI46" s="26" t="n">
        <v>5.37</v>
      </c>
      <c r="AJ46" s="26" t="n">
        <v>5.253</v>
      </c>
      <c r="AK46" s="26" t="n">
        <v>5.312</v>
      </c>
      <c r="AL46" s="26" t="n">
        <v>5.37</v>
      </c>
      <c r="AM46" s="26" t="n">
        <v>5.37</v>
      </c>
      <c r="AN46" s="26" t="n">
        <v>5.253</v>
      </c>
      <c r="AO46" s="26" t="n">
        <v>5.312</v>
      </c>
      <c r="AP46" s="26" t="n">
        <v>5.37</v>
      </c>
      <c r="AQ46" s="26" t="n">
        <v>5.37</v>
      </c>
      <c r="AR46" s="26" t="n">
        <v>5.312</v>
      </c>
      <c r="AS46" s="26" t="n">
        <v>1.749</v>
      </c>
      <c r="FG46" s="35" t="n">
        <v>0</v>
      </c>
      <c r="FH46" s="16" t="n">
        <v>1125.78</v>
      </c>
      <c r="FI46" s="42" t="n">
        <v>1</v>
      </c>
      <c r="FJ46" t="inlineStr">
        <is>
          <t>2019-03-20</t>
        </is>
      </c>
      <c r="FK46" t="n">
        <v>1</v>
      </c>
      <c r="FM46" s="26" t="n">
        <v>194.371</v>
      </c>
      <c r="FN46" t="inlineStr">
        <is>
          <t>2028-04-30</t>
        </is>
      </c>
    </row>
    <row r="47">
      <c r="A47" t="inlineStr">
        <is>
          <t>20260227801809</t>
        </is>
      </c>
      <c r="B47" t="inlineStr">
        <is>
          <t>OTHER</t>
        </is>
      </c>
      <c r="D47" t="inlineStr">
        <is>
          <t>광교 A17블록 및 교산 A1블록 민간참여 공공주택건설사업</t>
        </is>
      </c>
      <c r="AJ47" s="26" t="n">
        <v>0.216</v>
      </c>
      <c r="AK47" s="26" t="n">
        <v>0.596</v>
      </c>
      <c r="AL47" s="26" t="n">
        <v>0.602</v>
      </c>
      <c r="AM47" s="26" t="n">
        <v>0.602</v>
      </c>
      <c r="AN47" s="26" t="n">
        <v>0.589</v>
      </c>
      <c r="AO47" s="26" t="n">
        <v>0.596</v>
      </c>
      <c r="AP47" s="26" t="n">
        <v>0.602</v>
      </c>
      <c r="AQ47" s="26" t="n">
        <v>0.602</v>
      </c>
      <c r="AR47" s="26" t="n">
        <v>0.596</v>
      </c>
      <c r="AS47" s="26" t="n">
        <v>0.596</v>
      </c>
      <c r="AT47" s="26" t="n">
        <v>0.602</v>
      </c>
      <c r="AU47" s="26" t="n">
        <v>0.602</v>
      </c>
      <c r="AV47" s="26" t="n">
        <v>0.589</v>
      </c>
      <c r="AW47" s="26" t="n">
        <v>0.596</v>
      </c>
      <c r="AX47" s="26" t="n">
        <v>0.602</v>
      </c>
      <c r="AY47" s="26" t="n">
        <v>0.602</v>
      </c>
      <c r="AZ47" s="26" t="n">
        <v>0.589</v>
      </c>
      <c r="BA47" s="26" t="n">
        <v>0.596</v>
      </c>
      <c r="BB47" s="26" t="n">
        <v>0.602</v>
      </c>
      <c r="BC47" s="26" t="n">
        <v>0.602</v>
      </c>
      <c r="BD47" s="26" t="n">
        <v>0.589</v>
      </c>
      <c r="BE47" s="26" t="n">
        <v>0.596</v>
      </c>
      <c r="BF47" s="26" t="n">
        <v>0.602</v>
      </c>
      <c r="BG47" s="26" t="n">
        <v>0.602</v>
      </c>
      <c r="BH47" s="26" t="n">
        <v>0.596</v>
      </c>
      <c r="BI47" s="26" t="n">
        <v>0.596</v>
      </c>
      <c r="BJ47" s="26" t="n">
        <v>0.602</v>
      </c>
      <c r="BK47" s="26" t="n">
        <v>0.602</v>
      </c>
      <c r="BL47" s="26" t="n">
        <v>0.589</v>
      </c>
      <c r="BM47" s="26" t="n">
        <v>0.596</v>
      </c>
      <c r="BN47" s="26" t="n">
        <v>0.602</v>
      </c>
      <c r="BO47" s="26" t="n">
        <v>0.602</v>
      </c>
      <c r="BP47" s="26" t="n">
        <v>0.589</v>
      </c>
      <c r="BQ47" s="26" t="n">
        <v>0.596</v>
      </c>
      <c r="BR47" s="26" t="n">
        <v>0.602</v>
      </c>
      <c r="BS47" s="26" t="n">
        <v>0.602</v>
      </c>
      <c r="BT47" s="26" t="n">
        <v>0.589</v>
      </c>
      <c r="BU47" s="26" t="n">
        <v>0.596</v>
      </c>
      <c r="BV47" s="26" t="n">
        <v>0.602</v>
      </c>
      <c r="BW47" s="26" t="n">
        <v>0.602</v>
      </c>
      <c r="BX47" s="26" t="n">
        <v>0.596</v>
      </c>
      <c r="BY47" s="26" t="n">
        <v>0.596</v>
      </c>
      <c r="BZ47" s="26" t="n">
        <v>0.602</v>
      </c>
      <c r="CA47" s="26" t="n">
        <v>0.602</v>
      </c>
      <c r="CB47" s="26" t="n">
        <v>0.589</v>
      </c>
      <c r="CC47" s="26" t="n">
        <v>0.596</v>
      </c>
      <c r="CD47" s="26" t="n">
        <v>0.602</v>
      </c>
      <c r="CE47" s="26" t="n">
        <v>0.602</v>
      </c>
      <c r="CF47" s="26" t="n">
        <v>0.589</v>
      </c>
      <c r="CG47" s="26" t="n">
        <v>0.596</v>
      </c>
      <c r="CH47" s="26" t="n">
        <v>0.602</v>
      </c>
      <c r="CI47" s="26" t="n">
        <v>0.602</v>
      </c>
      <c r="CJ47" s="26" t="n">
        <v>0.589</v>
      </c>
      <c r="CK47" s="26" t="n">
        <v>0.596</v>
      </c>
      <c r="CL47" s="26" t="n">
        <v>0.602</v>
      </c>
      <c r="CM47" s="26" t="n">
        <v>0.602</v>
      </c>
      <c r="CN47" s="26" t="n">
        <v>0.596</v>
      </c>
      <c r="CO47" s="26" t="n">
        <v>0.596</v>
      </c>
      <c r="CP47" s="26" t="n">
        <v>0.602</v>
      </c>
      <c r="CQ47" s="26" t="n">
        <v>0.602</v>
      </c>
      <c r="CR47" s="26" t="n">
        <v>0.589</v>
      </c>
      <c r="CS47" s="26" t="n">
        <v>0.596</v>
      </c>
      <c r="CT47" s="26" t="n">
        <v>0.602</v>
      </c>
      <c r="CU47" s="26" t="n">
        <v>0.602</v>
      </c>
      <c r="CV47" s="26" t="n">
        <v>0.589</v>
      </c>
      <c r="CW47" s="26" t="n">
        <v>0.596</v>
      </c>
      <c r="CX47" s="26" t="n">
        <v>0.602</v>
      </c>
      <c r="CY47" s="26" t="n">
        <v>0.602</v>
      </c>
      <c r="CZ47" s="26" t="n">
        <v>0.589</v>
      </c>
      <c r="DA47" s="26" t="n">
        <v>0.596</v>
      </c>
      <c r="DB47" s="26" t="n">
        <v>0.602</v>
      </c>
      <c r="DC47" s="26" t="n">
        <v>0.602</v>
      </c>
      <c r="DD47" s="26" t="n">
        <v>0.596</v>
      </c>
      <c r="DE47" s="26" t="n">
        <v>0.596</v>
      </c>
      <c r="DF47" s="26" t="n">
        <v>0.602</v>
      </c>
      <c r="DG47" s="26" t="n">
        <v>0.602</v>
      </c>
      <c r="DH47" s="26" t="n">
        <v>0.589</v>
      </c>
      <c r="DI47" s="26" t="n">
        <v>0.596</v>
      </c>
      <c r="DJ47" s="26" t="n">
        <v>0.602</v>
      </c>
      <c r="DK47" s="26" t="n">
        <v>0.602</v>
      </c>
      <c r="DL47" s="26" t="n">
        <v>0.589</v>
      </c>
      <c r="DM47" s="26" t="n">
        <v>0.596</v>
      </c>
      <c r="DN47" s="26" t="n">
        <v>0.602</v>
      </c>
      <c r="DO47" s="26" t="n">
        <v>0.602</v>
      </c>
      <c r="DP47" s="26" t="n">
        <v>0.589</v>
      </c>
      <c r="DQ47" s="26" t="n">
        <v>0.596</v>
      </c>
      <c r="DR47" s="26" t="n">
        <v>0.602</v>
      </c>
      <c r="DS47" s="26" t="n">
        <v>0.602</v>
      </c>
      <c r="DT47" s="26" t="n">
        <v>0.596</v>
      </c>
      <c r="DU47" s="26" t="n">
        <v>0.596</v>
      </c>
      <c r="DV47" s="26" t="n">
        <v>0.602</v>
      </c>
      <c r="DW47" s="26" t="n">
        <v>0.602</v>
      </c>
      <c r="DX47" s="26" t="n">
        <v>0.589</v>
      </c>
      <c r="DY47" s="26" t="n">
        <v>0.425</v>
      </c>
      <c r="FG47" s="35" t="n">
        <v>0</v>
      </c>
      <c r="FH47" s="16" t="n">
        <v>1466.12</v>
      </c>
      <c r="FI47" s="42" t="n">
        <v>1</v>
      </c>
      <c r="FJ47" t="inlineStr">
        <is>
          <t>2026-02-27</t>
        </is>
      </c>
      <c r="FK47" t="n">
        <v>1</v>
      </c>
      <c r="FM47" s="26" t="n">
        <v>55.63</v>
      </c>
      <c r="FN47" t="inlineStr">
        <is>
          <t>2049-05-31</t>
        </is>
      </c>
    </row>
    <row r="48">
      <c r="A48" t="inlineStr">
        <is>
          <t>20260304800353</t>
        </is>
      </c>
      <c r="B48" t="inlineStr">
        <is>
          <t>OTHER</t>
        </is>
      </c>
      <c r="D48" t="inlineStr">
        <is>
          <t>필리핀 따굼 홍수조절사업</t>
        </is>
      </c>
      <c r="AJ48" s="26" t="n">
        <v>1.522</v>
      </c>
      <c r="AK48" s="26" t="n">
        <v>3.957</v>
      </c>
      <c r="AL48" s="26" t="n">
        <v>4</v>
      </c>
      <c r="AM48" s="26" t="n">
        <v>4</v>
      </c>
      <c r="AN48" s="26" t="n">
        <v>3.913</v>
      </c>
      <c r="AO48" s="26" t="n">
        <v>3.957</v>
      </c>
      <c r="AP48" s="26" t="n">
        <v>4</v>
      </c>
      <c r="AQ48" s="26" t="n">
        <v>4</v>
      </c>
      <c r="AR48" s="26" t="n">
        <v>3.957</v>
      </c>
      <c r="AS48" s="26" t="n">
        <v>3.957</v>
      </c>
      <c r="AT48" s="26" t="n">
        <v>4</v>
      </c>
      <c r="AU48" s="26" t="n">
        <v>4</v>
      </c>
      <c r="AV48" s="26" t="n">
        <v>3.913</v>
      </c>
      <c r="AW48" s="26" t="n">
        <v>3.957</v>
      </c>
      <c r="AX48" s="26" t="n">
        <v>4</v>
      </c>
      <c r="AY48" s="26" t="n">
        <v>4</v>
      </c>
      <c r="AZ48" s="26" t="n">
        <v>1.783</v>
      </c>
      <c r="FG48" s="35" t="n">
        <v>0</v>
      </c>
      <c r="FH48" s="16" t="n">
        <v>1466.12</v>
      </c>
      <c r="FI48" s="42" t="n">
        <v>1</v>
      </c>
      <c r="FJ48" t="inlineStr">
        <is>
          <t>2026-02-25</t>
        </is>
      </c>
      <c r="FK48" t="n">
        <v>1</v>
      </c>
      <c r="FM48" s="26" t="n">
        <v>62.916</v>
      </c>
      <c r="FN48" t="inlineStr">
        <is>
          <t>2030-02-10</t>
        </is>
      </c>
    </row>
    <row r="49">
      <c r="A49" t="inlineStr">
        <is>
          <t>20260306800575</t>
        </is>
      </c>
      <c r="B49" t="inlineStr">
        <is>
          <t>OTHER</t>
        </is>
      </c>
      <c r="D49" t="inlineStr">
        <is>
          <t>서울 번동 3-2구역 가로주택정비사업 공사</t>
        </is>
      </c>
      <c r="AJ49" s="26" t="n">
        <v>0.917</v>
      </c>
      <c r="AK49" s="26" t="n">
        <v>3.209</v>
      </c>
      <c r="AL49" s="26" t="n">
        <v>3.244</v>
      </c>
      <c r="AM49" s="26" t="n">
        <v>3.244</v>
      </c>
      <c r="AN49" s="26" t="n">
        <v>3.174</v>
      </c>
      <c r="AO49" s="26" t="n">
        <v>3.209</v>
      </c>
      <c r="AP49" s="26" t="n">
        <v>3.244</v>
      </c>
      <c r="AQ49" s="26" t="n">
        <v>3.244</v>
      </c>
      <c r="AR49" s="26" t="n">
        <v>3.209</v>
      </c>
      <c r="AS49" s="26" t="n">
        <v>3.209</v>
      </c>
      <c r="AT49" s="26" t="n">
        <v>3.244</v>
      </c>
      <c r="AU49" s="26" t="n">
        <v>3.244</v>
      </c>
      <c r="AV49" s="26" t="n">
        <v>3.174</v>
      </c>
      <c r="AW49" s="26" t="n">
        <v>3.209</v>
      </c>
      <c r="AX49" s="26" t="n">
        <v>3.244</v>
      </c>
      <c r="AY49" s="26" t="n">
        <v>3.244</v>
      </c>
      <c r="AZ49" s="26" t="n">
        <v>3.174</v>
      </c>
      <c r="BA49" s="26" t="n">
        <v>3.209</v>
      </c>
      <c r="BB49" s="26" t="n">
        <v>2.113</v>
      </c>
      <c r="FG49" s="35" t="n">
        <v>0</v>
      </c>
      <c r="FH49" s="16" t="n">
        <v>1466.12</v>
      </c>
      <c r="FI49" s="42" t="n">
        <v>1</v>
      </c>
      <c r="FJ49" t="inlineStr">
        <is>
          <t>2026-03-06</t>
        </is>
      </c>
      <c r="FK49" t="n">
        <v>1</v>
      </c>
      <c r="FM49" s="26" t="n">
        <v>57.758</v>
      </c>
      <c r="FN49" t="inlineStr">
        <is>
          <t>2030-08-29</t>
        </is>
      </c>
    </row>
    <row r="50">
      <c r="A50" t="inlineStr">
        <is>
          <t>20260313800208</t>
        </is>
      </c>
      <c r="B50" t="inlineStr">
        <is>
          <t>OTHER</t>
        </is>
      </c>
      <c r="D50" t="inlineStr">
        <is>
          <t>24-F-00부대 유도로 신설 및 활주로 재포장사업(4146)</t>
        </is>
      </c>
      <c r="AG50" s="26" t="n">
        <v>3.204</v>
      </c>
      <c r="AH50" s="26" t="n">
        <v>4.754</v>
      </c>
      <c r="AI50" s="26" t="n">
        <v>4.754</v>
      </c>
      <c r="AJ50" s="26" t="n">
        <v>4.65</v>
      </c>
      <c r="AK50" s="26" t="n">
        <v>4.702</v>
      </c>
      <c r="AL50" s="26" t="n">
        <v>4.754</v>
      </c>
      <c r="AM50" s="26" t="n">
        <v>4.754</v>
      </c>
      <c r="AN50" s="26" t="n">
        <v>4.65</v>
      </c>
      <c r="AO50" s="26" t="n">
        <v>4.702</v>
      </c>
      <c r="AP50" s="26" t="n">
        <v>4.754</v>
      </c>
      <c r="AQ50" s="26" t="n">
        <v>4.754</v>
      </c>
      <c r="AR50" s="26" t="n">
        <v>4.702</v>
      </c>
      <c r="AS50" s="26" t="n">
        <v>4.702</v>
      </c>
      <c r="AT50" s="26" t="n">
        <v>1.136</v>
      </c>
      <c r="FG50" s="35" t="n">
        <v>0</v>
      </c>
      <c r="FH50" s="16" t="n">
        <v>1466.12</v>
      </c>
      <c r="FI50" s="42" t="n">
        <v>1</v>
      </c>
      <c r="FJ50" t="inlineStr">
        <is>
          <t>2026-03-13</t>
        </is>
      </c>
      <c r="FK50" t="n">
        <v>1</v>
      </c>
      <c r="FM50" s="26" t="n">
        <v>60.972</v>
      </c>
      <c r="FN50" t="inlineStr">
        <is>
          <t>2028-07-22</t>
        </is>
      </c>
    </row>
    <row r="51">
      <c r="A51" t="inlineStr">
        <is>
          <t>20260401800508</t>
        </is>
      </c>
      <c r="B51" t="inlineStr">
        <is>
          <t>OTHER</t>
        </is>
      </c>
      <c r="D51" t="inlineStr">
        <is>
          <t>서대신4구역 주택재개발 정비사업</t>
        </is>
      </c>
      <c r="O51" s="26" t="n">
        <v>6.329</v>
      </c>
      <c r="P51" s="26" t="n">
        <v>8.901</v>
      </c>
      <c r="Q51" s="26" t="n">
        <v>9</v>
      </c>
      <c r="R51" s="26" t="n">
        <v>9.099</v>
      </c>
      <c r="S51" s="26" t="n">
        <v>9.099</v>
      </c>
      <c r="T51" s="26" t="n">
        <v>8.901</v>
      </c>
      <c r="U51" s="26" t="n">
        <v>9</v>
      </c>
      <c r="V51" s="26" t="n">
        <v>9.099</v>
      </c>
      <c r="W51" s="26" t="n">
        <v>9.099</v>
      </c>
      <c r="X51" s="26" t="n">
        <v>8.901</v>
      </c>
      <c r="Y51" s="26" t="n">
        <v>9</v>
      </c>
      <c r="Z51" s="26" t="n">
        <v>9.099</v>
      </c>
      <c r="AA51" s="26" t="n">
        <v>9.099</v>
      </c>
      <c r="AB51" s="26" t="n">
        <v>9</v>
      </c>
      <c r="AC51" s="26" t="n">
        <v>9</v>
      </c>
      <c r="AD51" s="26" t="n">
        <v>9.099</v>
      </c>
      <c r="AE51" s="26" t="n">
        <v>9.099</v>
      </c>
      <c r="AF51" s="26" t="n">
        <v>8.901</v>
      </c>
      <c r="AG51" s="26" t="n">
        <v>2.268</v>
      </c>
      <c r="FG51" s="35" t="n">
        <v>0</v>
      </c>
      <c r="FH51" s="16" t="n">
        <v>1117.97</v>
      </c>
      <c r="FI51" s="42" t="n">
        <v>1</v>
      </c>
      <c r="FJ51" t="inlineStr">
        <is>
          <t>2020-10-29</t>
        </is>
      </c>
      <c r="FK51" t="n">
        <v>1</v>
      </c>
      <c r="FM51" s="26" t="n">
        <v>161.993</v>
      </c>
      <c r="FN51" t="inlineStr">
        <is>
          <t>2025-04-23</t>
        </is>
      </c>
    </row>
    <row r="52">
      <c r="A52" t="inlineStr">
        <is>
          <t>20260410800253</t>
        </is>
      </c>
      <c r="B52" t="inlineStr">
        <is>
          <t>OTHER</t>
        </is>
      </c>
      <c r="D52" t="inlineStr">
        <is>
          <t>부산 범천5구역 재개발정비사업</t>
        </is>
      </c>
      <c r="AK52" s="26" t="n">
        <v>11.656</v>
      </c>
      <c r="AL52" s="26" t="n">
        <v>13.078</v>
      </c>
      <c r="AM52" s="26" t="n">
        <v>13.078</v>
      </c>
      <c r="AN52" s="26" t="n">
        <v>12.793</v>
      </c>
      <c r="AO52" s="26" t="n">
        <v>12.935</v>
      </c>
      <c r="AP52" s="26" t="n">
        <v>13.078</v>
      </c>
      <c r="AQ52" s="26" t="n">
        <v>13.078</v>
      </c>
      <c r="AR52" s="26" t="n">
        <v>12.935</v>
      </c>
      <c r="AS52" s="26" t="n">
        <v>12.935</v>
      </c>
      <c r="AT52" s="26" t="n">
        <v>13.078</v>
      </c>
      <c r="AU52" s="26" t="n">
        <v>13.078</v>
      </c>
      <c r="AV52" s="26" t="n">
        <v>12.793</v>
      </c>
      <c r="AW52" s="26" t="n">
        <v>12.935</v>
      </c>
      <c r="AX52" s="26" t="n">
        <v>13.078</v>
      </c>
      <c r="AY52" s="26" t="n">
        <v>13.078</v>
      </c>
      <c r="AZ52" s="26" t="n">
        <v>12.793</v>
      </c>
      <c r="BA52" s="26" t="n">
        <v>12.935</v>
      </c>
      <c r="BB52" s="26" t="n">
        <v>13.078</v>
      </c>
      <c r="BC52" s="26" t="n">
        <v>0.425</v>
      </c>
      <c r="FG52" s="35" t="n">
        <v>0</v>
      </c>
      <c r="FH52" s="16" t="n">
        <v>1501.75</v>
      </c>
      <c r="FI52" s="42" t="n">
        <v>1</v>
      </c>
      <c r="FJ52" t="inlineStr">
        <is>
          <t>2026-04-10</t>
        </is>
      </c>
      <c r="FK52" t="n">
        <v>1</v>
      </c>
      <c r="FM52" s="26" t="n">
        <v>232.837</v>
      </c>
      <c r="FN52" t="inlineStr">
        <is>
          <t>2030-10-03</t>
        </is>
      </c>
    </row>
    <row r="53">
      <c r="A53" t="inlineStr">
        <is>
          <t>20260422800059</t>
        </is>
      </c>
      <c r="B53" t="inlineStr">
        <is>
          <t>OTHER</t>
        </is>
      </c>
      <c r="D53" t="inlineStr">
        <is>
          <t>남양주왕숙2 A-6BL 및 A-7BL 통합형 민간참여 공공주택 건설사업</t>
        </is>
      </c>
      <c r="AK53" s="26" t="n">
        <v>2.917</v>
      </c>
      <c r="AL53" s="26" t="n">
        <v>3.78</v>
      </c>
      <c r="AM53" s="26" t="n">
        <v>3.78</v>
      </c>
      <c r="AN53" s="26" t="n">
        <v>3.698</v>
      </c>
      <c r="AO53" s="26" t="n">
        <v>3.739</v>
      </c>
      <c r="AP53" s="26" t="n">
        <v>3.78</v>
      </c>
      <c r="AQ53" s="26" t="n">
        <v>3.78</v>
      </c>
      <c r="AR53" s="26" t="n">
        <v>3.739</v>
      </c>
      <c r="AS53" s="26" t="n">
        <v>3.739</v>
      </c>
      <c r="AT53" s="26" t="n">
        <v>3.78</v>
      </c>
      <c r="AU53" s="26" t="n">
        <v>3.78</v>
      </c>
      <c r="AV53" s="26" t="n">
        <v>3.698</v>
      </c>
      <c r="AW53" s="26" t="n">
        <v>1.237</v>
      </c>
      <c r="FG53" s="35" t="n">
        <v>0</v>
      </c>
      <c r="FH53" s="16" t="n">
        <v>1501.75</v>
      </c>
      <c r="FI53" s="42" t="n">
        <v>1</v>
      </c>
      <c r="FJ53" t="inlineStr">
        <is>
          <t>2026-04-21</t>
        </is>
      </c>
      <c r="FK53" t="n">
        <v>1</v>
      </c>
      <c r="FM53" s="26" t="n">
        <v>45.447</v>
      </c>
      <c r="FN53" t="inlineStr">
        <is>
          <t>2029-04-30</t>
        </is>
      </c>
    </row>
    <row r="54">
      <c r="A54" t="inlineStr">
        <is>
          <t>20260423800218</t>
        </is>
      </c>
      <c r="B54" t="inlineStr">
        <is>
          <t>OTHER</t>
        </is>
      </c>
      <c r="D54" t="inlineStr">
        <is>
          <t>연산5구역 재개발정비사업</t>
        </is>
      </c>
      <c r="Y54" s="26" t="n">
        <v>3.057</v>
      </c>
      <c r="Z54" s="26" t="n">
        <v>4.327</v>
      </c>
      <c r="AA54" s="26" t="n">
        <v>4.327</v>
      </c>
      <c r="AB54" s="26" t="n">
        <v>4.28</v>
      </c>
      <c r="AC54" s="26" t="n">
        <v>4.28</v>
      </c>
      <c r="AD54" s="26" t="n">
        <v>4.327</v>
      </c>
      <c r="AE54" s="26" t="n">
        <v>4.327</v>
      </c>
      <c r="AF54" s="26" t="n">
        <v>4.232</v>
      </c>
      <c r="AG54" s="26" t="n">
        <v>4.279</v>
      </c>
      <c r="AH54" s="26" t="n">
        <v>4.327</v>
      </c>
      <c r="AI54" s="26" t="n">
        <v>4.327</v>
      </c>
      <c r="AJ54" s="26" t="n">
        <v>4.232</v>
      </c>
      <c r="AK54" s="26" t="n">
        <v>4.28</v>
      </c>
      <c r="AL54" s="26" t="n">
        <v>4.327</v>
      </c>
      <c r="AM54" s="26" t="n">
        <v>4.327</v>
      </c>
      <c r="AN54" s="26" t="n">
        <v>4.232</v>
      </c>
      <c r="AO54" s="26" t="n">
        <v>4.28</v>
      </c>
      <c r="AP54" s="26" t="n">
        <v>4.327</v>
      </c>
      <c r="AQ54" s="26" t="n">
        <v>0.9360000000000001</v>
      </c>
      <c r="FG54" s="35" t="n">
        <v>0</v>
      </c>
      <c r="FH54" s="16" t="n">
        <v>1315.69</v>
      </c>
      <c r="FI54" s="42" t="n">
        <v>1</v>
      </c>
      <c r="FJ54" t="inlineStr">
        <is>
          <t>2023-04-27</t>
        </is>
      </c>
      <c r="FK54" t="n">
        <v>1</v>
      </c>
      <c r="FM54" s="26" t="n">
        <v>77.03100000000001</v>
      </c>
      <c r="FN54" t="inlineStr">
        <is>
          <t>2027-10-20</t>
        </is>
      </c>
    </row>
    <row r="55">
      <c r="A55" t="inlineStr">
        <is>
          <t>20260423800721</t>
        </is>
      </c>
      <c r="B55" t="inlineStr">
        <is>
          <t>OTHER</t>
        </is>
      </c>
      <c r="D55" t="inlineStr">
        <is>
          <t>부산 대림비치아파트 소규모재건축정비사업</t>
        </is>
      </c>
      <c r="AB55" s="26" t="n">
        <v>0.152</v>
      </c>
      <c r="AC55" s="26" t="n">
        <v>3.447</v>
      </c>
      <c r="AD55" s="26" t="n">
        <v>3.485</v>
      </c>
      <c r="AE55" s="26" t="n">
        <v>3.485</v>
      </c>
      <c r="AF55" s="26" t="n">
        <v>3.409</v>
      </c>
      <c r="AG55" s="26" t="n">
        <v>3.447</v>
      </c>
      <c r="AH55" s="26" t="n">
        <v>3.485</v>
      </c>
      <c r="AI55" s="26" t="n">
        <v>3.485</v>
      </c>
      <c r="AJ55" s="26" t="n">
        <v>3.409</v>
      </c>
      <c r="AK55" s="26" t="n">
        <v>3.447</v>
      </c>
      <c r="AL55" s="26" t="n">
        <v>3.485</v>
      </c>
      <c r="AM55" s="26" t="n">
        <v>3.485</v>
      </c>
      <c r="AN55" s="26" t="n">
        <v>3.409</v>
      </c>
      <c r="AO55" s="26" t="n">
        <v>3.447</v>
      </c>
      <c r="AP55" s="26" t="n">
        <v>3.485</v>
      </c>
      <c r="AQ55" s="26" t="n">
        <v>3.485</v>
      </c>
      <c r="AR55" s="26" t="n">
        <v>3.447</v>
      </c>
      <c r="AS55" s="26" t="n">
        <v>3.447</v>
      </c>
      <c r="AT55" s="26" t="n">
        <v>3.105</v>
      </c>
      <c r="FG55" s="35" t="n">
        <v>0</v>
      </c>
      <c r="FH55" s="16" t="n">
        <v>1330.14</v>
      </c>
      <c r="FI55" s="42" t="n">
        <v>1</v>
      </c>
      <c r="FJ55" t="inlineStr">
        <is>
          <t>2024-03-28</t>
        </is>
      </c>
      <c r="FK55" t="n">
        <v>1</v>
      </c>
      <c r="FM55" s="26" t="n">
        <v>62.046</v>
      </c>
      <c r="FN55" t="inlineStr">
        <is>
          <t>2028-09-20</t>
        </is>
      </c>
    </row>
    <row r="56">
      <c r="A56" t="inlineStr">
        <is>
          <t>20260427800078</t>
        </is>
      </c>
      <c r="B56" t="inlineStr">
        <is>
          <t>CONT</t>
        </is>
      </c>
      <c r="C56" t="n">
        <v>2</v>
      </c>
      <c r="D56" t="inlineStr">
        <is>
          <t>컨테이너선 2척 수주</t>
        </is>
      </c>
      <c r="AK56" s="26" t="n">
        <v>17.542</v>
      </c>
      <c r="AL56" s="26" t="n">
        <v>23.734</v>
      </c>
      <c r="AM56" s="26" t="n">
        <v>23.734</v>
      </c>
      <c r="AN56" s="26" t="n">
        <v>23.218</v>
      </c>
      <c r="AO56" s="26" t="n">
        <v>23.476</v>
      </c>
      <c r="AP56" s="26" t="n">
        <v>23.734</v>
      </c>
      <c r="AQ56" s="26" t="n">
        <v>23.734</v>
      </c>
      <c r="AR56" s="26" t="n">
        <v>23.476</v>
      </c>
      <c r="AS56" s="26" t="n">
        <v>23.476</v>
      </c>
      <c r="AT56" s="26" t="n">
        <v>23.734</v>
      </c>
      <c r="AU56" s="26" t="n">
        <v>7.997</v>
      </c>
      <c r="FG56" s="35" t="n">
        <v>1</v>
      </c>
      <c r="FH56" s="16" t="n">
        <v>1501.75</v>
      </c>
      <c r="FI56" s="42" t="n">
        <v>1</v>
      </c>
      <c r="FJ56" t="inlineStr">
        <is>
          <t>2026-04-24</t>
        </is>
      </c>
      <c r="FK56" t="n">
        <v>1</v>
      </c>
      <c r="FL56" t="inlineStr">
        <is>
          <t>⑤초호황</t>
        </is>
      </c>
      <c r="FM56" s="26" t="n">
        <v>237.855</v>
      </c>
      <c r="FN56" t="inlineStr">
        <is>
          <t>2028-10-31</t>
        </is>
      </c>
    </row>
    <row r="57">
      <c r="A57" t="inlineStr">
        <is>
          <t>20260506800906</t>
        </is>
      </c>
      <c r="B57" t="inlineStr">
        <is>
          <t>OTHER</t>
        </is>
      </c>
      <c r="D57" t="inlineStr">
        <is>
          <t>강원지역 전기공급시설 전력구공사</t>
        </is>
      </c>
      <c r="Z57" s="26" t="n">
        <v>3.058</v>
      </c>
      <c r="AA57" s="26" t="n">
        <v>3.516</v>
      </c>
      <c r="AB57" s="26" t="n">
        <v>3.478</v>
      </c>
      <c r="AC57" s="26" t="n">
        <v>3.478</v>
      </c>
      <c r="AD57" s="26" t="n">
        <v>3.516</v>
      </c>
      <c r="AE57" s="26" t="n">
        <v>3.516</v>
      </c>
      <c r="AF57" s="26" t="n">
        <v>3.44</v>
      </c>
      <c r="AG57" s="26" t="n">
        <v>3.478</v>
      </c>
      <c r="AH57" s="26" t="n">
        <v>3.516</v>
      </c>
      <c r="AI57" s="26" t="n">
        <v>3.516</v>
      </c>
      <c r="AJ57" s="26" t="n">
        <v>3.44</v>
      </c>
      <c r="AK57" s="26" t="n">
        <v>3.478</v>
      </c>
      <c r="AL57" s="26" t="n">
        <v>3.516</v>
      </c>
      <c r="AM57" s="26" t="n">
        <v>3.516</v>
      </c>
      <c r="AN57" s="26" t="n">
        <v>3.44</v>
      </c>
      <c r="AO57" s="26" t="n">
        <v>3.478</v>
      </c>
      <c r="AP57" s="26" t="n">
        <v>3.516</v>
      </c>
      <c r="AQ57" s="26" t="n">
        <v>2.334</v>
      </c>
      <c r="FG57" s="35" t="n">
        <v>0</v>
      </c>
      <c r="FH57" s="16" t="n">
        <v>1315.69</v>
      </c>
      <c r="FI57" s="42" t="n">
        <v>1</v>
      </c>
      <c r="FJ57" t="inlineStr">
        <is>
          <t>2023-06-23</t>
        </is>
      </c>
      <c r="FK57" t="n">
        <v>1</v>
      </c>
      <c r="FM57" s="26" t="n">
        <v>61.23</v>
      </c>
      <c r="FN57" t="inlineStr">
        <is>
          <t>2027-11-30</t>
        </is>
      </c>
    </row>
    <row r="58">
      <c r="A58" t="inlineStr">
        <is>
          <t>20260518800840</t>
        </is>
      </c>
      <c r="B58" t="inlineStr">
        <is>
          <t>OTHER</t>
        </is>
      </c>
      <c r="D58" t="inlineStr">
        <is>
          <t>500kv 동서울변환소 토건공사</t>
        </is>
      </c>
      <c r="AI58" s="26" t="n">
        <v>0.8169999999999999</v>
      </c>
      <c r="AJ58" s="26" t="n">
        <v>3.064</v>
      </c>
      <c r="AK58" s="26" t="n">
        <v>3.098</v>
      </c>
      <c r="AL58" s="26" t="n">
        <v>3.132</v>
      </c>
      <c r="AM58" s="26" t="n">
        <v>3.132</v>
      </c>
      <c r="AN58" s="26" t="n">
        <v>3.064</v>
      </c>
      <c r="AO58" s="26" t="n">
        <v>3.098</v>
      </c>
      <c r="AP58" s="26" t="n">
        <v>3.132</v>
      </c>
      <c r="AQ58" s="26" t="n">
        <v>3.132</v>
      </c>
      <c r="AR58" s="26" t="n">
        <v>3.098</v>
      </c>
      <c r="AS58" s="26" t="n">
        <v>3.098</v>
      </c>
      <c r="AT58" s="26" t="n">
        <v>3.132</v>
      </c>
      <c r="AU58" s="26" t="n">
        <v>3.132</v>
      </c>
      <c r="AV58" s="26" t="n">
        <v>3.064</v>
      </c>
      <c r="AW58" s="26" t="n">
        <v>3.098</v>
      </c>
      <c r="AX58" s="26" t="n">
        <v>3.132</v>
      </c>
      <c r="AY58" s="26" t="n">
        <v>3.132</v>
      </c>
      <c r="AZ58" s="26" t="n">
        <v>0.075</v>
      </c>
      <c r="FG58" s="35" t="n">
        <v>0</v>
      </c>
      <c r="FH58" s="16" t="n">
        <v>1449.19</v>
      </c>
      <c r="FI58" s="42" t="n">
        <v>1</v>
      </c>
      <c r="FJ58" t="inlineStr">
        <is>
          <t>2025-12-08</t>
        </is>
      </c>
      <c r="FK58" t="n">
        <v>1</v>
      </c>
      <c r="FM58" s="26" t="n">
        <v>50.63</v>
      </c>
      <c r="FN58" t="inlineStr">
        <is>
          <t>2030-01-02</t>
        </is>
      </c>
    </row>
    <row r="59">
      <c r="A59" t="inlineStr">
        <is>
          <t>20260520800639</t>
        </is>
      </c>
      <c r="B59" t="inlineStr">
        <is>
          <t>OTHER</t>
        </is>
      </c>
      <c r="D59" t="inlineStr">
        <is>
          <t>수서~광주 복선전철 제3공구 건설공사(T/K)</t>
        </is>
      </c>
      <c r="AK59" s="26" t="n">
        <v>0.831</v>
      </c>
      <c r="AL59" s="26" t="n">
        <v>1.821</v>
      </c>
      <c r="AM59" s="26" t="n">
        <v>1.821</v>
      </c>
      <c r="AN59" s="26" t="n">
        <v>1.782</v>
      </c>
      <c r="AO59" s="26" t="n">
        <v>1.801</v>
      </c>
      <c r="AP59" s="26" t="n">
        <v>1.821</v>
      </c>
      <c r="AQ59" s="26" t="n">
        <v>1.821</v>
      </c>
      <c r="AR59" s="26" t="n">
        <v>1.801</v>
      </c>
      <c r="AS59" s="26" t="n">
        <v>1.801</v>
      </c>
      <c r="AT59" s="26" t="n">
        <v>1.821</v>
      </c>
      <c r="AU59" s="26" t="n">
        <v>1.821</v>
      </c>
      <c r="AV59" s="26" t="n">
        <v>1.782</v>
      </c>
      <c r="AW59" s="26" t="n">
        <v>1.801</v>
      </c>
      <c r="AX59" s="26" t="n">
        <v>1.821</v>
      </c>
      <c r="AY59" s="26" t="n">
        <v>1.821</v>
      </c>
      <c r="AZ59" s="26" t="n">
        <v>1.782</v>
      </c>
      <c r="BA59" s="26" t="n">
        <v>1.801</v>
      </c>
      <c r="BB59" s="26" t="n">
        <v>1.821</v>
      </c>
      <c r="BC59" s="26" t="n">
        <v>1.821</v>
      </c>
      <c r="BD59" s="26" t="n">
        <v>1.782</v>
      </c>
      <c r="BE59" s="26" t="n">
        <v>0.994</v>
      </c>
      <c r="FG59" s="35" t="n">
        <v>0</v>
      </c>
      <c r="FH59" s="16" t="n">
        <v>1501.75</v>
      </c>
      <c r="FI59" s="42" t="n">
        <v>1</v>
      </c>
      <c r="FJ59" t="inlineStr">
        <is>
          <t>2026-05-20</t>
        </is>
      </c>
      <c r="FK59" t="n">
        <v>1</v>
      </c>
      <c r="FM59" s="26" t="n">
        <v>36.168</v>
      </c>
      <c r="FN59" t="inlineStr">
        <is>
          <t>2031-05-20</t>
        </is>
      </c>
    </row>
    <row r="60">
      <c r="A60" t="inlineStr">
        <is>
          <t>20260529800492</t>
        </is>
      </c>
      <c r="B60" t="inlineStr">
        <is>
          <t>OTHER</t>
        </is>
      </c>
      <c r="D60" t="inlineStr">
        <is>
          <t>효자·미성·으뜸 가로주택정비사업</t>
        </is>
      </c>
      <c r="S60" s="26" t="n">
        <v>2.102</v>
      </c>
      <c r="T60" s="26" t="n">
        <v>2.911</v>
      </c>
      <c r="U60" s="26" t="n">
        <v>2.943</v>
      </c>
      <c r="V60" s="26" t="n">
        <v>2.975</v>
      </c>
      <c r="W60" s="26" t="n">
        <v>2.975</v>
      </c>
      <c r="X60" s="26" t="n">
        <v>2.911</v>
      </c>
      <c r="Y60" s="26" t="n">
        <v>2.943</v>
      </c>
      <c r="Z60" s="26" t="n">
        <v>2.975</v>
      </c>
      <c r="AA60" s="26" t="n">
        <v>2.975</v>
      </c>
      <c r="AB60" s="26" t="n">
        <v>2.943</v>
      </c>
      <c r="AC60" s="26" t="n">
        <v>2.943</v>
      </c>
      <c r="AD60" s="26" t="n">
        <v>2.975</v>
      </c>
      <c r="AE60" s="26" t="n">
        <v>2.975</v>
      </c>
      <c r="AF60" s="26" t="n">
        <v>2.911</v>
      </c>
      <c r="AG60" s="26" t="n">
        <v>2.943</v>
      </c>
      <c r="AH60" s="26" t="n">
        <v>2.975</v>
      </c>
      <c r="AI60" s="26" t="n">
        <v>2.975</v>
      </c>
      <c r="AJ60" s="26" t="n">
        <v>2.911</v>
      </c>
      <c r="AK60" s="26" t="n">
        <v>0.714</v>
      </c>
      <c r="FG60" s="35" t="n">
        <v>0</v>
      </c>
      <c r="FH60" s="16" t="n">
        <v>1183.5</v>
      </c>
      <c r="FI60" s="42" t="n">
        <v>1</v>
      </c>
      <c r="FJ60" t="inlineStr">
        <is>
          <t>2021-10-28</t>
        </is>
      </c>
      <c r="FK60" t="n">
        <v>1</v>
      </c>
      <c r="FM60" s="26" t="n">
        <v>52.975</v>
      </c>
      <c r="FN60" t="inlineStr">
        <is>
          <t>2026-04-22</t>
        </is>
      </c>
    </row>
    <row r="61">
      <c r="A61" t="inlineStr">
        <is>
          <t>20260601800841</t>
        </is>
      </c>
      <c r="B61" t="inlineStr">
        <is>
          <t>OTHER</t>
        </is>
      </c>
      <c r="D61" t="inlineStr">
        <is>
          <t>원종동 현대목화아파트 가로주택정비사업 공사</t>
        </is>
      </c>
      <c r="W61" s="26" t="n">
        <v>0.51</v>
      </c>
      <c r="X61" s="26" t="n">
        <v>2.418</v>
      </c>
      <c r="Y61" s="26" t="n">
        <v>2.445</v>
      </c>
      <c r="Z61" s="26" t="n">
        <v>2.472</v>
      </c>
      <c r="AA61" s="26" t="n">
        <v>2.472</v>
      </c>
      <c r="AB61" s="26" t="n">
        <v>2.445</v>
      </c>
      <c r="AC61" s="26" t="n">
        <v>2.445</v>
      </c>
      <c r="AD61" s="26" t="n">
        <v>2.472</v>
      </c>
      <c r="AE61" s="26" t="n">
        <v>2.472</v>
      </c>
      <c r="AF61" s="26" t="n">
        <v>2.418</v>
      </c>
      <c r="AG61" s="26" t="n">
        <v>2.445</v>
      </c>
      <c r="AH61" s="26" t="n">
        <v>2.472</v>
      </c>
      <c r="AI61" s="26" t="n">
        <v>2.472</v>
      </c>
      <c r="AJ61" s="26" t="n">
        <v>2.418</v>
      </c>
      <c r="AK61" s="26" t="n">
        <v>2.445</v>
      </c>
      <c r="AL61" s="26" t="n">
        <v>2.472</v>
      </c>
      <c r="AM61" s="26" t="n">
        <v>2.472</v>
      </c>
      <c r="AN61" s="26" t="n">
        <v>2.418</v>
      </c>
      <c r="AO61" s="26" t="n">
        <v>1.822</v>
      </c>
      <c r="FG61" s="35" t="n">
        <v>0</v>
      </c>
      <c r="FH61" s="16" t="n">
        <v>1360.12</v>
      </c>
      <c r="FI61" s="42" t="n">
        <v>1</v>
      </c>
      <c r="FJ61" t="inlineStr">
        <is>
          <t>2022-12-13</t>
        </is>
      </c>
      <c r="FK61" t="n">
        <v>1</v>
      </c>
      <c r="FM61" s="26" t="n">
        <v>44.005</v>
      </c>
      <c r="FN61" t="inlineStr">
        <is>
          <t>2027-06-07</t>
        </is>
      </c>
    </row>
    <row r="62">
      <c r="A62" t="inlineStr">
        <is>
          <t>20260618800458</t>
        </is>
      </c>
      <c r="B62" t="inlineStr">
        <is>
          <t>OTHER</t>
        </is>
      </c>
      <c r="D62" t="inlineStr">
        <is>
          <t>부산오페라하우스 건립공사</t>
        </is>
      </c>
      <c r="E62" s="26" t="n">
        <v>2.933</v>
      </c>
      <c r="F62" s="26" t="n">
        <v>6.133</v>
      </c>
      <c r="G62" s="26" t="n">
        <v>6.133</v>
      </c>
      <c r="H62" s="26" t="n">
        <v>5.999</v>
      </c>
      <c r="I62" s="26" t="n">
        <v>6.066</v>
      </c>
      <c r="J62" s="26" t="n">
        <v>6.133</v>
      </c>
      <c r="K62" s="26" t="n">
        <v>6.133</v>
      </c>
      <c r="L62" s="26" t="n">
        <v>6.066</v>
      </c>
      <c r="M62" s="26" t="n">
        <v>6.066</v>
      </c>
      <c r="N62" s="26" t="n">
        <v>6.133</v>
      </c>
      <c r="O62" s="26" t="n">
        <v>6.133</v>
      </c>
      <c r="P62" s="26" t="n">
        <v>5.999</v>
      </c>
      <c r="Q62" s="26" t="n">
        <v>6.066</v>
      </c>
      <c r="R62" s="26" t="n">
        <v>6.133</v>
      </c>
      <c r="S62" s="26" t="n">
        <v>6.133</v>
      </c>
      <c r="T62" s="26" t="n">
        <v>5.999</v>
      </c>
      <c r="U62" s="26" t="n">
        <v>6.066</v>
      </c>
      <c r="V62" s="26" t="n">
        <v>6.133</v>
      </c>
      <c r="W62" s="26" t="n">
        <v>6.133</v>
      </c>
      <c r="X62" s="26" t="n">
        <v>5.999</v>
      </c>
      <c r="Y62" s="26" t="n">
        <v>6.066</v>
      </c>
      <c r="Z62" s="26" t="n">
        <v>6.133</v>
      </c>
      <c r="AA62" s="26" t="n">
        <v>6.133</v>
      </c>
      <c r="AB62" s="26" t="n">
        <v>6.066</v>
      </c>
      <c r="AC62" s="26" t="n">
        <v>6.066</v>
      </c>
      <c r="AD62" s="26" t="n">
        <v>6.133</v>
      </c>
      <c r="AE62" s="26" t="n">
        <v>6.133</v>
      </c>
      <c r="AF62" s="26" t="n">
        <v>5.999</v>
      </c>
      <c r="AG62" s="26" t="n">
        <v>6.066</v>
      </c>
      <c r="AH62" s="26" t="n">
        <v>6.133</v>
      </c>
      <c r="AI62" s="26" t="n">
        <v>6.133</v>
      </c>
      <c r="AJ62" s="26" t="n">
        <v>5.999</v>
      </c>
      <c r="AK62" s="26" t="n">
        <v>6.066</v>
      </c>
      <c r="AL62" s="26" t="n">
        <v>6.133</v>
      </c>
      <c r="AM62" s="26" t="n">
        <v>6.13</v>
      </c>
      <c r="FG62" s="35" t="n">
        <v>0</v>
      </c>
      <c r="FH62" s="16" t="n">
        <v>1080.48</v>
      </c>
      <c r="FI62" s="42" t="n">
        <v>1</v>
      </c>
      <c r="FJ62" t="inlineStr">
        <is>
          <t>2018-05-18</t>
        </is>
      </c>
      <c r="FK62" t="n">
        <v>1</v>
      </c>
      <c r="FM62" s="26" t="n">
        <v>209.978</v>
      </c>
      <c r="FN62" t="inlineStr">
        <is>
          <t>2026-12-31</t>
        </is>
      </c>
    </row>
    <row r="63">
      <c r="A63" t="inlineStr">
        <is>
          <t>20260629801171</t>
        </is>
      </c>
      <c r="B63" t="inlineStr">
        <is>
          <t>OTHER</t>
        </is>
      </c>
      <c r="D63" t="inlineStr">
        <is>
          <t>식만-사상간(대저대교) 도로건설공사</t>
        </is>
      </c>
      <c r="P63" s="26" t="n">
        <v>1.586</v>
      </c>
      <c r="Q63" s="26" t="n">
        <v>1.805</v>
      </c>
      <c r="R63" s="26" t="n">
        <v>1.824</v>
      </c>
      <c r="S63" s="26" t="n">
        <v>1.824</v>
      </c>
      <c r="T63" s="26" t="n">
        <v>1.785</v>
      </c>
      <c r="U63" s="26" t="n">
        <v>1.805</v>
      </c>
      <c r="V63" s="26" t="n">
        <v>1.824</v>
      </c>
      <c r="W63" s="26" t="n">
        <v>1.824</v>
      </c>
      <c r="X63" s="26" t="n">
        <v>1.785</v>
      </c>
      <c r="Y63" s="26" t="n">
        <v>1.805</v>
      </c>
      <c r="Z63" s="26" t="n">
        <v>1.824</v>
      </c>
      <c r="AA63" s="26" t="n">
        <v>1.824</v>
      </c>
      <c r="AB63" s="26" t="n">
        <v>1.805</v>
      </c>
      <c r="AC63" s="26" t="n">
        <v>1.805</v>
      </c>
      <c r="AD63" s="26" t="n">
        <v>1.824</v>
      </c>
      <c r="AE63" s="26" t="n">
        <v>1.824</v>
      </c>
      <c r="AF63" s="26" t="n">
        <v>1.785</v>
      </c>
      <c r="AG63" s="26" t="n">
        <v>1.805</v>
      </c>
      <c r="AH63" s="26" t="n">
        <v>1.824</v>
      </c>
      <c r="AI63" s="26" t="n">
        <v>1.824</v>
      </c>
      <c r="AJ63" s="26" t="n">
        <v>1.785</v>
      </c>
      <c r="AK63" s="26" t="n">
        <v>1.805</v>
      </c>
      <c r="AL63" s="26" t="n">
        <v>1.824</v>
      </c>
      <c r="AM63" s="26" t="n">
        <v>1.824</v>
      </c>
      <c r="AN63" s="26" t="n">
        <v>1.785</v>
      </c>
      <c r="AO63" s="26" t="n">
        <v>1.805</v>
      </c>
      <c r="AP63" s="26" t="n">
        <v>1.824</v>
      </c>
      <c r="AQ63" s="26" t="n">
        <v>1.824</v>
      </c>
      <c r="AR63" s="26" t="n">
        <v>1.805</v>
      </c>
      <c r="AS63" s="26" t="n">
        <v>1.805</v>
      </c>
      <c r="AT63" s="26" t="n">
        <v>1.824</v>
      </c>
      <c r="AU63" s="26" t="n">
        <v>1.824</v>
      </c>
      <c r="AV63" s="26" t="n">
        <v>1.785</v>
      </c>
      <c r="AW63" s="26" t="n">
        <v>1.805</v>
      </c>
      <c r="AX63" s="26" t="n">
        <v>1.824</v>
      </c>
      <c r="AY63" s="26" t="n">
        <v>1.824</v>
      </c>
      <c r="AZ63" s="26" t="n">
        <v>1.785</v>
      </c>
      <c r="BA63" s="26" t="n">
        <v>1.805</v>
      </c>
      <c r="BB63" s="26" t="n">
        <v>1.824</v>
      </c>
      <c r="BC63" s="26" t="n">
        <v>1.824</v>
      </c>
      <c r="BD63" s="26" t="n">
        <v>0.278</v>
      </c>
      <c r="FG63" s="35" t="n">
        <v>0</v>
      </c>
      <c r="FH63" s="16" t="n">
        <v>1117.97</v>
      </c>
      <c r="FI63" s="42" t="n">
        <v>1</v>
      </c>
      <c r="FJ63" t="inlineStr">
        <is>
          <t>2020-12-30</t>
        </is>
      </c>
      <c r="FK63" t="n">
        <v>1</v>
      </c>
      <c r="FM63" s="26" t="n">
        <v>72.499</v>
      </c>
      <c r="FN63" t="inlineStr">
        <is>
          <t>2031-01-14</t>
        </is>
      </c>
    </row>
    <row r="64">
      <c r="A64" t="inlineStr">
        <is>
          <t>20260630800457</t>
        </is>
      </c>
      <c r="B64" t="inlineStr">
        <is>
          <t>OTHER</t>
        </is>
      </c>
      <c r="D64" t="inlineStr">
        <is>
          <t>춘천~속초 철도건설 제1공구 노반공사</t>
        </is>
      </c>
      <c r="V64" s="26" t="n">
        <v>1.201</v>
      </c>
      <c r="W64" s="26" t="n">
        <v>4.249</v>
      </c>
      <c r="X64" s="26" t="n">
        <v>4.157</v>
      </c>
      <c r="Y64" s="26" t="n">
        <v>4.203</v>
      </c>
      <c r="Z64" s="26" t="n">
        <v>4.249</v>
      </c>
      <c r="AA64" s="26" t="n">
        <v>4.249</v>
      </c>
      <c r="AB64" s="26" t="n">
        <v>4.203</v>
      </c>
      <c r="AC64" s="26" t="n">
        <v>4.203</v>
      </c>
      <c r="AD64" s="26" t="n">
        <v>4.249</v>
      </c>
      <c r="AE64" s="26" t="n">
        <v>4.249</v>
      </c>
      <c r="AF64" s="26" t="n">
        <v>4.157</v>
      </c>
      <c r="AG64" s="26" t="n">
        <v>4.203</v>
      </c>
      <c r="AH64" s="26" t="n">
        <v>4.249</v>
      </c>
      <c r="AI64" s="26" t="n">
        <v>4.249</v>
      </c>
      <c r="AJ64" s="26" t="n">
        <v>4.157</v>
      </c>
      <c r="AK64" s="26" t="n">
        <v>4.203</v>
      </c>
      <c r="AL64" s="26" t="n">
        <v>4.249</v>
      </c>
      <c r="AM64" s="26" t="n">
        <v>4.249</v>
      </c>
      <c r="AN64" s="26" t="n">
        <v>4.157</v>
      </c>
      <c r="AO64" s="26" t="n">
        <v>4.203</v>
      </c>
      <c r="AP64" s="26" t="n">
        <v>4.249</v>
      </c>
      <c r="AQ64" s="26" t="n">
        <v>4.249</v>
      </c>
      <c r="AR64" s="26" t="n">
        <v>2.777</v>
      </c>
      <c r="FG64" s="35" t="n">
        <v>0</v>
      </c>
      <c r="FH64" s="16" t="n">
        <v>1341.93</v>
      </c>
      <c r="FI64" s="42" t="n">
        <v>1</v>
      </c>
      <c r="FJ64" t="inlineStr">
        <is>
          <t>2022-09-05</t>
        </is>
      </c>
      <c r="FK64" t="n">
        <v>1</v>
      </c>
      <c r="FM64" s="26" t="n">
        <v>92.563</v>
      </c>
      <c r="FN64" t="inlineStr">
        <is>
          <t>2028-02-29</t>
        </is>
      </c>
    </row>
    <row r="65">
      <c r="A65" t="inlineStr">
        <is>
          <t>20260630800913</t>
        </is>
      </c>
      <c r="B65" t="inlineStr">
        <is>
          <t>OTHER</t>
        </is>
      </c>
      <c r="D65" t="inlineStr">
        <is>
          <t>제천~영월간 고속국도 건설공사(제3공구)</t>
        </is>
      </c>
      <c r="AK65" s="26" t="n">
        <v>0.047</v>
      </c>
      <c r="AL65" s="26" t="n">
        <v>4.3</v>
      </c>
      <c r="AM65" s="26" t="n">
        <v>4.3</v>
      </c>
      <c r="AN65" s="26" t="n">
        <v>4.206</v>
      </c>
      <c r="AO65" s="26" t="n">
        <v>4.253</v>
      </c>
      <c r="AP65" s="26" t="n">
        <v>4.3</v>
      </c>
      <c r="AQ65" s="26" t="n">
        <v>4.3</v>
      </c>
      <c r="AR65" s="26" t="n">
        <v>4.253</v>
      </c>
      <c r="AS65" s="26" t="n">
        <v>4.253</v>
      </c>
      <c r="AT65" s="26" t="n">
        <v>4.3</v>
      </c>
      <c r="AU65" s="26" t="n">
        <v>4.3</v>
      </c>
      <c r="AV65" s="26" t="n">
        <v>4.206</v>
      </c>
      <c r="AW65" s="26" t="n">
        <v>4.253</v>
      </c>
      <c r="AX65" s="26" t="n">
        <v>4.3</v>
      </c>
      <c r="AY65" s="26" t="n">
        <v>4.3</v>
      </c>
      <c r="AZ65" s="26" t="n">
        <v>4.206</v>
      </c>
      <c r="BA65" s="26" t="n">
        <v>4.253</v>
      </c>
      <c r="BB65" s="26" t="n">
        <v>4.3</v>
      </c>
      <c r="BC65" s="26" t="n">
        <v>4.3</v>
      </c>
      <c r="BD65" s="26" t="n">
        <v>4.206</v>
      </c>
      <c r="BE65" s="26" t="n">
        <v>4.253</v>
      </c>
      <c r="BF65" s="26" t="n">
        <v>4.3</v>
      </c>
      <c r="BG65" s="26" t="n">
        <v>4.3</v>
      </c>
      <c r="BH65" s="26" t="n">
        <v>4.253</v>
      </c>
      <c r="BI65" s="26" t="n">
        <v>0.836</v>
      </c>
      <c r="FG65" s="35" t="n">
        <v>0</v>
      </c>
      <c r="FH65" s="16" t="n">
        <v>1501.75</v>
      </c>
      <c r="FI65" s="42" t="n">
        <v>1</v>
      </c>
      <c r="FJ65" t="inlineStr">
        <is>
          <t>2026-06-30</t>
        </is>
      </c>
      <c r="FK65" t="n">
        <v>1</v>
      </c>
      <c r="FM65" s="26" t="n">
        <v>99.078</v>
      </c>
      <c r="FN65" t="inlineStr">
        <is>
          <t>2032-04-18</t>
        </is>
      </c>
    </row>
    <row r="66">
      <c r="A66" t="inlineStr">
        <is>
          <t>20260721800175</t>
        </is>
      </c>
      <c r="B66" t="inlineStr">
        <is>
          <t>OTHER</t>
        </is>
      </c>
      <c r="D66" t="inlineStr">
        <is>
          <t>익산 영등주공1단지 주택재건축정비사업</t>
        </is>
      </c>
      <c r="Z66" s="26" t="n">
        <v>7.573</v>
      </c>
      <c r="AA66" s="26" t="n">
        <v>8.007999999999999</v>
      </c>
      <c r="AB66" s="26" t="n">
        <v>7.921</v>
      </c>
      <c r="AC66" s="26" t="n">
        <v>7.921</v>
      </c>
      <c r="AD66" s="26" t="n">
        <v>8.007999999999999</v>
      </c>
      <c r="AE66" s="26" t="n">
        <v>8.007999999999999</v>
      </c>
      <c r="AF66" s="26" t="n">
        <v>7.834</v>
      </c>
      <c r="AG66" s="26" t="n">
        <v>7.921</v>
      </c>
      <c r="AH66" s="26" t="n">
        <v>8.007999999999999</v>
      </c>
      <c r="AI66" s="26" t="n">
        <v>8.007999999999999</v>
      </c>
      <c r="AJ66" s="26" t="n">
        <v>7.834</v>
      </c>
      <c r="AK66" s="26" t="n">
        <v>7.921</v>
      </c>
      <c r="AL66" s="26" t="n">
        <v>8.007999999999999</v>
      </c>
      <c r="AM66" s="26" t="n">
        <v>8.007999999999999</v>
      </c>
      <c r="AN66" s="26" t="n">
        <v>7.834</v>
      </c>
      <c r="AO66" s="26" t="n">
        <v>7.921</v>
      </c>
      <c r="AP66" s="26" t="n">
        <v>8.007999999999999</v>
      </c>
      <c r="AQ66" s="26" t="n">
        <v>7.832</v>
      </c>
      <c r="FG66" s="35" t="n">
        <v>0</v>
      </c>
      <c r="FH66" s="16" t="n">
        <v>1313.62</v>
      </c>
      <c r="FI66" s="42" t="n">
        <v>1</v>
      </c>
      <c r="FJ66" t="inlineStr">
        <is>
          <t>2023-07-06</t>
        </is>
      </c>
      <c r="FK66" t="n">
        <v>1</v>
      </c>
      <c r="FM66" s="26" t="n">
        <v>142.576</v>
      </c>
      <c r="FN66" t="inlineStr">
        <is>
          <t>2027-12-29</t>
        </is>
      </c>
    </row>
    <row r="67">
      <c r="A67" t="inlineStr">
        <is>
          <t>20260805800532</t>
        </is>
      </c>
      <c r="B67" t="inlineStr">
        <is>
          <t>OTHER</t>
        </is>
      </c>
      <c r="D67" t="inlineStr">
        <is>
          <t>평택동부 고속화도로 민간투자사업 공사도급계약</t>
        </is>
      </c>
      <c r="I67" s="26" t="n">
        <v>0.997</v>
      </c>
      <c r="J67" s="26" t="n">
        <v>2.958</v>
      </c>
      <c r="K67" s="26" t="n">
        <v>2.958</v>
      </c>
      <c r="L67" s="26" t="n">
        <v>2.926</v>
      </c>
      <c r="M67" s="26" t="n">
        <v>2.926</v>
      </c>
      <c r="N67" s="26" t="n">
        <v>2.958</v>
      </c>
      <c r="O67" s="26" t="n">
        <v>2.958</v>
      </c>
      <c r="P67" s="26" t="n">
        <v>2.894</v>
      </c>
      <c r="Q67" s="26" t="n">
        <v>2.926</v>
      </c>
      <c r="R67" s="26" t="n">
        <v>2.958</v>
      </c>
      <c r="S67" s="26" t="n">
        <v>2.958</v>
      </c>
      <c r="T67" s="26" t="n">
        <v>2.894</v>
      </c>
      <c r="U67" s="26" t="n">
        <v>2.926</v>
      </c>
      <c r="V67" s="26" t="n">
        <v>2.958</v>
      </c>
      <c r="W67" s="26" t="n">
        <v>2.958</v>
      </c>
      <c r="X67" s="26" t="n">
        <v>2.894</v>
      </c>
      <c r="Y67" s="26" t="n">
        <v>2.926</v>
      </c>
      <c r="Z67" s="26" t="n">
        <v>2.958</v>
      </c>
      <c r="AA67" s="26" t="n">
        <v>2.958</v>
      </c>
      <c r="AB67" s="26" t="n">
        <v>2.926</v>
      </c>
      <c r="AC67" s="26" t="n">
        <v>2.926</v>
      </c>
      <c r="AD67" s="26" t="n">
        <v>2.958</v>
      </c>
      <c r="AE67" s="26" t="n">
        <v>2.958</v>
      </c>
      <c r="AF67" s="26" t="n">
        <v>2.894</v>
      </c>
      <c r="AG67" s="26" t="n">
        <v>2.926</v>
      </c>
      <c r="AH67" s="26" t="n">
        <v>2.958</v>
      </c>
      <c r="AI67" s="26" t="n">
        <v>2.958</v>
      </c>
      <c r="AJ67" s="26" t="n">
        <v>2.894</v>
      </c>
      <c r="AK67" s="26" t="n">
        <v>2.926</v>
      </c>
      <c r="AL67" s="26" t="n">
        <v>2.958</v>
      </c>
      <c r="AM67" s="26" t="n">
        <v>2.958</v>
      </c>
      <c r="AN67" s="26" t="n">
        <v>2.894</v>
      </c>
      <c r="AO67" s="26" t="n">
        <v>2.255</v>
      </c>
      <c r="FG67" s="35" t="n">
        <v>0</v>
      </c>
      <c r="FH67" s="16" t="n">
        <v>1167.69</v>
      </c>
      <c r="FI67" s="42" t="n">
        <v>1</v>
      </c>
      <c r="FJ67" t="inlineStr">
        <is>
          <t>2019-05-31</t>
        </is>
      </c>
      <c r="FK67" t="n">
        <v>1</v>
      </c>
      <c r="FM67" s="26" t="n">
        <v>94.27800000000001</v>
      </c>
      <c r="FN67" t="inlineStr">
        <is>
          <t>2027-06-09</t>
        </is>
      </c>
    </row>
    <row r="68">
      <c r="A68" t="inlineStr">
        <is>
          <t>20260811800408</t>
        </is>
      </c>
      <c r="B68" t="inlineStr">
        <is>
          <t>OTHER</t>
        </is>
      </c>
      <c r="D68" t="inlineStr">
        <is>
          <t>통일로 우회도로 건설공사</t>
        </is>
      </c>
      <c r="AC68" s="26" t="n">
        <v>2.368</v>
      </c>
      <c r="AD68" s="26" t="n">
        <v>2.504</v>
      </c>
      <c r="AE68" s="26" t="n">
        <v>2.504</v>
      </c>
      <c r="AF68" s="26" t="n">
        <v>2.449</v>
      </c>
      <c r="AG68" s="26" t="n">
        <v>2.477</v>
      </c>
      <c r="AH68" s="26" t="n">
        <v>2.504</v>
      </c>
      <c r="AI68" s="26" t="n">
        <v>2.504</v>
      </c>
      <c r="AJ68" s="26" t="n">
        <v>2.449</v>
      </c>
      <c r="AK68" s="26" t="n">
        <v>2.477</v>
      </c>
      <c r="AL68" s="26" t="n">
        <v>2.504</v>
      </c>
      <c r="AM68" s="26" t="n">
        <v>2.504</v>
      </c>
      <c r="AN68" s="26" t="n">
        <v>2.449</v>
      </c>
      <c r="AO68" s="26" t="n">
        <v>2.477</v>
      </c>
      <c r="AP68" s="26" t="n">
        <v>2.504</v>
      </c>
      <c r="AQ68" s="26" t="n">
        <v>2.504</v>
      </c>
      <c r="AR68" s="26" t="n">
        <v>2.477</v>
      </c>
      <c r="AS68" s="26" t="n">
        <v>2.477</v>
      </c>
      <c r="AT68" s="26" t="n">
        <v>2.504</v>
      </c>
      <c r="AU68" s="26" t="n">
        <v>2.504</v>
      </c>
      <c r="AV68" s="26" t="n">
        <v>2.449</v>
      </c>
      <c r="AW68" s="26" t="n">
        <v>2.477</v>
      </c>
      <c r="AX68" s="26" t="n">
        <v>2.504</v>
      </c>
      <c r="AY68" s="26" t="n">
        <v>0.107</v>
      </c>
      <c r="FG68" s="35" t="n">
        <v>0</v>
      </c>
      <c r="FH68" s="16" t="n">
        <v>1330.14</v>
      </c>
      <c r="FI68" s="42" t="n">
        <v>1</v>
      </c>
      <c r="FJ68" t="inlineStr">
        <is>
          <t>2024-03-08</t>
        </is>
      </c>
      <c r="FK68" t="n">
        <v>1</v>
      </c>
      <c r="FM68" s="26" t="n">
        <v>54.677</v>
      </c>
      <c r="FN68" t="inlineStr">
        <is>
          <t>2029-10-04</t>
        </is>
      </c>
    </row>
    <row r="69">
      <c r="A69" t="inlineStr">
        <is>
          <t>20260818800047</t>
        </is>
      </c>
      <c r="B69" t="inlineStr">
        <is>
          <t>OTHER</t>
        </is>
      </c>
      <c r="D69" t="inlineStr">
        <is>
          <t>국도46호선 남양주-춘천(제2경춘국도) 도로건설공사(제4공구)</t>
        </is>
      </c>
      <c r="AL69" s="26" t="n">
        <v>1.373</v>
      </c>
      <c r="AM69" s="26" t="n">
        <v>2.632</v>
      </c>
      <c r="AN69" s="26" t="n">
        <v>2.574</v>
      </c>
      <c r="AO69" s="26" t="n">
        <v>2.603</v>
      </c>
      <c r="AP69" s="26" t="n">
        <v>2.632</v>
      </c>
      <c r="AQ69" s="26" t="n">
        <v>2.632</v>
      </c>
      <c r="AR69" s="26" t="n">
        <v>2.603</v>
      </c>
      <c r="AS69" s="26" t="n">
        <v>2.603</v>
      </c>
      <c r="AT69" s="26" t="n">
        <v>2.632</v>
      </c>
      <c r="AU69" s="26" t="n">
        <v>2.632</v>
      </c>
      <c r="AV69" s="26" t="n">
        <v>2.574</v>
      </c>
      <c r="AW69" s="26" t="n">
        <v>2.603</v>
      </c>
      <c r="AX69" s="26" t="n">
        <v>2.632</v>
      </c>
      <c r="AY69" s="26" t="n">
        <v>2.632</v>
      </c>
      <c r="AZ69" s="26" t="n">
        <v>2.574</v>
      </c>
      <c r="BA69" s="26" t="n">
        <v>2.603</v>
      </c>
      <c r="BB69" s="26" t="n">
        <v>2.632</v>
      </c>
      <c r="BC69" s="26" t="n">
        <v>2.632</v>
      </c>
      <c r="BD69" s="26" t="n">
        <v>2.574</v>
      </c>
      <c r="BE69" s="26" t="n">
        <v>2.603</v>
      </c>
      <c r="BF69" s="26" t="n">
        <v>2.632</v>
      </c>
      <c r="BG69" s="26" t="n">
        <v>2.632</v>
      </c>
      <c r="BH69" s="26" t="n">
        <v>2.603</v>
      </c>
      <c r="BI69" s="26" t="n">
        <v>2.603</v>
      </c>
      <c r="BJ69" s="26" t="n">
        <v>2.632</v>
      </c>
      <c r="BK69" s="26" t="n">
        <v>2.632</v>
      </c>
      <c r="BL69" s="26" t="n">
        <v>2.574</v>
      </c>
      <c r="BM69" s="26" t="n">
        <v>2.603</v>
      </c>
      <c r="BN69" s="26" t="n">
        <v>1.713</v>
      </c>
      <c r="FG69" s="35" t="n">
        <v>0</v>
      </c>
      <c r="FH69" s="16" t="n">
        <v>1418.75</v>
      </c>
      <c r="FI69" s="42" t="n">
        <v>1</v>
      </c>
      <c r="FJ69" t="inlineStr">
        <is>
          <t>2026-08-14</t>
        </is>
      </c>
      <c r="FK69" t="n">
        <v>0</v>
      </c>
      <c r="FM69" s="26" t="n">
        <v>73.599</v>
      </c>
      <c r="FN69" t="inlineStr">
        <is>
          <t>2033-08-29</t>
        </is>
      </c>
    </row>
    <row r="70">
      <c r="A70" t="inlineStr">
        <is>
          <t>20260820800160</t>
        </is>
      </c>
      <c r="B70" t="inlineStr">
        <is>
          <t>OTHER</t>
        </is>
      </c>
      <c r="D70" t="inlineStr">
        <is>
          <t>500kV 신가평변환소 토건공사</t>
        </is>
      </c>
      <c r="Z70" s="26" t="n">
        <v>2.827</v>
      </c>
      <c r="AA70" s="26" t="n">
        <v>4.817</v>
      </c>
      <c r="AB70" s="26" t="n">
        <v>4.764</v>
      </c>
      <c r="AC70" s="26" t="n">
        <v>4.764</v>
      </c>
      <c r="AD70" s="26" t="n">
        <v>4.817</v>
      </c>
      <c r="AE70" s="26" t="n">
        <v>4.817</v>
      </c>
      <c r="AF70" s="26" t="n">
        <v>4.712</v>
      </c>
      <c r="AG70" s="26" t="n">
        <v>4.764</v>
      </c>
      <c r="AH70" s="26" t="n">
        <v>4.817</v>
      </c>
      <c r="AI70" s="26" t="n">
        <v>4.817</v>
      </c>
      <c r="AJ70" s="26" t="n">
        <v>4.712</v>
      </c>
      <c r="AK70" s="26" t="n">
        <v>4.764</v>
      </c>
      <c r="AL70" s="26" t="n">
        <v>4.817</v>
      </c>
      <c r="AM70" s="26" t="n">
        <v>4.817</v>
      </c>
      <c r="FG70" s="35" t="n">
        <v>0</v>
      </c>
      <c r="FH70" s="16" t="n">
        <v>1313.62</v>
      </c>
      <c r="FI70" s="42" t="n">
        <v>1</v>
      </c>
      <c r="FJ70" t="inlineStr">
        <is>
          <t>2023-08-08</t>
        </is>
      </c>
      <c r="FK70" t="n">
        <v>1</v>
      </c>
      <c r="FM70" s="26" t="n">
        <v>65.026</v>
      </c>
      <c r="FN70" t="inlineStr">
        <is>
          <t>2026-12-31</t>
        </is>
      </c>
    </row>
    <row r="71">
      <c r="A71" t="inlineStr">
        <is>
          <t>20260918800109</t>
        </is>
      </c>
      <c r="B71" t="inlineStr">
        <is>
          <t>OTHER</t>
        </is>
      </c>
      <c r="D71" t="inlineStr">
        <is>
          <t>울산기력 4,5,6호기 해체공사(종합심사낙찰제)</t>
        </is>
      </c>
      <c r="AB71" s="26" t="n">
        <v>1.268</v>
      </c>
      <c r="AC71" s="26" t="n">
        <v>2.509</v>
      </c>
      <c r="AD71" s="26" t="n">
        <v>2.537</v>
      </c>
      <c r="AE71" s="26" t="n">
        <v>2.537</v>
      </c>
      <c r="AF71" s="26" t="n">
        <v>2.481</v>
      </c>
      <c r="AG71" s="26" t="n">
        <v>2.509</v>
      </c>
      <c r="AH71" s="26" t="n">
        <v>2.537</v>
      </c>
      <c r="AI71" s="26" t="n">
        <v>2.537</v>
      </c>
      <c r="AJ71" s="26" t="n">
        <v>2.481</v>
      </c>
      <c r="AK71" s="26" t="n">
        <v>2.509</v>
      </c>
      <c r="AL71" s="26" t="n">
        <v>2.537</v>
      </c>
      <c r="AM71" s="26" t="n">
        <v>2.537</v>
      </c>
      <c r="AN71" s="26" t="n">
        <v>2.481</v>
      </c>
      <c r="AO71" s="26" t="n">
        <v>2.509</v>
      </c>
      <c r="AP71" s="26" t="n">
        <v>2.537</v>
      </c>
      <c r="AQ71" s="26" t="n">
        <v>2.537</v>
      </c>
      <c r="AR71" s="26" t="n">
        <v>2.509</v>
      </c>
      <c r="AS71" s="26" t="n">
        <v>2.509</v>
      </c>
      <c r="AT71" s="26" t="n">
        <v>1.1</v>
      </c>
      <c r="FG71" s="35" t="n">
        <v>0</v>
      </c>
      <c r="FH71" s="16" t="n">
        <v>1330.14</v>
      </c>
      <c r="FI71" s="42" t="n">
        <v>1</v>
      </c>
      <c r="FJ71" t="inlineStr">
        <is>
          <t>2024-01-10</t>
        </is>
      </c>
      <c r="FK71" t="n">
        <v>1</v>
      </c>
      <c r="FM71" s="26" t="n">
        <v>45.161</v>
      </c>
      <c r="FN71" t="inlineStr">
        <is>
          <t>2028-08-09</t>
        </is>
      </c>
    </row>
    <row r="72">
      <c r="A72" t="inlineStr">
        <is>
          <t>20260922800008</t>
        </is>
      </c>
      <c r="B72" t="inlineStr">
        <is>
          <t>CONT</t>
        </is>
      </c>
      <c r="C72" t="n">
        <v>4</v>
      </c>
      <c r="D72" t="inlineStr">
        <is>
          <t>컨테이너선 4척 수주</t>
        </is>
      </c>
      <c r="AL72" s="26" t="n">
        <v>5.022</v>
      </c>
      <c r="AM72" s="26" t="n">
        <v>46.2</v>
      </c>
      <c r="AN72" s="26" t="n">
        <v>45.195</v>
      </c>
      <c r="AO72" s="26" t="n">
        <v>45.697</v>
      </c>
      <c r="AP72" s="26" t="n">
        <v>46.2</v>
      </c>
      <c r="AQ72" s="26" t="n">
        <v>46.2</v>
      </c>
      <c r="AR72" s="26" t="n">
        <v>45.697</v>
      </c>
      <c r="AS72" s="26" t="n">
        <v>45.697</v>
      </c>
      <c r="AT72" s="26" t="n">
        <v>46.2</v>
      </c>
      <c r="AU72" s="26" t="n">
        <v>46.2</v>
      </c>
      <c r="AV72" s="26" t="n">
        <v>45.195</v>
      </c>
      <c r="AW72" s="26" t="n">
        <v>15.064</v>
      </c>
      <c r="FG72" s="35" t="n">
        <v>0</v>
      </c>
      <c r="FH72" s="16" t="n">
        <v>1418.75</v>
      </c>
      <c r="FI72" s="42" t="n">
        <v>1</v>
      </c>
      <c r="FJ72" t="inlineStr">
        <is>
          <t>2026-09-21</t>
        </is>
      </c>
      <c r="FK72" t="n">
        <v>0</v>
      </c>
      <c r="FL72" t="inlineStr">
        <is>
          <t>⑤초호황</t>
        </is>
      </c>
      <c r="FM72" s="26" t="n">
        <v>478.567</v>
      </c>
      <c r="FN72" t="inlineStr">
        <is>
          <t>2029-04-30</t>
        </is>
      </c>
    </row>
    <row r="73">
      <c r="A73" t="inlineStr">
        <is>
          <t>20261007800209</t>
        </is>
      </c>
      <c r="B73" t="inlineStr">
        <is>
          <t>OTHER</t>
        </is>
      </c>
      <c r="D73" t="inlineStr">
        <is>
          <t>보령신복합 1호기 건설공사</t>
        </is>
      </c>
      <c r="Z73" s="26" t="n">
        <v>2</v>
      </c>
      <c r="AA73" s="26" t="n">
        <v>14.157</v>
      </c>
      <c r="AB73" s="26" t="n">
        <v>14.003</v>
      </c>
      <c r="AC73" s="26" t="n">
        <v>14.003</v>
      </c>
      <c r="AD73" s="26" t="n">
        <v>14.157</v>
      </c>
      <c r="AE73" s="26" t="n">
        <v>14.157</v>
      </c>
      <c r="AF73" s="26" t="n">
        <v>13.849</v>
      </c>
      <c r="AG73" s="26" t="n">
        <v>14.003</v>
      </c>
      <c r="AH73" s="26" t="n">
        <v>14.157</v>
      </c>
      <c r="AI73" s="26" t="n">
        <v>14.157</v>
      </c>
      <c r="AJ73" s="26" t="n">
        <v>13.849</v>
      </c>
      <c r="AK73" s="26" t="n">
        <v>14.003</v>
      </c>
      <c r="AL73" s="26" t="n">
        <v>14.157</v>
      </c>
      <c r="AM73" s="26" t="n">
        <v>14.157</v>
      </c>
      <c r="AN73" s="26" t="n">
        <v>13.845</v>
      </c>
      <c r="FG73" s="35" t="n">
        <v>0</v>
      </c>
      <c r="FH73" s="16" t="n">
        <v>1313.62</v>
      </c>
      <c r="FI73" s="42" t="n">
        <v>1</v>
      </c>
      <c r="FJ73" t="inlineStr">
        <is>
          <t>2023-09-18</t>
        </is>
      </c>
      <c r="FK73" t="n">
        <v>1</v>
      </c>
      <c r="FM73" s="26" t="n">
        <v>198.654</v>
      </c>
      <c r="FN73" t="inlineStr">
        <is>
          <t>2027-03-31</t>
        </is>
      </c>
    </row>
    <row r="75">
      <c r="A75" s="1" t="inlineStr">
        <is>
          <t>② 계약별 원화(백만원, 수식)</t>
        </is>
      </c>
      <c r="B75" s="1" t="inlineStr">
        <is>
          <t>type</t>
        </is>
      </c>
      <c r="C75" s="1" t="inlineStr">
        <is>
          <t>ships</t>
        </is>
      </c>
      <c r="D75" s="1" t="inlineStr">
        <is>
          <t>name</t>
        </is>
      </c>
    </row>
    <row r="76">
      <c r="A76" t="inlineStr">
        <is>
          <t>20250930800101</t>
        </is>
      </c>
      <c r="B76" t="inlineStr">
        <is>
          <t>OTHER</t>
        </is>
      </c>
      <c r="D76" t="inlineStr">
        <is>
          <t>대전 도마변동9재정비촉진구역 주택재개발정비사업</t>
        </is>
      </c>
      <c r="R76" s="18">
        <f>IFERROR(R29*$FG29*(1+($FI29-1)*R$26)*($D$23*$FH29+(1-$D$23)*R$25),"")</f>
        <v/>
      </c>
      <c r="S76" s="18">
        <f>IFERROR(S29*$FG29*(1+($FI29-1)*S$26)*($D$23*$FH29+(1-$D$23)*S$25),"")</f>
        <v/>
      </c>
      <c r="T76" s="18">
        <f>IFERROR(T29*$FG29*(1+($FI29-1)*T$26)*($D$23*$FH29+(1-$D$23)*T$25),"")</f>
        <v/>
      </c>
      <c r="U76" s="18">
        <f>IFERROR(U29*$FG29*(1+($FI29-1)*U$26)*($D$23*$FH29+(1-$D$23)*U$25),"")</f>
        <v/>
      </c>
      <c r="V76" s="18">
        <f>IFERROR(V29*$FG29*(1+($FI29-1)*V$26)*($D$23*$FH29+(1-$D$23)*V$25),"")</f>
        <v/>
      </c>
      <c r="W76" s="18">
        <f>IFERROR(W29*$FG29*(1+($FI29-1)*W$26)*($D$23*$FH29+(1-$D$23)*W$25),"")</f>
        <v/>
      </c>
      <c r="X76" s="18">
        <f>IFERROR(X29*$FG29*(1+($FI29-1)*X$26)*($D$23*$FH29+(1-$D$23)*X$25),"")</f>
        <v/>
      </c>
      <c r="Y76" s="18">
        <f>IFERROR(Y29*$FG29*(1+($FI29-1)*Y$26)*($D$23*$FH29+(1-$D$23)*Y$25),"")</f>
        <v/>
      </c>
      <c r="Z76" s="18">
        <f>IFERROR(Z29*$FG29*(1+($FI29-1)*Z$26)*($D$23*$FH29+(1-$D$23)*Z$25),"")</f>
        <v/>
      </c>
      <c r="AA76" s="18">
        <f>IFERROR(AA29*$FG29*(1+($FI29-1)*AA$26)*($D$23*$FH29+(1-$D$23)*AA$25),"")</f>
        <v/>
      </c>
      <c r="AB76" s="18">
        <f>IFERROR(AB29*$FG29*(1+($FI29-1)*AB$26)*($D$23*$FH29+(1-$D$23)*AB$25),"")</f>
        <v/>
      </c>
      <c r="AC76" s="18">
        <f>IFERROR(AC29*$FG29*(1+($FI29-1)*AC$26)*($D$23*$FH29+(1-$D$23)*AC$25),"")</f>
        <v/>
      </c>
      <c r="AD76" s="18">
        <f>IFERROR(AD29*$FG29*(1+($FI29-1)*AD$26)*($D$23*$FH29+(1-$D$23)*AD$25),"")</f>
        <v/>
      </c>
      <c r="AE76" s="18">
        <f>IFERROR(AE29*$FG29*(1+($FI29-1)*AE$26)*($D$23*$FH29+(1-$D$23)*AE$25),"")</f>
        <v/>
      </c>
      <c r="AF76" s="18">
        <f>IFERROR(AF29*$FG29*(1+($FI29-1)*AF$26)*($D$23*$FH29+(1-$D$23)*AF$25),"")</f>
        <v/>
      </c>
      <c r="AG76" s="18">
        <f>IFERROR(AG29*$FG29*(1+($FI29-1)*AG$26)*($D$23*$FH29+(1-$D$23)*AG$25),"")</f>
        <v/>
      </c>
      <c r="AH76" s="18">
        <f>IFERROR(AH29*$FG29*(1+($FI29-1)*AH$26)*($D$23*$FH29+(1-$D$23)*AH$25),"")</f>
        <v/>
      </c>
      <c r="AI76" s="18">
        <f>IFERROR(AI29*$FG29*(1+($FI29-1)*AI$26)*($D$23*$FH29+(1-$D$23)*AI$25),"")</f>
        <v/>
      </c>
      <c r="AJ76" s="18">
        <f>IFERROR(AJ29*$FG29*(1+($FI29-1)*AJ$26)*($D$23*$FH29+(1-$D$23)*AJ$25),"")</f>
        <v/>
      </c>
      <c r="AK76" s="18">
        <f>IFERROR(AK29*$FG29*(1+($FI29-1)*AK$26)*($D$23*$FH29+(1-$D$23)*AK$25),"")</f>
        <v/>
      </c>
      <c r="AL76" s="18">
        <f>IFERROR(AL29*$FG29*(1+($FI29-1)*AL$26)*($D$23*$FH29+(1-$D$23)*AL$25),"")</f>
        <v/>
      </c>
      <c r="AM76" s="18">
        <f>IFERROR(AM29*$FG29*(1+($FI29-1)*AM$26)*($D$23*$FH29+(1-$D$23)*AM$25),"")</f>
        <v/>
      </c>
      <c r="AN76" s="18">
        <f>IFERROR(AN29*$FG29*(1+($FI29-1)*AN$26)*($D$23*$FH29+(1-$D$23)*AN$25),"")</f>
        <v/>
      </c>
    </row>
    <row r="77">
      <c r="A77" t="inlineStr">
        <is>
          <t>20251103800145</t>
        </is>
      </c>
      <c r="B77" t="inlineStr">
        <is>
          <t>OTHER</t>
        </is>
      </c>
      <c r="D77" t="inlineStr">
        <is>
          <t>부천 역곡동 46번지 일원 가로주택정비사업 공사</t>
        </is>
      </c>
      <c r="Y77" s="18">
        <f>IFERROR(Y30*$FG30*(1+($FI30-1)*Y$26)*($D$23*$FH30+(1-$D$23)*Y$25),"")</f>
        <v/>
      </c>
      <c r="Z77" s="18">
        <f>IFERROR(Z30*$FG30*(1+($FI30-1)*Z$26)*($D$23*$FH30+(1-$D$23)*Z$25),"")</f>
        <v/>
      </c>
      <c r="AA77" s="18">
        <f>IFERROR(AA30*$FG30*(1+($FI30-1)*AA$26)*($D$23*$FH30+(1-$D$23)*AA$25),"")</f>
        <v/>
      </c>
      <c r="AB77" s="18">
        <f>IFERROR(AB30*$FG30*(1+($FI30-1)*AB$26)*($D$23*$FH30+(1-$D$23)*AB$25),"")</f>
        <v/>
      </c>
      <c r="AC77" s="18">
        <f>IFERROR(AC30*$FG30*(1+($FI30-1)*AC$26)*($D$23*$FH30+(1-$D$23)*AC$25),"")</f>
        <v/>
      </c>
      <c r="AD77" s="18">
        <f>IFERROR(AD30*$FG30*(1+($FI30-1)*AD$26)*($D$23*$FH30+(1-$D$23)*AD$25),"")</f>
        <v/>
      </c>
      <c r="AE77" s="18">
        <f>IFERROR(AE30*$FG30*(1+($FI30-1)*AE$26)*($D$23*$FH30+(1-$D$23)*AE$25),"")</f>
        <v/>
      </c>
      <c r="AF77" s="18">
        <f>IFERROR(AF30*$FG30*(1+($FI30-1)*AF$26)*($D$23*$FH30+(1-$D$23)*AF$25),"")</f>
        <v/>
      </c>
      <c r="AG77" s="18">
        <f>IFERROR(AG30*$FG30*(1+($FI30-1)*AG$26)*($D$23*$FH30+(1-$D$23)*AG$25),"")</f>
        <v/>
      </c>
      <c r="AH77" s="18">
        <f>IFERROR(AH30*$FG30*(1+($FI30-1)*AH$26)*($D$23*$FH30+(1-$D$23)*AH$25),"")</f>
        <v/>
      </c>
      <c r="AI77" s="18">
        <f>IFERROR(AI30*$FG30*(1+($FI30-1)*AI$26)*($D$23*$FH30+(1-$D$23)*AI$25),"")</f>
        <v/>
      </c>
      <c r="AJ77" s="18">
        <f>IFERROR(AJ30*$FG30*(1+($FI30-1)*AJ$26)*($D$23*$FH30+(1-$D$23)*AJ$25),"")</f>
        <v/>
      </c>
      <c r="AK77" s="18">
        <f>IFERROR(AK30*$FG30*(1+($FI30-1)*AK$26)*($D$23*$FH30+(1-$D$23)*AK$25),"")</f>
        <v/>
      </c>
      <c r="AL77" s="18">
        <f>IFERROR(AL30*$FG30*(1+($FI30-1)*AL$26)*($D$23*$FH30+(1-$D$23)*AL$25),"")</f>
        <v/>
      </c>
      <c r="AM77" s="18">
        <f>IFERROR(AM30*$FG30*(1+($FI30-1)*AM$26)*($D$23*$FH30+(1-$D$23)*AM$25),"")</f>
        <v/>
      </c>
      <c r="AN77" s="18">
        <f>IFERROR(AN30*$FG30*(1+($FI30-1)*AN$26)*($D$23*$FH30+(1-$D$23)*AN$25),"")</f>
        <v/>
      </c>
      <c r="AO77" s="18">
        <f>IFERROR(AO30*$FG30*(1+($FI30-1)*AO$26)*($D$23*$FH30+(1-$D$23)*AO$25),"")</f>
        <v/>
      </c>
      <c r="AP77" s="18">
        <f>IFERROR(AP30*$FG30*(1+($FI30-1)*AP$26)*($D$23*$FH30+(1-$D$23)*AP$25),"")</f>
        <v/>
      </c>
      <c r="AQ77" s="18">
        <f>IFERROR(AQ30*$FG30*(1+($FI30-1)*AQ$26)*($D$23*$FH30+(1-$D$23)*AQ$25),"")</f>
        <v/>
      </c>
    </row>
    <row r="78">
      <c r="A78" t="inlineStr">
        <is>
          <t>20251110800052</t>
        </is>
      </c>
      <c r="B78" t="inlineStr">
        <is>
          <t>OTHER</t>
        </is>
      </c>
      <c r="D78" t="inlineStr">
        <is>
          <t>부산공동어시장 현대화사업</t>
        </is>
      </c>
      <c r="AI78" s="18">
        <f>IFERROR(AI31*$FG31*(1+($FI31-1)*AI$26)*($D$23*$FH31+(1-$D$23)*AI$25),"")</f>
        <v/>
      </c>
      <c r="AJ78" s="18">
        <f>IFERROR(AJ31*$FG31*(1+($FI31-1)*AJ$26)*($D$23*$FH31+(1-$D$23)*AJ$25),"")</f>
        <v/>
      </c>
      <c r="AK78" s="18">
        <f>IFERROR(AK31*$FG31*(1+($FI31-1)*AK$26)*($D$23*$FH31+(1-$D$23)*AK$25),"")</f>
        <v/>
      </c>
      <c r="AL78" s="18">
        <f>IFERROR(AL31*$FG31*(1+($FI31-1)*AL$26)*($D$23*$FH31+(1-$D$23)*AL$25),"")</f>
        <v/>
      </c>
      <c r="AM78" s="18">
        <f>IFERROR(AM31*$FG31*(1+($FI31-1)*AM$26)*($D$23*$FH31+(1-$D$23)*AM$25),"")</f>
        <v/>
      </c>
      <c r="AN78" s="18">
        <f>IFERROR(AN31*$FG31*(1+($FI31-1)*AN$26)*($D$23*$FH31+(1-$D$23)*AN$25),"")</f>
        <v/>
      </c>
      <c r="AO78" s="18">
        <f>IFERROR(AO31*$FG31*(1+($FI31-1)*AO$26)*($D$23*$FH31+(1-$D$23)*AO$25),"")</f>
        <v/>
      </c>
      <c r="AP78" s="18">
        <f>IFERROR(AP31*$FG31*(1+($FI31-1)*AP$26)*($D$23*$FH31+(1-$D$23)*AP$25),"")</f>
        <v/>
      </c>
      <c r="AQ78" s="18">
        <f>IFERROR(AQ31*$FG31*(1+($FI31-1)*AQ$26)*($D$23*$FH31+(1-$D$23)*AQ$25),"")</f>
        <v/>
      </c>
      <c r="AR78" s="18">
        <f>IFERROR(AR31*$FG31*(1+($FI31-1)*AR$26)*($D$23*$FH31+(1-$D$23)*AR$25),"")</f>
        <v/>
      </c>
      <c r="AS78" s="18">
        <f>IFERROR(AS31*$FG31*(1+($FI31-1)*AS$26)*($D$23*$FH31+(1-$D$23)*AS$25),"")</f>
        <v/>
      </c>
      <c r="AT78" s="18">
        <f>IFERROR(AT31*$FG31*(1+($FI31-1)*AT$26)*($D$23*$FH31+(1-$D$23)*AT$25),"")</f>
        <v/>
      </c>
      <c r="AU78" s="18">
        <f>IFERROR(AU31*$FG31*(1+($FI31-1)*AU$26)*($D$23*$FH31+(1-$D$23)*AU$25),"")</f>
        <v/>
      </c>
      <c r="AV78" s="18">
        <f>IFERROR(AV31*$FG31*(1+($FI31-1)*AV$26)*($D$23*$FH31+(1-$D$23)*AV$25),"")</f>
        <v/>
      </c>
      <c r="AW78" s="18">
        <f>IFERROR(AW31*$FG31*(1+($FI31-1)*AW$26)*($D$23*$FH31+(1-$D$23)*AW$25),"")</f>
        <v/>
      </c>
      <c r="AX78" s="18">
        <f>IFERROR(AX31*$FG31*(1+($FI31-1)*AX$26)*($D$23*$FH31+(1-$D$23)*AX$25),"")</f>
        <v/>
      </c>
      <c r="AY78" s="18">
        <f>IFERROR(AY31*$FG31*(1+($FI31-1)*AY$26)*($D$23*$FH31+(1-$D$23)*AY$25),"")</f>
        <v/>
      </c>
    </row>
    <row r="79">
      <c r="A79" t="inlineStr">
        <is>
          <t>20251126800540</t>
        </is>
      </c>
      <c r="B79" t="inlineStr">
        <is>
          <t>OTHER</t>
        </is>
      </c>
      <c r="D79" t="inlineStr">
        <is>
          <t>합동해안양륙군수지원(JLOTS)체계 상세설계 및 함건조</t>
        </is>
      </c>
      <c r="W79" s="18">
        <f>IFERROR(W32*$FG32*(1+($FI32-1)*W$26)*($D$23*$FH32+(1-$D$23)*W$25),"")</f>
        <v/>
      </c>
      <c r="X79" s="18">
        <f>IFERROR(X32*$FG32*(1+($FI32-1)*X$26)*($D$23*$FH32+(1-$D$23)*X$25),"")</f>
        <v/>
      </c>
      <c r="Y79" s="18">
        <f>IFERROR(Y32*$FG32*(1+($FI32-1)*Y$26)*($D$23*$FH32+(1-$D$23)*Y$25),"")</f>
        <v/>
      </c>
      <c r="Z79" s="18">
        <f>IFERROR(Z32*$FG32*(1+($FI32-1)*Z$26)*($D$23*$FH32+(1-$D$23)*Z$25),"")</f>
        <v/>
      </c>
      <c r="AA79" s="18">
        <f>IFERROR(AA32*$FG32*(1+($FI32-1)*AA$26)*($D$23*$FH32+(1-$D$23)*AA$25),"")</f>
        <v/>
      </c>
      <c r="AB79" s="18">
        <f>IFERROR(AB32*$FG32*(1+($FI32-1)*AB$26)*($D$23*$FH32+(1-$D$23)*AB$25),"")</f>
        <v/>
      </c>
      <c r="AC79" s="18">
        <f>IFERROR(AC32*$FG32*(1+($FI32-1)*AC$26)*($D$23*$FH32+(1-$D$23)*AC$25),"")</f>
        <v/>
      </c>
      <c r="AD79" s="18">
        <f>IFERROR(AD32*$FG32*(1+($FI32-1)*AD$26)*($D$23*$FH32+(1-$D$23)*AD$25),"")</f>
        <v/>
      </c>
      <c r="AE79" s="18">
        <f>IFERROR(AE32*$FG32*(1+($FI32-1)*AE$26)*($D$23*$FH32+(1-$D$23)*AE$25),"")</f>
        <v/>
      </c>
      <c r="AF79" s="18">
        <f>IFERROR(AF32*$FG32*(1+($FI32-1)*AF$26)*($D$23*$FH32+(1-$D$23)*AF$25),"")</f>
        <v/>
      </c>
      <c r="AG79" s="18">
        <f>IFERROR(AG32*$FG32*(1+($FI32-1)*AG$26)*($D$23*$FH32+(1-$D$23)*AG$25),"")</f>
        <v/>
      </c>
      <c r="AH79" s="18">
        <f>IFERROR(AH32*$FG32*(1+($FI32-1)*AH$26)*($D$23*$FH32+(1-$D$23)*AH$25),"")</f>
        <v/>
      </c>
      <c r="AI79" s="18">
        <f>IFERROR(AI32*$FG32*(1+($FI32-1)*AI$26)*($D$23*$FH32+(1-$D$23)*AI$25),"")</f>
        <v/>
      </c>
      <c r="AJ79" s="18">
        <f>IFERROR(AJ32*$FG32*(1+($FI32-1)*AJ$26)*($D$23*$FH32+(1-$D$23)*AJ$25),"")</f>
        <v/>
      </c>
      <c r="AK79" s="18">
        <f>IFERROR(AK32*$FG32*(1+($FI32-1)*AK$26)*($D$23*$FH32+(1-$D$23)*AK$25),"")</f>
        <v/>
      </c>
      <c r="AL79" s="18">
        <f>IFERROR(AL32*$FG32*(1+($FI32-1)*AL$26)*($D$23*$FH32+(1-$D$23)*AL$25),"")</f>
        <v/>
      </c>
      <c r="AM79" s="18">
        <f>IFERROR(AM32*$FG32*(1+($FI32-1)*AM$26)*($D$23*$FH32+(1-$D$23)*AM$25),"")</f>
        <v/>
      </c>
      <c r="AN79" s="18">
        <f>IFERROR(AN32*$FG32*(1+($FI32-1)*AN$26)*($D$23*$FH32+(1-$D$23)*AN$25),"")</f>
        <v/>
      </c>
      <c r="AO79" s="18">
        <f>IFERROR(AO32*$FG32*(1+($FI32-1)*AO$26)*($D$23*$FH32+(1-$D$23)*AO$25),"")</f>
        <v/>
      </c>
    </row>
    <row r="80">
      <c r="A80" t="inlineStr">
        <is>
          <t>20251127800440</t>
        </is>
      </c>
      <c r="B80" t="inlineStr">
        <is>
          <t>OTHER</t>
        </is>
      </c>
      <c r="D80" t="inlineStr">
        <is>
          <t>과천갈현A-1BL 및 의왕군포안산 A1-3BL 민간참여 공공주택건설사업</t>
        </is>
      </c>
      <c r="AI80" s="18">
        <f>IFERROR(AI33*$FG33*(1+($FI33-1)*AI$26)*($D$23*$FH33+(1-$D$23)*AI$25),"")</f>
        <v/>
      </c>
      <c r="AJ80" s="18">
        <f>IFERROR(AJ33*$FG33*(1+($FI33-1)*AJ$26)*($D$23*$FH33+(1-$D$23)*AJ$25),"")</f>
        <v/>
      </c>
      <c r="AK80" s="18">
        <f>IFERROR(AK33*$FG33*(1+($FI33-1)*AK$26)*($D$23*$FH33+(1-$D$23)*AK$25),"")</f>
        <v/>
      </c>
      <c r="AL80" s="18">
        <f>IFERROR(AL33*$FG33*(1+($FI33-1)*AL$26)*($D$23*$FH33+(1-$D$23)*AL$25),"")</f>
        <v/>
      </c>
      <c r="AM80" s="18">
        <f>IFERROR(AM33*$FG33*(1+($FI33-1)*AM$26)*($D$23*$FH33+(1-$D$23)*AM$25),"")</f>
        <v/>
      </c>
      <c r="AN80" s="18">
        <f>IFERROR(AN33*$FG33*(1+($FI33-1)*AN$26)*($D$23*$FH33+(1-$D$23)*AN$25),"")</f>
        <v/>
      </c>
      <c r="AO80" s="18">
        <f>IFERROR(AO33*$FG33*(1+($FI33-1)*AO$26)*($D$23*$FH33+(1-$D$23)*AO$25),"")</f>
        <v/>
      </c>
      <c r="AP80" s="18">
        <f>IFERROR(AP33*$FG33*(1+($FI33-1)*AP$26)*($D$23*$FH33+(1-$D$23)*AP$25),"")</f>
        <v/>
      </c>
      <c r="AQ80" s="18">
        <f>IFERROR(AQ33*$FG33*(1+($FI33-1)*AQ$26)*($D$23*$FH33+(1-$D$23)*AQ$25),"")</f>
        <v/>
      </c>
      <c r="AR80" s="18">
        <f>IFERROR(AR33*$FG33*(1+($FI33-1)*AR$26)*($D$23*$FH33+(1-$D$23)*AR$25),"")</f>
        <v/>
      </c>
      <c r="AS80" s="18">
        <f>IFERROR(AS33*$FG33*(1+($FI33-1)*AS$26)*($D$23*$FH33+(1-$D$23)*AS$25),"")</f>
        <v/>
      </c>
      <c r="AT80" s="18">
        <f>IFERROR(AT33*$FG33*(1+($FI33-1)*AT$26)*($D$23*$FH33+(1-$D$23)*AT$25),"")</f>
        <v/>
      </c>
      <c r="AU80" s="18">
        <f>IFERROR(AU33*$FG33*(1+($FI33-1)*AU$26)*($D$23*$FH33+(1-$D$23)*AU$25),"")</f>
        <v/>
      </c>
      <c r="AV80" s="18">
        <f>IFERROR(AV33*$FG33*(1+($FI33-1)*AV$26)*($D$23*$FH33+(1-$D$23)*AV$25),"")</f>
        <v/>
      </c>
      <c r="AW80" s="18">
        <f>IFERROR(AW33*$FG33*(1+($FI33-1)*AW$26)*($D$23*$FH33+(1-$D$23)*AW$25),"")</f>
        <v/>
      </c>
      <c r="AX80" s="18">
        <f>IFERROR(AX33*$FG33*(1+($FI33-1)*AX$26)*($D$23*$FH33+(1-$D$23)*AX$25),"")</f>
        <v/>
      </c>
      <c r="AY80" s="18">
        <f>IFERROR(AY33*$FG33*(1+($FI33-1)*AY$26)*($D$23*$FH33+(1-$D$23)*AY$25),"")</f>
        <v/>
      </c>
      <c r="AZ80" s="18">
        <f>IFERROR(AZ33*$FG33*(1+($FI33-1)*AZ$26)*($D$23*$FH33+(1-$D$23)*AZ$25),"")</f>
        <v/>
      </c>
      <c r="BA80" s="18">
        <f>IFERROR(BA33*$FG33*(1+($FI33-1)*BA$26)*($D$23*$FH33+(1-$D$23)*BA$25),"")</f>
        <v/>
      </c>
      <c r="BB80" s="18">
        <f>IFERROR(BB33*$FG33*(1+($FI33-1)*BB$26)*($D$23*$FH33+(1-$D$23)*BB$25),"")</f>
        <v/>
      </c>
      <c r="BC80" s="18">
        <f>IFERROR(BC33*$FG33*(1+($FI33-1)*BC$26)*($D$23*$FH33+(1-$D$23)*BC$25),"")</f>
        <v/>
      </c>
      <c r="BD80" s="18">
        <f>IFERROR(BD33*$FG33*(1+($FI33-1)*BD$26)*($D$23*$FH33+(1-$D$23)*BD$25),"")</f>
        <v/>
      </c>
      <c r="BE80" s="18">
        <f>IFERROR(BE33*$FG33*(1+($FI33-1)*BE$26)*($D$23*$FH33+(1-$D$23)*BE$25),"")</f>
        <v/>
      </c>
      <c r="BF80" s="18">
        <f>IFERROR(BF33*$FG33*(1+($FI33-1)*BF$26)*($D$23*$FH33+(1-$D$23)*BF$25),"")</f>
        <v/>
      </c>
      <c r="BG80" s="18">
        <f>IFERROR(BG33*$FG33*(1+($FI33-1)*BG$26)*($D$23*$FH33+(1-$D$23)*BG$25),"")</f>
        <v/>
      </c>
      <c r="BH80" s="18">
        <f>IFERROR(BH33*$FG33*(1+($FI33-1)*BH$26)*($D$23*$FH33+(1-$D$23)*BH$25),"")</f>
        <v/>
      </c>
      <c r="BI80" s="18">
        <f>IFERROR(BI33*$FG33*(1+($FI33-1)*BI$26)*($D$23*$FH33+(1-$D$23)*BI$25),"")</f>
        <v/>
      </c>
      <c r="BJ80" s="18">
        <f>IFERROR(BJ33*$FG33*(1+($FI33-1)*BJ$26)*($D$23*$FH33+(1-$D$23)*BJ$25),"")</f>
        <v/>
      </c>
      <c r="BK80" s="18">
        <f>IFERROR(BK33*$FG33*(1+($FI33-1)*BK$26)*($D$23*$FH33+(1-$D$23)*BK$25),"")</f>
        <v/>
      </c>
      <c r="BL80" s="18">
        <f>IFERROR(BL33*$FG33*(1+($FI33-1)*BL$26)*($D$23*$FH33+(1-$D$23)*BL$25),"")</f>
        <v/>
      </c>
      <c r="BM80" s="18">
        <f>IFERROR(BM33*$FG33*(1+($FI33-1)*BM$26)*($D$23*$FH33+(1-$D$23)*BM$25),"")</f>
        <v/>
      </c>
      <c r="BN80" s="18">
        <f>IFERROR(BN33*$FG33*(1+($FI33-1)*BN$26)*($D$23*$FH33+(1-$D$23)*BN$25),"")</f>
        <v/>
      </c>
      <c r="BO80" s="18">
        <f>IFERROR(BO33*$FG33*(1+($FI33-1)*BO$26)*($D$23*$FH33+(1-$D$23)*BO$25),"")</f>
        <v/>
      </c>
      <c r="BP80" s="18">
        <f>IFERROR(BP33*$FG33*(1+($FI33-1)*BP$26)*($D$23*$FH33+(1-$D$23)*BP$25),"")</f>
        <v/>
      </c>
      <c r="BQ80" s="18">
        <f>IFERROR(BQ33*$FG33*(1+($FI33-1)*BQ$26)*($D$23*$FH33+(1-$D$23)*BQ$25),"")</f>
        <v/>
      </c>
    </row>
    <row r="81">
      <c r="A81" t="inlineStr">
        <is>
          <t>20251127800601</t>
        </is>
      </c>
      <c r="B81" t="inlineStr">
        <is>
          <t>OTHER</t>
        </is>
      </c>
      <c r="D81" t="inlineStr">
        <is>
          <t>평택지역 전기공급시설 전력구공사(신평택-고덕#3) 1공구</t>
        </is>
      </c>
      <c r="AI81" s="18">
        <f>IFERROR(AI34*$FG34*(1+($FI34-1)*AI$26)*($D$23*$FH34+(1-$D$23)*AI$25),"")</f>
        <v/>
      </c>
      <c r="AJ81" s="18">
        <f>IFERROR(AJ34*$FG34*(1+($FI34-1)*AJ$26)*($D$23*$FH34+(1-$D$23)*AJ$25),"")</f>
        <v/>
      </c>
      <c r="AK81" s="18">
        <f>IFERROR(AK34*$FG34*(1+($FI34-1)*AK$26)*($D$23*$FH34+(1-$D$23)*AK$25),"")</f>
        <v/>
      </c>
      <c r="AL81" s="18">
        <f>IFERROR(AL34*$FG34*(1+($FI34-1)*AL$26)*($D$23*$FH34+(1-$D$23)*AL$25),"")</f>
        <v/>
      </c>
      <c r="AM81" s="18">
        <f>IFERROR(AM34*$FG34*(1+($FI34-1)*AM$26)*($D$23*$FH34+(1-$D$23)*AM$25),"")</f>
        <v/>
      </c>
      <c r="AN81" s="18">
        <f>IFERROR(AN34*$FG34*(1+($FI34-1)*AN$26)*($D$23*$FH34+(1-$D$23)*AN$25),"")</f>
        <v/>
      </c>
      <c r="AO81" s="18">
        <f>IFERROR(AO34*$FG34*(1+($FI34-1)*AO$26)*($D$23*$FH34+(1-$D$23)*AO$25),"")</f>
        <v/>
      </c>
      <c r="AP81" s="18">
        <f>IFERROR(AP34*$FG34*(1+($FI34-1)*AP$26)*($D$23*$FH34+(1-$D$23)*AP$25),"")</f>
        <v/>
      </c>
      <c r="AQ81" s="18">
        <f>IFERROR(AQ34*$FG34*(1+($FI34-1)*AQ$26)*($D$23*$FH34+(1-$D$23)*AQ$25),"")</f>
        <v/>
      </c>
      <c r="AR81" s="18">
        <f>IFERROR(AR34*$FG34*(1+($FI34-1)*AR$26)*($D$23*$FH34+(1-$D$23)*AR$25),"")</f>
        <v/>
      </c>
      <c r="AS81" s="18">
        <f>IFERROR(AS34*$FG34*(1+($FI34-1)*AS$26)*($D$23*$FH34+(1-$D$23)*AS$25),"")</f>
        <v/>
      </c>
      <c r="AT81" s="18">
        <f>IFERROR(AT34*$FG34*(1+($FI34-1)*AT$26)*($D$23*$FH34+(1-$D$23)*AT$25),"")</f>
        <v/>
      </c>
      <c r="AU81" s="18">
        <f>IFERROR(AU34*$FG34*(1+($FI34-1)*AU$26)*($D$23*$FH34+(1-$D$23)*AU$25),"")</f>
        <v/>
      </c>
      <c r="AV81" s="18">
        <f>IFERROR(AV34*$FG34*(1+($FI34-1)*AV$26)*($D$23*$FH34+(1-$D$23)*AV$25),"")</f>
        <v/>
      </c>
      <c r="AW81" s="18">
        <f>IFERROR(AW34*$FG34*(1+($FI34-1)*AW$26)*($D$23*$FH34+(1-$D$23)*AW$25),"")</f>
        <v/>
      </c>
      <c r="AX81" s="18">
        <f>IFERROR(AX34*$FG34*(1+($FI34-1)*AX$26)*($D$23*$FH34+(1-$D$23)*AX$25),"")</f>
        <v/>
      </c>
      <c r="AY81" s="18">
        <f>IFERROR(AY34*$FG34*(1+($FI34-1)*AY$26)*($D$23*$FH34+(1-$D$23)*AY$25),"")</f>
        <v/>
      </c>
    </row>
    <row r="82">
      <c r="A82" t="inlineStr">
        <is>
          <t>20251205800202</t>
        </is>
      </c>
      <c r="B82" t="inlineStr">
        <is>
          <t>OTHER</t>
        </is>
      </c>
      <c r="D82" t="inlineStr">
        <is>
          <t>엄궁대교 건설공사</t>
        </is>
      </c>
      <c r="AE82" s="18">
        <f>IFERROR(AE35*$FG35*(1+($FI35-1)*AE$26)*($D$23*$FH35+(1-$D$23)*AE$25),"")</f>
        <v/>
      </c>
      <c r="AF82" s="18">
        <f>IFERROR(AF35*$FG35*(1+($FI35-1)*AF$26)*($D$23*$FH35+(1-$D$23)*AF$25),"")</f>
        <v/>
      </c>
      <c r="AG82" s="18">
        <f>IFERROR(AG35*$FG35*(1+($FI35-1)*AG$26)*($D$23*$FH35+(1-$D$23)*AG$25),"")</f>
        <v/>
      </c>
      <c r="AH82" s="18">
        <f>IFERROR(AH35*$FG35*(1+($FI35-1)*AH$26)*($D$23*$FH35+(1-$D$23)*AH$25),"")</f>
        <v/>
      </c>
      <c r="AI82" s="18">
        <f>IFERROR(AI35*$FG35*(1+($FI35-1)*AI$26)*($D$23*$FH35+(1-$D$23)*AI$25),"")</f>
        <v/>
      </c>
      <c r="AJ82" s="18">
        <f>IFERROR(AJ35*$FG35*(1+($FI35-1)*AJ$26)*($D$23*$FH35+(1-$D$23)*AJ$25),"")</f>
        <v/>
      </c>
      <c r="AK82" s="18">
        <f>IFERROR(AK35*$FG35*(1+($FI35-1)*AK$26)*($D$23*$FH35+(1-$D$23)*AK$25),"")</f>
        <v/>
      </c>
      <c r="AL82" s="18">
        <f>IFERROR(AL35*$FG35*(1+($FI35-1)*AL$26)*($D$23*$FH35+(1-$D$23)*AL$25),"")</f>
        <v/>
      </c>
      <c r="AM82" s="18">
        <f>IFERROR(AM35*$FG35*(1+($FI35-1)*AM$26)*($D$23*$FH35+(1-$D$23)*AM$25),"")</f>
        <v/>
      </c>
      <c r="AN82" s="18">
        <f>IFERROR(AN35*$FG35*(1+($FI35-1)*AN$26)*($D$23*$FH35+(1-$D$23)*AN$25),"")</f>
        <v/>
      </c>
      <c r="AO82" s="18">
        <f>IFERROR(AO35*$FG35*(1+($FI35-1)*AO$26)*($D$23*$FH35+(1-$D$23)*AO$25),"")</f>
        <v/>
      </c>
      <c r="AP82" s="18">
        <f>IFERROR(AP35*$FG35*(1+($FI35-1)*AP$26)*($D$23*$FH35+(1-$D$23)*AP$25),"")</f>
        <v/>
      </c>
      <c r="AQ82" s="18">
        <f>IFERROR(AQ35*$FG35*(1+($FI35-1)*AQ$26)*($D$23*$FH35+(1-$D$23)*AQ$25),"")</f>
        <v/>
      </c>
      <c r="AR82" s="18">
        <f>IFERROR(AR35*$FG35*(1+($FI35-1)*AR$26)*($D$23*$FH35+(1-$D$23)*AR$25),"")</f>
        <v/>
      </c>
      <c r="AS82" s="18">
        <f>IFERROR(AS35*$FG35*(1+($FI35-1)*AS$26)*($D$23*$FH35+(1-$D$23)*AS$25),"")</f>
        <v/>
      </c>
      <c r="AT82" s="18">
        <f>IFERROR(AT35*$FG35*(1+($FI35-1)*AT$26)*($D$23*$FH35+(1-$D$23)*AT$25),"")</f>
        <v/>
      </c>
      <c r="AU82" s="18">
        <f>IFERROR(AU35*$FG35*(1+($FI35-1)*AU$26)*($D$23*$FH35+(1-$D$23)*AU$25),"")</f>
        <v/>
      </c>
      <c r="AV82" s="18">
        <f>IFERROR(AV35*$FG35*(1+($FI35-1)*AV$26)*($D$23*$FH35+(1-$D$23)*AV$25),"")</f>
        <v/>
      </c>
      <c r="AW82" s="18">
        <f>IFERROR(AW35*$FG35*(1+($FI35-1)*AW$26)*($D$23*$FH35+(1-$D$23)*AW$25),"")</f>
        <v/>
      </c>
      <c r="AX82" s="18">
        <f>IFERROR(AX35*$FG35*(1+($FI35-1)*AX$26)*($D$23*$FH35+(1-$D$23)*AX$25),"")</f>
        <v/>
      </c>
      <c r="AY82" s="18">
        <f>IFERROR(AY35*$FG35*(1+($FI35-1)*AY$26)*($D$23*$FH35+(1-$D$23)*AY$25),"")</f>
        <v/>
      </c>
      <c r="AZ82" s="18">
        <f>IFERROR(AZ35*$FG35*(1+($FI35-1)*AZ$26)*($D$23*$FH35+(1-$D$23)*AZ$25),"")</f>
        <v/>
      </c>
    </row>
    <row r="83">
      <c r="A83" t="inlineStr">
        <is>
          <t>20251217800479</t>
        </is>
      </c>
      <c r="B83" t="inlineStr">
        <is>
          <t>NAVAL</t>
        </is>
      </c>
      <c r="D83" t="inlineStr">
        <is>
          <t>검독수리 Batch-II 후속함(13~16번함)</t>
        </is>
      </c>
      <c r="AI83" s="18">
        <f>IFERROR(AI36*$FG36*(1+($FI36-1)*AI$26)*($D$23*$FH36+(1-$D$23)*AI$25),"")</f>
        <v/>
      </c>
      <c r="AJ83" s="18">
        <f>IFERROR(AJ36*$FG36*(1+($FI36-1)*AJ$26)*($D$23*$FH36+(1-$D$23)*AJ$25),"")</f>
        <v/>
      </c>
      <c r="AK83" s="18">
        <f>IFERROR(AK36*$FG36*(1+($FI36-1)*AK$26)*($D$23*$FH36+(1-$D$23)*AK$25),"")</f>
        <v/>
      </c>
      <c r="AL83" s="18">
        <f>IFERROR(AL36*$FG36*(1+($FI36-1)*AL$26)*($D$23*$FH36+(1-$D$23)*AL$25),"")</f>
        <v/>
      </c>
      <c r="AM83" s="18">
        <f>IFERROR(AM36*$FG36*(1+($FI36-1)*AM$26)*($D$23*$FH36+(1-$D$23)*AM$25),"")</f>
        <v/>
      </c>
      <c r="AN83" s="18">
        <f>IFERROR(AN36*$FG36*(1+($FI36-1)*AN$26)*($D$23*$FH36+(1-$D$23)*AN$25),"")</f>
        <v/>
      </c>
      <c r="AO83" s="18">
        <f>IFERROR(AO36*$FG36*(1+($FI36-1)*AO$26)*($D$23*$FH36+(1-$D$23)*AO$25),"")</f>
        <v/>
      </c>
      <c r="AP83" s="18">
        <f>IFERROR(AP36*$FG36*(1+($FI36-1)*AP$26)*($D$23*$FH36+(1-$D$23)*AP$25),"")</f>
        <v/>
      </c>
      <c r="AQ83" s="18">
        <f>IFERROR(AQ36*$FG36*(1+($FI36-1)*AQ$26)*($D$23*$FH36+(1-$D$23)*AQ$25),"")</f>
        <v/>
      </c>
      <c r="AR83" s="18">
        <f>IFERROR(AR36*$FG36*(1+($FI36-1)*AR$26)*($D$23*$FH36+(1-$D$23)*AR$25),"")</f>
        <v/>
      </c>
      <c r="AS83" s="18">
        <f>IFERROR(AS36*$FG36*(1+($FI36-1)*AS$26)*($D$23*$FH36+(1-$D$23)*AS$25),"")</f>
        <v/>
      </c>
      <c r="AT83" s="18">
        <f>IFERROR(AT36*$FG36*(1+($FI36-1)*AT$26)*($D$23*$FH36+(1-$D$23)*AT$25),"")</f>
        <v/>
      </c>
      <c r="AU83" s="18">
        <f>IFERROR(AU36*$FG36*(1+($FI36-1)*AU$26)*($D$23*$FH36+(1-$D$23)*AU$25),"")</f>
        <v/>
      </c>
      <c r="AV83" s="18">
        <f>IFERROR(AV36*$FG36*(1+($FI36-1)*AV$26)*($D$23*$FH36+(1-$D$23)*AV$25),"")</f>
        <v/>
      </c>
      <c r="AW83" s="18">
        <f>IFERROR(AW36*$FG36*(1+($FI36-1)*AW$26)*($D$23*$FH36+(1-$D$23)*AW$25),"")</f>
        <v/>
      </c>
      <c r="AX83" s="18">
        <f>IFERROR(AX36*$FG36*(1+($FI36-1)*AX$26)*($D$23*$FH36+(1-$D$23)*AX$25),"")</f>
        <v/>
      </c>
      <c r="AY83" s="18">
        <f>IFERROR(AY36*$FG36*(1+($FI36-1)*AY$26)*($D$23*$FH36+(1-$D$23)*AY$25),"")</f>
        <v/>
      </c>
    </row>
    <row r="84">
      <c r="A84" t="inlineStr">
        <is>
          <t>20251222800631</t>
        </is>
      </c>
      <c r="B84" t="inlineStr">
        <is>
          <t>OTHER</t>
        </is>
      </c>
      <c r="D84" t="inlineStr">
        <is>
          <t>고속국도 제292호선 오송지선 건설공사</t>
        </is>
      </c>
      <c r="K84" s="18">
        <f>IFERROR(K37*$FG37*(1+($FI37-1)*K$26)*($D$23*$FH37+(1-$D$23)*K$25),"")</f>
        <v/>
      </c>
      <c r="L84" s="18">
        <f>IFERROR(L37*$FG37*(1+($FI37-1)*L$26)*($D$23*$FH37+(1-$D$23)*L$25),"")</f>
        <v/>
      </c>
      <c r="M84" s="18">
        <f>IFERROR(M37*$FG37*(1+($FI37-1)*M$26)*($D$23*$FH37+(1-$D$23)*M$25),"")</f>
        <v/>
      </c>
      <c r="N84" s="18">
        <f>IFERROR(N37*$FG37*(1+($FI37-1)*N$26)*($D$23*$FH37+(1-$D$23)*N$25),"")</f>
        <v/>
      </c>
      <c r="O84" s="18">
        <f>IFERROR(O37*$FG37*(1+($FI37-1)*O$26)*($D$23*$FH37+(1-$D$23)*O$25),"")</f>
        <v/>
      </c>
      <c r="P84" s="18">
        <f>IFERROR(P37*$FG37*(1+($FI37-1)*P$26)*($D$23*$FH37+(1-$D$23)*P$25),"")</f>
        <v/>
      </c>
      <c r="Q84" s="18">
        <f>IFERROR(Q37*$FG37*(1+($FI37-1)*Q$26)*($D$23*$FH37+(1-$D$23)*Q$25),"")</f>
        <v/>
      </c>
      <c r="R84" s="18">
        <f>IFERROR(R37*$FG37*(1+($FI37-1)*R$26)*($D$23*$FH37+(1-$D$23)*R$25),"")</f>
        <v/>
      </c>
      <c r="S84" s="18">
        <f>IFERROR(S37*$FG37*(1+($FI37-1)*S$26)*($D$23*$FH37+(1-$D$23)*S$25),"")</f>
        <v/>
      </c>
      <c r="T84" s="18">
        <f>IFERROR(T37*$FG37*(1+($FI37-1)*T$26)*($D$23*$FH37+(1-$D$23)*T$25),"")</f>
        <v/>
      </c>
      <c r="U84" s="18">
        <f>IFERROR(U37*$FG37*(1+($FI37-1)*U$26)*($D$23*$FH37+(1-$D$23)*U$25),"")</f>
        <v/>
      </c>
      <c r="V84" s="18">
        <f>IFERROR(V37*$FG37*(1+($FI37-1)*V$26)*($D$23*$FH37+(1-$D$23)*V$25),"")</f>
        <v/>
      </c>
      <c r="W84" s="18">
        <f>IFERROR(W37*$FG37*(1+($FI37-1)*W$26)*($D$23*$FH37+(1-$D$23)*W$25),"")</f>
        <v/>
      </c>
      <c r="X84" s="18">
        <f>IFERROR(X37*$FG37*(1+($FI37-1)*X$26)*($D$23*$FH37+(1-$D$23)*X$25),"")</f>
        <v/>
      </c>
      <c r="Y84" s="18">
        <f>IFERROR(Y37*$FG37*(1+($FI37-1)*Y$26)*($D$23*$FH37+(1-$D$23)*Y$25),"")</f>
        <v/>
      </c>
      <c r="Z84" s="18">
        <f>IFERROR(Z37*$FG37*(1+($FI37-1)*Z$26)*($D$23*$FH37+(1-$D$23)*Z$25),"")</f>
        <v/>
      </c>
      <c r="AA84" s="18">
        <f>IFERROR(AA37*$FG37*(1+($FI37-1)*AA$26)*($D$23*$FH37+(1-$D$23)*AA$25),"")</f>
        <v/>
      </c>
      <c r="AB84" s="18">
        <f>IFERROR(AB37*$FG37*(1+($FI37-1)*AB$26)*($D$23*$FH37+(1-$D$23)*AB$25),"")</f>
        <v/>
      </c>
      <c r="AC84" s="18">
        <f>IFERROR(AC37*$FG37*(1+($FI37-1)*AC$26)*($D$23*$FH37+(1-$D$23)*AC$25),"")</f>
        <v/>
      </c>
      <c r="AD84" s="18">
        <f>IFERROR(AD37*$FG37*(1+($FI37-1)*AD$26)*($D$23*$FH37+(1-$D$23)*AD$25),"")</f>
        <v/>
      </c>
      <c r="AE84" s="18">
        <f>IFERROR(AE37*$FG37*(1+($FI37-1)*AE$26)*($D$23*$FH37+(1-$D$23)*AE$25),"")</f>
        <v/>
      </c>
      <c r="AF84" s="18">
        <f>IFERROR(AF37*$FG37*(1+($FI37-1)*AF$26)*($D$23*$FH37+(1-$D$23)*AF$25),"")</f>
        <v/>
      </c>
      <c r="AG84" s="18">
        <f>IFERROR(AG37*$FG37*(1+($FI37-1)*AG$26)*($D$23*$FH37+(1-$D$23)*AG$25),"")</f>
        <v/>
      </c>
      <c r="AH84" s="18">
        <f>IFERROR(AH37*$FG37*(1+($FI37-1)*AH$26)*($D$23*$FH37+(1-$D$23)*AH$25),"")</f>
        <v/>
      </c>
      <c r="AI84" s="18">
        <f>IFERROR(AI37*$FG37*(1+($FI37-1)*AI$26)*($D$23*$FH37+(1-$D$23)*AI$25),"")</f>
        <v/>
      </c>
      <c r="AJ84" s="18">
        <f>IFERROR(AJ37*$FG37*(1+($FI37-1)*AJ$26)*($D$23*$FH37+(1-$D$23)*AJ$25),"")</f>
        <v/>
      </c>
      <c r="AK84" s="18">
        <f>IFERROR(AK37*$FG37*(1+($FI37-1)*AK$26)*($D$23*$FH37+(1-$D$23)*AK$25),"")</f>
        <v/>
      </c>
      <c r="AL84" s="18">
        <f>IFERROR(AL37*$FG37*(1+($FI37-1)*AL$26)*($D$23*$FH37+(1-$D$23)*AL$25),"")</f>
        <v/>
      </c>
      <c r="AM84" s="18">
        <f>IFERROR(AM37*$FG37*(1+($FI37-1)*AM$26)*($D$23*$FH37+(1-$D$23)*AM$25),"")</f>
        <v/>
      </c>
    </row>
    <row r="85">
      <c r="A85" t="inlineStr">
        <is>
          <t>20251224800003</t>
        </is>
      </c>
      <c r="B85" t="inlineStr">
        <is>
          <t>NAVAL</t>
        </is>
      </c>
      <c r="C85" t="n">
        <v>1</v>
      </c>
      <c r="D85" t="inlineStr">
        <is>
          <t>(선박) 다목적 화학방제함 1척 건조</t>
        </is>
      </c>
      <c r="AI85" s="18">
        <f>IFERROR(AI38*$FG38*(1+($FI38-1)*AI$26)*($D$23*$FH38+(1-$D$23)*AI$25),"")</f>
        <v/>
      </c>
      <c r="AJ85" s="18">
        <f>IFERROR(AJ38*$FG38*(1+($FI38-1)*AJ$26)*($D$23*$FH38+(1-$D$23)*AJ$25),"")</f>
        <v/>
      </c>
      <c r="AK85" s="18">
        <f>IFERROR(AK38*$FG38*(1+($FI38-1)*AK$26)*($D$23*$FH38+(1-$D$23)*AK$25),"")</f>
        <v/>
      </c>
      <c r="AL85" s="18">
        <f>IFERROR(AL38*$FG38*(1+($FI38-1)*AL$26)*($D$23*$FH38+(1-$D$23)*AL$25),"")</f>
        <v/>
      </c>
      <c r="AM85" s="18">
        <f>IFERROR(AM38*$FG38*(1+($FI38-1)*AM$26)*($D$23*$FH38+(1-$D$23)*AM$25),"")</f>
        <v/>
      </c>
      <c r="AN85" s="18">
        <f>IFERROR(AN38*$FG38*(1+($FI38-1)*AN$26)*($D$23*$FH38+(1-$D$23)*AN$25),"")</f>
        <v/>
      </c>
      <c r="AO85" s="18">
        <f>IFERROR(AO38*$FG38*(1+($FI38-1)*AO$26)*($D$23*$FH38+(1-$D$23)*AO$25),"")</f>
        <v/>
      </c>
      <c r="AP85" s="18">
        <f>IFERROR(AP38*$FG38*(1+($FI38-1)*AP$26)*($D$23*$FH38+(1-$D$23)*AP$25),"")</f>
        <v/>
      </c>
      <c r="AQ85" s="18">
        <f>IFERROR(AQ38*$FG38*(1+($FI38-1)*AQ$26)*($D$23*$FH38+(1-$D$23)*AQ$25),"")</f>
        <v/>
      </c>
      <c r="AR85" s="18">
        <f>IFERROR(AR38*$FG38*(1+($FI38-1)*AR$26)*($D$23*$FH38+(1-$D$23)*AR$25),"")</f>
        <v/>
      </c>
      <c r="AS85" s="18">
        <f>IFERROR(AS38*$FG38*(1+($FI38-1)*AS$26)*($D$23*$FH38+(1-$D$23)*AS$25),"")</f>
        <v/>
      </c>
      <c r="AT85" s="18">
        <f>IFERROR(AT38*$FG38*(1+($FI38-1)*AT$26)*($D$23*$FH38+(1-$D$23)*AT$25),"")</f>
        <v/>
      </c>
      <c r="AU85" s="18">
        <f>IFERROR(AU38*$FG38*(1+($FI38-1)*AU$26)*($D$23*$FH38+(1-$D$23)*AU$25),"")</f>
        <v/>
      </c>
    </row>
    <row r="86">
      <c r="A86" t="inlineStr">
        <is>
          <t>20251224800596</t>
        </is>
      </c>
      <c r="B86" t="inlineStr">
        <is>
          <t>OTHER</t>
        </is>
      </c>
      <c r="D86" t="inlineStr">
        <is>
          <t>고속국도 제50호 영동선 안산-북수원간 확장(개량)공사(제2공구)</t>
        </is>
      </c>
      <c r="Q86" s="18">
        <f>IFERROR(Q39*$FG39*(1+($FI39-1)*Q$26)*($D$23*$FH39+(1-$D$23)*Q$25),"")</f>
        <v/>
      </c>
      <c r="R86" s="18">
        <f>IFERROR(R39*$FG39*(1+($FI39-1)*R$26)*($D$23*$FH39+(1-$D$23)*R$25),"")</f>
        <v/>
      </c>
      <c r="S86" s="18">
        <f>IFERROR(S39*$FG39*(1+($FI39-1)*S$26)*($D$23*$FH39+(1-$D$23)*S$25),"")</f>
        <v/>
      </c>
      <c r="T86" s="18">
        <f>IFERROR(T39*$FG39*(1+($FI39-1)*T$26)*($D$23*$FH39+(1-$D$23)*T$25),"")</f>
        <v/>
      </c>
      <c r="U86" s="18">
        <f>IFERROR(U39*$FG39*(1+($FI39-1)*U$26)*($D$23*$FH39+(1-$D$23)*U$25),"")</f>
        <v/>
      </c>
      <c r="V86" s="18">
        <f>IFERROR(V39*$FG39*(1+($FI39-1)*V$26)*($D$23*$FH39+(1-$D$23)*V$25),"")</f>
        <v/>
      </c>
      <c r="W86" s="18">
        <f>IFERROR(W39*$FG39*(1+($FI39-1)*W$26)*($D$23*$FH39+(1-$D$23)*W$25),"")</f>
        <v/>
      </c>
      <c r="X86" s="18">
        <f>IFERROR(X39*$FG39*(1+($FI39-1)*X$26)*($D$23*$FH39+(1-$D$23)*X$25),"")</f>
        <v/>
      </c>
      <c r="Y86" s="18">
        <f>IFERROR(Y39*$FG39*(1+($FI39-1)*Y$26)*($D$23*$FH39+(1-$D$23)*Y$25),"")</f>
        <v/>
      </c>
      <c r="Z86" s="18">
        <f>IFERROR(Z39*$FG39*(1+($FI39-1)*Z$26)*($D$23*$FH39+(1-$D$23)*Z$25),"")</f>
        <v/>
      </c>
      <c r="AA86" s="18">
        <f>IFERROR(AA39*$FG39*(1+($FI39-1)*AA$26)*($D$23*$FH39+(1-$D$23)*AA$25),"")</f>
        <v/>
      </c>
      <c r="AB86" s="18">
        <f>IFERROR(AB39*$FG39*(1+($FI39-1)*AB$26)*($D$23*$FH39+(1-$D$23)*AB$25),"")</f>
        <v/>
      </c>
      <c r="AC86" s="18">
        <f>IFERROR(AC39*$FG39*(1+($FI39-1)*AC$26)*($D$23*$FH39+(1-$D$23)*AC$25),"")</f>
        <v/>
      </c>
      <c r="AD86" s="18">
        <f>IFERROR(AD39*$FG39*(1+($FI39-1)*AD$26)*($D$23*$FH39+(1-$D$23)*AD$25),"")</f>
        <v/>
      </c>
      <c r="AE86" s="18">
        <f>IFERROR(AE39*$FG39*(1+($FI39-1)*AE$26)*($D$23*$FH39+(1-$D$23)*AE$25),"")</f>
        <v/>
      </c>
      <c r="AF86" s="18">
        <f>IFERROR(AF39*$FG39*(1+($FI39-1)*AF$26)*($D$23*$FH39+(1-$D$23)*AF$25),"")</f>
        <v/>
      </c>
      <c r="AG86" s="18">
        <f>IFERROR(AG39*$FG39*(1+($FI39-1)*AG$26)*($D$23*$FH39+(1-$D$23)*AG$25),"")</f>
        <v/>
      </c>
      <c r="AH86" s="18">
        <f>IFERROR(AH39*$FG39*(1+($FI39-1)*AH$26)*($D$23*$FH39+(1-$D$23)*AH$25),"")</f>
        <v/>
      </c>
      <c r="AI86" s="18">
        <f>IFERROR(AI39*$FG39*(1+($FI39-1)*AI$26)*($D$23*$FH39+(1-$D$23)*AI$25),"")</f>
        <v/>
      </c>
      <c r="AJ86" s="18">
        <f>IFERROR(AJ39*$FG39*(1+($FI39-1)*AJ$26)*($D$23*$FH39+(1-$D$23)*AJ$25),"")</f>
        <v/>
      </c>
      <c r="AK86" s="18">
        <f>IFERROR(AK39*$FG39*(1+($FI39-1)*AK$26)*($D$23*$FH39+(1-$D$23)*AK$25),"")</f>
        <v/>
      </c>
      <c r="AL86" s="18">
        <f>IFERROR(AL39*$FG39*(1+($FI39-1)*AL$26)*($D$23*$FH39+(1-$D$23)*AL$25),"")</f>
        <v/>
      </c>
      <c r="AM86" s="18">
        <f>IFERROR(AM39*$FG39*(1+($FI39-1)*AM$26)*($D$23*$FH39+(1-$D$23)*AM$25),"")</f>
        <v/>
      </c>
      <c r="AN86" s="18">
        <f>IFERROR(AN39*$FG39*(1+($FI39-1)*AN$26)*($D$23*$FH39+(1-$D$23)*AN$25),"")</f>
        <v/>
      </c>
      <c r="AO86" s="18">
        <f>IFERROR(AO39*$FG39*(1+($FI39-1)*AO$26)*($D$23*$FH39+(1-$D$23)*AO$25),"")</f>
        <v/>
      </c>
    </row>
    <row r="87">
      <c r="A87" t="inlineStr">
        <is>
          <t>20251231800507</t>
        </is>
      </c>
      <c r="B87" t="inlineStr">
        <is>
          <t>OTHER</t>
        </is>
      </c>
      <c r="D87" t="inlineStr">
        <is>
          <t>인천국제공항 제2여객터미널 확장 골조 및 마감공사(서편)</t>
        </is>
      </c>
      <c r="O87" s="18">
        <f>IFERROR(O40*$FG40*(1+($FI40-1)*O$26)*($D$23*$FH40+(1-$D$23)*O$25),"")</f>
        <v/>
      </c>
      <c r="P87" s="18">
        <f>IFERROR(P40*$FG40*(1+($FI40-1)*P$26)*($D$23*$FH40+(1-$D$23)*P$25),"")</f>
        <v/>
      </c>
      <c r="Q87" s="18">
        <f>IFERROR(Q40*$FG40*(1+($FI40-1)*Q$26)*($D$23*$FH40+(1-$D$23)*Q$25),"")</f>
        <v/>
      </c>
      <c r="R87" s="18">
        <f>IFERROR(R40*$FG40*(1+($FI40-1)*R$26)*($D$23*$FH40+(1-$D$23)*R$25),"")</f>
        <v/>
      </c>
      <c r="S87" s="18">
        <f>IFERROR(S40*$FG40*(1+($FI40-1)*S$26)*($D$23*$FH40+(1-$D$23)*S$25),"")</f>
        <v/>
      </c>
      <c r="T87" s="18">
        <f>IFERROR(T40*$FG40*(1+($FI40-1)*T$26)*($D$23*$FH40+(1-$D$23)*T$25),"")</f>
        <v/>
      </c>
      <c r="U87" s="18">
        <f>IFERROR(U40*$FG40*(1+($FI40-1)*U$26)*($D$23*$FH40+(1-$D$23)*U$25),"")</f>
        <v/>
      </c>
      <c r="V87" s="18">
        <f>IFERROR(V40*$FG40*(1+($FI40-1)*V$26)*($D$23*$FH40+(1-$D$23)*V$25),"")</f>
        <v/>
      </c>
      <c r="W87" s="18">
        <f>IFERROR(W40*$FG40*(1+($FI40-1)*W$26)*($D$23*$FH40+(1-$D$23)*W$25),"")</f>
        <v/>
      </c>
      <c r="X87" s="18">
        <f>IFERROR(X40*$FG40*(1+($FI40-1)*X$26)*($D$23*$FH40+(1-$D$23)*X$25),"")</f>
        <v/>
      </c>
      <c r="Y87" s="18">
        <f>IFERROR(Y40*$FG40*(1+($FI40-1)*Y$26)*($D$23*$FH40+(1-$D$23)*Y$25),"")</f>
        <v/>
      </c>
      <c r="Z87" s="18">
        <f>IFERROR(Z40*$FG40*(1+($FI40-1)*Z$26)*($D$23*$FH40+(1-$D$23)*Z$25),"")</f>
        <v/>
      </c>
      <c r="AA87" s="18">
        <f>IFERROR(AA40*$FG40*(1+($FI40-1)*AA$26)*($D$23*$FH40+(1-$D$23)*AA$25),"")</f>
        <v/>
      </c>
      <c r="AB87" s="18">
        <f>IFERROR(AB40*$FG40*(1+($FI40-1)*AB$26)*($D$23*$FH40+(1-$D$23)*AB$25),"")</f>
        <v/>
      </c>
      <c r="AC87" s="18">
        <f>IFERROR(AC40*$FG40*(1+($FI40-1)*AC$26)*($D$23*$FH40+(1-$D$23)*AC$25),"")</f>
        <v/>
      </c>
      <c r="AD87" s="18">
        <f>IFERROR(AD40*$FG40*(1+($FI40-1)*AD$26)*($D$23*$FH40+(1-$D$23)*AD$25),"")</f>
        <v/>
      </c>
      <c r="AE87" s="18">
        <f>IFERROR(AE40*$FG40*(1+($FI40-1)*AE$26)*($D$23*$FH40+(1-$D$23)*AE$25),"")</f>
        <v/>
      </c>
      <c r="AF87" s="18">
        <f>IFERROR(AF40*$FG40*(1+($FI40-1)*AF$26)*($D$23*$FH40+(1-$D$23)*AF$25),"")</f>
        <v/>
      </c>
      <c r="AG87" s="18">
        <f>IFERROR(AG40*$FG40*(1+($FI40-1)*AG$26)*($D$23*$FH40+(1-$D$23)*AG$25),"")</f>
        <v/>
      </c>
      <c r="AH87" s="18">
        <f>IFERROR(AH40*$FG40*(1+($FI40-1)*AH$26)*($D$23*$FH40+(1-$D$23)*AH$25),"")</f>
        <v/>
      </c>
      <c r="AI87" s="18">
        <f>IFERROR(AI40*$FG40*(1+($FI40-1)*AI$26)*($D$23*$FH40+(1-$D$23)*AI$25),"")</f>
        <v/>
      </c>
      <c r="AJ87" s="18">
        <f>IFERROR(AJ40*$FG40*(1+($FI40-1)*AJ$26)*($D$23*$FH40+(1-$D$23)*AJ$25),"")</f>
        <v/>
      </c>
    </row>
    <row r="88">
      <c r="A88" t="inlineStr">
        <is>
          <t>20251231800547</t>
        </is>
      </c>
      <c r="B88" t="inlineStr">
        <is>
          <t>OTHER</t>
        </is>
      </c>
      <c r="D88" t="inlineStr">
        <is>
          <t>킨텍스 제3전시장 건립공사</t>
        </is>
      </c>
      <c r="AF88" s="18">
        <f>IFERROR(AF41*$FG41*(1+($FI41-1)*AF$26)*($D$23*$FH41+(1-$D$23)*AF$25),"")</f>
        <v/>
      </c>
      <c r="AG88" s="18">
        <f>IFERROR(AG41*$FG41*(1+($FI41-1)*AG$26)*($D$23*$FH41+(1-$D$23)*AG$25),"")</f>
        <v/>
      </c>
      <c r="AH88" s="18">
        <f>IFERROR(AH41*$FG41*(1+($FI41-1)*AH$26)*($D$23*$FH41+(1-$D$23)*AH$25),"")</f>
        <v/>
      </c>
      <c r="AI88" s="18">
        <f>IFERROR(AI41*$FG41*(1+($FI41-1)*AI$26)*($D$23*$FH41+(1-$D$23)*AI$25),"")</f>
        <v/>
      </c>
      <c r="AJ88" s="18">
        <f>IFERROR(AJ41*$FG41*(1+($FI41-1)*AJ$26)*($D$23*$FH41+(1-$D$23)*AJ$25),"")</f>
        <v/>
      </c>
      <c r="AK88" s="18">
        <f>IFERROR(AK41*$FG41*(1+($FI41-1)*AK$26)*($D$23*$FH41+(1-$D$23)*AK$25),"")</f>
        <v/>
      </c>
      <c r="AL88" s="18">
        <f>IFERROR(AL41*$FG41*(1+($FI41-1)*AL$26)*($D$23*$FH41+(1-$D$23)*AL$25),"")</f>
        <v/>
      </c>
      <c r="AM88" s="18">
        <f>IFERROR(AM41*$FG41*(1+($FI41-1)*AM$26)*($D$23*$FH41+(1-$D$23)*AM$25),"")</f>
        <v/>
      </c>
      <c r="AN88" s="18">
        <f>IFERROR(AN41*$FG41*(1+($FI41-1)*AN$26)*($D$23*$FH41+(1-$D$23)*AN$25),"")</f>
        <v/>
      </c>
      <c r="AO88" s="18">
        <f>IFERROR(AO41*$FG41*(1+($FI41-1)*AO$26)*($D$23*$FH41+(1-$D$23)*AO$25),"")</f>
        <v/>
      </c>
      <c r="AP88" s="18">
        <f>IFERROR(AP41*$FG41*(1+($FI41-1)*AP$26)*($D$23*$FH41+(1-$D$23)*AP$25),"")</f>
        <v/>
      </c>
      <c r="AQ88" s="18">
        <f>IFERROR(AQ41*$FG41*(1+($FI41-1)*AQ$26)*($D$23*$FH41+(1-$D$23)*AQ$25),"")</f>
        <v/>
      </c>
      <c r="AR88" s="18">
        <f>IFERROR(AR41*$FG41*(1+($FI41-1)*AR$26)*($D$23*$FH41+(1-$D$23)*AR$25),"")</f>
        <v/>
      </c>
      <c r="AS88" s="18">
        <f>IFERROR(AS41*$FG41*(1+($FI41-1)*AS$26)*($D$23*$FH41+(1-$D$23)*AS$25),"")</f>
        <v/>
      </c>
      <c r="AT88" s="18">
        <f>IFERROR(AT41*$FG41*(1+($FI41-1)*AT$26)*($D$23*$FH41+(1-$D$23)*AT$25),"")</f>
        <v/>
      </c>
    </row>
    <row r="89">
      <c r="A89" t="inlineStr">
        <is>
          <t>20260107800221</t>
        </is>
      </c>
      <c r="B89" t="inlineStr">
        <is>
          <t>OTHER</t>
        </is>
      </c>
      <c r="D89" t="inlineStr">
        <is>
          <t>대전 삼성6구역 재개발정비사업 공사</t>
        </is>
      </c>
      <c r="AJ89" s="18">
        <f>IFERROR(AJ42*$FG42*(1+($FI42-1)*AJ$26)*($D$23*$FH42+(1-$D$23)*AJ$25),"")</f>
        <v/>
      </c>
      <c r="AK89" s="18">
        <f>IFERROR(AK42*$FG42*(1+($FI42-1)*AK$26)*($D$23*$FH42+(1-$D$23)*AK$25),"")</f>
        <v/>
      </c>
      <c r="AL89" s="18">
        <f>IFERROR(AL42*$FG42*(1+($FI42-1)*AL$26)*($D$23*$FH42+(1-$D$23)*AL$25),"")</f>
        <v/>
      </c>
      <c r="AM89" s="18">
        <f>IFERROR(AM42*$FG42*(1+($FI42-1)*AM$26)*($D$23*$FH42+(1-$D$23)*AM$25),"")</f>
        <v/>
      </c>
      <c r="AN89" s="18">
        <f>IFERROR(AN42*$FG42*(1+($FI42-1)*AN$26)*($D$23*$FH42+(1-$D$23)*AN$25),"")</f>
        <v/>
      </c>
      <c r="AO89" s="18">
        <f>IFERROR(AO42*$FG42*(1+($FI42-1)*AO$26)*($D$23*$FH42+(1-$D$23)*AO$25),"")</f>
        <v/>
      </c>
      <c r="AP89" s="18">
        <f>IFERROR(AP42*$FG42*(1+($FI42-1)*AP$26)*($D$23*$FH42+(1-$D$23)*AP$25),"")</f>
        <v/>
      </c>
      <c r="AQ89" s="18">
        <f>IFERROR(AQ42*$FG42*(1+($FI42-1)*AQ$26)*($D$23*$FH42+(1-$D$23)*AQ$25),"")</f>
        <v/>
      </c>
      <c r="AR89" s="18">
        <f>IFERROR(AR42*$FG42*(1+($FI42-1)*AR$26)*($D$23*$FH42+(1-$D$23)*AR$25),"")</f>
        <v/>
      </c>
      <c r="AS89" s="18">
        <f>IFERROR(AS42*$FG42*(1+($FI42-1)*AS$26)*($D$23*$FH42+(1-$D$23)*AS$25),"")</f>
        <v/>
      </c>
      <c r="AT89" s="18">
        <f>IFERROR(AT42*$FG42*(1+($FI42-1)*AT$26)*($D$23*$FH42+(1-$D$23)*AT$25),"")</f>
        <v/>
      </c>
      <c r="AU89" s="18">
        <f>IFERROR(AU42*$FG42*(1+($FI42-1)*AU$26)*($D$23*$FH42+(1-$D$23)*AU$25),"")</f>
        <v/>
      </c>
      <c r="AV89" s="18">
        <f>IFERROR(AV42*$FG42*(1+($FI42-1)*AV$26)*($D$23*$FH42+(1-$D$23)*AV$25),"")</f>
        <v/>
      </c>
      <c r="AW89" s="18">
        <f>IFERROR(AW42*$FG42*(1+($FI42-1)*AW$26)*($D$23*$FH42+(1-$D$23)*AW$25),"")</f>
        <v/>
      </c>
      <c r="AX89" s="18">
        <f>IFERROR(AX42*$FG42*(1+($FI42-1)*AX$26)*($D$23*$FH42+(1-$D$23)*AX$25),"")</f>
        <v/>
      </c>
      <c r="AY89" s="18">
        <f>IFERROR(AY42*$FG42*(1+($FI42-1)*AY$26)*($D$23*$FH42+(1-$D$23)*AY$25),"")</f>
        <v/>
      </c>
      <c r="AZ89" s="18">
        <f>IFERROR(AZ42*$FG42*(1+($FI42-1)*AZ$26)*($D$23*$FH42+(1-$D$23)*AZ$25),"")</f>
        <v/>
      </c>
      <c r="BA89" s="18">
        <f>IFERROR(BA42*$FG42*(1+($FI42-1)*BA$26)*($D$23*$FH42+(1-$D$23)*BA$25),"")</f>
        <v/>
      </c>
      <c r="BB89" s="18">
        <f>IFERROR(BB42*$FG42*(1+($FI42-1)*BB$26)*($D$23*$FH42+(1-$D$23)*BB$25),"")</f>
        <v/>
      </c>
    </row>
    <row r="90">
      <c r="A90" t="inlineStr">
        <is>
          <t>20260116800164</t>
        </is>
      </c>
      <c r="B90" t="inlineStr">
        <is>
          <t>OTHER</t>
        </is>
      </c>
      <c r="D90" t="inlineStr">
        <is>
          <t>여수 천연가스발전소 건설공사</t>
        </is>
      </c>
      <c r="AJ90" s="18">
        <f>IFERROR(AJ43*$FG43*(1+($FI43-1)*AJ$26)*($D$23*$FH43+(1-$D$23)*AJ$25),"")</f>
        <v/>
      </c>
      <c r="AK90" s="18">
        <f>IFERROR(AK43*$FG43*(1+($FI43-1)*AK$26)*($D$23*$FH43+(1-$D$23)*AK$25),"")</f>
        <v/>
      </c>
      <c r="AL90" s="18">
        <f>IFERROR(AL43*$FG43*(1+($FI43-1)*AL$26)*($D$23*$FH43+(1-$D$23)*AL$25),"")</f>
        <v/>
      </c>
      <c r="AM90" s="18">
        <f>IFERROR(AM43*$FG43*(1+($FI43-1)*AM$26)*($D$23*$FH43+(1-$D$23)*AM$25),"")</f>
        <v/>
      </c>
      <c r="AN90" s="18">
        <f>IFERROR(AN43*$FG43*(1+($FI43-1)*AN$26)*($D$23*$FH43+(1-$D$23)*AN$25),"")</f>
        <v/>
      </c>
      <c r="AO90" s="18">
        <f>IFERROR(AO43*$FG43*(1+($FI43-1)*AO$26)*($D$23*$FH43+(1-$D$23)*AO$25),"")</f>
        <v/>
      </c>
      <c r="AP90" s="18">
        <f>IFERROR(AP43*$FG43*(1+($FI43-1)*AP$26)*($D$23*$FH43+(1-$D$23)*AP$25),"")</f>
        <v/>
      </c>
      <c r="AQ90" s="18">
        <f>IFERROR(AQ43*$FG43*(1+($FI43-1)*AQ$26)*($D$23*$FH43+(1-$D$23)*AQ$25),"")</f>
        <v/>
      </c>
      <c r="AR90" s="18">
        <f>IFERROR(AR43*$FG43*(1+($FI43-1)*AR$26)*($D$23*$FH43+(1-$D$23)*AR$25),"")</f>
        <v/>
      </c>
      <c r="AS90" s="18">
        <f>IFERROR(AS43*$FG43*(1+($FI43-1)*AS$26)*($D$23*$FH43+(1-$D$23)*AS$25),"")</f>
        <v/>
      </c>
      <c r="AT90" s="18">
        <f>IFERROR(AT43*$FG43*(1+($FI43-1)*AT$26)*($D$23*$FH43+(1-$D$23)*AT$25),"")</f>
        <v/>
      </c>
      <c r="AU90" s="18">
        <f>IFERROR(AU43*$FG43*(1+($FI43-1)*AU$26)*($D$23*$FH43+(1-$D$23)*AU$25),"")</f>
        <v/>
      </c>
      <c r="AV90" s="18">
        <f>IFERROR(AV43*$FG43*(1+($FI43-1)*AV$26)*($D$23*$FH43+(1-$D$23)*AV$25),"")</f>
        <v/>
      </c>
      <c r="AW90" s="18">
        <f>IFERROR(AW43*$FG43*(1+($FI43-1)*AW$26)*($D$23*$FH43+(1-$D$23)*AW$25),"")</f>
        <v/>
      </c>
    </row>
    <row r="91">
      <c r="A91" t="inlineStr">
        <is>
          <t>20260120800250</t>
        </is>
      </c>
      <c r="B91" t="inlineStr">
        <is>
          <t>OTHER</t>
        </is>
      </c>
      <c r="D91" t="inlineStr">
        <is>
          <t>포항 대잠동 행복아파트2단지 소규모재건축사업 공사</t>
        </is>
      </c>
      <c r="X91" s="18">
        <f>IFERROR(X44*$FG44*(1+($FI44-1)*X$26)*($D$23*$FH44+(1-$D$23)*X$25),"")</f>
        <v/>
      </c>
      <c r="Y91" s="18">
        <f>IFERROR(Y44*$FG44*(1+($FI44-1)*Y$26)*($D$23*$FH44+(1-$D$23)*Y$25),"")</f>
        <v/>
      </c>
      <c r="Z91" s="18">
        <f>IFERROR(Z44*$FG44*(1+($FI44-1)*Z$26)*($D$23*$FH44+(1-$D$23)*Z$25),"")</f>
        <v/>
      </c>
      <c r="AA91" s="18">
        <f>IFERROR(AA44*$FG44*(1+($FI44-1)*AA$26)*($D$23*$FH44+(1-$D$23)*AA$25),"")</f>
        <v/>
      </c>
      <c r="AB91" s="18">
        <f>IFERROR(AB44*$FG44*(1+($FI44-1)*AB$26)*($D$23*$FH44+(1-$D$23)*AB$25),"")</f>
        <v/>
      </c>
      <c r="AC91" s="18">
        <f>IFERROR(AC44*$FG44*(1+($FI44-1)*AC$26)*($D$23*$FH44+(1-$D$23)*AC$25),"")</f>
        <v/>
      </c>
      <c r="AD91" s="18">
        <f>IFERROR(AD44*$FG44*(1+($FI44-1)*AD$26)*($D$23*$FH44+(1-$D$23)*AD$25),"")</f>
        <v/>
      </c>
      <c r="AE91" s="18">
        <f>IFERROR(AE44*$FG44*(1+($FI44-1)*AE$26)*($D$23*$FH44+(1-$D$23)*AE$25),"")</f>
        <v/>
      </c>
      <c r="AF91" s="18">
        <f>IFERROR(AF44*$FG44*(1+($FI44-1)*AF$26)*($D$23*$FH44+(1-$D$23)*AF$25),"")</f>
        <v/>
      </c>
      <c r="AG91" s="18">
        <f>IFERROR(AG44*$FG44*(1+($FI44-1)*AG$26)*($D$23*$FH44+(1-$D$23)*AG$25),"")</f>
        <v/>
      </c>
      <c r="AH91" s="18">
        <f>IFERROR(AH44*$FG44*(1+($FI44-1)*AH$26)*($D$23*$FH44+(1-$D$23)*AH$25),"")</f>
        <v/>
      </c>
      <c r="AI91" s="18">
        <f>IFERROR(AI44*$FG44*(1+($FI44-1)*AI$26)*($D$23*$FH44+(1-$D$23)*AI$25),"")</f>
        <v/>
      </c>
      <c r="AJ91" s="18">
        <f>IFERROR(AJ44*$FG44*(1+($FI44-1)*AJ$26)*($D$23*$FH44+(1-$D$23)*AJ$25),"")</f>
        <v/>
      </c>
      <c r="AK91" s="18">
        <f>IFERROR(AK44*$FG44*(1+($FI44-1)*AK$26)*($D$23*$FH44+(1-$D$23)*AK$25),"")</f>
        <v/>
      </c>
      <c r="AL91" s="18">
        <f>IFERROR(AL44*$FG44*(1+($FI44-1)*AL$26)*($D$23*$FH44+(1-$D$23)*AL$25),"")</f>
        <v/>
      </c>
      <c r="AM91" s="18">
        <f>IFERROR(AM44*$FG44*(1+($FI44-1)*AM$26)*($D$23*$FH44+(1-$D$23)*AM$25),"")</f>
        <v/>
      </c>
      <c r="AN91" s="18">
        <f>IFERROR(AN44*$FG44*(1+($FI44-1)*AN$26)*($D$23*$FH44+(1-$D$23)*AN$25),"")</f>
        <v/>
      </c>
      <c r="AO91" s="18">
        <f>IFERROR(AO44*$FG44*(1+($FI44-1)*AO$26)*($D$23*$FH44+(1-$D$23)*AO$25),"")</f>
        <v/>
      </c>
      <c r="AP91" s="18">
        <f>IFERROR(AP44*$FG44*(1+($FI44-1)*AP$26)*($D$23*$FH44+(1-$D$23)*AP$25),"")</f>
        <v/>
      </c>
    </row>
    <row r="92">
      <c r="A92" t="inlineStr">
        <is>
          <t>20260211800125</t>
        </is>
      </c>
      <c r="B92" t="inlineStr">
        <is>
          <t>CONT</t>
        </is>
      </c>
      <c r="C92" t="n">
        <v>2</v>
      </c>
      <c r="D92" t="inlineStr">
        <is>
          <t>컨테이너선 2척 수주</t>
        </is>
      </c>
      <c r="AJ92" s="18">
        <f>IFERROR(AJ45*$FG45*(1+($FI45-1)*AJ$26)*($D$23*$FH45+(1-$D$23)*AJ$25),"")</f>
        <v/>
      </c>
      <c r="AK92" s="18">
        <f>IFERROR(AK45*$FG45*(1+($FI45-1)*AK$26)*($D$23*$FH45+(1-$D$23)*AK$25),"")</f>
        <v/>
      </c>
      <c r="AL92" s="18">
        <f>IFERROR(AL45*$FG45*(1+($FI45-1)*AL$26)*($D$23*$FH45+(1-$D$23)*AL$25),"")</f>
        <v/>
      </c>
      <c r="AM92" s="18">
        <f>IFERROR(AM45*$FG45*(1+($FI45-1)*AM$26)*($D$23*$FH45+(1-$D$23)*AM$25),"")</f>
        <v/>
      </c>
      <c r="AN92" s="18">
        <f>IFERROR(AN45*$FG45*(1+($FI45-1)*AN$26)*($D$23*$FH45+(1-$D$23)*AN$25),"")</f>
        <v/>
      </c>
      <c r="AO92" s="18">
        <f>IFERROR(AO45*$FG45*(1+($FI45-1)*AO$26)*($D$23*$FH45+(1-$D$23)*AO$25),"")</f>
        <v/>
      </c>
      <c r="AP92" s="18">
        <f>IFERROR(AP45*$FG45*(1+($FI45-1)*AP$26)*($D$23*$FH45+(1-$D$23)*AP$25),"")</f>
        <v/>
      </c>
      <c r="AQ92" s="18">
        <f>IFERROR(AQ45*$FG45*(1+($FI45-1)*AQ$26)*($D$23*$FH45+(1-$D$23)*AQ$25),"")</f>
        <v/>
      </c>
      <c r="AR92" s="18">
        <f>IFERROR(AR45*$FG45*(1+($FI45-1)*AR$26)*($D$23*$FH45+(1-$D$23)*AR$25),"")</f>
        <v/>
      </c>
      <c r="AS92" s="18">
        <f>IFERROR(AS45*$FG45*(1+($FI45-1)*AS$26)*($D$23*$FH45+(1-$D$23)*AS$25),"")</f>
        <v/>
      </c>
    </row>
    <row r="93">
      <c r="A93" t="inlineStr">
        <is>
          <t>20260227801603</t>
        </is>
      </c>
      <c r="B93" t="inlineStr">
        <is>
          <t>OTHER</t>
        </is>
      </c>
      <c r="D93" t="inlineStr">
        <is>
          <t>수도권광역급행철도A노선 민간투자시설사업 건설공사</t>
        </is>
      </c>
      <c r="H93" s="18">
        <f>IFERROR(H46*$FG46*(1+($FI46-1)*H$26)*($D$23*$FH46+(1-$D$23)*H$25),"")</f>
        <v/>
      </c>
      <c r="I93" s="18">
        <f>IFERROR(I46*$FG46*(1+($FI46-1)*I$26)*($D$23*$FH46+(1-$D$23)*I$25),"")</f>
        <v/>
      </c>
      <c r="J93" s="18">
        <f>IFERROR(J46*$FG46*(1+($FI46-1)*J$26)*($D$23*$FH46+(1-$D$23)*J$25),"")</f>
        <v/>
      </c>
      <c r="K93" s="18">
        <f>IFERROR(K46*$FG46*(1+($FI46-1)*K$26)*($D$23*$FH46+(1-$D$23)*K$25),"")</f>
        <v/>
      </c>
      <c r="L93" s="18">
        <f>IFERROR(L46*$FG46*(1+($FI46-1)*L$26)*($D$23*$FH46+(1-$D$23)*L$25),"")</f>
        <v/>
      </c>
      <c r="M93" s="18">
        <f>IFERROR(M46*$FG46*(1+($FI46-1)*M$26)*($D$23*$FH46+(1-$D$23)*M$25),"")</f>
        <v/>
      </c>
      <c r="N93" s="18">
        <f>IFERROR(N46*$FG46*(1+($FI46-1)*N$26)*($D$23*$FH46+(1-$D$23)*N$25),"")</f>
        <v/>
      </c>
      <c r="O93" s="18">
        <f>IFERROR(O46*$FG46*(1+($FI46-1)*O$26)*($D$23*$FH46+(1-$D$23)*O$25),"")</f>
        <v/>
      </c>
      <c r="P93" s="18">
        <f>IFERROR(P46*$FG46*(1+($FI46-1)*P$26)*($D$23*$FH46+(1-$D$23)*P$25),"")</f>
        <v/>
      </c>
      <c r="Q93" s="18">
        <f>IFERROR(Q46*$FG46*(1+($FI46-1)*Q$26)*($D$23*$FH46+(1-$D$23)*Q$25),"")</f>
        <v/>
      </c>
      <c r="R93" s="18">
        <f>IFERROR(R46*$FG46*(1+($FI46-1)*R$26)*($D$23*$FH46+(1-$D$23)*R$25),"")</f>
        <v/>
      </c>
      <c r="S93" s="18">
        <f>IFERROR(S46*$FG46*(1+($FI46-1)*S$26)*($D$23*$FH46+(1-$D$23)*S$25),"")</f>
        <v/>
      </c>
      <c r="T93" s="18">
        <f>IFERROR(T46*$FG46*(1+($FI46-1)*T$26)*($D$23*$FH46+(1-$D$23)*T$25),"")</f>
        <v/>
      </c>
      <c r="U93" s="18">
        <f>IFERROR(U46*$FG46*(1+($FI46-1)*U$26)*($D$23*$FH46+(1-$D$23)*U$25),"")</f>
        <v/>
      </c>
      <c r="V93" s="18">
        <f>IFERROR(V46*$FG46*(1+($FI46-1)*V$26)*($D$23*$FH46+(1-$D$23)*V$25),"")</f>
        <v/>
      </c>
      <c r="W93" s="18">
        <f>IFERROR(W46*$FG46*(1+($FI46-1)*W$26)*($D$23*$FH46+(1-$D$23)*W$25),"")</f>
        <v/>
      </c>
      <c r="X93" s="18">
        <f>IFERROR(X46*$FG46*(1+($FI46-1)*X$26)*($D$23*$FH46+(1-$D$23)*X$25),"")</f>
        <v/>
      </c>
      <c r="Y93" s="18">
        <f>IFERROR(Y46*$FG46*(1+($FI46-1)*Y$26)*($D$23*$FH46+(1-$D$23)*Y$25),"")</f>
        <v/>
      </c>
      <c r="Z93" s="18">
        <f>IFERROR(Z46*$FG46*(1+($FI46-1)*Z$26)*($D$23*$FH46+(1-$D$23)*Z$25),"")</f>
        <v/>
      </c>
      <c r="AA93" s="18">
        <f>IFERROR(AA46*$FG46*(1+($FI46-1)*AA$26)*($D$23*$FH46+(1-$D$23)*AA$25),"")</f>
        <v/>
      </c>
      <c r="AB93" s="18">
        <f>IFERROR(AB46*$FG46*(1+($FI46-1)*AB$26)*($D$23*$FH46+(1-$D$23)*AB$25),"")</f>
        <v/>
      </c>
      <c r="AC93" s="18">
        <f>IFERROR(AC46*$FG46*(1+($FI46-1)*AC$26)*($D$23*$FH46+(1-$D$23)*AC$25),"")</f>
        <v/>
      </c>
      <c r="AD93" s="18">
        <f>IFERROR(AD46*$FG46*(1+($FI46-1)*AD$26)*($D$23*$FH46+(1-$D$23)*AD$25),"")</f>
        <v/>
      </c>
      <c r="AE93" s="18">
        <f>IFERROR(AE46*$FG46*(1+($FI46-1)*AE$26)*($D$23*$FH46+(1-$D$23)*AE$25),"")</f>
        <v/>
      </c>
      <c r="AF93" s="18">
        <f>IFERROR(AF46*$FG46*(1+($FI46-1)*AF$26)*($D$23*$FH46+(1-$D$23)*AF$25),"")</f>
        <v/>
      </c>
      <c r="AG93" s="18">
        <f>IFERROR(AG46*$FG46*(1+($FI46-1)*AG$26)*($D$23*$FH46+(1-$D$23)*AG$25),"")</f>
        <v/>
      </c>
      <c r="AH93" s="18">
        <f>IFERROR(AH46*$FG46*(1+($FI46-1)*AH$26)*($D$23*$FH46+(1-$D$23)*AH$25),"")</f>
        <v/>
      </c>
      <c r="AI93" s="18">
        <f>IFERROR(AI46*$FG46*(1+($FI46-1)*AI$26)*($D$23*$FH46+(1-$D$23)*AI$25),"")</f>
        <v/>
      </c>
      <c r="AJ93" s="18">
        <f>IFERROR(AJ46*$FG46*(1+($FI46-1)*AJ$26)*($D$23*$FH46+(1-$D$23)*AJ$25),"")</f>
        <v/>
      </c>
      <c r="AK93" s="18">
        <f>IFERROR(AK46*$FG46*(1+($FI46-1)*AK$26)*($D$23*$FH46+(1-$D$23)*AK$25),"")</f>
        <v/>
      </c>
      <c r="AL93" s="18">
        <f>IFERROR(AL46*$FG46*(1+($FI46-1)*AL$26)*($D$23*$FH46+(1-$D$23)*AL$25),"")</f>
        <v/>
      </c>
      <c r="AM93" s="18">
        <f>IFERROR(AM46*$FG46*(1+($FI46-1)*AM$26)*($D$23*$FH46+(1-$D$23)*AM$25),"")</f>
        <v/>
      </c>
      <c r="AN93" s="18">
        <f>IFERROR(AN46*$FG46*(1+($FI46-1)*AN$26)*($D$23*$FH46+(1-$D$23)*AN$25),"")</f>
        <v/>
      </c>
      <c r="AO93" s="18">
        <f>IFERROR(AO46*$FG46*(1+($FI46-1)*AO$26)*($D$23*$FH46+(1-$D$23)*AO$25),"")</f>
        <v/>
      </c>
      <c r="AP93" s="18">
        <f>IFERROR(AP46*$FG46*(1+($FI46-1)*AP$26)*($D$23*$FH46+(1-$D$23)*AP$25),"")</f>
        <v/>
      </c>
      <c r="AQ93" s="18">
        <f>IFERROR(AQ46*$FG46*(1+($FI46-1)*AQ$26)*($D$23*$FH46+(1-$D$23)*AQ$25),"")</f>
        <v/>
      </c>
      <c r="AR93" s="18">
        <f>IFERROR(AR46*$FG46*(1+($FI46-1)*AR$26)*($D$23*$FH46+(1-$D$23)*AR$25),"")</f>
        <v/>
      </c>
      <c r="AS93" s="18">
        <f>IFERROR(AS46*$FG46*(1+($FI46-1)*AS$26)*($D$23*$FH46+(1-$D$23)*AS$25),"")</f>
        <v/>
      </c>
    </row>
    <row r="94">
      <c r="A94" t="inlineStr">
        <is>
          <t>20260227801809</t>
        </is>
      </c>
      <c r="B94" t="inlineStr">
        <is>
          <t>OTHER</t>
        </is>
      </c>
      <c r="D94" t="inlineStr">
        <is>
          <t>광교 A17블록 및 교산 A1블록 민간참여 공공주택건설사업</t>
        </is>
      </c>
      <c r="AJ94" s="18">
        <f>IFERROR(AJ47*$FG47*(1+($FI47-1)*AJ$26)*($D$23*$FH47+(1-$D$23)*AJ$25),"")</f>
        <v/>
      </c>
      <c r="AK94" s="18">
        <f>IFERROR(AK47*$FG47*(1+($FI47-1)*AK$26)*($D$23*$FH47+(1-$D$23)*AK$25),"")</f>
        <v/>
      </c>
      <c r="AL94" s="18">
        <f>IFERROR(AL47*$FG47*(1+($FI47-1)*AL$26)*($D$23*$FH47+(1-$D$23)*AL$25),"")</f>
        <v/>
      </c>
      <c r="AM94" s="18">
        <f>IFERROR(AM47*$FG47*(1+($FI47-1)*AM$26)*($D$23*$FH47+(1-$D$23)*AM$25),"")</f>
        <v/>
      </c>
      <c r="AN94" s="18">
        <f>IFERROR(AN47*$FG47*(1+($FI47-1)*AN$26)*($D$23*$FH47+(1-$D$23)*AN$25),"")</f>
        <v/>
      </c>
      <c r="AO94" s="18">
        <f>IFERROR(AO47*$FG47*(1+($FI47-1)*AO$26)*($D$23*$FH47+(1-$D$23)*AO$25),"")</f>
        <v/>
      </c>
      <c r="AP94" s="18">
        <f>IFERROR(AP47*$FG47*(1+($FI47-1)*AP$26)*($D$23*$FH47+(1-$D$23)*AP$25),"")</f>
        <v/>
      </c>
      <c r="AQ94" s="18">
        <f>IFERROR(AQ47*$FG47*(1+($FI47-1)*AQ$26)*($D$23*$FH47+(1-$D$23)*AQ$25),"")</f>
        <v/>
      </c>
      <c r="AR94" s="18">
        <f>IFERROR(AR47*$FG47*(1+($FI47-1)*AR$26)*($D$23*$FH47+(1-$D$23)*AR$25),"")</f>
        <v/>
      </c>
      <c r="AS94" s="18">
        <f>IFERROR(AS47*$FG47*(1+($FI47-1)*AS$26)*($D$23*$FH47+(1-$D$23)*AS$25),"")</f>
        <v/>
      </c>
      <c r="AT94" s="18">
        <f>IFERROR(AT47*$FG47*(1+($FI47-1)*AT$26)*($D$23*$FH47+(1-$D$23)*AT$25),"")</f>
        <v/>
      </c>
      <c r="AU94" s="18">
        <f>IFERROR(AU47*$FG47*(1+($FI47-1)*AU$26)*($D$23*$FH47+(1-$D$23)*AU$25),"")</f>
        <v/>
      </c>
      <c r="AV94" s="18">
        <f>IFERROR(AV47*$FG47*(1+($FI47-1)*AV$26)*($D$23*$FH47+(1-$D$23)*AV$25),"")</f>
        <v/>
      </c>
      <c r="AW94" s="18">
        <f>IFERROR(AW47*$FG47*(1+($FI47-1)*AW$26)*($D$23*$FH47+(1-$D$23)*AW$25),"")</f>
        <v/>
      </c>
      <c r="AX94" s="18">
        <f>IFERROR(AX47*$FG47*(1+($FI47-1)*AX$26)*($D$23*$FH47+(1-$D$23)*AX$25),"")</f>
        <v/>
      </c>
      <c r="AY94" s="18">
        <f>IFERROR(AY47*$FG47*(1+($FI47-1)*AY$26)*($D$23*$FH47+(1-$D$23)*AY$25),"")</f>
        <v/>
      </c>
      <c r="AZ94" s="18">
        <f>IFERROR(AZ47*$FG47*(1+($FI47-1)*AZ$26)*($D$23*$FH47+(1-$D$23)*AZ$25),"")</f>
        <v/>
      </c>
      <c r="BA94" s="18">
        <f>IFERROR(BA47*$FG47*(1+($FI47-1)*BA$26)*($D$23*$FH47+(1-$D$23)*BA$25),"")</f>
        <v/>
      </c>
      <c r="BB94" s="18">
        <f>IFERROR(BB47*$FG47*(1+($FI47-1)*BB$26)*($D$23*$FH47+(1-$D$23)*BB$25),"")</f>
        <v/>
      </c>
      <c r="BC94" s="18">
        <f>IFERROR(BC47*$FG47*(1+($FI47-1)*BC$26)*($D$23*$FH47+(1-$D$23)*BC$25),"")</f>
        <v/>
      </c>
      <c r="BD94" s="18">
        <f>IFERROR(BD47*$FG47*(1+($FI47-1)*BD$26)*($D$23*$FH47+(1-$D$23)*BD$25),"")</f>
        <v/>
      </c>
      <c r="BE94" s="18">
        <f>IFERROR(BE47*$FG47*(1+($FI47-1)*BE$26)*($D$23*$FH47+(1-$D$23)*BE$25),"")</f>
        <v/>
      </c>
      <c r="BF94" s="18">
        <f>IFERROR(BF47*$FG47*(1+($FI47-1)*BF$26)*($D$23*$FH47+(1-$D$23)*BF$25),"")</f>
        <v/>
      </c>
      <c r="BG94" s="18">
        <f>IFERROR(BG47*$FG47*(1+($FI47-1)*BG$26)*($D$23*$FH47+(1-$D$23)*BG$25),"")</f>
        <v/>
      </c>
      <c r="BH94" s="18">
        <f>IFERROR(BH47*$FG47*(1+($FI47-1)*BH$26)*($D$23*$FH47+(1-$D$23)*BH$25),"")</f>
        <v/>
      </c>
      <c r="BI94" s="18">
        <f>IFERROR(BI47*$FG47*(1+($FI47-1)*BI$26)*($D$23*$FH47+(1-$D$23)*BI$25),"")</f>
        <v/>
      </c>
      <c r="BJ94" s="18">
        <f>IFERROR(BJ47*$FG47*(1+($FI47-1)*BJ$26)*($D$23*$FH47+(1-$D$23)*BJ$25),"")</f>
        <v/>
      </c>
      <c r="BK94" s="18">
        <f>IFERROR(BK47*$FG47*(1+($FI47-1)*BK$26)*($D$23*$FH47+(1-$D$23)*BK$25),"")</f>
        <v/>
      </c>
      <c r="BL94" s="18">
        <f>IFERROR(BL47*$FG47*(1+($FI47-1)*BL$26)*($D$23*$FH47+(1-$D$23)*BL$25),"")</f>
        <v/>
      </c>
      <c r="BM94" s="18">
        <f>IFERROR(BM47*$FG47*(1+($FI47-1)*BM$26)*($D$23*$FH47+(1-$D$23)*BM$25),"")</f>
        <v/>
      </c>
      <c r="BN94" s="18">
        <f>IFERROR(BN47*$FG47*(1+($FI47-1)*BN$26)*($D$23*$FH47+(1-$D$23)*BN$25),"")</f>
        <v/>
      </c>
      <c r="BO94" s="18">
        <f>IFERROR(BO47*$FG47*(1+($FI47-1)*BO$26)*($D$23*$FH47+(1-$D$23)*BO$25),"")</f>
        <v/>
      </c>
      <c r="BP94" s="18">
        <f>IFERROR(BP47*$FG47*(1+($FI47-1)*BP$26)*($D$23*$FH47+(1-$D$23)*BP$25),"")</f>
        <v/>
      </c>
      <c r="BQ94" s="18">
        <f>IFERROR(BQ47*$FG47*(1+($FI47-1)*BQ$26)*($D$23*$FH47+(1-$D$23)*BQ$25),"")</f>
        <v/>
      </c>
      <c r="BR94" s="18">
        <f>IFERROR(BR47*$FG47*(1+($FI47-1)*BR$26)*($D$23*$FH47+(1-$D$23)*BR$25),"")</f>
        <v/>
      </c>
      <c r="BS94" s="18">
        <f>IFERROR(BS47*$FG47*(1+($FI47-1)*BS$26)*($D$23*$FH47+(1-$D$23)*BS$25),"")</f>
        <v/>
      </c>
      <c r="BT94" s="18">
        <f>IFERROR(BT47*$FG47*(1+($FI47-1)*BT$26)*($D$23*$FH47+(1-$D$23)*BT$25),"")</f>
        <v/>
      </c>
      <c r="BU94" s="18">
        <f>IFERROR(BU47*$FG47*(1+($FI47-1)*BU$26)*($D$23*$FH47+(1-$D$23)*BU$25),"")</f>
        <v/>
      </c>
      <c r="BV94" s="18">
        <f>IFERROR(BV47*$FG47*(1+($FI47-1)*BV$26)*($D$23*$FH47+(1-$D$23)*BV$25),"")</f>
        <v/>
      </c>
      <c r="BW94" s="18">
        <f>IFERROR(BW47*$FG47*(1+($FI47-1)*BW$26)*($D$23*$FH47+(1-$D$23)*BW$25),"")</f>
        <v/>
      </c>
      <c r="BX94" s="18">
        <f>IFERROR(BX47*$FG47*(1+($FI47-1)*BX$26)*($D$23*$FH47+(1-$D$23)*BX$25),"")</f>
        <v/>
      </c>
      <c r="BY94" s="18">
        <f>IFERROR(BY47*$FG47*(1+($FI47-1)*BY$26)*($D$23*$FH47+(1-$D$23)*BY$25),"")</f>
        <v/>
      </c>
      <c r="BZ94" s="18">
        <f>IFERROR(BZ47*$FG47*(1+($FI47-1)*BZ$26)*($D$23*$FH47+(1-$D$23)*BZ$25),"")</f>
        <v/>
      </c>
      <c r="CA94" s="18">
        <f>IFERROR(CA47*$FG47*(1+($FI47-1)*CA$26)*($D$23*$FH47+(1-$D$23)*CA$25),"")</f>
        <v/>
      </c>
      <c r="CB94" s="18">
        <f>IFERROR(CB47*$FG47*(1+($FI47-1)*CB$26)*($D$23*$FH47+(1-$D$23)*CB$25),"")</f>
        <v/>
      </c>
      <c r="CC94" s="18">
        <f>IFERROR(CC47*$FG47*(1+($FI47-1)*CC$26)*($D$23*$FH47+(1-$D$23)*CC$25),"")</f>
        <v/>
      </c>
      <c r="CD94" s="18">
        <f>IFERROR(CD47*$FG47*(1+($FI47-1)*CD$26)*($D$23*$FH47+(1-$D$23)*CD$25),"")</f>
        <v/>
      </c>
      <c r="CE94" s="18">
        <f>IFERROR(CE47*$FG47*(1+($FI47-1)*CE$26)*($D$23*$FH47+(1-$D$23)*CE$25),"")</f>
        <v/>
      </c>
      <c r="CF94" s="18">
        <f>IFERROR(CF47*$FG47*(1+($FI47-1)*CF$26)*($D$23*$FH47+(1-$D$23)*CF$25),"")</f>
        <v/>
      </c>
      <c r="CG94" s="18">
        <f>IFERROR(CG47*$FG47*(1+($FI47-1)*CG$26)*($D$23*$FH47+(1-$D$23)*CG$25),"")</f>
        <v/>
      </c>
      <c r="CH94" s="18">
        <f>IFERROR(CH47*$FG47*(1+($FI47-1)*CH$26)*($D$23*$FH47+(1-$D$23)*CH$25),"")</f>
        <v/>
      </c>
      <c r="CI94" s="18">
        <f>IFERROR(CI47*$FG47*(1+($FI47-1)*CI$26)*($D$23*$FH47+(1-$D$23)*CI$25),"")</f>
        <v/>
      </c>
      <c r="CJ94" s="18">
        <f>IFERROR(CJ47*$FG47*(1+($FI47-1)*CJ$26)*($D$23*$FH47+(1-$D$23)*CJ$25),"")</f>
        <v/>
      </c>
      <c r="CK94" s="18">
        <f>IFERROR(CK47*$FG47*(1+($FI47-1)*CK$26)*($D$23*$FH47+(1-$D$23)*CK$25),"")</f>
        <v/>
      </c>
      <c r="CL94" s="18">
        <f>IFERROR(CL47*$FG47*(1+($FI47-1)*CL$26)*($D$23*$FH47+(1-$D$23)*CL$25),"")</f>
        <v/>
      </c>
      <c r="CM94" s="18">
        <f>IFERROR(CM47*$FG47*(1+($FI47-1)*CM$26)*($D$23*$FH47+(1-$D$23)*CM$25),"")</f>
        <v/>
      </c>
      <c r="CN94" s="18">
        <f>IFERROR(CN47*$FG47*(1+($FI47-1)*CN$26)*($D$23*$FH47+(1-$D$23)*CN$25),"")</f>
        <v/>
      </c>
      <c r="CO94" s="18">
        <f>IFERROR(CO47*$FG47*(1+($FI47-1)*CO$26)*($D$23*$FH47+(1-$D$23)*CO$25),"")</f>
        <v/>
      </c>
      <c r="CP94" s="18">
        <f>IFERROR(CP47*$FG47*(1+($FI47-1)*CP$26)*($D$23*$FH47+(1-$D$23)*CP$25),"")</f>
        <v/>
      </c>
      <c r="CQ94" s="18">
        <f>IFERROR(CQ47*$FG47*(1+($FI47-1)*CQ$26)*($D$23*$FH47+(1-$D$23)*CQ$25),"")</f>
        <v/>
      </c>
      <c r="CR94" s="18">
        <f>IFERROR(CR47*$FG47*(1+($FI47-1)*CR$26)*($D$23*$FH47+(1-$D$23)*CR$25),"")</f>
        <v/>
      </c>
      <c r="CS94" s="18">
        <f>IFERROR(CS47*$FG47*(1+($FI47-1)*CS$26)*($D$23*$FH47+(1-$D$23)*CS$25),"")</f>
        <v/>
      </c>
      <c r="CT94" s="18">
        <f>IFERROR(CT47*$FG47*(1+($FI47-1)*CT$26)*($D$23*$FH47+(1-$D$23)*CT$25),"")</f>
        <v/>
      </c>
      <c r="CU94" s="18">
        <f>IFERROR(CU47*$FG47*(1+($FI47-1)*CU$26)*($D$23*$FH47+(1-$D$23)*CU$25),"")</f>
        <v/>
      </c>
      <c r="CV94" s="18">
        <f>IFERROR(CV47*$FG47*(1+($FI47-1)*CV$26)*($D$23*$FH47+(1-$D$23)*CV$25),"")</f>
        <v/>
      </c>
      <c r="CW94" s="18">
        <f>IFERROR(CW47*$FG47*(1+($FI47-1)*CW$26)*($D$23*$FH47+(1-$D$23)*CW$25),"")</f>
        <v/>
      </c>
      <c r="CX94" s="18">
        <f>IFERROR(CX47*$FG47*(1+($FI47-1)*CX$26)*($D$23*$FH47+(1-$D$23)*CX$25),"")</f>
        <v/>
      </c>
      <c r="CY94" s="18">
        <f>IFERROR(CY47*$FG47*(1+($FI47-1)*CY$26)*($D$23*$FH47+(1-$D$23)*CY$25),"")</f>
        <v/>
      </c>
      <c r="CZ94" s="18">
        <f>IFERROR(CZ47*$FG47*(1+($FI47-1)*CZ$26)*($D$23*$FH47+(1-$D$23)*CZ$25),"")</f>
        <v/>
      </c>
      <c r="DA94" s="18">
        <f>IFERROR(DA47*$FG47*(1+($FI47-1)*DA$26)*($D$23*$FH47+(1-$D$23)*DA$25),"")</f>
        <v/>
      </c>
      <c r="DB94" s="18">
        <f>IFERROR(DB47*$FG47*(1+($FI47-1)*DB$26)*($D$23*$FH47+(1-$D$23)*DB$25),"")</f>
        <v/>
      </c>
      <c r="DC94" s="18">
        <f>IFERROR(DC47*$FG47*(1+($FI47-1)*DC$26)*($D$23*$FH47+(1-$D$23)*DC$25),"")</f>
        <v/>
      </c>
      <c r="DD94" s="18">
        <f>IFERROR(DD47*$FG47*(1+($FI47-1)*DD$26)*($D$23*$FH47+(1-$D$23)*DD$25),"")</f>
        <v/>
      </c>
      <c r="DE94" s="18">
        <f>IFERROR(DE47*$FG47*(1+($FI47-1)*DE$26)*($D$23*$FH47+(1-$D$23)*DE$25),"")</f>
        <v/>
      </c>
      <c r="DF94" s="18">
        <f>IFERROR(DF47*$FG47*(1+($FI47-1)*DF$26)*($D$23*$FH47+(1-$D$23)*DF$25),"")</f>
        <v/>
      </c>
      <c r="DG94" s="18">
        <f>IFERROR(DG47*$FG47*(1+($FI47-1)*DG$26)*($D$23*$FH47+(1-$D$23)*DG$25),"")</f>
        <v/>
      </c>
      <c r="DH94" s="18">
        <f>IFERROR(DH47*$FG47*(1+($FI47-1)*DH$26)*($D$23*$FH47+(1-$D$23)*DH$25),"")</f>
        <v/>
      </c>
      <c r="DI94" s="18">
        <f>IFERROR(DI47*$FG47*(1+($FI47-1)*DI$26)*($D$23*$FH47+(1-$D$23)*DI$25),"")</f>
        <v/>
      </c>
      <c r="DJ94" s="18">
        <f>IFERROR(DJ47*$FG47*(1+($FI47-1)*DJ$26)*($D$23*$FH47+(1-$D$23)*DJ$25),"")</f>
        <v/>
      </c>
      <c r="DK94" s="18">
        <f>IFERROR(DK47*$FG47*(1+($FI47-1)*DK$26)*($D$23*$FH47+(1-$D$23)*DK$25),"")</f>
        <v/>
      </c>
      <c r="DL94" s="18">
        <f>IFERROR(DL47*$FG47*(1+($FI47-1)*DL$26)*($D$23*$FH47+(1-$D$23)*DL$25),"")</f>
        <v/>
      </c>
      <c r="DM94" s="18">
        <f>IFERROR(DM47*$FG47*(1+($FI47-1)*DM$26)*($D$23*$FH47+(1-$D$23)*DM$25),"")</f>
        <v/>
      </c>
      <c r="DN94" s="18">
        <f>IFERROR(DN47*$FG47*(1+($FI47-1)*DN$26)*($D$23*$FH47+(1-$D$23)*DN$25),"")</f>
        <v/>
      </c>
      <c r="DO94" s="18">
        <f>IFERROR(DO47*$FG47*(1+($FI47-1)*DO$26)*($D$23*$FH47+(1-$D$23)*DO$25),"")</f>
        <v/>
      </c>
      <c r="DP94" s="18">
        <f>IFERROR(DP47*$FG47*(1+($FI47-1)*DP$26)*($D$23*$FH47+(1-$D$23)*DP$25),"")</f>
        <v/>
      </c>
      <c r="DQ94" s="18">
        <f>IFERROR(DQ47*$FG47*(1+($FI47-1)*DQ$26)*($D$23*$FH47+(1-$D$23)*DQ$25),"")</f>
        <v/>
      </c>
      <c r="DR94" s="18">
        <f>IFERROR(DR47*$FG47*(1+($FI47-1)*DR$26)*($D$23*$FH47+(1-$D$23)*DR$25),"")</f>
        <v/>
      </c>
      <c r="DS94" s="18">
        <f>IFERROR(DS47*$FG47*(1+($FI47-1)*DS$26)*($D$23*$FH47+(1-$D$23)*DS$25),"")</f>
        <v/>
      </c>
      <c r="DT94" s="18">
        <f>IFERROR(DT47*$FG47*(1+($FI47-1)*DT$26)*($D$23*$FH47+(1-$D$23)*DT$25),"")</f>
        <v/>
      </c>
      <c r="DU94" s="18">
        <f>IFERROR(DU47*$FG47*(1+($FI47-1)*DU$26)*($D$23*$FH47+(1-$D$23)*DU$25),"")</f>
        <v/>
      </c>
      <c r="DV94" s="18">
        <f>IFERROR(DV47*$FG47*(1+($FI47-1)*DV$26)*($D$23*$FH47+(1-$D$23)*DV$25),"")</f>
        <v/>
      </c>
      <c r="DW94" s="18">
        <f>IFERROR(DW47*$FG47*(1+($FI47-1)*DW$26)*($D$23*$FH47+(1-$D$23)*DW$25),"")</f>
        <v/>
      </c>
      <c r="DX94" s="18">
        <f>IFERROR(DX47*$FG47*(1+($FI47-1)*DX$26)*($D$23*$FH47+(1-$D$23)*DX$25),"")</f>
        <v/>
      </c>
      <c r="DY94" s="18">
        <f>IFERROR(DY47*$FG47*(1+($FI47-1)*DY$26)*($D$23*$FH47+(1-$D$23)*DY$25),"")</f>
        <v/>
      </c>
    </row>
    <row r="95">
      <c r="A95" t="inlineStr">
        <is>
          <t>20260304800353</t>
        </is>
      </c>
      <c r="B95" t="inlineStr">
        <is>
          <t>OTHER</t>
        </is>
      </c>
      <c r="D95" t="inlineStr">
        <is>
          <t>필리핀 따굼 홍수조절사업</t>
        </is>
      </c>
      <c r="AJ95" s="18">
        <f>IFERROR(AJ48*$FG48*(1+($FI48-1)*AJ$26)*($D$23*$FH48+(1-$D$23)*AJ$25),"")</f>
        <v/>
      </c>
      <c r="AK95" s="18">
        <f>IFERROR(AK48*$FG48*(1+($FI48-1)*AK$26)*($D$23*$FH48+(1-$D$23)*AK$25),"")</f>
        <v/>
      </c>
      <c r="AL95" s="18">
        <f>IFERROR(AL48*$FG48*(1+($FI48-1)*AL$26)*($D$23*$FH48+(1-$D$23)*AL$25),"")</f>
        <v/>
      </c>
      <c r="AM95" s="18">
        <f>IFERROR(AM48*$FG48*(1+($FI48-1)*AM$26)*($D$23*$FH48+(1-$D$23)*AM$25),"")</f>
        <v/>
      </c>
      <c r="AN95" s="18">
        <f>IFERROR(AN48*$FG48*(1+($FI48-1)*AN$26)*($D$23*$FH48+(1-$D$23)*AN$25),"")</f>
        <v/>
      </c>
      <c r="AO95" s="18">
        <f>IFERROR(AO48*$FG48*(1+($FI48-1)*AO$26)*($D$23*$FH48+(1-$D$23)*AO$25),"")</f>
        <v/>
      </c>
      <c r="AP95" s="18">
        <f>IFERROR(AP48*$FG48*(1+($FI48-1)*AP$26)*($D$23*$FH48+(1-$D$23)*AP$25),"")</f>
        <v/>
      </c>
      <c r="AQ95" s="18">
        <f>IFERROR(AQ48*$FG48*(1+($FI48-1)*AQ$26)*($D$23*$FH48+(1-$D$23)*AQ$25),"")</f>
        <v/>
      </c>
      <c r="AR95" s="18">
        <f>IFERROR(AR48*$FG48*(1+($FI48-1)*AR$26)*($D$23*$FH48+(1-$D$23)*AR$25),"")</f>
        <v/>
      </c>
      <c r="AS95" s="18">
        <f>IFERROR(AS48*$FG48*(1+($FI48-1)*AS$26)*($D$23*$FH48+(1-$D$23)*AS$25),"")</f>
        <v/>
      </c>
      <c r="AT95" s="18">
        <f>IFERROR(AT48*$FG48*(1+($FI48-1)*AT$26)*($D$23*$FH48+(1-$D$23)*AT$25),"")</f>
        <v/>
      </c>
      <c r="AU95" s="18">
        <f>IFERROR(AU48*$FG48*(1+($FI48-1)*AU$26)*($D$23*$FH48+(1-$D$23)*AU$25),"")</f>
        <v/>
      </c>
      <c r="AV95" s="18">
        <f>IFERROR(AV48*$FG48*(1+($FI48-1)*AV$26)*($D$23*$FH48+(1-$D$23)*AV$25),"")</f>
        <v/>
      </c>
      <c r="AW95" s="18">
        <f>IFERROR(AW48*$FG48*(1+($FI48-1)*AW$26)*($D$23*$FH48+(1-$D$23)*AW$25),"")</f>
        <v/>
      </c>
      <c r="AX95" s="18">
        <f>IFERROR(AX48*$FG48*(1+($FI48-1)*AX$26)*($D$23*$FH48+(1-$D$23)*AX$25),"")</f>
        <v/>
      </c>
      <c r="AY95" s="18">
        <f>IFERROR(AY48*$FG48*(1+($FI48-1)*AY$26)*($D$23*$FH48+(1-$D$23)*AY$25),"")</f>
        <v/>
      </c>
      <c r="AZ95" s="18">
        <f>IFERROR(AZ48*$FG48*(1+($FI48-1)*AZ$26)*($D$23*$FH48+(1-$D$23)*AZ$25),"")</f>
        <v/>
      </c>
    </row>
    <row r="96">
      <c r="A96" t="inlineStr">
        <is>
          <t>20260306800575</t>
        </is>
      </c>
      <c r="B96" t="inlineStr">
        <is>
          <t>OTHER</t>
        </is>
      </c>
      <c r="D96" t="inlineStr">
        <is>
          <t>서울 번동 3-2구역 가로주택정비사업 공사</t>
        </is>
      </c>
      <c r="AJ96" s="18">
        <f>IFERROR(AJ49*$FG49*(1+($FI49-1)*AJ$26)*($D$23*$FH49+(1-$D$23)*AJ$25),"")</f>
        <v/>
      </c>
      <c r="AK96" s="18">
        <f>IFERROR(AK49*$FG49*(1+($FI49-1)*AK$26)*($D$23*$FH49+(1-$D$23)*AK$25),"")</f>
        <v/>
      </c>
      <c r="AL96" s="18">
        <f>IFERROR(AL49*$FG49*(1+($FI49-1)*AL$26)*($D$23*$FH49+(1-$D$23)*AL$25),"")</f>
        <v/>
      </c>
      <c r="AM96" s="18">
        <f>IFERROR(AM49*$FG49*(1+($FI49-1)*AM$26)*($D$23*$FH49+(1-$D$23)*AM$25),"")</f>
        <v/>
      </c>
      <c r="AN96" s="18">
        <f>IFERROR(AN49*$FG49*(1+($FI49-1)*AN$26)*($D$23*$FH49+(1-$D$23)*AN$25),"")</f>
        <v/>
      </c>
      <c r="AO96" s="18">
        <f>IFERROR(AO49*$FG49*(1+($FI49-1)*AO$26)*($D$23*$FH49+(1-$D$23)*AO$25),"")</f>
        <v/>
      </c>
      <c r="AP96" s="18">
        <f>IFERROR(AP49*$FG49*(1+($FI49-1)*AP$26)*($D$23*$FH49+(1-$D$23)*AP$25),"")</f>
        <v/>
      </c>
      <c r="AQ96" s="18">
        <f>IFERROR(AQ49*$FG49*(1+($FI49-1)*AQ$26)*($D$23*$FH49+(1-$D$23)*AQ$25),"")</f>
        <v/>
      </c>
      <c r="AR96" s="18">
        <f>IFERROR(AR49*$FG49*(1+($FI49-1)*AR$26)*($D$23*$FH49+(1-$D$23)*AR$25),"")</f>
        <v/>
      </c>
      <c r="AS96" s="18">
        <f>IFERROR(AS49*$FG49*(1+($FI49-1)*AS$26)*($D$23*$FH49+(1-$D$23)*AS$25),"")</f>
        <v/>
      </c>
      <c r="AT96" s="18">
        <f>IFERROR(AT49*$FG49*(1+($FI49-1)*AT$26)*($D$23*$FH49+(1-$D$23)*AT$25),"")</f>
        <v/>
      </c>
      <c r="AU96" s="18">
        <f>IFERROR(AU49*$FG49*(1+($FI49-1)*AU$26)*($D$23*$FH49+(1-$D$23)*AU$25),"")</f>
        <v/>
      </c>
      <c r="AV96" s="18">
        <f>IFERROR(AV49*$FG49*(1+($FI49-1)*AV$26)*($D$23*$FH49+(1-$D$23)*AV$25),"")</f>
        <v/>
      </c>
      <c r="AW96" s="18">
        <f>IFERROR(AW49*$FG49*(1+($FI49-1)*AW$26)*($D$23*$FH49+(1-$D$23)*AW$25),"")</f>
        <v/>
      </c>
      <c r="AX96" s="18">
        <f>IFERROR(AX49*$FG49*(1+($FI49-1)*AX$26)*($D$23*$FH49+(1-$D$23)*AX$25),"")</f>
        <v/>
      </c>
      <c r="AY96" s="18">
        <f>IFERROR(AY49*$FG49*(1+($FI49-1)*AY$26)*($D$23*$FH49+(1-$D$23)*AY$25),"")</f>
        <v/>
      </c>
      <c r="AZ96" s="18">
        <f>IFERROR(AZ49*$FG49*(1+($FI49-1)*AZ$26)*($D$23*$FH49+(1-$D$23)*AZ$25),"")</f>
        <v/>
      </c>
      <c r="BA96" s="18">
        <f>IFERROR(BA49*$FG49*(1+($FI49-1)*BA$26)*($D$23*$FH49+(1-$D$23)*BA$25),"")</f>
        <v/>
      </c>
      <c r="BB96" s="18">
        <f>IFERROR(BB49*$FG49*(1+($FI49-1)*BB$26)*($D$23*$FH49+(1-$D$23)*BB$25),"")</f>
        <v/>
      </c>
    </row>
    <row r="97">
      <c r="A97" t="inlineStr">
        <is>
          <t>20260313800208</t>
        </is>
      </c>
      <c r="B97" t="inlineStr">
        <is>
          <t>OTHER</t>
        </is>
      </c>
      <c r="D97" t="inlineStr">
        <is>
          <t>24-F-00부대 유도로 신설 및 활주로 재포장사업(4146)</t>
        </is>
      </c>
      <c r="AG97" s="18">
        <f>IFERROR(AG50*$FG50*(1+($FI50-1)*AG$26)*($D$23*$FH50+(1-$D$23)*AG$25),"")</f>
        <v/>
      </c>
      <c r="AH97" s="18">
        <f>IFERROR(AH50*$FG50*(1+($FI50-1)*AH$26)*($D$23*$FH50+(1-$D$23)*AH$25),"")</f>
        <v/>
      </c>
      <c r="AI97" s="18">
        <f>IFERROR(AI50*$FG50*(1+($FI50-1)*AI$26)*($D$23*$FH50+(1-$D$23)*AI$25),"")</f>
        <v/>
      </c>
      <c r="AJ97" s="18">
        <f>IFERROR(AJ50*$FG50*(1+($FI50-1)*AJ$26)*($D$23*$FH50+(1-$D$23)*AJ$25),"")</f>
        <v/>
      </c>
      <c r="AK97" s="18">
        <f>IFERROR(AK50*$FG50*(1+($FI50-1)*AK$26)*($D$23*$FH50+(1-$D$23)*AK$25),"")</f>
        <v/>
      </c>
      <c r="AL97" s="18">
        <f>IFERROR(AL50*$FG50*(1+($FI50-1)*AL$26)*($D$23*$FH50+(1-$D$23)*AL$25),"")</f>
        <v/>
      </c>
      <c r="AM97" s="18">
        <f>IFERROR(AM50*$FG50*(1+($FI50-1)*AM$26)*($D$23*$FH50+(1-$D$23)*AM$25),"")</f>
        <v/>
      </c>
      <c r="AN97" s="18">
        <f>IFERROR(AN50*$FG50*(1+($FI50-1)*AN$26)*($D$23*$FH50+(1-$D$23)*AN$25),"")</f>
        <v/>
      </c>
      <c r="AO97" s="18">
        <f>IFERROR(AO50*$FG50*(1+($FI50-1)*AO$26)*($D$23*$FH50+(1-$D$23)*AO$25),"")</f>
        <v/>
      </c>
      <c r="AP97" s="18">
        <f>IFERROR(AP50*$FG50*(1+($FI50-1)*AP$26)*($D$23*$FH50+(1-$D$23)*AP$25),"")</f>
        <v/>
      </c>
      <c r="AQ97" s="18">
        <f>IFERROR(AQ50*$FG50*(1+($FI50-1)*AQ$26)*($D$23*$FH50+(1-$D$23)*AQ$25),"")</f>
        <v/>
      </c>
      <c r="AR97" s="18">
        <f>IFERROR(AR50*$FG50*(1+($FI50-1)*AR$26)*($D$23*$FH50+(1-$D$23)*AR$25),"")</f>
        <v/>
      </c>
      <c r="AS97" s="18">
        <f>IFERROR(AS50*$FG50*(1+($FI50-1)*AS$26)*($D$23*$FH50+(1-$D$23)*AS$25),"")</f>
        <v/>
      </c>
      <c r="AT97" s="18">
        <f>IFERROR(AT50*$FG50*(1+($FI50-1)*AT$26)*($D$23*$FH50+(1-$D$23)*AT$25),"")</f>
        <v/>
      </c>
    </row>
    <row r="98">
      <c r="A98" t="inlineStr">
        <is>
          <t>20260401800508</t>
        </is>
      </c>
      <c r="B98" t="inlineStr">
        <is>
          <t>OTHER</t>
        </is>
      </c>
      <c r="D98" t="inlineStr">
        <is>
          <t>서대신4구역 주택재개발 정비사업</t>
        </is>
      </c>
      <c r="O98" s="18">
        <f>IFERROR(O51*$FG51*(1+($FI51-1)*O$26)*($D$23*$FH51+(1-$D$23)*O$25),"")</f>
        <v/>
      </c>
      <c r="P98" s="18">
        <f>IFERROR(P51*$FG51*(1+($FI51-1)*P$26)*($D$23*$FH51+(1-$D$23)*P$25),"")</f>
        <v/>
      </c>
      <c r="Q98" s="18">
        <f>IFERROR(Q51*$FG51*(1+($FI51-1)*Q$26)*($D$23*$FH51+(1-$D$23)*Q$25),"")</f>
        <v/>
      </c>
      <c r="R98" s="18">
        <f>IFERROR(R51*$FG51*(1+($FI51-1)*R$26)*($D$23*$FH51+(1-$D$23)*R$25),"")</f>
        <v/>
      </c>
      <c r="S98" s="18">
        <f>IFERROR(S51*$FG51*(1+($FI51-1)*S$26)*($D$23*$FH51+(1-$D$23)*S$25),"")</f>
        <v/>
      </c>
      <c r="T98" s="18">
        <f>IFERROR(T51*$FG51*(1+($FI51-1)*T$26)*($D$23*$FH51+(1-$D$23)*T$25),"")</f>
        <v/>
      </c>
      <c r="U98" s="18">
        <f>IFERROR(U51*$FG51*(1+($FI51-1)*U$26)*($D$23*$FH51+(1-$D$23)*U$25),"")</f>
        <v/>
      </c>
      <c r="V98" s="18">
        <f>IFERROR(V51*$FG51*(1+($FI51-1)*V$26)*($D$23*$FH51+(1-$D$23)*V$25),"")</f>
        <v/>
      </c>
      <c r="W98" s="18">
        <f>IFERROR(W51*$FG51*(1+($FI51-1)*W$26)*($D$23*$FH51+(1-$D$23)*W$25),"")</f>
        <v/>
      </c>
      <c r="X98" s="18">
        <f>IFERROR(X51*$FG51*(1+($FI51-1)*X$26)*($D$23*$FH51+(1-$D$23)*X$25),"")</f>
        <v/>
      </c>
      <c r="Y98" s="18">
        <f>IFERROR(Y51*$FG51*(1+($FI51-1)*Y$26)*($D$23*$FH51+(1-$D$23)*Y$25),"")</f>
        <v/>
      </c>
      <c r="Z98" s="18">
        <f>IFERROR(Z51*$FG51*(1+($FI51-1)*Z$26)*($D$23*$FH51+(1-$D$23)*Z$25),"")</f>
        <v/>
      </c>
      <c r="AA98" s="18">
        <f>IFERROR(AA51*$FG51*(1+($FI51-1)*AA$26)*($D$23*$FH51+(1-$D$23)*AA$25),"")</f>
        <v/>
      </c>
      <c r="AB98" s="18">
        <f>IFERROR(AB51*$FG51*(1+($FI51-1)*AB$26)*($D$23*$FH51+(1-$D$23)*AB$25),"")</f>
        <v/>
      </c>
      <c r="AC98" s="18">
        <f>IFERROR(AC51*$FG51*(1+($FI51-1)*AC$26)*($D$23*$FH51+(1-$D$23)*AC$25),"")</f>
        <v/>
      </c>
      <c r="AD98" s="18">
        <f>IFERROR(AD51*$FG51*(1+($FI51-1)*AD$26)*($D$23*$FH51+(1-$D$23)*AD$25),"")</f>
        <v/>
      </c>
      <c r="AE98" s="18">
        <f>IFERROR(AE51*$FG51*(1+($FI51-1)*AE$26)*($D$23*$FH51+(1-$D$23)*AE$25),"")</f>
        <v/>
      </c>
      <c r="AF98" s="18">
        <f>IFERROR(AF51*$FG51*(1+($FI51-1)*AF$26)*($D$23*$FH51+(1-$D$23)*AF$25),"")</f>
        <v/>
      </c>
      <c r="AG98" s="18">
        <f>IFERROR(AG51*$FG51*(1+($FI51-1)*AG$26)*($D$23*$FH51+(1-$D$23)*AG$25),"")</f>
        <v/>
      </c>
    </row>
    <row r="99">
      <c r="A99" t="inlineStr">
        <is>
          <t>20260410800253</t>
        </is>
      </c>
      <c r="B99" t="inlineStr">
        <is>
          <t>OTHER</t>
        </is>
      </c>
      <c r="D99" t="inlineStr">
        <is>
          <t>부산 범천5구역 재개발정비사업</t>
        </is>
      </c>
      <c r="AK99" s="18">
        <f>IFERROR(AK52*$FG52*(1+($FI52-1)*AK$26)*($D$23*$FH52+(1-$D$23)*AK$25),"")</f>
        <v/>
      </c>
      <c r="AL99" s="18">
        <f>IFERROR(AL52*$FG52*(1+($FI52-1)*AL$26)*($D$23*$FH52+(1-$D$23)*AL$25),"")</f>
        <v/>
      </c>
      <c r="AM99" s="18">
        <f>IFERROR(AM52*$FG52*(1+($FI52-1)*AM$26)*($D$23*$FH52+(1-$D$23)*AM$25),"")</f>
        <v/>
      </c>
      <c r="AN99" s="18">
        <f>IFERROR(AN52*$FG52*(1+($FI52-1)*AN$26)*($D$23*$FH52+(1-$D$23)*AN$25),"")</f>
        <v/>
      </c>
      <c r="AO99" s="18">
        <f>IFERROR(AO52*$FG52*(1+($FI52-1)*AO$26)*($D$23*$FH52+(1-$D$23)*AO$25),"")</f>
        <v/>
      </c>
      <c r="AP99" s="18">
        <f>IFERROR(AP52*$FG52*(1+($FI52-1)*AP$26)*($D$23*$FH52+(1-$D$23)*AP$25),"")</f>
        <v/>
      </c>
      <c r="AQ99" s="18">
        <f>IFERROR(AQ52*$FG52*(1+($FI52-1)*AQ$26)*($D$23*$FH52+(1-$D$23)*AQ$25),"")</f>
        <v/>
      </c>
      <c r="AR99" s="18">
        <f>IFERROR(AR52*$FG52*(1+($FI52-1)*AR$26)*($D$23*$FH52+(1-$D$23)*AR$25),"")</f>
        <v/>
      </c>
      <c r="AS99" s="18">
        <f>IFERROR(AS52*$FG52*(1+($FI52-1)*AS$26)*($D$23*$FH52+(1-$D$23)*AS$25),"")</f>
        <v/>
      </c>
      <c r="AT99" s="18">
        <f>IFERROR(AT52*$FG52*(1+($FI52-1)*AT$26)*($D$23*$FH52+(1-$D$23)*AT$25),"")</f>
        <v/>
      </c>
      <c r="AU99" s="18">
        <f>IFERROR(AU52*$FG52*(1+($FI52-1)*AU$26)*($D$23*$FH52+(1-$D$23)*AU$25),"")</f>
        <v/>
      </c>
      <c r="AV99" s="18">
        <f>IFERROR(AV52*$FG52*(1+($FI52-1)*AV$26)*($D$23*$FH52+(1-$D$23)*AV$25),"")</f>
        <v/>
      </c>
      <c r="AW99" s="18">
        <f>IFERROR(AW52*$FG52*(1+($FI52-1)*AW$26)*($D$23*$FH52+(1-$D$23)*AW$25),"")</f>
        <v/>
      </c>
      <c r="AX99" s="18">
        <f>IFERROR(AX52*$FG52*(1+($FI52-1)*AX$26)*($D$23*$FH52+(1-$D$23)*AX$25),"")</f>
        <v/>
      </c>
      <c r="AY99" s="18">
        <f>IFERROR(AY52*$FG52*(1+($FI52-1)*AY$26)*($D$23*$FH52+(1-$D$23)*AY$25),"")</f>
        <v/>
      </c>
      <c r="AZ99" s="18">
        <f>IFERROR(AZ52*$FG52*(1+($FI52-1)*AZ$26)*($D$23*$FH52+(1-$D$23)*AZ$25),"")</f>
        <v/>
      </c>
      <c r="BA99" s="18">
        <f>IFERROR(BA52*$FG52*(1+($FI52-1)*BA$26)*($D$23*$FH52+(1-$D$23)*BA$25),"")</f>
        <v/>
      </c>
      <c r="BB99" s="18">
        <f>IFERROR(BB52*$FG52*(1+($FI52-1)*BB$26)*($D$23*$FH52+(1-$D$23)*BB$25),"")</f>
        <v/>
      </c>
      <c r="BC99" s="18">
        <f>IFERROR(BC52*$FG52*(1+($FI52-1)*BC$26)*($D$23*$FH52+(1-$D$23)*BC$25),"")</f>
        <v/>
      </c>
    </row>
    <row r="100">
      <c r="A100" t="inlineStr">
        <is>
          <t>20260422800059</t>
        </is>
      </c>
      <c r="B100" t="inlineStr">
        <is>
          <t>OTHER</t>
        </is>
      </c>
      <c r="D100" t="inlineStr">
        <is>
          <t>남양주왕숙2 A-6BL 및 A-7BL 통합형 민간참여 공공주택 건설사업</t>
        </is>
      </c>
      <c r="AK100" s="18">
        <f>IFERROR(AK53*$FG53*(1+($FI53-1)*AK$26)*($D$23*$FH53+(1-$D$23)*AK$25),"")</f>
        <v/>
      </c>
      <c r="AL100" s="18">
        <f>IFERROR(AL53*$FG53*(1+($FI53-1)*AL$26)*($D$23*$FH53+(1-$D$23)*AL$25),"")</f>
        <v/>
      </c>
      <c r="AM100" s="18">
        <f>IFERROR(AM53*$FG53*(1+($FI53-1)*AM$26)*($D$23*$FH53+(1-$D$23)*AM$25),"")</f>
        <v/>
      </c>
      <c r="AN100" s="18">
        <f>IFERROR(AN53*$FG53*(1+($FI53-1)*AN$26)*($D$23*$FH53+(1-$D$23)*AN$25),"")</f>
        <v/>
      </c>
      <c r="AO100" s="18">
        <f>IFERROR(AO53*$FG53*(1+($FI53-1)*AO$26)*($D$23*$FH53+(1-$D$23)*AO$25),"")</f>
        <v/>
      </c>
      <c r="AP100" s="18">
        <f>IFERROR(AP53*$FG53*(1+($FI53-1)*AP$26)*($D$23*$FH53+(1-$D$23)*AP$25),"")</f>
        <v/>
      </c>
      <c r="AQ100" s="18">
        <f>IFERROR(AQ53*$FG53*(1+($FI53-1)*AQ$26)*($D$23*$FH53+(1-$D$23)*AQ$25),"")</f>
        <v/>
      </c>
      <c r="AR100" s="18">
        <f>IFERROR(AR53*$FG53*(1+($FI53-1)*AR$26)*($D$23*$FH53+(1-$D$23)*AR$25),"")</f>
        <v/>
      </c>
      <c r="AS100" s="18">
        <f>IFERROR(AS53*$FG53*(1+($FI53-1)*AS$26)*($D$23*$FH53+(1-$D$23)*AS$25),"")</f>
        <v/>
      </c>
      <c r="AT100" s="18">
        <f>IFERROR(AT53*$FG53*(1+($FI53-1)*AT$26)*($D$23*$FH53+(1-$D$23)*AT$25),"")</f>
        <v/>
      </c>
      <c r="AU100" s="18">
        <f>IFERROR(AU53*$FG53*(1+($FI53-1)*AU$26)*($D$23*$FH53+(1-$D$23)*AU$25),"")</f>
        <v/>
      </c>
      <c r="AV100" s="18">
        <f>IFERROR(AV53*$FG53*(1+($FI53-1)*AV$26)*($D$23*$FH53+(1-$D$23)*AV$25),"")</f>
        <v/>
      </c>
      <c r="AW100" s="18">
        <f>IFERROR(AW53*$FG53*(1+($FI53-1)*AW$26)*($D$23*$FH53+(1-$D$23)*AW$25),"")</f>
        <v/>
      </c>
    </row>
    <row r="101">
      <c r="A101" t="inlineStr">
        <is>
          <t>20260423800218</t>
        </is>
      </c>
      <c r="B101" t="inlineStr">
        <is>
          <t>OTHER</t>
        </is>
      </c>
      <c r="D101" t="inlineStr">
        <is>
          <t>연산5구역 재개발정비사업</t>
        </is>
      </c>
      <c r="Y101" s="18">
        <f>IFERROR(Y54*$FG54*(1+($FI54-1)*Y$26)*($D$23*$FH54+(1-$D$23)*Y$25),"")</f>
        <v/>
      </c>
      <c r="Z101" s="18">
        <f>IFERROR(Z54*$FG54*(1+($FI54-1)*Z$26)*($D$23*$FH54+(1-$D$23)*Z$25),"")</f>
        <v/>
      </c>
      <c r="AA101" s="18">
        <f>IFERROR(AA54*$FG54*(1+($FI54-1)*AA$26)*($D$23*$FH54+(1-$D$23)*AA$25),"")</f>
        <v/>
      </c>
      <c r="AB101" s="18">
        <f>IFERROR(AB54*$FG54*(1+($FI54-1)*AB$26)*($D$23*$FH54+(1-$D$23)*AB$25),"")</f>
        <v/>
      </c>
      <c r="AC101" s="18">
        <f>IFERROR(AC54*$FG54*(1+($FI54-1)*AC$26)*($D$23*$FH54+(1-$D$23)*AC$25),"")</f>
        <v/>
      </c>
      <c r="AD101" s="18">
        <f>IFERROR(AD54*$FG54*(1+($FI54-1)*AD$26)*($D$23*$FH54+(1-$D$23)*AD$25),"")</f>
        <v/>
      </c>
      <c r="AE101" s="18">
        <f>IFERROR(AE54*$FG54*(1+($FI54-1)*AE$26)*($D$23*$FH54+(1-$D$23)*AE$25),"")</f>
        <v/>
      </c>
      <c r="AF101" s="18">
        <f>IFERROR(AF54*$FG54*(1+($FI54-1)*AF$26)*($D$23*$FH54+(1-$D$23)*AF$25),"")</f>
        <v/>
      </c>
      <c r="AG101" s="18">
        <f>IFERROR(AG54*$FG54*(1+($FI54-1)*AG$26)*($D$23*$FH54+(1-$D$23)*AG$25),"")</f>
        <v/>
      </c>
      <c r="AH101" s="18">
        <f>IFERROR(AH54*$FG54*(1+($FI54-1)*AH$26)*($D$23*$FH54+(1-$D$23)*AH$25),"")</f>
        <v/>
      </c>
      <c r="AI101" s="18">
        <f>IFERROR(AI54*$FG54*(1+($FI54-1)*AI$26)*($D$23*$FH54+(1-$D$23)*AI$25),"")</f>
        <v/>
      </c>
      <c r="AJ101" s="18">
        <f>IFERROR(AJ54*$FG54*(1+($FI54-1)*AJ$26)*($D$23*$FH54+(1-$D$23)*AJ$25),"")</f>
        <v/>
      </c>
      <c r="AK101" s="18">
        <f>IFERROR(AK54*$FG54*(1+($FI54-1)*AK$26)*($D$23*$FH54+(1-$D$23)*AK$25),"")</f>
        <v/>
      </c>
      <c r="AL101" s="18">
        <f>IFERROR(AL54*$FG54*(1+($FI54-1)*AL$26)*($D$23*$FH54+(1-$D$23)*AL$25),"")</f>
        <v/>
      </c>
      <c r="AM101" s="18">
        <f>IFERROR(AM54*$FG54*(1+($FI54-1)*AM$26)*($D$23*$FH54+(1-$D$23)*AM$25),"")</f>
        <v/>
      </c>
      <c r="AN101" s="18">
        <f>IFERROR(AN54*$FG54*(1+($FI54-1)*AN$26)*($D$23*$FH54+(1-$D$23)*AN$25),"")</f>
        <v/>
      </c>
      <c r="AO101" s="18">
        <f>IFERROR(AO54*$FG54*(1+($FI54-1)*AO$26)*($D$23*$FH54+(1-$D$23)*AO$25),"")</f>
        <v/>
      </c>
      <c r="AP101" s="18">
        <f>IFERROR(AP54*$FG54*(1+($FI54-1)*AP$26)*($D$23*$FH54+(1-$D$23)*AP$25),"")</f>
        <v/>
      </c>
      <c r="AQ101" s="18">
        <f>IFERROR(AQ54*$FG54*(1+($FI54-1)*AQ$26)*($D$23*$FH54+(1-$D$23)*AQ$25),"")</f>
        <v/>
      </c>
    </row>
    <row r="102">
      <c r="A102" t="inlineStr">
        <is>
          <t>20260423800721</t>
        </is>
      </c>
      <c r="B102" t="inlineStr">
        <is>
          <t>OTHER</t>
        </is>
      </c>
      <c r="D102" t="inlineStr">
        <is>
          <t>부산 대림비치아파트 소규모재건축정비사업</t>
        </is>
      </c>
      <c r="AB102" s="18">
        <f>IFERROR(AB55*$FG55*(1+($FI55-1)*AB$26)*($D$23*$FH55+(1-$D$23)*AB$25),"")</f>
        <v/>
      </c>
      <c r="AC102" s="18">
        <f>IFERROR(AC55*$FG55*(1+($FI55-1)*AC$26)*($D$23*$FH55+(1-$D$23)*AC$25),"")</f>
        <v/>
      </c>
      <c r="AD102" s="18">
        <f>IFERROR(AD55*$FG55*(1+($FI55-1)*AD$26)*($D$23*$FH55+(1-$D$23)*AD$25),"")</f>
        <v/>
      </c>
      <c r="AE102" s="18">
        <f>IFERROR(AE55*$FG55*(1+($FI55-1)*AE$26)*($D$23*$FH55+(1-$D$23)*AE$25),"")</f>
        <v/>
      </c>
      <c r="AF102" s="18">
        <f>IFERROR(AF55*$FG55*(1+($FI55-1)*AF$26)*($D$23*$FH55+(1-$D$23)*AF$25),"")</f>
        <v/>
      </c>
      <c r="AG102" s="18">
        <f>IFERROR(AG55*$FG55*(1+($FI55-1)*AG$26)*($D$23*$FH55+(1-$D$23)*AG$25),"")</f>
        <v/>
      </c>
      <c r="AH102" s="18">
        <f>IFERROR(AH55*$FG55*(1+($FI55-1)*AH$26)*($D$23*$FH55+(1-$D$23)*AH$25),"")</f>
        <v/>
      </c>
      <c r="AI102" s="18">
        <f>IFERROR(AI55*$FG55*(1+($FI55-1)*AI$26)*($D$23*$FH55+(1-$D$23)*AI$25),"")</f>
        <v/>
      </c>
      <c r="AJ102" s="18">
        <f>IFERROR(AJ55*$FG55*(1+($FI55-1)*AJ$26)*($D$23*$FH55+(1-$D$23)*AJ$25),"")</f>
        <v/>
      </c>
      <c r="AK102" s="18">
        <f>IFERROR(AK55*$FG55*(1+($FI55-1)*AK$26)*($D$23*$FH55+(1-$D$23)*AK$25),"")</f>
        <v/>
      </c>
      <c r="AL102" s="18">
        <f>IFERROR(AL55*$FG55*(1+($FI55-1)*AL$26)*($D$23*$FH55+(1-$D$23)*AL$25),"")</f>
        <v/>
      </c>
      <c r="AM102" s="18">
        <f>IFERROR(AM55*$FG55*(1+($FI55-1)*AM$26)*($D$23*$FH55+(1-$D$23)*AM$25),"")</f>
        <v/>
      </c>
      <c r="AN102" s="18">
        <f>IFERROR(AN55*$FG55*(1+($FI55-1)*AN$26)*($D$23*$FH55+(1-$D$23)*AN$25),"")</f>
        <v/>
      </c>
      <c r="AO102" s="18">
        <f>IFERROR(AO55*$FG55*(1+($FI55-1)*AO$26)*($D$23*$FH55+(1-$D$23)*AO$25),"")</f>
        <v/>
      </c>
      <c r="AP102" s="18">
        <f>IFERROR(AP55*$FG55*(1+($FI55-1)*AP$26)*($D$23*$FH55+(1-$D$23)*AP$25),"")</f>
        <v/>
      </c>
      <c r="AQ102" s="18">
        <f>IFERROR(AQ55*$FG55*(1+($FI55-1)*AQ$26)*($D$23*$FH55+(1-$D$23)*AQ$25),"")</f>
        <v/>
      </c>
      <c r="AR102" s="18">
        <f>IFERROR(AR55*$FG55*(1+($FI55-1)*AR$26)*($D$23*$FH55+(1-$D$23)*AR$25),"")</f>
        <v/>
      </c>
      <c r="AS102" s="18">
        <f>IFERROR(AS55*$FG55*(1+($FI55-1)*AS$26)*($D$23*$FH55+(1-$D$23)*AS$25),"")</f>
        <v/>
      </c>
      <c r="AT102" s="18">
        <f>IFERROR(AT55*$FG55*(1+($FI55-1)*AT$26)*($D$23*$FH55+(1-$D$23)*AT$25),"")</f>
        <v/>
      </c>
    </row>
    <row r="103">
      <c r="A103" t="inlineStr">
        <is>
          <t>20260427800078</t>
        </is>
      </c>
      <c r="B103" t="inlineStr">
        <is>
          <t>CONT</t>
        </is>
      </c>
      <c r="C103" t="n">
        <v>2</v>
      </c>
      <c r="D103" t="inlineStr">
        <is>
          <t>컨테이너선 2척 수주</t>
        </is>
      </c>
      <c r="AK103" s="18">
        <f>IFERROR(AK56*$FG56*(1+($FI56-1)*AK$26)*($D$23*$FH56+(1-$D$23)*AK$25),"")</f>
        <v/>
      </c>
      <c r="AL103" s="18">
        <f>IFERROR(AL56*$FG56*(1+($FI56-1)*AL$26)*($D$23*$FH56+(1-$D$23)*AL$25),"")</f>
        <v/>
      </c>
      <c r="AM103" s="18">
        <f>IFERROR(AM56*$FG56*(1+($FI56-1)*AM$26)*($D$23*$FH56+(1-$D$23)*AM$25),"")</f>
        <v/>
      </c>
      <c r="AN103" s="18">
        <f>IFERROR(AN56*$FG56*(1+($FI56-1)*AN$26)*($D$23*$FH56+(1-$D$23)*AN$25),"")</f>
        <v/>
      </c>
      <c r="AO103" s="18">
        <f>IFERROR(AO56*$FG56*(1+($FI56-1)*AO$26)*($D$23*$FH56+(1-$D$23)*AO$25),"")</f>
        <v/>
      </c>
      <c r="AP103" s="18">
        <f>IFERROR(AP56*$FG56*(1+($FI56-1)*AP$26)*($D$23*$FH56+(1-$D$23)*AP$25),"")</f>
        <v/>
      </c>
      <c r="AQ103" s="18">
        <f>IFERROR(AQ56*$FG56*(1+($FI56-1)*AQ$26)*($D$23*$FH56+(1-$D$23)*AQ$25),"")</f>
        <v/>
      </c>
      <c r="AR103" s="18">
        <f>IFERROR(AR56*$FG56*(1+($FI56-1)*AR$26)*($D$23*$FH56+(1-$D$23)*AR$25),"")</f>
        <v/>
      </c>
      <c r="AS103" s="18">
        <f>IFERROR(AS56*$FG56*(1+($FI56-1)*AS$26)*($D$23*$FH56+(1-$D$23)*AS$25),"")</f>
        <v/>
      </c>
      <c r="AT103" s="18">
        <f>IFERROR(AT56*$FG56*(1+($FI56-1)*AT$26)*($D$23*$FH56+(1-$D$23)*AT$25),"")</f>
        <v/>
      </c>
      <c r="AU103" s="18">
        <f>IFERROR(AU56*$FG56*(1+($FI56-1)*AU$26)*($D$23*$FH56+(1-$D$23)*AU$25),"")</f>
        <v/>
      </c>
    </row>
    <row r="104">
      <c r="A104" t="inlineStr">
        <is>
          <t>20260506800906</t>
        </is>
      </c>
      <c r="B104" t="inlineStr">
        <is>
          <t>OTHER</t>
        </is>
      </c>
      <c r="D104" t="inlineStr">
        <is>
          <t>강원지역 전기공급시설 전력구공사</t>
        </is>
      </c>
      <c r="Z104" s="18">
        <f>IFERROR(Z57*$FG57*(1+($FI57-1)*Z$26)*($D$23*$FH57+(1-$D$23)*Z$25),"")</f>
        <v/>
      </c>
      <c r="AA104" s="18">
        <f>IFERROR(AA57*$FG57*(1+($FI57-1)*AA$26)*($D$23*$FH57+(1-$D$23)*AA$25),"")</f>
        <v/>
      </c>
      <c r="AB104" s="18">
        <f>IFERROR(AB57*$FG57*(1+($FI57-1)*AB$26)*($D$23*$FH57+(1-$D$23)*AB$25),"")</f>
        <v/>
      </c>
      <c r="AC104" s="18">
        <f>IFERROR(AC57*$FG57*(1+($FI57-1)*AC$26)*($D$23*$FH57+(1-$D$23)*AC$25),"")</f>
        <v/>
      </c>
      <c r="AD104" s="18">
        <f>IFERROR(AD57*$FG57*(1+($FI57-1)*AD$26)*($D$23*$FH57+(1-$D$23)*AD$25),"")</f>
        <v/>
      </c>
      <c r="AE104" s="18">
        <f>IFERROR(AE57*$FG57*(1+($FI57-1)*AE$26)*($D$23*$FH57+(1-$D$23)*AE$25),"")</f>
        <v/>
      </c>
      <c r="AF104" s="18">
        <f>IFERROR(AF57*$FG57*(1+($FI57-1)*AF$26)*($D$23*$FH57+(1-$D$23)*AF$25),"")</f>
        <v/>
      </c>
      <c r="AG104" s="18">
        <f>IFERROR(AG57*$FG57*(1+($FI57-1)*AG$26)*($D$23*$FH57+(1-$D$23)*AG$25),"")</f>
        <v/>
      </c>
      <c r="AH104" s="18">
        <f>IFERROR(AH57*$FG57*(1+($FI57-1)*AH$26)*($D$23*$FH57+(1-$D$23)*AH$25),"")</f>
        <v/>
      </c>
      <c r="AI104" s="18">
        <f>IFERROR(AI57*$FG57*(1+($FI57-1)*AI$26)*($D$23*$FH57+(1-$D$23)*AI$25),"")</f>
        <v/>
      </c>
      <c r="AJ104" s="18">
        <f>IFERROR(AJ57*$FG57*(1+($FI57-1)*AJ$26)*($D$23*$FH57+(1-$D$23)*AJ$25),"")</f>
        <v/>
      </c>
      <c r="AK104" s="18">
        <f>IFERROR(AK57*$FG57*(1+($FI57-1)*AK$26)*($D$23*$FH57+(1-$D$23)*AK$25),"")</f>
        <v/>
      </c>
      <c r="AL104" s="18">
        <f>IFERROR(AL57*$FG57*(1+($FI57-1)*AL$26)*($D$23*$FH57+(1-$D$23)*AL$25),"")</f>
        <v/>
      </c>
      <c r="AM104" s="18">
        <f>IFERROR(AM57*$FG57*(1+($FI57-1)*AM$26)*($D$23*$FH57+(1-$D$23)*AM$25),"")</f>
        <v/>
      </c>
      <c r="AN104" s="18">
        <f>IFERROR(AN57*$FG57*(1+($FI57-1)*AN$26)*($D$23*$FH57+(1-$D$23)*AN$25),"")</f>
        <v/>
      </c>
      <c r="AO104" s="18">
        <f>IFERROR(AO57*$FG57*(1+($FI57-1)*AO$26)*($D$23*$FH57+(1-$D$23)*AO$25),"")</f>
        <v/>
      </c>
      <c r="AP104" s="18">
        <f>IFERROR(AP57*$FG57*(1+($FI57-1)*AP$26)*($D$23*$FH57+(1-$D$23)*AP$25),"")</f>
        <v/>
      </c>
      <c r="AQ104" s="18">
        <f>IFERROR(AQ57*$FG57*(1+($FI57-1)*AQ$26)*($D$23*$FH57+(1-$D$23)*AQ$25),"")</f>
        <v/>
      </c>
    </row>
    <row r="105">
      <c r="A105" t="inlineStr">
        <is>
          <t>20260518800840</t>
        </is>
      </c>
      <c r="B105" t="inlineStr">
        <is>
          <t>OTHER</t>
        </is>
      </c>
      <c r="D105" t="inlineStr">
        <is>
          <t>500kv 동서울변환소 토건공사</t>
        </is>
      </c>
      <c r="AI105" s="18">
        <f>IFERROR(AI58*$FG58*(1+($FI58-1)*AI$26)*($D$23*$FH58+(1-$D$23)*AI$25),"")</f>
        <v/>
      </c>
      <c r="AJ105" s="18">
        <f>IFERROR(AJ58*$FG58*(1+($FI58-1)*AJ$26)*($D$23*$FH58+(1-$D$23)*AJ$25),"")</f>
        <v/>
      </c>
      <c r="AK105" s="18">
        <f>IFERROR(AK58*$FG58*(1+($FI58-1)*AK$26)*($D$23*$FH58+(1-$D$23)*AK$25),"")</f>
        <v/>
      </c>
      <c r="AL105" s="18">
        <f>IFERROR(AL58*$FG58*(1+($FI58-1)*AL$26)*($D$23*$FH58+(1-$D$23)*AL$25),"")</f>
        <v/>
      </c>
      <c r="AM105" s="18">
        <f>IFERROR(AM58*$FG58*(1+($FI58-1)*AM$26)*($D$23*$FH58+(1-$D$23)*AM$25),"")</f>
        <v/>
      </c>
      <c r="AN105" s="18">
        <f>IFERROR(AN58*$FG58*(1+($FI58-1)*AN$26)*($D$23*$FH58+(1-$D$23)*AN$25),"")</f>
        <v/>
      </c>
      <c r="AO105" s="18">
        <f>IFERROR(AO58*$FG58*(1+($FI58-1)*AO$26)*($D$23*$FH58+(1-$D$23)*AO$25),"")</f>
        <v/>
      </c>
      <c r="AP105" s="18">
        <f>IFERROR(AP58*$FG58*(1+($FI58-1)*AP$26)*($D$23*$FH58+(1-$D$23)*AP$25),"")</f>
        <v/>
      </c>
      <c r="AQ105" s="18">
        <f>IFERROR(AQ58*$FG58*(1+($FI58-1)*AQ$26)*($D$23*$FH58+(1-$D$23)*AQ$25),"")</f>
        <v/>
      </c>
      <c r="AR105" s="18">
        <f>IFERROR(AR58*$FG58*(1+($FI58-1)*AR$26)*($D$23*$FH58+(1-$D$23)*AR$25),"")</f>
        <v/>
      </c>
      <c r="AS105" s="18">
        <f>IFERROR(AS58*$FG58*(1+($FI58-1)*AS$26)*($D$23*$FH58+(1-$D$23)*AS$25),"")</f>
        <v/>
      </c>
      <c r="AT105" s="18">
        <f>IFERROR(AT58*$FG58*(1+($FI58-1)*AT$26)*($D$23*$FH58+(1-$D$23)*AT$25),"")</f>
        <v/>
      </c>
      <c r="AU105" s="18">
        <f>IFERROR(AU58*$FG58*(1+($FI58-1)*AU$26)*($D$23*$FH58+(1-$D$23)*AU$25),"")</f>
        <v/>
      </c>
      <c r="AV105" s="18">
        <f>IFERROR(AV58*$FG58*(1+($FI58-1)*AV$26)*($D$23*$FH58+(1-$D$23)*AV$25),"")</f>
        <v/>
      </c>
      <c r="AW105" s="18">
        <f>IFERROR(AW58*$FG58*(1+($FI58-1)*AW$26)*($D$23*$FH58+(1-$D$23)*AW$25),"")</f>
        <v/>
      </c>
      <c r="AX105" s="18">
        <f>IFERROR(AX58*$FG58*(1+($FI58-1)*AX$26)*($D$23*$FH58+(1-$D$23)*AX$25),"")</f>
        <v/>
      </c>
      <c r="AY105" s="18">
        <f>IFERROR(AY58*$FG58*(1+($FI58-1)*AY$26)*($D$23*$FH58+(1-$D$23)*AY$25),"")</f>
        <v/>
      </c>
      <c r="AZ105" s="18">
        <f>IFERROR(AZ58*$FG58*(1+($FI58-1)*AZ$26)*($D$23*$FH58+(1-$D$23)*AZ$25),"")</f>
        <v/>
      </c>
    </row>
    <row r="106">
      <c r="A106" t="inlineStr">
        <is>
          <t>20260520800639</t>
        </is>
      </c>
      <c r="B106" t="inlineStr">
        <is>
          <t>OTHER</t>
        </is>
      </c>
      <c r="D106" t="inlineStr">
        <is>
          <t>수서~광주 복선전철 제3공구 건설공사(T/K)</t>
        </is>
      </c>
      <c r="AK106" s="18">
        <f>IFERROR(AK59*$FG59*(1+($FI59-1)*AK$26)*($D$23*$FH59+(1-$D$23)*AK$25),"")</f>
        <v/>
      </c>
      <c r="AL106" s="18">
        <f>IFERROR(AL59*$FG59*(1+($FI59-1)*AL$26)*($D$23*$FH59+(1-$D$23)*AL$25),"")</f>
        <v/>
      </c>
      <c r="AM106" s="18">
        <f>IFERROR(AM59*$FG59*(1+($FI59-1)*AM$26)*($D$23*$FH59+(1-$D$23)*AM$25),"")</f>
        <v/>
      </c>
      <c r="AN106" s="18">
        <f>IFERROR(AN59*$FG59*(1+($FI59-1)*AN$26)*($D$23*$FH59+(1-$D$23)*AN$25),"")</f>
        <v/>
      </c>
      <c r="AO106" s="18">
        <f>IFERROR(AO59*$FG59*(1+($FI59-1)*AO$26)*($D$23*$FH59+(1-$D$23)*AO$25),"")</f>
        <v/>
      </c>
      <c r="AP106" s="18">
        <f>IFERROR(AP59*$FG59*(1+($FI59-1)*AP$26)*($D$23*$FH59+(1-$D$23)*AP$25),"")</f>
        <v/>
      </c>
      <c r="AQ106" s="18">
        <f>IFERROR(AQ59*$FG59*(1+($FI59-1)*AQ$26)*($D$23*$FH59+(1-$D$23)*AQ$25),"")</f>
        <v/>
      </c>
      <c r="AR106" s="18">
        <f>IFERROR(AR59*$FG59*(1+($FI59-1)*AR$26)*($D$23*$FH59+(1-$D$23)*AR$25),"")</f>
        <v/>
      </c>
      <c r="AS106" s="18">
        <f>IFERROR(AS59*$FG59*(1+($FI59-1)*AS$26)*($D$23*$FH59+(1-$D$23)*AS$25),"")</f>
        <v/>
      </c>
      <c r="AT106" s="18">
        <f>IFERROR(AT59*$FG59*(1+($FI59-1)*AT$26)*($D$23*$FH59+(1-$D$23)*AT$25),"")</f>
        <v/>
      </c>
      <c r="AU106" s="18">
        <f>IFERROR(AU59*$FG59*(1+($FI59-1)*AU$26)*($D$23*$FH59+(1-$D$23)*AU$25),"")</f>
        <v/>
      </c>
      <c r="AV106" s="18">
        <f>IFERROR(AV59*$FG59*(1+($FI59-1)*AV$26)*($D$23*$FH59+(1-$D$23)*AV$25),"")</f>
        <v/>
      </c>
      <c r="AW106" s="18">
        <f>IFERROR(AW59*$FG59*(1+($FI59-1)*AW$26)*($D$23*$FH59+(1-$D$23)*AW$25),"")</f>
        <v/>
      </c>
      <c r="AX106" s="18">
        <f>IFERROR(AX59*$FG59*(1+($FI59-1)*AX$26)*($D$23*$FH59+(1-$D$23)*AX$25),"")</f>
        <v/>
      </c>
      <c r="AY106" s="18">
        <f>IFERROR(AY59*$FG59*(1+($FI59-1)*AY$26)*($D$23*$FH59+(1-$D$23)*AY$25),"")</f>
        <v/>
      </c>
      <c r="AZ106" s="18">
        <f>IFERROR(AZ59*$FG59*(1+($FI59-1)*AZ$26)*($D$23*$FH59+(1-$D$23)*AZ$25),"")</f>
        <v/>
      </c>
      <c r="BA106" s="18">
        <f>IFERROR(BA59*$FG59*(1+($FI59-1)*BA$26)*($D$23*$FH59+(1-$D$23)*BA$25),"")</f>
        <v/>
      </c>
      <c r="BB106" s="18">
        <f>IFERROR(BB59*$FG59*(1+($FI59-1)*BB$26)*($D$23*$FH59+(1-$D$23)*BB$25),"")</f>
        <v/>
      </c>
      <c r="BC106" s="18">
        <f>IFERROR(BC59*$FG59*(1+($FI59-1)*BC$26)*($D$23*$FH59+(1-$D$23)*BC$25),"")</f>
        <v/>
      </c>
      <c r="BD106" s="18">
        <f>IFERROR(BD59*$FG59*(1+($FI59-1)*BD$26)*($D$23*$FH59+(1-$D$23)*BD$25),"")</f>
        <v/>
      </c>
      <c r="BE106" s="18">
        <f>IFERROR(BE59*$FG59*(1+($FI59-1)*BE$26)*($D$23*$FH59+(1-$D$23)*BE$25),"")</f>
        <v/>
      </c>
    </row>
    <row r="107">
      <c r="A107" t="inlineStr">
        <is>
          <t>20260529800492</t>
        </is>
      </c>
      <c r="B107" t="inlineStr">
        <is>
          <t>OTHER</t>
        </is>
      </c>
      <c r="D107" t="inlineStr">
        <is>
          <t>효자·미성·으뜸 가로주택정비사업</t>
        </is>
      </c>
      <c r="S107" s="18">
        <f>IFERROR(S60*$FG60*(1+($FI60-1)*S$26)*($D$23*$FH60+(1-$D$23)*S$25),"")</f>
        <v/>
      </c>
      <c r="T107" s="18">
        <f>IFERROR(T60*$FG60*(1+($FI60-1)*T$26)*($D$23*$FH60+(1-$D$23)*T$25),"")</f>
        <v/>
      </c>
      <c r="U107" s="18">
        <f>IFERROR(U60*$FG60*(1+($FI60-1)*U$26)*($D$23*$FH60+(1-$D$23)*U$25),"")</f>
        <v/>
      </c>
      <c r="V107" s="18">
        <f>IFERROR(V60*$FG60*(1+($FI60-1)*V$26)*($D$23*$FH60+(1-$D$23)*V$25),"")</f>
        <v/>
      </c>
      <c r="W107" s="18">
        <f>IFERROR(W60*$FG60*(1+($FI60-1)*W$26)*($D$23*$FH60+(1-$D$23)*W$25),"")</f>
        <v/>
      </c>
      <c r="X107" s="18">
        <f>IFERROR(X60*$FG60*(1+($FI60-1)*X$26)*($D$23*$FH60+(1-$D$23)*X$25),"")</f>
        <v/>
      </c>
      <c r="Y107" s="18">
        <f>IFERROR(Y60*$FG60*(1+($FI60-1)*Y$26)*($D$23*$FH60+(1-$D$23)*Y$25),"")</f>
        <v/>
      </c>
      <c r="Z107" s="18">
        <f>IFERROR(Z60*$FG60*(1+($FI60-1)*Z$26)*($D$23*$FH60+(1-$D$23)*Z$25),"")</f>
        <v/>
      </c>
      <c r="AA107" s="18">
        <f>IFERROR(AA60*$FG60*(1+($FI60-1)*AA$26)*($D$23*$FH60+(1-$D$23)*AA$25),"")</f>
        <v/>
      </c>
      <c r="AB107" s="18">
        <f>IFERROR(AB60*$FG60*(1+($FI60-1)*AB$26)*($D$23*$FH60+(1-$D$23)*AB$25),"")</f>
        <v/>
      </c>
      <c r="AC107" s="18">
        <f>IFERROR(AC60*$FG60*(1+($FI60-1)*AC$26)*($D$23*$FH60+(1-$D$23)*AC$25),"")</f>
        <v/>
      </c>
      <c r="AD107" s="18">
        <f>IFERROR(AD60*$FG60*(1+($FI60-1)*AD$26)*($D$23*$FH60+(1-$D$23)*AD$25),"")</f>
        <v/>
      </c>
      <c r="AE107" s="18">
        <f>IFERROR(AE60*$FG60*(1+($FI60-1)*AE$26)*($D$23*$FH60+(1-$D$23)*AE$25),"")</f>
        <v/>
      </c>
      <c r="AF107" s="18">
        <f>IFERROR(AF60*$FG60*(1+($FI60-1)*AF$26)*($D$23*$FH60+(1-$D$23)*AF$25),"")</f>
        <v/>
      </c>
      <c r="AG107" s="18">
        <f>IFERROR(AG60*$FG60*(1+($FI60-1)*AG$26)*($D$23*$FH60+(1-$D$23)*AG$25),"")</f>
        <v/>
      </c>
      <c r="AH107" s="18">
        <f>IFERROR(AH60*$FG60*(1+($FI60-1)*AH$26)*($D$23*$FH60+(1-$D$23)*AH$25),"")</f>
        <v/>
      </c>
      <c r="AI107" s="18">
        <f>IFERROR(AI60*$FG60*(1+($FI60-1)*AI$26)*($D$23*$FH60+(1-$D$23)*AI$25),"")</f>
        <v/>
      </c>
      <c r="AJ107" s="18">
        <f>IFERROR(AJ60*$FG60*(1+($FI60-1)*AJ$26)*($D$23*$FH60+(1-$D$23)*AJ$25),"")</f>
        <v/>
      </c>
      <c r="AK107" s="18">
        <f>IFERROR(AK60*$FG60*(1+($FI60-1)*AK$26)*($D$23*$FH60+(1-$D$23)*AK$25),"")</f>
        <v/>
      </c>
    </row>
    <row r="108">
      <c r="A108" t="inlineStr">
        <is>
          <t>20260601800841</t>
        </is>
      </c>
      <c r="B108" t="inlineStr">
        <is>
          <t>OTHER</t>
        </is>
      </c>
      <c r="D108" t="inlineStr">
        <is>
          <t>원종동 현대목화아파트 가로주택정비사업 공사</t>
        </is>
      </c>
      <c r="W108" s="18">
        <f>IFERROR(W61*$FG61*(1+($FI61-1)*W$26)*($D$23*$FH61+(1-$D$23)*W$25),"")</f>
        <v/>
      </c>
      <c r="X108" s="18">
        <f>IFERROR(X61*$FG61*(1+($FI61-1)*X$26)*($D$23*$FH61+(1-$D$23)*X$25),"")</f>
        <v/>
      </c>
      <c r="Y108" s="18">
        <f>IFERROR(Y61*$FG61*(1+($FI61-1)*Y$26)*($D$23*$FH61+(1-$D$23)*Y$25),"")</f>
        <v/>
      </c>
      <c r="Z108" s="18">
        <f>IFERROR(Z61*$FG61*(1+($FI61-1)*Z$26)*($D$23*$FH61+(1-$D$23)*Z$25),"")</f>
        <v/>
      </c>
      <c r="AA108" s="18">
        <f>IFERROR(AA61*$FG61*(1+($FI61-1)*AA$26)*($D$23*$FH61+(1-$D$23)*AA$25),"")</f>
        <v/>
      </c>
      <c r="AB108" s="18">
        <f>IFERROR(AB61*$FG61*(1+($FI61-1)*AB$26)*($D$23*$FH61+(1-$D$23)*AB$25),"")</f>
        <v/>
      </c>
      <c r="AC108" s="18">
        <f>IFERROR(AC61*$FG61*(1+($FI61-1)*AC$26)*($D$23*$FH61+(1-$D$23)*AC$25),"")</f>
        <v/>
      </c>
      <c r="AD108" s="18">
        <f>IFERROR(AD61*$FG61*(1+($FI61-1)*AD$26)*($D$23*$FH61+(1-$D$23)*AD$25),"")</f>
        <v/>
      </c>
      <c r="AE108" s="18">
        <f>IFERROR(AE61*$FG61*(1+($FI61-1)*AE$26)*($D$23*$FH61+(1-$D$23)*AE$25),"")</f>
        <v/>
      </c>
      <c r="AF108" s="18">
        <f>IFERROR(AF61*$FG61*(1+($FI61-1)*AF$26)*($D$23*$FH61+(1-$D$23)*AF$25),"")</f>
        <v/>
      </c>
      <c r="AG108" s="18">
        <f>IFERROR(AG61*$FG61*(1+($FI61-1)*AG$26)*($D$23*$FH61+(1-$D$23)*AG$25),"")</f>
        <v/>
      </c>
      <c r="AH108" s="18">
        <f>IFERROR(AH61*$FG61*(1+($FI61-1)*AH$26)*($D$23*$FH61+(1-$D$23)*AH$25),"")</f>
        <v/>
      </c>
      <c r="AI108" s="18">
        <f>IFERROR(AI61*$FG61*(1+($FI61-1)*AI$26)*($D$23*$FH61+(1-$D$23)*AI$25),"")</f>
        <v/>
      </c>
      <c r="AJ108" s="18">
        <f>IFERROR(AJ61*$FG61*(1+($FI61-1)*AJ$26)*($D$23*$FH61+(1-$D$23)*AJ$25),"")</f>
        <v/>
      </c>
      <c r="AK108" s="18">
        <f>IFERROR(AK61*$FG61*(1+($FI61-1)*AK$26)*($D$23*$FH61+(1-$D$23)*AK$25),"")</f>
        <v/>
      </c>
      <c r="AL108" s="18">
        <f>IFERROR(AL61*$FG61*(1+($FI61-1)*AL$26)*($D$23*$FH61+(1-$D$23)*AL$25),"")</f>
        <v/>
      </c>
      <c r="AM108" s="18">
        <f>IFERROR(AM61*$FG61*(1+($FI61-1)*AM$26)*($D$23*$FH61+(1-$D$23)*AM$25),"")</f>
        <v/>
      </c>
      <c r="AN108" s="18">
        <f>IFERROR(AN61*$FG61*(1+($FI61-1)*AN$26)*($D$23*$FH61+(1-$D$23)*AN$25),"")</f>
        <v/>
      </c>
      <c r="AO108" s="18">
        <f>IFERROR(AO61*$FG61*(1+($FI61-1)*AO$26)*($D$23*$FH61+(1-$D$23)*AO$25),"")</f>
        <v/>
      </c>
    </row>
    <row r="109">
      <c r="A109" t="inlineStr">
        <is>
          <t>20260618800458</t>
        </is>
      </c>
      <c r="B109" t="inlineStr">
        <is>
          <t>OTHER</t>
        </is>
      </c>
      <c r="D109" t="inlineStr">
        <is>
          <t>부산오페라하우스 건립공사</t>
        </is>
      </c>
      <c r="E109" s="18">
        <f>IFERROR(E62*$FG62*(1+($FI62-1)*E$26)*($D$23*$FH62+(1-$D$23)*E$25),"")</f>
        <v/>
      </c>
      <c r="F109" s="18">
        <f>IFERROR(F62*$FG62*(1+($FI62-1)*F$26)*($D$23*$FH62+(1-$D$23)*F$25),"")</f>
        <v/>
      </c>
      <c r="G109" s="18">
        <f>IFERROR(G62*$FG62*(1+($FI62-1)*G$26)*($D$23*$FH62+(1-$D$23)*G$25),"")</f>
        <v/>
      </c>
      <c r="H109" s="18">
        <f>IFERROR(H62*$FG62*(1+($FI62-1)*H$26)*($D$23*$FH62+(1-$D$23)*H$25),"")</f>
        <v/>
      </c>
      <c r="I109" s="18">
        <f>IFERROR(I62*$FG62*(1+($FI62-1)*I$26)*($D$23*$FH62+(1-$D$23)*I$25),"")</f>
        <v/>
      </c>
      <c r="J109" s="18">
        <f>IFERROR(J62*$FG62*(1+($FI62-1)*J$26)*($D$23*$FH62+(1-$D$23)*J$25),"")</f>
        <v/>
      </c>
      <c r="K109" s="18">
        <f>IFERROR(K62*$FG62*(1+($FI62-1)*K$26)*($D$23*$FH62+(1-$D$23)*K$25),"")</f>
        <v/>
      </c>
      <c r="L109" s="18">
        <f>IFERROR(L62*$FG62*(1+($FI62-1)*L$26)*($D$23*$FH62+(1-$D$23)*L$25),"")</f>
        <v/>
      </c>
      <c r="M109" s="18">
        <f>IFERROR(M62*$FG62*(1+($FI62-1)*M$26)*($D$23*$FH62+(1-$D$23)*M$25),"")</f>
        <v/>
      </c>
      <c r="N109" s="18">
        <f>IFERROR(N62*$FG62*(1+($FI62-1)*N$26)*($D$23*$FH62+(1-$D$23)*N$25),"")</f>
        <v/>
      </c>
      <c r="O109" s="18">
        <f>IFERROR(O62*$FG62*(1+($FI62-1)*O$26)*($D$23*$FH62+(1-$D$23)*O$25),"")</f>
        <v/>
      </c>
      <c r="P109" s="18">
        <f>IFERROR(P62*$FG62*(1+($FI62-1)*P$26)*($D$23*$FH62+(1-$D$23)*P$25),"")</f>
        <v/>
      </c>
      <c r="Q109" s="18">
        <f>IFERROR(Q62*$FG62*(1+($FI62-1)*Q$26)*($D$23*$FH62+(1-$D$23)*Q$25),"")</f>
        <v/>
      </c>
      <c r="R109" s="18">
        <f>IFERROR(R62*$FG62*(1+($FI62-1)*R$26)*($D$23*$FH62+(1-$D$23)*R$25),"")</f>
        <v/>
      </c>
      <c r="S109" s="18">
        <f>IFERROR(S62*$FG62*(1+($FI62-1)*S$26)*($D$23*$FH62+(1-$D$23)*S$25),"")</f>
        <v/>
      </c>
      <c r="T109" s="18">
        <f>IFERROR(T62*$FG62*(1+($FI62-1)*T$26)*($D$23*$FH62+(1-$D$23)*T$25),"")</f>
        <v/>
      </c>
      <c r="U109" s="18">
        <f>IFERROR(U62*$FG62*(1+($FI62-1)*U$26)*($D$23*$FH62+(1-$D$23)*U$25),"")</f>
        <v/>
      </c>
      <c r="V109" s="18">
        <f>IFERROR(V62*$FG62*(1+($FI62-1)*V$26)*($D$23*$FH62+(1-$D$23)*V$25),"")</f>
        <v/>
      </c>
      <c r="W109" s="18">
        <f>IFERROR(W62*$FG62*(1+($FI62-1)*W$26)*($D$23*$FH62+(1-$D$23)*W$25),"")</f>
        <v/>
      </c>
      <c r="X109" s="18">
        <f>IFERROR(X62*$FG62*(1+($FI62-1)*X$26)*($D$23*$FH62+(1-$D$23)*X$25),"")</f>
        <v/>
      </c>
      <c r="Y109" s="18">
        <f>IFERROR(Y62*$FG62*(1+($FI62-1)*Y$26)*($D$23*$FH62+(1-$D$23)*Y$25),"")</f>
        <v/>
      </c>
      <c r="Z109" s="18">
        <f>IFERROR(Z62*$FG62*(1+($FI62-1)*Z$26)*($D$23*$FH62+(1-$D$23)*Z$25),"")</f>
        <v/>
      </c>
      <c r="AA109" s="18">
        <f>IFERROR(AA62*$FG62*(1+($FI62-1)*AA$26)*($D$23*$FH62+(1-$D$23)*AA$25),"")</f>
        <v/>
      </c>
      <c r="AB109" s="18">
        <f>IFERROR(AB62*$FG62*(1+($FI62-1)*AB$26)*($D$23*$FH62+(1-$D$23)*AB$25),"")</f>
        <v/>
      </c>
      <c r="AC109" s="18">
        <f>IFERROR(AC62*$FG62*(1+($FI62-1)*AC$26)*($D$23*$FH62+(1-$D$23)*AC$25),"")</f>
        <v/>
      </c>
      <c r="AD109" s="18">
        <f>IFERROR(AD62*$FG62*(1+($FI62-1)*AD$26)*($D$23*$FH62+(1-$D$23)*AD$25),"")</f>
        <v/>
      </c>
      <c r="AE109" s="18">
        <f>IFERROR(AE62*$FG62*(1+($FI62-1)*AE$26)*($D$23*$FH62+(1-$D$23)*AE$25),"")</f>
        <v/>
      </c>
      <c r="AF109" s="18">
        <f>IFERROR(AF62*$FG62*(1+($FI62-1)*AF$26)*($D$23*$FH62+(1-$D$23)*AF$25),"")</f>
        <v/>
      </c>
      <c r="AG109" s="18">
        <f>IFERROR(AG62*$FG62*(1+($FI62-1)*AG$26)*($D$23*$FH62+(1-$D$23)*AG$25),"")</f>
        <v/>
      </c>
      <c r="AH109" s="18">
        <f>IFERROR(AH62*$FG62*(1+($FI62-1)*AH$26)*($D$23*$FH62+(1-$D$23)*AH$25),"")</f>
        <v/>
      </c>
      <c r="AI109" s="18">
        <f>IFERROR(AI62*$FG62*(1+($FI62-1)*AI$26)*($D$23*$FH62+(1-$D$23)*AI$25),"")</f>
        <v/>
      </c>
      <c r="AJ109" s="18">
        <f>IFERROR(AJ62*$FG62*(1+($FI62-1)*AJ$26)*($D$23*$FH62+(1-$D$23)*AJ$25),"")</f>
        <v/>
      </c>
      <c r="AK109" s="18">
        <f>IFERROR(AK62*$FG62*(1+($FI62-1)*AK$26)*($D$23*$FH62+(1-$D$23)*AK$25),"")</f>
        <v/>
      </c>
      <c r="AL109" s="18">
        <f>IFERROR(AL62*$FG62*(1+($FI62-1)*AL$26)*($D$23*$FH62+(1-$D$23)*AL$25),"")</f>
        <v/>
      </c>
      <c r="AM109" s="18">
        <f>IFERROR(AM62*$FG62*(1+($FI62-1)*AM$26)*($D$23*$FH62+(1-$D$23)*AM$25),"")</f>
        <v/>
      </c>
    </row>
    <row r="110">
      <c r="A110" t="inlineStr">
        <is>
          <t>20260629801171</t>
        </is>
      </c>
      <c r="B110" t="inlineStr">
        <is>
          <t>OTHER</t>
        </is>
      </c>
      <c r="D110" t="inlineStr">
        <is>
          <t>식만-사상간(대저대교) 도로건설공사</t>
        </is>
      </c>
      <c r="P110" s="18">
        <f>IFERROR(P63*$FG63*(1+($FI63-1)*P$26)*($D$23*$FH63+(1-$D$23)*P$25),"")</f>
        <v/>
      </c>
      <c r="Q110" s="18">
        <f>IFERROR(Q63*$FG63*(1+($FI63-1)*Q$26)*($D$23*$FH63+(1-$D$23)*Q$25),"")</f>
        <v/>
      </c>
      <c r="R110" s="18">
        <f>IFERROR(R63*$FG63*(1+($FI63-1)*R$26)*($D$23*$FH63+(1-$D$23)*R$25),"")</f>
        <v/>
      </c>
      <c r="S110" s="18">
        <f>IFERROR(S63*$FG63*(1+($FI63-1)*S$26)*($D$23*$FH63+(1-$D$23)*S$25),"")</f>
        <v/>
      </c>
      <c r="T110" s="18">
        <f>IFERROR(T63*$FG63*(1+($FI63-1)*T$26)*($D$23*$FH63+(1-$D$23)*T$25),"")</f>
        <v/>
      </c>
      <c r="U110" s="18">
        <f>IFERROR(U63*$FG63*(1+($FI63-1)*U$26)*($D$23*$FH63+(1-$D$23)*U$25),"")</f>
        <v/>
      </c>
      <c r="V110" s="18">
        <f>IFERROR(V63*$FG63*(1+($FI63-1)*V$26)*($D$23*$FH63+(1-$D$23)*V$25),"")</f>
        <v/>
      </c>
      <c r="W110" s="18">
        <f>IFERROR(W63*$FG63*(1+($FI63-1)*W$26)*($D$23*$FH63+(1-$D$23)*W$25),"")</f>
        <v/>
      </c>
      <c r="X110" s="18">
        <f>IFERROR(X63*$FG63*(1+($FI63-1)*X$26)*($D$23*$FH63+(1-$D$23)*X$25),"")</f>
        <v/>
      </c>
      <c r="Y110" s="18">
        <f>IFERROR(Y63*$FG63*(1+($FI63-1)*Y$26)*($D$23*$FH63+(1-$D$23)*Y$25),"")</f>
        <v/>
      </c>
      <c r="Z110" s="18">
        <f>IFERROR(Z63*$FG63*(1+($FI63-1)*Z$26)*($D$23*$FH63+(1-$D$23)*Z$25),"")</f>
        <v/>
      </c>
      <c r="AA110" s="18">
        <f>IFERROR(AA63*$FG63*(1+($FI63-1)*AA$26)*($D$23*$FH63+(1-$D$23)*AA$25),"")</f>
        <v/>
      </c>
      <c r="AB110" s="18">
        <f>IFERROR(AB63*$FG63*(1+($FI63-1)*AB$26)*($D$23*$FH63+(1-$D$23)*AB$25),"")</f>
        <v/>
      </c>
      <c r="AC110" s="18">
        <f>IFERROR(AC63*$FG63*(1+($FI63-1)*AC$26)*($D$23*$FH63+(1-$D$23)*AC$25),"")</f>
        <v/>
      </c>
      <c r="AD110" s="18">
        <f>IFERROR(AD63*$FG63*(1+($FI63-1)*AD$26)*($D$23*$FH63+(1-$D$23)*AD$25),"")</f>
        <v/>
      </c>
      <c r="AE110" s="18">
        <f>IFERROR(AE63*$FG63*(1+($FI63-1)*AE$26)*($D$23*$FH63+(1-$D$23)*AE$25),"")</f>
        <v/>
      </c>
      <c r="AF110" s="18">
        <f>IFERROR(AF63*$FG63*(1+($FI63-1)*AF$26)*($D$23*$FH63+(1-$D$23)*AF$25),"")</f>
        <v/>
      </c>
      <c r="AG110" s="18">
        <f>IFERROR(AG63*$FG63*(1+($FI63-1)*AG$26)*($D$23*$FH63+(1-$D$23)*AG$25),"")</f>
        <v/>
      </c>
      <c r="AH110" s="18">
        <f>IFERROR(AH63*$FG63*(1+($FI63-1)*AH$26)*($D$23*$FH63+(1-$D$23)*AH$25),"")</f>
        <v/>
      </c>
      <c r="AI110" s="18">
        <f>IFERROR(AI63*$FG63*(1+($FI63-1)*AI$26)*($D$23*$FH63+(1-$D$23)*AI$25),"")</f>
        <v/>
      </c>
      <c r="AJ110" s="18">
        <f>IFERROR(AJ63*$FG63*(1+($FI63-1)*AJ$26)*($D$23*$FH63+(1-$D$23)*AJ$25),"")</f>
        <v/>
      </c>
      <c r="AK110" s="18">
        <f>IFERROR(AK63*$FG63*(1+($FI63-1)*AK$26)*($D$23*$FH63+(1-$D$23)*AK$25),"")</f>
        <v/>
      </c>
      <c r="AL110" s="18">
        <f>IFERROR(AL63*$FG63*(1+($FI63-1)*AL$26)*($D$23*$FH63+(1-$D$23)*AL$25),"")</f>
        <v/>
      </c>
      <c r="AM110" s="18">
        <f>IFERROR(AM63*$FG63*(1+($FI63-1)*AM$26)*($D$23*$FH63+(1-$D$23)*AM$25),"")</f>
        <v/>
      </c>
      <c r="AN110" s="18">
        <f>IFERROR(AN63*$FG63*(1+($FI63-1)*AN$26)*($D$23*$FH63+(1-$D$23)*AN$25),"")</f>
        <v/>
      </c>
      <c r="AO110" s="18">
        <f>IFERROR(AO63*$FG63*(1+($FI63-1)*AO$26)*($D$23*$FH63+(1-$D$23)*AO$25),"")</f>
        <v/>
      </c>
      <c r="AP110" s="18">
        <f>IFERROR(AP63*$FG63*(1+($FI63-1)*AP$26)*($D$23*$FH63+(1-$D$23)*AP$25),"")</f>
        <v/>
      </c>
      <c r="AQ110" s="18">
        <f>IFERROR(AQ63*$FG63*(1+($FI63-1)*AQ$26)*($D$23*$FH63+(1-$D$23)*AQ$25),"")</f>
        <v/>
      </c>
      <c r="AR110" s="18">
        <f>IFERROR(AR63*$FG63*(1+($FI63-1)*AR$26)*($D$23*$FH63+(1-$D$23)*AR$25),"")</f>
        <v/>
      </c>
      <c r="AS110" s="18">
        <f>IFERROR(AS63*$FG63*(1+($FI63-1)*AS$26)*($D$23*$FH63+(1-$D$23)*AS$25),"")</f>
        <v/>
      </c>
      <c r="AT110" s="18">
        <f>IFERROR(AT63*$FG63*(1+($FI63-1)*AT$26)*($D$23*$FH63+(1-$D$23)*AT$25),"")</f>
        <v/>
      </c>
      <c r="AU110" s="18">
        <f>IFERROR(AU63*$FG63*(1+($FI63-1)*AU$26)*($D$23*$FH63+(1-$D$23)*AU$25),"")</f>
        <v/>
      </c>
      <c r="AV110" s="18">
        <f>IFERROR(AV63*$FG63*(1+($FI63-1)*AV$26)*($D$23*$FH63+(1-$D$23)*AV$25),"")</f>
        <v/>
      </c>
      <c r="AW110" s="18">
        <f>IFERROR(AW63*$FG63*(1+($FI63-1)*AW$26)*($D$23*$FH63+(1-$D$23)*AW$25),"")</f>
        <v/>
      </c>
      <c r="AX110" s="18">
        <f>IFERROR(AX63*$FG63*(1+($FI63-1)*AX$26)*($D$23*$FH63+(1-$D$23)*AX$25),"")</f>
        <v/>
      </c>
      <c r="AY110" s="18">
        <f>IFERROR(AY63*$FG63*(1+($FI63-1)*AY$26)*($D$23*$FH63+(1-$D$23)*AY$25),"")</f>
        <v/>
      </c>
      <c r="AZ110" s="18">
        <f>IFERROR(AZ63*$FG63*(1+($FI63-1)*AZ$26)*($D$23*$FH63+(1-$D$23)*AZ$25),"")</f>
        <v/>
      </c>
      <c r="BA110" s="18">
        <f>IFERROR(BA63*$FG63*(1+($FI63-1)*BA$26)*($D$23*$FH63+(1-$D$23)*BA$25),"")</f>
        <v/>
      </c>
      <c r="BB110" s="18">
        <f>IFERROR(BB63*$FG63*(1+($FI63-1)*BB$26)*($D$23*$FH63+(1-$D$23)*BB$25),"")</f>
        <v/>
      </c>
      <c r="BC110" s="18">
        <f>IFERROR(BC63*$FG63*(1+($FI63-1)*BC$26)*($D$23*$FH63+(1-$D$23)*BC$25),"")</f>
        <v/>
      </c>
      <c r="BD110" s="18">
        <f>IFERROR(BD63*$FG63*(1+($FI63-1)*BD$26)*($D$23*$FH63+(1-$D$23)*BD$25),"")</f>
        <v/>
      </c>
    </row>
    <row r="111">
      <c r="A111" t="inlineStr">
        <is>
          <t>20260630800457</t>
        </is>
      </c>
      <c r="B111" t="inlineStr">
        <is>
          <t>OTHER</t>
        </is>
      </c>
      <c r="D111" t="inlineStr">
        <is>
          <t>춘천~속초 철도건설 제1공구 노반공사</t>
        </is>
      </c>
      <c r="V111" s="18">
        <f>IFERROR(V64*$FG64*(1+($FI64-1)*V$26)*($D$23*$FH64+(1-$D$23)*V$25),"")</f>
        <v/>
      </c>
      <c r="W111" s="18">
        <f>IFERROR(W64*$FG64*(1+($FI64-1)*W$26)*($D$23*$FH64+(1-$D$23)*W$25),"")</f>
        <v/>
      </c>
      <c r="X111" s="18">
        <f>IFERROR(X64*$FG64*(1+($FI64-1)*X$26)*($D$23*$FH64+(1-$D$23)*X$25),"")</f>
        <v/>
      </c>
      <c r="Y111" s="18">
        <f>IFERROR(Y64*$FG64*(1+($FI64-1)*Y$26)*($D$23*$FH64+(1-$D$23)*Y$25),"")</f>
        <v/>
      </c>
      <c r="Z111" s="18">
        <f>IFERROR(Z64*$FG64*(1+($FI64-1)*Z$26)*($D$23*$FH64+(1-$D$23)*Z$25),"")</f>
        <v/>
      </c>
      <c r="AA111" s="18">
        <f>IFERROR(AA64*$FG64*(1+($FI64-1)*AA$26)*($D$23*$FH64+(1-$D$23)*AA$25),"")</f>
        <v/>
      </c>
      <c r="AB111" s="18">
        <f>IFERROR(AB64*$FG64*(1+($FI64-1)*AB$26)*($D$23*$FH64+(1-$D$23)*AB$25),"")</f>
        <v/>
      </c>
      <c r="AC111" s="18">
        <f>IFERROR(AC64*$FG64*(1+($FI64-1)*AC$26)*($D$23*$FH64+(1-$D$23)*AC$25),"")</f>
        <v/>
      </c>
      <c r="AD111" s="18">
        <f>IFERROR(AD64*$FG64*(1+($FI64-1)*AD$26)*($D$23*$FH64+(1-$D$23)*AD$25),"")</f>
        <v/>
      </c>
      <c r="AE111" s="18">
        <f>IFERROR(AE64*$FG64*(1+($FI64-1)*AE$26)*($D$23*$FH64+(1-$D$23)*AE$25),"")</f>
        <v/>
      </c>
      <c r="AF111" s="18">
        <f>IFERROR(AF64*$FG64*(1+($FI64-1)*AF$26)*($D$23*$FH64+(1-$D$23)*AF$25),"")</f>
        <v/>
      </c>
      <c r="AG111" s="18">
        <f>IFERROR(AG64*$FG64*(1+($FI64-1)*AG$26)*($D$23*$FH64+(1-$D$23)*AG$25),"")</f>
        <v/>
      </c>
      <c r="AH111" s="18">
        <f>IFERROR(AH64*$FG64*(1+($FI64-1)*AH$26)*($D$23*$FH64+(1-$D$23)*AH$25),"")</f>
        <v/>
      </c>
      <c r="AI111" s="18">
        <f>IFERROR(AI64*$FG64*(1+($FI64-1)*AI$26)*($D$23*$FH64+(1-$D$23)*AI$25),"")</f>
        <v/>
      </c>
      <c r="AJ111" s="18">
        <f>IFERROR(AJ64*$FG64*(1+($FI64-1)*AJ$26)*($D$23*$FH64+(1-$D$23)*AJ$25),"")</f>
        <v/>
      </c>
      <c r="AK111" s="18">
        <f>IFERROR(AK64*$FG64*(1+($FI64-1)*AK$26)*($D$23*$FH64+(1-$D$23)*AK$25),"")</f>
        <v/>
      </c>
      <c r="AL111" s="18">
        <f>IFERROR(AL64*$FG64*(1+($FI64-1)*AL$26)*($D$23*$FH64+(1-$D$23)*AL$25),"")</f>
        <v/>
      </c>
      <c r="AM111" s="18">
        <f>IFERROR(AM64*$FG64*(1+($FI64-1)*AM$26)*($D$23*$FH64+(1-$D$23)*AM$25),"")</f>
        <v/>
      </c>
      <c r="AN111" s="18">
        <f>IFERROR(AN64*$FG64*(1+($FI64-1)*AN$26)*($D$23*$FH64+(1-$D$23)*AN$25),"")</f>
        <v/>
      </c>
      <c r="AO111" s="18">
        <f>IFERROR(AO64*$FG64*(1+($FI64-1)*AO$26)*($D$23*$FH64+(1-$D$23)*AO$25),"")</f>
        <v/>
      </c>
      <c r="AP111" s="18">
        <f>IFERROR(AP64*$FG64*(1+($FI64-1)*AP$26)*($D$23*$FH64+(1-$D$23)*AP$25),"")</f>
        <v/>
      </c>
      <c r="AQ111" s="18">
        <f>IFERROR(AQ64*$FG64*(1+($FI64-1)*AQ$26)*($D$23*$FH64+(1-$D$23)*AQ$25),"")</f>
        <v/>
      </c>
      <c r="AR111" s="18">
        <f>IFERROR(AR64*$FG64*(1+($FI64-1)*AR$26)*($D$23*$FH64+(1-$D$23)*AR$25),"")</f>
        <v/>
      </c>
    </row>
    <row r="112">
      <c r="A112" t="inlineStr">
        <is>
          <t>20260630800913</t>
        </is>
      </c>
      <c r="B112" t="inlineStr">
        <is>
          <t>OTHER</t>
        </is>
      </c>
      <c r="D112" t="inlineStr">
        <is>
          <t>제천~영월간 고속국도 건설공사(제3공구)</t>
        </is>
      </c>
      <c r="AK112" s="18">
        <f>IFERROR(AK65*$FG65*(1+($FI65-1)*AK$26)*($D$23*$FH65+(1-$D$23)*AK$25),"")</f>
        <v/>
      </c>
      <c r="AL112" s="18">
        <f>IFERROR(AL65*$FG65*(1+($FI65-1)*AL$26)*($D$23*$FH65+(1-$D$23)*AL$25),"")</f>
        <v/>
      </c>
      <c r="AM112" s="18">
        <f>IFERROR(AM65*$FG65*(1+($FI65-1)*AM$26)*($D$23*$FH65+(1-$D$23)*AM$25),"")</f>
        <v/>
      </c>
      <c r="AN112" s="18">
        <f>IFERROR(AN65*$FG65*(1+($FI65-1)*AN$26)*($D$23*$FH65+(1-$D$23)*AN$25),"")</f>
        <v/>
      </c>
      <c r="AO112" s="18">
        <f>IFERROR(AO65*$FG65*(1+($FI65-1)*AO$26)*($D$23*$FH65+(1-$D$23)*AO$25),"")</f>
        <v/>
      </c>
      <c r="AP112" s="18">
        <f>IFERROR(AP65*$FG65*(1+($FI65-1)*AP$26)*($D$23*$FH65+(1-$D$23)*AP$25),"")</f>
        <v/>
      </c>
      <c r="AQ112" s="18">
        <f>IFERROR(AQ65*$FG65*(1+($FI65-1)*AQ$26)*($D$23*$FH65+(1-$D$23)*AQ$25),"")</f>
        <v/>
      </c>
      <c r="AR112" s="18">
        <f>IFERROR(AR65*$FG65*(1+($FI65-1)*AR$26)*($D$23*$FH65+(1-$D$23)*AR$25),"")</f>
        <v/>
      </c>
      <c r="AS112" s="18">
        <f>IFERROR(AS65*$FG65*(1+($FI65-1)*AS$26)*($D$23*$FH65+(1-$D$23)*AS$25),"")</f>
        <v/>
      </c>
      <c r="AT112" s="18">
        <f>IFERROR(AT65*$FG65*(1+($FI65-1)*AT$26)*($D$23*$FH65+(1-$D$23)*AT$25),"")</f>
        <v/>
      </c>
      <c r="AU112" s="18">
        <f>IFERROR(AU65*$FG65*(1+($FI65-1)*AU$26)*($D$23*$FH65+(1-$D$23)*AU$25),"")</f>
        <v/>
      </c>
      <c r="AV112" s="18">
        <f>IFERROR(AV65*$FG65*(1+($FI65-1)*AV$26)*($D$23*$FH65+(1-$D$23)*AV$25),"")</f>
        <v/>
      </c>
      <c r="AW112" s="18">
        <f>IFERROR(AW65*$FG65*(1+($FI65-1)*AW$26)*($D$23*$FH65+(1-$D$23)*AW$25),"")</f>
        <v/>
      </c>
      <c r="AX112" s="18">
        <f>IFERROR(AX65*$FG65*(1+($FI65-1)*AX$26)*($D$23*$FH65+(1-$D$23)*AX$25),"")</f>
        <v/>
      </c>
      <c r="AY112" s="18">
        <f>IFERROR(AY65*$FG65*(1+($FI65-1)*AY$26)*($D$23*$FH65+(1-$D$23)*AY$25),"")</f>
        <v/>
      </c>
      <c r="AZ112" s="18">
        <f>IFERROR(AZ65*$FG65*(1+($FI65-1)*AZ$26)*($D$23*$FH65+(1-$D$23)*AZ$25),"")</f>
        <v/>
      </c>
      <c r="BA112" s="18">
        <f>IFERROR(BA65*$FG65*(1+($FI65-1)*BA$26)*($D$23*$FH65+(1-$D$23)*BA$25),"")</f>
        <v/>
      </c>
      <c r="BB112" s="18">
        <f>IFERROR(BB65*$FG65*(1+($FI65-1)*BB$26)*($D$23*$FH65+(1-$D$23)*BB$25),"")</f>
        <v/>
      </c>
      <c r="BC112" s="18">
        <f>IFERROR(BC65*$FG65*(1+($FI65-1)*BC$26)*($D$23*$FH65+(1-$D$23)*BC$25),"")</f>
        <v/>
      </c>
      <c r="BD112" s="18">
        <f>IFERROR(BD65*$FG65*(1+($FI65-1)*BD$26)*($D$23*$FH65+(1-$D$23)*BD$25),"")</f>
        <v/>
      </c>
      <c r="BE112" s="18">
        <f>IFERROR(BE65*$FG65*(1+($FI65-1)*BE$26)*($D$23*$FH65+(1-$D$23)*BE$25),"")</f>
        <v/>
      </c>
      <c r="BF112" s="18">
        <f>IFERROR(BF65*$FG65*(1+($FI65-1)*BF$26)*($D$23*$FH65+(1-$D$23)*BF$25),"")</f>
        <v/>
      </c>
      <c r="BG112" s="18">
        <f>IFERROR(BG65*$FG65*(1+($FI65-1)*BG$26)*($D$23*$FH65+(1-$D$23)*BG$25),"")</f>
        <v/>
      </c>
      <c r="BH112" s="18">
        <f>IFERROR(BH65*$FG65*(1+($FI65-1)*BH$26)*($D$23*$FH65+(1-$D$23)*BH$25),"")</f>
        <v/>
      </c>
      <c r="BI112" s="18">
        <f>IFERROR(BI65*$FG65*(1+($FI65-1)*BI$26)*($D$23*$FH65+(1-$D$23)*BI$25),"")</f>
        <v/>
      </c>
    </row>
    <row r="113">
      <c r="A113" t="inlineStr">
        <is>
          <t>20260721800175</t>
        </is>
      </c>
      <c r="B113" t="inlineStr">
        <is>
          <t>OTHER</t>
        </is>
      </c>
      <c r="D113" t="inlineStr">
        <is>
          <t>익산 영등주공1단지 주택재건축정비사업</t>
        </is>
      </c>
      <c r="Z113" s="18">
        <f>IFERROR(Z66*$FG66*(1+($FI66-1)*Z$26)*($D$23*$FH66+(1-$D$23)*Z$25),"")</f>
        <v/>
      </c>
      <c r="AA113" s="18">
        <f>IFERROR(AA66*$FG66*(1+($FI66-1)*AA$26)*($D$23*$FH66+(1-$D$23)*AA$25),"")</f>
        <v/>
      </c>
      <c r="AB113" s="18">
        <f>IFERROR(AB66*$FG66*(1+($FI66-1)*AB$26)*($D$23*$FH66+(1-$D$23)*AB$25),"")</f>
        <v/>
      </c>
      <c r="AC113" s="18">
        <f>IFERROR(AC66*$FG66*(1+($FI66-1)*AC$26)*($D$23*$FH66+(1-$D$23)*AC$25),"")</f>
        <v/>
      </c>
      <c r="AD113" s="18">
        <f>IFERROR(AD66*$FG66*(1+($FI66-1)*AD$26)*($D$23*$FH66+(1-$D$23)*AD$25),"")</f>
        <v/>
      </c>
      <c r="AE113" s="18">
        <f>IFERROR(AE66*$FG66*(1+($FI66-1)*AE$26)*($D$23*$FH66+(1-$D$23)*AE$25),"")</f>
        <v/>
      </c>
      <c r="AF113" s="18">
        <f>IFERROR(AF66*$FG66*(1+($FI66-1)*AF$26)*($D$23*$FH66+(1-$D$23)*AF$25),"")</f>
        <v/>
      </c>
      <c r="AG113" s="18">
        <f>IFERROR(AG66*$FG66*(1+($FI66-1)*AG$26)*($D$23*$FH66+(1-$D$23)*AG$25),"")</f>
        <v/>
      </c>
      <c r="AH113" s="18">
        <f>IFERROR(AH66*$FG66*(1+($FI66-1)*AH$26)*($D$23*$FH66+(1-$D$23)*AH$25),"")</f>
        <v/>
      </c>
      <c r="AI113" s="18">
        <f>IFERROR(AI66*$FG66*(1+($FI66-1)*AI$26)*($D$23*$FH66+(1-$D$23)*AI$25),"")</f>
        <v/>
      </c>
      <c r="AJ113" s="18">
        <f>IFERROR(AJ66*$FG66*(1+($FI66-1)*AJ$26)*($D$23*$FH66+(1-$D$23)*AJ$25),"")</f>
        <v/>
      </c>
      <c r="AK113" s="18">
        <f>IFERROR(AK66*$FG66*(1+($FI66-1)*AK$26)*($D$23*$FH66+(1-$D$23)*AK$25),"")</f>
        <v/>
      </c>
      <c r="AL113" s="18">
        <f>IFERROR(AL66*$FG66*(1+($FI66-1)*AL$26)*($D$23*$FH66+(1-$D$23)*AL$25),"")</f>
        <v/>
      </c>
      <c r="AM113" s="18">
        <f>IFERROR(AM66*$FG66*(1+($FI66-1)*AM$26)*($D$23*$FH66+(1-$D$23)*AM$25),"")</f>
        <v/>
      </c>
      <c r="AN113" s="18">
        <f>IFERROR(AN66*$FG66*(1+($FI66-1)*AN$26)*($D$23*$FH66+(1-$D$23)*AN$25),"")</f>
        <v/>
      </c>
      <c r="AO113" s="18">
        <f>IFERROR(AO66*$FG66*(1+($FI66-1)*AO$26)*($D$23*$FH66+(1-$D$23)*AO$25),"")</f>
        <v/>
      </c>
      <c r="AP113" s="18">
        <f>IFERROR(AP66*$FG66*(1+($FI66-1)*AP$26)*($D$23*$FH66+(1-$D$23)*AP$25),"")</f>
        <v/>
      </c>
      <c r="AQ113" s="18">
        <f>IFERROR(AQ66*$FG66*(1+($FI66-1)*AQ$26)*($D$23*$FH66+(1-$D$23)*AQ$25),"")</f>
        <v/>
      </c>
    </row>
    <row r="114">
      <c r="A114" t="inlineStr">
        <is>
          <t>20260805800532</t>
        </is>
      </c>
      <c r="B114" t="inlineStr">
        <is>
          <t>OTHER</t>
        </is>
      </c>
      <c r="D114" t="inlineStr">
        <is>
          <t>평택동부 고속화도로 민간투자사업 공사도급계약</t>
        </is>
      </c>
      <c r="I114" s="18">
        <f>IFERROR(I67*$FG67*(1+($FI67-1)*I$26)*($D$23*$FH67+(1-$D$23)*I$25),"")</f>
        <v/>
      </c>
      <c r="J114" s="18">
        <f>IFERROR(J67*$FG67*(1+($FI67-1)*J$26)*($D$23*$FH67+(1-$D$23)*J$25),"")</f>
        <v/>
      </c>
      <c r="K114" s="18">
        <f>IFERROR(K67*$FG67*(1+($FI67-1)*K$26)*($D$23*$FH67+(1-$D$23)*K$25),"")</f>
        <v/>
      </c>
      <c r="L114" s="18">
        <f>IFERROR(L67*$FG67*(1+($FI67-1)*L$26)*($D$23*$FH67+(1-$D$23)*L$25),"")</f>
        <v/>
      </c>
      <c r="M114" s="18">
        <f>IFERROR(M67*$FG67*(1+($FI67-1)*M$26)*($D$23*$FH67+(1-$D$23)*M$25),"")</f>
        <v/>
      </c>
      <c r="N114" s="18">
        <f>IFERROR(N67*$FG67*(1+($FI67-1)*N$26)*($D$23*$FH67+(1-$D$23)*N$25),"")</f>
        <v/>
      </c>
      <c r="O114" s="18">
        <f>IFERROR(O67*$FG67*(1+($FI67-1)*O$26)*($D$23*$FH67+(1-$D$23)*O$25),"")</f>
        <v/>
      </c>
      <c r="P114" s="18">
        <f>IFERROR(P67*$FG67*(1+($FI67-1)*P$26)*($D$23*$FH67+(1-$D$23)*P$25),"")</f>
        <v/>
      </c>
      <c r="Q114" s="18">
        <f>IFERROR(Q67*$FG67*(1+($FI67-1)*Q$26)*($D$23*$FH67+(1-$D$23)*Q$25),"")</f>
        <v/>
      </c>
      <c r="R114" s="18">
        <f>IFERROR(R67*$FG67*(1+($FI67-1)*R$26)*($D$23*$FH67+(1-$D$23)*R$25),"")</f>
        <v/>
      </c>
      <c r="S114" s="18">
        <f>IFERROR(S67*$FG67*(1+($FI67-1)*S$26)*($D$23*$FH67+(1-$D$23)*S$25),"")</f>
        <v/>
      </c>
      <c r="T114" s="18">
        <f>IFERROR(T67*$FG67*(1+($FI67-1)*T$26)*($D$23*$FH67+(1-$D$23)*T$25),"")</f>
        <v/>
      </c>
      <c r="U114" s="18">
        <f>IFERROR(U67*$FG67*(1+($FI67-1)*U$26)*($D$23*$FH67+(1-$D$23)*U$25),"")</f>
        <v/>
      </c>
      <c r="V114" s="18">
        <f>IFERROR(V67*$FG67*(1+($FI67-1)*V$26)*($D$23*$FH67+(1-$D$23)*V$25),"")</f>
        <v/>
      </c>
      <c r="W114" s="18">
        <f>IFERROR(W67*$FG67*(1+($FI67-1)*W$26)*($D$23*$FH67+(1-$D$23)*W$25),"")</f>
        <v/>
      </c>
      <c r="X114" s="18">
        <f>IFERROR(X67*$FG67*(1+($FI67-1)*X$26)*($D$23*$FH67+(1-$D$23)*X$25),"")</f>
        <v/>
      </c>
      <c r="Y114" s="18">
        <f>IFERROR(Y67*$FG67*(1+($FI67-1)*Y$26)*($D$23*$FH67+(1-$D$23)*Y$25),"")</f>
        <v/>
      </c>
      <c r="Z114" s="18">
        <f>IFERROR(Z67*$FG67*(1+($FI67-1)*Z$26)*($D$23*$FH67+(1-$D$23)*Z$25),"")</f>
        <v/>
      </c>
      <c r="AA114" s="18">
        <f>IFERROR(AA67*$FG67*(1+($FI67-1)*AA$26)*($D$23*$FH67+(1-$D$23)*AA$25),"")</f>
        <v/>
      </c>
      <c r="AB114" s="18">
        <f>IFERROR(AB67*$FG67*(1+($FI67-1)*AB$26)*($D$23*$FH67+(1-$D$23)*AB$25),"")</f>
        <v/>
      </c>
      <c r="AC114" s="18">
        <f>IFERROR(AC67*$FG67*(1+($FI67-1)*AC$26)*($D$23*$FH67+(1-$D$23)*AC$25),"")</f>
        <v/>
      </c>
      <c r="AD114" s="18">
        <f>IFERROR(AD67*$FG67*(1+($FI67-1)*AD$26)*($D$23*$FH67+(1-$D$23)*AD$25),"")</f>
        <v/>
      </c>
      <c r="AE114" s="18">
        <f>IFERROR(AE67*$FG67*(1+($FI67-1)*AE$26)*($D$23*$FH67+(1-$D$23)*AE$25),"")</f>
        <v/>
      </c>
      <c r="AF114" s="18">
        <f>IFERROR(AF67*$FG67*(1+($FI67-1)*AF$26)*($D$23*$FH67+(1-$D$23)*AF$25),"")</f>
        <v/>
      </c>
      <c r="AG114" s="18">
        <f>IFERROR(AG67*$FG67*(1+($FI67-1)*AG$26)*($D$23*$FH67+(1-$D$23)*AG$25),"")</f>
        <v/>
      </c>
      <c r="AH114" s="18">
        <f>IFERROR(AH67*$FG67*(1+($FI67-1)*AH$26)*($D$23*$FH67+(1-$D$23)*AH$25),"")</f>
        <v/>
      </c>
      <c r="AI114" s="18">
        <f>IFERROR(AI67*$FG67*(1+($FI67-1)*AI$26)*($D$23*$FH67+(1-$D$23)*AI$25),"")</f>
        <v/>
      </c>
      <c r="AJ114" s="18">
        <f>IFERROR(AJ67*$FG67*(1+($FI67-1)*AJ$26)*($D$23*$FH67+(1-$D$23)*AJ$25),"")</f>
        <v/>
      </c>
      <c r="AK114" s="18">
        <f>IFERROR(AK67*$FG67*(1+($FI67-1)*AK$26)*($D$23*$FH67+(1-$D$23)*AK$25),"")</f>
        <v/>
      </c>
      <c r="AL114" s="18">
        <f>IFERROR(AL67*$FG67*(1+($FI67-1)*AL$26)*($D$23*$FH67+(1-$D$23)*AL$25),"")</f>
        <v/>
      </c>
      <c r="AM114" s="18">
        <f>IFERROR(AM67*$FG67*(1+($FI67-1)*AM$26)*($D$23*$FH67+(1-$D$23)*AM$25),"")</f>
        <v/>
      </c>
      <c r="AN114" s="18">
        <f>IFERROR(AN67*$FG67*(1+($FI67-1)*AN$26)*($D$23*$FH67+(1-$D$23)*AN$25),"")</f>
        <v/>
      </c>
      <c r="AO114" s="18">
        <f>IFERROR(AO67*$FG67*(1+($FI67-1)*AO$26)*($D$23*$FH67+(1-$D$23)*AO$25),"")</f>
        <v/>
      </c>
    </row>
    <row r="115">
      <c r="A115" t="inlineStr">
        <is>
          <t>20260811800408</t>
        </is>
      </c>
      <c r="B115" t="inlineStr">
        <is>
          <t>OTHER</t>
        </is>
      </c>
      <c r="D115" t="inlineStr">
        <is>
          <t>통일로 우회도로 건설공사</t>
        </is>
      </c>
      <c r="AC115" s="18">
        <f>IFERROR(AC68*$FG68*(1+($FI68-1)*AC$26)*($D$23*$FH68+(1-$D$23)*AC$25),"")</f>
        <v/>
      </c>
      <c r="AD115" s="18">
        <f>IFERROR(AD68*$FG68*(1+($FI68-1)*AD$26)*($D$23*$FH68+(1-$D$23)*AD$25),"")</f>
        <v/>
      </c>
      <c r="AE115" s="18">
        <f>IFERROR(AE68*$FG68*(1+($FI68-1)*AE$26)*($D$23*$FH68+(1-$D$23)*AE$25),"")</f>
        <v/>
      </c>
      <c r="AF115" s="18">
        <f>IFERROR(AF68*$FG68*(1+($FI68-1)*AF$26)*($D$23*$FH68+(1-$D$23)*AF$25),"")</f>
        <v/>
      </c>
      <c r="AG115" s="18">
        <f>IFERROR(AG68*$FG68*(1+($FI68-1)*AG$26)*($D$23*$FH68+(1-$D$23)*AG$25),"")</f>
        <v/>
      </c>
      <c r="AH115" s="18">
        <f>IFERROR(AH68*$FG68*(1+($FI68-1)*AH$26)*($D$23*$FH68+(1-$D$23)*AH$25),"")</f>
        <v/>
      </c>
      <c r="AI115" s="18">
        <f>IFERROR(AI68*$FG68*(1+($FI68-1)*AI$26)*($D$23*$FH68+(1-$D$23)*AI$25),"")</f>
        <v/>
      </c>
      <c r="AJ115" s="18">
        <f>IFERROR(AJ68*$FG68*(1+($FI68-1)*AJ$26)*($D$23*$FH68+(1-$D$23)*AJ$25),"")</f>
        <v/>
      </c>
      <c r="AK115" s="18">
        <f>IFERROR(AK68*$FG68*(1+($FI68-1)*AK$26)*($D$23*$FH68+(1-$D$23)*AK$25),"")</f>
        <v/>
      </c>
      <c r="AL115" s="18">
        <f>IFERROR(AL68*$FG68*(1+($FI68-1)*AL$26)*($D$23*$FH68+(1-$D$23)*AL$25),"")</f>
        <v/>
      </c>
      <c r="AM115" s="18">
        <f>IFERROR(AM68*$FG68*(1+($FI68-1)*AM$26)*($D$23*$FH68+(1-$D$23)*AM$25),"")</f>
        <v/>
      </c>
      <c r="AN115" s="18">
        <f>IFERROR(AN68*$FG68*(1+($FI68-1)*AN$26)*($D$23*$FH68+(1-$D$23)*AN$25),"")</f>
        <v/>
      </c>
      <c r="AO115" s="18">
        <f>IFERROR(AO68*$FG68*(1+($FI68-1)*AO$26)*($D$23*$FH68+(1-$D$23)*AO$25),"")</f>
        <v/>
      </c>
      <c r="AP115" s="18">
        <f>IFERROR(AP68*$FG68*(1+($FI68-1)*AP$26)*($D$23*$FH68+(1-$D$23)*AP$25),"")</f>
        <v/>
      </c>
      <c r="AQ115" s="18">
        <f>IFERROR(AQ68*$FG68*(1+($FI68-1)*AQ$26)*($D$23*$FH68+(1-$D$23)*AQ$25),"")</f>
        <v/>
      </c>
      <c r="AR115" s="18">
        <f>IFERROR(AR68*$FG68*(1+($FI68-1)*AR$26)*($D$23*$FH68+(1-$D$23)*AR$25),"")</f>
        <v/>
      </c>
      <c r="AS115" s="18">
        <f>IFERROR(AS68*$FG68*(1+($FI68-1)*AS$26)*($D$23*$FH68+(1-$D$23)*AS$25),"")</f>
        <v/>
      </c>
      <c r="AT115" s="18">
        <f>IFERROR(AT68*$FG68*(1+($FI68-1)*AT$26)*($D$23*$FH68+(1-$D$23)*AT$25),"")</f>
        <v/>
      </c>
      <c r="AU115" s="18">
        <f>IFERROR(AU68*$FG68*(1+($FI68-1)*AU$26)*($D$23*$FH68+(1-$D$23)*AU$25),"")</f>
        <v/>
      </c>
      <c r="AV115" s="18">
        <f>IFERROR(AV68*$FG68*(1+($FI68-1)*AV$26)*($D$23*$FH68+(1-$D$23)*AV$25),"")</f>
        <v/>
      </c>
      <c r="AW115" s="18">
        <f>IFERROR(AW68*$FG68*(1+($FI68-1)*AW$26)*($D$23*$FH68+(1-$D$23)*AW$25),"")</f>
        <v/>
      </c>
      <c r="AX115" s="18">
        <f>IFERROR(AX68*$FG68*(1+($FI68-1)*AX$26)*($D$23*$FH68+(1-$D$23)*AX$25),"")</f>
        <v/>
      </c>
      <c r="AY115" s="18">
        <f>IFERROR(AY68*$FG68*(1+($FI68-1)*AY$26)*($D$23*$FH68+(1-$D$23)*AY$25),"")</f>
        <v/>
      </c>
    </row>
    <row r="116">
      <c r="A116" t="inlineStr">
        <is>
          <t>20260818800047</t>
        </is>
      </c>
      <c r="B116" t="inlineStr">
        <is>
          <t>OTHER</t>
        </is>
      </c>
      <c r="D116" t="inlineStr">
        <is>
          <t>국도46호선 남양주-춘천(제2경춘국도) 도로건설공사(제4공구)</t>
        </is>
      </c>
      <c r="AL116" s="18">
        <f>IFERROR(AL69*$FG69*(1+($FI69-1)*AL$26)*($D$23*$FH69+(1-$D$23)*AL$25),"")</f>
        <v/>
      </c>
      <c r="AM116" s="18">
        <f>IFERROR(AM69*$FG69*(1+($FI69-1)*AM$26)*($D$23*$FH69+(1-$D$23)*AM$25),"")</f>
        <v/>
      </c>
      <c r="AN116" s="18">
        <f>IFERROR(AN69*$FG69*(1+($FI69-1)*AN$26)*($D$23*$FH69+(1-$D$23)*AN$25),"")</f>
        <v/>
      </c>
      <c r="AO116" s="18">
        <f>IFERROR(AO69*$FG69*(1+($FI69-1)*AO$26)*($D$23*$FH69+(1-$D$23)*AO$25),"")</f>
        <v/>
      </c>
      <c r="AP116" s="18">
        <f>IFERROR(AP69*$FG69*(1+($FI69-1)*AP$26)*($D$23*$FH69+(1-$D$23)*AP$25),"")</f>
        <v/>
      </c>
      <c r="AQ116" s="18">
        <f>IFERROR(AQ69*$FG69*(1+($FI69-1)*AQ$26)*($D$23*$FH69+(1-$D$23)*AQ$25),"")</f>
        <v/>
      </c>
      <c r="AR116" s="18">
        <f>IFERROR(AR69*$FG69*(1+($FI69-1)*AR$26)*($D$23*$FH69+(1-$D$23)*AR$25),"")</f>
        <v/>
      </c>
      <c r="AS116" s="18">
        <f>IFERROR(AS69*$FG69*(1+($FI69-1)*AS$26)*($D$23*$FH69+(1-$D$23)*AS$25),"")</f>
        <v/>
      </c>
      <c r="AT116" s="18">
        <f>IFERROR(AT69*$FG69*(1+($FI69-1)*AT$26)*($D$23*$FH69+(1-$D$23)*AT$25),"")</f>
        <v/>
      </c>
      <c r="AU116" s="18">
        <f>IFERROR(AU69*$FG69*(1+($FI69-1)*AU$26)*($D$23*$FH69+(1-$D$23)*AU$25),"")</f>
        <v/>
      </c>
      <c r="AV116" s="18">
        <f>IFERROR(AV69*$FG69*(1+($FI69-1)*AV$26)*($D$23*$FH69+(1-$D$23)*AV$25),"")</f>
        <v/>
      </c>
      <c r="AW116" s="18">
        <f>IFERROR(AW69*$FG69*(1+($FI69-1)*AW$26)*($D$23*$FH69+(1-$D$23)*AW$25),"")</f>
        <v/>
      </c>
      <c r="AX116" s="18">
        <f>IFERROR(AX69*$FG69*(1+($FI69-1)*AX$26)*($D$23*$FH69+(1-$D$23)*AX$25),"")</f>
        <v/>
      </c>
      <c r="AY116" s="18">
        <f>IFERROR(AY69*$FG69*(1+($FI69-1)*AY$26)*($D$23*$FH69+(1-$D$23)*AY$25),"")</f>
        <v/>
      </c>
      <c r="AZ116" s="18">
        <f>IFERROR(AZ69*$FG69*(1+($FI69-1)*AZ$26)*($D$23*$FH69+(1-$D$23)*AZ$25),"")</f>
        <v/>
      </c>
      <c r="BA116" s="18">
        <f>IFERROR(BA69*$FG69*(1+($FI69-1)*BA$26)*($D$23*$FH69+(1-$D$23)*BA$25),"")</f>
        <v/>
      </c>
      <c r="BB116" s="18">
        <f>IFERROR(BB69*$FG69*(1+($FI69-1)*BB$26)*($D$23*$FH69+(1-$D$23)*BB$25),"")</f>
        <v/>
      </c>
      <c r="BC116" s="18">
        <f>IFERROR(BC69*$FG69*(1+($FI69-1)*BC$26)*($D$23*$FH69+(1-$D$23)*BC$25),"")</f>
        <v/>
      </c>
      <c r="BD116" s="18">
        <f>IFERROR(BD69*$FG69*(1+($FI69-1)*BD$26)*($D$23*$FH69+(1-$D$23)*BD$25),"")</f>
        <v/>
      </c>
      <c r="BE116" s="18">
        <f>IFERROR(BE69*$FG69*(1+($FI69-1)*BE$26)*($D$23*$FH69+(1-$D$23)*BE$25),"")</f>
        <v/>
      </c>
      <c r="BF116" s="18">
        <f>IFERROR(BF69*$FG69*(1+($FI69-1)*BF$26)*($D$23*$FH69+(1-$D$23)*BF$25),"")</f>
        <v/>
      </c>
      <c r="BG116" s="18">
        <f>IFERROR(BG69*$FG69*(1+($FI69-1)*BG$26)*($D$23*$FH69+(1-$D$23)*BG$25),"")</f>
        <v/>
      </c>
      <c r="BH116" s="18">
        <f>IFERROR(BH69*$FG69*(1+($FI69-1)*BH$26)*($D$23*$FH69+(1-$D$23)*BH$25),"")</f>
        <v/>
      </c>
      <c r="BI116" s="18">
        <f>IFERROR(BI69*$FG69*(1+($FI69-1)*BI$26)*($D$23*$FH69+(1-$D$23)*BI$25),"")</f>
        <v/>
      </c>
      <c r="BJ116" s="18">
        <f>IFERROR(BJ69*$FG69*(1+($FI69-1)*BJ$26)*($D$23*$FH69+(1-$D$23)*BJ$25),"")</f>
        <v/>
      </c>
      <c r="BK116" s="18">
        <f>IFERROR(BK69*$FG69*(1+($FI69-1)*BK$26)*($D$23*$FH69+(1-$D$23)*BK$25),"")</f>
        <v/>
      </c>
      <c r="BL116" s="18">
        <f>IFERROR(BL69*$FG69*(1+($FI69-1)*BL$26)*($D$23*$FH69+(1-$D$23)*BL$25),"")</f>
        <v/>
      </c>
      <c r="BM116" s="18">
        <f>IFERROR(BM69*$FG69*(1+($FI69-1)*BM$26)*($D$23*$FH69+(1-$D$23)*BM$25),"")</f>
        <v/>
      </c>
      <c r="BN116" s="18">
        <f>IFERROR(BN69*$FG69*(1+($FI69-1)*BN$26)*($D$23*$FH69+(1-$D$23)*BN$25),"")</f>
        <v/>
      </c>
    </row>
    <row r="117">
      <c r="A117" t="inlineStr">
        <is>
          <t>20260820800160</t>
        </is>
      </c>
      <c r="B117" t="inlineStr">
        <is>
          <t>OTHER</t>
        </is>
      </c>
      <c r="D117" t="inlineStr">
        <is>
          <t>500kV 신가평변환소 토건공사</t>
        </is>
      </c>
      <c r="Z117" s="18">
        <f>IFERROR(Z70*$FG70*(1+($FI70-1)*Z$26)*($D$23*$FH70+(1-$D$23)*Z$25),"")</f>
        <v/>
      </c>
      <c r="AA117" s="18">
        <f>IFERROR(AA70*$FG70*(1+($FI70-1)*AA$26)*($D$23*$FH70+(1-$D$23)*AA$25),"")</f>
        <v/>
      </c>
      <c r="AB117" s="18">
        <f>IFERROR(AB70*$FG70*(1+($FI70-1)*AB$26)*($D$23*$FH70+(1-$D$23)*AB$25),"")</f>
        <v/>
      </c>
      <c r="AC117" s="18">
        <f>IFERROR(AC70*$FG70*(1+($FI70-1)*AC$26)*($D$23*$FH70+(1-$D$23)*AC$25),"")</f>
        <v/>
      </c>
      <c r="AD117" s="18">
        <f>IFERROR(AD70*$FG70*(1+($FI70-1)*AD$26)*($D$23*$FH70+(1-$D$23)*AD$25),"")</f>
        <v/>
      </c>
      <c r="AE117" s="18">
        <f>IFERROR(AE70*$FG70*(1+($FI70-1)*AE$26)*($D$23*$FH70+(1-$D$23)*AE$25),"")</f>
        <v/>
      </c>
      <c r="AF117" s="18">
        <f>IFERROR(AF70*$FG70*(1+($FI70-1)*AF$26)*($D$23*$FH70+(1-$D$23)*AF$25),"")</f>
        <v/>
      </c>
      <c r="AG117" s="18">
        <f>IFERROR(AG70*$FG70*(1+($FI70-1)*AG$26)*($D$23*$FH70+(1-$D$23)*AG$25),"")</f>
        <v/>
      </c>
      <c r="AH117" s="18">
        <f>IFERROR(AH70*$FG70*(1+($FI70-1)*AH$26)*($D$23*$FH70+(1-$D$23)*AH$25),"")</f>
        <v/>
      </c>
      <c r="AI117" s="18">
        <f>IFERROR(AI70*$FG70*(1+($FI70-1)*AI$26)*($D$23*$FH70+(1-$D$23)*AI$25),"")</f>
        <v/>
      </c>
      <c r="AJ117" s="18">
        <f>IFERROR(AJ70*$FG70*(1+($FI70-1)*AJ$26)*($D$23*$FH70+(1-$D$23)*AJ$25),"")</f>
        <v/>
      </c>
      <c r="AK117" s="18">
        <f>IFERROR(AK70*$FG70*(1+($FI70-1)*AK$26)*($D$23*$FH70+(1-$D$23)*AK$25),"")</f>
        <v/>
      </c>
      <c r="AL117" s="18">
        <f>IFERROR(AL70*$FG70*(1+($FI70-1)*AL$26)*($D$23*$FH70+(1-$D$23)*AL$25),"")</f>
        <v/>
      </c>
      <c r="AM117" s="18">
        <f>IFERROR(AM70*$FG70*(1+($FI70-1)*AM$26)*($D$23*$FH70+(1-$D$23)*AM$25),"")</f>
        <v/>
      </c>
    </row>
    <row r="118">
      <c r="A118" t="inlineStr">
        <is>
          <t>20260918800109</t>
        </is>
      </c>
      <c r="B118" t="inlineStr">
        <is>
          <t>OTHER</t>
        </is>
      </c>
      <c r="D118" t="inlineStr">
        <is>
          <t>울산기력 4,5,6호기 해체공사(종합심사낙찰제)</t>
        </is>
      </c>
      <c r="AB118" s="18">
        <f>IFERROR(AB71*$FG71*(1+($FI71-1)*AB$26)*($D$23*$FH71+(1-$D$23)*AB$25),"")</f>
        <v/>
      </c>
      <c r="AC118" s="18">
        <f>IFERROR(AC71*$FG71*(1+($FI71-1)*AC$26)*($D$23*$FH71+(1-$D$23)*AC$25),"")</f>
        <v/>
      </c>
      <c r="AD118" s="18">
        <f>IFERROR(AD71*$FG71*(1+($FI71-1)*AD$26)*($D$23*$FH71+(1-$D$23)*AD$25),"")</f>
        <v/>
      </c>
      <c r="AE118" s="18">
        <f>IFERROR(AE71*$FG71*(1+($FI71-1)*AE$26)*($D$23*$FH71+(1-$D$23)*AE$25),"")</f>
        <v/>
      </c>
      <c r="AF118" s="18">
        <f>IFERROR(AF71*$FG71*(1+($FI71-1)*AF$26)*($D$23*$FH71+(1-$D$23)*AF$25),"")</f>
        <v/>
      </c>
      <c r="AG118" s="18">
        <f>IFERROR(AG71*$FG71*(1+($FI71-1)*AG$26)*($D$23*$FH71+(1-$D$23)*AG$25),"")</f>
        <v/>
      </c>
      <c r="AH118" s="18">
        <f>IFERROR(AH71*$FG71*(1+($FI71-1)*AH$26)*($D$23*$FH71+(1-$D$23)*AH$25),"")</f>
        <v/>
      </c>
      <c r="AI118" s="18">
        <f>IFERROR(AI71*$FG71*(1+($FI71-1)*AI$26)*($D$23*$FH71+(1-$D$23)*AI$25),"")</f>
        <v/>
      </c>
      <c r="AJ118" s="18">
        <f>IFERROR(AJ71*$FG71*(1+($FI71-1)*AJ$26)*($D$23*$FH71+(1-$D$23)*AJ$25),"")</f>
        <v/>
      </c>
      <c r="AK118" s="18">
        <f>IFERROR(AK71*$FG71*(1+($FI71-1)*AK$26)*($D$23*$FH71+(1-$D$23)*AK$25),"")</f>
        <v/>
      </c>
      <c r="AL118" s="18">
        <f>IFERROR(AL71*$FG71*(1+($FI71-1)*AL$26)*($D$23*$FH71+(1-$D$23)*AL$25),"")</f>
        <v/>
      </c>
      <c r="AM118" s="18">
        <f>IFERROR(AM71*$FG71*(1+($FI71-1)*AM$26)*($D$23*$FH71+(1-$D$23)*AM$25),"")</f>
        <v/>
      </c>
      <c r="AN118" s="18">
        <f>IFERROR(AN71*$FG71*(1+($FI71-1)*AN$26)*($D$23*$FH71+(1-$D$23)*AN$25),"")</f>
        <v/>
      </c>
      <c r="AO118" s="18">
        <f>IFERROR(AO71*$FG71*(1+($FI71-1)*AO$26)*($D$23*$FH71+(1-$D$23)*AO$25),"")</f>
        <v/>
      </c>
      <c r="AP118" s="18">
        <f>IFERROR(AP71*$FG71*(1+($FI71-1)*AP$26)*($D$23*$FH71+(1-$D$23)*AP$25),"")</f>
        <v/>
      </c>
      <c r="AQ118" s="18">
        <f>IFERROR(AQ71*$FG71*(1+($FI71-1)*AQ$26)*($D$23*$FH71+(1-$D$23)*AQ$25),"")</f>
        <v/>
      </c>
      <c r="AR118" s="18">
        <f>IFERROR(AR71*$FG71*(1+($FI71-1)*AR$26)*($D$23*$FH71+(1-$D$23)*AR$25),"")</f>
        <v/>
      </c>
      <c r="AS118" s="18">
        <f>IFERROR(AS71*$FG71*(1+($FI71-1)*AS$26)*($D$23*$FH71+(1-$D$23)*AS$25),"")</f>
        <v/>
      </c>
      <c r="AT118" s="18">
        <f>IFERROR(AT71*$FG71*(1+($FI71-1)*AT$26)*($D$23*$FH71+(1-$D$23)*AT$25),"")</f>
        <v/>
      </c>
    </row>
    <row r="119">
      <c r="A119" t="inlineStr">
        <is>
          <t>20260922800008</t>
        </is>
      </c>
      <c r="B119" t="inlineStr">
        <is>
          <t>CONT</t>
        </is>
      </c>
      <c r="C119" t="n">
        <v>4</v>
      </c>
      <c r="D119" t="inlineStr">
        <is>
          <t>컨테이너선 4척 수주</t>
        </is>
      </c>
      <c r="AL119" s="18">
        <f>IFERROR(AL72*$FG72*(1+($FI72-1)*AL$26)*($D$23*$FH72+(1-$D$23)*AL$25),"")</f>
        <v/>
      </c>
      <c r="AM119" s="18">
        <f>IFERROR(AM72*$FG72*(1+($FI72-1)*AM$26)*($D$23*$FH72+(1-$D$23)*AM$25),"")</f>
        <v/>
      </c>
      <c r="AN119" s="18">
        <f>IFERROR(AN72*$FG72*(1+($FI72-1)*AN$26)*($D$23*$FH72+(1-$D$23)*AN$25),"")</f>
        <v/>
      </c>
      <c r="AO119" s="18">
        <f>IFERROR(AO72*$FG72*(1+($FI72-1)*AO$26)*($D$23*$FH72+(1-$D$23)*AO$25),"")</f>
        <v/>
      </c>
      <c r="AP119" s="18">
        <f>IFERROR(AP72*$FG72*(1+($FI72-1)*AP$26)*($D$23*$FH72+(1-$D$23)*AP$25),"")</f>
        <v/>
      </c>
      <c r="AQ119" s="18">
        <f>IFERROR(AQ72*$FG72*(1+($FI72-1)*AQ$26)*($D$23*$FH72+(1-$D$23)*AQ$25),"")</f>
        <v/>
      </c>
      <c r="AR119" s="18">
        <f>IFERROR(AR72*$FG72*(1+($FI72-1)*AR$26)*($D$23*$FH72+(1-$D$23)*AR$25),"")</f>
        <v/>
      </c>
      <c r="AS119" s="18">
        <f>IFERROR(AS72*$FG72*(1+($FI72-1)*AS$26)*($D$23*$FH72+(1-$D$23)*AS$25),"")</f>
        <v/>
      </c>
      <c r="AT119" s="18">
        <f>IFERROR(AT72*$FG72*(1+($FI72-1)*AT$26)*($D$23*$FH72+(1-$D$23)*AT$25),"")</f>
        <v/>
      </c>
      <c r="AU119" s="18">
        <f>IFERROR(AU72*$FG72*(1+($FI72-1)*AU$26)*($D$23*$FH72+(1-$D$23)*AU$25),"")</f>
        <v/>
      </c>
      <c r="AV119" s="18">
        <f>IFERROR(AV72*$FG72*(1+($FI72-1)*AV$26)*($D$23*$FH72+(1-$D$23)*AV$25),"")</f>
        <v/>
      </c>
      <c r="AW119" s="18">
        <f>IFERROR(AW72*$FG72*(1+($FI72-1)*AW$26)*($D$23*$FH72+(1-$D$23)*AW$25),"")</f>
        <v/>
      </c>
    </row>
    <row r="120">
      <c r="A120" t="inlineStr">
        <is>
          <t>20261007800209</t>
        </is>
      </c>
      <c r="B120" t="inlineStr">
        <is>
          <t>OTHER</t>
        </is>
      </c>
      <c r="D120" t="inlineStr">
        <is>
          <t>보령신복합 1호기 건설공사</t>
        </is>
      </c>
      <c r="Z120" s="18">
        <f>IFERROR(Z73*$FG73*(1+($FI73-1)*Z$26)*($D$23*$FH73+(1-$D$23)*Z$25),"")</f>
        <v/>
      </c>
      <c r="AA120" s="18">
        <f>IFERROR(AA73*$FG73*(1+($FI73-1)*AA$26)*($D$23*$FH73+(1-$D$23)*AA$25),"")</f>
        <v/>
      </c>
      <c r="AB120" s="18">
        <f>IFERROR(AB73*$FG73*(1+($FI73-1)*AB$26)*($D$23*$FH73+(1-$D$23)*AB$25),"")</f>
        <v/>
      </c>
      <c r="AC120" s="18">
        <f>IFERROR(AC73*$FG73*(1+($FI73-1)*AC$26)*($D$23*$FH73+(1-$D$23)*AC$25),"")</f>
        <v/>
      </c>
      <c r="AD120" s="18">
        <f>IFERROR(AD73*$FG73*(1+($FI73-1)*AD$26)*($D$23*$FH73+(1-$D$23)*AD$25),"")</f>
        <v/>
      </c>
      <c r="AE120" s="18">
        <f>IFERROR(AE73*$FG73*(1+($FI73-1)*AE$26)*($D$23*$FH73+(1-$D$23)*AE$25),"")</f>
        <v/>
      </c>
      <c r="AF120" s="18">
        <f>IFERROR(AF73*$FG73*(1+($FI73-1)*AF$26)*($D$23*$FH73+(1-$D$23)*AF$25),"")</f>
        <v/>
      </c>
      <c r="AG120" s="18">
        <f>IFERROR(AG73*$FG73*(1+($FI73-1)*AG$26)*($D$23*$FH73+(1-$D$23)*AG$25),"")</f>
        <v/>
      </c>
      <c r="AH120" s="18">
        <f>IFERROR(AH73*$FG73*(1+($FI73-1)*AH$26)*($D$23*$FH73+(1-$D$23)*AH$25),"")</f>
        <v/>
      </c>
      <c r="AI120" s="18">
        <f>IFERROR(AI73*$FG73*(1+($FI73-1)*AI$26)*($D$23*$FH73+(1-$D$23)*AI$25),"")</f>
        <v/>
      </c>
      <c r="AJ120" s="18">
        <f>IFERROR(AJ73*$FG73*(1+($FI73-1)*AJ$26)*($D$23*$FH73+(1-$D$23)*AJ$25),"")</f>
        <v/>
      </c>
      <c r="AK120" s="18">
        <f>IFERROR(AK73*$FG73*(1+($FI73-1)*AK$26)*($D$23*$FH73+(1-$D$23)*AK$25),"")</f>
        <v/>
      </c>
      <c r="AL120" s="18">
        <f>IFERROR(AL73*$FG73*(1+($FI73-1)*AL$26)*($D$23*$FH73+(1-$D$23)*AL$25),"")</f>
        <v/>
      </c>
      <c r="AM120" s="18">
        <f>IFERROR(AM73*$FG73*(1+($FI73-1)*AM$26)*($D$23*$FH73+(1-$D$23)*AM$25),"")</f>
        <v/>
      </c>
      <c r="AN120" s="18">
        <f>IFERROR(AN73*$FG73*(1+($FI73-1)*AN$26)*($D$23*$FH73+(1-$D$23)*AN$25),"")</f>
        <v/>
      </c>
    </row>
    <row r="121">
      <c r="A121" s="12" t="inlineStr">
        <is>
          <t>usd_incl</t>
        </is>
      </c>
      <c r="D121" t="inlineStr">
        <is>
          <t>포함 계약 스케줄 합(백만$, 캡 배율 전)</t>
        </is>
      </c>
      <c r="E121" s="26">
        <f>SUMPRODUCT(E29:E73,$FG$29:$FG$73)</f>
        <v/>
      </c>
      <c r="F121" s="26">
        <f>SUMPRODUCT(F29:F73,$FG$29:$FG$73)</f>
        <v/>
      </c>
      <c r="G121" s="26">
        <f>SUMPRODUCT(G29:G73,$FG$29:$FG$73)</f>
        <v/>
      </c>
      <c r="H121" s="26">
        <f>SUMPRODUCT(H29:H73,$FG$29:$FG$73)</f>
        <v/>
      </c>
      <c r="I121" s="26">
        <f>SUMPRODUCT(I29:I73,$FG$29:$FG$73)</f>
        <v/>
      </c>
      <c r="J121" s="26">
        <f>SUMPRODUCT(J29:J73,$FG$29:$FG$73)</f>
        <v/>
      </c>
      <c r="K121" s="26">
        <f>SUMPRODUCT(K29:K73,$FG$29:$FG$73)</f>
        <v/>
      </c>
      <c r="L121" s="26">
        <f>SUMPRODUCT(L29:L73,$FG$29:$FG$73)</f>
        <v/>
      </c>
      <c r="M121" s="26">
        <f>SUMPRODUCT(M29:M73,$FG$29:$FG$73)</f>
        <v/>
      </c>
      <c r="N121" s="26">
        <f>SUMPRODUCT(N29:N73,$FG$29:$FG$73)</f>
        <v/>
      </c>
      <c r="O121" s="26">
        <f>SUMPRODUCT(O29:O73,$FG$29:$FG$73)</f>
        <v/>
      </c>
      <c r="P121" s="26">
        <f>SUMPRODUCT(P29:P73,$FG$29:$FG$73)</f>
        <v/>
      </c>
      <c r="Q121" s="26">
        <f>SUMPRODUCT(Q29:Q73,$FG$29:$FG$73)</f>
        <v/>
      </c>
      <c r="R121" s="26">
        <f>SUMPRODUCT(R29:R73,$FG$29:$FG$73)</f>
        <v/>
      </c>
      <c r="S121" s="26">
        <f>SUMPRODUCT(S29:S73,$FG$29:$FG$73)</f>
        <v/>
      </c>
      <c r="T121" s="26">
        <f>SUMPRODUCT(T29:T73,$FG$29:$FG$73)</f>
        <v/>
      </c>
      <c r="U121" s="26">
        <f>SUMPRODUCT(U29:U73,$FG$29:$FG$73)</f>
        <v/>
      </c>
      <c r="V121" s="26">
        <f>SUMPRODUCT(V29:V73,$FG$29:$FG$73)</f>
        <v/>
      </c>
      <c r="W121" s="26">
        <f>SUMPRODUCT(W29:W73,$FG$29:$FG$73)</f>
        <v/>
      </c>
      <c r="X121" s="26">
        <f>SUMPRODUCT(X29:X73,$FG$29:$FG$73)</f>
        <v/>
      </c>
      <c r="Y121" s="26">
        <f>SUMPRODUCT(Y29:Y73,$FG$29:$FG$73)</f>
        <v/>
      </c>
      <c r="Z121" s="26">
        <f>SUMPRODUCT(Z29:Z73,$FG$29:$FG$73)</f>
        <v/>
      </c>
      <c r="AA121" s="26">
        <f>SUMPRODUCT(AA29:AA73,$FG$29:$FG$73)</f>
        <v/>
      </c>
      <c r="AB121" s="26">
        <f>SUMPRODUCT(AB29:AB73,$FG$29:$FG$73)</f>
        <v/>
      </c>
      <c r="AC121" s="26">
        <f>SUMPRODUCT(AC29:AC73,$FG$29:$FG$73)</f>
        <v/>
      </c>
      <c r="AD121" s="26">
        <f>SUMPRODUCT(AD29:AD73,$FG$29:$FG$73)</f>
        <v/>
      </c>
      <c r="AE121" s="26">
        <f>SUMPRODUCT(AE29:AE73,$FG$29:$FG$73)</f>
        <v/>
      </c>
      <c r="AF121" s="26">
        <f>SUMPRODUCT(AF29:AF73,$FG$29:$FG$73)</f>
        <v/>
      </c>
      <c r="AG121" s="26">
        <f>SUMPRODUCT(AG29:AG73,$FG$29:$FG$73)</f>
        <v/>
      </c>
      <c r="AH121" s="26">
        <f>SUMPRODUCT(AH29:AH73,$FG$29:$FG$73)</f>
        <v/>
      </c>
      <c r="AI121" s="26">
        <f>SUMPRODUCT(AI29:AI73,$FG$29:$FG$73)</f>
        <v/>
      </c>
      <c r="AJ121" s="26">
        <f>SUMPRODUCT(AJ29:AJ73,$FG$29:$FG$73)</f>
        <v/>
      </c>
      <c r="AK121" s="26">
        <f>SUMPRODUCT(AK29:AK73,$FG$29:$FG$73)</f>
        <v/>
      </c>
      <c r="AL121" s="26">
        <f>SUMPRODUCT(AL29:AL73,$FG$29:$FG$73)</f>
        <v/>
      </c>
      <c r="AM121" s="26">
        <f>SUMPRODUCT(AM29:AM73,$FG$29:$FG$73)</f>
        <v/>
      </c>
      <c r="AN121" s="26">
        <f>SUMPRODUCT(AN29:AN73,$FG$29:$FG$73)</f>
        <v/>
      </c>
      <c r="AO121" s="26">
        <f>SUMPRODUCT(AO29:AO73,$FG$29:$FG$73)</f>
        <v/>
      </c>
      <c r="AP121" s="26">
        <f>SUMPRODUCT(AP29:AP73,$FG$29:$FG$73)</f>
        <v/>
      </c>
      <c r="AQ121" s="26">
        <f>SUMPRODUCT(AQ29:AQ73,$FG$29:$FG$73)</f>
        <v/>
      </c>
      <c r="AR121" s="26">
        <f>SUMPRODUCT(AR29:AR73,$FG$29:$FG$73)</f>
        <v/>
      </c>
      <c r="AS121" s="26">
        <f>SUMPRODUCT(AS29:AS73,$FG$29:$FG$73)</f>
        <v/>
      </c>
      <c r="AT121" s="26">
        <f>SUMPRODUCT(AT29:AT73,$FG$29:$FG$73)</f>
        <v/>
      </c>
      <c r="AU121" s="26">
        <f>SUMPRODUCT(AU29:AU73,$FG$29:$FG$73)</f>
        <v/>
      </c>
      <c r="AV121" s="26">
        <f>SUMPRODUCT(AV29:AV73,$FG$29:$FG$73)</f>
        <v/>
      </c>
      <c r="AW121" s="26">
        <f>SUMPRODUCT(AW29:AW73,$FG$29:$FG$73)</f>
        <v/>
      </c>
      <c r="AX121" s="26">
        <f>SUMPRODUCT(AX29:AX73,$FG$29:$FG$73)</f>
        <v/>
      </c>
      <c r="AY121" s="26">
        <f>SUMPRODUCT(AY29:AY73,$FG$29:$FG$73)</f>
        <v/>
      </c>
      <c r="AZ121" s="26">
        <f>SUMPRODUCT(AZ29:AZ73,$FG$29:$FG$73)</f>
        <v/>
      </c>
      <c r="BA121" s="26">
        <f>SUMPRODUCT(BA29:BA73,$FG$29:$FG$73)</f>
        <v/>
      </c>
      <c r="BB121" s="26">
        <f>SUMPRODUCT(BB29:BB73,$FG$29:$FG$73)</f>
        <v/>
      </c>
      <c r="BC121" s="26">
        <f>SUMPRODUCT(BC29:BC73,$FG$29:$FG$73)</f>
        <v/>
      </c>
      <c r="BD121" s="26">
        <f>SUMPRODUCT(BD29:BD73,$FG$29:$FG$73)</f>
        <v/>
      </c>
      <c r="BE121" s="26">
        <f>SUMPRODUCT(BE29:BE73,$FG$29:$FG$73)</f>
        <v/>
      </c>
      <c r="BF121" s="26">
        <f>SUMPRODUCT(BF29:BF73,$FG$29:$FG$73)</f>
        <v/>
      </c>
      <c r="BG121" s="26">
        <f>SUMPRODUCT(BG29:BG73,$FG$29:$FG$73)</f>
        <v/>
      </c>
      <c r="BH121" s="26">
        <f>SUMPRODUCT(BH29:BH73,$FG$29:$FG$73)</f>
        <v/>
      </c>
      <c r="BI121" s="26">
        <f>SUMPRODUCT(BI29:BI73,$FG$29:$FG$73)</f>
        <v/>
      </c>
      <c r="BJ121" s="26">
        <f>SUMPRODUCT(BJ29:BJ73,$FG$29:$FG$73)</f>
        <v/>
      </c>
      <c r="BK121" s="26">
        <f>SUMPRODUCT(BK29:BK73,$FG$29:$FG$73)</f>
        <v/>
      </c>
      <c r="BL121" s="26">
        <f>SUMPRODUCT(BL29:BL73,$FG$29:$FG$73)</f>
        <v/>
      </c>
      <c r="BM121" s="26">
        <f>SUMPRODUCT(BM29:BM73,$FG$29:$FG$73)</f>
        <v/>
      </c>
      <c r="BN121" s="26">
        <f>SUMPRODUCT(BN29:BN73,$FG$29:$FG$73)</f>
        <v/>
      </c>
      <c r="BO121" s="26">
        <f>SUMPRODUCT(BO29:BO73,$FG$29:$FG$73)</f>
        <v/>
      </c>
      <c r="BP121" s="26">
        <f>SUMPRODUCT(BP29:BP73,$FG$29:$FG$73)</f>
        <v/>
      </c>
      <c r="BQ121" s="26">
        <f>SUMPRODUCT(BQ29:BQ73,$FG$29:$FG$73)</f>
        <v/>
      </c>
      <c r="BR121" s="26">
        <f>SUMPRODUCT(BR29:BR73,$FG$29:$FG$73)</f>
        <v/>
      </c>
      <c r="BS121" s="26">
        <f>SUMPRODUCT(BS29:BS73,$FG$29:$FG$73)</f>
        <v/>
      </c>
      <c r="BT121" s="26">
        <f>SUMPRODUCT(BT29:BT73,$FG$29:$FG$73)</f>
        <v/>
      </c>
      <c r="BU121" s="26">
        <f>SUMPRODUCT(BU29:BU73,$FG$29:$FG$73)</f>
        <v/>
      </c>
      <c r="BV121" s="26">
        <f>SUMPRODUCT(BV29:BV73,$FG$29:$FG$73)</f>
        <v/>
      </c>
      <c r="BW121" s="26">
        <f>SUMPRODUCT(BW29:BW73,$FG$29:$FG$73)</f>
        <v/>
      </c>
      <c r="BX121" s="26">
        <f>SUMPRODUCT(BX29:BX73,$FG$29:$FG$73)</f>
        <v/>
      </c>
      <c r="BY121" s="26">
        <f>SUMPRODUCT(BY29:BY73,$FG$29:$FG$73)</f>
        <v/>
      </c>
      <c r="BZ121" s="26">
        <f>SUMPRODUCT(BZ29:BZ73,$FG$29:$FG$73)</f>
        <v/>
      </c>
      <c r="CA121" s="26">
        <f>SUMPRODUCT(CA29:CA73,$FG$29:$FG$73)</f>
        <v/>
      </c>
      <c r="CB121" s="26">
        <f>SUMPRODUCT(CB29:CB73,$FG$29:$FG$73)</f>
        <v/>
      </c>
      <c r="CC121" s="26">
        <f>SUMPRODUCT(CC29:CC73,$FG$29:$FG$73)</f>
        <v/>
      </c>
      <c r="CD121" s="26">
        <f>SUMPRODUCT(CD29:CD73,$FG$29:$FG$73)</f>
        <v/>
      </c>
      <c r="CE121" s="26">
        <f>SUMPRODUCT(CE29:CE73,$FG$29:$FG$73)</f>
        <v/>
      </c>
      <c r="CF121" s="26">
        <f>SUMPRODUCT(CF29:CF73,$FG$29:$FG$73)</f>
        <v/>
      </c>
      <c r="CG121" s="26">
        <f>SUMPRODUCT(CG29:CG73,$FG$29:$FG$73)</f>
        <v/>
      </c>
      <c r="CH121" s="26">
        <f>SUMPRODUCT(CH29:CH73,$FG$29:$FG$73)</f>
        <v/>
      </c>
      <c r="CI121" s="26">
        <f>SUMPRODUCT(CI29:CI73,$FG$29:$FG$73)</f>
        <v/>
      </c>
      <c r="CJ121" s="26">
        <f>SUMPRODUCT(CJ29:CJ73,$FG$29:$FG$73)</f>
        <v/>
      </c>
      <c r="CK121" s="26">
        <f>SUMPRODUCT(CK29:CK73,$FG$29:$FG$73)</f>
        <v/>
      </c>
      <c r="CL121" s="26">
        <f>SUMPRODUCT(CL29:CL73,$FG$29:$FG$73)</f>
        <v/>
      </c>
      <c r="CM121" s="26">
        <f>SUMPRODUCT(CM29:CM73,$FG$29:$FG$73)</f>
        <v/>
      </c>
      <c r="CN121" s="26">
        <f>SUMPRODUCT(CN29:CN73,$FG$29:$FG$73)</f>
        <v/>
      </c>
      <c r="CO121" s="26">
        <f>SUMPRODUCT(CO29:CO73,$FG$29:$FG$73)</f>
        <v/>
      </c>
      <c r="CP121" s="26">
        <f>SUMPRODUCT(CP29:CP73,$FG$29:$FG$73)</f>
        <v/>
      </c>
      <c r="CQ121" s="26">
        <f>SUMPRODUCT(CQ29:CQ73,$FG$29:$FG$73)</f>
        <v/>
      </c>
      <c r="CR121" s="26">
        <f>SUMPRODUCT(CR29:CR73,$FG$29:$FG$73)</f>
        <v/>
      </c>
      <c r="CS121" s="26">
        <f>SUMPRODUCT(CS29:CS73,$FG$29:$FG$73)</f>
        <v/>
      </c>
      <c r="CT121" s="26">
        <f>SUMPRODUCT(CT29:CT73,$FG$29:$FG$73)</f>
        <v/>
      </c>
      <c r="CU121" s="26">
        <f>SUMPRODUCT(CU29:CU73,$FG$29:$FG$73)</f>
        <v/>
      </c>
      <c r="CV121" s="26">
        <f>SUMPRODUCT(CV29:CV73,$FG$29:$FG$73)</f>
        <v/>
      </c>
      <c r="CW121" s="26">
        <f>SUMPRODUCT(CW29:CW73,$FG$29:$FG$73)</f>
        <v/>
      </c>
      <c r="CX121" s="26">
        <f>SUMPRODUCT(CX29:CX73,$FG$29:$FG$73)</f>
        <v/>
      </c>
      <c r="CY121" s="26">
        <f>SUMPRODUCT(CY29:CY73,$FG$29:$FG$73)</f>
        <v/>
      </c>
      <c r="CZ121" s="26">
        <f>SUMPRODUCT(CZ29:CZ73,$FG$29:$FG$73)</f>
        <v/>
      </c>
      <c r="DA121" s="26">
        <f>SUMPRODUCT(DA29:DA73,$FG$29:$FG$73)</f>
        <v/>
      </c>
      <c r="DB121" s="26">
        <f>SUMPRODUCT(DB29:DB73,$FG$29:$FG$73)</f>
        <v/>
      </c>
      <c r="DC121" s="26">
        <f>SUMPRODUCT(DC29:DC73,$FG$29:$FG$73)</f>
        <v/>
      </c>
      <c r="DD121" s="26">
        <f>SUMPRODUCT(DD29:DD73,$FG$29:$FG$73)</f>
        <v/>
      </c>
      <c r="DE121" s="26">
        <f>SUMPRODUCT(DE29:DE73,$FG$29:$FG$73)</f>
        <v/>
      </c>
      <c r="DF121" s="26">
        <f>SUMPRODUCT(DF29:DF73,$FG$29:$FG$73)</f>
        <v/>
      </c>
      <c r="DG121" s="26">
        <f>SUMPRODUCT(DG29:DG73,$FG$29:$FG$73)</f>
        <v/>
      </c>
      <c r="DH121" s="26">
        <f>SUMPRODUCT(DH29:DH73,$FG$29:$FG$73)</f>
        <v/>
      </c>
      <c r="DI121" s="26">
        <f>SUMPRODUCT(DI29:DI73,$FG$29:$FG$73)</f>
        <v/>
      </c>
      <c r="DJ121" s="26">
        <f>SUMPRODUCT(DJ29:DJ73,$FG$29:$FG$73)</f>
        <v/>
      </c>
      <c r="DK121" s="26">
        <f>SUMPRODUCT(DK29:DK73,$FG$29:$FG$73)</f>
        <v/>
      </c>
      <c r="DL121" s="26">
        <f>SUMPRODUCT(DL29:DL73,$FG$29:$FG$73)</f>
        <v/>
      </c>
      <c r="DM121" s="26">
        <f>SUMPRODUCT(DM29:DM73,$FG$29:$FG$73)</f>
        <v/>
      </c>
      <c r="DN121" s="26">
        <f>SUMPRODUCT(DN29:DN73,$FG$29:$FG$73)</f>
        <v/>
      </c>
      <c r="DO121" s="26">
        <f>SUMPRODUCT(DO29:DO73,$FG$29:$FG$73)</f>
        <v/>
      </c>
      <c r="DP121" s="26">
        <f>SUMPRODUCT(DP29:DP73,$FG$29:$FG$73)</f>
        <v/>
      </c>
      <c r="DQ121" s="26">
        <f>SUMPRODUCT(DQ29:DQ73,$FG$29:$FG$73)</f>
        <v/>
      </c>
      <c r="DR121" s="26">
        <f>SUMPRODUCT(DR29:DR73,$FG$29:$FG$73)</f>
        <v/>
      </c>
      <c r="DS121" s="26">
        <f>SUMPRODUCT(DS29:DS73,$FG$29:$FG$73)</f>
        <v/>
      </c>
      <c r="DT121" s="26">
        <f>SUMPRODUCT(DT29:DT73,$FG$29:$FG$73)</f>
        <v/>
      </c>
      <c r="DU121" s="26">
        <f>SUMPRODUCT(DU29:DU73,$FG$29:$FG$73)</f>
        <v/>
      </c>
      <c r="DV121" s="26">
        <f>SUMPRODUCT(DV29:DV73,$FG$29:$FG$73)</f>
        <v/>
      </c>
      <c r="DW121" s="26">
        <f>SUMPRODUCT(DW29:DW73,$FG$29:$FG$73)</f>
        <v/>
      </c>
      <c r="DX121" s="26">
        <f>SUMPRODUCT(DX29:DX73,$FG$29:$FG$73)</f>
        <v/>
      </c>
      <c r="DY121" s="26">
        <f>SUMPRODUCT(DY29:DY73,$FG$29:$FG$73)</f>
        <v/>
      </c>
    </row>
    <row r="122">
      <c r="A122" s="12" t="inlineStr">
        <is>
          <t>krw_link</t>
        </is>
      </c>
      <c r="D122" s="1" t="inlineStr">
        <is>
          <t>원화 합계(백만원) — subQ 연결 행</t>
        </is>
      </c>
      <c r="E122" s="18">
        <f>SUM(E76:E120)</f>
        <v/>
      </c>
      <c r="F122" s="18">
        <f>SUM(F76:F120)</f>
        <v/>
      </c>
      <c r="G122" s="18">
        <f>SUM(G76:G120)</f>
        <v/>
      </c>
      <c r="H122" s="18">
        <f>SUM(H76:H120)</f>
        <v/>
      </c>
      <c r="I122" s="18">
        <f>SUM(I76:I120)</f>
        <v/>
      </c>
      <c r="J122" s="18">
        <f>SUM(J76:J120)</f>
        <v/>
      </c>
      <c r="K122" s="18">
        <f>SUM(K76:K120)</f>
        <v/>
      </c>
      <c r="L122" s="18">
        <f>SUM(L76:L120)</f>
        <v/>
      </c>
      <c r="M122" s="18">
        <f>SUM(M76:M120)</f>
        <v/>
      </c>
      <c r="N122" s="18">
        <f>SUM(N76:N120)</f>
        <v/>
      </c>
      <c r="O122" s="18">
        <f>SUM(O76:O120)</f>
        <v/>
      </c>
      <c r="P122" s="18">
        <f>SUM(P76:P120)</f>
        <v/>
      </c>
      <c r="Q122" s="18">
        <f>SUM(Q76:Q120)</f>
        <v/>
      </c>
      <c r="R122" s="18">
        <f>SUM(R76:R120)</f>
        <v/>
      </c>
      <c r="S122" s="18">
        <f>SUM(S76:S120)</f>
        <v/>
      </c>
      <c r="T122" s="18">
        <f>SUM(T76:T120)</f>
        <v/>
      </c>
      <c r="U122" s="18">
        <f>SUM(U76:U120)</f>
        <v/>
      </c>
      <c r="V122" s="18">
        <f>SUM(V76:V120)</f>
        <v/>
      </c>
      <c r="W122" s="18">
        <f>SUM(W76:W120)</f>
        <v/>
      </c>
      <c r="X122" s="18">
        <f>SUM(X76:X120)</f>
        <v/>
      </c>
      <c r="Y122" s="18">
        <f>SUM(Y76:Y120)</f>
        <v/>
      </c>
      <c r="Z122" s="18">
        <f>SUM(Z76:Z120)</f>
        <v/>
      </c>
      <c r="AA122" s="18">
        <f>SUM(AA76:AA120)</f>
        <v/>
      </c>
      <c r="AB122" s="18">
        <f>SUM(AB76:AB120)</f>
        <v/>
      </c>
      <c r="AC122" s="18">
        <f>SUM(AC76:AC120)</f>
        <v/>
      </c>
      <c r="AD122" s="18">
        <f>SUM(AD76:AD120)</f>
        <v/>
      </c>
      <c r="AE122" s="18">
        <f>SUM(AE76:AE120)</f>
        <v/>
      </c>
      <c r="AF122" s="18">
        <f>SUM(AF76:AF120)</f>
        <v/>
      </c>
      <c r="AG122" s="18">
        <f>SUM(AG76:AG120)</f>
        <v/>
      </c>
      <c r="AH122" s="18">
        <f>SUM(AH76:AH120)</f>
        <v/>
      </c>
      <c r="AI122" s="18">
        <f>SUM(AI76:AI120)</f>
        <v/>
      </c>
      <c r="AJ122" s="18">
        <f>SUM(AJ76:AJ120)</f>
        <v/>
      </c>
      <c r="AK122" s="18">
        <f>SUM(AK76:AK120)</f>
        <v/>
      </c>
      <c r="AL122" s="18">
        <f>SUM(AL76:AL120)</f>
        <v/>
      </c>
      <c r="AM122" s="18">
        <f>SUM(AM76:AM120)</f>
        <v/>
      </c>
      <c r="AN122" s="18">
        <f>SUM(AN76:AN120)</f>
        <v/>
      </c>
      <c r="AO122" s="18">
        <f>SUM(AO76:AO120)</f>
        <v/>
      </c>
      <c r="AP122" s="18">
        <f>SUM(AP76:AP120)</f>
        <v/>
      </c>
      <c r="AQ122" s="18">
        <f>SUM(AQ76:AQ120)</f>
        <v/>
      </c>
      <c r="AR122" s="18">
        <f>SUM(AR76:AR120)</f>
        <v/>
      </c>
      <c r="AS122" s="18">
        <f>SUM(AS76:AS120)</f>
        <v/>
      </c>
      <c r="AT122" s="18">
        <f>SUM(AT76:AT120)</f>
        <v/>
      </c>
      <c r="AU122" s="18">
        <f>SUM(AU76:AU120)</f>
        <v/>
      </c>
      <c r="AV122" s="18">
        <f>SUM(AV76:AV120)</f>
        <v/>
      </c>
      <c r="AW122" s="18">
        <f>SUM(AW76:AW120)</f>
        <v/>
      </c>
      <c r="AX122" s="18">
        <f>SUM(AX76:AX120)</f>
        <v/>
      </c>
      <c r="AY122" s="18">
        <f>SUM(AY76:AY120)</f>
        <v/>
      </c>
      <c r="AZ122" s="18">
        <f>SUM(AZ76:AZ120)</f>
        <v/>
      </c>
      <c r="BA122" s="18">
        <f>SUM(BA76:BA120)</f>
        <v/>
      </c>
      <c r="BB122" s="18">
        <f>SUM(BB76:BB120)</f>
        <v/>
      </c>
      <c r="BC122" s="18">
        <f>SUM(BC76:BC120)</f>
        <v/>
      </c>
      <c r="BD122" s="18">
        <f>SUM(BD76:BD120)</f>
        <v/>
      </c>
      <c r="BE122" s="18">
        <f>SUM(BE76:BE120)</f>
        <v/>
      </c>
      <c r="BF122" s="18">
        <f>SUM(BF76:BF120)</f>
        <v/>
      </c>
      <c r="BG122" s="18">
        <f>SUM(BG76:BG120)</f>
        <v/>
      </c>
      <c r="BH122" s="18">
        <f>SUM(BH76:BH120)</f>
        <v/>
      </c>
      <c r="BI122" s="18">
        <f>SUM(BI76:BI120)</f>
        <v/>
      </c>
      <c r="BJ122" s="18">
        <f>SUM(BJ76:BJ120)</f>
        <v/>
      </c>
      <c r="BK122" s="18">
        <f>SUM(BK76:BK120)</f>
        <v/>
      </c>
      <c r="BL122" s="18">
        <f>SUM(BL76:BL120)</f>
        <v/>
      </c>
      <c r="BM122" s="18">
        <f>SUM(BM76:BM120)</f>
        <v/>
      </c>
      <c r="BN122" s="18">
        <f>SUM(BN76:BN120)</f>
        <v/>
      </c>
      <c r="BO122" s="18">
        <f>SUM(BO76:BO120)</f>
        <v/>
      </c>
      <c r="BP122" s="18">
        <f>SUM(BP76:BP120)</f>
        <v/>
      </c>
      <c r="BQ122" s="18">
        <f>SUM(BQ76:BQ120)</f>
        <v/>
      </c>
      <c r="BR122" s="18">
        <f>SUM(BR76:BR120)</f>
        <v/>
      </c>
      <c r="BS122" s="18">
        <f>SUM(BS76:BS120)</f>
        <v/>
      </c>
      <c r="BT122" s="18">
        <f>SUM(BT76:BT120)</f>
        <v/>
      </c>
      <c r="BU122" s="18">
        <f>SUM(BU76:BU120)</f>
        <v/>
      </c>
      <c r="BV122" s="18">
        <f>SUM(BV76:BV120)</f>
        <v/>
      </c>
      <c r="BW122" s="18">
        <f>SUM(BW76:BW120)</f>
        <v/>
      </c>
      <c r="BX122" s="18">
        <f>SUM(BX76:BX120)</f>
        <v/>
      </c>
      <c r="BY122" s="18">
        <f>SUM(BY76:BY120)</f>
        <v/>
      </c>
      <c r="BZ122" s="18">
        <f>SUM(BZ76:BZ120)</f>
        <v/>
      </c>
      <c r="CA122" s="18">
        <f>SUM(CA76:CA120)</f>
        <v/>
      </c>
      <c r="CB122" s="18">
        <f>SUM(CB76:CB120)</f>
        <v/>
      </c>
      <c r="CC122" s="18">
        <f>SUM(CC76:CC120)</f>
        <v/>
      </c>
      <c r="CD122" s="18">
        <f>SUM(CD76:CD120)</f>
        <v/>
      </c>
      <c r="CE122" s="18">
        <f>SUM(CE76:CE120)</f>
        <v/>
      </c>
      <c r="CF122" s="18">
        <f>SUM(CF76:CF120)</f>
        <v/>
      </c>
      <c r="CG122" s="18">
        <f>SUM(CG76:CG120)</f>
        <v/>
      </c>
      <c r="CH122" s="18">
        <f>SUM(CH76:CH120)</f>
        <v/>
      </c>
      <c r="CI122" s="18">
        <f>SUM(CI76:CI120)</f>
        <v/>
      </c>
      <c r="CJ122" s="18">
        <f>SUM(CJ76:CJ120)</f>
        <v/>
      </c>
      <c r="CK122" s="18">
        <f>SUM(CK76:CK120)</f>
        <v/>
      </c>
      <c r="CL122" s="18">
        <f>SUM(CL76:CL120)</f>
        <v/>
      </c>
      <c r="CM122" s="18">
        <f>SUM(CM76:CM120)</f>
        <v/>
      </c>
      <c r="CN122" s="18">
        <f>SUM(CN76:CN120)</f>
        <v/>
      </c>
      <c r="CO122" s="18">
        <f>SUM(CO76:CO120)</f>
        <v/>
      </c>
      <c r="CP122" s="18">
        <f>SUM(CP76:CP120)</f>
        <v/>
      </c>
      <c r="CQ122" s="18">
        <f>SUM(CQ76:CQ120)</f>
        <v/>
      </c>
      <c r="CR122" s="18">
        <f>SUM(CR76:CR120)</f>
        <v/>
      </c>
      <c r="CS122" s="18">
        <f>SUM(CS76:CS120)</f>
        <v/>
      </c>
      <c r="CT122" s="18">
        <f>SUM(CT76:CT120)</f>
        <v/>
      </c>
      <c r="CU122" s="18">
        <f>SUM(CU76:CU120)</f>
        <v/>
      </c>
      <c r="CV122" s="18">
        <f>SUM(CV76:CV120)</f>
        <v/>
      </c>
      <c r="CW122" s="18">
        <f>SUM(CW76:CW120)</f>
        <v/>
      </c>
      <c r="CX122" s="18">
        <f>SUM(CX76:CX120)</f>
        <v/>
      </c>
      <c r="CY122" s="18">
        <f>SUM(CY76:CY120)</f>
        <v/>
      </c>
      <c r="CZ122" s="18">
        <f>SUM(CZ76:CZ120)</f>
        <v/>
      </c>
      <c r="DA122" s="18">
        <f>SUM(DA76:DA120)</f>
        <v/>
      </c>
      <c r="DB122" s="18">
        <f>SUM(DB76:DB120)</f>
        <v/>
      </c>
      <c r="DC122" s="18">
        <f>SUM(DC76:DC120)</f>
        <v/>
      </c>
      <c r="DD122" s="18">
        <f>SUM(DD76:DD120)</f>
        <v/>
      </c>
      <c r="DE122" s="18">
        <f>SUM(DE76:DE120)</f>
        <v/>
      </c>
      <c r="DF122" s="18">
        <f>SUM(DF76:DF120)</f>
        <v/>
      </c>
      <c r="DG122" s="18">
        <f>SUM(DG76:DG120)</f>
        <v/>
      </c>
      <c r="DH122" s="18">
        <f>SUM(DH76:DH120)</f>
        <v/>
      </c>
      <c r="DI122" s="18">
        <f>SUM(DI76:DI120)</f>
        <v/>
      </c>
      <c r="DJ122" s="18">
        <f>SUM(DJ76:DJ120)</f>
        <v/>
      </c>
      <c r="DK122" s="18">
        <f>SUM(DK76:DK120)</f>
        <v/>
      </c>
      <c r="DL122" s="18">
        <f>SUM(DL76:DL120)</f>
        <v/>
      </c>
      <c r="DM122" s="18">
        <f>SUM(DM76:DM120)</f>
        <v/>
      </c>
      <c r="DN122" s="18">
        <f>SUM(DN76:DN120)</f>
        <v/>
      </c>
      <c r="DO122" s="18">
        <f>SUM(DO76:DO120)</f>
        <v/>
      </c>
      <c r="DP122" s="18">
        <f>SUM(DP76:DP120)</f>
        <v/>
      </c>
      <c r="DQ122" s="18">
        <f>SUM(DQ76:DQ120)</f>
        <v/>
      </c>
      <c r="DR122" s="18">
        <f>SUM(DR76:DR120)</f>
        <v/>
      </c>
      <c r="DS122" s="18">
        <f>SUM(DS76:DS120)</f>
        <v/>
      </c>
      <c r="DT122" s="18">
        <f>SUM(DT76:DT120)</f>
        <v/>
      </c>
      <c r="DU122" s="18">
        <f>SUM(DU76:DU120)</f>
        <v/>
      </c>
      <c r="DV122" s="18">
        <f>SUM(DV76:DV120)</f>
        <v/>
      </c>
      <c r="DW122" s="18">
        <f>SUM(DW76:DW120)</f>
        <v/>
      </c>
      <c r="DX122" s="18">
        <f>SUM(DX76:DX120)</f>
        <v/>
      </c>
      <c r="DY122" s="18">
        <f>SUM(DY76:DY120)</f>
        <v/>
      </c>
    </row>
    <row r="124">
      <c r="A124" s="1" t="inlineStr">
        <is>
          <t>계약 원장(contracts.json 기반 — counted 아닌 계약 포함)</t>
        </is>
      </c>
    </row>
    <row r="125">
      <c r="A125" s="1" t="inlineStr">
        <is>
          <t>rcp</t>
        </is>
      </c>
      <c r="B125" s="1" t="inlineStr">
        <is>
          <t>type</t>
        </is>
      </c>
      <c r="C125" s="1" t="inlineStr">
        <is>
          <t>ships</t>
        </is>
      </c>
      <c r="D125" s="1" t="inlineStr">
        <is>
          <t>amt_krw_m</t>
        </is>
      </c>
      <c r="E125" s="1" t="inlineStr">
        <is>
          <t>amt_usd_m</t>
        </is>
      </c>
      <c r="F125" s="1" t="inlineStr">
        <is>
          <t>fx_at_sign</t>
        </is>
      </c>
      <c r="G125" s="1" t="inlineStr">
        <is>
          <t>signed</t>
        </is>
      </c>
      <c r="H125" s="1" t="inlineStr">
        <is>
          <t>start</t>
        </is>
      </c>
      <c r="I125" s="1" t="inlineStr">
        <is>
          <t>end</t>
        </is>
      </c>
      <c r="J125" s="1" t="inlineStr">
        <is>
          <t>cohort</t>
        </is>
      </c>
      <c r="K125" s="1" t="inlineStr">
        <is>
          <t>cohort_alt</t>
        </is>
      </c>
      <c r="L125" s="1" t="inlineStr">
        <is>
          <t>curve</t>
        </is>
      </c>
      <c r="M125" s="1" t="inlineStr">
        <is>
          <t>counted</t>
        </is>
      </c>
      <c r="N125" s="1" t="inlineStr">
        <is>
          <t>signed_by_origin</t>
        </is>
      </c>
      <c r="O125" s="1" t="inlineStr">
        <is>
          <t>estimated_series</t>
        </is>
      </c>
    </row>
    <row r="126">
      <c r="A126" t="inlineStr">
        <is>
          <t>20250930800101</t>
        </is>
      </c>
      <c r="B126" t="inlineStr">
        <is>
          <t>OTHER</t>
        </is>
      </c>
      <c r="D126" t="n">
        <v>96678.522</v>
      </c>
      <c r="E126" t="n">
        <v>83.34999999999999</v>
      </c>
      <c r="F126" t="n">
        <v>1159.91</v>
      </c>
      <c r="G126" t="inlineStr">
        <is>
          <t>2021-07-19</t>
        </is>
      </c>
      <c r="H126" t="inlineStr">
        <is>
          <t>2021-07-19</t>
        </is>
      </c>
      <c r="I126" t="inlineStr">
        <is>
          <t>2027-03-13</t>
        </is>
      </c>
      <c r="L126" t="inlineStr">
        <is>
          <t>linear_progress</t>
        </is>
      </c>
      <c r="M126" t="b">
        <v>1</v>
      </c>
      <c r="N126" t="b">
        <v>1</v>
      </c>
      <c r="O126" t="b">
        <v>0</v>
      </c>
    </row>
    <row r="127">
      <c r="A127" t="inlineStr">
        <is>
          <t>20251103800145</t>
        </is>
      </c>
      <c r="B127" t="inlineStr">
        <is>
          <t>OTHER</t>
        </is>
      </c>
      <c r="D127" t="n">
        <v>72796.84699999999</v>
      </c>
      <c r="E127" t="n">
        <v>55.33</v>
      </c>
      <c r="F127" t="n">
        <v>1315.69</v>
      </c>
      <c r="G127" t="inlineStr">
        <is>
          <t>2023-04-28</t>
        </is>
      </c>
      <c r="H127" t="inlineStr">
        <is>
          <t>2023-04-28</t>
        </is>
      </c>
      <c r="I127" t="inlineStr">
        <is>
          <t>2027-10-21</t>
        </is>
      </c>
      <c r="L127" t="inlineStr">
        <is>
          <t>linear_progress</t>
        </is>
      </c>
      <c r="M127" t="b">
        <v>1</v>
      </c>
      <c r="N127" t="b">
        <v>1</v>
      </c>
      <c r="O127" t="b">
        <v>0</v>
      </c>
    </row>
    <row r="128">
      <c r="A128" t="inlineStr">
        <is>
          <t>20251110800052</t>
        </is>
      </c>
      <c r="B128" t="inlineStr">
        <is>
          <t>OTHER</t>
        </is>
      </c>
      <c r="D128" t="n">
        <v>74855</v>
      </c>
      <c r="E128" t="n">
        <v>51.653</v>
      </c>
      <c r="F128" t="n">
        <v>1449.19</v>
      </c>
      <c r="G128" t="inlineStr">
        <is>
          <t>2025-11-09</t>
        </is>
      </c>
      <c r="H128" t="inlineStr">
        <is>
          <t>2025-11-09</t>
        </is>
      </c>
      <c r="I128" t="inlineStr">
        <is>
          <t>2029-11-17</t>
        </is>
      </c>
      <c r="L128" t="inlineStr">
        <is>
          <t>linear_progress</t>
        </is>
      </c>
      <c r="M128" t="b">
        <v>1</v>
      </c>
      <c r="N128" t="b">
        <v>1</v>
      </c>
      <c r="O128" t="b">
        <v>0</v>
      </c>
    </row>
    <row r="129">
      <c r="A129" t="inlineStr">
        <is>
          <t>20251126800540</t>
        </is>
      </c>
      <c r="B129" t="inlineStr">
        <is>
          <t>OTHER</t>
        </is>
      </c>
      <c r="D129" t="n">
        <v>164168.4</v>
      </c>
      <c r="E129" t="n">
        <v>120.701</v>
      </c>
      <c r="F129" t="n">
        <v>1360.12</v>
      </c>
      <c r="G129" t="inlineStr">
        <is>
          <t>2022-12-22</t>
        </is>
      </c>
      <c r="H129" t="inlineStr">
        <is>
          <t>2022-12-22</t>
        </is>
      </c>
      <c r="I129" t="inlineStr">
        <is>
          <t>2027-05-31</t>
        </is>
      </c>
      <c r="L129" t="inlineStr">
        <is>
          <t>linear_progress</t>
        </is>
      </c>
      <c r="M129" t="b">
        <v>1</v>
      </c>
      <c r="N129" t="b">
        <v>1</v>
      </c>
      <c r="O129" t="b">
        <v>0</v>
      </c>
    </row>
    <row r="130">
      <c r="A130" t="inlineStr">
        <is>
          <t>20251127800440</t>
        </is>
      </c>
      <c r="B130" t="inlineStr">
        <is>
          <t>OTHER</t>
        </is>
      </c>
      <c r="D130" t="n">
        <v>176849.588</v>
      </c>
      <c r="E130" t="n">
        <v>122.033</v>
      </c>
      <c r="F130" t="n">
        <v>1449.19</v>
      </c>
      <c r="G130" t="inlineStr">
        <is>
          <t>2025-11-26</t>
        </is>
      </c>
      <c r="H130" t="inlineStr">
        <is>
          <t>2025-11-26</t>
        </is>
      </c>
      <c r="I130" t="inlineStr">
        <is>
          <t>2034-04-30</t>
        </is>
      </c>
      <c r="L130" t="inlineStr">
        <is>
          <t>linear_progress</t>
        </is>
      </c>
      <c r="M130" t="b">
        <v>1</v>
      </c>
      <c r="N130" t="b">
        <v>1</v>
      </c>
      <c r="O130" t="b">
        <v>0</v>
      </c>
    </row>
    <row r="131">
      <c r="A131" t="inlineStr">
        <is>
          <t>20251127800601</t>
        </is>
      </c>
      <c r="B131" t="inlineStr">
        <is>
          <t>OTHER</t>
        </is>
      </c>
      <c r="D131" t="n">
        <v>168916.01</v>
      </c>
      <c r="E131" t="n">
        <v>116.559</v>
      </c>
      <c r="F131" t="n">
        <v>1449.19</v>
      </c>
      <c r="G131" t="inlineStr">
        <is>
          <t>2025-11-27</t>
        </is>
      </c>
      <c r="H131" t="inlineStr">
        <is>
          <t>2025-11-27</t>
        </is>
      </c>
      <c r="I131" t="inlineStr">
        <is>
          <t>2029-12-25</t>
        </is>
      </c>
      <c r="L131" t="inlineStr">
        <is>
          <t>linear_progress</t>
        </is>
      </c>
      <c r="M131" t="b">
        <v>1</v>
      </c>
      <c r="N131" t="b">
        <v>1</v>
      </c>
      <c r="O131" t="b">
        <v>0</v>
      </c>
    </row>
    <row r="132">
      <c r="A132" t="inlineStr">
        <is>
          <t>20251205800202</t>
        </is>
      </c>
      <c r="B132" t="inlineStr">
        <is>
          <t>OTHER</t>
        </is>
      </c>
      <c r="D132" t="n">
        <v>92057.856</v>
      </c>
      <c r="E132" t="n">
        <v>65.93000000000001</v>
      </c>
      <c r="F132" t="n">
        <v>1396.3</v>
      </c>
      <c r="G132" t="inlineStr">
        <is>
          <t>2024-12-18</t>
        </is>
      </c>
      <c r="H132" t="inlineStr">
        <is>
          <t>2024-12-18</t>
        </is>
      </c>
      <c r="I132" t="inlineStr">
        <is>
          <t>2030-01-16</t>
        </is>
      </c>
      <c r="L132" t="inlineStr">
        <is>
          <t>linear_progress</t>
        </is>
      </c>
      <c r="M132" t="b">
        <v>1</v>
      </c>
      <c r="N132" t="b">
        <v>1</v>
      </c>
      <c r="O132" t="b">
        <v>0</v>
      </c>
    </row>
    <row r="133">
      <c r="A133" t="inlineStr">
        <is>
          <t>20251217800479</t>
        </is>
      </c>
      <c r="B133" t="inlineStr">
        <is>
          <t>NAVAL</t>
        </is>
      </c>
      <c r="D133" t="n">
        <v>312576</v>
      </c>
      <c r="E133" t="n">
        <v>215.69</v>
      </c>
      <c r="F133" t="n">
        <v>1449.19</v>
      </c>
      <c r="G133" t="inlineStr">
        <is>
          <t>2025-12-17</t>
        </is>
      </c>
      <c r="H133" t="inlineStr">
        <is>
          <t>2025-12-17</t>
        </is>
      </c>
      <c r="I133" t="inlineStr">
        <is>
          <t>2029-10-31</t>
        </is>
      </c>
      <c r="L133" t="inlineStr">
        <is>
          <t>linear_progress</t>
        </is>
      </c>
      <c r="M133" t="b">
        <v>1</v>
      </c>
      <c r="N133" t="b">
        <v>1</v>
      </c>
      <c r="O133" t="b">
        <v>0</v>
      </c>
    </row>
    <row r="134">
      <c r="A134" t="inlineStr">
        <is>
          <t>20251222800631</t>
        </is>
      </c>
      <c r="B134" t="inlineStr">
        <is>
          <t>OTHER</t>
        </is>
      </c>
      <c r="D134" t="n">
        <v>161753.283</v>
      </c>
      <c r="E134" t="n">
        <v>137.518</v>
      </c>
      <c r="F134" t="n">
        <v>1176.23</v>
      </c>
      <c r="G134" t="inlineStr">
        <is>
          <t>2019-12-27</t>
        </is>
      </c>
      <c r="H134" t="inlineStr">
        <is>
          <t>2019-12-27</t>
        </is>
      </c>
      <c r="I134" t="inlineStr">
        <is>
          <t>2026-12-31</t>
        </is>
      </c>
      <c r="L134" t="inlineStr">
        <is>
          <t>linear_progress</t>
        </is>
      </c>
      <c r="M134" t="b">
        <v>1</v>
      </c>
      <c r="N134" t="b">
        <v>1</v>
      </c>
      <c r="O134" t="b">
        <v>0</v>
      </c>
    </row>
    <row r="135">
      <c r="A135" t="inlineStr">
        <is>
          <t>20251224800003</t>
        </is>
      </c>
      <c r="B135" t="inlineStr">
        <is>
          <t>NAVAL</t>
        </is>
      </c>
      <c r="C135" t="n">
        <v>1</v>
      </c>
      <c r="D135" t="n">
        <v>68858</v>
      </c>
      <c r="E135" t="n">
        <v>47.515</v>
      </c>
      <c r="F135" t="n">
        <v>1449.19</v>
      </c>
      <c r="G135" t="inlineStr">
        <is>
          <t>2025-12-23</t>
        </is>
      </c>
      <c r="H135" t="inlineStr">
        <is>
          <t>2025-12-23</t>
        </is>
      </c>
      <c r="I135" t="inlineStr">
        <is>
          <t>2028-12-07</t>
        </is>
      </c>
      <c r="J135" t="inlineStr">
        <is>
          <t>⑤초호황</t>
        </is>
      </c>
      <c r="K135" t="inlineStr">
        <is>
          <t>②BEP</t>
        </is>
      </c>
      <c r="L135" t="inlineStr">
        <is>
          <t>linear_progress</t>
        </is>
      </c>
      <c r="M135" t="b">
        <v>1</v>
      </c>
      <c r="N135" t="b">
        <v>1</v>
      </c>
      <c r="O135" t="b">
        <v>0</v>
      </c>
    </row>
    <row r="136">
      <c r="A136" t="inlineStr">
        <is>
          <t>20251224800596</t>
        </is>
      </c>
      <c r="B136" t="inlineStr">
        <is>
          <t>OTHER</t>
        </is>
      </c>
      <c r="D136" t="n">
        <v>181818.331</v>
      </c>
      <c r="E136" t="n">
        <v>163.067</v>
      </c>
      <c r="F136" t="n">
        <v>1114.99</v>
      </c>
      <c r="G136" t="inlineStr">
        <is>
          <t>2021-02-18</t>
        </is>
      </c>
      <c r="H136" t="inlineStr">
        <is>
          <t>2021-04-30</t>
        </is>
      </c>
      <c r="I136" t="inlineStr">
        <is>
          <t>2027-04-03</t>
        </is>
      </c>
      <c r="L136" t="inlineStr">
        <is>
          <t>linear_progress</t>
        </is>
      </c>
      <c r="M136" t="b">
        <v>1</v>
      </c>
      <c r="N136" t="b">
        <v>1</v>
      </c>
      <c r="O136" t="b">
        <v>0</v>
      </c>
    </row>
    <row r="137">
      <c r="A137" t="inlineStr">
        <is>
          <t>20251231800507</t>
        </is>
      </c>
      <c r="B137" t="inlineStr">
        <is>
          <t>OTHER</t>
        </is>
      </c>
      <c r="D137" t="n">
        <v>382299.462</v>
      </c>
      <c r="E137" t="n">
        <v>341.959</v>
      </c>
      <c r="F137" t="n">
        <v>1117.97</v>
      </c>
      <c r="G137" t="inlineStr">
        <is>
          <t>2020-12-03</t>
        </is>
      </c>
      <c r="H137" t="inlineStr">
        <is>
          <t>2020-12-03</t>
        </is>
      </c>
      <c r="I137" t="inlineStr">
        <is>
          <t>2026-03-31</t>
        </is>
      </c>
      <c r="L137" t="inlineStr">
        <is>
          <t>linear_progress</t>
        </is>
      </c>
      <c r="M137" t="b">
        <v>1</v>
      </c>
      <c r="N137" t="b">
        <v>1</v>
      </c>
      <c r="O137" t="b">
        <v>0</v>
      </c>
    </row>
    <row r="138">
      <c r="A138" t="inlineStr">
        <is>
          <t>20251231800547</t>
        </is>
      </c>
      <c r="B138" t="inlineStr">
        <is>
          <t>OTHER</t>
        </is>
      </c>
      <c r="D138" t="n">
        <v>55930.484</v>
      </c>
      <c r="E138" t="n">
        <v>38.594</v>
      </c>
      <c r="F138" t="n">
        <v>1449.19</v>
      </c>
      <c r="G138" t="inlineStr">
        <is>
          <t>2025-12-31</t>
        </is>
      </c>
      <c r="H138" t="inlineStr">
        <is>
          <t>2025-03-03</t>
        </is>
      </c>
      <c r="I138" t="inlineStr">
        <is>
          <t>2028-09-11</t>
        </is>
      </c>
      <c r="L138" t="inlineStr">
        <is>
          <t>linear_progress</t>
        </is>
      </c>
      <c r="M138" t="b">
        <v>1</v>
      </c>
      <c r="N138" t="b">
        <v>1</v>
      </c>
      <c r="O138" t="b">
        <v>0</v>
      </c>
    </row>
    <row r="139">
      <c r="A139" t="inlineStr">
        <is>
          <t>20260107800221</t>
        </is>
      </c>
      <c r="B139" t="inlineStr">
        <is>
          <t>OTHER</t>
        </is>
      </c>
      <c r="D139" t="n">
        <v>117781.019</v>
      </c>
      <c r="E139" t="n">
        <v>80.33499999999999</v>
      </c>
      <c r="F139" t="n">
        <v>1466.12</v>
      </c>
      <c r="G139" t="inlineStr">
        <is>
          <t>2026-01-07</t>
        </is>
      </c>
      <c r="H139" t="inlineStr">
        <is>
          <t>2026-01-07</t>
        </is>
      </c>
      <c r="I139" t="inlineStr">
        <is>
          <t>2030-07-02</t>
        </is>
      </c>
      <c r="L139" t="inlineStr">
        <is>
          <t>linear_progress</t>
        </is>
      </c>
      <c r="M139" t="b">
        <v>1</v>
      </c>
      <c r="N139" t="b">
        <v>1</v>
      </c>
      <c r="O139" t="b">
        <v>0</v>
      </c>
    </row>
    <row r="140">
      <c r="A140" t="inlineStr">
        <is>
          <t>20260116800164</t>
        </is>
      </c>
      <c r="B140" t="inlineStr">
        <is>
          <t>OTHER</t>
        </is>
      </c>
      <c r="D140" t="n">
        <v>185327.231</v>
      </c>
      <c r="E140" t="n">
        <v>126.407</v>
      </c>
      <c r="F140" t="n">
        <v>1466.12</v>
      </c>
      <c r="G140" t="inlineStr">
        <is>
          <t>2026-01-16</t>
        </is>
      </c>
      <c r="H140" t="inlineStr">
        <is>
          <t>2026-01-16</t>
        </is>
      </c>
      <c r="I140" t="inlineStr">
        <is>
          <t>2029-04-29</t>
        </is>
      </c>
      <c r="L140" t="inlineStr">
        <is>
          <t>linear_progress</t>
        </is>
      </c>
      <c r="M140" t="b">
        <v>1</v>
      </c>
      <c r="N140" t="b">
        <v>1</v>
      </c>
      <c r="O140" t="b">
        <v>0</v>
      </c>
    </row>
    <row r="141">
      <c r="A141" t="inlineStr">
        <is>
          <t>20260120800250</t>
        </is>
      </c>
      <c r="B141" t="inlineStr">
        <is>
          <t>OTHER</t>
        </is>
      </c>
      <c r="D141" t="n">
        <v>84068.62699999999</v>
      </c>
      <c r="E141" t="n">
        <v>65.83499999999999</v>
      </c>
      <c r="F141" t="n">
        <v>1276.95</v>
      </c>
      <c r="G141" t="inlineStr">
        <is>
          <t>2023-03-07</t>
        </is>
      </c>
      <c r="H141" t="inlineStr">
        <is>
          <t>2023-03-07</t>
        </is>
      </c>
      <c r="I141" t="inlineStr">
        <is>
          <t>2027-08-30</t>
        </is>
      </c>
      <c r="L141" t="inlineStr">
        <is>
          <t>linear_progress</t>
        </is>
      </c>
      <c r="M141" t="b">
        <v>1</v>
      </c>
      <c r="N141" t="b">
        <v>1</v>
      </c>
      <c r="O141" t="b">
        <v>0</v>
      </c>
    </row>
    <row r="142">
      <c r="A142" t="inlineStr">
        <is>
          <t>20260211800125</t>
        </is>
      </c>
      <c r="B142" t="inlineStr">
        <is>
          <t>CONT</t>
        </is>
      </c>
      <c r="C142" t="n">
        <v>2</v>
      </c>
      <c r="D142" t="n">
        <v>353265.889</v>
      </c>
      <c r="E142" t="n">
        <v>240.953</v>
      </c>
      <c r="F142" t="n">
        <v>1466.12</v>
      </c>
      <c r="G142" t="inlineStr">
        <is>
          <t>2026-02-10</t>
        </is>
      </c>
      <c r="H142" t="inlineStr">
        <is>
          <t>2026-02-10</t>
        </is>
      </c>
      <c r="I142" t="inlineStr">
        <is>
          <t>2028-06-30</t>
        </is>
      </c>
      <c r="J142" t="inlineStr">
        <is>
          <t>⑤초호황</t>
        </is>
      </c>
      <c r="K142" t="inlineStr">
        <is>
          <t>③중마진</t>
        </is>
      </c>
      <c r="L142" t="inlineStr">
        <is>
          <t>linear_progress</t>
        </is>
      </c>
      <c r="M142" t="b">
        <v>1</v>
      </c>
      <c r="N142" t="b">
        <v>1</v>
      </c>
      <c r="O142" t="b">
        <v>1</v>
      </c>
    </row>
    <row r="143">
      <c r="A143" t="inlineStr">
        <is>
          <t>20260227801603</t>
        </is>
      </c>
      <c r="B143" t="inlineStr">
        <is>
          <t>OTHER</t>
        </is>
      </c>
      <c r="D143" t="n">
        <v>218819.48</v>
      </c>
      <c r="E143" t="n">
        <v>194.371</v>
      </c>
      <c r="F143" t="n">
        <v>1125.78</v>
      </c>
      <c r="G143" t="inlineStr">
        <is>
          <t>2019-03-20</t>
        </is>
      </c>
      <c r="H143" t="inlineStr">
        <is>
          <t>2019-03-20</t>
        </is>
      </c>
      <c r="I143" t="inlineStr">
        <is>
          <t>2028-04-30</t>
        </is>
      </c>
      <c r="L143" t="inlineStr">
        <is>
          <t>linear_progress</t>
        </is>
      </c>
      <c r="M143" t="b">
        <v>1</v>
      </c>
      <c r="N143" t="b">
        <v>1</v>
      </c>
      <c r="O143" t="b">
        <v>0</v>
      </c>
    </row>
    <row r="144">
      <c r="A144" t="inlineStr">
        <is>
          <t>20260227801809</t>
        </is>
      </c>
      <c r="B144" t="inlineStr">
        <is>
          <t>OTHER</t>
        </is>
      </c>
      <c r="D144" t="n">
        <v>81559.656</v>
      </c>
      <c r="E144" t="n">
        <v>55.63</v>
      </c>
      <c r="F144" t="n">
        <v>1466.12</v>
      </c>
      <c r="G144" t="inlineStr">
        <is>
          <t>2026-02-27</t>
        </is>
      </c>
      <c r="H144" t="inlineStr">
        <is>
          <t>2026-02-27</t>
        </is>
      </c>
      <c r="I144" t="inlineStr">
        <is>
          <t>2049-05-31</t>
        </is>
      </c>
      <c r="L144" t="inlineStr">
        <is>
          <t>linear_progress</t>
        </is>
      </c>
      <c r="M144" t="b">
        <v>1</v>
      </c>
      <c r="N144" t="b">
        <v>1</v>
      </c>
      <c r="O144" t="b">
        <v>0</v>
      </c>
    </row>
    <row r="145">
      <c r="A145" t="inlineStr">
        <is>
          <t>20260304800353</t>
        </is>
      </c>
      <c r="B145" t="inlineStr">
        <is>
          <t>OTHER</t>
        </is>
      </c>
      <c r="D145" t="n">
        <v>92241.75599999999</v>
      </c>
      <c r="E145" t="n">
        <v>62.916</v>
      </c>
      <c r="F145" t="n">
        <v>1466.12</v>
      </c>
      <c r="G145" t="inlineStr">
        <is>
          <t>2026-02-25</t>
        </is>
      </c>
      <c r="H145" t="inlineStr">
        <is>
          <t>2026-02-25</t>
        </is>
      </c>
      <c r="I145" t="inlineStr">
        <is>
          <t>2030-02-10</t>
        </is>
      </c>
      <c r="L145" t="inlineStr">
        <is>
          <t>linear_progress</t>
        </is>
      </c>
      <c r="M145" t="b">
        <v>1</v>
      </c>
      <c r="N145" t="b">
        <v>1</v>
      </c>
      <c r="O145" t="b">
        <v>0</v>
      </c>
    </row>
    <row r="146">
      <c r="A146" t="inlineStr">
        <is>
          <t>20260306800575</t>
        </is>
      </c>
      <c r="B146" t="inlineStr">
        <is>
          <t>OTHER</t>
        </is>
      </c>
      <c r="D146" t="n">
        <v>84679.82000000001</v>
      </c>
      <c r="E146" t="n">
        <v>57.758</v>
      </c>
      <c r="F146" t="n">
        <v>1466.12</v>
      </c>
      <c r="G146" t="inlineStr">
        <is>
          <t>2026-03-06</t>
        </is>
      </c>
      <c r="H146" t="inlineStr">
        <is>
          <t>2026-03-06</t>
        </is>
      </c>
      <c r="I146" t="inlineStr">
        <is>
          <t>2030-08-29</t>
        </is>
      </c>
      <c r="L146" t="inlineStr">
        <is>
          <t>linear_progress</t>
        </is>
      </c>
      <c r="M146" t="b">
        <v>1</v>
      </c>
      <c r="N146" t="b">
        <v>1</v>
      </c>
      <c r="O146" t="b">
        <v>0</v>
      </c>
    </row>
    <row r="147">
      <c r="A147" t="inlineStr">
        <is>
          <t>20260313800208</t>
        </is>
      </c>
      <c r="B147" t="inlineStr">
        <is>
          <t>OTHER</t>
        </is>
      </c>
      <c r="D147" t="n">
        <v>89392.5</v>
      </c>
      <c r="E147" t="n">
        <v>60.972</v>
      </c>
      <c r="F147" t="n">
        <v>1466.12</v>
      </c>
      <c r="G147" t="inlineStr">
        <is>
          <t>2026-03-13</t>
        </is>
      </c>
      <c r="H147" t="inlineStr">
        <is>
          <t>2025-04-30</t>
        </is>
      </c>
      <c r="I147" t="inlineStr">
        <is>
          <t>2028-07-22</t>
        </is>
      </c>
      <c r="L147" t="inlineStr">
        <is>
          <t>linear_progress</t>
        </is>
      </c>
      <c r="M147" t="b">
        <v>1</v>
      </c>
      <c r="N147" t="b">
        <v>1</v>
      </c>
      <c r="O147" t="b">
        <v>0</v>
      </c>
    </row>
    <row r="148">
      <c r="A148" t="inlineStr">
        <is>
          <t>20260401800508</t>
        </is>
      </c>
      <c r="B148" t="inlineStr">
        <is>
          <t>OTHER</t>
        </is>
      </c>
      <c r="D148" t="n">
        <v>181103.297</v>
      </c>
      <c r="E148" t="n">
        <v>161.993</v>
      </c>
      <c r="F148" t="n">
        <v>1117.97</v>
      </c>
      <c r="G148" t="inlineStr">
        <is>
          <t>2020-10-29</t>
        </is>
      </c>
      <c r="H148" t="inlineStr">
        <is>
          <t>2020-10-29</t>
        </is>
      </c>
      <c r="I148" t="inlineStr">
        <is>
          <t>2025-04-23</t>
        </is>
      </c>
      <c r="L148" t="inlineStr">
        <is>
          <t>linear_progress</t>
        </is>
      </c>
      <c r="M148" t="b">
        <v>1</v>
      </c>
      <c r="N148" t="b">
        <v>1</v>
      </c>
      <c r="O148" t="b">
        <v>0</v>
      </c>
    </row>
    <row r="149">
      <c r="A149" t="inlineStr">
        <is>
          <t>20260410800253</t>
        </is>
      </c>
      <c r="B149" t="inlineStr">
        <is>
          <t>OTHER</t>
        </is>
      </c>
      <c r="D149" t="n">
        <v>349662.915</v>
      </c>
      <c r="E149" t="n">
        <v>232.837</v>
      </c>
      <c r="F149" t="n">
        <v>1501.75</v>
      </c>
      <c r="G149" t="inlineStr">
        <is>
          <t>2026-04-10</t>
        </is>
      </c>
      <c r="H149" t="inlineStr">
        <is>
          <t>2026-04-10</t>
        </is>
      </c>
      <c r="I149" t="inlineStr">
        <is>
          <t>2030-10-03</t>
        </is>
      </c>
      <c r="L149" t="inlineStr">
        <is>
          <t>linear_progress</t>
        </is>
      </c>
      <c r="M149" t="b">
        <v>1</v>
      </c>
      <c r="N149" t="b">
        <v>1</v>
      </c>
      <c r="O149" t="b">
        <v>0</v>
      </c>
    </row>
    <row r="150">
      <c r="A150" t="inlineStr">
        <is>
          <t>20260422800059</t>
        </is>
      </c>
      <c r="B150" t="inlineStr">
        <is>
          <t>OTHER</t>
        </is>
      </c>
      <c r="D150" t="n">
        <v>68249.882</v>
      </c>
      <c r="E150" t="n">
        <v>45.447</v>
      </c>
      <c r="F150" t="n">
        <v>1501.75</v>
      </c>
      <c r="G150" t="inlineStr">
        <is>
          <t>2026-04-21</t>
        </is>
      </c>
      <c r="H150" t="inlineStr">
        <is>
          <t>2026-04-21</t>
        </is>
      </c>
      <c r="I150" t="inlineStr">
        <is>
          <t>2029-04-30</t>
        </is>
      </c>
      <c r="L150" t="inlineStr">
        <is>
          <t>linear_progress</t>
        </is>
      </c>
      <c r="M150" t="b">
        <v>1</v>
      </c>
      <c r="N150" t="b">
        <v>1</v>
      </c>
      <c r="O150" t="b">
        <v>0</v>
      </c>
    </row>
    <row r="151">
      <c r="A151" t="inlineStr">
        <is>
          <t>20260423800218</t>
        </is>
      </c>
      <c r="B151" t="inlineStr">
        <is>
          <t>OTHER</t>
        </is>
      </c>
      <c r="D151" t="n">
        <v>101348.33</v>
      </c>
      <c r="E151" t="n">
        <v>77.03100000000001</v>
      </c>
      <c r="F151" t="n">
        <v>1315.69</v>
      </c>
      <c r="G151" t="inlineStr">
        <is>
          <t>2023-04-27</t>
        </is>
      </c>
      <c r="H151" t="inlineStr">
        <is>
          <t>2023-04-27</t>
        </is>
      </c>
      <c r="I151" t="inlineStr">
        <is>
          <t>2027-10-20</t>
        </is>
      </c>
      <c r="L151" t="inlineStr">
        <is>
          <t>linear_progress</t>
        </is>
      </c>
      <c r="M151" t="b">
        <v>1</v>
      </c>
      <c r="N151" t="b">
        <v>1</v>
      </c>
      <c r="O151" t="b">
        <v>0</v>
      </c>
    </row>
    <row r="152">
      <c r="A152" t="inlineStr">
        <is>
          <t>20260423800721</t>
        </is>
      </c>
      <c r="B152" t="inlineStr">
        <is>
          <t>OTHER</t>
        </is>
      </c>
      <c r="D152" t="n">
        <v>82529.905</v>
      </c>
      <c r="E152" t="n">
        <v>62.046</v>
      </c>
      <c r="F152" t="n">
        <v>1330.14</v>
      </c>
      <c r="G152" t="inlineStr">
        <is>
          <t>2024-03-28</t>
        </is>
      </c>
      <c r="H152" t="inlineStr">
        <is>
          <t>2024-03-28</t>
        </is>
      </c>
      <c r="I152" t="inlineStr">
        <is>
          <t>2028-09-20</t>
        </is>
      </c>
      <c r="L152" t="inlineStr">
        <is>
          <t>linear_progress</t>
        </is>
      </c>
      <c r="M152" t="b">
        <v>1</v>
      </c>
      <c r="N152" t="b">
        <v>1</v>
      </c>
      <c r="O152" t="b">
        <v>0</v>
      </c>
    </row>
    <row r="153">
      <c r="A153" t="inlineStr">
        <is>
          <t>20260427800078</t>
        </is>
      </c>
      <c r="B153" t="inlineStr">
        <is>
          <t>CONT</t>
        </is>
      </c>
      <c r="C153" t="n">
        <v>2</v>
      </c>
      <c r="D153" t="n">
        <v>357198.303</v>
      </c>
      <c r="E153" t="n">
        <v>237.855</v>
      </c>
      <c r="F153" t="n">
        <v>1501.75</v>
      </c>
      <c r="G153" t="inlineStr">
        <is>
          <t>2026-04-24</t>
        </is>
      </c>
      <c r="H153" t="inlineStr">
        <is>
          <t>2026-04-24</t>
        </is>
      </c>
      <c r="I153" t="inlineStr">
        <is>
          <t>2028-10-31</t>
        </is>
      </c>
      <c r="J153" t="inlineStr">
        <is>
          <t>⑤초호황</t>
        </is>
      </c>
      <c r="K153" t="inlineStr">
        <is>
          <t>③중마진</t>
        </is>
      </c>
      <c r="L153" t="inlineStr">
        <is>
          <t>linear_progress</t>
        </is>
      </c>
      <c r="M153" t="b">
        <v>1</v>
      </c>
      <c r="N153" t="b">
        <v>1</v>
      </c>
      <c r="O153" t="b">
        <v>1</v>
      </c>
    </row>
    <row r="154">
      <c r="A154" t="inlineStr">
        <is>
          <t>20260506800906</t>
        </is>
      </c>
      <c r="B154" t="inlineStr">
        <is>
          <t>OTHER</t>
        </is>
      </c>
      <c r="D154" t="n">
        <v>80559.458</v>
      </c>
      <c r="E154" t="n">
        <v>61.23</v>
      </c>
      <c r="F154" t="n">
        <v>1315.69</v>
      </c>
      <c r="G154" t="inlineStr">
        <is>
          <t>2023-06-23</t>
        </is>
      </c>
      <c r="H154" t="inlineStr">
        <is>
          <t>2023-07-13</t>
        </is>
      </c>
      <c r="I154" t="inlineStr">
        <is>
          <t>2027-11-30</t>
        </is>
      </c>
      <c r="L154" t="inlineStr">
        <is>
          <t>linear_progress</t>
        </is>
      </c>
      <c r="M154" t="b">
        <v>1</v>
      </c>
      <c r="N154" t="b">
        <v>1</v>
      </c>
      <c r="O154" t="b">
        <v>0</v>
      </c>
    </row>
    <row r="155">
      <c r="A155" t="inlineStr">
        <is>
          <t>20260518800840</t>
        </is>
      </c>
      <c r="B155" t="inlineStr">
        <is>
          <t>OTHER</t>
        </is>
      </c>
      <c r="D155" t="n">
        <v>73371.98299999999</v>
      </c>
      <c r="E155" t="n">
        <v>50.63</v>
      </c>
      <c r="F155" t="n">
        <v>1449.19</v>
      </c>
      <c r="G155" t="inlineStr">
        <is>
          <t>2025-12-08</t>
        </is>
      </c>
      <c r="H155" t="inlineStr">
        <is>
          <t>2025-12-08</t>
        </is>
      </c>
      <c r="I155" t="inlineStr">
        <is>
          <t>2030-01-02</t>
        </is>
      </c>
      <c r="L155" t="inlineStr">
        <is>
          <t>linear_progress</t>
        </is>
      </c>
      <c r="M155" t="b">
        <v>1</v>
      </c>
      <c r="N155" t="b">
        <v>1</v>
      </c>
      <c r="O155" t="b">
        <v>0</v>
      </c>
    </row>
    <row r="156">
      <c r="A156" t="inlineStr">
        <is>
          <t>20260520800639</t>
        </is>
      </c>
      <c r="B156" t="inlineStr">
        <is>
          <t>OTHER</t>
        </is>
      </c>
      <c r="D156" t="n">
        <v>54315.409</v>
      </c>
      <c r="E156" t="n">
        <v>36.168</v>
      </c>
      <c r="F156" t="n">
        <v>1501.75</v>
      </c>
      <c r="G156" t="inlineStr">
        <is>
          <t>2026-05-20</t>
        </is>
      </c>
      <c r="H156" t="inlineStr">
        <is>
          <t>2026-05-20</t>
        </is>
      </c>
      <c r="I156" t="inlineStr">
        <is>
          <t>2031-05-20</t>
        </is>
      </c>
      <c r="L156" t="inlineStr">
        <is>
          <t>linear_progress</t>
        </is>
      </c>
      <c r="M156" t="b">
        <v>1</v>
      </c>
      <c r="N156" t="b">
        <v>1</v>
      </c>
      <c r="O156" t="b">
        <v>0</v>
      </c>
    </row>
    <row r="157">
      <c r="A157" t="inlineStr">
        <is>
          <t>20260529800492</t>
        </is>
      </c>
      <c r="B157" t="inlineStr">
        <is>
          <t>OTHER</t>
        </is>
      </c>
      <c r="D157" t="n">
        <v>62695.656</v>
      </c>
      <c r="E157" t="n">
        <v>52.975</v>
      </c>
      <c r="F157" t="n">
        <v>1183.5</v>
      </c>
      <c r="G157" t="inlineStr">
        <is>
          <t>2021-10-28</t>
        </is>
      </c>
      <c r="H157" t="inlineStr">
        <is>
          <t>2021-10-28</t>
        </is>
      </c>
      <c r="I157" t="inlineStr">
        <is>
          <t>2026-04-22</t>
        </is>
      </c>
      <c r="L157" t="inlineStr">
        <is>
          <t>linear_progress</t>
        </is>
      </c>
      <c r="M157" t="b">
        <v>1</v>
      </c>
      <c r="N157" t="b">
        <v>1</v>
      </c>
      <c r="O157" t="b">
        <v>0</v>
      </c>
    </row>
    <row r="158">
      <c r="A158" t="inlineStr">
        <is>
          <t>20260601800841</t>
        </is>
      </c>
      <c r="B158" t="inlineStr">
        <is>
          <t>OTHER</t>
        </is>
      </c>
      <c r="D158" t="n">
        <v>59851.831</v>
      </c>
      <c r="E158" t="n">
        <v>44.005</v>
      </c>
      <c r="F158" t="n">
        <v>1360.12</v>
      </c>
      <c r="G158" t="inlineStr">
        <is>
          <t>2022-12-13</t>
        </is>
      </c>
      <c r="H158" t="inlineStr">
        <is>
          <t>2022-12-13</t>
        </is>
      </c>
      <c r="I158" t="inlineStr">
        <is>
          <t>2027-06-07</t>
        </is>
      </c>
      <c r="L158" t="inlineStr">
        <is>
          <t>linear_progress</t>
        </is>
      </c>
      <c r="M158" t="b">
        <v>1</v>
      </c>
      <c r="N158" t="b">
        <v>1</v>
      </c>
      <c r="O158" t="b">
        <v>0</v>
      </c>
    </row>
    <row r="159">
      <c r="A159" t="inlineStr">
        <is>
          <t>20260618800458</t>
        </is>
      </c>
      <c r="B159" t="inlineStr">
        <is>
          <t>OTHER</t>
        </is>
      </c>
      <c r="D159" t="n">
        <v>226877.219</v>
      </c>
      <c r="E159" t="n">
        <v>209.978</v>
      </c>
      <c r="F159" t="n">
        <v>1080.48</v>
      </c>
      <c r="G159" t="inlineStr">
        <is>
          <t>2018-05-18</t>
        </is>
      </c>
      <c r="H159" t="inlineStr">
        <is>
          <t>2018-05-18</t>
        </is>
      </c>
      <c r="I159" t="inlineStr">
        <is>
          <t>2026-12-31</t>
        </is>
      </c>
      <c r="L159" t="inlineStr">
        <is>
          <t>linear_progress</t>
        </is>
      </c>
      <c r="M159" t="b">
        <v>1</v>
      </c>
      <c r="N159" t="b">
        <v>1</v>
      </c>
      <c r="O159" t="b">
        <v>0</v>
      </c>
    </row>
    <row r="160">
      <c r="A160" t="inlineStr">
        <is>
          <t>20260629801171</t>
        </is>
      </c>
      <c r="B160" t="inlineStr">
        <is>
          <t>OTHER</t>
        </is>
      </c>
      <c r="D160" t="n">
        <v>81052.209</v>
      </c>
      <c r="E160" t="n">
        <v>72.499</v>
      </c>
      <c r="F160" t="n">
        <v>1117.97</v>
      </c>
      <c r="G160" t="inlineStr">
        <is>
          <t>2020-12-30</t>
        </is>
      </c>
      <c r="H160" t="inlineStr">
        <is>
          <t>2021-01-11</t>
        </is>
      </c>
      <c r="I160" t="inlineStr">
        <is>
          <t>2031-01-14</t>
        </is>
      </c>
      <c r="L160" t="inlineStr">
        <is>
          <t>linear_progress</t>
        </is>
      </c>
      <c r="M160" t="b">
        <v>1</v>
      </c>
      <c r="N160" t="b">
        <v>1</v>
      </c>
      <c r="O160" t="b">
        <v>0</v>
      </c>
    </row>
    <row r="161">
      <c r="A161" t="inlineStr">
        <is>
          <t>20260630800457</t>
        </is>
      </c>
      <c r="B161" t="inlineStr">
        <is>
          <t>OTHER</t>
        </is>
      </c>
      <c r="D161" t="n">
        <v>124213.19</v>
      </c>
      <c r="E161" t="n">
        <v>92.563</v>
      </c>
      <c r="F161" t="n">
        <v>1341.93</v>
      </c>
      <c r="G161" t="inlineStr">
        <is>
          <t>2022-09-05</t>
        </is>
      </c>
      <c r="H161" t="inlineStr">
        <is>
          <t>2022-09-05</t>
        </is>
      </c>
      <c r="I161" t="inlineStr">
        <is>
          <t>2028-02-29</t>
        </is>
      </c>
      <c r="L161" t="inlineStr">
        <is>
          <t>linear_progress</t>
        </is>
      </c>
      <c r="M161" t="b">
        <v>1</v>
      </c>
      <c r="N161" t="b">
        <v>1</v>
      </c>
      <c r="O161" t="b">
        <v>0</v>
      </c>
    </row>
    <row r="162">
      <c r="A162" t="inlineStr">
        <is>
          <t>20260630800913</t>
        </is>
      </c>
      <c r="B162" t="inlineStr">
        <is>
          <t>OTHER</t>
        </is>
      </c>
      <c r="D162" t="n">
        <v>148791.105</v>
      </c>
      <c r="E162" t="n">
        <v>99.078</v>
      </c>
      <c r="F162" t="n">
        <v>1501.75</v>
      </c>
      <c r="G162" t="inlineStr">
        <is>
          <t>2026-06-30</t>
        </is>
      </c>
      <c r="H162" t="inlineStr">
        <is>
          <t>2026-06-30</t>
        </is>
      </c>
      <c r="I162" t="inlineStr">
        <is>
          <t>2032-04-18</t>
        </is>
      </c>
      <c r="L162" t="inlineStr">
        <is>
          <t>linear_progress</t>
        </is>
      </c>
      <c r="M162" t="b">
        <v>1</v>
      </c>
      <c r="N162" t="b">
        <v>1</v>
      </c>
      <c r="O162" t="b">
        <v>0</v>
      </c>
    </row>
    <row r="163">
      <c r="A163" t="inlineStr">
        <is>
          <t>20260721800175</t>
        </is>
      </c>
      <c r="B163" t="inlineStr">
        <is>
          <t>OTHER</t>
        </is>
      </c>
      <c r="D163" t="n">
        <v>187291.109</v>
      </c>
      <c r="E163" t="n">
        <v>142.576</v>
      </c>
      <c r="F163" t="n">
        <v>1313.62</v>
      </c>
      <c r="G163" t="inlineStr">
        <is>
          <t>2023-07-06</t>
        </is>
      </c>
      <c r="H163" t="inlineStr">
        <is>
          <t>2023-07-06</t>
        </is>
      </c>
      <c r="I163" t="inlineStr">
        <is>
          <t>2027-12-29</t>
        </is>
      </c>
      <c r="L163" t="inlineStr">
        <is>
          <t>linear_progress</t>
        </is>
      </c>
      <c r="M163" t="b">
        <v>1</v>
      </c>
      <c r="N163" t="b">
        <v>1</v>
      </c>
      <c r="O163" t="b">
        <v>0</v>
      </c>
    </row>
    <row r="164">
      <c r="A164" t="inlineStr">
        <is>
          <t>20260805800532</t>
        </is>
      </c>
      <c r="B164" t="inlineStr">
        <is>
          <t>OTHER</t>
        </is>
      </c>
      <c r="D164" t="n">
        <v>110087.34</v>
      </c>
      <c r="E164" t="n">
        <v>94.27800000000001</v>
      </c>
      <c r="F164" t="n">
        <v>1167.69</v>
      </c>
      <c r="G164" t="inlineStr">
        <is>
          <t>2019-05-31</t>
        </is>
      </c>
      <c r="H164" t="inlineStr">
        <is>
          <t>2019-05-31</t>
        </is>
      </c>
      <c r="I164" t="inlineStr">
        <is>
          <t>2027-06-09</t>
        </is>
      </c>
      <c r="L164" t="inlineStr">
        <is>
          <t>linear_progress</t>
        </is>
      </c>
      <c r="M164" t="b">
        <v>1</v>
      </c>
      <c r="N164" t="b">
        <v>1</v>
      </c>
      <c r="O164" t="b">
        <v>0</v>
      </c>
    </row>
    <row r="165">
      <c r="A165" t="inlineStr">
        <is>
          <t>20260811800408</t>
        </is>
      </c>
      <c r="B165" t="inlineStr">
        <is>
          <t>OTHER</t>
        </is>
      </c>
      <c r="D165" t="n">
        <v>72728</v>
      </c>
      <c r="E165" t="n">
        <v>54.677</v>
      </c>
      <c r="F165" t="n">
        <v>1330.14</v>
      </c>
      <c r="G165" t="inlineStr">
        <is>
          <t>2024-03-08</t>
        </is>
      </c>
      <c r="H165" t="inlineStr">
        <is>
          <t>2024-04-05</t>
        </is>
      </c>
      <c r="I165" t="inlineStr">
        <is>
          <t>2029-10-04</t>
        </is>
      </c>
      <c r="L165" t="inlineStr">
        <is>
          <t>linear_progress</t>
        </is>
      </c>
      <c r="M165" t="b">
        <v>1</v>
      </c>
      <c r="N165" t="b">
        <v>1</v>
      </c>
      <c r="O165" t="b">
        <v>0</v>
      </c>
    </row>
    <row r="166">
      <c r="A166" t="inlineStr">
        <is>
          <t>20260818800047</t>
        </is>
      </c>
      <c r="B166" t="inlineStr">
        <is>
          <t>OTHER</t>
        </is>
      </c>
      <c r="D166" t="n">
        <v>104419.289</v>
      </c>
      <c r="E166" t="n">
        <v>73.599</v>
      </c>
      <c r="F166" t="n">
        <v>1418.75</v>
      </c>
      <c r="G166" t="inlineStr">
        <is>
          <t>2026-08-14</t>
        </is>
      </c>
      <c r="H166" t="inlineStr">
        <is>
          <t>2026-08-14</t>
        </is>
      </c>
      <c r="I166" t="inlineStr">
        <is>
          <t>2033-08-29</t>
        </is>
      </c>
      <c r="L166" t="inlineStr">
        <is>
          <t>linear_progress</t>
        </is>
      </c>
      <c r="M166" t="b">
        <v>1</v>
      </c>
      <c r="N166" t="b">
        <v>0</v>
      </c>
      <c r="O166" t="b">
        <v>0</v>
      </c>
    </row>
    <row r="167">
      <c r="A167" t="inlineStr">
        <is>
          <t>20260820800160</t>
        </is>
      </c>
      <c r="B167" t="inlineStr">
        <is>
          <t>OTHER</t>
        </is>
      </c>
      <c r="D167" t="n">
        <v>85419.25999999999</v>
      </c>
      <c r="E167" t="n">
        <v>65.026</v>
      </c>
      <c r="F167" t="n">
        <v>1313.62</v>
      </c>
      <c r="G167" t="inlineStr">
        <is>
          <t>2023-08-08</t>
        </is>
      </c>
      <c r="H167" t="inlineStr">
        <is>
          <t>2023-08-08</t>
        </is>
      </c>
      <c r="I167" t="inlineStr">
        <is>
          <t>2026-12-31</t>
        </is>
      </c>
      <c r="L167" t="inlineStr">
        <is>
          <t>linear_progress</t>
        </is>
      </c>
      <c r="M167" t="b">
        <v>1</v>
      </c>
      <c r="N167" t="b">
        <v>1</v>
      </c>
      <c r="O167" t="b">
        <v>0</v>
      </c>
    </row>
    <row r="168">
      <c r="A168" t="inlineStr">
        <is>
          <t>20260918800109</t>
        </is>
      </c>
      <c r="B168" t="inlineStr">
        <is>
          <t>OTHER</t>
        </is>
      </c>
      <c r="D168" t="n">
        <v>60071.111</v>
      </c>
      <c r="E168" t="n">
        <v>45.161</v>
      </c>
      <c r="F168" t="n">
        <v>1330.14</v>
      </c>
      <c r="G168" t="inlineStr">
        <is>
          <t>2024-01-10</t>
        </is>
      </c>
      <c r="H168" t="inlineStr">
        <is>
          <t>2024-02-15</t>
        </is>
      </c>
      <c r="I168" t="inlineStr">
        <is>
          <t>2028-08-09</t>
        </is>
      </c>
      <c r="L168" t="inlineStr">
        <is>
          <t>linear_progress</t>
        </is>
      </c>
      <c r="M168" t="b">
        <v>1</v>
      </c>
      <c r="N168" t="b">
        <v>1</v>
      </c>
      <c r="O168" t="b">
        <v>0</v>
      </c>
    </row>
    <row r="169">
      <c r="A169" t="inlineStr">
        <is>
          <t>20260922800008</t>
        </is>
      </c>
      <c r="B169" t="inlineStr">
        <is>
          <t>CONT</t>
        </is>
      </c>
      <c r="C169" t="n">
        <v>4</v>
      </c>
      <c r="D169" t="n">
        <v>678967.559</v>
      </c>
      <c r="E169" t="n">
        <v>478.567</v>
      </c>
      <c r="F169" t="n">
        <v>1418.75</v>
      </c>
      <c r="G169" t="inlineStr">
        <is>
          <t>2026-09-21</t>
        </is>
      </c>
      <c r="H169" t="inlineStr">
        <is>
          <t>2026-09-21</t>
        </is>
      </c>
      <c r="I169" t="inlineStr">
        <is>
          <t>2029-04-30</t>
        </is>
      </c>
      <c r="J169" t="inlineStr">
        <is>
          <t>⑤초호황</t>
        </is>
      </c>
      <c r="K169" t="inlineStr">
        <is>
          <t>③중마진</t>
        </is>
      </c>
      <c r="L169" t="inlineStr">
        <is>
          <t>linear_progress</t>
        </is>
      </c>
      <c r="M169" t="b">
        <v>1</v>
      </c>
      <c r="N169" t="b">
        <v>0</v>
      </c>
      <c r="O169" t="b">
        <v>1</v>
      </c>
    </row>
    <row r="170">
      <c r="A170" t="inlineStr">
        <is>
          <t>20261007800209</t>
        </is>
      </c>
      <c r="B170" t="inlineStr">
        <is>
          <t>OTHER</t>
        </is>
      </c>
      <c r="D170" t="n">
        <v>260955.951</v>
      </c>
      <c r="E170" t="n">
        <v>198.654</v>
      </c>
      <c r="F170" t="n">
        <v>1313.62</v>
      </c>
      <c r="G170" t="inlineStr">
        <is>
          <t>2023-09-18</t>
        </is>
      </c>
      <c r="H170" t="inlineStr">
        <is>
          <t>2023-09-18</t>
        </is>
      </c>
      <c r="I170" t="inlineStr">
        <is>
          <t>2027-03-31</t>
        </is>
      </c>
      <c r="L170" t="inlineStr">
        <is>
          <t>linear_progress</t>
        </is>
      </c>
      <c r="M170" t="b">
        <v>1</v>
      </c>
      <c r="N170" t="b">
        <v>1</v>
      </c>
      <c r="O170" t="b">
        <v>0</v>
      </c>
    </row>
    <row r="171">
      <c r="A171" s="2" t="inlineStr">
        <is>
          <t>⚠ 종료일 = 마지막 호선 인도 예정; 진행률 매출 분기는 계약기간 안에 선형 배분(가정)</t>
        </is>
      </c>
    </row>
    <row r="172">
      <c r="A172" s="2" t="inlineStr">
        <is>
          <t>⚠ 헤지비율 0.7 은 가정(통화선도 공시 없음 → HEDGE 70% 가정(레퍼런스 SLS 시트 HEDGE 행은 미포 65%·삼성重 100% — 그 사이에 둔 설정값). hedge_rate 는 계약별 수주시점 환율로 대체)</t>
        </is>
      </c>
    </row>
    <row r="173">
      <c r="A173" s="2" t="inlineStr">
        <is>
          <t>⚠ 코호트 OPM 표 reference_calibrated 적용. 레퍼런스 미포 SLS 셀 OPM 을 2023~2027 매출가중한 유효 표는 ①-1.1% ②1% ③4.3% ④5.4% ⑤10.8%(이전 가정 표 ①-5% ②0% ③5% ④10% ⑤15% 는 레퍼런스 2024~26 보다 +3.8~5.1%p 높다 — cohort_opm_calibration.by_year). 다음 분기 2026Q3 타겟: 가정 15.00% vs 캘리브레이션 10.80%. 다른 표는 --opm-table assumed (하류 섹션 각주·모델 백테스트가 cohort_opm_table 을 읽는다)</t>
        </is>
      </c>
    </row>
    <row r="174">
      <c r="A174" s="2" t="inlineStr">
        <is>
          <t>⚠ 코호트 기본 모드 reference_anchor: 2025~ 수주 물량(백만$) 판정 ⑤초호황 100%. reference_anchor 는 수주연도 → 등급(≤2020 ③중마진 · 2021 ④호황 · 2022~ ⑤초호황; 출처 사용자 레퍼런스 모델 HD현대미포 SLS 의 클락슨 기반 판정을 건조기간 2~3년으로 되돌린 표 — 외부 신조선가 지수 미보유). ledger_relative 는 원장 내부 상대 등급(2025~ 판정 ②BEP 5%, ③중마진 95%; 2021 이후 절대 호황 수준 미반영). 대안 모드는 by_cohort_alt·target_opm_alt·calibration_alt 에 함께 저장. 타겟 OPM 은 기본 모드 기준이며 calibrated_shift(실측 − 타겟)로 실측 OPM 에 맞춘다 — 음수일 수 있다</t>
        </is>
      </c>
    </row>
    <row r="175">
      <c r="A175" s="2" t="inlineStr">
        <is>
          <t>⚠ 종료일 '-' 12건은 같은 선종 계약기간 중위로 종료 추정(end_estimated)</t>
        </is>
      </c>
    </row>
    <row r="176">
      <c r="A176" s="2" t="inlineStr">
        <is>
          <t>⚠ 비해양(OTHER: 공사·플랜트 등) 포함 원장 잔여 32297억 &gt; 정기보고서 수주표 기말잔고 19043억(전부문 커버리지 1.70) — 수주표는 조선 부문 범위(특수선·상선·수리)만 담아 비교 범위가 다르다. backlog_coverage_all_segments 는 배율로 쓰지 말 것</t>
        </is>
      </c>
    </row>
    <row r="177">
      <c r="A177" s="2" t="inlineStr">
        <is>
          <t>⚠ 정기보고서 부문 매출 3개월분 &gt; 연결 매출(fin) 1분기(2023Q2; 최대 +34.9%) — 부문표가 내부거래 제거 전이거나 파서 문제(yards 레인). reconcile[q].exceeds_consolidated_pct 에 표시, ratio 는 그대로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C1" s="2" t="inlineStr">
        <is>
          <t>신규수주 시나리오(억원) — subQ 기준값 ± (시나리오 신규 − base 신규) × OPM</t>
        </is>
      </c>
      <c r="E1" s="3" t="inlineStr">
        <is>
          <t>3Q26</t>
        </is>
      </c>
      <c r="F1" s="3" t="inlineStr">
        <is>
          <t>4Q26</t>
        </is>
      </c>
      <c r="G1" s="3" t="n">
        <v>2026</v>
      </c>
      <c r="H1" s="3" t="inlineStr">
        <is>
          <t>1Q27</t>
        </is>
      </c>
      <c r="I1" s="3" t="inlineStr">
        <is>
          <t>2Q27</t>
        </is>
      </c>
      <c r="J1" s="3" t="inlineStr">
        <is>
          <t>3Q27</t>
        </is>
      </c>
      <c r="K1" s="3" t="inlineStr">
        <is>
          <t>4Q27</t>
        </is>
      </c>
      <c r="L1" s="3" t="n">
        <v>2027</v>
      </c>
      <c r="M1" s="3" t="inlineStr">
        <is>
          <t>1Q28</t>
        </is>
      </c>
      <c r="N1" s="3" t="inlineStr">
        <is>
          <t>2Q28</t>
        </is>
      </c>
      <c r="O1" s="3" t="inlineStr">
        <is>
          <t>3Q28</t>
        </is>
      </c>
      <c r="P1" s="3" t="inlineStr">
        <is>
          <t>4Q28</t>
        </is>
      </c>
      <c r="Q1" s="3" t="n">
        <v>2028</v>
      </c>
    </row>
    <row r="2">
      <c r="A2" s="2" t="inlineStr">
        <is>
          <t>출처: 공시 계약 원장(sls.contracts) 체결 분기 min/median/max × forecast_panel 역산 커널(covered_scope_new_revenue) (억원) · calibrated=False · 행(subQ)에 포함된 시나리오: base. 보수/낙관/기존만 은 합산하지 않는다. 모델 산출값 — 목표주가·추천 아님 · ※ 폴백 사슬 new_order_revenue → covered_scope_new_revenue → ledger_signing_rate(저신뢰): 패널 covered_scope 신규수주(분기 110억)가 공시 체결 속도(분기 평균 3,640억)의 3% &lt; 50% · 원장 창 3분기(2025Q4~2026Q2) → 원장 체결 분기 min/median/max 3,533/3,572/3,814억을 보수/base/낙관 분기 신규수주로, 인식 패널 역산 커널(covered_scope_new_revenue); 선형 대안(T=12분기, 원장 계약 일정 길이 중위) base FY 매출 2026 0억 · 2027 2,977억 · 2028 7,739억(공시 상계 후 — 행과 같은 축; 상계 전 2026 298억 · 2027 4,167억 · 2028 8,930억)</t>
        </is>
      </c>
    </row>
    <row r="3">
      <c r="A3" s="2" t="inlineStr">
        <is>
          <t>매출 = 기존(선표+잔고 소진+기타) + 시나리오 신규수주 매출; 영업이익 = 행 영업이익 + (시나리오 신규 − base 신규) × base OPM 경로. 보수/낙관·existing_only 는 행에 합산하지 않음(base 는 행과 동일). 모델 산출값 — 목표주가·추천 아님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</row>
    <row r="4">
      <c r="E4" s="7" t="inlineStr">
        <is>
          <t>2026.09</t>
        </is>
      </c>
      <c r="F4" s="7" t="inlineStr">
        <is>
          <t>2026.12</t>
        </is>
      </c>
      <c r="G4" s="7" t="inlineStr">
        <is>
          <t>2026.12A</t>
        </is>
      </c>
      <c r="H4" s="7" t="inlineStr">
        <is>
          <t>2027.03</t>
        </is>
      </c>
      <c r="I4" s="7" t="inlineStr">
        <is>
          <t>2027.06</t>
        </is>
      </c>
      <c r="J4" s="7" t="inlineStr">
        <is>
          <t>2027.09</t>
        </is>
      </c>
      <c r="K4" s="7" t="inlineStr">
        <is>
          <t>2027.12</t>
        </is>
      </c>
      <c r="L4" s="7" t="inlineStr">
        <is>
          <t>2027.12A</t>
        </is>
      </c>
      <c r="M4" s="7" t="inlineStr">
        <is>
          <t>2028.03</t>
        </is>
      </c>
      <c r="N4" s="7" t="inlineStr">
        <is>
          <t>2028.06</t>
        </is>
      </c>
      <c r="O4" s="7" t="inlineStr">
        <is>
          <t>2028.09</t>
        </is>
      </c>
      <c r="P4" s="7" t="inlineStr">
        <is>
          <t>2028.12</t>
        </is>
      </c>
      <c r="Q4" s="7" t="inlineStr">
        <is>
          <t>2028.12A</t>
        </is>
      </c>
    </row>
    <row r="5">
      <c r="A5" s="1" t="inlineStr">
        <is>
          <t>base</t>
        </is>
      </c>
      <c r="D5" s="1" t="inlineStr">
        <is>
          <t>기준(base — subQ 행에 포함) — 행에 포함</t>
        </is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</row>
    <row r="6">
      <c r="A6" s="12" t="inlineStr">
        <is>
          <t>scn:base:신규수주매출</t>
        </is>
      </c>
      <c r="C6" t="inlineStr">
        <is>
          <t>억원</t>
        </is>
      </c>
      <c r="D6" t="inlineStr">
        <is>
          <t>신규수주 매출(억원) — subQ 매출조선신규 참조</t>
        </is>
      </c>
      <c r="E6" s="43">
        <f>subQ!AC37</f>
        <v/>
      </c>
      <c r="F6" s="43">
        <f>subQ!AD37</f>
        <v/>
      </c>
      <c r="G6" s="20">
        <f>SUM(E6:F6)</f>
        <v/>
      </c>
      <c r="H6" s="43">
        <f>subQ!AF37</f>
        <v/>
      </c>
      <c r="I6" s="43">
        <f>subQ!AG37</f>
        <v/>
      </c>
      <c r="J6" s="43">
        <f>subQ!AH37</f>
        <v/>
      </c>
      <c r="K6" s="43">
        <f>subQ!AI37</f>
        <v/>
      </c>
      <c r="L6" s="20">
        <f>SUM(H6:K6)</f>
        <v/>
      </c>
      <c r="M6" s="43">
        <f>subQ!AK37</f>
        <v/>
      </c>
      <c r="N6" s="43">
        <f>subQ!AL37</f>
        <v/>
      </c>
      <c r="O6" s="43">
        <f>subQ!AM37</f>
        <v/>
      </c>
      <c r="P6" s="43">
        <f>subQ!AN37</f>
        <v/>
      </c>
      <c r="Q6" s="20">
        <f>SUM(M6:P6)</f>
        <v/>
      </c>
    </row>
    <row r="7">
      <c r="A7" s="12" t="inlineStr">
        <is>
          <t>scn:base:매출액</t>
        </is>
      </c>
      <c r="C7" t="inlineStr">
        <is>
          <t>억원</t>
        </is>
      </c>
      <c r="D7" t="inlineStr">
        <is>
          <t>매출액 = subQ 매출액 − base 신규 + 이 시나리오 신규</t>
        </is>
      </c>
      <c r="E7" s="20">
        <f>IFERROR(subQ!AC5-E6+E6,"")</f>
        <v/>
      </c>
      <c r="F7" s="20">
        <f>IFERROR(subQ!AD5-F6+F6,"")</f>
        <v/>
      </c>
      <c r="G7" s="20">
        <f>IFERROR(SUM(E7:F7)+subQ!AA5+subQ!AB5,"")</f>
        <v/>
      </c>
      <c r="H7" s="20">
        <f>IFERROR(subQ!AF5-H6+H6,"")</f>
        <v/>
      </c>
      <c r="I7" s="20">
        <f>IFERROR(subQ!AG5-I6+I6,"")</f>
        <v/>
      </c>
      <c r="J7" s="20">
        <f>IFERROR(subQ!AH5-J6+J6,"")</f>
        <v/>
      </c>
      <c r="K7" s="20">
        <f>IFERROR(subQ!AI5-K6+K6,"")</f>
        <v/>
      </c>
      <c r="L7" s="20">
        <f>IFERROR(SUM(H7:K7),"")</f>
        <v/>
      </c>
      <c r="M7" s="20">
        <f>IFERROR(subQ!AK5-M6+M6,"")</f>
        <v/>
      </c>
      <c r="N7" s="20">
        <f>IFERROR(subQ!AL5-N6+N6,"")</f>
        <v/>
      </c>
      <c r="O7" s="20">
        <f>IFERROR(subQ!AM5-O6+O6,"")</f>
        <v/>
      </c>
      <c r="P7" s="20">
        <f>IFERROR(subQ!AN5-P6+P6,"")</f>
        <v/>
      </c>
      <c r="Q7" s="20">
        <f>IFERROR(SUM(M7:P7),"")</f>
        <v/>
      </c>
    </row>
    <row r="8">
      <c r="A8" s="12" t="inlineStr">
        <is>
          <t>scn:base:영업이익</t>
        </is>
      </c>
      <c r="C8" t="inlineStr">
        <is>
          <t>억원</t>
        </is>
      </c>
      <c r="D8" t="inlineStr">
        <is>
          <t>영업이익 = subQ 영업이익 + (이 시나리오 신규 − base 신규) × OPM(변수 드라이버)</t>
        </is>
      </c>
      <c r="E8" s="20">
        <f>IFERROR(subQ!AC9+(E6-E6)*변수!AC40,"")</f>
        <v/>
      </c>
      <c r="F8" s="20">
        <f>IFERROR(subQ!AD9+(F6-F6)*변수!AD40,"")</f>
        <v/>
      </c>
      <c r="G8" s="20">
        <f>IFERROR(SUM(E8:F8)+subQ!AA9+subQ!AB9,"")</f>
        <v/>
      </c>
      <c r="H8" s="20">
        <f>IFERROR(subQ!AF9+(H6-H6)*변수!AF40,"")</f>
        <v/>
      </c>
      <c r="I8" s="20">
        <f>IFERROR(subQ!AG9+(I6-I6)*변수!AG40,"")</f>
        <v/>
      </c>
      <c r="J8" s="20">
        <f>IFERROR(subQ!AH9+(J6-J6)*변수!AH40,"")</f>
        <v/>
      </c>
      <c r="K8" s="20">
        <f>IFERROR(subQ!AI9+(K6-K6)*변수!AI40,"")</f>
        <v/>
      </c>
      <c r="L8" s="20">
        <f>IFERROR(SUM(H8:K8),"")</f>
        <v/>
      </c>
      <c r="M8" s="20">
        <f>IFERROR(subQ!AK9+(M6-M6)*변수!AK40,"")</f>
        <v/>
      </c>
      <c r="N8" s="20">
        <f>IFERROR(subQ!AL9+(N6-N6)*변수!AL40,"")</f>
        <v/>
      </c>
      <c r="O8" s="20">
        <f>IFERROR(subQ!AM9+(O6-O6)*변수!AM40,"")</f>
        <v/>
      </c>
      <c r="P8" s="20">
        <f>IFERROR(subQ!AN9+(P6-P6)*변수!AN40,"")</f>
        <v/>
      </c>
      <c r="Q8" s="20">
        <f>IFERROR(SUM(M8:P8),"")</f>
        <v/>
      </c>
    </row>
    <row r="9">
      <c r="A9" s="12" t="inlineStr">
        <is>
          <t>scn:base:OPM</t>
        </is>
      </c>
      <c r="C9" t="inlineStr">
        <is>
          <t>%</t>
        </is>
      </c>
      <c r="D9" t="inlineStr">
        <is>
          <t>OPM</t>
        </is>
      </c>
      <c r="E9" s="33">
        <f>IFERROR(E8/E7,"")</f>
        <v/>
      </c>
      <c r="F9" s="33">
        <f>IFERROR(F8/F7,"")</f>
        <v/>
      </c>
      <c r="G9" s="33">
        <f>IFERROR(G8/G7,"")</f>
        <v/>
      </c>
      <c r="H9" s="33">
        <f>IFERROR(H8/H7,"")</f>
        <v/>
      </c>
      <c r="I9" s="33">
        <f>IFERROR(I8/I7,"")</f>
        <v/>
      </c>
      <c r="J9" s="33">
        <f>IFERROR(J8/J7,"")</f>
        <v/>
      </c>
      <c r="K9" s="33">
        <f>IFERROR(K8/K7,"")</f>
        <v/>
      </c>
      <c r="L9" s="33">
        <f>IFERROR(L8/L7,"")</f>
        <v/>
      </c>
      <c r="M9" s="33">
        <f>IFERROR(M8/M7,"")</f>
        <v/>
      </c>
      <c r="N9" s="33">
        <f>IFERROR(N8/N7,"")</f>
        <v/>
      </c>
      <c r="O9" s="33">
        <f>IFERROR(O8/O7,"")</f>
        <v/>
      </c>
      <c r="P9" s="33">
        <f>IFERROR(P8/P7,"")</f>
        <v/>
      </c>
      <c r="Q9" s="33">
        <f>IFERROR(Q8/Q7,"")</f>
        <v/>
      </c>
    </row>
    <row r="10"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</row>
    <row r="11">
      <c r="A11" s="1" t="inlineStr">
        <is>
          <t>existing_only</t>
        </is>
      </c>
      <c r="D11" s="1" t="inlineStr">
        <is>
          <t>기존 잔고만(신규수주 0)</t>
        </is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</row>
    <row r="12">
      <c r="A12" s="12" t="inlineStr">
        <is>
          <t>scn:existing_only:신규수주매출</t>
        </is>
      </c>
      <c r="C12" t="inlineStr">
        <is>
          <t>억원</t>
        </is>
      </c>
      <c r="D12" t="inlineStr">
        <is>
          <t>신규수주 매출(억원) — 패널 값(노란, 가정)</t>
        </is>
      </c>
      <c r="E12" s="34" t="n">
        <v>0</v>
      </c>
      <c r="F12" s="34" t="n">
        <v>0</v>
      </c>
      <c r="G12" s="20">
        <f>SUM(E12:F12)</f>
        <v/>
      </c>
      <c r="H12" s="34" t="n">
        <v>0</v>
      </c>
      <c r="I12" s="34" t="n">
        <v>0</v>
      </c>
      <c r="J12" s="34" t="n">
        <v>0</v>
      </c>
      <c r="K12" s="34" t="n">
        <v>0</v>
      </c>
      <c r="L12" s="20">
        <f>SUM(H12:K12)</f>
        <v/>
      </c>
      <c r="M12" s="34" t="n">
        <v>0</v>
      </c>
      <c r="N12" s="34" t="n">
        <v>0</v>
      </c>
      <c r="O12" s="34" t="n">
        <v>0</v>
      </c>
      <c r="P12" s="34" t="n">
        <v>0</v>
      </c>
      <c r="Q12" s="20">
        <f>SUM(M12:P12)</f>
        <v/>
      </c>
    </row>
    <row r="13">
      <c r="A13" s="12" t="inlineStr">
        <is>
          <t>scn:existing_only:매출액</t>
        </is>
      </c>
      <c r="C13" t="inlineStr">
        <is>
          <t>억원</t>
        </is>
      </c>
      <c r="D13" t="inlineStr">
        <is>
          <t>매출액 = subQ 매출액 − base 신규 + 이 시나리오 신규</t>
        </is>
      </c>
      <c r="E13" s="20">
        <f>IFERROR(subQ!AC5-E6+E12,"")</f>
        <v/>
      </c>
      <c r="F13" s="20">
        <f>IFERROR(subQ!AD5-F6+F12,"")</f>
        <v/>
      </c>
      <c r="G13" s="20">
        <f>IFERROR(SUM(E13:F13)+subQ!AA5+subQ!AB5,"")</f>
        <v/>
      </c>
      <c r="H13" s="20">
        <f>IFERROR(subQ!AF5-H6+H12,"")</f>
        <v/>
      </c>
      <c r="I13" s="20">
        <f>IFERROR(subQ!AG5-I6+I12,"")</f>
        <v/>
      </c>
      <c r="J13" s="20">
        <f>IFERROR(subQ!AH5-J6+J12,"")</f>
        <v/>
      </c>
      <c r="K13" s="20">
        <f>IFERROR(subQ!AI5-K6+K12,"")</f>
        <v/>
      </c>
      <c r="L13" s="20">
        <f>IFERROR(SUM(H13:K13),"")</f>
        <v/>
      </c>
      <c r="M13" s="20">
        <f>IFERROR(subQ!AK5-M6+M12,"")</f>
        <v/>
      </c>
      <c r="N13" s="20">
        <f>IFERROR(subQ!AL5-N6+N12,"")</f>
        <v/>
      </c>
      <c r="O13" s="20">
        <f>IFERROR(subQ!AM5-O6+O12,"")</f>
        <v/>
      </c>
      <c r="P13" s="20">
        <f>IFERROR(subQ!AN5-P6+P12,"")</f>
        <v/>
      </c>
      <c r="Q13" s="20">
        <f>IFERROR(SUM(M13:P13),"")</f>
        <v/>
      </c>
    </row>
    <row r="14">
      <c r="A14" s="12" t="inlineStr">
        <is>
          <t>scn:existing_only:영업이익</t>
        </is>
      </c>
      <c r="C14" t="inlineStr">
        <is>
          <t>억원</t>
        </is>
      </c>
      <c r="D14" t="inlineStr">
        <is>
          <t>영업이익 = subQ 영업이익 + (이 시나리오 신규 − base 신규) × OPM(변수 드라이버)</t>
        </is>
      </c>
      <c r="E14" s="20">
        <f>IFERROR(subQ!AC9+(E12-E6)*변수!AC40,"")</f>
        <v/>
      </c>
      <c r="F14" s="20">
        <f>IFERROR(subQ!AD9+(F12-F6)*변수!AD40,"")</f>
        <v/>
      </c>
      <c r="G14" s="20">
        <f>IFERROR(SUM(E14:F14)+subQ!AA9+subQ!AB9,"")</f>
        <v/>
      </c>
      <c r="H14" s="20">
        <f>IFERROR(subQ!AF9+(H12-H6)*변수!AF40,"")</f>
        <v/>
      </c>
      <c r="I14" s="20">
        <f>IFERROR(subQ!AG9+(I12-I6)*변수!AG40,"")</f>
        <v/>
      </c>
      <c r="J14" s="20">
        <f>IFERROR(subQ!AH9+(J12-J6)*변수!AH40,"")</f>
        <v/>
      </c>
      <c r="K14" s="20">
        <f>IFERROR(subQ!AI9+(K12-K6)*변수!AI40,"")</f>
        <v/>
      </c>
      <c r="L14" s="20">
        <f>IFERROR(SUM(H14:K14),"")</f>
        <v/>
      </c>
      <c r="M14" s="20">
        <f>IFERROR(subQ!AK9+(M12-M6)*변수!AK40,"")</f>
        <v/>
      </c>
      <c r="N14" s="20">
        <f>IFERROR(subQ!AL9+(N12-N6)*변수!AL40,"")</f>
        <v/>
      </c>
      <c r="O14" s="20">
        <f>IFERROR(subQ!AM9+(O12-O6)*변수!AM40,"")</f>
        <v/>
      </c>
      <c r="P14" s="20">
        <f>IFERROR(subQ!AN9+(P12-P6)*변수!AN40,"")</f>
        <v/>
      </c>
      <c r="Q14" s="20">
        <f>IFERROR(SUM(M14:P14),"")</f>
        <v/>
      </c>
    </row>
    <row r="15">
      <c r="A15" s="12" t="inlineStr">
        <is>
          <t>scn:existing_only:OPM</t>
        </is>
      </c>
      <c r="C15" t="inlineStr">
        <is>
          <t>%</t>
        </is>
      </c>
      <c r="D15" t="inlineStr">
        <is>
          <t>OPM</t>
        </is>
      </c>
      <c r="E15" s="33">
        <f>IFERROR(E14/E13,"")</f>
        <v/>
      </c>
      <c r="F15" s="33">
        <f>IFERROR(F14/F13,"")</f>
        <v/>
      </c>
      <c r="G15" s="33">
        <f>IFERROR(G14/G13,"")</f>
        <v/>
      </c>
      <c r="H15" s="33">
        <f>IFERROR(H14/H13,"")</f>
        <v/>
      </c>
      <c r="I15" s="33">
        <f>IFERROR(I14/I13,"")</f>
        <v/>
      </c>
      <c r="J15" s="33">
        <f>IFERROR(J14/J13,"")</f>
        <v/>
      </c>
      <c r="K15" s="33">
        <f>IFERROR(K14/K13,"")</f>
        <v/>
      </c>
      <c r="L15" s="33">
        <f>IFERROR(L14/L13,"")</f>
        <v/>
      </c>
      <c r="M15" s="33">
        <f>IFERROR(M14/M13,"")</f>
        <v/>
      </c>
      <c r="N15" s="33">
        <f>IFERROR(N14/N13,"")</f>
        <v/>
      </c>
      <c r="O15" s="33">
        <f>IFERROR(O14/O13,"")</f>
        <v/>
      </c>
      <c r="P15" s="33">
        <f>IFERROR(P14/P13,"")</f>
        <v/>
      </c>
      <c r="Q15" s="33">
        <f>IFERROR(Q14/Q13,"")</f>
        <v/>
      </c>
    </row>
    <row r="16"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</row>
    <row r="17">
      <c r="A17" s="1" t="inlineStr">
        <is>
          <t>conservative</t>
        </is>
      </c>
      <c r="D17" s="1" t="inlineStr">
        <is>
          <t>보수</t>
        </is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</row>
    <row r="18">
      <c r="A18" s="12" t="inlineStr">
        <is>
          <t>scn:conservative:신규수주매출</t>
        </is>
      </c>
      <c r="C18" t="inlineStr">
        <is>
          <t>억원</t>
        </is>
      </c>
      <c r="D18" t="inlineStr">
        <is>
          <t>신규수주 매출(억원) — 패널 값(노란, 가정)</t>
        </is>
      </c>
      <c r="E18" s="34" t="n">
        <v>0</v>
      </c>
      <c r="F18" s="34" t="n">
        <v>0</v>
      </c>
      <c r="G18" s="20">
        <f>SUM(E18:F18)</f>
        <v/>
      </c>
      <c r="H18" s="34" t="n">
        <v>102.59</v>
      </c>
      <c r="I18" s="34" t="n">
        <v>380.45</v>
      </c>
      <c r="J18" s="34" t="n">
        <v>788.71</v>
      </c>
      <c r="K18" s="34" t="n">
        <v>1282.51</v>
      </c>
      <c r="L18" s="20">
        <f>SUM(H18:K18)</f>
        <v/>
      </c>
      <c r="M18" s="34" t="n">
        <v>1816.96</v>
      </c>
      <c r="N18" s="34" t="n">
        <v>2347.21</v>
      </c>
      <c r="O18" s="34" t="n">
        <v>2828.38</v>
      </c>
      <c r="P18" s="34" t="n">
        <v>3215.61</v>
      </c>
      <c r="Q18" s="20">
        <f>SUM(M18:P18)</f>
        <v/>
      </c>
    </row>
    <row r="19">
      <c r="A19" s="12" t="inlineStr">
        <is>
          <t>scn:conservative:매출액</t>
        </is>
      </c>
      <c r="C19" t="inlineStr">
        <is>
          <t>억원</t>
        </is>
      </c>
      <c r="D19" t="inlineStr">
        <is>
          <t>매출액 = subQ 매출액 − base 신규 + 이 시나리오 신규</t>
        </is>
      </c>
      <c r="E19" s="20">
        <f>IFERROR(subQ!AC5-E6+E18,"")</f>
        <v/>
      </c>
      <c r="F19" s="20">
        <f>IFERROR(subQ!AD5-F6+F18,"")</f>
        <v/>
      </c>
      <c r="G19" s="20">
        <f>IFERROR(SUM(E19:F19)+subQ!AA5+subQ!AB5,"")</f>
        <v/>
      </c>
      <c r="H19" s="20">
        <f>IFERROR(subQ!AF5-H6+H18,"")</f>
        <v/>
      </c>
      <c r="I19" s="20">
        <f>IFERROR(subQ!AG5-I6+I18,"")</f>
        <v/>
      </c>
      <c r="J19" s="20">
        <f>IFERROR(subQ!AH5-J6+J18,"")</f>
        <v/>
      </c>
      <c r="K19" s="20">
        <f>IFERROR(subQ!AI5-K6+K18,"")</f>
        <v/>
      </c>
      <c r="L19" s="20">
        <f>IFERROR(SUM(H19:K19),"")</f>
        <v/>
      </c>
      <c r="M19" s="20">
        <f>IFERROR(subQ!AK5-M6+M18,"")</f>
        <v/>
      </c>
      <c r="N19" s="20">
        <f>IFERROR(subQ!AL5-N6+N18,"")</f>
        <v/>
      </c>
      <c r="O19" s="20">
        <f>IFERROR(subQ!AM5-O6+O18,"")</f>
        <v/>
      </c>
      <c r="P19" s="20">
        <f>IFERROR(subQ!AN5-P6+P18,"")</f>
        <v/>
      </c>
      <c r="Q19" s="20">
        <f>IFERROR(SUM(M19:P19),"")</f>
        <v/>
      </c>
    </row>
    <row r="20">
      <c r="A20" s="12" t="inlineStr">
        <is>
          <t>scn:conservative:영업이익</t>
        </is>
      </c>
      <c r="C20" t="inlineStr">
        <is>
          <t>억원</t>
        </is>
      </c>
      <c r="D20" t="inlineStr">
        <is>
          <t>영업이익 = subQ 영업이익 + (이 시나리오 신규 − base 신규) × OPM(변수 드라이버)</t>
        </is>
      </c>
      <c r="E20" s="20">
        <f>IFERROR(subQ!AC9+(E18-E6)*변수!AC40,"")</f>
        <v/>
      </c>
      <c r="F20" s="20">
        <f>IFERROR(subQ!AD9+(F18-F6)*변수!AD40,"")</f>
        <v/>
      </c>
      <c r="G20" s="20">
        <f>IFERROR(SUM(E20:F20)+subQ!AA9+subQ!AB9,"")</f>
        <v/>
      </c>
      <c r="H20" s="20">
        <f>IFERROR(subQ!AF9+(H18-H6)*변수!AF40,"")</f>
        <v/>
      </c>
      <c r="I20" s="20">
        <f>IFERROR(subQ!AG9+(I18-I6)*변수!AG40,"")</f>
        <v/>
      </c>
      <c r="J20" s="20">
        <f>IFERROR(subQ!AH9+(J18-J6)*변수!AH40,"")</f>
        <v/>
      </c>
      <c r="K20" s="20">
        <f>IFERROR(subQ!AI9+(K18-K6)*변수!AI40,"")</f>
        <v/>
      </c>
      <c r="L20" s="20">
        <f>IFERROR(SUM(H20:K20),"")</f>
        <v/>
      </c>
      <c r="M20" s="20">
        <f>IFERROR(subQ!AK9+(M18-M6)*변수!AK40,"")</f>
        <v/>
      </c>
      <c r="N20" s="20">
        <f>IFERROR(subQ!AL9+(N18-N6)*변수!AL40,"")</f>
        <v/>
      </c>
      <c r="O20" s="20">
        <f>IFERROR(subQ!AM9+(O18-O6)*변수!AM40,"")</f>
        <v/>
      </c>
      <c r="P20" s="20">
        <f>IFERROR(subQ!AN9+(P18-P6)*변수!AN40,"")</f>
        <v/>
      </c>
      <c r="Q20" s="20">
        <f>IFERROR(SUM(M20:P20),"")</f>
        <v/>
      </c>
    </row>
    <row r="21">
      <c r="A21" s="12" t="inlineStr">
        <is>
          <t>scn:conservative:OPM</t>
        </is>
      </c>
      <c r="C21" t="inlineStr">
        <is>
          <t>%</t>
        </is>
      </c>
      <c r="D21" t="inlineStr">
        <is>
          <t>OPM</t>
        </is>
      </c>
      <c r="E21" s="33">
        <f>IFERROR(E20/E19,"")</f>
        <v/>
      </c>
      <c r="F21" s="33">
        <f>IFERROR(F20/F19,"")</f>
        <v/>
      </c>
      <c r="G21" s="33">
        <f>IFERROR(G20/G19,"")</f>
        <v/>
      </c>
      <c r="H21" s="33">
        <f>IFERROR(H20/H19,"")</f>
        <v/>
      </c>
      <c r="I21" s="33">
        <f>IFERROR(I20/I19,"")</f>
        <v/>
      </c>
      <c r="J21" s="33">
        <f>IFERROR(J20/J19,"")</f>
        <v/>
      </c>
      <c r="K21" s="33">
        <f>IFERROR(K20/K19,"")</f>
        <v/>
      </c>
      <c r="L21" s="33">
        <f>IFERROR(L20/L19,"")</f>
        <v/>
      </c>
      <c r="M21" s="33">
        <f>IFERROR(M20/M19,"")</f>
        <v/>
      </c>
      <c r="N21" s="33">
        <f>IFERROR(N20/N19,"")</f>
        <v/>
      </c>
      <c r="O21" s="33">
        <f>IFERROR(O20/O19,"")</f>
        <v/>
      </c>
      <c r="P21" s="33">
        <f>IFERROR(P20/P19,"")</f>
        <v/>
      </c>
      <c r="Q21" s="33">
        <f>IFERROR(Q20/Q19,"")</f>
        <v/>
      </c>
    </row>
    <row r="22"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</row>
    <row r="23">
      <c r="A23" s="1" t="inlineStr">
        <is>
          <t>optimistic</t>
        </is>
      </c>
      <c r="D23" s="1" t="inlineStr">
        <is>
          <t>낙관</t>
        </is>
      </c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</row>
    <row r="24">
      <c r="A24" s="12" t="inlineStr">
        <is>
          <t>scn:optimistic:신규수주매출</t>
        </is>
      </c>
      <c r="C24" t="inlineStr">
        <is>
          <t>억원</t>
        </is>
      </c>
      <c r="D24" t="inlineStr">
        <is>
          <t>신규수주 매출(억원) — 패널 값(노란, 가정)</t>
        </is>
      </c>
      <c r="E24" s="34" t="n">
        <v>0</v>
      </c>
      <c r="F24" s="34" t="n">
        <v>0</v>
      </c>
      <c r="G24" s="20">
        <f>SUM(E24:F24)</f>
        <v/>
      </c>
      <c r="H24" s="34" t="n">
        <v>110.44</v>
      </c>
      <c r="I24" s="34" t="n">
        <v>409.59</v>
      </c>
      <c r="J24" s="34" t="n">
        <v>849.21</v>
      </c>
      <c r="K24" s="34" t="n">
        <v>1381.06</v>
      </c>
      <c r="L24" s="20">
        <f>SUM(H24:K24)</f>
        <v/>
      </c>
      <c r="M24" s="34" t="n">
        <v>1956.92</v>
      </c>
      <c r="N24" s="34" t="n">
        <v>2528.52</v>
      </c>
      <c r="O24" s="34" t="n">
        <v>3047.64</v>
      </c>
      <c r="P24" s="34" t="n">
        <v>3466.04</v>
      </c>
      <c r="Q24" s="20">
        <f>SUM(M24:P24)</f>
        <v/>
      </c>
    </row>
    <row r="25">
      <c r="A25" s="12" t="inlineStr">
        <is>
          <t>scn:optimistic:매출액</t>
        </is>
      </c>
      <c r="C25" t="inlineStr">
        <is>
          <t>억원</t>
        </is>
      </c>
      <c r="D25" t="inlineStr">
        <is>
          <t>매출액 = subQ 매출액 − base 신규 + 이 시나리오 신규</t>
        </is>
      </c>
      <c r="E25" s="20">
        <f>IFERROR(subQ!AC5-E6+E24,"")</f>
        <v/>
      </c>
      <c r="F25" s="20">
        <f>IFERROR(subQ!AD5-F6+F24,"")</f>
        <v/>
      </c>
      <c r="G25" s="20">
        <f>IFERROR(SUM(E25:F25)+subQ!AA5+subQ!AB5,"")</f>
        <v/>
      </c>
      <c r="H25" s="20">
        <f>IFERROR(subQ!AF5-H6+H24,"")</f>
        <v/>
      </c>
      <c r="I25" s="20">
        <f>IFERROR(subQ!AG5-I6+I24,"")</f>
        <v/>
      </c>
      <c r="J25" s="20">
        <f>IFERROR(subQ!AH5-J6+J24,"")</f>
        <v/>
      </c>
      <c r="K25" s="20">
        <f>IFERROR(subQ!AI5-K6+K24,"")</f>
        <v/>
      </c>
      <c r="L25" s="20">
        <f>IFERROR(SUM(H25:K25),"")</f>
        <v/>
      </c>
      <c r="M25" s="20">
        <f>IFERROR(subQ!AK5-M6+M24,"")</f>
        <v/>
      </c>
      <c r="N25" s="20">
        <f>IFERROR(subQ!AL5-N6+N24,"")</f>
        <v/>
      </c>
      <c r="O25" s="20">
        <f>IFERROR(subQ!AM5-O6+O24,"")</f>
        <v/>
      </c>
      <c r="P25" s="20">
        <f>IFERROR(subQ!AN5-P6+P24,"")</f>
        <v/>
      </c>
      <c r="Q25" s="20">
        <f>IFERROR(SUM(M25:P25),"")</f>
        <v/>
      </c>
    </row>
    <row r="26">
      <c r="A26" s="12" t="inlineStr">
        <is>
          <t>scn:optimistic:영업이익</t>
        </is>
      </c>
      <c r="C26" t="inlineStr">
        <is>
          <t>억원</t>
        </is>
      </c>
      <c r="D26" t="inlineStr">
        <is>
          <t>영업이익 = subQ 영업이익 + (이 시나리오 신규 − base 신규) × OPM(변수 드라이버)</t>
        </is>
      </c>
      <c r="E26" s="20">
        <f>IFERROR(subQ!AC9+(E24-E6)*변수!AC40,"")</f>
        <v/>
      </c>
      <c r="F26" s="20">
        <f>IFERROR(subQ!AD9+(F24-F6)*변수!AD40,"")</f>
        <v/>
      </c>
      <c r="G26" s="20">
        <f>IFERROR(SUM(E26:F26)+subQ!AA9+subQ!AB9,"")</f>
        <v/>
      </c>
      <c r="H26" s="20">
        <f>IFERROR(subQ!AF9+(H24-H6)*변수!AF40,"")</f>
        <v/>
      </c>
      <c r="I26" s="20">
        <f>IFERROR(subQ!AG9+(I24-I6)*변수!AG40,"")</f>
        <v/>
      </c>
      <c r="J26" s="20">
        <f>IFERROR(subQ!AH9+(J24-J6)*변수!AH40,"")</f>
        <v/>
      </c>
      <c r="K26" s="20">
        <f>IFERROR(subQ!AI9+(K24-K6)*변수!AI40,"")</f>
        <v/>
      </c>
      <c r="L26" s="20">
        <f>IFERROR(SUM(H26:K26),"")</f>
        <v/>
      </c>
      <c r="M26" s="20">
        <f>IFERROR(subQ!AK9+(M24-M6)*변수!AK40,"")</f>
        <v/>
      </c>
      <c r="N26" s="20">
        <f>IFERROR(subQ!AL9+(N24-N6)*변수!AL40,"")</f>
        <v/>
      </c>
      <c r="O26" s="20">
        <f>IFERROR(subQ!AM9+(O24-O6)*변수!AM40,"")</f>
        <v/>
      </c>
      <c r="P26" s="20">
        <f>IFERROR(subQ!AN9+(P24-P6)*변수!AN40,"")</f>
        <v/>
      </c>
      <c r="Q26" s="20">
        <f>IFERROR(SUM(M26:P26),"")</f>
        <v/>
      </c>
    </row>
    <row r="27">
      <c r="A27" s="12" t="inlineStr">
        <is>
          <t>scn:optimistic:OPM</t>
        </is>
      </c>
      <c r="C27" t="inlineStr">
        <is>
          <t>%</t>
        </is>
      </c>
      <c r="D27" t="inlineStr">
        <is>
          <t>OPM</t>
        </is>
      </c>
      <c r="E27" s="33">
        <f>IFERROR(E26/E25,"")</f>
        <v/>
      </c>
      <c r="F27" s="33">
        <f>IFERROR(F26/F25,"")</f>
        <v/>
      </c>
      <c r="G27" s="33">
        <f>IFERROR(G26/G25,"")</f>
        <v/>
      </c>
      <c r="H27" s="33">
        <f>IFERROR(H26/H25,"")</f>
        <v/>
      </c>
      <c r="I27" s="33">
        <f>IFERROR(I26/I25,"")</f>
        <v/>
      </c>
      <c r="J27" s="33">
        <f>IFERROR(J26/J25,"")</f>
        <v/>
      </c>
      <c r="K27" s="33">
        <f>IFERROR(K26/K25,"")</f>
        <v/>
      </c>
      <c r="L27" s="33">
        <f>IFERROR(L26/L25,"")</f>
        <v/>
      </c>
      <c r="M27" s="33">
        <f>IFERROR(M26/M25,"")</f>
        <v/>
      </c>
      <c r="N27" s="33">
        <f>IFERROR(N26/N25,"")</f>
        <v/>
      </c>
      <c r="O27" s="33">
        <f>IFERROR(O26/O25,"")</f>
        <v/>
      </c>
      <c r="P27" s="33">
        <f>IFERROR(P26/P25,"")</f>
        <v/>
      </c>
      <c r="Q27" s="33">
        <f>IFERROR(Q26/Q25,"")</f>
        <v/>
      </c>
    </row>
    <row r="28"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4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변수!D45</f>
        <v/>
      </c>
      <c r="W2" s="45" t="n"/>
    </row>
    <row r="3">
      <c r="C3" t="inlineStr">
        <is>
          <t>기준일:</t>
        </is>
      </c>
      <c r="D3" t="inlineStr">
        <is>
          <t>20261014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6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8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8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8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8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8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9">
        <f>IFERROR(VLOOKUP($A10,subQ,MATCH(W$1,SUBQH,0),0),"")</f>
        <v/>
      </c>
      <c r="X10" s="33">
        <f>IFERROR(VLOOKUP($A10,subQ,MATCH(X$1,SUBQH,0),0),"")</f>
        <v/>
      </c>
      <c r="Y10" s="33">
        <f>IFERROR(VLOOKUP($A10,subQ,MATCH(Y$1,SUBQH,0),0),"")</f>
        <v/>
      </c>
      <c r="Z10" s="33">
        <f>IFERROR(VLOOKUP($A10,subQ,MATCH(Z$1,SUBQH,0),0),"")</f>
        <v/>
      </c>
      <c r="AA10" s="33">
        <f>IFERROR(VLOOKUP($A10,subQ,MATCH(AA$1,SUBQH,0),0),"")</f>
        <v/>
      </c>
      <c r="AB10" s="33">
        <f>IFERROR(VLOOKUP($A10,subQ,MATCH(AB$1,SUBQH,0),0),"")</f>
        <v/>
      </c>
      <c r="AC10" s="33">
        <f>IFERROR(VLOOKUP($A10,subQ,MATCH(AC$1,SUBQH,0),0),"")</f>
        <v/>
      </c>
      <c r="AD10" s="33">
        <f>IFERROR(VLOOKUP($A10,subQ,MATCH(AD$1,SUBQH,0),0),"")</f>
        <v/>
      </c>
      <c r="AE10" s="33">
        <f>IFERROR(VLOOKUP($A10,subQ,MATCH(AE$1,SUBQH,0),0),"")</f>
        <v/>
      </c>
      <c r="AF10" s="33">
        <f>IFERROR(VLOOKUP($A10,subQ,MATCH(AF$1,SUBQH,0),0),"")</f>
        <v/>
      </c>
      <c r="AG10" s="33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8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8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8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기타영업외손익</t>
        </is>
      </c>
      <c r="D14" t="inlineStr">
        <is>
          <t>기타영업외손익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8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세전이익</t>
        </is>
      </c>
      <c r="D15" t="inlineStr">
        <is>
          <t>법인세비용차감전이익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8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법인세비용</t>
        </is>
      </c>
      <c r="D16" t="inlineStr">
        <is>
          <t>법인세비용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8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당기순이익</t>
        </is>
      </c>
      <c r="D17" t="inlineStr">
        <is>
          <t>당기순이익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8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지배주주순이익</t>
        </is>
      </c>
      <c r="D18" t="inlineStr">
        <is>
          <t>지배주주순이익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8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중단사업이익</t>
        </is>
      </c>
      <c r="D19" t="inlineStr">
        <is>
          <t>중단사업이익(실적만)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8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자산총계</t>
        </is>
      </c>
      <c r="D20" t="inlineStr">
        <is>
          <t>자산총계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8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부채총계</t>
        </is>
      </c>
      <c r="D21" t="inlineStr">
        <is>
          <t>부채총계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8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자본총계</t>
        </is>
      </c>
      <c r="D22" t="inlineStr">
        <is>
          <t>자본총계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8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지배주주지분</t>
        </is>
      </c>
      <c r="D23" t="inlineStr">
        <is>
          <t>지배주주지분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8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총차입금</t>
        </is>
      </c>
      <c r="D24" t="inlineStr">
        <is>
          <t>총차입금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8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순차입금</t>
        </is>
      </c>
      <c r="D25" t="inlineStr">
        <is>
          <t>순차입금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8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이자발생자산</t>
        </is>
      </c>
      <c r="D26" t="inlineStr">
        <is>
          <t>이자발생자산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8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현금및현금성자산</t>
        </is>
      </c>
      <c r="D27" t="inlineStr">
        <is>
          <t>현금및현금성자산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8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CAPEX</t>
        </is>
      </c>
      <c r="D28" t="inlineStr">
        <is>
          <t>CAPEX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8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영업활동현금흐름</t>
        </is>
      </c>
      <c r="D29" t="inlineStr">
        <is>
          <t>영업활동현금흐름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8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주식수</t>
        </is>
      </c>
      <c r="D30" t="inlineStr">
        <is>
          <t>유통주식수</t>
        </is>
      </c>
      <c r="E30" s="26">
        <f>IFERROR(VLOOKUP($A30,subQ,MATCH(E$1,SUBQH,0),0),"")</f>
        <v/>
      </c>
      <c r="F30" s="26">
        <f>IFERROR(VLOOKUP($A30,subQ,MATCH(F$1,SUBQH,0),0),"")</f>
        <v/>
      </c>
      <c r="G30" s="26">
        <f>IFERROR(VLOOKUP($A30,subQ,MATCH(G$1,SUBQH,0),0),"")</f>
        <v/>
      </c>
      <c r="H30" s="26">
        <f>IFERROR(VLOOKUP($A30,subQ,MATCH(H$1,SUBQH,0),0),"")</f>
        <v/>
      </c>
      <c r="I30" s="26">
        <f>IFERROR(VLOOKUP($A30,subQ,MATCH(I$1,SUBQH,0),0),"")</f>
        <v/>
      </c>
      <c r="J30" s="26">
        <f>IFERROR(VLOOKUP($A30,subQ,MATCH(J$1,SUBQH,0),0),"")</f>
        <v/>
      </c>
      <c r="K30" s="26">
        <f>IFERROR(VLOOKUP($A30,subQ,MATCH(K$1,SUBQH,0),0),"")</f>
        <v/>
      </c>
      <c r="L30" s="26">
        <f>IFERROR(VLOOKUP($A30,subQ,MATCH(L$1,SUBQH,0),0),"")</f>
        <v/>
      </c>
      <c r="M30" s="26">
        <f>IFERROR(VLOOKUP($A30,subQ,MATCH(M$1,SUBQH,0),0),"")</f>
        <v/>
      </c>
      <c r="N30" s="26">
        <f>IFERROR(VLOOKUP($A30,subQ,MATCH(N$1,SUBQH,0),0),"")</f>
        <v/>
      </c>
      <c r="O30" s="26">
        <f>IFERROR(VLOOKUP($A30,subQ,MATCH(O$1,SUBQH,0),0),"")</f>
        <v/>
      </c>
      <c r="P30" s="26">
        <f>IFERROR(VLOOKUP($A30,subQ,MATCH(P$1,SUBQH,0),0),"")</f>
        <v/>
      </c>
      <c r="Q30" s="26">
        <f>IFERROR(VLOOKUP($A30,subQ,MATCH(Q$1,SUBQH,0),0),"")</f>
        <v/>
      </c>
      <c r="R30" s="26">
        <f>IFERROR(VLOOKUP($A30,subQ,MATCH(R$1,SUBQH,0),0),"")</f>
        <v/>
      </c>
      <c r="S30" s="26">
        <f>IFERROR(VLOOKUP($A30,subQ,MATCH(S$1,SUBQH,0),0),"")</f>
        <v/>
      </c>
      <c r="T30" s="26">
        <f>IFERROR(VLOOKUP($A30,subQ,MATCH(T$1,SUBQH,0),0),"")</f>
        <v/>
      </c>
      <c r="U30" s="26">
        <f>IFERROR(VLOOKUP($A30,subQ,MATCH(U$1,SUBQH,0),0),"")</f>
        <v/>
      </c>
      <c r="V30" s="26">
        <f>IFERROR(VLOOKUP($A30,subQ,MATCH(V$1,SUBQH,0),0),"")</f>
        <v/>
      </c>
      <c r="W30" s="50">
        <f>IFERROR(VLOOKUP($A30,subQ,MATCH(W$1,SUBQH,0),0),"")</f>
        <v/>
      </c>
      <c r="X30" s="32">
        <f>IFERROR(VLOOKUP($A30,subQ,MATCH(X$1,SUBQH,0),0),"")</f>
        <v/>
      </c>
      <c r="Y30" s="32">
        <f>IFERROR(VLOOKUP($A30,subQ,MATCH(Y$1,SUBQH,0),0),"")</f>
        <v/>
      </c>
      <c r="Z30" s="32">
        <f>IFERROR(VLOOKUP($A30,subQ,MATCH(Z$1,SUBQH,0),0),"")</f>
        <v/>
      </c>
      <c r="AA30" s="32">
        <f>IFERROR(VLOOKUP($A30,subQ,MATCH(AA$1,SUBQH,0),0),"")</f>
        <v/>
      </c>
      <c r="AB30" s="32">
        <f>IFERROR(VLOOKUP($A30,subQ,MATCH(AB$1,SUBQH,0),0),"")</f>
        <v/>
      </c>
      <c r="AC30" s="32">
        <f>IFERROR(VLOOKUP($A30,subQ,MATCH(AC$1,SUBQH,0),0),"")</f>
        <v/>
      </c>
      <c r="AD30" s="32">
        <f>IFERROR(VLOOKUP($A30,subQ,MATCH(AD$1,SUBQH,0),0),"")</f>
        <v/>
      </c>
      <c r="AE30" s="32">
        <f>IFERROR(VLOOKUP($A30,subQ,MATCH(AE$1,SUBQH,0),0),"")</f>
        <v/>
      </c>
      <c r="AF30" s="32">
        <f>IFERROR(VLOOKUP($A30,subQ,MATCH(AF$1,SUBQH,0),0),"")</f>
        <v/>
      </c>
      <c r="AG30" s="32">
        <f>IFERROR(VLOOKUP($A30,subQ,MATCH(AG$1,SUBQH,0),0),"")</f>
        <v/>
      </c>
    </row>
    <row r="31">
      <c r="A31" s="12" t="inlineStr">
        <is>
          <t>EPS</t>
        </is>
      </c>
      <c r="D31" t="inlineStr">
        <is>
          <t>EPS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8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BPS</t>
        </is>
      </c>
      <c r="D32" t="inlineStr">
        <is>
          <t>BPS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8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DPS</t>
        </is>
      </c>
      <c r="D33" t="inlineStr">
        <is>
          <t>DPS(보통주)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8">
        <f>IFERROR(VLOOKUP($A33,subQ,MATCH(W$1,SUBQH,0),0),"")</f>
        <v/>
      </c>
      <c r="X33" s="20">
        <f>IFERROR(VLOOKUP($A33,subQ,MATCH(X$1,SUBQH,0),0),"")</f>
        <v/>
      </c>
      <c r="Y33" s="20">
        <f>IFERROR(VLOOKUP($A33,subQ,MATCH(Y$1,SUBQH,0),0),"")</f>
        <v/>
      </c>
      <c r="Z33" s="20">
        <f>IFERROR(VLOOKUP($A33,subQ,MATCH(Z$1,SUBQH,0),0),"")</f>
        <v/>
      </c>
      <c r="AA33" s="20">
        <f>IFERROR(VLOOKUP($A33,subQ,MATCH(AA$1,SUBQH,0),0),"")</f>
        <v/>
      </c>
      <c r="AB33" s="20">
        <f>IFERROR(VLOOKUP($A33,subQ,MATCH(AB$1,SUBQH,0),0),"")</f>
        <v/>
      </c>
      <c r="AC33" s="20">
        <f>IFERROR(VLOOKUP($A33,subQ,MATCH(AC$1,SUBQH,0),0),"")</f>
        <v/>
      </c>
      <c r="AD33" s="20">
        <f>IFERROR(VLOOKUP($A33,subQ,MATCH(AD$1,SUBQH,0),0),"")</f>
        <v/>
      </c>
      <c r="AE33" s="20">
        <f>IFERROR(VLOOKUP($A33,subQ,MATCH(AE$1,SUBQH,0),0),"")</f>
        <v/>
      </c>
      <c r="AF33" s="20">
        <f>IFERROR(VLOOKUP($A33,subQ,MATCH(AF$1,SUBQH,0),0),"")</f>
        <v/>
      </c>
      <c r="AG33" s="20">
        <f>IFERROR(VLOOKUP($A33,subQ,MATCH(AG$1,SUBQH,0),0),"")</f>
        <v/>
      </c>
    </row>
    <row r="34">
      <c r="A34" s="12" t="inlineStr">
        <is>
          <t>PER</t>
        </is>
      </c>
      <c r="D34" t="inlineStr">
        <is>
          <t>PER</t>
        </is>
      </c>
      <c r="E34" s="13">
        <f>IFERROR(VLOOKUP($A34,subQ,MATCH(E$1,SUBQH,0),0),"")</f>
        <v/>
      </c>
      <c r="F34" s="13">
        <f>IFERROR(VLOOKUP($A34,subQ,MATCH(F$1,SUBQH,0),0),"")</f>
        <v/>
      </c>
      <c r="G34" s="13">
        <f>IFERROR(VLOOKUP($A34,subQ,MATCH(G$1,SUBQH,0),0),"")</f>
        <v/>
      </c>
      <c r="H34" s="13">
        <f>IFERROR(VLOOKUP($A34,subQ,MATCH(H$1,SUBQH,0),0),"")</f>
        <v/>
      </c>
      <c r="I34" s="13">
        <f>IFERROR(VLOOKUP($A34,subQ,MATCH(I$1,SUBQH,0),0),"")</f>
        <v/>
      </c>
      <c r="J34" s="13">
        <f>IFERROR(VLOOKUP($A34,subQ,MATCH(J$1,SUBQH,0),0),"")</f>
        <v/>
      </c>
      <c r="K34" s="13">
        <f>IFERROR(VLOOKUP($A34,subQ,MATCH(K$1,SUBQH,0),0),"")</f>
        <v/>
      </c>
      <c r="L34" s="13">
        <f>IFERROR(VLOOKUP($A34,subQ,MATCH(L$1,SUBQH,0),0),"")</f>
        <v/>
      </c>
      <c r="M34" s="13">
        <f>IFERROR(VLOOKUP($A34,subQ,MATCH(M$1,SUBQH,0),0),"")</f>
        <v/>
      </c>
      <c r="N34" s="13">
        <f>IFERROR(VLOOKUP($A34,subQ,MATCH(N$1,SUBQH,0),0),"")</f>
        <v/>
      </c>
      <c r="O34" s="13">
        <f>IFERROR(VLOOKUP($A34,subQ,MATCH(O$1,SUBQH,0),0),"")</f>
        <v/>
      </c>
      <c r="P34" s="13">
        <f>IFERROR(VLOOKUP($A34,subQ,MATCH(P$1,SUBQH,0),0),"")</f>
        <v/>
      </c>
      <c r="Q34" s="13">
        <f>IFERROR(VLOOKUP($A34,subQ,MATCH(Q$1,SUBQH,0),0),"")</f>
        <v/>
      </c>
      <c r="R34" s="13">
        <f>IFERROR(VLOOKUP($A34,subQ,MATCH(R$1,SUBQH,0),0),"")</f>
        <v/>
      </c>
      <c r="S34" s="13">
        <f>IFERROR(VLOOKUP($A34,subQ,MATCH(S$1,SUBQH,0),0),"")</f>
        <v/>
      </c>
      <c r="T34" s="13">
        <f>IFERROR(VLOOKUP($A34,subQ,MATCH(T$1,SUBQH,0),0),"")</f>
        <v/>
      </c>
      <c r="U34" s="13">
        <f>IFERROR(VLOOKUP($A34,subQ,MATCH(U$1,SUBQH,0),0),"")</f>
        <v/>
      </c>
      <c r="V34" s="13">
        <f>IFERROR(VLOOKUP($A34,subQ,MATCH(V$1,SUBQH,0),0),"")</f>
        <v/>
      </c>
      <c r="W34" s="51">
        <f>IFERROR(VLOOKUP($A34,subQ,MATCH(W$1,SUBQH,0),0),"")</f>
        <v/>
      </c>
      <c r="X34" s="39">
        <f>IFERROR(VLOOKUP($A34,subQ,MATCH(X$1,SUBQH,0),0),"")</f>
        <v/>
      </c>
      <c r="Y34" s="39">
        <f>IFERROR(VLOOKUP($A34,subQ,MATCH(Y$1,SUBQH,0),0),"")</f>
        <v/>
      </c>
      <c r="Z34" s="39">
        <f>IFERROR(VLOOKUP($A34,subQ,MATCH(Z$1,SUBQH,0),0),"")</f>
        <v/>
      </c>
      <c r="AA34" s="39">
        <f>IFERROR(VLOOKUP($A34,subQ,MATCH(AA$1,SUBQH,0),0),"")</f>
        <v/>
      </c>
      <c r="AB34" s="39">
        <f>IFERROR(VLOOKUP($A34,subQ,MATCH(AB$1,SUBQH,0),0),"")</f>
        <v/>
      </c>
      <c r="AC34" s="39">
        <f>IFERROR(VLOOKUP($A34,subQ,MATCH(AC$1,SUBQH,0),0),"")</f>
        <v/>
      </c>
      <c r="AD34" s="39">
        <f>IFERROR(VLOOKUP($A34,subQ,MATCH(AD$1,SUBQH,0),0),"")</f>
        <v/>
      </c>
      <c r="AE34" s="39">
        <f>IFERROR(VLOOKUP($A34,subQ,MATCH(AE$1,SUBQH,0),0),"")</f>
        <v/>
      </c>
      <c r="AF34" s="39">
        <f>IFERROR(VLOOKUP($A34,subQ,MATCH(AF$1,SUBQH,0),0),"")</f>
        <v/>
      </c>
      <c r="AG34" s="39">
        <f>IFERROR(VLOOKUP($A34,subQ,MATCH(AG$1,SUBQH,0),0),"")</f>
        <v/>
      </c>
    </row>
    <row r="35">
      <c r="A35" s="12" t="inlineStr">
        <is>
          <t>PBR</t>
        </is>
      </c>
      <c r="D35" t="inlineStr">
        <is>
          <t>PBR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13">
        <f>IFERROR(VLOOKUP($A35,subQ,MATCH(I$1,SUBQH,0),0),"")</f>
        <v/>
      </c>
      <c r="J35" s="13">
        <f>IFERROR(VLOOKUP($A35,subQ,MATCH(J$1,SUBQH,0),0),"")</f>
        <v/>
      </c>
      <c r="K35" s="13">
        <f>IFERROR(VLOOKUP($A35,subQ,MATCH(K$1,SUBQH,0),0),"")</f>
        <v/>
      </c>
      <c r="L35" s="13">
        <f>IFERROR(VLOOKUP($A35,subQ,MATCH(L$1,SUBQH,0),0),"")</f>
        <v/>
      </c>
      <c r="M35" s="13">
        <f>IFERROR(VLOOKUP($A35,subQ,MATCH(M$1,SUBQH,0),0),"")</f>
        <v/>
      </c>
      <c r="N35" s="13">
        <f>IFERROR(VLOOKUP($A35,subQ,MATCH(N$1,SUBQH,0),0),"")</f>
        <v/>
      </c>
      <c r="O35" s="13">
        <f>IFERROR(VLOOKUP($A35,subQ,MATCH(O$1,SUBQH,0),0),"")</f>
        <v/>
      </c>
      <c r="P35" s="13">
        <f>IFERROR(VLOOKUP($A35,subQ,MATCH(P$1,SUBQH,0),0),"")</f>
        <v/>
      </c>
      <c r="Q35" s="13">
        <f>IFERROR(VLOOKUP($A35,subQ,MATCH(Q$1,SUBQH,0),0),"")</f>
        <v/>
      </c>
      <c r="R35" s="13">
        <f>IFERROR(VLOOKUP($A35,subQ,MATCH(R$1,SUBQH,0),0),"")</f>
        <v/>
      </c>
      <c r="S35" s="13">
        <f>IFERROR(VLOOKUP($A35,subQ,MATCH(S$1,SUBQH,0),0),"")</f>
        <v/>
      </c>
      <c r="T35" s="13">
        <f>IFERROR(VLOOKUP($A35,subQ,MATCH(T$1,SUBQH,0),0),"")</f>
        <v/>
      </c>
      <c r="U35" s="13">
        <f>IFERROR(VLOOKUP($A35,subQ,MATCH(U$1,SUBQH,0),0),"")</f>
        <v/>
      </c>
      <c r="V35" s="13">
        <f>IFERROR(VLOOKUP($A35,subQ,MATCH(V$1,SUBQH,0),0),"")</f>
        <v/>
      </c>
      <c r="W35" s="51">
        <f>IFERROR(VLOOKUP($A35,subQ,MATCH(W$1,SUBQH,0),0),"")</f>
        <v/>
      </c>
      <c r="X35" s="39">
        <f>IFERROR(VLOOKUP($A35,subQ,MATCH(X$1,SUBQH,0),0),"")</f>
        <v/>
      </c>
      <c r="Y35" s="39">
        <f>IFERROR(VLOOKUP($A35,subQ,MATCH(Y$1,SUBQH,0),0),"")</f>
        <v/>
      </c>
      <c r="Z35" s="39">
        <f>IFERROR(VLOOKUP($A35,subQ,MATCH(Z$1,SUBQH,0),0),"")</f>
        <v/>
      </c>
      <c r="AA35" s="39">
        <f>IFERROR(VLOOKUP($A35,subQ,MATCH(AA$1,SUBQH,0),0),"")</f>
        <v/>
      </c>
      <c r="AB35" s="39">
        <f>IFERROR(VLOOKUP($A35,subQ,MATCH(AB$1,SUBQH,0),0),"")</f>
        <v/>
      </c>
      <c r="AC35" s="39">
        <f>IFERROR(VLOOKUP($A35,subQ,MATCH(AC$1,SUBQH,0),0),"")</f>
        <v/>
      </c>
      <c r="AD35" s="39">
        <f>IFERROR(VLOOKUP($A35,subQ,MATCH(AD$1,SUBQH,0),0),"")</f>
        <v/>
      </c>
      <c r="AE35" s="39">
        <f>IFERROR(VLOOKUP($A35,subQ,MATCH(AE$1,SUBQH,0),0),"")</f>
        <v/>
      </c>
      <c r="AF35" s="39">
        <f>IFERROR(VLOOKUP($A35,subQ,MATCH(AF$1,SUBQH,0),0),"")</f>
        <v/>
      </c>
      <c r="AG35" s="39">
        <f>IFERROR(VLOOKUP($A35,subQ,MATCH(AG$1,SUBQH,0),0),"")</f>
        <v/>
      </c>
    </row>
    <row r="36">
      <c r="A36" s="12" t="inlineStr">
        <is>
          <t>매출조선</t>
        </is>
      </c>
      <c r="D36" t="inlineStr">
        <is>
          <t>매출 조선·해양(방산·신조선·상선·특수선)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18">
        <f>IFERROR(VLOOKUP($A36,subQ,MATCH(I$1,SUBQH,0),0),"")</f>
        <v/>
      </c>
      <c r="J36" s="18">
        <f>IFERROR(VLOOKUP($A36,subQ,MATCH(J$1,SUBQH,0),0),"")</f>
        <v/>
      </c>
      <c r="K36" s="18">
        <f>IFERROR(VLOOKUP($A36,subQ,MATCH(K$1,SUBQH,0),0),"")</f>
        <v/>
      </c>
      <c r="L36" s="18">
        <f>IFERROR(VLOOKUP($A36,subQ,MATCH(L$1,SUBQH,0),0),"")</f>
        <v/>
      </c>
      <c r="M36" s="18">
        <f>IFERROR(VLOOKUP($A36,subQ,MATCH(M$1,SUBQH,0),0),"")</f>
        <v/>
      </c>
      <c r="N36" s="18">
        <f>IFERROR(VLOOKUP($A36,subQ,MATCH(N$1,SUBQH,0),0),"")</f>
        <v/>
      </c>
      <c r="O36" s="18">
        <f>IFERROR(VLOOKUP($A36,subQ,MATCH(O$1,SUBQH,0),0),"")</f>
        <v/>
      </c>
      <c r="P36" s="18">
        <f>IFERROR(VLOOKUP($A36,subQ,MATCH(P$1,SUBQH,0),0),"")</f>
        <v/>
      </c>
      <c r="Q36" s="18">
        <f>IFERROR(VLOOKUP($A36,subQ,MATCH(Q$1,SUBQH,0),0),"")</f>
        <v/>
      </c>
      <c r="R36" s="18">
        <f>IFERROR(VLOOKUP($A36,subQ,MATCH(R$1,SUBQH,0),0),"")</f>
        <v/>
      </c>
      <c r="S36" s="18">
        <f>IFERROR(VLOOKUP($A36,subQ,MATCH(S$1,SUBQH,0),0),"")</f>
        <v/>
      </c>
      <c r="T36" s="18">
        <f>IFERROR(VLOOKUP($A36,subQ,MATCH(T$1,SUBQH,0),0),"")</f>
        <v/>
      </c>
      <c r="U36" s="18">
        <f>IFERROR(VLOOKUP($A36,subQ,MATCH(U$1,SUBQH,0),0),"")</f>
        <v/>
      </c>
      <c r="V36" s="18">
        <f>IFERROR(VLOOKUP($A36,subQ,MATCH(V$1,SUBQH,0),0),"")</f>
        <v/>
      </c>
      <c r="W36" s="48">
        <f>IFERROR(VLOOKUP($A36,subQ,MATCH(W$1,SUBQH,0),0),"")</f>
        <v/>
      </c>
      <c r="X36" s="20">
        <f>IFERROR(VLOOKUP($A36,subQ,MATCH(X$1,SUBQH,0),0),"")</f>
        <v/>
      </c>
      <c r="Y36" s="20">
        <f>IFERROR(VLOOKUP($A36,subQ,MATCH(Y$1,SUBQH,0),0),"")</f>
        <v/>
      </c>
      <c r="Z36" s="20">
        <f>IFERROR(VLOOKUP($A36,subQ,MATCH(Z$1,SUBQH,0),0),"")</f>
        <v/>
      </c>
      <c r="AA36" s="20">
        <f>IFERROR(VLOOKUP($A36,subQ,MATCH(AA$1,SUBQH,0),0),"")</f>
        <v/>
      </c>
      <c r="AB36" s="20">
        <f>IFERROR(VLOOKUP($A36,subQ,MATCH(AB$1,SUBQH,0),0),"")</f>
        <v/>
      </c>
      <c r="AC36" s="20">
        <f>IFERROR(VLOOKUP($A36,subQ,MATCH(AC$1,SUBQH,0),0),"")</f>
        <v/>
      </c>
      <c r="AD36" s="20">
        <f>IFERROR(VLOOKUP($A36,subQ,MATCH(AD$1,SUBQH,0),0),"")</f>
        <v/>
      </c>
      <c r="AE36" s="20">
        <f>IFERROR(VLOOKUP($A36,subQ,MATCH(AE$1,SUBQH,0),0),"")</f>
        <v/>
      </c>
      <c r="AF36" s="20">
        <f>IFERROR(VLOOKUP($A36,subQ,MATCH(AF$1,SUBQH,0),0),"")</f>
        <v/>
      </c>
      <c r="AG36" s="20">
        <f>IFERROR(VLOOKUP($A36,subQ,MATCH(AG$1,SUBQH,0),0),"")</f>
        <v/>
      </c>
    </row>
    <row r="37">
      <c r="A37" s="12" t="inlineStr">
        <is>
          <t>매출조선신규</t>
        </is>
      </c>
      <c r="D37" t="inlineStr">
        <is>
          <t>매출 조선·해양(방산·신조선·상선·특수선) 신규수주(원장 체결 속도(폴백) — 매출조선에 포함)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18">
        <f>IFERROR(VLOOKUP($A37,subQ,MATCH(I$1,SUBQH,0),0),"")</f>
        <v/>
      </c>
      <c r="J37" s="18">
        <f>IFERROR(VLOOKUP($A37,subQ,MATCH(J$1,SUBQH,0),0),"")</f>
        <v/>
      </c>
      <c r="K37" s="18">
        <f>IFERROR(VLOOKUP($A37,subQ,MATCH(K$1,SUBQH,0),0),"")</f>
        <v/>
      </c>
      <c r="L37" s="18">
        <f>IFERROR(VLOOKUP($A37,subQ,MATCH(L$1,SUBQH,0),0),"")</f>
        <v/>
      </c>
      <c r="M37" s="18">
        <f>IFERROR(VLOOKUP($A37,subQ,MATCH(M$1,SUBQH,0),0),"")</f>
        <v/>
      </c>
      <c r="N37" s="18">
        <f>IFERROR(VLOOKUP($A37,subQ,MATCH(N$1,SUBQH,0),0),"")</f>
        <v/>
      </c>
      <c r="O37" s="18">
        <f>IFERROR(VLOOKUP($A37,subQ,MATCH(O$1,SUBQH,0),0),"")</f>
        <v/>
      </c>
      <c r="P37" s="18">
        <f>IFERROR(VLOOKUP($A37,subQ,MATCH(P$1,SUBQH,0),0),"")</f>
        <v/>
      </c>
      <c r="Q37" s="18">
        <f>IFERROR(VLOOKUP($A37,subQ,MATCH(Q$1,SUBQH,0),0),"")</f>
        <v/>
      </c>
      <c r="R37" s="18">
        <f>IFERROR(VLOOKUP($A37,subQ,MATCH(R$1,SUBQH,0),0),"")</f>
        <v/>
      </c>
      <c r="S37" s="18">
        <f>IFERROR(VLOOKUP($A37,subQ,MATCH(S$1,SUBQH,0),0),"")</f>
        <v/>
      </c>
      <c r="T37" s="18">
        <f>IFERROR(VLOOKUP($A37,subQ,MATCH(T$1,SUBQH,0),0),"")</f>
        <v/>
      </c>
      <c r="U37" s="18">
        <f>IFERROR(VLOOKUP($A37,subQ,MATCH(U$1,SUBQH,0),0),"")</f>
        <v/>
      </c>
      <c r="V37" s="18">
        <f>IFERROR(VLOOKUP($A37,subQ,MATCH(V$1,SUBQH,0),0),"")</f>
        <v/>
      </c>
      <c r="W37" s="48">
        <f>IFERROR(VLOOKUP($A37,subQ,MATCH(W$1,SUBQH,0),0),"")</f>
        <v/>
      </c>
      <c r="X37" s="20">
        <f>IFERROR(VLOOKUP($A37,subQ,MATCH(X$1,SUBQH,0),0),"")</f>
        <v/>
      </c>
      <c r="Y37" s="20">
        <f>IFERROR(VLOOKUP($A37,subQ,MATCH(Y$1,SUBQH,0),0),"")</f>
        <v/>
      </c>
      <c r="Z37" s="20">
        <f>IFERROR(VLOOKUP($A37,subQ,MATCH(Z$1,SUBQH,0),0),"")</f>
        <v/>
      </c>
      <c r="AA37" s="20">
        <f>IFERROR(VLOOKUP($A37,subQ,MATCH(AA$1,SUBQH,0),0),"")</f>
        <v/>
      </c>
      <c r="AB37" s="20">
        <f>IFERROR(VLOOKUP($A37,subQ,MATCH(AB$1,SUBQH,0),0),"")</f>
        <v/>
      </c>
      <c r="AC37" s="20">
        <f>IFERROR(VLOOKUP($A37,subQ,MATCH(AC$1,SUBQH,0),0),"")</f>
        <v/>
      </c>
      <c r="AD37" s="20">
        <f>IFERROR(VLOOKUP($A37,subQ,MATCH(AD$1,SUBQH,0),0),"")</f>
        <v/>
      </c>
      <c r="AE37" s="20">
        <f>IFERROR(VLOOKUP($A37,subQ,MATCH(AE$1,SUBQH,0),0),"")</f>
        <v/>
      </c>
      <c r="AF37" s="20">
        <f>IFERROR(VLOOKUP($A37,subQ,MATCH(AF$1,SUBQH,0),0),"")</f>
        <v/>
      </c>
      <c r="AG37" s="20">
        <f>IFERROR(VLOOKUP($A37,subQ,MATCH(AG$1,SUBQH,0),0),"")</f>
        <v/>
      </c>
    </row>
    <row r="38">
      <c r="A38" s="12" t="inlineStr">
        <is>
          <t>OP조선</t>
        </is>
      </c>
      <c r="D38" t="inlineStr">
        <is>
          <t>OP 조선·해양(방산·신조선·상선·특수선)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18">
        <f>IFERROR(VLOOKUP($A38,subQ,MATCH(I$1,SUBQH,0),0),"")</f>
        <v/>
      </c>
      <c r="J38" s="18">
        <f>IFERROR(VLOOKUP($A38,subQ,MATCH(J$1,SUBQH,0),0),"")</f>
        <v/>
      </c>
      <c r="K38" s="18">
        <f>IFERROR(VLOOKUP($A38,subQ,MATCH(K$1,SUBQH,0),0),"")</f>
        <v/>
      </c>
      <c r="L38" s="18">
        <f>IFERROR(VLOOKUP($A38,subQ,MATCH(L$1,SUBQH,0),0),"")</f>
        <v/>
      </c>
      <c r="M38" s="18">
        <f>IFERROR(VLOOKUP($A38,subQ,MATCH(M$1,SUBQH,0),0),"")</f>
        <v/>
      </c>
      <c r="N38" s="18">
        <f>IFERROR(VLOOKUP($A38,subQ,MATCH(N$1,SUBQH,0),0),"")</f>
        <v/>
      </c>
      <c r="O38" s="18">
        <f>IFERROR(VLOOKUP($A38,subQ,MATCH(O$1,SUBQH,0),0),"")</f>
        <v/>
      </c>
      <c r="P38" s="18">
        <f>IFERROR(VLOOKUP($A38,subQ,MATCH(P$1,SUBQH,0),0),"")</f>
        <v/>
      </c>
      <c r="Q38" s="18">
        <f>IFERROR(VLOOKUP($A38,subQ,MATCH(Q$1,SUBQH,0),0),"")</f>
        <v/>
      </c>
      <c r="R38" s="18">
        <f>IFERROR(VLOOKUP($A38,subQ,MATCH(R$1,SUBQH,0),0),"")</f>
        <v/>
      </c>
      <c r="S38" s="18">
        <f>IFERROR(VLOOKUP($A38,subQ,MATCH(S$1,SUBQH,0),0),"")</f>
        <v/>
      </c>
      <c r="T38" s="18">
        <f>IFERROR(VLOOKUP($A38,subQ,MATCH(T$1,SUBQH,0),0),"")</f>
        <v/>
      </c>
      <c r="U38" s="18">
        <f>IFERROR(VLOOKUP($A38,subQ,MATCH(U$1,SUBQH,0),0),"")</f>
        <v/>
      </c>
      <c r="V38" s="18">
        <f>IFERROR(VLOOKUP($A38,subQ,MATCH(V$1,SUBQH,0),0),"")</f>
        <v/>
      </c>
      <c r="W38" s="48">
        <f>IFERROR(VLOOKUP($A38,subQ,MATCH(W$1,SUBQH,0),0),"")</f>
        <v/>
      </c>
      <c r="X38" s="20">
        <f>IFERROR(VLOOKUP($A38,subQ,MATCH(X$1,SUBQH,0),0),"")</f>
        <v/>
      </c>
      <c r="Y38" s="20">
        <f>IFERROR(VLOOKUP($A38,subQ,MATCH(Y$1,SUBQH,0),0),"")</f>
        <v/>
      </c>
      <c r="Z38" s="20">
        <f>IFERROR(VLOOKUP($A38,subQ,MATCH(Z$1,SUBQH,0),0),"")</f>
        <v/>
      </c>
      <c r="AA38" s="20">
        <f>IFERROR(VLOOKUP($A38,subQ,MATCH(AA$1,SUBQH,0),0),"")</f>
        <v/>
      </c>
      <c r="AB38" s="20">
        <f>IFERROR(VLOOKUP($A38,subQ,MATCH(AB$1,SUBQH,0),0),"")</f>
        <v/>
      </c>
      <c r="AC38" s="20">
        <f>IFERROR(VLOOKUP($A38,subQ,MATCH(AC$1,SUBQH,0),0),"")</f>
        <v/>
      </c>
      <c r="AD38" s="20">
        <f>IFERROR(VLOOKUP($A38,subQ,MATCH(AD$1,SUBQH,0),0),"")</f>
        <v/>
      </c>
      <c r="AE38" s="20">
        <f>IFERROR(VLOOKUP($A38,subQ,MATCH(AE$1,SUBQH,0),0),"")</f>
        <v/>
      </c>
      <c r="AF38" s="20">
        <f>IFERROR(VLOOKUP($A38,subQ,MATCH(AF$1,SUBQH,0),0),"")</f>
        <v/>
      </c>
      <c r="AG38" s="20">
        <f>IFERROR(VLOOKUP($A38,subQ,MATCH(AG$1,SUBQH,0),0),"")</f>
        <v/>
      </c>
    </row>
    <row r="39">
      <c r="A39" s="12" t="inlineStr">
        <is>
          <t>OP조선신규</t>
        </is>
      </c>
      <c r="D39" t="inlineStr">
        <is>
          <t>OP 조선·해양(방산·신조선·상선·특수선) 신규수주(매출조선신규 × OPM — OP조선에 포함)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18">
        <f>IFERROR(VLOOKUP($A39,subQ,MATCH(I$1,SUBQH,0),0),"")</f>
        <v/>
      </c>
      <c r="J39" s="18">
        <f>IFERROR(VLOOKUP($A39,subQ,MATCH(J$1,SUBQH,0),0),"")</f>
        <v/>
      </c>
      <c r="K39" s="18">
        <f>IFERROR(VLOOKUP($A39,subQ,MATCH(K$1,SUBQH,0),0),"")</f>
        <v/>
      </c>
      <c r="L39" s="18">
        <f>IFERROR(VLOOKUP($A39,subQ,MATCH(L$1,SUBQH,0),0),"")</f>
        <v/>
      </c>
      <c r="M39" s="18">
        <f>IFERROR(VLOOKUP($A39,subQ,MATCH(M$1,SUBQH,0),0),"")</f>
        <v/>
      </c>
      <c r="N39" s="18">
        <f>IFERROR(VLOOKUP($A39,subQ,MATCH(N$1,SUBQH,0),0),"")</f>
        <v/>
      </c>
      <c r="O39" s="18">
        <f>IFERROR(VLOOKUP($A39,subQ,MATCH(O$1,SUBQH,0),0),"")</f>
        <v/>
      </c>
      <c r="P39" s="18">
        <f>IFERROR(VLOOKUP($A39,subQ,MATCH(P$1,SUBQH,0),0),"")</f>
        <v/>
      </c>
      <c r="Q39" s="18">
        <f>IFERROR(VLOOKUP($A39,subQ,MATCH(Q$1,SUBQH,0),0),"")</f>
        <v/>
      </c>
      <c r="R39" s="18">
        <f>IFERROR(VLOOKUP($A39,subQ,MATCH(R$1,SUBQH,0),0),"")</f>
        <v/>
      </c>
      <c r="S39" s="18">
        <f>IFERROR(VLOOKUP($A39,subQ,MATCH(S$1,SUBQH,0),0),"")</f>
        <v/>
      </c>
      <c r="T39" s="18">
        <f>IFERROR(VLOOKUP($A39,subQ,MATCH(T$1,SUBQH,0),0),"")</f>
        <v/>
      </c>
      <c r="U39" s="18">
        <f>IFERROR(VLOOKUP($A39,subQ,MATCH(U$1,SUBQH,0),0),"")</f>
        <v/>
      </c>
      <c r="V39" s="18">
        <f>IFERROR(VLOOKUP($A39,subQ,MATCH(V$1,SUBQH,0),0),"")</f>
        <v/>
      </c>
      <c r="W39" s="48">
        <f>IFERROR(VLOOKUP($A39,subQ,MATCH(W$1,SUBQH,0),0),"")</f>
        <v/>
      </c>
      <c r="X39" s="20">
        <f>IFERROR(VLOOKUP($A39,subQ,MATCH(X$1,SUBQH,0),0),"")</f>
        <v/>
      </c>
      <c r="Y39" s="20">
        <f>IFERROR(VLOOKUP($A39,subQ,MATCH(Y$1,SUBQH,0),0),"")</f>
        <v/>
      </c>
      <c r="Z39" s="20">
        <f>IFERROR(VLOOKUP($A39,subQ,MATCH(Z$1,SUBQH,0),0),"")</f>
        <v/>
      </c>
      <c r="AA39" s="20">
        <f>IFERROR(VLOOKUP($A39,subQ,MATCH(AA$1,SUBQH,0),0),"")</f>
        <v/>
      </c>
      <c r="AB39" s="20">
        <f>IFERROR(VLOOKUP($A39,subQ,MATCH(AB$1,SUBQH,0),0),"")</f>
        <v/>
      </c>
      <c r="AC39" s="20">
        <f>IFERROR(VLOOKUP($A39,subQ,MATCH(AC$1,SUBQH,0),0),"")</f>
        <v/>
      </c>
      <c r="AD39" s="20">
        <f>IFERROR(VLOOKUP($A39,subQ,MATCH(AD$1,SUBQH,0),0),"")</f>
        <v/>
      </c>
      <c r="AE39" s="20">
        <f>IFERROR(VLOOKUP($A39,subQ,MATCH(AE$1,SUBQH,0),0),"")</f>
        <v/>
      </c>
      <c r="AF39" s="20">
        <f>IFERROR(VLOOKUP($A39,subQ,MATCH(AF$1,SUBQH,0),0),"")</f>
        <v/>
      </c>
      <c r="AG39" s="20">
        <f>IFERROR(VLOOKUP($A39,subQ,MATCH(AG$1,SUBQH,0),0),"")</f>
        <v/>
      </c>
    </row>
    <row r="40">
      <c r="A40" s="12" t="inlineStr">
        <is>
          <t>매출기타</t>
        </is>
      </c>
      <c r="D40" t="inlineStr">
        <is>
          <t>매출 기타 부문(총매출 − 조선)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18">
        <f>IFERROR(VLOOKUP($A40,subQ,MATCH(I$1,SUBQH,0),0),"")</f>
        <v/>
      </c>
      <c r="J40" s="18">
        <f>IFERROR(VLOOKUP($A40,subQ,MATCH(J$1,SUBQH,0),0),"")</f>
        <v/>
      </c>
      <c r="K40" s="18">
        <f>IFERROR(VLOOKUP($A40,subQ,MATCH(K$1,SUBQH,0),0),"")</f>
        <v/>
      </c>
      <c r="L40" s="18">
        <f>IFERROR(VLOOKUP($A40,subQ,MATCH(L$1,SUBQH,0),0),"")</f>
        <v/>
      </c>
      <c r="M40" s="18">
        <f>IFERROR(VLOOKUP($A40,subQ,MATCH(M$1,SUBQH,0),0),"")</f>
        <v/>
      </c>
      <c r="N40" s="18">
        <f>IFERROR(VLOOKUP($A40,subQ,MATCH(N$1,SUBQH,0),0),"")</f>
        <v/>
      </c>
      <c r="O40" s="18">
        <f>IFERROR(VLOOKUP($A40,subQ,MATCH(O$1,SUBQH,0),0),"")</f>
        <v/>
      </c>
      <c r="P40" s="18">
        <f>IFERROR(VLOOKUP($A40,subQ,MATCH(P$1,SUBQH,0),0),"")</f>
        <v/>
      </c>
      <c r="Q40" s="18">
        <f>IFERROR(VLOOKUP($A40,subQ,MATCH(Q$1,SUBQH,0),0),"")</f>
        <v/>
      </c>
      <c r="R40" s="18">
        <f>IFERROR(VLOOKUP($A40,subQ,MATCH(R$1,SUBQH,0),0),"")</f>
        <v/>
      </c>
      <c r="S40" s="18">
        <f>IFERROR(VLOOKUP($A40,subQ,MATCH(S$1,SUBQH,0),0),"")</f>
        <v/>
      </c>
      <c r="T40" s="18">
        <f>IFERROR(VLOOKUP($A40,subQ,MATCH(T$1,SUBQH,0),0),"")</f>
        <v/>
      </c>
      <c r="U40" s="18">
        <f>IFERROR(VLOOKUP($A40,subQ,MATCH(U$1,SUBQH,0),0),"")</f>
        <v/>
      </c>
      <c r="V40" s="18">
        <f>IFERROR(VLOOKUP($A40,subQ,MATCH(V$1,SUBQH,0),0),"")</f>
        <v/>
      </c>
      <c r="W40" s="48">
        <f>IFERROR(VLOOKUP($A40,subQ,MATCH(W$1,SUBQH,0),0),"")</f>
        <v/>
      </c>
      <c r="X40" s="20">
        <f>IFERROR(VLOOKUP($A40,subQ,MATCH(X$1,SUBQH,0),0),"")</f>
        <v/>
      </c>
      <c r="Y40" s="20">
        <f>IFERROR(VLOOKUP($A40,subQ,MATCH(Y$1,SUBQH,0),0),"")</f>
        <v/>
      </c>
      <c r="Z40" s="20">
        <f>IFERROR(VLOOKUP($A40,subQ,MATCH(Z$1,SUBQH,0),0),"")</f>
        <v/>
      </c>
      <c r="AA40" s="20">
        <f>IFERROR(VLOOKUP($A40,subQ,MATCH(AA$1,SUBQH,0),0),"")</f>
        <v/>
      </c>
      <c r="AB40" s="20">
        <f>IFERROR(VLOOKUP($A40,subQ,MATCH(AB$1,SUBQH,0),0),"")</f>
        <v/>
      </c>
      <c r="AC40" s="20">
        <f>IFERROR(VLOOKUP($A40,subQ,MATCH(AC$1,SUBQH,0),0),"")</f>
        <v/>
      </c>
      <c r="AD40" s="20">
        <f>IFERROR(VLOOKUP($A40,subQ,MATCH(AD$1,SUBQH,0),0),"")</f>
        <v/>
      </c>
      <c r="AE40" s="20">
        <f>IFERROR(VLOOKUP($A40,subQ,MATCH(AE$1,SUBQH,0),0),"")</f>
        <v/>
      </c>
      <c r="AF40" s="20">
        <f>IFERROR(VLOOKUP($A40,subQ,MATCH(AF$1,SUBQH,0),0),"")</f>
        <v/>
      </c>
      <c r="AG40" s="20">
        <f>IFERROR(VLOOKUP($A40,subQ,MATCH(AG$1,SUBQH,0),0),"")</f>
        <v/>
      </c>
    </row>
    <row r="41">
      <c r="A41" s="12" t="inlineStr">
        <is>
          <t>OP기타</t>
        </is>
      </c>
      <c r="D41" t="inlineStr">
        <is>
          <t>OP 기타 부문(총매출 − 조선)</t>
        </is>
      </c>
      <c r="E41" s="18">
        <f>IFERROR(VLOOKUP($A41,subQ,MATCH(E$1,SUBQH,0),0),"")</f>
        <v/>
      </c>
      <c r="F41" s="18">
        <f>IFERROR(VLOOKUP($A41,subQ,MATCH(F$1,SUBQH,0),0),"")</f>
        <v/>
      </c>
      <c r="G41" s="18">
        <f>IFERROR(VLOOKUP($A41,subQ,MATCH(G$1,SUBQH,0),0),"")</f>
        <v/>
      </c>
      <c r="H41" s="18">
        <f>IFERROR(VLOOKUP($A41,subQ,MATCH(H$1,SUBQH,0),0),"")</f>
        <v/>
      </c>
      <c r="I41" s="18">
        <f>IFERROR(VLOOKUP($A41,subQ,MATCH(I$1,SUBQH,0),0),"")</f>
        <v/>
      </c>
      <c r="J41" s="18">
        <f>IFERROR(VLOOKUP($A41,subQ,MATCH(J$1,SUBQH,0),0),"")</f>
        <v/>
      </c>
      <c r="K41" s="18">
        <f>IFERROR(VLOOKUP($A41,subQ,MATCH(K$1,SUBQH,0),0),"")</f>
        <v/>
      </c>
      <c r="L41" s="18">
        <f>IFERROR(VLOOKUP($A41,subQ,MATCH(L$1,SUBQH,0),0),"")</f>
        <v/>
      </c>
      <c r="M41" s="18">
        <f>IFERROR(VLOOKUP($A41,subQ,MATCH(M$1,SUBQH,0),0),"")</f>
        <v/>
      </c>
      <c r="N41" s="18">
        <f>IFERROR(VLOOKUP($A41,subQ,MATCH(N$1,SUBQH,0),0),"")</f>
        <v/>
      </c>
      <c r="O41" s="18">
        <f>IFERROR(VLOOKUP($A41,subQ,MATCH(O$1,SUBQH,0),0),"")</f>
        <v/>
      </c>
      <c r="P41" s="18">
        <f>IFERROR(VLOOKUP($A41,subQ,MATCH(P$1,SUBQH,0),0),"")</f>
        <v/>
      </c>
      <c r="Q41" s="18">
        <f>IFERROR(VLOOKUP($A41,subQ,MATCH(Q$1,SUBQH,0),0),"")</f>
        <v/>
      </c>
      <c r="R41" s="18">
        <f>IFERROR(VLOOKUP($A41,subQ,MATCH(R$1,SUBQH,0),0),"")</f>
        <v/>
      </c>
      <c r="S41" s="18">
        <f>IFERROR(VLOOKUP($A41,subQ,MATCH(S$1,SUBQH,0),0),"")</f>
        <v/>
      </c>
      <c r="T41" s="18">
        <f>IFERROR(VLOOKUP($A41,subQ,MATCH(T$1,SUBQH,0),0),"")</f>
        <v/>
      </c>
      <c r="U41" s="18">
        <f>IFERROR(VLOOKUP($A41,subQ,MATCH(U$1,SUBQH,0),0),"")</f>
        <v/>
      </c>
      <c r="V41" s="18">
        <f>IFERROR(VLOOKUP($A41,subQ,MATCH(V$1,SUBQH,0),0),"")</f>
        <v/>
      </c>
      <c r="W41" s="48">
        <f>IFERROR(VLOOKUP($A41,subQ,MATCH(W$1,SUBQH,0),0),"")</f>
        <v/>
      </c>
      <c r="X41" s="20">
        <f>IFERROR(VLOOKUP($A41,subQ,MATCH(X$1,SUBQH,0),0),"")</f>
        <v/>
      </c>
      <c r="Y41" s="20">
        <f>IFERROR(VLOOKUP($A41,subQ,MATCH(Y$1,SUBQH,0),0),"")</f>
        <v/>
      </c>
      <c r="Z41" s="20">
        <f>IFERROR(VLOOKUP($A41,subQ,MATCH(Z$1,SUBQH,0),0),"")</f>
        <v/>
      </c>
      <c r="AA41" s="20">
        <f>IFERROR(VLOOKUP($A41,subQ,MATCH(AA$1,SUBQH,0),0),"")</f>
        <v/>
      </c>
      <c r="AB41" s="20">
        <f>IFERROR(VLOOKUP($A41,subQ,MATCH(AB$1,SUBQH,0),0),"")</f>
        <v/>
      </c>
      <c r="AC41" s="20">
        <f>IFERROR(VLOOKUP($A41,subQ,MATCH(AC$1,SUBQH,0),0),"")</f>
        <v/>
      </c>
      <c r="AD41" s="20">
        <f>IFERROR(VLOOKUP($A41,subQ,MATCH(AD$1,SUBQH,0),0),"")</f>
        <v/>
      </c>
      <c r="AE41" s="20">
        <f>IFERROR(VLOOKUP($A41,subQ,MATCH(AE$1,SUBQH,0),0),"")</f>
        <v/>
      </c>
      <c r="AF41" s="20">
        <f>IFERROR(VLOOKUP($A41,subQ,MATCH(AF$1,SUBQH,0),0),"")</f>
        <v/>
      </c>
      <c r="AG41" s="20">
        <f>IFERROR(VLOOKUP($A41,subQ,MATCH(AG$1,SUBQH,0),0),"")</f>
        <v/>
      </c>
    </row>
    <row r="42">
      <c r="A42" s="12" t="inlineStr">
        <is>
          <t>NPM</t>
        </is>
      </c>
      <c r="D42" t="inlineStr">
        <is>
          <t>NPM</t>
        </is>
      </c>
      <c r="E42" s="21">
        <f>IFERROR(VLOOKUP($A42,subQ,MATCH(E$1,SUBQH,0),0),"")</f>
        <v/>
      </c>
      <c r="F42" s="21">
        <f>IFERROR(VLOOKUP($A42,subQ,MATCH(F$1,SUBQH,0),0),"")</f>
        <v/>
      </c>
      <c r="G42" s="21">
        <f>IFERROR(VLOOKUP($A42,subQ,MATCH(G$1,SUBQH,0),0),"")</f>
        <v/>
      </c>
      <c r="H42" s="21">
        <f>IFERROR(VLOOKUP($A42,subQ,MATCH(H$1,SUBQH,0),0),"")</f>
        <v/>
      </c>
      <c r="I42" s="21">
        <f>IFERROR(VLOOKUP($A42,subQ,MATCH(I$1,SUBQH,0),0),"")</f>
        <v/>
      </c>
      <c r="J42" s="21">
        <f>IFERROR(VLOOKUP($A42,subQ,MATCH(J$1,SUBQH,0),0),"")</f>
        <v/>
      </c>
      <c r="K42" s="21">
        <f>IFERROR(VLOOKUP($A42,subQ,MATCH(K$1,SUBQH,0),0),"")</f>
        <v/>
      </c>
      <c r="L42" s="21">
        <f>IFERROR(VLOOKUP($A42,subQ,MATCH(L$1,SUBQH,0),0),"")</f>
        <v/>
      </c>
      <c r="M42" s="21">
        <f>IFERROR(VLOOKUP($A42,subQ,MATCH(M$1,SUBQH,0),0),"")</f>
        <v/>
      </c>
      <c r="N42" s="21">
        <f>IFERROR(VLOOKUP($A42,subQ,MATCH(N$1,SUBQH,0),0),"")</f>
        <v/>
      </c>
      <c r="O42" s="21">
        <f>IFERROR(VLOOKUP($A42,subQ,MATCH(O$1,SUBQH,0),0),"")</f>
        <v/>
      </c>
      <c r="P42" s="21">
        <f>IFERROR(VLOOKUP($A42,subQ,MATCH(P$1,SUBQH,0),0),"")</f>
        <v/>
      </c>
      <c r="Q42" s="21">
        <f>IFERROR(VLOOKUP($A42,subQ,MATCH(Q$1,SUBQH,0),0),"")</f>
        <v/>
      </c>
      <c r="R42" s="21">
        <f>IFERROR(VLOOKUP($A42,subQ,MATCH(R$1,SUBQH,0),0),"")</f>
        <v/>
      </c>
      <c r="S42" s="21">
        <f>IFERROR(VLOOKUP($A42,subQ,MATCH(S$1,SUBQH,0),0),"")</f>
        <v/>
      </c>
      <c r="T42" s="21">
        <f>IFERROR(VLOOKUP($A42,subQ,MATCH(T$1,SUBQH,0),0),"")</f>
        <v/>
      </c>
      <c r="U42" s="21">
        <f>IFERROR(VLOOKUP($A42,subQ,MATCH(U$1,SUBQH,0),0),"")</f>
        <v/>
      </c>
      <c r="V42" s="21">
        <f>IFERROR(VLOOKUP($A42,subQ,MATCH(V$1,SUBQH,0),0),"")</f>
        <v/>
      </c>
      <c r="W42" s="49">
        <f>IFERROR(VLOOKUP($A42,subQ,MATCH(W$1,SUBQH,0),0),"")</f>
        <v/>
      </c>
      <c r="X42" s="33">
        <f>IFERROR(VLOOKUP($A42,subQ,MATCH(X$1,SUBQH,0),0),"")</f>
        <v/>
      </c>
      <c r="Y42" s="33">
        <f>IFERROR(VLOOKUP($A42,subQ,MATCH(Y$1,SUBQH,0),0),"")</f>
        <v/>
      </c>
      <c r="Z42" s="33">
        <f>IFERROR(VLOOKUP($A42,subQ,MATCH(Z$1,SUBQH,0),0),"")</f>
        <v/>
      </c>
      <c r="AA42" s="33">
        <f>IFERROR(VLOOKUP($A42,subQ,MATCH(AA$1,SUBQH,0),0),"")</f>
        <v/>
      </c>
      <c r="AB42" s="33">
        <f>IFERROR(VLOOKUP($A42,subQ,MATCH(AB$1,SUBQH,0),0),"")</f>
        <v/>
      </c>
      <c r="AC42" s="33">
        <f>IFERROR(VLOOKUP($A42,subQ,MATCH(AC$1,SUBQH,0),0),"")</f>
        <v/>
      </c>
      <c r="AD42" s="33">
        <f>IFERROR(VLOOKUP($A42,subQ,MATCH(AD$1,SUBQH,0),0),"")</f>
        <v/>
      </c>
      <c r="AE42" s="33">
        <f>IFERROR(VLOOKUP($A42,subQ,MATCH(AE$1,SUBQH,0),0),"")</f>
        <v/>
      </c>
      <c r="AF42" s="33">
        <f>IFERROR(VLOOKUP($A42,subQ,MATCH(AF$1,SUBQH,0),0),"")</f>
        <v/>
      </c>
      <c r="AG42" s="33">
        <f>IFERROR(VLOOKUP($A42,subQ,MATCH(AG$1,SUBQH,0),0),"")</f>
        <v/>
      </c>
    </row>
    <row r="43">
      <c r="A43" s="12" t="inlineStr">
        <is>
          <t>매출액 YoY</t>
        </is>
      </c>
      <c r="D43" t="inlineStr">
        <is>
          <t>매출액 YoY</t>
        </is>
      </c>
      <c r="I43" s="21">
        <f>IFERROR(I5/E5-1,"")</f>
        <v/>
      </c>
      <c r="J43" s="21">
        <f>IFERROR(J5/F5-1,"")</f>
        <v/>
      </c>
      <c r="K43" s="21">
        <f>IFERROR(K5/G5-1,"")</f>
        <v/>
      </c>
      <c r="L43" s="21">
        <f>IFERROR(L5/H5-1,"")</f>
        <v/>
      </c>
      <c r="M43" s="21">
        <f>IFERROR(M5/I5-1,"")</f>
        <v/>
      </c>
      <c r="N43" s="21">
        <f>IFERROR(N5/J5-1,"")</f>
        <v/>
      </c>
      <c r="O43" s="21">
        <f>IFERROR(O5/K5-1,"")</f>
        <v/>
      </c>
      <c r="P43" s="21">
        <f>IFERROR(P5/L5-1,"")</f>
        <v/>
      </c>
      <c r="Q43" s="21">
        <f>IFERROR(Q5/M5-1,"")</f>
        <v/>
      </c>
      <c r="R43" s="21">
        <f>IFERROR(R5/N5-1,"")</f>
        <v/>
      </c>
      <c r="S43" s="21">
        <f>IFERROR(S5/O5-1,"")</f>
        <v/>
      </c>
      <c r="T43" s="21">
        <f>IFERROR(T5/P5-1,"")</f>
        <v/>
      </c>
      <c r="U43" s="21">
        <f>IFERROR(U5/Q5-1,"")</f>
        <v/>
      </c>
      <c r="V43" s="21">
        <f>IFERROR(V5/R5-1,"")</f>
        <v/>
      </c>
      <c r="W43" s="49">
        <f>IFERROR(W5/S5-1,"")</f>
        <v/>
      </c>
      <c r="X43" s="33">
        <f>IFERROR(X5/T5-1,"")</f>
        <v/>
      </c>
      <c r="Y43" s="33">
        <f>IFERROR(Y5/U5-1,"")</f>
        <v/>
      </c>
      <c r="Z43" s="33">
        <f>IFERROR(Z5/V5-1,"")</f>
        <v/>
      </c>
      <c r="AA43" s="33">
        <f>IFERROR(AA5/W5-1,"")</f>
        <v/>
      </c>
      <c r="AB43" s="33">
        <f>IFERROR(AB5/X5-1,"")</f>
        <v/>
      </c>
      <c r="AC43" s="33">
        <f>IFERROR(AC5/Y5-1,"")</f>
        <v/>
      </c>
      <c r="AD43" s="33">
        <f>IFERROR(AD5/Z5-1,"")</f>
        <v/>
      </c>
      <c r="AE43" s="33">
        <f>IFERROR(AE5/AA5-1,"")</f>
        <v/>
      </c>
      <c r="AF43" s="33">
        <f>IFERROR(AF5/AB5-1,"")</f>
        <v/>
      </c>
      <c r="AG43" s="33">
        <f>IFERROR(AG5/AC5-1,"")</f>
        <v/>
      </c>
    </row>
    <row r="44">
      <c r="A44" s="12" t="inlineStr">
        <is>
          <t>영업이익 YoY</t>
        </is>
      </c>
      <c r="D44" t="inlineStr">
        <is>
          <t>영업이익 YoY</t>
        </is>
      </c>
      <c r="I44" s="21">
        <f>IFERROR(I9/E9-1,"")</f>
        <v/>
      </c>
      <c r="J44" s="21">
        <f>IFERROR(J9/F9-1,"")</f>
        <v/>
      </c>
      <c r="K44" s="21">
        <f>IFERROR(K9/G9-1,"")</f>
        <v/>
      </c>
      <c r="L44" s="21">
        <f>IFERROR(L9/H9-1,"")</f>
        <v/>
      </c>
      <c r="M44" s="21">
        <f>IFERROR(M9/I9-1,"")</f>
        <v/>
      </c>
      <c r="N44" s="21">
        <f>IFERROR(N9/J9-1,"")</f>
        <v/>
      </c>
      <c r="O44" s="21">
        <f>IFERROR(O9/K9-1,"")</f>
        <v/>
      </c>
      <c r="P44" s="21">
        <f>IFERROR(P9/L9-1,"")</f>
        <v/>
      </c>
      <c r="Q44" s="21">
        <f>IFERROR(Q9/M9-1,"")</f>
        <v/>
      </c>
      <c r="R44" s="21">
        <f>IFERROR(R9/N9-1,"")</f>
        <v/>
      </c>
      <c r="S44" s="21">
        <f>IFERROR(S9/O9-1,"")</f>
        <v/>
      </c>
      <c r="T44" s="21">
        <f>IFERROR(T9/P9-1,"")</f>
        <v/>
      </c>
      <c r="U44" s="21">
        <f>IFERROR(U9/Q9-1,"")</f>
        <v/>
      </c>
      <c r="V44" s="21">
        <f>IFERROR(V9/R9-1,"")</f>
        <v/>
      </c>
      <c r="W44" s="49">
        <f>IFERROR(W9/S9-1,"")</f>
        <v/>
      </c>
      <c r="X44" s="33">
        <f>IFERROR(X9/T9-1,"")</f>
        <v/>
      </c>
      <c r="Y44" s="33">
        <f>IFERROR(Y9/U9-1,"")</f>
        <v/>
      </c>
      <c r="Z44" s="33">
        <f>IFERROR(Z9/V9-1,"")</f>
        <v/>
      </c>
      <c r="AA44" s="33">
        <f>IFERROR(AA9/W9-1,"")</f>
        <v/>
      </c>
      <c r="AB44" s="33">
        <f>IFERROR(AB9/X9-1,"")</f>
        <v/>
      </c>
      <c r="AC44" s="33">
        <f>IFERROR(AC9/Y9-1,"")</f>
        <v/>
      </c>
      <c r="AD44" s="33">
        <f>IFERROR(AD9/Z9-1,"")</f>
        <v/>
      </c>
      <c r="AE44" s="33">
        <f>IFERROR(AE9/AA9-1,"")</f>
        <v/>
      </c>
      <c r="AF44" s="33">
        <f>IFERROR(AF9/AB9-1,"")</f>
        <v/>
      </c>
      <c r="AG44" s="33">
        <f>IFERROR(AG9/AC9-1,"")</f>
        <v/>
      </c>
    </row>
    <row r="45">
      <c r="A45" s="12" t="inlineStr">
        <is>
          <t>지배주주순이익 YoY</t>
        </is>
      </c>
      <c r="D45" t="inlineStr">
        <is>
          <t>지배주주순이익 YoY</t>
        </is>
      </c>
      <c r="I45" s="21">
        <f>IFERROR(I18/E18-1,"")</f>
        <v/>
      </c>
      <c r="J45" s="21">
        <f>IFERROR(J18/F18-1,"")</f>
        <v/>
      </c>
      <c r="K45" s="21">
        <f>IFERROR(K18/G18-1,"")</f>
        <v/>
      </c>
      <c r="L45" s="21">
        <f>IFERROR(L18/H18-1,"")</f>
        <v/>
      </c>
      <c r="M45" s="21">
        <f>IFERROR(M18/I18-1,"")</f>
        <v/>
      </c>
      <c r="N45" s="21">
        <f>IFERROR(N18/J18-1,"")</f>
        <v/>
      </c>
      <c r="O45" s="21">
        <f>IFERROR(O18/K18-1,"")</f>
        <v/>
      </c>
      <c r="P45" s="21">
        <f>IFERROR(P18/L18-1,"")</f>
        <v/>
      </c>
      <c r="Q45" s="21">
        <f>IFERROR(Q18/M18-1,"")</f>
        <v/>
      </c>
      <c r="R45" s="21">
        <f>IFERROR(R18/N18-1,"")</f>
        <v/>
      </c>
      <c r="S45" s="21">
        <f>IFERROR(S18/O18-1,"")</f>
        <v/>
      </c>
      <c r="T45" s="21">
        <f>IFERROR(T18/P18-1,"")</f>
        <v/>
      </c>
      <c r="U45" s="21">
        <f>IFERROR(U18/Q18-1,"")</f>
        <v/>
      </c>
      <c r="V45" s="21">
        <f>IFERROR(V18/R18-1,"")</f>
        <v/>
      </c>
      <c r="W45" s="49">
        <f>IFERROR(W18/S18-1,"")</f>
        <v/>
      </c>
      <c r="X45" s="33">
        <f>IFERROR(X18/T18-1,"")</f>
        <v/>
      </c>
      <c r="Y45" s="33">
        <f>IFERROR(Y18/U18-1,"")</f>
        <v/>
      </c>
      <c r="Z45" s="33">
        <f>IFERROR(Z18/V18-1,"")</f>
        <v/>
      </c>
      <c r="AA45" s="33">
        <f>IFERROR(AA18/W18-1,"")</f>
        <v/>
      </c>
      <c r="AB45" s="33">
        <f>IFERROR(AB18/X18-1,"")</f>
        <v/>
      </c>
      <c r="AC45" s="33">
        <f>IFERROR(AC18/Y18-1,"")</f>
        <v/>
      </c>
      <c r="AD45" s="33">
        <f>IFERROR(AD18/Z18-1,"")</f>
        <v/>
      </c>
      <c r="AE45" s="33">
        <f>IFERROR(AE18/AA18-1,"")</f>
        <v/>
      </c>
      <c r="AF45" s="33">
        <f>IFERROR(AF18/AB18-1,"")</f>
        <v/>
      </c>
      <c r="AG45" s="33">
        <f>IFERROR(AG18/AC18-1,"")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4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변수!D45</f>
        <v/>
      </c>
      <c r="I2" s="45" t="n"/>
    </row>
    <row r="3">
      <c r="C3" t="inlineStr">
        <is>
          <t>기준일:</t>
        </is>
      </c>
      <c r="D3" t="inlineStr">
        <is>
          <t>20261014</t>
        </is>
      </c>
      <c r="E3" s="2" t="n">
        <v>1</v>
      </c>
      <c r="F3" s="2" t="n">
        <v>2</v>
      </c>
      <c r="G3" s="2" t="n">
        <v>3</v>
      </c>
      <c r="H3" s="2" t="n">
        <v>4</v>
      </c>
      <c r="I3" s="46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7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8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8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8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8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8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9">
        <f>IFERROR(VLOOKUP($A10,subQ,MATCH(I$1,SUBQH,0),0),"")</f>
        <v/>
      </c>
      <c r="J10" s="33">
        <f>IFERROR(VLOOKUP($A10,subQ,MATCH(J$1,SUBQH,0),0),"")</f>
        <v/>
      </c>
      <c r="K10" s="33">
        <f>IFERROR(VLOOKUP($A10,subQ,MATCH(K$1,SUBQH,0),0),"")</f>
        <v/>
      </c>
      <c r="L10" s="33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8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8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8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기타영업외손익</t>
        </is>
      </c>
      <c r="D14" t="inlineStr">
        <is>
          <t>기타영업외손익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8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세전이익</t>
        </is>
      </c>
      <c r="D15" t="inlineStr">
        <is>
          <t>법인세비용차감전이익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8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법인세비용</t>
        </is>
      </c>
      <c r="D16" t="inlineStr">
        <is>
          <t>법인세비용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8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당기순이익</t>
        </is>
      </c>
      <c r="D17" t="inlineStr">
        <is>
          <t>당기순이익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8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지배주주순이익</t>
        </is>
      </c>
      <c r="D18" t="inlineStr">
        <is>
          <t>지배주주순이익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8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중단사업이익</t>
        </is>
      </c>
      <c r="D19" t="inlineStr">
        <is>
          <t>중단사업이익(실적만)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8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자산총계</t>
        </is>
      </c>
      <c r="D20" t="inlineStr">
        <is>
          <t>자산총계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8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부채총계</t>
        </is>
      </c>
      <c r="D21" t="inlineStr">
        <is>
          <t>부채총계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8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자본총계</t>
        </is>
      </c>
      <c r="D22" t="inlineStr">
        <is>
          <t>자본총계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8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지배주주지분</t>
        </is>
      </c>
      <c r="D23" t="inlineStr">
        <is>
          <t>지배주주지분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8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총차입금</t>
        </is>
      </c>
      <c r="D24" t="inlineStr">
        <is>
          <t>총차입금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8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순차입금</t>
        </is>
      </c>
      <c r="D25" t="inlineStr">
        <is>
          <t>순차입금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8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이자발생자산</t>
        </is>
      </c>
      <c r="D26" t="inlineStr">
        <is>
          <t>이자발생자산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8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현금및현금성자산</t>
        </is>
      </c>
      <c r="D27" t="inlineStr">
        <is>
          <t>현금및현금성자산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8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CAPEX</t>
        </is>
      </c>
      <c r="D28" t="inlineStr">
        <is>
          <t>CAPEX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8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영업활동현금흐름</t>
        </is>
      </c>
      <c r="D29" t="inlineStr">
        <is>
          <t>영업활동현금흐름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8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주식수</t>
        </is>
      </c>
      <c r="D30" t="inlineStr">
        <is>
          <t>유통주식수</t>
        </is>
      </c>
      <c r="E30" s="26">
        <f>IFERROR(VLOOKUP($A30,subQ,MATCH(E$1,SUBQH,0),0),"")</f>
        <v/>
      </c>
      <c r="F30" s="26">
        <f>IFERROR(VLOOKUP($A30,subQ,MATCH(F$1,SUBQH,0),0),"")</f>
        <v/>
      </c>
      <c r="G30" s="26">
        <f>IFERROR(VLOOKUP($A30,subQ,MATCH(G$1,SUBQH,0),0),"")</f>
        <v/>
      </c>
      <c r="H30" s="26">
        <f>IFERROR(VLOOKUP($A30,subQ,MATCH(H$1,SUBQH,0),0),"")</f>
        <v/>
      </c>
      <c r="I30" s="50">
        <f>IFERROR(VLOOKUP($A30,subQ,MATCH(I$1,SUBQH,0),0),"")</f>
        <v/>
      </c>
      <c r="J30" s="32">
        <f>IFERROR(VLOOKUP($A30,subQ,MATCH(J$1,SUBQH,0),0),"")</f>
        <v/>
      </c>
      <c r="K30" s="32">
        <f>IFERROR(VLOOKUP($A30,subQ,MATCH(K$1,SUBQH,0),0),"")</f>
        <v/>
      </c>
      <c r="L30" s="32">
        <f>IFERROR(VLOOKUP($A30,subQ,MATCH(L$1,SUBQH,0),0),"")</f>
        <v/>
      </c>
    </row>
    <row r="31">
      <c r="A31" s="12" t="inlineStr">
        <is>
          <t>EPS</t>
        </is>
      </c>
      <c r="D31" t="inlineStr">
        <is>
          <t>EPS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8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BPS</t>
        </is>
      </c>
      <c r="D32" t="inlineStr">
        <is>
          <t>BPS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8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DPS</t>
        </is>
      </c>
      <c r="D33" t="inlineStr">
        <is>
          <t>DPS(보통주)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8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</row>
    <row r="34">
      <c r="A34" s="12" t="inlineStr">
        <is>
          <t>PER</t>
        </is>
      </c>
      <c r="D34" t="inlineStr">
        <is>
          <t>PER</t>
        </is>
      </c>
      <c r="E34" s="13">
        <f>IFERROR(VLOOKUP($A34,subQ,MATCH(E$1,SUBQH,0),0),"")</f>
        <v/>
      </c>
      <c r="F34" s="13">
        <f>IFERROR(VLOOKUP($A34,subQ,MATCH(F$1,SUBQH,0),0),"")</f>
        <v/>
      </c>
      <c r="G34" s="13">
        <f>IFERROR(VLOOKUP($A34,subQ,MATCH(G$1,SUBQH,0),0),"")</f>
        <v/>
      </c>
      <c r="H34" s="13">
        <f>IFERROR(VLOOKUP($A34,subQ,MATCH(H$1,SUBQH,0),0),"")</f>
        <v/>
      </c>
      <c r="I34" s="51">
        <f>IFERROR(VLOOKUP($A34,subQ,MATCH(I$1,SUBQH,0),0),"")</f>
        <v/>
      </c>
      <c r="J34" s="39">
        <f>IFERROR(VLOOKUP($A34,subQ,MATCH(J$1,SUBQH,0),0),"")</f>
        <v/>
      </c>
      <c r="K34" s="39">
        <f>IFERROR(VLOOKUP($A34,subQ,MATCH(K$1,SUBQH,0),0),"")</f>
        <v/>
      </c>
      <c r="L34" s="39">
        <f>IFERROR(VLOOKUP($A34,subQ,MATCH(L$1,SUBQH,0),0),"")</f>
        <v/>
      </c>
    </row>
    <row r="35">
      <c r="A35" s="12" t="inlineStr">
        <is>
          <t>PBR</t>
        </is>
      </c>
      <c r="D35" t="inlineStr">
        <is>
          <t>PBR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51">
        <f>IFERROR(VLOOKUP($A35,subQ,MATCH(I$1,SUBQH,0),0),"")</f>
        <v/>
      </c>
      <c r="J35" s="39">
        <f>IFERROR(VLOOKUP($A35,subQ,MATCH(J$1,SUBQH,0),0),"")</f>
        <v/>
      </c>
      <c r="K35" s="39">
        <f>IFERROR(VLOOKUP($A35,subQ,MATCH(K$1,SUBQH,0),0),"")</f>
        <v/>
      </c>
      <c r="L35" s="39">
        <f>IFERROR(VLOOKUP($A35,subQ,MATCH(L$1,SUBQH,0),0),"")</f>
        <v/>
      </c>
    </row>
    <row r="36">
      <c r="A36" s="12" t="inlineStr">
        <is>
          <t>매출조선</t>
        </is>
      </c>
      <c r="D36" t="inlineStr">
        <is>
          <t>매출 조선·해양(방산·신조선·상선·특수선)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48">
        <f>IFERROR(VLOOKUP($A36,subQ,MATCH(I$1,SUBQH,0),0),"")</f>
        <v/>
      </c>
      <c r="J36" s="20">
        <f>IFERROR(VLOOKUP($A36,subQ,MATCH(J$1,SUBQH,0),0),"")</f>
        <v/>
      </c>
      <c r="K36" s="20">
        <f>IFERROR(VLOOKUP($A36,subQ,MATCH(K$1,SUBQH,0),0),"")</f>
        <v/>
      </c>
      <c r="L36" s="20">
        <f>IFERROR(VLOOKUP($A36,subQ,MATCH(L$1,SUBQH,0),0),"")</f>
        <v/>
      </c>
    </row>
    <row r="37">
      <c r="A37" s="12" t="inlineStr">
        <is>
          <t>매출조선신규</t>
        </is>
      </c>
      <c r="D37" t="inlineStr">
        <is>
          <t>매출 조선·해양(방산·신조선·상선·특수선) 신규수주(원장 체결 속도(폴백) — 매출조선에 포함)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48">
        <f>IFERROR(VLOOKUP($A37,subQ,MATCH(I$1,SUBQH,0),0),"")</f>
        <v/>
      </c>
      <c r="J37" s="20">
        <f>IFERROR(VLOOKUP($A37,subQ,MATCH(J$1,SUBQH,0),0),"")</f>
        <v/>
      </c>
      <c r="K37" s="20">
        <f>IFERROR(VLOOKUP($A37,subQ,MATCH(K$1,SUBQH,0),0),"")</f>
        <v/>
      </c>
      <c r="L37" s="20">
        <f>IFERROR(VLOOKUP($A37,subQ,MATCH(L$1,SUBQH,0),0),"")</f>
        <v/>
      </c>
    </row>
    <row r="38">
      <c r="A38" s="12" t="inlineStr">
        <is>
          <t>OP조선</t>
        </is>
      </c>
      <c r="D38" t="inlineStr">
        <is>
          <t>OP 조선·해양(방산·신조선·상선·특수선)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48">
        <f>IFERROR(VLOOKUP($A38,subQ,MATCH(I$1,SUBQH,0),0),"")</f>
        <v/>
      </c>
      <c r="J38" s="20">
        <f>IFERROR(VLOOKUP($A38,subQ,MATCH(J$1,SUBQH,0),0),"")</f>
        <v/>
      </c>
      <c r="K38" s="20">
        <f>IFERROR(VLOOKUP($A38,subQ,MATCH(K$1,SUBQH,0),0),"")</f>
        <v/>
      </c>
      <c r="L38" s="20">
        <f>IFERROR(VLOOKUP($A38,subQ,MATCH(L$1,SUBQH,0),0),"")</f>
        <v/>
      </c>
    </row>
    <row r="39">
      <c r="A39" s="12" t="inlineStr">
        <is>
          <t>OP조선신규</t>
        </is>
      </c>
      <c r="D39" t="inlineStr">
        <is>
          <t>OP 조선·해양(방산·신조선·상선·특수선) 신규수주(매출조선신규 × OPM — OP조선에 포함)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48">
        <f>IFERROR(VLOOKUP($A39,subQ,MATCH(I$1,SUBQH,0),0),"")</f>
        <v/>
      </c>
      <c r="J39" s="20">
        <f>IFERROR(VLOOKUP($A39,subQ,MATCH(J$1,SUBQH,0),0),"")</f>
        <v/>
      </c>
      <c r="K39" s="20">
        <f>IFERROR(VLOOKUP($A39,subQ,MATCH(K$1,SUBQH,0),0),"")</f>
        <v/>
      </c>
      <c r="L39" s="20">
        <f>IFERROR(VLOOKUP($A39,subQ,MATCH(L$1,SUBQH,0),0),"")</f>
        <v/>
      </c>
    </row>
    <row r="40">
      <c r="A40" s="12" t="inlineStr">
        <is>
          <t>매출기타</t>
        </is>
      </c>
      <c r="D40" t="inlineStr">
        <is>
          <t>매출 기타 부문(총매출 − 조선)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48">
        <f>IFERROR(VLOOKUP($A40,subQ,MATCH(I$1,SUBQH,0),0),"")</f>
        <v/>
      </c>
      <c r="J40" s="20">
        <f>IFERROR(VLOOKUP($A40,subQ,MATCH(J$1,SUBQH,0),0),"")</f>
        <v/>
      </c>
      <c r="K40" s="20">
        <f>IFERROR(VLOOKUP($A40,subQ,MATCH(K$1,SUBQH,0),0),"")</f>
        <v/>
      </c>
      <c r="L40" s="20">
        <f>IFERROR(VLOOKUP($A40,subQ,MATCH(L$1,SUBQH,0),0),"")</f>
        <v/>
      </c>
    </row>
    <row r="41">
      <c r="A41" s="12" t="inlineStr">
        <is>
          <t>OP기타</t>
        </is>
      </c>
      <c r="D41" t="inlineStr">
        <is>
          <t>OP 기타 부문(총매출 − 조선)</t>
        </is>
      </c>
      <c r="E41" s="18">
        <f>IFERROR(VLOOKUP($A41,subQ,MATCH(E$1,SUBQH,0),0),"")</f>
        <v/>
      </c>
      <c r="F41" s="18">
        <f>IFERROR(VLOOKUP($A41,subQ,MATCH(F$1,SUBQH,0),0),"")</f>
        <v/>
      </c>
      <c r="G41" s="18">
        <f>IFERROR(VLOOKUP($A41,subQ,MATCH(G$1,SUBQH,0),0),"")</f>
        <v/>
      </c>
      <c r="H41" s="18">
        <f>IFERROR(VLOOKUP($A41,subQ,MATCH(H$1,SUBQH,0),0),"")</f>
        <v/>
      </c>
      <c r="I41" s="48">
        <f>IFERROR(VLOOKUP($A41,subQ,MATCH(I$1,SUBQH,0),0),"")</f>
        <v/>
      </c>
      <c r="J41" s="20">
        <f>IFERROR(VLOOKUP($A41,subQ,MATCH(J$1,SUBQH,0),0),"")</f>
        <v/>
      </c>
      <c r="K41" s="20">
        <f>IFERROR(VLOOKUP($A41,subQ,MATCH(K$1,SUBQH,0),0),"")</f>
        <v/>
      </c>
      <c r="L41" s="20">
        <f>IFERROR(VLOOKUP($A41,subQ,MATCH(L$1,SUBQH,0),0),"")</f>
        <v/>
      </c>
    </row>
    <row r="42">
      <c r="A42" s="12" t="inlineStr">
        <is>
          <t>NPM</t>
        </is>
      </c>
      <c r="D42" t="inlineStr">
        <is>
          <t>NPM</t>
        </is>
      </c>
      <c r="E42" s="21">
        <f>IFERROR(VLOOKUP($A42,subQ,MATCH(E$1,SUBQH,0),0),"")</f>
        <v/>
      </c>
      <c r="F42" s="21">
        <f>IFERROR(VLOOKUP($A42,subQ,MATCH(F$1,SUBQH,0),0),"")</f>
        <v/>
      </c>
      <c r="G42" s="21">
        <f>IFERROR(VLOOKUP($A42,subQ,MATCH(G$1,SUBQH,0),0),"")</f>
        <v/>
      </c>
      <c r="H42" s="21">
        <f>IFERROR(VLOOKUP($A42,subQ,MATCH(H$1,SUBQH,0),0),"")</f>
        <v/>
      </c>
      <c r="I42" s="49">
        <f>IFERROR(VLOOKUP($A42,subQ,MATCH(I$1,SUBQH,0),0),"")</f>
        <v/>
      </c>
      <c r="J42" s="33">
        <f>IFERROR(VLOOKUP($A42,subQ,MATCH(J$1,SUBQH,0),0),"")</f>
        <v/>
      </c>
      <c r="K42" s="33">
        <f>IFERROR(VLOOKUP($A42,subQ,MATCH(K$1,SUBQH,0),0),"")</f>
        <v/>
      </c>
      <c r="L42" s="33">
        <f>IFERROR(VLOOKUP($A42,subQ,MATCH(L$1,SUBQH,0),0),"")</f>
        <v/>
      </c>
    </row>
    <row r="43">
      <c r="A43" s="12" t="inlineStr">
        <is>
          <t>매출액 YoY</t>
        </is>
      </c>
      <c r="D43" t="inlineStr">
        <is>
          <t>매출액 YoY</t>
        </is>
      </c>
      <c r="F43" s="21">
        <f>IFERROR(F5/E5-1,"")</f>
        <v/>
      </c>
      <c r="G43" s="21">
        <f>IFERROR(G5/F5-1,"")</f>
        <v/>
      </c>
      <c r="H43" s="21">
        <f>IFERROR(H5/G5-1,"")</f>
        <v/>
      </c>
      <c r="I43" s="49">
        <f>IFERROR(I5/H5-1,"")</f>
        <v/>
      </c>
      <c r="J43" s="33">
        <f>IFERROR(J5/I5-1,"")</f>
        <v/>
      </c>
      <c r="K43" s="33">
        <f>IFERROR(K5/J5-1,"")</f>
        <v/>
      </c>
      <c r="L43" s="33">
        <f>IFERROR(L5/K5-1,"")</f>
        <v/>
      </c>
    </row>
    <row r="44">
      <c r="A44" s="12" t="inlineStr">
        <is>
          <t>영업이익 YoY</t>
        </is>
      </c>
      <c r="D44" t="inlineStr">
        <is>
          <t>영업이익 YoY</t>
        </is>
      </c>
      <c r="F44" s="21">
        <f>IFERROR(F9/E9-1,"")</f>
        <v/>
      </c>
      <c r="G44" s="21">
        <f>IFERROR(G9/F9-1,"")</f>
        <v/>
      </c>
      <c r="H44" s="21">
        <f>IFERROR(H9/G9-1,"")</f>
        <v/>
      </c>
      <c r="I44" s="49">
        <f>IFERROR(I9/H9-1,"")</f>
        <v/>
      </c>
      <c r="J44" s="33">
        <f>IFERROR(J9/I9-1,"")</f>
        <v/>
      </c>
      <c r="K44" s="33">
        <f>IFERROR(K9/J9-1,"")</f>
        <v/>
      </c>
      <c r="L44" s="33">
        <f>IFERROR(L9/K9-1,"")</f>
        <v/>
      </c>
    </row>
    <row r="45">
      <c r="A45" s="12" t="inlineStr">
        <is>
          <t>지배주주순이익 YoY</t>
        </is>
      </c>
      <c r="D45" t="inlineStr">
        <is>
          <t>지배주주순이익 YoY</t>
        </is>
      </c>
      <c r="F45" s="21">
        <f>IFERROR(F18/E18-1,"")</f>
        <v/>
      </c>
      <c r="G45" s="21">
        <f>IFERROR(G18/F18-1,"")</f>
        <v/>
      </c>
      <c r="H45" s="21">
        <f>IFERROR(H18/G18-1,"")</f>
        <v/>
      </c>
      <c r="I45" s="49">
        <f>IFERROR(I18/H18-1,"")</f>
        <v/>
      </c>
      <c r="J45" s="33">
        <f>IFERROR(J18/I18-1,"")</f>
        <v/>
      </c>
      <c r="K45" s="33">
        <f>IFERROR(K18/J18-1,"")</f>
        <v/>
      </c>
      <c r="L45" s="33">
        <f>IFERROR(L18/K18-1,"")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변수!D45</f>
        <v/>
      </c>
    </row>
    <row r="2">
      <c r="B2" s="1" t="inlineStr">
        <is>
          <t>기준일</t>
        </is>
      </c>
      <c r="C2">
        <f>변수!D46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52" t="n">
        <v>2025</v>
      </c>
      <c r="E5" s="52" t="n">
        <v>2026</v>
      </c>
      <c r="F5" s="52" t="n">
        <v>2027</v>
      </c>
      <c r="G5" s="52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IFERROR(E7*변수!D51+F7*(1-변수!D51),"")</f>
        <v/>
      </c>
    </row>
    <row r="15">
      <c r="C15" t="inlineStr">
        <is>
          <t>적정가치 @PER_lo</t>
        </is>
      </c>
      <c r="D15" s="26">
        <f>변수!D48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6">
        <f>변수!D49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6">
        <f>변수!D50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6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변수!D47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2365.6</v>
      </c>
    </row>
    <row r="30">
      <c r="C30" s="2" t="inlineStr">
        <is>
          <t>bps_latest</t>
        </is>
      </c>
      <c r="D30" t="n">
        <v>8339.4</v>
      </c>
    </row>
    <row r="31">
      <c r="C31" s="2" t="inlineStr">
        <is>
          <t>per_now</t>
        </is>
      </c>
      <c r="D31" t="n">
        <v>5.67</v>
      </c>
    </row>
    <row r="32">
      <c r="C32" s="2" t="inlineStr">
        <is>
          <t>pbr_now</t>
        </is>
      </c>
      <c r="D32" t="n">
        <v>1.61</v>
      </c>
    </row>
    <row r="33">
      <c r="C33" s="2" t="inlineStr">
        <is>
          <t>roe_fwd</t>
        </is>
      </c>
      <c r="D33" t="n">
        <v>0.2837</v>
      </c>
    </row>
    <row r="34">
      <c r="C34" s="2" t="inlineStr">
        <is>
          <t>fair_pbr</t>
        </is>
      </c>
      <c r="D34" t="n">
        <v>3.15</v>
      </c>
    </row>
    <row r="35">
      <c r="C35" s="2" t="inlineStr">
        <is>
          <t>fair_value_pbr</t>
        </is>
      </c>
      <c r="D35" t="n">
        <v>26300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3">
        <f>IFERROR(X5/W5-1,"")</f>
        <v/>
      </c>
      <c r="Y6" s="33">
        <f>IFERROR(Y5/X5-1,"")</f>
        <v/>
      </c>
      <c r="Z6" s="33">
        <f>IFERROR(Z5/Y5-1,"")</f>
        <v/>
      </c>
      <c r="AA6" s="33">
        <f>IFERROR(AA5/Z5-1,"")</f>
        <v/>
      </c>
      <c r="AB6" s="33">
        <f>IFERROR(AB5/AA5-1,"")</f>
        <v/>
      </c>
      <c r="AC6" s="33">
        <f>IFERROR(AC5/AB5-1,"")</f>
        <v/>
      </c>
      <c r="AD6" s="33">
        <f>IFERROR(AD5/AC5-1,"")</f>
        <v/>
      </c>
      <c r="AE6" s="33">
        <f>IFERROR(AE5/AD5-1,"")</f>
        <v/>
      </c>
      <c r="AF6" s="33">
        <f>IFERROR(AF5/AE5-1,"")</f>
        <v/>
      </c>
      <c r="AG6" s="33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3">
        <f>IFERROR(X7/W7-1,"")</f>
        <v/>
      </c>
      <c r="Y8" s="33">
        <f>IFERROR(Y7/X7-1,"")</f>
        <v/>
      </c>
      <c r="Z8" s="33">
        <f>IFERROR(Z7/Y7-1,"")</f>
        <v/>
      </c>
      <c r="AA8" s="33">
        <f>IFERROR(AA7/Z7-1,"")</f>
        <v/>
      </c>
      <c r="AB8" s="33">
        <f>IFERROR(AB7/AA7-1,"")</f>
        <v/>
      </c>
      <c r="AC8" s="33">
        <f>IFERROR(AC7/AB7-1,"")</f>
        <v/>
      </c>
      <c r="AD8" s="33">
        <f>IFERROR(AD7/AC7-1,"")</f>
        <v/>
      </c>
      <c r="AE8" s="33">
        <f>IFERROR(AE7/AD7-1,"")</f>
        <v/>
      </c>
      <c r="AF8" s="33">
        <f>IFERROR(AF7/AE7-1,"")</f>
        <v/>
      </c>
      <c r="AG8" s="33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3">
        <f>IFERROR(X9/W9-1,"")</f>
        <v/>
      </c>
      <c r="Y10" s="33">
        <f>IFERROR(Y9/X9-1,"")</f>
        <v/>
      </c>
      <c r="Z10" s="33">
        <f>IFERROR(Z9/Y9-1,"")</f>
        <v/>
      </c>
      <c r="AA10" s="33">
        <f>IFERROR(AA9/Z9-1,"")</f>
        <v/>
      </c>
      <c r="AB10" s="33">
        <f>IFERROR(AB9/AA9-1,"")</f>
        <v/>
      </c>
      <c r="AC10" s="33">
        <f>IFERROR(AC9/AB9-1,"")</f>
        <v/>
      </c>
      <c r="AD10" s="33">
        <f>IFERROR(AD9/AC9-1,"")</f>
        <v/>
      </c>
      <c r="AE10" s="33">
        <f>IFERROR(AE9/AD9-1,"")</f>
        <v/>
      </c>
      <c r="AF10" s="33">
        <f>IFERROR(AF9/AE9-1,"")</f>
        <v/>
      </c>
      <c r="AG10" s="33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3">
        <f>IFERROR(X11/W11-1,"")</f>
        <v/>
      </c>
      <c r="Y12" s="33">
        <f>IFERROR(Y11/X11-1,"")</f>
        <v/>
      </c>
      <c r="Z12" s="33">
        <f>IFERROR(Z11/Y11-1,"")</f>
        <v/>
      </c>
      <c r="AA12" s="33">
        <f>IFERROR(AA11/Z11-1,"")</f>
        <v/>
      </c>
      <c r="AB12" s="33">
        <f>IFERROR(AB11/AA11-1,"")</f>
        <v/>
      </c>
      <c r="AC12" s="33">
        <f>IFERROR(AC11/AB11-1,"")</f>
        <v/>
      </c>
      <c r="AD12" s="33">
        <f>IFERROR(AD11/AC11-1,"")</f>
        <v/>
      </c>
      <c r="AE12" s="33">
        <f>IFERROR(AE11/AD11-1,"")</f>
        <v/>
      </c>
      <c r="AF12" s="33">
        <f>IFERROR(AF11/AE11-1,"")</f>
        <v/>
      </c>
      <c r="AG12" s="33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3">
        <f>IFERROR(X13/W13-1,"")</f>
        <v/>
      </c>
      <c r="Y14" s="33">
        <f>IFERROR(Y13/X13-1,"")</f>
        <v/>
      </c>
      <c r="Z14" s="33">
        <f>IFERROR(Z13/Y13-1,"")</f>
        <v/>
      </c>
      <c r="AA14" s="33">
        <f>IFERROR(AA13/Z13-1,"")</f>
        <v/>
      </c>
      <c r="AB14" s="33">
        <f>IFERROR(AB13/AA13-1,"")</f>
        <v/>
      </c>
      <c r="AC14" s="33">
        <f>IFERROR(AC13/AB13-1,"")</f>
        <v/>
      </c>
      <c r="AD14" s="33">
        <f>IFERROR(AD13/AC13-1,"")</f>
        <v/>
      </c>
      <c r="AE14" s="33">
        <f>IFERROR(AE13/AD13-1,"")</f>
        <v/>
      </c>
      <c r="AF14" s="33">
        <f>IFERROR(AF13/AE13-1,"")</f>
        <v/>
      </c>
      <c r="AG14" s="33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6">
        <f>변수!D58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2026-10-14T00:00:00Z</dcterms:created>
  <dcterms:modified xsi:type="dcterms:W3CDTF">2026-10-14T00:00:00Z</dcterms:modified>
</cp:coreProperties>
</file>