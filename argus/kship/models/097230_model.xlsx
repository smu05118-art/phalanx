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subQ!$A$5:$AO$45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D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F24" authorId="0" shapeId="0">
      <text>
        <t>모델값 역산(implied): v / 세전이익 · 모델 가정 tax_schedule 0.0315(r4)
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G24" authorId="0" shapeId="0">
      <text>
        <t>모델값 역산(implied): v / 세전이익 · 모델 가정 tax_schedule 0.0584(r4)
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H24" authorId="0" shapeId="0">
      <text>
        <t>모델값 역산(implied): v / 세전이익 · 모델 가정 tax_schedule 0.0853(r4)
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I24" authorId="0" shapeId="0">
      <text>
        <t>모델값 역산(implied): v / 세전이익 · 모델 가정 tax_schedule 0.1123(r4)
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K24" authorId="0" shapeId="0">
      <text>
        <t>모델값 역산(implied): v / 세전이익 · 모델 가정 tax_schedule 0.1392(r4)
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L24" authorId="0" shapeId="0">
      <text>
        <t>모델값 역산(implied): v / 세전이익 · 모델 가정 tax_schedule 0.1661(r4)
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M24" authorId="0" shapeId="0">
      <text>
        <t>모델값 역산(implied): v / 세전이익 · 모델 가정 tax_schedule 0.1931(r4)
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N24" authorId="0" shapeId="0">
      <text>
        <t>모델값 역산(implied): v / 세전이익 · 모델 가정 tax_schedule 0.22(r4)
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원화/100 − 매출조선신규 (모델 runoff_per_q 2153.0; 계약 스케줄 소수 3자리 반올림 차 포함)
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</t>
      </text>
    </comment>
    <comment ref="AD38" authorId="0" shapeId="0">
      <text>
        <t>역산: 모델 매출조선 − SLS 재구성 원화/100 − 매출조선신규 (모델 runoff_per_q 2153.0; 계약 스케줄 소수 3자리 반올림 차 포함)
SLS 해양 원화 1610억(sls.by_quarter.marine_hedged_krw_m(헤지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F38" authorId="0" shapeId="0">
      <text>
        <t>역산: 모델 매출조선 − SLS 재구성 원화/100 − 매출조선신규 (모델 runoff_per_q 2153.0; 계약 스케줄 소수 3자리 반올림 차 포함)
SLS 해양 원화 1575억(sls.by_quarter.marine_hedged_krw_m(헤지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631억 유지(원장 수준 신규수주 체결 분기별 상계, net_panel)</t>
      </text>
    </comment>
    <comment ref="AG38" authorId="0" shapeId="0">
      <text>
        <t>역산: 모델 매출조선 − SLS 재구성 원화/100 − 매출조선신규 (모델 runoff_per_q 2153.0; 계약 스케줄 소수 3자리 반올림 차 포함)
SLS 해양 원화 1592억(sls.by_quarter.marine_hedged_krw_m(헤지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H38" authorId="0" shapeId="0">
      <text>
        <t>역산: 모델 매출조선 − SLS 재구성 원화/100 − 매출조선신규 (모델 runoff_per_q 2153.0; 계약 스케줄 소수 3자리 반올림 차 포함)
SLS 해양 원화 1610억(sls.by_quarter.marine_hedged_krw_m(헤지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I38" authorId="0" shapeId="0">
      <text>
        <t>역산: 모델 매출조선 − SLS 재구성 원화/100 − 매출조선신규 (모델 runoff_per_q 2153.0; 계약 스케줄 소수 3자리 반올림 차 포함)
SLS 해양 원화 1610억(sls.by_quarter.marine_hedged_krw_m(헤지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K38" authorId="0" shapeId="0">
      <text>
        <t>역산: 모델 매출조선 − SLS 재구성 원화/100 − 매출조선신규 (모델 runoff_per_q 2153.0; 계약 스케줄 소수 3자리 반올림 차 포함)
SLS 해양 원화 1592억(sls.by_quarter.marine_hedged_krw_m(헤지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L38" authorId="0" shapeId="0">
      <text>
        <t>역산: 모델 매출조선 − SLS 재구성 원화/100 − 매출조선신규 (모델 runoff_per_q 2153.0; 계약 스케줄 소수 3자리 반올림 차 포함)
SLS 해양 원화 1592억(sls.by_quarter.marine_hedged_krw_m(헤지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</t>
      </text>
    </comment>
    <comment ref="AM38" authorId="0" shapeId="0">
      <text>
        <t>역산: 모델 매출조선 − SLS 재구성 원화/100 − 매출조선신규 (모델 runoff_per_q 2153.0; 계약 스케줄 소수 3자리 반올림 차 포함)
SLS 해양 원화 1246억(sls.by_quarter.marine_hedged_krw_m(헤지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N38" authorId="0" shapeId="0">
      <text>
        <t>역산: 모델 매출조선 − SLS 재구성 원화/100 − 매출조선신규 (모델 runoff_per_q 2153.0; 계약 스케줄 소수 3자리 반올림 차 포함)
SLS 해양 원화 1002억(sls.by_quarter.marine_hedged_krw_m(헤지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C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D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F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G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H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I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K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L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M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N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C40" authorId="0" shapeId="0">
      <text>
        <t>모델값 역산(implied): v / 매출조선
매출조선 × 타겟 OPM(부문 OP 미공시 → 회사 OPM 적용; 신규수주분 포함)</t>
      </text>
    </comment>
    <comment ref="AD40" authorId="0" shapeId="0">
      <text>
        <t>모델값 역산(implied): v / 매출조선
매출조선 × 타겟 OPM(부문 OP 미공시 → 회사 OPM 적용; 신규수주분 포함)</t>
      </text>
    </comment>
    <comment ref="AF40" authorId="0" shapeId="0">
      <text>
        <t>모델값 역산(implied): v / 매출조선
매출조선 × 타겟 OPM(부문 OP 미공시 → 회사 OPM 적용; 신규수주분 포함)</t>
      </text>
    </comment>
    <comment ref="AG40" authorId="0" shapeId="0">
      <text>
        <t>모델값 역산(implied): v / 매출조선
매출조선 × 타겟 OPM(부문 OP 미공시 → 회사 OPM 적용; 신규수주분 포함)</t>
      </text>
    </comment>
    <comment ref="AH40" authorId="0" shapeId="0">
      <text>
        <t>모델값 역산(implied): v / 매출조선
매출조선 × 타겟 OPM(부문 OP 미공시 → 회사 OPM 적용; 신규수주분 포함)</t>
      </text>
    </comment>
    <comment ref="AI40" authorId="0" shapeId="0">
      <text>
        <t>모델값 역산(implied): v / 매출조선
매출조선 × 타겟 OPM(부문 OP 미공시 → 회사 OPM 적용; 신규수주분 포함)</t>
      </text>
    </comment>
    <comment ref="AK40" authorId="0" shapeId="0">
      <text>
        <t>모델값 역산(implied): v / 매출조선
매출조선 × 타겟 OPM(부문 OP 미공시 → 회사 OPM 적용; 신규수주분 포함)</t>
      </text>
    </comment>
    <comment ref="AL40" authorId="0" shapeId="0">
      <text>
        <t>모델값 역산(implied): v / 매출조선
매출조선 × 타겟 OPM(부문 OP 미공시 → 회사 OPM 적용; 신규수주분 포함)</t>
      </text>
    </comment>
    <comment ref="AM40" authorId="0" shapeId="0">
      <text>
        <t>모델값 역산(implied): v / 매출조선
매출조선 × 타겟 OPM(부문 OP 미공시 → 회사 OPM 적용; 신규수주분 포함)</t>
      </text>
    </comment>
    <comment ref="AN40" authorId="0" shapeId="0">
      <text>
        <t>모델값 역산(implied): v / 매출조선
매출조선 × 타겟 OPM(부문 OP 미공시 → 회사 OPM 적용; 신규수주분 포함)</t>
      </text>
    </comment>
    <comment ref="AC41" authorId="0" shapeId="0">
      <text>
        <t>모델값 역산(implied): v / 전년동기 − 1
기타 부문(연결 − 조선 부문) 최근 4분기 중위 2726억 유지</t>
      </text>
    </comment>
    <comment ref="AD41" authorId="0" shapeId="0">
      <text>
        <t>모델값 역산(implied): v / 전분기 − 1 (전년동기 없음 → 전분기 대비)
기타 부문(연결 − 조선 부문) 최근 4분기 중위 2726억 유지</t>
      </text>
    </comment>
    <comment ref="AF41" authorId="0" shapeId="0">
      <text>
        <t>모델값 역산(implied): v / 전분기 − 1 (전년동기 없음 → 전분기 대비)
기타 부문(연결 − 조선 부문) 최근 4분기 중위 2726억 유지</t>
      </text>
    </comment>
    <comment ref="AG41" authorId="0" shapeId="0">
      <text>
        <t>모델값 역산(implied): v / 전년동기 − 1
기타 부문(연결 − 조선 부문) 최근 4분기 중위 2726억 유지</t>
      </text>
    </comment>
    <comment ref="AH41" authorId="0" shapeId="0">
      <text>
        <t>모델값 역산(implied): v / 전년동기 − 1
기타 부문(연결 − 조선 부문) 최근 4분기 중위 2726억 유지</t>
      </text>
    </comment>
    <comment ref="AI41" authorId="0" shapeId="0">
      <text>
        <t>모델값 역산(implied): v / 전년동기 − 1
기타 부문(연결 − 조선 부문) 최근 4분기 중위 2726억 유지</t>
      </text>
    </comment>
    <comment ref="AK41" authorId="0" shapeId="0">
      <text>
        <t>모델값 역산(implied): v / 전년동기 − 1
기타 부문(연결 − 조선 부문) 최근 4분기 중위 2726억 유지</t>
      </text>
    </comment>
    <comment ref="AL41" authorId="0" shapeId="0">
      <text>
        <t>모델값 역산(implied): v / 전년동기 − 1
기타 부문(연결 − 조선 부문) 최근 4분기 중위 2726억 유지</t>
      </text>
    </comment>
    <comment ref="AM41" authorId="0" shapeId="0">
      <text>
        <t>모델값 역산(implied): v / 전년동기 − 1
기타 부문(연결 − 조선 부문) 최근 4분기 중위 2726억 유지</t>
      </text>
    </comment>
    <comment ref="AN41" authorId="0" shapeId="0">
      <text>
        <t>모델값 역산(implied): v / 전년동기 − 1
기타 부문(연결 − 조선 부문) 최근 4분기 중위 2726억 유지</t>
      </text>
    </comment>
    <comment ref="AC42" authorId="0" shapeId="0">
      <text>
        <t>모델값 역산(implied): v / 매출기타
매출기타 × 회사 OPM(부문 OP 미공시)</t>
      </text>
    </comment>
    <comment ref="AD42" authorId="0" shapeId="0">
      <text>
        <t>모델값 역산(implied): v / 매출기타
매출기타 × 회사 OPM(부문 OP 미공시)</t>
      </text>
    </comment>
    <comment ref="AF42" authorId="0" shapeId="0">
      <text>
        <t>모델값 역산(implied): v / 매출기타
매출기타 × 회사 OPM(부문 OP 미공시)</t>
      </text>
    </comment>
    <comment ref="AG42" authorId="0" shapeId="0">
      <text>
        <t>모델값 역산(implied): v / 매출기타
매출기타 × 회사 OPM(부문 OP 미공시)</t>
      </text>
    </comment>
    <comment ref="AH42" authorId="0" shapeId="0">
      <text>
        <t>모델값 역산(implied): v / 매출기타
매출기타 × 회사 OPM(부문 OP 미공시)</t>
      </text>
    </comment>
    <comment ref="AI42" authorId="0" shapeId="0">
      <text>
        <t>모델값 역산(implied): v / 매출기타
매출기타 × 회사 OPM(부문 OP 미공시)</t>
      </text>
    </comment>
    <comment ref="AK42" authorId="0" shapeId="0">
      <text>
        <t>모델값 역산(implied): v / 매출기타
매출기타 × 회사 OPM(부문 OP 미공시)</t>
      </text>
    </comment>
    <comment ref="AL42" authorId="0" shapeId="0">
      <text>
        <t>모델값 역산(implied): v / 매출기타
매출기타 × 회사 OPM(부문 OP 미공시)</t>
      </text>
    </comment>
    <comment ref="AM42" authorId="0" shapeId="0">
      <text>
        <t>모델값 역산(implied): v / 매출기타
매출기타 × 회사 OPM(부문 OP 미공시)</t>
      </text>
    </comment>
    <comment ref="AN4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D9" authorId="0" shapeId="0">
      <text>
        <t>추정: 매출액 × OPM(SLS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F9" authorId="0" shapeId="0">
      <text>
        <t>추정: 매출액 × OPM(SLS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G9" authorId="0" shapeId="0">
      <text>
        <t>추정: 매출액 × OPM(SLS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H9" authorId="0" shapeId="0">
      <text>
        <t>추정: 매출액 × OPM(SLS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I9" authorId="0" shapeId="0">
      <text>
        <t>추정: 매출액 × OPM(SLS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K9" authorId="0" shapeId="0">
      <text>
        <t>추정: 매출액 × OPM(SLS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L9" authorId="0" shapeId="0">
      <text>
        <t>추정: 매출액 × OPM(SLS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M9" authorId="0" shapeId="0">
      <text>
        <t>추정: 매출액 × OPM(SLS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N9" authorId="0" shapeId="0">
      <text>
        <t>추정: 매출액 × OPM(SLS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C10" authorId="0" shapeId="0">
      <text>
        <t>추정: 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D10" authorId="0" shapeId="0">
      <text>
        <t>추정: 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F10" authorId="0" shapeId="0">
      <text>
        <t>추정: 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G10" authorId="0" shapeId="0">
      <text>
        <t>추정: 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H10" authorId="0" shapeId="0">
      <text>
        <t>추정: 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I10" authorId="0" shapeId="0">
      <text>
        <t>추정: 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K10" authorId="0" shapeId="0">
      <text>
        <t>추정: 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L10" authorId="0" shapeId="0">
      <text>
        <t>추정: 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M10" authorId="0" shapeId="0">
      <text>
        <t>추정: 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N10" authorId="0" shapeId="0">
      <text>
        <t>추정: 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3277억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3824억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4374억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4951억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5390억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5843억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6337억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6868억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7383억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3277억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3824억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4374억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4951억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5390억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5843억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6337억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6868억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7383억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D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F16" authorId="0" shapeId="0">
      <text>
        <t>추정: 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G16" authorId="0" shapeId="0">
      <text>
        <t>추정: 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H16" authorId="0" shapeId="0">
      <text>
        <t>추정: 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I16" authorId="0" shapeId="0">
      <text>
        <t>추정: 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K16" authorId="0" shapeId="0">
      <text>
        <t>추정: 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L16" authorId="0" shapeId="0">
      <text>
        <t>추정: 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M16" authorId="0" shapeId="0">
      <text>
        <t>추정: 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N16" authorId="0" shapeId="0">
      <text>
        <t>추정: 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
[sls_link]</t>
      </text>
    </comment>
    <comment ref="AD36" authorId="0" shapeId="0">
      <text>
        <t>추정: SLS 해양 원화 1610억(sls.by_quarter.marine_hedged_krw_m(헤지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F36" authorId="0" shapeId="0">
      <text>
        <t>추정: SLS 해양 원화 1575억(sls.by_quarter.marine_hedged_krw_m(헤지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631억 유지(원장 수준 신규수주 체결 분기별 상계, net_panel)
[sls_link]</t>
      </text>
    </comment>
    <comment ref="AG36" authorId="0" shapeId="0">
      <text>
        <t>추정: SLS 해양 원화 1592억(sls.by_quarter.marine_hedged_krw_m(헤지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H36" authorId="0" shapeId="0">
      <text>
        <t>추정: SLS 해양 원화 1610억(sls.by_quarter.marine_hedged_krw_m(헤지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I36" authorId="0" shapeId="0">
      <text>
        <t>추정: SLS 해양 원화 1610억(sls.by_quarter.marine_hedged_krw_m(헤지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K36" authorId="0" shapeId="0">
      <text>
        <t>추정: SLS 해양 원화 1592억(sls.by_quarter.marine_hedged_krw_m(헤지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L36" authorId="0" shapeId="0">
      <text>
        <t>추정: SLS 해양 원화 1592억(sls.by_quarter.marine_hedged_krw_m(헤지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638억 유지(원장 수준 신규수주 체결 분기별 상계, net_panel)
[sls_link]</t>
      </text>
    </comment>
    <comment ref="AM36" authorId="0" shapeId="0">
      <text>
        <t>추정: SLS 해양 원화 1246억(sls.by_quarter.marine_hedged_krw_m(헤지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N36" authorId="0" shapeId="0">
      <text>
        <t>추정: SLS 해양 원화 1002억(sls.by_quarter.marine_hedged_krw_m(헤지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A37" authorId="0" shapeId="0">
      <text>
        <t>추정(실적 구간 갭필): 정의상 0 — origin 2026Q2 이전 실적 분기, origin 이후 신규수주 매출(fin 값 아님)</t>
      </text>
    </comment>
    <comment ref="AB37" authorId="0" shapeId="0">
      <text>
        <t>추정(실적 구간 갭필): 정의상 0 — origin 2026Q2 이전 실적 분기, origin 이후 신규수주 매출(fin 값 아님)</t>
      </text>
    </comment>
    <comment ref="AC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D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F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G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H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I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K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L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M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N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C38" authorId="0" shapeId="0">
      <text>
        <t>추정: 매출조선 × 타겟 OPM(부문 OP 미공시 → 회사 OPM 적용; 신규수주분 포함)
[ratio]</t>
      </text>
    </comment>
    <comment ref="AD38" authorId="0" shapeId="0">
      <text>
        <t>추정: 매출조선 × 타겟 OPM(부문 OP 미공시 → 회사 OPM 적용; 신규수주분 포함)
[ratio]</t>
      </text>
    </comment>
    <comment ref="AF38" authorId="0" shapeId="0">
      <text>
        <t>추정: 매출조선 × 타겟 OPM(부문 OP 미공시 → 회사 OPM 적용; 신규수주분 포함)
[ratio]</t>
      </text>
    </comment>
    <comment ref="AG38" authorId="0" shapeId="0">
      <text>
        <t>추정: 매출조선 × 타겟 OPM(부문 OP 미공시 → 회사 OPM 적용; 신규수주분 포함)
[ratio]</t>
      </text>
    </comment>
    <comment ref="AH38" authorId="0" shapeId="0">
      <text>
        <t>추정: 매출조선 × 타겟 OPM(부문 OP 미공시 → 회사 OPM 적용; 신규수주분 포함)
[ratio]</t>
      </text>
    </comment>
    <comment ref="AI38" authorId="0" shapeId="0">
      <text>
        <t>추정: 매출조선 × 타겟 OPM(부문 OP 미공시 → 회사 OPM 적용; 신규수주분 포함)
[ratio]</t>
      </text>
    </comment>
    <comment ref="AK38" authorId="0" shapeId="0">
      <text>
        <t>추정: 매출조선 × 타겟 OPM(부문 OP 미공시 → 회사 OPM 적용; 신규수주분 포함)
[ratio]</t>
      </text>
    </comment>
    <comment ref="AL38" authorId="0" shapeId="0">
      <text>
        <t>추정: 매출조선 × 타겟 OPM(부문 OP 미공시 → 회사 OPM 적용; 신규수주분 포함)
[ratio]</t>
      </text>
    </comment>
    <comment ref="AM38" authorId="0" shapeId="0">
      <text>
        <t>추정: 매출조선 × 타겟 OPM(부문 OP 미공시 → 회사 OPM 적용; 신규수주분 포함)
[ratio]</t>
      </text>
    </comment>
    <comment ref="AN38" authorId="0" shapeId="0">
      <text>
        <t>추정: 매출조선 × 타겟 OPM(부문 OP 미공시 → 회사 OPM 적용; 신규수주분 포함)
[ratio]</t>
      </text>
    </comment>
    <comment ref="AA39" authorId="0" shapeId="0">
      <text>
        <t>추정(실적 구간 갭필): 정의상 0 — origin 2026Q2 이전 실적 분기(fin 값 아님)</t>
      </text>
    </comment>
    <comment ref="AB39" authorId="0" shapeId="0">
      <text>
        <t>추정(실적 구간 갭필): 정의상 0 — origin 2026Q2 이전 실적 분기(fin 값 아님)</t>
      </text>
    </comment>
    <comment ref="AC39" authorId="0" shapeId="0">
      <text>
        <t>추정: 매출조선신규 × 타겟 OPM(신규분에도 같은 타겟) — OP조선에 포함
[ratio_parent]</t>
      </text>
    </comment>
    <comment ref="AD39" authorId="0" shapeId="0">
      <text>
        <t>추정: 매출조선신규 × 타겟 OPM(신규분에도 같은 타겟) — OP조선에 포함
[ratio_parent]</t>
      </text>
    </comment>
    <comment ref="AF39" authorId="0" shapeId="0">
      <text>
        <t>추정: 매출조선신규 × 타겟 OPM(신규분에도 같은 타겟) — OP조선에 포함
[ratio_parent]</t>
      </text>
    </comment>
    <comment ref="AG39" authorId="0" shapeId="0">
      <text>
        <t>추정: 매출조선신규 × 타겟 OPM(신규분에도 같은 타겟) — OP조선에 포함
[ratio_parent]</t>
      </text>
    </comment>
    <comment ref="AH39" authorId="0" shapeId="0">
      <text>
        <t>추정: 매출조선신규 × 타겟 OPM(신규분에도 같은 타겟) — OP조선에 포함
[ratio_parent]</t>
      </text>
    </comment>
    <comment ref="AI39" authorId="0" shapeId="0">
      <text>
        <t>추정: 매출조선신규 × 타겟 OPM(신규분에도 같은 타겟) — OP조선에 포함
[ratio_parent]</t>
      </text>
    </comment>
    <comment ref="AK39" authorId="0" shapeId="0">
      <text>
        <t>추정: 매출조선신규 × 타겟 OPM(신규분에도 같은 타겟) — OP조선에 포함
[ratio_parent]</t>
      </text>
    </comment>
    <comment ref="AL39" authorId="0" shapeId="0">
      <text>
        <t>추정: 매출조선신규 × 타겟 OPM(신규분에도 같은 타겟) — OP조선에 포함
[ratio_parent]</t>
      </text>
    </comment>
    <comment ref="AM39" authorId="0" shapeId="0">
      <text>
        <t>추정: 매출조선신규 × 타겟 OPM(신규분에도 같은 타겟) — OP조선에 포함
[ratio_parent]</t>
      </text>
    </comment>
    <comment ref="AN39" authorId="0" shapeId="0">
      <text>
        <t>추정: 매출조선신규 × 타겟 OPM(신규분에도 같은 타겟) — OP조선에 포함
[ratio_parent]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2726억 유지
[yoy]</t>
      </text>
    </comment>
    <comment ref="AD40" authorId="0" shapeId="0">
      <text>
        <t>추정: 기타 부문(연결 − 조선 부문) 최근 4분기 중위 2726억 유지
[yoy]</t>
      </text>
    </comment>
    <comment ref="AF40" authorId="0" shapeId="0">
      <text>
        <t>추정: 기타 부문(연결 − 조선 부문) 최근 4분기 중위 2726억 유지
[yoy]</t>
      </text>
    </comment>
    <comment ref="AG40" authorId="0" shapeId="0">
      <text>
        <t>추정: 기타 부문(연결 − 조선 부문) 최근 4분기 중위 2726억 유지
[yoy]</t>
      </text>
    </comment>
    <comment ref="AH40" authorId="0" shapeId="0">
      <text>
        <t>추정: 기타 부문(연결 − 조선 부문) 최근 4분기 중위 2726억 유지
[yoy]</t>
      </text>
    </comment>
    <comment ref="AI40" authorId="0" shapeId="0">
      <text>
        <t>추정: 기타 부문(연결 − 조선 부문) 최근 4분기 중위 2726억 유지
[yoy]</t>
      </text>
    </comment>
    <comment ref="AK40" authorId="0" shapeId="0">
      <text>
        <t>추정: 기타 부문(연결 − 조선 부문) 최근 4분기 중위 2726억 유지
[yoy]</t>
      </text>
    </comment>
    <comment ref="AL40" authorId="0" shapeId="0">
      <text>
        <t>추정: 기타 부문(연결 − 조선 부문) 최근 4분기 중위 2726억 유지
[yoy]</t>
      </text>
    </comment>
    <comment ref="AM40" authorId="0" shapeId="0">
      <text>
        <t>추정: 기타 부문(연결 − 조선 부문) 최근 4분기 중위 2726억 유지
[yoy]</t>
      </text>
    </comment>
    <comment ref="AN40" authorId="0" shapeId="0">
      <text>
        <t>추정: 기타 부문(연결 − 조선 부문) 최근 4분기 중위 2726억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F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H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I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J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K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M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N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O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P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E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F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H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I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J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K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M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N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O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P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E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F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H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I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J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K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M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N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O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P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0.45%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45건 중 포함 4건(marine_hedged_krw_m_signed_by_origin), 재구성 최대차 2.7 백만원</t>
        </is>
      </c>
    </row>
    <row r="28">
      <c r="A28" t="inlineStr">
        <is>
          <t>· 신규수주 — 공시 계약 원장 체결 속도 폴백(저신뢰)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0.45%→22%) — 분기별 세율 드라이버 행 사용)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10.8% 상수(코호트 모드 reference_anchor); 경로 변화는 등급 없는 비중의 실측 중위 6.3% 채움에서만, 추정 구간 타겟 7.37%→8.08%) / 추정 매출조선 = 2026Q2 기준 잔고 소진분 + ledger_signing_rate(공시 계약 원장 체결 속도 × forecast_panel 역산 커널 covered_scope_new_revenue) 신규수주 매출(미보정 book-value proxy, status partial; FY합 12,826억) — 보수/낙관은 scenarios 블록(합산 안 함) / 신규수주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 / 신규수주 ledger_signing_rate(저신뢰): 원장은 공시 대상 대형 계약만 잡는 하한 · 표본 3분기(2025Q4 3,814억 · 2026Q1 3,533억 · 2026Q2 3,572억; 수준 통계는 체결 &gt; 0 인 3분기) — 보수~낙관 폭이 좁아 불확실성을 과소표시할 수 있음(저신뢰) / origin 이후 공시 수주 1건 6,790억은 SLS 일정으로 전부 유지, 원장 수준 신규수주에서 체결 분기별 상계(2026Q3 원장 수준 3,572억(패널 110억) − 공시 6,790억 = 0억) — 매출조선신규(원장 수준) −3,490억(2026 103억 · 2027 1,722억 · 2028 1,666억)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7건을 제외(industry_axes.schedule_exclusions.not_known_at_origin); 2026Q3 공시 수주 6,790억 vs 원장 수준 base 신규수주 3,572억(190%). 공시 수주의 인식 시점·진행률(선형, 체결 분기부터)은 패널 가정과 다르다(calibrated=false) — FY 유지 SLS(공시) vs 매출조선신규(원장 수준)(상계 후): 2026 717억 vs 0억 · 2027 2,559억 vs 2,563억 · 2028 2,566억 vs 10,263억 / 법인세율 이월결손 경로: 최근 양(+)세전 6분기 유효세율 중위 0.5% → 0.5%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14250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13900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14972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$D$53</f>
        <v/>
      </c>
      <c r="AD21" s="24">
        <f>$D$53</f>
        <v/>
      </c>
      <c r="AE21" s="25">
        <f>IFERROR(subQ!AE8/subQ!AE5,"")</f>
        <v/>
      </c>
      <c r="AF21" s="24">
        <f>$D$53</f>
        <v/>
      </c>
      <c r="AG21" s="24">
        <f>$D$53</f>
        <v/>
      </c>
      <c r="AH21" s="24">
        <f>$D$53</f>
        <v/>
      </c>
      <c r="AI21" s="24">
        <f>$D$53</f>
        <v/>
      </c>
      <c r="AJ21" s="25">
        <f>IFERROR(subQ!AJ8/subQ!AJ5,"")</f>
        <v/>
      </c>
      <c r="AK21" s="24">
        <f>$D$53</f>
        <v/>
      </c>
      <c r="AL21" s="24">
        <f>$D$53</f>
        <v/>
      </c>
      <c r="AM21" s="24">
        <f>$D$53</f>
        <v/>
      </c>
      <c r="AN21" s="24">
        <f>$D$53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분기별 세율(이월결손 램프, assumptions.tax_schedule)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31" t="n">
        <v>0.004526838</v>
      </c>
      <c r="AD24" s="31" t="n">
        <v>0.004527437</v>
      </c>
      <c r="AE24" s="25">
        <f>IFERROR(subQ!AE16/subQ!AE15,"")</f>
        <v/>
      </c>
      <c r="AF24" s="31" t="n">
        <v>0.031451641</v>
      </c>
      <c r="AG24" s="31" t="n">
        <v>0.058399517</v>
      </c>
      <c r="AH24" s="31" t="n">
        <v>0.085323948</v>
      </c>
      <c r="AI24" s="31" t="n">
        <v>0.112258494</v>
      </c>
      <c r="AJ24" s="25">
        <f>IFERROR(subQ!AJ16/subQ!AJ15,"")</f>
        <v/>
      </c>
      <c r="AK24" s="31" t="n">
        <v>0.139202119</v>
      </c>
      <c r="AL24" s="31" t="n">
        <v>0.166127055</v>
      </c>
      <c r="AM24" s="31" t="n">
        <v>0.193070703</v>
      </c>
      <c r="AN24" s="31" t="n">
        <v>0.219999068</v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$D$54</f>
        <v/>
      </c>
      <c r="AD25" s="24">
        <f>$D$54</f>
        <v/>
      </c>
      <c r="AE25" s="25">
        <f>IFERROR(subQ!AE18/subQ!AE17,"")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IFERROR(subQ!AJ18/subQ!AJ17,"")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2" t="n"/>
      <c r="AD26" s="32" t="n"/>
      <c r="AE26" s="30">
        <f>subQ!AE19</f>
        <v/>
      </c>
      <c r="AF26" s="32" t="n"/>
      <c r="AG26" s="32" t="n"/>
      <c r="AH26" s="32" t="n"/>
      <c r="AI26" s="32" t="n"/>
      <c r="AJ26" s="30">
        <f>subQ!AJ19</f>
        <v/>
      </c>
      <c r="AK26" s="32" t="n"/>
      <c r="AL26" s="32" t="n"/>
      <c r="AM26" s="32" t="n"/>
      <c r="AN26" s="32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1" t="n">
        <v>0</v>
      </c>
      <c r="AD27" s="31" t="n">
        <v>0</v>
      </c>
      <c r="AE27" s="25" t="n"/>
      <c r="AF27" s="31" t="n">
        <v>0</v>
      </c>
      <c r="AG27" s="31" t="n">
        <v>0</v>
      </c>
      <c r="AH27" s="31" t="n">
        <v>0</v>
      </c>
      <c r="AI27" s="31" t="n">
        <v>0</v>
      </c>
      <c r="AJ27" s="25" t="n"/>
      <c r="AK27" s="31" t="n">
        <v>0</v>
      </c>
      <c r="AL27" s="31" t="n">
        <v>0</v>
      </c>
      <c r="AM27" s="31" t="n">
        <v>0</v>
      </c>
      <c r="AN27" s="31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-0.003250629</v>
      </c>
      <c r="AD28" s="29" t="n">
        <v>0.001361304</v>
      </c>
      <c r="AE28" s="30" t="n"/>
      <c r="AF28" s="29" t="n">
        <v>0.008701798</v>
      </c>
      <c r="AG28" s="29" t="n">
        <v>0.001192921</v>
      </c>
      <c r="AH28" s="29" t="n">
        <v>0.001198189</v>
      </c>
      <c r="AI28" s="29" t="n">
        <v>-0.006061927</v>
      </c>
      <c r="AJ28" s="30" t="n"/>
      <c r="AK28" s="29" t="n">
        <v>-0.002546604</v>
      </c>
      <c r="AL28" s="29" t="n">
        <v>0.0110595</v>
      </c>
      <c r="AM28" s="29" t="n">
        <v>0.001526348</v>
      </c>
      <c r="AN28" s="29" t="n">
        <v>-0.002844643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-0.003250629</v>
      </c>
      <c r="AD29" s="29" t="n">
        <v>0.001361304</v>
      </c>
      <c r="AE29" s="30" t="n"/>
      <c r="AF29" s="29" t="n">
        <v>0.008701798</v>
      </c>
      <c r="AG29" s="29" t="n">
        <v>0.001192921</v>
      </c>
      <c r="AH29" s="29" t="n">
        <v>0.001198189</v>
      </c>
      <c r="AI29" s="29" t="n">
        <v>-0.006061927</v>
      </c>
      <c r="AJ29" s="30" t="n"/>
      <c r="AK29" s="29" t="n">
        <v>-0.002546604</v>
      </c>
      <c r="AL29" s="29" t="n">
        <v>0.0110595</v>
      </c>
      <c r="AM29" s="29" t="n">
        <v>0.001526348</v>
      </c>
      <c r="AN29" s="29" t="n">
        <v>-0.002844643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1" t="n">
        <v>0</v>
      </c>
      <c r="AD30" s="31" t="n">
        <v>0</v>
      </c>
      <c r="AE30" s="25" t="n"/>
      <c r="AF30" s="31" t="n">
        <v>0</v>
      </c>
      <c r="AG30" s="31" t="n">
        <v>0</v>
      </c>
      <c r="AH30" s="31" t="n">
        <v>0</v>
      </c>
      <c r="AI30" s="31" t="n">
        <v>0</v>
      </c>
      <c r="AJ30" s="25" t="n"/>
      <c r="AK30" s="31" t="n">
        <v>0</v>
      </c>
      <c r="AL30" s="31" t="n">
        <v>0</v>
      </c>
      <c r="AM30" s="31" t="n">
        <v>0</v>
      </c>
      <c r="AN30" s="31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1" t="n">
        <v>-0.231261925</v>
      </c>
      <c r="AD31" s="31" t="n">
        <v>-0.356654745</v>
      </c>
      <c r="AE31" s="25" t="n"/>
      <c r="AF31" s="31" t="n">
        <v>-0.556289111</v>
      </c>
      <c r="AG31" s="31" t="n">
        <v>-1.317640347</v>
      </c>
      <c r="AH31" s="31" t="n">
        <v>3.155399095</v>
      </c>
      <c r="AI31" s="31" t="n">
        <v>0.783295009</v>
      </c>
      <c r="AJ31" s="25" t="n"/>
      <c r="AK31" s="31" t="n">
        <v>0.47884511</v>
      </c>
      <c r="AL31" s="31" t="n">
        <v>0.347824092</v>
      </c>
      <c r="AM31" s="31" t="n">
        <v>0.250475463</v>
      </c>
      <c r="AN31" s="31" t="n">
        <v>0.195309704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0.164057893</v>
      </c>
      <c r="AD32" s="31" t="n">
        <v>0.167087827</v>
      </c>
      <c r="AE32" s="25" t="n"/>
      <c r="AF32" s="31" t="n">
        <v>0.143660683</v>
      </c>
      <c r="AG32" s="31" t="n">
        <v>0.132019216</v>
      </c>
      <c r="AH32" s="31" t="n">
        <v>0.088710785</v>
      </c>
      <c r="AI32" s="31" t="n">
        <v>0.084051932</v>
      </c>
      <c r="AJ32" s="25" t="n"/>
      <c r="AK32" s="31" t="n">
        <v>0.084526036</v>
      </c>
      <c r="AL32" s="31" t="n">
        <v>0.083721657</v>
      </c>
      <c r="AM32" s="31" t="n">
        <v>0.074982308</v>
      </c>
      <c r="AN32" s="31" t="n">
        <v>0.068012901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1" t="n">
        <v>-0.332987121</v>
      </c>
      <c r="AD34" s="31" t="n">
        <v>-0.012303906</v>
      </c>
      <c r="AE34" s="25" t="n"/>
      <c r="AF34" s="31" t="n">
        <v>0.012614317</v>
      </c>
      <c r="AG34" s="31" t="n">
        <v>0.157117117</v>
      </c>
      <c r="AH34" s="31" t="n">
        <v>0</v>
      </c>
      <c r="AI34" s="31" t="n">
        <v>0</v>
      </c>
      <c r="AJ34" s="25" t="n"/>
      <c r="AK34" s="31" t="n">
        <v>0</v>
      </c>
      <c r="AL34" s="31" t="n">
        <v>0</v>
      </c>
      <c r="AM34" s="31" t="n">
        <v>0</v>
      </c>
      <c r="AN34" s="31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1" t="n">
        <v>0</v>
      </c>
      <c r="AD36" s="31" t="n">
        <v>0</v>
      </c>
      <c r="AE36" s="25" t="n"/>
      <c r="AF36" s="31" t="n">
        <v>0</v>
      </c>
      <c r="AG36" s="31" t="n">
        <v>0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2" t="n"/>
      <c r="AD37" s="29" t="n">
        <v>0</v>
      </c>
      <c r="AE37" s="30">
        <f>subQ!AE33</f>
        <v/>
      </c>
      <c r="AF37" s="32" t="n"/>
      <c r="AG37" s="32" t="n"/>
      <c r="AH37" s="32" t="n"/>
      <c r="AI37" s="29" t="n">
        <v>0</v>
      </c>
      <c r="AJ37" s="30">
        <f>subQ!AJ33</f>
        <v/>
      </c>
      <c r="AK37" s="32" t="n"/>
      <c r="AL37" s="32" t="n"/>
      <c r="AM37" s="32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 + 매출조선신규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2224.230436</v>
      </c>
      <c r="AD38" s="29" t="n">
        <v>2798.324508</v>
      </c>
      <c r="AE38" s="30" t="n"/>
      <c r="AF38" s="29" t="n">
        <v>2783.993129</v>
      </c>
      <c r="AG38" s="29" t="n">
        <v>2791.017959</v>
      </c>
      <c r="AH38" s="29" t="n">
        <v>919.83432</v>
      </c>
      <c r="AI38" s="29" t="n">
        <v>645.00432</v>
      </c>
      <c r="AJ38" s="30" t="n"/>
      <c r="AK38" s="29" t="n">
        <v>638.017959</v>
      </c>
      <c r="AL38" s="29" t="n">
        <v>638.017959</v>
      </c>
      <c r="AM38" s="29" t="n">
        <v>645.016559</v>
      </c>
      <c r="AN38" s="29" t="n">
        <v>645.046596</v>
      </c>
      <c r="AO38" s="30" t="n"/>
    </row>
    <row r="39">
      <c r="A39" s="12" t="inlineStr">
        <is>
          <t>drv:매출조선신규</t>
        </is>
      </c>
      <c r="B39" s="2" t="inlineStr">
        <is>
          <t>abs</t>
        </is>
      </c>
      <c r="C39" t="inlineStr">
        <is>
          <t>매출조선신규 (공시 계약 원장 체결 속도 폴백 신규수주 매출, 억원 — 가정)</t>
        </is>
      </c>
      <c r="E39" s="26">
        <f>subQ!E37</f>
        <v/>
      </c>
      <c r="F39" s="27">
        <f>subQ!F37</f>
        <v/>
      </c>
      <c r="G39" s="26">
        <f>subQ!G37</f>
        <v/>
      </c>
      <c r="H39" s="26">
        <f>subQ!H37</f>
        <v/>
      </c>
      <c r="I39" s="26">
        <f>subQ!I37</f>
        <v/>
      </c>
      <c r="J39" s="26">
        <f>subQ!J37</f>
        <v/>
      </c>
      <c r="K39" s="27">
        <f>subQ!K37</f>
        <v/>
      </c>
      <c r="L39" s="26">
        <f>subQ!L37</f>
        <v/>
      </c>
      <c r="M39" s="26">
        <f>subQ!M37</f>
        <v/>
      </c>
      <c r="N39" s="26">
        <f>subQ!N37</f>
        <v/>
      </c>
      <c r="O39" s="26">
        <f>subQ!O37</f>
        <v/>
      </c>
      <c r="P39" s="27">
        <f>subQ!P37</f>
        <v/>
      </c>
      <c r="Q39" s="26">
        <f>subQ!Q37</f>
        <v/>
      </c>
      <c r="R39" s="26">
        <f>subQ!R37</f>
        <v/>
      </c>
      <c r="S39" s="26">
        <f>subQ!S37</f>
        <v/>
      </c>
      <c r="T39" s="26">
        <f>subQ!T37</f>
        <v/>
      </c>
      <c r="U39" s="27">
        <f>subQ!U37</f>
        <v/>
      </c>
      <c r="V39" s="26">
        <f>subQ!V37</f>
        <v/>
      </c>
      <c r="W39" s="26">
        <f>subQ!W37</f>
        <v/>
      </c>
      <c r="X39" s="26">
        <f>subQ!X37</f>
        <v/>
      </c>
      <c r="Y39" s="26">
        <f>subQ!Y37</f>
        <v/>
      </c>
      <c r="Z39" s="27">
        <f>subQ!Z37</f>
        <v/>
      </c>
      <c r="AA39" s="26">
        <f>subQ!AA37</f>
        <v/>
      </c>
      <c r="AB39" s="28">
        <f>subQ!AB37</f>
        <v/>
      </c>
      <c r="AC39" s="29" t="n">
        <v>0</v>
      </c>
      <c r="AD39" s="29" t="n">
        <v>0</v>
      </c>
      <c r="AE39" s="30">
        <f>subQ!AE37</f>
        <v/>
      </c>
      <c r="AF39" s="29" t="n">
        <v>102.88</v>
      </c>
      <c r="AG39" s="29" t="n">
        <v>381.61</v>
      </c>
      <c r="AH39" s="29" t="n">
        <v>791.37</v>
      </c>
      <c r="AI39" s="29" t="n">
        <v>1287.31</v>
      </c>
      <c r="AJ39" s="30">
        <f>subQ!AJ37</f>
        <v/>
      </c>
      <c r="AK39" s="29" t="n">
        <v>1824.59</v>
      </c>
      <c r="AL39" s="29" t="n">
        <v>2358.38</v>
      </c>
      <c r="AM39" s="29" t="n">
        <v>2843.84</v>
      </c>
      <c r="AN39" s="29" t="n">
        <v>3236.14</v>
      </c>
      <c r="AO39" s="30">
        <f>subQ!AO37</f>
        <v/>
      </c>
    </row>
    <row r="40">
      <c r="A40" s="12" t="inlineStr">
        <is>
          <t>drv:OP조선</t>
        </is>
      </c>
      <c r="B40" s="2" t="inlineStr">
        <is>
          <t>ratio</t>
        </is>
      </c>
      <c r="C40" t="inlineStr">
        <is>
          <t>OP조선 마진(/매출조선)</t>
        </is>
      </c>
      <c r="E40" s="21">
        <f>IFERROR(subQ!E38/subQ!E36,"")</f>
        <v/>
      </c>
      <c r="F40" s="22">
        <f>IFERROR(subQ!F38/subQ!F36,"")</f>
        <v/>
      </c>
      <c r="G40" s="21">
        <f>IFERROR(subQ!G38/subQ!G36,"")</f>
        <v/>
      </c>
      <c r="H40" s="21">
        <f>IFERROR(subQ!H38/subQ!H36,"")</f>
        <v/>
      </c>
      <c r="I40" s="21">
        <f>IFERROR(subQ!I38/subQ!I36,"")</f>
        <v/>
      </c>
      <c r="J40" s="21">
        <f>IFERROR(subQ!J38/subQ!J36,"")</f>
        <v/>
      </c>
      <c r="K40" s="22">
        <f>IFERROR(subQ!K38/subQ!K36,"")</f>
        <v/>
      </c>
      <c r="L40" s="21">
        <f>IFERROR(subQ!L38/subQ!L36,"")</f>
        <v/>
      </c>
      <c r="M40" s="21">
        <f>IFERROR(subQ!M38/subQ!M36,"")</f>
        <v/>
      </c>
      <c r="N40" s="21">
        <f>IFERROR(subQ!N38/subQ!N36,"")</f>
        <v/>
      </c>
      <c r="O40" s="21">
        <f>IFERROR(subQ!O38/subQ!O36,"")</f>
        <v/>
      </c>
      <c r="P40" s="22">
        <f>IFERROR(subQ!P38/subQ!P36,"")</f>
        <v/>
      </c>
      <c r="Q40" s="21">
        <f>IFERROR(subQ!Q38/subQ!Q36,"")</f>
        <v/>
      </c>
      <c r="R40" s="21">
        <f>IFERROR(subQ!R38/subQ!R36,"")</f>
        <v/>
      </c>
      <c r="S40" s="21">
        <f>IFERROR(subQ!S38/subQ!S36,"")</f>
        <v/>
      </c>
      <c r="T40" s="21">
        <f>IFERROR(subQ!T38/subQ!T36,"")</f>
        <v/>
      </c>
      <c r="U40" s="22">
        <f>IFERROR(subQ!U38/subQ!U36,"")</f>
        <v/>
      </c>
      <c r="V40" s="21">
        <f>IFERROR(subQ!V38/subQ!V36,"")</f>
        <v/>
      </c>
      <c r="W40" s="21">
        <f>IFERROR(subQ!W38/subQ!W36,"")</f>
        <v/>
      </c>
      <c r="X40" s="21">
        <f>IFERROR(subQ!X38/subQ!X36,"")</f>
        <v/>
      </c>
      <c r="Y40" s="21">
        <f>IFERROR(subQ!Y38/subQ!Y36,"")</f>
        <v/>
      </c>
      <c r="Z40" s="22">
        <f>IFERROR(subQ!Z38/subQ!Z36,"")</f>
        <v/>
      </c>
      <c r="AA40" s="21">
        <f>IFERROR(subQ!AA38/subQ!AA36,"")</f>
        <v/>
      </c>
      <c r="AB40" s="23">
        <f>IFERROR(subQ!AB38/subQ!AB36,"")</f>
        <v/>
      </c>
      <c r="AC40" s="31" t="n">
        <v>0.09015805</v>
      </c>
      <c r="AD40" s="31" t="n">
        <v>0.095076008</v>
      </c>
      <c r="AE40" s="25">
        <f>IFERROR(subQ!AE38/subQ!AE36,"")</f>
        <v/>
      </c>
      <c r="AF40" s="31" t="n">
        <v>0.096057454</v>
      </c>
      <c r="AG40" s="31" t="n">
        <v>0.097965712</v>
      </c>
      <c r="AH40" s="31" t="n">
        <v>0.09878803999999999</v>
      </c>
      <c r="AI40" s="31" t="n">
        <v>0.099636168</v>
      </c>
      <c r="AJ40" s="25">
        <f>IFERROR(subQ!AJ38/subQ!AJ36,"")</f>
        <v/>
      </c>
      <c r="AK40" s="31" t="n">
        <v>0.10093569</v>
      </c>
      <c r="AL40" s="31" t="n">
        <v>0.101627128</v>
      </c>
      <c r="AM40" s="31" t="n">
        <v>0.099195134</v>
      </c>
      <c r="AN40" s="31" t="n">
        <v>0.09728189199999999</v>
      </c>
      <c r="AO40" s="25">
        <f>IFERROR(subQ!AO38/subQ!AO36,"")</f>
        <v/>
      </c>
    </row>
    <row r="41">
      <c r="A41" s="12" t="inlineStr">
        <is>
          <t>drv:매출기타</t>
        </is>
      </c>
      <c r="B41" s="2" t="inlineStr">
        <is>
          <t>yoy</t>
        </is>
      </c>
      <c r="C41" t="inlineStr">
        <is>
          <t>매출기타 YoY</t>
        </is>
      </c>
      <c r="E41" s="21" t="n"/>
      <c r="F41" s="22" t="n"/>
      <c r="G41" s="21" t="n"/>
      <c r="H41" s="21" t="n"/>
      <c r="I41" s="21" t="n"/>
      <c r="J41" s="21">
        <f>IFERROR(subQ!J40/subQ!E40-1,"")</f>
        <v/>
      </c>
      <c r="K41" s="22" t="n"/>
      <c r="L41" s="21">
        <f>IFERROR(subQ!L40/subQ!G40-1,"")</f>
        <v/>
      </c>
      <c r="M41" s="21">
        <f>IFERROR(subQ!M40/subQ!H40-1,"")</f>
        <v/>
      </c>
      <c r="N41" s="21">
        <f>IFERROR(subQ!N40/subQ!I40-1,"")</f>
        <v/>
      </c>
      <c r="O41" s="21">
        <f>IFERROR(subQ!O40/subQ!J40-1,"")</f>
        <v/>
      </c>
      <c r="P41" s="22" t="n"/>
      <c r="Q41" s="21">
        <f>IFERROR(subQ!Q40/subQ!L40-1,"")</f>
        <v/>
      </c>
      <c r="R41" s="21">
        <f>IFERROR(subQ!R40/subQ!M40-1,"")</f>
        <v/>
      </c>
      <c r="S41" s="21">
        <f>IFERROR(subQ!S40/subQ!N40-1,"")</f>
        <v/>
      </c>
      <c r="T41" s="21">
        <f>IFERROR(subQ!T40/subQ!O40-1,"")</f>
        <v/>
      </c>
      <c r="U41" s="22" t="n"/>
      <c r="V41" s="21">
        <f>IFERROR(subQ!V40/subQ!Q40-1,"")</f>
        <v/>
      </c>
      <c r="W41" s="21">
        <f>IFERROR(subQ!W40/subQ!R40-1,"")</f>
        <v/>
      </c>
      <c r="X41" s="21">
        <f>IFERROR(subQ!X40/subQ!S40-1,"")</f>
        <v/>
      </c>
      <c r="Y41" s="21">
        <f>IFERROR(subQ!Y40/subQ!T40-1,"")</f>
        <v/>
      </c>
      <c r="Z41" s="22" t="n"/>
      <c r="AA41" s="21">
        <f>IFERROR(subQ!AA40/subQ!V40-1,"")</f>
        <v/>
      </c>
      <c r="AB41" s="23">
        <f>IFERROR(subQ!AB40/subQ!W40-1,"")</f>
        <v/>
      </c>
      <c r="AC41" s="31" t="n">
        <v>0.092004263</v>
      </c>
      <c r="AD41" s="31" t="n">
        <v>0</v>
      </c>
      <c r="AE41" s="25" t="n"/>
      <c r="AF41" s="31" t="n">
        <v>0</v>
      </c>
      <c r="AG41" s="31" t="n">
        <v>-0.185882655</v>
      </c>
      <c r="AH41" s="31" t="n">
        <v>0</v>
      </c>
      <c r="AI41" s="31" t="n">
        <v>0</v>
      </c>
      <c r="AJ41" s="25" t="n"/>
      <c r="AK41" s="31" t="n">
        <v>0</v>
      </c>
      <c r="AL41" s="31" t="n">
        <v>0</v>
      </c>
      <c r="AM41" s="31" t="n">
        <v>0</v>
      </c>
      <c r="AN41" s="31" t="n">
        <v>0</v>
      </c>
      <c r="AO41" s="25" t="n"/>
    </row>
    <row r="42">
      <c r="A42" s="12" t="inlineStr">
        <is>
          <t>drv:OP기타</t>
        </is>
      </c>
      <c r="B42" s="2" t="inlineStr">
        <is>
          <t>ratio</t>
        </is>
      </c>
      <c r="C42" t="inlineStr">
        <is>
          <t>OP기타 마진(/매출기타)</t>
        </is>
      </c>
      <c r="E42" s="21">
        <f>IFERROR(subQ!E41/subQ!E40,"")</f>
        <v/>
      </c>
      <c r="F42" s="22">
        <f>IFERROR(subQ!F41/subQ!F40,"")</f>
        <v/>
      </c>
      <c r="G42" s="21">
        <f>IFERROR(subQ!G41/subQ!G40,"")</f>
        <v/>
      </c>
      <c r="H42" s="21">
        <f>IFERROR(subQ!H41/subQ!H40,"")</f>
        <v/>
      </c>
      <c r="I42" s="21">
        <f>IFERROR(subQ!I41/subQ!I40,"")</f>
        <v/>
      </c>
      <c r="J42" s="21">
        <f>IFERROR(subQ!J41/subQ!J40,"")</f>
        <v/>
      </c>
      <c r="K42" s="22">
        <f>IFERROR(subQ!K41/subQ!K40,"")</f>
        <v/>
      </c>
      <c r="L42" s="21">
        <f>IFERROR(subQ!L41/subQ!L40,"")</f>
        <v/>
      </c>
      <c r="M42" s="21">
        <f>IFERROR(subQ!M41/subQ!M40,"")</f>
        <v/>
      </c>
      <c r="N42" s="21">
        <f>IFERROR(subQ!N41/subQ!N40,"")</f>
        <v/>
      </c>
      <c r="O42" s="21">
        <f>IFERROR(subQ!O41/subQ!O40,"")</f>
        <v/>
      </c>
      <c r="P42" s="22">
        <f>IFERROR(subQ!P41/subQ!P40,"")</f>
        <v/>
      </c>
      <c r="Q42" s="21">
        <f>IFERROR(subQ!Q41/subQ!Q40,"")</f>
        <v/>
      </c>
      <c r="R42" s="21">
        <f>IFERROR(subQ!R41/subQ!R40,"")</f>
        <v/>
      </c>
      <c r="S42" s="21">
        <f>IFERROR(subQ!S41/subQ!S40,"")</f>
        <v/>
      </c>
      <c r="T42" s="21">
        <f>IFERROR(subQ!T41/subQ!T40,"")</f>
        <v/>
      </c>
      <c r="U42" s="22">
        <f>IFERROR(subQ!U41/subQ!U40,"")</f>
        <v/>
      </c>
      <c r="V42" s="21">
        <f>IFERROR(subQ!V41/subQ!V40,"")</f>
        <v/>
      </c>
      <c r="W42" s="21">
        <f>IFERROR(subQ!W41/subQ!W40,"")</f>
        <v/>
      </c>
      <c r="X42" s="21">
        <f>IFERROR(subQ!X41/subQ!X40,"")</f>
        <v/>
      </c>
      <c r="Y42" s="21">
        <f>IFERROR(subQ!Y41/subQ!Y40,"")</f>
        <v/>
      </c>
      <c r="Z42" s="22">
        <f>IFERROR(subQ!Z41/subQ!Z40,"")</f>
        <v/>
      </c>
      <c r="AA42" s="21">
        <f>IFERROR(subQ!AA41/subQ!AA40,"")</f>
        <v/>
      </c>
      <c r="AB42" s="23">
        <f>IFERROR(subQ!AB41/subQ!AB40,"")</f>
        <v/>
      </c>
      <c r="AC42" s="31" t="n">
        <v>0.090155665</v>
      </c>
      <c r="AD42" s="31" t="n">
        <v>0.09507544800000001</v>
      </c>
      <c r="AE42" s="25">
        <f>IFERROR(subQ!AE41/subQ!AE40,"")</f>
        <v/>
      </c>
      <c r="AF42" s="31" t="n">
        <v>0.096058671</v>
      </c>
      <c r="AG42" s="31" t="n">
        <v>0.097966416</v>
      </c>
      <c r="AH42" s="31" t="n">
        <v>0.098788215</v>
      </c>
      <c r="AI42" s="31" t="n">
        <v>0.099635694</v>
      </c>
      <c r="AJ42" s="25">
        <f>IFERROR(subQ!AJ41/subQ!AJ40,"")</f>
        <v/>
      </c>
      <c r="AK42" s="31" t="n">
        <v>0.100934429</v>
      </c>
      <c r="AL42" s="31" t="n">
        <v>0.101627821</v>
      </c>
      <c r="AM42" s="31" t="n">
        <v>0.09919544499999999</v>
      </c>
      <c r="AN42" s="31" t="n">
        <v>0.097280362</v>
      </c>
      <c r="AO42" s="25">
        <f>IFERROR(subQ!AO41/subQ!AO40,"")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14250</v>
      </c>
      <c r="E45" s="2" t="inlineStr">
        <is>
          <t>원 — 네이버 정규장 종가(aik 확정종가 대조 · aik 14,870원)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31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15.6</v>
      </c>
      <c r="E48" s="2" t="inlineStr">
        <is>
          <t>PER 밴드 하단(배) — hist_quarterly(분기 평균가 ÷ TTM EPS, 6분기, 25/50/75 백분위) · 캡 5~30배 적용(원값 15.6/25.6/41.6)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25.6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31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0.0045</v>
      </c>
      <c r="E52" s="2" t="inlineStr">
        <is>
          <t>참고(연결 안 됨: 이월결손 램프(assumptions.tax_schedule, 0.45%→22%) — 분기별 세율 드라이버 행 사용) — 모델 assumptions 값(시작 0.45% → terminal 22%, 2026Q4 까지 유지 → 2027Q1~2028Q4 선형 램프 — 분기별 값은 2절 drv:법인세비용 행) ·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0.05359751744267597</v>
      </c>
      <c r="E53" s="2" t="inlineStr">
        <is>
          <t>연결 — 판관비 = 매출액 × 판관비율(역산, 재현 오차 ≤ 0.05억 · 모델 assumptions 0.0536)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0.03234847773083892</v>
      </c>
      <c r="E55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0.07870519551433268</v>
      </c>
      <c r="E56" s="2" t="inlineStr">
        <is>
          <t>연결 — 같은 수식의 부채 쪽(총차입금 행이 없으면 0)(역산, 재현 오차 ≤ 0.05억 · 모델 assumptions 0.0787)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31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31" t="n">
        <v>0.7</v>
      </c>
      <c r="E59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정기보고서 평균 약정환율(measured) — 비어 있으면 계약별 수주시점 환율(fx_at_sign)을 쓴다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IFERROR(AC36+AC40,"")</f>
        <v/>
      </c>
      <c r="AD5" s="20">
        <f>IFERROR(AD36+AD40,"")</f>
        <v/>
      </c>
      <c r="AE5" s="38">
        <f>SUM(AA5:AD5)</f>
        <v/>
      </c>
      <c r="AF5" s="20">
        <f>IFERROR(AF36+AF40,"")</f>
        <v/>
      </c>
      <c r="AG5" s="20">
        <f>IFERROR(AG36+AG40,"")</f>
        <v/>
      </c>
      <c r="AH5" s="20">
        <f>IFERROR(AH36+AH40,"")</f>
        <v/>
      </c>
      <c r="AI5" s="20">
        <f>IFERROR(AI36+AI40,"")</f>
        <v/>
      </c>
      <c r="AJ5" s="38">
        <f>SUM(AF5:AI5)</f>
        <v/>
      </c>
      <c r="AK5" s="20">
        <f>IFERROR(AK36+AK40,"")</f>
        <v/>
      </c>
      <c r="AL5" s="20">
        <f>IFERROR(AL36+AL40,"")</f>
        <v/>
      </c>
      <c r="AM5" s="20">
        <f>IFERROR(AM36+AM40,"")</f>
        <v/>
      </c>
      <c r="AN5" s="20">
        <f>IFERROR(AN36+AN40,"")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IFERROR(AC38+AC41,"")</f>
        <v/>
      </c>
      <c r="AD9" s="20">
        <f>IFERROR(AD38+AD41,"")</f>
        <v/>
      </c>
      <c r="AE9" s="38">
        <f>SUM(AA9:AD9)</f>
        <v/>
      </c>
      <c r="AF9" s="20">
        <f>IFERROR(AF38+AF41,"")</f>
        <v/>
      </c>
      <c r="AG9" s="20">
        <f>IFERROR(AG38+AG41,"")</f>
        <v/>
      </c>
      <c r="AH9" s="20">
        <f>IFERROR(AH38+AH41,"")</f>
        <v/>
      </c>
      <c r="AI9" s="20">
        <f>IFERROR(AI38+AI41,"")</f>
        <v/>
      </c>
      <c r="AJ9" s="38">
        <f>SUM(AF9:AI9)</f>
        <v/>
      </c>
      <c r="AK9" s="20">
        <f>IFERROR(AK38+AK41,"")</f>
        <v/>
      </c>
      <c r="AL9" s="20">
        <f>IFERROR(AL38+AL41,"")</f>
        <v/>
      </c>
      <c r="AM9" s="20">
        <f>IFERROR(AM38+AM41,"")</f>
        <v/>
      </c>
      <c r="AN9" s="20">
        <f>IFERROR(AN38+AN41,"")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IFERROR((AB26*변수!$D$55-AB24*변수!$D$56)/4,"")</f>
        <v/>
      </c>
      <c r="AD12" s="20">
        <f>IFERROR((AC26*변수!$D$55-AC24*변수!$D$56)/4,"")</f>
        <v/>
      </c>
      <c r="AE12" s="38">
        <f>SUM(AA12:AD12)</f>
        <v/>
      </c>
      <c r="AF12" s="20">
        <f>IFERROR((AD26*변수!$D$55-AD24*변수!$D$56)/4,"")</f>
        <v/>
      </c>
      <c r="AG12" s="20">
        <f>IFERROR((AF26*변수!$D$55-AF24*변수!$D$56)/4,"")</f>
        <v/>
      </c>
      <c r="AH12" s="20">
        <f>IFERROR((AG26*변수!$D$55-AG24*변수!$D$56)/4,"")</f>
        <v/>
      </c>
      <c r="AI12" s="20">
        <f>IFERROR((AH26*변수!$D$55-AH24*변수!$D$56)/4,"")</f>
        <v/>
      </c>
      <c r="AJ12" s="38">
        <f>SUM(AF12:AI12)</f>
        <v/>
      </c>
      <c r="AK12" s="20">
        <f>IFERROR((AI26*변수!$D$55-AI24*변수!$D$56)/4,"")</f>
        <v/>
      </c>
      <c r="AL12" s="20">
        <f>IFERROR((AK26*변수!$D$55-AK24*변수!$D$56)/4,"")</f>
        <v/>
      </c>
      <c r="AM12" s="20">
        <f>IFERROR((AL26*변수!$D$55-AL24*변수!$D$56)/4,"")</f>
        <v/>
      </c>
      <c r="AN12" s="20">
        <f>IFERROR((AM26*변수!$D$55-AM24*변수!$D$56)/4,"")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2">
        <f>IFERROR(AB30*(1+변수!AC36),"")</f>
        <v/>
      </c>
      <c r="AD30" s="32">
        <f>IFERROR(AC30*(1+변수!AD36),"")</f>
        <v/>
      </c>
      <c r="AE30" s="30">
        <f>AD30</f>
        <v/>
      </c>
      <c r="AF30" s="32">
        <f>IFERROR(AD30*(1+변수!AF36),"")</f>
        <v/>
      </c>
      <c r="AG30" s="32">
        <f>IFERROR(AF30*(1+변수!AG36),"")</f>
        <v/>
      </c>
      <c r="AH30" s="32">
        <f>IFERROR(AG30*(1+변수!AH36),"")</f>
        <v/>
      </c>
      <c r="AI30" s="32">
        <f>IFERROR(AH30*(1+변수!AI36),"")</f>
        <v/>
      </c>
      <c r="AJ30" s="30">
        <f>AI30</f>
        <v/>
      </c>
      <c r="AK30" s="32">
        <f>IFERROR(AI30*(1+변수!AK36),"")</f>
        <v/>
      </c>
      <c r="AL30" s="32">
        <f>IFERROR(AK30*(1+변수!AL36),"")</f>
        <v/>
      </c>
      <c r="AM30" s="32">
        <f>IFERROR(AL30*(1+변수!AM36),"")</f>
        <v/>
      </c>
      <c r="AN30" s="32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IFERROR(변수!$D$45/(Y31+AA31+AB31+AC31),"")</f>
        <v/>
      </c>
      <c r="AD34" s="39">
        <f>IFERROR(변수!$D$45/(AA31+AB31+AC31+AD31),"")</f>
        <v/>
      </c>
      <c r="AE34" s="40">
        <f>AD34</f>
        <v/>
      </c>
      <c r="AF34" s="39">
        <f>IFERROR(변수!$D$45/(AB31+AC31+AD31+AF31),"")</f>
        <v/>
      </c>
      <c r="AG34" s="39">
        <f>IFERROR(변수!$D$45/(AC31+AD31+AF31+AG31),"")</f>
        <v/>
      </c>
      <c r="AH34" s="39">
        <f>IFERROR(변수!$D$45/(AD31+AF31+AG31+AH31),"")</f>
        <v/>
      </c>
      <c r="AI34" s="39">
        <f>IFERROR(변수!$D$45/(AF31+AG31+AH31+AI31),"")</f>
        <v/>
      </c>
      <c r="AJ34" s="40">
        <f>AI34</f>
        <v/>
      </c>
      <c r="AK34" s="39">
        <f>IFERROR(변수!$D$45/(AG31+AH31+AI31+AK31),"")</f>
        <v/>
      </c>
      <c r="AL34" s="39">
        <f>IFERROR(변수!$D$45/(AH31+AI31+AK31+AL31),"")</f>
        <v/>
      </c>
      <c r="AM34" s="39">
        <f>IFERROR(변수!$D$45/(AI31+AK31+AL31+AM31),"")</f>
        <v/>
      </c>
      <c r="AN34" s="39">
        <f>IFERROR(변수!$D$45/(AK31+AL31+AM31+AN31),"")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IFERROR(변수!$D$45/AC32,"")</f>
        <v/>
      </c>
      <c r="AD35" s="39">
        <f>IFERROR(변수!$D$45/AD32,"")</f>
        <v/>
      </c>
      <c r="AE35" s="40">
        <f>AD35</f>
        <v/>
      </c>
      <c r="AF35" s="39">
        <f>IFERROR(변수!$D$45/AF32,"")</f>
        <v/>
      </c>
      <c r="AG35" s="39">
        <f>IFERROR(변수!$D$45/AG32,"")</f>
        <v/>
      </c>
      <c r="AH35" s="39">
        <f>IFERROR(변수!$D$45/AH32,"")</f>
        <v/>
      </c>
      <c r="AI35" s="39">
        <f>IFERROR(변수!$D$45/AI32,"")</f>
        <v/>
      </c>
      <c r="AJ35" s="40">
        <f>AI35</f>
        <v/>
      </c>
      <c r="AK35" s="39">
        <f>IFERROR(변수!$D$45/AK32,"")</f>
        <v/>
      </c>
      <c r="AL35" s="39">
        <f>IFERROR(변수!$D$45/AL32,"")</f>
        <v/>
      </c>
      <c r="AM35" s="39">
        <f>IFERROR(변수!$D$45/AM32,"")</f>
        <v/>
      </c>
      <c r="AN35" s="39">
        <f>IFERROR(변수!$D$45/AN32,"")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IFERROR(SLS!AL122/100+변수!AC38+AC37,"")</f>
        <v/>
      </c>
      <c r="AD36" s="20">
        <f>IFERROR(SLS!AM122/100+변수!AD38+AD37,"")</f>
        <v/>
      </c>
      <c r="AE36" s="38">
        <f>SUM(AA36:AD36)</f>
        <v/>
      </c>
      <c r="AF36" s="20">
        <f>IFERROR(SLS!AN122/100+변수!AF38+AF37,"")</f>
        <v/>
      </c>
      <c r="AG36" s="20">
        <f>IFERROR(SLS!AO122/100+변수!AG38+AG37,"")</f>
        <v/>
      </c>
      <c r="AH36" s="20">
        <f>IFERROR(SLS!AP122/100+변수!AH38+AH37,"")</f>
        <v/>
      </c>
      <c r="AI36" s="20">
        <f>IFERROR(SLS!AQ122/100+변수!AI38+AI37,"")</f>
        <v/>
      </c>
      <c r="AJ36" s="38">
        <f>SUM(AF36:AI36)</f>
        <v/>
      </c>
      <c r="AK36" s="20">
        <f>IFERROR(SLS!AR122/100+변수!AK38+AK37,"")</f>
        <v/>
      </c>
      <c r="AL36" s="20">
        <f>IFERROR(SLS!AS122/100+변수!AL38+AL37,"")</f>
        <v/>
      </c>
      <c r="AM36" s="20">
        <f>IFERROR(SLS!AT122/100+변수!AM38+AM37,"")</f>
        <v/>
      </c>
      <c r="AN36" s="20">
        <f>IFERROR(SLS!AU122/100+변수!AN38+AN37,"")</f>
        <v/>
      </c>
      <c r="AO36" s="38">
        <f>SUM(AK36:AN36)</f>
        <v/>
      </c>
    </row>
    <row r="37">
      <c r="A37" s="12" t="inlineStr">
        <is>
          <t>매출조선신규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조선·해양(방산·신조선·상선·특수선) 신규수주(원장 체결 속도(폴백) — 매출조선에 포함)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20" t="n">
        <v>0</v>
      </c>
      <c r="AB37" s="41" t="n">
        <v>0</v>
      </c>
      <c r="AC37" s="20">
        <f>변수!AC39</f>
        <v/>
      </c>
      <c r="AD37" s="20">
        <f>변수!AD39</f>
        <v/>
      </c>
      <c r="AE37" s="38">
        <f>SUM(AA37:AD37)</f>
        <v/>
      </c>
      <c r="AF37" s="20">
        <f>변수!AF39</f>
        <v/>
      </c>
      <c r="AG37" s="20">
        <f>변수!AG39</f>
        <v/>
      </c>
      <c r="AH37" s="20">
        <f>변수!AH39</f>
        <v/>
      </c>
      <c r="AI37" s="20">
        <f>변수!AI39</f>
        <v/>
      </c>
      <c r="AJ37" s="38">
        <f>SUM(AF37:AI37)</f>
        <v/>
      </c>
      <c r="AK37" s="20">
        <f>변수!AK39</f>
        <v/>
      </c>
      <c r="AL37" s="20">
        <f>변수!AL39</f>
        <v/>
      </c>
      <c r="AM37" s="20">
        <f>변수!AM39</f>
        <v/>
      </c>
      <c r="AN37" s="20">
        <f>변수!AN39</f>
        <v/>
      </c>
      <c r="AO37" s="38">
        <f>SUM(AK37:AN37)</f>
        <v/>
      </c>
    </row>
    <row r="38">
      <c r="A38" s="12" t="inlineStr">
        <is>
          <t>OP조선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조선·해양(방산·신조선·상선·특수선)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/>
      <c r="P38" s="37">
        <f>SUM(L38:O38)</f>
        <v/>
      </c>
      <c r="Q38" s="18" t="n"/>
      <c r="R38" s="18" t="n"/>
      <c r="S38" s="18" t="n"/>
      <c r="T38" s="18" t="n"/>
      <c r="U38" s="37">
        <f>SUM(Q38:T38)</f>
        <v/>
      </c>
      <c r="V38" s="18" t="n"/>
      <c r="W38" s="18" t="n"/>
      <c r="X38" s="18" t="n"/>
      <c r="Y38" s="18" t="n"/>
      <c r="Z38" s="37">
        <f>SUM(V38:Y38)</f>
        <v/>
      </c>
      <c r="AA38" s="18" t="n"/>
      <c r="AB38" s="19" t="n"/>
      <c r="AC38" s="20">
        <f>IFERROR(AC36*변수!AC40,"")</f>
        <v/>
      </c>
      <c r="AD38" s="20">
        <f>IFERROR(AD36*변수!AD40,"")</f>
        <v/>
      </c>
      <c r="AE38" s="38">
        <f>SUM(AA38:AD38)</f>
        <v/>
      </c>
      <c r="AF38" s="20">
        <f>IFERROR(AF36*변수!AF40,"")</f>
        <v/>
      </c>
      <c r="AG38" s="20">
        <f>IFERROR(AG36*변수!AG40,"")</f>
        <v/>
      </c>
      <c r="AH38" s="20">
        <f>IFERROR(AH36*변수!AH40,"")</f>
        <v/>
      </c>
      <c r="AI38" s="20">
        <f>IFERROR(AI36*변수!AI40,"")</f>
        <v/>
      </c>
      <c r="AJ38" s="38">
        <f>SUM(AF38:AI38)</f>
        <v/>
      </c>
      <c r="AK38" s="20">
        <f>IFERROR(AK36*변수!AK40,"")</f>
        <v/>
      </c>
      <c r="AL38" s="20">
        <f>IFERROR(AL36*변수!AL40,"")</f>
        <v/>
      </c>
      <c r="AM38" s="20">
        <f>IFERROR(AM36*변수!AM40,"")</f>
        <v/>
      </c>
      <c r="AN38" s="20">
        <f>IFERROR(AN36*변수!AN40,"")</f>
        <v/>
      </c>
      <c r="AO38" s="38">
        <f>SUM(AK38:AN38)</f>
        <v/>
      </c>
    </row>
    <row r="39">
      <c r="A39" s="12" t="inlineStr">
        <is>
          <t>OP조선신규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조선·해양(방산·신조선·상선·특수선) 신규수주(매출조선신규 × OPM — OP조선에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IFERROR(AC37*변수!AC40,"")</f>
        <v/>
      </c>
      <c r="AD39" s="20">
        <f>IFERROR(AD37*변수!AD40,"")</f>
        <v/>
      </c>
      <c r="AE39" s="38">
        <f>SUM(AA39:AD39)</f>
        <v/>
      </c>
      <c r="AF39" s="20">
        <f>IFERROR(AF37*변수!AF40,"")</f>
        <v/>
      </c>
      <c r="AG39" s="20">
        <f>IFERROR(AG37*변수!AG40,"")</f>
        <v/>
      </c>
      <c r="AH39" s="20">
        <f>IFERROR(AH37*변수!AH40,"")</f>
        <v/>
      </c>
      <c r="AI39" s="20">
        <f>IFERROR(AI37*변수!AI40,"")</f>
        <v/>
      </c>
      <c r="AJ39" s="38">
        <f>SUM(AF39:AI39)</f>
        <v/>
      </c>
      <c r="AK39" s="20">
        <f>IFERROR(AK37*변수!AK40,"")</f>
        <v/>
      </c>
      <c r="AL39" s="20">
        <f>IFERROR(AL37*변수!AL40,"")</f>
        <v/>
      </c>
      <c r="AM39" s="20">
        <f>IFERROR(AM37*변수!AM40,"")</f>
        <v/>
      </c>
      <c r="AN39" s="20">
        <f>IFERROR(AN37*변수!AN40,"")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/>
      <c r="H40" s="18" t="n">
        <v>3552.57</v>
      </c>
      <c r="I40" s="18" t="n">
        <v>1576.49</v>
      </c>
      <c r="J40" s="18" t="n"/>
      <c r="K40" s="37">
        <f>SUM(G40:J40)</f>
        <v/>
      </c>
      <c r="L40" s="18" t="n"/>
      <c r="M40" s="18" t="n">
        <v>0</v>
      </c>
      <c r="N40" s="18" t="n">
        <v>3222.17</v>
      </c>
      <c r="O40" s="18" t="n">
        <v>4700.57</v>
      </c>
      <c r="P40" s="37">
        <f>SUM(L40:O40)</f>
        <v/>
      </c>
      <c r="Q40" s="18" t="n"/>
      <c r="R40" s="18" t="n">
        <v>2814</v>
      </c>
      <c r="S40" s="18" t="n">
        <v>2653.68</v>
      </c>
      <c r="T40" s="18" t="n"/>
      <c r="U40" s="37">
        <f>SUM(Q40:T40)</f>
        <v/>
      </c>
      <c r="V40" s="18" t="n"/>
      <c r="W40" s="18" t="n">
        <v>2797.77</v>
      </c>
      <c r="X40" s="18" t="n">
        <v>2496.08</v>
      </c>
      <c r="Y40" s="18" t="n"/>
      <c r="Z40" s="37">
        <f>SUM(V40:Y40)</f>
        <v/>
      </c>
      <c r="AA40" s="18" t="n"/>
      <c r="AB40" s="19" t="n">
        <v>3348.08</v>
      </c>
      <c r="AC40" s="20">
        <f>IFERROR(X40*(1+변수!AC41),"")</f>
        <v/>
      </c>
      <c r="AD40" s="20">
        <f>IFERROR(AC40*(1+변수!AD41),"")</f>
        <v/>
      </c>
      <c r="AE40" s="38">
        <f>SUM(AA40:AD40)</f>
        <v/>
      </c>
      <c r="AF40" s="20">
        <f>IFERROR(AD40*(1+변수!AF41),"")</f>
        <v/>
      </c>
      <c r="AG40" s="20">
        <f>IFERROR(AB40*(1+변수!AG41),"")</f>
        <v/>
      </c>
      <c r="AH40" s="20">
        <f>IFERROR(AC40*(1+변수!AH41),"")</f>
        <v/>
      </c>
      <c r="AI40" s="20">
        <f>IFERROR(AD40*(1+변수!AI41),"")</f>
        <v/>
      </c>
      <c r="AJ40" s="38">
        <f>SUM(AF40:AI40)</f>
        <v/>
      </c>
      <c r="AK40" s="20">
        <f>IFERROR(AF40*(1+변수!AK41),"")</f>
        <v/>
      </c>
      <c r="AL40" s="20">
        <f>IFERROR(AG40*(1+변수!AL41),"")</f>
        <v/>
      </c>
      <c r="AM40" s="20">
        <f>IFERROR(AH40*(1+변수!AM41),"")</f>
        <v/>
      </c>
      <c r="AN40" s="20">
        <f>IFERROR(AI40*(1+변수!AN41),"")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IFERROR(AC40*변수!AC42,"")</f>
        <v/>
      </c>
      <c r="AD41" s="20">
        <f>IFERROR(AD40*변수!AD42,"")</f>
        <v/>
      </c>
      <c r="AE41" s="38">
        <f>SUM(AA41:AD41)</f>
        <v/>
      </c>
      <c r="AF41" s="20">
        <f>IFERROR(AF40*변수!AF42,"")</f>
        <v/>
      </c>
      <c r="AG41" s="20">
        <f>IFERROR(AG40*변수!AG42,"")</f>
        <v/>
      </c>
      <c r="AH41" s="20">
        <f>IFERROR(AH40*변수!AH42,"")</f>
        <v/>
      </c>
      <c r="AI41" s="20">
        <f>IFERROR(AI40*변수!AI42,"")</f>
        <v/>
      </c>
      <c r="AJ41" s="38">
        <f>SUM(AF41:AI41)</f>
        <v/>
      </c>
      <c r="AK41" s="20">
        <f>IFERROR(AK40*변수!AK42,"")</f>
        <v/>
      </c>
      <c r="AL41" s="20">
        <f>IFERROR(AL40*변수!AL42,"")</f>
        <v/>
      </c>
      <c r="AM41" s="20">
        <f>IFERROR(AM40*변수!AM42,"")</f>
        <v/>
      </c>
      <c r="AN41" s="20">
        <f>IFERROR(AN40*변수!AN42,"")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IFERROR(E18/E5,"")</f>
        <v/>
      </c>
      <c r="F43" s="22">
        <f>IFERROR(F18/F5,"")</f>
        <v/>
      </c>
      <c r="G43" s="21">
        <f>IFERROR(G18/G5,"")</f>
        <v/>
      </c>
      <c r="H43" s="21">
        <f>IFERROR(H18/H5,"")</f>
        <v/>
      </c>
      <c r="I43" s="21">
        <f>IFERROR(I18/I5,"")</f>
        <v/>
      </c>
      <c r="J43" s="21">
        <f>IFERROR(J18/J5,"")</f>
        <v/>
      </c>
      <c r="K43" s="22">
        <f>IFERROR(K18/K5,"")</f>
        <v/>
      </c>
      <c r="L43" s="21">
        <f>IFERROR(L18/L5,"")</f>
        <v/>
      </c>
      <c r="M43" s="21">
        <f>IFERROR(M18/M5,"")</f>
        <v/>
      </c>
      <c r="N43" s="21">
        <f>IFERROR(N18/N5,"")</f>
        <v/>
      </c>
      <c r="O43" s="21">
        <f>IFERROR(O18/O5,"")</f>
        <v/>
      </c>
      <c r="P43" s="22">
        <f>IFERROR(P18/P5,"")</f>
        <v/>
      </c>
      <c r="Q43" s="21">
        <f>IFERROR(Q18/Q5,"")</f>
        <v/>
      </c>
      <c r="R43" s="21">
        <f>IFERROR(R18/R5,"")</f>
        <v/>
      </c>
      <c r="S43" s="21">
        <f>IFERROR(S18/S5,"")</f>
        <v/>
      </c>
      <c r="T43" s="21">
        <f>IFERROR(T18/T5,"")</f>
        <v/>
      </c>
      <c r="U43" s="22">
        <f>IFERROR(U18/U5,"")</f>
        <v/>
      </c>
      <c r="V43" s="21">
        <f>IFERROR(V18/V5,"")</f>
        <v/>
      </c>
      <c r="W43" s="21">
        <f>IFERROR(W18/W5,"")</f>
        <v/>
      </c>
      <c r="X43" s="21">
        <f>IFERROR(X18/X5,"")</f>
        <v/>
      </c>
      <c r="Y43" s="21">
        <f>IFERROR(Y18/Y5,"")</f>
        <v/>
      </c>
      <c r="Z43" s="22">
        <f>IFERROR(Z18/Z5,"")</f>
        <v/>
      </c>
      <c r="AA43" s="21">
        <f>IFERROR(AA18/AA5,"")</f>
        <v/>
      </c>
      <c r="AB43" s="23">
        <f>IFERROR(AB18/AB5,"")</f>
        <v/>
      </c>
      <c r="AC43" s="33">
        <f>IFERROR(AC18/AC5,"")</f>
        <v/>
      </c>
      <c r="AD43" s="33">
        <f>IFERROR(AD18/AD5,"")</f>
        <v/>
      </c>
      <c r="AE43" s="25">
        <f>IFERROR(AE18/AE5,"")</f>
        <v/>
      </c>
      <c r="AF43" s="33">
        <f>IFERROR(AF18/AF5,"")</f>
        <v/>
      </c>
      <c r="AG43" s="33">
        <f>IFERROR(AG18/AG5,"")</f>
        <v/>
      </c>
      <c r="AH43" s="33">
        <f>IFERROR(AH18/AH5,"")</f>
        <v/>
      </c>
      <c r="AI43" s="33">
        <f>IFERROR(AI18/AI5,"")</f>
        <v/>
      </c>
      <c r="AJ43" s="25">
        <f>IFERROR(AJ18/AJ5,"")</f>
        <v/>
      </c>
      <c r="AK43" s="33">
        <f>IFERROR(AK18/AK5,"")</f>
        <v/>
      </c>
      <c r="AL43" s="33">
        <f>IFERROR(AL18/AL5,"")</f>
        <v/>
      </c>
      <c r="AM43" s="33">
        <f>IFERROR(AM18/AM5,"")</f>
        <v/>
      </c>
      <c r="AN43" s="33">
        <f>IFERROR(AN18/AN5,"")</f>
        <v/>
      </c>
      <c r="AO43" s="25">
        <f>IFERROR(AO18/AO5,"")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115.314</v>
      </c>
      <c r="AB5" s="26" t="n">
        <v>115.48</v>
      </c>
      <c r="AC5" s="26" t="n">
        <v>122.384</v>
      </c>
      <c r="AD5" s="26" t="n">
        <v>123.839</v>
      </c>
      <c r="AE5" s="26" t="n">
        <v>124.336</v>
      </c>
      <c r="AF5" s="26" t="n">
        <v>125.212</v>
      </c>
      <c r="AG5" s="26" t="n">
        <v>124.929</v>
      </c>
      <c r="AH5" s="26" t="n">
        <v>125.517</v>
      </c>
      <c r="AI5" s="26" t="n">
        <v>135.044</v>
      </c>
      <c r="AJ5" s="26" t="n">
        <v>185.789</v>
      </c>
      <c r="AK5" s="26" t="n">
        <v>220.765</v>
      </c>
      <c r="AL5" s="26" t="n">
        <v>242.223</v>
      </c>
      <c r="AM5" s="26" t="n">
        <v>284.659</v>
      </c>
      <c r="AN5" s="26" t="n">
        <v>262.202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370.434</v>
      </c>
      <c r="EF5" s="26" t="n">
        <v>486.039</v>
      </c>
      <c r="EG5" s="26" t="n">
        <v>510.702</v>
      </c>
      <c r="EH5" s="26" t="n">
        <v>933.436</v>
      </c>
      <c r="EI5" s="26" t="n">
        <v>951.522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100.274</v>
      </c>
      <c r="AA7" s="26" t="n">
        <v>115.314</v>
      </c>
      <c r="AB7" s="26" t="n">
        <v>115.48</v>
      </c>
      <c r="AC7" s="26" t="n">
        <v>122.384</v>
      </c>
      <c r="AD7" s="26" t="n">
        <v>123.839</v>
      </c>
      <c r="AE7" s="26" t="n">
        <v>124.336</v>
      </c>
      <c r="AF7" s="26" t="n">
        <v>125.212</v>
      </c>
      <c r="AG7" s="26" t="n">
        <v>124.929</v>
      </c>
      <c r="AH7" s="26" t="n">
        <v>125.517</v>
      </c>
      <c r="AI7" s="26" t="n">
        <v>132.362</v>
      </c>
      <c r="AJ7" s="26" t="n">
        <v>154.299</v>
      </c>
      <c r="AK7" s="26" t="n">
        <v>160.206</v>
      </c>
      <c r="AL7" s="26" t="n">
        <v>169.978</v>
      </c>
      <c r="AM7" s="26" t="n">
        <v>171.236</v>
      </c>
      <c r="AN7" s="26" t="n">
        <v>151.245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370.434</v>
      </c>
      <c r="EF7" s="26" t="n">
        <v>486.039</v>
      </c>
      <c r="EG7" s="26" t="n">
        <v>508.02</v>
      </c>
      <c r="EH7" s="26" t="n">
        <v>655.7190000000001</v>
      </c>
      <c r="EI7" s="26" t="n">
        <v>501.531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100.274</v>
      </c>
      <c r="AA10" s="26" t="n">
        <v>115.314</v>
      </c>
      <c r="AB10" s="26" t="n">
        <v>115.48</v>
      </c>
      <c r="AC10" s="26" t="n">
        <v>122.384</v>
      </c>
      <c r="AD10" s="26" t="n">
        <v>123.839</v>
      </c>
      <c r="AE10" s="26" t="n">
        <v>124.336</v>
      </c>
      <c r="AF10" s="26" t="n">
        <v>125.212</v>
      </c>
      <c r="AG10" s="26" t="n">
        <v>124.929</v>
      </c>
      <c r="AH10" s="26" t="n">
        <v>125.517</v>
      </c>
      <c r="AI10" s="26" t="n">
        <v>134.648</v>
      </c>
      <c r="AJ10" s="26" t="n">
        <v>168.017</v>
      </c>
      <c r="AK10" s="26" t="n">
        <v>174.078</v>
      </c>
      <c r="AL10" s="26" t="n">
        <v>184.002</v>
      </c>
      <c r="AM10" s="26" t="n">
        <v>185.26</v>
      </c>
      <c r="AN10" s="26" t="n">
        <v>164.964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370.434</v>
      </c>
      <c r="EF10" s="26" t="n">
        <v>486.039</v>
      </c>
      <c r="EG10" s="26" t="n">
        <v>510.306</v>
      </c>
      <c r="EH10" s="26" t="n">
        <v>711.357</v>
      </c>
      <c r="EI10" s="26" t="n">
        <v>557.167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1220.45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1249.21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</v>
      </c>
      <c r="AM13" s="13" t="n">
        <v>1391.05</v>
      </c>
      <c r="AN13" s="13" t="n">
        <v>1404.14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1345.74</v>
      </c>
      <c r="AN14" s="13" t="n">
        <v>1343.46</v>
      </c>
      <c r="AO14" s="13" t="n">
        <v>1343.46</v>
      </c>
      <c r="AP14" s="13" t="n">
        <v>1343.46</v>
      </c>
      <c r="AQ14" s="13" t="n">
        <v>1343.46</v>
      </c>
      <c r="AR14" s="13" t="n">
        <v>1343.46</v>
      </c>
      <c r="AS14" s="13" t="n">
        <v>1343.46</v>
      </c>
      <c r="AT14" s="13" t="n">
        <v>1343.46</v>
      </c>
      <c r="AU14" s="13" t="n">
        <v>1343.46</v>
      </c>
      <c r="AV14" s="13" t="n">
        <v>1343.46</v>
      </c>
      <c r="AW14" s="13" t="n">
        <v>1343.46</v>
      </c>
      <c r="AX14" s="13" t="n">
        <v>1343.46</v>
      </c>
      <c r="AY14" s="13" t="n">
        <v>1343.46</v>
      </c>
      <c r="AZ14" s="13" t="n">
        <v>1343.46</v>
      </c>
      <c r="BA14" s="13" t="n">
        <v>1343.46</v>
      </c>
      <c r="BB14" s="13" t="n">
        <v>1343.46</v>
      </c>
      <c r="BC14" s="13" t="n">
        <v>1343.46</v>
      </c>
      <c r="BD14" s="13" t="n">
        <v>1343.46</v>
      </c>
      <c r="BE14" s="13" t="n">
        <v>1343.46</v>
      </c>
      <c r="BF14" s="13" t="n">
        <v>1343.46</v>
      </c>
      <c r="BG14" s="13" t="n">
        <v>1343.46</v>
      </c>
      <c r="BH14" s="13" t="n">
        <v>1343.46</v>
      </c>
      <c r="BI14" s="13" t="n">
        <v>1343.46</v>
      </c>
      <c r="BJ14" s="13" t="n">
        <v>1343.46</v>
      </c>
      <c r="BK14" s="13" t="n">
        <v>1343.46</v>
      </c>
      <c r="BL14" s="13" t="n">
        <v>1343.46</v>
      </c>
      <c r="BM14" s="13" t="n">
        <v>1343.46</v>
      </c>
      <c r="BN14" s="13" t="n">
        <v>1343.46</v>
      </c>
      <c r="BO14" s="13" t="n">
        <v>1343.46</v>
      </c>
      <c r="BP14" s="13" t="n">
        <v>1343.46</v>
      </c>
      <c r="BQ14" s="13" t="n">
        <v>1343.46</v>
      </c>
      <c r="BR14" s="13" t="n">
        <v>1343.46</v>
      </c>
      <c r="BS14" s="13" t="n">
        <v>1343.46</v>
      </c>
      <c r="BT14" s="13" t="n">
        <v>1343.46</v>
      </c>
      <c r="BU14" s="13" t="n">
        <v>1343.46</v>
      </c>
      <c r="BV14" s="13" t="n">
        <v>1343.46</v>
      </c>
      <c r="BW14" s="13" t="n">
        <v>1343.46</v>
      </c>
      <c r="BX14" s="13" t="n">
        <v>1343.46</v>
      </c>
      <c r="BY14" s="13" t="n">
        <v>1343.46</v>
      </c>
      <c r="BZ14" s="13" t="n">
        <v>1343.46</v>
      </c>
      <c r="CA14" s="13" t="n">
        <v>1343.46</v>
      </c>
      <c r="CB14" s="13" t="n">
        <v>1343.46</v>
      </c>
      <c r="CC14" s="13" t="n">
        <v>1343.46</v>
      </c>
      <c r="CD14" s="13" t="n">
        <v>1343.46</v>
      </c>
      <c r="CE14" s="13" t="n">
        <v>1343.46</v>
      </c>
      <c r="CF14" s="13" t="n">
        <v>1343.46</v>
      </c>
      <c r="CG14" s="13" t="n">
        <v>1343.46</v>
      </c>
      <c r="CH14" s="13" t="n">
        <v>1343.46</v>
      </c>
      <c r="CI14" s="13" t="n">
        <v>1343.46</v>
      </c>
      <c r="CJ14" s="13" t="n">
        <v>1343.46</v>
      </c>
      <c r="CK14" s="13" t="n">
        <v>1343.46</v>
      </c>
      <c r="CL14" s="13" t="n">
        <v>1343.46</v>
      </c>
      <c r="CM14" s="13" t="n">
        <v>1343.46</v>
      </c>
      <c r="CN14" s="13" t="n">
        <v>1343.46</v>
      </c>
      <c r="CO14" s="13" t="n">
        <v>1343.46</v>
      </c>
      <c r="CP14" s="13" t="n">
        <v>1343.46</v>
      </c>
      <c r="CQ14" s="13" t="n">
        <v>1343.46</v>
      </c>
      <c r="CR14" s="13" t="n">
        <v>1343.46</v>
      </c>
      <c r="CS14" s="13" t="n">
        <v>1343.46</v>
      </c>
      <c r="CT14" s="13" t="n">
        <v>1343.46</v>
      </c>
      <c r="CU14" s="13" t="n">
        <v>1343.46</v>
      </c>
      <c r="CV14" s="13" t="n">
        <v>1343.46</v>
      </c>
      <c r="CW14" s="13" t="n">
        <v>1343.46</v>
      </c>
      <c r="CX14" s="13" t="n">
        <v>1343.46</v>
      </c>
      <c r="CY14" s="13" t="n">
        <v>1343.46</v>
      </c>
      <c r="CZ14" s="13" t="n">
        <v>1343.46</v>
      </c>
      <c r="DA14" s="13" t="n">
        <v>1343.46</v>
      </c>
      <c r="DB14" s="13" t="n">
        <v>1343.46</v>
      </c>
      <c r="DC14" s="13" t="n">
        <v>1343.46</v>
      </c>
      <c r="DD14" s="13" t="n">
        <v>1343.46</v>
      </c>
      <c r="DE14" s="13" t="n">
        <v>1343.46</v>
      </c>
      <c r="DF14" s="13" t="n">
        <v>1343.46</v>
      </c>
      <c r="DG14" s="13" t="n">
        <v>1343.46</v>
      </c>
      <c r="DH14" s="13" t="n">
        <v>1343.46</v>
      </c>
      <c r="DI14" s="13" t="n">
        <v>1343.46</v>
      </c>
      <c r="DJ14" s="13" t="n">
        <v>1343.46</v>
      </c>
      <c r="DK14" s="13" t="n">
        <v>1343.46</v>
      </c>
      <c r="DL14" s="13" t="n">
        <v>1343.46</v>
      </c>
      <c r="DM14" s="13" t="n">
        <v>1343.46</v>
      </c>
      <c r="DN14" s="13" t="n">
        <v>1343.46</v>
      </c>
      <c r="DO14" s="13" t="n">
        <v>1343.46</v>
      </c>
      <c r="DP14" s="13" t="n">
        <v>1343.46</v>
      </c>
      <c r="DQ14" s="13" t="n">
        <v>1343.46</v>
      </c>
      <c r="DR14" s="13" t="n">
        <v>1343.46</v>
      </c>
      <c r="DS14" s="13" t="n">
        <v>1343.46</v>
      </c>
      <c r="DT14" s="13" t="n">
        <v>1343.46</v>
      </c>
      <c r="DU14" s="13" t="n">
        <v>1343.46</v>
      </c>
      <c r="DV14" s="13" t="n">
        <v>1343.46</v>
      </c>
      <c r="DW14" s="13" t="n">
        <v>1343.46</v>
      </c>
      <c r="DX14" s="13" t="n">
        <v>1343.46</v>
      </c>
      <c r="DY14" s="13" t="n">
        <v>1343.46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1395.96</v>
      </c>
      <c r="AM15" s="13" t="n">
        <v>1377.46</v>
      </c>
      <c r="AN15" s="13" t="n">
        <v>1385.94</v>
      </c>
      <c r="AO15" s="13" t="n">
        <v>1398.25</v>
      </c>
      <c r="AP15" s="13" t="n">
        <v>1401.98</v>
      </c>
      <c r="AQ15" s="13" t="n">
        <v>1405.66</v>
      </c>
      <c r="AR15" s="13" t="n">
        <v>1410.81</v>
      </c>
      <c r="AS15" s="13" t="n">
        <v>1415.69</v>
      </c>
      <c r="AT15" s="13" t="n">
        <v>1416.58</v>
      </c>
      <c r="AU15" s="13" t="n">
        <v>1414.74</v>
      </c>
      <c r="AV15" s="13" t="n">
        <v>1412.3</v>
      </c>
      <c r="AW15" s="13" t="n">
        <v>1415.33</v>
      </c>
      <c r="AX15" s="13" t="n">
        <v>1418.07</v>
      </c>
      <c r="AY15" s="13" t="n">
        <v>1421.58</v>
      </c>
      <c r="AZ15" s="13" t="n">
        <v>1426.03</v>
      </c>
      <c r="BA15" s="13" t="n">
        <v>1426.62</v>
      </c>
      <c r="BB15" s="13" t="n">
        <v>1426.13</v>
      </c>
      <c r="BC15" s="13" t="n">
        <v>1402.32</v>
      </c>
      <c r="BD15" s="13" t="n">
        <v>1425.79</v>
      </c>
      <c r="BE15" s="13" t="n">
        <v>1429.46</v>
      </c>
      <c r="BF15" s="13" t="n">
        <v>1427.24</v>
      </c>
      <c r="BG15" s="13" t="n">
        <v>1427.24</v>
      </c>
      <c r="BH15" s="13" t="n">
        <v>1427.24</v>
      </c>
      <c r="BI15" s="13" t="n">
        <v>1415.19</v>
      </c>
      <c r="BJ15" s="13" t="n">
        <v>1410.36</v>
      </c>
      <c r="BK15" s="13" t="n">
        <v>1410.36</v>
      </c>
      <c r="BL15" s="13" t="n">
        <v>1410.36</v>
      </c>
      <c r="BM15" s="13" t="n">
        <v>1410.36</v>
      </c>
      <c r="BN15" s="13" t="n">
        <v>1412.54</v>
      </c>
      <c r="BO15" s="13" t="n">
        <v>1419.15</v>
      </c>
      <c r="BP15" s="13" t="n">
        <v>1419.15</v>
      </c>
      <c r="BQ15" s="13" t="n">
        <v>1421.43</v>
      </c>
      <c r="BR15" s="13" t="n">
        <v>1429.32</v>
      </c>
      <c r="BS15" s="13" t="n">
        <v>1429.32</v>
      </c>
      <c r="BT15" s="13" t="n">
        <v>1429.32</v>
      </c>
      <c r="BU15" s="13" t="n">
        <v>1429.32</v>
      </c>
      <c r="BV15" s="13" t="n">
        <v>1429.32</v>
      </c>
      <c r="BW15" s="13" t="n">
        <v>1429.32</v>
      </c>
      <c r="BX15" s="13" t="n">
        <v>1429.32</v>
      </c>
      <c r="BY15" s="13" t="n">
        <v>1429.32</v>
      </c>
      <c r="BZ15" s="13" t="n">
        <v>1429.32</v>
      </c>
      <c r="CA15" s="13" t="n">
        <v>1429.32</v>
      </c>
      <c r="CB15" s="13" t="n">
        <v>1429.32</v>
      </c>
      <c r="CC15" s="13" t="n">
        <v>1429.32</v>
      </c>
      <c r="CD15" s="13" t="n">
        <v>1429.32</v>
      </c>
      <c r="CE15" s="13" t="n">
        <v>1429.32</v>
      </c>
      <c r="CF15" s="13" t="n">
        <v>1429.32</v>
      </c>
      <c r="CG15" s="13" t="n">
        <v>1429.32</v>
      </c>
      <c r="CH15" s="13" t="n">
        <v>1429.32</v>
      </c>
      <c r="CI15" s="13" t="n">
        <v>1429.32</v>
      </c>
      <c r="CJ15" s="13" t="n">
        <v>1429.32</v>
      </c>
      <c r="CK15" s="13" t="n">
        <v>1429.32</v>
      </c>
      <c r="CL15" s="13" t="n">
        <v>1429.32</v>
      </c>
      <c r="CM15" s="13" t="n">
        <v>1429.32</v>
      </c>
      <c r="CN15" s="13" t="n">
        <v>1429.32</v>
      </c>
      <c r="CO15" s="13" t="n">
        <v>1429.32</v>
      </c>
      <c r="CP15" s="13" t="n">
        <v>1429.32</v>
      </c>
      <c r="CQ15" s="13" t="n">
        <v>1429.32</v>
      </c>
      <c r="CR15" s="13" t="n">
        <v>1429.32</v>
      </c>
      <c r="CS15" s="13" t="n">
        <v>1429.32</v>
      </c>
      <c r="CT15" s="13" t="n">
        <v>1429.32</v>
      </c>
      <c r="CU15" s="13" t="n">
        <v>1429.32</v>
      </c>
      <c r="CV15" s="13" t="n">
        <v>1429.32</v>
      </c>
      <c r="CW15" s="13" t="n">
        <v>1429.32</v>
      </c>
      <c r="CX15" s="13" t="n">
        <v>1429.32</v>
      </c>
      <c r="CY15" s="13" t="n">
        <v>1429.32</v>
      </c>
      <c r="CZ15" s="13" t="n">
        <v>1429.32</v>
      </c>
      <c r="DA15" s="13" t="n">
        <v>1429.32</v>
      </c>
      <c r="DB15" s="13" t="n">
        <v>1429.32</v>
      </c>
      <c r="DC15" s="13" t="n">
        <v>1429.32</v>
      </c>
      <c r="DD15" s="13" t="n">
        <v>1429.32</v>
      </c>
      <c r="DE15" s="13" t="n">
        <v>1429.32</v>
      </c>
      <c r="DF15" s="13" t="n">
        <v>1429.32</v>
      </c>
      <c r="DG15" s="13" t="n">
        <v>1429.32</v>
      </c>
      <c r="DH15" s="13" t="n">
        <v>1429.32</v>
      </c>
      <c r="DI15" s="13" t="n">
        <v>1429.32</v>
      </c>
      <c r="DJ15" s="13" t="n">
        <v>1429.32</v>
      </c>
      <c r="DK15" s="13" t="n">
        <v>1429.32</v>
      </c>
      <c r="DL15" s="13" t="n">
        <v>1429.32</v>
      </c>
      <c r="DM15" s="13" t="n">
        <v>1429.32</v>
      </c>
      <c r="DN15" s="13" t="n">
        <v>1429.32</v>
      </c>
      <c r="DO15" s="13" t="n">
        <v>1429.32</v>
      </c>
      <c r="DP15" s="13" t="n">
        <v>1429.32</v>
      </c>
      <c r="DQ15" s="13" t="n">
        <v>1429.32</v>
      </c>
      <c r="DR15" s="13" t="n">
        <v>1429.32</v>
      </c>
      <c r="DS15" s="13" t="n">
        <v>1429.32</v>
      </c>
      <c r="DT15" s="13" t="n">
        <v>1429.32</v>
      </c>
      <c r="DU15" s="13" t="n">
        <v>1429.32</v>
      </c>
      <c r="DV15" s="13" t="n">
        <v>1429.32</v>
      </c>
      <c r="DW15" s="13" t="n">
        <v>1429.32</v>
      </c>
      <c r="DX15" s="13" t="n">
        <v>1429.32</v>
      </c>
      <c r="DY15" s="13" t="n">
        <v>1429.32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124200.3</v>
      </c>
      <c r="AA16" s="18" t="n">
        <v>144247.5</v>
      </c>
      <c r="AB16" s="18" t="n">
        <v>144846.3</v>
      </c>
      <c r="AC16" s="18" t="n">
        <v>155540</v>
      </c>
      <c r="AD16" s="18" t="n">
        <v>156837.5</v>
      </c>
      <c r="AE16" s="18" t="n">
        <v>159020.9</v>
      </c>
      <c r="AF16" s="18" t="n">
        <v>162696</v>
      </c>
      <c r="AG16" s="18" t="n">
        <v>161657.6</v>
      </c>
      <c r="AH16" s="18" t="n">
        <v>162424.3</v>
      </c>
      <c r="AI16" s="18" t="n">
        <v>178574.1</v>
      </c>
      <c r="AJ16" s="18" t="n">
        <v>253768</v>
      </c>
      <c r="AK16" s="18" t="n">
        <v>312363.2</v>
      </c>
      <c r="AL16" s="18" t="n">
        <v>338133.5</v>
      </c>
      <c r="AM16" s="18" t="n">
        <v>392105.3</v>
      </c>
      <c r="AN16" s="18" t="n">
        <v>363395.6</v>
      </c>
      <c r="AO16" s="18" t="n">
        <v>332810.6</v>
      </c>
      <c r="AP16" s="18" t="n">
        <v>323082.7</v>
      </c>
      <c r="AQ16" s="18" t="n">
        <v>310445.5</v>
      </c>
      <c r="AR16" s="18" t="n">
        <v>289686.7</v>
      </c>
      <c r="AS16" s="18" t="n">
        <v>281725.5</v>
      </c>
      <c r="AT16" s="18" t="n">
        <v>237982.8</v>
      </c>
      <c r="AU16" s="18" t="n">
        <v>203264.1</v>
      </c>
      <c r="AV16" s="18" t="n">
        <v>183323.3</v>
      </c>
      <c r="AW16" s="18" t="n">
        <v>129612.4</v>
      </c>
      <c r="AX16" s="18" t="n">
        <v>103545.6</v>
      </c>
      <c r="AY16" s="18" t="n">
        <v>84313.39999999999</v>
      </c>
      <c r="AZ16" s="18" t="n">
        <v>53197.3</v>
      </c>
      <c r="BA16" s="18" t="n">
        <v>50321.1</v>
      </c>
      <c r="BB16" s="18" t="n">
        <v>42952.2</v>
      </c>
      <c r="BC16" s="18" t="n">
        <v>21390</v>
      </c>
      <c r="BD16" s="18" t="n">
        <v>18531.5</v>
      </c>
      <c r="BE16" s="18" t="n">
        <v>17224.3</v>
      </c>
      <c r="BF16" s="18" t="n">
        <v>15958.3</v>
      </c>
      <c r="BG16" s="18" t="n">
        <v>15958.3</v>
      </c>
      <c r="BH16" s="18" t="n">
        <v>15784.8</v>
      </c>
      <c r="BI16" s="18" t="n">
        <v>10823.4</v>
      </c>
      <c r="BJ16" s="18" t="n">
        <v>9705.5</v>
      </c>
      <c r="BK16" s="18" t="n">
        <v>9705.5</v>
      </c>
      <c r="BL16" s="18" t="n">
        <v>9494.5</v>
      </c>
      <c r="BM16" s="18" t="n">
        <v>9600</v>
      </c>
      <c r="BN16" s="18" t="n">
        <v>8427.5</v>
      </c>
      <c r="BO16" s="18" t="n">
        <v>6031.4</v>
      </c>
      <c r="BP16" s="18" t="n">
        <v>5900.2</v>
      </c>
      <c r="BQ16" s="18" t="n">
        <v>2537.7</v>
      </c>
      <c r="BR16" s="18" t="n">
        <v>861.1</v>
      </c>
      <c r="BS16" s="18" t="n">
        <v>861.1</v>
      </c>
      <c r="BT16" s="18" t="n">
        <v>842.4</v>
      </c>
      <c r="BU16" s="18" t="n">
        <v>851.8</v>
      </c>
      <c r="BV16" s="18" t="n">
        <v>861.1</v>
      </c>
      <c r="BW16" s="18" t="n">
        <v>861.1</v>
      </c>
      <c r="BX16" s="18" t="n">
        <v>851.8</v>
      </c>
      <c r="BY16" s="18" t="n">
        <v>851.8</v>
      </c>
      <c r="BZ16" s="18" t="n">
        <v>861.1</v>
      </c>
      <c r="CA16" s="18" t="n">
        <v>861.1</v>
      </c>
      <c r="CB16" s="18" t="n">
        <v>842.4</v>
      </c>
      <c r="CC16" s="18" t="n">
        <v>851.8</v>
      </c>
      <c r="CD16" s="18" t="n">
        <v>861.1</v>
      </c>
      <c r="CE16" s="18" t="n">
        <v>861.1</v>
      </c>
      <c r="CF16" s="18" t="n">
        <v>842.4</v>
      </c>
      <c r="CG16" s="18" t="n">
        <v>851.8</v>
      </c>
      <c r="CH16" s="18" t="n">
        <v>861.1</v>
      </c>
      <c r="CI16" s="18" t="n">
        <v>861.1</v>
      </c>
      <c r="CJ16" s="18" t="n">
        <v>842.4</v>
      </c>
      <c r="CK16" s="18" t="n">
        <v>851.8</v>
      </c>
      <c r="CL16" s="18" t="n">
        <v>861.1</v>
      </c>
      <c r="CM16" s="18" t="n">
        <v>861.1</v>
      </c>
      <c r="CN16" s="18" t="n">
        <v>851.8</v>
      </c>
      <c r="CO16" s="18" t="n">
        <v>851.8</v>
      </c>
      <c r="CP16" s="18" t="n">
        <v>861.1</v>
      </c>
      <c r="CQ16" s="18" t="n">
        <v>861.1</v>
      </c>
      <c r="CR16" s="18" t="n">
        <v>842.4</v>
      </c>
      <c r="CS16" s="18" t="n">
        <v>851.8</v>
      </c>
      <c r="CT16" s="18" t="n">
        <v>861.1</v>
      </c>
      <c r="CU16" s="18" t="n">
        <v>861.1</v>
      </c>
      <c r="CV16" s="18" t="n">
        <v>842.4</v>
      </c>
      <c r="CW16" s="18" t="n">
        <v>851.8</v>
      </c>
      <c r="CX16" s="18" t="n">
        <v>861.1</v>
      </c>
      <c r="CY16" s="18" t="n">
        <v>861.1</v>
      </c>
      <c r="CZ16" s="18" t="n">
        <v>842.4</v>
      </c>
      <c r="DA16" s="18" t="n">
        <v>851.8</v>
      </c>
      <c r="DB16" s="18" t="n">
        <v>861.1</v>
      </c>
      <c r="DC16" s="18" t="n">
        <v>861.1</v>
      </c>
      <c r="DD16" s="18" t="n">
        <v>851.8</v>
      </c>
      <c r="DE16" s="18" t="n">
        <v>851.8</v>
      </c>
      <c r="DF16" s="18" t="n">
        <v>861.1</v>
      </c>
      <c r="DG16" s="18" t="n">
        <v>861.1</v>
      </c>
      <c r="DH16" s="18" t="n">
        <v>842.4</v>
      </c>
      <c r="DI16" s="18" t="n">
        <v>851.8</v>
      </c>
      <c r="DJ16" s="18" t="n">
        <v>861.1</v>
      </c>
      <c r="DK16" s="18" t="n">
        <v>861.1</v>
      </c>
      <c r="DL16" s="18" t="n">
        <v>842.4</v>
      </c>
      <c r="DM16" s="18" t="n">
        <v>851.8</v>
      </c>
      <c r="DN16" s="18" t="n">
        <v>861.1</v>
      </c>
      <c r="DO16" s="18" t="n">
        <v>861.1</v>
      </c>
      <c r="DP16" s="18" t="n">
        <v>842.4</v>
      </c>
      <c r="DQ16" s="18" t="n">
        <v>851.8</v>
      </c>
      <c r="DR16" s="18" t="n">
        <v>861.1</v>
      </c>
      <c r="DS16" s="18" t="n">
        <v>861.1</v>
      </c>
      <c r="DT16" s="18" t="n">
        <v>851.8</v>
      </c>
      <c r="DU16" s="18" t="n">
        <v>851.8</v>
      </c>
      <c r="DV16" s="18" t="n">
        <v>861.1</v>
      </c>
      <c r="DW16" s="18" t="n">
        <v>861.1</v>
      </c>
      <c r="DX16" s="18" t="n">
        <v>842.4</v>
      </c>
      <c r="DY16" s="18" t="n">
        <v>571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456350.6</v>
      </c>
      <c r="EF16" s="18" t="n">
        <v>616244.7</v>
      </c>
      <c r="EG16" s="18" t="n">
        <v>665352</v>
      </c>
      <c r="EH16" s="18" t="n">
        <v>1296370</v>
      </c>
      <c r="EI16" s="18" t="n">
        <v>1329734.4</v>
      </c>
      <c r="EJ16" s="18" t="n">
        <v>1012659.1</v>
      </c>
      <c r="EK16" s="18" t="n">
        <v>500794.7</v>
      </c>
      <c r="EL16" s="18" t="n">
        <v>167860.6</v>
      </c>
      <c r="EM16" s="18" t="n">
        <v>67672.39999999999</v>
      </c>
      <c r="EN16" s="18" t="n">
        <v>46019.2</v>
      </c>
      <c r="EO16" s="18" t="n">
        <v>33553.4</v>
      </c>
      <c r="EP16" s="18" t="n">
        <v>10160.1</v>
      </c>
      <c r="EQ16" s="18" t="n">
        <v>3416.4</v>
      </c>
      <c r="ER16" s="18" t="n">
        <v>3425.8</v>
      </c>
      <c r="ES16" s="18" t="n">
        <v>3416.4</v>
      </c>
      <c r="ET16" s="18" t="n">
        <v>3416.4</v>
      </c>
      <c r="EU16" s="18" t="n">
        <v>3416.4</v>
      </c>
      <c r="EV16" s="18" t="n">
        <v>3425.8</v>
      </c>
      <c r="EW16" s="18" t="n">
        <v>3416.4</v>
      </c>
      <c r="EX16" s="18" t="n">
        <v>3416.4</v>
      </c>
      <c r="EY16" s="18" t="n">
        <v>3416.4</v>
      </c>
      <c r="EZ16" s="18" t="n">
        <v>3425.8</v>
      </c>
      <c r="FA16" s="18" t="n">
        <v>3416.4</v>
      </c>
      <c r="FB16" s="18" t="n">
        <v>3416.4</v>
      </c>
      <c r="FC16" s="18" t="n">
        <v>3416.4</v>
      </c>
      <c r="FD16" s="18" t="n">
        <v>3425.8</v>
      </c>
      <c r="FE16" s="18" t="n">
        <v>1413.4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161040.9</v>
      </c>
      <c r="AN17" s="18" t="n">
        <v>157464.1</v>
      </c>
      <c r="AO17" s="18" t="n">
        <v>159213.7</v>
      </c>
      <c r="AP17" s="18" t="n">
        <v>160963.3</v>
      </c>
      <c r="AQ17" s="18" t="n">
        <v>160963.3</v>
      </c>
      <c r="AR17" s="18" t="n">
        <v>159213.7</v>
      </c>
      <c r="AS17" s="18" t="n">
        <v>159213.7</v>
      </c>
      <c r="AT17" s="18" t="n">
        <v>124627.6</v>
      </c>
      <c r="AU17" s="18" t="n">
        <v>100247.1</v>
      </c>
      <c r="AV17" s="18" t="n">
        <v>82545.89999999999</v>
      </c>
      <c r="AW17" s="18" t="n">
        <v>40695.4</v>
      </c>
      <c r="AX17" s="18" t="n">
        <v>19878.1</v>
      </c>
      <c r="AY17" s="18" t="n">
        <v>6698.1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401764.5</v>
      </c>
      <c r="EI17" s="18" t="n">
        <v>638604.4</v>
      </c>
      <c r="EJ17" s="18" t="n">
        <v>543302.1</v>
      </c>
      <c r="EK17" s="18" t="n">
        <v>149817.5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96507.2</v>
      </c>
      <c r="AN18" s="18" t="n">
        <v>94364.2</v>
      </c>
      <c r="AO18" s="18" t="n">
        <v>95412.7</v>
      </c>
      <c r="AP18" s="18" t="n">
        <v>96461.2</v>
      </c>
      <c r="AQ18" s="18" t="n">
        <v>96461.2</v>
      </c>
      <c r="AR18" s="18" t="n">
        <v>95412.7</v>
      </c>
      <c r="AS18" s="18" t="n">
        <v>95412.7</v>
      </c>
      <c r="AT18" s="18" t="n">
        <v>60125.5</v>
      </c>
      <c r="AU18" s="18" t="n">
        <v>35745</v>
      </c>
      <c r="AV18" s="18" t="n">
        <v>19446</v>
      </c>
      <c r="AW18" s="18" t="n">
        <v>19662.1</v>
      </c>
      <c r="AX18" s="18" t="n">
        <v>19878.1</v>
      </c>
      <c r="AY18" s="18" t="n">
        <v>6698.1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64533.7</v>
      </c>
      <c r="AN19" s="18" t="n">
        <v>63099.9</v>
      </c>
      <c r="AO19" s="18" t="n">
        <v>63801</v>
      </c>
      <c r="AP19" s="18" t="n">
        <v>64502.1</v>
      </c>
      <c r="AQ19" s="18" t="n">
        <v>64502.1</v>
      </c>
      <c r="AR19" s="18" t="n">
        <v>63801</v>
      </c>
      <c r="AS19" s="18" t="n">
        <v>63801</v>
      </c>
      <c r="AT19" s="18" t="n">
        <v>64502.1</v>
      </c>
      <c r="AU19" s="18" t="n">
        <v>64502.1</v>
      </c>
      <c r="AV19" s="18" t="n">
        <v>63099.9</v>
      </c>
      <c r="AW19" s="18" t="n">
        <v>21033.3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0.108</v>
      </c>
      <c r="AJ20" s="21" t="n">
        <v>0.108</v>
      </c>
      <c r="AK20" s="21" t="n">
        <v>0.108</v>
      </c>
      <c r="AL20" s="21" t="n">
        <v>0.108</v>
      </c>
      <c r="AM20" s="21" t="n">
        <v>0.108</v>
      </c>
      <c r="AN20" s="21" t="n">
        <v>0.108</v>
      </c>
      <c r="AO20" s="21" t="n">
        <v>0.108</v>
      </c>
      <c r="AP20" s="21" t="n">
        <v>0.108</v>
      </c>
      <c r="AQ20" s="21" t="n">
        <v>0.108</v>
      </c>
      <c r="AR20" s="21" t="n">
        <v>0.108</v>
      </c>
      <c r="AS20" s="21" t="n">
        <v>0.108</v>
      </c>
      <c r="AT20" s="21" t="n">
        <v>0.108</v>
      </c>
      <c r="AU20" s="21" t="n">
        <v>0.108</v>
      </c>
      <c r="AV20" s="21" t="n">
        <v>0.108</v>
      </c>
      <c r="AW20" s="21" t="n">
        <v>0.108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매출조선신규</t>
        </is>
      </c>
    </row>
    <row r="23">
      <c r="A23" s="12" t="inlineStr">
        <is>
          <t>헤지비율</t>
        </is>
      </c>
      <c r="D23" s="21">
        <f>변수!$D$59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원/달러(평균)",환율,MATCH(AM$1,변수H,0),0),1345.74)</f>
        <v/>
      </c>
      <c r="AN25" s="13">
        <f>IFERROR(VLOOKUP(" 원/달러(평균)",환율,MATCH(AN$1,변수H,0),0),1343.46)</f>
        <v/>
      </c>
      <c r="AO25" s="13">
        <f>IFERROR(VLOOKUP(" 원/달러(평균)",환율,MATCH(AO$1,변수H,0),0),1343.46)</f>
        <v/>
      </c>
      <c r="AP25" s="13">
        <f>IFERROR(VLOOKUP(" 원/달러(평균)",환율,MATCH(AP$1,변수H,0),0),1343.46)</f>
        <v/>
      </c>
      <c r="AQ25" s="13">
        <f>IFERROR(VLOOKUP(" 원/달러(평균)",환율,MATCH(AQ$1,변수H,0),0),1343.46)</f>
        <v/>
      </c>
      <c r="AR25" s="13">
        <f>IFERROR(VLOOKUP(" 원/달러(평균)",환율,MATCH(AR$1,변수H,0),0),1343.46)</f>
        <v/>
      </c>
      <c r="AS25" s="13">
        <f>IFERROR(VLOOKUP(" 원/달러(평균)",환율,MATCH(AS$1,변수H,0),0),1343.46)</f>
        <v/>
      </c>
      <c r="AT25" s="13">
        <f>IFERROR(VLOOKUP(" 원/달러(평균)",환율,MATCH(AT$1,변수H,0),0),1343.46)</f>
        <v/>
      </c>
      <c r="AU25" s="13">
        <f>IFERROR(VLOOKUP(" 원/달러(평균)",환율,MATCH(AU$1,변수H,0),0),1343.46)</f>
        <v/>
      </c>
      <c r="AV25" s="13">
        <f>IFERROR(VLOOKUP(" 원/달러(평균)",환율,MATCH(AV$1,변수H,0),0),1343.46)</f>
        <v/>
      </c>
      <c r="AW25" s="13">
        <f>IFERROR(VLOOKUP(" 원/달러(평균)",환율,MATCH(AW$1,변수H,0),0),1343.46)</f>
        <v/>
      </c>
      <c r="AX25" s="13">
        <f>IFERROR(VLOOKUP(" 원/달러(평균)",환율,MATCH(AX$1,변수H,0),0),1343.46)</f>
        <v/>
      </c>
      <c r="AY25" s="13">
        <f>IFERROR(VLOOKUP(" 원/달러(평균)",환율,MATCH(AY$1,변수H,0),0),1343.46)</f>
        <v/>
      </c>
      <c r="AZ25" s="13">
        <f>IFERROR(VLOOKUP(" 원/달러(평균)",환율,MATCH(AZ$1,변수H,0),0),1343.46)</f>
        <v/>
      </c>
      <c r="BA25" s="13">
        <f>IFERROR(VLOOKUP(" 원/달러(평균)",환율,MATCH(BA$1,변수H,0),0),1343.46)</f>
        <v/>
      </c>
      <c r="BB25" s="13">
        <f>IFERROR(VLOOKUP(" 원/달러(평균)",환율,MATCH(BB$1,변수H,0),0),1343.46)</f>
        <v/>
      </c>
      <c r="BC25" s="13">
        <f>IFERROR(VLOOKUP(" 원/달러(평균)",환율,MATCH(BC$1,변수H,0),0),1343.46)</f>
        <v/>
      </c>
      <c r="BD25" s="13">
        <f>IFERROR(VLOOKUP(" 원/달러(평균)",환율,MATCH(BD$1,변수H,0),0),1343.46)</f>
        <v/>
      </c>
      <c r="BE25" s="13">
        <f>IFERROR(VLOOKUP(" 원/달러(평균)",환율,MATCH(BE$1,변수H,0),0),1343.46)</f>
        <v/>
      </c>
      <c r="BF25" s="13">
        <f>IFERROR(VLOOKUP(" 원/달러(평균)",환율,MATCH(BF$1,변수H,0),0),1343.46)</f>
        <v/>
      </c>
      <c r="BG25" s="13">
        <f>IFERROR(VLOOKUP(" 원/달러(평균)",환율,MATCH(BG$1,변수H,0),0),1343.46)</f>
        <v/>
      </c>
      <c r="BH25" s="13">
        <f>IFERROR(VLOOKUP(" 원/달러(평균)",환율,MATCH(BH$1,변수H,0),0),1343.46)</f>
        <v/>
      </c>
      <c r="BI25" s="13">
        <f>IFERROR(VLOOKUP(" 원/달러(평균)",환율,MATCH(BI$1,변수H,0),0),1343.46)</f>
        <v/>
      </c>
      <c r="BJ25" s="13">
        <f>IFERROR(VLOOKUP(" 원/달러(평균)",환율,MATCH(BJ$1,변수H,0),0),1343.46)</f>
        <v/>
      </c>
      <c r="BK25" s="13">
        <f>IFERROR(VLOOKUP(" 원/달러(평균)",환율,MATCH(BK$1,변수H,0),0),1343.46)</f>
        <v/>
      </c>
      <c r="BL25" s="13">
        <f>IFERROR(VLOOKUP(" 원/달러(평균)",환율,MATCH(BL$1,변수H,0),0),1343.46)</f>
        <v/>
      </c>
      <c r="BM25" s="13">
        <f>IFERROR(VLOOKUP(" 원/달러(평균)",환율,MATCH(BM$1,변수H,0),0),1343.46)</f>
        <v/>
      </c>
      <c r="BN25" s="13">
        <f>IFERROR(VLOOKUP(" 원/달러(평균)",환율,MATCH(BN$1,변수H,0),0),1343.46)</f>
        <v/>
      </c>
      <c r="BO25" s="13">
        <f>IFERROR(VLOOKUP(" 원/달러(평균)",환율,MATCH(BO$1,변수H,0),0),1343.46)</f>
        <v/>
      </c>
      <c r="BP25" s="13">
        <f>IFERROR(VLOOKUP(" 원/달러(평균)",환율,MATCH(BP$1,변수H,0),0),1343.46)</f>
        <v/>
      </c>
      <c r="BQ25" s="13">
        <f>IFERROR(VLOOKUP(" 원/달러(평균)",환율,MATCH(BQ$1,변수H,0),0),1343.46)</f>
        <v/>
      </c>
      <c r="BR25" s="13">
        <f>IFERROR(VLOOKUP(" 원/달러(평균)",환율,MATCH(BR$1,변수H,0),0),1343.46)</f>
        <v/>
      </c>
      <c r="BS25" s="13">
        <f>IFERROR(VLOOKUP(" 원/달러(평균)",환율,MATCH(BS$1,변수H,0),0),1343.46)</f>
        <v/>
      </c>
      <c r="BT25" s="13">
        <f>IFERROR(VLOOKUP(" 원/달러(평균)",환율,MATCH(BT$1,변수H,0),0),1343.46)</f>
        <v/>
      </c>
      <c r="BU25" s="13">
        <f>IFERROR(VLOOKUP(" 원/달러(평균)",환율,MATCH(BU$1,변수H,0),0),1343.46)</f>
        <v/>
      </c>
      <c r="BV25" s="13">
        <f>IFERROR(VLOOKUP(" 원/달러(평균)",환율,MATCH(BV$1,변수H,0),0),1343.46)</f>
        <v/>
      </c>
      <c r="BW25" s="13">
        <f>IFERROR(VLOOKUP(" 원/달러(평균)",환율,MATCH(BW$1,변수H,0),0),1343.46)</f>
        <v/>
      </c>
      <c r="BX25" s="13">
        <f>IFERROR(VLOOKUP(" 원/달러(평균)",환율,MATCH(BX$1,변수H,0),0),1343.46)</f>
        <v/>
      </c>
      <c r="BY25" s="13">
        <f>IFERROR(VLOOKUP(" 원/달러(평균)",환율,MATCH(BY$1,변수H,0),0),1343.46)</f>
        <v/>
      </c>
      <c r="BZ25" s="13">
        <f>IFERROR(VLOOKUP(" 원/달러(평균)",환율,MATCH(BZ$1,변수H,0),0),1343.46)</f>
        <v/>
      </c>
      <c r="CA25" s="13">
        <f>IFERROR(VLOOKUP(" 원/달러(평균)",환율,MATCH(CA$1,변수H,0),0),1343.46)</f>
        <v/>
      </c>
      <c r="CB25" s="13">
        <f>IFERROR(VLOOKUP(" 원/달러(평균)",환율,MATCH(CB$1,변수H,0),0),1343.46)</f>
        <v/>
      </c>
      <c r="CC25" s="13">
        <f>IFERROR(VLOOKUP(" 원/달러(평균)",환율,MATCH(CC$1,변수H,0),0),1343.46)</f>
        <v/>
      </c>
      <c r="CD25" s="13">
        <f>IFERROR(VLOOKUP(" 원/달러(평균)",환율,MATCH(CD$1,변수H,0),0),1343.46)</f>
        <v/>
      </c>
      <c r="CE25" s="13">
        <f>IFERROR(VLOOKUP(" 원/달러(평균)",환율,MATCH(CE$1,변수H,0),0),1343.46)</f>
        <v/>
      </c>
      <c r="CF25" s="13">
        <f>IFERROR(VLOOKUP(" 원/달러(평균)",환율,MATCH(CF$1,변수H,0),0),1343.46)</f>
        <v/>
      </c>
      <c r="CG25" s="13">
        <f>IFERROR(VLOOKUP(" 원/달러(평균)",환율,MATCH(CG$1,변수H,0),0),1343.46)</f>
        <v/>
      </c>
      <c r="CH25" s="13">
        <f>IFERROR(VLOOKUP(" 원/달러(평균)",환율,MATCH(CH$1,변수H,0),0),1343.46)</f>
        <v/>
      </c>
      <c r="CI25" s="13">
        <f>IFERROR(VLOOKUP(" 원/달러(평균)",환율,MATCH(CI$1,변수H,0),0),1343.46)</f>
        <v/>
      </c>
      <c r="CJ25" s="13">
        <f>IFERROR(VLOOKUP(" 원/달러(평균)",환율,MATCH(CJ$1,변수H,0),0),1343.46)</f>
        <v/>
      </c>
      <c r="CK25" s="13">
        <f>IFERROR(VLOOKUP(" 원/달러(평균)",환율,MATCH(CK$1,변수H,0),0),1343.46)</f>
        <v/>
      </c>
      <c r="CL25" s="13">
        <f>IFERROR(VLOOKUP(" 원/달러(평균)",환율,MATCH(CL$1,변수H,0),0),1343.46)</f>
        <v/>
      </c>
      <c r="CM25" s="13">
        <f>IFERROR(VLOOKUP(" 원/달러(평균)",환율,MATCH(CM$1,변수H,0),0),1343.46)</f>
        <v/>
      </c>
      <c r="CN25" s="13">
        <f>IFERROR(VLOOKUP(" 원/달러(평균)",환율,MATCH(CN$1,변수H,0),0),1343.46)</f>
        <v/>
      </c>
      <c r="CO25" s="13">
        <f>IFERROR(VLOOKUP(" 원/달러(평균)",환율,MATCH(CO$1,변수H,0),0),1343.46)</f>
        <v/>
      </c>
      <c r="CP25" s="13">
        <f>IFERROR(VLOOKUP(" 원/달러(평균)",환율,MATCH(CP$1,변수H,0),0),1343.46)</f>
        <v/>
      </c>
      <c r="CQ25" s="13">
        <f>IFERROR(VLOOKUP(" 원/달러(평균)",환율,MATCH(CQ$1,변수H,0),0),1343.46)</f>
        <v/>
      </c>
      <c r="CR25" s="13">
        <f>IFERROR(VLOOKUP(" 원/달러(평균)",환율,MATCH(CR$1,변수H,0),0),1343.46)</f>
        <v/>
      </c>
      <c r="CS25" s="13">
        <f>IFERROR(VLOOKUP(" 원/달러(평균)",환율,MATCH(CS$1,변수H,0),0),1343.46)</f>
        <v/>
      </c>
      <c r="CT25" s="13">
        <f>IFERROR(VLOOKUP(" 원/달러(평균)",환율,MATCH(CT$1,변수H,0),0),1343.46)</f>
        <v/>
      </c>
      <c r="CU25" s="13">
        <f>IFERROR(VLOOKUP(" 원/달러(평균)",환율,MATCH(CU$1,변수H,0),0),1343.46)</f>
        <v/>
      </c>
      <c r="CV25" s="13">
        <f>IFERROR(VLOOKUP(" 원/달러(평균)",환율,MATCH(CV$1,변수H,0),0),1343.46)</f>
        <v/>
      </c>
      <c r="CW25" s="13">
        <f>IFERROR(VLOOKUP(" 원/달러(평균)",환율,MATCH(CW$1,변수H,0),0),1343.46)</f>
        <v/>
      </c>
      <c r="CX25" s="13">
        <f>IFERROR(VLOOKUP(" 원/달러(평균)",환율,MATCH(CX$1,변수H,0),0),1343.46)</f>
        <v/>
      </c>
      <c r="CY25" s="13">
        <f>IFERROR(VLOOKUP(" 원/달러(평균)",환율,MATCH(CY$1,변수H,0),0),1343.46)</f>
        <v/>
      </c>
      <c r="CZ25" s="13">
        <f>IFERROR(VLOOKUP(" 원/달러(평균)",환율,MATCH(CZ$1,변수H,0),0),1343.46)</f>
        <v/>
      </c>
      <c r="DA25" s="13">
        <f>IFERROR(VLOOKUP(" 원/달러(평균)",환율,MATCH(DA$1,변수H,0),0),1343.46)</f>
        <v/>
      </c>
      <c r="DB25" s="13">
        <f>IFERROR(VLOOKUP(" 원/달러(평균)",환율,MATCH(DB$1,변수H,0),0),1343.46)</f>
        <v/>
      </c>
      <c r="DC25" s="13">
        <f>IFERROR(VLOOKUP(" 원/달러(평균)",환율,MATCH(DC$1,변수H,0),0),1343.46)</f>
        <v/>
      </c>
      <c r="DD25" s="13">
        <f>IFERROR(VLOOKUP(" 원/달러(평균)",환율,MATCH(DD$1,변수H,0),0),1343.46)</f>
        <v/>
      </c>
      <c r="DE25" s="13">
        <f>IFERROR(VLOOKUP(" 원/달러(평균)",환율,MATCH(DE$1,변수H,0),0),1343.46)</f>
        <v/>
      </c>
      <c r="DF25" s="13">
        <f>IFERROR(VLOOKUP(" 원/달러(평균)",환율,MATCH(DF$1,변수H,0),0),1343.46)</f>
        <v/>
      </c>
      <c r="DG25" s="13">
        <f>IFERROR(VLOOKUP(" 원/달러(평균)",환율,MATCH(DG$1,변수H,0),0),1343.46)</f>
        <v/>
      </c>
      <c r="DH25" s="13">
        <f>IFERROR(VLOOKUP(" 원/달러(평균)",환율,MATCH(DH$1,변수H,0),0),1343.46)</f>
        <v/>
      </c>
      <c r="DI25" s="13">
        <f>IFERROR(VLOOKUP(" 원/달러(평균)",환율,MATCH(DI$1,변수H,0),0),1343.46)</f>
        <v/>
      </c>
      <c r="DJ25" s="13">
        <f>IFERROR(VLOOKUP(" 원/달러(평균)",환율,MATCH(DJ$1,변수H,0),0),1343.46)</f>
        <v/>
      </c>
      <c r="DK25" s="13">
        <f>IFERROR(VLOOKUP(" 원/달러(평균)",환율,MATCH(DK$1,변수H,0),0),1343.46)</f>
        <v/>
      </c>
      <c r="DL25" s="13">
        <f>IFERROR(VLOOKUP(" 원/달러(평균)",환율,MATCH(DL$1,변수H,0),0),1343.46)</f>
        <v/>
      </c>
      <c r="DM25" s="13">
        <f>IFERROR(VLOOKUP(" 원/달러(평균)",환율,MATCH(DM$1,변수H,0),0),1343.46)</f>
        <v/>
      </c>
      <c r="DN25" s="13">
        <f>IFERROR(VLOOKUP(" 원/달러(평균)",환율,MATCH(DN$1,변수H,0),0),1343.46)</f>
        <v/>
      </c>
      <c r="DO25" s="13">
        <f>IFERROR(VLOOKUP(" 원/달러(평균)",환율,MATCH(DO$1,변수H,0),0),1343.46)</f>
        <v/>
      </c>
      <c r="DP25" s="13">
        <f>IFERROR(VLOOKUP(" 원/달러(평균)",환율,MATCH(DP$1,변수H,0),0),1343.46)</f>
        <v/>
      </c>
      <c r="DQ25" s="13">
        <f>IFERROR(VLOOKUP(" 원/달러(평균)",환율,MATCH(DQ$1,변수H,0),0),1343.46)</f>
        <v/>
      </c>
      <c r="DR25" s="13">
        <f>IFERROR(VLOOKUP(" 원/달러(평균)",환율,MATCH(DR$1,변수H,0),0),1343.46)</f>
        <v/>
      </c>
      <c r="DS25" s="13">
        <f>IFERROR(VLOOKUP(" 원/달러(평균)",환율,MATCH(DS$1,변수H,0),0),1343.46)</f>
        <v/>
      </c>
      <c r="DT25" s="13">
        <f>IFERROR(VLOOKUP(" 원/달러(평균)",환율,MATCH(DT$1,변수H,0),0),1343.46)</f>
        <v/>
      </c>
      <c r="DU25" s="13">
        <f>IFERROR(VLOOKUP(" 원/달러(평균)",환율,MATCH(DU$1,변수H,0),0),1343.46)</f>
        <v/>
      </c>
      <c r="DV25" s="13">
        <f>IFERROR(VLOOKUP(" 원/달러(평균)",환율,MATCH(DV$1,변수H,0),0),1343.46)</f>
        <v/>
      </c>
      <c r="DW25" s="13">
        <f>IFERROR(VLOOKUP(" 원/달러(평균)",환율,MATCH(DW$1,변수H,0),0),1343.46)</f>
        <v/>
      </c>
      <c r="DX25" s="13">
        <f>IFERROR(VLOOKUP(" 원/달러(평균)",환율,MATCH(DX$1,변수H,0),0),1343.46)</f>
        <v/>
      </c>
      <c r="DY25" s="13">
        <f>IFERROR(VLOOKUP(" 원/달러(평균)",환율,MATCH(DY$1,변수H,0),0),1343.46)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2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2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2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2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2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2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2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2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2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2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2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2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2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2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2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2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2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2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2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2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2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2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2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2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2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2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2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2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2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2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2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2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2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2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2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2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2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2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2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2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2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2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2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0</v>
      </c>
      <c r="FH72" s="16" t="n">
        <v>1418.75</v>
      </c>
      <c r="FI72" s="42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20261007800209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</v>
      </c>
      <c r="AA73" s="26" t="n">
        <v>14.157</v>
      </c>
      <c r="AB73" s="26" t="n">
        <v>14.003</v>
      </c>
      <c r="AC73" s="26" t="n">
        <v>14.003</v>
      </c>
      <c r="AD73" s="26" t="n">
        <v>14.157</v>
      </c>
      <c r="AE73" s="26" t="n">
        <v>14.157</v>
      </c>
      <c r="AF73" s="26" t="n">
        <v>13.849</v>
      </c>
      <c r="AG73" s="26" t="n">
        <v>14.003</v>
      </c>
      <c r="AH73" s="26" t="n">
        <v>14.157</v>
      </c>
      <c r="AI73" s="26" t="n">
        <v>14.157</v>
      </c>
      <c r="AJ73" s="26" t="n">
        <v>13.849</v>
      </c>
      <c r="AK73" s="26" t="n">
        <v>14.003</v>
      </c>
      <c r="AL73" s="26" t="n">
        <v>14.157</v>
      </c>
      <c r="AM73" s="26" t="n">
        <v>14.157</v>
      </c>
      <c r="AN73" s="26" t="n">
        <v>13.845</v>
      </c>
      <c r="FG73" s="35" t="n">
        <v>0</v>
      </c>
      <c r="FH73" s="16" t="n">
        <v>1313.62</v>
      </c>
      <c r="FI73" s="42" t="n">
        <v>1</v>
      </c>
      <c r="FJ73" t="inlineStr">
        <is>
          <t>2023-09-18</t>
        </is>
      </c>
      <c r="FK73" t="n">
        <v>1</v>
      </c>
      <c r="FM73" s="26" t="n">
        <v>198.654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20261007800209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20261007800209</t>
        </is>
      </c>
      <c r="B170" t="inlineStr">
        <is>
          <t>OTHER</t>
        </is>
      </c>
      <c r="D170" t="n">
        <v>260955.951</v>
      </c>
      <c r="E170" t="n">
        <v>198.654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공시 계약 원장(sls.contracts) 체결 분기 min/median/max × forecast_panel 역산 커널(covered_scope_new_revenue) (억원) · calibrated=False · 행(subQ)에 포함된 시나리오: base. 보수/낙관/기존만 은 합산하지 않는다. 모델 산출값 — 목표주가·추천 아님 · ※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subQ!AC37</f>
        <v/>
      </c>
      <c r="F6" s="43">
        <f>subQ!AD37</f>
        <v/>
      </c>
      <c r="G6" s="20">
        <f>SUM(E6:F6)</f>
        <v/>
      </c>
      <c r="H6" s="43">
        <f>subQ!AF37</f>
        <v/>
      </c>
      <c r="I6" s="43">
        <f>subQ!AG37</f>
        <v/>
      </c>
      <c r="J6" s="43">
        <f>subQ!AH37</f>
        <v/>
      </c>
      <c r="K6" s="43">
        <f>subQ!AI37</f>
        <v/>
      </c>
      <c r="L6" s="20">
        <f>SUM(H6:K6)</f>
        <v/>
      </c>
      <c r="M6" s="43">
        <f>subQ!AK37</f>
        <v/>
      </c>
      <c r="N6" s="43">
        <f>subQ!AL37</f>
        <v/>
      </c>
      <c r="O6" s="43">
        <f>subQ!AM37</f>
        <v/>
      </c>
      <c r="P6" s="43">
        <f>subQ!AN37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IFERROR(subQ!AC9+(E6-E6)*변수!AC40,"")</f>
        <v/>
      </c>
      <c r="F8" s="20">
        <f>IFERROR(subQ!AD9+(F6-F6)*변수!AD40,"")</f>
        <v/>
      </c>
      <c r="G8" s="20">
        <f>IFERROR(SUM(E8:F8)+subQ!AA9+subQ!AB9,"")</f>
        <v/>
      </c>
      <c r="H8" s="20">
        <f>IFERROR(subQ!AF9+(H6-H6)*변수!AF40,"")</f>
        <v/>
      </c>
      <c r="I8" s="20">
        <f>IFERROR(subQ!AG9+(I6-I6)*변수!AG40,"")</f>
        <v/>
      </c>
      <c r="J8" s="20">
        <f>IFERROR(subQ!AH9+(J6-J6)*변수!AH40,"")</f>
        <v/>
      </c>
      <c r="K8" s="20">
        <f>IFERROR(subQ!AI9+(K6-K6)*변수!AI40,"")</f>
        <v/>
      </c>
      <c r="L8" s="20">
        <f>IFERROR(SUM(H8:K8),"")</f>
        <v/>
      </c>
      <c r="M8" s="20">
        <f>IFERROR(subQ!AK9+(M6-M6)*변수!AK40,"")</f>
        <v/>
      </c>
      <c r="N8" s="20">
        <f>IFERROR(subQ!AL9+(N6-N6)*변수!AL40,"")</f>
        <v/>
      </c>
      <c r="O8" s="20">
        <f>IFERROR(subQ!AM9+(O6-O6)*변수!AM40,"")</f>
        <v/>
      </c>
      <c r="P8" s="20">
        <f>IFERROR(subQ!AN9+(P6-P6)*변수!AN40,"")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3">
        <f>IFERROR(E8/E7,"")</f>
        <v/>
      </c>
      <c r="F9" s="33">
        <f>IFERROR(F8/F7,"")</f>
        <v/>
      </c>
      <c r="G9" s="33">
        <f>IFERROR(G8/G7,"")</f>
        <v/>
      </c>
      <c r="H9" s="33">
        <f>IFERROR(H8/H7,"")</f>
        <v/>
      </c>
      <c r="I9" s="33">
        <f>IFERROR(I8/I7,"")</f>
        <v/>
      </c>
      <c r="J9" s="33">
        <f>IFERROR(J8/J7,"")</f>
        <v/>
      </c>
      <c r="K9" s="33">
        <f>IFERROR(K8/K7,"")</f>
        <v/>
      </c>
      <c r="L9" s="33">
        <f>IFERROR(L8/L7,"")</f>
        <v/>
      </c>
      <c r="M9" s="33">
        <f>IFERROR(M8/M7,"")</f>
        <v/>
      </c>
      <c r="N9" s="33">
        <f>IFERROR(N8/N7,"")</f>
        <v/>
      </c>
      <c r="O9" s="33">
        <f>IFERROR(O8/O7,"")</f>
        <v/>
      </c>
      <c r="P9" s="33">
        <f>IFERROR(P8/P7,"")</f>
        <v/>
      </c>
      <c r="Q9" s="33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IFERROR(subQ!AC9+(E12-E6)*변수!AC40,"")</f>
        <v/>
      </c>
      <c r="F14" s="20">
        <f>IFERROR(subQ!AD9+(F12-F6)*변수!AD40,"")</f>
        <v/>
      </c>
      <c r="G14" s="20">
        <f>IFERROR(SUM(E14:F14)+subQ!AA9+subQ!AB9,"")</f>
        <v/>
      </c>
      <c r="H14" s="20">
        <f>IFERROR(subQ!AF9+(H12-H6)*변수!AF40,"")</f>
        <v/>
      </c>
      <c r="I14" s="20">
        <f>IFERROR(subQ!AG9+(I12-I6)*변수!AG40,"")</f>
        <v/>
      </c>
      <c r="J14" s="20">
        <f>IFERROR(subQ!AH9+(J12-J6)*변수!AH40,"")</f>
        <v/>
      </c>
      <c r="K14" s="20">
        <f>IFERROR(subQ!AI9+(K12-K6)*변수!AI40,"")</f>
        <v/>
      </c>
      <c r="L14" s="20">
        <f>IFERROR(SUM(H14:K14),"")</f>
        <v/>
      </c>
      <c r="M14" s="20">
        <f>IFERROR(subQ!AK9+(M12-M6)*변수!AK40,"")</f>
        <v/>
      </c>
      <c r="N14" s="20">
        <f>IFERROR(subQ!AL9+(N12-N6)*변수!AL40,"")</f>
        <v/>
      </c>
      <c r="O14" s="20">
        <f>IFERROR(subQ!AM9+(O12-O6)*변수!AM40,"")</f>
        <v/>
      </c>
      <c r="P14" s="20">
        <f>IFERROR(subQ!AN9+(P12-P6)*변수!AN40,"")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3">
        <f>IFERROR(E14/E13,"")</f>
        <v/>
      </c>
      <c r="F15" s="33">
        <f>IFERROR(F14/F13,"")</f>
        <v/>
      </c>
      <c r="G15" s="33">
        <f>IFERROR(G14/G13,"")</f>
        <v/>
      </c>
      <c r="H15" s="33">
        <f>IFERROR(H14/H13,"")</f>
        <v/>
      </c>
      <c r="I15" s="33">
        <f>IFERROR(I14/I13,"")</f>
        <v/>
      </c>
      <c r="J15" s="33">
        <f>IFERROR(J14/J13,"")</f>
        <v/>
      </c>
      <c r="K15" s="33">
        <f>IFERROR(K14/K13,"")</f>
        <v/>
      </c>
      <c r="L15" s="33">
        <f>IFERROR(L14/L13,"")</f>
        <v/>
      </c>
      <c r="M15" s="33">
        <f>IFERROR(M14/M13,"")</f>
        <v/>
      </c>
      <c r="N15" s="33">
        <f>IFERROR(N14/N13,"")</f>
        <v/>
      </c>
      <c r="O15" s="33">
        <f>IFERROR(O14/O13,"")</f>
        <v/>
      </c>
      <c r="P15" s="33">
        <f>IFERROR(P14/P13,"")</f>
        <v/>
      </c>
      <c r="Q15" s="33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102.59</v>
      </c>
      <c r="I18" s="34" t="n">
        <v>380.45</v>
      </c>
      <c r="J18" s="34" t="n">
        <v>788.71</v>
      </c>
      <c r="K18" s="34" t="n">
        <v>1282.51</v>
      </c>
      <c r="L18" s="20">
        <f>SUM(H18:K18)</f>
        <v/>
      </c>
      <c r="M18" s="34" t="n">
        <v>1816.96</v>
      </c>
      <c r="N18" s="34" t="n">
        <v>2347.21</v>
      </c>
      <c r="O18" s="34" t="n">
        <v>2828.38</v>
      </c>
      <c r="P18" s="34" t="n">
        <v>3215.61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IFERROR(subQ!AC9+(E18-E6)*변수!AC40,"")</f>
        <v/>
      </c>
      <c r="F20" s="20">
        <f>IFERROR(subQ!AD9+(F18-F6)*변수!AD40,"")</f>
        <v/>
      </c>
      <c r="G20" s="20">
        <f>IFERROR(SUM(E20:F20)+subQ!AA9+subQ!AB9,"")</f>
        <v/>
      </c>
      <c r="H20" s="20">
        <f>IFERROR(subQ!AF9+(H18-H6)*변수!AF40,"")</f>
        <v/>
      </c>
      <c r="I20" s="20">
        <f>IFERROR(subQ!AG9+(I18-I6)*변수!AG40,"")</f>
        <v/>
      </c>
      <c r="J20" s="20">
        <f>IFERROR(subQ!AH9+(J18-J6)*변수!AH40,"")</f>
        <v/>
      </c>
      <c r="K20" s="20">
        <f>IFERROR(subQ!AI9+(K18-K6)*변수!AI40,"")</f>
        <v/>
      </c>
      <c r="L20" s="20">
        <f>IFERROR(SUM(H20:K20),"")</f>
        <v/>
      </c>
      <c r="M20" s="20">
        <f>IFERROR(subQ!AK9+(M18-M6)*변수!AK40,"")</f>
        <v/>
      </c>
      <c r="N20" s="20">
        <f>IFERROR(subQ!AL9+(N18-N6)*변수!AL40,"")</f>
        <v/>
      </c>
      <c r="O20" s="20">
        <f>IFERROR(subQ!AM9+(O18-O6)*변수!AM40,"")</f>
        <v/>
      </c>
      <c r="P20" s="20">
        <f>IFERROR(subQ!AN9+(P18-P6)*변수!AN40,"")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3">
        <f>IFERROR(E20/E19,"")</f>
        <v/>
      </c>
      <c r="F21" s="33">
        <f>IFERROR(F20/F19,"")</f>
        <v/>
      </c>
      <c r="G21" s="33">
        <f>IFERROR(G20/G19,"")</f>
        <v/>
      </c>
      <c r="H21" s="33">
        <f>IFERROR(H20/H19,"")</f>
        <v/>
      </c>
      <c r="I21" s="33">
        <f>IFERROR(I20/I19,"")</f>
        <v/>
      </c>
      <c r="J21" s="33">
        <f>IFERROR(J20/J19,"")</f>
        <v/>
      </c>
      <c r="K21" s="33">
        <f>IFERROR(K20/K19,"")</f>
        <v/>
      </c>
      <c r="L21" s="33">
        <f>IFERROR(L20/L19,"")</f>
        <v/>
      </c>
      <c r="M21" s="33">
        <f>IFERROR(M20/M19,"")</f>
        <v/>
      </c>
      <c r="N21" s="33">
        <f>IFERROR(N20/N19,"")</f>
        <v/>
      </c>
      <c r="O21" s="33">
        <f>IFERROR(O20/O19,"")</f>
        <v/>
      </c>
      <c r="P21" s="33">
        <f>IFERROR(P20/P19,"")</f>
        <v/>
      </c>
      <c r="Q21" s="33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0</v>
      </c>
      <c r="G24" s="20">
        <f>SUM(E24:F24)</f>
        <v/>
      </c>
      <c r="H24" s="34" t="n">
        <v>110.44</v>
      </c>
      <c r="I24" s="34" t="n">
        <v>409.59</v>
      </c>
      <c r="J24" s="34" t="n">
        <v>849.21</v>
      </c>
      <c r="K24" s="34" t="n">
        <v>1381.06</v>
      </c>
      <c r="L24" s="20">
        <f>SUM(H24:K24)</f>
        <v/>
      </c>
      <c r="M24" s="34" t="n">
        <v>1956.92</v>
      </c>
      <c r="N24" s="34" t="n">
        <v>2528.52</v>
      </c>
      <c r="O24" s="34" t="n">
        <v>3047.64</v>
      </c>
      <c r="P24" s="34" t="n">
        <v>3466.04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IFERROR(subQ!AC9+(E24-E6)*변수!AC40,"")</f>
        <v/>
      </c>
      <c r="F26" s="20">
        <f>IFERROR(subQ!AD9+(F24-F6)*변수!AD40,"")</f>
        <v/>
      </c>
      <c r="G26" s="20">
        <f>IFERROR(SUM(E26:F26)+subQ!AA9+subQ!AB9,"")</f>
        <v/>
      </c>
      <c r="H26" s="20">
        <f>IFERROR(subQ!AF9+(H24-H6)*변수!AF40,"")</f>
        <v/>
      </c>
      <c r="I26" s="20">
        <f>IFERROR(subQ!AG9+(I24-I6)*변수!AG40,"")</f>
        <v/>
      </c>
      <c r="J26" s="20">
        <f>IFERROR(subQ!AH9+(J24-J6)*변수!AH40,"")</f>
        <v/>
      </c>
      <c r="K26" s="20">
        <f>IFERROR(subQ!AI9+(K24-K6)*변수!AI40,"")</f>
        <v/>
      </c>
      <c r="L26" s="20">
        <f>IFERROR(SUM(H26:K26),"")</f>
        <v/>
      </c>
      <c r="M26" s="20">
        <f>IFERROR(subQ!AK9+(M24-M6)*변수!AK40,"")</f>
        <v/>
      </c>
      <c r="N26" s="20">
        <f>IFERROR(subQ!AL9+(N24-N6)*변수!AL40,"")</f>
        <v/>
      </c>
      <c r="O26" s="20">
        <f>IFERROR(subQ!AM9+(O24-O6)*변수!AM40,"")</f>
        <v/>
      </c>
      <c r="P26" s="20">
        <f>IFERROR(subQ!AN9+(P24-P6)*변수!AN40,"")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3">
        <f>IFERROR(E26/E25,"")</f>
        <v/>
      </c>
      <c r="F27" s="33">
        <f>IFERROR(F26/F25,"")</f>
        <v/>
      </c>
      <c r="G27" s="33">
        <f>IFERROR(G26/G25,"")</f>
        <v/>
      </c>
      <c r="H27" s="33">
        <f>IFERROR(H26/H25,"")</f>
        <v/>
      </c>
      <c r="I27" s="33">
        <f>IFERROR(I26/I25,"")</f>
        <v/>
      </c>
      <c r="J27" s="33">
        <f>IFERROR(J26/J25,"")</f>
        <v/>
      </c>
      <c r="K27" s="33">
        <f>IFERROR(K26/K25,"")</f>
        <v/>
      </c>
      <c r="L27" s="33">
        <f>IFERROR(L26/L25,"")</f>
        <v/>
      </c>
      <c r="M27" s="33">
        <f>IFERROR(M26/M25,"")</f>
        <v/>
      </c>
      <c r="N27" s="33">
        <f>IFERROR(N26/N25,"")</f>
        <v/>
      </c>
      <c r="O27" s="33">
        <f>IFERROR(O26/O25,"")</f>
        <v/>
      </c>
      <c r="P27" s="33">
        <f>IFERROR(P26/P25,"")</f>
        <v/>
      </c>
      <c r="Q27" s="33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50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51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51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8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9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9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9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IFERROR(I18/E18-1,"")</f>
        <v/>
      </c>
      <c r="J45" s="21">
        <f>IFERROR(J18/F18-1,"")</f>
        <v/>
      </c>
      <c r="K45" s="21">
        <f>IFERROR(K18/G18-1,"")</f>
        <v/>
      </c>
      <c r="L45" s="21">
        <f>IFERROR(L18/H18-1,"")</f>
        <v/>
      </c>
      <c r="M45" s="21">
        <f>IFERROR(M18/I18-1,"")</f>
        <v/>
      </c>
      <c r="N45" s="21">
        <f>IFERROR(N18/J18-1,"")</f>
        <v/>
      </c>
      <c r="O45" s="21">
        <f>IFERROR(O18/K18-1,"")</f>
        <v/>
      </c>
      <c r="P45" s="21">
        <f>IFERROR(P18/L18-1,"")</f>
        <v/>
      </c>
      <c r="Q45" s="21">
        <f>IFERROR(Q18/M18-1,"")</f>
        <v/>
      </c>
      <c r="R45" s="21">
        <f>IFERROR(R18/N18-1,"")</f>
        <v/>
      </c>
      <c r="S45" s="21">
        <f>IFERROR(S18/O18-1,"")</f>
        <v/>
      </c>
      <c r="T45" s="21">
        <f>IFERROR(T18/P18-1,"")</f>
        <v/>
      </c>
      <c r="U45" s="21">
        <f>IFERROR(U18/Q18-1,"")</f>
        <v/>
      </c>
      <c r="V45" s="21">
        <f>IFERROR(V18/R18-1,"")</f>
        <v/>
      </c>
      <c r="W45" s="49">
        <f>IFERROR(W18/S18-1,"")</f>
        <v/>
      </c>
      <c r="X45" s="33">
        <f>IFERROR(X18/T18-1,"")</f>
        <v/>
      </c>
      <c r="Y45" s="33">
        <f>IFERROR(Y18/U18-1,"")</f>
        <v/>
      </c>
      <c r="Z45" s="33">
        <f>IFERROR(Z18/V18-1,"")</f>
        <v/>
      </c>
      <c r="AA45" s="33">
        <f>IFERROR(AA18/W18-1,"")</f>
        <v/>
      </c>
      <c r="AB45" s="33">
        <f>IFERROR(AB18/X18-1,"")</f>
        <v/>
      </c>
      <c r="AC45" s="33">
        <f>IFERROR(AC18/Y18-1,"")</f>
        <v/>
      </c>
      <c r="AD45" s="33">
        <f>IFERROR(AD18/Z18-1,"")</f>
        <v/>
      </c>
      <c r="AE45" s="33">
        <f>IFERROR(AE18/AA18-1,"")</f>
        <v/>
      </c>
      <c r="AF45" s="33">
        <f>IFERROR(AF18/AB18-1,"")</f>
        <v/>
      </c>
      <c r="AG45" s="33">
        <f>IFERROR(AG18/AC18-1,"")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50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51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51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8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9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9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9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IFERROR(F18/E18-1,"")</f>
        <v/>
      </c>
      <c r="G45" s="21">
        <f>IFERROR(G18/F18-1,"")</f>
        <v/>
      </c>
      <c r="H45" s="21">
        <f>IFERROR(H18/G18-1,"")</f>
        <v/>
      </c>
      <c r="I45" s="49">
        <f>IFERROR(I18/H18-1,"")</f>
        <v/>
      </c>
      <c r="J45" s="33">
        <f>IFERROR(J18/I18-1,"")</f>
        <v/>
      </c>
      <c r="K45" s="33">
        <f>IFERROR(K18/J18-1,"")</f>
        <v/>
      </c>
      <c r="L45" s="33">
        <f>IFERROR(L18/K18-1,"")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2365.9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6.02</v>
      </c>
    </row>
    <row r="32">
      <c r="C32" s="2" t="inlineStr">
        <is>
          <t>pbr_now</t>
        </is>
      </c>
      <c r="D32" t="n">
        <v>1.71</v>
      </c>
    </row>
    <row r="33">
      <c r="C33" s="2" t="inlineStr">
        <is>
          <t>roe_fwd</t>
        </is>
      </c>
      <c r="D33" t="n">
        <v>0.2837</v>
      </c>
    </row>
    <row r="34">
      <c r="C34" s="2" t="inlineStr">
        <is>
          <t>fair_pbr</t>
        </is>
      </c>
      <c r="D34" t="n">
        <v>3.15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