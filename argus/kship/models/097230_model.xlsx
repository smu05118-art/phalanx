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subQ!$A$5:$AO$42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5.36%(최근 4분기 중위)</t>
      </text>
    </comment>
    <comment ref="AD22" authorId="0" shapeId="0">
      <text>
        <t>모델값 역산(implied): v / 매출액
매출액 × 판관비율 5.36%(최근 4분기 중위)</t>
      </text>
    </comment>
    <comment ref="AF22" authorId="0" shapeId="0">
      <text>
        <t>모델값 역산(implied): v / 매출액
매출액 × 판관비율 5.36%(최근 4분기 중위)</t>
      </text>
    </comment>
    <comment ref="AG22" authorId="0" shapeId="0">
      <text>
        <t>모델값 역산(implied): v / 매출액
매출액 × 판관비율 5.36%(최근 4분기 중위)</t>
      </text>
    </comment>
    <comment ref="AH22" authorId="0" shapeId="0">
      <text>
        <t>모델값 역산(implied): v / 매출액
매출액 × 판관비율 5.36%(최근 4분기 중위)</t>
      </text>
    </comment>
    <comment ref="AI22" authorId="0" shapeId="0">
      <text>
        <t>모델값 역산(implied): v / 매출액
매출액 × 판관비율 5.36%(최근 4분기 중위)</t>
      </text>
    </comment>
    <comment ref="AK22" authorId="0" shapeId="0">
      <text>
        <t>모델값 역산(implied): v / 매출액
매출액 × 판관비율 5.36%(최근 4분기 중위)</t>
      </text>
    </comment>
    <comment ref="AL22" authorId="0" shapeId="0">
      <text>
        <t>모델값 역산(implied): v / 매출액
매출액 × 판관비율 5.36%(최근 4분기 중위)</t>
      </text>
    </comment>
    <comment ref="AM22" authorId="0" shapeId="0">
      <text>
        <t>모델값 역산(implied): v / 매출액
매출액 × 판관비율 5.36%(최근 4분기 중위)</t>
      </text>
    </comment>
    <comment ref="AN22" authorId="0" shapeId="0">
      <text>
        <t>모델값 역산(implied): v / 매출액
매출액 × 판관비율 5.36%(최근 4분기 중위)</t>
      </text>
    </comment>
    <comment ref="AC23" authorId="0" shapeId="0">
      <text>
        <t>모델값 역산(implied): v / 매출액
매출액 × OPM(SLS 코호트 타겟 15.0%(코호트 모드 reference_anchor) + 회사 캘리브레이션 -7.0%p(최근 3분기 실측−타겟 중위))</t>
      </text>
    </comment>
    <comment ref="AD23" authorId="0" shapeId="0">
      <text>
        <t>모델값 역산(implied): v / 매출액
매출액 × OPM(SLS 코호트 타겟 15.0%(코호트 모드 reference_anchor) + 회사 캘리브레이션 -7.0%p(최근 3분기 실측−타겟 중위))</t>
      </text>
    </comment>
    <comment ref="AF23" authorId="0" shapeId="0">
      <text>
        <t>모델값 역산(implied): v / 매출액
매출액 × OPM(SLS 코호트 타겟 15.0%(코호트 모드 reference_anchor) + 회사 캘리브레이션 -7.0%p(최근 3분기 실측−타겟 중위))</t>
      </text>
    </comment>
    <comment ref="AG23" authorId="0" shapeId="0">
      <text>
        <t>모델값 역산(implied): v / 매출액
매출액 × OPM(SLS 코호트 타겟 15.0%(코호트 모드 reference_anchor) + 회사 캘리브레이션 -7.0%p(최근 3분기 실측−타겟 중위))</t>
      </text>
    </comment>
    <comment ref="AH23" authorId="0" shapeId="0">
      <text>
        <t>모델값 역산(implied): v / 매출액
매출액 × OPM(SLS 코호트 타겟 15.0%(코호트 모드 reference_anchor) + 회사 캘리브레이션 -7.0%p(최근 3분기 실측−타겟 중위))</t>
      </text>
    </comment>
    <comment ref="AI23" authorId="0" shapeId="0">
      <text>
        <t>모델값 역산(implied): v / 매출액
매출액 × OPM(SLS 코호트 타겟 15.0%(코호트 모드 reference_anchor) + 회사 캘리브레이션 -7.0%p(최근 3분기 실측−타겟 중위))</t>
      </text>
    </comment>
    <comment ref="AK23" authorId="0" shapeId="0">
      <text>
        <t>모델값 역산(implied): v / 매출액
매출액 × OPM(SLS 코호트 타겟 15.0%(코호트 모드 reference_anchor) + 회사 캘리브레이션 -7.0%p(최근 3분기 실측−타겟 중위))</t>
      </text>
    </comment>
    <comment ref="AL23" authorId="0" shapeId="0">
      <text>
        <t>모델값 역산(implied): v / 매출액
매출액 × OPM(SLS 코호트 타겟 15.0%(코호트 모드 reference_anchor) + 회사 캘리브레이션 -7.0%p(최근 3분기 실측−타겟 중위))</t>
      </text>
    </comment>
    <comment ref="AM23" authorId="0" shapeId="0">
      <text>
        <t>모델값 역산(implied): v / 매출액
매출액 × OPM(SLS 코호트 타겟 15.0%(코호트 모드 reference_anchor) + 회사 캘리브레이션 -7.0%p(최근 3분기 실측−타겟 중위))</t>
      </text>
    </comment>
    <comment ref="AN23" authorId="0" shapeId="0">
      <text>
        <t>모델값 역산(implied): v / 매출액
매출액 × OPM(SLS 코호트 타겟 15.0%(코호트 모드 reference_anchor) + 회사 캘리브레이션 -7.0%p(최근 3분기 실측−타겟 중위))</t>
      </text>
    </comment>
    <comment ref="AC24" authorId="0" shapeId="0">
      <text>
        <t>모델값 역산(implied): v / 전년동기 − 1
SLS 코호트 타겟 15.0%(코호트 모드 reference_anchor) + 회사 캘리브레이션 -7.0%p(최근 3분기 실측−타겟 중위)</t>
      </text>
    </comment>
    <comment ref="AD24" authorId="0" shapeId="0">
      <text>
        <t>모델값 역산(implied): v / 전년동기 − 1
SLS 코호트 타겟 15.0%(코호트 모드 reference_anchor) + 회사 캘리브레이션 -7.0%p(최근 3분기 실측−타겟 중위)</t>
      </text>
    </comment>
    <comment ref="AF24" authorId="0" shapeId="0">
      <text>
        <t>모델값 역산(implied): v / 전년동기 − 1
SLS 코호트 타겟 15.0%(코호트 모드 reference_anchor) + 회사 캘리브레이션 -7.0%p(최근 3분기 실측−타겟 중위)</t>
      </text>
    </comment>
    <comment ref="AG24" authorId="0" shapeId="0">
      <text>
        <t>모델값 역산(implied): v / 전년동기 − 1
SLS 코호트 타겟 15.0%(코호트 모드 reference_anchor) + 회사 캘리브레이션 -7.0%p(최근 3분기 실측−타겟 중위)</t>
      </text>
    </comment>
    <comment ref="AH24" authorId="0" shapeId="0">
      <text>
        <t>모델값 역산(implied): v / 전년동기 − 1
SLS 코호트 타겟 15.0%(코호트 모드 reference_anchor) + 회사 캘리브레이션 -7.0%p(최근 3분기 실측−타겟 중위)</t>
      </text>
    </comment>
    <comment ref="AI24" authorId="0" shapeId="0">
      <text>
        <t>모델값 역산(implied): v / 전년동기 − 1
SLS 코호트 타겟 15.0%(코호트 모드 reference_anchor) + 회사 캘리브레이션 -7.0%p(최근 3분기 실측−타겟 중위)</t>
      </text>
    </comment>
    <comment ref="AK24" authorId="0" shapeId="0">
      <text>
        <t>모델값 역산(implied): v / 전년동기 − 1
SLS 코호트 타겟 15.0%(코호트 모드 reference_anchor) + 회사 캘리브레이션 -7.0%p(최근 3분기 실측−타겟 중위)</t>
      </text>
    </comment>
    <comment ref="AL24" authorId="0" shapeId="0">
      <text>
        <t>모델값 역산(implied): v / 전년동기 − 1
SLS 코호트 타겟 15.0%(코호트 모드 reference_anchor) + 회사 캘리브레이션 -7.0%p(최근 3분기 실측−타겟 중위)</t>
      </text>
    </comment>
    <comment ref="AM24" authorId="0" shapeId="0">
      <text>
        <t>모델값 역산(implied): v / 전년동기 − 1
SLS 코호트 타겟 15.0%(코호트 모드 reference_anchor) + 회사 캘리브레이션 -7.0%p(최근 3분기 실측−타겟 중위)</t>
      </text>
    </comment>
    <comment ref="AN24" authorId="0" shapeId="0">
      <text>
        <t>모델값 역산(implied): v / 전년동기 − 1
SLS 코호트 타겟 15.0%(코호트 모드 reference_anchor) + 회사 캘리브레이션 -7.0%p(최근 3분기 실측−타겟 중위)</t>
      </text>
    </comment>
    <comment ref="AC25" authorId="0" shapeId="0">
      <text>
        <t>모델값 역산(implied): 모델 v 그대로
이자손익 = 이자발생자산 2815억 × 2.56% − 총차입금 4751억 × 7.96% (연율, CF 실측) ÷ 4; 환·평가손익 0 가정</t>
      </text>
    </comment>
    <comment ref="AD25" authorId="0" shapeId="0">
      <text>
        <t>모델값 역산(implied): 모델 v 그대로
이자손익 = 이자발생자산 3194억 × 2.56% − 총차입금 4751억 × 7.96% (연율, CF 실측) ÷ 4; 환·평가손익 0 가정</t>
      </text>
    </comment>
    <comment ref="AF25" authorId="0" shapeId="0">
      <text>
        <t>모델값 역산(implied): 모델 v 그대로
이자손익 = 이자발생자산 3618억 × 2.56% − 총차입금 4751억 × 7.96% (연율, CF 실측) ÷ 4; 환·평가손익 0 가정</t>
      </text>
    </comment>
    <comment ref="AG25" authorId="0" shapeId="0">
      <text>
        <t>모델값 역산(implied): 모델 v 그대로
이자손익 = 이자발생자산 4042억 × 2.56% − 총차입금 4751억 × 7.96% (연율, CF 실측) ÷ 4; 환·평가손익 0 가정</t>
      </text>
    </comment>
    <comment ref="AH25" authorId="0" shapeId="0">
      <text>
        <t>모델값 역산(implied): 모델 v 그대로
이자손익 = 이자발생자산 4470억 × 2.56% − 총차입금 4751억 × 7.96% (연율, CF 실측) ÷ 4; 환·평가손익 0 가정</t>
      </text>
    </comment>
    <comment ref="AI25" authorId="0" shapeId="0">
      <text>
        <t>모델값 역산(implied): 모델 v 그대로
이자손익 = 이자발생자산 4759억 × 2.56% − 총차입금 4751억 × 7.96% (연율, CF 실측) ÷ 4; 환·평가손익 0 가정</t>
      </text>
    </comment>
    <comment ref="AK25" authorId="0" shapeId="0">
      <text>
        <t>모델값 역산(implied): 모델 v 그대로
이자손익 = 이자발생자산 5029억 × 2.56% − 총차입금 4751억 × 7.96% (연율, CF 실측) ÷ 4; 환·평가손익 0 가정</t>
      </text>
    </comment>
    <comment ref="AL25" authorId="0" shapeId="0">
      <text>
        <t>모델값 역산(implied): 모델 v 그대로
이자손익 = 이자발생자산 5299억 × 2.56% − 총차입금 4751억 × 7.96% (연율, CF 실측) ÷ 4; 환·평가손익 0 가정</t>
      </text>
    </comment>
    <comment ref="AM25" authorId="0" shapeId="0">
      <text>
        <t>모델값 역산(implied): 모델 v 그대로
이자손익 = 이자발생자산 5571억 × 2.56% − 총차입금 4751억 × 7.96% (연율, CF 실측) ÷ 4; 환·평가손익 0 가정</t>
      </text>
    </comment>
    <comment ref="AN25" authorId="0" shapeId="0">
      <text>
        <t>모델값 역산(implied): 모델 v 그대로
이자손익 = 이자발생자산 5817억 × 2.56% − 총차입금 4751억 × 7.96%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-14.9% → 5~27% 클립)</t>
      </text>
    </comment>
    <comment ref="AD27" authorId="0" shapeId="0">
      <text>
        <t>모델값 역산(implied): v / 세전이익
max(세전, 0) × 세율 5.0%(최근 12분기 유효세율 -14.9% → 5~27% 클립)</t>
      </text>
    </comment>
    <comment ref="AF27" authorId="0" shapeId="0">
      <text>
        <t>모델값 역산(implied): v / 세전이익
max(세전, 0) × 세율 5.0%(최근 12분기 유효세율 -14.9% → 5~27% 클립)</t>
      </text>
    </comment>
    <comment ref="AG27" authorId="0" shapeId="0">
      <text>
        <t>모델값 역산(implied): v / 세전이익
max(세전, 0) × 세율 5.0%(최근 12분기 유효세율 -14.9% → 5~27% 클립)</t>
      </text>
    </comment>
    <comment ref="AH27" authorId="0" shapeId="0">
      <text>
        <t>모델값 역산(implied): v / 세전이익
max(세전, 0) × 세율 5.0%(최근 12분기 유효세율 -14.9% → 5~27% 클립)</t>
      </text>
    </comment>
    <comment ref="AI27" authorId="0" shapeId="0">
      <text>
        <t>모델값 역산(implied): v / 세전이익
max(세전, 0) × 세율 5.0%(최근 12분기 유효세율 -14.9% → 5~27% 클립)</t>
      </text>
    </comment>
    <comment ref="AK27" authorId="0" shapeId="0">
      <text>
        <t>모델값 역산(implied): v / 세전이익
max(세전, 0) × 세율 5.0%(최근 12분기 유효세율 -14.9% → 5~27% 클립)</t>
      </text>
    </comment>
    <comment ref="AL27" authorId="0" shapeId="0">
      <text>
        <t>모델값 역산(implied): v / 세전이익
max(세전, 0) × 세율 5.0%(최근 12분기 유효세율 -14.9% → 5~27% 클립)</t>
      </text>
    </comment>
    <comment ref="AM27" authorId="0" shapeId="0">
      <text>
        <t>모델값 역산(implied): v / 세전이익
max(세전, 0) × 세율 5.0%(최근 12분기 유효세율 -14.9% → 5~27% 클립)</t>
      </text>
    </comment>
    <comment ref="AN27" authorId="0" shapeId="0">
      <text>
        <t>모델값 역산(implied): v / 세전이익
max(세전, 0) × 세율 5.0%(최근 12분기 유효세율 -14.9%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SLS 해양 원화 1051억(sls.by_quarter.marine_hedged_krw_m(헤지 70% 적용)) + 원장 밖 잔고 소진 2153억(최근 4분기 '부문매출−SLS' 중위 2153억/분기, 잔여 6734억)</t>
      </text>
    </comment>
    <comment ref="AD43" authorId="0" shapeId="0">
      <text>
        <t>모델값 역산(implied): v / 매출액
SLS 해양 원화 1613억(sls.by_quarter.marine_hedged_krw_m(헤지 70% 적용)) + 원장 밖 잔고 소진 2153억(최근 4분기 '부문매출−SLS' 중위 2153억/분기, 잔여 4581억)</t>
      </text>
    </comment>
    <comment ref="AF43" authorId="0" shapeId="0">
      <text>
        <t>모델값 역산(implied): v / 매출액
SLS 해양 원화 1578억(sls.by_quarter.marine_hedged_krw_m(헤지 70% 적용)) + 원장 밖 잔고 소진 2153억(최근 4분기 '부문매출−SLS' 중위 2153억/분기, 잔여 2428억)</t>
      </text>
    </comment>
    <comment ref="AG43" authorId="0" shapeId="0">
      <text>
        <t>모델값 역산(implied): v / 매출액
SLS 해양 원화 1595억(sls.by_quarter.marine_hedged_krw_m(헤지 70% 적용)) + 원장 밖 잔고 소진 2153억(최근 4분기 '부문매출−SLS' 중위 2153억/분기, 잔여 275억)</t>
      </text>
    </comment>
    <comment ref="AH43" authorId="0" shapeId="0">
      <text>
        <t>모델값 역산(implied): v / 매출액
SLS 해양 원화 1613억(sls.by_quarter.marine_hedged_krw_m(헤지 70% 적용)) + 원장 밖 잔고 소진 275억(최근 4분기 '부문매출−SLS' 중위 2153억/분기, 잔여 0억)</t>
      </text>
    </comment>
    <comment ref="AI43" authorId="0" shapeId="0">
      <text>
        <t>모델값 역산(implied): v / 매출액
SLS 해양 원화 1613억(sls.by_quarter.marine_hedged_krw_m(헤지 70% 적용)) + 원장 밖 잔고 소진 0억(최근 4분기 '부문매출−SLS' 중위 2153억/분기, 잔여 0억)</t>
      </text>
    </comment>
    <comment ref="AK43" authorId="0" shapeId="0">
      <text>
        <t>모델값 역산(implied): v / 매출액
SLS 해양 원화 1595억(sls.by_quarter.marine_hedged_krw_m(헤지 70% 적용)) + 원장 밖 잔고 소진 0억(최근 4분기 '부문매출−SLS' 중위 2153억/분기, 잔여 0억)</t>
      </text>
    </comment>
    <comment ref="AL43" authorId="0" shapeId="0">
      <text>
        <t>모델값 역산(implied): v / 매출액
SLS 해양 원화 1595억(sls.by_quarter.marine_hedged_krw_m(헤지 70% 적용)) + 원장 밖 잔고 소진 0억(최근 4분기 '부문매출−SLS' 중위 2153억/분기, 잔여 0억)</t>
      </text>
    </comment>
    <comment ref="AM43" authorId="0" shapeId="0">
      <text>
        <t>모델값 역산(implied): v / 매출액
SLS 해양 원화 1249억(sls.by_quarter.marine_hedged_krw_m(헤지 70% 적용)) + 원장 밖 잔고 소진 0억(최근 4분기 '부문매출−SLS' 중위 2153억/분기, 잔여 0억)</t>
      </text>
    </comment>
    <comment ref="AN43" authorId="0" shapeId="0">
      <text>
        <t>모델값 역산(implied): v / 매출액
SLS 해양 원화 1004억(sls.by_quarter.marine_hedged_krw_m(헤지 70% 적용)) + 원장 밖 잔고 소진 0억(최근 4분기 '부문매출−SLS' 중위 2153억/분기, 잔여 0억)</t>
      </text>
    </comment>
    <comment ref="AC44" authorId="0" shapeId="0">
      <text>
        <t>모델값 역산(implied): v / 매출조선
매출조선 × 타겟 OPM(부문 OP 미공시 → 회사 OPM 적용)</t>
      </text>
    </comment>
    <comment ref="AD44" authorId="0" shapeId="0">
      <text>
        <t>모델값 역산(implied): v / 매출조선
매출조선 × 타겟 OPM(부문 OP 미공시 → 회사 OPM 적용)</t>
      </text>
    </comment>
    <comment ref="AF44" authorId="0" shapeId="0">
      <text>
        <t>모델값 역산(implied): v / 매출조선
매출조선 × 타겟 OPM(부문 OP 미공시 → 회사 OPM 적용)</t>
      </text>
    </comment>
    <comment ref="AG44" authorId="0" shapeId="0">
      <text>
        <t>모델값 역산(implied): v / 매출조선
매출조선 × 타겟 OPM(부문 OP 미공시 → 회사 OPM 적용)</t>
      </text>
    </comment>
    <comment ref="AH44" authorId="0" shapeId="0">
      <text>
        <t>모델값 역산(implied): v / 매출조선
매출조선 × 타겟 OPM(부문 OP 미공시 → 회사 OPM 적용)</t>
      </text>
    </comment>
    <comment ref="AI44" authorId="0" shapeId="0">
      <text>
        <t>모델값 역산(implied): v / 매출조선
매출조선 × 타겟 OPM(부문 OP 미공시 → 회사 OPM 적용)</t>
      </text>
    </comment>
    <comment ref="AK44" authorId="0" shapeId="0">
      <text>
        <t>모델값 역산(implied): v / 매출조선
매출조선 × 타겟 OPM(부문 OP 미공시 → 회사 OPM 적용)</t>
      </text>
    </comment>
    <comment ref="AL44" authorId="0" shapeId="0">
      <text>
        <t>모델값 역산(implied): v / 매출조선
매출조선 × 타겟 OPM(부문 OP 미공시 → 회사 OPM 적용)</t>
      </text>
    </comment>
    <comment ref="AM44" authorId="0" shapeId="0">
      <text>
        <t>모델값 역산(implied): v / 매출조선
매출조선 × 타겟 OPM(부문 OP 미공시 → 회사 OPM 적용)</t>
      </text>
    </comment>
    <comment ref="AN44" authorId="0" shapeId="0">
      <text>
        <t>모델값 역산(implied): v / 매출조선
매출조선 × 타겟 OPM(부문 OP 미공시 → 회사 OPM 적용)</t>
      </text>
    </comment>
    <comment ref="AC45" authorId="0" shapeId="0">
      <text>
        <t>모델값 역산(implied): v / 매출액
기타 부문(연결 − 조선 부문) 최근 4분기 중위 2726억 유지</t>
      </text>
    </comment>
    <comment ref="AD45" authorId="0" shapeId="0">
      <text>
        <t>모델값 역산(implied): v / 매출액
기타 부문(연결 − 조선 부문) 최근 4분기 중위 2726억 유지</t>
      </text>
    </comment>
    <comment ref="AF45" authorId="0" shapeId="0">
      <text>
        <t>모델값 역산(implied): v / 매출액
기타 부문(연결 − 조선 부문) 최근 4분기 중위 2726억 유지</t>
      </text>
    </comment>
    <comment ref="AG45" authorId="0" shapeId="0">
      <text>
        <t>모델값 역산(implied): v / 매출액
기타 부문(연결 − 조선 부문) 최근 4분기 중위 2726억 유지</t>
      </text>
    </comment>
    <comment ref="AH45" authorId="0" shapeId="0">
      <text>
        <t>모델값 역산(implied): v / 매출액
기타 부문(연결 − 조선 부문) 최근 4분기 중위 2726억 유지</t>
      </text>
    </comment>
    <comment ref="AI45" authorId="0" shapeId="0">
      <text>
        <t>모델값 역산(implied): v / 매출액
기타 부문(연결 − 조선 부문) 최근 4분기 중위 2726억 유지</t>
      </text>
    </comment>
    <comment ref="AK45" authorId="0" shapeId="0">
      <text>
        <t>모델값 역산(implied): v / 매출액
기타 부문(연결 − 조선 부문) 최근 4분기 중위 2726억 유지</t>
      </text>
    </comment>
    <comment ref="AL45" authorId="0" shapeId="0">
      <text>
        <t>모델값 역산(implied): v / 매출액
기타 부문(연결 − 조선 부문) 최근 4분기 중위 2726억 유지</t>
      </text>
    </comment>
    <comment ref="AM45" authorId="0" shapeId="0">
      <text>
        <t>모델값 역산(implied): v / 매출액
기타 부문(연결 − 조선 부문) 최근 4분기 중위 2726억 유지</t>
      </text>
    </comment>
    <comment ref="AN45" authorId="0" shapeId="0">
      <text>
        <t>모델값 역산(implied): v / 매출액
기타 부문(연결 − 조선 부문) 최근 4분기 중위 2726억 유지</t>
      </text>
    </comment>
    <comment ref="AC46" authorId="0" shapeId="0">
      <text>
        <t>모델값 역산(implied): v / 매출기타
매출기타 × 회사 OPM(부문 OP 미공시)</t>
      </text>
    </comment>
    <comment ref="AD46" authorId="0" shapeId="0">
      <text>
        <t>모델값 역산(implied): v / 매출기타
매출기타 × 회사 OPM(부문 OP 미공시)</t>
      </text>
    </comment>
    <comment ref="AF46" authorId="0" shapeId="0">
      <text>
        <t>모델값 역산(implied): v / 매출기타
매출기타 × 회사 OPM(부문 OP 미공시)</t>
      </text>
    </comment>
    <comment ref="AG46" authorId="0" shapeId="0">
      <text>
        <t>모델값 역산(implied): v / 매출기타
매출기타 × 회사 OPM(부문 OP 미공시)</t>
      </text>
    </comment>
    <comment ref="AH46" authorId="0" shapeId="0">
      <text>
        <t>모델값 역산(implied): v / 매출기타
매출기타 × 회사 OPM(부문 OP 미공시)</t>
      </text>
    </comment>
    <comment ref="AI46" authorId="0" shapeId="0">
      <text>
        <t>모델값 역산(implied): v / 매출기타
매출기타 × 회사 OPM(부문 OP 미공시)</t>
      </text>
    </comment>
    <comment ref="AK46" authorId="0" shapeId="0">
      <text>
        <t>모델값 역산(implied): v / 매출기타
매출기타 × 회사 OPM(부문 OP 미공시)</t>
      </text>
    </comment>
    <comment ref="AL46" authorId="0" shapeId="0">
      <text>
        <t>모델값 역산(implied): v / 매출기타
매출기타 × 회사 OPM(부문 OP 미공시)</t>
      </text>
    </comment>
    <comment ref="AM46" authorId="0" shapeId="0">
      <text>
        <t>모델값 역산(implied): v / 매출기타
매출기타 × 회사 OPM(부문 OP 미공시)</t>
      </text>
    </comment>
    <comment ref="AN46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15.0%(코호트 모드 reference_anchor) + 회사 캘리브레이션 -7.0%p(최근 3분기 실측−타겟 중위))
[ratio]</t>
      </text>
    </comment>
    <comment ref="AD9" authorId="0" shapeId="0">
      <text>
        <t>추정: 매출액 × OPM(SLS 코호트 타겟 15.0%(코호트 모드 reference_anchor) + 회사 캘리브레이션 -7.0%p(최근 3분기 실측−타겟 중위))
[ratio]</t>
      </text>
    </comment>
    <comment ref="AF9" authorId="0" shapeId="0">
      <text>
        <t>추정: 매출액 × OPM(SLS 코호트 타겟 15.0%(코호트 모드 reference_anchor) + 회사 캘리브레이션 -7.0%p(최근 3분기 실측−타겟 중위))
[ratio]</t>
      </text>
    </comment>
    <comment ref="AG9" authorId="0" shapeId="0">
      <text>
        <t>추정: 매출액 × OPM(SLS 코호트 타겟 15.0%(코호트 모드 reference_anchor) + 회사 캘리브레이션 -7.0%p(최근 3분기 실측−타겟 중위))
[ratio]</t>
      </text>
    </comment>
    <comment ref="AH9" authorId="0" shapeId="0">
      <text>
        <t>추정: 매출액 × OPM(SLS 코호트 타겟 15.0%(코호트 모드 reference_anchor) + 회사 캘리브레이션 -7.0%p(최근 3분기 실측−타겟 중위))
[ratio]</t>
      </text>
    </comment>
    <comment ref="AI9" authorId="0" shapeId="0">
      <text>
        <t>추정: 매출액 × OPM(SLS 코호트 타겟 15.0%(코호트 모드 reference_anchor) + 회사 캘리브레이션 -7.0%p(최근 3분기 실측−타겟 중위))
[ratio]</t>
      </text>
    </comment>
    <comment ref="AK9" authorId="0" shapeId="0">
      <text>
        <t>추정: 매출액 × OPM(SLS 코호트 타겟 15.0%(코호트 모드 reference_anchor) + 회사 캘리브레이션 -7.0%p(최근 3분기 실측−타겟 중위))
[ratio]</t>
      </text>
    </comment>
    <comment ref="AL9" authorId="0" shapeId="0">
      <text>
        <t>추정: 매출액 × OPM(SLS 코호트 타겟 15.0%(코호트 모드 reference_anchor) + 회사 캘리브레이션 -7.0%p(최근 3분기 실측−타겟 중위))
[ratio]</t>
      </text>
    </comment>
    <comment ref="AM9" authorId="0" shapeId="0">
      <text>
        <t>추정: 매출액 × OPM(SLS 코호트 타겟 15.0%(코호트 모드 reference_anchor) + 회사 캘리브레이션 -7.0%p(최근 3분기 실측−타겟 중위))
[ratio]</t>
      </text>
    </comment>
    <comment ref="AN9" authorId="0" shapeId="0">
      <text>
        <t>추정: 매출액 × OPM(SLS 코호트 타겟 15.0%(코호트 모드 reference_anchor) + 회사 캘리브레이션 -7.0%p(최근 3분기 실측−타겟 중위))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15.0%(코호트 모드 reference_anchor) + 회사 캘리브레이션 -7.0%p(최근 3분기 실측−타겟 중위)
[yoy]</t>
      </text>
    </comment>
    <comment ref="AD10" authorId="0" shapeId="0">
      <text>
        <t>추정: SLS 코호트 타겟 15.0%(코호트 모드 reference_anchor) + 회사 캘리브레이션 -7.0%p(최근 3분기 실측−타겟 중위)
[yoy]</t>
      </text>
    </comment>
    <comment ref="AF10" authorId="0" shapeId="0">
      <text>
        <t>추정: SLS 코호트 타겟 15.0%(코호트 모드 reference_anchor) + 회사 캘리브레이션 -7.0%p(최근 3분기 실측−타겟 중위)
[yoy]</t>
      </text>
    </comment>
    <comment ref="AG10" authorId="0" shapeId="0">
      <text>
        <t>추정: SLS 코호트 타겟 15.0%(코호트 모드 reference_anchor) + 회사 캘리브레이션 -7.0%p(최근 3분기 실측−타겟 중위)
[yoy]</t>
      </text>
    </comment>
    <comment ref="AH10" authorId="0" shapeId="0">
      <text>
        <t>추정: SLS 코호트 타겟 15.0%(코호트 모드 reference_anchor) + 회사 캘리브레이션 -7.0%p(최근 3분기 실측−타겟 중위)
[yoy]</t>
      </text>
    </comment>
    <comment ref="AI10" authorId="0" shapeId="0">
      <text>
        <t>추정: SLS 코호트 타겟 15.0%(코호트 모드 reference_anchor) + 회사 캘리브레이션 -7.0%p(최근 3분기 실측−타겟 중위)
[yoy]</t>
      </text>
    </comment>
    <comment ref="AK10" authorId="0" shapeId="0">
      <text>
        <t>추정: SLS 코호트 타겟 15.0%(코호트 모드 reference_anchor) + 회사 캘리브레이션 -7.0%p(최근 3분기 실측−타겟 중위)
[yoy]</t>
      </text>
    </comment>
    <comment ref="AL10" authorId="0" shapeId="0">
      <text>
        <t>추정: SLS 코호트 타겟 15.0%(코호트 모드 reference_anchor) + 회사 캘리브레이션 -7.0%p(최근 3분기 실측−타겟 중위)
[yoy]</t>
      </text>
    </comment>
    <comment ref="AM10" authorId="0" shapeId="0">
      <text>
        <t>추정: SLS 코호트 타겟 15.0%(코호트 모드 reference_anchor) + 회사 캘리브레이션 -7.0%p(최근 3분기 실측−타겟 중위)
[yoy]</t>
      </text>
    </comment>
    <comment ref="AN10" authorId="0" shapeId="0">
      <text>
        <t>추정: SLS 코호트 타겟 15.0%(코호트 모드 reference_anchor) + 회사 캘리브레이션 -7.0%p(최근 3분기 실측−타겟 중위)
[yoy]</t>
      </text>
    </comment>
    <comment ref="AC11" authorId="0" shapeId="0">
      <text>
        <t>추정: 이자손익 = 이자발생자산 2815억 × 2.56% − 총차입금 4751억 × 7.96% (연율, CF 실측) ÷ 4; 환·평가손익 0 가정
[abs]</t>
      </text>
    </comment>
    <comment ref="AD11" authorId="0" shapeId="0">
      <text>
        <t>추정: 이자손익 = 이자발생자산 3194억 × 2.56% − 총차입금 4751억 × 7.96% (연율, CF 실측) ÷ 4; 환·평가손익 0 가정
[abs]</t>
      </text>
    </comment>
    <comment ref="AF11" authorId="0" shapeId="0">
      <text>
        <t>추정: 이자손익 = 이자발생자산 3618억 × 2.56% − 총차입금 4751억 × 7.96% (연율, CF 실측) ÷ 4; 환·평가손익 0 가정
[abs]</t>
      </text>
    </comment>
    <comment ref="AG11" authorId="0" shapeId="0">
      <text>
        <t>추정: 이자손익 = 이자발생자산 4042억 × 2.56% − 총차입금 4751억 × 7.96% (연율, CF 실측) ÷ 4; 환·평가손익 0 가정
[abs]</t>
      </text>
    </comment>
    <comment ref="AH11" authorId="0" shapeId="0">
      <text>
        <t>추정: 이자손익 = 이자발생자산 4470억 × 2.56% − 총차입금 4751억 × 7.96% (연율, CF 실측) ÷ 4; 환·평가손익 0 가정
[abs]</t>
      </text>
    </comment>
    <comment ref="AI11" authorId="0" shapeId="0">
      <text>
        <t>추정: 이자손익 = 이자발생자산 4759억 × 2.56% − 총차입금 4751억 × 7.96% (연율, CF 실측) ÷ 4; 환·평가손익 0 가정
[abs]</t>
      </text>
    </comment>
    <comment ref="AK11" authorId="0" shapeId="0">
      <text>
        <t>추정: 이자손익 = 이자발생자산 5029억 × 2.56% − 총차입금 4751억 × 7.96% (연율, CF 실측) ÷ 4; 환·평가손익 0 가정
[abs]</t>
      </text>
    </comment>
    <comment ref="AL11" authorId="0" shapeId="0">
      <text>
        <t>추정: 이자손익 = 이자발생자산 5299억 × 2.56% − 총차입금 4751억 × 7.96% (연율, CF 실측) ÷ 4; 환·평가손익 0 가정
[abs]</t>
      </text>
    </comment>
    <comment ref="AM11" authorId="0" shapeId="0">
      <text>
        <t>추정: 이자손익 = 이자발생자산 5571억 × 2.56% − 총차입금 4751억 × 7.96% (연율, CF 실측) ÷ 4; 환·평가손익 0 가정
[abs]</t>
      </text>
    </comment>
    <comment ref="AN11" authorId="0" shapeId="0">
      <text>
        <t>추정: 이자손익 = 이자발생자산 5817억 × 2.56% − 총차입금 4751억 × 7.96%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-14.9% → 5~27% 클립)
[ratio]</t>
      </text>
    </comment>
    <comment ref="AD14" authorId="0" shapeId="0">
      <text>
        <t>추정: max(세전, 0) × 세율 5.0%(최근 12분기 유효세율 -14.9% → 5~27% 클립)
[ratio]</t>
      </text>
    </comment>
    <comment ref="AF14" authorId="0" shapeId="0">
      <text>
        <t>추정: max(세전, 0) × 세율 5.0%(최근 12분기 유효세율 -14.9% → 5~27% 클립)
[ratio]</t>
      </text>
    </comment>
    <comment ref="AG14" authorId="0" shapeId="0">
      <text>
        <t>추정: max(세전, 0) × 세율 5.0%(최근 12분기 유효세율 -14.9% → 5~27% 클립)
[ratio]</t>
      </text>
    </comment>
    <comment ref="AH14" authorId="0" shapeId="0">
      <text>
        <t>추정: max(세전, 0) × 세율 5.0%(최근 12분기 유효세율 -14.9% → 5~27% 클립)
[ratio]</t>
      </text>
    </comment>
    <comment ref="AI14" authorId="0" shapeId="0">
      <text>
        <t>추정: max(세전, 0) × 세율 5.0%(최근 12분기 유효세율 -14.9% → 5~27% 클립)
[ratio]</t>
      </text>
    </comment>
    <comment ref="AK14" authorId="0" shapeId="0">
      <text>
        <t>추정: max(세전, 0) × 세율 5.0%(최근 12분기 유효세율 -14.9% → 5~27% 클립)
[ratio]</t>
      </text>
    </comment>
    <comment ref="AL14" authorId="0" shapeId="0">
      <text>
        <t>추정: max(세전, 0) × 세율 5.0%(최근 12분기 유효세율 -14.9% → 5~27% 클립)
[ratio]</t>
      </text>
    </comment>
    <comment ref="AM14" authorId="0" shapeId="0">
      <text>
        <t>추정: max(세전, 0) × 세율 5.0%(최근 12분기 유효세율 -14.9% → 5~27% 클립)
[ratio]</t>
      </text>
    </comment>
    <comment ref="AN14" authorId="0" shapeId="0">
      <text>
        <t>추정: max(세전, 0) × 세율 5.0%(최근 12분기 유효세율 -14.9%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E17" authorId="0" shapeId="0">
      <text>
        <t>실측(계정 매핑 없음 — 모델값 직접) — fin.cons.is.중단사업이익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추정(가정 셀 참조 불가 — 기준값 없음, 모델값 직접): 현재 종가 ÷ TTM EPS(추정 포함)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H34" authorId="0" shapeId="0">
      <text>
        <t>실측(계정 매핑 없음 — 모델값 직접) — sls.reconcile.reported_segment_rev_m ← yards_cache 부문표(3개월분)</t>
      </text>
    </comment>
    <comment ref="I34" authorId="0" shapeId="0">
      <text>
        <t>실측(계정 매핑 없음 — 모델값 직접) — sls.reconcile.reported_segment_rev_m ← yards_cache 부문표(3개월분)</t>
      </text>
    </comment>
    <comment ref="J34" authorId="0" shapeId="0">
      <text>
        <t>실측(계정 매핑 없음 — 모델값 직접) — sls.reconcile.reported_segment_rev_m ← yards_cache 부문표(3개월분)</t>
      </text>
    </comment>
    <comment ref="M34" authorId="0" shapeId="0">
      <text>
        <t>실측(계정 매핑 없음 — 모델값 직접) — sls.reconcile.reported_segment_rev_m ← yards_cache 부문표(3개월분)</t>
      </text>
    </comment>
    <comment ref="N34" authorId="0" shapeId="0">
      <text>
        <t>실측(계정 매핑 없음 — 모델값 직접) — sls.reconcile.reported_segment_rev_m ← yards_cache 부문표(3개월분)</t>
      </text>
    </comment>
    <comment ref="O34" authorId="0" shapeId="0">
      <text>
        <t>실측(계정 매핑 없음 — 모델값 직접) — sls.reconcile.reported_segment_rev_m ← yards_cache 부문표(3개월분)</t>
      </text>
    </comment>
    <comment ref="R34" authorId="0" shapeId="0">
      <text>
        <t>실측(계정 매핑 없음 — 모델값 직접) — sls.reconcile.reported_segment_rev_m ← yards_cache 부문표(3개월분)</t>
      </text>
    </comment>
    <comment ref="S34" authorId="0" shapeId="0">
      <text>
        <t>실측(계정 매핑 없음 — 모델값 직접) — sls.reconcile.reported_segment_rev_m ← yards_cache 부문표(3개월분)</t>
      </text>
    </comment>
    <comment ref="W34" authorId="0" shapeId="0">
      <text>
        <t>실측(계정 매핑 없음 — 모델값 직접) — sls.reconcile.reported_segment_rev_m ← yards_cache 부문표(3개월분)</t>
      </text>
    </comment>
    <comment ref="X34" authorId="0" shapeId="0">
      <text>
        <t>실측(계정 매핑 없음 — 모델값 직접) — sls.reconcile.reported_segment_rev_m ← yards_cache 부문표(3개월분)</t>
      </text>
    </comment>
    <comment ref="AB34" authorId="0" shapeId="0">
      <text>
        <t>실측(계정 매핑 없음 — 모델값 직접) — sls.reconcile.reported_segment_rev_m ← yards_cache 부문표(3개월분)</t>
      </text>
    </comment>
    <comment ref="AC34" authorId="0" shapeId="0">
      <text>
        <t>추정: SLS 해양 원화 1051억(sls.by_quarter.marine_hedged_krw_m(헤지 70% 적용)) + 원장 밖 잔고 소진 2153억(최근 4분기 '부문매출−SLS' 중위 2153억/분기, 잔여 6734억)
[ratio]</t>
      </text>
    </comment>
    <comment ref="AD34" authorId="0" shapeId="0">
      <text>
        <t>추정: SLS 해양 원화 1613억(sls.by_quarter.marine_hedged_krw_m(헤지 70% 적용)) + 원장 밖 잔고 소진 2153억(최근 4분기 '부문매출−SLS' 중위 2153억/분기, 잔여 4581억)
[ratio]</t>
      </text>
    </comment>
    <comment ref="AF34" authorId="0" shapeId="0">
      <text>
        <t>추정: SLS 해양 원화 1578억(sls.by_quarter.marine_hedged_krw_m(헤지 70% 적용)) + 원장 밖 잔고 소진 2153억(최근 4분기 '부문매출−SLS' 중위 2153억/분기, 잔여 2428억)
[ratio]</t>
      </text>
    </comment>
    <comment ref="AG34" authorId="0" shapeId="0">
      <text>
        <t>추정: SLS 해양 원화 1595억(sls.by_quarter.marine_hedged_krw_m(헤지 70% 적용)) + 원장 밖 잔고 소진 2153억(최근 4분기 '부문매출−SLS' 중위 2153억/분기, 잔여 275억)
[ratio]</t>
      </text>
    </comment>
    <comment ref="AH34" authorId="0" shapeId="0">
      <text>
        <t>추정: SLS 해양 원화 1613억(sls.by_quarter.marine_hedged_krw_m(헤지 70% 적용)) + 원장 밖 잔고 소진 275억(최근 4분기 '부문매출−SLS' 중위 2153억/분기, 잔여 0억)
[ratio]</t>
      </text>
    </comment>
    <comment ref="AI34" authorId="0" shapeId="0">
      <text>
        <t>추정: SLS 해양 원화 1613억(sls.by_quarter.marine_hedged_krw_m(헤지 70% 적용)) + 원장 밖 잔고 소진 0억(최근 4분기 '부문매출−SLS' 중위 2153억/분기, 잔여 0억)
[ratio]</t>
      </text>
    </comment>
    <comment ref="AK34" authorId="0" shapeId="0">
      <text>
        <t>추정: SLS 해양 원화 1595억(sls.by_quarter.marine_hedged_krw_m(헤지 70% 적용)) + 원장 밖 잔고 소진 0억(최근 4분기 '부문매출−SLS' 중위 2153억/분기, 잔여 0억)
[ratio]</t>
      </text>
    </comment>
    <comment ref="AL34" authorId="0" shapeId="0">
      <text>
        <t>추정: SLS 해양 원화 1595억(sls.by_quarter.marine_hedged_krw_m(헤지 70% 적용)) + 원장 밖 잔고 소진 0억(최근 4분기 '부문매출−SLS' 중위 2153억/분기, 잔여 0억)
[ratio]</t>
      </text>
    </comment>
    <comment ref="AM34" authorId="0" shapeId="0">
      <text>
        <t>추정: SLS 해양 원화 1249억(sls.by_quarter.marine_hedged_krw_m(헤지 70% 적용)) + 원장 밖 잔고 소진 0억(최근 4분기 '부문매출−SLS' 중위 2153억/분기, 잔여 0억)
[ratio]</t>
      </text>
    </comment>
    <comment ref="AN34" authorId="0" shapeId="0">
      <text>
        <t>추정: SLS 해양 원화 1004억(sls.by_quarter.marine_hedged_krw_m(헤지 70% 적용)) + 원장 밖 잔고 소진 0억(최근 4분기 '부문매출−SLS' 중위 2153억/분기, 잔여 0억)
[ratio]</t>
      </text>
    </comment>
    <comment ref="AC35" authorId="0" shapeId="0">
      <text>
        <t>추정: 매출조선 × 타겟 OPM(부문 OP 미공시 → 회사 OPM 적용)
[ratio]</t>
      </text>
    </comment>
    <comment ref="AD35" authorId="0" shapeId="0">
      <text>
        <t>추정: 매출조선 × 타겟 OPM(부문 OP 미공시 → 회사 OPM 적용)
[ratio]</t>
      </text>
    </comment>
    <comment ref="AF35" authorId="0" shapeId="0">
      <text>
        <t>추정: 매출조선 × 타겟 OPM(부문 OP 미공시 → 회사 OPM 적용)
[ratio]</t>
      </text>
    </comment>
    <comment ref="AG35" authorId="0" shapeId="0">
      <text>
        <t>추정: 매출조선 × 타겟 OPM(부문 OP 미공시 → 회사 OPM 적용)
[ratio]</t>
      </text>
    </comment>
    <comment ref="AH35" authorId="0" shapeId="0">
      <text>
        <t>추정: 매출조선 × 타겟 OPM(부문 OP 미공시 → 회사 OPM 적용)
[ratio]</t>
      </text>
    </comment>
    <comment ref="AI35" authorId="0" shapeId="0">
      <text>
        <t>추정: 매출조선 × 타겟 OPM(부문 OP 미공시 → 회사 OPM 적용)
[ratio]</t>
      </text>
    </comment>
    <comment ref="AK35" authorId="0" shapeId="0">
      <text>
        <t>추정: 매출조선 × 타겟 OPM(부문 OP 미공시 → 회사 OPM 적용)
[ratio]</t>
      </text>
    </comment>
    <comment ref="AL35" authorId="0" shapeId="0">
      <text>
        <t>추정: 매출조선 × 타겟 OPM(부문 OP 미공시 → 회사 OPM 적용)
[ratio]</t>
      </text>
    </comment>
    <comment ref="AM35" authorId="0" shapeId="0">
      <text>
        <t>추정: 매출조선 × 타겟 OPM(부문 OP 미공시 → 회사 OPM 적용)
[ratio]</t>
      </text>
    </comment>
    <comment ref="AN35" authorId="0" shapeId="0">
      <text>
        <t>추정: 매출조선 × 타겟 OPM(부문 OP 미공시 → 회사 OPM 적용)
[ratio]</t>
      </text>
    </comment>
    <comment ref="H36" authorId="0" shapeId="0">
      <text>
        <t>실측(계정 매핑 없음 — 모델값 직접) — 연결 매출 − 조선 부문(파생)</t>
      </text>
    </comment>
    <comment ref="I36" authorId="0" shapeId="0">
      <text>
        <t>실측(계정 매핑 없음 — 모델값 직접) — 연결 매출 − 조선 부문(파생)</t>
      </text>
    </comment>
    <comment ref="J36" authorId="0" shapeId="0">
      <text>
        <t>실측(계정 매핑 없음 — 모델값 직접) — 연결 매출 − 조선 부문(파생)</t>
      </text>
    </comment>
    <comment ref="M36" authorId="0" shapeId="0">
      <text>
        <t>실측(계정 매핑 없음 — 모델값 직접) — 연결 매출 − 조선 부문(파생)</t>
      </text>
    </comment>
    <comment ref="N36" authorId="0" shapeId="0">
      <text>
        <t>실측(계정 매핑 없음 — 모델값 직접) — 연결 매출 − 조선 부문(파생)</t>
      </text>
    </comment>
    <comment ref="O36" authorId="0" shapeId="0">
      <text>
        <t>실측(계정 매핑 없음 — 모델값 직접) — 연결 매출 − 조선 부문(파생)</t>
      </text>
    </comment>
    <comment ref="R36" authorId="0" shapeId="0">
      <text>
        <t>실측(계정 매핑 없음 — 모델값 직접) — 연결 매출 − 조선 부문(파생)</t>
      </text>
    </comment>
    <comment ref="S36" authorId="0" shapeId="0">
      <text>
        <t>실측(계정 매핑 없음 — 모델값 직접) — 연결 매출 − 조선 부문(파생)</t>
      </text>
    </comment>
    <comment ref="W36" authorId="0" shapeId="0">
      <text>
        <t>실측(계정 매핑 없음 — 모델값 직접) — 연결 매출 − 조선 부문(파생)</t>
      </text>
    </comment>
    <comment ref="X36" authorId="0" shapeId="0">
      <text>
        <t>실측(계정 매핑 없음 — 모델값 직접) — 연결 매출 − 조선 부문(파생)</t>
      </text>
    </comment>
    <comment ref="AB36" authorId="0" shapeId="0">
      <text>
        <t>실측(계정 매핑 없음 — 모델값 직접) — 연결 매출 − 조선 부문(파생)</t>
      </text>
    </comment>
    <comment ref="AC36" authorId="0" shapeId="0">
      <text>
        <t>추정: 기타 부문(연결 − 조선 부문) 최근 4분기 중위 2726억 유지
[ratio]</t>
      </text>
    </comment>
    <comment ref="AD36" authorId="0" shapeId="0">
      <text>
        <t>추정: 기타 부문(연결 − 조선 부문) 최근 4분기 중위 2726억 유지
[ratio]</t>
      </text>
    </comment>
    <comment ref="AF36" authorId="0" shapeId="0">
      <text>
        <t>추정: 기타 부문(연결 − 조선 부문) 최근 4분기 중위 2726억 유지
[ratio]</t>
      </text>
    </comment>
    <comment ref="AG36" authorId="0" shapeId="0">
      <text>
        <t>추정: 기타 부문(연결 − 조선 부문) 최근 4분기 중위 2726억 유지
[ratio]</t>
      </text>
    </comment>
    <comment ref="AH36" authorId="0" shapeId="0">
      <text>
        <t>추정: 기타 부문(연결 − 조선 부문) 최근 4분기 중위 2726억 유지
[ratio]</t>
      </text>
    </comment>
    <comment ref="AI36" authorId="0" shapeId="0">
      <text>
        <t>추정: 기타 부문(연결 − 조선 부문) 최근 4분기 중위 2726억 유지
[ratio]</t>
      </text>
    </comment>
    <comment ref="AK36" authorId="0" shapeId="0">
      <text>
        <t>추정: 기타 부문(연결 − 조선 부문) 최근 4분기 중위 2726억 유지
[ratio]</t>
      </text>
    </comment>
    <comment ref="AL36" authorId="0" shapeId="0">
      <text>
        <t>추정: 기타 부문(연결 − 조선 부문) 최근 4분기 중위 2726억 유지
[ratio]</t>
      </text>
    </comment>
    <comment ref="AM36" authorId="0" shapeId="0">
      <text>
        <t>추정: 기타 부문(연결 − 조선 부문) 최근 4분기 중위 2726억 유지
[ratio]</t>
      </text>
    </comment>
    <comment ref="AN36" authorId="0" shapeId="0">
      <text>
        <t>추정: 기타 부문(연결 − 조선 부문) 최근 4분기 중위 2726억 유지
[ratio]</t>
      </text>
    </comment>
    <comment ref="AC37" authorId="0" shapeId="0">
      <text>
        <t>추정: 매출기타 × 회사 OPM(부문 OP 미공시)
[ratio]</t>
      </text>
    </comment>
    <comment ref="AD37" authorId="0" shapeId="0">
      <text>
        <t>추정: 매출기타 × 회사 OPM(부문 OP 미공시)
[ratio]</t>
      </text>
    </comment>
    <comment ref="AF37" authorId="0" shapeId="0">
      <text>
        <t>추정: 매출기타 × 회사 OPM(부문 OP 미공시)
[ratio]</t>
      </text>
    </comment>
    <comment ref="AG37" authorId="0" shapeId="0">
      <text>
        <t>추정: 매출기타 × 회사 OPM(부문 OP 미공시)
[ratio]</t>
      </text>
    </comment>
    <comment ref="AH37" authorId="0" shapeId="0">
      <text>
        <t>추정: 매출기타 × 회사 OPM(부문 OP 미공시)
[ratio]</t>
      </text>
    </comment>
    <comment ref="AI37" authorId="0" shapeId="0">
      <text>
        <t>추정: 매출기타 × 회사 OPM(부문 OP 미공시)
[ratio]</t>
      </text>
    </comment>
    <comment ref="AK37" authorId="0" shapeId="0">
      <text>
        <t>추정: 매출기타 × 회사 OPM(부문 OP 미공시)
[ratio]</t>
      </text>
    </comment>
    <comment ref="AL37" authorId="0" shapeId="0">
      <text>
        <t>추정: 매출기타 × 회사 OPM(부문 OP 미공시)
[ratio]</t>
      </text>
    </comment>
    <comment ref="AM37" authorId="0" shapeId="0">
      <text>
        <t>추정: 매출기타 × 회사 OPM(부문 OP 미공시)
[ratio]</t>
      </text>
    </comment>
    <comment ref="AN37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assets/models/097230.json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2023Q2 조선 부문 매출(6762억) &gt; 연결 매출(5014억) — 부문표/파서 문제(yards 레인 확인) / 추정 매출은 2026Q2 기준 잔고 소진분만 — 신규수주 매출 미포함(forecast_panel 097230 status partial(book_value_only, scope_unverified, insufficient_segment_history, insufficient_order_history, negative_net_inflow) — new_order_revenue 값 없음; 2028 감소는 이 한계). forecast_panel 모듈 참고 / 감가상각비가 face·CF 에 없음(주석 미파싱) → EBITDA·EV/EBITDA 미산출</t>
        </is>
      </c>
    </row>
    <row r="22">
      <c r="A22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0.311335</v>
      </c>
      <c r="AD21" s="24" t="n">
        <v>0.030979</v>
      </c>
      <c r="AE21" s="25" t="n"/>
      <c r="AF21" s="24" t="n">
        <v>0.192564</v>
      </c>
      <c r="AG21" s="24" t="n">
        <v>-0.113029</v>
      </c>
      <c r="AH21" s="24" t="n">
        <v>-0.222013</v>
      </c>
      <c r="AI21" s="24" t="n">
        <v>-0.331659</v>
      </c>
      <c r="AJ21" s="25" t="n"/>
      <c r="AK21" s="24" t="n">
        <v>-0.330745</v>
      </c>
      <c r="AL21" s="24" t="n">
        <v>-0.332557</v>
      </c>
      <c r="AM21" s="24" t="n">
        <v>-0.138496</v>
      </c>
      <c r="AN21" s="24" t="n">
        <v>-0.140234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0.053597</v>
      </c>
      <c r="AD22" s="24" t="n">
        <v>0.053597</v>
      </c>
      <c r="AE22" s="25">
        <f>IFERROR(subQ!AE8/subQ!AE5,"")</f>
        <v/>
      </c>
      <c r="AF22" s="24" t="n">
        <v>0.053597</v>
      </c>
      <c r="AG22" s="24" t="n">
        <v>0.053597</v>
      </c>
      <c r="AH22" s="24" t="n">
        <v>0.053598</v>
      </c>
      <c r="AI22" s="24" t="n">
        <v>0.053598</v>
      </c>
      <c r="AJ22" s="25">
        <f>IFERROR(subQ!AJ8/subQ!AJ5,"")</f>
        <v/>
      </c>
      <c r="AK22" s="24" t="n">
        <v>0.053598</v>
      </c>
      <c r="AL22" s="24" t="n">
        <v>0.053598</v>
      </c>
      <c r="AM22" s="24" t="n">
        <v>0.053597</v>
      </c>
      <c r="AN22" s="24" t="n">
        <v>0.053598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0.080183</v>
      </c>
      <c r="AD23" s="24" t="n">
        <v>0.080182</v>
      </c>
      <c r="AE23" s="25">
        <f>IFERROR(subQ!AE9/subQ!AE5,"")</f>
        <v/>
      </c>
      <c r="AF23" s="24" t="n">
        <v>0.080182</v>
      </c>
      <c r="AG23" s="24" t="n">
        <v>0.080181</v>
      </c>
      <c r="AH23" s="24" t="n">
        <v>0.080181</v>
      </c>
      <c r="AI23" s="24" t="n">
        <v>0.080183</v>
      </c>
      <c r="AJ23" s="25">
        <f>IFERROR(subQ!AJ9/subQ!AJ5,"")</f>
        <v/>
      </c>
      <c r="AK23" s="24" t="n">
        <v>0.080182</v>
      </c>
      <c r="AL23" s="24" t="n">
        <v>0.080182</v>
      </c>
      <c r="AM23" s="24" t="n">
        <v>0.080181</v>
      </c>
      <c r="AN23" s="24" t="n">
        <v>0.080181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5.265625</v>
      </c>
      <c r="AD24" s="24" t="n">
        <v>0</v>
      </c>
      <c r="AE24" s="25" t="n"/>
      <c r="AF24" s="24" t="n">
        <v>0.76652</v>
      </c>
      <c r="AG24" s="24" t="n">
        <v>-0.09786300000000001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-76.43000000000001</v>
      </c>
      <c r="AD25" s="29" t="n">
        <v>-74</v>
      </c>
      <c r="AE25" s="30">
        <f>subQ!AE11</f>
        <v/>
      </c>
      <c r="AF25" s="29" t="n">
        <v>-71.28</v>
      </c>
      <c r="AG25" s="29" t="n">
        <v>-68.56</v>
      </c>
      <c r="AH25" s="29" t="n">
        <v>-65.81999999999999</v>
      </c>
      <c r="AI25" s="29" t="n">
        <v>-63.97</v>
      </c>
      <c r="AJ25" s="30">
        <f>subQ!AJ11</f>
        <v/>
      </c>
      <c r="AK25" s="29" t="n">
        <v>-62.24</v>
      </c>
      <c r="AL25" s="29" t="n">
        <v>-60.51</v>
      </c>
      <c r="AM25" s="29" t="n">
        <v>-58.76</v>
      </c>
      <c r="AN25" s="29" t="n">
        <v>-57.18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0.049995</v>
      </c>
      <c r="AD27" s="24" t="n">
        <v>0.05001</v>
      </c>
      <c r="AE27" s="25">
        <f>IFERROR(subQ!AE14/subQ!AE13,"")</f>
        <v/>
      </c>
      <c r="AF27" s="24" t="n">
        <v>0.049998</v>
      </c>
      <c r="AG27" s="24" t="n">
        <v>0.050007</v>
      </c>
      <c r="AH27" s="24" t="n">
        <v>0.049984</v>
      </c>
      <c r="AI27" s="24" t="n">
        <v>0.050016</v>
      </c>
      <c r="AJ27" s="25">
        <f>IFERROR(subQ!AJ14/subQ!AJ13,"")</f>
        <v/>
      </c>
      <c r="AK27" s="24" t="n">
        <v>0.049995</v>
      </c>
      <c r="AL27" s="24" t="n">
        <v>0.050005</v>
      </c>
      <c r="AM27" s="24" t="n">
        <v>0.050015</v>
      </c>
      <c r="AN27" s="24" t="n">
        <v>0.050019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drv:중단사업이익</t>
        </is>
      </c>
      <c r="B29" s="2" t="inlineStr">
        <is>
          <t>yoy</t>
        </is>
      </c>
      <c r="C29" t="inlineStr">
        <is>
          <t>중단사업이익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IFERROR(subQ!E20+subQ!G15-subQ!G20,"")</f>
        <v/>
      </c>
      <c r="H31" s="26">
        <f>IFERROR(subQ!G20+subQ!H15-subQ!H20,"")</f>
        <v/>
      </c>
      <c r="I31" s="26">
        <f>IFERROR(subQ!H20+subQ!I15-subQ!I20,"")</f>
        <v/>
      </c>
      <c r="J31" s="26">
        <f>IFERROR(subQ!I20+subQ!J15-subQ!J20,"")</f>
        <v/>
      </c>
      <c r="K31" s="27" t="n"/>
      <c r="L31" s="26">
        <f>IFERROR(subQ!J20+subQ!L15-subQ!L20,"")</f>
        <v/>
      </c>
      <c r="M31" s="26">
        <f>IFERROR(subQ!L20+subQ!M15-subQ!M20,"")</f>
        <v/>
      </c>
      <c r="N31" s="26">
        <f>IFERROR(subQ!M20+subQ!N15-subQ!N20,"")</f>
        <v/>
      </c>
      <c r="O31" s="26">
        <f>IFERROR(subQ!N20+subQ!O15-subQ!O20,"")</f>
        <v/>
      </c>
      <c r="P31" s="27" t="n"/>
      <c r="Q31" s="26">
        <f>IFERROR(subQ!O20+subQ!Q15-subQ!Q20,"")</f>
        <v/>
      </c>
      <c r="R31" s="26">
        <f>IFERROR(subQ!Q20+subQ!R15-subQ!R20,"")</f>
        <v/>
      </c>
      <c r="S31" s="26">
        <f>IFERROR(subQ!R20+subQ!S15-subQ!S20,"")</f>
        <v/>
      </c>
      <c r="T31" s="26">
        <f>IFERROR(subQ!S20+subQ!T15-subQ!T20,"")</f>
        <v/>
      </c>
      <c r="U31" s="27" t="n"/>
      <c r="V31" s="26">
        <f>IFERROR(subQ!T20+subQ!V15-subQ!V20,"")</f>
        <v/>
      </c>
      <c r="W31" s="26">
        <f>IFERROR(subQ!V20+subQ!W15-subQ!W20,"")</f>
        <v/>
      </c>
      <c r="X31" s="26">
        <f>IFERROR(subQ!W20+subQ!X15-subQ!X20,"")</f>
        <v/>
      </c>
      <c r="Y31" s="26">
        <f>IFERROR(subQ!X20+subQ!Y15-subQ!Y20,"")</f>
        <v/>
      </c>
      <c r="Z31" s="27" t="n"/>
      <c r="AA31" s="26">
        <f>IFERROR(subQ!Y20+subQ!AA15-subQ!AA20,"")</f>
        <v/>
      </c>
      <c r="AB31" s="28">
        <f>IFERROR(subQ!AA20+subQ!AB15-subQ!AB20,"")</f>
        <v/>
      </c>
      <c r="AC31" s="29" t="n">
        <v>0</v>
      </c>
      <c r="AD31" s="29" t="n">
        <v>0</v>
      </c>
      <c r="AE31" s="30" t="n"/>
      <c r="AF31" s="29" t="n">
        <v>0</v>
      </c>
      <c r="AG31" s="29" t="n">
        <v>0</v>
      </c>
      <c r="AH31" s="29" t="n">
        <v>0</v>
      </c>
      <c r="AI31" s="29" t="n">
        <v>-0</v>
      </c>
      <c r="AJ31" s="30" t="n"/>
      <c r="AK31" s="29" t="n">
        <v>0</v>
      </c>
      <c r="AL31" s="29" t="n">
        <v>0</v>
      </c>
      <c r="AM31" s="29" t="n">
        <v>0</v>
      </c>
      <c r="AN31" s="29" t="n">
        <v>-0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</v>
      </c>
      <c r="AD32" s="29" t="n">
        <v>0</v>
      </c>
      <c r="AE32" s="30" t="n"/>
      <c r="AF32" s="29" t="n">
        <v>0</v>
      </c>
      <c r="AG32" s="29" t="n">
        <v>0</v>
      </c>
      <c r="AH32" s="29" t="n">
        <v>0</v>
      </c>
      <c r="AI32" s="29" t="n">
        <v>-0</v>
      </c>
      <c r="AJ32" s="30" t="n"/>
      <c r="AK32" s="29" t="n">
        <v>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-0.189842</v>
      </c>
      <c r="AD34" s="24" t="n">
        <v>-0.262199</v>
      </c>
      <c r="AE34" s="25" t="n"/>
      <c r="AF34" s="24" t="n">
        <v>-0.355312</v>
      </c>
      <c r="AG34" s="24" t="n">
        <v>-0.556218</v>
      </c>
      <c r="AH34" s="24" t="n">
        <v>-0.845969</v>
      </c>
      <c r="AI34" s="24" t="n">
        <v>-5.127757</v>
      </c>
      <c r="AJ34" s="25" t="n"/>
      <c r="AK34" s="24" t="n">
        <v>1.243644</v>
      </c>
      <c r="AL34" s="24" t="n">
        <v>0.557684</v>
      </c>
      <c r="AM34" s="24" t="n">
        <v>0.325404</v>
      </c>
      <c r="AN34" s="24" t="n">
        <v>0.228511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0.134675</v>
      </c>
      <c r="AD35" s="24" t="n">
        <v>0.132807</v>
      </c>
      <c r="AE35" s="25" t="n"/>
      <c r="AF35" s="24" t="n">
        <v>0.117215</v>
      </c>
      <c r="AG35" s="24" t="n">
        <v>0.105885</v>
      </c>
      <c r="AH35" s="24" t="n">
        <v>0.064625</v>
      </c>
      <c r="AI35" s="24" t="n">
        <v>0.056674</v>
      </c>
      <c r="AJ35" s="25" t="n"/>
      <c r="AK35" s="24" t="n">
        <v>0.053694</v>
      </c>
      <c r="AL35" s="24" t="n">
        <v>0.051269</v>
      </c>
      <c r="AM35" s="24" t="n">
        <v>0.044326</v>
      </c>
      <c r="AN35" s="24" t="n">
        <v>0.039505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-0.8125</v>
      </c>
      <c r="AE41" s="25" t="n"/>
      <c r="AF41" s="24" t="n">
        <v>-0.775135</v>
      </c>
      <c r="AG41" s="24" t="n">
        <v>-0.492003</v>
      </c>
      <c r="AH41" s="24" t="n">
        <v>0.11421</v>
      </c>
      <c r="AI41" s="24" t="n">
        <v>0.19359</v>
      </c>
      <c r="AJ41" s="25" t="n"/>
      <c r="AK41" s="24" t="n">
        <v>0.473907</v>
      </c>
      <c r="AL41" s="24" t="n">
        <v>0.5037779999999999</v>
      </c>
      <c r="AM41" s="24" t="n">
        <v>0.479142</v>
      </c>
      <c r="AN41" s="24" t="n">
        <v>0.385607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-0.581864</v>
      </c>
      <c r="AD42" s="24" t="n">
        <v>-0.507788</v>
      </c>
      <c r="AE42" s="25" t="n"/>
      <c r="AF42" s="24" t="n">
        <v>-0.535604</v>
      </c>
      <c r="AG42" s="24" t="n">
        <v>-0.511945</v>
      </c>
      <c r="AH42" s="24" t="n">
        <v>-0.162651</v>
      </c>
      <c r="AI42" s="24" t="n">
        <v>-0.14557</v>
      </c>
      <c r="AJ42" s="25" t="n"/>
      <c r="AK42" s="24" t="n">
        <v>-0.126667</v>
      </c>
      <c r="AL42" s="24" t="n">
        <v>-0.104895</v>
      </c>
      <c r="AM42" s="24" t="n">
        <v>-0.100719</v>
      </c>
      <c r="AN42" s="24" t="n">
        <v>-0.09629600000000001</v>
      </c>
      <c r="AO42" s="25" t="n"/>
    </row>
    <row r="43">
      <c r="A43" s="12" t="inlineStr">
        <is>
          <t>drv:매출조선</t>
        </is>
      </c>
      <c r="B43" s="2" t="inlineStr">
        <is>
          <t>ratio</t>
        </is>
      </c>
      <c r="C43" t="inlineStr">
        <is>
          <t>매출조선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0.5403480000000001</v>
      </c>
      <c r="AD43" s="24" t="n">
        <v>0.580114</v>
      </c>
      <c r="AE43" s="25">
        <f>IFERROR(subQ!AE34/subQ!AE5,"")</f>
        <v/>
      </c>
      <c r="AF43" s="24" t="n">
        <v>0.577834</v>
      </c>
      <c r="AG43" s="24" t="n">
        <v>0.578977</v>
      </c>
      <c r="AH43" s="24" t="n">
        <v>0.409175</v>
      </c>
      <c r="AI43" s="24" t="n">
        <v>0.371749</v>
      </c>
      <c r="AJ43" s="25">
        <f>IFERROR(subQ!AJ34/subQ!AJ5,"")</f>
        <v/>
      </c>
      <c r="AK43" s="24" t="n">
        <v>0.3692</v>
      </c>
      <c r="AL43" s="24" t="n">
        <v>0.3692</v>
      </c>
      <c r="AM43" s="24" t="n">
        <v>0.314194</v>
      </c>
      <c r="AN43" s="24" t="n">
        <v>0.269279</v>
      </c>
      <c r="AO43" s="25">
        <f>IFERROR(subQ!AO34/subQ!AO5,"")</f>
        <v/>
      </c>
    </row>
    <row r="44">
      <c r="A44" s="12" t="inlineStr">
        <is>
          <t>drv:OP조선</t>
        </is>
      </c>
      <c r="B44" s="2" t="inlineStr">
        <is>
          <t>ratio</t>
        </is>
      </c>
      <c r="C44" t="inlineStr">
        <is>
          <t>OP조선 마진(/매출조선)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0.080181</v>
      </c>
      <c r="AD44" s="24" t="n">
        <v>0.080183</v>
      </c>
      <c r="AE44" s="25">
        <f>IFERROR(subQ!AE35/subQ!AE34,"")</f>
        <v/>
      </c>
      <c r="AF44" s="24" t="n">
        <v>0.080181</v>
      </c>
      <c r="AG44" s="24" t="n">
        <v>0.080182</v>
      </c>
      <c r="AH44" s="24" t="n">
        <v>0.080182</v>
      </c>
      <c r="AI44" s="24" t="n">
        <v>0.08018</v>
      </c>
      <c r="AJ44" s="25">
        <f>IFERROR(subQ!AJ35/subQ!AJ34,"")</f>
        <v/>
      </c>
      <c r="AK44" s="24" t="n">
        <v>0.08018400000000001</v>
      </c>
      <c r="AL44" s="24" t="n">
        <v>0.08018400000000001</v>
      </c>
      <c r="AM44" s="24" t="n">
        <v>0.08018400000000001</v>
      </c>
      <c r="AN44" s="24" t="n">
        <v>0.080182</v>
      </c>
      <c r="AO44" s="25">
        <f>IFERROR(subQ!AO35/subQ!AO34,"")</f>
        <v/>
      </c>
    </row>
    <row r="45">
      <c r="A45" s="12" t="inlineStr">
        <is>
          <t>drv:매출기타</t>
        </is>
      </c>
      <c r="B45" s="2" t="inlineStr">
        <is>
          <t>ratio</t>
        </is>
      </c>
      <c r="C45" t="inlineStr">
        <is>
          <t>매출기타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0.459654</v>
      </c>
      <c r="AD45" s="24" t="n">
        <v>0.419886</v>
      </c>
      <c r="AE45" s="25">
        <f>IFERROR(subQ!AE36/subQ!AE5,"")</f>
        <v/>
      </c>
      <c r="AF45" s="24" t="n">
        <v>0.422166</v>
      </c>
      <c r="AG45" s="24" t="n">
        <v>0.421023</v>
      </c>
      <c r="AH45" s="24" t="n">
        <v>0.590825</v>
      </c>
      <c r="AI45" s="24" t="n">
        <v>0.628251</v>
      </c>
      <c r="AJ45" s="25">
        <f>IFERROR(subQ!AJ36/subQ!AJ5,"")</f>
        <v/>
      </c>
      <c r="AK45" s="24" t="n">
        <v>0.6308</v>
      </c>
      <c r="AL45" s="24" t="n">
        <v>0.6308</v>
      </c>
      <c r="AM45" s="24" t="n">
        <v>0.685806</v>
      </c>
      <c r="AN45" s="24" t="n">
        <v>0.730723</v>
      </c>
      <c r="AO45" s="25">
        <f>IFERROR(subQ!AO36/subQ!AO5,"")</f>
        <v/>
      </c>
    </row>
    <row r="46">
      <c r="A46" s="12" t="inlineStr">
        <is>
          <t>drv:OP기타</t>
        </is>
      </c>
      <c r="B46" s="2" t="inlineStr">
        <is>
          <t>ratio</t>
        </is>
      </c>
      <c r="C46" t="inlineStr">
        <is>
          <t>OP기타 마진(/매출기타)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0.08018</v>
      </c>
      <c r="AD46" s="24" t="n">
        <v>0.08018</v>
      </c>
      <c r="AE46" s="25">
        <f>IFERROR(subQ!AE37/subQ!AE36,"")</f>
        <v/>
      </c>
      <c r="AF46" s="24" t="n">
        <v>0.08018</v>
      </c>
      <c r="AG46" s="24" t="n">
        <v>0.08018</v>
      </c>
      <c r="AH46" s="24" t="n">
        <v>0.08018</v>
      </c>
      <c r="AI46" s="24" t="n">
        <v>0.08018</v>
      </c>
      <c r="AJ46" s="25">
        <f>IFERROR(subQ!AJ37/subQ!AJ36,"")</f>
        <v/>
      </c>
      <c r="AK46" s="24" t="n">
        <v>0.08018</v>
      </c>
      <c r="AL46" s="24" t="n">
        <v>0.08018</v>
      </c>
      <c r="AM46" s="24" t="n">
        <v>0.08018</v>
      </c>
      <c r="AN46" s="24" t="n">
        <v>0.08018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14550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15.6</v>
      </c>
      <c r="E52" s="2" t="inlineStr">
        <is>
          <t>PER 밴드 하단(배) — hist_quarterly(분기 평균가 ÷ TTM EPS, 6분기, 25/50/75 백분위) · 캡 5~30배 적용(원값 15.6/25.6/41.6)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25.6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30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0.05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0.0536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</v>
      </c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4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4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4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4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4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4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4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4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4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4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4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4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4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4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4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4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4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4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4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4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4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4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4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4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4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4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4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4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4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4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4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4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4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4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4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4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4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4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4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4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4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4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4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4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4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4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4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4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4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4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4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4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4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4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4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4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4" t="n">
        <v>0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4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4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4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4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4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4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4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4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4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4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4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4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4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4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4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4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4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4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4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4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4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4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4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4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4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4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4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4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4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4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4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4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4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4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4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4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4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4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4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4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4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4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4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4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4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4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4" t="n">
        <v>0</v>
      </c>
      <c r="O26" s="18" t="n">
        <v>0</v>
      </c>
      <c r="P26" s="34" t="n">
        <v>0</v>
      </c>
      <c r="T26" s="18" t="n">
        <v>0</v>
      </c>
      <c r="U26" s="34" t="n">
        <v>0</v>
      </c>
      <c r="Y26" s="18" t="n">
        <v>0</v>
      </c>
      <c r="Z26" s="34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4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4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4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4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4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4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4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4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4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4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4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4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4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4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4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4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4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4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4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4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4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4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4" t="n">
        <v>656520</v>
      </c>
      <c r="Q31" s="18" t="n">
        <v>662635</v>
      </c>
      <c r="R31" s="18" t="n">
        <v>623770</v>
      </c>
      <c r="S31" s="18" t="n">
        <v>452151</v>
      </c>
      <c r="T31" s="18" t="n">
        <v>47678</v>
      </c>
      <c r="U31" s="34" t="n">
        <v>47678</v>
      </c>
      <c r="V31" s="18" t="n">
        <v>45676</v>
      </c>
      <c r="W31" s="18" t="n">
        <v>45676</v>
      </c>
      <c r="X31" s="18" t="n">
        <v>42646</v>
      </c>
      <c r="Y31" s="18" t="n">
        <v>67646</v>
      </c>
      <c r="Z31" s="34" t="n">
        <v>67646</v>
      </c>
      <c r="AA31" s="18" t="n">
        <v>67646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4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4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4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4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4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4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4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4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4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4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4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4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4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4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4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4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4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4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4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4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4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4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4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4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4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4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4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4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4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4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4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4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4" t="n">
        <v>0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4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4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4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4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4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4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4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4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4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4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4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4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4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4" t="n">
        <v>0</v>
      </c>
      <c r="Y41" s="18" t="n">
        <v>0</v>
      </c>
      <c r="Z41" s="34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4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4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4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4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4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4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4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4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4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4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4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4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4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4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4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4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4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4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4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4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4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4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4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4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4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4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4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4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4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4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4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4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4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4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4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4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4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4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4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4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4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4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4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4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4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4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4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4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4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4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4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4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4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4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4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4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4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4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4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4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4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4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4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4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4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4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4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4" t="n">
        <v>682305</v>
      </c>
      <c r="Q55" s="18" t="n">
        <v>688420</v>
      </c>
      <c r="R55" s="18" t="n">
        <v>649555</v>
      </c>
      <c r="S55" s="18" t="n">
        <v>477151</v>
      </c>
      <c r="T55" s="18" t="n">
        <v>454425</v>
      </c>
      <c r="U55" s="34" t="n">
        <v>454425</v>
      </c>
      <c r="V55" s="18" t="n">
        <v>444849</v>
      </c>
      <c r="W55" s="18" t="n">
        <v>396281</v>
      </c>
      <c r="X55" s="18" t="n">
        <v>387349</v>
      </c>
      <c r="Y55" s="18" t="n">
        <v>381964</v>
      </c>
      <c r="Z55" s="34" t="n">
        <v>381964</v>
      </c>
      <c r="AA55" s="18" t="n">
        <v>379076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4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4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4" t="n">
        <v>319486</v>
      </c>
      <c r="Q56" s="18" t="n">
        <v>389269</v>
      </c>
      <c r="R56" s="18" t="n">
        <v>381183</v>
      </c>
      <c r="S56" s="18" t="n">
        <v>249711</v>
      </c>
      <c r="T56" s="18" t="n">
        <v>223053</v>
      </c>
      <c r="U56" s="34" t="n">
        <v>223053</v>
      </c>
      <c r="V56" s="18" t="n">
        <v>331542</v>
      </c>
      <c r="W56" s="18" t="n">
        <v>183068</v>
      </c>
      <c r="X56" s="18" t="n">
        <v>152713</v>
      </c>
      <c r="Y56" s="18" t="n">
        <v>49758</v>
      </c>
      <c r="Z56" s="34" t="n">
        <v>49758</v>
      </c>
      <c r="AA56" s="18" t="n">
        <v>193131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4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4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4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4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4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4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4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4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4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4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4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4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4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4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4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4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4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4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4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4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4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4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4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4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4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4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4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4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4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4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4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4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4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4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4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4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4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4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4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4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4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4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4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4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4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4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4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4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4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4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4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4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4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4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4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4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4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4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4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4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4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4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4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4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4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4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4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4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4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4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4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K77" s="9" t="n"/>
      <c r="P77" s="9" t="n"/>
      <c r="Q77" s="18" t="n">
        <v>13839</v>
      </c>
      <c r="R77" s="18" t="n">
        <v>-41499</v>
      </c>
      <c r="S77" s="18" t="n">
        <v>52404</v>
      </c>
      <c r="U77" s="9" t="n"/>
      <c r="V77" s="18" t="n">
        <v>5338</v>
      </c>
      <c r="W77" s="18" t="n">
        <v>-5091</v>
      </c>
      <c r="X77" s="18" t="n">
        <v>3662</v>
      </c>
      <c r="Z77" s="9" t="n"/>
      <c r="AA77" s="18" t="n">
        <v>24363</v>
      </c>
      <c r="AB77" s="19" t="n">
        <v>58977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K78" s="9" t="n"/>
      <c r="P78" s="9" t="n"/>
      <c r="Q78" s="18" t="n">
        <v>3213</v>
      </c>
      <c r="R78" s="18" t="n">
        <v>1237</v>
      </c>
      <c r="S78" s="18" t="n">
        <v>2439</v>
      </c>
      <c r="U78" s="9" t="n"/>
      <c r="V78" s="18" t="n">
        <v>839</v>
      </c>
      <c r="W78" s="18" t="n">
        <v>1697</v>
      </c>
      <c r="X78" s="18" t="n">
        <v>1520</v>
      </c>
      <c r="Z78" s="9" t="n"/>
      <c r="AA78" s="18" t="n">
        <v>2071</v>
      </c>
      <c r="AB78" s="19" t="n">
        <v>2227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K79" s="9" t="n"/>
      <c r="P79" s="9" t="n"/>
      <c r="Q79" s="18" t="n">
        <v>9949</v>
      </c>
      <c r="R79" s="18" t="n">
        <v>9576</v>
      </c>
      <c r="S79" s="18" t="n">
        <v>12419</v>
      </c>
      <c r="T79" s="18" t="n">
        <v>9953</v>
      </c>
      <c r="U79" s="34" t="n">
        <v>41897</v>
      </c>
      <c r="V79" s="18" t="n">
        <v>9595</v>
      </c>
      <c r="W79" s="18" t="n">
        <v>9387</v>
      </c>
      <c r="X79" s="18" t="n">
        <v>8151</v>
      </c>
      <c r="Y79" s="18" t="n">
        <v>8218</v>
      </c>
      <c r="Z79" s="34" t="n">
        <v>35351</v>
      </c>
      <c r="AA79" s="18" t="n">
        <v>7859</v>
      </c>
      <c r="AB79" s="19" t="n">
        <v>8911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K80" s="9" t="n"/>
      <c r="P80" s="9" t="n"/>
      <c r="Q80" s="18" t="n">
        <v>6961</v>
      </c>
      <c r="R80" s="18" t="n">
        <v>6031</v>
      </c>
      <c r="S80" s="18" t="n">
        <v>2883</v>
      </c>
      <c r="T80" s="18" t="n">
        <v>3116</v>
      </c>
      <c r="U80" s="34" t="n">
        <v>18991</v>
      </c>
      <c r="V80" s="18" t="n">
        <v>439</v>
      </c>
      <c r="W80" s="18" t="n">
        <v>684</v>
      </c>
      <c r="X80" s="18" t="n">
        <v>1617</v>
      </c>
      <c r="Y80" s="18" t="n">
        <v>5517</v>
      </c>
      <c r="Z80" s="34" t="n">
        <v>8257</v>
      </c>
      <c r="AA80" s="18" t="n">
        <v>2590</v>
      </c>
      <c r="AB80" s="19" t="n">
        <v>8458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K81" s="9" t="n"/>
      <c r="P81" s="9" t="n"/>
      <c r="Q81" s="18" t="n">
        <v>235</v>
      </c>
      <c r="R81" s="18" t="n">
        <v>1154</v>
      </c>
      <c r="S81" s="18" t="n">
        <v>1144</v>
      </c>
      <c r="T81" s="18" t="n">
        <v>1205</v>
      </c>
      <c r="U81" s="34" t="n">
        <v>3738</v>
      </c>
      <c r="V81" s="18" t="n">
        <v>1554</v>
      </c>
      <c r="W81" s="18" t="n">
        <v>2235</v>
      </c>
      <c r="X81" s="18" t="n">
        <v>1139</v>
      </c>
      <c r="Y81" s="18" t="n">
        <v>1248</v>
      </c>
      <c r="Z81" s="34" t="n">
        <v>6176</v>
      </c>
      <c r="AA81" s="18" t="n">
        <v>459</v>
      </c>
      <c r="AB81" s="19" t="n">
        <v>4088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K82" s="9" t="n"/>
      <c r="P82" s="9" t="n"/>
      <c r="Q82" s="18" t="n">
        <v>6197</v>
      </c>
      <c r="R82" s="18" t="n">
        <v>-239</v>
      </c>
      <c r="S82" s="18" t="n">
        <v>-4361</v>
      </c>
      <c r="T82" s="18" t="n">
        <v>2363</v>
      </c>
      <c r="U82" s="34" t="n">
        <v>3960</v>
      </c>
      <c r="V82" s="18" t="n">
        <v>722</v>
      </c>
      <c r="W82" s="18" t="n">
        <v>7181</v>
      </c>
      <c r="X82" s="18" t="n">
        <v>-1813</v>
      </c>
      <c r="Y82" s="18" t="n">
        <v>-854</v>
      </c>
      <c r="Z82" s="34" t="n">
        <v>5236</v>
      </c>
      <c r="AA82" s="18" t="n">
        <v>11970</v>
      </c>
      <c r="AB82" s="19" t="n">
        <v>688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K83" s="9" t="n"/>
      <c r="P83" s="9" t="n"/>
      <c r="Q83" s="18" t="n">
        <v>4853</v>
      </c>
      <c r="R83" s="18" t="n">
        <v>2575</v>
      </c>
      <c r="S83" s="18" t="n">
        <v>-3996</v>
      </c>
      <c r="T83" s="18" t="n">
        <v>9452</v>
      </c>
      <c r="U83" s="34" t="n">
        <v>12884</v>
      </c>
      <c r="V83" s="18" t="n">
        <v>152</v>
      </c>
      <c r="W83" s="18" t="n">
        <v>6236</v>
      </c>
      <c r="X83" s="18" t="n">
        <v>-4577</v>
      </c>
      <c r="Y83" s="18" t="n">
        <v>-5</v>
      </c>
      <c r="Z83" s="34" t="n">
        <v>1806</v>
      </c>
      <c r="AA83" s="18" t="n">
        <v>6241</v>
      </c>
      <c r="AB83" s="19" t="n">
        <v>450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K84" s="9" t="n"/>
      <c r="P84" s="9" t="n"/>
      <c r="Q84" s="18" t="n">
        <v>-6736</v>
      </c>
      <c r="R84" s="18" t="n">
        <v>-8339</v>
      </c>
      <c r="S84" s="18" t="n">
        <v>-9980</v>
      </c>
      <c r="U84" s="9" t="n"/>
      <c r="V84" s="18" t="n">
        <v>-8756</v>
      </c>
      <c r="W84" s="18" t="n">
        <v>-7690</v>
      </c>
      <c r="X84" s="18" t="n">
        <v>-6631</v>
      </c>
      <c r="Z84" s="9" t="n"/>
      <c r="AA84" s="18" t="n">
        <v>-5788</v>
      </c>
      <c r="AB84" s="19" t="n">
        <v>-6684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4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4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4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4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4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4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4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4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4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4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4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4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4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4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4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4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4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4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4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4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4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4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4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4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4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4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4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4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4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4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4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4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4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4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4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4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4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4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4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4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4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4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4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4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4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4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4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4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4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4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4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4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4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4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4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4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4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4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4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4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4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4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4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4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4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4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4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4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4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4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4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4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4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4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4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4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4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4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4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4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4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4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4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4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4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4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4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4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4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4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4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4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4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4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4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4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4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4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4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4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4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4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4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4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4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4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4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4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4" t="n">
        <v>0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4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4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4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4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4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4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4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4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4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4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4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4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4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4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4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4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4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4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4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4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4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4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4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4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4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4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4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4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4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4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4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4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4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4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4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4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4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4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4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4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4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4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4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4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4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4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4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4" t="n">
        <v>1598</v>
      </c>
      <c r="Q26" s="18" t="n">
        <v>1585</v>
      </c>
      <c r="R26" s="18" t="n">
        <v>1572</v>
      </c>
      <c r="T26" s="18" t="n">
        <v>0</v>
      </c>
      <c r="U26" s="34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4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4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4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4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4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4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4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4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4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4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4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4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4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4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4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4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4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4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4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4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4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4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4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4" t="n">
        <v>656520</v>
      </c>
      <c r="Q31" s="18" t="n">
        <v>662635</v>
      </c>
      <c r="R31" s="18" t="n">
        <v>623770</v>
      </c>
      <c r="S31" s="18" t="n">
        <v>452151</v>
      </c>
      <c r="T31" s="18" t="n">
        <v>47678</v>
      </c>
      <c r="U31" s="34" t="n">
        <v>47678</v>
      </c>
      <c r="V31" s="18" t="n">
        <v>45676</v>
      </c>
      <c r="W31" s="18" t="n">
        <v>45676</v>
      </c>
      <c r="X31" s="18" t="n">
        <v>42646</v>
      </c>
      <c r="Y31" s="18" t="n">
        <v>67646</v>
      </c>
      <c r="Z31" s="34" t="n">
        <v>67646</v>
      </c>
      <c r="AA31" s="18" t="n">
        <v>67646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4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4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4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4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4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4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4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4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4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4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4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4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4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4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4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4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4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4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4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4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4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4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4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4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4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4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4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4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4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4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4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4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4" t="n">
        <v>0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4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4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4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4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4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4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4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4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4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4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4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4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4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4" t="n">
        <v>0</v>
      </c>
      <c r="Y41" s="18" t="n">
        <v>0</v>
      </c>
      <c r="Z41" s="34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4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4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4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4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4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4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4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4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4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4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4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4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4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4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4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4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4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4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4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4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4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4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4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4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4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4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4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4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4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4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4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4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4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4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4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4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4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4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4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4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4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4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4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4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4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4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4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4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4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4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4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4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4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4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4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4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4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4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4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4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4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4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4" t="n">
        <v>682305</v>
      </c>
      <c r="Q54" s="18" t="n">
        <v>688420</v>
      </c>
      <c r="R54" s="18" t="n">
        <v>649555</v>
      </c>
      <c r="S54" s="18" t="n">
        <v>477151</v>
      </c>
      <c r="T54" s="18" t="n">
        <v>454425</v>
      </c>
      <c r="U54" s="34" t="n">
        <v>454425</v>
      </c>
      <c r="V54" s="18" t="n">
        <v>444849</v>
      </c>
      <c r="W54" s="18" t="n">
        <v>396281</v>
      </c>
      <c r="X54" s="18" t="n">
        <v>387349</v>
      </c>
      <c r="Y54" s="18" t="n">
        <v>381964</v>
      </c>
      <c r="Z54" s="34" t="n">
        <v>381964</v>
      </c>
      <c r="AA54" s="18" t="n">
        <v>379076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4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4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4" t="n">
        <v>322328</v>
      </c>
      <c r="Q55" s="18" t="n">
        <v>391563</v>
      </c>
      <c r="R55" s="18" t="n">
        <v>383137</v>
      </c>
      <c r="S55" s="18" t="n">
        <v>251500</v>
      </c>
      <c r="T55" s="18" t="n">
        <v>223154</v>
      </c>
      <c r="U55" s="34" t="n">
        <v>223154</v>
      </c>
      <c r="V55" s="18" t="n">
        <v>331642</v>
      </c>
      <c r="W55" s="18" t="n">
        <v>183447</v>
      </c>
      <c r="X55" s="18" t="n">
        <v>153006</v>
      </c>
      <c r="Y55" s="18" t="n">
        <v>23810</v>
      </c>
      <c r="Z55" s="34" t="n">
        <v>23810</v>
      </c>
      <c r="AA55" s="18" t="n">
        <v>193302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4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4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4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4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4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4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4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4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4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4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4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4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4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4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4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4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4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4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4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4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4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4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4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4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4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4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4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4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4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4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4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4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4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4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4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4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4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4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4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4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4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4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4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4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4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4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4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4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4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4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4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4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4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4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4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4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4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4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4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4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4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4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4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4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4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4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4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4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4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4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4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4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4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4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4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4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4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4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4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4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4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4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4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4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4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4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4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4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4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4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4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4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4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4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4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4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4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4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4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4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4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4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4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4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4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4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4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4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4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4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4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4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4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4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4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4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-0.1812</v>
      </c>
      <c r="F10" s="34" t="n"/>
      <c r="G10" s="18" t="n">
        <v>0.0074</v>
      </c>
      <c r="H10" s="18" t="n">
        <v>0.0052</v>
      </c>
      <c r="I10" s="18" t="n">
        <v>-0.0001</v>
      </c>
      <c r="J10" s="18" t="n">
        <v>0.003</v>
      </c>
      <c r="K10" s="34">
        <f>SUM(G10:J10)</f>
        <v/>
      </c>
      <c r="L10" s="18" t="n">
        <v>-0.0274</v>
      </c>
      <c r="M10" s="18" t="n">
        <v>-0.1499</v>
      </c>
      <c r="N10" s="18" t="n">
        <v>-0.0834</v>
      </c>
      <c r="O10" s="18" t="n">
        <v>0.024</v>
      </c>
      <c r="P10" s="34">
        <f>SUM(L10:O10)</f>
        <v/>
      </c>
      <c r="Q10" s="18" t="n">
        <v>0.0254</v>
      </c>
      <c r="R10" s="18" t="n">
        <v>-0.08160000000000001</v>
      </c>
      <c r="S10" s="18" t="n">
        <v>0.0725</v>
      </c>
      <c r="T10" s="18" t="n">
        <v>0.0041</v>
      </c>
      <c r="U10" s="34">
        <f>SUM(Q10:T10)</f>
        <v/>
      </c>
      <c r="V10" s="18" t="n">
        <v>0.0133</v>
      </c>
      <c r="W10" s="18" t="n">
        <v>0.0105</v>
      </c>
      <c r="X10" s="18" t="n">
        <v>0.0128</v>
      </c>
      <c r="Y10" s="18" t="n">
        <v>0.08019999999999999</v>
      </c>
      <c r="Z10" s="34">
        <f>SUM(V10:Y10)</f>
        <v/>
      </c>
      <c r="AA10" s="18" t="n">
        <v>0.0454</v>
      </c>
      <c r="AB10" s="19" t="n">
        <v>0.08890000000000001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 t="n"/>
      <c r="H15" s="18" t="n"/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SUM(G15:J15)</f>
        <v/>
      </c>
      <c r="L15" s="18" t="n"/>
      <c r="M15" s="18" t="n"/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중단사업이익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중단사업이익(실적만)</t>
        </is>
      </c>
      <c r="E17" s="18" t="n">
        <v>0</v>
      </c>
      <c r="F17" s="34" t="n"/>
      <c r="G17" s="18" t="n"/>
      <c r="H17" s="18" t="n"/>
      <c r="I17" s="18" t="n"/>
      <c r="J17" s="18" t="n"/>
      <c r="K17" s="34">
        <f>SUM(G17:J17)</f>
        <v/>
      </c>
      <c r="L17" s="18" t="n"/>
      <c r="M17" s="18" t="n"/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/>
      <c r="AD17" s="20" t="n"/>
      <c r="AE17" s="35">
        <f>SUM(AA17:AD17)</f>
        <v/>
      </c>
      <c r="AF17" s="20" t="n"/>
      <c r="AG17" s="20" t="n"/>
      <c r="AH17" s="20" t="n"/>
      <c r="AI17" s="20" t="n"/>
      <c r="AJ17" s="35">
        <f>SUM(AF17:AI17)</f>
        <v/>
      </c>
      <c r="AK17" s="20" t="n"/>
      <c r="AL17" s="20" t="n"/>
      <c r="AM17" s="20" t="n"/>
      <c r="AN17" s="20" t="n"/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IFERROR(AB20+AC15-변수!AC31,"")</f>
        <v/>
      </c>
      <c r="AD20" s="20">
        <f>IFERROR(AC20+AD15-변수!AD31,"")</f>
        <v/>
      </c>
      <c r="AE20" s="35">
        <f>AD20</f>
        <v/>
      </c>
      <c r="AF20" s="20">
        <f>IFERROR(AD20+AF15-변수!AF31,"")</f>
        <v/>
      </c>
      <c r="AG20" s="20">
        <f>IFERROR(AF20+AG15-변수!AG31,"")</f>
        <v/>
      </c>
      <c r="AH20" s="20">
        <f>IFERROR(AG20+AH15-변수!AH31,"")</f>
        <v/>
      </c>
      <c r="AI20" s="20">
        <f>IFERROR(AH20+AI15-변수!AI31,"")</f>
        <v/>
      </c>
      <c r="AJ20" s="35">
        <f>AI20</f>
        <v/>
      </c>
      <c r="AK20" s="20">
        <f>IFERROR(AI20+AK15-변수!AK31,"")</f>
        <v/>
      </c>
      <c r="AL20" s="20">
        <f>IFERROR(AK20+AL15-변수!AL31,"")</f>
        <v/>
      </c>
      <c r="AM20" s="20">
        <f>IFERROR(AL20+AM15-변수!AM31,"")</f>
        <v/>
      </c>
      <c r="AN20" s="20">
        <f>IFERROR(AM20+AN15-변수!AN31,"")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415</v>
      </c>
      <c r="F27" s="34" t="n"/>
      <c r="G27" s="18" t="n">
        <v>77.84999999999999</v>
      </c>
      <c r="H27" s="18" t="n">
        <v>700.1900000000001</v>
      </c>
      <c r="I27" s="18" t="n">
        <v>-1113.98</v>
      </c>
      <c r="J27" s="18" t="n">
        <v>1181.69</v>
      </c>
      <c r="K27" s="34">
        <f>SUM(G27:J27)</f>
        <v/>
      </c>
      <c r="L27" s="18" t="n">
        <v>399.48</v>
      </c>
      <c r="M27" s="18" t="n">
        <v>-773.1900000000001</v>
      </c>
      <c r="N27" s="18" t="n">
        <v>2431.78</v>
      </c>
      <c r="O27" s="18" t="n">
        <v>-510.19</v>
      </c>
      <c r="P27" s="34">
        <f>SUM(L27:O27)</f>
        <v/>
      </c>
      <c r="Q27" s="18" t="n">
        <v>-505.04</v>
      </c>
      <c r="R27" s="18" t="n">
        <v>198.66</v>
      </c>
      <c r="S27" s="18" t="n">
        <v>-773.85</v>
      </c>
      <c r="T27" s="18" t="n">
        <v>216.58</v>
      </c>
      <c r="U27" s="34">
        <f>SUM(Q27:T27)</f>
        <v/>
      </c>
      <c r="V27" s="18" t="n">
        <v>-1026.84</v>
      </c>
      <c r="W27" s="18" t="n">
        <v>1468.68</v>
      </c>
      <c r="X27" s="18" t="n">
        <v>389.21</v>
      </c>
      <c r="Y27" s="18" t="n">
        <v>-767.75</v>
      </c>
      <c r="Z27" s="34">
        <f>SUM(V27:Y27)</f>
        <v/>
      </c>
      <c r="AA27" s="18" t="n">
        <v>-1638.53</v>
      </c>
      <c r="AB27" s="19" t="n">
        <v>214.61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83.268</v>
      </c>
      <c r="F28" s="27">
        <f>E28</f>
        <v/>
      </c>
      <c r="G28" s="26" t="n">
        <v>83.268</v>
      </c>
      <c r="H28" s="26" t="n">
        <v>83.268</v>
      </c>
      <c r="I28" s="26" t="n">
        <v>83.268</v>
      </c>
      <c r="J28" s="26" t="n">
        <v>83.268</v>
      </c>
      <c r="K28" s="27">
        <f>J28</f>
        <v/>
      </c>
      <c r="L28" s="26" t="n">
        <v>83.268</v>
      </c>
      <c r="M28" s="26" t="n">
        <v>83.268</v>
      </c>
      <c r="N28" s="26" t="n">
        <v>83.268</v>
      </c>
      <c r="O28" s="26" t="n">
        <v>83.268</v>
      </c>
      <c r="P28" s="27">
        <f>O28</f>
        <v/>
      </c>
      <c r="Q28" s="26" t="n">
        <v>83.268</v>
      </c>
      <c r="R28" s="26" t="n">
        <v>83.268</v>
      </c>
      <c r="S28" s="26" t="n">
        <v>83.268</v>
      </c>
      <c r="T28" s="26" t="n">
        <v>83.268</v>
      </c>
      <c r="U28" s="27">
        <f>T28</f>
        <v/>
      </c>
      <c r="V28" s="26" t="n">
        <v>83.268</v>
      </c>
      <c r="W28" s="26" t="n">
        <v>83.268</v>
      </c>
      <c r="X28" s="26" t="n">
        <v>83.268</v>
      </c>
      <c r="Y28" s="26" t="n">
        <v>90.289</v>
      </c>
      <c r="Z28" s="27">
        <f>Y28</f>
        <v/>
      </c>
      <c r="AA28" s="26" t="n">
        <v>90.289</v>
      </c>
      <c r="AB28" s="28" t="n">
        <v>90.289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IFERROR(E16*100/E28,"")</f>
        <v/>
      </c>
      <c r="F29" s="34" t="n"/>
      <c r="G29" s="18">
        <f>IFERROR(G16*100/G28,"")</f>
        <v/>
      </c>
      <c r="H29" s="18">
        <f>IFERROR(H16*100/H28,"")</f>
        <v/>
      </c>
      <c r="I29" s="18">
        <f>IFERROR(I16*100/I28,"")</f>
        <v/>
      </c>
      <c r="J29" s="18">
        <f>IFERROR(J16*100/J28,"")</f>
        <v/>
      </c>
      <c r="K29" s="34">
        <f>SUM(G29:J29)</f>
        <v/>
      </c>
      <c r="L29" s="18">
        <f>IFERROR(L16*100/L28,"")</f>
        <v/>
      </c>
      <c r="M29" s="18">
        <f>IFERROR(M16*100/M28,"")</f>
        <v/>
      </c>
      <c r="N29" s="18">
        <f>IFERROR(N16*100/N28,"")</f>
        <v/>
      </c>
      <c r="O29" s="18">
        <f>IFERROR(O16*100/O28,"")</f>
        <v/>
      </c>
      <c r="P29" s="34">
        <f>SUM(L29:O29)</f>
        <v/>
      </c>
      <c r="Q29" s="18">
        <f>IFERROR(Q16*100/Q28,"")</f>
        <v/>
      </c>
      <c r="R29" s="18">
        <f>IFERROR(R16*100/R28,"")</f>
        <v/>
      </c>
      <c r="S29" s="18">
        <f>IFERROR(S16*100/S28,"")</f>
        <v/>
      </c>
      <c r="T29" s="18">
        <f>IFERROR(T16*100/T28,"")</f>
        <v/>
      </c>
      <c r="U29" s="34">
        <f>SUM(Q29:T29)</f>
        <v/>
      </c>
      <c r="V29" s="18">
        <f>IFERROR(V16*100/V28,"")</f>
        <v/>
      </c>
      <c r="W29" s="18">
        <f>IFERROR(W16*100/W28,"")</f>
        <v/>
      </c>
      <c r="X29" s="18">
        <f>IFERROR(X16*100/X28,"")</f>
        <v/>
      </c>
      <c r="Y29" s="18">
        <f>IFERROR(Y16*100/Y28,"")</f>
        <v/>
      </c>
      <c r="Z29" s="34">
        <f>SUM(V29:Y29)</f>
        <v/>
      </c>
      <c r="AA29" s="18">
        <f>IFERROR(AA16*100/AA28,"")</f>
        <v/>
      </c>
      <c r="AB29" s="19">
        <f>IFERROR(AB16*100/AB28,"")</f>
        <v/>
      </c>
      <c r="AC29" s="20">
        <f>IFERROR(AC16*100/AC28,"")</f>
        <v/>
      </c>
      <c r="AD29" s="20">
        <f>IFERROR(AD16*100/AD28,"")</f>
        <v/>
      </c>
      <c r="AE29" s="35">
        <f>SUM(AA29:AD29)</f>
        <v/>
      </c>
      <c r="AF29" s="20">
        <f>IFERROR(AF16*100/AF28,"")</f>
        <v/>
      </c>
      <c r="AG29" s="20">
        <f>IFERROR(AG16*100/AG28,"")</f>
        <v/>
      </c>
      <c r="AH29" s="20">
        <f>IFERROR(AH16*100/AH28,"")</f>
        <v/>
      </c>
      <c r="AI29" s="20">
        <f>IFERROR(AI16*100/AI28,"")</f>
        <v/>
      </c>
      <c r="AJ29" s="35">
        <f>SUM(AF29:AI29)</f>
        <v/>
      </c>
      <c r="AK29" s="20">
        <f>IFERROR(AK16*100/AK28,"")</f>
        <v/>
      </c>
      <c r="AL29" s="20">
        <f>IFERROR(AL16*100/AL28,"")</f>
        <v/>
      </c>
      <c r="AM29" s="20">
        <f>IFERROR(AM16*100/AM28,"")</f>
        <v/>
      </c>
      <c r="AN29" s="20">
        <f>IFERROR(AN16*100/AN28,"")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/>
      <c r="R32" s="18" t="n"/>
      <c r="S32" s="18" t="n">
        <v>13.23</v>
      </c>
      <c r="T32" s="18" t="n">
        <v>53.81</v>
      </c>
      <c r="U32" s="34">
        <f>SUM(Q32:T32)</f>
        <v/>
      </c>
      <c r="V32" s="18" t="n"/>
      <c r="W32" s="18" t="n">
        <v>19.6</v>
      </c>
      <c r="X32" s="18" t="n"/>
      <c r="Y32" s="18" t="n">
        <v>41.6</v>
      </c>
      <c r="Z32" s="34">
        <f>SUM(V32:Y32)</f>
        <v/>
      </c>
      <c r="AA32" s="18" t="n">
        <v>31.53</v>
      </c>
      <c r="AB32" s="19" t="n">
        <v>15.63</v>
      </c>
      <c r="AC32" s="20" t="n">
        <v>7.53</v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1.68</v>
      </c>
      <c r="F33" s="34" t="n">
        <v>1.55</v>
      </c>
      <c r="G33" s="18" t="n">
        <v>1.5</v>
      </c>
      <c r="H33" s="18" t="n">
        <v>1.57</v>
      </c>
      <c r="I33" s="18" t="n">
        <v>1.36</v>
      </c>
      <c r="J33" s="18" t="n">
        <v>0.87</v>
      </c>
      <c r="K33" s="34">
        <f>SUM(G33:J33)</f>
        <v/>
      </c>
      <c r="L33" s="18" t="n">
        <v>0.89</v>
      </c>
      <c r="M33" s="18" t="n">
        <v>1.13</v>
      </c>
      <c r="N33" s="18" t="n">
        <v>1.22</v>
      </c>
      <c r="O33" s="18" t="n">
        <v>0.91</v>
      </c>
      <c r="P33" s="34">
        <f>SUM(L33:O33)</f>
        <v/>
      </c>
      <c r="Q33" s="18" t="n">
        <v>0.84</v>
      </c>
      <c r="R33" s="18" t="n">
        <v>0.85</v>
      </c>
      <c r="S33" s="18" t="n">
        <v>0.7</v>
      </c>
      <c r="T33" s="18" t="n">
        <v>0.84</v>
      </c>
      <c r="U33" s="34">
        <f>SUM(Q33:T33)</f>
        <v/>
      </c>
      <c r="V33" s="18" t="n">
        <v>1.66</v>
      </c>
      <c r="W33" s="18" t="n">
        <v>1.79</v>
      </c>
      <c r="X33" s="18" t="n">
        <v>3.97</v>
      </c>
      <c r="Y33" s="18" t="n">
        <v>3.21</v>
      </c>
      <c r="Z33" s="34">
        <f>SUM(V33:Y33)</f>
        <v/>
      </c>
      <c r="AA33" s="18" t="n">
        <v>3.23</v>
      </c>
      <c r="AB33" s="19" t="n">
        <v>2.93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매출조선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조선·해양(방산·신조선·상선·특수선)</t>
        </is>
      </c>
      <c r="E34" s="18" t="n"/>
      <c r="F34" s="34" t="n"/>
      <c r="G34" s="18" t="n"/>
      <c r="H34" s="18" t="n">
        <v>902</v>
      </c>
      <c r="I34" s="18" t="n">
        <v>2402</v>
      </c>
      <c r="J34" s="18" t="n">
        <v>-8411</v>
      </c>
      <c r="K34" s="34">
        <f>SUM(G34:J34)</f>
        <v/>
      </c>
      <c r="L34" s="18" t="n"/>
      <c r="M34" s="18" t="n">
        <v>6762</v>
      </c>
      <c r="N34" s="18" t="n">
        <v>1683</v>
      </c>
      <c r="O34" s="18" t="n">
        <v>2951</v>
      </c>
      <c r="P34" s="34">
        <f>SUM(L34:O34)</f>
        <v/>
      </c>
      <c r="Q34" s="18" t="n"/>
      <c r="R34" s="18" t="n">
        <v>2034</v>
      </c>
      <c r="S34" s="18" t="n">
        <v>1884</v>
      </c>
      <c r="T34" s="18" t="n"/>
      <c r="U34" s="34">
        <f>SUM(Q34:T34)</f>
        <v/>
      </c>
      <c r="V34" s="18" t="n"/>
      <c r="W34" s="18" t="n">
        <v>2280</v>
      </c>
      <c r="X34" s="18" t="n">
        <v>2026</v>
      </c>
      <c r="Y34" s="18" t="n"/>
      <c r="Z34" s="34">
        <f>SUM(V34:Y34)</f>
        <v/>
      </c>
      <c r="AA34" s="18" t="n"/>
      <c r="AB34" s="19" t="n">
        <v>3951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OP조선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조선·해양(방산·신조선·상선·특수선)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/>
      <c r="O35" s="18" t="n"/>
      <c r="P35" s="34">
        <f>SUM(L35:O35)</f>
        <v/>
      </c>
      <c r="Q35" s="18" t="n"/>
      <c r="R35" s="18" t="n"/>
      <c r="S35" s="18" t="n"/>
      <c r="T35" s="18" t="n"/>
      <c r="U35" s="34">
        <f>SUM(Q35:T35)</f>
        <v/>
      </c>
      <c r="V35" s="18" t="n"/>
      <c r="W35" s="18" t="n"/>
      <c r="X35" s="18" t="n"/>
      <c r="Y35" s="18" t="n"/>
      <c r="Z35" s="34">
        <f>SUM(V35:Y35)</f>
        <v/>
      </c>
      <c r="AA35" s="18" t="n"/>
      <c r="AB35" s="19" t="n"/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A36" s="12" t="inlineStr">
        <is>
          <t>매출기타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기타 부문(총매출 − 조선)</t>
        </is>
      </c>
      <c r="E36" s="18" t="n"/>
      <c r="F36" s="34" t="n"/>
      <c r="G36" s="18" t="n"/>
      <c r="H36" s="18" t="n">
        <v>3552.57</v>
      </c>
      <c r="I36" s="18" t="n">
        <v>1576.49</v>
      </c>
      <c r="J36" s="18" t="n">
        <v>14379.63</v>
      </c>
      <c r="K36" s="34">
        <f>SUM(G36:J36)</f>
        <v/>
      </c>
      <c r="L36" s="18" t="n"/>
      <c r="M36" s="18" t="n">
        <v>0</v>
      </c>
      <c r="N36" s="18" t="n">
        <v>3222.17</v>
      </c>
      <c r="O36" s="18" t="n">
        <v>4700.57</v>
      </c>
      <c r="P36" s="34">
        <f>SUM(L36:O36)</f>
        <v/>
      </c>
      <c r="Q36" s="18" t="n"/>
      <c r="R36" s="18" t="n">
        <v>2814</v>
      </c>
      <c r="S36" s="18" t="n">
        <v>2653.68</v>
      </c>
      <c r="T36" s="18" t="n"/>
      <c r="U36" s="34">
        <f>SUM(Q36:T36)</f>
        <v/>
      </c>
      <c r="V36" s="18" t="n"/>
      <c r="W36" s="18" t="n">
        <v>2797.77</v>
      </c>
      <c r="X36" s="18" t="n">
        <v>2496.08</v>
      </c>
      <c r="Y36" s="18" t="n"/>
      <c r="Z36" s="34">
        <f>SUM(V36:Y36)</f>
        <v/>
      </c>
      <c r="AA36" s="18" t="n"/>
      <c r="AB36" s="19" t="n">
        <v>3348.08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OP기타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기타 부문(총매출 − 조선)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/>
      <c r="O37" s="18" t="n"/>
      <c r="P37" s="34">
        <f>SUM(L37:O37)</f>
        <v/>
      </c>
      <c r="Q37" s="18" t="n"/>
      <c r="R37" s="18" t="n"/>
      <c r="S37" s="18" t="n"/>
      <c r="T37" s="18" t="n"/>
      <c r="U37" s="34">
        <f>SUM(Q37:T37)</f>
        <v/>
      </c>
      <c r="V37" s="18" t="n"/>
      <c r="W37" s="18" t="n"/>
      <c r="X37" s="18" t="n"/>
      <c r="Y37" s="18" t="n"/>
      <c r="Z37" s="34">
        <f>SUM(V37:Y37)</f>
        <v/>
      </c>
      <c r="AA37" s="18" t="n"/>
      <c r="AB37" s="19" t="n"/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IFERROR(E16/E5,"")</f>
        <v/>
      </c>
      <c r="F40" s="22">
        <f>IFERROR(F16/F5,"")</f>
        <v/>
      </c>
      <c r="G40" s="21">
        <f>IFERROR(G16/G5,"")</f>
        <v/>
      </c>
      <c r="H40" s="21">
        <f>IFERROR(H16/H5,"")</f>
        <v/>
      </c>
      <c r="I40" s="21">
        <f>IFERROR(I16/I5,"")</f>
        <v/>
      </c>
      <c r="J40" s="21">
        <f>IFERROR(J16/J5,"")</f>
        <v/>
      </c>
      <c r="K40" s="22">
        <f>IFERROR(K16/K5,"")</f>
        <v/>
      </c>
      <c r="L40" s="21">
        <f>IFERROR(L16/L5,"")</f>
        <v/>
      </c>
      <c r="M40" s="21">
        <f>IFERROR(M16/M5,"")</f>
        <v/>
      </c>
      <c r="N40" s="21">
        <f>IFERROR(N16/N5,"")</f>
        <v/>
      </c>
      <c r="O40" s="21">
        <f>IFERROR(O16/O5,"")</f>
        <v/>
      </c>
      <c r="P40" s="22">
        <f>IFERROR(P16/P5,"")</f>
        <v/>
      </c>
      <c r="Q40" s="21">
        <f>IFERROR(Q16/Q5,"")</f>
        <v/>
      </c>
      <c r="R40" s="21">
        <f>IFERROR(R16/R5,"")</f>
        <v/>
      </c>
      <c r="S40" s="21">
        <f>IFERROR(S16/S5,"")</f>
        <v/>
      </c>
      <c r="T40" s="21">
        <f>IFERROR(T16/T5,"")</f>
        <v/>
      </c>
      <c r="U40" s="22">
        <f>IFERROR(U16/U5,"")</f>
        <v/>
      </c>
      <c r="V40" s="21">
        <f>IFERROR(V16/V5,"")</f>
        <v/>
      </c>
      <c r="W40" s="21">
        <f>IFERROR(W16/W5,"")</f>
        <v/>
      </c>
      <c r="X40" s="21">
        <f>IFERROR(X16/X5,"")</f>
        <v/>
      </c>
      <c r="Y40" s="21">
        <f>IFERROR(Y16/Y5,"")</f>
        <v/>
      </c>
      <c r="Z40" s="22">
        <f>IFERROR(Z16/Z5,"")</f>
        <v/>
      </c>
      <c r="AA40" s="21">
        <f>IFERROR(AA16/AA5,"")</f>
        <v/>
      </c>
      <c r="AB40" s="23">
        <f>IFERROR(AB16/AB5,"")</f>
        <v/>
      </c>
      <c r="AC40" s="31">
        <f>IFERROR(AC16/AC5,"")</f>
        <v/>
      </c>
      <c r="AD40" s="31">
        <f>IFERROR(AD16/AD5,"")</f>
        <v/>
      </c>
      <c r="AE40" s="25">
        <f>IFERROR(AE16/AE5,"")</f>
        <v/>
      </c>
      <c r="AF40" s="31">
        <f>IFERROR(AF16/AF5,"")</f>
        <v/>
      </c>
      <c r="AG40" s="31">
        <f>IFERROR(AG16/AG5,"")</f>
        <v/>
      </c>
      <c r="AH40" s="31">
        <f>IFERROR(AH16/AH5,"")</f>
        <v/>
      </c>
      <c r="AI40" s="31">
        <f>IFERROR(AI16/AI5,"")</f>
        <v/>
      </c>
      <c r="AJ40" s="25">
        <f>IFERROR(AJ16/AJ5,"")</f>
        <v/>
      </c>
      <c r="AK40" s="31">
        <f>IFERROR(AK16/AK5,"")</f>
        <v/>
      </c>
      <c r="AL40" s="31">
        <f>IFERROR(AL16/AL5,"")</f>
        <v/>
      </c>
      <c r="AM40" s="31">
        <f>IFERROR(AM16/AM5,"")</f>
        <v/>
      </c>
      <c r="AN40" s="31">
        <f>IFERROR(AN16/AN5,"")</f>
        <v/>
      </c>
      <c r="AO40" s="25">
        <f>IFERROR(AO16/AO5,"")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E7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115.312</v>
      </c>
      <c r="AB5" s="26" t="n">
        <v>115.478</v>
      </c>
      <c r="AC5" s="26" t="n">
        <v>122.382</v>
      </c>
      <c r="AD5" s="26" t="n">
        <v>123.837</v>
      </c>
      <c r="AE5" s="26" t="n">
        <v>124.334</v>
      </c>
      <c r="AF5" s="26" t="n">
        <v>125.21</v>
      </c>
      <c r="AG5" s="26" t="n">
        <v>124.927</v>
      </c>
      <c r="AH5" s="26" t="n">
        <v>125.515</v>
      </c>
      <c r="AI5" s="26" t="n">
        <v>135.042</v>
      </c>
      <c r="AJ5" s="26" t="n">
        <v>185.788</v>
      </c>
      <c r="AK5" s="26" t="n">
        <v>220.764</v>
      </c>
      <c r="AL5" s="26" t="n">
        <v>242.216</v>
      </c>
      <c r="AM5" s="26" t="n">
        <v>284.624</v>
      </c>
      <c r="AN5" s="26" t="n">
        <v>262.167</v>
      </c>
      <c r="AO5" s="26" t="n">
        <v>237.986</v>
      </c>
      <c r="AP5" s="26" t="n">
        <v>230.415</v>
      </c>
      <c r="AQ5" s="26" t="n">
        <v>220.82</v>
      </c>
      <c r="AR5" s="26" t="n">
        <v>205.301</v>
      </c>
      <c r="AS5" s="26" t="n">
        <v>198.969</v>
      </c>
      <c r="AT5" s="26" t="n">
        <v>167.965</v>
      </c>
      <c r="AU5" s="26" t="n">
        <v>143.642</v>
      </c>
      <c r="AV5" s="26" t="n">
        <v>129.772</v>
      </c>
      <c r="AW5" s="26" t="n">
        <v>91.565</v>
      </c>
      <c r="AX5" s="26" t="n">
        <v>73.017</v>
      </c>
      <c r="AY5" s="26" t="n">
        <v>59.308</v>
      </c>
      <c r="AZ5" s="26" t="n">
        <v>37.303</v>
      </c>
      <c r="BA5" s="26" t="n">
        <v>35.271</v>
      </c>
      <c r="BB5" s="26" t="n">
        <v>30.116</v>
      </c>
      <c r="BC5" s="26" t="n">
        <v>15.251</v>
      </c>
      <c r="BD5" s="26" t="n">
        <v>12.996</v>
      </c>
      <c r="BE5" s="26" t="n">
        <v>12.048</v>
      </c>
      <c r="BF5" s="26" t="n">
        <v>11.179</v>
      </c>
      <c r="BG5" s="26" t="n">
        <v>11.179</v>
      </c>
      <c r="BH5" s="26" t="n">
        <v>11.058</v>
      </c>
      <c r="BI5" s="26" t="n">
        <v>7.646</v>
      </c>
      <c r="BJ5" s="26" t="n">
        <v>6.88</v>
      </c>
      <c r="BK5" s="26" t="n">
        <v>6.88</v>
      </c>
      <c r="BL5" s="26" t="n">
        <v>6.73</v>
      </c>
      <c r="BM5" s="26" t="n">
        <v>6.805</v>
      </c>
      <c r="BN5" s="26" t="n">
        <v>5.965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370.432</v>
      </c>
      <c r="EF5" s="26" t="n">
        <v>486.031</v>
      </c>
      <c r="EG5" s="26" t="n">
        <v>510.694</v>
      </c>
      <c r="EH5" s="26" t="n">
        <v>933.3920000000001</v>
      </c>
      <c r="EI5" s="26" t="n">
        <v>951.388</v>
      </c>
      <c r="EJ5" s="26" t="n">
        <v>715.877</v>
      </c>
      <c r="EK5" s="26" t="n">
        <v>353.662</v>
      </c>
      <c r="EL5" s="26" t="n">
        <v>117.941</v>
      </c>
      <c r="EM5" s="26" t="n">
        <v>47.402</v>
      </c>
      <c r="EN5" s="26" t="n">
        <v>32.464</v>
      </c>
      <c r="EO5" s="26" t="n">
        <v>23.75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type:OTHER</t>
        </is>
      </c>
      <c r="D6" t="inlineStr">
        <is>
          <t>선종 OTHER</t>
        </is>
      </c>
      <c r="E6" s="26" t="n">
        <v>2.933</v>
      </c>
      <c r="F6" s="26" t="n">
        <v>6.133</v>
      </c>
      <c r="G6" s="26" t="n">
        <v>6.133</v>
      </c>
      <c r="H6" s="26" t="n">
        <v>6.7</v>
      </c>
      <c r="I6" s="26" t="n">
        <v>12.374</v>
      </c>
      <c r="J6" s="26" t="n">
        <v>14.461</v>
      </c>
      <c r="K6" s="26" t="n">
        <v>14.729</v>
      </c>
      <c r="L6" s="26" t="n">
        <v>19.188</v>
      </c>
      <c r="M6" s="26" t="n">
        <v>19.188</v>
      </c>
      <c r="N6" s="26" t="n">
        <v>19.399</v>
      </c>
      <c r="O6" s="26" t="n">
        <v>30.827</v>
      </c>
      <c r="P6" s="26" t="n">
        <v>45.288</v>
      </c>
      <c r="Q6" s="26" t="n">
        <v>50.661</v>
      </c>
      <c r="R6" s="26" t="n">
        <v>56.415</v>
      </c>
      <c r="S6" s="26" t="n">
        <v>59.244</v>
      </c>
      <c r="T6" s="26" t="n">
        <v>58.81</v>
      </c>
      <c r="U6" s="26" t="n">
        <v>59.464</v>
      </c>
      <c r="V6" s="26" t="n">
        <v>61.318</v>
      </c>
      <c r="W6" s="26" t="n">
        <v>65.621</v>
      </c>
      <c r="X6" s="26" t="n">
        <v>73.087</v>
      </c>
      <c r="Y6" s="26" t="n">
        <v>81.759</v>
      </c>
      <c r="Z6" s="26" t="n">
        <v>100.274</v>
      </c>
      <c r="AA6" s="26" t="n">
        <v>115.312</v>
      </c>
      <c r="AB6" s="26" t="n">
        <v>115.478</v>
      </c>
      <c r="AC6" s="26" t="n">
        <v>122.382</v>
      </c>
      <c r="AD6" s="26" t="n">
        <v>123.837</v>
      </c>
      <c r="AE6" s="26" t="n">
        <v>124.334</v>
      </c>
      <c r="AF6" s="26" t="n">
        <v>125.21</v>
      </c>
      <c r="AG6" s="26" t="n">
        <v>124.927</v>
      </c>
      <c r="AH6" s="26" t="n">
        <v>125.515</v>
      </c>
      <c r="AI6" s="26" t="n">
        <v>132.36</v>
      </c>
      <c r="AJ6" s="26" t="n">
        <v>154.297</v>
      </c>
      <c r="AK6" s="26" t="n">
        <v>160.205</v>
      </c>
      <c r="AL6" s="26" t="n">
        <v>169.975</v>
      </c>
      <c r="AM6" s="26" t="n">
        <v>171.233</v>
      </c>
      <c r="AN6" s="26" t="n">
        <v>151.241</v>
      </c>
      <c r="AO6" s="26" t="n">
        <v>125.827</v>
      </c>
      <c r="AP6" s="26" t="n">
        <v>117.024</v>
      </c>
      <c r="AQ6" s="26" t="n">
        <v>107.429</v>
      </c>
      <c r="AR6" s="26" t="n">
        <v>93.143</v>
      </c>
      <c r="AS6" s="26" t="n">
        <v>86.81100000000001</v>
      </c>
      <c r="AT6" s="26" t="n">
        <v>79.996</v>
      </c>
      <c r="AU6" s="26" t="n">
        <v>72.465</v>
      </c>
      <c r="AV6" s="26" t="n">
        <v>70.889</v>
      </c>
      <c r="AW6" s="26" t="n">
        <v>62.639</v>
      </c>
      <c r="AX6" s="26" t="n">
        <v>58.993</v>
      </c>
      <c r="AY6" s="26" t="n">
        <v>54.583</v>
      </c>
      <c r="AZ6" s="26" t="n">
        <v>37.303</v>
      </c>
      <c r="BA6" s="26" t="n">
        <v>35.271</v>
      </c>
      <c r="BB6" s="26" t="n">
        <v>30.116</v>
      </c>
      <c r="BC6" s="26" t="n">
        <v>15.251</v>
      </c>
      <c r="BD6" s="26" t="n">
        <v>12.996</v>
      </c>
      <c r="BE6" s="26" t="n">
        <v>12.048</v>
      </c>
      <c r="BF6" s="26" t="n">
        <v>11.179</v>
      </c>
      <c r="BG6" s="26" t="n">
        <v>11.179</v>
      </c>
      <c r="BH6" s="26" t="n">
        <v>11.058</v>
      </c>
      <c r="BI6" s="26" t="n">
        <v>7.646</v>
      </c>
      <c r="BJ6" s="26" t="n">
        <v>6.88</v>
      </c>
      <c r="BK6" s="26" t="n">
        <v>6.88</v>
      </c>
      <c r="BL6" s="26" t="n">
        <v>6.73</v>
      </c>
      <c r="BM6" s="26" t="n">
        <v>6.805</v>
      </c>
      <c r="BN6" s="26" t="n">
        <v>5.965</v>
      </c>
      <c r="BO6" s="26" t="n">
        <v>4.25</v>
      </c>
      <c r="BP6" s="26" t="n">
        <v>4.158</v>
      </c>
      <c r="BQ6" s="26" t="n">
        <v>1.785</v>
      </c>
      <c r="BR6" s="26" t="n">
        <v>0.602</v>
      </c>
      <c r="BS6" s="26" t="n">
        <v>0.602</v>
      </c>
      <c r="BT6" s="26" t="n">
        <v>0.589</v>
      </c>
      <c r="BU6" s="26" t="n">
        <v>0.596</v>
      </c>
      <c r="BV6" s="26" t="n">
        <v>0.602</v>
      </c>
      <c r="BW6" s="26" t="n">
        <v>0.602</v>
      </c>
      <c r="BX6" s="26" t="n">
        <v>0.596</v>
      </c>
      <c r="BY6" s="26" t="n">
        <v>0.596</v>
      </c>
      <c r="BZ6" s="26" t="n">
        <v>0.602</v>
      </c>
      <c r="CA6" s="26" t="n">
        <v>0.602</v>
      </c>
      <c r="CB6" s="26" t="n">
        <v>0.589</v>
      </c>
      <c r="CC6" s="26" t="n">
        <v>0.596</v>
      </c>
      <c r="CD6" s="26" t="n">
        <v>0.602</v>
      </c>
      <c r="CE6" s="26" t="n">
        <v>0.602</v>
      </c>
      <c r="CF6" s="26" t="n">
        <v>0.589</v>
      </c>
      <c r="CG6" s="26" t="n">
        <v>0.596</v>
      </c>
      <c r="CH6" s="26" t="n">
        <v>0.602</v>
      </c>
      <c r="CI6" s="26" t="n">
        <v>0.602</v>
      </c>
      <c r="CJ6" s="26" t="n">
        <v>0.589</v>
      </c>
      <c r="CK6" s="26" t="n">
        <v>0.596</v>
      </c>
      <c r="CL6" s="26" t="n">
        <v>0.602</v>
      </c>
      <c r="CM6" s="26" t="n">
        <v>0.602</v>
      </c>
      <c r="CN6" s="26" t="n">
        <v>0.596</v>
      </c>
      <c r="CO6" s="26" t="n">
        <v>0.596</v>
      </c>
      <c r="CP6" s="26" t="n">
        <v>0.602</v>
      </c>
      <c r="CQ6" s="26" t="n">
        <v>0.602</v>
      </c>
      <c r="CR6" s="26" t="n">
        <v>0.589</v>
      </c>
      <c r="CS6" s="26" t="n">
        <v>0.596</v>
      </c>
      <c r="CT6" s="26" t="n">
        <v>0.602</v>
      </c>
      <c r="CU6" s="26" t="n">
        <v>0.602</v>
      </c>
      <c r="CV6" s="26" t="n">
        <v>0.589</v>
      </c>
      <c r="CW6" s="26" t="n">
        <v>0.596</v>
      </c>
      <c r="CX6" s="26" t="n">
        <v>0.602</v>
      </c>
      <c r="CY6" s="26" t="n">
        <v>0.602</v>
      </c>
      <c r="CZ6" s="26" t="n">
        <v>0.589</v>
      </c>
      <c r="DA6" s="26" t="n">
        <v>0.596</v>
      </c>
      <c r="DB6" s="26" t="n">
        <v>0.602</v>
      </c>
      <c r="DC6" s="26" t="n">
        <v>0.602</v>
      </c>
      <c r="DD6" s="26" t="n">
        <v>0.596</v>
      </c>
      <c r="DE6" s="26" t="n">
        <v>0.596</v>
      </c>
      <c r="DF6" s="26" t="n">
        <v>0.602</v>
      </c>
      <c r="DG6" s="26" t="n">
        <v>0.602</v>
      </c>
      <c r="DH6" s="26" t="n">
        <v>0.589</v>
      </c>
      <c r="DI6" s="26" t="n">
        <v>0.596</v>
      </c>
      <c r="DJ6" s="26" t="n">
        <v>0.602</v>
      </c>
      <c r="DK6" s="26" t="n">
        <v>0.602</v>
      </c>
      <c r="DL6" s="26" t="n">
        <v>0.589</v>
      </c>
      <c r="DM6" s="26" t="n">
        <v>0.596</v>
      </c>
      <c r="DN6" s="26" t="n">
        <v>0.602</v>
      </c>
      <c r="DO6" s="26" t="n">
        <v>0.602</v>
      </c>
      <c r="DP6" s="26" t="n">
        <v>0.589</v>
      </c>
      <c r="DQ6" s="26" t="n">
        <v>0.596</v>
      </c>
      <c r="DR6" s="26" t="n">
        <v>0.602</v>
      </c>
      <c r="DS6" s="26" t="n">
        <v>0.602</v>
      </c>
      <c r="DT6" s="26" t="n">
        <v>0.596</v>
      </c>
      <c r="DU6" s="26" t="n">
        <v>0.596</v>
      </c>
      <c r="DV6" s="26" t="n">
        <v>0.602</v>
      </c>
      <c r="DW6" s="26" t="n">
        <v>0.602</v>
      </c>
      <c r="DX6" s="26" t="n">
        <v>0.589</v>
      </c>
      <c r="DY6" s="26" t="n">
        <v>0.399</v>
      </c>
      <c r="DZ6" s="26" t="n">
        <v>15.199</v>
      </c>
      <c r="EA6" s="26" t="n">
        <v>48.264</v>
      </c>
      <c r="EB6" s="26" t="n">
        <v>88.602</v>
      </c>
      <c r="EC6" s="26" t="n">
        <v>211.608</v>
      </c>
      <c r="ED6" s="26" t="n">
        <v>245.213</v>
      </c>
      <c r="EE6" s="26" t="n">
        <v>370.432</v>
      </c>
      <c r="EF6" s="26" t="n">
        <v>486.031</v>
      </c>
      <c r="EG6" s="26" t="n">
        <v>508.012</v>
      </c>
      <c r="EH6" s="26" t="n">
        <v>655.71</v>
      </c>
      <c r="EI6" s="26" t="n">
        <v>501.521</v>
      </c>
      <c r="EJ6" s="26" t="n">
        <v>332.415</v>
      </c>
      <c r="EK6" s="26" t="n">
        <v>247.104</v>
      </c>
      <c r="EL6" s="26" t="n">
        <v>117.941</v>
      </c>
      <c r="EM6" s="26" t="n">
        <v>47.402</v>
      </c>
      <c r="EN6" s="26" t="n">
        <v>32.464</v>
      </c>
      <c r="EO6" s="26" t="n">
        <v>23.75</v>
      </c>
      <c r="EP6" s="26" t="n">
        <v>7.147</v>
      </c>
      <c r="EQ6" s="26" t="n">
        <v>2.389</v>
      </c>
      <c r="ER6" s="26" t="n">
        <v>2.396</v>
      </c>
      <c r="ES6" s="26" t="n">
        <v>2.389</v>
      </c>
      <c r="ET6" s="26" t="n">
        <v>2.389</v>
      </c>
      <c r="EU6" s="26" t="n">
        <v>2.389</v>
      </c>
      <c r="EV6" s="26" t="n">
        <v>2.396</v>
      </c>
      <c r="EW6" s="26" t="n">
        <v>2.389</v>
      </c>
      <c r="EX6" s="26" t="n">
        <v>2.389</v>
      </c>
      <c r="EY6" s="26" t="n">
        <v>2.389</v>
      </c>
      <c r="EZ6" s="26" t="n">
        <v>2.396</v>
      </c>
      <c r="FA6" s="26" t="n">
        <v>2.389</v>
      </c>
      <c r="FB6" s="26" t="n">
        <v>2.389</v>
      </c>
      <c r="FC6" s="26" t="n">
        <v>2.389</v>
      </c>
      <c r="FD6" s="26" t="n">
        <v>2.396</v>
      </c>
      <c r="FE6" s="26" t="n">
        <v>0.988</v>
      </c>
    </row>
    <row r="7">
      <c r="A7" s="12" t="inlineStr">
        <is>
          <t>type:NAVAL</t>
        </is>
      </c>
      <c r="D7" t="inlineStr">
        <is>
          <t>선종 NAVAL</t>
        </is>
      </c>
      <c r="AI7" s="26" t="n">
        <v>2.682</v>
      </c>
      <c r="AJ7" s="26" t="n">
        <v>17.675</v>
      </c>
      <c r="AK7" s="26" t="n">
        <v>17.871</v>
      </c>
      <c r="AL7" s="26" t="n">
        <v>18.067</v>
      </c>
      <c r="AM7" s="26" t="n">
        <v>18.067</v>
      </c>
      <c r="AN7" s="26" t="n">
        <v>17.675</v>
      </c>
      <c r="AO7" s="26" t="n">
        <v>17.871</v>
      </c>
      <c r="AP7" s="26" t="n">
        <v>18.067</v>
      </c>
      <c r="AQ7" s="26" t="n">
        <v>18.067</v>
      </c>
      <c r="AR7" s="26" t="n">
        <v>17.871</v>
      </c>
      <c r="AS7" s="26" t="n">
        <v>17.871</v>
      </c>
      <c r="AT7" s="26" t="n">
        <v>18.067</v>
      </c>
      <c r="AU7" s="26" t="n">
        <v>17.013</v>
      </c>
      <c r="AV7" s="26" t="n">
        <v>13.719</v>
      </c>
      <c r="AW7" s="26" t="n">
        <v>13.871</v>
      </c>
      <c r="AX7" s="26" t="n">
        <v>14.024</v>
      </c>
      <c r="AY7" s="26" t="n">
        <v>4.725</v>
      </c>
      <c r="EG7" s="26" t="n">
        <v>2.682</v>
      </c>
      <c r="EH7" s="26" t="n">
        <v>71.68000000000001</v>
      </c>
      <c r="EI7" s="26" t="n">
        <v>71.68000000000001</v>
      </c>
      <c r="EJ7" s="26" t="n">
        <v>70.822</v>
      </c>
      <c r="EK7" s="26" t="n">
        <v>46.339</v>
      </c>
    </row>
    <row r="8">
      <c r="A8" s="12" t="inlineStr">
        <is>
          <t>type:CONT</t>
        </is>
      </c>
      <c r="D8" t="inlineStr">
        <is>
          <t>선종 CONT</t>
        </is>
      </c>
      <c r="AJ8" s="26" t="n">
        <v>13.816</v>
      </c>
      <c r="AK8" s="26" t="n">
        <v>42.688</v>
      </c>
      <c r="AL8" s="26" t="n">
        <v>54.174</v>
      </c>
      <c r="AM8" s="26" t="n">
        <v>95.324</v>
      </c>
      <c r="AN8" s="26" t="n">
        <v>93.251</v>
      </c>
      <c r="AO8" s="26" t="n">
        <v>94.28700000000001</v>
      </c>
      <c r="AP8" s="26" t="n">
        <v>95.324</v>
      </c>
      <c r="AQ8" s="26" t="n">
        <v>95.324</v>
      </c>
      <c r="AR8" s="26" t="n">
        <v>94.28700000000001</v>
      </c>
      <c r="AS8" s="26" t="n">
        <v>94.28700000000001</v>
      </c>
      <c r="AT8" s="26" t="n">
        <v>69.902</v>
      </c>
      <c r="AU8" s="26" t="n">
        <v>54.165</v>
      </c>
      <c r="AV8" s="26" t="n">
        <v>45.164</v>
      </c>
      <c r="AW8" s="26" t="n">
        <v>15.055</v>
      </c>
      <c r="EH8" s="26" t="n">
        <v>206.002</v>
      </c>
      <c r="EI8" s="26" t="n">
        <v>378.186</v>
      </c>
      <c r="EJ8" s="26" t="n">
        <v>312.641</v>
      </c>
      <c r="EK8" s="26" t="n">
        <v>60.219</v>
      </c>
    </row>
    <row r="9">
      <c r="A9" s="12" t="inlineStr">
        <is>
          <t>cohort:등급없음</t>
        </is>
      </c>
      <c r="D9" t="inlineStr">
        <is>
          <t>코호트 등급없음</t>
        </is>
      </c>
      <c r="E9" s="26" t="n">
        <v>2.933</v>
      </c>
      <c r="F9" s="26" t="n">
        <v>6.133</v>
      </c>
      <c r="G9" s="26" t="n">
        <v>6.133</v>
      </c>
      <c r="H9" s="26" t="n">
        <v>6.7</v>
      </c>
      <c r="I9" s="26" t="n">
        <v>12.374</v>
      </c>
      <c r="J9" s="26" t="n">
        <v>14.461</v>
      </c>
      <c r="K9" s="26" t="n">
        <v>14.729</v>
      </c>
      <c r="L9" s="26" t="n">
        <v>19.188</v>
      </c>
      <c r="M9" s="26" t="n">
        <v>19.188</v>
      </c>
      <c r="N9" s="26" t="n">
        <v>19.399</v>
      </c>
      <c r="O9" s="26" t="n">
        <v>30.827</v>
      </c>
      <c r="P9" s="26" t="n">
        <v>45.288</v>
      </c>
      <c r="Q9" s="26" t="n">
        <v>50.661</v>
      </c>
      <c r="R9" s="26" t="n">
        <v>56.415</v>
      </c>
      <c r="S9" s="26" t="n">
        <v>59.244</v>
      </c>
      <c r="T9" s="26" t="n">
        <v>58.81</v>
      </c>
      <c r="U9" s="26" t="n">
        <v>59.464</v>
      </c>
      <c r="V9" s="26" t="n">
        <v>61.318</v>
      </c>
      <c r="W9" s="26" t="n">
        <v>65.621</v>
      </c>
      <c r="X9" s="26" t="n">
        <v>73.087</v>
      </c>
      <c r="Y9" s="26" t="n">
        <v>81.759</v>
      </c>
      <c r="Z9" s="26" t="n">
        <v>100.274</v>
      </c>
      <c r="AA9" s="26" t="n">
        <v>115.312</v>
      </c>
      <c r="AB9" s="26" t="n">
        <v>115.478</v>
      </c>
      <c r="AC9" s="26" t="n">
        <v>122.382</v>
      </c>
      <c r="AD9" s="26" t="n">
        <v>123.837</v>
      </c>
      <c r="AE9" s="26" t="n">
        <v>124.334</v>
      </c>
      <c r="AF9" s="26" t="n">
        <v>125.21</v>
      </c>
      <c r="AG9" s="26" t="n">
        <v>124.927</v>
      </c>
      <c r="AH9" s="26" t="n">
        <v>125.515</v>
      </c>
      <c r="AI9" s="26" t="n">
        <v>134.646</v>
      </c>
      <c r="AJ9" s="26" t="n">
        <v>168.016</v>
      </c>
      <c r="AK9" s="26" t="n">
        <v>174.076</v>
      </c>
      <c r="AL9" s="26" t="n">
        <v>183.999</v>
      </c>
      <c r="AM9" s="26" t="n">
        <v>185.257</v>
      </c>
      <c r="AN9" s="26" t="n">
        <v>164.96</v>
      </c>
      <c r="AO9" s="26" t="n">
        <v>139.698</v>
      </c>
      <c r="AP9" s="26" t="n">
        <v>131.048</v>
      </c>
      <c r="AQ9" s="26" t="n">
        <v>121.453</v>
      </c>
      <c r="AR9" s="26" t="n">
        <v>107.014</v>
      </c>
      <c r="AS9" s="26" t="n">
        <v>100.682</v>
      </c>
      <c r="AT9" s="26" t="n">
        <v>94.02</v>
      </c>
      <c r="AU9" s="26" t="n">
        <v>86.488</v>
      </c>
      <c r="AV9" s="26" t="n">
        <v>84.608</v>
      </c>
      <c r="AW9" s="26" t="n">
        <v>76.511</v>
      </c>
      <c r="AX9" s="26" t="n">
        <v>73.017</v>
      </c>
      <c r="AY9" s="26" t="n">
        <v>59.308</v>
      </c>
      <c r="AZ9" s="26" t="n">
        <v>37.303</v>
      </c>
      <c r="BA9" s="26" t="n">
        <v>35.271</v>
      </c>
      <c r="BB9" s="26" t="n">
        <v>30.116</v>
      </c>
      <c r="BC9" s="26" t="n">
        <v>15.251</v>
      </c>
      <c r="BD9" s="26" t="n">
        <v>12.996</v>
      </c>
      <c r="BE9" s="26" t="n">
        <v>12.048</v>
      </c>
      <c r="BF9" s="26" t="n">
        <v>11.179</v>
      </c>
      <c r="BG9" s="26" t="n">
        <v>11.179</v>
      </c>
      <c r="BH9" s="26" t="n">
        <v>11.058</v>
      </c>
      <c r="BI9" s="26" t="n">
        <v>7.646</v>
      </c>
      <c r="BJ9" s="26" t="n">
        <v>6.88</v>
      </c>
      <c r="BK9" s="26" t="n">
        <v>6.88</v>
      </c>
      <c r="BL9" s="26" t="n">
        <v>6.73</v>
      </c>
      <c r="BM9" s="26" t="n">
        <v>6.805</v>
      </c>
      <c r="BN9" s="26" t="n">
        <v>5.965</v>
      </c>
      <c r="BO9" s="26" t="n">
        <v>4.25</v>
      </c>
      <c r="BP9" s="26" t="n">
        <v>4.158</v>
      </c>
      <c r="BQ9" s="26" t="n">
        <v>1.785</v>
      </c>
      <c r="BR9" s="26" t="n">
        <v>0.602</v>
      </c>
      <c r="BS9" s="26" t="n">
        <v>0.602</v>
      </c>
      <c r="BT9" s="26" t="n">
        <v>0.589</v>
      </c>
      <c r="BU9" s="26" t="n">
        <v>0.596</v>
      </c>
      <c r="BV9" s="26" t="n">
        <v>0.602</v>
      </c>
      <c r="BW9" s="26" t="n">
        <v>0.602</v>
      </c>
      <c r="BX9" s="26" t="n">
        <v>0.596</v>
      </c>
      <c r="BY9" s="26" t="n">
        <v>0.596</v>
      </c>
      <c r="BZ9" s="26" t="n">
        <v>0.602</v>
      </c>
      <c r="CA9" s="26" t="n">
        <v>0.602</v>
      </c>
      <c r="CB9" s="26" t="n">
        <v>0.589</v>
      </c>
      <c r="CC9" s="26" t="n">
        <v>0.596</v>
      </c>
      <c r="CD9" s="26" t="n">
        <v>0.602</v>
      </c>
      <c r="CE9" s="26" t="n">
        <v>0.602</v>
      </c>
      <c r="CF9" s="26" t="n">
        <v>0.589</v>
      </c>
      <c r="CG9" s="26" t="n">
        <v>0.596</v>
      </c>
      <c r="CH9" s="26" t="n">
        <v>0.602</v>
      </c>
      <c r="CI9" s="26" t="n">
        <v>0.602</v>
      </c>
      <c r="CJ9" s="26" t="n">
        <v>0.589</v>
      </c>
      <c r="CK9" s="26" t="n">
        <v>0.596</v>
      </c>
      <c r="CL9" s="26" t="n">
        <v>0.602</v>
      </c>
      <c r="CM9" s="26" t="n">
        <v>0.602</v>
      </c>
      <c r="CN9" s="26" t="n">
        <v>0.596</v>
      </c>
      <c r="CO9" s="26" t="n">
        <v>0.596</v>
      </c>
      <c r="CP9" s="26" t="n">
        <v>0.602</v>
      </c>
      <c r="CQ9" s="26" t="n">
        <v>0.602</v>
      </c>
      <c r="CR9" s="26" t="n">
        <v>0.589</v>
      </c>
      <c r="CS9" s="26" t="n">
        <v>0.596</v>
      </c>
      <c r="CT9" s="26" t="n">
        <v>0.602</v>
      </c>
      <c r="CU9" s="26" t="n">
        <v>0.602</v>
      </c>
      <c r="CV9" s="26" t="n">
        <v>0.589</v>
      </c>
      <c r="CW9" s="26" t="n">
        <v>0.596</v>
      </c>
      <c r="CX9" s="26" t="n">
        <v>0.602</v>
      </c>
      <c r="CY9" s="26" t="n">
        <v>0.602</v>
      </c>
      <c r="CZ9" s="26" t="n">
        <v>0.589</v>
      </c>
      <c r="DA9" s="26" t="n">
        <v>0.596</v>
      </c>
      <c r="DB9" s="26" t="n">
        <v>0.602</v>
      </c>
      <c r="DC9" s="26" t="n">
        <v>0.602</v>
      </c>
      <c r="DD9" s="26" t="n">
        <v>0.596</v>
      </c>
      <c r="DE9" s="26" t="n">
        <v>0.596</v>
      </c>
      <c r="DF9" s="26" t="n">
        <v>0.602</v>
      </c>
      <c r="DG9" s="26" t="n">
        <v>0.602</v>
      </c>
      <c r="DH9" s="26" t="n">
        <v>0.589</v>
      </c>
      <c r="DI9" s="26" t="n">
        <v>0.596</v>
      </c>
      <c r="DJ9" s="26" t="n">
        <v>0.602</v>
      </c>
      <c r="DK9" s="26" t="n">
        <v>0.602</v>
      </c>
      <c r="DL9" s="26" t="n">
        <v>0.589</v>
      </c>
      <c r="DM9" s="26" t="n">
        <v>0.596</v>
      </c>
      <c r="DN9" s="26" t="n">
        <v>0.602</v>
      </c>
      <c r="DO9" s="26" t="n">
        <v>0.602</v>
      </c>
      <c r="DP9" s="26" t="n">
        <v>0.589</v>
      </c>
      <c r="DQ9" s="26" t="n">
        <v>0.596</v>
      </c>
      <c r="DR9" s="26" t="n">
        <v>0.602</v>
      </c>
      <c r="DS9" s="26" t="n">
        <v>0.602</v>
      </c>
      <c r="DT9" s="26" t="n">
        <v>0.596</v>
      </c>
      <c r="DU9" s="26" t="n">
        <v>0.596</v>
      </c>
      <c r="DV9" s="26" t="n">
        <v>0.602</v>
      </c>
      <c r="DW9" s="26" t="n">
        <v>0.602</v>
      </c>
      <c r="DX9" s="26" t="n">
        <v>0.589</v>
      </c>
      <c r="DY9" s="26" t="n">
        <v>0.399</v>
      </c>
      <c r="DZ9" s="26" t="n">
        <v>15.199</v>
      </c>
      <c r="EA9" s="26" t="n">
        <v>48.264</v>
      </c>
      <c r="EB9" s="26" t="n">
        <v>88.602</v>
      </c>
      <c r="EC9" s="26" t="n">
        <v>211.608</v>
      </c>
      <c r="ED9" s="26" t="n">
        <v>245.213</v>
      </c>
      <c r="EE9" s="26" t="n">
        <v>370.432</v>
      </c>
      <c r="EF9" s="26" t="n">
        <v>486.031</v>
      </c>
      <c r="EG9" s="26" t="n">
        <v>510.298</v>
      </c>
      <c r="EH9" s="26" t="n">
        <v>711.348</v>
      </c>
      <c r="EI9" s="26" t="n">
        <v>557.159</v>
      </c>
      <c r="EJ9" s="26" t="n">
        <v>388.204</v>
      </c>
      <c r="EK9" s="26" t="n">
        <v>293.444</v>
      </c>
      <c r="EL9" s="26" t="n">
        <v>117.941</v>
      </c>
      <c r="EM9" s="26" t="n">
        <v>47.402</v>
      </c>
      <c r="EN9" s="26" t="n">
        <v>32.464</v>
      </c>
      <c r="EO9" s="26" t="n">
        <v>23.75</v>
      </c>
      <c r="EP9" s="26" t="n">
        <v>7.147</v>
      </c>
      <c r="EQ9" s="26" t="n">
        <v>2.389</v>
      </c>
      <c r="ER9" s="26" t="n">
        <v>2.396</v>
      </c>
      <c r="ES9" s="26" t="n">
        <v>2.389</v>
      </c>
      <c r="ET9" s="26" t="n">
        <v>2.389</v>
      </c>
      <c r="EU9" s="26" t="n">
        <v>2.389</v>
      </c>
      <c r="EV9" s="26" t="n">
        <v>2.396</v>
      </c>
      <c r="EW9" s="26" t="n">
        <v>2.389</v>
      </c>
      <c r="EX9" s="26" t="n">
        <v>2.389</v>
      </c>
      <c r="EY9" s="26" t="n">
        <v>2.389</v>
      </c>
      <c r="EZ9" s="26" t="n">
        <v>2.396</v>
      </c>
      <c r="FA9" s="26" t="n">
        <v>2.389</v>
      </c>
      <c r="FB9" s="26" t="n">
        <v>2.389</v>
      </c>
      <c r="FC9" s="26" t="n">
        <v>2.389</v>
      </c>
      <c r="FD9" s="26" t="n">
        <v>2.396</v>
      </c>
      <c r="FE9" s="26" t="n">
        <v>0.988</v>
      </c>
    </row>
    <row r="10">
      <c r="A10" s="12" t="inlineStr">
        <is>
          <t>cohort:⑤초호황</t>
        </is>
      </c>
      <c r="D10" t="inlineStr">
        <is>
          <t>코호트 ⑤초호황</t>
        </is>
      </c>
      <c r="AI10" s="26" t="n">
        <v>0.396</v>
      </c>
      <c r="AJ10" s="26" t="n">
        <v>17.772</v>
      </c>
      <c r="AK10" s="26" t="n">
        <v>46.688</v>
      </c>
      <c r="AL10" s="26" t="n">
        <v>58.218</v>
      </c>
      <c r="AM10" s="26" t="n">
        <v>99.367</v>
      </c>
      <c r="AN10" s="26" t="n">
        <v>97.20699999999999</v>
      </c>
      <c r="AO10" s="26" t="n">
        <v>98.28700000000001</v>
      </c>
      <c r="AP10" s="26" t="n">
        <v>99.367</v>
      </c>
      <c r="AQ10" s="26" t="n">
        <v>99.367</v>
      </c>
      <c r="AR10" s="26" t="n">
        <v>98.28700000000001</v>
      </c>
      <c r="AS10" s="26" t="n">
        <v>98.28700000000001</v>
      </c>
      <c r="AT10" s="26" t="n">
        <v>73.946</v>
      </c>
      <c r="AU10" s="26" t="n">
        <v>57.154</v>
      </c>
      <c r="AV10" s="26" t="n">
        <v>45.164</v>
      </c>
      <c r="AW10" s="26" t="n">
        <v>15.055</v>
      </c>
      <c r="EG10" s="26" t="n">
        <v>0.396</v>
      </c>
      <c r="EH10" s="26" t="n">
        <v>222.045</v>
      </c>
      <c r="EI10" s="26" t="n">
        <v>394.228</v>
      </c>
      <c r="EJ10" s="26" t="n">
        <v>327.674</v>
      </c>
      <c r="EK10" s="26" t="n">
        <v>60.219</v>
      </c>
    </row>
    <row r="11">
      <c r="A11" s="12" t="inlineStr">
        <is>
          <t>hedge_ratio</t>
        </is>
      </c>
      <c r="D11" t="inlineStr">
        <is>
          <t>헤지비율</t>
        </is>
      </c>
      <c r="E11" s="21" t="n">
        <v>0.7</v>
      </c>
      <c r="F11" s="21" t="n">
        <v>0.7</v>
      </c>
      <c r="G11" s="21" t="n">
        <v>0.7</v>
      </c>
      <c r="H11" s="21" t="n">
        <v>0.7</v>
      </c>
      <c r="I11" s="21" t="n">
        <v>0.7</v>
      </c>
      <c r="J11" s="21" t="n">
        <v>0.7</v>
      </c>
      <c r="K11" s="21" t="n">
        <v>0.7</v>
      </c>
      <c r="L11" s="21" t="n">
        <v>0.7</v>
      </c>
      <c r="M11" s="21" t="n">
        <v>0.7</v>
      </c>
      <c r="N11" s="21" t="n">
        <v>0.7</v>
      </c>
      <c r="O11" s="21" t="n">
        <v>0.7</v>
      </c>
      <c r="P11" s="21" t="n">
        <v>0.7</v>
      </c>
      <c r="Q11" s="21" t="n">
        <v>0.7</v>
      </c>
      <c r="R11" s="21" t="n">
        <v>0.7</v>
      </c>
      <c r="S11" s="21" t="n">
        <v>0.7</v>
      </c>
      <c r="T11" s="21" t="n">
        <v>0.7</v>
      </c>
      <c r="U11" s="21" t="n">
        <v>0.7</v>
      </c>
      <c r="V11" s="21" t="n">
        <v>0.7</v>
      </c>
      <c r="W11" s="21" t="n">
        <v>0.7</v>
      </c>
      <c r="X11" s="21" t="n">
        <v>0.7</v>
      </c>
      <c r="Y11" s="21" t="n">
        <v>0.7</v>
      </c>
      <c r="Z11" s="21" t="n">
        <v>0.7</v>
      </c>
      <c r="AA11" s="21" t="n">
        <v>0.7</v>
      </c>
      <c r="AB11" s="21" t="n">
        <v>0.7</v>
      </c>
      <c r="AC11" s="21" t="n">
        <v>0.7</v>
      </c>
      <c r="AD11" s="21" t="n">
        <v>0.7</v>
      </c>
      <c r="AE11" s="21" t="n">
        <v>0.7</v>
      </c>
      <c r="AF11" s="21" t="n">
        <v>0.7</v>
      </c>
      <c r="AG11" s="21" t="n">
        <v>0.7</v>
      </c>
      <c r="AH11" s="21" t="n">
        <v>0.7</v>
      </c>
      <c r="AI11" s="21" t="n">
        <v>0.7</v>
      </c>
      <c r="AJ11" s="21" t="n">
        <v>0.7</v>
      </c>
      <c r="AK11" s="21" t="n">
        <v>0.7</v>
      </c>
      <c r="AL11" s="21" t="n">
        <v>0.7</v>
      </c>
      <c r="AM11" s="21" t="n">
        <v>0.7</v>
      </c>
      <c r="AN11" s="21" t="n">
        <v>0.7</v>
      </c>
      <c r="AO11" s="21" t="n">
        <v>0.7</v>
      </c>
      <c r="AP11" s="21" t="n">
        <v>0.7</v>
      </c>
      <c r="AQ11" s="21" t="n">
        <v>0.7</v>
      </c>
      <c r="AR11" s="21" t="n">
        <v>0.7</v>
      </c>
      <c r="AS11" s="21" t="n">
        <v>0.7</v>
      </c>
      <c r="AT11" s="21" t="n">
        <v>0.7</v>
      </c>
      <c r="AU11" s="21" t="n">
        <v>0.7</v>
      </c>
      <c r="AV11" s="21" t="n">
        <v>0.7</v>
      </c>
      <c r="AW11" s="21" t="n">
        <v>0.7</v>
      </c>
      <c r="AX11" s="21" t="n">
        <v>0.7</v>
      </c>
      <c r="AY11" s="21" t="n">
        <v>0.7</v>
      </c>
      <c r="AZ11" s="21" t="n">
        <v>0.7</v>
      </c>
      <c r="BA11" s="21" t="n">
        <v>0.7</v>
      </c>
      <c r="BB11" s="21" t="n">
        <v>0.7</v>
      </c>
      <c r="BC11" s="21" t="n">
        <v>0.7</v>
      </c>
      <c r="BD11" s="21" t="n">
        <v>0.7</v>
      </c>
      <c r="BE11" s="21" t="n">
        <v>0.7</v>
      </c>
      <c r="BF11" s="21" t="n">
        <v>0.7</v>
      </c>
      <c r="BG11" s="21" t="n">
        <v>0.7</v>
      </c>
      <c r="BH11" s="21" t="n">
        <v>0.7</v>
      </c>
      <c r="BI11" s="21" t="n">
        <v>0.7</v>
      </c>
      <c r="BJ11" s="21" t="n">
        <v>0.7</v>
      </c>
      <c r="BK11" s="21" t="n">
        <v>0.7</v>
      </c>
      <c r="BL11" s="21" t="n">
        <v>0.7</v>
      </c>
      <c r="BM11" s="21" t="n">
        <v>0.7</v>
      </c>
      <c r="BN11" s="21" t="n">
        <v>0.7</v>
      </c>
      <c r="BO11" s="21" t="n">
        <v>0.7</v>
      </c>
      <c r="BP11" s="21" t="n">
        <v>0.7</v>
      </c>
      <c r="BQ11" s="21" t="n">
        <v>0.7</v>
      </c>
      <c r="BR11" s="21" t="n">
        <v>0.7</v>
      </c>
      <c r="BS11" s="21" t="n">
        <v>0.7</v>
      </c>
      <c r="BT11" s="21" t="n">
        <v>0.7</v>
      </c>
      <c r="BU11" s="21" t="n">
        <v>0.7</v>
      </c>
      <c r="BV11" s="21" t="n">
        <v>0.7</v>
      </c>
      <c r="BW11" s="21" t="n">
        <v>0.7</v>
      </c>
      <c r="BX11" s="21" t="n">
        <v>0.7</v>
      </c>
      <c r="BY11" s="21" t="n">
        <v>0.7</v>
      </c>
      <c r="BZ11" s="21" t="n">
        <v>0.7</v>
      </c>
      <c r="CA11" s="21" t="n">
        <v>0.7</v>
      </c>
      <c r="CB11" s="21" t="n">
        <v>0.7</v>
      </c>
      <c r="CC11" s="21" t="n">
        <v>0.7</v>
      </c>
      <c r="CD11" s="21" t="n">
        <v>0.7</v>
      </c>
      <c r="CE11" s="21" t="n">
        <v>0.7</v>
      </c>
      <c r="CF11" s="21" t="n">
        <v>0.7</v>
      </c>
      <c r="CG11" s="21" t="n">
        <v>0.7</v>
      </c>
      <c r="CH11" s="21" t="n">
        <v>0.7</v>
      </c>
      <c r="CI11" s="21" t="n">
        <v>0.7</v>
      </c>
      <c r="CJ11" s="21" t="n">
        <v>0.7</v>
      </c>
      <c r="CK11" s="21" t="n">
        <v>0.7</v>
      </c>
      <c r="CL11" s="21" t="n">
        <v>0.7</v>
      </c>
      <c r="CM11" s="21" t="n">
        <v>0.7</v>
      </c>
      <c r="CN11" s="21" t="n">
        <v>0.7</v>
      </c>
      <c r="CO11" s="21" t="n">
        <v>0.7</v>
      </c>
      <c r="CP11" s="21" t="n">
        <v>0.7</v>
      </c>
      <c r="CQ11" s="21" t="n">
        <v>0.7</v>
      </c>
      <c r="CR11" s="21" t="n">
        <v>0.7</v>
      </c>
      <c r="CS11" s="21" t="n">
        <v>0.7</v>
      </c>
      <c r="CT11" s="21" t="n">
        <v>0.7</v>
      </c>
      <c r="CU11" s="21" t="n">
        <v>0.7</v>
      </c>
      <c r="CV11" s="21" t="n">
        <v>0.7</v>
      </c>
      <c r="CW11" s="21" t="n">
        <v>0.7</v>
      </c>
      <c r="CX11" s="21" t="n">
        <v>0.7</v>
      </c>
      <c r="CY11" s="21" t="n">
        <v>0.7</v>
      </c>
      <c r="CZ11" s="21" t="n">
        <v>0.7</v>
      </c>
      <c r="DA11" s="21" t="n">
        <v>0.7</v>
      </c>
      <c r="DB11" s="21" t="n">
        <v>0.7</v>
      </c>
      <c r="DC11" s="21" t="n">
        <v>0.7</v>
      </c>
      <c r="DD11" s="21" t="n">
        <v>0.7</v>
      </c>
      <c r="DE11" s="21" t="n">
        <v>0.7</v>
      </c>
      <c r="DF11" s="21" t="n">
        <v>0.7</v>
      </c>
      <c r="DG11" s="21" t="n">
        <v>0.7</v>
      </c>
      <c r="DH11" s="21" t="n">
        <v>0.7</v>
      </c>
      <c r="DI11" s="21" t="n">
        <v>0.7</v>
      </c>
      <c r="DJ11" s="21" t="n">
        <v>0.7</v>
      </c>
      <c r="DK11" s="21" t="n">
        <v>0.7</v>
      </c>
      <c r="DL11" s="21" t="n">
        <v>0.7</v>
      </c>
      <c r="DM11" s="21" t="n">
        <v>0.7</v>
      </c>
      <c r="DN11" s="21" t="n">
        <v>0.7</v>
      </c>
      <c r="DO11" s="21" t="n">
        <v>0.7</v>
      </c>
      <c r="DP11" s="21" t="n">
        <v>0.7</v>
      </c>
      <c r="DQ11" s="21" t="n">
        <v>0.7</v>
      </c>
      <c r="DR11" s="21" t="n">
        <v>0.7</v>
      </c>
      <c r="DS11" s="21" t="n">
        <v>0.7</v>
      </c>
      <c r="DT11" s="21" t="n">
        <v>0.7</v>
      </c>
      <c r="DU11" s="21" t="n">
        <v>0.7</v>
      </c>
      <c r="DV11" s="21" t="n">
        <v>0.7</v>
      </c>
      <c r="DW11" s="21" t="n">
        <v>0.7</v>
      </c>
      <c r="DX11" s="21" t="n">
        <v>0.7</v>
      </c>
      <c r="DY11" s="21" t="n">
        <v>0.7</v>
      </c>
    </row>
    <row r="12">
      <c r="A12" s="12" t="inlineStr">
        <is>
          <t>hedge_rate</t>
        </is>
      </c>
      <c r="D12" t="inlineStr">
        <is>
          <t>헤지환율</t>
        </is>
      </c>
      <c r="E12" s="13" t="n">
        <v>1080.48</v>
      </c>
      <c r="F12" s="13" t="n">
        <v>1080.48</v>
      </c>
      <c r="G12" s="13" t="n">
        <v>1080.48</v>
      </c>
      <c r="H12" s="13" t="n">
        <v>1085.22</v>
      </c>
      <c r="I12" s="13" t="n">
        <v>1106.95</v>
      </c>
      <c r="J12" s="13" t="n">
        <v>1115.14</v>
      </c>
      <c r="K12" s="13" t="n">
        <v>1116.26</v>
      </c>
      <c r="L12" s="13" t="n">
        <v>1130.69</v>
      </c>
      <c r="M12" s="13" t="n">
        <v>1130.69</v>
      </c>
      <c r="N12" s="13" t="n">
        <v>1130.69</v>
      </c>
      <c r="O12" s="13" t="n">
        <v>1125.98</v>
      </c>
      <c r="P12" s="13" t="n">
        <v>1123.3</v>
      </c>
      <c r="Q12" s="13" t="n">
        <v>1122.51</v>
      </c>
      <c r="R12" s="13" t="n">
        <v>1124.2</v>
      </c>
      <c r="S12" s="13" t="n">
        <v>1126.74</v>
      </c>
      <c r="T12" s="13" t="n">
        <v>1127.57</v>
      </c>
      <c r="U12" s="13" t="n">
        <v>1127.57</v>
      </c>
      <c r="V12" s="13" t="n">
        <v>1131.77</v>
      </c>
      <c r="W12" s="13" t="n">
        <v>1145.89</v>
      </c>
      <c r="X12" s="13" t="n">
        <v>1170.82</v>
      </c>
      <c r="Y12" s="13" t="n">
        <v>1183.49</v>
      </c>
      <c r="Z12" s="13" t="n">
        <v>1206.46</v>
      </c>
      <c r="AA12" s="13" t="n">
        <v>1220.44</v>
      </c>
      <c r="AB12" s="13" t="n">
        <v>1221.79</v>
      </c>
      <c r="AC12" s="13" t="n">
        <v>1227.91</v>
      </c>
      <c r="AD12" s="13" t="n">
        <v>1228</v>
      </c>
      <c r="AE12" s="13" t="n">
        <v>1228.67</v>
      </c>
      <c r="AF12" s="13" t="n">
        <v>1233.83</v>
      </c>
      <c r="AG12" s="13" t="n">
        <v>1249.2</v>
      </c>
      <c r="AH12" s="13" t="n">
        <v>1254.23</v>
      </c>
      <c r="AI12" s="13" t="n">
        <v>1267.98</v>
      </c>
      <c r="AJ12" s="13" t="n">
        <v>1322.94</v>
      </c>
      <c r="AK12" s="13" t="n">
        <v>1377.69</v>
      </c>
      <c r="AL12" s="13" t="n">
        <v>1386.22</v>
      </c>
      <c r="AM12" s="13" t="n">
        <v>1391.21</v>
      </c>
      <c r="AN12" s="13" t="n">
        <v>1404.32</v>
      </c>
      <c r="AO12" s="13" t="n">
        <v>1421.93</v>
      </c>
      <c r="AP12" s="13" t="n">
        <v>1427.26</v>
      </c>
      <c r="AQ12" s="13" t="n">
        <v>1432.54</v>
      </c>
      <c r="AR12" s="13" t="n">
        <v>1439.9</v>
      </c>
      <c r="AS12" s="13" t="n">
        <v>1446.89</v>
      </c>
      <c r="AT12" s="13" t="n">
        <v>1448.2</v>
      </c>
      <c r="AU12" s="13" t="n">
        <v>1445.63</v>
      </c>
      <c r="AV12" s="13" t="n">
        <v>1442.16</v>
      </c>
      <c r="AW12" s="13" t="n">
        <v>1446.33</v>
      </c>
      <c r="AX12" s="13" t="n">
        <v>1450.09</v>
      </c>
      <c r="AY12" s="13" t="n">
        <v>1455.1</v>
      </c>
      <c r="AZ12" s="13" t="n">
        <v>1461.49</v>
      </c>
      <c r="BA12" s="13" t="n">
        <v>1462.34</v>
      </c>
      <c r="BB12" s="13" t="n">
        <v>1461.64</v>
      </c>
      <c r="BC12" s="13" t="n">
        <v>1427.72</v>
      </c>
      <c r="BD12" s="13" t="n">
        <v>1461.27</v>
      </c>
      <c r="BE12" s="13" t="n">
        <v>1466.54</v>
      </c>
      <c r="BF12" s="13" t="n">
        <v>1463.38</v>
      </c>
      <c r="BG12" s="13" t="n">
        <v>1463.38</v>
      </c>
      <c r="BH12" s="13" t="n">
        <v>1463.38</v>
      </c>
      <c r="BI12" s="13" t="n">
        <v>1446.27</v>
      </c>
      <c r="BJ12" s="13" t="n">
        <v>1439.41</v>
      </c>
      <c r="BK12" s="13" t="n">
        <v>1439.41</v>
      </c>
      <c r="BL12" s="13" t="n">
        <v>1439.41</v>
      </c>
      <c r="BM12" s="13" t="n">
        <v>1439.41</v>
      </c>
      <c r="BN12" s="13" t="n">
        <v>1442.43</v>
      </c>
      <c r="BO12" s="13" t="n">
        <v>1451.59</v>
      </c>
      <c r="BP12" s="13" t="n">
        <v>1451.59</v>
      </c>
      <c r="BQ12" s="13" t="n">
        <v>1454.84</v>
      </c>
      <c r="BR12" s="13" t="n">
        <v>1466.12</v>
      </c>
      <c r="BS12" s="13" t="n">
        <v>1466.12</v>
      </c>
      <c r="BT12" s="13" t="n">
        <v>1466.12</v>
      </c>
      <c r="BU12" s="13" t="n">
        <v>1466.12</v>
      </c>
      <c r="BV12" s="13" t="n">
        <v>1466.12</v>
      </c>
      <c r="BW12" s="13" t="n">
        <v>1466.12</v>
      </c>
      <c r="BX12" s="13" t="n">
        <v>1466.12</v>
      </c>
      <c r="BY12" s="13" t="n">
        <v>1466.12</v>
      </c>
      <c r="BZ12" s="13" t="n">
        <v>1466.12</v>
      </c>
      <c r="CA12" s="13" t="n">
        <v>1466.12</v>
      </c>
      <c r="CB12" s="13" t="n">
        <v>1466.12</v>
      </c>
      <c r="CC12" s="13" t="n">
        <v>1466.12</v>
      </c>
      <c r="CD12" s="13" t="n">
        <v>1466.12</v>
      </c>
      <c r="CE12" s="13" t="n">
        <v>1466.12</v>
      </c>
      <c r="CF12" s="13" t="n">
        <v>1466.12</v>
      </c>
      <c r="CG12" s="13" t="n">
        <v>1466.12</v>
      </c>
      <c r="CH12" s="13" t="n">
        <v>1466.12</v>
      </c>
      <c r="CI12" s="13" t="n">
        <v>1466.12</v>
      </c>
      <c r="CJ12" s="13" t="n">
        <v>1466.12</v>
      </c>
      <c r="CK12" s="13" t="n">
        <v>1466.12</v>
      </c>
      <c r="CL12" s="13" t="n">
        <v>1466.12</v>
      </c>
      <c r="CM12" s="13" t="n">
        <v>1466.12</v>
      </c>
      <c r="CN12" s="13" t="n">
        <v>1466.12</v>
      </c>
      <c r="CO12" s="13" t="n">
        <v>1466.12</v>
      </c>
      <c r="CP12" s="13" t="n">
        <v>1466.12</v>
      </c>
      <c r="CQ12" s="13" t="n">
        <v>1466.12</v>
      </c>
      <c r="CR12" s="13" t="n">
        <v>1466.12</v>
      </c>
      <c r="CS12" s="13" t="n">
        <v>1466.12</v>
      </c>
      <c r="CT12" s="13" t="n">
        <v>1466.12</v>
      </c>
      <c r="CU12" s="13" t="n">
        <v>1466.12</v>
      </c>
      <c r="CV12" s="13" t="n">
        <v>1466.12</v>
      </c>
      <c r="CW12" s="13" t="n">
        <v>1466.12</v>
      </c>
      <c r="CX12" s="13" t="n">
        <v>1466.12</v>
      </c>
      <c r="CY12" s="13" t="n">
        <v>1466.12</v>
      </c>
      <c r="CZ12" s="13" t="n">
        <v>1466.12</v>
      </c>
      <c r="DA12" s="13" t="n">
        <v>1466.12</v>
      </c>
      <c r="DB12" s="13" t="n">
        <v>1466.12</v>
      </c>
      <c r="DC12" s="13" t="n">
        <v>1466.12</v>
      </c>
      <c r="DD12" s="13" t="n">
        <v>1466.12</v>
      </c>
      <c r="DE12" s="13" t="n">
        <v>1466.12</v>
      </c>
      <c r="DF12" s="13" t="n">
        <v>1466.12</v>
      </c>
      <c r="DG12" s="13" t="n">
        <v>1466.12</v>
      </c>
      <c r="DH12" s="13" t="n">
        <v>1466.12</v>
      </c>
      <c r="DI12" s="13" t="n">
        <v>1466.12</v>
      </c>
      <c r="DJ12" s="13" t="n">
        <v>1466.12</v>
      </c>
      <c r="DK12" s="13" t="n">
        <v>1466.12</v>
      </c>
      <c r="DL12" s="13" t="n">
        <v>1466.12</v>
      </c>
      <c r="DM12" s="13" t="n">
        <v>1466.12</v>
      </c>
      <c r="DN12" s="13" t="n">
        <v>1466.12</v>
      </c>
      <c r="DO12" s="13" t="n">
        <v>1466.12</v>
      </c>
      <c r="DP12" s="13" t="n">
        <v>1466.12</v>
      </c>
      <c r="DQ12" s="13" t="n">
        <v>1466.12</v>
      </c>
      <c r="DR12" s="13" t="n">
        <v>1466.12</v>
      </c>
      <c r="DS12" s="13" t="n">
        <v>1466.12</v>
      </c>
      <c r="DT12" s="13" t="n">
        <v>1466.12</v>
      </c>
      <c r="DU12" s="13" t="n">
        <v>1466.12</v>
      </c>
      <c r="DV12" s="13" t="n">
        <v>1466.12</v>
      </c>
      <c r="DW12" s="13" t="n">
        <v>1466.12</v>
      </c>
      <c r="DX12" s="13" t="n">
        <v>1466.12</v>
      </c>
      <c r="DY12" s="13" t="n">
        <v>1466.12</v>
      </c>
    </row>
    <row r="13">
      <c r="A13" s="12" t="inlineStr">
        <is>
          <t>spot_assumed</t>
        </is>
      </c>
      <c r="D13" t="inlineStr">
        <is>
          <t>건조시점 환율(가정)</t>
        </is>
      </c>
      <c r="E13" s="13" t="n">
        <v>1080.48</v>
      </c>
      <c r="F13" s="13" t="n">
        <v>1121.86</v>
      </c>
      <c r="G13" s="13" t="n">
        <v>1127.53</v>
      </c>
      <c r="H13" s="13" t="n">
        <v>1125.78</v>
      </c>
      <c r="I13" s="13" t="n">
        <v>1167.69</v>
      </c>
      <c r="J13" s="13" t="n">
        <v>1193.96</v>
      </c>
      <c r="K13" s="13" t="n">
        <v>1176.23</v>
      </c>
      <c r="L13" s="13" t="n">
        <v>1193.92</v>
      </c>
      <c r="M13" s="13" t="n">
        <v>1219.69</v>
      </c>
      <c r="N13" s="13" t="n">
        <v>1187.81</v>
      </c>
      <c r="O13" s="13" t="n">
        <v>1117.97</v>
      </c>
      <c r="P13" s="13" t="n">
        <v>1114.99</v>
      </c>
      <c r="Q13" s="13" t="n">
        <v>1121.13</v>
      </c>
      <c r="R13" s="13" t="n">
        <v>1159.91</v>
      </c>
      <c r="S13" s="13" t="n">
        <v>1183.5</v>
      </c>
      <c r="T13" s="13" t="n">
        <v>1205.78</v>
      </c>
      <c r="U13" s="13" t="n">
        <v>1262.09</v>
      </c>
      <c r="V13" s="13" t="n">
        <v>1341.93</v>
      </c>
      <c r="W13" s="13" t="n">
        <v>1360.12</v>
      </c>
      <c r="X13" s="13" t="n">
        <v>1276.95</v>
      </c>
      <c r="Y13" s="13" t="n">
        <v>1315.69</v>
      </c>
      <c r="Z13" s="13" t="n">
        <v>1313.62</v>
      </c>
      <c r="AA13" s="13" t="n">
        <v>1322.01</v>
      </c>
      <c r="AB13" s="13" t="n">
        <v>1330.14</v>
      </c>
      <c r="AC13" s="13" t="n">
        <v>1371.28</v>
      </c>
      <c r="AD13" s="13" t="n">
        <v>1356.22</v>
      </c>
      <c r="AE13" s="13" t="n">
        <v>1396.3</v>
      </c>
      <c r="AF13" s="13" t="n">
        <v>1452.28</v>
      </c>
      <c r="AG13" s="13" t="n">
        <v>1398.52</v>
      </c>
      <c r="AH13" s="13" t="n">
        <v>1386.95</v>
      </c>
      <c r="AI13" s="13" t="n">
        <v>1449.19</v>
      </c>
      <c r="AJ13" s="13" t="n">
        <v>1466.12</v>
      </c>
      <c r="AK13" s="13" t="n">
        <v>1501.75</v>
      </c>
      <c r="AL13" s="13" t="n">
        <v>1419.72</v>
      </c>
      <c r="AM13" s="13" t="n">
        <v>1353.36</v>
      </c>
      <c r="AN13" s="13" t="n">
        <v>1353.36</v>
      </c>
      <c r="AO13" s="13" t="n">
        <v>1353.36</v>
      </c>
      <c r="AP13" s="13" t="n">
        <v>1353.36</v>
      </c>
      <c r="AQ13" s="13" t="n">
        <v>1353.36</v>
      </c>
      <c r="AR13" s="13" t="n">
        <v>1353.36</v>
      </c>
      <c r="AS13" s="13" t="n">
        <v>1353.36</v>
      </c>
      <c r="AT13" s="13" t="n">
        <v>1353.36</v>
      </c>
      <c r="AU13" s="13" t="n">
        <v>1353.36</v>
      </c>
      <c r="AV13" s="13" t="n">
        <v>1353.36</v>
      </c>
      <c r="AW13" s="13" t="n">
        <v>1353.36</v>
      </c>
      <c r="AX13" s="13" t="n">
        <v>1353.36</v>
      </c>
      <c r="AY13" s="13" t="n">
        <v>1353.36</v>
      </c>
      <c r="AZ13" s="13" t="n">
        <v>1353.36</v>
      </c>
      <c r="BA13" s="13" t="n">
        <v>1353.36</v>
      </c>
      <c r="BB13" s="13" t="n">
        <v>1353.36</v>
      </c>
      <c r="BC13" s="13" t="n">
        <v>1353.36</v>
      </c>
      <c r="BD13" s="13" t="n">
        <v>1353.36</v>
      </c>
      <c r="BE13" s="13" t="n">
        <v>1353.36</v>
      </c>
      <c r="BF13" s="13" t="n">
        <v>1353.36</v>
      </c>
      <c r="BG13" s="13" t="n">
        <v>1353.36</v>
      </c>
      <c r="BH13" s="13" t="n">
        <v>1353.36</v>
      </c>
      <c r="BI13" s="13" t="n">
        <v>1353.36</v>
      </c>
      <c r="BJ13" s="13" t="n">
        <v>1353.36</v>
      </c>
      <c r="BK13" s="13" t="n">
        <v>1353.36</v>
      </c>
      <c r="BL13" s="13" t="n">
        <v>1353.36</v>
      </c>
      <c r="BM13" s="13" t="n">
        <v>1353.36</v>
      </c>
      <c r="BN13" s="13" t="n">
        <v>1353.36</v>
      </c>
      <c r="BO13" s="13" t="n">
        <v>1353.36</v>
      </c>
      <c r="BP13" s="13" t="n">
        <v>1353.36</v>
      </c>
      <c r="BQ13" s="13" t="n">
        <v>1353.36</v>
      </c>
      <c r="BR13" s="13" t="n">
        <v>1353.36</v>
      </c>
      <c r="BS13" s="13" t="n">
        <v>1353.36</v>
      </c>
      <c r="BT13" s="13" t="n">
        <v>1353.36</v>
      </c>
      <c r="BU13" s="13" t="n">
        <v>1353.36</v>
      </c>
      <c r="BV13" s="13" t="n">
        <v>1353.36</v>
      </c>
      <c r="BW13" s="13" t="n">
        <v>1353.36</v>
      </c>
      <c r="BX13" s="13" t="n">
        <v>1353.36</v>
      </c>
      <c r="BY13" s="13" t="n">
        <v>1353.36</v>
      </c>
      <c r="BZ13" s="13" t="n">
        <v>1353.36</v>
      </c>
      <c r="CA13" s="13" t="n">
        <v>1353.36</v>
      </c>
      <c r="CB13" s="13" t="n">
        <v>1353.36</v>
      </c>
      <c r="CC13" s="13" t="n">
        <v>1353.36</v>
      </c>
      <c r="CD13" s="13" t="n">
        <v>1353.36</v>
      </c>
      <c r="CE13" s="13" t="n">
        <v>1353.36</v>
      </c>
      <c r="CF13" s="13" t="n">
        <v>1353.36</v>
      </c>
      <c r="CG13" s="13" t="n">
        <v>1353.36</v>
      </c>
      <c r="CH13" s="13" t="n">
        <v>1353.36</v>
      </c>
      <c r="CI13" s="13" t="n">
        <v>1353.36</v>
      </c>
      <c r="CJ13" s="13" t="n">
        <v>1353.36</v>
      </c>
      <c r="CK13" s="13" t="n">
        <v>1353.36</v>
      </c>
      <c r="CL13" s="13" t="n">
        <v>1353.36</v>
      </c>
      <c r="CM13" s="13" t="n">
        <v>1353.36</v>
      </c>
      <c r="CN13" s="13" t="n">
        <v>1353.36</v>
      </c>
      <c r="CO13" s="13" t="n">
        <v>1353.36</v>
      </c>
      <c r="CP13" s="13" t="n">
        <v>1353.36</v>
      </c>
      <c r="CQ13" s="13" t="n">
        <v>1353.36</v>
      </c>
      <c r="CR13" s="13" t="n">
        <v>1353.36</v>
      </c>
      <c r="CS13" s="13" t="n">
        <v>1353.36</v>
      </c>
      <c r="CT13" s="13" t="n">
        <v>1353.36</v>
      </c>
      <c r="CU13" s="13" t="n">
        <v>1353.36</v>
      </c>
      <c r="CV13" s="13" t="n">
        <v>1353.36</v>
      </c>
      <c r="CW13" s="13" t="n">
        <v>1353.36</v>
      </c>
      <c r="CX13" s="13" t="n">
        <v>1353.36</v>
      </c>
      <c r="CY13" s="13" t="n">
        <v>1353.36</v>
      </c>
      <c r="CZ13" s="13" t="n">
        <v>1353.36</v>
      </c>
      <c r="DA13" s="13" t="n">
        <v>1353.36</v>
      </c>
      <c r="DB13" s="13" t="n">
        <v>1353.36</v>
      </c>
      <c r="DC13" s="13" t="n">
        <v>1353.36</v>
      </c>
      <c r="DD13" s="13" t="n">
        <v>1353.36</v>
      </c>
      <c r="DE13" s="13" t="n">
        <v>1353.36</v>
      </c>
      <c r="DF13" s="13" t="n">
        <v>1353.36</v>
      </c>
      <c r="DG13" s="13" t="n">
        <v>1353.36</v>
      </c>
      <c r="DH13" s="13" t="n">
        <v>1353.36</v>
      </c>
      <c r="DI13" s="13" t="n">
        <v>1353.36</v>
      </c>
      <c r="DJ13" s="13" t="n">
        <v>1353.36</v>
      </c>
      <c r="DK13" s="13" t="n">
        <v>1353.36</v>
      </c>
      <c r="DL13" s="13" t="n">
        <v>1353.36</v>
      </c>
      <c r="DM13" s="13" t="n">
        <v>1353.36</v>
      </c>
      <c r="DN13" s="13" t="n">
        <v>1353.36</v>
      </c>
      <c r="DO13" s="13" t="n">
        <v>1353.36</v>
      </c>
      <c r="DP13" s="13" t="n">
        <v>1353.36</v>
      </c>
      <c r="DQ13" s="13" t="n">
        <v>1353.36</v>
      </c>
      <c r="DR13" s="13" t="n">
        <v>1353.36</v>
      </c>
      <c r="DS13" s="13" t="n">
        <v>1353.36</v>
      </c>
      <c r="DT13" s="13" t="n">
        <v>1353.36</v>
      </c>
      <c r="DU13" s="13" t="n">
        <v>1353.36</v>
      </c>
      <c r="DV13" s="13" t="n">
        <v>1353.36</v>
      </c>
      <c r="DW13" s="13" t="n">
        <v>1353.36</v>
      </c>
      <c r="DX13" s="13" t="n">
        <v>1353.36</v>
      </c>
      <c r="DY13" s="13" t="n">
        <v>1353.36</v>
      </c>
    </row>
    <row r="14">
      <c r="A14" s="12" t="inlineStr">
        <is>
          <t>applied_rate</t>
        </is>
      </c>
      <c r="D14" t="inlineStr">
        <is>
          <t>적용환율</t>
        </is>
      </c>
      <c r="E14" s="13" t="n">
        <v>1080.48</v>
      </c>
      <c r="F14" s="13" t="n">
        <v>1092.89</v>
      </c>
      <c r="G14" s="13" t="n">
        <v>1094.6</v>
      </c>
      <c r="H14" s="13" t="n">
        <v>1097.39</v>
      </c>
      <c r="I14" s="13" t="n">
        <v>1125.17</v>
      </c>
      <c r="J14" s="13" t="n">
        <v>1138.79</v>
      </c>
      <c r="K14" s="13" t="n">
        <v>1134.25</v>
      </c>
      <c r="L14" s="13" t="n">
        <v>1149.66</v>
      </c>
      <c r="M14" s="13" t="n">
        <v>1157.39</v>
      </c>
      <c r="N14" s="13" t="n">
        <v>1147.83</v>
      </c>
      <c r="O14" s="13" t="n">
        <v>1123.57</v>
      </c>
      <c r="P14" s="13" t="n">
        <v>1120.81</v>
      </c>
      <c r="Q14" s="13" t="n">
        <v>1122.1</v>
      </c>
      <c r="R14" s="13" t="n">
        <v>1134.91</v>
      </c>
      <c r="S14" s="13" t="n">
        <v>1143.77</v>
      </c>
      <c r="T14" s="13" t="n">
        <v>1151.03</v>
      </c>
      <c r="U14" s="13" t="n">
        <v>1167.92</v>
      </c>
      <c r="V14" s="13" t="n">
        <v>1194.81</v>
      </c>
      <c r="W14" s="13" t="n">
        <v>1210.16</v>
      </c>
      <c r="X14" s="13" t="n">
        <v>1202.66</v>
      </c>
      <c r="Y14" s="13" t="n">
        <v>1223.15</v>
      </c>
      <c r="Z14" s="13" t="n">
        <v>1238.61</v>
      </c>
      <c r="AA14" s="13" t="n">
        <v>1250.91</v>
      </c>
      <c r="AB14" s="13" t="n">
        <v>1254.3</v>
      </c>
      <c r="AC14" s="13" t="n">
        <v>1270.92</v>
      </c>
      <c r="AD14" s="13" t="n">
        <v>1266.46</v>
      </c>
      <c r="AE14" s="13" t="n">
        <v>1278.96</v>
      </c>
      <c r="AF14" s="13" t="n">
        <v>1299.36</v>
      </c>
      <c r="AG14" s="13" t="n">
        <v>1294</v>
      </c>
      <c r="AH14" s="13" t="n">
        <v>1294.04</v>
      </c>
      <c r="AI14" s="13" t="n">
        <v>1322.34</v>
      </c>
      <c r="AJ14" s="13" t="n">
        <v>1365.89</v>
      </c>
      <c r="AK14" s="13" t="n">
        <v>1414.91</v>
      </c>
      <c r="AL14" s="13" t="n">
        <v>1396.27</v>
      </c>
      <c r="AM14" s="13" t="n">
        <v>1379.86</v>
      </c>
      <c r="AN14" s="13" t="n">
        <v>1389.03</v>
      </c>
      <c r="AO14" s="13" t="n">
        <v>1401.36</v>
      </c>
      <c r="AP14" s="13" t="n">
        <v>1405.09</v>
      </c>
      <c r="AQ14" s="13" t="n">
        <v>1408.79</v>
      </c>
      <c r="AR14" s="13" t="n">
        <v>1413.94</v>
      </c>
      <c r="AS14" s="13" t="n">
        <v>1418.83</v>
      </c>
      <c r="AT14" s="13" t="n">
        <v>1419.75</v>
      </c>
      <c r="AU14" s="13" t="n">
        <v>1417.95</v>
      </c>
      <c r="AV14" s="13" t="n">
        <v>1415.52</v>
      </c>
      <c r="AW14" s="13" t="n">
        <v>1418.44</v>
      </c>
      <c r="AX14" s="13" t="n">
        <v>1421.07</v>
      </c>
      <c r="AY14" s="13" t="n">
        <v>1424.58</v>
      </c>
      <c r="AZ14" s="13" t="n">
        <v>1429.05</v>
      </c>
      <c r="BA14" s="13" t="n">
        <v>1429.64</v>
      </c>
      <c r="BB14" s="13" t="n">
        <v>1429.16</v>
      </c>
      <c r="BC14" s="13" t="n">
        <v>1405.41</v>
      </c>
      <c r="BD14" s="13" t="n">
        <v>1428.89</v>
      </c>
      <c r="BE14" s="13" t="n">
        <v>1432.58</v>
      </c>
      <c r="BF14" s="13" t="n">
        <v>1430.38</v>
      </c>
      <c r="BG14" s="13" t="n">
        <v>1430.38</v>
      </c>
      <c r="BH14" s="13" t="n">
        <v>1430.38</v>
      </c>
      <c r="BI14" s="13" t="n">
        <v>1418.39</v>
      </c>
      <c r="BJ14" s="13" t="n">
        <v>1413.59</v>
      </c>
      <c r="BK14" s="13" t="n">
        <v>1413.59</v>
      </c>
      <c r="BL14" s="13" t="n">
        <v>1413.59</v>
      </c>
      <c r="BM14" s="13" t="n">
        <v>1413.59</v>
      </c>
      <c r="BN14" s="13" t="n">
        <v>1415.71</v>
      </c>
      <c r="BO14" s="13" t="n">
        <v>1422.12</v>
      </c>
      <c r="BP14" s="13" t="n">
        <v>1422.12</v>
      </c>
      <c r="BQ14" s="13" t="n">
        <v>1424.4</v>
      </c>
      <c r="BR14" s="13" t="n">
        <v>1432.29</v>
      </c>
      <c r="BS14" s="13" t="n">
        <v>1432.29</v>
      </c>
      <c r="BT14" s="13" t="n">
        <v>1432.29</v>
      </c>
      <c r="BU14" s="13" t="n">
        <v>1432.29</v>
      </c>
      <c r="BV14" s="13" t="n">
        <v>1432.29</v>
      </c>
      <c r="BW14" s="13" t="n">
        <v>1432.29</v>
      </c>
      <c r="BX14" s="13" t="n">
        <v>1432.29</v>
      </c>
      <c r="BY14" s="13" t="n">
        <v>1432.29</v>
      </c>
      <c r="BZ14" s="13" t="n">
        <v>1432.29</v>
      </c>
      <c r="CA14" s="13" t="n">
        <v>1432.29</v>
      </c>
      <c r="CB14" s="13" t="n">
        <v>1432.29</v>
      </c>
      <c r="CC14" s="13" t="n">
        <v>1432.29</v>
      </c>
      <c r="CD14" s="13" t="n">
        <v>1432.29</v>
      </c>
      <c r="CE14" s="13" t="n">
        <v>1432.29</v>
      </c>
      <c r="CF14" s="13" t="n">
        <v>1432.29</v>
      </c>
      <c r="CG14" s="13" t="n">
        <v>1432.29</v>
      </c>
      <c r="CH14" s="13" t="n">
        <v>1432.29</v>
      </c>
      <c r="CI14" s="13" t="n">
        <v>1432.29</v>
      </c>
      <c r="CJ14" s="13" t="n">
        <v>1432.29</v>
      </c>
      <c r="CK14" s="13" t="n">
        <v>1432.29</v>
      </c>
      <c r="CL14" s="13" t="n">
        <v>1432.29</v>
      </c>
      <c r="CM14" s="13" t="n">
        <v>1432.29</v>
      </c>
      <c r="CN14" s="13" t="n">
        <v>1432.29</v>
      </c>
      <c r="CO14" s="13" t="n">
        <v>1432.29</v>
      </c>
      <c r="CP14" s="13" t="n">
        <v>1432.29</v>
      </c>
      <c r="CQ14" s="13" t="n">
        <v>1432.29</v>
      </c>
      <c r="CR14" s="13" t="n">
        <v>1432.29</v>
      </c>
      <c r="CS14" s="13" t="n">
        <v>1432.29</v>
      </c>
      <c r="CT14" s="13" t="n">
        <v>1432.29</v>
      </c>
      <c r="CU14" s="13" t="n">
        <v>1432.29</v>
      </c>
      <c r="CV14" s="13" t="n">
        <v>1432.29</v>
      </c>
      <c r="CW14" s="13" t="n">
        <v>1432.29</v>
      </c>
      <c r="CX14" s="13" t="n">
        <v>1432.29</v>
      </c>
      <c r="CY14" s="13" t="n">
        <v>1432.29</v>
      </c>
      <c r="CZ14" s="13" t="n">
        <v>1432.29</v>
      </c>
      <c r="DA14" s="13" t="n">
        <v>1432.29</v>
      </c>
      <c r="DB14" s="13" t="n">
        <v>1432.29</v>
      </c>
      <c r="DC14" s="13" t="n">
        <v>1432.29</v>
      </c>
      <c r="DD14" s="13" t="n">
        <v>1432.29</v>
      </c>
      <c r="DE14" s="13" t="n">
        <v>1432.29</v>
      </c>
      <c r="DF14" s="13" t="n">
        <v>1432.29</v>
      </c>
      <c r="DG14" s="13" t="n">
        <v>1432.29</v>
      </c>
      <c r="DH14" s="13" t="n">
        <v>1432.29</v>
      </c>
      <c r="DI14" s="13" t="n">
        <v>1432.29</v>
      </c>
      <c r="DJ14" s="13" t="n">
        <v>1432.29</v>
      </c>
      <c r="DK14" s="13" t="n">
        <v>1432.29</v>
      </c>
      <c r="DL14" s="13" t="n">
        <v>1432.29</v>
      </c>
      <c r="DM14" s="13" t="n">
        <v>1432.29</v>
      </c>
      <c r="DN14" s="13" t="n">
        <v>1432.29</v>
      </c>
      <c r="DO14" s="13" t="n">
        <v>1432.29</v>
      </c>
      <c r="DP14" s="13" t="n">
        <v>1432.29</v>
      </c>
      <c r="DQ14" s="13" t="n">
        <v>1432.29</v>
      </c>
      <c r="DR14" s="13" t="n">
        <v>1432.29</v>
      </c>
      <c r="DS14" s="13" t="n">
        <v>1432.29</v>
      </c>
      <c r="DT14" s="13" t="n">
        <v>1432.29</v>
      </c>
      <c r="DU14" s="13" t="n">
        <v>1432.29</v>
      </c>
      <c r="DV14" s="13" t="n">
        <v>1432.29</v>
      </c>
      <c r="DW14" s="13" t="n">
        <v>1432.29</v>
      </c>
      <c r="DX14" s="13" t="n">
        <v>1432.29</v>
      </c>
      <c r="DY14" s="13" t="n">
        <v>1432.29</v>
      </c>
    </row>
    <row r="15">
      <c r="A15" s="12" t="inlineStr">
        <is>
          <t>hedged_krw_m</t>
        </is>
      </c>
      <c r="D15" t="inlineStr">
        <is>
          <t>헤지적용 원화매출(백만원)</t>
        </is>
      </c>
      <c r="E15" s="18" t="n">
        <v>3169.1</v>
      </c>
      <c r="F15" s="18" t="n">
        <v>6702.4</v>
      </c>
      <c r="G15" s="18" t="n">
        <v>6712.8</v>
      </c>
      <c r="H15" s="18" t="n">
        <v>7352.3</v>
      </c>
      <c r="I15" s="18" t="n">
        <v>13923.4</v>
      </c>
      <c r="J15" s="18" t="n">
        <v>16467.9</v>
      </c>
      <c r="K15" s="18" t="n">
        <v>16706.7</v>
      </c>
      <c r="L15" s="18" t="n">
        <v>22060</v>
      </c>
      <c r="M15" s="18" t="n">
        <v>22208.4</v>
      </c>
      <c r="N15" s="18" t="n">
        <v>22266.9</v>
      </c>
      <c r="O15" s="18" t="n">
        <v>34636.6</v>
      </c>
      <c r="P15" s="18" t="n">
        <v>50759</v>
      </c>
      <c r="Q15" s="18" t="n">
        <v>56847.1</v>
      </c>
      <c r="R15" s="18" t="n">
        <v>64025.8</v>
      </c>
      <c r="S15" s="18" t="n">
        <v>67761.2</v>
      </c>
      <c r="T15" s="18" t="n">
        <v>67692.2</v>
      </c>
      <c r="U15" s="18" t="n">
        <v>69448.89999999999</v>
      </c>
      <c r="V15" s="18" t="n">
        <v>73263.5</v>
      </c>
      <c r="W15" s="18" t="n">
        <v>79412</v>
      </c>
      <c r="X15" s="18" t="n">
        <v>87898.7</v>
      </c>
      <c r="Y15" s="18" t="n">
        <v>100004.1</v>
      </c>
      <c r="Z15" s="18" t="n">
        <v>124200</v>
      </c>
      <c r="AA15" s="18" t="n">
        <v>144245.2</v>
      </c>
      <c r="AB15" s="18" t="n">
        <v>144844</v>
      </c>
      <c r="AC15" s="18" t="n">
        <v>155537.7</v>
      </c>
      <c r="AD15" s="18" t="n">
        <v>156835.1</v>
      </c>
      <c r="AE15" s="18" t="n">
        <v>159018.5</v>
      </c>
      <c r="AF15" s="18" t="n">
        <v>162693.6</v>
      </c>
      <c r="AG15" s="18" t="n">
        <v>161655.2</v>
      </c>
      <c r="AH15" s="18" t="n">
        <v>162421.9</v>
      </c>
      <c r="AI15" s="18" t="n">
        <v>178571.6</v>
      </c>
      <c r="AJ15" s="18" t="n">
        <v>253765.6</v>
      </c>
      <c r="AK15" s="18" t="n">
        <v>312360.8</v>
      </c>
      <c r="AL15" s="18" t="n">
        <v>338199.7</v>
      </c>
      <c r="AM15" s="18" t="n">
        <v>392740.1</v>
      </c>
      <c r="AN15" s="18" t="n">
        <v>364158.8</v>
      </c>
      <c r="AO15" s="18" t="n">
        <v>333504.1</v>
      </c>
      <c r="AP15" s="18" t="n">
        <v>323753.6</v>
      </c>
      <c r="AQ15" s="18" t="n">
        <v>311087.9</v>
      </c>
      <c r="AR15" s="18" t="n">
        <v>290283.1</v>
      </c>
      <c r="AS15" s="18" t="n">
        <v>282303.2</v>
      </c>
      <c r="AT15" s="18" t="n">
        <v>238468.2</v>
      </c>
      <c r="AU15" s="18" t="n">
        <v>203677.3</v>
      </c>
      <c r="AV15" s="18" t="n">
        <v>183695.6</v>
      </c>
      <c r="AW15" s="18" t="n">
        <v>129879.5</v>
      </c>
      <c r="AX15" s="18" t="n">
        <v>103761.7</v>
      </c>
      <c r="AY15" s="18" t="n">
        <v>84488.8</v>
      </c>
      <c r="AZ15" s="18" t="n">
        <v>53307.4</v>
      </c>
      <c r="BA15" s="18" t="n">
        <v>50425.1</v>
      </c>
      <c r="BB15" s="18" t="n">
        <v>43041</v>
      </c>
      <c r="BC15" s="18" t="n">
        <v>21434.6</v>
      </c>
      <c r="BD15" s="18" t="n">
        <v>18569.4</v>
      </c>
      <c r="BE15" s="18" t="n">
        <v>17259.3</v>
      </c>
      <c r="BF15" s="18" t="n">
        <v>15990.8</v>
      </c>
      <c r="BG15" s="18" t="n">
        <v>15990.8</v>
      </c>
      <c r="BH15" s="18" t="n">
        <v>15816.9</v>
      </c>
      <c r="BI15" s="18" t="n">
        <v>10845.4</v>
      </c>
      <c r="BJ15" s="18" t="n">
        <v>9725.200000000001</v>
      </c>
      <c r="BK15" s="18" t="n">
        <v>9725.200000000001</v>
      </c>
      <c r="BL15" s="18" t="n">
        <v>9513.799999999999</v>
      </c>
      <c r="BM15" s="18" t="n">
        <v>9619.5</v>
      </c>
      <c r="BN15" s="18" t="n">
        <v>8444.799999999999</v>
      </c>
      <c r="BO15" s="18" t="n">
        <v>6044</v>
      </c>
      <c r="BP15" s="18" t="n">
        <v>5912.6</v>
      </c>
      <c r="BQ15" s="18" t="n">
        <v>2543</v>
      </c>
      <c r="BR15" s="18" t="n">
        <v>862.9</v>
      </c>
      <c r="BS15" s="18" t="n">
        <v>862.9</v>
      </c>
      <c r="BT15" s="18" t="n">
        <v>844.2</v>
      </c>
      <c r="BU15" s="18" t="n">
        <v>853.5</v>
      </c>
      <c r="BV15" s="18" t="n">
        <v>862.9</v>
      </c>
      <c r="BW15" s="18" t="n">
        <v>862.9</v>
      </c>
      <c r="BX15" s="18" t="n">
        <v>853.5</v>
      </c>
      <c r="BY15" s="18" t="n">
        <v>853.5</v>
      </c>
      <c r="BZ15" s="18" t="n">
        <v>862.9</v>
      </c>
      <c r="CA15" s="18" t="n">
        <v>862.9</v>
      </c>
      <c r="CB15" s="18" t="n">
        <v>844.2</v>
      </c>
      <c r="CC15" s="18" t="n">
        <v>853.5</v>
      </c>
      <c r="CD15" s="18" t="n">
        <v>862.9</v>
      </c>
      <c r="CE15" s="18" t="n">
        <v>862.9</v>
      </c>
      <c r="CF15" s="18" t="n">
        <v>844.2</v>
      </c>
      <c r="CG15" s="18" t="n">
        <v>853.5</v>
      </c>
      <c r="CH15" s="18" t="n">
        <v>862.9</v>
      </c>
      <c r="CI15" s="18" t="n">
        <v>862.9</v>
      </c>
      <c r="CJ15" s="18" t="n">
        <v>844.2</v>
      </c>
      <c r="CK15" s="18" t="n">
        <v>853.5</v>
      </c>
      <c r="CL15" s="18" t="n">
        <v>862.9</v>
      </c>
      <c r="CM15" s="18" t="n">
        <v>862.9</v>
      </c>
      <c r="CN15" s="18" t="n">
        <v>853.5</v>
      </c>
      <c r="CO15" s="18" t="n">
        <v>853.5</v>
      </c>
      <c r="CP15" s="18" t="n">
        <v>862.9</v>
      </c>
      <c r="CQ15" s="18" t="n">
        <v>862.9</v>
      </c>
      <c r="CR15" s="18" t="n">
        <v>844.2</v>
      </c>
      <c r="CS15" s="18" t="n">
        <v>853.5</v>
      </c>
      <c r="CT15" s="18" t="n">
        <v>862.9</v>
      </c>
      <c r="CU15" s="18" t="n">
        <v>862.9</v>
      </c>
      <c r="CV15" s="18" t="n">
        <v>844.2</v>
      </c>
      <c r="CW15" s="18" t="n">
        <v>853.5</v>
      </c>
      <c r="CX15" s="18" t="n">
        <v>862.9</v>
      </c>
      <c r="CY15" s="18" t="n">
        <v>862.9</v>
      </c>
      <c r="CZ15" s="18" t="n">
        <v>844.2</v>
      </c>
      <c r="DA15" s="18" t="n">
        <v>853.5</v>
      </c>
      <c r="DB15" s="18" t="n">
        <v>862.9</v>
      </c>
      <c r="DC15" s="18" t="n">
        <v>862.9</v>
      </c>
      <c r="DD15" s="18" t="n">
        <v>853.5</v>
      </c>
      <c r="DE15" s="18" t="n">
        <v>853.5</v>
      </c>
      <c r="DF15" s="18" t="n">
        <v>862.9</v>
      </c>
      <c r="DG15" s="18" t="n">
        <v>862.9</v>
      </c>
      <c r="DH15" s="18" t="n">
        <v>844.2</v>
      </c>
      <c r="DI15" s="18" t="n">
        <v>853.5</v>
      </c>
      <c r="DJ15" s="18" t="n">
        <v>862.9</v>
      </c>
      <c r="DK15" s="18" t="n">
        <v>862.9</v>
      </c>
      <c r="DL15" s="18" t="n">
        <v>844.2</v>
      </c>
      <c r="DM15" s="18" t="n">
        <v>853.5</v>
      </c>
      <c r="DN15" s="18" t="n">
        <v>862.9</v>
      </c>
      <c r="DO15" s="18" t="n">
        <v>862.9</v>
      </c>
      <c r="DP15" s="18" t="n">
        <v>844.2</v>
      </c>
      <c r="DQ15" s="18" t="n">
        <v>853.5</v>
      </c>
      <c r="DR15" s="18" t="n">
        <v>862.9</v>
      </c>
      <c r="DS15" s="18" t="n">
        <v>862.9</v>
      </c>
      <c r="DT15" s="18" t="n">
        <v>853.5</v>
      </c>
      <c r="DU15" s="18" t="n">
        <v>853.5</v>
      </c>
      <c r="DV15" s="18" t="n">
        <v>862.9</v>
      </c>
      <c r="DW15" s="18" t="n">
        <v>862.9</v>
      </c>
      <c r="DX15" s="18" t="n">
        <v>844.2</v>
      </c>
      <c r="DY15" s="18" t="n">
        <v>572.1</v>
      </c>
      <c r="DZ15" s="18" t="n">
        <v>16584.3</v>
      </c>
      <c r="EA15" s="18" t="n">
        <v>54450.3</v>
      </c>
      <c r="EB15" s="18" t="n">
        <v>101171.9</v>
      </c>
      <c r="EC15" s="18" t="n">
        <v>239393.1</v>
      </c>
      <c r="ED15" s="18" t="n">
        <v>289816.6</v>
      </c>
      <c r="EE15" s="18" t="n">
        <v>456348</v>
      </c>
      <c r="EF15" s="18" t="n">
        <v>616235.3</v>
      </c>
      <c r="EG15" s="18" t="n">
        <v>665342.3</v>
      </c>
      <c r="EH15" s="18" t="n">
        <v>1297066.2</v>
      </c>
      <c r="EI15" s="18" t="n">
        <v>1332504.4</v>
      </c>
      <c r="EJ15" s="18" t="n">
        <v>1014731.8</v>
      </c>
      <c r="EK15" s="18" t="n">
        <v>501825.6</v>
      </c>
      <c r="EL15" s="18" t="n">
        <v>168208.1</v>
      </c>
      <c r="EM15" s="18" t="n">
        <v>67810.3</v>
      </c>
      <c r="EN15" s="18" t="n">
        <v>46112.7</v>
      </c>
      <c r="EO15" s="18" t="n">
        <v>33622.1</v>
      </c>
      <c r="EP15" s="18" t="n">
        <v>10181.4</v>
      </c>
      <c r="EQ15" s="18" t="n">
        <v>3423.5</v>
      </c>
      <c r="ER15" s="18" t="n">
        <v>3432.8</v>
      </c>
      <c r="ES15" s="18" t="n">
        <v>3423.5</v>
      </c>
      <c r="ET15" s="18" t="n">
        <v>3423.5</v>
      </c>
      <c r="EU15" s="18" t="n">
        <v>3423.5</v>
      </c>
      <c r="EV15" s="18" t="n">
        <v>3432.8</v>
      </c>
      <c r="EW15" s="18" t="n">
        <v>3423.5</v>
      </c>
      <c r="EX15" s="18" t="n">
        <v>3423.5</v>
      </c>
      <c r="EY15" s="18" t="n">
        <v>3423.5</v>
      </c>
      <c r="EZ15" s="18" t="n">
        <v>3432.8</v>
      </c>
      <c r="FA15" s="18" t="n">
        <v>3423.5</v>
      </c>
      <c r="FB15" s="18" t="n">
        <v>3423.5</v>
      </c>
      <c r="FC15" s="18" t="n">
        <v>3423.5</v>
      </c>
      <c r="FD15" s="18" t="n">
        <v>3432.8</v>
      </c>
      <c r="FE15" s="18" t="n">
        <v>1416.3</v>
      </c>
    </row>
    <row r="16">
      <c r="A16" s="12" t="inlineStr">
        <is>
          <t>target_opm</t>
        </is>
      </c>
      <c r="D16" t="inlineStr">
        <is>
          <t>타겟 OPM(코호트)</t>
        </is>
      </c>
      <c r="AI16" s="21" t="n">
        <v>0.15</v>
      </c>
      <c r="AJ16" s="21" t="n">
        <v>0.15</v>
      </c>
      <c r="AK16" s="21" t="n">
        <v>0.15</v>
      </c>
      <c r="AL16" s="21" t="n">
        <v>0.15</v>
      </c>
      <c r="AM16" s="21" t="n">
        <v>0.15</v>
      </c>
      <c r="AN16" s="21" t="n">
        <v>0.15</v>
      </c>
      <c r="AO16" s="21" t="n">
        <v>0.15</v>
      </c>
      <c r="AP16" s="21" t="n">
        <v>0.15</v>
      </c>
      <c r="AQ16" s="21" t="n">
        <v>0.15</v>
      </c>
      <c r="AR16" s="21" t="n">
        <v>0.15</v>
      </c>
      <c r="AS16" s="21" t="n">
        <v>0.15</v>
      </c>
      <c r="AT16" s="21" t="n">
        <v>0.15</v>
      </c>
      <c r="AU16" s="21" t="n">
        <v>0.15</v>
      </c>
      <c r="AV16" s="21" t="n">
        <v>0.15</v>
      </c>
      <c r="AW16" s="21" t="n">
        <v>0.15</v>
      </c>
    </row>
    <row r="18">
      <c r="A18" s="1" t="inlineStr">
        <is>
          <t>계약 원장(contracts.json 기반)</t>
        </is>
      </c>
    </row>
    <row r="19">
      <c r="A19" s="1" t="inlineStr">
        <is>
          <t>rcp</t>
        </is>
      </c>
      <c r="B19" s="1" t="inlineStr">
        <is>
          <t>type</t>
        </is>
      </c>
      <c r="C19" s="1" t="inlineStr">
        <is>
          <t>ships</t>
        </is>
      </c>
      <c r="D19" s="1" t="inlineStr">
        <is>
          <t>amt_krw_m</t>
        </is>
      </c>
      <c r="E19" s="1" t="inlineStr">
        <is>
          <t>amt_usd_m</t>
        </is>
      </c>
      <c r="F19" s="1" t="inlineStr">
        <is>
          <t>fx_at_sign</t>
        </is>
      </c>
      <c r="G19" s="1" t="inlineStr">
        <is>
          <t>signed</t>
        </is>
      </c>
      <c r="H19" s="1" t="inlineStr">
        <is>
          <t>start</t>
        </is>
      </c>
      <c r="I19" s="1" t="inlineStr">
        <is>
          <t>end</t>
        </is>
      </c>
      <c r="J19" s="1" t="inlineStr">
        <is>
          <t>cohort</t>
        </is>
      </c>
      <c r="K19" s="1" t="inlineStr">
        <is>
          <t>curve</t>
        </is>
      </c>
      <c r="L19" s="1" t="inlineStr">
        <is>
          <t>estimated_series</t>
        </is>
      </c>
    </row>
    <row r="20">
      <c r="A20" t="inlineStr">
        <is>
          <t>20250930800101</t>
        </is>
      </c>
      <c r="B20" t="inlineStr">
        <is>
          <t>OTHER</t>
        </is>
      </c>
      <c r="D20" t="n">
        <v>96678.522</v>
      </c>
      <c r="E20" t="n">
        <v>83.34999999999999</v>
      </c>
      <c r="F20" t="n">
        <v>1159.91</v>
      </c>
      <c r="G20" t="inlineStr">
        <is>
          <t>2021-07-19</t>
        </is>
      </c>
      <c r="H20" t="inlineStr">
        <is>
          <t>2021-07-19</t>
        </is>
      </c>
      <c r="I20" t="inlineStr">
        <is>
          <t>2027-03-13</t>
        </is>
      </c>
      <c r="K20" t="inlineStr">
        <is>
          <t>linear_progress</t>
        </is>
      </c>
      <c r="L20" t="b">
        <v>0</v>
      </c>
    </row>
    <row r="21">
      <c r="A21" t="inlineStr">
        <is>
          <t>20251103800145</t>
        </is>
      </c>
      <c r="B21" t="inlineStr">
        <is>
          <t>OTHER</t>
        </is>
      </c>
      <c r="D21" t="n">
        <v>72796.84699999999</v>
      </c>
      <c r="E21" t="n">
        <v>55.33</v>
      </c>
      <c r="F21" t="n">
        <v>1315.69</v>
      </c>
      <c r="G21" t="inlineStr">
        <is>
          <t>2023-04-28</t>
        </is>
      </c>
      <c r="H21" t="inlineStr">
        <is>
          <t>2023-04-28</t>
        </is>
      </c>
      <c r="I21" t="inlineStr">
        <is>
          <t>2027-10-21</t>
        </is>
      </c>
      <c r="K21" t="inlineStr">
        <is>
          <t>linear_progress</t>
        </is>
      </c>
      <c r="L21" t="b">
        <v>0</v>
      </c>
    </row>
    <row r="22">
      <c r="A22" t="inlineStr">
        <is>
          <t>20251110800052</t>
        </is>
      </c>
      <c r="B22" t="inlineStr">
        <is>
          <t>OTHER</t>
        </is>
      </c>
      <c r="D22" t="n">
        <v>74855</v>
      </c>
      <c r="E22" t="n">
        <v>51.653</v>
      </c>
      <c r="F22" t="n">
        <v>1449.19</v>
      </c>
      <c r="G22" t="inlineStr">
        <is>
          <t>2025-11-09</t>
        </is>
      </c>
      <c r="H22" t="inlineStr">
        <is>
          <t>2025-11-09</t>
        </is>
      </c>
      <c r="I22" t="inlineStr">
        <is>
          <t>2029-11-17</t>
        </is>
      </c>
      <c r="K22" t="inlineStr">
        <is>
          <t>linear_progress</t>
        </is>
      </c>
      <c r="L22" t="b">
        <v>0</v>
      </c>
    </row>
    <row r="23">
      <c r="A23" t="inlineStr">
        <is>
          <t>20251126800540</t>
        </is>
      </c>
      <c r="B23" t="inlineStr">
        <is>
          <t>OTHER</t>
        </is>
      </c>
      <c r="D23" t="n">
        <v>164168.4</v>
      </c>
      <c r="E23" t="n">
        <v>120.701</v>
      </c>
      <c r="F23" t="n">
        <v>1360.12</v>
      </c>
      <c r="G23" t="inlineStr">
        <is>
          <t>2022-12-22</t>
        </is>
      </c>
      <c r="H23" t="inlineStr">
        <is>
          <t>2022-12-22</t>
        </is>
      </c>
      <c r="I23" t="inlineStr">
        <is>
          <t>2027-05-31</t>
        </is>
      </c>
      <c r="K23" t="inlineStr">
        <is>
          <t>linear_progress</t>
        </is>
      </c>
      <c r="L23" t="b">
        <v>0</v>
      </c>
    </row>
    <row r="24">
      <c r="A24" t="inlineStr">
        <is>
          <t>20251127800440</t>
        </is>
      </c>
      <c r="B24" t="inlineStr">
        <is>
          <t>OTHER</t>
        </is>
      </c>
      <c r="D24" t="n">
        <v>176849.588</v>
      </c>
      <c r="E24" t="n">
        <v>122.033</v>
      </c>
      <c r="F24" t="n">
        <v>1449.19</v>
      </c>
      <c r="G24" t="inlineStr">
        <is>
          <t>2025-11-26</t>
        </is>
      </c>
      <c r="H24" t="inlineStr">
        <is>
          <t>2025-11-26</t>
        </is>
      </c>
      <c r="I24" t="inlineStr">
        <is>
          <t>2034-04-30</t>
        </is>
      </c>
      <c r="K24" t="inlineStr">
        <is>
          <t>linear_progress</t>
        </is>
      </c>
      <c r="L24" t="b">
        <v>0</v>
      </c>
    </row>
    <row r="25">
      <c r="A25" t="inlineStr">
        <is>
          <t>20251127800601</t>
        </is>
      </c>
      <c r="B25" t="inlineStr">
        <is>
          <t>OTHER</t>
        </is>
      </c>
      <c r="D25" t="n">
        <v>168916.01</v>
      </c>
      <c r="E25" t="n">
        <v>116.559</v>
      </c>
      <c r="F25" t="n">
        <v>1449.19</v>
      </c>
      <c r="G25" t="inlineStr">
        <is>
          <t>2025-11-27</t>
        </is>
      </c>
      <c r="H25" t="inlineStr">
        <is>
          <t>2025-11-27</t>
        </is>
      </c>
      <c r="I25" t="inlineStr">
        <is>
          <t>2029-12-25</t>
        </is>
      </c>
      <c r="K25" t="inlineStr">
        <is>
          <t>linear_progress</t>
        </is>
      </c>
      <c r="L25" t="b">
        <v>0</v>
      </c>
    </row>
    <row r="26">
      <c r="A26" t="inlineStr">
        <is>
          <t>20251205800202</t>
        </is>
      </c>
      <c r="B26" t="inlineStr">
        <is>
          <t>OTHER</t>
        </is>
      </c>
      <c r="D26" t="n">
        <v>92057.856</v>
      </c>
      <c r="E26" t="n">
        <v>65.93000000000001</v>
      </c>
      <c r="F26" t="n">
        <v>1396.3</v>
      </c>
      <c r="G26" t="inlineStr">
        <is>
          <t>2024-12-18</t>
        </is>
      </c>
      <c r="H26" t="inlineStr">
        <is>
          <t>2024-12-18</t>
        </is>
      </c>
      <c r="I26" t="inlineStr">
        <is>
          <t>2030-01-16</t>
        </is>
      </c>
      <c r="K26" t="inlineStr">
        <is>
          <t>linear_progress</t>
        </is>
      </c>
      <c r="L26" t="b">
        <v>0</v>
      </c>
    </row>
    <row r="27">
      <c r="A27" t="inlineStr">
        <is>
          <t>20251217800479</t>
        </is>
      </c>
      <c r="B27" t="inlineStr">
        <is>
          <t>NAVAL</t>
        </is>
      </c>
      <c r="D27" t="n">
        <v>312576</v>
      </c>
      <c r="E27" t="n">
        <v>215.69</v>
      </c>
      <c r="F27" t="n">
        <v>1449.19</v>
      </c>
      <c r="G27" t="inlineStr">
        <is>
          <t>2025-12-17</t>
        </is>
      </c>
      <c r="H27" t="inlineStr">
        <is>
          <t>2025-12-17</t>
        </is>
      </c>
      <c r="I27" t="inlineStr">
        <is>
          <t>2029-10-31</t>
        </is>
      </c>
      <c r="K27" t="inlineStr">
        <is>
          <t>linear_progress</t>
        </is>
      </c>
      <c r="L27" t="b">
        <v>0</v>
      </c>
    </row>
    <row r="28">
      <c r="A28" t="inlineStr">
        <is>
          <t>20251222800631</t>
        </is>
      </c>
      <c r="B28" t="inlineStr">
        <is>
          <t>OTHER</t>
        </is>
      </c>
      <c r="D28" t="n">
        <v>161753.283</v>
      </c>
      <c r="E28" t="n">
        <v>137.518</v>
      </c>
      <c r="F28" t="n">
        <v>1176.23</v>
      </c>
      <c r="G28" t="inlineStr">
        <is>
          <t>2019-12-27</t>
        </is>
      </c>
      <c r="H28" t="inlineStr">
        <is>
          <t>2019-12-27</t>
        </is>
      </c>
      <c r="I28" t="inlineStr">
        <is>
          <t>2026-12-31</t>
        </is>
      </c>
      <c r="K28" t="inlineStr">
        <is>
          <t>linear_progress</t>
        </is>
      </c>
      <c r="L28" t="b">
        <v>0</v>
      </c>
    </row>
    <row r="29">
      <c r="A29" t="inlineStr">
        <is>
          <t>20251224800003</t>
        </is>
      </c>
      <c r="B29" t="inlineStr">
        <is>
          <t>NAVAL</t>
        </is>
      </c>
      <c r="C29" t="n">
        <v>1</v>
      </c>
      <c r="D29" t="n">
        <v>68858</v>
      </c>
      <c r="E29" t="n">
        <v>47.515</v>
      </c>
      <c r="F29" t="n">
        <v>1449.19</v>
      </c>
      <c r="G29" t="inlineStr">
        <is>
          <t>2025-12-23</t>
        </is>
      </c>
      <c r="H29" t="inlineStr">
        <is>
          <t>2025-12-23</t>
        </is>
      </c>
      <c r="I29" t="inlineStr">
        <is>
          <t>2028-12-07</t>
        </is>
      </c>
      <c r="J29" t="inlineStr">
        <is>
          <t>⑤초호황</t>
        </is>
      </c>
      <c r="K29" t="inlineStr">
        <is>
          <t>linear_progress</t>
        </is>
      </c>
      <c r="L29" t="b">
        <v>0</v>
      </c>
    </row>
    <row r="30">
      <c r="A30" t="inlineStr">
        <is>
          <t>20251224800596</t>
        </is>
      </c>
      <c r="B30" t="inlineStr">
        <is>
          <t>OTHER</t>
        </is>
      </c>
      <c r="D30" t="n">
        <v>181818.331</v>
      </c>
      <c r="E30" t="n">
        <v>163.067</v>
      </c>
      <c r="F30" t="n">
        <v>1114.99</v>
      </c>
      <c r="G30" t="inlineStr">
        <is>
          <t>2021-02-18</t>
        </is>
      </c>
      <c r="H30" t="inlineStr">
        <is>
          <t>2021-04-30</t>
        </is>
      </c>
      <c r="I30" t="inlineStr">
        <is>
          <t>2027-04-03</t>
        </is>
      </c>
      <c r="K30" t="inlineStr">
        <is>
          <t>linear_progress</t>
        </is>
      </c>
      <c r="L30" t="b">
        <v>0</v>
      </c>
    </row>
    <row r="31">
      <c r="A31" t="inlineStr">
        <is>
          <t>20251231800507</t>
        </is>
      </c>
      <c r="B31" t="inlineStr">
        <is>
          <t>OTHER</t>
        </is>
      </c>
      <c r="D31" t="n">
        <v>382299.462</v>
      </c>
      <c r="E31" t="n">
        <v>341.959</v>
      </c>
      <c r="F31" t="n">
        <v>1117.97</v>
      </c>
      <c r="G31" t="inlineStr">
        <is>
          <t>2020-12-03</t>
        </is>
      </c>
      <c r="H31" t="inlineStr">
        <is>
          <t>2020-12-03</t>
        </is>
      </c>
      <c r="I31" t="inlineStr">
        <is>
          <t>2026-03-31</t>
        </is>
      </c>
      <c r="K31" t="inlineStr">
        <is>
          <t>linear_progress</t>
        </is>
      </c>
      <c r="L31" t="b">
        <v>0</v>
      </c>
    </row>
    <row r="32">
      <c r="A32" t="inlineStr">
        <is>
          <t>20251231800547</t>
        </is>
      </c>
      <c r="B32" t="inlineStr">
        <is>
          <t>OTHER</t>
        </is>
      </c>
      <c r="D32" t="n">
        <v>55930.484</v>
      </c>
      <c r="E32" t="n">
        <v>38.594</v>
      </c>
      <c r="F32" t="n">
        <v>1449.19</v>
      </c>
      <c r="G32" t="inlineStr">
        <is>
          <t>2025-12-31</t>
        </is>
      </c>
      <c r="H32" t="inlineStr">
        <is>
          <t>2025-03-03</t>
        </is>
      </c>
      <c r="I32" t="inlineStr">
        <is>
          <t>2028-09-11</t>
        </is>
      </c>
      <c r="K32" t="inlineStr">
        <is>
          <t>linear_progress</t>
        </is>
      </c>
      <c r="L32" t="b">
        <v>0</v>
      </c>
    </row>
    <row r="33">
      <c r="A33" t="inlineStr">
        <is>
          <t>20260107800221</t>
        </is>
      </c>
      <c r="B33" t="inlineStr">
        <is>
          <t>OTHER</t>
        </is>
      </c>
      <c r="D33" t="n">
        <v>117781.019</v>
      </c>
      <c r="E33" t="n">
        <v>80.33499999999999</v>
      </c>
      <c r="F33" t="n">
        <v>1466.12</v>
      </c>
      <c r="G33" t="inlineStr">
        <is>
          <t>2026-01-07</t>
        </is>
      </c>
      <c r="H33" t="inlineStr">
        <is>
          <t>2026-01-07</t>
        </is>
      </c>
      <c r="I33" t="inlineStr">
        <is>
          <t>2030-07-02</t>
        </is>
      </c>
      <c r="K33" t="inlineStr">
        <is>
          <t>linear_progress</t>
        </is>
      </c>
      <c r="L33" t="b">
        <v>0</v>
      </c>
    </row>
    <row r="34">
      <c r="A34" t="inlineStr">
        <is>
          <t>20260116800164</t>
        </is>
      </c>
      <c r="B34" t="inlineStr">
        <is>
          <t>OTHER</t>
        </is>
      </c>
      <c r="D34" t="n">
        <v>185327.231</v>
      </c>
      <c r="E34" t="n">
        <v>126.407</v>
      </c>
      <c r="F34" t="n">
        <v>1466.12</v>
      </c>
      <c r="G34" t="inlineStr">
        <is>
          <t>2026-01-16</t>
        </is>
      </c>
      <c r="H34" t="inlineStr">
        <is>
          <t>2026-01-16</t>
        </is>
      </c>
      <c r="I34" t="inlineStr">
        <is>
          <t>2029-04-29</t>
        </is>
      </c>
      <c r="K34" t="inlineStr">
        <is>
          <t>linear_progress</t>
        </is>
      </c>
      <c r="L34" t="b">
        <v>0</v>
      </c>
    </row>
    <row r="35">
      <c r="A35" t="inlineStr">
        <is>
          <t>20260120800250</t>
        </is>
      </c>
      <c r="B35" t="inlineStr">
        <is>
          <t>OTHER</t>
        </is>
      </c>
      <c r="D35" t="n">
        <v>84068.62699999999</v>
      </c>
      <c r="E35" t="n">
        <v>65.83499999999999</v>
      </c>
      <c r="F35" t="n">
        <v>1276.95</v>
      </c>
      <c r="G35" t="inlineStr">
        <is>
          <t>2023-03-07</t>
        </is>
      </c>
      <c r="H35" t="inlineStr">
        <is>
          <t>2023-03-07</t>
        </is>
      </c>
      <c r="I35" t="inlineStr">
        <is>
          <t>2027-08-30</t>
        </is>
      </c>
      <c r="K35" t="inlineStr">
        <is>
          <t>linear_progress</t>
        </is>
      </c>
      <c r="L35" t="b">
        <v>0</v>
      </c>
    </row>
    <row r="36">
      <c r="A36" t="inlineStr">
        <is>
          <t>20260211800125</t>
        </is>
      </c>
      <c r="B36" t="inlineStr">
        <is>
          <t>CONT</t>
        </is>
      </c>
      <c r="C36" t="n">
        <v>2</v>
      </c>
      <c r="D36" t="n">
        <v>353265.889</v>
      </c>
      <c r="E36" t="n">
        <v>240.953</v>
      </c>
      <c r="F36" t="n">
        <v>1466.12</v>
      </c>
      <c r="G36" t="inlineStr">
        <is>
          <t>2026-02-10</t>
        </is>
      </c>
      <c r="H36" t="inlineStr">
        <is>
          <t>2026-02-10</t>
        </is>
      </c>
      <c r="I36" t="inlineStr">
        <is>
          <t>2028-06-30</t>
        </is>
      </c>
      <c r="J36" t="inlineStr">
        <is>
          <t>⑤초호황</t>
        </is>
      </c>
      <c r="K36" t="inlineStr">
        <is>
          <t>linear_progress</t>
        </is>
      </c>
      <c r="L36" t="b">
        <v>1</v>
      </c>
    </row>
    <row r="37">
      <c r="A37" t="inlineStr">
        <is>
          <t>20260227801603</t>
        </is>
      </c>
      <c r="B37" t="inlineStr">
        <is>
          <t>OTHER</t>
        </is>
      </c>
      <c r="D37" t="n">
        <v>218819.48</v>
      </c>
      <c r="E37" t="n">
        <v>194.371</v>
      </c>
      <c r="F37" t="n">
        <v>1125.78</v>
      </c>
      <c r="G37" t="inlineStr">
        <is>
          <t>2019-03-20</t>
        </is>
      </c>
      <c r="H37" t="inlineStr">
        <is>
          <t>2019-03-20</t>
        </is>
      </c>
      <c r="I37" t="inlineStr">
        <is>
          <t>2028-04-30</t>
        </is>
      </c>
      <c r="K37" t="inlineStr">
        <is>
          <t>linear_progress</t>
        </is>
      </c>
      <c r="L37" t="b">
        <v>0</v>
      </c>
    </row>
    <row r="38">
      <c r="A38" t="inlineStr">
        <is>
          <t>20260227801809</t>
        </is>
      </c>
      <c r="B38" t="inlineStr">
        <is>
          <t>OTHER</t>
        </is>
      </c>
      <c r="D38" t="n">
        <v>81559.656</v>
      </c>
      <c r="E38" t="n">
        <v>55.63</v>
      </c>
      <c r="F38" t="n">
        <v>1466.12</v>
      </c>
      <c r="G38" t="inlineStr">
        <is>
          <t>2026-02-27</t>
        </is>
      </c>
      <c r="H38" t="inlineStr">
        <is>
          <t>2026-02-27</t>
        </is>
      </c>
      <c r="I38" t="inlineStr">
        <is>
          <t>2049-05-31</t>
        </is>
      </c>
      <c r="K38" t="inlineStr">
        <is>
          <t>linear_progress</t>
        </is>
      </c>
      <c r="L38" t="b">
        <v>0</v>
      </c>
    </row>
    <row r="39">
      <c r="A39" t="inlineStr">
        <is>
          <t>20260304800353</t>
        </is>
      </c>
      <c r="B39" t="inlineStr">
        <is>
          <t>OTHER</t>
        </is>
      </c>
      <c r="D39" t="n">
        <v>92241.75599999999</v>
      </c>
      <c r="E39" t="n">
        <v>62.916</v>
      </c>
      <c r="F39" t="n">
        <v>1466.12</v>
      </c>
      <c r="G39" t="inlineStr">
        <is>
          <t>2026-02-25</t>
        </is>
      </c>
      <c r="H39" t="inlineStr">
        <is>
          <t>2026-02-25</t>
        </is>
      </c>
      <c r="I39" t="inlineStr">
        <is>
          <t>2030-02-10</t>
        </is>
      </c>
      <c r="K39" t="inlineStr">
        <is>
          <t>linear_progress</t>
        </is>
      </c>
      <c r="L39" t="b">
        <v>0</v>
      </c>
    </row>
    <row r="40">
      <c r="A40" t="inlineStr">
        <is>
          <t>20260306800575</t>
        </is>
      </c>
      <c r="B40" t="inlineStr">
        <is>
          <t>OTHER</t>
        </is>
      </c>
      <c r="D40" t="n">
        <v>84679.82000000001</v>
      </c>
      <c r="E40" t="n">
        <v>57.758</v>
      </c>
      <c r="F40" t="n">
        <v>1466.12</v>
      </c>
      <c r="G40" t="inlineStr">
        <is>
          <t>2026-03-06</t>
        </is>
      </c>
      <c r="H40" t="inlineStr">
        <is>
          <t>2026-03-06</t>
        </is>
      </c>
      <c r="I40" t="inlineStr">
        <is>
          <t>2030-08-29</t>
        </is>
      </c>
      <c r="K40" t="inlineStr">
        <is>
          <t>linear_progress</t>
        </is>
      </c>
      <c r="L40" t="b">
        <v>0</v>
      </c>
    </row>
    <row r="41">
      <c r="A41" t="inlineStr">
        <is>
          <t>20260313800208</t>
        </is>
      </c>
      <c r="B41" t="inlineStr">
        <is>
          <t>OTHER</t>
        </is>
      </c>
      <c r="D41" t="n">
        <v>89392.5</v>
      </c>
      <c r="E41" t="n">
        <v>60.972</v>
      </c>
      <c r="F41" t="n">
        <v>1466.12</v>
      </c>
      <c r="G41" t="inlineStr">
        <is>
          <t>2026-03-13</t>
        </is>
      </c>
      <c r="H41" t="inlineStr">
        <is>
          <t>2025-04-30</t>
        </is>
      </c>
      <c r="I41" t="inlineStr">
        <is>
          <t>2028-07-22</t>
        </is>
      </c>
      <c r="K41" t="inlineStr">
        <is>
          <t>linear_progress</t>
        </is>
      </c>
      <c r="L41" t="b">
        <v>0</v>
      </c>
    </row>
    <row r="42">
      <c r="A42" t="inlineStr">
        <is>
          <t>20260401800508</t>
        </is>
      </c>
      <c r="B42" t="inlineStr">
        <is>
          <t>OTHER</t>
        </is>
      </c>
      <c r="D42" t="n">
        <v>181103.297</v>
      </c>
      <c r="E42" t="n">
        <v>161.993</v>
      </c>
      <c r="F42" t="n">
        <v>1117.97</v>
      </c>
      <c r="G42" t="inlineStr">
        <is>
          <t>2020-10-29</t>
        </is>
      </c>
      <c r="H42" t="inlineStr">
        <is>
          <t>2020-10-29</t>
        </is>
      </c>
      <c r="I42" t="inlineStr">
        <is>
          <t>2025-04-23</t>
        </is>
      </c>
      <c r="K42" t="inlineStr">
        <is>
          <t>linear_progress</t>
        </is>
      </c>
      <c r="L42" t="b">
        <v>0</v>
      </c>
    </row>
    <row r="43">
      <c r="A43" t="inlineStr">
        <is>
          <t>20260410800253</t>
        </is>
      </c>
      <c r="B43" t="inlineStr">
        <is>
          <t>OTHER</t>
        </is>
      </c>
      <c r="D43" t="n">
        <v>349662.915</v>
      </c>
      <c r="E43" t="n">
        <v>232.837</v>
      </c>
      <c r="F43" t="n">
        <v>1501.75</v>
      </c>
      <c r="G43" t="inlineStr">
        <is>
          <t>2026-04-10</t>
        </is>
      </c>
      <c r="H43" t="inlineStr">
        <is>
          <t>2026-04-10</t>
        </is>
      </c>
      <c r="I43" t="inlineStr">
        <is>
          <t>2030-10-03</t>
        </is>
      </c>
      <c r="K43" t="inlineStr">
        <is>
          <t>linear_progress</t>
        </is>
      </c>
      <c r="L43" t="b">
        <v>0</v>
      </c>
    </row>
    <row r="44">
      <c r="A44" t="inlineStr">
        <is>
          <t>20260422800059</t>
        </is>
      </c>
      <c r="B44" t="inlineStr">
        <is>
          <t>OTHER</t>
        </is>
      </c>
      <c r="D44" t="n">
        <v>68249.882</v>
      </c>
      <c r="E44" t="n">
        <v>45.447</v>
      </c>
      <c r="F44" t="n">
        <v>1501.75</v>
      </c>
      <c r="G44" t="inlineStr">
        <is>
          <t>2026-04-21</t>
        </is>
      </c>
      <c r="H44" t="inlineStr">
        <is>
          <t>2026-04-21</t>
        </is>
      </c>
      <c r="I44" t="inlineStr">
        <is>
          <t>2029-04-30</t>
        </is>
      </c>
      <c r="K44" t="inlineStr">
        <is>
          <t>linear_progress</t>
        </is>
      </c>
      <c r="L44" t="b">
        <v>0</v>
      </c>
    </row>
    <row r="45">
      <c r="A45" t="inlineStr">
        <is>
          <t>20260423800218</t>
        </is>
      </c>
      <c r="B45" t="inlineStr">
        <is>
          <t>OTHER</t>
        </is>
      </c>
      <c r="D45" t="n">
        <v>101348.33</v>
      </c>
      <c r="E45" t="n">
        <v>77.03100000000001</v>
      </c>
      <c r="F45" t="n">
        <v>1315.69</v>
      </c>
      <c r="G45" t="inlineStr">
        <is>
          <t>2023-04-27</t>
        </is>
      </c>
      <c r="H45" t="inlineStr">
        <is>
          <t>2023-04-27</t>
        </is>
      </c>
      <c r="I45" t="inlineStr">
        <is>
          <t>2027-10-20</t>
        </is>
      </c>
      <c r="K45" t="inlineStr">
        <is>
          <t>linear_progress</t>
        </is>
      </c>
      <c r="L45" t="b">
        <v>0</v>
      </c>
    </row>
    <row r="46">
      <c r="A46" t="inlineStr">
        <is>
          <t>20260423800721</t>
        </is>
      </c>
      <c r="B46" t="inlineStr">
        <is>
          <t>OTHER</t>
        </is>
      </c>
      <c r="D46" t="n">
        <v>82529.905</v>
      </c>
      <c r="E46" t="n">
        <v>62.046</v>
      </c>
      <c r="F46" t="n">
        <v>1330.14</v>
      </c>
      <c r="G46" t="inlineStr">
        <is>
          <t>2024-03-28</t>
        </is>
      </c>
      <c r="H46" t="inlineStr">
        <is>
          <t>2024-03-28</t>
        </is>
      </c>
      <c r="I46" t="inlineStr">
        <is>
          <t>2028-09-20</t>
        </is>
      </c>
      <c r="K46" t="inlineStr">
        <is>
          <t>linear_progress</t>
        </is>
      </c>
      <c r="L46" t="b">
        <v>0</v>
      </c>
    </row>
    <row r="47">
      <c r="A47" t="inlineStr">
        <is>
          <t>20260427800078</t>
        </is>
      </c>
      <c r="B47" t="inlineStr">
        <is>
          <t>CONT</t>
        </is>
      </c>
      <c r="C47" t="n">
        <v>2</v>
      </c>
      <c r="D47" t="n">
        <v>357198.303</v>
      </c>
      <c r="E47" t="n">
        <v>237.855</v>
      </c>
      <c r="F47" t="n">
        <v>1501.75</v>
      </c>
      <c r="G47" t="inlineStr">
        <is>
          <t>2026-04-24</t>
        </is>
      </c>
      <c r="H47" t="inlineStr">
        <is>
          <t>2026-04-24</t>
        </is>
      </c>
      <c r="I47" t="inlineStr">
        <is>
          <t>2028-10-31</t>
        </is>
      </c>
      <c r="J47" t="inlineStr">
        <is>
          <t>⑤초호황</t>
        </is>
      </c>
      <c r="K47" t="inlineStr">
        <is>
          <t>linear_progress</t>
        </is>
      </c>
      <c r="L47" t="b">
        <v>1</v>
      </c>
    </row>
    <row r="48">
      <c r="A48" t="inlineStr">
        <is>
          <t>20260506800906</t>
        </is>
      </c>
      <c r="B48" t="inlineStr">
        <is>
          <t>OTHER</t>
        </is>
      </c>
      <c r="D48" t="n">
        <v>80559.458</v>
      </c>
      <c r="E48" t="n">
        <v>61.23</v>
      </c>
      <c r="F48" t="n">
        <v>1315.69</v>
      </c>
      <c r="G48" t="inlineStr">
        <is>
          <t>2023-06-23</t>
        </is>
      </c>
      <c r="H48" t="inlineStr">
        <is>
          <t>2023-07-13</t>
        </is>
      </c>
      <c r="I48" t="inlineStr">
        <is>
          <t>2027-11-30</t>
        </is>
      </c>
      <c r="K48" t="inlineStr">
        <is>
          <t>linear_progress</t>
        </is>
      </c>
      <c r="L48" t="b">
        <v>0</v>
      </c>
    </row>
    <row r="49">
      <c r="A49" t="inlineStr">
        <is>
          <t>20260518800840</t>
        </is>
      </c>
      <c r="B49" t="inlineStr">
        <is>
          <t>OTHER</t>
        </is>
      </c>
      <c r="D49" t="n">
        <v>73371.98299999999</v>
      </c>
      <c r="E49" t="n">
        <v>50.63</v>
      </c>
      <c r="F49" t="n">
        <v>1449.19</v>
      </c>
      <c r="G49" t="inlineStr">
        <is>
          <t>2025-12-08</t>
        </is>
      </c>
      <c r="H49" t="inlineStr">
        <is>
          <t>2025-12-08</t>
        </is>
      </c>
      <c r="I49" t="inlineStr">
        <is>
          <t>2030-01-02</t>
        </is>
      </c>
      <c r="K49" t="inlineStr">
        <is>
          <t>linear_progress</t>
        </is>
      </c>
      <c r="L49" t="b">
        <v>0</v>
      </c>
    </row>
    <row r="50">
      <c r="A50" t="inlineStr">
        <is>
          <t>20260520800639</t>
        </is>
      </c>
      <c r="B50" t="inlineStr">
        <is>
          <t>OTHER</t>
        </is>
      </c>
      <c r="D50" t="n">
        <v>54315.409</v>
      </c>
      <c r="E50" t="n">
        <v>36.168</v>
      </c>
      <c r="F50" t="n">
        <v>1501.75</v>
      </c>
      <c r="G50" t="inlineStr">
        <is>
          <t>2026-05-20</t>
        </is>
      </c>
      <c r="H50" t="inlineStr">
        <is>
          <t>2026-05-20</t>
        </is>
      </c>
      <c r="I50" t="inlineStr">
        <is>
          <t>2031-05-20</t>
        </is>
      </c>
      <c r="K50" t="inlineStr">
        <is>
          <t>linear_progress</t>
        </is>
      </c>
      <c r="L50" t="b">
        <v>0</v>
      </c>
    </row>
    <row r="51">
      <c r="A51" t="inlineStr">
        <is>
          <t>20260529800492</t>
        </is>
      </c>
      <c r="B51" t="inlineStr">
        <is>
          <t>OTHER</t>
        </is>
      </c>
      <c r="D51" t="n">
        <v>62695.656</v>
      </c>
      <c r="E51" t="n">
        <v>52.975</v>
      </c>
      <c r="F51" t="n">
        <v>1183.5</v>
      </c>
      <c r="G51" t="inlineStr">
        <is>
          <t>2021-10-28</t>
        </is>
      </c>
      <c r="H51" t="inlineStr">
        <is>
          <t>2021-10-28</t>
        </is>
      </c>
      <c r="I51" t="inlineStr">
        <is>
          <t>2026-04-22</t>
        </is>
      </c>
      <c r="K51" t="inlineStr">
        <is>
          <t>linear_progress</t>
        </is>
      </c>
      <c r="L51" t="b">
        <v>0</v>
      </c>
    </row>
    <row r="52">
      <c r="A52" t="inlineStr">
        <is>
          <t>20260601800841</t>
        </is>
      </c>
      <c r="B52" t="inlineStr">
        <is>
          <t>OTHER</t>
        </is>
      </c>
      <c r="D52" t="n">
        <v>59851.831</v>
      </c>
      <c r="E52" t="n">
        <v>44.005</v>
      </c>
      <c r="F52" t="n">
        <v>1360.12</v>
      </c>
      <c r="G52" t="inlineStr">
        <is>
          <t>2022-12-13</t>
        </is>
      </c>
      <c r="H52" t="inlineStr">
        <is>
          <t>2022-12-13</t>
        </is>
      </c>
      <c r="I52" t="inlineStr">
        <is>
          <t>2027-06-07</t>
        </is>
      </c>
      <c r="K52" t="inlineStr">
        <is>
          <t>linear_progress</t>
        </is>
      </c>
      <c r="L52" t="b">
        <v>0</v>
      </c>
    </row>
    <row r="53">
      <c r="A53" t="inlineStr">
        <is>
          <t>20260618800458</t>
        </is>
      </c>
      <c r="B53" t="inlineStr">
        <is>
          <t>OTHER</t>
        </is>
      </c>
      <c r="D53" t="n">
        <v>226877.219</v>
      </c>
      <c r="E53" t="n">
        <v>209.978</v>
      </c>
      <c r="F53" t="n">
        <v>1080.48</v>
      </c>
      <c r="G53" t="inlineStr">
        <is>
          <t>2018-05-18</t>
        </is>
      </c>
      <c r="H53" t="inlineStr">
        <is>
          <t>2018-05-18</t>
        </is>
      </c>
      <c r="I53" t="inlineStr">
        <is>
          <t>2026-12-31</t>
        </is>
      </c>
      <c r="K53" t="inlineStr">
        <is>
          <t>linear_progress</t>
        </is>
      </c>
      <c r="L53" t="b">
        <v>0</v>
      </c>
    </row>
    <row r="54">
      <c r="A54" t="inlineStr">
        <is>
          <t>20260629801171</t>
        </is>
      </c>
      <c r="B54" t="inlineStr">
        <is>
          <t>OTHER</t>
        </is>
      </c>
      <c r="D54" t="n">
        <v>81052.209</v>
      </c>
      <c r="E54" t="n">
        <v>72.499</v>
      </c>
      <c r="F54" t="n">
        <v>1117.97</v>
      </c>
      <c r="G54" t="inlineStr">
        <is>
          <t>2020-12-30</t>
        </is>
      </c>
      <c r="H54" t="inlineStr">
        <is>
          <t>2021-01-11</t>
        </is>
      </c>
      <c r="I54" t="inlineStr">
        <is>
          <t>2031-01-14</t>
        </is>
      </c>
      <c r="K54" t="inlineStr">
        <is>
          <t>linear_progress</t>
        </is>
      </c>
      <c r="L54" t="b">
        <v>0</v>
      </c>
    </row>
    <row r="55">
      <c r="A55" t="inlineStr">
        <is>
          <t>20260630800457</t>
        </is>
      </c>
      <c r="B55" t="inlineStr">
        <is>
          <t>OTHER</t>
        </is>
      </c>
      <c r="D55" t="n">
        <v>124213.19</v>
      </c>
      <c r="E55" t="n">
        <v>92.563</v>
      </c>
      <c r="F55" t="n">
        <v>1341.93</v>
      </c>
      <c r="G55" t="inlineStr">
        <is>
          <t>2022-09-05</t>
        </is>
      </c>
      <c r="H55" t="inlineStr">
        <is>
          <t>2022-09-05</t>
        </is>
      </c>
      <c r="I55" t="inlineStr">
        <is>
          <t>2028-02-29</t>
        </is>
      </c>
      <c r="K55" t="inlineStr">
        <is>
          <t>linear_progress</t>
        </is>
      </c>
      <c r="L55" t="b">
        <v>0</v>
      </c>
    </row>
    <row r="56">
      <c r="A56" t="inlineStr">
        <is>
          <t>20260630800913</t>
        </is>
      </c>
      <c r="B56" t="inlineStr">
        <is>
          <t>OTHER</t>
        </is>
      </c>
      <c r="D56" t="n">
        <v>148791.105</v>
      </c>
      <c r="E56" t="n">
        <v>99.078</v>
      </c>
      <c r="F56" t="n">
        <v>1501.75</v>
      </c>
      <c r="G56" t="inlineStr">
        <is>
          <t>2026-06-30</t>
        </is>
      </c>
      <c r="H56" t="inlineStr">
        <is>
          <t>2026-06-30</t>
        </is>
      </c>
      <c r="I56" t="inlineStr">
        <is>
          <t>2032-04-18</t>
        </is>
      </c>
      <c r="K56" t="inlineStr">
        <is>
          <t>linear_progress</t>
        </is>
      </c>
      <c r="L56" t="b">
        <v>0</v>
      </c>
    </row>
    <row r="57">
      <c r="A57" t="inlineStr">
        <is>
          <t>20260721800175</t>
        </is>
      </c>
      <c r="B57" t="inlineStr">
        <is>
          <t>OTHER</t>
        </is>
      </c>
      <c r="D57" t="n">
        <v>187291.109</v>
      </c>
      <c r="E57" t="n">
        <v>142.576</v>
      </c>
      <c r="F57" t="n">
        <v>1313.62</v>
      </c>
      <c r="G57" t="inlineStr">
        <is>
          <t>2023-07-06</t>
        </is>
      </c>
      <c r="H57" t="inlineStr">
        <is>
          <t>2023-07-06</t>
        </is>
      </c>
      <c r="I57" t="inlineStr">
        <is>
          <t>2027-12-29</t>
        </is>
      </c>
      <c r="K57" t="inlineStr">
        <is>
          <t>linear_progress</t>
        </is>
      </c>
      <c r="L57" t="b">
        <v>0</v>
      </c>
    </row>
    <row r="58">
      <c r="A58" t="inlineStr">
        <is>
          <t>20260805800532</t>
        </is>
      </c>
      <c r="B58" t="inlineStr">
        <is>
          <t>OTHER</t>
        </is>
      </c>
      <c r="D58" t="n">
        <v>110087.34</v>
      </c>
      <c r="E58" t="n">
        <v>94.27800000000001</v>
      </c>
      <c r="F58" t="n">
        <v>1167.69</v>
      </c>
      <c r="G58" t="inlineStr">
        <is>
          <t>2019-05-31</t>
        </is>
      </c>
      <c r="H58" t="inlineStr">
        <is>
          <t>2019-05-31</t>
        </is>
      </c>
      <c r="I58" t="inlineStr">
        <is>
          <t>2027-06-09</t>
        </is>
      </c>
      <c r="K58" t="inlineStr">
        <is>
          <t>linear_progress</t>
        </is>
      </c>
      <c r="L58" t="b">
        <v>0</v>
      </c>
    </row>
    <row r="59">
      <c r="A59" t="inlineStr">
        <is>
          <t>20260811800408</t>
        </is>
      </c>
      <c r="B59" t="inlineStr">
        <is>
          <t>OTHER</t>
        </is>
      </c>
      <c r="D59" t="n">
        <v>72728</v>
      </c>
      <c r="E59" t="n">
        <v>54.677</v>
      </c>
      <c r="F59" t="n">
        <v>1330.14</v>
      </c>
      <c r="G59" t="inlineStr">
        <is>
          <t>2024-03-08</t>
        </is>
      </c>
      <c r="H59" t="inlineStr">
        <is>
          <t>2024-04-05</t>
        </is>
      </c>
      <c r="I59" t="inlineStr">
        <is>
          <t>2029-10-04</t>
        </is>
      </c>
      <c r="K59" t="inlineStr">
        <is>
          <t>linear_progress</t>
        </is>
      </c>
      <c r="L59" t="b">
        <v>0</v>
      </c>
    </row>
    <row r="60">
      <c r="A60" t="inlineStr">
        <is>
          <t>20260818800047</t>
        </is>
      </c>
      <c r="B60" t="inlineStr">
        <is>
          <t>OTHER</t>
        </is>
      </c>
      <c r="D60" t="n">
        <v>104419.289</v>
      </c>
      <c r="E60" t="n">
        <v>73.54900000000001</v>
      </c>
      <c r="F60" t="n">
        <v>1419.72</v>
      </c>
      <c r="G60" t="inlineStr">
        <is>
          <t>2026-08-14</t>
        </is>
      </c>
      <c r="H60" t="inlineStr">
        <is>
          <t>2026-08-14</t>
        </is>
      </c>
      <c r="I60" t="inlineStr">
        <is>
          <t>2033-08-29</t>
        </is>
      </c>
      <c r="K60" t="inlineStr">
        <is>
          <t>linear_progress</t>
        </is>
      </c>
      <c r="L60" t="b">
        <v>0</v>
      </c>
    </row>
    <row r="61">
      <c r="A61" t="inlineStr">
        <is>
          <t>20260820800160</t>
        </is>
      </c>
      <c r="B61" t="inlineStr">
        <is>
          <t>OTHER</t>
        </is>
      </c>
      <c r="D61" t="n">
        <v>85419.25999999999</v>
      </c>
      <c r="E61" t="n">
        <v>65.026</v>
      </c>
      <c r="F61" t="n">
        <v>1313.62</v>
      </c>
      <c r="G61" t="inlineStr">
        <is>
          <t>2023-08-08</t>
        </is>
      </c>
      <c r="H61" t="inlineStr">
        <is>
          <t>2023-08-08</t>
        </is>
      </c>
      <c r="I61" t="inlineStr">
        <is>
          <t>2026-12-31</t>
        </is>
      </c>
      <c r="K61" t="inlineStr">
        <is>
          <t>linear_progress</t>
        </is>
      </c>
      <c r="L61" t="b">
        <v>0</v>
      </c>
    </row>
    <row r="62">
      <c r="A62" t="inlineStr">
        <is>
          <t>20260918800109</t>
        </is>
      </c>
      <c r="B62" t="inlineStr">
        <is>
          <t>OTHER</t>
        </is>
      </c>
      <c r="D62" t="n">
        <v>60071.111</v>
      </c>
      <c r="E62" t="n">
        <v>45.161</v>
      </c>
      <c r="F62" t="n">
        <v>1330.14</v>
      </c>
      <c r="G62" t="inlineStr">
        <is>
          <t>2024-01-10</t>
        </is>
      </c>
      <c r="H62" t="inlineStr">
        <is>
          <t>2024-02-15</t>
        </is>
      </c>
      <c r="I62" t="inlineStr">
        <is>
          <t>2028-08-09</t>
        </is>
      </c>
      <c r="K62" t="inlineStr">
        <is>
          <t>linear_progress</t>
        </is>
      </c>
      <c r="L62" t="b">
        <v>0</v>
      </c>
    </row>
    <row r="63">
      <c r="A63" t="inlineStr">
        <is>
          <t>20260922800008</t>
        </is>
      </c>
      <c r="B63" t="inlineStr">
        <is>
          <t>CONT</t>
        </is>
      </c>
      <c r="C63" t="n">
        <v>4</v>
      </c>
      <c r="D63" t="n">
        <v>678967.559</v>
      </c>
      <c r="E63" t="n">
        <v>478.24</v>
      </c>
      <c r="F63" t="n">
        <v>1419.72</v>
      </c>
      <c r="G63" t="inlineStr">
        <is>
          <t>2026-09-21</t>
        </is>
      </c>
      <c r="H63" t="inlineStr">
        <is>
          <t>2026-09-21</t>
        </is>
      </c>
      <c r="I63" t="inlineStr">
        <is>
          <t>2029-04-30</t>
        </is>
      </c>
      <c r="J63" t="inlineStr">
        <is>
          <t>⑤초호황</t>
        </is>
      </c>
      <c r="K63" t="inlineStr">
        <is>
          <t>linear_progress</t>
        </is>
      </c>
      <c r="L63" t="b">
        <v>1</v>
      </c>
    </row>
    <row r="64">
      <c r="A64" t="inlineStr">
        <is>
          <t>20260930800251</t>
        </is>
      </c>
      <c r="B64" t="inlineStr">
        <is>
          <t>OTHER</t>
        </is>
      </c>
      <c r="D64" t="n">
        <v>260922.379</v>
      </c>
      <c r="E64" t="n">
        <v>198.629</v>
      </c>
      <c r="F64" t="n">
        <v>1313.62</v>
      </c>
      <c r="G64" t="inlineStr">
        <is>
          <t>2023-09-18</t>
        </is>
      </c>
      <c r="H64" t="inlineStr">
        <is>
          <t>2023-09-18</t>
        </is>
      </c>
      <c r="I64" t="inlineStr">
        <is>
          <t>2027-03-31</t>
        </is>
      </c>
      <c r="K64" t="inlineStr">
        <is>
          <t>linear_progress</t>
        </is>
      </c>
      <c r="L64" t="b">
        <v>0</v>
      </c>
    </row>
    <row r="65">
      <c r="A65" s="2" t="inlineStr">
        <is>
          <t>⚠ 종료일 = 마지막 호선 인도 예정; 진행률 매출 분기는 계약기간 안에 선형 배분(가정)</t>
        </is>
      </c>
    </row>
    <row r="66">
      <c r="A66" s="2" t="inlineStr">
        <is>
          <t>⚠ 헤지비율 0.7 은 가정(통화선도 공시 없음 → 레퍼런스 SLS 시트의 HEDGE 70% 가정. hedge_rate 는 계약별 수주시점 환율로 대체)</t>
        </is>
      </c>
    </row>
    <row r="67">
      <c r="A6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68">
      <c r="A68" s="2" t="inlineStr">
        <is>
          <t>⚠ 종료일 '-' 12건은 같은 선종 계약기간 중위로 종료 추정(end_estimated)</t>
        </is>
      </c>
    </row>
    <row r="69">
      <c r="A69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70">
      <c r="A70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매출조선</t>
        </is>
      </c>
      <c r="D34" t="inlineStr">
        <is>
          <t>매출 조선·해양(방산·신조선·상선·특수선)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OP조선</t>
        </is>
      </c>
      <c r="D35" t="inlineStr">
        <is>
          <t>OP 조선·해양(방산·신조선·상선·특수선)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IFERROR(I16/E16-1,"")</f>
        <v/>
      </c>
      <c r="J42" s="21">
        <f>IFERROR(J16/F16-1,"")</f>
        <v/>
      </c>
      <c r="K42" s="21">
        <f>IFERROR(K16/G16-1,"")</f>
        <v/>
      </c>
      <c r="L42" s="21">
        <f>IFERROR(L16/H16-1,"")</f>
        <v/>
      </c>
      <c r="M42" s="21">
        <f>IFERROR(M16/I16-1,"")</f>
        <v/>
      </c>
      <c r="N42" s="21">
        <f>IFERROR(N16/J16-1,"")</f>
        <v/>
      </c>
      <c r="O42" s="21">
        <f>IFERROR(O16/K16-1,"")</f>
        <v/>
      </c>
      <c r="P42" s="21">
        <f>IFERROR(P16/L16-1,"")</f>
        <v/>
      </c>
      <c r="Q42" s="21">
        <f>IFERROR(Q16/M16-1,"")</f>
        <v/>
      </c>
      <c r="R42" s="21">
        <f>IFERROR(R16/N16-1,"")</f>
        <v/>
      </c>
      <c r="S42" s="21">
        <f>IFERROR(S16/O16-1,"")</f>
        <v/>
      </c>
      <c r="T42" s="21">
        <f>IFERROR(T16/P16-1,"")</f>
        <v/>
      </c>
      <c r="U42" s="21">
        <f>IFERROR(U16/Q16-1,"")</f>
        <v/>
      </c>
      <c r="V42" s="21">
        <f>IFERROR(V16/R16-1,"")</f>
        <v/>
      </c>
      <c r="W42" s="42">
        <f>IFERROR(W16/S16-1,"")</f>
        <v/>
      </c>
      <c r="X42" s="31">
        <f>IFERROR(X16/T16-1,"")</f>
        <v/>
      </c>
      <c r="Y42" s="31">
        <f>IFERROR(Y16/U16-1,"")</f>
        <v/>
      </c>
      <c r="Z42" s="31">
        <f>IFERROR(Z16/V16-1,"")</f>
        <v/>
      </c>
      <c r="AA42" s="31">
        <f>IFERROR(AA16/W16-1,"")</f>
        <v/>
      </c>
      <c r="AB42" s="31">
        <f>IFERROR(AB16/X16-1,"")</f>
        <v/>
      </c>
      <c r="AC42" s="31">
        <f>IFERROR(AC16/Y16-1,"")</f>
        <v/>
      </c>
      <c r="AD42" s="31">
        <f>IFERROR(AD16/Z16-1,"")</f>
        <v/>
      </c>
      <c r="AE42" s="31">
        <f>IFERROR(AE16/AA16-1,"")</f>
        <v/>
      </c>
      <c r="AF42" s="31">
        <f>IFERROR(AF16/AB16-1,"")</f>
        <v/>
      </c>
      <c r="AG42" s="31">
        <f>IFERROR(AG16/AC16-1,"")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매출조선</t>
        </is>
      </c>
      <c r="D34" t="inlineStr">
        <is>
          <t>매출 조선·해양(방산·신조선·상선·특수선)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OP조선</t>
        </is>
      </c>
      <c r="D35" t="inlineStr">
        <is>
          <t>OP 조선·해양(방산·신조선·상선·특수선)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IFERROR(F16/E16-1,"")</f>
        <v/>
      </c>
      <c r="G42" s="21">
        <f>IFERROR(G16/F16-1,"")</f>
        <v/>
      </c>
      <c r="H42" s="21">
        <f>IFERROR(H16/G16-1,"")</f>
        <v/>
      </c>
      <c r="I42" s="42">
        <f>IFERROR(I16/H16-1,"")</f>
        <v/>
      </c>
      <c r="J42" s="31">
        <f>IFERROR(J16/I16-1,"")</f>
        <v/>
      </c>
      <c r="K42" s="31">
        <f>IFERROR(K16/J16-1,"")</f>
        <v/>
      </c>
      <c r="L42" s="31">
        <f>IFERROR(L16/K16-1,"")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1833.4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7.94</v>
      </c>
    </row>
    <row r="32">
      <c r="C32" s="2" t="inlineStr">
        <is>
          <t>pbr_now</t>
        </is>
      </c>
      <c r="D32" t="n">
        <v>1.74</v>
      </c>
    </row>
    <row r="33">
      <c r="C33" s="2" t="inlineStr">
        <is>
          <t>roe_fwd</t>
        </is>
      </c>
      <c r="D33" t="n">
        <v>0.2198</v>
      </c>
    </row>
    <row r="34">
      <c r="C34" s="2" t="inlineStr">
        <is>
          <t>fair_pbr</t>
        </is>
      </c>
      <c r="D34" t="n">
        <v>2.44</v>
      </c>
    </row>
    <row r="35">
      <c r="C35" s="2" t="inlineStr">
        <is>
          <t>fair_value_pbr</t>
        </is>
      </c>
      <c r="D35" t="n">
        <v>20300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