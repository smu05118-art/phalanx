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1574억(sls.by_quarter.marine_hedged_krw_m(헤지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5390억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4951억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5390억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5843억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6337억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6867억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7382억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1574억(sls.by_quarter.marine_hedged_krw_m(헤지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
[sls_link]</t>
      </text>
    </comment>
    <comment ref="AG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H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I36" authorId="0" shapeId="0">
      <text>
        <t>추정: SLS 해양 원화 1609억(sls.by_quarter.marine_hedged_krw_m(헤지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K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L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M36" authorId="0" shapeId="0">
      <text>
        <t>추정: 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N36" authorId="0" shapeId="0">
      <text>
        <t>추정: 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2.6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716억 vs 0억 · 2027 2,558억 vs 2,563억 · 2028 2,565억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14972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0.004527602</v>
      </c>
      <c r="AE24" s="25">
        <f>IFERROR(subQ!AE16/subQ!AE15,"")</f>
        <v/>
      </c>
      <c r="AF24" s="31" t="n">
        <v>0.031454969</v>
      </c>
      <c r="AG24" s="31" t="n">
        <v>0.058388922</v>
      </c>
      <c r="AH24" s="31" t="n">
        <v>0.085336388</v>
      </c>
      <c r="AI24" s="31" t="n">
        <v>0.112254297</v>
      </c>
      <c r="AJ24" s="25">
        <f>IFERROR(subQ!AJ16/subQ!AJ15,"")</f>
        <v/>
      </c>
      <c r="AK24" s="31" t="n">
        <v>0.139201673</v>
      </c>
      <c r="AL24" s="31" t="n">
        <v>0.166129615</v>
      </c>
      <c r="AM24" s="31" t="n">
        <v>0.193073186</v>
      </c>
      <c r="AN24" s="31" t="n">
        <v>0.219997204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-0.002239709</v>
      </c>
      <c r="AD28" s="29" t="n">
        <v>-0.007732042</v>
      </c>
      <c r="AE28" s="30" t="n"/>
      <c r="AF28" s="29" t="n">
        <v>0.01938794</v>
      </c>
      <c r="AG28" s="29" t="n">
        <v>0.001789077</v>
      </c>
      <c r="AH28" s="29" t="n">
        <v>0.000648676</v>
      </c>
      <c r="AI28" s="29" t="n">
        <v>0.001691458</v>
      </c>
      <c r="AJ28" s="30" t="n"/>
      <c r="AK28" s="29" t="n">
        <v>-0.004143872</v>
      </c>
      <c r="AL28" s="29" t="n">
        <v>-0.0009852870000000001</v>
      </c>
      <c r="AM28" s="29" t="n">
        <v>0.007191408</v>
      </c>
      <c r="AN28" s="29" t="n">
        <v>-0.005574707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-0.002239709</v>
      </c>
      <c r="AD29" s="29" t="n">
        <v>-0.007732042</v>
      </c>
      <c r="AE29" s="30" t="n"/>
      <c r="AF29" s="29" t="n">
        <v>0.01938794</v>
      </c>
      <c r="AG29" s="29" t="n">
        <v>0.001789077</v>
      </c>
      <c r="AH29" s="29" t="n">
        <v>0.000648676</v>
      </c>
      <c r="AI29" s="29" t="n">
        <v>0.001691458</v>
      </c>
      <c r="AJ29" s="30" t="n"/>
      <c r="AK29" s="29" t="n">
        <v>-0.004143872</v>
      </c>
      <c r="AL29" s="29" t="n">
        <v>-0.0009852870000000001</v>
      </c>
      <c r="AM29" s="29" t="n">
        <v>0.007191408</v>
      </c>
      <c r="AN29" s="29" t="n">
        <v>-0.005574707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-0.356648231</v>
      </c>
      <c r="AE31" s="25" t="n"/>
      <c r="AF31" s="31" t="n">
        <v>-0.556212598</v>
      </c>
      <c r="AG31" s="31" t="n">
        <v>-1.317262937</v>
      </c>
      <c r="AH31" s="31" t="n">
        <v>3.158072636</v>
      </c>
      <c r="AI31" s="31" t="n">
        <v>0.783475734</v>
      </c>
      <c r="AJ31" s="25" t="n"/>
      <c r="AK31" s="31" t="n">
        <v>0.478912303</v>
      </c>
      <c r="AL31" s="31" t="n">
        <v>0.347866571</v>
      </c>
      <c r="AM31" s="31" t="n">
        <v>0.250497443</v>
      </c>
      <c r="AN31" s="31" t="n">
        <v>0.195330706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0.167084775</v>
      </c>
      <c r="AE32" s="25" t="n"/>
      <c r="AF32" s="31" t="n">
        <v>0.143642754</v>
      </c>
      <c r="AG32" s="31" t="n">
        <v>0.132007911</v>
      </c>
      <c r="AH32" s="31" t="n">
        <v>0.088699154</v>
      </c>
      <c r="AI32" s="31" t="n">
        <v>0.084044075</v>
      </c>
      <c r="AJ32" s="25" t="n"/>
      <c r="AK32" s="31" t="n">
        <v>0.084519673</v>
      </c>
      <c r="AL32" s="31" t="n">
        <v>0.083718126</v>
      </c>
      <c r="AM32" s="31" t="n">
        <v>0.07497917599999999</v>
      </c>
      <c r="AN32" s="31" t="n">
        <v>0.068012798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2798.235511</v>
      </c>
      <c r="AE38" s="30" t="n"/>
      <c r="AF38" s="29" t="n">
        <v>2783.721783</v>
      </c>
      <c r="AG38" s="29" t="n">
        <v>2790.740927</v>
      </c>
      <c r="AH38" s="29" t="n">
        <v>919.561614</v>
      </c>
      <c r="AI38" s="29" t="n">
        <v>644.731614</v>
      </c>
      <c r="AJ38" s="30" t="n"/>
      <c r="AK38" s="29" t="n">
        <v>637.7409270000001</v>
      </c>
      <c r="AL38" s="29" t="n">
        <v>637.750927</v>
      </c>
      <c r="AM38" s="29" t="n">
        <v>644.743609</v>
      </c>
      <c r="AN38" s="29" t="n">
        <v>644.774393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0.09507599899999999</v>
      </c>
      <c r="AE40" s="25">
        <f>IFERROR(subQ!AE38/subQ!AE36,"")</f>
        <v/>
      </c>
      <c r="AF40" s="31" t="n">
        <v>0.096058342</v>
      </c>
      <c r="AG40" s="31" t="n">
        <v>0.097964654</v>
      </c>
      <c r="AH40" s="31" t="n">
        <v>0.09878661499999999</v>
      </c>
      <c r="AI40" s="31" t="n">
        <v>0.099638501</v>
      </c>
      <c r="AJ40" s="25">
        <f>IFERROR(subQ!AJ38/subQ!AJ36,"")</f>
        <v/>
      </c>
      <c r="AK40" s="31" t="n">
        <v>0.100934995</v>
      </c>
      <c r="AL40" s="31" t="n">
        <v>0.101626387</v>
      </c>
      <c r="AM40" s="31" t="n">
        <v>0.09919552</v>
      </c>
      <c r="AN40" s="31" t="n">
        <v>0.097282094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0.09507544800000001</v>
      </c>
      <c r="AE42" s="25">
        <f>IFERROR(subQ!AE41/subQ!AE40,"")</f>
        <v/>
      </c>
      <c r="AF42" s="31" t="n">
        <v>0.096058671</v>
      </c>
      <c r="AG42" s="31" t="n">
        <v>0.097966416</v>
      </c>
      <c r="AH42" s="31" t="n">
        <v>0.098788215</v>
      </c>
      <c r="AI42" s="31" t="n">
        <v>0.099635694</v>
      </c>
      <c r="AJ42" s="25">
        <f>IFERROR(subQ!AJ41/subQ!AJ40,"")</f>
        <v/>
      </c>
      <c r="AK42" s="31" t="n">
        <v>0.100934429</v>
      </c>
      <c r="AL42" s="31" t="n">
        <v>0.101627821</v>
      </c>
      <c r="AM42" s="31" t="n">
        <v>0.09919544499999999</v>
      </c>
      <c r="AN42" s="31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14250</v>
      </c>
      <c r="E45" s="2" t="inlineStr">
        <is>
          <t>원 — 네이버 정규장 종가(aik 확정종가 대조 · aik 14,870원)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0.0535974210343067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0.0323475708862465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0.07870380316661114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1345.14</v>
      </c>
      <c r="AN14" s="13" t="n">
        <v>1341.49</v>
      </c>
      <c r="AO14" s="13" t="n">
        <v>1341.49</v>
      </c>
      <c r="AP14" s="13" t="n">
        <v>1341.49</v>
      </c>
      <c r="AQ14" s="13" t="n">
        <v>1341.49</v>
      </c>
      <c r="AR14" s="13" t="n">
        <v>1341.49</v>
      </c>
      <c r="AS14" s="13" t="n">
        <v>1341.49</v>
      </c>
      <c r="AT14" s="13" t="n">
        <v>1341.49</v>
      </c>
      <c r="AU14" s="13" t="n">
        <v>1341.49</v>
      </c>
      <c r="AV14" s="13" t="n">
        <v>1341.49</v>
      </c>
      <c r="AW14" s="13" t="n">
        <v>1341.49</v>
      </c>
      <c r="AX14" s="13" t="n">
        <v>1341.49</v>
      </c>
      <c r="AY14" s="13" t="n">
        <v>1341.49</v>
      </c>
      <c r="AZ14" s="13" t="n">
        <v>1341.49</v>
      </c>
      <c r="BA14" s="13" t="n">
        <v>1341.49</v>
      </c>
      <c r="BB14" s="13" t="n">
        <v>1341.49</v>
      </c>
      <c r="BC14" s="13" t="n">
        <v>1341.49</v>
      </c>
      <c r="BD14" s="13" t="n">
        <v>1341.49</v>
      </c>
      <c r="BE14" s="13" t="n">
        <v>1341.49</v>
      </c>
      <c r="BF14" s="13" t="n">
        <v>1341.49</v>
      </c>
      <c r="BG14" s="13" t="n">
        <v>1341.49</v>
      </c>
      <c r="BH14" s="13" t="n">
        <v>1341.49</v>
      </c>
      <c r="BI14" s="13" t="n">
        <v>1341.49</v>
      </c>
      <c r="BJ14" s="13" t="n">
        <v>1341.49</v>
      </c>
      <c r="BK14" s="13" t="n">
        <v>1341.49</v>
      </c>
      <c r="BL14" s="13" t="n">
        <v>1341.49</v>
      </c>
      <c r="BM14" s="13" t="n">
        <v>1341.49</v>
      </c>
      <c r="BN14" s="13" t="n">
        <v>1341.49</v>
      </c>
      <c r="BO14" s="13" t="n">
        <v>1341.49</v>
      </c>
      <c r="BP14" s="13" t="n">
        <v>1341.49</v>
      </c>
      <c r="BQ14" s="13" t="n">
        <v>1341.49</v>
      </c>
      <c r="BR14" s="13" t="n">
        <v>1341.49</v>
      </c>
      <c r="BS14" s="13" t="n">
        <v>1341.49</v>
      </c>
      <c r="BT14" s="13" t="n">
        <v>1341.49</v>
      </c>
      <c r="BU14" s="13" t="n">
        <v>1341.49</v>
      </c>
      <c r="BV14" s="13" t="n">
        <v>1341.49</v>
      </c>
      <c r="BW14" s="13" t="n">
        <v>1341.49</v>
      </c>
      <c r="BX14" s="13" t="n">
        <v>1341.49</v>
      </c>
      <c r="BY14" s="13" t="n">
        <v>1341.49</v>
      </c>
      <c r="BZ14" s="13" t="n">
        <v>1341.49</v>
      </c>
      <c r="CA14" s="13" t="n">
        <v>1341.49</v>
      </c>
      <c r="CB14" s="13" t="n">
        <v>1341.49</v>
      </c>
      <c r="CC14" s="13" t="n">
        <v>1341.49</v>
      </c>
      <c r="CD14" s="13" t="n">
        <v>1341.49</v>
      </c>
      <c r="CE14" s="13" t="n">
        <v>1341.49</v>
      </c>
      <c r="CF14" s="13" t="n">
        <v>1341.49</v>
      </c>
      <c r="CG14" s="13" t="n">
        <v>1341.49</v>
      </c>
      <c r="CH14" s="13" t="n">
        <v>1341.49</v>
      </c>
      <c r="CI14" s="13" t="n">
        <v>1341.49</v>
      </c>
      <c r="CJ14" s="13" t="n">
        <v>1341.49</v>
      </c>
      <c r="CK14" s="13" t="n">
        <v>1341.49</v>
      </c>
      <c r="CL14" s="13" t="n">
        <v>1341.49</v>
      </c>
      <c r="CM14" s="13" t="n">
        <v>1341.49</v>
      </c>
      <c r="CN14" s="13" t="n">
        <v>1341.49</v>
      </c>
      <c r="CO14" s="13" t="n">
        <v>1341.49</v>
      </c>
      <c r="CP14" s="13" t="n">
        <v>1341.49</v>
      </c>
      <c r="CQ14" s="13" t="n">
        <v>1341.49</v>
      </c>
      <c r="CR14" s="13" t="n">
        <v>1341.49</v>
      </c>
      <c r="CS14" s="13" t="n">
        <v>1341.49</v>
      </c>
      <c r="CT14" s="13" t="n">
        <v>1341.49</v>
      </c>
      <c r="CU14" s="13" t="n">
        <v>1341.49</v>
      </c>
      <c r="CV14" s="13" t="n">
        <v>1341.49</v>
      </c>
      <c r="CW14" s="13" t="n">
        <v>1341.49</v>
      </c>
      <c r="CX14" s="13" t="n">
        <v>1341.49</v>
      </c>
      <c r="CY14" s="13" t="n">
        <v>1341.49</v>
      </c>
      <c r="CZ14" s="13" t="n">
        <v>1341.49</v>
      </c>
      <c r="DA14" s="13" t="n">
        <v>1341.49</v>
      </c>
      <c r="DB14" s="13" t="n">
        <v>1341.49</v>
      </c>
      <c r="DC14" s="13" t="n">
        <v>1341.49</v>
      </c>
      <c r="DD14" s="13" t="n">
        <v>1341.49</v>
      </c>
      <c r="DE14" s="13" t="n">
        <v>1341.49</v>
      </c>
      <c r="DF14" s="13" t="n">
        <v>1341.49</v>
      </c>
      <c r="DG14" s="13" t="n">
        <v>1341.49</v>
      </c>
      <c r="DH14" s="13" t="n">
        <v>1341.49</v>
      </c>
      <c r="DI14" s="13" t="n">
        <v>1341.49</v>
      </c>
      <c r="DJ14" s="13" t="n">
        <v>1341.49</v>
      </c>
      <c r="DK14" s="13" t="n">
        <v>1341.49</v>
      </c>
      <c r="DL14" s="13" t="n">
        <v>1341.49</v>
      </c>
      <c r="DM14" s="13" t="n">
        <v>1341.49</v>
      </c>
      <c r="DN14" s="13" t="n">
        <v>1341.49</v>
      </c>
      <c r="DO14" s="13" t="n">
        <v>1341.49</v>
      </c>
      <c r="DP14" s="13" t="n">
        <v>1341.49</v>
      </c>
      <c r="DQ14" s="13" t="n">
        <v>1341.49</v>
      </c>
      <c r="DR14" s="13" t="n">
        <v>1341.49</v>
      </c>
      <c r="DS14" s="13" t="n">
        <v>1341.49</v>
      </c>
      <c r="DT14" s="13" t="n">
        <v>1341.49</v>
      </c>
      <c r="DU14" s="13" t="n">
        <v>1341.49</v>
      </c>
      <c r="DV14" s="13" t="n">
        <v>1341.49</v>
      </c>
      <c r="DW14" s="13" t="n">
        <v>1341.49</v>
      </c>
      <c r="DX14" s="13" t="n">
        <v>1341.49</v>
      </c>
      <c r="DY14" s="13" t="n">
        <v>1341.49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1377.28</v>
      </c>
      <c r="AN15" s="13" t="n">
        <v>1385.35</v>
      </c>
      <c r="AO15" s="13" t="n">
        <v>1397.66</v>
      </c>
      <c r="AP15" s="13" t="n">
        <v>1401.38</v>
      </c>
      <c r="AQ15" s="13" t="n">
        <v>1405.07</v>
      </c>
      <c r="AR15" s="13" t="n">
        <v>1410.22</v>
      </c>
      <c r="AS15" s="13" t="n">
        <v>1415.1</v>
      </c>
      <c r="AT15" s="13" t="n">
        <v>1415.98</v>
      </c>
      <c r="AU15" s="13" t="n">
        <v>1414.15</v>
      </c>
      <c r="AV15" s="13" t="n">
        <v>1411.71</v>
      </c>
      <c r="AW15" s="13" t="n">
        <v>1414.74</v>
      </c>
      <c r="AX15" s="13" t="n">
        <v>1417.48</v>
      </c>
      <c r="AY15" s="13" t="n">
        <v>1420.99</v>
      </c>
      <c r="AZ15" s="13" t="n">
        <v>1425.44</v>
      </c>
      <c r="BA15" s="13" t="n">
        <v>1426.03</v>
      </c>
      <c r="BB15" s="13" t="n">
        <v>1425.53</v>
      </c>
      <c r="BC15" s="13" t="n">
        <v>1401.73</v>
      </c>
      <c r="BD15" s="13" t="n">
        <v>1425.19</v>
      </c>
      <c r="BE15" s="13" t="n">
        <v>1428.87</v>
      </c>
      <c r="BF15" s="13" t="n">
        <v>1426.65</v>
      </c>
      <c r="BG15" s="13" t="n">
        <v>1426.65</v>
      </c>
      <c r="BH15" s="13" t="n">
        <v>1426.65</v>
      </c>
      <c r="BI15" s="13" t="n">
        <v>1414.6</v>
      </c>
      <c r="BJ15" s="13" t="n">
        <v>1409.77</v>
      </c>
      <c r="BK15" s="13" t="n">
        <v>1409.77</v>
      </c>
      <c r="BL15" s="13" t="n">
        <v>1409.77</v>
      </c>
      <c r="BM15" s="13" t="n">
        <v>1409.77</v>
      </c>
      <c r="BN15" s="13" t="n">
        <v>1411.95</v>
      </c>
      <c r="BO15" s="13" t="n">
        <v>1418.56</v>
      </c>
      <c r="BP15" s="13" t="n">
        <v>1418.56</v>
      </c>
      <c r="BQ15" s="13" t="n">
        <v>1420.84</v>
      </c>
      <c r="BR15" s="13" t="n">
        <v>1428.73</v>
      </c>
      <c r="BS15" s="13" t="n">
        <v>1428.73</v>
      </c>
      <c r="BT15" s="13" t="n">
        <v>1428.73</v>
      </c>
      <c r="BU15" s="13" t="n">
        <v>1428.73</v>
      </c>
      <c r="BV15" s="13" t="n">
        <v>1428.73</v>
      </c>
      <c r="BW15" s="13" t="n">
        <v>1428.73</v>
      </c>
      <c r="BX15" s="13" t="n">
        <v>1428.73</v>
      </c>
      <c r="BY15" s="13" t="n">
        <v>1428.73</v>
      </c>
      <c r="BZ15" s="13" t="n">
        <v>1428.73</v>
      </c>
      <c r="CA15" s="13" t="n">
        <v>1428.73</v>
      </c>
      <c r="CB15" s="13" t="n">
        <v>1428.73</v>
      </c>
      <c r="CC15" s="13" t="n">
        <v>1428.73</v>
      </c>
      <c r="CD15" s="13" t="n">
        <v>1428.73</v>
      </c>
      <c r="CE15" s="13" t="n">
        <v>1428.73</v>
      </c>
      <c r="CF15" s="13" t="n">
        <v>1428.73</v>
      </c>
      <c r="CG15" s="13" t="n">
        <v>1428.73</v>
      </c>
      <c r="CH15" s="13" t="n">
        <v>1428.73</v>
      </c>
      <c r="CI15" s="13" t="n">
        <v>1428.73</v>
      </c>
      <c r="CJ15" s="13" t="n">
        <v>1428.73</v>
      </c>
      <c r="CK15" s="13" t="n">
        <v>1428.73</v>
      </c>
      <c r="CL15" s="13" t="n">
        <v>1428.73</v>
      </c>
      <c r="CM15" s="13" t="n">
        <v>1428.73</v>
      </c>
      <c r="CN15" s="13" t="n">
        <v>1428.73</v>
      </c>
      <c r="CO15" s="13" t="n">
        <v>1428.73</v>
      </c>
      <c r="CP15" s="13" t="n">
        <v>1428.73</v>
      </c>
      <c r="CQ15" s="13" t="n">
        <v>1428.73</v>
      </c>
      <c r="CR15" s="13" t="n">
        <v>1428.73</v>
      </c>
      <c r="CS15" s="13" t="n">
        <v>1428.73</v>
      </c>
      <c r="CT15" s="13" t="n">
        <v>1428.73</v>
      </c>
      <c r="CU15" s="13" t="n">
        <v>1428.73</v>
      </c>
      <c r="CV15" s="13" t="n">
        <v>1428.73</v>
      </c>
      <c r="CW15" s="13" t="n">
        <v>1428.73</v>
      </c>
      <c r="CX15" s="13" t="n">
        <v>1428.73</v>
      </c>
      <c r="CY15" s="13" t="n">
        <v>1428.73</v>
      </c>
      <c r="CZ15" s="13" t="n">
        <v>1428.73</v>
      </c>
      <c r="DA15" s="13" t="n">
        <v>1428.73</v>
      </c>
      <c r="DB15" s="13" t="n">
        <v>1428.73</v>
      </c>
      <c r="DC15" s="13" t="n">
        <v>1428.73</v>
      </c>
      <c r="DD15" s="13" t="n">
        <v>1428.73</v>
      </c>
      <c r="DE15" s="13" t="n">
        <v>1428.73</v>
      </c>
      <c r="DF15" s="13" t="n">
        <v>1428.73</v>
      </c>
      <c r="DG15" s="13" t="n">
        <v>1428.73</v>
      </c>
      <c r="DH15" s="13" t="n">
        <v>1428.73</v>
      </c>
      <c r="DI15" s="13" t="n">
        <v>1428.73</v>
      </c>
      <c r="DJ15" s="13" t="n">
        <v>1428.73</v>
      </c>
      <c r="DK15" s="13" t="n">
        <v>1428.73</v>
      </c>
      <c r="DL15" s="13" t="n">
        <v>1428.73</v>
      </c>
      <c r="DM15" s="13" t="n">
        <v>1428.73</v>
      </c>
      <c r="DN15" s="13" t="n">
        <v>1428.73</v>
      </c>
      <c r="DO15" s="13" t="n">
        <v>1428.73</v>
      </c>
      <c r="DP15" s="13" t="n">
        <v>1428.73</v>
      </c>
      <c r="DQ15" s="13" t="n">
        <v>1428.73</v>
      </c>
      <c r="DR15" s="13" t="n">
        <v>1428.73</v>
      </c>
      <c r="DS15" s="13" t="n">
        <v>1428.73</v>
      </c>
      <c r="DT15" s="13" t="n">
        <v>1428.73</v>
      </c>
      <c r="DU15" s="13" t="n">
        <v>1428.73</v>
      </c>
      <c r="DV15" s="13" t="n">
        <v>1428.73</v>
      </c>
      <c r="DW15" s="13" t="n">
        <v>1428.73</v>
      </c>
      <c r="DX15" s="13" t="n">
        <v>1428.73</v>
      </c>
      <c r="DY15" s="13" t="n">
        <v>1428.73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392054</v>
      </c>
      <c r="AN16" s="18" t="n">
        <v>363240.6</v>
      </c>
      <c r="AO16" s="18" t="n">
        <v>332669.9</v>
      </c>
      <c r="AP16" s="18" t="n">
        <v>322946.5</v>
      </c>
      <c r="AQ16" s="18" t="n">
        <v>310315</v>
      </c>
      <c r="AR16" s="18" t="n">
        <v>289565.3</v>
      </c>
      <c r="AS16" s="18" t="n">
        <v>281607.9</v>
      </c>
      <c r="AT16" s="18" t="n">
        <v>237883.5</v>
      </c>
      <c r="AU16" s="18" t="n">
        <v>203179.2</v>
      </c>
      <c r="AV16" s="18" t="n">
        <v>183246.6</v>
      </c>
      <c r="AW16" s="18" t="n">
        <v>129558.3</v>
      </c>
      <c r="AX16" s="18" t="n">
        <v>103502.4</v>
      </c>
      <c r="AY16" s="18" t="n">
        <v>84278.3</v>
      </c>
      <c r="AZ16" s="18" t="n">
        <v>53175.2</v>
      </c>
      <c r="BA16" s="18" t="n">
        <v>50300.3</v>
      </c>
      <c r="BB16" s="18" t="n">
        <v>42934.4</v>
      </c>
      <c r="BC16" s="18" t="n">
        <v>21381</v>
      </c>
      <c r="BD16" s="18" t="n">
        <v>18523.8</v>
      </c>
      <c r="BE16" s="18" t="n">
        <v>17217.1</v>
      </c>
      <c r="BF16" s="18" t="n">
        <v>15951.7</v>
      </c>
      <c r="BG16" s="18" t="n">
        <v>15951.7</v>
      </c>
      <c r="BH16" s="18" t="n">
        <v>15778.3</v>
      </c>
      <c r="BI16" s="18" t="n">
        <v>10818.9</v>
      </c>
      <c r="BJ16" s="18" t="n">
        <v>9701.4</v>
      </c>
      <c r="BK16" s="18" t="n">
        <v>9701.4</v>
      </c>
      <c r="BL16" s="18" t="n">
        <v>9490.5</v>
      </c>
      <c r="BM16" s="18" t="n">
        <v>9596</v>
      </c>
      <c r="BN16" s="18" t="n">
        <v>8424</v>
      </c>
      <c r="BO16" s="18" t="n">
        <v>6028.8</v>
      </c>
      <c r="BP16" s="18" t="n">
        <v>5897.8</v>
      </c>
      <c r="BQ16" s="18" t="n">
        <v>2536.7</v>
      </c>
      <c r="BR16" s="18" t="n">
        <v>860.8</v>
      </c>
      <c r="BS16" s="18" t="n">
        <v>860.8</v>
      </c>
      <c r="BT16" s="18" t="n">
        <v>842.1</v>
      </c>
      <c r="BU16" s="18" t="n">
        <v>851.4</v>
      </c>
      <c r="BV16" s="18" t="n">
        <v>860.8</v>
      </c>
      <c r="BW16" s="18" t="n">
        <v>860.8</v>
      </c>
      <c r="BX16" s="18" t="n">
        <v>851.4</v>
      </c>
      <c r="BY16" s="18" t="n">
        <v>851.4</v>
      </c>
      <c r="BZ16" s="18" t="n">
        <v>860.8</v>
      </c>
      <c r="CA16" s="18" t="n">
        <v>860.8</v>
      </c>
      <c r="CB16" s="18" t="n">
        <v>842.1</v>
      </c>
      <c r="CC16" s="18" t="n">
        <v>851.4</v>
      </c>
      <c r="CD16" s="18" t="n">
        <v>860.8</v>
      </c>
      <c r="CE16" s="18" t="n">
        <v>860.8</v>
      </c>
      <c r="CF16" s="18" t="n">
        <v>842.1</v>
      </c>
      <c r="CG16" s="18" t="n">
        <v>851.4</v>
      </c>
      <c r="CH16" s="18" t="n">
        <v>860.8</v>
      </c>
      <c r="CI16" s="18" t="n">
        <v>860.8</v>
      </c>
      <c r="CJ16" s="18" t="n">
        <v>842.1</v>
      </c>
      <c r="CK16" s="18" t="n">
        <v>851.4</v>
      </c>
      <c r="CL16" s="18" t="n">
        <v>860.8</v>
      </c>
      <c r="CM16" s="18" t="n">
        <v>860.8</v>
      </c>
      <c r="CN16" s="18" t="n">
        <v>851.4</v>
      </c>
      <c r="CO16" s="18" t="n">
        <v>851.4</v>
      </c>
      <c r="CP16" s="18" t="n">
        <v>860.8</v>
      </c>
      <c r="CQ16" s="18" t="n">
        <v>860.8</v>
      </c>
      <c r="CR16" s="18" t="n">
        <v>842.1</v>
      </c>
      <c r="CS16" s="18" t="n">
        <v>851.4</v>
      </c>
      <c r="CT16" s="18" t="n">
        <v>860.8</v>
      </c>
      <c r="CU16" s="18" t="n">
        <v>860.8</v>
      </c>
      <c r="CV16" s="18" t="n">
        <v>842.1</v>
      </c>
      <c r="CW16" s="18" t="n">
        <v>851.4</v>
      </c>
      <c r="CX16" s="18" t="n">
        <v>860.8</v>
      </c>
      <c r="CY16" s="18" t="n">
        <v>860.8</v>
      </c>
      <c r="CZ16" s="18" t="n">
        <v>842.1</v>
      </c>
      <c r="DA16" s="18" t="n">
        <v>851.4</v>
      </c>
      <c r="DB16" s="18" t="n">
        <v>860.8</v>
      </c>
      <c r="DC16" s="18" t="n">
        <v>860.8</v>
      </c>
      <c r="DD16" s="18" t="n">
        <v>851.4</v>
      </c>
      <c r="DE16" s="18" t="n">
        <v>851.4</v>
      </c>
      <c r="DF16" s="18" t="n">
        <v>860.8</v>
      </c>
      <c r="DG16" s="18" t="n">
        <v>860.8</v>
      </c>
      <c r="DH16" s="18" t="n">
        <v>842.1</v>
      </c>
      <c r="DI16" s="18" t="n">
        <v>851.4</v>
      </c>
      <c r="DJ16" s="18" t="n">
        <v>860.8</v>
      </c>
      <c r="DK16" s="18" t="n">
        <v>860.8</v>
      </c>
      <c r="DL16" s="18" t="n">
        <v>842.1</v>
      </c>
      <c r="DM16" s="18" t="n">
        <v>851.4</v>
      </c>
      <c r="DN16" s="18" t="n">
        <v>860.8</v>
      </c>
      <c r="DO16" s="18" t="n">
        <v>860.8</v>
      </c>
      <c r="DP16" s="18" t="n">
        <v>842.1</v>
      </c>
      <c r="DQ16" s="18" t="n">
        <v>851.4</v>
      </c>
      <c r="DR16" s="18" t="n">
        <v>860.8</v>
      </c>
      <c r="DS16" s="18" t="n">
        <v>860.8</v>
      </c>
      <c r="DT16" s="18" t="n">
        <v>851.4</v>
      </c>
      <c r="DU16" s="18" t="n">
        <v>851.4</v>
      </c>
      <c r="DV16" s="18" t="n">
        <v>860.8</v>
      </c>
      <c r="DW16" s="18" t="n">
        <v>860.8</v>
      </c>
      <c r="DX16" s="18" t="n">
        <v>842.1</v>
      </c>
      <c r="DY16" s="18" t="n">
        <v>570.7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1296318.7</v>
      </c>
      <c r="EI16" s="18" t="n">
        <v>1329172</v>
      </c>
      <c r="EJ16" s="18" t="n">
        <v>1012235.9</v>
      </c>
      <c r="EK16" s="18" t="n">
        <v>500585.6</v>
      </c>
      <c r="EL16" s="18" t="n">
        <v>167790.9</v>
      </c>
      <c r="EM16" s="18" t="n">
        <v>67644.3</v>
      </c>
      <c r="EN16" s="18" t="n">
        <v>46000</v>
      </c>
      <c r="EO16" s="18" t="n">
        <v>33539.3</v>
      </c>
      <c r="EP16" s="18" t="n">
        <v>10156.1</v>
      </c>
      <c r="EQ16" s="18" t="n">
        <v>3415.1</v>
      </c>
      <c r="ER16" s="18" t="n">
        <v>3424.4</v>
      </c>
      <c r="ES16" s="18" t="n">
        <v>3415.1</v>
      </c>
      <c r="ET16" s="18" t="n">
        <v>3415.1</v>
      </c>
      <c r="EU16" s="18" t="n">
        <v>3415.1</v>
      </c>
      <c r="EV16" s="18" t="n">
        <v>3424.4</v>
      </c>
      <c r="EW16" s="18" t="n">
        <v>3415.1</v>
      </c>
      <c r="EX16" s="18" t="n">
        <v>3415.1</v>
      </c>
      <c r="EY16" s="18" t="n">
        <v>3415.1</v>
      </c>
      <c r="EZ16" s="18" t="n">
        <v>3424.4</v>
      </c>
      <c r="FA16" s="18" t="n">
        <v>3415.1</v>
      </c>
      <c r="FB16" s="18" t="n">
        <v>3415.1</v>
      </c>
      <c r="FC16" s="18" t="n">
        <v>3415.1</v>
      </c>
      <c r="FD16" s="18" t="n">
        <v>3424.4</v>
      </c>
      <c r="FE16" s="18" t="n">
        <v>1412.8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161020.5</v>
      </c>
      <c r="AN17" s="18" t="n">
        <v>157398.5</v>
      </c>
      <c r="AO17" s="18" t="n">
        <v>159147.4</v>
      </c>
      <c r="AP17" s="18" t="n">
        <v>160896.3</v>
      </c>
      <c r="AQ17" s="18" t="n">
        <v>160896.3</v>
      </c>
      <c r="AR17" s="18" t="n">
        <v>159147.4</v>
      </c>
      <c r="AS17" s="18" t="n">
        <v>159147.4</v>
      </c>
      <c r="AT17" s="18" t="n">
        <v>124575.6</v>
      </c>
      <c r="AU17" s="18" t="n">
        <v>100205</v>
      </c>
      <c r="AV17" s="18" t="n">
        <v>82511.10000000001</v>
      </c>
      <c r="AW17" s="18" t="n">
        <v>40678.3</v>
      </c>
      <c r="AX17" s="18" t="n">
        <v>19869.8</v>
      </c>
      <c r="AY17" s="18" t="n">
        <v>6695.3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401744.1</v>
      </c>
      <c r="EI17" s="18" t="n">
        <v>638338.5</v>
      </c>
      <c r="EJ17" s="18" t="n">
        <v>543075.4</v>
      </c>
      <c r="EK17" s="18" t="n">
        <v>149754.5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96495.10000000001</v>
      </c>
      <c r="AN18" s="18" t="n">
        <v>94325.39999999999</v>
      </c>
      <c r="AO18" s="18" t="n">
        <v>95373.39999999999</v>
      </c>
      <c r="AP18" s="18" t="n">
        <v>96421.5</v>
      </c>
      <c r="AQ18" s="18" t="n">
        <v>96421.5</v>
      </c>
      <c r="AR18" s="18" t="n">
        <v>95373.39999999999</v>
      </c>
      <c r="AS18" s="18" t="n">
        <v>95373.39999999999</v>
      </c>
      <c r="AT18" s="18" t="n">
        <v>60100.8</v>
      </c>
      <c r="AU18" s="18" t="n">
        <v>35730.2</v>
      </c>
      <c r="AV18" s="18" t="n">
        <v>19437.9</v>
      </c>
      <c r="AW18" s="18" t="n">
        <v>19653.9</v>
      </c>
      <c r="AX18" s="18" t="n">
        <v>19869.8</v>
      </c>
      <c r="AY18" s="18" t="n">
        <v>6695.3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64525.4</v>
      </c>
      <c r="AN19" s="18" t="n">
        <v>63073.2</v>
      </c>
      <c r="AO19" s="18" t="n">
        <v>63774</v>
      </c>
      <c r="AP19" s="18" t="n">
        <v>64474.8</v>
      </c>
      <c r="AQ19" s="18" t="n">
        <v>64474.8</v>
      </c>
      <c r="AR19" s="18" t="n">
        <v>63774</v>
      </c>
      <c r="AS19" s="18" t="n">
        <v>63774</v>
      </c>
      <c r="AT19" s="18" t="n">
        <v>64474.8</v>
      </c>
      <c r="AU19" s="18" t="n">
        <v>64474.8</v>
      </c>
      <c r="AV19" s="18" t="n">
        <v>63073.2</v>
      </c>
      <c r="AW19" s="18" t="n">
        <v>21024.4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원/달러(평균)",환율,MATCH(AM$1,변수H,0),0),1345.14)</f>
        <v/>
      </c>
      <c r="AN25" s="13">
        <f>IFERROR(VLOOKUP(" 원/달러(평균)",환율,MATCH(AN$1,변수H,0),0),1341.49)</f>
        <v/>
      </c>
      <c r="AO25" s="13">
        <f>IFERROR(VLOOKUP(" 원/달러(평균)",환율,MATCH(AO$1,변수H,0),0),1341.49)</f>
        <v/>
      </c>
      <c r="AP25" s="13">
        <f>IFERROR(VLOOKUP(" 원/달러(평균)",환율,MATCH(AP$1,변수H,0),0),1341.49)</f>
        <v/>
      </c>
      <c r="AQ25" s="13">
        <f>IFERROR(VLOOKUP(" 원/달러(평균)",환율,MATCH(AQ$1,변수H,0),0),1341.49)</f>
        <v/>
      </c>
      <c r="AR25" s="13">
        <f>IFERROR(VLOOKUP(" 원/달러(평균)",환율,MATCH(AR$1,변수H,0),0),1341.49)</f>
        <v/>
      </c>
      <c r="AS25" s="13">
        <f>IFERROR(VLOOKUP(" 원/달러(평균)",환율,MATCH(AS$1,변수H,0),0),1341.49)</f>
        <v/>
      </c>
      <c r="AT25" s="13">
        <f>IFERROR(VLOOKUP(" 원/달러(평균)",환율,MATCH(AT$1,변수H,0),0),1341.49)</f>
        <v/>
      </c>
      <c r="AU25" s="13">
        <f>IFERROR(VLOOKUP(" 원/달러(평균)",환율,MATCH(AU$1,변수H,0),0),1341.49)</f>
        <v/>
      </c>
      <c r="AV25" s="13">
        <f>IFERROR(VLOOKUP(" 원/달러(평균)",환율,MATCH(AV$1,변수H,0),0),1341.49)</f>
        <v/>
      </c>
      <c r="AW25" s="13">
        <f>IFERROR(VLOOKUP(" 원/달러(평균)",환율,MATCH(AW$1,변수H,0),0),1341.49)</f>
        <v/>
      </c>
      <c r="AX25" s="13">
        <f>IFERROR(VLOOKUP(" 원/달러(평균)",환율,MATCH(AX$1,변수H,0),0),1341.49)</f>
        <v/>
      </c>
      <c r="AY25" s="13">
        <f>IFERROR(VLOOKUP(" 원/달러(평균)",환율,MATCH(AY$1,변수H,0),0),1341.49)</f>
        <v/>
      </c>
      <c r="AZ25" s="13">
        <f>IFERROR(VLOOKUP(" 원/달러(평균)",환율,MATCH(AZ$1,변수H,0),0),1341.49)</f>
        <v/>
      </c>
      <c r="BA25" s="13">
        <f>IFERROR(VLOOKUP(" 원/달러(평균)",환율,MATCH(BA$1,변수H,0),0),1341.49)</f>
        <v/>
      </c>
      <c r="BB25" s="13">
        <f>IFERROR(VLOOKUP(" 원/달러(평균)",환율,MATCH(BB$1,변수H,0),0),1341.49)</f>
        <v/>
      </c>
      <c r="BC25" s="13">
        <f>IFERROR(VLOOKUP(" 원/달러(평균)",환율,MATCH(BC$1,변수H,0),0),1341.49)</f>
        <v/>
      </c>
      <c r="BD25" s="13">
        <f>IFERROR(VLOOKUP(" 원/달러(평균)",환율,MATCH(BD$1,변수H,0),0),1341.49)</f>
        <v/>
      </c>
      <c r="BE25" s="13">
        <f>IFERROR(VLOOKUP(" 원/달러(평균)",환율,MATCH(BE$1,변수H,0),0),1341.49)</f>
        <v/>
      </c>
      <c r="BF25" s="13">
        <f>IFERROR(VLOOKUP(" 원/달러(평균)",환율,MATCH(BF$1,변수H,0),0),1341.49)</f>
        <v/>
      </c>
      <c r="BG25" s="13">
        <f>IFERROR(VLOOKUP(" 원/달러(평균)",환율,MATCH(BG$1,변수H,0),0),1341.49)</f>
        <v/>
      </c>
      <c r="BH25" s="13">
        <f>IFERROR(VLOOKUP(" 원/달러(평균)",환율,MATCH(BH$1,변수H,0),0),1341.49)</f>
        <v/>
      </c>
      <c r="BI25" s="13">
        <f>IFERROR(VLOOKUP(" 원/달러(평균)",환율,MATCH(BI$1,변수H,0),0),1341.49)</f>
        <v/>
      </c>
      <c r="BJ25" s="13">
        <f>IFERROR(VLOOKUP(" 원/달러(평균)",환율,MATCH(BJ$1,변수H,0),0),1341.49)</f>
        <v/>
      </c>
      <c r="BK25" s="13">
        <f>IFERROR(VLOOKUP(" 원/달러(평균)",환율,MATCH(BK$1,변수H,0),0),1341.49)</f>
        <v/>
      </c>
      <c r="BL25" s="13">
        <f>IFERROR(VLOOKUP(" 원/달러(평균)",환율,MATCH(BL$1,변수H,0),0),1341.49)</f>
        <v/>
      </c>
      <c r="BM25" s="13">
        <f>IFERROR(VLOOKUP(" 원/달러(평균)",환율,MATCH(BM$1,변수H,0),0),1341.49)</f>
        <v/>
      </c>
      <c r="BN25" s="13">
        <f>IFERROR(VLOOKUP(" 원/달러(평균)",환율,MATCH(BN$1,변수H,0),0),1341.49)</f>
        <v/>
      </c>
      <c r="BO25" s="13">
        <f>IFERROR(VLOOKUP(" 원/달러(평균)",환율,MATCH(BO$1,변수H,0),0),1341.49)</f>
        <v/>
      </c>
      <c r="BP25" s="13">
        <f>IFERROR(VLOOKUP(" 원/달러(평균)",환율,MATCH(BP$1,변수H,0),0),1341.49)</f>
        <v/>
      </c>
      <c r="BQ25" s="13">
        <f>IFERROR(VLOOKUP(" 원/달러(평균)",환율,MATCH(BQ$1,변수H,0),0),1341.49)</f>
        <v/>
      </c>
      <c r="BR25" s="13">
        <f>IFERROR(VLOOKUP(" 원/달러(평균)",환율,MATCH(BR$1,변수H,0),0),1341.49)</f>
        <v/>
      </c>
      <c r="BS25" s="13">
        <f>IFERROR(VLOOKUP(" 원/달러(평균)",환율,MATCH(BS$1,변수H,0),0),1341.49)</f>
        <v/>
      </c>
      <c r="BT25" s="13">
        <f>IFERROR(VLOOKUP(" 원/달러(평균)",환율,MATCH(BT$1,변수H,0),0),1341.49)</f>
        <v/>
      </c>
      <c r="BU25" s="13">
        <f>IFERROR(VLOOKUP(" 원/달러(평균)",환율,MATCH(BU$1,변수H,0),0),1341.49)</f>
        <v/>
      </c>
      <c r="BV25" s="13">
        <f>IFERROR(VLOOKUP(" 원/달러(평균)",환율,MATCH(BV$1,변수H,0),0),1341.49)</f>
        <v/>
      </c>
      <c r="BW25" s="13">
        <f>IFERROR(VLOOKUP(" 원/달러(평균)",환율,MATCH(BW$1,변수H,0),0),1341.49)</f>
        <v/>
      </c>
      <c r="BX25" s="13">
        <f>IFERROR(VLOOKUP(" 원/달러(평균)",환율,MATCH(BX$1,변수H,0),0),1341.49)</f>
        <v/>
      </c>
      <c r="BY25" s="13">
        <f>IFERROR(VLOOKUP(" 원/달러(평균)",환율,MATCH(BY$1,변수H,0),0),1341.49)</f>
        <v/>
      </c>
      <c r="BZ25" s="13">
        <f>IFERROR(VLOOKUP(" 원/달러(평균)",환율,MATCH(BZ$1,변수H,0),0),1341.49)</f>
        <v/>
      </c>
      <c r="CA25" s="13">
        <f>IFERROR(VLOOKUP(" 원/달러(평균)",환율,MATCH(CA$1,변수H,0),0),1341.49)</f>
        <v/>
      </c>
      <c r="CB25" s="13">
        <f>IFERROR(VLOOKUP(" 원/달러(평균)",환율,MATCH(CB$1,변수H,0),0),1341.49)</f>
        <v/>
      </c>
      <c r="CC25" s="13">
        <f>IFERROR(VLOOKUP(" 원/달러(평균)",환율,MATCH(CC$1,변수H,0),0),1341.49)</f>
        <v/>
      </c>
      <c r="CD25" s="13">
        <f>IFERROR(VLOOKUP(" 원/달러(평균)",환율,MATCH(CD$1,변수H,0),0),1341.49)</f>
        <v/>
      </c>
      <c r="CE25" s="13">
        <f>IFERROR(VLOOKUP(" 원/달러(평균)",환율,MATCH(CE$1,변수H,0),0),1341.49)</f>
        <v/>
      </c>
      <c r="CF25" s="13">
        <f>IFERROR(VLOOKUP(" 원/달러(평균)",환율,MATCH(CF$1,변수H,0),0),1341.49)</f>
        <v/>
      </c>
      <c r="CG25" s="13">
        <f>IFERROR(VLOOKUP(" 원/달러(평균)",환율,MATCH(CG$1,변수H,0),0),1341.49)</f>
        <v/>
      </c>
      <c r="CH25" s="13">
        <f>IFERROR(VLOOKUP(" 원/달러(평균)",환율,MATCH(CH$1,변수H,0),0),1341.49)</f>
        <v/>
      </c>
      <c r="CI25" s="13">
        <f>IFERROR(VLOOKUP(" 원/달러(평균)",환율,MATCH(CI$1,변수H,0),0),1341.49)</f>
        <v/>
      </c>
      <c r="CJ25" s="13">
        <f>IFERROR(VLOOKUP(" 원/달러(평균)",환율,MATCH(CJ$1,변수H,0),0),1341.49)</f>
        <v/>
      </c>
      <c r="CK25" s="13">
        <f>IFERROR(VLOOKUP(" 원/달러(평균)",환율,MATCH(CK$1,변수H,0),0),1341.49)</f>
        <v/>
      </c>
      <c r="CL25" s="13">
        <f>IFERROR(VLOOKUP(" 원/달러(평균)",환율,MATCH(CL$1,변수H,0),0),1341.49)</f>
        <v/>
      </c>
      <c r="CM25" s="13">
        <f>IFERROR(VLOOKUP(" 원/달러(평균)",환율,MATCH(CM$1,변수H,0),0),1341.49)</f>
        <v/>
      </c>
      <c r="CN25" s="13">
        <f>IFERROR(VLOOKUP(" 원/달러(평균)",환율,MATCH(CN$1,변수H,0),0),1341.49)</f>
        <v/>
      </c>
      <c r="CO25" s="13">
        <f>IFERROR(VLOOKUP(" 원/달러(평균)",환율,MATCH(CO$1,변수H,0),0),1341.49)</f>
        <v/>
      </c>
      <c r="CP25" s="13">
        <f>IFERROR(VLOOKUP(" 원/달러(평균)",환율,MATCH(CP$1,변수H,0),0),1341.49)</f>
        <v/>
      </c>
      <c r="CQ25" s="13">
        <f>IFERROR(VLOOKUP(" 원/달러(평균)",환율,MATCH(CQ$1,변수H,0),0),1341.49)</f>
        <v/>
      </c>
      <c r="CR25" s="13">
        <f>IFERROR(VLOOKUP(" 원/달러(평균)",환율,MATCH(CR$1,변수H,0),0),1341.49)</f>
        <v/>
      </c>
      <c r="CS25" s="13">
        <f>IFERROR(VLOOKUP(" 원/달러(평균)",환율,MATCH(CS$1,변수H,0),0),1341.49)</f>
        <v/>
      </c>
      <c r="CT25" s="13">
        <f>IFERROR(VLOOKUP(" 원/달러(평균)",환율,MATCH(CT$1,변수H,0),0),1341.49)</f>
        <v/>
      </c>
      <c r="CU25" s="13">
        <f>IFERROR(VLOOKUP(" 원/달러(평균)",환율,MATCH(CU$1,변수H,0),0),1341.49)</f>
        <v/>
      </c>
      <c r="CV25" s="13">
        <f>IFERROR(VLOOKUP(" 원/달러(평균)",환율,MATCH(CV$1,변수H,0),0),1341.49)</f>
        <v/>
      </c>
      <c r="CW25" s="13">
        <f>IFERROR(VLOOKUP(" 원/달러(평균)",환율,MATCH(CW$1,변수H,0),0),1341.49)</f>
        <v/>
      </c>
      <c r="CX25" s="13">
        <f>IFERROR(VLOOKUP(" 원/달러(평균)",환율,MATCH(CX$1,변수H,0),0),1341.49)</f>
        <v/>
      </c>
      <c r="CY25" s="13">
        <f>IFERROR(VLOOKUP(" 원/달러(평균)",환율,MATCH(CY$1,변수H,0),0),1341.49)</f>
        <v/>
      </c>
      <c r="CZ25" s="13">
        <f>IFERROR(VLOOKUP(" 원/달러(평균)",환율,MATCH(CZ$1,변수H,0),0),1341.49)</f>
        <v/>
      </c>
      <c r="DA25" s="13">
        <f>IFERROR(VLOOKUP(" 원/달러(평균)",환율,MATCH(DA$1,변수H,0),0),1341.49)</f>
        <v/>
      </c>
      <c r="DB25" s="13">
        <f>IFERROR(VLOOKUP(" 원/달러(평균)",환율,MATCH(DB$1,변수H,0),0),1341.49)</f>
        <v/>
      </c>
      <c r="DC25" s="13">
        <f>IFERROR(VLOOKUP(" 원/달러(평균)",환율,MATCH(DC$1,변수H,0),0),1341.49)</f>
        <v/>
      </c>
      <c r="DD25" s="13">
        <f>IFERROR(VLOOKUP(" 원/달러(평균)",환율,MATCH(DD$1,변수H,0),0),1341.49)</f>
        <v/>
      </c>
      <c r="DE25" s="13">
        <f>IFERROR(VLOOKUP(" 원/달러(평균)",환율,MATCH(DE$1,변수H,0),0),1341.49)</f>
        <v/>
      </c>
      <c r="DF25" s="13">
        <f>IFERROR(VLOOKUP(" 원/달러(평균)",환율,MATCH(DF$1,변수H,0),0),1341.49)</f>
        <v/>
      </c>
      <c r="DG25" s="13">
        <f>IFERROR(VLOOKUP(" 원/달러(평균)",환율,MATCH(DG$1,변수H,0),0),1341.49)</f>
        <v/>
      </c>
      <c r="DH25" s="13">
        <f>IFERROR(VLOOKUP(" 원/달러(평균)",환율,MATCH(DH$1,변수H,0),0),1341.49)</f>
        <v/>
      </c>
      <c r="DI25" s="13">
        <f>IFERROR(VLOOKUP(" 원/달러(평균)",환율,MATCH(DI$1,변수H,0),0),1341.49)</f>
        <v/>
      </c>
      <c r="DJ25" s="13">
        <f>IFERROR(VLOOKUP(" 원/달러(평균)",환율,MATCH(DJ$1,변수H,0),0),1341.49)</f>
        <v/>
      </c>
      <c r="DK25" s="13">
        <f>IFERROR(VLOOKUP(" 원/달러(평균)",환율,MATCH(DK$1,변수H,0),0),1341.49)</f>
        <v/>
      </c>
      <c r="DL25" s="13">
        <f>IFERROR(VLOOKUP(" 원/달러(평균)",환율,MATCH(DL$1,변수H,0),0),1341.49)</f>
        <v/>
      </c>
      <c r="DM25" s="13">
        <f>IFERROR(VLOOKUP(" 원/달러(평균)",환율,MATCH(DM$1,변수H,0),0),1341.49)</f>
        <v/>
      </c>
      <c r="DN25" s="13">
        <f>IFERROR(VLOOKUP(" 원/달러(평균)",환율,MATCH(DN$1,변수H,0),0),1341.49)</f>
        <v/>
      </c>
      <c r="DO25" s="13">
        <f>IFERROR(VLOOKUP(" 원/달러(평균)",환율,MATCH(DO$1,변수H,0),0),1341.49)</f>
        <v/>
      </c>
      <c r="DP25" s="13">
        <f>IFERROR(VLOOKUP(" 원/달러(평균)",환율,MATCH(DP$1,변수H,0),0),1341.49)</f>
        <v/>
      </c>
      <c r="DQ25" s="13">
        <f>IFERROR(VLOOKUP(" 원/달러(평균)",환율,MATCH(DQ$1,변수H,0),0),1341.49)</f>
        <v/>
      </c>
      <c r="DR25" s="13">
        <f>IFERROR(VLOOKUP(" 원/달러(평균)",환율,MATCH(DR$1,변수H,0),0),1341.49)</f>
        <v/>
      </c>
      <c r="DS25" s="13">
        <f>IFERROR(VLOOKUP(" 원/달러(평균)",환율,MATCH(DS$1,변수H,0),0),1341.49)</f>
        <v/>
      </c>
      <c r="DT25" s="13">
        <f>IFERROR(VLOOKUP(" 원/달러(평균)",환율,MATCH(DT$1,변수H,0),0),1341.49)</f>
        <v/>
      </c>
      <c r="DU25" s="13">
        <f>IFERROR(VLOOKUP(" 원/달러(평균)",환율,MATCH(DU$1,변수H,0),0),1341.49)</f>
        <v/>
      </c>
      <c r="DV25" s="13">
        <f>IFERROR(VLOOKUP(" 원/달러(평균)",환율,MATCH(DV$1,변수H,0),0),1341.49)</f>
        <v/>
      </c>
      <c r="DW25" s="13">
        <f>IFERROR(VLOOKUP(" 원/달러(평균)",환율,MATCH(DW$1,변수H,0),0),1341.49)</f>
        <v/>
      </c>
      <c r="DX25" s="13">
        <f>IFERROR(VLOOKUP(" 원/달러(평균)",환율,MATCH(DX$1,변수H,0),0),1341.49)</f>
        <v/>
      </c>
      <c r="DY25" s="13">
        <f>IFERROR(VLOOKUP(" 원/달러(평균)",환율,MATCH(DY$1,변수H,0),0),1341.49)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2365.7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6.02</v>
      </c>
    </row>
    <row r="32">
      <c r="C32" s="2" t="inlineStr">
        <is>
          <t>pbr_now</t>
        </is>
      </c>
      <c r="D32" t="n">
        <v>1.71</v>
      </c>
    </row>
    <row r="33">
      <c r="C33" s="2" t="inlineStr">
        <is>
          <t>roe_fwd</t>
        </is>
      </c>
      <c r="D33" t="n">
        <v>0.2837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