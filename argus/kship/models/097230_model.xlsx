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분기" sheetId="7" state="visible" r:id="rId7"/>
    <sheet name="연간예상" sheetId="8" state="visible" r:id="rId8"/>
    <sheet name="TP" sheetId="9" state="visible" r:id="rId9"/>
    <sheet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subQ!$A$5:$AO$43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D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F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G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H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I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K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L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M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N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(모델 runoff_per_q 2153.0; 계약 스케줄 소수 3자리 반올림 차 포함)
SLS 해양 원화 1051억(sls.by_quarter.marine_hedged_krw_m(헤지 70% 적용)) + 원장 밖 잔고 소진 2153억(최근 4분기 '부문매출−SLS' 중위 2153억/분기, 잔여 6734억)</t>
      </text>
    </comment>
    <comment ref="AD38" authorId="0" shapeId="0">
      <text>
        <t>역산: 모델 매출조선 − SLS 재구성 원화/100 (모델 runoff_per_q 2153.0; 계약 스케줄 소수 3자리 반올림 차 포함)
SLS 해양 원화 1612억(sls.by_quarter.marine_hedged_krw_m(헤지 70% 적용)) + 원장 밖 잔고 소진 2153억(최근 4분기 '부문매출−SLS' 중위 2153억/분기, 잔여 4581억)</t>
      </text>
    </comment>
    <comment ref="AF38" authorId="0" shapeId="0">
      <text>
        <t>역산: 모델 매출조선 − SLS 재구성 원화/100 (모델 runoff_per_q 2153.0; 계약 스케줄 소수 3자리 반올림 차 포함)
SLS 해양 원화 1575억(sls.by_quarter.marine_hedged_krw_m(헤지 70% 적용)) + 원장 밖 잔고 소진 2153억(최근 4분기 '부문매출−SLS' 중위 2153억/분기, 잔여 2428억)</t>
      </text>
    </comment>
    <comment ref="AG38" authorId="0" shapeId="0">
      <text>
        <t>역산: 모델 매출조선 − SLS 재구성 원화/100 (모델 runoff_per_q 2153.0; 계약 스케줄 소수 3자리 반올림 차 포함)
SLS 해양 원화 1592억(sls.by_quarter.marine_hedged_krw_m(헤지 70% 적용)) + 원장 밖 잔고 소진 2153억(최근 4분기 '부문매출−SLS' 중위 2153억/분기, 잔여 275억)</t>
      </text>
    </comment>
    <comment ref="AH38" authorId="0" shapeId="0">
      <text>
        <t>역산: 모델 매출조선 − SLS 재구성 원화/100 (모델 runoff_per_q 2153.0; 계약 스케줄 소수 3자리 반올림 차 포함)
SLS 해양 원화 1610억(sls.by_quarter.marine_hedged_krw_m(헤지 70% 적용)) + 원장 밖 잔고 소진 275억(최근 4분기 '부문매출−SLS' 중위 2153억/분기, 잔여 0억)</t>
      </text>
    </comment>
    <comment ref="AI38" authorId="0" shapeId="0">
      <text>
        <t>역산: 모델 매출조선 − SLS 재구성 원화/100 (모델 runoff_per_q 2153.0; 계약 스케줄 소수 3자리 반올림 차 포함)
SLS 해양 원화 1610억(sls.by_quarter.marine_hedged_krw_m(헤지 70% 적용)) + 원장 밖 잔고 소진 0억(최근 4분기 '부문매출−SLS' 중위 2153억/분기, 잔여 0억)</t>
      </text>
    </comment>
    <comment ref="AK38" authorId="0" shapeId="0">
      <text>
        <t>역산: 모델 매출조선 − SLS 재구성 원화/100 (모델 runoff_per_q 2153.0; 계약 스케줄 소수 3자리 반올림 차 포함)
SLS 해양 원화 1592억(sls.by_quarter.marine_hedged_krw_m(헤지 70% 적용)) + 원장 밖 잔고 소진 0억(최근 4분기 '부문매출−SLS' 중위 2153억/분기, 잔여 0억)</t>
      </text>
    </comment>
    <comment ref="AL38" authorId="0" shapeId="0">
      <text>
        <t>역산: 모델 매출조선 − SLS 재구성 원화/100 (모델 runoff_per_q 2153.0; 계약 스케줄 소수 3자리 반올림 차 포함)
SLS 해양 원화 1592억(sls.by_quarter.marine_hedged_krw_m(헤지 70% 적용)) + 원장 밖 잔고 소진 0억(최근 4분기 '부문매출−SLS' 중위 2153억/분기, 잔여 0억)</t>
      </text>
    </comment>
    <comment ref="AM38" authorId="0" shapeId="0">
      <text>
        <t>역산: 모델 매출조선 − SLS 재구성 원화/100 (모델 runoff_per_q 2153.0; 계약 스케줄 소수 3자리 반올림 차 포함)
SLS 해양 원화 1246억(sls.by_quarter.marine_hedged_krw_m(헤지 70% 적용)) + 원장 밖 잔고 소진 0억(최근 4분기 '부문매출−SLS' 중위 2153억/분기, 잔여 0억)</t>
      </text>
    </comment>
    <comment ref="AN38" authorId="0" shapeId="0">
      <text>
        <t>역산: 모델 매출조선 − SLS 재구성 원화/100 (모델 runoff_per_q 2153.0; 계약 스케줄 소수 3자리 반올림 차 포함)
SLS 해양 원화 1003억(sls.by_quarter.marine_hedged_krw_m(헤지 70% 적용)) + 원장 밖 잔고 소진 0억(최근 4분기 '부문매출−SLS' 중위 2153억/분기, 잔여 0억)</t>
      </text>
    </comment>
    <comment ref="AC39" authorId="0" shapeId="0">
      <text>
        <t>모델값 역산(implied): v / 매출조선
매출조선 × 타겟 OPM(부문 OP 미공시 → 회사 OPM 적용)</t>
      </text>
    </comment>
    <comment ref="AD39" authorId="0" shapeId="0">
      <text>
        <t>모델값 역산(implied): v / 매출조선
매출조선 × 타겟 OPM(부문 OP 미공시 → 회사 OPM 적용)</t>
      </text>
    </comment>
    <comment ref="AF39" authorId="0" shapeId="0">
      <text>
        <t>모델값 역산(implied): v / 매출조선
매출조선 × 타겟 OPM(부문 OP 미공시 → 회사 OPM 적용)</t>
      </text>
    </comment>
    <comment ref="AG39" authorId="0" shapeId="0">
      <text>
        <t>모델값 역산(implied): v / 매출조선
매출조선 × 타겟 OPM(부문 OP 미공시 → 회사 OPM 적용)</t>
      </text>
    </comment>
    <comment ref="AH39" authorId="0" shapeId="0">
      <text>
        <t>모델값 역산(implied): v / 매출조선
매출조선 × 타겟 OPM(부문 OP 미공시 → 회사 OPM 적용)</t>
      </text>
    </comment>
    <comment ref="AI39" authorId="0" shapeId="0">
      <text>
        <t>모델값 역산(implied): v / 매출조선
매출조선 × 타겟 OPM(부문 OP 미공시 → 회사 OPM 적용)</t>
      </text>
    </comment>
    <comment ref="AK39" authorId="0" shapeId="0">
      <text>
        <t>모델값 역산(implied): v / 매출조선
매출조선 × 타겟 OPM(부문 OP 미공시 → 회사 OPM 적용)</t>
      </text>
    </comment>
    <comment ref="AL39" authorId="0" shapeId="0">
      <text>
        <t>모델값 역산(implied): v / 매출조선
매출조선 × 타겟 OPM(부문 OP 미공시 → 회사 OPM 적용)</t>
      </text>
    </comment>
    <comment ref="AM39" authorId="0" shapeId="0">
      <text>
        <t>모델값 역산(implied): v / 매출조선
매출조선 × 타겟 OPM(부문 OP 미공시 → 회사 OPM 적용)</t>
      </text>
    </comment>
    <comment ref="AN39" authorId="0" shapeId="0">
      <text>
        <t>모델값 역산(implied): v / 매출조선
매출조선 × 타겟 OPM(부문 OP 미공시 → 회사 OPM 적용)</t>
      </text>
    </comment>
    <comment ref="AC40" authorId="0" shapeId="0">
      <text>
        <t>모델값 역산(implied): v / 전년동기 − 1
기타 부문(연결 − 조선 부문) 최근 4분기 중위 2726억 유지</t>
      </text>
    </comment>
    <comment ref="AD40" authorId="0" shapeId="0">
      <text>
        <t>모델값 역산(implied): v / 전분기 − 1 (전년동기 없음 → 전분기 대비)
기타 부문(연결 − 조선 부문) 최근 4분기 중위 2726억 유지</t>
      </text>
    </comment>
    <comment ref="AF40" authorId="0" shapeId="0">
      <text>
        <t>모델값 역산(implied): v / 전분기 − 1 (전년동기 없음 → 전분기 대비)
기타 부문(연결 − 조선 부문) 최근 4분기 중위 2726억 유지</t>
      </text>
    </comment>
    <comment ref="AG40" authorId="0" shapeId="0">
      <text>
        <t>모델값 역산(implied): v / 전년동기 − 1
기타 부문(연결 − 조선 부문) 최근 4분기 중위 2726억 유지</t>
      </text>
    </comment>
    <comment ref="AH40" authorId="0" shapeId="0">
      <text>
        <t>모델값 역산(implied): v / 전년동기 − 1
기타 부문(연결 − 조선 부문) 최근 4분기 중위 2726억 유지</t>
      </text>
    </comment>
    <comment ref="AI40" authorId="0" shapeId="0">
      <text>
        <t>모델값 역산(implied): v / 전년동기 − 1
기타 부문(연결 − 조선 부문) 최근 4분기 중위 2726억 유지</t>
      </text>
    </comment>
    <comment ref="AK40" authorId="0" shapeId="0">
      <text>
        <t>모델값 역산(implied): v / 전년동기 − 1
기타 부문(연결 − 조선 부문) 최근 4분기 중위 2726억 유지</t>
      </text>
    </comment>
    <comment ref="AL40" authorId="0" shapeId="0">
      <text>
        <t>모델값 역산(implied): v / 전년동기 − 1
기타 부문(연결 − 조선 부문) 최근 4분기 중위 2726억 유지</t>
      </text>
    </comment>
    <comment ref="AM40" authorId="0" shapeId="0">
      <text>
        <t>모델값 역산(implied): v / 전년동기 − 1
기타 부문(연결 − 조선 부문) 최근 4분기 중위 2726억 유지</t>
      </text>
    </comment>
    <comment ref="AN40" authorId="0" shapeId="0">
      <text>
        <t>모델값 역산(implied): v / 전년동기 − 1
기타 부문(연결 − 조선 부문) 최근 4분기 중위 2726억 유지</t>
      </text>
    </comment>
    <comment ref="AC41" authorId="0" shapeId="0">
      <text>
        <t>모델값 역산(implied): v / 매출기타
매출기타 × 회사 OPM(부문 OP 미공시)</t>
      </text>
    </comment>
    <comment ref="AD41" authorId="0" shapeId="0">
      <text>
        <t>모델값 역산(implied): v / 매출기타
매출기타 × 회사 OPM(부문 OP 미공시)</t>
      </text>
    </comment>
    <comment ref="AF41" authorId="0" shapeId="0">
      <text>
        <t>모델값 역산(implied): v / 매출기타
매출기타 × 회사 OPM(부문 OP 미공시)</t>
      </text>
    </comment>
    <comment ref="AG41" authorId="0" shapeId="0">
      <text>
        <t>모델값 역산(implied): v / 매출기타
매출기타 × 회사 OPM(부문 OP 미공시)</t>
      </text>
    </comment>
    <comment ref="AH41" authorId="0" shapeId="0">
      <text>
        <t>모델값 역산(implied): v / 매출기타
매출기타 × 회사 OPM(부문 OP 미공시)</t>
      </text>
    </comment>
    <comment ref="AI41" authorId="0" shapeId="0">
      <text>
        <t>모델값 역산(implied): v / 매출기타
매출기타 × 회사 OPM(부문 OP 미공시)</t>
      </text>
    </comment>
    <comment ref="AK41" authorId="0" shapeId="0">
      <text>
        <t>모델값 역산(implied): v / 매출기타
매출기타 × 회사 OPM(부문 OP 미공시)</t>
      </text>
    </comment>
    <comment ref="AL41" authorId="0" shapeId="0">
      <text>
        <t>모델값 역산(implied): v / 매출기타
매출기타 × 회사 OPM(부문 OP 미공시)</t>
      </text>
    </comment>
    <comment ref="AM41" authorId="0" shapeId="0">
      <text>
        <t>모델값 역산(implied): v / 매출기타
매출기타 × 회사 OPM(부문 OP 미공시)</t>
      </text>
    </comment>
    <comment ref="AN41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D9" authorId="0" shapeId="0">
      <text>
        <t>추정: 매출액 × OPM(SLS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F9" authorId="0" shapeId="0">
      <text>
        <t>추정: 매출액 × OPM(SLS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G9" authorId="0" shapeId="0">
      <text>
        <t>추정: 매출액 × OPM(SLS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H9" authorId="0" shapeId="0">
      <text>
        <t>추정: 매출액 × OPM(SLS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I9" authorId="0" shapeId="0">
      <text>
        <t>추정: 매출액 × OPM(SLS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K9" authorId="0" shapeId="0">
      <text>
        <t>추정: 매출액 × OPM(SLS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L9" authorId="0" shapeId="0">
      <text>
        <t>추정: 매출액 × OPM(SLS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M9" authorId="0" shapeId="0">
      <text>
        <t>추정: 매출액 × OPM(SLS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N9" authorId="0" shapeId="0">
      <text>
        <t>추정: 매출액 × OPM(SLS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C10" authorId="0" shapeId="0">
      <text>
        <t>추정: 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D10" authorId="0" shapeId="0">
      <text>
        <t>추정: 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F10" authorId="0" shapeId="0">
      <text>
        <t>추정: 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G10" authorId="0" shapeId="0">
      <text>
        <t>추정: 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H10" authorId="0" shapeId="0">
      <text>
        <t>추정: 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I10" authorId="0" shapeId="0">
      <text>
        <t>추정: 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K10" authorId="0" shapeId="0">
      <text>
        <t>추정: 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L10" authorId="0" shapeId="0">
      <text>
        <t>추정: 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M10" authorId="0" shapeId="0">
      <text>
        <t>추정: 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N10" authorId="0" shapeId="0">
      <text>
        <t>추정: 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3640억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4107억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4598억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4942억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5271억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5609억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5954억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6256억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3182억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3640억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4107억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4598억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4942억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5271억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5609억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5954억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6256억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적용)) + 원장 밖 잔고 소진 2153억(최근 4분기 '부문매출−SLS' 중위 2153억/분기, 잔여 6734억)
[sls_link]</t>
      </text>
    </comment>
    <comment ref="AD36" authorId="0" shapeId="0">
      <text>
        <t>추정: SLS 해양 원화 1612억(sls.by_quarter.marine_hedged_krw_m(헤지 70% 적용)) + 원장 밖 잔고 소진 2153억(최근 4분기 '부문매출−SLS' 중위 2153억/분기, 잔여 4581억)
[sls_link]</t>
      </text>
    </comment>
    <comment ref="AF36" authorId="0" shapeId="0">
      <text>
        <t>추정: SLS 해양 원화 1575억(sls.by_quarter.marine_hedged_krw_m(헤지 70% 적용)) + 원장 밖 잔고 소진 2153억(최근 4분기 '부문매출−SLS' 중위 2153억/분기, 잔여 2428억)
[sls_link]</t>
      </text>
    </comment>
    <comment ref="AG36" authorId="0" shapeId="0">
      <text>
        <t>추정: SLS 해양 원화 1592억(sls.by_quarter.marine_hedged_krw_m(헤지 70% 적용)) + 원장 밖 잔고 소진 2153억(최근 4분기 '부문매출−SLS' 중위 2153억/분기, 잔여 275억)
[sls_link]</t>
      </text>
    </comment>
    <comment ref="AH36" authorId="0" shapeId="0">
      <text>
        <t>추정: SLS 해양 원화 1610억(sls.by_quarter.marine_hedged_krw_m(헤지 70% 적용)) + 원장 밖 잔고 소진 275억(최근 4분기 '부문매출−SLS' 중위 2153억/분기, 잔여 0억)
[sls_link]</t>
      </text>
    </comment>
    <comment ref="AI36" authorId="0" shapeId="0">
      <text>
        <t>추정: SLS 해양 원화 1610억(sls.by_quarter.marine_hedged_krw_m(헤지 70% 적용)) + 원장 밖 잔고 소진 0억(최근 4분기 '부문매출−SLS' 중위 2153억/분기, 잔여 0억)
[sls_link]</t>
      </text>
    </comment>
    <comment ref="AK36" authorId="0" shapeId="0">
      <text>
        <t>추정: SLS 해양 원화 1592억(sls.by_quarter.marine_hedged_krw_m(헤지 70% 적용)) + 원장 밖 잔고 소진 0억(최근 4분기 '부문매출−SLS' 중위 2153억/분기, 잔여 0억)
[sls_link]</t>
      </text>
    </comment>
    <comment ref="AL36" authorId="0" shapeId="0">
      <text>
        <t>추정: SLS 해양 원화 1592억(sls.by_quarter.marine_hedged_krw_m(헤지 70% 적용)) + 원장 밖 잔고 소진 0억(최근 4분기 '부문매출−SLS' 중위 2153억/분기, 잔여 0억)
[sls_link]</t>
      </text>
    </comment>
    <comment ref="AM36" authorId="0" shapeId="0">
      <text>
        <t>추정: SLS 해양 원화 1246억(sls.by_quarter.marine_hedged_krw_m(헤지 70% 적용)) + 원장 밖 잔고 소진 0억(최근 4분기 '부문매출−SLS' 중위 2153억/분기, 잔여 0억)
[sls_link]</t>
      </text>
    </comment>
    <comment ref="AN36" authorId="0" shapeId="0">
      <text>
        <t>추정: SLS 해양 원화 1003억(sls.by_quarter.marine_hedged_krw_m(헤지 70% 적용)) + 원장 밖 잔고 소진 0억(최근 4분기 '부문매출−SLS' 중위 2153억/분기, 잔여 0억)
[sls_link]</t>
      </text>
    </comment>
    <comment ref="AC37" authorId="0" shapeId="0">
      <text>
        <t>추정: 매출조선 × 타겟 OPM(부문 OP 미공시 → 회사 OPM 적용)
[ratio]</t>
      </text>
    </comment>
    <comment ref="AD37" authorId="0" shapeId="0">
      <text>
        <t>추정: 매출조선 × 타겟 OPM(부문 OP 미공시 → 회사 OPM 적용)
[ratio]</t>
      </text>
    </comment>
    <comment ref="AF37" authorId="0" shapeId="0">
      <text>
        <t>추정: 매출조선 × 타겟 OPM(부문 OP 미공시 → 회사 OPM 적용)
[ratio]</t>
      </text>
    </comment>
    <comment ref="AG37" authorId="0" shapeId="0">
      <text>
        <t>추정: 매출조선 × 타겟 OPM(부문 OP 미공시 → 회사 OPM 적용)
[ratio]</t>
      </text>
    </comment>
    <comment ref="AH37" authorId="0" shapeId="0">
      <text>
        <t>추정: 매출조선 × 타겟 OPM(부문 OP 미공시 → 회사 OPM 적용)
[ratio]</t>
      </text>
    </comment>
    <comment ref="AI37" authorId="0" shapeId="0">
      <text>
        <t>추정: 매출조선 × 타겟 OPM(부문 OP 미공시 → 회사 OPM 적용)
[ratio]</t>
      </text>
    </comment>
    <comment ref="AK37" authorId="0" shapeId="0">
      <text>
        <t>추정: 매출조선 × 타겟 OPM(부문 OP 미공시 → 회사 OPM 적용)
[ratio]</t>
      </text>
    </comment>
    <comment ref="AL37" authorId="0" shapeId="0">
      <text>
        <t>추정: 매출조선 × 타겟 OPM(부문 OP 미공시 → 회사 OPM 적용)
[ratio]</t>
      </text>
    </comment>
    <comment ref="AM37" authorId="0" shapeId="0">
      <text>
        <t>추정: 매출조선 × 타겟 OPM(부문 OP 미공시 → 회사 OPM 적용)
[ratio]</t>
      </text>
    </comment>
    <comment ref="AN37" authorId="0" shapeId="0">
      <text>
        <t>추정: 매출조선 × 타겟 OPM(부문 OP 미공시 → 회사 OPM 적용)
[ratio]</t>
      </text>
    </comment>
    <comment ref="H38" authorId="0" shapeId="0">
      <text>
        <t>실측(계정 매핑 없음(파생·부문·시세 행) — 모델값 직접) — 연결 매출 − 조선 부문(파생)</t>
      </text>
    </comment>
    <comment ref="I38" authorId="0" shapeId="0">
      <text>
        <t>실측(계정 매핑 없음(파생·부문·시세 행) — 모델값 직접) — 연결 매출 − 조선 부문(파생)</t>
      </text>
    </comment>
    <comment ref="M38" authorId="0" shapeId="0">
      <text>
        <t>실측(계정 매핑 없음(파생·부문·시세 행) — 모델값 직접) — 연결 매출 − 조선 부문(파생)</t>
      </text>
    </comment>
    <comment ref="N38" authorId="0" shapeId="0">
      <text>
        <t>실측(계정 매핑 없음(파생·부문·시세 행) — 모델값 직접) — 연결 매출 − 조선 부문(파생)</t>
      </text>
    </comment>
    <comment ref="O38" authorId="0" shapeId="0">
      <text>
        <t>실측(계정 매핑 없음(파생·부문·시세 행) — 모델값 직접) — 연결 매출 − 조선 부문(파생)</t>
      </text>
    </comment>
    <comment ref="R38" authorId="0" shapeId="0">
      <text>
        <t>실측(계정 매핑 없음(파생·부문·시세 행) — 모델값 직접) — 연결 매출 − 조선 부문(파생)</t>
      </text>
    </comment>
    <comment ref="S38" authorId="0" shapeId="0">
      <text>
        <t>실측(계정 매핑 없음(파생·부문·시세 행) — 모델값 직접) — 연결 매출 − 조선 부문(파생)</t>
      </text>
    </comment>
    <comment ref="W38" authorId="0" shapeId="0">
      <text>
        <t>실측(계정 매핑 없음(파생·부문·시세 행) — 모델값 직접) — 연결 매출 − 조선 부문(파생)</t>
      </text>
    </comment>
    <comment ref="X38" authorId="0" shapeId="0">
      <text>
        <t>실측(계정 매핑 없음(파생·부문·시세 행) — 모델값 직접) — 연결 매출 − 조선 부문(파생)</t>
      </text>
    </comment>
    <comment ref="AB38" authorId="0" shapeId="0">
      <text>
        <t>실측(계정 매핑 없음(파생·부문·시세 행) — 모델값 직접) — 연결 매출 − 조선 부문(파생)</t>
      </text>
    </comment>
    <comment ref="AC38" authorId="0" shapeId="0">
      <text>
        <t>추정: 기타 부문(연결 − 조선 부문) 최근 4분기 중위 2726억 유지
[yoy]</t>
      </text>
    </comment>
    <comment ref="AD38" authorId="0" shapeId="0">
      <text>
        <t>추정: 기타 부문(연결 − 조선 부문) 최근 4분기 중위 2726억 유지
[yoy]</t>
      </text>
    </comment>
    <comment ref="AF38" authorId="0" shapeId="0">
      <text>
        <t>추정: 기타 부문(연결 − 조선 부문) 최근 4분기 중위 2726억 유지
[yoy]</t>
      </text>
    </comment>
    <comment ref="AG38" authorId="0" shapeId="0">
      <text>
        <t>추정: 기타 부문(연결 − 조선 부문) 최근 4분기 중위 2726억 유지
[yoy]</t>
      </text>
    </comment>
    <comment ref="AH38" authorId="0" shapeId="0">
      <text>
        <t>추정: 기타 부문(연결 − 조선 부문) 최근 4분기 중위 2726억 유지
[yoy]</t>
      </text>
    </comment>
    <comment ref="AI38" authorId="0" shapeId="0">
      <text>
        <t>추정: 기타 부문(연결 − 조선 부문) 최근 4분기 중위 2726억 유지
[yoy]</t>
      </text>
    </comment>
    <comment ref="AK38" authorId="0" shapeId="0">
      <text>
        <t>추정: 기타 부문(연결 − 조선 부문) 최근 4분기 중위 2726억 유지
[yoy]</t>
      </text>
    </comment>
    <comment ref="AL38" authorId="0" shapeId="0">
      <text>
        <t>추정: 기타 부문(연결 − 조선 부문) 최근 4분기 중위 2726억 유지
[yoy]</t>
      </text>
    </comment>
    <comment ref="AM38" authorId="0" shapeId="0">
      <text>
        <t>추정: 기타 부문(연결 − 조선 부문) 최근 4분기 중위 2726억 유지
[yoy]</t>
      </text>
    </comment>
    <comment ref="AN38" authorId="0" shapeId="0">
      <text>
        <t>추정: 기타 부문(연결 − 조선 부문) 최근 4분기 중위 2726억 유지
[yoy]</t>
      </text>
    </comment>
    <comment ref="AC39" authorId="0" shapeId="0">
      <text>
        <t>추정: 매출기타 × 회사 OPM(부문 OP 미공시)
[ratio]</t>
      </text>
    </comment>
    <comment ref="AD39" authorId="0" shapeId="0">
      <text>
        <t>추정: 매출기타 × 회사 OPM(부문 OP 미공시)
[ratio]</t>
      </text>
    </comment>
    <comment ref="AF39" authorId="0" shapeId="0">
      <text>
        <t>추정: 매출기타 × 회사 OPM(부문 OP 미공시)
[ratio]</t>
      </text>
    </comment>
    <comment ref="AG39" authorId="0" shapeId="0">
      <text>
        <t>추정: 매출기타 × 회사 OPM(부문 OP 미공시)
[ratio]</t>
      </text>
    </comment>
    <comment ref="AH39" authorId="0" shapeId="0">
      <text>
        <t>추정: 매출기타 × 회사 OPM(부문 OP 미공시)
[ratio]</t>
      </text>
    </comment>
    <comment ref="AI39" authorId="0" shapeId="0">
      <text>
        <t>추정: 매출기타 × 회사 OPM(부문 OP 미공시)
[ratio]</t>
      </text>
    </comment>
    <comment ref="AK39" authorId="0" shapeId="0">
      <text>
        <t>추정: 매출기타 × 회사 OPM(부문 OP 미공시)
[ratio]</t>
      </text>
    </comment>
    <comment ref="AL39" authorId="0" shapeId="0">
      <text>
        <t>추정: 매출기타 × 회사 OPM(부문 OP 미공시)
[ratio]</t>
      </text>
    </comment>
    <comment ref="AM39" authorId="0" shapeId="0">
      <text>
        <t>추정: 매출기타 × 회사 OPM(부문 OP 미공시)
[ratio]</t>
      </text>
    </comment>
    <comment ref="AN39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해양(type≠OTHER). 0 으로 바꾸면 그 계약을 매출에서 뺀다</t>
      </text>
    </comment>
    <comment ref="FG30" authorId="0" shapeId="0">
      <text>
        <t>모델 포함 규칙: 해양(type≠OTHER). 0 으로 바꾸면 그 계약을 매출에서 뺀다</t>
      </text>
    </comment>
    <comment ref="FG31" authorId="0" shapeId="0">
      <text>
        <t>모델 포함 규칙: 해양(type≠OTHER). 0 으로 바꾸면 그 계약을 매출에서 뺀다</t>
      </text>
    </comment>
    <comment ref="FG32" authorId="0" shapeId="0">
      <text>
        <t>모델 포함 규칙: 해양(type≠OTHER). 0 으로 바꾸면 그 계약을 매출에서 뺀다</t>
      </text>
    </comment>
    <comment ref="FG33" authorId="0" shapeId="0">
      <text>
        <t>모델 포함 규칙: 해양(type≠OTHER). 0 으로 바꾸면 그 계약을 매출에서 뺀다</t>
      </text>
    </comment>
    <comment ref="FG34" authorId="0" shapeId="0">
      <text>
        <t>모델 포함 규칙: 해양(type≠OTHER). 0 으로 바꾸면 그 계약을 매출에서 뺀다</t>
      </text>
    </comment>
    <comment ref="FG35" authorId="0" shapeId="0">
      <text>
        <t>모델 포함 규칙: 해양(type≠OTHER). 0 으로 바꾸면 그 계약을 매출에서 뺀다</t>
      </text>
    </comment>
    <comment ref="FG36" authorId="0" shapeId="0">
      <text>
        <t>모델 포함 규칙: 해양(type≠OTHER). 0 으로 바꾸면 그 계약을 매출에서 뺀다</t>
      </text>
    </comment>
    <comment ref="FG37" authorId="0" shapeId="0">
      <text>
        <t>모델 포함 규칙: 해양(type≠OTHER). 0 으로 바꾸면 그 계약을 매출에서 뺀다</t>
      </text>
    </comment>
    <comment ref="FG38" authorId="0" shapeId="0">
      <text>
        <t>모델 포함 규칙: 해양(type≠OTHER). 0 으로 바꾸면 그 계약을 매출에서 뺀다</t>
      </text>
    </comment>
    <comment ref="FG39" authorId="0" shapeId="0">
      <text>
        <t>모델 포함 규칙: 해양(type≠OTHER). 0 으로 바꾸면 그 계약을 매출에서 뺀다</t>
      </text>
    </comment>
    <comment ref="FG40" authorId="0" shapeId="0">
      <text>
        <t>모델 포함 규칙: 해양(type≠OTHER). 0 으로 바꾸면 그 계약을 매출에서 뺀다</t>
      </text>
    </comment>
    <comment ref="FG41" authorId="0" shapeId="0">
      <text>
        <t>모델 포함 규칙: 해양(type≠OTHER). 0 으로 바꾸면 그 계약을 매출에서 뺀다</t>
      </text>
    </comment>
    <comment ref="FG42" authorId="0" shapeId="0">
      <text>
        <t>모델 포함 규칙: 해양(type≠OTHER). 0 으로 바꾸면 그 계약을 매출에서 뺀다</t>
      </text>
    </comment>
    <comment ref="FG43" authorId="0" shapeId="0">
      <text>
        <t>모델 포함 규칙: 해양(type≠OTHER). 0 으로 바꾸면 그 계약을 매출에서 뺀다</t>
      </text>
    </comment>
    <comment ref="FG44" authorId="0" shapeId="0">
      <text>
        <t>모델 포함 규칙: 해양(type≠OTHER). 0 으로 바꾸면 그 계약을 매출에서 뺀다</t>
      </text>
    </comment>
    <comment ref="FG45" authorId="0" shapeId="0">
      <text>
        <t>모델 포함 규칙: 해양(type≠OTHER). 0 으로 바꾸면 그 계약을 매출에서 뺀다</t>
      </text>
    </comment>
    <comment ref="FG46" authorId="0" shapeId="0">
      <text>
        <t>모델 포함 규칙: 해양(type≠OTHER). 0 으로 바꾸면 그 계약을 매출에서 뺀다</t>
      </text>
    </comment>
    <comment ref="FG47" authorId="0" shapeId="0">
      <text>
        <t>모델 포함 규칙: 해양(type≠OTHER). 0 으로 바꾸면 그 계약을 매출에서 뺀다</t>
      </text>
    </comment>
    <comment ref="FG48" authorId="0" shapeId="0">
      <text>
        <t>모델 포함 규칙: 해양(type≠OTHER). 0 으로 바꾸면 그 계약을 매출에서 뺀다</t>
      </text>
    </comment>
    <comment ref="FG49" authorId="0" shapeId="0">
      <text>
        <t>모델 포함 규칙: 해양(type≠OTHER). 0 으로 바꾸면 그 계약을 매출에서 뺀다</t>
      </text>
    </comment>
    <comment ref="FG50" authorId="0" shapeId="0">
      <text>
        <t>모델 포함 규칙: 해양(type≠OTHER). 0 으로 바꾸면 그 계약을 매출에서 뺀다</t>
      </text>
    </comment>
    <comment ref="FG51" authorId="0" shapeId="0">
      <text>
        <t>모델 포함 규칙: 해양(type≠OTHER). 0 으로 바꾸면 그 계약을 매출에서 뺀다</t>
      </text>
    </comment>
    <comment ref="FG52" authorId="0" shapeId="0">
      <text>
        <t>모델 포함 규칙: 해양(type≠OTHER). 0 으로 바꾸면 그 계약을 매출에서 뺀다</t>
      </text>
    </comment>
    <comment ref="FG53" authorId="0" shapeId="0">
      <text>
        <t>모델 포함 규칙: 해양(type≠OTHER). 0 으로 바꾸면 그 계약을 매출에서 뺀다</t>
      </text>
    </comment>
    <comment ref="FG54" authorId="0" shapeId="0">
      <text>
        <t>모델 포함 규칙: 해양(type≠OTHER). 0 으로 바꾸면 그 계약을 매출에서 뺀다</t>
      </text>
    </comment>
    <comment ref="FG55" authorId="0" shapeId="0">
      <text>
        <t>모델 포함 규칙: 해양(type≠OTHER). 0 으로 바꾸면 그 계약을 매출에서 뺀다</t>
      </text>
    </comment>
    <comment ref="FG56" authorId="0" shapeId="0">
      <text>
        <t>모델 포함 규칙: 해양(type≠OTHER). 0 으로 바꾸면 그 계약을 매출에서 뺀다</t>
      </text>
    </comment>
    <comment ref="FG57" authorId="0" shapeId="0">
      <text>
        <t>모델 포함 규칙: 해양(type≠OTHER). 0 으로 바꾸면 그 계약을 매출에서 뺀다</t>
      </text>
    </comment>
    <comment ref="FG58" authorId="0" shapeId="0">
      <text>
        <t>모델 포함 규칙: 해양(type≠OTHER). 0 으로 바꾸면 그 계약을 매출에서 뺀다</t>
      </text>
    </comment>
    <comment ref="FG59" authorId="0" shapeId="0">
      <text>
        <t>모델 포함 규칙: 해양(type≠OTHER). 0 으로 바꾸면 그 계약을 매출에서 뺀다</t>
      </text>
    </comment>
    <comment ref="FG60" authorId="0" shapeId="0">
      <text>
        <t>모델 포함 규칙: 해양(type≠OTHER). 0 으로 바꾸면 그 계약을 매출에서 뺀다</t>
      </text>
    </comment>
    <comment ref="FG61" authorId="0" shapeId="0">
      <text>
        <t>모델 포함 규칙: 해양(type≠OTHER). 0 으로 바꾸면 그 계약을 매출에서 뺀다</t>
      </text>
    </comment>
    <comment ref="FG62" authorId="0" shapeId="0">
      <text>
        <t>모델 포함 규칙: 해양(type≠OTHER). 0 으로 바꾸면 그 계약을 매출에서 뺀다</t>
      </text>
    </comment>
    <comment ref="FG63" authorId="0" shapeId="0">
      <text>
        <t>모델 포함 규칙: 해양(type≠OTHER). 0 으로 바꾸면 그 계약을 매출에서 뺀다</t>
      </text>
    </comment>
    <comment ref="FG64" authorId="0" shapeId="0">
      <text>
        <t>모델 포함 규칙: 해양(type≠OTHER). 0 으로 바꾸면 그 계약을 매출에서 뺀다</t>
      </text>
    </comment>
    <comment ref="FG65" authorId="0" shapeId="0">
      <text>
        <t>모델 포함 규칙: 해양(type≠OTHER). 0 으로 바꾸면 그 계약을 매출에서 뺀다</t>
      </text>
    </comment>
    <comment ref="FG66" authorId="0" shapeId="0">
      <text>
        <t>모델 포함 규칙: 해양(type≠OTHER). 0 으로 바꾸면 그 계약을 매출에서 뺀다</t>
      </text>
    </comment>
    <comment ref="FG67" authorId="0" shapeId="0">
      <text>
        <t>모델 포함 규칙: 해양(type≠OTHER). 0 으로 바꾸면 그 계약을 매출에서 뺀다</t>
      </text>
    </comment>
    <comment ref="FG68" authorId="0" shapeId="0">
      <text>
        <t>모델 포함 규칙: 해양(type≠OTHER). 0 으로 바꾸면 그 계약을 매출에서 뺀다</t>
      </text>
    </comment>
    <comment ref="FG69" authorId="0" shapeId="0">
      <text>
        <t>모델 포함 규칙: 해양(type≠OTHER). 0 으로 바꾸면 그 계약을 매출에서 뺀다</t>
      </text>
    </comment>
    <comment ref="FG70" authorId="0" shapeId="0">
      <text>
        <t>모델 포함 규칙: 해양(type≠OTHER). 0 으로 바꾸면 그 계약을 매출에서 뺀다</t>
      </text>
    </comment>
    <comment ref="FG71" authorId="0" shapeId="0">
      <text>
        <t>모델 포함 규칙: 해양(type≠OTHER). 0 으로 바꾸면 그 계약을 매출에서 뺀다</t>
      </text>
    </comment>
    <comment ref="FG72" authorId="0" shapeId="0">
      <text>
        <t>모델 포함 규칙: 해양(type≠OTHER). 0 으로 바꾸면 그 계약을 매출에서 뺀다</t>
      </text>
    </comment>
    <comment ref="FG73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-14.9% 가 5~27% 밖; 세전 &gt; 0 분기 중위 0.5% 도 5~27% 밖 → 법정세율 근사 22% 가정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+ 0 — 계약 45건 중 포함 5건(marine_hedged_krw_m), 재구성 최대차 2.0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15.0% 상수(코호트 모드 reference_anchor); 경로 변화는 등급 없는 비중의 실측 중위 6.3% 채움에서만, 추정 구간 타겟 8.38%→9.75%) / 추정 매출은 2026Q2 기준 잔고 소진분만 — 신규수주 매출 미포함(forecast_panel 097230 status partial(book_value_only, scope_unverified, insufficient_segment_history, insufficient_order_history, negative_net_inflow) — new_order_revenue 값 없음; 2028 감소는 이 한계). forecast_panel 모듈 참고 / 패널 신규 없음 → origin 이후 공시 수주 1건 6,790억은 선표(SLS)에 그대로 둠(유일한 신규수주 정보 — 제외하지 않음)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15350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14520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15226.7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$D$52</f>
        <v/>
      </c>
      <c r="AD21" s="24">
        <f>$D$52</f>
        <v/>
      </c>
      <c r="AE21" s="25">
        <f>IFERROR(subQ!AE8/subQ!AE5,"")</f>
        <v/>
      </c>
      <c r="AF21" s="24">
        <f>$D$52</f>
        <v/>
      </c>
      <c r="AG21" s="24">
        <f>$D$52</f>
        <v/>
      </c>
      <c r="AH21" s="24">
        <f>$D$52</f>
        <v/>
      </c>
      <c r="AI21" s="24">
        <f>$D$52</f>
        <v/>
      </c>
      <c r="AJ21" s="25">
        <f>IFERROR(subQ!AJ8/subQ!AJ5,"")</f>
        <v/>
      </c>
      <c r="AK21" s="24">
        <f>$D$52</f>
        <v/>
      </c>
      <c r="AL21" s="24">
        <f>$D$52</f>
        <v/>
      </c>
      <c r="AM21" s="24">
        <f>$D$52</f>
        <v/>
      </c>
      <c r="AN21" s="24">
        <f>$D$52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세율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24">
        <f>$D$51</f>
        <v/>
      </c>
      <c r="AD24" s="24">
        <f>$D$51</f>
        <v/>
      </c>
      <c r="AE24" s="25">
        <f>IFERROR(subQ!AE16/subQ!AE15,"")</f>
        <v/>
      </c>
      <c r="AF24" s="24">
        <f>$D$51</f>
        <v/>
      </c>
      <c r="AG24" s="24">
        <f>$D$51</f>
        <v/>
      </c>
      <c r="AH24" s="24">
        <f>$D$51</f>
        <v/>
      </c>
      <c r="AI24" s="24">
        <f>$D$51</f>
        <v/>
      </c>
      <c r="AJ24" s="25">
        <f>IFERROR(subQ!AJ16/subQ!AJ15,"")</f>
        <v/>
      </c>
      <c r="AK24" s="24">
        <f>$D$51</f>
        <v/>
      </c>
      <c r="AL24" s="24">
        <f>$D$51</f>
        <v/>
      </c>
      <c r="AM24" s="24">
        <f>$D$51</f>
        <v/>
      </c>
      <c r="AN24" s="24">
        <f>$D$51</f>
        <v/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$D$53</f>
        <v/>
      </c>
      <c r="AD25" s="24">
        <f>$D$53</f>
        <v/>
      </c>
      <c r="AE25" s="25">
        <f>IFERROR(subQ!AE18/subQ!AE17,"")</f>
        <v/>
      </c>
      <c r="AF25" s="24">
        <f>$D$53</f>
        <v/>
      </c>
      <c r="AG25" s="24">
        <f>$D$53</f>
        <v/>
      </c>
      <c r="AH25" s="24">
        <f>$D$53</f>
        <v/>
      </c>
      <c r="AI25" s="24">
        <f>$D$53</f>
        <v/>
      </c>
      <c r="AJ25" s="25">
        <f>IFERROR(subQ!AJ18/subQ!AJ17,"")</f>
        <v/>
      </c>
      <c r="AK25" s="24">
        <f>$D$53</f>
        <v/>
      </c>
      <c r="AL25" s="24">
        <f>$D$53</f>
        <v/>
      </c>
      <c r="AM25" s="24">
        <f>$D$53</f>
        <v/>
      </c>
      <c r="AN25" s="24">
        <f>$D$53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1" t="n"/>
      <c r="AD26" s="31" t="n"/>
      <c r="AE26" s="30">
        <f>subQ!AE19</f>
        <v/>
      </c>
      <c r="AF26" s="31" t="n"/>
      <c r="AG26" s="31" t="n"/>
      <c r="AH26" s="31" t="n"/>
      <c r="AI26" s="31" t="n"/>
      <c r="AJ26" s="30">
        <f>subQ!AJ19</f>
        <v/>
      </c>
      <c r="AK26" s="31" t="n"/>
      <c r="AL26" s="31" t="n"/>
      <c r="AM26" s="31" t="n"/>
      <c r="AN26" s="31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2" t="n">
        <v>0</v>
      </c>
      <c r="AD27" s="32" t="n">
        <v>0</v>
      </c>
      <c r="AE27" s="25" t="n"/>
      <c r="AF27" s="32" t="n">
        <v>0</v>
      </c>
      <c r="AG27" s="32" t="n">
        <v>0</v>
      </c>
      <c r="AH27" s="32" t="n">
        <v>0</v>
      </c>
      <c r="AI27" s="32" t="n">
        <v>0</v>
      </c>
      <c r="AJ27" s="25" t="n"/>
      <c r="AK27" s="32" t="n">
        <v>0</v>
      </c>
      <c r="AL27" s="32" t="n">
        <v>0</v>
      </c>
      <c r="AM27" s="32" t="n">
        <v>0</v>
      </c>
      <c r="AN27" s="32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-0.003381036</v>
      </c>
      <c r="AD28" s="29" t="n">
        <v>0.003573479</v>
      </c>
      <c r="AE28" s="30" t="n"/>
      <c r="AF28" s="29" t="n">
        <v>0.007173291</v>
      </c>
      <c r="AG28" s="29" t="n">
        <v>-0.009123622</v>
      </c>
      <c r="AH28" s="29" t="n">
        <v>0.009403346</v>
      </c>
      <c r="AI28" s="29" t="n">
        <v>0.000511404</v>
      </c>
      <c r="AJ28" s="30" t="n"/>
      <c r="AK28" s="29" t="n">
        <v>0.000919133</v>
      </c>
      <c r="AL28" s="29" t="n">
        <v>0.006763517</v>
      </c>
      <c r="AM28" s="29" t="n">
        <v>-0.000516962</v>
      </c>
      <c r="AN28" s="29" t="n">
        <v>-0.005319491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-0.003381036</v>
      </c>
      <c r="AD29" s="29" t="n">
        <v>0.003573479</v>
      </c>
      <c r="AE29" s="30" t="n"/>
      <c r="AF29" s="29" t="n">
        <v>0.007173291</v>
      </c>
      <c r="AG29" s="29" t="n">
        <v>-0.009123622</v>
      </c>
      <c r="AH29" s="29" t="n">
        <v>0.009403346</v>
      </c>
      <c r="AI29" s="29" t="n">
        <v>0.000511404</v>
      </c>
      <c r="AJ29" s="30" t="n"/>
      <c r="AK29" s="29" t="n">
        <v>0.000919133</v>
      </c>
      <c r="AL29" s="29" t="n">
        <v>0.006763517</v>
      </c>
      <c r="AM29" s="29" t="n">
        <v>-0.000516962</v>
      </c>
      <c r="AN29" s="29" t="n">
        <v>-0.005319491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2" t="n">
        <v>0</v>
      </c>
      <c r="AD30" s="32" t="n">
        <v>0</v>
      </c>
      <c r="AE30" s="25" t="n"/>
      <c r="AF30" s="32" t="n">
        <v>0</v>
      </c>
      <c r="AG30" s="32" t="n">
        <v>0</v>
      </c>
      <c r="AH30" s="32" t="n">
        <v>0</v>
      </c>
      <c r="AI30" s="32" t="n">
        <v>0</v>
      </c>
      <c r="AJ30" s="25" t="n"/>
      <c r="AK30" s="32" t="n">
        <v>0</v>
      </c>
      <c r="AL30" s="32" t="n">
        <v>0</v>
      </c>
      <c r="AM30" s="32" t="n">
        <v>0</v>
      </c>
      <c r="AN30" s="32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-0.184017988</v>
      </c>
      <c r="AD31" s="32" t="n">
        <v>-0.28096673</v>
      </c>
      <c r="AE31" s="25" t="n"/>
      <c r="AF31" s="32" t="n">
        <v>-0.398830659</v>
      </c>
      <c r="AG31" s="32" t="n">
        <v>-0.695994775</v>
      </c>
      <c r="AH31" s="32" t="n">
        <v>-1.609050999</v>
      </c>
      <c r="AI31" s="32" t="n">
        <v>2.52357948</v>
      </c>
      <c r="AJ31" s="25" t="n"/>
      <c r="AK31" s="32" t="n">
        <v>0.735805532</v>
      </c>
      <c r="AL31" s="32" t="n">
        <v>0.43219829</v>
      </c>
      <c r="AM31" s="32" t="n">
        <v>0.264148466</v>
      </c>
      <c r="AN31" s="32" t="n">
        <v>0.188518801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0.130542904</v>
      </c>
      <c r="AD32" s="32" t="n">
        <v>0.143860454</v>
      </c>
      <c r="AE32" s="25" t="n"/>
      <c r="AF32" s="32" t="n">
        <v>0.128366295</v>
      </c>
      <c r="AG32" s="32" t="n">
        <v>0.119348006</v>
      </c>
      <c r="AH32" s="32" t="n">
        <v>0.074936761</v>
      </c>
      <c r="AI32" s="32" t="n">
        <v>0.06659058599999999</v>
      </c>
      <c r="AJ32" s="25" t="n"/>
      <c r="AK32" s="32" t="n">
        <v>0.064142403</v>
      </c>
      <c r="AL32" s="32" t="n">
        <v>0.061456318</v>
      </c>
      <c r="AM32" s="32" t="n">
        <v>0.050679534</v>
      </c>
      <c r="AN32" s="32" t="n">
        <v>0.043517807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2" t="n">
        <v>-0.332987121</v>
      </c>
      <c r="AD34" s="32" t="n">
        <v>-0.012303906</v>
      </c>
      <c r="AE34" s="25" t="n"/>
      <c r="AF34" s="32" t="n">
        <v>0.012614317</v>
      </c>
      <c r="AG34" s="32" t="n">
        <v>0.157117117</v>
      </c>
      <c r="AH34" s="32" t="n">
        <v>0</v>
      </c>
      <c r="AI34" s="32" t="n">
        <v>0</v>
      </c>
      <c r="AJ34" s="25" t="n"/>
      <c r="AK34" s="32" t="n">
        <v>0</v>
      </c>
      <c r="AL34" s="32" t="n">
        <v>0</v>
      </c>
      <c r="AM34" s="32" t="n">
        <v>0</v>
      </c>
      <c r="AN34" s="32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2" t="n">
        <v>0</v>
      </c>
      <c r="AD36" s="32" t="n">
        <v>0</v>
      </c>
      <c r="AE36" s="25" t="n"/>
      <c r="AF36" s="32" t="n">
        <v>0</v>
      </c>
      <c r="AG36" s="32" t="n">
        <v>0</v>
      </c>
      <c r="AH36" s="32" t="n">
        <v>0</v>
      </c>
      <c r="AI36" s="32" t="n">
        <v>0</v>
      </c>
      <c r="AJ36" s="25" t="n"/>
      <c r="AK36" s="32" t="n">
        <v>0</v>
      </c>
      <c r="AL36" s="32" t="n">
        <v>0</v>
      </c>
      <c r="AM36" s="32" t="n">
        <v>0</v>
      </c>
      <c r="AN36" s="32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1" t="n"/>
      <c r="AD37" s="29" t="n">
        <v>0</v>
      </c>
      <c r="AE37" s="30">
        <f>subQ!AE33</f>
        <v/>
      </c>
      <c r="AF37" s="31" t="n"/>
      <c r="AG37" s="31" t="n"/>
      <c r="AH37" s="31" t="n"/>
      <c r="AI37" s="29" t="n">
        <v>0</v>
      </c>
      <c r="AJ37" s="30">
        <f>subQ!AJ33</f>
        <v/>
      </c>
      <c r="AK37" s="31" t="n"/>
      <c r="AL37" s="31" t="n"/>
      <c r="AM37" s="31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2152.980811</v>
      </c>
      <c r="AD38" s="29" t="n">
        <v>2152.980115</v>
      </c>
      <c r="AE38" s="30" t="n"/>
      <c r="AF38" s="29" t="n">
        <v>2152.994168</v>
      </c>
      <c r="AG38" s="29" t="n">
        <v>2153.008338</v>
      </c>
      <c r="AH38" s="29" t="n">
        <v>274.810073</v>
      </c>
      <c r="AI38" s="29" t="n">
        <v>-0.019927</v>
      </c>
      <c r="AJ38" s="30" t="n"/>
      <c r="AK38" s="29" t="n">
        <v>0.008338</v>
      </c>
      <c r="AL38" s="29" t="n">
        <v>0.008338</v>
      </c>
      <c r="AM38" s="29" t="n">
        <v>-0.01803</v>
      </c>
      <c r="AN38" s="29" t="n">
        <v>0.018206</v>
      </c>
      <c r="AO38" s="30" t="n"/>
    </row>
    <row r="39">
      <c r="A39" s="12" t="inlineStr">
        <is>
          <t>drv:OP조선</t>
        </is>
      </c>
      <c r="B39" s="2" t="inlineStr">
        <is>
          <t>ratio</t>
        </is>
      </c>
      <c r="C39" t="inlineStr">
        <is>
          <t>OP조선 마진(/매출조선)</t>
        </is>
      </c>
      <c r="E39" s="21">
        <f>IFERROR(subQ!E37/subQ!E36,"")</f>
        <v/>
      </c>
      <c r="F39" s="22">
        <f>IFERROR(subQ!F37/subQ!F36,"")</f>
        <v/>
      </c>
      <c r="G39" s="21">
        <f>IFERROR(subQ!G37/subQ!G36,"")</f>
        <v/>
      </c>
      <c r="H39" s="21">
        <f>IFERROR(subQ!H37/subQ!H36,"")</f>
        <v/>
      </c>
      <c r="I39" s="21">
        <f>IFERROR(subQ!I37/subQ!I36,"")</f>
        <v/>
      </c>
      <c r="J39" s="21">
        <f>IFERROR(subQ!J37/subQ!J36,"")</f>
        <v/>
      </c>
      <c r="K39" s="22">
        <f>IFERROR(subQ!K37/subQ!K36,"")</f>
        <v/>
      </c>
      <c r="L39" s="21">
        <f>IFERROR(subQ!L37/subQ!L36,"")</f>
        <v/>
      </c>
      <c r="M39" s="21">
        <f>IFERROR(subQ!M37/subQ!M36,"")</f>
        <v/>
      </c>
      <c r="N39" s="21">
        <f>IFERROR(subQ!N37/subQ!N36,"")</f>
        <v/>
      </c>
      <c r="O39" s="21">
        <f>IFERROR(subQ!O37/subQ!O36,"")</f>
        <v/>
      </c>
      <c r="P39" s="22">
        <f>IFERROR(subQ!P37/subQ!P36,"")</f>
        <v/>
      </c>
      <c r="Q39" s="21">
        <f>IFERROR(subQ!Q37/subQ!Q36,"")</f>
        <v/>
      </c>
      <c r="R39" s="21">
        <f>IFERROR(subQ!R37/subQ!R36,"")</f>
        <v/>
      </c>
      <c r="S39" s="21">
        <f>IFERROR(subQ!S37/subQ!S36,"")</f>
        <v/>
      </c>
      <c r="T39" s="21">
        <f>IFERROR(subQ!T37/subQ!T36,"")</f>
        <v/>
      </c>
      <c r="U39" s="22">
        <f>IFERROR(subQ!U37/subQ!U36,"")</f>
        <v/>
      </c>
      <c r="V39" s="21">
        <f>IFERROR(subQ!V37/subQ!V36,"")</f>
        <v/>
      </c>
      <c r="W39" s="21">
        <f>IFERROR(subQ!W37/subQ!W36,"")</f>
        <v/>
      </c>
      <c r="X39" s="21">
        <f>IFERROR(subQ!X37/subQ!X36,"")</f>
        <v/>
      </c>
      <c r="Y39" s="21">
        <f>IFERROR(subQ!Y37/subQ!Y36,"")</f>
        <v/>
      </c>
      <c r="Z39" s="22">
        <f>IFERROR(subQ!Z37/subQ!Z36,"")</f>
        <v/>
      </c>
      <c r="AA39" s="21">
        <f>IFERROR(subQ!AA37/subQ!AA36,"")</f>
        <v/>
      </c>
      <c r="AB39" s="23">
        <f>IFERROR(subQ!AB37/subQ!AB36,"")</f>
        <v/>
      </c>
      <c r="AC39" s="32" t="n">
        <v>0.091372143</v>
      </c>
      <c r="AD39" s="32" t="n">
        <v>0.100858905</v>
      </c>
      <c r="AE39" s="25">
        <f>IFERROR(subQ!AE37/subQ!AE36,"")</f>
        <v/>
      </c>
      <c r="AF39" s="32" t="n">
        <v>0.102752018</v>
      </c>
      <c r="AG39" s="32" t="n">
        <v>0.106431777</v>
      </c>
      <c r="AH39" s="32" t="n">
        <v>0.10802063</v>
      </c>
      <c r="AI39" s="32" t="n">
        <v>0.109658904</v>
      </c>
      <c r="AJ39" s="25">
        <f>IFERROR(subQ!AJ37/subQ!AJ36,"")</f>
        <v/>
      </c>
      <c r="AK39" s="32" t="n">
        <v>0.112164089</v>
      </c>
      <c r="AL39" s="32" t="n">
        <v>0.113495488</v>
      </c>
      <c r="AM39" s="32" t="n">
        <v>0.108800475</v>
      </c>
      <c r="AN39" s="32" t="n">
        <v>0.105118794</v>
      </c>
      <c r="AO39" s="25">
        <f>IFERROR(subQ!AO37/subQ!AO36,"")</f>
        <v/>
      </c>
    </row>
    <row r="40">
      <c r="A40" s="12" t="inlineStr">
        <is>
          <t>drv:매출기타</t>
        </is>
      </c>
      <c r="B40" s="2" t="inlineStr">
        <is>
          <t>yoy</t>
        </is>
      </c>
      <c r="C40" t="inlineStr">
        <is>
          <t>매출기타 YoY</t>
        </is>
      </c>
      <c r="E40" s="21" t="n"/>
      <c r="F40" s="22" t="n"/>
      <c r="G40" s="21" t="n"/>
      <c r="H40" s="21" t="n"/>
      <c r="I40" s="21" t="n"/>
      <c r="J40" s="21">
        <f>IFERROR(subQ!J38/subQ!E38-1,"")</f>
        <v/>
      </c>
      <c r="K40" s="22" t="n"/>
      <c r="L40" s="21">
        <f>IFERROR(subQ!L38/subQ!G38-1,"")</f>
        <v/>
      </c>
      <c r="M40" s="21">
        <f>IFERROR(subQ!M38/subQ!H38-1,"")</f>
        <v/>
      </c>
      <c r="N40" s="21">
        <f>IFERROR(subQ!N38/subQ!I38-1,"")</f>
        <v/>
      </c>
      <c r="O40" s="21">
        <f>IFERROR(subQ!O38/subQ!J38-1,"")</f>
        <v/>
      </c>
      <c r="P40" s="22" t="n"/>
      <c r="Q40" s="21">
        <f>IFERROR(subQ!Q38/subQ!L38-1,"")</f>
        <v/>
      </c>
      <c r="R40" s="21">
        <f>IFERROR(subQ!R38/subQ!M38-1,"")</f>
        <v/>
      </c>
      <c r="S40" s="21">
        <f>IFERROR(subQ!S38/subQ!N38-1,"")</f>
        <v/>
      </c>
      <c r="T40" s="21">
        <f>IFERROR(subQ!T38/subQ!O38-1,"")</f>
        <v/>
      </c>
      <c r="U40" s="22" t="n"/>
      <c r="V40" s="21">
        <f>IFERROR(subQ!V38/subQ!Q38-1,"")</f>
        <v/>
      </c>
      <c r="W40" s="21">
        <f>IFERROR(subQ!W38/subQ!R38-1,"")</f>
        <v/>
      </c>
      <c r="X40" s="21">
        <f>IFERROR(subQ!X38/subQ!S38-1,"")</f>
        <v/>
      </c>
      <c r="Y40" s="21">
        <f>IFERROR(subQ!Y38/subQ!T38-1,"")</f>
        <v/>
      </c>
      <c r="Z40" s="22" t="n"/>
      <c r="AA40" s="21">
        <f>IFERROR(subQ!AA38/subQ!V38-1,"")</f>
        <v/>
      </c>
      <c r="AB40" s="23">
        <f>IFERROR(subQ!AB38/subQ!W38-1,"")</f>
        <v/>
      </c>
      <c r="AC40" s="32" t="n">
        <v>0.092004263</v>
      </c>
      <c r="AD40" s="32" t="n">
        <v>0</v>
      </c>
      <c r="AE40" s="25" t="n"/>
      <c r="AF40" s="32" t="n">
        <v>0</v>
      </c>
      <c r="AG40" s="32" t="n">
        <v>-0.185882655</v>
      </c>
      <c r="AH40" s="32" t="n">
        <v>0</v>
      </c>
      <c r="AI40" s="32" t="n">
        <v>0</v>
      </c>
      <c r="AJ40" s="25" t="n"/>
      <c r="AK40" s="32" t="n">
        <v>0</v>
      </c>
      <c r="AL40" s="32" t="n">
        <v>0</v>
      </c>
      <c r="AM40" s="32" t="n">
        <v>0</v>
      </c>
      <c r="AN40" s="32" t="n">
        <v>0</v>
      </c>
      <c r="AO40" s="25" t="n"/>
    </row>
    <row r="41">
      <c r="A41" s="12" t="inlineStr">
        <is>
          <t>drv:OP기타</t>
        </is>
      </c>
      <c r="B41" s="2" t="inlineStr">
        <is>
          <t>ratio</t>
        </is>
      </c>
      <c r="C41" t="inlineStr">
        <is>
          <t>OP기타 마진(/매출기타)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2" t="n">
        <v>0.091370018</v>
      </c>
      <c r="AD41" s="32" t="n">
        <v>0.100861054</v>
      </c>
      <c r="AE41" s="25">
        <f>IFERROR(subQ!AE39/subQ!AE38,"")</f>
        <v/>
      </c>
      <c r="AF41" s="32" t="n">
        <v>0.102750456</v>
      </c>
      <c r="AG41" s="32" t="n">
        <v>0.106430204</v>
      </c>
      <c r="AH41" s="32" t="n">
        <v>0.108018769</v>
      </c>
      <c r="AI41" s="32" t="n">
        <v>0.109658697</v>
      </c>
      <c r="AJ41" s="25">
        <f>IFERROR(subQ!AJ39/subQ!AJ38,"")</f>
        <v/>
      </c>
      <c r="AK41" s="32" t="n">
        <v>0.112160779</v>
      </c>
      <c r="AL41" s="32" t="n">
        <v>0.113496201</v>
      </c>
      <c r="AM41" s="32" t="n">
        <v>0.10880388</v>
      </c>
      <c r="AN41" s="32" t="n">
        <v>0.105113126</v>
      </c>
      <c r="AO41" s="25">
        <f>IFERROR(subQ!AO39/subQ!AO38,"")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15350</v>
      </c>
      <c r="E44" s="2" t="inlineStr">
        <is>
          <t>원 — 네이버 정규장 종가(aik 확정종가 대조 · aik 15,010원)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3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15.6</v>
      </c>
      <c r="E47" s="2" t="inlineStr">
        <is>
          <t>PER 밴드 하단(배) — hist_quarterly(분기 평균가 ÷ TTM EPS, 6분기, 25/50/75 백분위) · 캡 5~30배 적용(원값 15.6/25.6/41.6)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25.6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3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0.2199986135997462</v>
      </c>
      <c r="E51" s="2" t="inlineStr">
        <is>
          <t>연결 — 법인세 = MAX(세전,0) × 세율(역산, 재현 오차 ≤ 0.05억 · 모델 assumptions 0.22) · 최근 12분기 유효세율 -14.9% 가 5~27% 밖; 세전 &gt; 0 분기 중위 0.5%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0.05359746242032782</v>
      </c>
      <c r="E52" s="2" t="inlineStr">
        <is>
          <t>연결 — 판관비 = 매출액 × 판관비율(역산, 재현 오차 ≤ 0.05억 · 모델 assumptions 0.0536)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0.03235228149894262</v>
      </c>
      <c r="E54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0.07870689658964482</v>
      </c>
      <c r="E55" s="2" t="inlineStr">
        <is>
          <t>연결 — 같은 수식의 부채 쪽(총차입금 행이 없으면 0)(역산, 재현 오차 ≤ 0.05억 · 모델 assumptions 0.0787)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3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32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IFERROR(AC36+AC38,"")</f>
        <v/>
      </c>
      <c r="AD5" s="20">
        <f>IFERROR(AD36+AD38,"")</f>
        <v/>
      </c>
      <c r="AE5" s="38">
        <f>SUM(AA5:AD5)</f>
        <v/>
      </c>
      <c r="AF5" s="20">
        <f>IFERROR(AF36+AF38,"")</f>
        <v/>
      </c>
      <c r="AG5" s="20">
        <f>IFERROR(AG36+AG38,"")</f>
        <v/>
      </c>
      <c r="AH5" s="20">
        <f>IFERROR(AH36+AH38,"")</f>
        <v/>
      </c>
      <c r="AI5" s="20">
        <f>IFERROR(AI36+AI38,"")</f>
        <v/>
      </c>
      <c r="AJ5" s="38">
        <f>SUM(AF5:AI5)</f>
        <v/>
      </c>
      <c r="AK5" s="20">
        <f>IFERROR(AK36+AK38,"")</f>
        <v/>
      </c>
      <c r="AL5" s="20">
        <f>IFERROR(AL36+AL38,"")</f>
        <v/>
      </c>
      <c r="AM5" s="20">
        <f>IFERROR(AM36+AM38,"")</f>
        <v/>
      </c>
      <c r="AN5" s="20">
        <f>IFERROR(AN36+AN38,"")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IFERROR(AC37+AC39,"")</f>
        <v/>
      </c>
      <c r="AD9" s="20">
        <f>IFERROR(AD37+AD39,"")</f>
        <v/>
      </c>
      <c r="AE9" s="38">
        <f>SUM(AA9:AD9)</f>
        <v/>
      </c>
      <c r="AF9" s="20">
        <f>IFERROR(AF37+AF39,"")</f>
        <v/>
      </c>
      <c r="AG9" s="20">
        <f>IFERROR(AG37+AG39,"")</f>
        <v/>
      </c>
      <c r="AH9" s="20">
        <f>IFERROR(AH37+AH39,"")</f>
        <v/>
      </c>
      <c r="AI9" s="20">
        <f>IFERROR(AI37+AI39,"")</f>
        <v/>
      </c>
      <c r="AJ9" s="38">
        <f>SUM(AF9:AI9)</f>
        <v/>
      </c>
      <c r="AK9" s="20">
        <f>IFERROR(AK37+AK39,"")</f>
        <v/>
      </c>
      <c r="AL9" s="20">
        <f>IFERROR(AL37+AL39,"")</f>
        <v/>
      </c>
      <c r="AM9" s="20">
        <f>IFERROR(AM37+AM39,"")</f>
        <v/>
      </c>
      <c r="AN9" s="20">
        <f>IFERROR(AN37+AN39,"")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IFERROR((AB26*변수!$D$54-AB24*변수!$D$55)/4,"")</f>
        <v/>
      </c>
      <c r="AD12" s="20">
        <f>IFERROR((AC26*변수!$D$54-AC24*변수!$D$55)/4,"")</f>
        <v/>
      </c>
      <c r="AE12" s="38">
        <f>SUM(AA12:AD12)</f>
        <v/>
      </c>
      <c r="AF12" s="20">
        <f>IFERROR((AD26*변수!$D$54-AD24*변수!$D$55)/4,"")</f>
        <v/>
      </c>
      <c r="AG12" s="20">
        <f>IFERROR((AF26*변수!$D$54-AF24*변수!$D$55)/4,"")</f>
        <v/>
      </c>
      <c r="AH12" s="20">
        <f>IFERROR((AG26*변수!$D$54-AG24*변수!$D$55)/4,"")</f>
        <v/>
      </c>
      <c r="AI12" s="20">
        <f>IFERROR((AH26*변수!$D$54-AH24*변수!$D$55)/4,"")</f>
        <v/>
      </c>
      <c r="AJ12" s="38">
        <f>SUM(AF12:AI12)</f>
        <v/>
      </c>
      <c r="AK12" s="20">
        <f>IFERROR((AI26*변수!$D$54-AI24*변수!$D$55)/4,"")</f>
        <v/>
      </c>
      <c r="AL12" s="20">
        <f>IFERROR((AK26*변수!$D$54-AK24*변수!$D$55)/4,"")</f>
        <v/>
      </c>
      <c r="AM12" s="20">
        <f>IFERROR((AL26*변수!$D$54-AL24*변수!$D$55)/4,"")</f>
        <v/>
      </c>
      <c r="AN12" s="20">
        <f>IFERROR((AM26*변수!$D$54-AM24*변수!$D$55)/4,"")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1">
        <f>IFERROR(AB30*(1+변수!AC36),"")</f>
        <v/>
      </c>
      <c r="AD30" s="31">
        <f>IFERROR(AC30*(1+변수!AD36),"")</f>
        <v/>
      </c>
      <c r="AE30" s="30">
        <f>AD30</f>
        <v/>
      </c>
      <c r="AF30" s="31">
        <f>IFERROR(AD30*(1+변수!AF36),"")</f>
        <v/>
      </c>
      <c r="AG30" s="31">
        <f>IFERROR(AF30*(1+변수!AG36),"")</f>
        <v/>
      </c>
      <c r="AH30" s="31">
        <f>IFERROR(AG30*(1+변수!AH36),"")</f>
        <v/>
      </c>
      <c r="AI30" s="31">
        <f>IFERROR(AH30*(1+변수!AI36),"")</f>
        <v/>
      </c>
      <c r="AJ30" s="30">
        <f>AI30</f>
        <v/>
      </c>
      <c r="AK30" s="31">
        <f>IFERROR(AI30*(1+변수!AK36),"")</f>
        <v/>
      </c>
      <c r="AL30" s="31">
        <f>IFERROR(AK30*(1+변수!AL36),"")</f>
        <v/>
      </c>
      <c r="AM30" s="31">
        <f>IFERROR(AL30*(1+변수!AM36),"")</f>
        <v/>
      </c>
      <c r="AN30" s="31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IFERROR(변수!$D$44/(Y31+AA31+AB31+AC31),"")</f>
        <v/>
      </c>
      <c r="AD34" s="39">
        <f>IFERROR(변수!$D$44/(AA31+AB31+AC31+AD31),"")</f>
        <v/>
      </c>
      <c r="AE34" s="40">
        <f>AD34</f>
        <v/>
      </c>
      <c r="AF34" s="39">
        <f>IFERROR(변수!$D$44/(AB31+AC31+AD31+AF31),"")</f>
        <v/>
      </c>
      <c r="AG34" s="39">
        <f>IFERROR(변수!$D$44/(AC31+AD31+AF31+AG31),"")</f>
        <v/>
      </c>
      <c r="AH34" s="39">
        <f>IFERROR(변수!$D$44/(AD31+AF31+AG31+AH31),"")</f>
        <v/>
      </c>
      <c r="AI34" s="39">
        <f>IFERROR(변수!$D$44/(AF31+AG31+AH31+AI31),"")</f>
        <v/>
      </c>
      <c r="AJ34" s="40">
        <f>AI34</f>
        <v/>
      </c>
      <c r="AK34" s="39">
        <f>IFERROR(변수!$D$44/(AG31+AH31+AI31+AK31),"")</f>
        <v/>
      </c>
      <c r="AL34" s="39">
        <f>IFERROR(변수!$D$44/(AH31+AI31+AK31+AL31),"")</f>
        <v/>
      </c>
      <c r="AM34" s="39">
        <f>IFERROR(변수!$D$44/(AI31+AK31+AL31+AM31),"")</f>
        <v/>
      </c>
      <c r="AN34" s="39">
        <f>IFERROR(변수!$D$44/(AK31+AL31+AM31+AN31),"")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IFERROR(변수!$D$44/AC32,"")</f>
        <v/>
      </c>
      <c r="AD35" s="39">
        <f>IFERROR(변수!$D$44/AD32,"")</f>
        <v/>
      </c>
      <c r="AE35" s="40">
        <f>AD35</f>
        <v/>
      </c>
      <c r="AF35" s="39">
        <f>IFERROR(변수!$D$44/AF32,"")</f>
        <v/>
      </c>
      <c r="AG35" s="39">
        <f>IFERROR(변수!$D$44/AG32,"")</f>
        <v/>
      </c>
      <c r="AH35" s="39">
        <f>IFERROR(변수!$D$44/AH32,"")</f>
        <v/>
      </c>
      <c r="AI35" s="39">
        <f>IFERROR(변수!$D$44/AI32,"")</f>
        <v/>
      </c>
      <c r="AJ35" s="40">
        <f>AI35</f>
        <v/>
      </c>
      <c r="AK35" s="39">
        <f>IFERROR(변수!$D$44/AK32,"")</f>
        <v/>
      </c>
      <c r="AL35" s="39">
        <f>IFERROR(변수!$D$44/AL32,"")</f>
        <v/>
      </c>
      <c r="AM35" s="39">
        <f>IFERROR(변수!$D$44/AM32,"")</f>
        <v/>
      </c>
      <c r="AN35" s="39">
        <f>IFERROR(변수!$D$44/AN32,"")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IFERROR(SLS!AL122/100+변수!AC38,"")</f>
        <v/>
      </c>
      <c r="AD36" s="20">
        <f>IFERROR(SLS!AM122/100+변수!AD38,"")</f>
        <v/>
      </c>
      <c r="AE36" s="38">
        <f>SUM(AA36:AD36)</f>
        <v/>
      </c>
      <c r="AF36" s="20">
        <f>IFERROR(SLS!AN122/100+변수!AF38,"")</f>
        <v/>
      </c>
      <c r="AG36" s="20">
        <f>IFERROR(SLS!AO122/100+변수!AG38,"")</f>
        <v/>
      </c>
      <c r="AH36" s="20">
        <f>IFERROR(SLS!AP122/100+변수!AH38,"")</f>
        <v/>
      </c>
      <c r="AI36" s="20">
        <f>IFERROR(SLS!AQ122/100+변수!AI38,"")</f>
        <v/>
      </c>
      <c r="AJ36" s="38">
        <f>SUM(AF36:AI36)</f>
        <v/>
      </c>
      <c r="AK36" s="20">
        <f>IFERROR(SLS!AR122/100+변수!AK38,"")</f>
        <v/>
      </c>
      <c r="AL36" s="20">
        <f>IFERROR(SLS!AS122/100+변수!AL38,"")</f>
        <v/>
      </c>
      <c r="AM36" s="20">
        <f>IFERROR(SLS!AT122/100+변수!AM38,"")</f>
        <v/>
      </c>
      <c r="AN36" s="20">
        <f>IFERROR(SLS!AU122/100+변수!AN38,"")</f>
        <v/>
      </c>
      <c r="AO36" s="38">
        <f>SUM(AK36:AN36)</f>
        <v/>
      </c>
    </row>
    <row r="37">
      <c r="A37" s="12" t="inlineStr">
        <is>
          <t>OP조선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조선·해양(방산·신조선·상선·특수선)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18" t="n"/>
      <c r="AB37" s="19" t="n"/>
      <c r="AC37" s="20">
        <f>IFERROR(AC36*변수!AC39,"")</f>
        <v/>
      </c>
      <c r="AD37" s="20">
        <f>IFERROR(AD36*변수!AD39,"")</f>
        <v/>
      </c>
      <c r="AE37" s="38">
        <f>SUM(AA37:AD37)</f>
        <v/>
      </c>
      <c r="AF37" s="20">
        <f>IFERROR(AF36*변수!AF39,"")</f>
        <v/>
      </c>
      <c r="AG37" s="20">
        <f>IFERROR(AG36*변수!AG39,"")</f>
        <v/>
      </c>
      <c r="AH37" s="20">
        <f>IFERROR(AH36*변수!AH39,"")</f>
        <v/>
      </c>
      <c r="AI37" s="20">
        <f>IFERROR(AI36*변수!AI39,"")</f>
        <v/>
      </c>
      <c r="AJ37" s="38">
        <f>SUM(AF37:AI37)</f>
        <v/>
      </c>
      <c r="AK37" s="20">
        <f>IFERROR(AK36*변수!AK39,"")</f>
        <v/>
      </c>
      <c r="AL37" s="20">
        <f>IFERROR(AL36*변수!AL39,"")</f>
        <v/>
      </c>
      <c r="AM37" s="20">
        <f>IFERROR(AM36*변수!AM39,"")</f>
        <v/>
      </c>
      <c r="AN37" s="20">
        <f>IFERROR(AN36*변수!AN39,"")</f>
        <v/>
      </c>
      <c r="AO37" s="38">
        <f>SUM(AK37:AN37)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37" t="n"/>
      <c r="G38" s="18" t="n"/>
      <c r="H38" s="18" t="n">
        <v>3552.57</v>
      </c>
      <c r="I38" s="18" t="n">
        <v>1576.49</v>
      </c>
      <c r="J38" s="18" t="n"/>
      <c r="K38" s="37">
        <f>SUM(G38:J38)</f>
        <v/>
      </c>
      <c r="L38" s="18" t="n"/>
      <c r="M38" s="18" t="n">
        <v>0</v>
      </c>
      <c r="N38" s="18" t="n">
        <v>3222.17</v>
      </c>
      <c r="O38" s="18" t="n">
        <v>4700.57</v>
      </c>
      <c r="P38" s="37">
        <f>SUM(L38:O38)</f>
        <v/>
      </c>
      <c r="Q38" s="18" t="n"/>
      <c r="R38" s="18" t="n">
        <v>2814</v>
      </c>
      <c r="S38" s="18" t="n">
        <v>2653.68</v>
      </c>
      <c r="T38" s="18" t="n"/>
      <c r="U38" s="37">
        <f>SUM(Q38:T38)</f>
        <v/>
      </c>
      <c r="V38" s="18" t="n"/>
      <c r="W38" s="18" t="n">
        <v>2797.77</v>
      </c>
      <c r="X38" s="18" t="n">
        <v>2496.08</v>
      </c>
      <c r="Y38" s="18" t="n"/>
      <c r="Z38" s="37">
        <f>SUM(V38:Y38)</f>
        <v/>
      </c>
      <c r="AA38" s="18" t="n"/>
      <c r="AB38" s="19" t="n">
        <v>3348.08</v>
      </c>
      <c r="AC38" s="20">
        <f>IFERROR(X38*(1+변수!AC40),"")</f>
        <v/>
      </c>
      <c r="AD38" s="20">
        <f>IFERROR(AC38*(1+변수!AD40),"")</f>
        <v/>
      </c>
      <c r="AE38" s="38">
        <f>SUM(AA38:AD38)</f>
        <v/>
      </c>
      <c r="AF38" s="20">
        <f>IFERROR(AD38*(1+변수!AF40),"")</f>
        <v/>
      </c>
      <c r="AG38" s="20">
        <f>IFERROR(AB38*(1+변수!AG40),"")</f>
        <v/>
      </c>
      <c r="AH38" s="20">
        <f>IFERROR(AC38*(1+변수!AH40),"")</f>
        <v/>
      </c>
      <c r="AI38" s="20">
        <f>IFERROR(AD38*(1+변수!AI40),"")</f>
        <v/>
      </c>
      <c r="AJ38" s="38">
        <f>SUM(AF38:AI38)</f>
        <v/>
      </c>
      <c r="AK38" s="20">
        <f>IFERROR(AF38*(1+변수!AK40),"")</f>
        <v/>
      </c>
      <c r="AL38" s="20">
        <f>IFERROR(AG38*(1+변수!AL40),"")</f>
        <v/>
      </c>
      <c r="AM38" s="20">
        <f>IFERROR(AH38*(1+변수!AM40),"")</f>
        <v/>
      </c>
      <c r="AN38" s="20">
        <f>IFERROR(AI38*(1+변수!AN40),"")</f>
        <v/>
      </c>
      <c r="AO38" s="38">
        <f>SUM(AK38:AN38)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3">
        <f>IFERROR(AC18/AC5,"")</f>
        <v/>
      </c>
      <c r="AD41" s="33">
        <f>IFERROR(AD18/AD5,"")</f>
        <v/>
      </c>
      <c r="AE41" s="25">
        <f>IFERROR(AE18/AE5,"")</f>
        <v/>
      </c>
      <c r="AF41" s="33">
        <f>IFERROR(AF18/AF5,"")</f>
        <v/>
      </c>
      <c r="AG41" s="33">
        <f>IFERROR(AG18/AG5,"")</f>
        <v/>
      </c>
      <c r="AH41" s="33">
        <f>IFERROR(AH18/AH5,"")</f>
        <v/>
      </c>
      <c r="AI41" s="33">
        <f>IFERROR(AI18/AI5,"")</f>
        <v/>
      </c>
      <c r="AJ41" s="25">
        <f>IFERROR(AJ18/AJ5,"")</f>
        <v/>
      </c>
      <c r="AK41" s="33">
        <f>IFERROR(AK18/AK5,"")</f>
        <v/>
      </c>
      <c r="AL41" s="33">
        <f>IFERROR(AL18/AL5,"")</f>
        <v/>
      </c>
      <c r="AM41" s="33">
        <f>IFERROR(AM18/AM5,"")</f>
        <v/>
      </c>
      <c r="AN41" s="33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115.312</v>
      </c>
      <c r="AB5" s="26" t="n">
        <v>115.478</v>
      </c>
      <c r="AC5" s="26" t="n">
        <v>122.382</v>
      </c>
      <c r="AD5" s="26" t="n">
        <v>123.837</v>
      </c>
      <c r="AE5" s="26" t="n">
        <v>124.334</v>
      </c>
      <c r="AF5" s="26" t="n">
        <v>125.21</v>
      </c>
      <c r="AG5" s="26" t="n">
        <v>124.927</v>
      </c>
      <c r="AH5" s="26" t="n">
        <v>125.515</v>
      </c>
      <c r="AI5" s="26" t="n">
        <v>135.042</v>
      </c>
      <c r="AJ5" s="26" t="n">
        <v>185.788</v>
      </c>
      <c r="AK5" s="26" t="n">
        <v>220.764</v>
      </c>
      <c r="AL5" s="26" t="n">
        <v>242.221</v>
      </c>
      <c r="AM5" s="26" t="n">
        <v>284.657</v>
      </c>
      <c r="AN5" s="26" t="n">
        <v>262.2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370.432</v>
      </c>
      <c r="EF5" s="26" t="n">
        <v>486.031</v>
      </c>
      <c r="EG5" s="26" t="n">
        <v>510.694</v>
      </c>
      <c r="EH5" s="26" t="n">
        <v>933.4299999999999</v>
      </c>
      <c r="EI5" s="26" t="n">
        <v>951.52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115.312</v>
      </c>
      <c r="AB7" s="26" t="n">
        <v>115.478</v>
      </c>
      <c r="AC7" s="26" t="n">
        <v>122.382</v>
      </c>
      <c r="AD7" s="26" t="n">
        <v>123.837</v>
      </c>
      <c r="AE7" s="26" t="n">
        <v>124.334</v>
      </c>
      <c r="AF7" s="26" t="n">
        <v>125.21</v>
      </c>
      <c r="AG7" s="26" t="n">
        <v>124.927</v>
      </c>
      <c r="AH7" s="26" t="n">
        <v>125.515</v>
      </c>
      <c r="AI7" s="26" t="n">
        <v>132.36</v>
      </c>
      <c r="AJ7" s="26" t="n">
        <v>154.297</v>
      </c>
      <c r="AK7" s="26" t="n">
        <v>160.205</v>
      </c>
      <c r="AL7" s="26" t="n">
        <v>169.976</v>
      </c>
      <c r="AM7" s="26" t="n">
        <v>171.235</v>
      </c>
      <c r="AN7" s="26" t="n">
        <v>151.243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370.432</v>
      </c>
      <c r="EF7" s="26" t="n">
        <v>486.031</v>
      </c>
      <c r="EG7" s="26" t="n">
        <v>508.012</v>
      </c>
      <c r="EH7" s="26" t="n">
        <v>655.713</v>
      </c>
      <c r="EI7" s="26" t="n">
        <v>501.529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115.312</v>
      </c>
      <c r="AB10" s="26" t="n">
        <v>115.478</v>
      </c>
      <c r="AC10" s="26" t="n">
        <v>122.382</v>
      </c>
      <c r="AD10" s="26" t="n">
        <v>123.837</v>
      </c>
      <c r="AE10" s="26" t="n">
        <v>124.334</v>
      </c>
      <c r="AF10" s="26" t="n">
        <v>125.21</v>
      </c>
      <c r="AG10" s="26" t="n">
        <v>124.927</v>
      </c>
      <c r="AH10" s="26" t="n">
        <v>125.515</v>
      </c>
      <c r="AI10" s="26" t="n">
        <v>134.646</v>
      </c>
      <c r="AJ10" s="26" t="n">
        <v>168.016</v>
      </c>
      <c r="AK10" s="26" t="n">
        <v>174.076</v>
      </c>
      <c r="AL10" s="26" t="n">
        <v>184</v>
      </c>
      <c r="AM10" s="26" t="n">
        <v>185.258</v>
      </c>
      <c r="AN10" s="26" t="n">
        <v>164.962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370.432</v>
      </c>
      <c r="EF10" s="26" t="n">
        <v>486.031</v>
      </c>
      <c r="EG10" s="26" t="n">
        <v>510.298</v>
      </c>
      <c r="EH10" s="26" t="n">
        <v>711.35</v>
      </c>
      <c r="EI10" s="26" t="n">
        <v>557.165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1220.44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1404.15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1351.18</v>
      </c>
      <c r="AN14" s="13" t="n">
        <v>1343.98</v>
      </c>
      <c r="AO14" s="13" t="n">
        <v>1343.98</v>
      </c>
      <c r="AP14" s="13" t="n">
        <v>1343.98</v>
      </c>
      <c r="AQ14" s="13" t="n">
        <v>1343.98</v>
      </c>
      <c r="AR14" s="13" t="n">
        <v>1343.98</v>
      </c>
      <c r="AS14" s="13" t="n">
        <v>1343.98</v>
      </c>
      <c r="AT14" s="13" t="n">
        <v>1343.98</v>
      </c>
      <c r="AU14" s="13" t="n">
        <v>1343.98</v>
      </c>
      <c r="AV14" s="13" t="n">
        <v>1343.98</v>
      </c>
      <c r="AW14" s="13" t="n">
        <v>1343.98</v>
      </c>
      <c r="AX14" s="13" t="n">
        <v>1343.98</v>
      </c>
      <c r="AY14" s="13" t="n">
        <v>1343.98</v>
      </c>
      <c r="AZ14" s="13" t="n">
        <v>1343.98</v>
      </c>
      <c r="BA14" s="13" t="n">
        <v>1343.98</v>
      </c>
      <c r="BB14" s="13" t="n">
        <v>1343.98</v>
      </c>
      <c r="BC14" s="13" t="n">
        <v>1343.98</v>
      </c>
      <c r="BD14" s="13" t="n">
        <v>1343.98</v>
      </c>
      <c r="BE14" s="13" t="n">
        <v>1343.98</v>
      </c>
      <c r="BF14" s="13" t="n">
        <v>1343.98</v>
      </c>
      <c r="BG14" s="13" t="n">
        <v>1343.98</v>
      </c>
      <c r="BH14" s="13" t="n">
        <v>1343.98</v>
      </c>
      <c r="BI14" s="13" t="n">
        <v>1343.98</v>
      </c>
      <c r="BJ14" s="13" t="n">
        <v>1343.98</v>
      </c>
      <c r="BK14" s="13" t="n">
        <v>1343.98</v>
      </c>
      <c r="BL14" s="13" t="n">
        <v>1343.98</v>
      </c>
      <c r="BM14" s="13" t="n">
        <v>1343.98</v>
      </c>
      <c r="BN14" s="13" t="n">
        <v>1343.98</v>
      </c>
      <c r="BO14" s="13" t="n">
        <v>1343.98</v>
      </c>
      <c r="BP14" s="13" t="n">
        <v>1343.98</v>
      </c>
      <c r="BQ14" s="13" t="n">
        <v>1343.98</v>
      </c>
      <c r="BR14" s="13" t="n">
        <v>1343.98</v>
      </c>
      <c r="BS14" s="13" t="n">
        <v>1343.98</v>
      </c>
      <c r="BT14" s="13" t="n">
        <v>1343.98</v>
      </c>
      <c r="BU14" s="13" t="n">
        <v>1343.98</v>
      </c>
      <c r="BV14" s="13" t="n">
        <v>1343.98</v>
      </c>
      <c r="BW14" s="13" t="n">
        <v>1343.98</v>
      </c>
      <c r="BX14" s="13" t="n">
        <v>1343.98</v>
      </c>
      <c r="BY14" s="13" t="n">
        <v>1343.98</v>
      </c>
      <c r="BZ14" s="13" t="n">
        <v>1343.98</v>
      </c>
      <c r="CA14" s="13" t="n">
        <v>1343.98</v>
      </c>
      <c r="CB14" s="13" t="n">
        <v>1343.98</v>
      </c>
      <c r="CC14" s="13" t="n">
        <v>1343.98</v>
      </c>
      <c r="CD14" s="13" t="n">
        <v>1343.98</v>
      </c>
      <c r="CE14" s="13" t="n">
        <v>1343.98</v>
      </c>
      <c r="CF14" s="13" t="n">
        <v>1343.98</v>
      </c>
      <c r="CG14" s="13" t="n">
        <v>1343.98</v>
      </c>
      <c r="CH14" s="13" t="n">
        <v>1343.98</v>
      </c>
      <c r="CI14" s="13" t="n">
        <v>1343.98</v>
      </c>
      <c r="CJ14" s="13" t="n">
        <v>1343.98</v>
      </c>
      <c r="CK14" s="13" t="n">
        <v>1343.98</v>
      </c>
      <c r="CL14" s="13" t="n">
        <v>1343.98</v>
      </c>
      <c r="CM14" s="13" t="n">
        <v>1343.98</v>
      </c>
      <c r="CN14" s="13" t="n">
        <v>1343.98</v>
      </c>
      <c r="CO14" s="13" t="n">
        <v>1343.98</v>
      </c>
      <c r="CP14" s="13" t="n">
        <v>1343.98</v>
      </c>
      <c r="CQ14" s="13" t="n">
        <v>1343.98</v>
      </c>
      <c r="CR14" s="13" t="n">
        <v>1343.98</v>
      </c>
      <c r="CS14" s="13" t="n">
        <v>1343.98</v>
      </c>
      <c r="CT14" s="13" t="n">
        <v>1343.98</v>
      </c>
      <c r="CU14" s="13" t="n">
        <v>1343.98</v>
      </c>
      <c r="CV14" s="13" t="n">
        <v>1343.98</v>
      </c>
      <c r="CW14" s="13" t="n">
        <v>1343.98</v>
      </c>
      <c r="CX14" s="13" t="n">
        <v>1343.98</v>
      </c>
      <c r="CY14" s="13" t="n">
        <v>1343.98</v>
      </c>
      <c r="CZ14" s="13" t="n">
        <v>1343.98</v>
      </c>
      <c r="DA14" s="13" t="n">
        <v>1343.98</v>
      </c>
      <c r="DB14" s="13" t="n">
        <v>1343.98</v>
      </c>
      <c r="DC14" s="13" t="n">
        <v>1343.98</v>
      </c>
      <c r="DD14" s="13" t="n">
        <v>1343.98</v>
      </c>
      <c r="DE14" s="13" t="n">
        <v>1343.98</v>
      </c>
      <c r="DF14" s="13" t="n">
        <v>1343.98</v>
      </c>
      <c r="DG14" s="13" t="n">
        <v>1343.98</v>
      </c>
      <c r="DH14" s="13" t="n">
        <v>1343.98</v>
      </c>
      <c r="DI14" s="13" t="n">
        <v>1343.98</v>
      </c>
      <c r="DJ14" s="13" t="n">
        <v>1343.98</v>
      </c>
      <c r="DK14" s="13" t="n">
        <v>1343.98</v>
      </c>
      <c r="DL14" s="13" t="n">
        <v>1343.98</v>
      </c>
      <c r="DM14" s="13" t="n">
        <v>1343.98</v>
      </c>
      <c r="DN14" s="13" t="n">
        <v>1343.98</v>
      </c>
      <c r="DO14" s="13" t="n">
        <v>1343.98</v>
      </c>
      <c r="DP14" s="13" t="n">
        <v>1343.98</v>
      </c>
      <c r="DQ14" s="13" t="n">
        <v>1343.98</v>
      </c>
      <c r="DR14" s="13" t="n">
        <v>1343.98</v>
      </c>
      <c r="DS14" s="13" t="n">
        <v>1343.98</v>
      </c>
      <c r="DT14" s="13" t="n">
        <v>1343.98</v>
      </c>
      <c r="DU14" s="13" t="n">
        <v>1343.98</v>
      </c>
      <c r="DV14" s="13" t="n">
        <v>1343.98</v>
      </c>
      <c r="DW14" s="13" t="n">
        <v>1343.98</v>
      </c>
      <c r="DX14" s="13" t="n">
        <v>1343.98</v>
      </c>
      <c r="DY14" s="13" t="n">
        <v>1343.98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1379.09</v>
      </c>
      <c r="AN15" s="13" t="n">
        <v>1386.1</v>
      </c>
      <c r="AO15" s="13" t="n">
        <v>1398.41</v>
      </c>
      <c r="AP15" s="13" t="n">
        <v>1402.13</v>
      </c>
      <c r="AQ15" s="13" t="n">
        <v>1405.82</v>
      </c>
      <c r="AR15" s="13" t="n">
        <v>1410.96</v>
      </c>
      <c r="AS15" s="13" t="n">
        <v>1415.85</v>
      </c>
      <c r="AT15" s="13" t="n">
        <v>1416.73</v>
      </c>
      <c r="AU15" s="13" t="n">
        <v>1414.9</v>
      </c>
      <c r="AV15" s="13" t="n">
        <v>1412.45</v>
      </c>
      <c r="AW15" s="13" t="n">
        <v>1415.49</v>
      </c>
      <c r="AX15" s="13" t="n">
        <v>1418.23</v>
      </c>
      <c r="AY15" s="13" t="n">
        <v>1421.74</v>
      </c>
      <c r="AZ15" s="13" t="n">
        <v>1426.19</v>
      </c>
      <c r="BA15" s="13" t="n">
        <v>1426.78</v>
      </c>
      <c r="BB15" s="13" t="n">
        <v>1426.28</v>
      </c>
      <c r="BC15" s="13" t="n">
        <v>1402.48</v>
      </c>
      <c r="BD15" s="13" t="n">
        <v>1425.94</v>
      </c>
      <c r="BE15" s="13" t="n">
        <v>1429.62</v>
      </c>
      <c r="BF15" s="13" t="n">
        <v>1427.4</v>
      </c>
      <c r="BG15" s="13" t="n">
        <v>1427.4</v>
      </c>
      <c r="BH15" s="13" t="n">
        <v>1427.4</v>
      </c>
      <c r="BI15" s="13" t="n">
        <v>1415.35</v>
      </c>
      <c r="BJ15" s="13" t="n">
        <v>1410.52</v>
      </c>
      <c r="BK15" s="13" t="n">
        <v>1410.52</v>
      </c>
      <c r="BL15" s="13" t="n">
        <v>1410.52</v>
      </c>
      <c r="BM15" s="13" t="n">
        <v>1410.52</v>
      </c>
      <c r="BN15" s="13" t="n">
        <v>1412.69</v>
      </c>
      <c r="BO15" s="13" t="n">
        <v>1419.31</v>
      </c>
      <c r="BP15" s="13" t="n">
        <v>1419.31</v>
      </c>
      <c r="BQ15" s="13" t="n">
        <v>1421.58</v>
      </c>
      <c r="BR15" s="13" t="n">
        <v>1429.48</v>
      </c>
      <c r="BS15" s="13" t="n">
        <v>1429.48</v>
      </c>
      <c r="BT15" s="13" t="n">
        <v>1429.48</v>
      </c>
      <c r="BU15" s="13" t="n">
        <v>1429.48</v>
      </c>
      <c r="BV15" s="13" t="n">
        <v>1429.48</v>
      </c>
      <c r="BW15" s="13" t="n">
        <v>1429.48</v>
      </c>
      <c r="BX15" s="13" t="n">
        <v>1429.48</v>
      </c>
      <c r="BY15" s="13" t="n">
        <v>1429.48</v>
      </c>
      <c r="BZ15" s="13" t="n">
        <v>1429.48</v>
      </c>
      <c r="CA15" s="13" t="n">
        <v>1429.48</v>
      </c>
      <c r="CB15" s="13" t="n">
        <v>1429.48</v>
      </c>
      <c r="CC15" s="13" t="n">
        <v>1429.48</v>
      </c>
      <c r="CD15" s="13" t="n">
        <v>1429.48</v>
      </c>
      <c r="CE15" s="13" t="n">
        <v>1429.48</v>
      </c>
      <c r="CF15" s="13" t="n">
        <v>1429.48</v>
      </c>
      <c r="CG15" s="13" t="n">
        <v>1429.48</v>
      </c>
      <c r="CH15" s="13" t="n">
        <v>1429.48</v>
      </c>
      <c r="CI15" s="13" t="n">
        <v>1429.48</v>
      </c>
      <c r="CJ15" s="13" t="n">
        <v>1429.48</v>
      </c>
      <c r="CK15" s="13" t="n">
        <v>1429.48</v>
      </c>
      <c r="CL15" s="13" t="n">
        <v>1429.48</v>
      </c>
      <c r="CM15" s="13" t="n">
        <v>1429.48</v>
      </c>
      <c r="CN15" s="13" t="n">
        <v>1429.48</v>
      </c>
      <c r="CO15" s="13" t="n">
        <v>1429.48</v>
      </c>
      <c r="CP15" s="13" t="n">
        <v>1429.48</v>
      </c>
      <c r="CQ15" s="13" t="n">
        <v>1429.48</v>
      </c>
      <c r="CR15" s="13" t="n">
        <v>1429.48</v>
      </c>
      <c r="CS15" s="13" t="n">
        <v>1429.48</v>
      </c>
      <c r="CT15" s="13" t="n">
        <v>1429.48</v>
      </c>
      <c r="CU15" s="13" t="n">
        <v>1429.48</v>
      </c>
      <c r="CV15" s="13" t="n">
        <v>1429.48</v>
      </c>
      <c r="CW15" s="13" t="n">
        <v>1429.48</v>
      </c>
      <c r="CX15" s="13" t="n">
        <v>1429.48</v>
      </c>
      <c r="CY15" s="13" t="n">
        <v>1429.48</v>
      </c>
      <c r="CZ15" s="13" t="n">
        <v>1429.48</v>
      </c>
      <c r="DA15" s="13" t="n">
        <v>1429.48</v>
      </c>
      <c r="DB15" s="13" t="n">
        <v>1429.48</v>
      </c>
      <c r="DC15" s="13" t="n">
        <v>1429.48</v>
      </c>
      <c r="DD15" s="13" t="n">
        <v>1429.48</v>
      </c>
      <c r="DE15" s="13" t="n">
        <v>1429.48</v>
      </c>
      <c r="DF15" s="13" t="n">
        <v>1429.48</v>
      </c>
      <c r="DG15" s="13" t="n">
        <v>1429.48</v>
      </c>
      <c r="DH15" s="13" t="n">
        <v>1429.48</v>
      </c>
      <c r="DI15" s="13" t="n">
        <v>1429.48</v>
      </c>
      <c r="DJ15" s="13" t="n">
        <v>1429.48</v>
      </c>
      <c r="DK15" s="13" t="n">
        <v>1429.48</v>
      </c>
      <c r="DL15" s="13" t="n">
        <v>1429.48</v>
      </c>
      <c r="DM15" s="13" t="n">
        <v>1429.48</v>
      </c>
      <c r="DN15" s="13" t="n">
        <v>1429.48</v>
      </c>
      <c r="DO15" s="13" t="n">
        <v>1429.48</v>
      </c>
      <c r="DP15" s="13" t="n">
        <v>1429.48</v>
      </c>
      <c r="DQ15" s="13" t="n">
        <v>1429.48</v>
      </c>
      <c r="DR15" s="13" t="n">
        <v>1429.48</v>
      </c>
      <c r="DS15" s="13" t="n">
        <v>1429.48</v>
      </c>
      <c r="DT15" s="13" t="n">
        <v>1429.48</v>
      </c>
      <c r="DU15" s="13" t="n">
        <v>1429.48</v>
      </c>
      <c r="DV15" s="13" t="n">
        <v>1429.48</v>
      </c>
      <c r="DW15" s="13" t="n">
        <v>1429.48</v>
      </c>
      <c r="DX15" s="13" t="n">
        <v>1429.48</v>
      </c>
      <c r="DY15" s="13" t="n">
        <v>1429.48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</v>
      </c>
      <c r="AA16" s="18" t="n">
        <v>144245.2</v>
      </c>
      <c r="AB16" s="18" t="n">
        <v>144844</v>
      </c>
      <c r="AC16" s="18" t="n">
        <v>155537.7</v>
      </c>
      <c r="AD16" s="18" t="n">
        <v>156835.1</v>
      </c>
      <c r="AE16" s="18" t="n">
        <v>159018.5</v>
      </c>
      <c r="AF16" s="18" t="n">
        <v>162693.6</v>
      </c>
      <c r="AG16" s="18" t="n">
        <v>161655.2</v>
      </c>
      <c r="AH16" s="18" t="n">
        <v>162421.9</v>
      </c>
      <c r="AI16" s="18" t="n">
        <v>178571.6</v>
      </c>
      <c r="AJ16" s="18" t="n">
        <v>253765.6</v>
      </c>
      <c r="AK16" s="18" t="n">
        <v>312360.8</v>
      </c>
      <c r="AL16" s="18" t="n">
        <v>338131.1</v>
      </c>
      <c r="AM16" s="18" t="n">
        <v>392567.5</v>
      </c>
      <c r="AN16" s="18" t="n">
        <v>363434.2</v>
      </c>
      <c r="AO16" s="18" t="n">
        <v>332847.7</v>
      </c>
      <c r="AP16" s="18" t="n">
        <v>323118.7</v>
      </c>
      <c r="AQ16" s="18" t="n">
        <v>310480</v>
      </c>
      <c r="AR16" s="18" t="n">
        <v>289718.7</v>
      </c>
      <c r="AS16" s="18" t="n">
        <v>281756.6</v>
      </c>
      <c r="AT16" s="18" t="n">
        <v>238009</v>
      </c>
      <c r="AU16" s="18" t="n">
        <v>203286.5</v>
      </c>
      <c r="AV16" s="18" t="n">
        <v>183343.6</v>
      </c>
      <c r="AW16" s="18" t="n">
        <v>129626.7</v>
      </c>
      <c r="AX16" s="18" t="n">
        <v>103557</v>
      </c>
      <c r="AY16" s="18" t="n">
        <v>84322.60000000001</v>
      </c>
      <c r="AZ16" s="18" t="n">
        <v>53203.1</v>
      </c>
      <c r="BA16" s="18" t="n">
        <v>50326.6</v>
      </c>
      <c r="BB16" s="18" t="n">
        <v>42956.9</v>
      </c>
      <c r="BC16" s="18" t="n">
        <v>21392.4</v>
      </c>
      <c r="BD16" s="18" t="n">
        <v>18533.6</v>
      </c>
      <c r="BE16" s="18" t="n">
        <v>17226.1</v>
      </c>
      <c r="BF16" s="18" t="n">
        <v>15960</v>
      </c>
      <c r="BG16" s="18" t="n">
        <v>15960</v>
      </c>
      <c r="BH16" s="18" t="n">
        <v>15786.5</v>
      </c>
      <c r="BI16" s="18" t="n">
        <v>10824.6</v>
      </c>
      <c r="BJ16" s="18" t="n">
        <v>9706.6</v>
      </c>
      <c r="BK16" s="18" t="n">
        <v>9706.6</v>
      </c>
      <c r="BL16" s="18" t="n">
        <v>9495.6</v>
      </c>
      <c r="BM16" s="18" t="n">
        <v>9601.1</v>
      </c>
      <c r="BN16" s="18" t="n">
        <v>8428.5</v>
      </c>
      <c r="BO16" s="18" t="n">
        <v>6032</v>
      </c>
      <c r="BP16" s="18" t="n">
        <v>5900.9</v>
      </c>
      <c r="BQ16" s="18" t="n">
        <v>2538</v>
      </c>
      <c r="BR16" s="18" t="n">
        <v>861.2</v>
      </c>
      <c r="BS16" s="18" t="n">
        <v>861.2</v>
      </c>
      <c r="BT16" s="18" t="n">
        <v>842.5</v>
      </c>
      <c r="BU16" s="18" t="n">
        <v>851.9</v>
      </c>
      <c r="BV16" s="18" t="n">
        <v>861.2</v>
      </c>
      <c r="BW16" s="18" t="n">
        <v>861.2</v>
      </c>
      <c r="BX16" s="18" t="n">
        <v>851.9</v>
      </c>
      <c r="BY16" s="18" t="n">
        <v>851.9</v>
      </c>
      <c r="BZ16" s="18" t="n">
        <v>861.2</v>
      </c>
      <c r="CA16" s="18" t="n">
        <v>861.2</v>
      </c>
      <c r="CB16" s="18" t="n">
        <v>842.5</v>
      </c>
      <c r="CC16" s="18" t="n">
        <v>851.9</v>
      </c>
      <c r="CD16" s="18" t="n">
        <v>861.2</v>
      </c>
      <c r="CE16" s="18" t="n">
        <v>861.2</v>
      </c>
      <c r="CF16" s="18" t="n">
        <v>842.5</v>
      </c>
      <c r="CG16" s="18" t="n">
        <v>851.9</v>
      </c>
      <c r="CH16" s="18" t="n">
        <v>861.2</v>
      </c>
      <c r="CI16" s="18" t="n">
        <v>861.2</v>
      </c>
      <c r="CJ16" s="18" t="n">
        <v>842.5</v>
      </c>
      <c r="CK16" s="18" t="n">
        <v>851.9</v>
      </c>
      <c r="CL16" s="18" t="n">
        <v>861.2</v>
      </c>
      <c r="CM16" s="18" t="n">
        <v>861.2</v>
      </c>
      <c r="CN16" s="18" t="n">
        <v>851.9</v>
      </c>
      <c r="CO16" s="18" t="n">
        <v>851.9</v>
      </c>
      <c r="CP16" s="18" t="n">
        <v>861.2</v>
      </c>
      <c r="CQ16" s="18" t="n">
        <v>861.2</v>
      </c>
      <c r="CR16" s="18" t="n">
        <v>842.5</v>
      </c>
      <c r="CS16" s="18" t="n">
        <v>851.9</v>
      </c>
      <c r="CT16" s="18" t="n">
        <v>861.2</v>
      </c>
      <c r="CU16" s="18" t="n">
        <v>861.2</v>
      </c>
      <c r="CV16" s="18" t="n">
        <v>842.5</v>
      </c>
      <c r="CW16" s="18" t="n">
        <v>851.9</v>
      </c>
      <c r="CX16" s="18" t="n">
        <v>861.2</v>
      </c>
      <c r="CY16" s="18" t="n">
        <v>861.2</v>
      </c>
      <c r="CZ16" s="18" t="n">
        <v>842.5</v>
      </c>
      <c r="DA16" s="18" t="n">
        <v>851.9</v>
      </c>
      <c r="DB16" s="18" t="n">
        <v>861.2</v>
      </c>
      <c r="DC16" s="18" t="n">
        <v>861.2</v>
      </c>
      <c r="DD16" s="18" t="n">
        <v>851.9</v>
      </c>
      <c r="DE16" s="18" t="n">
        <v>851.9</v>
      </c>
      <c r="DF16" s="18" t="n">
        <v>861.2</v>
      </c>
      <c r="DG16" s="18" t="n">
        <v>861.2</v>
      </c>
      <c r="DH16" s="18" t="n">
        <v>842.5</v>
      </c>
      <c r="DI16" s="18" t="n">
        <v>851.9</v>
      </c>
      <c r="DJ16" s="18" t="n">
        <v>861.2</v>
      </c>
      <c r="DK16" s="18" t="n">
        <v>861.2</v>
      </c>
      <c r="DL16" s="18" t="n">
        <v>842.5</v>
      </c>
      <c r="DM16" s="18" t="n">
        <v>851.9</v>
      </c>
      <c r="DN16" s="18" t="n">
        <v>861.2</v>
      </c>
      <c r="DO16" s="18" t="n">
        <v>861.2</v>
      </c>
      <c r="DP16" s="18" t="n">
        <v>842.5</v>
      </c>
      <c r="DQ16" s="18" t="n">
        <v>851.9</v>
      </c>
      <c r="DR16" s="18" t="n">
        <v>861.2</v>
      </c>
      <c r="DS16" s="18" t="n">
        <v>861.2</v>
      </c>
      <c r="DT16" s="18" t="n">
        <v>851.9</v>
      </c>
      <c r="DU16" s="18" t="n">
        <v>851.9</v>
      </c>
      <c r="DV16" s="18" t="n">
        <v>861.2</v>
      </c>
      <c r="DW16" s="18" t="n">
        <v>861.2</v>
      </c>
      <c r="DX16" s="18" t="n">
        <v>842.5</v>
      </c>
      <c r="DY16" s="18" t="n">
        <v>571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456348</v>
      </c>
      <c r="EF16" s="18" t="n">
        <v>616235.3</v>
      </c>
      <c r="EG16" s="18" t="n">
        <v>665342.3</v>
      </c>
      <c r="EH16" s="18" t="n">
        <v>1296825</v>
      </c>
      <c r="EI16" s="18" t="n">
        <v>1329880.6</v>
      </c>
      <c r="EJ16" s="18" t="n">
        <v>1012770.8</v>
      </c>
      <c r="EK16" s="18" t="n">
        <v>500849.9</v>
      </c>
      <c r="EL16" s="18" t="n">
        <v>167879</v>
      </c>
      <c r="EM16" s="18" t="n">
        <v>67679.7</v>
      </c>
      <c r="EN16" s="18" t="n">
        <v>46024.3</v>
      </c>
      <c r="EO16" s="18" t="n">
        <v>33557.2</v>
      </c>
      <c r="EP16" s="18" t="n">
        <v>10161.3</v>
      </c>
      <c r="EQ16" s="18" t="n">
        <v>3416.8</v>
      </c>
      <c r="ER16" s="18" t="n">
        <v>3426.2</v>
      </c>
      <c r="ES16" s="18" t="n">
        <v>3416.8</v>
      </c>
      <c r="ET16" s="18" t="n">
        <v>3416.8</v>
      </c>
      <c r="EU16" s="18" t="n">
        <v>3416.8</v>
      </c>
      <c r="EV16" s="18" t="n">
        <v>3426.2</v>
      </c>
      <c r="EW16" s="18" t="n">
        <v>3416.8</v>
      </c>
      <c r="EX16" s="18" t="n">
        <v>3416.8</v>
      </c>
      <c r="EY16" s="18" t="n">
        <v>3416.8</v>
      </c>
      <c r="EZ16" s="18" t="n">
        <v>3426.2</v>
      </c>
      <c r="FA16" s="18" t="n">
        <v>3416.8</v>
      </c>
      <c r="FB16" s="18" t="n">
        <v>3416.8</v>
      </c>
      <c r="FC16" s="18" t="n">
        <v>3416.8</v>
      </c>
      <c r="FD16" s="18" t="n">
        <v>3426.2</v>
      </c>
      <c r="FE16" s="18" t="n">
        <v>1413.5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161226</v>
      </c>
      <c r="AN17" s="18" t="n">
        <v>157481.4</v>
      </c>
      <c r="AO17" s="18" t="n">
        <v>159231.2</v>
      </c>
      <c r="AP17" s="18" t="n">
        <v>160981</v>
      </c>
      <c r="AQ17" s="18" t="n">
        <v>160981</v>
      </c>
      <c r="AR17" s="18" t="n">
        <v>159231.2</v>
      </c>
      <c r="AS17" s="18" t="n">
        <v>159231.2</v>
      </c>
      <c r="AT17" s="18" t="n">
        <v>124641.3</v>
      </c>
      <c r="AU17" s="18" t="n">
        <v>100258.2</v>
      </c>
      <c r="AV17" s="18" t="n">
        <v>82555.10000000001</v>
      </c>
      <c r="AW17" s="18" t="n">
        <v>40699.9</v>
      </c>
      <c r="AX17" s="18" t="n">
        <v>19880.3</v>
      </c>
      <c r="AY17" s="18" t="n">
        <v>6698.8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401949.6</v>
      </c>
      <c r="EI17" s="18" t="n">
        <v>638674.6</v>
      </c>
      <c r="EJ17" s="18" t="n">
        <v>543361.9</v>
      </c>
      <c r="EK17" s="18" t="n">
        <v>149834.1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96616.89999999999</v>
      </c>
      <c r="AN18" s="18" t="n">
        <v>94374.5</v>
      </c>
      <c r="AO18" s="18" t="n">
        <v>95423.10000000001</v>
      </c>
      <c r="AP18" s="18" t="n">
        <v>96471.7</v>
      </c>
      <c r="AQ18" s="18" t="n">
        <v>96471.7</v>
      </c>
      <c r="AR18" s="18" t="n">
        <v>95423.10000000001</v>
      </c>
      <c r="AS18" s="18" t="n">
        <v>95423.10000000001</v>
      </c>
      <c r="AT18" s="18" t="n">
        <v>60132</v>
      </c>
      <c r="AU18" s="18" t="n">
        <v>35748.9</v>
      </c>
      <c r="AV18" s="18" t="n">
        <v>19448.1</v>
      </c>
      <c r="AW18" s="18" t="n">
        <v>19664.2</v>
      </c>
      <c r="AX18" s="18" t="n">
        <v>19880.3</v>
      </c>
      <c r="AY18" s="18" t="n">
        <v>6698.8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64609.1</v>
      </c>
      <c r="AN19" s="18" t="n">
        <v>63106.9</v>
      </c>
      <c r="AO19" s="18" t="n">
        <v>63808.1</v>
      </c>
      <c r="AP19" s="18" t="n">
        <v>64509.3</v>
      </c>
      <c r="AQ19" s="18" t="n">
        <v>64509.3</v>
      </c>
      <c r="AR19" s="18" t="n">
        <v>63808.1</v>
      </c>
      <c r="AS19" s="18" t="n">
        <v>63808.1</v>
      </c>
      <c r="AT19" s="18" t="n">
        <v>64509.3</v>
      </c>
      <c r="AU19" s="18" t="n">
        <v>64509.3</v>
      </c>
      <c r="AV19" s="18" t="n">
        <v>63106.9</v>
      </c>
      <c r="AW19" s="18" t="n">
        <v>21035.6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0.15</v>
      </c>
      <c r="AJ20" s="21" t="n">
        <v>0.15</v>
      </c>
      <c r="AK20" s="21" t="n">
        <v>0.15</v>
      </c>
      <c r="AL20" s="21" t="n">
        <v>0.15</v>
      </c>
      <c r="AM20" s="21" t="n">
        <v>0.15</v>
      </c>
      <c r="AN20" s="21" t="n">
        <v>0.15</v>
      </c>
      <c r="AO20" s="21" t="n">
        <v>0.15</v>
      </c>
      <c r="AP20" s="21" t="n">
        <v>0.15</v>
      </c>
      <c r="AQ20" s="21" t="n">
        <v>0.15</v>
      </c>
      <c r="AR20" s="21" t="n">
        <v>0.15</v>
      </c>
      <c r="AS20" s="21" t="n">
        <v>0.15</v>
      </c>
      <c r="AT20" s="21" t="n">
        <v>0.15</v>
      </c>
      <c r="AU20" s="21" t="n">
        <v>0.15</v>
      </c>
      <c r="AV20" s="21" t="n">
        <v>0.15</v>
      </c>
      <c r="AW20" s="21" t="n">
        <v>0.15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+ 0</t>
        </is>
      </c>
    </row>
    <row r="23">
      <c r="A23" s="12" t="inlineStr">
        <is>
          <t>헤지비율</t>
        </is>
      </c>
      <c r="D23" s="21">
        <f>변수!$D$58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원/달러(평균)",환율,MATCH(AM$1,변수H,0),0),1351.18)</f>
        <v/>
      </c>
      <c r="AN25" s="13">
        <f>IFERROR(VLOOKUP(" 원/달러(평균)",환율,MATCH(AN$1,변수H,0),0),1343.98)</f>
        <v/>
      </c>
      <c r="AO25" s="13">
        <f>IFERROR(VLOOKUP(" 원/달러(평균)",환율,MATCH(AO$1,변수H,0),0),1343.98)</f>
        <v/>
      </c>
      <c r="AP25" s="13">
        <f>IFERROR(VLOOKUP(" 원/달러(평균)",환율,MATCH(AP$1,변수H,0),0),1343.98)</f>
        <v/>
      </c>
      <c r="AQ25" s="13">
        <f>IFERROR(VLOOKUP(" 원/달러(평균)",환율,MATCH(AQ$1,변수H,0),0),1343.98)</f>
        <v/>
      </c>
      <c r="AR25" s="13">
        <f>IFERROR(VLOOKUP(" 원/달러(평균)",환율,MATCH(AR$1,변수H,0),0),1343.98)</f>
        <v/>
      </c>
      <c r="AS25" s="13">
        <f>IFERROR(VLOOKUP(" 원/달러(평균)",환율,MATCH(AS$1,변수H,0),0),1343.98)</f>
        <v/>
      </c>
      <c r="AT25" s="13">
        <f>IFERROR(VLOOKUP(" 원/달러(평균)",환율,MATCH(AT$1,변수H,0),0),1343.98)</f>
        <v/>
      </c>
      <c r="AU25" s="13">
        <f>IFERROR(VLOOKUP(" 원/달러(평균)",환율,MATCH(AU$1,변수H,0),0),1343.98)</f>
        <v/>
      </c>
      <c r="AV25" s="13">
        <f>IFERROR(VLOOKUP(" 원/달러(평균)",환율,MATCH(AV$1,변수H,0),0),1343.98)</f>
        <v/>
      </c>
      <c r="AW25" s="13">
        <f>IFERROR(VLOOKUP(" 원/달러(평균)",환율,MATCH(AW$1,변수H,0),0),1343.98)</f>
        <v/>
      </c>
      <c r="AX25" s="13">
        <f>IFERROR(VLOOKUP(" 원/달러(평균)",환율,MATCH(AX$1,변수H,0),0),1343.98)</f>
        <v/>
      </c>
      <c r="AY25" s="13">
        <f>IFERROR(VLOOKUP(" 원/달러(평균)",환율,MATCH(AY$1,변수H,0),0),1343.98)</f>
        <v/>
      </c>
      <c r="AZ25" s="13">
        <f>IFERROR(VLOOKUP(" 원/달러(평균)",환율,MATCH(AZ$1,변수H,0),0),1343.98)</f>
        <v/>
      </c>
      <c r="BA25" s="13">
        <f>IFERROR(VLOOKUP(" 원/달러(평균)",환율,MATCH(BA$1,변수H,0),0),1343.98)</f>
        <v/>
      </c>
      <c r="BB25" s="13">
        <f>IFERROR(VLOOKUP(" 원/달러(평균)",환율,MATCH(BB$1,변수H,0),0),1343.98)</f>
        <v/>
      </c>
      <c r="BC25" s="13">
        <f>IFERROR(VLOOKUP(" 원/달러(평균)",환율,MATCH(BC$1,변수H,0),0),1343.98)</f>
        <v/>
      </c>
      <c r="BD25" s="13">
        <f>IFERROR(VLOOKUP(" 원/달러(평균)",환율,MATCH(BD$1,변수H,0),0),1343.98)</f>
        <v/>
      </c>
      <c r="BE25" s="13">
        <f>IFERROR(VLOOKUP(" 원/달러(평균)",환율,MATCH(BE$1,변수H,0),0),1343.98)</f>
        <v/>
      </c>
      <c r="BF25" s="13">
        <f>IFERROR(VLOOKUP(" 원/달러(평균)",환율,MATCH(BF$1,변수H,0),0),1343.98)</f>
        <v/>
      </c>
      <c r="BG25" s="13">
        <f>IFERROR(VLOOKUP(" 원/달러(평균)",환율,MATCH(BG$1,변수H,0),0),1343.98)</f>
        <v/>
      </c>
      <c r="BH25" s="13">
        <f>IFERROR(VLOOKUP(" 원/달러(평균)",환율,MATCH(BH$1,변수H,0),0),1343.98)</f>
        <v/>
      </c>
      <c r="BI25" s="13">
        <f>IFERROR(VLOOKUP(" 원/달러(평균)",환율,MATCH(BI$1,변수H,0),0),1343.98)</f>
        <v/>
      </c>
      <c r="BJ25" s="13">
        <f>IFERROR(VLOOKUP(" 원/달러(평균)",환율,MATCH(BJ$1,변수H,0),0),1343.98)</f>
        <v/>
      </c>
      <c r="BK25" s="13">
        <f>IFERROR(VLOOKUP(" 원/달러(평균)",환율,MATCH(BK$1,변수H,0),0),1343.98)</f>
        <v/>
      </c>
      <c r="BL25" s="13">
        <f>IFERROR(VLOOKUP(" 원/달러(평균)",환율,MATCH(BL$1,변수H,0),0),1343.98)</f>
        <v/>
      </c>
      <c r="BM25" s="13">
        <f>IFERROR(VLOOKUP(" 원/달러(평균)",환율,MATCH(BM$1,변수H,0),0),1343.98)</f>
        <v/>
      </c>
      <c r="BN25" s="13">
        <f>IFERROR(VLOOKUP(" 원/달러(평균)",환율,MATCH(BN$1,변수H,0),0),1343.98)</f>
        <v/>
      </c>
      <c r="BO25" s="13">
        <f>IFERROR(VLOOKUP(" 원/달러(평균)",환율,MATCH(BO$1,변수H,0),0),1343.98)</f>
        <v/>
      </c>
      <c r="BP25" s="13">
        <f>IFERROR(VLOOKUP(" 원/달러(평균)",환율,MATCH(BP$1,변수H,0),0),1343.98)</f>
        <v/>
      </c>
      <c r="BQ25" s="13">
        <f>IFERROR(VLOOKUP(" 원/달러(평균)",환율,MATCH(BQ$1,변수H,0),0),1343.98)</f>
        <v/>
      </c>
      <c r="BR25" s="13">
        <f>IFERROR(VLOOKUP(" 원/달러(평균)",환율,MATCH(BR$1,변수H,0),0),1343.98)</f>
        <v/>
      </c>
      <c r="BS25" s="13">
        <f>IFERROR(VLOOKUP(" 원/달러(평균)",환율,MATCH(BS$1,변수H,0),0),1343.98)</f>
        <v/>
      </c>
      <c r="BT25" s="13">
        <f>IFERROR(VLOOKUP(" 원/달러(평균)",환율,MATCH(BT$1,변수H,0),0),1343.98)</f>
        <v/>
      </c>
      <c r="BU25" s="13">
        <f>IFERROR(VLOOKUP(" 원/달러(평균)",환율,MATCH(BU$1,변수H,0),0),1343.98)</f>
        <v/>
      </c>
      <c r="BV25" s="13">
        <f>IFERROR(VLOOKUP(" 원/달러(평균)",환율,MATCH(BV$1,변수H,0),0),1343.98)</f>
        <v/>
      </c>
      <c r="BW25" s="13">
        <f>IFERROR(VLOOKUP(" 원/달러(평균)",환율,MATCH(BW$1,변수H,0),0),1343.98)</f>
        <v/>
      </c>
      <c r="BX25" s="13">
        <f>IFERROR(VLOOKUP(" 원/달러(평균)",환율,MATCH(BX$1,변수H,0),0),1343.98)</f>
        <v/>
      </c>
      <c r="BY25" s="13">
        <f>IFERROR(VLOOKUP(" 원/달러(평균)",환율,MATCH(BY$1,변수H,0),0),1343.98)</f>
        <v/>
      </c>
      <c r="BZ25" s="13">
        <f>IFERROR(VLOOKUP(" 원/달러(평균)",환율,MATCH(BZ$1,변수H,0),0),1343.98)</f>
        <v/>
      </c>
      <c r="CA25" s="13">
        <f>IFERROR(VLOOKUP(" 원/달러(평균)",환율,MATCH(CA$1,변수H,0),0),1343.98)</f>
        <v/>
      </c>
      <c r="CB25" s="13">
        <f>IFERROR(VLOOKUP(" 원/달러(평균)",환율,MATCH(CB$1,변수H,0),0),1343.98)</f>
        <v/>
      </c>
      <c r="CC25" s="13">
        <f>IFERROR(VLOOKUP(" 원/달러(평균)",환율,MATCH(CC$1,변수H,0),0),1343.98)</f>
        <v/>
      </c>
      <c r="CD25" s="13">
        <f>IFERROR(VLOOKUP(" 원/달러(평균)",환율,MATCH(CD$1,변수H,0),0),1343.98)</f>
        <v/>
      </c>
      <c r="CE25" s="13">
        <f>IFERROR(VLOOKUP(" 원/달러(평균)",환율,MATCH(CE$1,변수H,0),0),1343.98)</f>
        <v/>
      </c>
      <c r="CF25" s="13">
        <f>IFERROR(VLOOKUP(" 원/달러(평균)",환율,MATCH(CF$1,변수H,0),0),1343.98)</f>
        <v/>
      </c>
      <c r="CG25" s="13">
        <f>IFERROR(VLOOKUP(" 원/달러(평균)",환율,MATCH(CG$1,변수H,0),0),1343.98)</f>
        <v/>
      </c>
      <c r="CH25" s="13">
        <f>IFERROR(VLOOKUP(" 원/달러(평균)",환율,MATCH(CH$1,변수H,0),0),1343.98)</f>
        <v/>
      </c>
      <c r="CI25" s="13">
        <f>IFERROR(VLOOKUP(" 원/달러(평균)",환율,MATCH(CI$1,변수H,0),0),1343.98)</f>
        <v/>
      </c>
      <c r="CJ25" s="13">
        <f>IFERROR(VLOOKUP(" 원/달러(평균)",환율,MATCH(CJ$1,변수H,0),0),1343.98)</f>
        <v/>
      </c>
      <c r="CK25" s="13">
        <f>IFERROR(VLOOKUP(" 원/달러(평균)",환율,MATCH(CK$1,변수H,0),0),1343.98)</f>
        <v/>
      </c>
      <c r="CL25" s="13">
        <f>IFERROR(VLOOKUP(" 원/달러(평균)",환율,MATCH(CL$1,변수H,0),0),1343.98)</f>
        <v/>
      </c>
      <c r="CM25" s="13">
        <f>IFERROR(VLOOKUP(" 원/달러(평균)",환율,MATCH(CM$1,변수H,0),0),1343.98)</f>
        <v/>
      </c>
      <c r="CN25" s="13">
        <f>IFERROR(VLOOKUP(" 원/달러(평균)",환율,MATCH(CN$1,변수H,0),0),1343.98)</f>
        <v/>
      </c>
      <c r="CO25" s="13">
        <f>IFERROR(VLOOKUP(" 원/달러(평균)",환율,MATCH(CO$1,변수H,0),0),1343.98)</f>
        <v/>
      </c>
      <c r="CP25" s="13">
        <f>IFERROR(VLOOKUP(" 원/달러(평균)",환율,MATCH(CP$1,변수H,0),0),1343.98)</f>
        <v/>
      </c>
      <c r="CQ25" s="13">
        <f>IFERROR(VLOOKUP(" 원/달러(평균)",환율,MATCH(CQ$1,변수H,0),0),1343.98)</f>
        <v/>
      </c>
      <c r="CR25" s="13">
        <f>IFERROR(VLOOKUP(" 원/달러(평균)",환율,MATCH(CR$1,변수H,0),0),1343.98)</f>
        <v/>
      </c>
      <c r="CS25" s="13">
        <f>IFERROR(VLOOKUP(" 원/달러(평균)",환율,MATCH(CS$1,변수H,0),0),1343.98)</f>
        <v/>
      </c>
      <c r="CT25" s="13">
        <f>IFERROR(VLOOKUP(" 원/달러(평균)",환율,MATCH(CT$1,변수H,0),0),1343.98)</f>
        <v/>
      </c>
      <c r="CU25" s="13">
        <f>IFERROR(VLOOKUP(" 원/달러(평균)",환율,MATCH(CU$1,변수H,0),0),1343.98)</f>
        <v/>
      </c>
      <c r="CV25" s="13">
        <f>IFERROR(VLOOKUP(" 원/달러(평균)",환율,MATCH(CV$1,변수H,0),0),1343.98)</f>
        <v/>
      </c>
      <c r="CW25" s="13">
        <f>IFERROR(VLOOKUP(" 원/달러(평균)",환율,MATCH(CW$1,변수H,0),0),1343.98)</f>
        <v/>
      </c>
      <c r="CX25" s="13">
        <f>IFERROR(VLOOKUP(" 원/달러(평균)",환율,MATCH(CX$1,변수H,0),0),1343.98)</f>
        <v/>
      </c>
      <c r="CY25" s="13">
        <f>IFERROR(VLOOKUP(" 원/달러(평균)",환율,MATCH(CY$1,변수H,0),0),1343.98)</f>
        <v/>
      </c>
      <c r="CZ25" s="13">
        <f>IFERROR(VLOOKUP(" 원/달러(평균)",환율,MATCH(CZ$1,변수H,0),0),1343.98)</f>
        <v/>
      </c>
      <c r="DA25" s="13">
        <f>IFERROR(VLOOKUP(" 원/달러(평균)",환율,MATCH(DA$1,변수H,0),0),1343.98)</f>
        <v/>
      </c>
      <c r="DB25" s="13">
        <f>IFERROR(VLOOKUP(" 원/달러(평균)",환율,MATCH(DB$1,변수H,0),0),1343.98)</f>
        <v/>
      </c>
      <c r="DC25" s="13">
        <f>IFERROR(VLOOKUP(" 원/달러(평균)",환율,MATCH(DC$1,변수H,0),0),1343.98)</f>
        <v/>
      </c>
      <c r="DD25" s="13">
        <f>IFERROR(VLOOKUP(" 원/달러(평균)",환율,MATCH(DD$1,변수H,0),0),1343.98)</f>
        <v/>
      </c>
      <c r="DE25" s="13">
        <f>IFERROR(VLOOKUP(" 원/달러(평균)",환율,MATCH(DE$1,변수H,0),0),1343.98)</f>
        <v/>
      </c>
      <c r="DF25" s="13">
        <f>IFERROR(VLOOKUP(" 원/달러(평균)",환율,MATCH(DF$1,변수H,0),0),1343.98)</f>
        <v/>
      </c>
      <c r="DG25" s="13">
        <f>IFERROR(VLOOKUP(" 원/달러(평균)",환율,MATCH(DG$1,변수H,0),0),1343.98)</f>
        <v/>
      </c>
      <c r="DH25" s="13">
        <f>IFERROR(VLOOKUP(" 원/달러(평균)",환율,MATCH(DH$1,변수H,0),0),1343.98)</f>
        <v/>
      </c>
      <c r="DI25" s="13">
        <f>IFERROR(VLOOKUP(" 원/달러(평균)",환율,MATCH(DI$1,변수H,0),0),1343.98)</f>
        <v/>
      </c>
      <c r="DJ25" s="13">
        <f>IFERROR(VLOOKUP(" 원/달러(평균)",환율,MATCH(DJ$1,변수H,0),0),1343.98)</f>
        <v/>
      </c>
      <c r="DK25" s="13">
        <f>IFERROR(VLOOKUP(" 원/달러(평균)",환율,MATCH(DK$1,변수H,0),0),1343.98)</f>
        <v/>
      </c>
      <c r="DL25" s="13">
        <f>IFERROR(VLOOKUP(" 원/달러(평균)",환율,MATCH(DL$1,변수H,0),0),1343.98)</f>
        <v/>
      </c>
      <c r="DM25" s="13">
        <f>IFERROR(VLOOKUP(" 원/달러(평균)",환율,MATCH(DM$1,변수H,0),0),1343.98)</f>
        <v/>
      </c>
      <c r="DN25" s="13">
        <f>IFERROR(VLOOKUP(" 원/달러(평균)",환율,MATCH(DN$1,변수H,0),0),1343.98)</f>
        <v/>
      </c>
      <c r="DO25" s="13">
        <f>IFERROR(VLOOKUP(" 원/달러(평균)",환율,MATCH(DO$1,변수H,0),0),1343.98)</f>
        <v/>
      </c>
      <c r="DP25" s="13">
        <f>IFERROR(VLOOKUP(" 원/달러(평균)",환율,MATCH(DP$1,변수H,0),0),1343.98)</f>
        <v/>
      </c>
      <c r="DQ25" s="13">
        <f>IFERROR(VLOOKUP(" 원/달러(평균)",환율,MATCH(DQ$1,변수H,0),0),1343.98)</f>
        <v/>
      </c>
      <c r="DR25" s="13">
        <f>IFERROR(VLOOKUP(" 원/달러(평균)",환율,MATCH(DR$1,변수H,0),0),1343.98)</f>
        <v/>
      </c>
      <c r="DS25" s="13">
        <f>IFERROR(VLOOKUP(" 원/달러(평균)",환율,MATCH(DS$1,변수H,0),0),1343.98)</f>
        <v/>
      </c>
      <c r="DT25" s="13">
        <f>IFERROR(VLOOKUP(" 원/달러(평균)",환율,MATCH(DT$1,변수H,0),0),1343.98)</f>
        <v/>
      </c>
      <c r="DU25" s="13">
        <f>IFERROR(VLOOKUP(" 원/달러(평균)",환율,MATCH(DU$1,변수H,0),0),1343.98)</f>
        <v/>
      </c>
      <c r="DV25" s="13">
        <f>IFERROR(VLOOKUP(" 원/달러(평균)",환율,MATCH(DV$1,변수H,0),0),1343.98)</f>
        <v/>
      </c>
      <c r="DW25" s="13">
        <f>IFERROR(VLOOKUP(" 원/달러(평균)",환율,MATCH(DW$1,변수H,0),0),1343.98)</f>
        <v/>
      </c>
      <c r="DX25" s="13">
        <f>IFERROR(VLOOKUP(" 원/달러(평균)",환율,MATCH(DX$1,변수H,0),0),1343.98)</f>
        <v/>
      </c>
      <c r="DY25" s="13">
        <f>IFERROR(VLOOKUP(" 원/달러(평균)",환율,MATCH(DY$1,변수H,0),0),1343.98)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1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1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1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1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1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1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1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1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1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1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1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1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1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1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1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1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1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1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1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1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1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1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1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1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1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1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1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1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1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1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1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1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1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1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1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1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1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1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1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1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1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1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1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1</v>
      </c>
      <c r="FH72" s="16" t="n">
        <v>1418.75</v>
      </c>
      <c r="FI72" s="41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20260930800251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14.155</v>
      </c>
      <c r="AB73" s="26" t="n">
        <v>14.001</v>
      </c>
      <c r="AC73" s="26" t="n">
        <v>14.001</v>
      </c>
      <c r="AD73" s="26" t="n">
        <v>14.155</v>
      </c>
      <c r="AE73" s="26" t="n">
        <v>14.155</v>
      </c>
      <c r="AF73" s="26" t="n">
        <v>13.847</v>
      </c>
      <c r="AG73" s="26" t="n">
        <v>14.001</v>
      </c>
      <c r="AH73" s="26" t="n">
        <v>14.155</v>
      </c>
      <c r="AI73" s="26" t="n">
        <v>14.155</v>
      </c>
      <c r="AJ73" s="26" t="n">
        <v>13.847</v>
      </c>
      <c r="AK73" s="26" t="n">
        <v>14.001</v>
      </c>
      <c r="AL73" s="26" t="n">
        <v>14.155</v>
      </c>
      <c r="AM73" s="26" t="n">
        <v>14.155</v>
      </c>
      <c r="AN73" s="26" t="n">
        <v>13.846</v>
      </c>
      <c r="FG73" s="35" t="n">
        <v>0</v>
      </c>
      <c r="FH73" s="16" t="n">
        <v>1313.62</v>
      </c>
      <c r="FI73" s="41" t="n">
        <v>1</v>
      </c>
      <c r="FJ73" t="inlineStr">
        <is>
          <t>2023-09-18</t>
        </is>
      </c>
      <c r="FK73" t="n">
        <v>1</v>
      </c>
      <c r="FM73" s="26" t="n">
        <v>198.629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20260930800251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20260930800251</t>
        </is>
      </c>
      <c r="B170" t="inlineStr">
        <is>
          <t>OTHER</t>
        </is>
      </c>
      <c r="D170" t="n">
        <v>260922.379</v>
      </c>
      <c r="E170" t="n">
        <v>198.629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8">
        <f>IFERROR(VLOOKUP($A30,subQ,MATCH(W$1,SUBQH,0),0),"")</f>
        <v/>
      </c>
      <c r="X30" s="31">
        <f>IFERROR(VLOOKUP($A30,subQ,MATCH(X$1,SUBQH,0),0),"")</f>
        <v/>
      </c>
      <c r="Y30" s="31">
        <f>IFERROR(VLOOKUP($A30,subQ,MATCH(Y$1,SUBQH,0),0),"")</f>
        <v/>
      </c>
      <c r="Z30" s="31">
        <f>IFERROR(VLOOKUP($A30,subQ,MATCH(Z$1,SUBQH,0),0),"")</f>
        <v/>
      </c>
      <c r="AA30" s="31">
        <f>IFERROR(VLOOKUP($A30,subQ,MATCH(AA$1,SUBQH,0),0),"")</f>
        <v/>
      </c>
      <c r="AB30" s="31">
        <f>IFERROR(VLOOKUP($A30,subQ,MATCH(AB$1,SUBQH,0),0),"")</f>
        <v/>
      </c>
      <c r="AC30" s="31">
        <f>IFERROR(VLOOKUP($A30,subQ,MATCH(AC$1,SUBQH,0),0),"")</f>
        <v/>
      </c>
      <c r="AD30" s="31">
        <f>IFERROR(VLOOKUP($A30,subQ,MATCH(AD$1,SUBQH,0),0),"")</f>
        <v/>
      </c>
      <c r="AE30" s="31">
        <f>IFERROR(VLOOKUP($A30,subQ,MATCH(AE$1,SUBQH,0),0),"")</f>
        <v/>
      </c>
      <c r="AF30" s="31">
        <f>IFERROR(VLOOKUP($A30,subQ,MATCH(AF$1,SUBQH,0),0),"")</f>
        <v/>
      </c>
      <c r="AG30" s="31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7">
        <f>IFERROR(W18/S18-1,"")</f>
        <v/>
      </c>
      <c r="X43" s="33">
        <f>IFERROR(X18/T18-1,"")</f>
        <v/>
      </c>
      <c r="Y43" s="33">
        <f>IFERROR(Y18/U18-1,"")</f>
        <v/>
      </c>
      <c r="Z43" s="33">
        <f>IFERROR(Z18/V18-1,"")</f>
        <v/>
      </c>
      <c r="AA43" s="33">
        <f>IFERROR(AA18/W18-1,"")</f>
        <v/>
      </c>
      <c r="AB43" s="33">
        <f>IFERROR(AB18/X18-1,"")</f>
        <v/>
      </c>
      <c r="AC43" s="33">
        <f>IFERROR(AC18/Y18-1,"")</f>
        <v/>
      </c>
      <c r="AD43" s="33">
        <f>IFERROR(AD18/Z18-1,"")</f>
        <v/>
      </c>
      <c r="AE43" s="33">
        <f>IFERROR(AE18/AA18-1,"")</f>
        <v/>
      </c>
      <c r="AF43" s="33">
        <f>IFERROR(AF18/AB18-1,"")</f>
        <v/>
      </c>
      <c r="AG43" s="33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8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7">
        <f>IFERROR(I18/H18-1,"")</f>
        <v/>
      </c>
      <c r="J43" s="33">
        <f>IFERROR(J18/I18-1,"")</f>
        <v/>
      </c>
      <c r="K43" s="33">
        <f>IFERROR(K18/J18-1,"")</f>
        <v/>
      </c>
      <c r="L43" s="33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1974.4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7.77</v>
      </c>
    </row>
    <row r="32">
      <c r="C32" s="2" t="inlineStr">
        <is>
          <t>pbr_now</t>
        </is>
      </c>
      <c r="D32" t="n">
        <v>1.84</v>
      </c>
    </row>
    <row r="33">
      <c r="C33" s="2" t="inlineStr">
        <is>
          <t>roe_fwd</t>
        </is>
      </c>
      <c r="D33" t="n">
        <v>0.2368</v>
      </c>
    </row>
    <row r="34">
      <c r="C34" s="2" t="inlineStr">
        <is>
          <t>fair_pbr</t>
        </is>
      </c>
      <c r="D34" t="n">
        <v>2.63</v>
      </c>
    </row>
    <row r="35">
      <c r="C35" s="2" t="inlineStr">
        <is>
          <t>fair_value_pbr</t>
        </is>
      </c>
      <c r="D35" t="n">
        <v>21900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