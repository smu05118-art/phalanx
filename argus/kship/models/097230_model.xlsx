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1571억(sls.by_quarter.marine_hedged_krw_m(헤지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629억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1588억(sls.by_quarter.marine_hedged_krw_m(헤지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636억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1606억(sls.by_quarter.marine_hedged_krw_m(헤지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1588억(sls.by_quarter.marine_hedged_krw_m(헤지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636억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1588억(sls.by_quarter.marine_hedged_krw_m(헤지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636억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1243억(sls.by_quarter.marine_hedged_krw_m(헤지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1000억(sls.by_quarter.marine_hedged_krw_m(헤지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+1.7%p(최근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5389억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4950억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5389억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5842억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6335억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6866억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7380억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1571억(sls.by_quarter.marine_hedged_krw_m(헤지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629억 유지(원장 수준 신규수주 체결 분기별 상계, net_panel)
[sls_link]</t>
      </text>
    </comment>
    <comment ref="AG36" authorId="0" shapeId="0">
      <text>
        <t>추정: SLS 해양 원화 1588억(sls.by_quarter.marine_hedged_krw_m(헤지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636억 유지(원장 수준 신규수주 체결 분기별 상계, net_panel)
[sls_link]</t>
      </text>
    </comment>
    <comment ref="AH36" authorId="0" shapeId="0">
      <text>
        <t>추정: SLS 해양 원화 1606억(sls.by_quarter.marine_hedged_krw_m(헤지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
[sls_link]</t>
      </text>
    </comment>
    <comment ref="AI36" authorId="0" shapeId="0">
      <text>
        <t>추정: SLS 해양 원화 1606억(sls.by_quarter.marine_hedged_krw_m(헤지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
[sls_link]</t>
      </text>
    </comment>
    <comment ref="AK36" authorId="0" shapeId="0">
      <text>
        <t>추정: SLS 해양 원화 1588억(sls.by_quarter.marine_hedged_krw_m(헤지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636억 유지(원장 수준 신규수주 체결 분기별 상계, net_panel)
[sls_link]</t>
      </text>
    </comment>
    <comment ref="AL36" authorId="0" shapeId="0">
      <text>
        <t>추정: SLS 해양 원화 1588억(sls.by_quarter.marine_hedged_krw_m(헤지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636억 유지(원장 수준 신규수주 체결 분기별 상계, net_panel)
[sls_link]</t>
      </text>
    </comment>
    <comment ref="AM36" authorId="0" shapeId="0">
      <text>
        <t>추정: SLS 해양 원화 1243억(sls.by_quarter.marine_hedged_krw_m(헤지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
[sls_link]</t>
      </text>
    </comment>
    <comment ref="AN36" authorId="0" shapeId="0">
      <text>
        <t>추정: SLS 해양 원화 1000억(sls.by_quarter.marine_hedged_krw_m(헤지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643억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2.7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716억 vs 0억 · 2027 2,553억 vs 2,563억 · 2028 2,560억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12780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12160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13940.9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0.00452859</v>
      </c>
      <c r="AE24" s="25">
        <f>IFERROR(subQ!AE16/subQ!AE15,"")</f>
        <v/>
      </c>
      <c r="AF24" s="31" t="n">
        <v>0.031455639</v>
      </c>
      <c r="AG24" s="31" t="n">
        <v>0.058396423</v>
      </c>
      <c r="AH24" s="31" t="n">
        <v>0.085321885</v>
      </c>
      <c r="AI24" s="31" t="n">
        <v>0.112254902</v>
      </c>
      <c r="AJ24" s="25">
        <f>IFERROR(subQ!AJ16/subQ!AJ15,"")</f>
        <v/>
      </c>
      <c r="AK24" s="31" t="n">
        <v>0.139199888</v>
      </c>
      <c r="AL24" s="31" t="n">
        <v>0.166139863</v>
      </c>
      <c r="AM24" s="31" t="n">
        <v>0.193071014</v>
      </c>
      <c r="AN24" s="31" t="n">
        <v>0.220001865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-0.001183133</v>
      </c>
      <c r="AD28" s="29" t="n">
        <v>0.00364289</v>
      </c>
      <c r="AE28" s="30" t="n"/>
      <c r="AF28" s="29" t="n">
        <v>0.010388751</v>
      </c>
      <c r="AG28" s="29" t="n">
        <v>0.000383786</v>
      </c>
      <c r="AH28" s="29" t="n">
        <v>-0.002127621</v>
      </c>
      <c r="AI28" s="29" t="n">
        <v>0.007546754</v>
      </c>
      <c r="AJ28" s="30" t="n"/>
      <c r="AK28" s="29" t="n">
        <v>-0.002414994</v>
      </c>
      <c r="AL28" s="29" t="n">
        <v>-0.009227948999999999</v>
      </c>
      <c r="AM28" s="29" t="n">
        <v>0.007691703</v>
      </c>
      <c r="AN28" s="29" t="n">
        <v>-0.008022186000000001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-0.001183133</v>
      </c>
      <c r="AD29" s="29" t="n">
        <v>0.00364289</v>
      </c>
      <c r="AE29" s="30" t="n"/>
      <c r="AF29" s="29" t="n">
        <v>0.010388751</v>
      </c>
      <c r="AG29" s="29" t="n">
        <v>0.000383786</v>
      </c>
      <c r="AH29" s="29" t="n">
        <v>-0.002127621</v>
      </c>
      <c r="AI29" s="29" t="n">
        <v>0.007546754</v>
      </c>
      <c r="AJ29" s="30" t="n"/>
      <c r="AK29" s="29" t="n">
        <v>-0.002414994</v>
      </c>
      <c r="AL29" s="29" t="n">
        <v>-0.009227948999999999</v>
      </c>
      <c r="AM29" s="29" t="n">
        <v>0.007691703</v>
      </c>
      <c r="AN29" s="29" t="n">
        <v>-0.008022186000000001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-0.356563544</v>
      </c>
      <c r="AE31" s="25" t="n"/>
      <c r="AF31" s="31" t="n">
        <v>-0.555815413</v>
      </c>
      <c r="AG31" s="31" t="n">
        <v>-1.315364803</v>
      </c>
      <c r="AH31" s="31" t="n">
        <v>3.172087308</v>
      </c>
      <c r="AI31" s="31" t="n">
        <v>0.784304894</v>
      </c>
      <c r="AJ31" s="25" t="n"/>
      <c r="AK31" s="31" t="n">
        <v>0.479237663</v>
      </c>
      <c r="AL31" s="31" t="n">
        <v>0.348037543</v>
      </c>
      <c r="AM31" s="31" t="n">
        <v>0.250619562</v>
      </c>
      <c r="AN31" s="31" t="n">
        <v>0.195424763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0.167045101</v>
      </c>
      <c r="AE32" s="25" t="n"/>
      <c r="AF32" s="31" t="n">
        <v>0.143563955</v>
      </c>
      <c r="AG32" s="31" t="n">
        <v>0.131966613</v>
      </c>
      <c r="AH32" s="31" t="n">
        <v>0.088663034</v>
      </c>
      <c r="AI32" s="31" t="n">
        <v>0.084012188</v>
      </c>
      <c r="AJ32" s="25" t="n"/>
      <c r="AK32" s="31" t="n">
        <v>0.084497374</v>
      </c>
      <c r="AL32" s="31" t="n">
        <v>0.08370045399999999</v>
      </c>
      <c r="AM32" s="31" t="n">
        <v>0.074973782</v>
      </c>
      <c r="AN32" s="31" t="n">
        <v>0.068014482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2797.816578</v>
      </c>
      <c r="AE38" s="30" t="n"/>
      <c r="AF38" s="29" t="n">
        <v>2782.444298</v>
      </c>
      <c r="AG38" s="29" t="n">
        <v>2789.454006</v>
      </c>
      <c r="AH38" s="29" t="n">
        <v>918.255314</v>
      </c>
      <c r="AI38" s="29" t="n">
        <v>643.425314</v>
      </c>
      <c r="AJ38" s="30" t="n"/>
      <c r="AK38" s="29" t="n">
        <v>636.454006</v>
      </c>
      <c r="AL38" s="29" t="n">
        <v>636.464006</v>
      </c>
      <c r="AM38" s="29" t="n">
        <v>643.4411710000001</v>
      </c>
      <c r="AN38" s="29" t="n">
        <v>643.468869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0.09507279</v>
      </c>
      <c r="AE40" s="25">
        <f>IFERROR(subQ!AE38/subQ!AE36,"")</f>
        <v/>
      </c>
      <c r="AF40" s="31" t="n">
        <v>0.096053288</v>
      </c>
      <c r="AG40" s="31" t="n">
        <v>0.097974251</v>
      </c>
      <c r="AH40" s="31" t="n">
        <v>0.098796389</v>
      </c>
      <c r="AI40" s="31" t="n">
        <v>0.099645014</v>
      </c>
      <c r="AJ40" s="25">
        <f>IFERROR(subQ!AJ38/subQ!AJ36,"")</f>
        <v/>
      </c>
      <c r="AK40" s="31" t="n">
        <v>0.100943479</v>
      </c>
      <c r="AL40" s="31" t="n">
        <v>0.101634277</v>
      </c>
      <c r="AM40" s="31" t="n">
        <v>0.09920432999999999</v>
      </c>
      <c r="AN40" s="31" t="n">
        <v>0.097290483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0.095071779</v>
      </c>
      <c r="AE42" s="25">
        <f>IFERROR(subQ!AE41/subQ!AE40,"")</f>
        <v/>
      </c>
      <c r="AF42" s="31" t="n">
        <v>0.096051333</v>
      </c>
      <c r="AG42" s="31" t="n">
        <v>0.097973754</v>
      </c>
      <c r="AH42" s="31" t="n">
        <v>0.09879555199999999</v>
      </c>
      <c r="AI42" s="31" t="n">
        <v>0.0996467</v>
      </c>
      <c r="AJ42" s="25">
        <f>IFERROR(subQ!AJ41/subQ!AJ40,"")</f>
        <v/>
      </c>
      <c r="AK42" s="31" t="n">
        <v>0.100945435</v>
      </c>
      <c r="AL42" s="31" t="n">
        <v>0.101635158</v>
      </c>
      <c r="AM42" s="31" t="n">
        <v>0.099202782</v>
      </c>
      <c r="AN42" s="31" t="n">
        <v>0.097291368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12780</v>
      </c>
      <c r="E45" s="2" t="inlineStr">
        <is>
          <t>원 — 네이버 정규장 종가(aik 확정종가 대조 · aik 12,530원)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0.05359763662176677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0.03235035515380275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0.07870455921391892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100.301</v>
      </c>
      <c r="AA5" s="26" t="n">
        <v>115.507</v>
      </c>
      <c r="AB5" s="26" t="n">
        <v>115.672</v>
      </c>
      <c r="AC5" s="26" t="n">
        <v>122.576</v>
      </c>
      <c r="AD5" s="26" t="n">
        <v>124.033</v>
      </c>
      <c r="AE5" s="26" t="n">
        <v>124.53</v>
      </c>
      <c r="AF5" s="26" t="n">
        <v>125.402</v>
      </c>
      <c r="AG5" s="26" t="n">
        <v>125.12</v>
      </c>
      <c r="AH5" s="26" t="n">
        <v>125.711</v>
      </c>
      <c r="AI5" s="26" t="n">
        <v>135.237</v>
      </c>
      <c r="AJ5" s="26" t="n">
        <v>185.979</v>
      </c>
      <c r="AK5" s="26" t="n">
        <v>220.957</v>
      </c>
      <c r="AL5" s="26" t="n">
        <v>242.416</v>
      </c>
      <c r="AM5" s="26" t="n">
        <v>284.853</v>
      </c>
      <c r="AN5" s="26" t="n">
        <v>262.391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370.654</v>
      </c>
      <c r="EF5" s="26" t="n">
        <v>486.811</v>
      </c>
      <c r="EG5" s="26" t="n">
        <v>511.47</v>
      </c>
      <c r="EH5" s="26" t="n">
        <v>934.205</v>
      </c>
      <c r="EI5" s="26" t="n">
        <v>951.711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100.301</v>
      </c>
      <c r="AA7" s="26" t="n">
        <v>115.507</v>
      </c>
      <c r="AB7" s="26" t="n">
        <v>115.672</v>
      </c>
      <c r="AC7" s="26" t="n">
        <v>122.576</v>
      </c>
      <c r="AD7" s="26" t="n">
        <v>124.033</v>
      </c>
      <c r="AE7" s="26" t="n">
        <v>124.53</v>
      </c>
      <c r="AF7" s="26" t="n">
        <v>125.402</v>
      </c>
      <c r="AG7" s="26" t="n">
        <v>125.12</v>
      </c>
      <c r="AH7" s="26" t="n">
        <v>125.711</v>
      </c>
      <c r="AI7" s="26" t="n">
        <v>132.555</v>
      </c>
      <c r="AJ7" s="26" t="n">
        <v>154.488</v>
      </c>
      <c r="AK7" s="26" t="n">
        <v>160.398</v>
      </c>
      <c r="AL7" s="26" t="n">
        <v>170.172</v>
      </c>
      <c r="AM7" s="26" t="n">
        <v>171.43</v>
      </c>
      <c r="AN7" s="26" t="n">
        <v>151.434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370.654</v>
      </c>
      <c r="EF7" s="26" t="n">
        <v>486.811</v>
      </c>
      <c r="EG7" s="26" t="n">
        <v>508.788</v>
      </c>
      <c r="EH7" s="26" t="n">
        <v>656.4880000000001</v>
      </c>
      <c r="EI7" s="26" t="n">
        <v>501.72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100.301</v>
      </c>
      <c r="AA10" s="26" t="n">
        <v>115.507</v>
      </c>
      <c r="AB10" s="26" t="n">
        <v>115.672</v>
      </c>
      <c r="AC10" s="26" t="n">
        <v>122.576</v>
      </c>
      <c r="AD10" s="26" t="n">
        <v>124.033</v>
      </c>
      <c r="AE10" s="26" t="n">
        <v>124.53</v>
      </c>
      <c r="AF10" s="26" t="n">
        <v>125.402</v>
      </c>
      <c r="AG10" s="26" t="n">
        <v>125.12</v>
      </c>
      <c r="AH10" s="26" t="n">
        <v>125.711</v>
      </c>
      <c r="AI10" s="26" t="n">
        <v>134.842</v>
      </c>
      <c r="AJ10" s="26" t="n">
        <v>168.207</v>
      </c>
      <c r="AK10" s="26" t="n">
        <v>174.269</v>
      </c>
      <c r="AL10" s="26" t="n">
        <v>184.195</v>
      </c>
      <c r="AM10" s="26" t="n">
        <v>185.454</v>
      </c>
      <c r="AN10" s="26" t="n">
        <v>165.153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370.654</v>
      </c>
      <c r="EF10" s="26" t="n">
        <v>486.811</v>
      </c>
      <c r="EG10" s="26" t="n">
        <v>511.075</v>
      </c>
      <c r="EH10" s="26" t="n">
        <v>712.125</v>
      </c>
      <c r="EI10" s="26" t="n">
        <v>557.356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1206.49</v>
      </c>
      <c r="AA13" s="13" t="n">
        <v>1220.6</v>
      </c>
      <c r="AB13" s="13" t="n">
        <v>1221.95</v>
      </c>
      <c r="AC13" s="13" t="n">
        <v>1228.04</v>
      </c>
      <c r="AD13" s="13" t="n">
        <v>1228.13</v>
      </c>
      <c r="AE13" s="13" t="n">
        <v>1228.8</v>
      </c>
      <c r="AF13" s="13" t="n">
        <v>1233.95</v>
      </c>
      <c r="AG13" s="13" t="n">
        <v>1249.3</v>
      </c>
      <c r="AH13" s="13" t="n">
        <v>1254.32</v>
      </c>
      <c r="AI13" s="13" t="n">
        <v>1268.05</v>
      </c>
      <c r="AJ13" s="13" t="n">
        <v>1322.93</v>
      </c>
      <c r="AK13" s="13" t="n">
        <v>1377.64</v>
      </c>
      <c r="AL13" s="13" t="n">
        <v>1386.14</v>
      </c>
      <c r="AM13" s="13" t="n">
        <v>1391</v>
      </c>
      <c r="AN13" s="13" t="n">
        <v>1404.08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1342.11</v>
      </c>
      <c r="AN14" s="13" t="n">
        <v>1332.1</v>
      </c>
      <c r="AO14" s="13" t="n">
        <v>1332.1</v>
      </c>
      <c r="AP14" s="13" t="n">
        <v>1332.1</v>
      </c>
      <c r="AQ14" s="13" t="n">
        <v>1332.1</v>
      </c>
      <c r="AR14" s="13" t="n">
        <v>1332.1</v>
      </c>
      <c r="AS14" s="13" t="n">
        <v>1332.1</v>
      </c>
      <c r="AT14" s="13" t="n">
        <v>1332.1</v>
      </c>
      <c r="AU14" s="13" t="n">
        <v>1332.1</v>
      </c>
      <c r="AV14" s="13" t="n">
        <v>1332.1</v>
      </c>
      <c r="AW14" s="13" t="n">
        <v>1332.1</v>
      </c>
      <c r="AX14" s="13" t="n">
        <v>1332.1</v>
      </c>
      <c r="AY14" s="13" t="n">
        <v>1332.1</v>
      </c>
      <c r="AZ14" s="13" t="n">
        <v>1332.1</v>
      </c>
      <c r="BA14" s="13" t="n">
        <v>1332.1</v>
      </c>
      <c r="BB14" s="13" t="n">
        <v>1332.1</v>
      </c>
      <c r="BC14" s="13" t="n">
        <v>1332.1</v>
      </c>
      <c r="BD14" s="13" t="n">
        <v>1332.1</v>
      </c>
      <c r="BE14" s="13" t="n">
        <v>1332.1</v>
      </c>
      <c r="BF14" s="13" t="n">
        <v>1332.1</v>
      </c>
      <c r="BG14" s="13" t="n">
        <v>1332.1</v>
      </c>
      <c r="BH14" s="13" t="n">
        <v>1332.1</v>
      </c>
      <c r="BI14" s="13" t="n">
        <v>1332.1</v>
      </c>
      <c r="BJ14" s="13" t="n">
        <v>1332.1</v>
      </c>
      <c r="BK14" s="13" t="n">
        <v>1332.1</v>
      </c>
      <c r="BL14" s="13" t="n">
        <v>1332.1</v>
      </c>
      <c r="BM14" s="13" t="n">
        <v>1332.1</v>
      </c>
      <c r="BN14" s="13" t="n">
        <v>1332.1</v>
      </c>
      <c r="BO14" s="13" t="n">
        <v>1332.1</v>
      </c>
      <c r="BP14" s="13" t="n">
        <v>1332.1</v>
      </c>
      <c r="BQ14" s="13" t="n">
        <v>1332.1</v>
      </c>
      <c r="BR14" s="13" t="n">
        <v>1332.1</v>
      </c>
      <c r="BS14" s="13" t="n">
        <v>1332.1</v>
      </c>
      <c r="BT14" s="13" t="n">
        <v>1332.1</v>
      </c>
      <c r="BU14" s="13" t="n">
        <v>1332.1</v>
      </c>
      <c r="BV14" s="13" t="n">
        <v>1332.1</v>
      </c>
      <c r="BW14" s="13" t="n">
        <v>1332.1</v>
      </c>
      <c r="BX14" s="13" t="n">
        <v>1332.1</v>
      </c>
      <c r="BY14" s="13" t="n">
        <v>1332.1</v>
      </c>
      <c r="BZ14" s="13" t="n">
        <v>1332.1</v>
      </c>
      <c r="CA14" s="13" t="n">
        <v>1332.1</v>
      </c>
      <c r="CB14" s="13" t="n">
        <v>1332.1</v>
      </c>
      <c r="CC14" s="13" t="n">
        <v>1332.1</v>
      </c>
      <c r="CD14" s="13" t="n">
        <v>1332.1</v>
      </c>
      <c r="CE14" s="13" t="n">
        <v>1332.1</v>
      </c>
      <c r="CF14" s="13" t="n">
        <v>1332.1</v>
      </c>
      <c r="CG14" s="13" t="n">
        <v>1332.1</v>
      </c>
      <c r="CH14" s="13" t="n">
        <v>1332.1</v>
      </c>
      <c r="CI14" s="13" t="n">
        <v>1332.1</v>
      </c>
      <c r="CJ14" s="13" t="n">
        <v>1332.1</v>
      </c>
      <c r="CK14" s="13" t="n">
        <v>1332.1</v>
      </c>
      <c r="CL14" s="13" t="n">
        <v>1332.1</v>
      </c>
      <c r="CM14" s="13" t="n">
        <v>1332.1</v>
      </c>
      <c r="CN14" s="13" t="n">
        <v>1332.1</v>
      </c>
      <c r="CO14" s="13" t="n">
        <v>1332.1</v>
      </c>
      <c r="CP14" s="13" t="n">
        <v>1332.1</v>
      </c>
      <c r="CQ14" s="13" t="n">
        <v>1332.1</v>
      </c>
      <c r="CR14" s="13" t="n">
        <v>1332.1</v>
      </c>
      <c r="CS14" s="13" t="n">
        <v>1332.1</v>
      </c>
      <c r="CT14" s="13" t="n">
        <v>1332.1</v>
      </c>
      <c r="CU14" s="13" t="n">
        <v>1332.1</v>
      </c>
      <c r="CV14" s="13" t="n">
        <v>1332.1</v>
      </c>
      <c r="CW14" s="13" t="n">
        <v>1332.1</v>
      </c>
      <c r="CX14" s="13" t="n">
        <v>1332.1</v>
      </c>
      <c r="CY14" s="13" t="n">
        <v>1332.1</v>
      </c>
      <c r="CZ14" s="13" t="n">
        <v>1332.1</v>
      </c>
      <c r="DA14" s="13" t="n">
        <v>1332.1</v>
      </c>
      <c r="DB14" s="13" t="n">
        <v>1332.1</v>
      </c>
      <c r="DC14" s="13" t="n">
        <v>1332.1</v>
      </c>
      <c r="DD14" s="13" t="n">
        <v>1332.1</v>
      </c>
      <c r="DE14" s="13" t="n">
        <v>1332.1</v>
      </c>
      <c r="DF14" s="13" t="n">
        <v>1332.1</v>
      </c>
      <c r="DG14" s="13" t="n">
        <v>1332.1</v>
      </c>
      <c r="DH14" s="13" t="n">
        <v>1332.1</v>
      </c>
      <c r="DI14" s="13" t="n">
        <v>1332.1</v>
      </c>
      <c r="DJ14" s="13" t="n">
        <v>1332.1</v>
      </c>
      <c r="DK14" s="13" t="n">
        <v>1332.1</v>
      </c>
      <c r="DL14" s="13" t="n">
        <v>1332.1</v>
      </c>
      <c r="DM14" s="13" t="n">
        <v>1332.1</v>
      </c>
      <c r="DN14" s="13" t="n">
        <v>1332.1</v>
      </c>
      <c r="DO14" s="13" t="n">
        <v>1332.1</v>
      </c>
      <c r="DP14" s="13" t="n">
        <v>1332.1</v>
      </c>
      <c r="DQ14" s="13" t="n">
        <v>1332.1</v>
      </c>
      <c r="DR14" s="13" t="n">
        <v>1332.1</v>
      </c>
      <c r="DS14" s="13" t="n">
        <v>1332.1</v>
      </c>
      <c r="DT14" s="13" t="n">
        <v>1332.1</v>
      </c>
      <c r="DU14" s="13" t="n">
        <v>1332.1</v>
      </c>
      <c r="DV14" s="13" t="n">
        <v>1332.1</v>
      </c>
      <c r="DW14" s="13" t="n">
        <v>1332.1</v>
      </c>
      <c r="DX14" s="13" t="n">
        <v>1332.1</v>
      </c>
      <c r="DY14" s="13" t="n">
        <v>1332.1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1238.63</v>
      </c>
      <c r="AA15" s="13" t="n">
        <v>1251.02</v>
      </c>
      <c r="AB15" s="13" t="n">
        <v>1254.4</v>
      </c>
      <c r="AC15" s="13" t="n">
        <v>1271.01</v>
      </c>
      <c r="AD15" s="13" t="n">
        <v>1266.56</v>
      </c>
      <c r="AE15" s="13" t="n">
        <v>1279.05</v>
      </c>
      <c r="AF15" s="13" t="n">
        <v>1299.45</v>
      </c>
      <c r="AG15" s="13" t="n">
        <v>1294.07</v>
      </c>
      <c r="AH15" s="13" t="n">
        <v>1294.11</v>
      </c>
      <c r="AI15" s="13" t="n">
        <v>1322.39</v>
      </c>
      <c r="AJ15" s="13" t="n">
        <v>1365.88</v>
      </c>
      <c r="AK15" s="13" t="n">
        <v>1414.87</v>
      </c>
      <c r="AL15" s="13" t="n">
        <v>1395.92</v>
      </c>
      <c r="AM15" s="13" t="n">
        <v>1376.33</v>
      </c>
      <c r="AN15" s="13" t="n">
        <v>1382.49</v>
      </c>
      <c r="AO15" s="13" t="n">
        <v>1394.85</v>
      </c>
      <c r="AP15" s="13" t="n">
        <v>1398.57</v>
      </c>
      <c r="AQ15" s="13" t="n">
        <v>1402.26</v>
      </c>
      <c r="AR15" s="13" t="n">
        <v>1407.4</v>
      </c>
      <c r="AS15" s="13" t="n">
        <v>1412.28</v>
      </c>
      <c r="AT15" s="13" t="n">
        <v>1413.17</v>
      </c>
      <c r="AU15" s="13" t="n">
        <v>1411.33</v>
      </c>
      <c r="AV15" s="13" t="n">
        <v>1408.89</v>
      </c>
      <c r="AW15" s="13" t="n">
        <v>1411.92</v>
      </c>
      <c r="AX15" s="13" t="n">
        <v>1414.67</v>
      </c>
      <c r="AY15" s="13" t="n">
        <v>1418.17</v>
      </c>
      <c r="AZ15" s="13" t="n">
        <v>1422.62</v>
      </c>
      <c r="BA15" s="13" t="n">
        <v>1423.21</v>
      </c>
      <c r="BB15" s="13" t="n">
        <v>1422.72</v>
      </c>
      <c r="BC15" s="13" t="n">
        <v>1398.92</v>
      </c>
      <c r="BD15" s="13" t="n">
        <v>1422.38</v>
      </c>
      <c r="BE15" s="13" t="n">
        <v>1426.05</v>
      </c>
      <c r="BF15" s="13" t="n">
        <v>1423.83</v>
      </c>
      <c r="BG15" s="13" t="n">
        <v>1423.83</v>
      </c>
      <c r="BH15" s="13" t="n">
        <v>1423.83</v>
      </c>
      <c r="BI15" s="13" t="n">
        <v>1411.78</v>
      </c>
      <c r="BJ15" s="13" t="n">
        <v>1406.95</v>
      </c>
      <c r="BK15" s="13" t="n">
        <v>1406.95</v>
      </c>
      <c r="BL15" s="13" t="n">
        <v>1406.95</v>
      </c>
      <c r="BM15" s="13" t="n">
        <v>1406.95</v>
      </c>
      <c r="BN15" s="13" t="n">
        <v>1409.13</v>
      </c>
      <c r="BO15" s="13" t="n">
        <v>1415.74</v>
      </c>
      <c r="BP15" s="13" t="n">
        <v>1415.74</v>
      </c>
      <c r="BQ15" s="13" t="n">
        <v>1418.02</v>
      </c>
      <c r="BR15" s="13" t="n">
        <v>1425.91</v>
      </c>
      <c r="BS15" s="13" t="n">
        <v>1425.91</v>
      </c>
      <c r="BT15" s="13" t="n">
        <v>1425.91</v>
      </c>
      <c r="BU15" s="13" t="n">
        <v>1425.91</v>
      </c>
      <c r="BV15" s="13" t="n">
        <v>1425.91</v>
      </c>
      <c r="BW15" s="13" t="n">
        <v>1425.91</v>
      </c>
      <c r="BX15" s="13" t="n">
        <v>1425.91</v>
      </c>
      <c r="BY15" s="13" t="n">
        <v>1425.91</v>
      </c>
      <c r="BZ15" s="13" t="n">
        <v>1425.91</v>
      </c>
      <c r="CA15" s="13" t="n">
        <v>1425.91</v>
      </c>
      <c r="CB15" s="13" t="n">
        <v>1425.91</v>
      </c>
      <c r="CC15" s="13" t="n">
        <v>1425.91</v>
      </c>
      <c r="CD15" s="13" t="n">
        <v>1425.91</v>
      </c>
      <c r="CE15" s="13" t="n">
        <v>1425.91</v>
      </c>
      <c r="CF15" s="13" t="n">
        <v>1425.91</v>
      </c>
      <c r="CG15" s="13" t="n">
        <v>1425.91</v>
      </c>
      <c r="CH15" s="13" t="n">
        <v>1425.91</v>
      </c>
      <c r="CI15" s="13" t="n">
        <v>1425.91</v>
      </c>
      <c r="CJ15" s="13" t="n">
        <v>1425.91</v>
      </c>
      <c r="CK15" s="13" t="n">
        <v>1425.91</v>
      </c>
      <c r="CL15" s="13" t="n">
        <v>1425.91</v>
      </c>
      <c r="CM15" s="13" t="n">
        <v>1425.91</v>
      </c>
      <c r="CN15" s="13" t="n">
        <v>1425.91</v>
      </c>
      <c r="CO15" s="13" t="n">
        <v>1425.91</v>
      </c>
      <c r="CP15" s="13" t="n">
        <v>1425.91</v>
      </c>
      <c r="CQ15" s="13" t="n">
        <v>1425.91</v>
      </c>
      <c r="CR15" s="13" t="n">
        <v>1425.91</v>
      </c>
      <c r="CS15" s="13" t="n">
        <v>1425.91</v>
      </c>
      <c r="CT15" s="13" t="n">
        <v>1425.91</v>
      </c>
      <c r="CU15" s="13" t="n">
        <v>1425.91</v>
      </c>
      <c r="CV15" s="13" t="n">
        <v>1425.91</v>
      </c>
      <c r="CW15" s="13" t="n">
        <v>1425.91</v>
      </c>
      <c r="CX15" s="13" t="n">
        <v>1425.91</v>
      </c>
      <c r="CY15" s="13" t="n">
        <v>1425.91</v>
      </c>
      <c r="CZ15" s="13" t="n">
        <v>1425.91</v>
      </c>
      <c r="DA15" s="13" t="n">
        <v>1425.91</v>
      </c>
      <c r="DB15" s="13" t="n">
        <v>1425.91</v>
      </c>
      <c r="DC15" s="13" t="n">
        <v>1425.91</v>
      </c>
      <c r="DD15" s="13" t="n">
        <v>1425.91</v>
      </c>
      <c r="DE15" s="13" t="n">
        <v>1425.91</v>
      </c>
      <c r="DF15" s="13" t="n">
        <v>1425.91</v>
      </c>
      <c r="DG15" s="13" t="n">
        <v>1425.91</v>
      </c>
      <c r="DH15" s="13" t="n">
        <v>1425.91</v>
      </c>
      <c r="DI15" s="13" t="n">
        <v>1425.91</v>
      </c>
      <c r="DJ15" s="13" t="n">
        <v>1425.91</v>
      </c>
      <c r="DK15" s="13" t="n">
        <v>1425.91</v>
      </c>
      <c r="DL15" s="13" t="n">
        <v>1425.91</v>
      </c>
      <c r="DM15" s="13" t="n">
        <v>1425.91</v>
      </c>
      <c r="DN15" s="13" t="n">
        <v>1425.91</v>
      </c>
      <c r="DO15" s="13" t="n">
        <v>1425.91</v>
      </c>
      <c r="DP15" s="13" t="n">
        <v>1425.91</v>
      </c>
      <c r="DQ15" s="13" t="n">
        <v>1425.91</v>
      </c>
      <c r="DR15" s="13" t="n">
        <v>1425.91</v>
      </c>
      <c r="DS15" s="13" t="n">
        <v>1425.91</v>
      </c>
      <c r="DT15" s="13" t="n">
        <v>1425.91</v>
      </c>
      <c r="DU15" s="13" t="n">
        <v>1425.91</v>
      </c>
      <c r="DV15" s="13" t="n">
        <v>1425.91</v>
      </c>
      <c r="DW15" s="13" t="n">
        <v>1425.91</v>
      </c>
      <c r="DX15" s="13" t="n">
        <v>1425.91</v>
      </c>
      <c r="DY15" s="13" t="n">
        <v>1425.91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124236.3</v>
      </c>
      <c r="AA16" s="18" t="n">
        <v>144502.5</v>
      </c>
      <c r="AB16" s="18" t="n">
        <v>145099</v>
      </c>
      <c r="AC16" s="18" t="n">
        <v>155795.1</v>
      </c>
      <c r="AD16" s="18" t="n">
        <v>157094.5</v>
      </c>
      <c r="AE16" s="18" t="n">
        <v>159280.3</v>
      </c>
      <c r="AF16" s="18" t="n">
        <v>162952.9</v>
      </c>
      <c r="AG16" s="18" t="n">
        <v>161914.2</v>
      </c>
      <c r="AH16" s="18" t="n">
        <v>162683.1</v>
      </c>
      <c r="AI16" s="18" t="n">
        <v>178836.5</v>
      </c>
      <c r="AJ16" s="18" t="n">
        <v>254025.7</v>
      </c>
      <c r="AK16" s="18" t="n">
        <v>312625.8</v>
      </c>
      <c r="AL16" s="18" t="n">
        <v>338394.1</v>
      </c>
      <c r="AM16" s="18" t="n">
        <v>392051.5</v>
      </c>
      <c r="AN16" s="18" t="n">
        <v>362752</v>
      </c>
      <c r="AO16" s="18" t="n">
        <v>331999.4</v>
      </c>
      <c r="AP16" s="18" t="n">
        <v>322297.4</v>
      </c>
      <c r="AQ16" s="18" t="n">
        <v>309692.9</v>
      </c>
      <c r="AR16" s="18" t="n">
        <v>288986.9</v>
      </c>
      <c r="AS16" s="18" t="n">
        <v>281047.3</v>
      </c>
      <c r="AT16" s="18" t="n">
        <v>237410.3</v>
      </c>
      <c r="AU16" s="18" t="n">
        <v>202774.4</v>
      </c>
      <c r="AV16" s="18" t="n">
        <v>182881</v>
      </c>
      <c r="AW16" s="18" t="n">
        <v>129300.3</v>
      </c>
      <c r="AX16" s="18" t="n">
        <v>103296.7</v>
      </c>
      <c r="AY16" s="18" t="n">
        <v>84111.3</v>
      </c>
      <c r="AZ16" s="18" t="n">
        <v>53070.1</v>
      </c>
      <c r="BA16" s="18" t="n">
        <v>50200.9</v>
      </c>
      <c r="BB16" s="18" t="n">
        <v>42849.6</v>
      </c>
      <c r="BC16" s="18" t="n">
        <v>21338.1</v>
      </c>
      <c r="BD16" s="18" t="n">
        <v>18487.2</v>
      </c>
      <c r="BE16" s="18" t="n">
        <v>17183.2</v>
      </c>
      <c r="BF16" s="18" t="n">
        <v>15920.2</v>
      </c>
      <c r="BG16" s="18" t="n">
        <v>15920.2</v>
      </c>
      <c r="BH16" s="18" t="n">
        <v>15747.1</v>
      </c>
      <c r="BI16" s="18" t="n">
        <v>10797.3</v>
      </c>
      <c r="BJ16" s="18" t="n">
        <v>9682.1</v>
      </c>
      <c r="BK16" s="18" t="n">
        <v>9682.1</v>
      </c>
      <c r="BL16" s="18" t="n">
        <v>9471.6</v>
      </c>
      <c r="BM16" s="18" t="n">
        <v>9576.799999999999</v>
      </c>
      <c r="BN16" s="18" t="n">
        <v>8407.200000000001</v>
      </c>
      <c r="BO16" s="18" t="n">
        <v>6016.9</v>
      </c>
      <c r="BP16" s="18" t="n">
        <v>5886.1</v>
      </c>
      <c r="BQ16" s="18" t="n">
        <v>2531.6</v>
      </c>
      <c r="BR16" s="18" t="n">
        <v>859.1</v>
      </c>
      <c r="BS16" s="18" t="n">
        <v>859.1</v>
      </c>
      <c r="BT16" s="18" t="n">
        <v>840.4</v>
      </c>
      <c r="BU16" s="18" t="n">
        <v>849.7</v>
      </c>
      <c r="BV16" s="18" t="n">
        <v>859.1</v>
      </c>
      <c r="BW16" s="18" t="n">
        <v>859.1</v>
      </c>
      <c r="BX16" s="18" t="n">
        <v>849.7</v>
      </c>
      <c r="BY16" s="18" t="n">
        <v>849.7</v>
      </c>
      <c r="BZ16" s="18" t="n">
        <v>859.1</v>
      </c>
      <c r="CA16" s="18" t="n">
        <v>859.1</v>
      </c>
      <c r="CB16" s="18" t="n">
        <v>840.4</v>
      </c>
      <c r="CC16" s="18" t="n">
        <v>849.7</v>
      </c>
      <c r="CD16" s="18" t="n">
        <v>859.1</v>
      </c>
      <c r="CE16" s="18" t="n">
        <v>859.1</v>
      </c>
      <c r="CF16" s="18" t="n">
        <v>840.4</v>
      </c>
      <c r="CG16" s="18" t="n">
        <v>849.7</v>
      </c>
      <c r="CH16" s="18" t="n">
        <v>859.1</v>
      </c>
      <c r="CI16" s="18" t="n">
        <v>859.1</v>
      </c>
      <c r="CJ16" s="18" t="n">
        <v>840.4</v>
      </c>
      <c r="CK16" s="18" t="n">
        <v>849.7</v>
      </c>
      <c r="CL16" s="18" t="n">
        <v>859.1</v>
      </c>
      <c r="CM16" s="18" t="n">
        <v>859.1</v>
      </c>
      <c r="CN16" s="18" t="n">
        <v>849.7</v>
      </c>
      <c r="CO16" s="18" t="n">
        <v>849.7</v>
      </c>
      <c r="CP16" s="18" t="n">
        <v>859.1</v>
      </c>
      <c r="CQ16" s="18" t="n">
        <v>859.1</v>
      </c>
      <c r="CR16" s="18" t="n">
        <v>840.4</v>
      </c>
      <c r="CS16" s="18" t="n">
        <v>849.7</v>
      </c>
      <c r="CT16" s="18" t="n">
        <v>859.1</v>
      </c>
      <c r="CU16" s="18" t="n">
        <v>859.1</v>
      </c>
      <c r="CV16" s="18" t="n">
        <v>840.4</v>
      </c>
      <c r="CW16" s="18" t="n">
        <v>849.7</v>
      </c>
      <c r="CX16" s="18" t="n">
        <v>859.1</v>
      </c>
      <c r="CY16" s="18" t="n">
        <v>859.1</v>
      </c>
      <c r="CZ16" s="18" t="n">
        <v>840.4</v>
      </c>
      <c r="DA16" s="18" t="n">
        <v>849.7</v>
      </c>
      <c r="DB16" s="18" t="n">
        <v>859.1</v>
      </c>
      <c r="DC16" s="18" t="n">
        <v>859.1</v>
      </c>
      <c r="DD16" s="18" t="n">
        <v>849.7</v>
      </c>
      <c r="DE16" s="18" t="n">
        <v>849.7</v>
      </c>
      <c r="DF16" s="18" t="n">
        <v>859.1</v>
      </c>
      <c r="DG16" s="18" t="n">
        <v>859.1</v>
      </c>
      <c r="DH16" s="18" t="n">
        <v>840.4</v>
      </c>
      <c r="DI16" s="18" t="n">
        <v>849.7</v>
      </c>
      <c r="DJ16" s="18" t="n">
        <v>859.1</v>
      </c>
      <c r="DK16" s="18" t="n">
        <v>859.1</v>
      </c>
      <c r="DL16" s="18" t="n">
        <v>840.4</v>
      </c>
      <c r="DM16" s="18" t="n">
        <v>849.7</v>
      </c>
      <c r="DN16" s="18" t="n">
        <v>859.1</v>
      </c>
      <c r="DO16" s="18" t="n">
        <v>859.1</v>
      </c>
      <c r="DP16" s="18" t="n">
        <v>840.4</v>
      </c>
      <c r="DQ16" s="18" t="n">
        <v>849.7</v>
      </c>
      <c r="DR16" s="18" t="n">
        <v>859.1</v>
      </c>
      <c r="DS16" s="18" t="n">
        <v>859.1</v>
      </c>
      <c r="DT16" s="18" t="n">
        <v>849.7</v>
      </c>
      <c r="DU16" s="18" t="n">
        <v>849.7</v>
      </c>
      <c r="DV16" s="18" t="n">
        <v>859.1</v>
      </c>
      <c r="DW16" s="18" t="n">
        <v>859.1</v>
      </c>
      <c r="DX16" s="18" t="n">
        <v>840.4</v>
      </c>
      <c r="DY16" s="18" t="n">
        <v>569.6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456641.6</v>
      </c>
      <c r="EF16" s="18" t="n">
        <v>617268.9</v>
      </c>
      <c r="EG16" s="18" t="n">
        <v>666386.7</v>
      </c>
      <c r="EH16" s="18" t="n">
        <v>1297097.1</v>
      </c>
      <c r="EI16" s="18" t="n">
        <v>1326741.7</v>
      </c>
      <c r="EJ16" s="18" t="n">
        <v>1010218.9</v>
      </c>
      <c r="EK16" s="18" t="n">
        <v>499589.3</v>
      </c>
      <c r="EL16" s="18" t="n">
        <v>167458.7</v>
      </c>
      <c r="EM16" s="18" t="n">
        <v>67510.8</v>
      </c>
      <c r="EN16" s="18" t="n">
        <v>45908.6</v>
      </c>
      <c r="EO16" s="18" t="n">
        <v>33472.5</v>
      </c>
      <c r="EP16" s="18" t="n">
        <v>10135.9</v>
      </c>
      <c r="EQ16" s="18" t="n">
        <v>3408.3</v>
      </c>
      <c r="ER16" s="18" t="n">
        <v>3417.6</v>
      </c>
      <c r="ES16" s="18" t="n">
        <v>3408.3</v>
      </c>
      <c r="ET16" s="18" t="n">
        <v>3408.3</v>
      </c>
      <c r="EU16" s="18" t="n">
        <v>3408.3</v>
      </c>
      <c r="EV16" s="18" t="n">
        <v>3417.6</v>
      </c>
      <c r="EW16" s="18" t="n">
        <v>3408.3</v>
      </c>
      <c r="EX16" s="18" t="n">
        <v>3408.3</v>
      </c>
      <c r="EY16" s="18" t="n">
        <v>3408.3</v>
      </c>
      <c r="EZ16" s="18" t="n">
        <v>3417.6</v>
      </c>
      <c r="FA16" s="18" t="n">
        <v>3408.3</v>
      </c>
      <c r="FB16" s="18" t="n">
        <v>3408.3</v>
      </c>
      <c r="FC16" s="18" t="n">
        <v>3408.3</v>
      </c>
      <c r="FD16" s="18" t="n">
        <v>3417.6</v>
      </c>
      <c r="FE16" s="18" t="n">
        <v>1410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160917.4</v>
      </c>
      <c r="AN17" s="18" t="n">
        <v>157086</v>
      </c>
      <c r="AO17" s="18" t="n">
        <v>158831.4</v>
      </c>
      <c r="AP17" s="18" t="n">
        <v>160576.7</v>
      </c>
      <c r="AQ17" s="18" t="n">
        <v>160576.7</v>
      </c>
      <c r="AR17" s="18" t="n">
        <v>158831.4</v>
      </c>
      <c r="AS17" s="18" t="n">
        <v>158831.4</v>
      </c>
      <c r="AT17" s="18" t="n">
        <v>124327.7</v>
      </c>
      <c r="AU17" s="18" t="n">
        <v>100004.4</v>
      </c>
      <c r="AV17" s="18" t="n">
        <v>82345.10000000001</v>
      </c>
      <c r="AW17" s="18" t="n">
        <v>40596.7</v>
      </c>
      <c r="AX17" s="18" t="n">
        <v>19830.3</v>
      </c>
      <c r="AY17" s="18" t="n">
        <v>6682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401641</v>
      </c>
      <c r="EI17" s="18" t="n">
        <v>637070.8</v>
      </c>
      <c r="EJ17" s="18" t="n">
        <v>541994.9</v>
      </c>
      <c r="EK17" s="18" t="n">
        <v>149454.1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96434</v>
      </c>
      <c r="AN18" s="18" t="n">
        <v>94140.10000000001</v>
      </c>
      <c r="AO18" s="18" t="n">
        <v>95186.10000000001</v>
      </c>
      <c r="AP18" s="18" t="n">
        <v>96232.10000000001</v>
      </c>
      <c r="AQ18" s="18" t="n">
        <v>96232.10000000001</v>
      </c>
      <c r="AR18" s="18" t="n">
        <v>95186.10000000001</v>
      </c>
      <c r="AS18" s="18" t="n">
        <v>95186.10000000001</v>
      </c>
      <c r="AT18" s="18" t="n">
        <v>59983</v>
      </c>
      <c r="AU18" s="18" t="n">
        <v>35659.8</v>
      </c>
      <c r="AV18" s="18" t="n">
        <v>19399.2</v>
      </c>
      <c r="AW18" s="18" t="n">
        <v>19614.8</v>
      </c>
      <c r="AX18" s="18" t="n">
        <v>19830.3</v>
      </c>
      <c r="AY18" s="18" t="n">
        <v>6682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64483.4</v>
      </c>
      <c r="AN19" s="18" t="n">
        <v>62945.8</v>
      </c>
      <c r="AO19" s="18" t="n">
        <v>63645.2</v>
      </c>
      <c r="AP19" s="18" t="n">
        <v>64344.6</v>
      </c>
      <c r="AQ19" s="18" t="n">
        <v>64344.6</v>
      </c>
      <c r="AR19" s="18" t="n">
        <v>63645.2</v>
      </c>
      <c r="AS19" s="18" t="n">
        <v>63645.2</v>
      </c>
      <c r="AT19" s="18" t="n">
        <v>64344.6</v>
      </c>
      <c r="AU19" s="18" t="n">
        <v>64344.6</v>
      </c>
      <c r="AV19" s="18" t="n">
        <v>62945.8</v>
      </c>
      <c r="AW19" s="18" t="n">
        <v>20981.9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원/달러(평균)",환율,MATCH(AM$1,변수H,0),0),1342.11)</f>
        <v/>
      </c>
      <c r="AN25" s="13">
        <f>IFERROR(VLOOKUP(" 원/달러(평균)",환율,MATCH(AN$1,변수H,0),0),1332.1)</f>
        <v/>
      </c>
      <c r="AO25" s="13">
        <f>IFERROR(VLOOKUP(" 원/달러(평균)",환율,MATCH(AO$1,변수H,0),0),1332.1)</f>
        <v/>
      </c>
      <c r="AP25" s="13">
        <f>IFERROR(VLOOKUP(" 원/달러(평균)",환율,MATCH(AP$1,변수H,0),0),1332.1)</f>
        <v/>
      </c>
      <c r="AQ25" s="13">
        <f>IFERROR(VLOOKUP(" 원/달러(평균)",환율,MATCH(AQ$1,변수H,0),0),1332.1)</f>
        <v/>
      </c>
      <c r="AR25" s="13">
        <f>IFERROR(VLOOKUP(" 원/달러(평균)",환율,MATCH(AR$1,변수H,0),0),1332.1)</f>
        <v/>
      </c>
      <c r="AS25" s="13">
        <f>IFERROR(VLOOKUP(" 원/달러(평균)",환율,MATCH(AS$1,변수H,0),0),1332.1)</f>
        <v/>
      </c>
      <c r="AT25" s="13">
        <f>IFERROR(VLOOKUP(" 원/달러(평균)",환율,MATCH(AT$1,변수H,0),0),1332.1)</f>
        <v/>
      </c>
      <c r="AU25" s="13">
        <f>IFERROR(VLOOKUP(" 원/달러(평균)",환율,MATCH(AU$1,변수H,0),0),1332.1)</f>
        <v/>
      </c>
      <c r="AV25" s="13">
        <f>IFERROR(VLOOKUP(" 원/달러(평균)",환율,MATCH(AV$1,변수H,0),0),1332.1)</f>
        <v/>
      </c>
      <c r="AW25" s="13">
        <f>IFERROR(VLOOKUP(" 원/달러(평균)",환율,MATCH(AW$1,변수H,0),0),1332.1)</f>
        <v/>
      </c>
      <c r="AX25" s="13">
        <f>IFERROR(VLOOKUP(" 원/달러(평균)",환율,MATCH(AX$1,변수H,0),0),1332.1)</f>
        <v/>
      </c>
      <c r="AY25" s="13">
        <f>IFERROR(VLOOKUP(" 원/달러(평균)",환율,MATCH(AY$1,변수H,0),0),1332.1)</f>
        <v/>
      </c>
      <c r="AZ25" s="13">
        <f>IFERROR(VLOOKUP(" 원/달러(평균)",환율,MATCH(AZ$1,변수H,0),0),1332.1)</f>
        <v/>
      </c>
      <c r="BA25" s="13">
        <f>IFERROR(VLOOKUP(" 원/달러(평균)",환율,MATCH(BA$1,변수H,0),0),1332.1)</f>
        <v/>
      </c>
      <c r="BB25" s="13">
        <f>IFERROR(VLOOKUP(" 원/달러(평균)",환율,MATCH(BB$1,변수H,0),0),1332.1)</f>
        <v/>
      </c>
      <c r="BC25" s="13">
        <f>IFERROR(VLOOKUP(" 원/달러(평균)",환율,MATCH(BC$1,변수H,0),0),1332.1)</f>
        <v/>
      </c>
      <c r="BD25" s="13">
        <f>IFERROR(VLOOKUP(" 원/달러(평균)",환율,MATCH(BD$1,변수H,0),0),1332.1)</f>
        <v/>
      </c>
      <c r="BE25" s="13">
        <f>IFERROR(VLOOKUP(" 원/달러(평균)",환율,MATCH(BE$1,변수H,0),0),1332.1)</f>
        <v/>
      </c>
      <c r="BF25" s="13">
        <f>IFERROR(VLOOKUP(" 원/달러(평균)",환율,MATCH(BF$1,변수H,0),0),1332.1)</f>
        <v/>
      </c>
      <c r="BG25" s="13">
        <f>IFERROR(VLOOKUP(" 원/달러(평균)",환율,MATCH(BG$1,변수H,0),0),1332.1)</f>
        <v/>
      </c>
      <c r="BH25" s="13">
        <f>IFERROR(VLOOKUP(" 원/달러(평균)",환율,MATCH(BH$1,변수H,0),0),1332.1)</f>
        <v/>
      </c>
      <c r="BI25" s="13">
        <f>IFERROR(VLOOKUP(" 원/달러(평균)",환율,MATCH(BI$1,변수H,0),0),1332.1)</f>
        <v/>
      </c>
      <c r="BJ25" s="13">
        <f>IFERROR(VLOOKUP(" 원/달러(평균)",환율,MATCH(BJ$1,변수H,0),0),1332.1)</f>
        <v/>
      </c>
      <c r="BK25" s="13">
        <f>IFERROR(VLOOKUP(" 원/달러(평균)",환율,MATCH(BK$1,변수H,0),0),1332.1)</f>
        <v/>
      </c>
      <c r="BL25" s="13">
        <f>IFERROR(VLOOKUP(" 원/달러(평균)",환율,MATCH(BL$1,변수H,0),0),1332.1)</f>
        <v/>
      </c>
      <c r="BM25" s="13">
        <f>IFERROR(VLOOKUP(" 원/달러(평균)",환율,MATCH(BM$1,변수H,0),0),1332.1)</f>
        <v/>
      </c>
      <c r="BN25" s="13">
        <f>IFERROR(VLOOKUP(" 원/달러(평균)",환율,MATCH(BN$1,변수H,0),0),1332.1)</f>
        <v/>
      </c>
      <c r="BO25" s="13">
        <f>IFERROR(VLOOKUP(" 원/달러(평균)",환율,MATCH(BO$1,변수H,0),0),1332.1)</f>
        <v/>
      </c>
      <c r="BP25" s="13">
        <f>IFERROR(VLOOKUP(" 원/달러(평균)",환율,MATCH(BP$1,변수H,0),0),1332.1)</f>
        <v/>
      </c>
      <c r="BQ25" s="13">
        <f>IFERROR(VLOOKUP(" 원/달러(평균)",환율,MATCH(BQ$1,변수H,0),0),1332.1)</f>
        <v/>
      </c>
      <c r="BR25" s="13">
        <f>IFERROR(VLOOKUP(" 원/달러(평균)",환율,MATCH(BR$1,변수H,0),0),1332.1)</f>
        <v/>
      </c>
      <c r="BS25" s="13">
        <f>IFERROR(VLOOKUP(" 원/달러(평균)",환율,MATCH(BS$1,변수H,0),0),1332.1)</f>
        <v/>
      </c>
      <c r="BT25" s="13">
        <f>IFERROR(VLOOKUP(" 원/달러(평균)",환율,MATCH(BT$1,변수H,0),0),1332.1)</f>
        <v/>
      </c>
      <c r="BU25" s="13">
        <f>IFERROR(VLOOKUP(" 원/달러(평균)",환율,MATCH(BU$1,변수H,0),0),1332.1)</f>
        <v/>
      </c>
      <c r="BV25" s="13">
        <f>IFERROR(VLOOKUP(" 원/달러(평균)",환율,MATCH(BV$1,변수H,0),0),1332.1)</f>
        <v/>
      </c>
      <c r="BW25" s="13">
        <f>IFERROR(VLOOKUP(" 원/달러(평균)",환율,MATCH(BW$1,변수H,0),0),1332.1)</f>
        <v/>
      </c>
      <c r="BX25" s="13">
        <f>IFERROR(VLOOKUP(" 원/달러(평균)",환율,MATCH(BX$1,변수H,0),0),1332.1)</f>
        <v/>
      </c>
      <c r="BY25" s="13">
        <f>IFERROR(VLOOKUP(" 원/달러(평균)",환율,MATCH(BY$1,변수H,0),0),1332.1)</f>
        <v/>
      </c>
      <c r="BZ25" s="13">
        <f>IFERROR(VLOOKUP(" 원/달러(평균)",환율,MATCH(BZ$1,변수H,0),0),1332.1)</f>
        <v/>
      </c>
      <c r="CA25" s="13">
        <f>IFERROR(VLOOKUP(" 원/달러(평균)",환율,MATCH(CA$1,변수H,0),0),1332.1)</f>
        <v/>
      </c>
      <c r="CB25" s="13">
        <f>IFERROR(VLOOKUP(" 원/달러(평균)",환율,MATCH(CB$1,변수H,0),0),1332.1)</f>
        <v/>
      </c>
      <c r="CC25" s="13">
        <f>IFERROR(VLOOKUP(" 원/달러(평균)",환율,MATCH(CC$1,변수H,0),0),1332.1)</f>
        <v/>
      </c>
      <c r="CD25" s="13">
        <f>IFERROR(VLOOKUP(" 원/달러(평균)",환율,MATCH(CD$1,변수H,0),0),1332.1)</f>
        <v/>
      </c>
      <c r="CE25" s="13">
        <f>IFERROR(VLOOKUP(" 원/달러(평균)",환율,MATCH(CE$1,변수H,0),0),1332.1)</f>
        <v/>
      </c>
      <c r="CF25" s="13">
        <f>IFERROR(VLOOKUP(" 원/달러(평균)",환율,MATCH(CF$1,변수H,0),0),1332.1)</f>
        <v/>
      </c>
      <c r="CG25" s="13">
        <f>IFERROR(VLOOKUP(" 원/달러(평균)",환율,MATCH(CG$1,변수H,0),0),1332.1)</f>
        <v/>
      </c>
      <c r="CH25" s="13">
        <f>IFERROR(VLOOKUP(" 원/달러(평균)",환율,MATCH(CH$1,변수H,0),0),1332.1)</f>
        <v/>
      </c>
      <c r="CI25" s="13">
        <f>IFERROR(VLOOKUP(" 원/달러(평균)",환율,MATCH(CI$1,변수H,0),0),1332.1)</f>
        <v/>
      </c>
      <c r="CJ25" s="13">
        <f>IFERROR(VLOOKUP(" 원/달러(평균)",환율,MATCH(CJ$1,변수H,0),0),1332.1)</f>
        <v/>
      </c>
      <c r="CK25" s="13">
        <f>IFERROR(VLOOKUP(" 원/달러(평균)",환율,MATCH(CK$1,변수H,0),0),1332.1)</f>
        <v/>
      </c>
      <c r="CL25" s="13">
        <f>IFERROR(VLOOKUP(" 원/달러(평균)",환율,MATCH(CL$1,변수H,0),0),1332.1)</f>
        <v/>
      </c>
      <c r="CM25" s="13">
        <f>IFERROR(VLOOKUP(" 원/달러(평균)",환율,MATCH(CM$1,변수H,0),0),1332.1)</f>
        <v/>
      </c>
      <c r="CN25" s="13">
        <f>IFERROR(VLOOKUP(" 원/달러(평균)",환율,MATCH(CN$1,변수H,0),0),1332.1)</f>
        <v/>
      </c>
      <c r="CO25" s="13">
        <f>IFERROR(VLOOKUP(" 원/달러(평균)",환율,MATCH(CO$1,변수H,0),0),1332.1)</f>
        <v/>
      </c>
      <c r="CP25" s="13">
        <f>IFERROR(VLOOKUP(" 원/달러(평균)",환율,MATCH(CP$1,변수H,0),0),1332.1)</f>
        <v/>
      </c>
      <c r="CQ25" s="13">
        <f>IFERROR(VLOOKUP(" 원/달러(평균)",환율,MATCH(CQ$1,변수H,0),0),1332.1)</f>
        <v/>
      </c>
      <c r="CR25" s="13">
        <f>IFERROR(VLOOKUP(" 원/달러(평균)",환율,MATCH(CR$1,변수H,0),0),1332.1)</f>
        <v/>
      </c>
      <c r="CS25" s="13">
        <f>IFERROR(VLOOKUP(" 원/달러(평균)",환율,MATCH(CS$1,변수H,0),0),1332.1)</f>
        <v/>
      </c>
      <c r="CT25" s="13">
        <f>IFERROR(VLOOKUP(" 원/달러(평균)",환율,MATCH(CT$1,변수H,0),0),1332.1)</f>
        <v/>
      </c>
      <c r="CU25" s="13">
        <f>IFERROR(VLOOKUP(" 원/달러(평균)",환율,MATCH(CU$1,변수H,0),0),1332.1)</f>
        <v/>
      </c>
      <c r="CV25" s="13">
        <f>IFERROR(VLOOKUP(" 원/달러(평균)",환율,MATCH(CV$1,변수H,0),0),1332.1)</f>
        <v/>
      </c>
      <c r="CW25" s="13">
        <f>IFERROR(VLOOKUP(" 원/달러(평균)",환율,MATCH(CW$1,변수H,0),0),1332.1)</f>
        <v/>
      </c>
      <c r="CX25" s="13">
        <f>IFERROR(VLOOKUP(" 원/달러(평균)",환율,MATCH(CX$1,변수H,0),0),1332.1)</f>
        <v/>
      </c>
      <c r="CY25" s="13">
        <f>IFERROR(VLOOKUP(" 원/달러(평균)",환율,MATCH(CY$1,변수H,0),0),1332.1)</f>
        <v/>
      </c>
      <c r="CZ25" s="13">
        <f>IFERROR(VLOOKUP(" 원/달러(평균)",환율,MATCH(CZ$1,변수H,0),0),1332.1)</f>
        <v/>
      </c>
      <c r="DA25" s="13">
        <f>IFERROR(VLOOKUP(" 원/달러(평균)",환율,MATCH(DA$1,변수H,0),0),1332.1)</f>
        <v/>
      </c>
      <c r="DB25" s="13">
        <f>IFERROR(VLOOKUP(" 원/달러(평균)",환율,MATCH(DB$1,변수H,0),0),1332.1)</f>
        <v/>
      </c>
      <c r="DC25" s="13">
        <f>IFERROR(VLOOKUP(" 원/달러(평균)",환율,MATCH(DC$1,변수H,0),0),1332.1)</f>
        <v/>
      </c>
      <c r="DD25" s="13">
        <f>IFERROR(VLOOKUP(" 원/달러(평균)",환율,MATCH(DD$1,변수H,0),0),1332.1)</f>
        <v/>
      </c>
      <c r="DE25" s="13">
        <f>IFERROR(VLOOKUP(" 원/달러(평균)",환율,MATCH(DE$1,변수H,0),0),1332.1)</f>
        <v/>
      </c>
      <c r="DF25" s="13">
        <f>IFERROR(VLOOKUP(" 원/달러(평균)",환율,MATCH(DF$1,변수H,0),0),1332.1)</f>
        <v/>
      </c>
      <c r="DG25" s="13">
        <f>IFERROR(VLOOKUP(" 원/달러(평균)",환율,MATCH(DG$1,변수H,0),0),1332.1)</f>
        <v/>
      </c>
      <c r="DH25" s="13">
        <f>IFERROR(VLOOKUP(" 원/달러(평균)",환율,MATCH(DH$1,변수H,0),0),1332.1)</f>
        <v/>
      </c>
      <c r="DI25" s="13">
        <f>IFERROR(VLOOKUP(" 원/달러(평균)",환율,MATCH(DI$1,변수H,0),0),1332.1)</f>
        <v/>
      </c>
      <c r="DJ25" s="13">
        <f>IFERROR(VLOOKUP(" 원/달러(평균)",환율,MATCH(DJ$1,변수H,0),0),1332.1)</f>
        <v/>
      </c>
      <c r="DK25" s="13">
        <f>IFERROR(VLOOKUP(" 원/달러(평균)",환율,MATCH(DK$1,변수H,0),0),1332.1)</f>
        <v/>
      </c>
      <c r="DL25" s="13">
        <f>IFERROR(VLOOKUP(" 원/달러(평균)",환율,MATCH(DL$1,변수H,0),0),1332.1)</f>
        <v/>
      </c>
      <c r="DM25" s="13">
        <f>IFERROR(VLOOKUP(" 원/달러(평균)",환율,MATCH(DM$1,변수H,0),0),1332.1)</f>
        <v/>
      </c>
      <c r="DN25" s="13">
        <f>IFERROR(VLOOKUP(" 원/달러(평균)",환율,MATCH(DN$1,변수H,0),0),1332.1)</f>
        <v/>
      </c>
      <c r="DO25" s="13">
        <f>IFERROR(VLOOKUP(" 원/달러(평균)",환율,MATCH(DO$1,변수H,0),0),1332.1)</f>
        <v/>
      </c>
      <c r="DP25" s="13">
        <f>IFERROR(VLOOKUP(" 원/달러(평균)",환율,MATCH(DP$1,변수H,0),0),1332.1)</f>
        <v/>
      </c>
      <c r="DQ25" s="13">
        <f>IFERROR(VLOOKUP(" 원/달러(평균)",환율,MATCH(DQ$1,변수H,0),0),1332.1)</f>
        <v/>
      </c>
      <c r="DR25" s="13">
        <f>IFERROR(VLOOKUP(" 원/달러(평균)",환율,MATCH(DR$1,변수H,0),0),1332.1)</f>
        <v/>
      </c>
      <c r="DS25" s="13">
        <f>IFERROR(VLOOKUP(" 원/달러(평균)",환율,MATCH(DS$1,변수H,0),0),1332.1)</f>
        <v/>
      </c>
      <c r="DT25" s="13">
        <f>IFERROR(VLOOKUP(" 원/달러(평균)",환율,MATCH(DT$1,변수H,0),0),1332.1)</f>
        <v/>
      </c>
      <c r="DU25" s="13">
        <f>IFERROR(VLOOKUP(" 원/달러(평균)",환율,MATCH(DU$1,변수H,0),0),1332.1)</f>
        <v/>
      </c>
      <c r="DV25" s="13">
        <f>IFERROR(VLOOKUP(" 원/달러(평균)",환율,MATCH(DV$1,변수H,0),0),1332.1)</f>
        <v/>
      </c>
      <c r="DW25" s="13">
        <f>IFERROR(VLOOKUP(" 원/달러(평균)",환율,MATCH(DW$1,변수H,0),0),1332.1)</f>
        <v/>
      </c>
      <c r="DX25" s="13">
        <f>IFERROR(VLOOKUP(" 원/달러(평균)",환율,MATCH(DX$1,변수H,0),0),1332.1)</f>
        <v/>
      </c>
      <c r="DY25" s="13">
        <f>IFERROR(VLOOKUP(" 원/달러(평균)",환율,MATCH(DY$1,변수H,0),0),1332.1)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20261014800411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2.028</v>
      </c>
      <c r="AA73" s="26" t="n">
        <v>14.35</v>
      </c>
      <c r="AB73" s="26" t="n">
        <v>14.194</v>
      </c>
      <c r="AC73" s="26" t="n">
        <v>14.194</v>
      </c>
      <c r="AD73" s="26" t="n">
        <v>14.35</v>
      </c>
      <c r="AE73" s="26" t="n">
        <v>14.35</v>
      </c>
      <c r="AF73" s="26" t="n">
        <v>14.038</v>
      </c>
      <c r="AG73" s="26" t="n">
        <v>14.194</v>
      </c>
      <c r="AH73" s="26" t="n">
        <v>14.35</v>
      </c>
      <c r="AI73" s="26" t="n">
        <v>14.35</v>
      </c>
      <c r="AJ73" s="26" t="n">
        <v>14.038</v>
      </c>
      <c r="AK73" s="26" t="n">
        <v>14.194</v>
      </c>
      <c r="AL73" s="26" t="n">
        <v>14.35</v>
      </c>
      <c r="AM73" s="26" t="n">
        <v>14.35</v>
      </c>
      <c r="AN73" s="26" t="n">
        <v>14.043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201.373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20261014800411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20261014800411</t>
        </is>
      </c>
      <c r="B170" t="inlineStr">
        <is>
          <t>OTHER</t>
        </is>
      </c>
      <c r="D170" t="n">
        <v>264527.897</v>
      </c>
      <c r="E170" t="n">
        <v>201.373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32305억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2364.9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5.4</v>
      </c>
    </row>
    <row r="32">
      <c r="C32" s="2" t="inlineStr">
        <is>
          <t>pbr_now</t>
        </is>
      </c>
      <c r="D32" t="n">
        <v>1.53</v>
      </c>
    </row>
    <row r="33">
      <c r="C33" s="2" t="inlineStr">
        <is>
          <t>roe_fwd</t>
        </is>
      </c>
      <c r="D33" t="n">
        <v>0.2836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