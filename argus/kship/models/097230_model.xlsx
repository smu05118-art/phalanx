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BS연결!$C$5:$AO$94</definedName>
    <definedName name="BS별도H">BS별도!$C$1:$AO$1</definedName>
    <definedName name="BS별도">BS별도!$C$5:$AO$91</definedName>
    <definedName name="SUBQH">subQ!$A$1:$AO$1</definedName>
    <definedName name="subQ">subQ!$A$5:$AO$42</definedName>
    <definedName name="SLS_H">SLS!$A$1:$FE$1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매출조선 + 매출기타</t>
      </text>
    </comment>
    <comment ref="AD21" authorId="0" shapeId="0">
      <text>
        <t>모델값 역산(implied): v / 전년동기 − 1
매출조선 + 매출기타</t>
      </text>
    </comment>
    <comment ref="AF21" authorId="0" shapeId="0">
      <text>
        <t>모델값 역산(implied): v / 전년동기 − 1
매출조선 + 매출기타</t>
      </text>
    </comment>
    <comment ref="AG21" authorId="0" shapeId="0">
      <text>
        <t>모델값 역산(implied): v / 전년동기 − 1
매출조선 + 매출기타</t>
      </text>
    </comment>
    <comment ref="AH21" authorId="0" shapeId="0">
      <text>
        <t>모델값 역산(implied): v / 전년동기 − 1
매출조선 + 매출기타</t>
      </text>
    </comment>
    <comment ref="AI21" authorId="0" shapeId="0">
      <text>
        <t>모델값 역산(implied): v / 전년동기 − 1
매출조선 + 매출기타</t>
      </text>
    </comment>
    <comment ref="AK21" authorId="0" shapeId="0">
      <text>
        <t>모델값 역산(implied): v / 전년동기 − 1
매출조선 + 매출기타</t>
      </text>
    </comment>
    <comment ref="AL21" authorId="0" shapeId="0">
      <text>
        <t>모델값 역산(implied): v / 전년동기 − 1
매출조선 + 매출기타</t>
      </text>
    </comment>
    <comment ref="AM21" authorId="0" shapeId="0">
      <text>
        <t>모델값 역산(implied): v / 전년동기 − 1
매출조선 + 매출기타</t>
      </text>
    </comment>
    <comment ref="AN21" authorId="0" shapeId="0">
      <text>
        <t>모델값 역산(implied): v / 전년동기 − 1
매출조선 + 매출기타</t>
      </text>
    </comment>
    <comment ref="AC22" authorId="0" shapeId="0">
      <text>
        <t>모델값 역산(implied): v / 매출액
매출액 × 판관비율 5.36%(최근 4분기 중위)</t>
      </text>
    </comment>
    <comment ref="AD22" authorId="0" shapeId="0">
      <text>
        <t>모델값 역산(implied): v / 매출액
매출액 × 판관비율 5.36%(최근 4분기 중위)</t>
      </text>
    </comment>
    <comment ref="AF22" authorId="0" shapeId="0">
      <text>
        <t>모델값 역산(implied): v / 매출액
매출액 × 판관비율 5.36%(최근 4분기 중위)</t>
      </text>
    </comment>
    <comment ref="AG22" authorId="0" shapeId="0">
      <text>
        <t>모델값 역산(implied): v / 매출액
매출액 × 판관비율 5.36%(최근 4분기 중위)</t>
      </text>
    </comment>
    <comment ref="AH22" authorId="0" shapeId="0">
      <text>
        <t>모델값 역산(implied): v / 매출액
매출액 × 판관비율 5.36%(최근 4분기 중위)</t>
      </text>
    </comment>
    <comment ref="AI22" authorId="0" shapeId="0">
      <text>
        <t>모델값 역산(implied): v / 매출액
매출액 × 판관비율 5.36%(최근 4분기 중위)</t>
      </text>
    </comment>
    <comment ref="AK22" authorId="0" shapeId="0">
      <text>
        <t>모델값 역산(implied): v / 매출액
매출액 × 판관비율 5.36%(최근 4분기 중위)</t>
      </text>
    </comment>
    <comment ref="AL22" authorId="0" shapeId="0">
      <text>
        <t>모델값 역산(implied): v / 매출액
매출액 × 판관비율 5.36%(최근 4분기 중위)</t>
      </text>
    </comment>
    <comment ref="AM22" authorId="0" shapeId="0">
      <text>
        <t>모델값 역산(implied): v / 매출액
매출액 × 판관비율 5.36%(최근 4분기 중위)</t>
      </text>
    </comment>
    <comment ref="AN22" authorId="0" shapeId="0">
      <text>
        <t>모델값 역산(implied): v / 매출액
매출액 × 판관비율 5.36%(최근 4분기 중위)</t>
      </text>
    </comment>
    <comment ref="AC23" authorId="0" shapeId="0">
      <text>
        <t>모델값 역산(implied): v / 매출액
매출액 × OPM(SLS 코호트 타겟 4.7% + 회사 캘리브레이션 +4.3%p(최근 3분기 실측−타겟 중위))</t>
      </text>
    </comment>
    <comment ref="AD23" authorId="0" shapeId="0">
      <text>
        <t>모델값 역산(implied): v / 매출액
매출액 × OPM(SLS 코호트 타겟 4.8% + 회사 캘리브레이션 +4.3%p(최근 3분기 실측−타겟 중위))</t>
      </text>
    </comment>
    <comment ref="AF23" authorId="0" shapeId="0">
      <text>
        <t>모델값 역산(implied): v / 매출액
매출액 × OPM(SLS 코호트 타겟 4.8% + 회사 캘리브레이션 +4.3%p(최근 3분기 실측−타겟 중위))</t>
      </text>
    </comment>
    <comment ref="AG23" authorId="0" shapeId="0">
      <text>
        <t>모델값 역산(implied): v / 매출액
매출액 × OPM(SLS 코호트 타겟 4.8% + 회사 캘리브레이션 +4.3%p(최근 3분기 실측−타겟 중위))</t>
      </text>
    </comment>
    <comment ref="AH23" authorId="0" shapeId="0">
      <text>
        <t>모델값 역산(implied): v / 매출액
매출액 × OPM(SLS 코호트 타겟 4.8% + 회사 캘리브레이션 +4.3%p(최근 3분기 실측−타겟 중위))</t>
      </text>
    </comment>
    <comment ref="AI23" authorId="0" shapeId="0">
      <text>
        <t>모델값 역산(implied): v / 매출액
매출액 × OPM(SLS 코호트 타겟 4.8% + 회사 캘리브레이션 +4.3%p(최근 3분기 실측−타겟 중위))</t>
      </text>
    </comment>
    <comment ref="AK23" authorId="0" shapeId="0">
      <text>
        <t>모델값 역산(implied): v / 매출액
매출액 × OPM(SLS 코호트 타겟 4.8% + 회사 캘리브레이션 +4.3%p(최근 3분기 실측−타겟 중위))</t>
      </text>
    </comment>
    <comment ref="AL23" authorId="0" shapeId="0">
      <text>
        <t>모델값 역산(implied): v / 매출액
매출액 × OPM(SLS 코호트 타겟 4.8% + 회사 캘리브레이션 +4.3%p(최근 3분기 실측−타겟 중위))</t>
      </text>
    </comment>
    <comment ref="AM23" authorId="0" shapeId="0">
      <text>
        <t>모델값 역산(implied): v / 매출액
매출액 × OPM(SLS 코호트 타겟 4.7% + 회사 캘리브레이션 +4.3%p(최근 3분기 실측−타겟 중위))</t>
      </text>
    </comment>
    <comment ref="AN23" authorId="0" shapeId="0">
      <text>
        <t>모델값 역산(implied): v / 매출액
매출액 × OPM(SLS 코호트 타겟 4.7% + 회사 캘리브레이션 +4.3%p(최근 3분기 실측−타겟 중위))</t>
      </text>
    </comment>
    <comment ref="AC24" authorId="0" shapeId="0">
      <text>
        <t>모델값 역산(implied): v / 전년동기 − 1
SLS 코호트 타겟 4.7% + 회사 캘리브레이션 +4.3%p(최근 3분기 실측−타겟 중위)</t>
      </text>
    </comment>
    <comment ref="AD24" authorId="0" shapeId="0">
      <text>
        <t>모델값 역산(implied): v / 전년동기 − 1
SLS 코호트 타겟 4.8% + 회사 캘리브레이션 +4.3%p(최근 3분기 실측−타겟 중위)</t>
      </text>
    </comment>
    <comment ref="AF24" authorId="0" shapeId="0">
      <text>
        <t>모델값 역산(implied): v / 전년동기 − 1
SLS 코호트 타겟 4.8% + 회사 캘리브레이션 +4.3%p(최근 3분기 실측−타겟 중위)</t>
      </text>
    </comment>
    <comment ref="AG24" authorId="0" shapeId="0">
      <text>
        <t>모델값 역산(implied): v / 전년동기 − 1
SLS 코호트 타겟 4.8% + 회사 캘리브레이션 +4.3%p(최근 3분기 실측−타겟 중위)</t>
      </text>
    </comment>
    <comment ref="AH24" authorId="0" shapeId="0">
      <text>
        <t>모델값 역산(implied): v / 전년동기 − 1
SLS 코호트 타겟 4.8% + 회사 캘리브레이션 +4.3%p(최근 3분기 실측−타겟 중위)</t>
      </text>
    </comment>
    <comment ref="AI24" authorId="0" shapeId="0">
      <text>
        <t>모델값 역산(implied): v / 전년동기 − 1
SLS 코호트 타겟 4.8% + 회사 캘리브레이션 +4.3%p(최근 3분기 실측−타겟 중위)</t>
      </text>
    </comment>
    <comment ref="AK24" authorId="0" shapeId="0">
      <text>
        <t>모델값 역산(implied): v / 전년동기 − 1
SLS 코호트 타겟 4.8% + 회사 캘리브레이션 +4.3%p(최근 3분기 실측−타겟 중위)</t>
      </text>
    </comment>
    <comment ref="AL24" authorId="0" shapeId="0">
      <text>
        <t>모델값 역산(implied): v / 전년동기 − 1
SLS 코호트 타겟 4.8% + 회사 캘리브레이션 +4.3%p(최근 3분기 실측−타겟 중위)</t>
      </text>
    </comment>
    <comment ref="AM24" authorId="0" shapeId="0">
      <text>
        <t>모델값 역산(implied): v / 전년동기 − 1
SLS 코호트 타겟 4.7% + 회사 캘리브레이션 +4.3%p(최근 3분기 실측−타겟 중위)</t>
      </text>
    </comment>
    <comment ref="AN24" authorId="0" shapeId="0">
      <text>
        <t>모델값 역산(implied): v / 전년동기 − 1
SLS 코호트 타겟 4.7% + 회사 캘리브레이션 +4.3%p(최근 3분기 실측−타겟 중위)</t>
      </text>
    </comment>
    <comment ref="AC25" authorId="0" shapeId="0">
      <text>
        <t>모델값 역산(implied): 모델 v 그대로
이자손익 = 이자발생자산 2815억 × 2.56% − 총차입금 4751억 × 7.96% (연율, CF 실측) ÷ 4; 환·평가손익 0 가정</t>
      </text>
    </comment>
    <comment ref="AD25" authorId="0" shapeId="0">
      <text>
        <t>모델값 역산(implied): 모델 v 그대로
이자손익 = 이자발생자산 3247억 × 2.56% − 총차입금 4751억 × 7.96% (연율, CF 실측) ÷ 4; 환·평가손익 0 가정</t>
      </text>
    </comment>
    <comment ref="AF25" authorId="0" shapeId="0">
      <text>
        <t>모델값 역산(implied): 모델 v 그대로
이자손익 = 이자발생자산 3739억 × 2.56% − 총차입금 4751억 × 7.96% (연율, CF 실측) ÷ 4; 환·평가손익 0 가정</t>
      </text>
    </comment>
    <comment ref="AG25" authorId="0" shapeId="0">
      <text>
        <t>모델값 역산(implied): 모델 v 그대로
이자손익 = 이자발생자산 4232억 × 2.56% − 총차입금 4751억 × 7.96% (연율, CF 실측) ÷ 4; 환·평가손익 0 가정</t>
      </text>
    </comment>
    <comment ref="AH25" authorId="0" shapeId="0">
      <text>
        <t>모델값 역산(implied): 모델 v 그대로
이자손익 = 이자발생자산 4728억 × 2.56% − 총차입금 4751억 × 7.96% (연율, CF 실측) ÷ 4; 환·평가손익 0 가정</t>
      </text>
    </comment>
    <comment ref="AI25" authorId="0" shapeId="0">
      <text>
        <t>모델값 역산(implied): 모델 v 그대로
이자손익 = 이자발생자산 5067억 × 2.56% − 총차입금 4751억 × 7.96% (연율, CF 실측) ÷ 4; 환·평가손익 0 가정</t>
      </text>
    </comment>
    <comment ref="AK25" authorId="0" shapeId="0">
      <text>
        <t>모델값 역산(implied): 모델 v 그대로
이자손익 = 이자발생자산 5384억 × 2.56% − 총차입금 4751억 × 7.96% (연율, CF 실측) ÷ 4; 환·평가손익 0 가정</t>
      </text>
    </comment>
    <comment ref="AL25" authorId="0" shapeId="0">
      <text>
        <t>모델값 역산(implied): 모델 v 그대로
이자손익 = 이자발생자산 5701억 × 2.56% − 총차입금 4751억 × 7.96% (연율, CF 실측) ÷ 4; 환·평가손익 0 가정</t>
      </text>
    </comment>
    <comment ref="AM25" authorId="0" shapeId="0">
      <text>
        <t>모델값 역산(implied): 모델 v 그대로
이자손익 = 이자발생자산 6020억 × 2.56% − 총차입금 4751억 × 7.96% (연율, CF 실측) ÷ 4; 환·평가손익 0 가정</t>
      </text>
    </comment>
    <comment ref="AN25" authorId="0" shapeId="0">
      <text>
        <t>모델값 역산(implied): 모델 v 그대로
이자손익 = 이자발생자산 6308억 × 2.56% − 총차입금 4751억 × 7.96%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5.0%(최근 12분기 유효세율 -14.9% → 5~27% 클립)</t>
      </text>
    </comment>
    <comment ref="AD27" authorId="0" shapeId="0">
      <text>
        <t>모델값 역산(implied): v / 세전이익
max(세전, 0) × 세율 5.0%(최근 12분기 유효세율 -14.9% → 5~27% 클립)</t>
      </text>
    </comment>
    <comment ref="AF27" authorId="0" shapeId="0">
      <text>
        <t>모델값 역산(implied): v / 세전이익
max(세전, 0) × 세율 5.0%(최근 12분기 유효세율 -14.9% → 5~27% 클립)</t>
      </text>
    </comment>
    <comment ref="AG27" authorId="0" shapeId="0">
      <text>
        <t>모델값 역산(implied): v / 세전이익
max(세전, 0) × 세율 5.0%(최근 12분기 유효세율 -14.9% → 5~27% 클립)</t>
      </text>
    </comment>
    <comment ref="AH27" authorId="0" shapeId="0">
      <text>
        <t>모델값 역산(implied): v / 세전이익
max(세전, 0) × 세율 5.0%(최근 12분기 유효세율 -14.9% → 5~27% 클립)</t>
      </text>
    </comment>
    <comment ref="AI27" authorId="0" shapeId="0">
      <text>
        <t>모델값 역산(implied): v / 세전이익
max(세전, 0) × 세율 5.0%(최근 12분기 유효세율 -14.9% → 5~27% 클립)</t>
      </text>
    </comment>
    <comment ref="AK27" authorId="0" shapeId="0">
      <text>
        <t>모델값 역산(implied): v / 세전이익
max(세전, 0) × 세율 5.0%(최근 12분기 유효세율 -14.9% → 5~27% 클립)</t>
      </text>
    </comment>
    <comment ref="AL27" authorId="0" shapeId="0">
      <text>
        <t>모델값 역산(implied): v / 세전이익
max(세전, 0) × 세율 5.0%(최근 12분기 유효세율 -14.9% → 5~27% 클립)</t>
      </text>
    </comment>
    <comment ref="AM27" authorId="0" shapeId="0">
      <text>
        <t>모델값 역산(implied): v / 세전이익
max(세전, 0) × 세율 5.0%(최근 12분기 유효세율 -14.9% → 5~27% 클립)</t>
      </text>
    </comment>
    <comment ref="AN27" authorId="0" shapeId="0">
      <text>
        <t>모델값 역산(implied): v / 세전이익
max(세전, 0) × 세율 5.0%(최근 12분기 유효세율 -14.9%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SLS 해양 원화 1051억(sls.by_quarter.marine_hedged_krw_m(헤지 70% 적용)) + 원장 밖 잔고 소진 2153억(최근 4분기 '부문매출−SLS' 중위 2153억/분기, 잔여 6734억)</t>
      </text>
    </comment>
    <comment ref="AD43" authorId="0" shapeId="0">
      <text>
        <t>모델값 역산(implied): v / 매출액
SLS 해양 원화 1613억(sls.by_quarter.marine_hedged_krw_m(헤지 70% 적용)) + 원장 밖 잔고 소진 2153억(최근 4분기 '부문매출−SLS' 중위 2153억/분기, 잔여 4581억)</t>
      </text>
    </comment>
    <comment ref="AF43" authorId="0" shapeId="0">
      <text>
        <t>모델값 역산(implied): v / 매출액
SLS 해양 원화 1578억(sls.by_quarter.marine_hedged_krw_m(헤지 70% 적용)) + 원장 밖 잔고 소진 2153억(최근 4분기 '부문매출−SLS' 중위 2153억/분기, 잔여 2428억)</t>
      </text>
    </comment>
    <comment ref="AG43" authorId="0" shapeId="0">
      <text>
        <t>모델값 역산(implied): v / 매출액
SLS 해양 원화 1595억(sls.by_quarter.marine_hedged_krw_m(헤지 70% 적용)) + 원장 밖 잔고 소진 2153억(최근 4분기 '부문매출−SLS' 중위 2153억/분기, 잔여 275억)</t>
      </text>
    </comment>
    <comment ref="AH43" authorId="0" shapeId="0">
      <text>
        <t>모델값 역산(implied): v / 매출액
SLS 해양 원화 1613억(sls.by_quarter.marine_hedged_krw_m(헤지 70% 적용)) + 원장 밖 잔고 소진 275억(최근 4분기 '부문매출−SLS' 중위 2153억/분기, 잔여 0억)</t>
      </text>
    </comment>
    <comment ref="AI43" authorId="0" shapeId="0">
      <text>
        <t>모델값 역산(implied): v / 매출액
SLS 해양 원화 1613억(sls.by_quarter.marine_hedged_krw_m(헤지 70% 적용)) + 원장 밖 잔고 소진 0억(최근 4분기 '부문매출−SLS' 중위 2153억/분기, 잔여 0억)</t>
      </text>
    </comment>
    <comment ref="AK43" authorId="0" shapeId="0">
      <text>
        <t>모델값 역산(implied): v / 매출액
SLS 해양 원화 1595억(sls.by_quarter.marine_hedged_krw_m(헤지 70% 적용)) + 원장 밖 잔고 소진 0억(최근 4분기 '부문매출−SLS' 중위 2153억/분기, 잔여 0억)</t>
      </text>
    </comment>
    <comment ref="AL43" authorId="0" shapeId="0">
      <text>
        <t>모델값 역산(implied): v / 매출액
SLS 해양 원화 1595억(sls.by_quarter.marine_hedged_krw_m(헤지 70% 적용)) + 원장 밖 잔고 소진 0억(최근 4분기 '부문매출−SLS' 중위 2153억/분기, 잔여 0억)</t>
      </text>
    </comment>
    <comment ref="AM43" authorId="0" shapeId="0">
      <text>
        <t>모델값 역산(implied): v / 매출액
SLS 해양 원화 1249억(sls.by_quarter.marine_hedged_krw_m(헤지 70% 적용)) + 원장 밖 잔고 소진 0억(최근 4분기 '부문매출−SLS' 중위 2153억/분기, 잔여 0억)</t>
      </text>
    </comment>
    <comment ref="AN43" authorId="0" shapeId="0">
      <text>
        <t>모델값 역산(implied): v / 매출액
SLS 해양 원화 1004억(sls.by_quarter.marine_hedged_krw_m(헤지 70% 적용)) + 원장 밖 잔고 소진 0억(최근 4분기 '부문매출−SLS' 중위 2153억/분기, 잔여 0억)</t>
      </text>
    </comment>
    <comment ref="AC44" authorId="0" shapeId="0">
      <text>
        <t>모델값 역산(implied): v / 매출조선
매출조선 × 타겟 OPM(부문 OP 미공시 → 회사 OPM 적용)</t>
      </text>
    </comment>
    <comment ref="AD44" authorId="0" shapeId="0">
      <text>
        <t>모델값 역산(implied): v / 매출조선
매출조선 × 타겟 OPM(부문 OP 미공시 → 회사 OPM 적용)</t>
      </text>
    </comment>
    <comment ref="AF44" authorId="0" shapeId="0">
      <text>
        <t>모델값 역산(implied): v / 매출조선
매출조선 × 타겟 OPM(부문 OP 미공시 → 회사 OPM 적용)</t>
      </text>
    </comment>
    <comment ref="AG44" authorId="0" shapeId="0">
      <text>
        <t>모델값 역산(implied): v / 매출조선
매출조선 × 타겟 OPM(부문 OP 미공시 → 회사 OPM 적용)</t>
      </text>
    </comment>
    <comment ref="AH44" authorId="0" shapeId="0">
      <text>
        <t>모델값 역산(implied): v / 매출조선
매출조선 × 타겟 OPM(부문 OP 미공시 → 회사 OPM 적용)</t>
      </text>
    </comment>
    <comment ref="AI44" authorId="0" shapeId="0">
      <text>
        <t>모델값 역산(implied): v / 매출조선
매출조선 × 타겟 OPM(부문 OP 미공시 → 회사 OPM 적용)</t>
      </text>
    </comment>
    <comment ref="AK44" authorId="0" shapeId="0">
      <text>
        <t>모델값 역산(implied): v / 매출조선
매출조선 × 타겟 OPM(부문 OP 미공시 → 회사 OPM 적용)</t>
      </text>
    </comment>
    <comment ref="AL44" authorId="0" shapeId="0">
      <text>
        <t>모델값 역산(implied): v / 매출조선
매출조선 × 타겟 OPM(부문 OP 미공시 → 회사 OPM 적용)</t>
      </text>
    </comment>
    <comment ref="AM44" authorId="0" shapeId="0">
      <text>
        <t>모델값 역산(implied): v / 매출조선
매출조선 × 타겟 OPM(부문 OP 미공시 → 회사 OPM 적용)</t>
      </text>
    </comment>
    <comment ref="AN44" authorId="0" shapeId="0">
      <text>
        <t>모델값 역산(implied): v / 매출조선
매출조선 × 타겟 OPM(부문 OP 미공시 → 회사 OPM 적용)</t>
      </text>
    </comment>
    <comment ref="AC45" authorId="0" shapeId="0">
      <text>
        <t>모델값 역산(implied): v / 매출액
기타 부문(연결 − 조선 부문) 최근 4분기 중위 2726억 유지</t>
      </text>
    </comment>
    <comment ref="AD45" authorId="0" shapeId="0">
      <text>
        <t>모델값 역산(implied): v / 매출액
기타 부문(연결 − 조선 부문) 최근 4분기 중위 2726억 유지</t>
      </text>
    </comment>
    <comment ref="AF45" authorId="0" shapeId="0">
      <text>
        <t>모델값 역산(implied): v / 매출액
기타 부문(연결 − 조선 부문) 최근 4분기 중위 2726억 유지</t>
      </text>
    </comment>
    <comment ref="AG45" authorId="0" shapeId="0">
      <text>
        <t>모델값 역산(implied): v / 매출액
기타 부문(연결 − 조선 부문) 최근 4분기 중위 2726억 유지</t>
      </text>
    </comment>
    <comment ref="AH45" authorId="0" shapeId="0">
      <text>
        <t>모델값 역산(implied): v / 매출액
기타 부문(연결 − 조선 부문) 최근 4분기 중위 2726억 유지</t>
      </text>
    </comment>
    <comment ref="AI45" authorId="0" shapeId="0">
      <text>
        <t>모델값 역산(implied): v / 매출액
기타 부문(연결 − 조선 부문) 최근 4분기 중위 2726억 유지</t>
      </text>
    </comment>
    <comment ref="AK45" authorId="0" shapeId="0">
      <text>
        <t>모델값 역산(implied): v / 매출액
기타 부문(연결 − 조선 부문) 최근 4분기 중위 2726억 유지</t>
      </text>
    </comment>
    <comment ref="AL45" authorId="0" shapeId="0">
      <text>
        <t>모델값 역산(implied): v / 매출액
기타 부문(연결 − 조선 부문) 최근 4분기 중위 2726억 유지</t>
      </text>
    </comment>
    <comment ref="AM45" authorId="0" shapeId="0">
      <text>
        <t>모델값 역산(implied): v / 매출액
기타 부문(연결 − 조선 부문) 최근 4분기 중위 2726억 유지</t>
      </text>
    </comment>
    <comment ref="AN45" authorId="0" shapeId="0">
      <text>
        <t>모델값 역산(implied): v / 매출액
기타 부문(연결 − 조선 부문) 최근 4분기 중위 2726억 유지</t>
      </text>
    </comment>
    <comment ref="AC46" authorId="0" shapeId="0">
      <text>
        <t>모델값 역산(implied): v / 매출기타
매출기타 × 회사 OPM(부문 OP 미공시)</t>
      </text>
    </comment>
    <comment ref="AD46" authorId="0" shapeId="0">
      <text>
        <t>모델값 역산(implied): v / 매출기타
매출기타 × 회사 OPM(부문 OP 미공시)</t>
      </text>
    </comment>
    <comment ref="AF46" authorId="0" shapeId="0">
      <text>
        <t>모델값 역산(implied): v / 매출기타
매출기타 × 회사 OPM(부문 OP 미공시)</t>
      </text>
    </comment>
    <comment ref="AG46" authorId="0" shapeId="0">
      <text>
        <t>모델값 역산(implied): v / 매출기타
매출기타 × 회사 OPM(부문 OP 미공시)</t>
      </text>
    </comment>
    <comment ref="AH46" authorId="0" shapeId="0">
      <text>
        <t>모델값 역산(implied): v / 매출기타
매출기타 × 회사 OPM(부문 OP 미공시)</t>
      </text>
    </comment>
    <comment ref="AI46" authorId="0" shapeId="0">
      <text>
        <t>모델값 역산(implied): v / 매출기타
매출기타 × 회사 OPM(부문 OP 미공시)</t>
      </text>
    </comment>
    <comment ref="AK46" authorId="0" shapeId="0">
      <text>
        <t>모델값 역산(implied): v / 매출기타
매출기타 × 회사 OPM(부문 OP 미공시)</t>
      </text>
    </comment>
    <comment ref="AL46" authorId="0" shapeId="0">
      <text>
        <t>모델값 역산(implied): v / 매출기타
매출기타 × 회사 OPM(부문 OP 미공시)</t>
      </text>
    </comment>
    <comment ref="AM46" authorId="0" shapeId="0">
      <text>
        <t>모델값 역산(implied): v / 매출기타
매출기타 × 회사 OPM(부문 OP 미공시)</t>
      </text>
    </comment>
    <comment ref="AN46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[yoy]</t>
      </text>
    </comment>
    <comment ref="AD5" authorId="0" shapeId="0">
      <text>
        <t>추정: 매출조선 + 매출기타
[yoy]</t>
      </text>
    </comment>
    <comment ref="AF5" authorId="0" shapeId="0">
      <text>
        <t>추정: 매출조선 + 매출기타
[yoy]</t>
      </text>
    </comment>
    <comment ref="AG5" authorId="0" shapeId="0">
      <text>
        <t>추정: 매출조선 + 매출기타
[yoy]</t>
      </text>
    </comment>
    <comment ref="AH5" authorId="0" shapeId="0">
      <text>
        <t>추정: 매출조선 + 매출기타
[yoy]</t>
      </text>
    </comment>
    <comment ref="AI5" authorId="0" shapeId="0">
      <text>
        <t>추정: 매출조선 + 매출기타
[yoy]</t>
      </text>
    </comment>
    <comment ref="AK5" authorId="0" shapeId="0">
      <text>
        <t>추정: 매출조선 + 매출기타
[yoy]</t>
      </text>
    </comment>
    <comment ref="AL5" authorId="0" shapeId="0">
      <text>
        <t>추정: 매출조선 + 매출기타
[yoy]</t>
      </text>
    </comment>
    <comment ref="AM5" authorId="0" shapeId="0">
      <text>
        <t>추정: 매출조선 + 매출기타
[yoy]</t>
      </text>
    </comment>
    <comment ref="AN5" authorId="0" shapeId="0">
      <text>
        <t>추정: 매출조선 + 매출기타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5.36%(최근 4분기 중위)
[ratio]</t>
      </text>
    </comment>
    <comment ref="AD8" authorId="0" shapeId="0">
      <text>
        <t>추정: 매출액 × 판관비율 5.36%(최근 4분기 중위)
[ratio]</t>
      </text>
    </comment>
    <comment ref="AF8" authorId="0" shapeId="0">
      <text>
        <t>추정: 매출액 × 판관비율 5.36%(최근 4분기 중위)
[ratio]</t>
      </text>
    </comment>
    <comment ref="AG8" authorId="0" shapeId="0">
      <text>
        <t>추정: 매출액 × 판관비율 5.36%(최근 4분기 중위)
[ratio]</t>
      </text>
    </comment>
    <comment ref="AH8" authorId="0" shapeId="0">
      <text>
        <t>추정: 매출액 × 판관비율 5.36%(최근 4분기 중위)
[ratio]</t>
      </text>
    </comment>
    <comment ref="AI8" authorId="0" shapeId="0">
      <text>
        <t>추정: 매출액 × 판관비율 5.36%(최근 4분기 중위)
[ratio]</t>
      </text>
    </comment>
    <comment ref="AK8" authorId="0" shapeId="0">
      <text>
        <t>추정: 매출액 × 판관비율 5.36%(최근 4분기 중위)
[ratio]</t>
      </text>
    </comment>
    <comment ref="AL8" authorId="0" shapeId="0">
      <text>
        <t>추정: 매출액 × 판관비율 5.36%(최근 4분기 중위)
[ratio]</t>
      </text>
    </comment>
    <comment ref="AM8" authorId="0" shapeId="0">
      <text>
        <t>추정: 매출액 × 판관비율 5.36%(최근 4분기 중위)
[ratio]</t>
      </text>
    </comment>
    <comment ref="AN8" authorId="0" shapeId="0">
      <text>
        <t>추정: 매출액 × 판관비율 5.36%(최근 4분기 중위)
[ratio]</t>
      </text>
    </comment>
    <comment ref="AC9" authorId="0" shapeId="0">
      <text>
        <t>추정: 매출액 × OPM(SLS 코호트 타겟 4.7% + 회사 캘리브레이션 +4.3%p(최근 3분기 실측−타겟 중위))
[ratio]</t>
      </text>
    </comment>
    <comment ref="AD9" authorId="0" shapeId="0">
      <text>
        <t>추정: 매출액 × OPM(SLS 코호트 타겟 4.8% + 회사 캘리브레이션 +4.3%p(최근 3분기 실측−타겟 중위))
[ratio]</t>
      </text>
    </comment>
    <comment ref="AF9" authorId="0" shapeId="0">
      <text>
        <t>추정: 매출액 × OPM(SLS 코호트 타겟 4.8% + 회사 캘리브레이션 +4.3%p(최근 3분기 실측−타겟 중위))
[ratio]</t>
      </text>
    </comment>
    <comment ref="AG9" authorId="0" shapeId="0">
      <text>
        <t>추정: 매출액 × OPM(SLS 코호트 타겟 4.8% + 회사 캘리브레이션 +4.3%p(최근 3분기 실측−타겟 중위))
[ratio]</t>
      </text>
    </comment>
    <comment ref="AH9" authorId="0" shapeId="0">
      <text>
        <t>추정: 매출액 × OPM(SLS 코호트 타겟 4.8% + 회사 캘리브레이션 +4.3%p(최근 3분기 실측−타겟 중위))
[ratio]</t>
      </text>
    </comment>
    <comment ref="AI9" authorId="0" shapeId="0">
      <text>
        <t>추정: 매출액 × OPM(SLS 코호트 타겟 4.8% + 회사 캘리브레이션 +4.3%p(최근 3분기 실측−타겟 중위))
[ratio]</t>
      </text>
    </comment>
    <comment ref="AK9" authorId="0" shapeId="0">
      <text>
        <t>추정: 매출액 × OPM(SLS 코호트 타겟 4.8% + 회사 캘리브레이션 +4.3%p(최근 3분기 실측−타겟 중위))
[ratio]</t>
      </text>
    </comment>
    <comment ref="AL9" authorId="0" shapeId="0">
      <text>
        <t>추정: 매출액 × OPM(SLS 코호트 타겟 4.8% + 회사 캘리브레이션 +4.3%p(최근 3분기 실측−타겟 중위))
[ratio]</t>
      </text>
    </comment>
    <comment ref="AM9" authorId="0" shapeId="0">
      <text>
        <t>추정: 매출액 × OPM(SLS 코호트 타겟 4.7% + 회사 캘리브레이션 +4.3%p(최근 3분기 실측−타겟 중위))
[ratio]</t>
      </text>
    </comment>
    <comment ref="AN9" authorId="0" shapeId="0">
      <text>
        <t>추정: 매출액 × OPM(SLS 코호트 타겟 4.7% + 회사 캘리브레이션 +4.3%p(최근 3분기 실측−타겟 중위))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SLS 코호트 타겟 4.7% + 회사 캘리브레이션 +4.3%p(최근 3분기 실측−타겟 중위)
[yoy]</t>
      </text>
    </comment>
    <comment ref="AD10" authorId="0" shapeId="0">
      <text>
        <t>추정: SLS 코호트 타겟 4.8% + 회사 캘리브레이션 +4.3%p(최근 3분기 실측−타겟 중위)
[yoy]</t>
      </text>
    </comment>
    <comment ref="AF10" authorId="0" shapeId="0">
      <text>
        <t>추정: SLS 코호트 타겟 4.8% + 회사 캘리브레이션 +4.3%p(최근 3분기 실측−타겟 중위)
[yoy]</t>
      </text>
    </comment>
    <comment ref="AG10" authorId="0" shapeId="0">
      <text>
        <t>추정: SLS 코호트 타겟 4.8% + 회사 캘리브레이션 +4.3%p(최근 3분기 실측−타겟 중위)
[yoy]</t>
      </text>
    </comment>
    <comment ref="AH10" authorId="0" shapeId="0">
      <text>
        <t>추정: SLS 코호트 타겟 4.8% + 회사 캘리브레이션 +4.3%p(최근 3분기 실측−타겟 중위)
[yoy]</t>
      </text>
    </comment>
    <comment ref="AI10" authorId="0" shapeId="0">
      <text>
        <t>추정: SLS 코호트 타겟 4.8% + 회사 캘리브레이션 +4.3%p(최근 3분기 실측−타겟 중위)
[yoy]</t>
      </text>
    </comment>
    <comment ref="AK10" authorId="0" shapeId="0">
      <text>
        <t>추정: SLS 코호트 타겟 4.8% + 회사 캘리브레이션 +4.3%p(최근 3분기 실측−타겟 중위)
[yoy]</t>
      </text>
    </comment>
    <comment ref="AL10" authorId="0" shapeId="0">
      <text>
        <t>추정: SLS 코호트 타겟 4.8% + 회사 캘리브레이션 +4.3%p(최근 3분기 실측−타겟 중위)
[yoy]</t>
      </text>
    </comment>
    <comment ref="AM10" authorId="0" shapeId="0">
      <text>
        <t>추정: SLS 코호트 타겟 4.7% + 회사 캘리브레이션 +4.3%p(최근 3분기 실측−타겟 중위)
[yoy]</t>
      </text>
    </comment>
    <comment ref="AN10" authorId="0" shapeId="0">
      <text>
        <t>추정: SLS 코호트 타겟 4.7% + 회사 캘리브레이션 +4.3%p(최근 3분기 실측−타겟 중위)
[yoy]</t>
      </text>
    </comment>
    <comment ref="AC11" authorId="0" shapeId="0">
      <text>
        <t>추정: 이자손익 = 이자발생자산 2815억 × 2.56% − 총차입금 4751억 × 7.96% (연율, CF 실측) ÷ 4; 환·평가손익 0 가정
[abs]</t>
      </text>
    </comment>
    <comment ref="AD11" authorId="0" shapeId="0">
      <text>
        <t>추정: 이자손익 = 이자발생자산 3247억 × 2.56% − 총차입금 4751억 × 7.96% (연율, CF 실측) ÷ 4; 환·평가손익 0 가정
[abs]</t>
      </text>
    </comment>
    <comment ref="AF11" authorId="0" shapeId="0">
      <text>
        <t>추정: 이자손익 = 이자발생자산 3739억 × 2.56% − 총차입금 4751억 × 7.96% (연율, CF 실측) ÷ 4; 환·평가손익 0 가정
[abs]</t>
      </text>
    </comment>
    <comment ref="AG11" authorId="0" shapeId="0">
      <text>
        <t>추정: 이자손익 = 이자발생자산 4232억 × 2.56% − 총차입금 4751억 × 7.96% (연율, CF 실측) ÷ 4; 환·평가손익 0 가정
[abs]</t>
      </text>
    </comment>
    <comment ref="AH11" authorId="0" shapeId="0">
      <text>
        <t>추정: 이자손익 = 이자발생자산 4728억 × 2.56% − 총차입금 4751억 × 7.96% (연율, CF 실측) ÷ 4; 환·평가손익 0 가정
[abs]</t>
      </text>
    </comment>
    <comment ref="AI11" authorId="0" shapeId="0">
      <text>
        <t>추정: 이자손익 = 이자발생자산 5067억 × 2.56% − 총차입금 4751억 × 7.96% (연율, CF 실측) ÷ 4; 환·평가손익 0 가정
[abs]</t>
      </text>
    </comment>
    <comment ref="AK11" authorId="0" shapeId="0">
      <text>
        <t>추정: 이자손익 = 이자발생자산 5384억 × 2.56% − 총차입금 4751억 × 7.96% (연율, CF 실측) ÷ 4; 환·평가손익 0 가정
[abs]</t>
      </text>
    </comment>
    <comment ref="AL11" authorId="0" shapeId="0">
      <text>
        <t>추정: 이자손익 = 이자발생자산 5701억 × 2.56% − 총차입금 4751억 × 7.96% (연율, CF 실측) ÷ 4; 환·평가손익 0 가정
[abs]</t>
      </text>
    </comment>
    <comment ref="AM11" authorId="0" shapeId="0">
      <text>
        <t>추정: 이자손익 = 이자발생자산 6020억 × 2.56% − 총차입금 4751억 × 7.96% (연율, CF 실측) ÷ 4; 환·평가손익 0 가정
[abs]</t>
      </text>
    </comment>
    <comment ref="AN11" authorId="0" shapeId="0">
      <text>
        <t>추정: 이자손익 = 이자발생자산 6308억 × 2.56% − 총차입금 4751억 × 7.96%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5.0%(최근 12분기 유효세율 -14.9% → 5~27% 클립)
[ratio]</t>
      </text>
    </comment>
    <comment ref="AD14" authorId="0" shapeId="0">
      <text>
        <t>추정: max(세전, 0) × 세율 5.0%(최근 12분기 유효세율 -14.9% → 5~27% 클립)
[ratio]</t>
      </text>
    </comment>
    <comment ref="AF14" authorId="0" shapeId="0">
      <text>
        <t>추정: max(세전, 0) × 세율 5.0%(최근 12분기 유효세율 -14.9% → 5~27% 클립)
[ratio]</t>
      </text>
    </comment>
    <comment ref="AG14" authorId="0" shapeId="0">
      <text>
        <t>추정: max(세전, 0) × 세율 5.0%(최근 12분기 유효세율 -14.9% → 5~27% 클립)
[ratio]</t>
      </text>
    </comment>
    <comment ref="AH14" authorId="0" shapeId="0">
      <text>
        <t>추정: max(세전, 0) × 세율 5.0%(최근 12분기 유효세율 -14.9% → 5~27% 클립)
[ratio]</t>
      </text>
    </comment>
    <comment ref="AI14" authorId="0" shapeId="0">
      <text>
        <t>추정: max(세전, 0) × 세율 5.0%(최근 12분기 유효세율 -14.9% → 5~27% 클립)
[ratio]</t>
      </text>
    </comment>
    <comment ref="AK14" authorId="0" shapeId="0">
      <text>
        <t>추정: max(세전, 0) × 세율 5.0%(최근 12분기 유효세율 -14.9% → 5~27% 클립)
[ratio]</t>
      </text>
    </comment>
    <comment ref="AL14" authorId="0" shapeId="0">
      <text>
        <t>추정: max(세전, 0) × 세율 5.0%(최근 12분기 유효세율 -14.9% → 5~27% 클립)
[ratio]</t>
      </text>
    </comment>
    <comment ref="AM14" authorId="0" shapeId="0">
      <text>
        <t>추정: max(세전, 0) × 세율 5.0%(최근 12분기 유효세율 -14.9% → 5~27% 클립)
[ratio]</t>
      </text>
    </comment>
    <comment ref="AN14" authorId="0" shapeId="0">
      <text>
        <t>추정: max(세전, 0) × 세율 5.0%(최근 12분기 유효세율 -14.9%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E17" authorId="0" shapeId="0">
      <text>
        <t>실측(계정 매핑 없음 — 모델값 직접) — fin.cons.is.중단사업이익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추정(가정 셀 참조 불가 — 기준값 없음, 모델값 직접): 현재 종가 ÷ TTM EPS(추정 포함)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H34" authorId="0" shapeId="0">
      <text>
        <t>실측(계정 매핑 없음 — 모델값 직접) — sls.reconcile.reported_segment_rev_m ← yards_cache 부문표(3개월분)</t>
      </text>
    </comment>
    <comment ref="I34" authorId="0" shapeId="0">
      <text>
        <t>실측(계정 매핑 없음 — 모델값 직접) — sls.reconcile.reported_segment_rev_m ← yards_cache 부문표(3개월분)</t>
      </text>
    </comment>
    <comment ref="J34" authorId="0" shapeId="0">
      <text>
        <t>실측(계정 매핑 없음 — 모델값 직접) — sls.reconcile.reported_segment_rev_m ← yards_cache 부문표(3개월분)</t>
      </text>
    </comment>
    <comment ref="M34" authorId="0" shapeId="0">
      <text>
        <t>실측(계정 매핑 없음 — 모델값 직접) — sls.reconcile.reported_segment_rev_m ← yards_cache 부문표(3개월분)</t>
      </text>
    </comment>
    <comment ref="N34" authorId="0" shapeId="0">
      <text>
        <t>실측(계정 매핑 없음 — 모델값 직접) — sls.reconcile.reported_segment_rev_m ← yards_cache 부문표(3개월분)</t>
      </text>
    </comment>
    <comment ref="O34" authorId="0" shapeId="0">
      <text>
        <t>실측(계정 매핑 없음 — 모델값 직접) — sls.reconcile.reported_segment_rev_m ← yards_cache 부문표(3개월분)</t>
      </text>
    </comment>
    <comment ref="R34" authorId="0" shapeId="0">
      <text>
        <t>실측(계정 매핑 없음 — 모델값 직접) — sls.reconcile.reported_segment_rev_m ← yards_cache 부문표(3개월분)</t>
      </text>
    </comment>
    <comment ref="S34" authorId="0" shapeId="0">
      <text>
        <t>실측(계정 매핑 없음 — 모델값 직접) — sls.reconcile.reported_segment_rev_m ← yards_cache 부문표(3개월분)</t>
      </text>
    </comment>
    <comment ref="W34" authorId="0" shapeId="0">
      <text>
        <t>실측(계정 매핑 없음 — 모델값 직접) — sls.reconcile.reported_segment_rev_m ← yards_cache 부문표(3개월분)</t>
      </text>
    </comment>
    <comment ref="X34" authorId="0" shapeId="0">
      <text>
        <t>실측(계정 매핑 없음 — 모델값 직접) — sls.reconcile.reported_segment_rev_m ← yards_cache 부문표(3개월분)</t>
      </text>
    </comment>
    <comment ref="AB34" authorId="0" shapeId="0">
      <text>
        <t>실측(계정 매핑 없음 — 모델값 직접) — sls.reconcile.reported_segment_rev_m ← yards_cache 부문표(3개월분)</t>
      </text>
    </comment>
    <comment ref="AC34" authorId="0" shapeId="0">
      <text>
        <t>추정: SLS 해양 원화 1051억(sls.by_quarter.marine_hedged_krw_m(헤지 70% 적용)) + 원장 밖 잔고 소진 2153억(최근 4분기 '부문매출−SLS' 중위 2153억/분기, 잔여 6734억)
[ratio]</t>
      </text>
    </comment>
    <comment ref="AD34" authorId="0" shapeId="0">
      <text>
        <t>추정: SLS 해양 원화 1613억(sls.by_quarter.marine_hedged_krw_m(헤지 70% 적용)) + 원장 밖 잔고 소진 2153억(최근 4분기 '부문매출−SLS' 중위 2153억/분기, 잔여 4581억)
[ratio]</t>
      </text>
    </comment>
    <comment ref="AF34" authorId="0" shapeId="0">
      <text>
        <t>추정: SLS 해양 원화 1578억(sls.by_quarter.marine_hedged_krw_m(헤지 70% 적용)) + 원장 밖 잔고 소진 2153억(최근 4분기 '부문매출−SLS' 중위 2153억/분기, 잔여 2428억)
[ratio]</t>
      </text>
    </comment>
    <comment ref="AG34" authorId="0" shapeId="0">
      <text>
        <t>추정: SLS 해양 원화 1595억(sls.by_quarter.marine_hedged_krw_m(헤지 70% 적용)) + 원장 밖 잔고 소진 2153억(최근 4분기 '부문매출−SLS' 중위 2153억/분기, 잔여 275억)
[ratio]</t>
      </text>
    </comment>
    <comment ref="AH34" authorId="0" shapeId="0">
      <text>
        <t>추정: SLS 해양 원화 1613억(sls.by_quarter.marine_hedged_krw_m(헤지 70% 적용)) + 원장 밖 잔고 소진 275억(최근 4분기 '부문매출−SLS' 중위 2153억/분기, 잔여 0억)
[ratio]</t>
      </text>
    </comment>
    <comment ref="AI34" authorId="0" shapeId="0">
      <text>
        <t>추정: SLS 해양 원화 1613억(sls.by_quarter.marine_hedged_krw_m(헤지 70% 적용)) + 원장 밖 잔고 소진 0억(최근 4분기 '부문매출−SLS' 중위 2153억/분기, 잔여 0억)
[ratio]</t>
      </text>
    </comment>
    <comment ref="AK34" authorId="0" shapeId="0">
      <text>
        <t>추정: SLS 해양 원화 1595억(sls.by_quarter.marine_hedged_krw_m(헤지 70% 적용)) + 원장 밖 잔고 소진 0억(최근 4분기 '부문매출−SLS' 중위 2153억/분기, 잔여 0억)
[ratio]</t>
      </text>
    </comment>
    <comment ref="AL34" authorId="0" shapeId="0">
      <text>
        <t>추정: SLS 해양 원화 1595억(sls.by_quarter.marine_hedged_krw_m(헤지 70% 적용)) + 원장 밖 잔고 소진 0억(최근 4분기 '부문매출−SLS' 중위 2153억/분기, 잔여 0억)
[ratio]</t>
      </text>
    </comment>
    <comment ref="AM34" authorId="0" shapeId="0">
      <text>
        <t>추정: SLS 해양 원화 1249억(sls.by_quarter.marine_hedged_krw_m(헤지 70% 적용)) + 원장 밖 잔고 소진 0억(최근 4분기 '부문매출−SLS' 중위 2153억/분기, 잔여 0억)
[ratio]</t>
      </text>
    </comment>
    <comment ref="AN34" authorId="0" shapeId="0">
      <text>
        <t>추정: SLS 해양 원화 1004억(sls.by_quarter.marine_hedged_krw_m(헤지 70% 적용)) + 원장 밖 잔고 소진 0억(최근 4분기 '부문매출−SLS' 중위 2153억/분기, 잔여 0억)
[ratio]</t>
      </text>
    </comment>
    <comment ref="AC35" authorId="0" shapeId="0">
      <text>
        <t>추정: 매출조선 × 타겟 OPM(부문 OP 미공시 → 회사 OPM 적용)
[ratio]</t>
      </text>
    </comment>
    <comment ref="AD35" authorId="0" shapeId="0">
      <text>
        <t>추정: 매출조선 × 타겟 OPM(부문 OP 미공시 → 회사 OPM 적용)
[ratio]</t>
      </text>
    </comment>
    <comment ref="AF35" authorId="0" shapeId="0">
      <text>
        <t>추정: 매출조선 × 타겟 OPM(부문 OP 미공시 → 회사 OPM 적용)
[ratio]</t>
      </text>
    </comment>
    <comment ref="AG35" authorId="0" shapeId="0">
      <text>
        <t>추정: 매출조선 × 타겟 OPM(부문 OP 미공시 → 회사 OPM 적용)
[ratio]</t>
      </text>
    </comment>
    <comment ref="AH35" authorId="0" shapeId="0">
      <text>
        <t>추정: 매출조선 × 타겟 OPM(부문 OP 미공시 → 회사 OPM 적용)
[ratio]</t>
      </text>
    </comment>
    <comment ref="AI35" authorId="0" shapeId="0">
      <text>
        <t>추정: 매출조선 × 타겟 OPM(부문 OP 미공시 → 회사 OPM 적용)
[ratio]</t>
      </text>
    </comment>
    <comment ref="AK35" authorId="0" shapeId="0">
      <text>
        <t>추정: 매출조선 × 타겟 OPM(부문 OP 미공시 → 회사 OPM 적용)
[ratio]</t>
      </text>
    </comment>
    <comment ref="AL35" authorId="0" shapeId="0">
      <text>
        <t>추정: 매출조선 × 타겟 OPM(부문 OP 미공시 → 회사 OPM 적용)
[ratio]</t>
      </text>
    </comment>
    <comment ref="AM35" authorId="0" shapeId="0">
      <text>
        <t>추정: 매출조선 × 타겟 OPM(부문 OP 미공시 → 회사 OPM 적용)
[ratio]</t>
      </text>
    </comment>
    <comment ref="AN35" authorId="0" shapeId="0">
      <text>
        <t>추정: 매출조선 × 타겟 OPM(부문 OP 미공시 → 회사 OPM 적용)
[ratio]</t>
      </text>
    </comment>
    <comment ref="H36" authorId="0" shapeId="0">
      <text>
        <t>실측(계정 매핑 없음 — 모델값 직접) — 연결 매출 − 조선 부문(파생)</t>
      </text>
    </comment>
    <comment ref="I36" authorId="0" shapeId="0">
      <text>
        <t>실측(계정 매핑 없음 — 모델값 직접) — 연결 매출 − 조선 부문(파생)</t>
      </text>
    </comment>
    <comment ref="J36" authorId="0" shapeId="0">
      <text>
        <t>실측(계정 매핑 없음 — 모델값 직접) — 연결 매출 − 조선 부문(파생)</t>
      </text>
    </comment>
    <comment ref="M36" authorId="0" shapeId="0">
      <text>
        <t>실측(계정 매핑 없음 — 모델값 직접) — 연결 매출 − 조선 부문(파생)</t>
      </text>
    </comment>
    <comment ref="N36" authorId="0" shapeId="0">
      <text>
        <t>실측(계정 매핑 없음 — 모델값 직접) — 연결 매출 − 조선 부문(파생)</t>
      </text>
    </comment>
    <comment ref="O36" authorId="0" shapeId="0">
      <text>
        <t>실측(계정 매핑 없음 — 모델값 직접) — 연결 매출 − 조선 부문(파생)</t>
      </text>
    </comment>
    <comment ref="R36" authorId="0" shapeId="0">
      <text>
        <t>실측(계정 매핑 없음 — 모델값 직접) — 연결 매출 − 조선 부문(파생)</t>
      </text>
    </comment>
    <comment ref="S36" authorId="0" shapeId="0">
      <text>
        <t>실측(계정 매핑 없음 — 모델값 직접) — 연결 매출 − 조선 부문(파생)</t>
      </text>
    </comment>
    <comment ref="W36" authorId="0" shapeId="0">
      <text>
        <t>실측(계정 매핑 없음 — 모델값 직접) — 연결 매출 − 조선 부문(파생)</t>
      </text>
    </comment>
    <comment ref="X36" authorId="0" shapeId="0">
      <text>
        <t>실측(계정 매핑 없음 — 모델값 직접) — 연결 매출 − 조선 부문(파생)</t>
      </text>
    </comment>
    <comment ref="AB36" authorId="0" shapeId="0">
      <text>
        <t>실측(계정 매핑 없음 — 모델값 직접) — 연결 매출 − 조선 부문(파생)</t>
      </text>
    </comment>
    <comment ref="AC36" authorId="0" shapeId="0">
      <text>
        <t>추정: 기타 부문(연결 − 조선 부문) 최근 4분기 중위 2726억 유지
[ratio]</t>
      </text>
    </comment>
    <comment ref="AD36" authorId="0" shapeId="0">
      <text>
        <t>추정: 기타 부문(연결 − 조선 부문) 최근 4분기 중위 2726억 유지
[ratio]</t>
      </text>
    </comment>
    <comment ref="AF36" authorId="0" shapeId="0">
      <text>
        <t>추정: 기타 부문(연결 − 조선 부문) 최근 4분기 중위 2726억 유지
[ratio]</t>
      </text>
    </comment>
    <comment ref="AG36" authorId="0" shapeId="0">
      <text>
        <t>추정: 기타 부문(연결 − 조선 부문) 최근 4분기 중위 2726억 유지
[ratio]</t>
      </text>
    </comment>
    <comment ref="AH36" authorId="0" shapeId="0">
      <text>
        <t>추정: 기타 부문(연결 − 조선 부문) 최근 4분기 중위 2726억 유지
[ratio]</t>
      </text>
    </comment>
    <comment ref="AI36" authorId="0" shapeId="0">
      <text>
        <t>추정: 기타 부문(연결 − 조선 부문) 최근 4분기 중위 2726억 유지
[ratio]</t>
      </text>
    </comment>
    <comment ref="AK36" authorId="0" shapeId="0">
      <text>
        <t>추정: 기타 부문(연결 − 조선 부문) 최근 4분기 중위 2726억 유지
[ratio]</t>
      </text>
    </comment>
    <comment ref="AL36" authorId="0" shapeId="0">
      <text>
        <t>추정: 기타 부문(연결 − 조선 부문) 최근 4분기 중위 2726억 유지
[ratio]</t>
      </text>
    </comment>
    <comment ref="AM36" authorId="0" shapeId="0">
      <text>
        <t>추정: 기타 부문(연결 − 조선 부문) 최근 4분기 중위 2726억 유지
[ratio]</t>
      </text>
    </comment>
    <comment ref="AN36" authorId="0" shapeId="0">
      <text>
        <t>추정: 기타 부문(연결 − 조선 부문) 최근 4분기 중위 2726억 유지
[ratio]</t>
      </text>
    </comment>
    <comment ref="AC37" authorId="0" shapeId="0">
      <text>
        <t>추정: 매출기타 × 회사 OPM(부문 OP 미공시)
[ratio]</t>
      </text>
    </comment>
    <comment ref="AD37" authorId="0" shapeId="0">
      <text>
        <t>추정: 매출기타 × 회사 OPM(부문 OP 미공시)
[ratio]</t>
      </text>
    </comment>
    <comment ref="AF37" authorId="0" shapeId="0">
      <text>
        <t>추정: 매출기타 × 회사 OPM(부문 OP 미공시)
[ratio]</t>
      </text>
    </comment>
    <comment ref="AG37" authorId="0" shapeId="0">
      <text>
        <t>추정: 매출기타 × 회사 OPM(부문 OP 미공시)
[ratio]</t>
      </text>
    </comment>
    <comment ref="AH37" authorId="0" shapeId="0">
      <text>
        <t>추정: 매출기타 × 회사 OPM(부문 OP 미공시)
[ratio]</t>
      </text>
    </comment>
    <comment ref="AI37" authorId="0" shapeId="0">
      <text>
        <t>추정: 매출기타 × 회사 OPM(부문 OP 미공시)
[ratio]</t>
      </text>
    </comment>
    <comment ref="AK37" authorId="0" shapeId="0">
      <text>
        <t>추정: 매출기타 × 회사 OPM(부문 OP 미공시)
[ratio]</t>
      </text>
    </comment>
    <comment ref="AL37" authorId="0" shapeId="0">
      <text>
        <t>추정: 매출기타 × 회사 OPM(부문 OP 미공시)
[ratio]</t>
      </text>
    </comment>
    <comment ref="AM37" authorId="0" shapeId="0">
      <text>
        <t>추정: 매출기타 × 회사 OPM(부문 OP 미공시)
[ratio]</t>
      </text>
    </comment>
    <comment ref="AN37" authorId="0" shapeId="0">
      <text>
        <t>추정: 매출기타 × 회사 OPM(부문 OP 미공시)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HJ중공업(097230)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assets/models/097230.json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2023Q2 조선 부문 매출(6762억) &gt; 연결 매출(5014억) — 부문표/파서 문제(yards 레인 확인) / 추정 매출은 2026Q2 기준 잔고 소진분만 — 이후 신규 수주 매출 미포함(2028 감소는 이 한계). forecast_panel 모듈 참고 / 감가상각비가 face·CF 에 없음(주석 미파싱) → EBITDA·EV/EBITDA 미산출</t>
        </is>
      </c>
    </row>
    <row r="22">
      <c r="A22" t="inlineStr">
        <is>
          <t>백테스트: {"freeze": "2025Q2", "horizon": 4, "revenue_wape_pct": 19.4, "op_wape_pct": 100.0, "n": 4, "note": "단일 회사 4분기 — 통계 아님", "driver_at_freeze": "sls_marine_plus_uncovered_backlog_runoff",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4962.89, "rev_act": 4522.08, "op_pred": 0.0, "op_act": 57.94}, {"q": "2025Q4", "rev_pred": 4962.89, "rev_act": 6296.54, "op_pred": 0.0, "op_act": 504.87}, {"q": "2026Q1", "rev_pred": 4962.89, "rev_act": 5414.0, "op_pred": 0.0, "op_act": 245.81}, {"q": "2026Q2", "rev_pred": 4962.89, "rev_act": 7299.08, "op_pred": 0.0, "op_act": 648.53}]}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8040</v>
      </c>
      <c r="F15" s="9" t="n"/>
      <c r="G15" s="18" t="n">
        <v>7950</v>
      </c>
      <c r="H15" s="18" t="n">
        <v>7200</v>
      </c>
      <c r="I15" s="18" t="n">
        <v>4300</v>
      </c>
      <c r="J15" s="18" t="n">
        <v>3915</v>
      </c>
      <c r="K15" s="9" t="n"/>
      <c r="L15" s="18" t="n">
        <v>3640</v>
      </c>
      <c r="M15" s="18" t="n">
        <v>4095</v>
      </c>
      <c r="N15" s="18" t="n">
        <v>3650</v>
      </c>
      <c r="O15" s="18" t="n">
        <v>4450</v>
      </c>
      <c r="P15" s="9" t="n"/>
      <c r="Q15" s="18" t="n">
        <v>3295</v>
      </c>
      <c r="R15" s="18" t="n">
        <v>3585</v>
      </c>
      <c r="S15" s="18" t="n">
        <v>2655</v>
      </c>
      <c r="T15" s="18" t="n">
        <v>5930</v>
      </c>
      <c r="U15" s="9" t="n"/>
      <c r="V15" s="18" t="n">
        <v>5900</v>
      </c>
      <c r="W15" s="18" t="n">
        <v>7950</v>
      </c>
      <c r="X15" s="18" t="n">
        <v>28000</v>
      </c>
      <c r="Y15" s="18" t="n">
        <v>21050</v>
      </c>
      <c r="Z15" s="9" t="n"/>
      <c r="AA15" s="18" t="n">
        <v>21750</v>
      </c>
      <c r="AB15" s="19" t="n">
        <v>20150</v>
      </c>
      <c r="AC15" s="20" t="n">
        <v>14710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10500</v>
      </c>
      <c r="F16" s="9" t="n"/>
      <c r="G16" s="18" t="n">
        <v>8300</v>
      </c>
      <c r="H16" s="18" t="n">
        <v>8450</v>
      </c>
      <c r="I16" s="18" t="n">
        <v>7260</v>
      </c>
      <c r="J16" s="18" t="n">
        <v>4850</v>
      </c>
      <c r="K16" s="9" t="n"/>
      <c r="L16" s="18" t="n">
        <v>4225</v>
      </c>
      <c r="M16" s="18" t="n">
        <v>4285</v>
      </c>
      <c r="N16" s="18" t="n">
        <v>4975</v>
      </c>
      <c r="O16" s="18" t="n">
        <v>4500</v>
      </c>
      <c r="P16" s="9" t="n"/>
      <c r="Q16" s="18" t="n">
        <v>4310</v>
      </c>
      <c r="R16" s="18" t="n">
        <v>3785</v>
      </c>
      <c r="S16" s="18" t="n">
        <v>3775</v>
      </c>
      <c r="T16" s="18" t="n">
        <v>7190</v>
      </c>
      <c r="U16" s="9" t="n"/>
      <c r="V16" s="18" t="n">
        <v>9900</v>
      </c>
      <c r="W16" s="18" t="n">
        <v>8590</v>
      </c>
      <c r="X16" s="18" t="n">
        <v>34350</v>
      </c>
      <c r="Y16" s="18" t="n">
        <v>33100</v>
      </c>
      <c r="Z16" s="9" t="n"/>
      <c r="AA16" s="18" t="n">
        <v>29300</v>
      </c>
      <c r="AB16" s="19" t="n">
        <v>33800</v>
      </c>
      <c r="AC16" s="20" t="n">
        <v>20500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7350</v>
      </c>
      <c r="F17" s="9" t="n"/>
      <c r="G17" s="18" t="n">
        <v>6690</v>
      </c>
      <c r="H17" s="18" t="n">
        <v>6500</v>
      </c>
      <c r="I17" s="18" t="n">
        <v>4075</v>
      </c>
      <c r="J17" s="18" t="n">
        <v>3240</v>
      </c>
      <c r="K17" s="9" t="n"/>
      <c r="L17" s="18" t="n">
        <v>3290</v>
      </c>
      <c r="M17" s="18" t="n">
        <v>3425</v>
      </c>
      <c r="N17" s="18" t="n">
        <v>3610</v>
      </c>
      <c r="O17" s="18" t="n">
        <v>3270</v>
      </c>
      <c r="P17" s="9" t="n"/>
      <c r="Q17" s="18" t="n">
        <v>3250</v>
      </c>
      <c r="R17" s="18" t="n">
        <v>2875</v>
      </c>
      <c r="S17" s="18" t="n">
        <v>2585</v>
      </c>
      <c r="T17" s="18" t="n">
        <v>2180</v>
      </c>
      <c r="U17" s="9" t="n"/>
      <c r="V17" s="18" t="n">
        <v>5540</v>
      </c>
      <c r="W17" s="18" t="n">
        <v>5630</v>
      </c>
      <c r="X17" s="18" t="n">
        <v>6950</v>
      </c>
      <c r="Y17" s="18" t="n">
        <v>19650</v>
      </c>
      <c r="Z17" s="9" t="n"/>
      <c r="AA17" s="18" t="n">
        <v>18800</v>
      </c>
      <c r="AB17" s="19" t="n">
        <v>18400</v>
      </c>
      <c r="AC17" s="20" t="n">
        <v>12910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8731.4</v>
      </c>
      <c r="F18" s="9" t="n"/>
      <c r="G18" s="18" t="n">
        <v>7593.9</v>
      </c>
      <c r="H18" s="18" t="n">
        <v>7663.9</v>
      </c>
      <c r="I18" s="18" t="n">
        <v>6338.3</v>
      </c>
      <c r="J18" s="18" t="n">
        <v>4026.9</v>
      </c>
      <c r="K18" s="9" t="n"/>
      <c r="L18" s="18" t="n">
        <v>3834.4</v>
      </c>
      <c r="M18" s="18" t="n">
        <v>3802.3</v>
      </c>
      <c r="N18" s="18" t="n">
        <v>4042.3</v>
      </c>
      <c r="O18" s="18" t="n">
        <v>3724.7</v>
      </c>
      <c r="P18" s="9" t="n"/>
      <c r="Q18" s="18" t="n">
        <v>3575.7</v>
      </c>
      <c r="R18" s="18" t="n">
        <v>3208.9</v>
      </c>
      <c r="S18" s="18" t="n">
        <v>3080.5</v>
      </c>
      <c r="T18" s="18" t="n">
        <v>3454.6</v>
      </c>
      <c r="U18" s="9" t="n"/>
      <c r="V18" s="18" t="n">
        <v>6934</v>
      </c>
      <c r="W18" s="18" t="n">
        <v>7398.3</v>
      </c>
      <c r="X18" s="18" t="n">
        <v>16561.2</v>
      </c>
      <c r="Y18" s="18" t="n">
        <v>23805.1</v>
      </c>
      <c r="Z18" s="9" t="n"/>
      <c r="AA18" s="18" t="n">
        <v>24852.4</v>
      </c>
      <c r="AB18" s="19" t="n">
        <v>24395.1</v>
      </c>
      <c r="AC18" s="20" t="n">
        <v>16326.3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0.311335</v>
      </c>
      <c r="AD21" s="24" t="n">
        <v>0.030979</v>
      </c>
      <c r="AE21" s="25" t="n"/>
      <c r="AF21" s="24" t="n">
        <v>0.192564</v>
      </c>
      <c r="AG21" s="24" t="n">
        <v>-0.113029</v>
      </c>
      <c r="AH21" s="24" t="n">
        <v>-0.222013</v>
      </c>
      <c r="AI21" s="24" t="n">
        <v>-0.331659</v>
      </c>
      <c r="AJ21" s="25" t="n"/>
      <c r="AK21" s="24" t="n">
        <v>-0.330745</v>
      </c>
      <c r="AL21" s="24" t="n">
        <v>-0.332557</v>
      </c>
      <c r="AM21" s="24" t="n">
        <v>-0.138496</v>
      </c>
      <c r="AN21" s="24" t="n">
        <v>-0.140234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0.053597</v>
      </c>
      <c r="AD22" s="24" t="n">
        <v>0.053597</v>
      </c>
      <c r="AE22" s="25">
        <f>IFERROR(subQ!AE8/subQ!AE5,"")</f>
        <v/>
      </c>
      <c r="AF22" s="24" t="n">
        <v>0.053597</v>
      </c>
      <c r="AG22" s="24" t="n">
        <v>0.053597</v>
      </c>
      <c r="AH22" s="24" t="n">
        <v>0.053598</v>
      </c>
      <c r="AI22" s="24" t="n">
        <v>0.053598</v>
      </c>
      <c r="AJ22" s="25">
        <f>IFERROR(subQ!AJ8/subQ!AJ5,"")</f>
        <v/>
      </c>
      <c r="AK22" s="24" t="n">
        <v>0.053598</v>
      </c>
      <c r="AL22" s="24" t="n">
        <v>0.053598</v>
      </c>
      <c r="AM22" s="24" t="n">
        <v>0.053597</v>
      </c>
      <c r="AN22" s="24" t="n">
        <v>0.053598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0.089652</v>
      </c>
      <c r="AD23" s="24" t="n">
        <v>0.091152</v>
      </c>
      <c r="AE23" s="25">
        <f>IFERROR(subQ!AE9/subQ!AE5,"")</f>
        <v/>
      </c>
      <c r="AF23" s="24" t="n">
        <v>0.091151</v>
      </c>
      <c r="AG23" s="24" t="n">
        <v>0.091151</v>
      </c>
      <c r="AH23" s="24" t="n">
        <v>0.091151</v>
      </c>
      <c r="AI23" s="24" t="n">
        <v>0.091152</v>
      </c>
      <c r="AJ23" s="25">
        <f>IFERROR(subQ!AJ9/subQ!AJ5,"")</f>
        <v/>
      </c>
      <c r="AK23" s="24" t="n">
        <v>0.091151</v>
      </c>
      <c r="AL23" s="24" t="n">
        <v>0.091151</v>
      </c>
      <c r="AM23" s="24" t="n">
        <v>0.090452</v>
      </c>
      <c r="AN23" s="24" t="n">
        <v>0.09055100000000001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IFERROR(subQ!J39/subQ!E39-1,"")</f>
        <v/>
      </c>
      <c r="K24" s="22" t="n"/>
      <c r="L24" s="21">
        <f>IFERROR(subQ!L39/subQ!G39-1,"")</f>
        <v/>
      </c>
      <c r="M24" s="21">
        <f>IFERROR(subQ!M39/subQ!H39-1,"")</f>
        <v/>
      </c>
      <c r="N24" s="21">
        <f>IFERROR(subQ!N39/subQ!I39-1,"")</f>
        <v/>
      </c>
      <c r="O24" s="21">
        <f>IFERROR(subQ!O39/subQ!J39-1,"")</f>
        <v/>
      </c>
      <c r="P24" s="22" t="n"/>
      <c r="Q24" s="21">
        <f>IFERROR(subQ!Q39/subQ!L39-1,"")</f>
        <v/>
      </c>
      <c r="R24" s="21">
        <f>IFERROR(subQ!R39/subQ!M39-1,"")</f>
        <v/>
      </c>
      <c r="S24" s="21">
        <f>IFERROR(subQ!S39/subQ!N39-1,"")</f>
        <v/>
      </c>
      <c r="T24" s="21">
        <f>IFERROR(subQ!T39/subQ!O39-1,"")</f>
        <v/>
      </c>
      <c r="U24" s="22" t="n"/>
      <c r="V24" s="21">
        <f>IFERROR(subQ!V39/subQ!Q39-1,"")</f>
        <v/>
      </c>
      <c r="W24" s="21">
        <f>IFERROR(subQ!W39/subQ!R39-1,"")</f>
        <v/>
      </c>
      <c r="X24" s="21">
        <f>IFERROR(subQ!X39/subQ!S39-1,"")</f>
        <v/>
      </c>
      <c r="Y24" s="21">
        <f>IFERROR(subQ!Y39/subQ!T39-1,"")</f>
        <v/>
      </c>
      <c r="Z24" s="22" t="n"/>
      <c r="AA24" s="21">
        <f>IFERROR(subQ!AA39/subQ!V39-1,"")</f>
        <v/>
      </c>
      <c r="AB24" s="23">
        <f>IFERROR(subQ!AB39/subQ!W39-1,"")</f>
        <v/>
      </c>
      <c r="AC24" s="24" t="n">
        <v>6.007812</v>
      </c>
      <c r="AD24" s="24" t="n">
        <v>0.137157</v>
      </c>
      <c r="AE24" s="25" t="n"/>
      <c r="AF24" s="24" t="n">
        <v>1.008811</v>
      </c>
      <c r="AG24" s="24" t="n">
        <v>0.025872</v>
      </c>
      <c r="AH24" s="24" t="n">
        <v>0.016722</v>
      </c>
      <c r="AI24" s="24" t="n">
        <v>0</v>
      </c>
      <c r="AJ24" s="25" t="n"/>
      <c r="AK24" s="24" t="n">
        <v>0</v>
      </c>
      <c r="AL24" s="24" t="n">
        <v>0</v>
      </c>
      <c r="AM24" s="24" t="n">
        <v>-0.007675</v>
      </c>
      <c r="AN24" s="24" t="n">
        <v>-0.006579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-76.43000000000001</v>
      </c>
      <c r="AD25" s="29" t="n">
        <v>-73.66</v>
      </c>
      <c r="AE25" s="30">
        <f>subQ!AE11</f>
        <v/>
      </c>
      <c r="AF25" s="29" t="n">
        <v>-70.51000000000001</v>
      </c>
      <c r="AG25" s="29" t="n">
        <v>-67.34999999999999</v>
      </c>
      <c r="AH25" s="29" t="n">
        <v>-64.17</v>
      </c>
      <c r="AI25" s="29" t="n">
        <v>-61.99</v>
      </c>
      <c r="AJ25" s="30">
        <f>subQ!AJ11</f>
        <v/>
      </c>
      <c r="AK25" s="29" t="n">
        <v>-59.96</v>
      </c>
      <c r="AL25" s="29" t="n">
        <v>-57.93</v>
      </c>
      <c r="AM25" s="29" t="n">
        <v>-55.88</v>
      </c>
      <c r="AN25" s="29" t="n">
        <v>-54.03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0.050001</v>
      </c>
      <c r="AD27" s="24" t="n">
        <v>0.049995</v>
      </c>
      <c r="AE27" s="25">
        <f>IFERROR(subQ!AE14/subQ!AE13,"")</f>
        <v/>
      </c>
      <c r="AF27" s="24" t="n">
        <v>0.049999</v>
      </c>
      <c r="AG27" s="24" t="n">
        <v>0.050003</v>
      </c>
      <c r="AH27" s="24" t="n">
        <v>0.050007</v>
      </c>
      <c r="AI27" s="24" t="n">
        <v>0.04999</v>
      </c>
      <c r="AJ27" s="25">
        <f>IFERROR(subQ!AJ14/subQ!AJ13,"")</f>
        <v/>
      </c>
      <c r="AK27" s="24" t="n">
        <v>0.050013</v>
      </c>
      <c r="AL27" s="24" t="n">
        <v>0.050009</v>
      </c>
      <c r="AM27" s="24" t="n">
        <v>0.049998</v>
      </c>
      <c r="AN27" s="24" t="n">
        <v>0.050011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drv:중단사업이익</t>
        </is>
      </c>
      <c r="B29" s="2" t="inlineStr">
        <is>
          <t>yoy</t>
        </is>
      </c>
      <c r="C29" t="inlineStr">
        <is>
          <t>중단사업이익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31" t="n"/>
      <c r="AD29" s="31" t="n"/>
      <c r="AE29" s="25" t="n"/>
      <c r="AF29" s="31" t="n"/>
      <c r="AG29" s="31" t="n"/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IFERROR(subQ!E20+subQ!G15-subQ!G20,"")</f>
        <v/>
      </c>
      <c r="H31" s="26">
        <f>IFERROR(subQ!G20+subQ!H15-subQ!H20,"")</f>
        <v/>
      </c>
      <c r="I31" s="26">
        <f>IFERROR(subQ!H20+subQ!I15-subQ!I20,"")</f>
        <v/>
      </c>
      <c r="J31" s="26">
        <f>IFERROR(subQ!I20+subQ!J15-subQ!J20,"")</f>
        <v/>
      </c>
      <c r="K31" s="27" t="n"/>
      <c r="L31" s="26">
        <f>IFERROR(subQ!J20+subQ!L15-subQ!L20,"")</f>
        <v/>
      </c>
      <c r="M31" s="26">
        <f>IFERROR(subQ!L20+subQ!M15-subQ!M20,"")</f>
        <v/>
      </c>
      <c r="N31" s="26">
        <f>IFERROR(subQ!M20+subQ!N15-subQ!N20,"")</f>
        <v/>
      </c>
      <c r="O31" s="26">
        <f>IFERROR(subQ!N20+subQ!O15-subQ!O20,"")</f>
        <v/>
      </c>
      <c r="P31" s="27" t="n"/>
      <c r="Q31" s="26">
        <f>IFERROR(subQ!O20+subQ!Q15-subQ!Q20,"")</f>
        <v/>
      </c>
      <c r="R31" s="26">
        <f>IFERROR(subQ!Q20+subQ!R15-subQ!R20,"")</f>
        <v/>
      </c>
      <c r="S31" s="26">
        <f>IFERROR(subQ!R20+subQ!S15-subQ!S20,"")</f>
        <v/>
      </c>
      <c r="T31" s="26">
        <f>IFERROR(subQ!S20+subQ!T15-subQ!T20,"")</f>
        <v/>
      </c>
      <c r="U31" s="27" t="n"/>
      <c r="V31" s="26">
        <f>IFERROR(subQ!T20+subQ!V15-subQ!V20,"")</f>
        <v/>
      </c>
      <c r="W31" s="26">
        <f>IFERROR(subQ!V20+subQ!W15-subQ!W20,"")</f>
        <v/>
      </c>
      <c r="X31" s="26">
        <f>IFERROR(subQ!W20+subQ!X15-subQ!X20,"")</f>
        <v/>
      </c>
      <c r="Y31" s="26">
        <f>IFERROR(subQ!X20+subQ!Y15-subQ!Y20,"")</f>
        <v/>
      </c>
      <c r="Z31" s="27" t="n"/>
      <c r="AA31" s="26">
        <f>IFERROR(subQ!Y20+subQ!AA15-subQ!AA20,"")</f>
        <v/>
      </c>
      <c r="AB31" s="28">
        <f>IFERROR(subQ!AA20+subQ!AB15-subQ!AB20,"")</f>
        <v/>
      </c>
      <c r="AC31" s="29" t="n">
        <v>0</v>
      </c>
      <c r="AD31" s="29" t="n">
        <v>-0.01</v>
      </c>
      <c r="AE31" s="30" t="n"/>
      <c r="AF31" s="29" t="n">
        <v>0</v>
      </c>
      <c r="AG31" s="29" t="n">
        <v>-0</v>
      </c>
      <c r="AH31" s="29" t="n">
        <v>0.01</v>
      </c>
      <c r="AI31" s="29" t="n">
        <v>-0</v>
      </c>
      <c r="AJ31" s="30" t="n"/>
      <c r="AK31" s="29" t="n">
        <v>0</v>
      </c>
      <c r="AL31" s="29" t="n">
        <v>-0</v>
      </c>
      <c r="AM31" s="29" t="n">
        <v>-0.01</v>
      </c>
      <c r="AN31" s="29" t="n">
        <v>-0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0</v>
      </c>
      <c r="AD32" s="29" t="n">
        <v>-0.01</v>
      </c>
      <c r="AE32" s="30" t="n"/>
      <c r="AF32" s="29" t="n">
        <v>0</v>
      </c>
      <c r="AG32" s="29" t="n">
        <v>0</v>
      </c>
      <c r="AH32" s="29" t="n">
        <v>0.01</v>
      </c>
      <c r="AI32" s="29" t="n">
        <v>-0</v>
      </c>
      <c r="AJ32" s="30" t="n"/>
      <c r="AK32" s="29" t="n">
        <v>0</v>
      </c>
      <c r="AL32" s="29" t="n">
        <v>0</v>
      </c>
      <c r="AM32" s="29" t="n">
        <v>-0.01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-0.216554</v>
      </c>
      <c r="AD34" s="24" t="n">
        <v>-0.314592</v>
      </c>
      <c r="AE34" s="25" t="n"/>
      <c r="AF34" s="24" t="n">
        <v>-0.458938</v>
      </c>
      <c r="AG34" s="24" t="n">
        <v>-0.856008</v>
      </c>
      <c r="AH34" s="24" t="n">
        <v>-4.05231</v>
      </c>
      <c r="AI34" s="24" t="n">
        <v>1.242402</v>
      </c>
      <c r="AJ34" s="25" t="n"/>
      <c r="AK34" s="24" t="n">
        <v>0.554767</v>
      </c>
      <c r="AL34" s="24" t="n">
        <v>0.358988</v>
      </c>
      <c r="AM34" s="24" t="n">
        <v>0.238747</v>
      </c>
      <c r="AN34" s="24" t="n">
        <v>0.180111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0.153624</v>
      </c>
      <c r="AD35" s="24" t="n">
        <v>0.15156</v>
      </c>
      <c r="AE35" s="25" t="n"/>
      <c r="AF35" s="24" t="n">
        <v>0.1316</v>
      </c>
      <c r="AG35" s="24" t="n">
        <v>0.117363</v>
      </c>
      <c r="AH35" s="24" t="n">
        <v>0.07159799999999999</v>
      </c>
      <c r="AI35" s="24" t="n">
        <v>0.062526</v>
      </c>
      <c r="AJ35" s="25" t="n"/>
      <c r="AK35" s="24" t="n">
        <v>0.058922</v>
      </c>
      <c r="AL35" s="24" t="n">
        <v>0.055982</v>
      </c>
      <c r="AM35" s="24" t="n">
        <v>0.047915</v>
      </c>
      <c r="AN35" s="24" t="n">
        <v>0.042729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24" t="n">
        <v>-0.825</v>
      </c>
      <c r="AE41" s="25" t="n"/>
      <c r="AF41" s="24" t="n">
        <v>-0.796067</v>
      </c>
      <c r="AG41" s="24" t="n">
        <v>-0.560461</v>
      </c>
      <c r="AH41" s="24" t="n">
        <v>-0.010959</v>
      </c>
      <c r="AI41" s="24" t="n">
        <v>0.097527</v>
      </c>
      <c r="AJ41" s="25" t="n"/>
      <c r="AK41" s="24" t="n">
        <v>0.390358</v>
      </c>
      <c r="AL41" s="24" t="n">
        <v>0.480349</v>
      </c>
      <c r="AM41" s="24" t="n">
        <v>0.465374</v>
      </c>
      <c r="AN41" s="24" t="n">
        <v>0.376721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-0.584383</v>
      </c>
      <c r="AD42" s="24" t="n">
        <v>-0.517134</v>
      </c>
      <c r="AE42" s="25" t="n"/>
      <c r="AF42" s="24" t="n">
        <v>-0.544892</v>
      </c>
      <c r="AG42" s="24" t="n">
        <v>-0.525597</v>
      </c>
      <c r="AH42" s="24" t="n">
        <v>-0.187879</v>
      </c>
      <c r="AI42" s="24" t="n">
        <v>-0.16129</v>
      </c>
      <c r="AJ42" s="25" t="n"/>
      <c r="AK42" s="24" t="n">
        <v>-0.142857</v>
      </c>
      <c r="AL42" s="24" t="n">
        <v>-0.122302</v>
      </c>
      <c r="AM42" s="24" t="n">
        <v>-0.11194</v>
      </c>
      <c r="AN42" s="24" t="n">
        <v>-0.107692</v>
      </c>
      <c r="AO42" s="25" t="n"/>
    </row>
    <row r="43">
      <c r="A43" s="12" t="inlineStr">
        <is>
          <t>drv:매출조선</t>
        </is>
      </c>
      <c r="B43" s="2" t="inlineStr">
        <is>
          <t>ratio</t>
        </is>
      </c>
      <c r="C43" t="inlineStr">
        <is>
          <t>매출조선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0.5403480000000001</v>
      </c>
      <c r="AD43" s="24" t="n">
        <v>0.580114</v>
      </c>
      <c r="AE43" s="25">
        <f>IFERROR(subQ!AE34/subQ!AE5,"")</f>
        <v/>
      </c>
      <c r="AF43" s="24" t="n">
        <v>0.577834</v>
      </c>
      <c r="AG43" s="24" t="n">
        <v>0.578977</v>
      </c>
      <c r="AH43" s="24" t="n">
        <v>0.409175</v>
      </c>
      <c r="AI43" s="24" t="n">
        <v>0.371749</v>
      </c>
      <c r="AJ43" s="25">
        <f>IFERROR(subQ!AJ34/subQ!AJ5,"")</f>
        <v/>
      </c>
      <c r="AK43" s="24" t="n">
        <v>0.3692</v>
      </c>
      <c r="AL43" s="24" t="n">
        <v>0.3692</v>
      </c>
      <c r="AM43" s="24" t="n">
        <v>0.314194</v>
      </c>
      <c r="AN43" s="24" t="n">
        <v>0.269279</v>
      </c>
      <c r="AO43" s="25">
        <f>IFERROR(subQ!AO34/subQ!AO5,"")</f>
        <v/>
      </c>
    </row>
    <row r="44">
      <c r="A44" s="12" t="inlineStr">
        <is>
          <t>drv:OP조선</t>
        </is>
      </c>
      <c r="B44" s="2" t="inlineStr">
        <is>
          <t>ratio</t>
        </is>
      </c>
      <c r="C44" t="inlineStr">
        <is>
          <t>OP조선 마진(/매출조선)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0.08964999999999999</v>
      </c>
      <c r="AD44" s="24" t="n">
        <v>0.09114999999999999</v>
      </c>
      <c r="AE44" s="25">
        <f>IFERROR(subQ!AE35/subQ!AE34,"")</f>
        <v/>
      </c>
      <c r="AF44" s="24" t="n">
        <v>0.091152</v>
      </c>
      <c r="AG44" s="24" t="n">
        <v>0.09114999999999999</v>
      </c>
      <c r="AH44" s="24" t="n">
        <v>0.091153</v>
      </c>
      <c r="AI44" s="24" t="n">
        <v>0.09114800000000001</v>
      </c>
      <c r="AJ44" s="25">
        <f>IFERROR(subQ!AJ35/subQ!AJ34,"")</f>
        <v/>
      </c>
      <c r="AK44" s="24" t="n">
        <v>0.091153</v>
      </c>
      <c r="AL44" s="24" t="n">
        <v>0.091153</v>
      </c>
      <c r="AM44" s="24" t="n">
        <v>0.09045</v>
      </c>
      <c r="AN44" s="24" t="n">
        <v>0.090546</v>
      </c>
      <c r="AO44" s="25">
        <f>IFERROR(subQ!AO35/subQ!AO34,"")</f>
        <v/>
      </c>
    </row>
    <row r="45">
      <c r="A45" s="12" t="inlineStr">
        <is>
          <t>drv:매출기타</t>
        </is>
      </c>
      <c r="B45" s="2" t="inlineStr">
        <is>
          <t>ratio</t>
        </is>
      </c>
      <c r="C45" t="inlineStr">
        <is>
          <t>매출기타 비중(/매출액)</t>
        </is>
      </c>
      <c r="E45" s="21">
        <f>IFERROR(subQ!E36/subQ!E5,"")</f>
        <v/>
      </c>
      <c r="F45" s="22">
        <f>IFERROR(subQ!F36/subQ!F5,"")</f>
        <v/>
      </c>
      <c r="G45" s="21">
        <f>IFERROR(subQ!G36/subQ!G5,"")</f>
        <v/>
      </c>
      <c r="H45" s="21">
        <f>IFERROR(subQ!H36/subQ!H5,"")</f>
        <v/>
      </c>
      <c r="I45" s="21">
        <f>IFERROR(subQ!I36/subQ!I5,"")</f>
        <v/>
      </c>
      <c r="J45" s="21">
        <f>IFERROR(subQ!J36/subQ!J5,"")</f>
        <v/>
      </c>
      <c r="K45" s="22">
        <f>IFERROR(subQ!K36/subQ!K5,"")</f>
        <v/>
      </c>
      <c r="L45" s="21">
        <f>IFERROR(subQ!L36/subQ!L5,"")</f>
        <v/>
      </c>
      <c r="M45" s="21">
        <f>IFERROR(subQ!M36/subQ!M5,"")</f>
        <v/>
      </c>
      <c r="N45" s="21">
        <f>IFERROR(subQ!N36/subQ!N5,"")</f>
        <v/>
      </c>
      <c r="O45" s="21">
        <f>IFERROR(subQ!O36/subQ!O5,"")</f>
        <v/>
      </c>
      <c r="P45" s="22">
        <f>IFERROR(subQ!P36/subQ!P5,"")</f>
        <v/>
      </c>
      <c r="Q45" s="21">
        <f>IFERROR(subQ!Q36/subQ!Q5,"")</f>
        <v/>
      </c>
      <c r="R45" s="21">
        <f>IFERROR(subQ!R36/subQ!R5,"")</f>
        <v/>
      </c>
      <c r="S45" s="21">
        <f>IFERROR(subQ!S36/subQ!S5,"")</f>
        <v/>
      </c>
      <c r="T45" s="21">
        <f>IFERROR(subQ!T36/subQ!T5,"")</f>
        <v/>
      </c>
      <c r="U45" s="22">
        <f>IFERROR(subQ!U36/subQ!U5,"")</f>
        <v/>
      </c>
      <c r="V45" s="21">
        <f>IFERROR(subQ!V36/subQ!V5,"")</f>
        <v/>
      </c>
      <c r="W45" s="21">
        <f>IFERROR(subQ!W36/subQ!W5,"")</f>
        <v/>
      </c>
      <c r="X45" s="21">
        <f>IFERROR(subQ!X36/subQ!X5,"")</f>
        <v/>
      </c>
      <c r="Y45" s="21">
        <f>IFERROR(subQ!Y36/subQ!Y5,"")</f>
        <v/>
      </c>
      <c r="Z45" s="22">
        <f>IFERROR(subQ!Z36/subQ!Z5,"")</f>
        <v/>
      </c>
      <c r="AA45" s="21">
        <f>IFERROR(subQ!AA36/subQ!AA5,"")</f>
        <v/>
      </c>
      <c r="AB45" s="23">
        <f>IFERROR(subQ!AB36/subQ!AB5,"")</f>
        <v/>
      </c>
      <c r="AC45" s="24" t="n">
        <v>0.459654</v>
      </c>
      <c r="AD45" s="24" t="n">
        <v>0.419886</v>
      </c>
      <c r="AE45" s="25">
        <f>IFERROR(subQ!AE36/subQ!AE5,"")</f>
        <v/>
      </c>
      <c r="AF45" s="24" t="n">
        <v>0.422166</v>
      </c>
      <c r="AG45" s="24" t="n">
        <v>0.421023</v>
      </c>
      <c r="AH45" s="24" t="n">
        <v>0.590825</v>
      </c>
      <c r="AI45" s="24" t="n">
        <v>0.628251</v>
      </c>
      <c r="AJ45" s="25">
        <f>IFERROR(subQ!AJ36/subQ!AJ5,"")</f>
        <v/>
      </c>
      <c r="AK45" s="24" t="n">
        <v>0.6308</v>
      </c>
      <c r="AL45" s="24" t="n">
        <v>0.6308</v>
      </c>
      <c r="AM45" s="24" t="n">
        <v>0.685806</v>
      </c>
      <c r="AN45" s="24" t="n">
        <v>0.730723</v>
      </c>
      <c r="AO45" s="25">
        <f>IFERROR(subQ!AO36/subQ!AO5,"")</f>
        <v/>
      </c>
    </row>
    <row r="46">
      <c r="A46" s="12" t="inlineStr">
        <is>
          <t>drv:OP기타</t>
        </is>
      </c>
      <c r="B46" s="2" t="inlineStr">
        <is>
          <t>ratio</t>
        </is>
      </c>
      <c r="C46" t="inlineStr">
        <is>
          <t>OP기타 마진(/매출기타)</t>
        </is>
      </c>
      <c r="E46" s="21">
        <f>IFERROR(subQ!E37/subQ!E36,"")</f>
        <v/>
      </c>
      <c r="F46" s="22">
        <f>IFERROR(subQ!F37/subQ!F36,"")</f>
        <v/>
      </c>
      <c r="G46" s="21">
        <f>IFERROR(subQ!G37/subQ!G36,"")</f>
        <v/>
      </c>
      <c r="H46" s="21">
        <f>IFERROR(subQ!H37/subQ!H36,"")</f>
        <v/>
      </c>
      <c r="I46" s="21">
        <f>IFERROR(subQ!I37/subQ!I36,"")</f>
        <v/>
      </c>
      <c r="J46" s="21">
        <f>IFERROR(subQ!J37/subQ!J36,"")</f>
        <v/>
      </c>
      <c r="K46" s="22">
        <f>IFERROR(subQ!K37/subQ!K36,"")</f>
        <v/>
      </c>
      <c r="L46" s="21">
        <f>IFERROR(subQ!L37/subQ!L36,"")</f>
        <v/>
      </c>
      <c r="M46" s="21">
        <f>IFERROR(subQ!M37/subQ!M36,"")</f>
        <v/>
      </c>
      <c r="N46" s="21">
        <f>IFERROR(subQ!N37/subQ!N36,"")</f>
        <v/>
      </c>
      <c r="O46" s="21">
        <f>IFERROR(subQ!O37/subQ!O36,"")</f>
        <v/>
      </c>
      <c r="P46" s="22">
        <f>IFERROR(subQ!P37/subQ!P36,"")</f>
        <v/>
      </c>
      <c r="Q46" s="21">
        <f>IFERROR(subQ!Q37/subQ!Q36,"")</f>
        <v/>
      </c>
      <c r="R46" s="21">
        <f>IFERROR(subQ!R37/subQ!R36,"")</f>
        <v/>
      </c>
      <c r="S46" s="21">
        <f>IFERROR(subQ!S37/subQ!S36,"")</f>
        <v/>
      </c>
      <c r="T46" s="21">
        <f>IFERROR(subQ!T37/subQ!T36,"")</f>
        <v/>
      </c>
      <c r="U46" s="22">
        <f>IFERROR(subQ!U37/subQ!U36,"")</f>
        <v/>
      </c>
      <c r="V46" s="21">
        <f>IFERROR(subQ!V37/subQ!V36,"")</f>
        <v/>
      </c>
      <c r="W46" s="21">
        <f>IFERROR(subQ!W37/subQ!W36,"")</f>
        <v/>
      </c>
      <c r="X46" s="21">
        <f>IFERROR(subQ!X37/subQ!X36,"")</f>
        <v/>
      </c>
      <c r="Y46" s="21">
        <f>IFERROR(subQ!Y37/subQ!Y36,"")</f>
        <v/>
      </c>
      <c r="Z46" s="22">
        <f>IFERROR(subQ!Z37/subQ!Z36,"")</f>
        <v/>
      </c>
      <c r="AA46" s="21">
        <f>IFERROR(subQ!AA37/subQ!AA36,"")</f>
        <v/>
      </c>
      <c r="AB46" s="23">
        <f>IFERROR(subQ!AB37/subQ!AB36,"")</f>
        <v/>
      </c>
      <c r="AC46" s="24" t="n">
        <v>0.08964900000000001</v>
      </c>
      <c r="AD46" s="24" t="n">
        <v>0.09114999999999999</v>
      </c>
      <c r="AE46" s="25">
        <f>IFERROR(subQ!AE37/subQ!AE36,"")</f>
        <v/>
      </c>
      <c r="AF46" s="24" t="n">
        <v>0.09114999999999999</v>
      </c>
      <c r="AG46" s="24" t="n">
        <v>0.09114999999999999</v>
      </c>
      <c r="AH46" s="24" t="n">
        <v>0.09114999999999999</v>
      </c>
      <c r="AI46" s="24" t="n">
        <v>0.09114999999999999</v>
      </c>
      <c r="AJ46" s="25">
        <f>IFERROR(subQ!AJ37/subQ!AJ36,"")</f>
        <v/>
      </c>
      <c r="AK46" s="24" t="n">
        <v>0.09114999999999999</v>
      </c>
      <c r="AL46" s="24" t="n">
        <v>0.09114999999999999</v>
      </c>
      <c r="AM46" s="24" t="n">
        <v>0.090449</v>
      </c>
      <c r="AN46" s="24" t="n">
        <v>0.09055199999999999</v>
      </c>
      <c r="AO46" s="25">
        <f>IFERROR(subQ!AO37/subQ!AO36,"")</f>
        <v/>
      </c>
    </row>
    <row r="47"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B48" s="1" t="inlineStr">
        <is>
          <t>3. 밸류에이션·스칼라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sc:종가</t>
        </is>
      </c>
      <c r="C49" t="inlineStr">
        <is>
          <t>종가</t>
        </is>
      </c>
      <c r="D49" s="32" t="n">
        <v>14550</v>
      </c>
      <c r="E49" s="2" t="inlineStr">
        <is>
          <t>원 — aikstockdata(금융위 T+1)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sc:기준일</t>
        </is>
      </c>
      <c r="C50" t="inlineStr">
        <is>
          <t>기준일</t>
        </is>
      </c>
      <c r="D50" s="33" t="inlineStr">
        <is>
          <t>20260929</t>
        </is>
      </c>
      <c r="E50" s="2" t="inlineStr">
        <is>
          <t>종가 기준일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sc:COE</t>
        </is>
      </c>
      <c r="C51" t="inlineStr">
        <is>
          <t>COE</t>
        </is>
      </c>
      <c r="D51" s="24" t="n">
        <v>0.09</v>
      </c>
      <c r="E51" s="2" t="inlineStr">
        <is>
          <t>자기자본비용(가정)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sc:PER_lo</t>
        </is>
      </c>
      <c r="C52" t="inlineStr">
        <is>
          <t>PER_lo</t>
        </is>
      </c>
      <c r="D52" s="29" t="n">
        <v>15.6</v>
      </c>
      <c r="E52" s="2" t="inlineStr">
        <is>
          <t>PER 밴드 하단(배) — hist_quarterly(분기 평균가 ÷ TTM EPS, 6분기, 25/50/75 백분위) · 캡 5~30배 적용(원값 15.6/25.6/41.6)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sc:PER_mid</t>
        </is>
      </c>
      <c r="C53" t="inlineStr">
        <is>
          <t>PER_mid</t>
        </is>
      </c>
      <c r="D53" s="29" t="n">
        <v>25.6</v>
      </c>
      <c r="E53" s="2" t="inlineStr">
        <is>
          <t>PER 밴드 중단(배)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sc:PER_hi</t>
        </is>
      </c>
      <c r="C54" t="inlineStr">
        <is>
          <t>PER_hi</t>
        </is>
      </c>
      <c r="D54" s="29" t="n">
        <v>30</v>
      </c>
      <c r="E54" s="2" t="inlineStr">
        <is>
          <t>PER 밴드 상단(배)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sc:EPS_Y1가중</t>
        </is>
      </c>
      <c r="C55" t="inlineStr">
        <is>
          <t>EPS_Y1가중</t>
        </is>
      </c>
      <c r="D55" s="24" t="n">
        <v>0.5</v>
      </c>
      <c r="E55" s="2" t="inlineStr">
        <is>
          <t>12M fwd EPS = FY(last_actual연도)E × w + FY+1E × (1−w) — 기준 분기 2Q 이면 0.5(가정)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sc:세율</t>
        </is>
      </c>
      <c r="C56" t="inlineStr">
        <is>
          <t>세율</t>
        </is>
      </c>
      <c r="D56" s="24" t="n">
        <v>0.05</v>
      </c>
      <c r="E56" s="2" t="inlineStr">
        <is>
          <t>법인세율 가정(참고 — 추정 수식은 드라이버 행 참조)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sc:판관비율</t>
        </is>
      </c>
      <c r="C57" t="inlineStr">
        <is>
          <t>판관비율</t>
        </is>
      </c>
      <c r="D57" s="24" t="n">
        <v>0.0536</v>
      </c>
      <c r="E57" s="2" t="inlineStr">
        <is>
          <t>판관비율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>
        <v>0</v>
      </c>
      <c r="E58" s="2" t="inlineStr">
        <is>
          <t>배당성향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/>
      <c r="E59" s="2" t="inlineStr">
        <is>
          <t>외화 순노출 × Δ기말환율 (외화 시트 방식)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HJ중공업(연)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948999</v>
      </c>
      <c r="F5" s="34" t="n">
        <v>948999</v>
      </c>
      <c r="G5" s="18" t="n">
        <v>934919</v>
      </c>
      <c r="H5" s="18" t="n">
        <v>905536</v>
      </c>
      <c r="I5" s="18" t="n">
        <v>919574</v>
      </c>
      <c r="J5" s="18" t="n">
        <v>1430318</v>
      </c>
      <c r="K5" s="34" t="n">
        <v>1430318</v>
      </c>
      <c r="L5" s="18" t="n">
        <v>1527237</v>
      </c>
      <c r="M5" s="18" t="n">
        <v>1499074</v>
      </c>
      <c r="N5" s="18" t="n">
        <v>1721672</v>
      </c>
      <c r="O5" s="18" t="n">
        <v>1727429</v>
      </c>
      <c r="P5" s="34" t="n">
        <v>1727429</v>
      </c>
      <c r="Q5" s="18" t="n">
        <v>1684956</v>
      </c>
      <c r="R5" s="18" t="n">
        <v>1604577</v>
      </c>
      <c r="S5" s="18" t="n">
        <v>1043559</v>
      </c>
      <c r="T5" s="18" t="n">
        <v>1073183</v>
      </c>
      <c r="U5" s="34" t="n">
        <v>1073183</v>
      </c>
      <c r="V5" s="18" t="n">
        <v>1087315</v>
      </c>
      <c r="W5" s="18" t="n">
        <v>1150434</v>
      </c>
      <c r="X5" s="18" t="n">
        <v>1161936</v>
      </c>
      <c r="Y5" s="18" t="n">
        <v>1258882</v>
      </c>
      <c r="Z5" s="34" t="n">
        <v>1258882</v>
      </c>
      <c r="AA5" s="18" t="n">
        <v>1259495</v>
      </c>
      <c r="AB5" s="19" t="n">
        <v>1444391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118309</v>
      </c>
      <c r="F6" s="34" t="n">
        <v>118309</v>
      </c>
      <c r="G6" s="18" t="n">
        <v>117115</v>
      </c>
      <c r="H6" s="18" t="n">
        <v>136160</v>
      </c>
      <c r="I6" s="18" t="n">
        <v>82734</v>
      </c>
      <c r="J6" s="18" t="n">
        <v>102233</v>
      </c>
      <c r="K6" s="34" t="n">
        <v>102233</v>
      </c>
      <c r="L6" s="18" t="n">
        <v>151777</v>
      </c>
      <c r="M6" s="18" t="n">
        <v>129563</v>
      </c>
      <c r="N6" s="18" t="n">
        <v>354177</v>
      </c>
      <c r="O6" s="18" t="n">
        <v>350257</v>
      </c>
      <c r="P6" s="34" t="n">
        <v>350257</v>
      </c>
      <c r="Q6" s="18" t="n">
        <v>286569</v>
      </c>
      <c r="R6" s="18" t="n">
        <v>257006</v>
      </c>
      <c r="S6" s="18" t="n">
        <v>195208</v>
      </c>
      <c r="T6" s="18" t="n">
        <v>207128</v>
      </c>
      <c r="U6" s="34" t="n">
        <v>207128</v>
      </c>
      <c r="V6" s="18" t="n">
        <v>80370</v>
      </c>
      <c r="W6" s="18" t="n">
        <v>170190</v>
      </c>
      <c r="X6" s="18" t="n">
        <v>202147</v>
      </c>
      <c r="Y6" s="18" t="n">
        <v>332206</v>
      </c>
      <c r="Z6" s="34" t="n">
        <v>332206</v>
      </c>
      <c r="AA6" s="18" t="n">
        <v>163666</v>
      </c>
      <c r="AB6" s="19" t="n">
        <v>249747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45186</v>
      </c>
      <c r="F7" s="34" t="n">
        <v>45186</v>
      </c>
      <c r="G7" s="18" t="n">
        <v>39745</v>
      </c>
      <c r="H7" s="18" t="n">
        <v>27373</v>
      </c>
      <c r="I7" s="18" t="n">
        <v>22968</v>
      </c>
      <c r="J7" s="18" t="n">
        <v>53406</v>
      </c>
      <c r="K7" s="34" t="n">
        <v>53406</v>
      </c>
      <c r="L7" s="18" t="n">
        <v>16846</v>
      </c>
      <c r="M7" s="18" t="n">
        <v>12287</v>
      </c>
      <c r="N7" s="18" t="n">
        <v>12344</v>
      </c>
      <c r="O7" s="18" t="n">
        <v>12562</v>
      </c>
      <c r="P7" s="34" t="n">
        <v>12562</v>
      </c>
      <c r="Q7" s="18" t="n">
        <v>12582</v>
      </c>
      <c r="R7" s="18" t="n">
        <v>11366</v>
      </c>
      <c r="S7" s="18" t="n">
        <v>32232</v>
      </c>
      <c r="T7" s="18" t="n">
        <v>24244</v>
      </c>
      <c r="U7" s="34" t="n">
        <v>24244</v>
      </c>
      <c r="V7" s="18" t="n">
        <v>32937</v>
      </c>
      <c r="W7" s="18" t="n">
        <v>43023</v>
      </c>
      <c r="X7" s="18" t="n">
        <v>32489</v>
      </c>
      <c r="Z7" s="9" t="n"/>
      <c r="AA7" s="18" t="n">
        <v>22279</v>
      </c>
      <c r="AB7" s="19" t="n">
        <v>25642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45186</v>
      </c>
      <c r="F8" s="34" t="n">
        <v>45186</v>
      </c>
      <c r="G8" s="18" t="n">
        <v>39745</v>
      </c>
      <c r="H8" s="18" t="n">
        <v>27373</v>
      </c>
      <c r="I8" s="18" t="n">
        <v>22968</v>
      </c>
      <c r="J8" s="18" t="n">
        <v>53406</v>
      </c>
      <c r="K8" s="34" t="n">
        <v>53406</v>
      </c>
      <c r="L8" s="18" t="n">
        <v>16846</v>
      </c>
      <c r="M8" s="18" t="n">
        <v>12287</v>
      </c>
      <c r="N8" s="18" t="n">
        <v>12344</v>
      </c>
      <c r="O8" s="18" t="n">
        <v>12562</v>
      </c>
      <c r="P8" s="34" t="n">
        <v>12562</v>
      </c>
      <c r="Q8" s="18" t="n">
        <v>12582</v>
      </c>
      <c r="R8" s="18" t="n">
        <v>11366</v>
      </c>
      <c r="S8" s="18" t="n">
        <v>32232</v>
      </c>
      <c r="T8" s="18" t="n">
        <v>24244</v>
      </c>
      <c r="U8" s="34" t="n">
        <v>24244</v>
      </c>
      <c r="V8" s="18" t="n">
        <v>32937</v>
      </c>
      <c r="W8" s="18" t="n">
        <v>43023</v>
      </c>
      <c r="X8" s="18" t="n">
        <v>32489</v>
      </c>
      <c r="Z8" s="9" t="n"/>
      <c r="AA8" s="18" t="n">
        <v>22279</v>
      </c>
      <c r="AB8" s="19" t="n">
        <v>25642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125946</v>
      </c>
      <c r="F9" s="34" t="n">
        <v>125946</v>
      </c>
      <c r="G9" s="18" t="n">
        <v>81033</v>
      </c>
      <c r="H9" s="18" t="n">
        <v>111314</v>
      </c>
      <c r="I9" s="18" t="n">
        <v>120201</v>
      </c>
      <c r="J9" s="18" t="n">
        <v>191243</v>
      </c>
      <c r="K9" s="34" t="n">
        <v>191243</v>
      </c>
      <c r="L9" s="18" t="n">
        <v>174100</v>
      </c>
      <c r="M9" s="18" t="n">
        <v>140661</v>
      </c>
      <c r="N9" s="18" t="n">
        <v>88754</v>
      </c>
      <c r="O9" s="18" t="n">
        <v>187650</v>
      </c>
      <c r="P9" s="34" t="n">
        <v>187650</v>
      </c>
      <c r="Q9" s="18" t="n">
        <v>202263</v>
      </c>
      <c r="R9" s="18" t="n">
        <v>206662</v>
      </c>
      <c r="S9" s="18" t="n">
        <v>134221</v>
      </c>
      <c r="T9" s="18" t="n">
        <v>140270</v>
      </c>
      <c r="U9" s="34" t="n">
        <v>140270</v>
      </c>
      <c r="V9" s="18" t="n">
        <v>152468</v>
      </c>
      <c r="W9" s="18" t="n">
        <v>165509</v>
      </c>
      <c r="X9" s="18" t="n">
        <v>152458</v>
      </c>
      <c r="Y9" s="18" t="n">
        <v>182938</v>
      </c>
      <c r="Z9" s="34" t="n">
        <v>182938</v>
      </c>
      <c r="AA9" s="18" t="n">
        <v>149796</v>
      </c>
      <c r="AB9" s="19" t="n">
        <v>186655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4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4" t="n">
        <v>233295</v>
      </c>
      <c r="L10" s="18" t="n">
        <v>220328</v>
      </c>
      <c r="M10" s="18" t="n">
        <v>268614</v>
      </c>
      <c r="N10" s="18" t="n">
        <v>330340</v>
      </c>
      <c r="O10" s="18" t="n">
        <v>387498</v>
      </c>
      <c r="P10" s="34" t="n">
        <v>387498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4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4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149511</v>
      </c>
      <c r="F11" s="34" t="n">
        <v>149511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4" t="n">
        <v>166055</v>
      </c>
      <c r="L11" s="18" t="n">
        <v>213315</v>
      </c>
      <c r="M11" s="18" t="n">
        <v>213426</v>
      </c>
      <c r="N11" s="18" t="n">
        <v>194801</v>
      </c>
      <c r="O11" s="18" t="n">
        <v>204693</v>
      </c>
      <c r="P11" s="34" t="n">
        <v>204693</v>
      </c>
      <c r="Q11" s="18" t="n">
        <v>290391</v>
      </c>
      <c r="R11" s="18" t="n">
        <v>278756</v>
      </c>
      <c r="S11" s="18" t="n">
        <v>290243</v>
      </c>
      <c r="T11" s="18" t="n">
        <v>250695</v>
      </c>
      <c r="U11" s="34" t="n">
        <v>250695</v>
      </c>
      <c r="V11" s="18" t="n">
        <v>343448</v>
      </c>
      <c r="W11" s="18" t="n">
        <v>316910</v>
      </c>
      <c r="X11" s="18" t="n">
        <v>326142</v>
      </c>
      <c r="Y11" s="18" t="n">
        <v>272035</v>
      </c>
      <c r="Z11" s="34" t="n">
        <v>272035</v>
      </c>
      <c r="AA11" s="18" t="n">
        <v>313316</v>
      </c>
      <c r="AB11" s="19" t="n">
        <v>324473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149511</v>
      </c>
      <c r="F12" s="34" t="n">
        <v>149511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4" t="n">
        <v>166055</v>
      </c>
      <c r="L12" s="18" t="n">
        <v>213315</v>
      </c>
      <c r="M12" s="18" t="n">
        <v>213426</v>
      </c>
      <c r="N12" s="18" t="n">
        <v>194801</v>
      </c>
      <c r="O12" s="18" t="n">
        <v>204693</v>
      </c>
      <c r="P12" s="34" t="n">
        <v>204693</v>
      </c>
      <c r="Q12" s="18" t="n">
        <v>290391</v>
      </c>
      <c r="R12" s="18" t="n">
        <v>278756</v>
      </c>
      <c r="S12" s="18" t="n">
        <v>290243</v>
      </c>
      <c r="T12" s="18" t="n">
        <v>250695</v>
      </c>
      <c r="U12" s="34" t="n">
        <v>250695</v>
      </c>
      <c r="V12" s="18" t="n">
        <v>343448</v>
      </c>
      <c r="W12" s="18" t="n">
        <v>316910</v>
      </c>
      <c r="X12" s="18" t="n">
        <v>326142</v>
      </c>
      <c r="Y12" s="18" t="n">
        <v>272035</v>
      </c>
      <c r="Z12" s="34" t="n">
        <v>272035</v>
      </c>
      <c r="AA12" s="18" t="n">
        <v>313316</v>
      </c>
      <c r="AB12" s="19" t="n">
        <v>324473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211903</v>
      </c>
      <c r="F13" s="34" t="n">
        <v>211903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4" t="n">
        <v>226637</v>
      </c>
      <c r="L13" s="18" t="n">
        <v>281024</v>
      </c>
      <c r="M13" s="18" t="n">
        <v>273368</v>
      </c>
      <c r="N13" s="18" t="n">
        <v>251191</v>
      </c>
      <c r="O13" s="18" t="n">
        <v>261430</v>
      </c>
      <c r="P13" s="34" t="n">
        <v>261430</v>
      </c>
      <c r="Q13" s="18" t="n">
        <v>357675</v>
      </c>
      <c r="R13" s="18" t="n">
        <v>337450</v>
      </c>
      <c r="S13" s="18" t="n">
        <v>349685</v>
      </c>
      <c r="T13" s="18" t="n">
        <v>315072</v>
      </c>
      <c r="U13" s="34" t="n">
        <v>315072</v>
      </c>
      <c r="V13" s="18" t="n">
        <v>416850</v>
      </c>
      <c r="W13" s="18" t="n">
        <v>398286</v>
      </c>
      <c r="X13" s="18" t="n">
        <v>413773</v>
      </c>
      <c r="Y13" s="18" t="n">
        <v>357976</v>
      </c>
      <c r="Z13" s="34" t="n">
        <v>357976</v>
      </c>
      <c r="AA13" s="18" t="n">
        <v>415652</v>
      </c>
      <c r="AB13" s="19" t="n">
        <v>424375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4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4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4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4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4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4" t="n">
        <v>32717</v>
      </c>
      <c r="G15" s="18" t="n">
        <v>27576</v>
      </c>
      <c r="H15" s="18" t="n">
        <v>20713</v>
      </c>
      <c r="I15" s="18" t="n">
        <v>15203</v>
      </c>
      <c r="J15" s="18" t="n">
        <v>33262</v>
      </c>
      <c r="K15" s="34" t="n">
        <v>33262</v>
      </c>
      <c r="L15" s="18" t="n">
        <v>33560</v>
      </c>
      <c r="M15" s="18" t="n">
        <v>15757</v>
      </c>
      <c r="N15" s="18" t="n">
        <v>6042</v>
      </c>
      <c r="O15" s="18" t="n">
        <v>8897</v>
      </c>
      <c r="P15" s="34" t="n">
        <v>8897</v>
      </c>
      <c r="Q15" s="18" t="n">
        <v>7199</v>
      </c>
      <c r="R15" s="18" t="n">
        <v>6269</v>
      </c>
      <c r="S15" s="18" t="n">
        <v>6091</v>
      </c>
      <c r="T15" s="18" t="n">
        <v>6262</v>
      </c>
      <c r="U15" s="34" t="n">
        <v>6262</v>
      </c>
      <c r="V15" s="18" t="n">
        <v>9219</v>
      </c>
      <c r="W15" s="18" t="n">
        <v>8600</v>
      </c>
      <c r="X15" s="18" t="n">
        <v>18295</v>
      </c>
      <c r="Y15" s="18" t="n">
        <v>17966</v>
      </c>
      <c r="Z15" s="34" t="n">
        <v>17966</v>
      </c>
      <c r="AA15" s="18" t="n">
        <v>14663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4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4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4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4" t="n">
        <v>0</v>
      </c>
      <c r="Y16" s="18" t="n">
        <v>0</v>
      </c>
      <c r="Z16" s="34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1436237</v>
      </c>
      <c r="F17" s="34" t="n">
        <v>1436237</v>
      </c>
      <c r="G17" s="18" t="n">
        <v>1437022</v>
      </c>
      <c r="H17" s="18" t="n">
        <v>1499898</v>
      </c>
      <c r="I17" s="18" t="n">
        <v>1508661</v>
      </c>
      <c r="J17" s="18" t="n">
        <v>1137379</v>
      </c>
      <c r="K17" s="34" t="n">
        <v>1137379</v>
      </c>
      <c r="L17" s="18" t="n">
        <v>1117654</v>
      </c>
      <c r="M17" s="18" t="n">
        <v>1124410</v>
      </c>
      <c r="N17" s="18" t="n">
        <v>1056109</v>
      </c>
      <c r="O17" s="18" t="n">
        <v>1163156</v>
      </c>
      <c r="P17" s="34" t="n">
        <v>1163156</v>
      </c>
      <c r="Q17" s="18" t="n">
        <v>1167916</v>
      </c>
      <c r="R17" s="18" t="n">
        <v>1159935</v>
      </c>
      <c r="S17" s="18" t="n">
        <v>1143077</v>
      </c>
      <c r="T17" s="18" t="n">
        <v>1131246</v>
      </c>
      <c r="U17" s="34" t="n">
        <v>1131246</v>
      </c>
      <c r="V17" s="18" t="n">
        <v>1132069</v>
      </c>
      <c r="W17" s="18" t="n">
        <v>1134733</v>
      </c>
      <c r="X17" s="18" t="n">
        <v>1126095</v>
      </c>
      <c r="Y17" s="18" t="n">
        <v>1194200</v>
      </c>
      <c r="Z17" s="34" t="n">
        <v>1194200</v>
      </c>
      <c r="AA17" s="18" t="n">
        <v>1192015</v>
      </c>
      <c r="AB17" s="19" t="n">
        <v>1199989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4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4" t="n">
        <v>45985</v>
      </c>
      <c r="L18" s="18" t="n">
        <v>46138</v>
      </c>
      <c r="M18" s="18" t="n">
        <v>61401</v>
      </c>
      <c r="N18" s="18" t="n">
        <v>59818</v>
      </c>
      <c r="O18" s="18" t="n">
        <v>61737</v>
      </c>
      <c r="P18" s="34" t="n">
        <v>61737</v>
      </c>
      <c r="Q18" s="18" t="n">
        <v>59238</v>
      </c>
      <c r="R18" s="18" t="n">
        <v>60312</v>
      </c>
      <c r="S18" s="18" t="n">
        <v>57373</v>
      </c>
      <c r="T18" s="18" t="n">
        <v>52170</v>
      </c>
      <c r="U18" s="34" t="n">
        <v>52170</v>
      </c>
      <c r="V18" s="18" t="n">
        <v>58501</v>
      </c>
      <c r="W18" s="18" t="n">
        <v>60396</v>
      </c>
      <c r="X18" s="18" t="n">
        <v>39989</v>
      </c>
      <c r="Y18" s="18" t="n">
        <v>39086</v>
      </c>
      <c r="Z18" s="34" t="n">
        <v>39086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4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4" t="n">
        <v>130707</v>
      </c>
      <c r="L19" s="18" t="n">
        <v>142903</v>
      </c>
      <c r="M19" s="18" t="n">
        <v>150247</v>
      </c>
      <c r="N19" s="18" t="n">
        <v>151509</v>
      </c>
      <c r="O19" s="18" t="n">
        <v>156794</v>
      </c>
      <c r="P19" s="34" t="n">
        <v>156794</v>
      </c>
      <c r="Q19" s="18" t="n">
        <v>156218</v>
      </c>
      <c r="R19" s="18" t="n">
        <v>150884</v>
      </c>
      <c r="S19" s="18" t="n">
        <v>140633</v>
      </c>
      <c r="T19" s="18" t="n">
        <v>135418</v>
      </c>
      <c r="U19" s="34" t="n">
        <v>135418</v>
      </c>
      <c r="V19" s="18" t="n">
        <v>145936</v>
      </c>
      <c r="W19" s="18" t="n">
        <v>144027</v>
      </c>
      <c r="X19" s="18" t="n">
        <v>135210</v>
      </c>
      <c r="Y19" s="18" t="n">
        <v>115422</v>
      </c>
      <c r="Z19" s="34" t="n">
        <v>115422</v>
      </c>
      <c r="AA19" s="18" t="n">
        <v>119305</v>
      </c>
      <c r="AB19" s="19" t="n">
        <v>123529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923488</v>
      </c>
      <c r="F20" s="34" t="n">
        <v>923488</v>
      </c>
      <c r="G20" s="18" t="n">
        <v>925918</v>
      </c>
      <c r="H20" s="18" t="n">
        <v>969278</v>
      </c>
      <c r="I20" s="18" t="n">
        <v>973379</v>
      </c>
      <c r="J20" s="18" t="n">
        <v>644984</v>
      </c>
      <c r="K20" s="34" t="n">
        <v>644984</v>
      </c>
      <c r="L20" s="18" t="n">
        <v>643554</v>
      </c>
      <c r="M20" s="18" t="n">
        <v>642554</v>
      </c>
      <c r="N20" s="18" t="n">
        <v>642000</v>
      </c>
      <c r="O20" s="18" t="n">
        <v>745840</v>
      </c>
      <c r="P20" s="34" t="n">
        <v>745840</v>
      </c>
      <c r="Q20" s="18" t="n">
        <v>745993</v>
      </c>
      <c r="R20" s="18" t="n">
        <v>743881</v>
      </c>
      <c r="S20" s="18" t="n">
        <v>742429</v>
      </c>
      <c r="T20" s="18" t="n">
        <v>740427</v>
      </c>
      <c r="U20" s="34" t="n">
        <v>740427</v>
      </c>
      <c r="V20" s="18" t="n">
        <v>738843</v>
      </c>
      <c r="W20" s="18" t="n">
        <v>738493</v>
      </c>
      <c r="X20" s="18" t="n">
        <v>740851</v>
      </c>
      <c r="Y20" s="18" t="n">
        <v>822328</v>
      </c>
      <c r="Z20" s="34" t="n">
        <v>822328</v>
      </c>
      <c r="AA20" s="18" t="n">
        <v>821228</v>
      </c>
      <c r="AB20" s="19" t="n">
        <v>823995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4" t="n">
        <v>59891</v>
      </c>
      <c r="G21" s="18" t="n">
        <v>59798</v>
      </c>
      <c r="H21" s="18" t="n">
        <v>59704</v>
      </c>
      <c r="I21" s="18" t="n">
        <v>59611</v>
      </c>
      <c r="J21" s="18" t="n">
        <v>10643</v>
      </c>
      <c r="K21" s="34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4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4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4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6209</v>
      </c>
      <c r="F22" s="34" t="n">
        <v>6209</v>
      </c>
      <c r="G22" s="18" t="n">
        <v>6094</v>
      </c>
      <c r="H22" s="18" t="n">
        <v>5979</v>
      </c>
      <c r="I22" s="18" t="n">
        <v>5865</v>
      </c>
      <c r="J22" s="18" t="n">
        <v>5748</v>
      </c>
      <c r="K22" s="34" t="n">
        <v>5748</v>
      </c>
      <c r="L22" s="18" t="n">
        <v>5635</v>
      </c>
      <c r="M22" s="18" t="n">
        <v>6224</v>
      </c>
      <c r="N22" s="18" t="n">
        <v>5536</v>
      </c>
      <c r="O22" s="18" t="n">
        <v>5416</v>
      </c>
      <c r="P22" s="34" t="n">
        <v>5416</v>
      </c>
      <c r="Q22" s="18" t="n">
        <v>5301</v>
      </c>
      <c r="R22" s="18" t="n">
        <v>5168</v>
      </c>
      <c r="S22" s="18" t="n">
        <v>5053</v>
      </c>
      <c r="T22" s="18" t="n">
        <v>4940</v>
      </c>
      <c r="U22" s="34" t="n">
        <v>4940</v>
      </c>
      <c r="V22" s="18" t="n">
        <v>4825</v>
      </c>
      <c r="W22" s="18" t="n">
        <v>4708</v>
      </c>
      <c r="X22" s="18" t="n">
        <v>4593</v>
      </c>
      <c r="Y22" s="18" t="n">
        <v>4479</v>
      </c>
      <c r="Z22" s="34" t="n">
        <v>4479</v>
      </c>
      <c r="AA22" s="18" t="n">
        <v>4364</v>
      </c>
      <c r="AB22" s="19" t="n">
        <v>4249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4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4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4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4" t="n">
        <v>79469</v>
      </c>
      <c r="V23" s="18" t="n">
        <v>83954</v>
      </c>
      <c r="W23" s="18" t="n">
        <v>80064</v>
      </c>
      <c r="X23" s="18" t="n">
        <v>89654</v>
      </c>
      <c r="Y23" s="18" t="n">
        <v>71374</v>
      </c>
      <c r="Z23" s="34" t="n">
        <v>71374</v>
      </c>
      <c r="AA23" s="18" t="n">
        <v>75590</v>
      </c>
      <c r="AB23" s="19" t="n">
        <v>76730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4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4" t="n">
        <v>181681</v>
      </c>
      <c r="L24" s="18" t="n">
        <v>180966</v>
      </c>
      <c r="M24" s="18" t="n">
        <v>180233</v>
      </c>
      <c r="N24" s="18" t="n">
        <v>93155</v>
      </c>
      <c r="O24" s="18" t="n">
        <v>46514</v>
      </c>
      <c r="P24" s="34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4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4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4" t="n">
        <v>224791</v>
      </c>
      <c r="G25" s="18" t="n">
        <v>222252</v>
      </c>
      <c r="H25" s="18" t="n">
        <v>223165</v>
      </c>
      <c r="I25" s="18" t="n">
        <v>206634</v>
      </c>
      <c r="J25" s="18" t="n">
        <v>210622</v>
      </c>
      <c r="K25" s="34" t="n">
        <v>210622</v>
      </c>
      <c r="L25" s="18" t="n">
        <v>210867</v>
      </c>
      <c r="M25" s="18" t="n">
        <v>211254</v>
      </c>
      <c r="N25" s="18" t="n">
        <v>134434</v>
      </c>
      <c r="O25" s="18" t="n">
        <v>89941</v>
      </c>
      <c r="P25" s="34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4" t="n">
        <v>84698</v>
      </c>
      <c r="V25" s="18" t="n">
        <v>79002</v>
      </c>
      <c r="W25" s="18" t="n">
        <v>85538</v>
      </c>
      <c r="X25" s="18" t="n">
        <v>84270</v>
      </c>
      <c r="Y25" s="18" t="n">
        <v>92026</v>
      </c>
      <c r="Z25" s="34" t="n">
        <v>92026</v>
      </c>
      <c r="AA25" s="18" t="n">
        <v>90614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339</v>
      </c>
      <c r="F26" s="34" t="n">
        <v>339</v>
      </c>
      <c r="G26" s="18" t="n">
        <v>346</v>
      </c>
      <c r="H26" s="18" t="n">
        <v>0</v>
      </c>
      <c r="I26" s="18" t="n">
        <v>0</v>
      </c>
      <c r="J26" s="18" t="n">
        <v>0</v>
      </c>
      <c r="K26" s="34" t="n">
        <v>0</v>
      </c>
      <c r="O26" s="18" t="n">
        <v>0</v>
      </c>
      <c r="P26" s="34" t="n">
        <v>0</v>
      </c>
      <c r="T26" s="18" t="n">
        <v>0</v>
      </c>
      <c r="U26" s="34" t="n">
        <v>0</v>
      </c>
      <c r="Y26" s="18" t="n">
        <v>0</v>
      </c>
      <c r="Z26" s="34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4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4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4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4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4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2385236</v>
      </c>
      <c r="F28" s="34" t="n">
        <v>2385236</v>
      </c>
      <c r="G28" s="18" t="n">
        <v>2371941</v>
      </c>
      <c r="H28" s="18" t="n">
        <v>2405434</v>
      </c>
      <c r="I28" s="18" t="n">
        <v>2428235</v>
      </c>
      <c r="J28" s="18" t="n">
        <v>2567697</v>
      </c>
      <c r="K28" s="34" t="n">
        <v>2567697</v>
      </c>
      <c r="L28" s="18" t="n">
        <v>2644891</v>
      </c>
      <c r="M28" s="18" t="n">
        <v>2623484</v>
      </c>
      <c r="N28" s="18" t="n">
        <v>2777781</v>
      </c>
      <c r="O28" s="18" t="n">
        <v>2890585</v>
      </c>
      <c r="P28" s="34" t="n">
        <v>2890585</v>
      </c>
      <c r="Q28" s="18" t="n">
        <v>2852872</v>
      </c>
      <c r="R28" s="18" t="n">
        <v>2764512</v>
      </c>
      <c r="S28" s="18" t="n">
        <v>2186636</v>
      </c>
      <c r="T28" s="18" t="n">
        <v>2204429</v>
      </c>
      <c r="U28" s="34" t="n">
        <v>2204429</v>
      </c>
      <c r="V28" s="18" t="n">
        <v>2219384</v>
      </c>
      <c r="W28" s="18" t="n">
        <v>2285167</v>
      </c>
      <c r="X28" s="18" t="n">
        <v>2288031</v>
      </c>
      <c r="Y28" s="18" t="n">
        <v>2453082</v>
      </c>
      <c r="Z28" s="34" t="n">
        <v>2453082</v>
      </c>
      <c r="AA28" s="18" t="n">
        <v>2451510</v>
      </c>
      <c r="AB28" s="19" t="n">
        <v>2644380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949994</v>
      </c>
      <c r="F29" s="34" t="n">
        <v>949994</v>
      </c>
      <c r="G29" s="18" t="n">
        <v>934823</v>
      </c>
      <c r="H29" s="18" t="n">
        <v>892571</v>
      </c>
      <c r="I29" s="18" t="n">
        <v>1034810</v>
      </c>
      <c r="J29" s="18" t="n">
        <v>1418222</v>
      </c>
      <c r="K29" s="34" t="n">
        <v>1418222</v>
      </c>
      <c r="L29" s="18" t="n">
        <v>1555760</v>
      </c>
      <c r="M29" s="18" t="n">
        <v>2141496</v>
      </c>
      <c r="N29" s="18" t="n">
        <v>2133838</v>
      </c>
      <c r="O29" s="18" t="n">
        <v>2125811</v>
      </c>
      <c r="P29" s="34" t="n">
        <v>2125811</v>
      </c>
      <c r="Q29" s="18" t="n">
        <v>2066092</v>
      </c>
      <c r="R29" s="18" t="n">
        <v>2017808</v>
      </c>
      <c r="S29" s="18" t="n">
        <v>1485051</v>
      </c>
      <c r="T29" s="18" t="n">
        <v>1555136</v>
      </c>
      <c r="U29" s="34" t="n">
        <v>1555136</v>
      </c>
      <c r="V29" s="18" t="n">
        <v>1560570</v>
      </c>
      <c r="W29" s="18" t="n">
        <v>1577354</v>
      </c>
      <c r="X29" s="18" t="n">
        <v>1585489</v>
      </c>
      <c r="Y29" s="18" t="n">
        <v>1491810</v>
      </c>
      <c r="Z29" s="34" t="n">
        <v>1491810</v>
      </c>
      <c r="AA29" s="18" t="n">
        <v>1458784</v>
      </c>
      <c r="AB29" s="19" t="n">
        <v>1391706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314782</v>
      </c>
      <c r="F30" s="34" t="n">
        <v>314782</v>
      </c>
      <c r="G30" s="18" t="n">
        <v>257206</v>
      </c>
      <c r="H30" s="18" t="n">
        <v>260808</v>
      </c>
      <c r="I30" s="18" t="n">
        <v>262620</v>
      </c>
      <c r="J30" s="18" t="n">
        <v>330500</v>
      </c>
      <c r="K30" s="34" t="n">
        <v>330500</v>
      </c>
      <c r="L30" s="18" t="n">
        <v>353136</v>
      </c>
      <c r="M30" s="18" t="n">
        <v>405750</v>
      </c>
      <c r="N30" s="18" t="n">
        <v>396293</v>
      </c>
      <c r="O30" s="18" t="n">
        <v>475323</v>
      </c>
      <c r="P30" s="34" t="n">
        <v>475323</v>
      </c>
      <c r="Q30" s="18" t="n">
        <v>436846</v>
      </c>
      <c r="R30" s="18" t="n">
        <v>511763</v>
      </c>
      <c r="S30" s="18" t="n">
        <v>381001</v>
      </c>
      <c r="T30" s="18" t="n">
        <v>386632</v>
      </c>
      <c r="U30" s="34" t="n">
        <v>386632</v>
      </c>
      <c r="V30" s="18" t="n">
        <v>393985</v>
      </c>
      <c r="W30" s="18" t="n">
        <v>409447</v>
      </c>
      <c r="X30" s="18" t="n">
        <v>439740</v>
      </c>
      <c r="Y30" s="18" t="n">
        <v>399070</v>
      </c>
      <c r="Z30" s="34" t="n">
        <v>399070</v>
      </c>
      <c r="AA30" s="18" t="n">
        <v>397446</v>
      </c>
      <c r="AB30" s="19" t="n">
        <v>401860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4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4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4" t="n">
        <v>656520</v>
      </c>
      <c r="Q31" s="18" t="n">
        <v>662635</v>
      </c>
      <c r="R31" s="18" t="n">
        <v>623770</v>
      </c>
      <c r="S31" s="18" t="n">
        <v>452151</v>
      </c>
      <c r="T31" s="18" t="n">
        <v>47678</v>
      </c>
      <c r="U31" s="34" t="n">
        <v>47678</v>
      </c>
      <c r="V31" s="18" t="n">
        <v>45676</v>
      </c>
      <c r="W31" s="18" t="n">
        <v>45676</v>
      </c>
      <c r="X31" s="18" t="n">
        <v>42646</v>
      </c>
      <c r="Y31" s="18" t="n">
        <v>67646</v>
      </c>
      <c r="Z31" s="34" t="n">
        <v>67646</v>
      </c>
      <c r="AA31" s="18" t="n">
        <v>67646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4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4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4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4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4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4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4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4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4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4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4" t="n">
        <v>28688</v>
      </c>
      <c r="G34" s="18" t="n">
        <v>28765</v>
      </c>
      <c r="H34" s="18" t="n">
        <v>29401</v>
      </c>
      <c r="I34" s="18" t="n">
        <v>194259</v>
      </c>
      <c r="J34" s="18" t="n">
        <v>193791</v>
      </c>
      <c r="K34" s="34" t="n">
        <v>193791</v>
      </c>
      <c r="L34" s="18" t="n">
        <v>193875</v>
      </c>
      <c r="M34" s="18" t="n">
        <v>194121</v>
      </c>
      <c r="N34" s="18" t="n">
        <v>33779</v>
      </c>
      <c r="O34" s="18" t="n">
        <v>35581</v>
      </c>
      <c r="P34" s="34" t="n">
        <v>35581</v>
      </c>
      <c r="Q34" s="18" t="n">
        <v>36656</v>
      </c>
      <c r="R34" s="18" t="n">
        <v>31943</v>
      </c>
      <c r="S34" s="18" t="n">
        <v>29211</v>
      </c>
      <c r="T34" s="18" t="n">
        <v>28368</v>
      </c>
      <c r="U34" s="34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4" t="n">
        <v>29616</v>
      </c>
      <c r="AA34" s="18" t="n">
        <v>31985</v>
      </c>
      <c r="AB34" s="19" t="n">
        <v>35734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4" t="n">
        <v>28688</v>
      </c>
      <c r="G35" s="18" t="n">
        <v>28765</v>
      </c>
      <c r="H35" s="18" t="n">
        <v>29401</v>
      </c>
      <c r="I35" s="18" t="n">
        <v>194259</v>
      </c>
      <c r="J35" s="18" t="n">
        <v>193791</v>
      </c>
      <c r="K35" s="34" t="n">
        <v>193791</v>
      </c>
      <c r="L35" s="18" t="n">
        <v>193875</v>
      </c>
      <c r="M35" s="18" t="n">
        <v>194121</v>
      </c>
      <c r="N35" s="18" t="n">
        <v>33779</v>
      </c>
      <c r="O35" s="18" t="n">
        <v>35581</v>
      </c>
      <c r="P35" s="34" t="n">
        <v>35581</v>
      </c>
      <c r="Q35" s="18" t="n">
        <v>36656</v>
      </c>
      <c r="R35" s="18" t="n">
        <v>31943</v>
      </c>
      <c r="S35" s="18" t="n">
        <v>29211</v>
      </c>
      <c r="T35" s="18" t="n">
        <v>28368</v>
      </c>
      <c r="U35" s="34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4" t="n">
        <v>29616</v>
      </c>
      <c r="AA35" s="18" t="n">
        <v>31985</v>
      </c>
      <c r="AB35" s="19" t="n">
        <v>35734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4" t="n">
        <v>12999</v>
      </c>
      <c r="G36" s="18" t="n">
        <v>16666</v>
      </c>
      <c r="H36" s="18" t="n">
        <v>16613</v>
      </c>
      <c r="I36" s="18" t="n">
        <v>33699</v>
      </c>
      <c r="J36" s="18" t="n">
        <v>218806</v>
      </c>
      <c r="K36" s="34" t="n">
        <v>218806</v>
      </c>
      <c r="L36" s="18" t="n">
        <v>217229</v>
      </c>
      <c r="M36" s="18" t="n">
        <v>210400</v>
      </c>
      <c r="N36" s="18" t="n">
        <v>210610</v>
      </c>
      <c r="O36" s="18" t="n">
        <v>208781</v>
      </c>
      <c r="P36" s="34" t="n">
        <v>208781</v>
      </c>
      <c r="Q36" s="18" t="n">
        <v>208008</v>
      </c>
      <c r="R36" s="18" t="n">
        <v>206557</v>
      </c>
      <c r="S36" s="18" t="n">
        <v>109475</v>
      </c>
      <c r="T36" s="18" t="n">
        <v>108840</v>
      </c>
      <c r="U36" s="34" t="n">
        <v>108840</v>
      </c>
      <c r="V36" s="18" t="n">
        <v>109148</v>
      </c>
      <c r="W36" s="18" t="n">
        <v>110152</v>
      </c>
      <c r="X36" s="18" t="n">
        <v>110513</v>
      </c>
      <c r="Y36" s="18" t="n">
        <v>111817</v>
      </c>
      <c r="Z36" s="34" t="n">
        <v>111817</v>
      </c>
      <c r="AA36" s="18" t="n">
        <v>109403</v>
      </c>
      <c r="AB36" s="19" t="n">
        <v>108598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1003237</v>
      </c>
      <c r="F37" s="34" t="n">
        <v>1003237</v>
      </c>
      <c r="G37" s="18" t="n">
        <v>1015066</v>
      </c>
      <c r="H37" s="18" t="n">
        <v>1105384</v>
      </c>
      <c r="I37" s="18" t="n">
        <v>1006201</v>
      </c>
      <c r="J37" s="18" t="n">
        <v>764485</v>
      </c>
      <c r="K37" s="34" t="n">
        <v>764485</v>
      </c>
      <c r="L37" s="18" t="n">
        <v>728779</v>
      </c>
      <c r="M37" s="18" t="n">
        <v>201420</v>
      </c>
      <c r="N37" s="18" t="n">
        <v>367906</v>
      </c>
      <c r="O37" s="18" t="n">
        <v>423862</v>
      </c>
      <c r="P37" s="34" t="n">
        <v>423862</v>
      </c>
      <c r="Q37" s="18" t="n">
        <v>432029</v>
      </c>
      <c r="R37" s="18" t="n">
        <v>433452</v>
      </c>
      <c r="S37" s="18" t="n">
        <v>335929</v>
      </c>
      <c r="T37" s="18" t="n">
        <v>305896</v>
      </c>
      <c r="U37" s="34" t="n">
        <v>305896</v>
      </c>
      <c r="V37" s="18" t="n">
        <v>310079</v>
      </c>
      <c r="W37" s="18" t="n">
        <v>364169</v>
      </c>
      <c r="X37" s="18" t="n">
        <v>355236</v>
      </c>
      <c r="Y37" s="18" t="n">
        <v>291684</v>
      </c>
      <c r="Z37" s="34" t="n">
        <v>291684</v>
      </c>
      <c r="AA37" s="18" t="n">
        <v>298775</v>
      </c>
      <c r="AB37" s="19" t="n">
        <v>499746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4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4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4" t="n">
        <v>0</v>
      </c>
      <c r="T38" s="18" t="n">
        <v>0</v>
      </c>
      <c r="U38" s="34" t="n">
        <v>0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4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4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4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4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4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4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4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4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4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4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4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4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4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4" t="n">
        <v>0</v>
      </c>
      <c r="Y41" s="18" t="n">
        <v>0</v>
      </c>
      <c r="Z41" s="34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4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4" t="n">
        <v>80368</v>
      </c>
      <c r="L42" s="18" t="n">
        <v>80367</v>
      </c>
      <c r="M42" s="18" t="n">
        <v>80367</v>
      </c>
      <c r="N42" s="18" t="n">
        <v>80367</v>
      </c>
      <c r="O42" s="18" t="n">
        <v>104537</v>
      </c>
      <c r="P42" s="34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4" t="n">
        <v>104525</v>
      </c>
      <c r="V42" s="18" t="n">
        <v>104448</v>
      </c>
      <c r="W42" s="18" t="n">
        <v>104430</v>
      </c>
      <c r="X42" s="18" t="n">
        <v>104524</v>
      </c>
      <c r="Y42" s="18" t="n">
        <v>100060</v>
      </c>
      <c r="Z42" s="34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183575</v>
      </c>
      <c r="F43" s="34" t="n">
        <v>183575</v>
      </c>
      <c r="G43" s="18" t="n">
        <v>182872</v>
      </c>
      <c r="H43" s="18" t="n">
        <v>182638</v>
      </c>
      <c r="I43" s="18" t="n">
        <v>17647</v>
      </c>
      <c r="J43" s="18" t="n">
        <v>17121</v>
      </c>
      <c r="K43" s="34" t="n">
        <v>17121</v>
      </c>
      <c r="L43" s="18" t="n">
        <v>18668</v>
      </c>
      <c r="M43" s="18" t="n">
        <v>18183</v>
      </c>
      <c r="N43" s="18" t="n">
        <v>79319</v>
      </c>
      <c r="O43" s="18" t="n">
        <v>77909</v>
      </c>
      <c r="P43" s="34" t="n">
        <v>77909</v>
      </c>
      <c r="Q43" s="18" t="n">
        <v>75874</v>
      </c>
      <c r="R43" s="18" t="n">
        <v>73823</v>
      </c>
      <c r="S43" s="18" t="n">
        <v>68937</v>
      </c>
      <c r="T43" s="18" t="n">
        <v>66884</v>
      </c>
      <c r="U43" s="34" t="n">
        <v>66884</v>
      </c>
      <c r="V43" s="18" t="n">
        <v>61184</v>
      </c>
      <c r="W43" s="18" t="n">
        <v>66730</v>
      </c>
      <c r="X43" s="18" t="n">
        <v>63186</v>
      </c>
      <c r="Y43" s="18" t="n">
        <v>60922</v>
      </c>
      <c r="Z43" s="34" t="n">
        <v>60922</v>
      </c>
      <c r="AA43" s="18" t="n">
        <v>57191</v>
      </c>
      <c r="AB43" s="19" t="n">
        <v>54142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183575</v>
      </c>
      <c r="F44" s="34" t="n">
        <v>183575</v>
      </c>
      <c r="G44" s="18" t="n">
        <v>182872</v>
      </c>
      <c r="H44" s="18" t="n">
        <v>182638</v>
      </c>
      <c r="I44" s="18" t="n">
        <v>17647</v>
      </c>
      <c r="J44" s="18" t="n">
        <v>17121</v>
      </c>
      <c r="K44" s="34" t="n">
        <v>17121</v>
      </c>
      <c r="L44" s="18" t="n">
        <v>18668</v>
      </c>
      <c r="M44" s="18" t="n">
        <v>18183</v>
      </c>
      <c r="N44" s="18" t="n">
        <v>79319</v>
      </c>
      <c r="O44" s="18" t="n">
        <v>77909</v>
      </c>
      <c r="P44" s="34" t="n">
        <v>77909</v>
      </c>
      <c r="Q44" s="18" t="n">
        <v>75874</v>
      </c>
      <c r="R44" s="18" t="n">
        <v>73823</v>
      </c>
      <c r="S44" s="18" t="n">
        <v>68937</v>
      </c>
      <c r="T44" s="18" t="n">
        <v>66884</v>
      </c>
      <c r="U44" s="34" t="n">
        <v>66884</v>
      </c>
      <c r="V44" s="18" t="n">
        <v>61184</v>
      </c>
      <c r="W44" s="18" t="n">
        <v>66730</v>
      </c>
      <c r="X44" s="18" t="n">
        <v>63186</v>
      </c>
      <c r="Y44" s="18" t="n">
        <v>60922</v>
      </c>
      <c r="Z44" s="34" t="n">
        <v>60922</v>
      </c>
      <c r="AA44" s="18" t="n">
        <v>57191</v>
      </c>
      <c r="AB44" s="19" t="n">
        <v>54142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4" t="n">
        <v>127545</v>
      </c>
      <c r="G45" s="18" t="n">
        <v>127669</v>
      </c>
      <c r="H45" s="18" t="n">
        <v>208292</v>
      </c>
      <c r="I45" s="18" t="n">
        <v>207495</v>
      </c>
      <c r="J45" s="18" t="n">
        <v>5382</v>
      </c>
      <c r="K45" s="34" t="n">
        <v>5382</v>
      </c>
      <c r="L45" s="18" t="n">
        <v>5549</v>
      </c>
      <c r="M45" s="18" t="n">
        <v>5715</v>
      </c>
      <c r="N45" s="18" t="n">
        <v>109973</v>
      </c>
      <c r="O45" s="18" t="n">
        <v>111185</v>
      </c>
      <c r="P45" s="34" t="n">
        <v>111185</v>
      </c>
      <c r="Q45" s="18" t="n">
        <v>111374</v>
      </c>
      <c r="R45" s="18" t="n">
        <v>111564</v>
      </c>
      <c r="S45" s="18" t="n">
        <v>6140</v>
      </c>
      <c r="T45" s="18" t="n">
        <v>8806</v>
      </c>
      <c r="U45" s="34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4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1953231</v>
      </c>
      <c r="F46" s="34" t="n">
        <v>1953231</v>
      </c>
      <c r="G46" s="18" t="n">
        <v>1949889</v>
      </c>
      <c r="H46" s="18" t="n">
        <v>1997955</v>
      </c>
      <c r="I46" s="18" t="n">
        <v>2041011</v>
      </c>
      <c r="J46" s="18" t="n">
        <v>2182707</v>
      </c>
      <c r="K46" s="34" t="n">
        <v>2182707</v>
      </c>
      <c r="L46" s="18" t="n">
        <v>2284539</v>
      </c>
      <c r="M46" s="18" t="n">
        <v>2342916</v>
      </c>
      <c r="N46" s="18" t="n">
        <v>2501744</v>
      </c>
      <c r="O46" s="18" t="n">
        <v>2549673</v>
      </c>
      <c r="P46" s="34" t="n">
        <v>2549673</v>
      </c>
      <c r="Q46" s="18" t="n">
        <v>2498121</v>
      </c>
      <c r="R46" s="18" t="n">
        <v>2451260</v>
      </c>
      <c r="S46" s="18" t="n">
        <v>1820980</v>
      </c>
      <c r="T46" s="18" t="n">
        <v>1861032</v>
      </c>
      <c r="U46" s="34" t="n">
        <v>1861032</v>
      </c>
      <c r="V46" s="18" t="n">
        <v>1870649</v>
      </c>
      <c r="W46" s="18" t="n">
        <v>1941523</v>
      </c>
      <c r="X46" s="18" t="n">
        <v>1940725</v>
      </c>
      <c r="Y46" s="18" t="n">
        <v>1783494</v>
      </c>
      <c r="Z46" s="34" t="n">
        <v>1783494</v>
      </c>
      <c r="AA46" s="18" t="n">
        <v>1757559</v>
      </c>
      <c r="AB46" s="19" t="n">
        <v>1891452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432073</v>
      </c>
      <c r="F47" s="34" t="n">
        <v>432073</v>
      </c>
      <c r="G47" s="18" t="n">
        <v>422120</v>
      </c>
      <c r="H47" s="18" t="n">
        <v>407547</v>
      </c>
      <c r="I47" s="18" t="n">
        <v>387291</v>
      </c>
      <c r="J47" s="18" t="n">
        <v>385056</v>
      </c>
      <c r="K47" s="34" t="n">
        <v>385056</v>
      </c>
      <c r="L47" s="18" t="n">
        <v>360417</v>
      </c>
      <c r="M47" s="18" t="n">
        <v>280134</v>
      </c>
      <c r="N47" s="18" t="n">
        <v>275749</v>
      </c>
      <c r="O47" s="18" t="n">
        <v>340793</v>
      </c>
      <c r="P47" s="34" t="n">
        <v>340793</v>
      </c>
      <c r="Q47" s="18" t="n">
        <v>354787</v>
      </c>
      <c r="R47" s="18" t="n">
        <v>313212</v>
      </c>
      <c r="S47" s="18" t="n">
        <v>365642</v>
      </c>
      <c r="T47" s="18" t="n">
        <v>343448</v>
      </c>
      <c r="U47" s="34" t="n">
        <v>343448</v>
      </c>
      <c r="V47" s="18" t="n">
        <v>348784</v>
      </c>
      <c r="W47" s="18" t="n">
        <v>343690</v>
      </c>
      <c r="X47" s="18" t="n">
        <v>347350</v>
      </c>
      <c r="Y47" s="18" t="n">
        <v>669629</v>
      </c>
      <c r="Z47" s="34" t="n">
        <v>669629</v>
      </c>
      <c r="AA47" s="18" t="n">
        <v>693989</v>
      </c>
      <c r="AB47" s="19" t="n">
        <v>752963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자본금</t>
        </is>
      </c>
      <c r="E48" s="18" t="n">
        <v>416371</v>
      </c>
      <c r="F48" s="34" t="n">
        <v>416371</v>
      </c>
      <c r="G48" s="18" t="n">
        <v>416371</v>
      </c>
      <c r="H48" s="18" t="n">
        <v>416371</v>
      </c>
      <c r="I48" s="18" t="n">
        <v>416371</v>
      </c>
      <c r="J48" s="18" t="n">
        <v>416371</v>
      </c>
      <c r="K48" s="34" t="n">
        <v>416371</v>
      </c>
      <c r="L48" s="18" t="n">
        <v>416371</v>
      </c>
      <c r="M48" s="18" t="n">
        <v>416371</v>
      </c>
      <c r="N48" s="18" t="n">
        <v>416371</v>
      </c>
      <c r="O48" s="18" t="n">
        <v>416371</v>
      </c>
      <c r="P48" s="34" t="n">
        <v>416371</v>
      </c>
      <c r="Q48" s="18" t="n">
        <v>416371</v>
      </c>
      <c r="R48" s="18" t="n">
        <v>416371</v>
      </c>
      <c r="S48" s="18" t="n">
        <v>416371</v>
      </c>
      <c r="T48" s="18" t="n">
        <v>416371</v>
      </c>
      <c r="U48" s="34" t="n">
        <v>416371</v>
      </c>
      <c r="V48" s="18" t="n">
        <v>416371</v>
      </c>
      <c r="W48" s="18" t="n">
        <v>416371</v>
      </c>
      <c r="X48" s="18" t="n">
        <v>416371</v>
      </c>
      <c r="Y48" s="18" t="n">
        <v>451477</v>
      </c>
      <c r="Z48" s="34" t="n">
        <v>451477</v>
      </c>
      <c r="AA48" s="18" t="n">
        <v>451477</v>
      </c>
      <c r="AB48" s="19" t="n">
        <v>451477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자본잉여금</t>
        </is>
      </c>
      <c r="E49" s="18" t="n">
        <v>1050101</v>
      </c>
      <c r="F49" s="34" t="n">
        <v>1050101</v>
      </c>
      <c r="G49" s="18" t="n">
        <v>1050101</v>
      </c>
      <c r="H49" s="18" t="n">
        <v>1050101</v>
      </c>
      <c r="I49" s="18" t="n">
        <v>1050101</v>
      </c>
      <c r="J49" s="18" t="n">
        <v>1050101</v>
      </c>
      <c r="K49" s="34" t="n">
        <v>1050101</v>
      </c>
      <c r="L49" s="18" t="n">
        <v>1050101</v>
      </c>
      <c r="M49" s="18" t="n">
        <v>1050101</v>
      </c>
      <c r="N49" s="18" t="n">
        <v>1050101</v>
      </c>
      <c r="O49" s="18" t="n">
        <v>1050101</v>
      </c>
      <c r="P49" s="34" t="n">
        <v>1050101</v>
      </c>
      <c r="Q49" s="18" t="n">
        <v>1050101</v>
      </c>
      <c r="R49" s="18" t="n">
        <v>1050101</v>
      </c>
      <c r="S49" s="18" t="n">
        <v>1050101</v>
      </c>
      <c r="T49" s="18" t="n">
        <v>1050101</v>
      </c>
      <c r="U49" s="34" t="n">
        <v>1050101</v>
      </c>
      <c r="V49" s="18" t="n">
        <v>1050101</v>
      </c>
      <c r="W49" s="18" t="n">
        <v>1050101</v>
      </c>
      <c r="X49" s="18" t="n">
        <v>1050101</v>
      </c>
      <c r="Y49" s="18" t="n">
        <v>1224791</v>
      </c>
      <c r="Z49" s="34" t="n">
        <v>1224791</v>
      </c>
      <c r="AA49" s="18" t="n">
        <v>1224791</v>
      </c>
      <c r="AB49" s="19" t="n">
        <v>1224791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-1358658</v>
      </c>
      <c r="F50" s="34" t="n">
        <v>-1358658</v>
      </c>
      <c r="G50" s="18" t="n">
        <v>-1367904</v>
      </c>
      <c r="H50" s="18" t="n">
        <v>-1382350</v>
      </c>
      <c r="I50" s="18" t="n">
        <v>-1402989</v>
      </c>
      <c r="J50" s="18" t="n">
        <v>-1408225</v>
      </c>
      <c r="K50" s="34" t="n">
        <v>-1408225</v>
      </c>
      <c r="L50" s="18" t="n">
        <v>-1432685</v>
      </c>
      <c r="M50" s="18" t="n">
        <v>-1512893</v>
      </c>
      <c r="N50" s="18" t="n">
        <v>-1517304</v>
      </c>
      <c r="O50" s="18" t="n">
        <v>-1532564</v>
      </c>
      <c r="P50" s="34" t="n">
        <v>-1532564</v>
      </c>
      <c r="Q50" s="18" t="n">
        <v>-1518585</v>
      </c>
      <c r="R50" s="18" t="n">
        <v>-1560159</v>
      </c>
      <c r="S50" s="18" t="n">
        <v>-1508564</v>
      </c>
      <c r="T50" s="18" t="n">
        <v>-1462760</v>
      </c>
      <c r="U50" s="34" t="n">
        <v>-1462760</v>
      </c>
      <c r="V50" s="18" t="n">
        <v>-1457460</v>
      </c>
      <c r="W50" s="18" t="n">
        <v>-1464135</v>
      </c>
      <c r="X50" s="18" t="n">
        <v>-1460368</v>
      </c>
      <c r="Y50" s="18" t="n">
        <v>-1408011</v>
      </c>
      <c r="Z50" s="34" t="n">
        <v>-1408011</v>
      </c>
      <c r="AA50" s="18" t="n">
        <v>-1382885</v>
      </c>
      <c r="AB50" s="19" t="n">
        <v>-1320480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11590</v>
      </c>
      <c r="F51" s="34" t="n">
        <v>11590</v>
      </c>
      <c r="G51" s="18" t="n">
        <v>11590</v>
      </c>
      <c r="H51" s="18" t="n">
        <v>11590</v>
      </c>
      <c r="I51" s="18" t="n">
        <v>10167</v>
      </c>
      <c r="J51" s="18" t="n">
        <v>11590</v>
      </c>
      <c r="K51" s="34" t="n">
        <v>11590</v>
      </c>
      <c r="L51" s="18" t="n">
        <v>10167</v>
      </c>
      <c r="M51" s="18" t="n">
        <v>10167</v>
      </c>
      <c r="N51" s="18" t="n">
        <v>10167</v>
      </c>
      <c r="O51" s="18" t="n">
        <v>417046</v>
      </c>
      <c r="P51" s="34" t="n">
        <v>417046</v>
      </c>
      <c r="Q51" s="18" t="n">
        <v>417061</v>
      </c>
      <c r="R51" s="18" t="n">
        <v>417060</v>
      </c>
      <c r="S51" s="18" t="n">
        <v>417895</v>
      </c>
      <c r="T51" s="18" t="n">
        <v>349897</v>
      </c>
      <c r="U51" s="34" t="n">
        <v>349897</v>
      </c>
      <c r="V51" s="18" t="n">
        <v>349933</v>
      </c>
      <c r="W51" s="18" t="n">
        <v>351514</v>
      </c>
      <c r="X51" s="18" t="n">
        <v>351407</v>
      </c>
      <c r="Y51" s="18" t="n">
        <v>411533</v>
      </c>
      <c r="Z51" s="34" t="n">
        <v>411533</v>
      </c>
      <c r="AA51" s="18" t="n">
        <v>410767</v>
      </c>
      <c r="AB51" s="19" t="n">
        <v>407336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-68</v>
      </c>
      <c r="F52" s="34" t="n">
        <v>-68</v>
      </c>
      <c r="G52" s="18" t="n">
        <v>-68</v>
      </c>
      <c r="H52" s="18" t="n">
        <v>-68</v>
      </c>
      <c r="I52" s="18" t="n">
        <v>-67</v>
      </c>
      <c r="J52" s="18" t="n">
        <v>-66</v>
      </c>
      <c r="K52" s="34" t="n">
        <v>-66</v>
      </c>
      <c r="L52" s="18" t="n">
        <v>-65</v>
      </c>
      <c r="M52" s="18" t="n">
        <v>434</v>
      </c>
      <c r="N52" s="18" t="n">
        <v>288</v>
      </c>
      <c r="O52" s="18" t="n">
        <v>119</v>
      </c>
      <c r="P52" s="34" t="n">
        <v>119</v>
      </c>
      <c r="Q52" s="18" t="n">
        <v>-36</v>
      </c>
      <c r="R52" s="18" t="n">
        <v>40</v>
      </c>
      <c r="S52" s="18" t="n">
        <v>14</v>
      </c>
      <c r="T52" s="18" t="n">
        <v>-51</v>
      </c>
      <c r="U52" s="34" t="n">
        <v>-51</v>
      </c>
      <c r="V52" s="18" t="n">
        <v>-49</v>
      </c>
      <c r="W52" s="18" t="n">
        <v>-46</v>
      </c>
      <c r="X52" s="18" t="n">
        <v>-44</v>
      </c>
      <c r="Y52" s="18" t="n">
        <v>-41</v>
      </c>
      <c r="Z52" s="34" t="n">
        <v>-41</v>
      </c>
      <c r="AA52" s="18" t="n">
        <v>-38</v>
      </c>
      <c r="AB52" s="19" t="n">
        <v>-35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432005</v>
      </c>
      <c r="F53" s="34" t="n">
        <v>432005</v>
      </c>
      <c r="G53" s="18" t="n">
        <v>422052</v>
      </c>
      <c r="H53" s="18" t="n">
        <v>407479</v>
      </c>
      <c r="I53" s="18" t="n">
        <v>387224</v>
      </c>
      <c r="J53" s="18" t="n">
        <v>384990</v>
      </c>
      <c r="K53" s="34" t="n">
        <v>384990</v>
      </c>
      <c r="L53" s="18" t="n">
        <v>360352</v>
      </c>
      <c r="M53" s="18" t="n">
        <v>280568</v>
      </c>
      <c r="N53" s="18" t="n">
        <v>276037</v>
      </c>
      <c r="O53" s="18" t="n">
        <v>340912</v>
      </c>
      <c r="P53" s="34" t="n">
        <v>340912</v>
      </c>
      <c r="Q53" s="18" t="n">
        <v>354751</v>
      </c>
      <c r="R53" s="18" t="n">
        <v>313252</v>
      </c>
      <c r="S53" s="18" t="n">
        <v>365656</v>
      </c>
      <c r="T53" s="18" t="n">
        <v>343397</v>
      </c>
      <c r="U53" s="34" t="n">
        <v>343397</v>
      </c>
      <c r="V53" s="18" t="n">
        <v>348735</v>
      </c>
      <c r="W53" s="18" t="n">
        <v>343644</v>
      </c>
      <c r="X53" s="18" t="n">
        <v>347306</v>
      </c>
      <c r="Y53" s="18" t="n">
        <v>669588</v>
      </c>
      <c r="Z53" s="34" t="n">
        <v>669588</v>
      </c>
      <c r="AA53" s="18" t="n">
        <v>693951</v>
      </c>
      <c r="AB53" s="19" t="n">
        <v>752928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2385236</v>
      </c>
      <c r="F54" s="34" t="n">
        <v>2385236</v>
      </c>
      <c r="G54" s="18" t="n">
        <v>2371941</v>
      </c>
      <c r="H54" s="18" t="n">
        <v>2405434</v>
      </c>
      <c r="I54" s="18" t="n">
        <v>2428235</v>
      </c>
      <c r="J54" s="18" t="n">
        <v>2567697</v>
      </c>
      <c r="K54" s="34" t="n">
        <v>2567697</v>
      </c>
      <c r="L54" s="18" t="n">
        <v>2644891</v>
      </c>
      <c r="M54" s="18" t="n">
        <v>2623484</v>
      </c>
      <c r="N54" s="18" t="n">
        <v>2777781</v>
      </c>
      <c r="O54" s="18" t="n">
        <v>2890585</v>
      </c>
      <c r="P54" s="34" t="n">
        <v>2890585</v>
      </c>
      <c r="Q54" s="18" t="n">
        <v>2852872</v>
      </c>
      <c r="R54" s="18" t="n">
        <v>2764512</v>
      </c>
      <c r="S54" s="18" t="n">
        <v>2186636</v>
      </c>
      <c r="T54" s="18" t="n">
        <v>2204429</v>
      </c>
      <c r="U54" s="34" t="n">
        <v>2204429</v>
      </c>
      <c r="V54" s="18" t="n">
        <v>2219384</v>
      </c>
      <c r="W54" s="18" t="n">
        <v>2285167</v>
      </c>
      <c r="X54" s="18" t="n">
        <v>2288031</v>
      </c>
      <c r="Y54" s="18" t="n">
        <v>2453082</v>
      </c>
      <c r="Z54" s="34" t="n">
        <v>2453082</v>
      </c>
      <c r="AA54" s="18" t="n">
        <v>2451510</v>
      </c>
      <c r="AB54" s="19" t="n">
        <v>2644380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680304</v>
      </c>
      <c r="F55" s="34" t="n">
        <v>680304</v>
      </c>
      <c r="G55" s="18" t="n">
        <v>684194</v>
      </c>
      <c r="H55" s="18" t="n">
        <v>611927</v>
      </c>
      <c r="I55" s="18" t="n">
        <v>675817</v>
      </c>
      <c r="J55" s="18" t="n">
        <v>651213</v>
      </c>
      <c r="K55" s="34" t="n">
        <v>651213</v>
      </c>
      <c r="L55" s="18" t="n">
        <v>655888</v>
      </c>
      <c r="M55" s="18" t="n">
        <v>658714</v>
      </c>
      <c r="N55" s="18" t="n">
        <v>663098</v>
      </c>
      <c r="O55" s="18" t="n">
        <v>682305</v>
      </c>
      <c r="P55" s="34" t="n">
        <v>682305</v>
      </c>
      <c r="Q55" s="18" t="n">
        <v>688420</v>
      </c>
      <c r="R55" s="18" t="n">
        <v>649555</v>
      </c>
      <c r="S55" s="18" t="n">
        <v>477151</v>
      </c>
      <c r="T55" s="18" t="n">
        <v>454425</v>
      </c>
      <c r="U55" s="34" t="n">
        <v>454425</v>
      </c>
      <c r="V55" s="18" t="n">
        <v>444849</v>
      </c>
      <c r="W55" s="18" t="n">
        <v>396281</v>
      </c>
      <c r="X55" s="18" t="n">
        <v>387349</v>
      </c>
      <c r="Y55" s="18" t="n">
        <v>381964</v>
      </c>
      <c r="Z55" s="34" t="n">
        <v>381964</v>
      </c>
      <c r="AA55" s="18" t="n">
        <v>379076</v>
      </c>
      <c r="AB55" s="19" t="n">
        <v>475076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516809</v>
      </c>
      <c r="F56" s="34" t="n">
        <v>516809</v>
      </c>
      <c r="G56" s="18" t="n">
        <v>527334</v>
      </c>
      <c r="H56" s="18" t="n">
        <v>448394</v>
      </c>
      <c r="I56" s="18" t="n">
        <v>570115</v>
      </c>
      <c r="J56" s="18" t="n">
        <v>495574</v>
      </c>
      <c r="K56" s="34" t="n">
        <v>495574</v>
      </c>
      <c r="L56" s="18" t="n">
        <v>487265</v>
      </c>
      <c r="M56" s="18" t="n">
        <v>516864</v>
      </c>
      <c r="N56" s="18" t="n">
        <v>296577</v>
      </c>
      <c r="O56" s="18" t="n">
        <v>319486</v>
      </c>
      <c r="P56" s="34" t="n">
        <v>319486</v>
      </c>
      <c r="Q56" s="18" t="n">
        <v>389269</v>
      </c>
      <c r="R56" s="18" t="n">
        <v>381183</v>
      </c>
      <c r="S56" s="18" t="n">
        <v>249711</v>
      </c>
      <c r="T56" s="18" t="n">
        <v>223053</v>
      </c>
      <c r="U56" s="34" t="n">
        <v>223053</v>
      </c>
      <c r="V56" s="18" t="n">
        <v>331542</v>
      </c>
      <c r="W56" s="18" t="n">
        <v>183068</v>
      </c>
      <c r="X56" s="18" t="n">
        <v>152713</v>
      </c>
      <c r="Y56" s="18" t="n">
        <v>49758</v>
      </c>
      <c r="Z56" s="34" t="n">
        <v>49758</v>
      </c>
      <c r="AA56" s="18" t="n">
        <v>193131</v>
      </c>
      <c r="AB56" s="19" t="n">
        <v>199687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171913</v>
      </c>
      <c r="F57" s="34" t="n">
        <v>171913</v>
      </c>
      <c r="G57" s="18" t="n">
        <v>164240</v>
      </c>
      <c r="H57" s="18" t="n">
        <v>166230</v>
      </c>
      <c r="I57" s="18" t="n">
        <v>110360</v>
      </c>
      <c r="J57" s="18" t="n">
        <v>160325</v>
      </c>
      <c r="K57" s="34" t="n">
        <v>160325</v>
      </c>
      <c r="L57" s="18" t="n">
        <v>179549</v>
      </c>
      <c r="M57" s="18" t="n">
        <v>150158</v>
      </c>
      <c r="N57" s="18" t="n">
        <v>374801</v>
      </c>
      <c r="O57" s="18" t="n">
        <v>370670</v>
      </c>
      <c r="P57" s="34" t="n">
        <v>370670</v>
      </c>
      <c r="Q57" s="18" t="n">
        <v>307439</v>
      </c>
      <c r="R57" s="18" t="n">
        <v>271877</v>
      </c>
      <c r="S57" s="18" t="n">
        <v>228860</v>
      </c>
      <c r="T57" s="18" t="n">
        <v>235151</v>
      </c>
      <c r="U57" s="34" t="n">
        <v>235151</v>
      </c>
      <c r="V57" s="18" t="n">
        <v>116788</v>
      </c>
      <c r="W57" s="18" t="n">
        <v>216780</v>
      </c>
      <c r="X57" s="18" t="n">
        <v>240203</v>
      </c>
      <c r="Y57" s="18" t="n">
        <v>337168</v>
      </c>
      <c r="Z57" s="34" t="n">
        <v>337168</v>
      </c>
      <c r="AA57" s="18" t="n">
        <v>190767</v>
      </c>
      <c r="AB57" s="19" t="n">
        <v>281486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단기차입금</t>
        </is>
      </c>
      <c r="F58" s="9" t="n"/>
      <c r="K58" s="9" t="n"/>
      <c r="P58" s="9" t="n"/>
      <c r="T58" s="18" t="n">
        <v>381747</v>
      </c>
      <c r="U58" s="34" t="n">
        <v>381747</v>
      </c>
      <c r="V58" s="18" t="n">
        <v>374173</v>
      </c>
      <c r="W58" s="18" t="n">
        <v>282177</v>
      </c>
      <c r="X58" s="18" t="n">
        <v>276093</v>
      </c>
      <c r="Y58" s="18" t="n">
        <v>270520</v>
      </c>
      <c r="Z58" s="34" t="n">
        <v>270520</v>
      </c>
      <c r="AA58" s="18" t="n">
        <v>267443</v>
      </c>
      <c r="AB58" s="19" t="n">
        <v>190033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513363</v>
      </c>
      <c r="F59" s="9" t="n"/>
      <c r="G59" s="18" t="n">
        <v>347994</v>
      </c>
      <c r="H59" s="18" t="n">
        <v>445457</v>
      </c>
      <c r="I59" s="18" t="n">
        <v>397849</v>
      </c>
      <c r="J59" s="18" t="n">
        <v>596863</v>
      </c>
      <c r="K59" s="34" t="n">
        <v>1788163</v>
      </c>
      <c r="L59" s="18" t="n">
        <v>405021</v>
      </c>
      <c r="M59" s="18" t="n">
        <v>501378</v>
      </c>
      <c r="N59" s="18" t="n">
        <v>490517</v>
      </c>
      <c r="O59" s="18" t="n">
        <v>765157</v>
      </c>
      <c r="P59" s="34" t="n">
        <v>2162073</v>
      </c>
      <c r="Q59" s="18" t="n">
        <v>467581</v>
      </c>
      <c r="R59" s="18" t="n">
        <v>484800</v>
      </c>
      <c r="S59" s="18" t="n">
        <v>453768</v>
      </c>
      <c r="T59" s="18" t="n">
        <v>479813</v>
      </c>
      <c r="U59" s="34" t="n">
        <v>1885962</v>
      </c>
      <c r="V59" s="18" t="n">
        <v>410066</v>
      </c>
      <c r="W59" s="18" t="n">
        <v>507777</v>
      </c>
      <c r="X59" s="18" t="n">
        <v>452208</v>
      </c>
      <c r="Y59" s="18" t="n">
        <v>629654</v>
      </c>
      <c r="Z59" s="34" t="n">
        <v>1999705</v>
      </c>
      <c r="AA59" s="18" t="n">
        <v>541400</v>
      </c>
      <c r="AB59" s="19" t="n">
        <v>729908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582739</v>
      </c>
      <c r="F60" s="9" t="n"/>
      <c r="G60" s="18" t="n">
        <v>324101</v>
      </c>
      <c r="H60" s="18" t="n">
        <v>422136</v>
      </c>
      <c r="I60" s="18" t="n">
        <v>370830</v>
      </c>
      <c r="J60" s="18" t="n">
        <v>574461</v>
      </c>
      <c r="K60" s="34" t="n">
        <v>1691528</v>
      </c>
      <c r="L60" s="18" t="n">
        <v>393036</v>
      </c>
      <c r="M60" s="18" t="n">
        <v>550472</v>
      </c>
      <c r="N60" s="18" t="n">
        <v>502803</v>
      </c>
      <c r="O60" s="18" t="n">
        <v>717645</v>
      </c>
      <c r="P60" s="34" t="n">
        <v>2163956</v>
      </c>
      <c r="Q60" s="18" t="n">
        <v>431551</v>
      </c>
      <c r="R60" s="18" t="n">
        <v>500573</v>
      </c>
      <c r="S60" s="18" t="n">
        <v>397443</v>
      </c>
      <c r="T60" s="18" t="n">
        <v>450134</v>
      </c>
      <c r="U60" s="34" t="n">
        <v>1779701</v>
      </c>
      <c r="V60" s="18" t="n">
        <v>379158</v>
      </c>
      <c r="W60" s="18" t="n">
        <v>474703</v>
      </c>
      <c r="X60" s="18" t="n">
        <v>421290</v>
      </c>
      <c r="Y60" s="18" t="n">
        <v>547627</v>
      </c>
      <c r="Z60" s="34" t="n">
        <v>1822778</v>
      </c>
      <c r="AA60" s="18" t="n">
        <v>485022</v>
      </c>
      <c r="AB60" s="19" t="n">
        <v>627365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-69376</v>
      </c>
      <c r="F61" s="9" t="n"/>
      <c r="G61" s="18" t="n">
        <v>23893</v>
      </c>
      <c r="H61" s="18" t="n">
        <v>23321</v>
      </c>
      <c r="I61" s="18" t="n">
        <v>27019</v>
      </c>
      <c r="J61" s="18" t="n">
        <v>22402</v>
      </c>
      <c r="K61" s="34" t="n">
        <v>96635</v>
      </c>
      <c r="L61" s="18" t="n">
        <v>11985</v>
      </c>
      <c r="M61" s="18" t="n">
        <v>-49094</v>
      </c>
      <c r="N61" s="18" t="n">
        <v>-12286</v>
      </c>
      <c r="O61" s="18" t="n">
        <v>47512</v>
      </c>
      <c r="P61" s="34" t="n">
        <v>-1883</v>
      </c>
      <c r="Q61" s="18" t="n">
        <v>36030</v>
      </c>
      <c r="R61" s="18" t="n">
        <v>-15773</v>
      </c>
      <c r="S61" s="18" t="n">
        <v>56325</v>
      </c>
      <c r="T61" s="18" t="n">
        <v>29679</v>
      </c>
      <c r="U61" s="34" t="n">
        <v>106261</v>
      </c>
      <c r="V61" s="18" t="n">
        <v>30908</v>
      </c>
      <c r="W61" s="18" t="n">
        <v>33074</v>
      </c>
      <c r="X61" s="18" t="n">
        <v>30918</v>
      </c>
      <c r="Y61" s="18" t="n">
        <v>82027</v>
      </c>
      <c r="Z61" s="34" t="n">
        <v>176927</v>
      </c>
      <c r="AA61" s="18" t="n">
        <v>56378</v>
      </c>
      <c r="AB61" s="19" t="n">
        <v>102543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23660</v>
      </c>
      <c r="F62" s="9" t="n"/>
      <c r="G62" s="18" t="n">
        <v>21310</v>
      </c>
      <c r="H62" s="18" t="n">
        <v>21006</v>
      </c>
      <c r="I62" s="18" t="n">
        <v>27057</v>
      </c>
      <c r="J62" s="18" t="n">
        <v>20637</v>
      </c>
      <c r="K62" s="34" t="n">
        <v>90010</v>
      </c>
      <c r="L62" s="18" t="n">
        <v>23076</v>
      </c>
      <c r="M62" s="18" t="n">
        <v>26078</v>
      </c>
      <c r="N62" s="18" t="n">
        <v>28638</v>
      </c>
      <c r="O62" s="18" t="n">
        <v>29112</v>
      </c>
      <c r="P62" s="34" t="n">
        <v>106904</v>
      </c>
      <c r="Q62" s="18" t="n">
        <v>24131</v>
      </c>
      <c r="R62" s="18" t="n">
        <v>23771</v>
      </c>
      <c r="S62" s="18" t="n">
        <v>23418</v>
      </c>
      <c r="T62" s="18" t="n">
        <v>27689</v>
      </c>
      <c r="U62" s="34" t="n">
        <v>99009</v>
      </c>
      <c r="V62" s="18" t="n">
        <v>25454</v>
      </c>
      <c r="W62" s="18" t="n">
        <v>27735</v>
      </c>
      <c r="X62" s="18" t="n">
        <v>25124</v>
      </c>
      <c r="Y62" s="18" t="n">
        <v>31540</v>
      </c>
      <c r="Z62" s="34" t="n">
        <v>109853</v>
      </c>
      <c r="AA62" s="18" t="n">
        <v>31797</v>
      </c>
      <c r="AB62" s="19" t="n">
        <v>37690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-93036</v>
      </c>
      <c r="F63" s="9" t="n"/>
      <c r="G63" s="18" t="n">
        <v>2583</v>
      </c>
      <c r="H63" s="18" t="n">
        <v>2315</v>
      </c>
      <c r="I63" s="18" t="n">
        <v>-38</v>
      </c>
      <c r="J63" s="18" t="n">
        <v>1765</v>
      </c>
      <c r="K63" s="34" t="n">
        <v>6625</v>
      </c>
      <c r="L63" s="18" t="n">
        <v>-11091</v>
      </c>
      <c r="M63" s="18" t="n">
        <v>-75172</v>
      </c>
      <c r="N63" s="18" t="n">
        <v>-40924</v>
      </c>
      <c r="O63" s="18" t="n">
        <v>18400</v>
      </c>
      <c r="P63" s="34" t="n">
        <v>-108787</v>
      </c>
      <c r="Q63" s="18" t="n">
        <v>11899</v>
      </c>
      <c r="R63" s="18" t="n">
        <v>-39544</v>
      </c>
      <c r="S63" s="18" t="n">
        <v>32907</v>
      </c>
      <c r="T63" s="18" t="n">
        <v>1990</v>
      </c>
      <c r="U63" s="34" t="n">
        <v>7252</v>
      </c>
      <c r="V63" s="18" t="n">
        <v>5454</v>
      </c>
      <c r="W63" s="18" t="n">
        <v>5339</v>
      </c>
      <c r="X63" s="18" t="n">
        <v>5794</v>
      </c>
      <c r="Y63" s="18" t="n">
        <v>50487</v>
      </c>
      <c r="Z63" s="34" t="n">
        <v>67074</v>
      </c>
      <c r="AA63" s="18" t="n">
        <v>24581</v>
      </c>
      <c r="AB63" s="19" t="n">
        <v>64853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4979</v>
      </c>
      <c r="F64" s="9" t="n"/>
      <c r="G64" s="18" t="n">
        <v>644</v>
      </c>
      <c r="H64" s="18" t="n">
        <v>2553</v>
      </c>
      <c r="I64" s="18" t="n">
        <v>1216</v>
      </c>
      <c r="J64" s="18" t="n">
        <v>7355</v>
      </c>
      <c r="K64" s="34" t="n">
        <v>11768</v>
      </c>
      <c r="L64" s="18" t="n">
        <v>3028</v>
      </c>
      <c r="M64" s="18" t="n">
        <v>6454</v>
      </c>
      <c r="N64" s="18" t="n">
        <v>42104</v>
      </c>
      <c r="O64" s="18" t="n">
        <v>2080</v>
      </c>
      <c r="P64" s="34" t="n">
        <v>53666</v>
      </c>
      <c r="Q64" s="18" t="n">
        <v>831</v>
      </c>
      <c r="R64" s="18" t="n">
        <v>5412</v>
      </c>
      <c r="S64" s="18" t="n">
        <v>32495</v>
      </c>
      <c r="T64" s="18" t="n">
        <v>3414</v>
      </c>
      <c r="U64" s="34" t="n">
        <v>42152</v>
      </c>
      <c r="V64" s="18" t="n">
        <v>4262</v>
      </c>
      <c r="W64" s="18" t="n">
        <v>826</v>
      </c>
      <c r="X64" s="18" t="n">
        <v>4271</v>
      </c>
      <c r="Y64" s="18" t="n">
        <v>4364</v>
      </c>
      <c r="Z64" s="34" t="n">
        <v>13723</v>
      </c>
      <c r="AA64" s="18" t="n">
        <v>2342</v>
      </c>
      <c r="AB64" s="19" t="n">
        <v>6139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5923</v>
      </c>
      <c r="F65" s="9" t="n"/>
      <c r="G65" s="18" t="n">
        <v>2082</v>
      </c>
      <c r="H65" s="18" t="n">
        <v>2630</v>
      </c>
      <c r="I65" s="18" t="n">
        <v>3731</v>
      </c>
      <c r="J65" s="18" t="n">
        <v>8657</v>
      </c>
      <c r="K65" s="34" t="n">
        <v>17100</v>
      </c>
      <c r="L65" s="18" t="n">
        <v>6851</v>
      </c>
      <c r="M65" s="18" t="n">
        <v>1064</v>
      </c>
      <c r="N65" s="18" t="n">
        <v>3012</v>
      </c>
      <c r="O65" s="18" t="n">
        <v>3865</v>
      </c>
      <c r="P65" s="34" t="n">
        <v>14792</v>
      </c>
      <c r="Q65" s="18" t="n">
        <v>509</v>
      </c>
      <c r="R65" s="18" t="n">
        <v>1976</v>
      </c>
      <c r="S65" s="18" t="n">
        <v>1813</v>
      </c>
      <c r="T65" s="18" t="n">
        <v>5950</v>
      </c>
      <c r="U65" s="34" t="n">
        <v>10248</v>
      </c>
      <c r="V65" s="18" t="n">
        <v>1959</v>
      </c>
      <c r="W65" s="18" t="n">
        <v>6338</v>
      </c>
      <c r="X65" s="18" t="n">
        <v>1397</v>
      </c>
      <c r="Y65" s="18" t="n">
        <v>27452</v>
      </c>
      <c r="Z65" s="34" t="n">
        <v>37146</v>
      </c>
      <c r="AA65" s="18" t="n">
        <v>3722</v>
      </c>
      <c r="AB65" s="19" t="n">
        <v>3506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4518</v>
      </c>
      <c r="F66" s="9" t="n"/>
      <c r="G66" s="18" t="n">
        <v>1094</v>
      </c>
      <c r="H66" s="18" t="n">
        <v>2325</v>
      </c>
      <c r="I66" s="18" t="n">
        <v>3313</v>
      </c>
      <c r="J66" s="18" t="n">
        <v>831</v>
      </c>
      <c r="K66" s="34" t="n">
        <v>7563</v>
      </c>
      <c r="L66" s="18" t="n">
        <v>3384</v>
      </c>
      <c r="M66" s="18" t="n">
        <v>4808</v>
      </c>
      <c r="N66" s="18" t="n">
        <v>13157</v>
      </c>
      <c r="O66" s="18" t="n">
        <v>-3517</v>
      </c>
      <c r="P66" s="34" t="n">
        <v>17832</v>
      </c>
      <c r="Q66" s="18" t="n">
        <v>16372</v>
      </c>
      <c r="R66" s="18" t="n">
        <v>7029</v>
      </c>
      <c r="S66" s="18" t="n">
        <v>961</v>
      </c>
      <c r="T66" s="18" t="n">
        <v>7284</v>
      </c>
      <c r="U66" s="34" t="n">
        <v>31646</v>
      </c>
      <c r="V66" s="18" t="n">
        <v>2000</v>
      </c>
      <c r="W66" s="18" t="n">
        <v>9562</v>
      </c>
      <c r="X66" s="18" t="n">
        <v>1324</v>
      </c>
      <c r="Y66" s="18" t="n">
        <v>7172</v>
      </c>
      <c r="Z66" s="34" t="n">
        <v>20058</v>
      </c>
      <c r="AA66" s="18" t="n">
        <v>16631</v>
      </c>
      <c r="AB66" s="19" t="n">
        <v>11947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12189</v>
      </c>
      <c r="F67" s="9" t="n"/>
      <c r="G67" s="18" t="n">
        <v>13416</v>
      </c>
      <c r="H67" s="18" t="n">
        <v>17641</v>
      </c>
      <c r="I67" s="18" t="n">
        <v>21482</v>
      </c>
      <c r="J67" s="18" t="n">
        <v>8353</v>
      </c>
      <c r="K67" s="34" t="n">
        <v>60892</v>
      </c>
      <c r="L67" s="18" t="n">
        <v>13894</v>
      </c>
      <c r="M67" s="18" t="n">
        <v>11742</v>
      </c>
      <c r="N67" s="18" t="n">
        <v>13735</v>
      </c>
      <c r="O67" s="18" t="n">
        <v>10960</v>
      </c>
      <c r="P67" s="34" t="n">
        <v>50331</v>
      </c>
      <c r="Q67" s="18" t="n">
        <v>15085</v>
      </c>
      <c r="R67" s="18" t="n">
        <v>13342</v>
      </c>
      <c r="S67" s="18" t="n">
        <v>9617</v>
      </c>
      <c r="T67" s="18" t="n">
        <v>20672</v>
      </c>
      <c r="U67" s="34" t="n">
        <v>58716</v>
      </c>
      <c r="V67" s="18" t="n">
        <v>11349</v>
      </c>
      <c r="W67" s="18" t="n">
        <v>17906</v>
      </c>
      <c r="X67" s="18" t="n">
        <v>4713</v>
      </c>
      <c r="Y67" s="18" t="n">
        <v>9461</v>
      </c>
      <c r="Z67" s="34" t="n">
        <v>43429</v>
      </c>
      <c r="AA67" s="18" t="n">
        <v>14893</v>
      </c>
      <c r="AB67" s="19" t="n">
        <v>16974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-101777</v>
      </c>
      <c r="F68" s="9" t="n"/>
      <c r="G68" s="18" t="n">
        <v>-11192</v>
      </c>
      <c r="H68" s="18" t="n">
        <v>-12924</v>
      </c>
      <c r="I68" s="18" t="n">
        <v>-20452</v>
      </c>
      <c r="J68" s="18" t="n">
        <v>-7059</v>
      </c>
      <c r="K68" s="34" t="n">
        <v>-51627</v>
      </c>
      <c r="L68" s="18" t="n">
        <v>-24012</v>
      </c>
      <c r="M68" s="18" t="n">
        <v>-76453</v>
      </c>
      <c r="N68" s="18" t="n">
        <v>-3993</v>
      </c>
      <c r="O68" s="18" t="n">
        <v>1057</v>
      </c>
      <c r="P68" s="34" t="n">
        <v>-103401</v>
      </c>
      <c r="Q68" s="18" t="n">
        <v>11769</v>
      </c>
      <c r="R68" s="18" t="n">
        <v>-41347</v>
      </c>
      <c r="S68" s="18" t="n">
        <v>51994</v>
      </c>
      <c r="T68" s="18" t="n">
        <v>-19136</v>
      </c>
      <c r="U68" s="34" t="n">
        <v>3280</v>
      </c>
      <c r="V68" s="18" t="n">
        <v>5687</v>
      </c>
      <c r="W68" s="18" t="n">
        <v>-6622</v>
      </c>
      <c r="X68" s="18" t="n">
        <v>3977</v>
      </c>
      <c r="Y68" s="18" t="n">
        <v>24207</v>
      </c>
      <c r="Z68" s="34" t="n">
        <v>27249</v>
      </c>
      <c r="AA68" s="18" t="n">
        <v>25316</v>
      </c>
      <c r="AB68" s="19" t="n">
        <v>64266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-20239</v>
      </c>
      <c r="F69" s="9" t="n"/>
      <c r="G69" s="18" t="n">
        <v>-2161</v>
      </c>
      <c r="H69" s="18" t="n">
        <v>1232</v>
      </c>
      <c r="I69" s="18" t="n">
        <v>45</v>
      </c>
      <c r="J69" s="18" t="n">
        <v>-583</v>
      </c>
      <c r="K69" s="34" t="n">
        <v>-1467</v>
      </c>
      <c r="L69" s="18" t="n">
        <v>79</v>
      </c>
      <c r="M69" s="18" t="n">
        <v>3654</v>
      </c>
      <c r="N69" s="18" t="n">
        <v>483</v>
      </c>
      <c r="O69" s="18" t="n">
        <v>6702</v>
      </c>
      <c r="P69" s="34" t="n">
        <v>10918</v>
      </c>
      <c r="Q69" s="18" t="n">
        <v>-2366</v>
      </c>
      <c r="R69" s="18" t="n">
        <v>27</v>
      </c>
      <c r="S69" s="18" t="n">
        <v>0</v>
      </c>
      <c r="T69" s="18" t="n">
        <v>394</v>
      </c>
      <c r="U69" s="34" t="n">
        <v>-1945</v>
      </c>
      <c r="V69" s="18" t="n">
        <v>131</v>
      </c>
      <c r="W69" s="18" t="n">
        <v>-7</v>
      </c>
      <c r="X69" s="18" t="n">
        <v>36</v>
      </c>
      <c r="Y69" s="18" t="n">
        <v>-24355</v>
      </c>
      <c r="Z69" s="34" t="n">
        <v>-24195</v>
      </c>
      <c r="AA69" s="18" t="n">
        <v>-197</v>
      </c>
      <c r="AB69" s="19" t="n">
        <v>1723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-81538</v>
      </c>
      <c r="F70" s="9" t="n"/>
      <c r="I70" s="18" t="n">
        <v>-20497</v>
      </c>
      <c r="J70" s="18" t="n">
        <v>-6476</v>
      </c>
      <c r="K70" s="9" t="n"/>
      <c r="N70" s="18" t="n">
        <v>-4476</v>
      </c>
      <c r="O70" s="18" t="n">
        <v>-5645</v>
      </c>
      <c r="P70" s="9" t="n"/>
      <c r="Q70" s="18" t="n">
        <v>14135</v>
      </c>
      <c r="R70" s="18" t="n">
        <v>-41374</v>
      </c>
      <c r="S70" s="18" t="n">
        <v>51994</v>
      </c>
      <c r="T70" s="18" t="n">
        <v>-19530</v>
      </c>
      <c r="U70" s="34" t="n">
        <v>5225</v>
      </c>
      <c r="V70" s="18" t="n">
        <v>5556</v>
      </c>
      <c r="W70" s="18" t="n">
        <v>-6615</v>
      </c>
      <c r="X70" s="18" t="n">
        <v>3941</v>
      </c>
      <c r="Y70" s="18" t="n">
        <v>48562</v>
      </c>
      <c r="Z70" s="34" t="n">
        <v>51444</v>
      </c>
      <c r="AA70" s="18" t="n">
        <v>25513</v>
      </c>
      <c r="AB70" s="19" t="n">
        <v>62543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-81538</v>
      </c>
      <c r="F71" s="9" t="n"/>
      <c r="I71" s="18" t="n">
        <v>-20497</v>
      </c>
      <c r="J71" s="18" t="n">
        <v>-6476</v>
      </c>
      <c r="K71" s="9" t="n"/>
      <c r="N71" s="18" t="n">
        <v>-4476</v>
      </c>
      <c r="O71" s="18" t="n">
        <v>-5645</v>
      </c>
      <c r="P71" s="9" t="n"/>
      <c r="Q71" s="18" t="n">
        <v>14135</v>
      </c>
      <c r="R71" s="18" t="n">
        <v>-41374</v>
      </c>
      <c r="S71" s="18" t="n">
        <v>51994</v>
      </c>
      <c r="T71" s="18" t="n">
        <v>-19530</v>
      </c>
      <c r="U71" s="34" t="n">
        <v>5225</v>
      </c>
      <c r="V71" s="18" t="n">
        <v>5556</v>
      </c>
      <c r="W71" s="18" t="n">
        <v>-6615</v>
      </c>
      <c r="X71" s="18" t="n">
        <v>3941</v>
      </c>
      <c r="Y71" s="18" t="n">
        <v>48562</v>
      </c>
      <c r="Z71" s="34" t="n">
        <v>51444</v>
      </c>
      <c r="AA71" s="18" t="n">
        <v>25513</v>
      </c>
      <c r="AB71" s="19" t="n">
        <v>62543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-81536</v>
      </c>
      <c r="F72" s="9" t="n"/>
      <c r="G72" s="18" t="n">
        <v>-9031</v>
      </c>
      <c r="H72" s="18" t="n">
        <v>-14156</v>
      </c>
      <c r="I72" s="18" t="n">
        <v>-20498</v>
      </c>
      <c r="J72" s="18" t="n">
        <v>-6477</v>
      </c>
      <c r="K72" s="34" t="n">
        <v>-50162</v>
      </c>
      <c r="L72" s="18" t="n">
        <v>-24092</v>
      </c>
      <c r="M72" s="18" t="n">
        <v>-80108</v>
      </c>
      <c r="N72" s="18" t="n">
        <v>-4321</v>
      </c>
      <c r="O72" s="18" t="n">
        <v>-5487</v>
      </c>
      <c r="P72" s="34" t="n">
        <v>-114008</v>
      </c>
      <c r="Q72" s="18" t="n">
        <v>14295</v>
      </c>
      <c r="R72" s="18" t="n">
        <v>-41444</v>
      </c>
      <c r="S72" s="18" t="n">
        <v>52016</v>
      </c>
      <c r="T72" s="18" t="n">
        <v>-19524</v>
      </c>
      <c r="U72" s="34" t="n">
        <v>5343</v>
      </c>
      <c r="V72" s="18" t="n">
        <v>5554</v>
      </c>
      <c r="W72" s="18" t="n">
        <v>-6618</v>
      </c>
      <c r="X72" s="18" t="n">
        <v>3939</v>
      </c>
      <c r="Y72" s="18" t="n">
        <v>48559</v>
      </c>
      <c r="Z72" s="34" t="n">
        <v>51434</v>
      </c>
      <c r="AA72" s="18" t="n">
        <v>25510</v>
      </c>
      <c r="AB72" s="19" t="n">
        <v>62540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</v>
      </c>
      <c r="F73" s="9" t="n"/>
      <c r="G73" s="18" t="n">
        <v>0</v>
      </c>
      <c r="H73" s="18" t="n">
        <v>0</v>
      </c>
      <c r="I73" s="18" t="n">
        <v>1</v>
      </c>
      <c r="J73" s="18" t="n">
        <v>1</v>
      </c>
      <c r="K73" s="34" t="n">
        <v>2</v>
      </c>
      <c r="L73" s="18" t="n">
        <v>1</v>
      </c>
      <c r="M73" s="18" t="n">
        <v>1</v>
      </c>
      <c r="N73" s="18" t="n">
        <v>-155</v>
      </c>
      <c r="O73" s="18" t="n">
        <v>-158</v>
      </c>
      <c r="P73" s="34" t="n">
        <v>-311</v>
      </c>
      <c r="Q73" s="18" t="n">
        <v>-160</v>
      </c>
      <c r="R73" s="18" t="n">
        <v>70</v>
      </c>
      <c r="S73" s="18" t="n">
        <v>-22</v>
      </c>
      <c r="T73" s="18" t="n">
        <v>-6</v>
      </c>
      <c r="U73" s="34" t="n">
        <v>-118</v>
      </c>
      <c r="V73" s="18" t="n">
        <v>2</v>
      </c>
      <c r="W73" s="18" t="n">
        <v>3</v>
      </c>
      <c r="X73" s="18" t="n">
        <v>2</v>
      </c>
      <c r="Y73" s="18" t="n">
        <v>3</v>
      </c>
      <c r="Z73" s="34" t="n">
        <v>10</v>
      </c>
      <c r="AA73" s="18" t="n">
        <v>3</v>
      </c>
      <c r="AB73" s="19" t="n">
        <v>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-7671</v>
      </c>
      <c r="F74" s="9" t="n"/>
      <c r="G74" s="18" t="n">
        <v>-12322</v>
      </c>
      <c r="H74" s="18" t="n">
        <v>-15316</v>
      </c>
      <c r="I74" s="18" t="n">
        <v>-18169</v>
      </c>
      <c r="J74" s="18" t="n">
        <v>-7522</v>
      </c>
      <c r="K74" s="34" t="n">
        <v>-53329</v>
      </c>
      <c r="L74" s="18" t="n">
        <v>-10510</v>
      </c>
      <c r="M74" s="18" t="n">
        <v>-6934</v>
      </c>
      <c r="N74" s="18" t="n">
        <v>-578</v>
      </c>
      <c r="O74" s="18" t="n">
        <v>-14477</v>
      </c>
      <c r="P74" s="34" t="n">
        <v>-32499</v>
      </c>
      <c r="Q74" s="18" t="n">
        <v>1287</v>
      </c>
      <c r="R74" s="18" t="n">
        <v>-6313</v>
      </c>
      <c r="S74" s="18" t="n">
        <v>-8656</v>
      </c>
      <c r="T74" s="18" t="n">
        <v>-13388</v>
      </c>
      <c r="U74" s="34" t="n">
        <v>-27070</v>
      </c>
      <c r="V74" s="18" t="n">
        <v>-9349</v>
      </c>
      <c r="W74" s="18" t="n">
        <v>-8344</v>
      </c>
      <c r="X74" s="18" t="n">
        <v>-3389</v>
      </c>
      <c r="Y74" s="18" t="n">
        <v>-2289</v>
      </c>
      <c r="Z74" s="34" t="n">
        <v>-23371</v>
      </c>
      <c r="AA74" s="18" t="n">
        <v>1738</v>
      </c>
      <c r="AB74" s="19" t="n">
        <v>-5027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-944</v>
      </c>
      <c r="F75" s="9" t="n"/>
      <c r="G75" s="18" t="n">
        <v>-1438</v>
      </c>
      <c r="H75" s="18" t="n">
        <v>-77</v>
      </c>
      <c r="I75" s="18" t="n">
        <v>-2515</v>
      </c>
      <c r="J75" s="18" t="n">
        <v>-1302</v>
      </c>
      <c r="K75" s="34" t="n">
        <v>-5332</v>
      </c>
      <c r="L75" s="18" t="n">
        <v>-3823</v>
      </c>
      <c r="M75" s="18" t="n">
        <v>5390</v>
      </c>
      <c r="N75" s="18" t="n">
        <v>39092</v>
      </c>
      <c r="O75" s="18" t="n">
        <v>-1785</v>
      </c>
      <c r="P75" s="34" t="n">
        <v>38874</v>
      </c>
      <c r="Q75" s="18" t="n">
        <v>322</v>
      </c>
      <c r="R75" s="18" t="n">
        <v>3436</v>
      </c>
      <c r="S75" s="18" t="n">
        <v>30682</v>
      </c>
      <c r="T75" s="18" t="n">
        <v>-2536</v>
      </c>
      <c r="U75" s="34" t="n">
        <v>31904</v>
      </c>
      <c r="V75" s="18" t="n">
        <v>2303</v>
      </c>
      <c r="W75" s="18" t="n">
        <v>-5512</v>
      </c>
      <c r="X75" s="18" t="n">
        <v>2874</v>
      </c>
      <c r="Y75" s="18" t="n">
        <v>-23088</v>
      </c>
      <c r="Z75" s="34" t="n">
        <v>-23423</v>
      </c>
      <c r="AA75" s="18" t="n">
        <v>-1380</v>
      </c>
      <c r="AB75" s="19" t="n">
        <v>2633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K77" s="9" t="n"/>
      <c r="P77" s="9" t="n"/>
      <c r="Q77" s="18" t="n">
        <v>13839</v>
      </c>
      <c r="R77" s="18" t="n">
        <v>-41499</v>
      </c>
      <c r="S77" s="18" t="n">
        <v>52404</v>
      </c>
      <c r="U77" s="9" t="n"/>
      <c r="V77" s="18" t="n">
        <v>5338</v>
      </c>
      <c r="W77" s="18" t="n">
        <v>-5091</v>
      </c>
      <c r="X77" s="18" t="n">
        <v>3662</v>
      </c>
      <c r="Z77" s="9" t="n"/>
      <c r="AA77" s="18" t="n">
        <v>24363</v>
      </c>
      <c r="AB77" s="19" t="n">
        <v>58977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41500</v>
      </c>
      <c r="F78" s="9" t="n"/>
      <c r="G78" s="18" t="n">
        <v>7785</v>
      </c>
      <c r="H78" s="18" t="n">
        <v>70019</v>
      </c>
      <c r="I78" s="18" t="n">
        <v>-111398</v>
      </c>
      <c r="J78" s="18" t="n">
        <v>118169</v>
      </c>
      <c r="K78" s="34" t="n">
        <v>84575</v>
      </c>
      <c r="L78" s="18" t="n">
        <v>39948</v>
      </c>
      <c r="M78" s="18" t="n">
        <v>-77319</v>
      </c>
      <c r="N78" s="18" t="n">
        <v>243178</v>
      </c>
      <c r="O78" s="18" t="n">
        <v>-51019</v>
      </c>
      <c r="P78" s="34" t="n">
        <v>154788</v>
      </c>
      <c r="Q78" s="18" t="n">
        <v>-50504</v>
      </c>
      <c r="R78" s="18" t="n">
        <v>19866</v>
      </c>
      <c r="S78" s="18" t="n">
        <v>-77385</v>
      </c>
      <c r="T78" s="18" t="n">
        <v>21658</v>
      </c>
      <c r="U78" s="34" t="n">
        <v>-86365</v>
      </c>
      <c r="V78" s="18" t="n">
        <v>-102684</v>
      </c>
      <c r="W78" s="18" t="n">
        <v>146868</v>
      </c>
      <c r="X78" s="18" t="n">
        <v>38921</v>
      </c>
      <c r="Y78" s="18" t="n">
        <v>-76775</v>
      </c>
      <c r="Z78" s="34" t="n">
        <v>6330</v>
      </c>
      <c r="AA78" s="18" t="n">
        <v>-163853</v>
      </c>
      <c r="AB78" s="19" t="n">
        <v>21461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136</v>
      </c>
      <c r="F79" s="9" t="n"/>
      <c r="G79" s="18" t="n">
        <v>277</v>
      </c>
      <c r="H79" s="18" t="n">
        <v>424</v>
      </c>
      <c r="I79" s="18" t="n">
        <v>429</v>
      </c>
      <c r="J79" s="18" t="n">
        <v>761</v>
      </c>
      <c r="K79" s="34" t="n">
        <v>1891</v>
      </c>
      <c r="L79" s="18" t="n">
        <v>873</v>
      </c>
      <c r="M79" s="18" t="n">
        <v>1117</v>
      </c>
      <c r="N79" s="18" t="n">
        <v>1917</v>
      </c>
      <c r="O79" s="18" t="n">
        <v>3064</v>
      </c>
      <c r="P79" s="34" t="n">
        <v>6971</v>
      </c>
      <c r="Q79" s="18" t="n">
        <v>2569</v>
      </c>
      <c r="R79" s="18" t="n">
        <v>2160</v>
      </c>
      <c r="S79" s="18" t="n">
        <v>2186</v>
      </c>
      <c r="T79" s="18" t="n">
        <v>1595</v>
      </c>
      <c r="U79" s="34" t="n">
        <v>8510</v>
      </c>
      <c r="V79" s="18" t="n">
        <v>748</v>
      </c>
      <c r="W79" s="18" t="n">
        <v>1033</v>
      </c>
      <c r="X79" s="18" t="n">
        <v>1431</v>
      </c>
      <c r="Y79" s="18" t="n">
        <v>2076</v>
      </c>
      <c r="Z79" s="34" t="n">
        <v>5288</v>
      </c>
      <c r="AA79" s="18" t="n">
        <v>1613</v>
      </c>
      <c r="AB79" s="19" t="n">
        <v>1610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10</v>
      </c>
      <c r="H80" s="18" t="n">
        <v>1014</v>
      </c>
      <c r="I80" s="18" t="n">
        <v>0</v>
      </c>
      <c r="J80" s="18" t="n">
        <v>1</v>
      </c>
      <c r="K80" s="34" t="n">
        <v>1025</v>
      </c>
      <c r="L80" s="18" t="n">
        <v>0</v>
      </c>
      <c r="M80" s="18" t="n">
        <v>501</v>
      </c>
      <c r="N80" s="18" t="n">
        <v>7</v>
      </c>
      <c r="O80" s="18" t="n">
        <v>0</v>
      </c>
      <c r="P80" s="34" t="n">
        <v>508</v>
      </c>
      <c r="Q80" s="18" t="n">
        <v>3</v>
      </c>
      <c r="R80" s="18" t="n">
        <v>418</v>
      </c>
      <c r="S80" s="18" t="n">
        <v>0</v>
      </c>
      <c r="T80" s="18" t="n">
        <v>20</v>
      </c>
      <c r="U80" s="34" t="n">
        <v>441</v>
      </c>
      <c r="V80" s="18" t="n">
        <v>0</v>
      </c>
      <c r="W80" s="18" t="n">
        <v>60</v>
      </c>
      <c r="X80" s="18" t="n">
        <v>9</v>
      </c>
      <c r="Y80" s="18" t="n">
        <v>0</v>
      </c>
      <c r="Z80" s="34" t="n">
        <v>69</v>
      </c>
      <c r="AA80" s="18" t="n">
        <v>709</v>
      </c>
      <c r="AB80" s="19" t="n">
        <v>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이자지급(CF)</t>
        </is>
      </c>
      <c r="E81" s="18" t="n">
        <v>-6939</v>
      </c>
      <c r="F81" s="9" t="n"/>
      <c r="G81" s="18" t="n">
        <v>-6772</v>
      </c>
      <c r="H81" s="18" t="n">
        <v>-7054</v>
      </c>
      <c r="I81" s="18" t="n">
        <v>-5770</v>
      </c>
      <c r="J81" s="18" t="n">
        <v>-5149</v>
      </c>
      <c r="K81" s="34" t="n">
        <v>-24745</v>
      </c>
      <c r="L81" s="18" t="n">
        <v>-6529</v>
      </c>
      <c r="M81" s="18" t="n">
        <v>-4305</v>
      </c>
      <c r="N81" s="18" t="n">
        <v>-11778</v>
      </c>
      <c r="O81" s="18" t="n">
        <v>-7418</v>
      </c>
      <c r="P81" s="34" t="n">
        <v>-30030</v>
      </c>
      <c r="Q81" s="18" t="n">
        <v>-7739</v>
      </c>
      <c r="R81" s="18" t="n">
        <v>-7297</v>
      </c>
      <c r="S81" s="18" t="n">
        <v>-14500</v>
      </c>
      <c r="T81" s="18" t="n">
        <v>-9827</v>
      </c>
      <c r="U81" s="34" t="n">
        <v>-39363</v>
      </c>
      <c r="V81" s="18" t="n">
        <v>-9664</v>
      </c>
      <c r="W81" s="18" t="n">
        <v>-9041</v>
      </c>
      <c r="X81" s="18" t="n">
        <v>-8510</v>
      </c>
      <c r="Y81" s="18" t="n">
        <v>-8595</v>
      </c>
      <c r="Z81" s="34" t="n">
        <v>-35810</v>
      </c>
      <c r="AA81" s="18" t="n">
        <v>-7001</v>
      </c>
      <c r="AB81" s="19" t="n">
        <v>-8181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7771</v>
      </c>
      <c r="F82" s="9" t="n"/>
      <c r="G82" s="18" t="n">
        <v>-5896</v>
      </c>
      <c r="H82" s="18" t="n">
        <v>32203</v>
      </c>
      <c r="I82" s="18" t="n">
        <v>8139</v>
      </c>
      <c r="J82" s="18" t="n">
        <v>-71061</v>
      </c>
      <c r="K82" s="34" t="n">
        <v>-36615</v>
      </c>
      <c r="L82" s="18" t="n">
        <v>11920</v>
      </c>
      <c r="M82" s="18" t="n">
        <v>60153</v>
      </c>
      <c r="N82" s="18" t="n">
        <v>-19725</v>
      </c>
      <c r="O82" s="18" t="n">
        <v>34535</v>
      </c>
      <c r="P82" s="34" t="n">
        <v>86883</v>
      </c>
      <c r="Q82" s="18" t="n">
        <v>-12273</v>
      </c>
      <c r="R82" s="18" t="n">
        <v>4515</v>
      </c>
      <c r="S82" s="18" t="n">
        <v>192327</v>
      </c>
      <c r="T82" s="18" t="n">
        <v>2965</v>
      </c>
      <c r="U82" s="34" t="n">
        <v>187534</v>
      </c>
      <c r="V82" s="18" t="n">
        <v>-10995</v>
      </c>
      <c r="W82" s="18" t="n">
        <v>-4995</v>
      </c>
      <c r="X82" s="18" t="n">
        <v>5853</v>
      </c>
      <c r="Y82" s="18" t="n">
        <v>7114</v>
      </c>
      <c r="Z82" s="34" t="n">
        <v>-3023</v>
      </c>
      <c r="AA82" s="18" t="n">
        <v>1182</v>
      </c>
      <c r="AB82" s="19" t="n">
        <v>-3243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1369</v>
      </c>
      <c r="F83" s="9" t="n"/>
      <c r="G83" s="18" t="n">
        <v>5163</v>
      </c>
      <c r="H83" s="18" t="n">
        <v>46236</v>
      </c>
      <c r="I83" s="18" t="n">
        <v>7436</v>
      </c>
      <c r="J83" s="18" t="n">
        <v>5440</v>
      </c>
      <c r="K83" s="34" t="n">
        <v>64275</v>
      </c>
      <c r="L83" s="18" t="n">
        <v>1559</v>
      </c>
      <c r="M83" s="18" t="n">
        <v>2198</v>
      </c>
      <c r="N83" s="18" t="n">
        <v>2727</v>
      </c>
      <c r="O83" s="18" t="n">
        <v>2997</v>
      </c>
      <c r="P83" s="34" t="n">
        <v>9481</v>
      </c>
      <c r="Q83" s="18" t="n">
        <v>1981</v>
      </c>
      <c r="R83" s="18" t="n">
        <v>1593</v>
      </c>
      <c r="S83" s="18" t="n">
        <v>932</v>
      </c>
      <c r="T83" s="18" t="n">
        <v>888</v>
      </c>
      <c r="U83" s="34" t="n">
        <v>5394</v>
      </c>
      <c r="V83" s="18" t="n">
        <v>1204</v>
      </c>
      <c r="W83" s="18" t="n">
        <v>1766</v>
      </c>
      <c r="X83" s="18" t="n">
        <v>4627</v>
      </c>
      <c r="Y83" s="18" t="n">
        <v>3064</v>
      </c>
      <c r="Z83" s="34" t="n">
        <v>10661</v>
      </c>
      <c r="AA83" s="18" t="n">
        <v>2984</v>
      </c>
      <c r="AB83" s="19" t="n">
        <v>2589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1605</v>
      </c>
      <c r="F84" s="9" t="n"/>
      <c r="G84" s="18" t="n">
        <v>5362</v>
      </c>
      <c r="H84" s="18" t="n">
        <v>46436</v>
      </c>
      <c r="I84" s="18" t="n">
        <v>7635</v>
      </c>
      <c r="J84" s="18" t="n">
        <v>5640</v>
      </c>
      <c r="K84" s="34" t="n">
        <v>65073</v>
      </c>
      <c r="L84" s="18" t="n">
        <v>1559</v>
      </c>
      <c r="M84" s="18" t="n">
        <v>2902</v>
      </c>
      <c r="N84" s="18" t="n">
        <v>2727</v>
      </c>
      <c r="O84" s="18" t="n">
        <v>2964</v>
      </c>
      <c r="P84" s="34" t="n">
        <v>10152</v>
      </c>
      <c r="Q84" s="18" t="n">
        <v>2167</v>
      </c>
      <c r="R84" s="18" t="n">
        <v>1780</v>
      </c>
      <c r="S84" s="18" t="n">
        <v>1119</v>
      </c>
      <c r="T84" s="18" t="n">
        <v>1075</v>
      </c>
      <c r="U84" s="34" t="n">
        <v>6141</v>
      </c>
      <c r="V84" s="18" t="n">
        <v>1391</v>
      </c>
      <c r="W84" s="18" t="n">
        <v>1952</v>
      </c>
      <c r="X84" s="18" t="n">
        <v>4814</v>
      </c>
      <c r="Y84" s="18" t="n">
        <v>3251</v>
      </c>
      <c r="Z84" s="34" t="n">
        <v>11408</v>
      </c>
      <c r="AA84" s="18" t="n">
        <v>3171</v>
      </c>
      <c r="AB84" s="19" t="n">
        <v>2775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4</v>
      </c>
      <c r="F85" s="9" t="n"/>
      <c r="G85" s="18" t="n">
        <v>3</v>
      </c>
      <c r="H85" s="18" t="n">
        <v>160</v>
      </c>
      <c r="I85" s="18" t="n">
        <v>77</v>
      </c>
      <c r="K85" s="9" t="n"/>
      <c r="L85" s="18" t="n">
        <v>22</v>
      </c>
      <c r="M85" s="18" t="n">
        <v>181</v>
      </c>
      <c r="N85" s="18" t="n">
        <v>48</v>
      </c>
      <c r="O85" s="18" t="n">
        <v>453</v>
      </c>
      <c r="P85" s="34" t="n">
        <v>704</v>
      </c>
      <c r="Q85" s="18" t="n">
        <v>148</v>
      </c>
      <c r="R85" s="18" t="n">
        <v>383</v>
      </c>
      <c r="S85" s="18" t="n">
        <v>281</v>
      </c>
      <c r="T85" s="18" t="n">
        <v>26</v>
      </c>
      <c r="U85" s="34" t="n">
        <v>838</v>
      </c>
      <c r="V85" s="18" t="n">
        <v>340</v>
      </c>
      <c r="W85" s="18" t="n">
        <v>17</v>
      </c>
      <c r="X85" s="18" t="n">
        <v>16</v>
      </c>
      <c r="Y85" s="18" t="n">
        <v>2141</v>
      </c>
      <c r="Z85" s="34" t="n">
        <v>2514</v>
      </c>
      <c r="AA85" s="18" t="n">
        <v>16</v>
      </c>
      <c r="AB85" s="19" t="n">
        <v>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E86" s="18" t="n">
        <v>236</v>
      </c>
      <c r="F86" s="9" t="n"/>
      <c r="G86" s="18" t="n">
        <v>199</v>
      </c>
      <c r="H86" s="18" t="n">
        <v>200</v>
      </c>
      <c r="I86" s="18" t="n">
        <v>199</v>
      </c>
      <c r="J86" s="18" t="n">
        <v>200</v>
      </c>
      <c r="K86" s="34" t="n">
        <v>798</v>
      </c>
      <c r="L86" s="18" t="n">
        <v>0</v>
      </c>
      <c r="M86" s="18" t="n">
        <v>704</v>
      </c>
      <c r="N86" s="18" t="n">
        <v>0</v>
      </c>
      <c r="P86" s="9" t="n"/>
      <c r="Q86" s="18" t="n">
        <v>186</v>
      </c>
      <c r="R86" s="18" t="n">
        <v>187</v>
      </c>
      <c r="S86" s="18" t="n">
        <v>187</v>
      </c>
      <c r="T86" s="18" t="n">
        <v>187</v>
      </c>
      <c r="U86" s="34" t="n">
        <v>747</v>
      </c>
      <c r="V86" s="18" t="n">
        <v>187</v>
      </c>
      <c r="W86" s="18" t="n">
        <v>186</v>
      </c>
      <c r="X86" s="18" t="n">
        <v>187</v>
      </c>
      <c r="Y86" s="18" t="n">
        <v>187</v>
      </c>
      <c r="Z86" s="34" t="n">
        <v>747</v>
      </c>
      <c r="AA86" s="18" t="n">
        <v>187</v>
      </c>
      <c r="AB86" s="19" t="n">
        <v>186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13</v>
      </c>
      <c r="F87" s="9" t="n"/>
      <c r="G87" s="18" t="n">
        <v>52</v>
      </c>
      <c r="I87" s="18" t="n">
        <v>13</v>
      </c>
      <c r="J87" s="18" t="n">
        <v>13</v>
      </c>
      <c r="K87" s="9" t="n"/>
      <c r="L87" s="18" t="n">
        <v>13</v>
      </c>
      <c r="M87" s="18" t="n">
        <v>13</v>
      </c>
      <c r="N87" s="18" t="n">
        <v>13</v>
      </c>
      <c r="O87" s="18" t="n">
        <v>13</v>
      </c>
      <c r="P87" s="34" t="n">
        <v>52</v>
      </c>
      <c r="Q87" s="18" t="n">
        <v>0</v>
      </c>
      <c r="R87" s="18" t="n">
        <v>0</v>
      </c>
      <c r="S87" s="18" t="n">
        <v>0</v>
      </c>
      <c r="T87" s="18" t="n">
        <v>0</v>
      </c>
      <c r="U87" s="34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-5966</v>
      </c>
      <c r="F88" s="9" t="n"/>
      <c r="G88" s="18" t="n">
        <v>-3067</v>
      </c>
      <c r="H88" s="18" t="n">
        <v>-83474</v>
      </c>
      <c r="I88" s="18" t="n">
        <v>48025</v>
      </c>
      <c r="J88" s="18" t="n">
        <v>-18835</v>
      </c>
      <c r="K88" s="34" t="n">
        <v>-57351</v>
      </c>
      <c r="L88" s="18" t="n">
        <v>-3374</v>
      </c>
      <c r="M88" s="18" t="n">
        <v>-3866</v>
      </c>
      <c r="N88" s="18" t="n">
        <v>-4223</v>
      </c>
      <c r="O88" s="18" t="n">
        <v>20657</v>
      </c>
      <c r="P88" s="34" t="n">
        <v>9194</v>
      </c>
      <c r="Q88" s="18" t="n">
        <v>-4568</v>
      </c>
      <c r="R88" s="18" t="n">
        <v>-53406</v>
      </c>
      <c r="S88" s="18" t="n">
        <v>-173571</v>
      </c>
      <c r="T88" s="18" t="n">
        <v>-13289</v>
      </c>
      <c r="U88" s="34" t="n">
        <v>-244834</v>
      </c>
      <c r="V88" s="18" t="n">
        <v>-13314</v>
      </c>
      <c r="W88" s="18" t="n">
        <v>-48115</v>
      </c>
      <c r="X88" s="18" t="n">
        <v>-17163</v>
      </c>
      <c r="Y88" s="18" t="n">
        <v>199224</v>
      </c>
      <c r="Z88" s="34" t="n">
        <v>120632</v>
      </c>
      <c r="AA88" s="18" t="n">
        <v>-11116</v>
      </c>
      <c r="AB88" s="19" t="n">
        <v>69489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43305</v>
      </c>
      <c r="F89" s="9" t="n"/>
      <c r="G89" s="18" t="n">
        <v>-1178</v>
      </c>
      <c r="H89" s="18" t="n">
        <v>18748</v>
      </c>
      <c r="I89" s="18" t="n">
        <v>-55234</v>
      </c>
      <c r="J89" s="18" t="n">
        <v>28273</v>
      </c>
      <c r="K89" s="34" t="n">
        <v>-9391</v>
      </c>
      <c r="L89" s="18" t="n">
        <v>48494</v>
      </c>
      <c r="M89" s="18" t="n">
        <v>-21032</v>
      </c>
      <c r="N89" s="18" t="n">
        <v>219230</v>
      </c>
      <c r="O89" s="18" t="n">
        <v>4173</v>
      </c>
      <c r="P89" s="34" t="n">
        <v>250865</v>
      </c>
      <c r="Q89" s="18" t="n">
        <v>-67345</v>
      </c>
      <c r="R89" s="18" t="n">
        <v>-29025</v>
      </c>
      <c r="S89" s="18" t="n">
        <v>-58629</v>
      </c>
      <c r="T89" s="18" t="n">
        <v>11334</v>
      </c>
      <c r="U89" s="34" t="n">
        <v>-143665</v>
      </c>
      <c r="V89" s="18" t="n">
        <v>-126993</v>
      </c>
      <c r="W89" s="18" t="n">
        <v>93758</v>
      </c>
      <c r="X89" s="18" t="n">
        <v>27611</v>
      </c>
      <c r="Y89" s="18" t="n">
        <v>129563</v>
      </c>
      <c r="Z89" s="34" t="n">
        <v>123939</v>
      </c>
      <c r="AA89" s="18" t="n">
        <v>-173787</v>
      </c>
      <c r="AB89" s="19" t="n">
        <v>87707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42932</v>
      </c>
      <c r="F90" s="9" t="n"/>
      <c r="G90" s="18" t="n">
        <v>117115</v>
      </c>
      <c r="H90" s="18" t="n">
        <v>19045</v>
      </c>
      <c r="I90" s="18" t="n">
        <v>-53426</v>
      </c>
      <c r="J90" s="18" t="n">
        <v>19499</v>
      </c>
      <c r="K90" s="34" t="n">
        <v>102233</v>
      </c>
      <c r="L90" s="18" t="n">
        <v>151777</v>
      </c>
      <c r="M90" s="18" t="n">
        <v>-22214</v>
      </c>
      <c r="N90" s="18" t="n">
        <v>224614</v>
      </c>
      <c r="O90" s="18" t="n">
        <v>-3920</v>
      </c>
      <c r="P90" s="34" t="n">
        <v>350257</v>
      </c>
      <c r="Q90" s="18" t="n">
        <v>286569</v>
      </c>
      <c r="R90" s="18" t="n">
        <v>-29563</v>
      </c>
      <c r="S90" s="18" t="n">
        <v>-61798</v>
      </c>
      <c r="T90" s="18" t="n">
        <v>11920</v>
      </c>
      <c r="U90" s="34" t="n">
        <v>207128</v>
      </c>
      <c r="V90" s="18" t="n">
        <v>80370</v>
      </c>
      <c r="W90" s="18" t="n">
        <v>89820</v>
      </c>
      <c r="X90" s="18" t="n">
        <v>31957</v>
      </c>
      <c r="Y90" s="18" t="n">
        <v>130059</v>
      </c>
      <c r="Z90" s="34" t="n">
        <v>332206</v>
      </c>
      <c r="AA90" s="18" t="n">
        <v>163666</v>
      </c>
      <c r="AB90" s="19" t="n">
        <v>86081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유동성장기부채의감소</t>
        </is>
      </c>
      <c r="F91" s="9" t="n"/>
      <c r="I91" s="18" t="n">
        <v>785</v>
      </c>
      <c r="K91" s="9" t="n"/>
      <c r="N91" s="18" t="n">
        <v>0</v>
      </c>
      <c r="O91" s="18" t="n">
        <v>4285</v>
      </c>
      <c r="P91" s="9" t="n"/>
      <c r="S91" s="18" t="n">
        <v>664966</v>
      </c>
      <c r="U91" s="9" t="n"/>
      <c r="V91" s="18" t="n">
        <v>2002</v>
      </c>
      <c r="W91" s="18" t="n">
        <v>0</v>
      </c>
      <c r="X91" s="18" t="n">
        <v>3030</v>
      </c>
      <c r="Y91" s="18" t="n">
        <v>1</v>
      </c>
      <c r="Z91" s="34" t="n">
        <v>5033</v>
      </c>
      <c r="AA91" s="18" t="n">
        <v>0</v>
      </c>
      <c r="AB91" s="19" t="n">
        <v>25000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J92" s="18" t="n">
        <v>0</v>
      </c>
      <c r="K92" s="9" t="n"/>
      <c r="O92" s="18" t="n">
        <v>25000</v>
      </c>
      <c r="P92" s="9" t="n"/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F93" s="9" t="n"/>
      <c r="K93" s="9" t="n"/>
      <c r="P93" s="9" t="n"/>
      <c r="U93" s="9" t="n"/>
      <c r="V93" s="18" t="n">
        <v>7361</v>
      </c>
      <c r="W93" s="18" t="n">
        <v>374386</v>
      </c>
      <c r="X93" s="18" t="n">
        <v>8588</v>
      </c>
      <c r="Y93" s="18" t="n">
        <v>7361</v>
      </c>
      <c r="Z93" s="34" t="n">
        <v>397696</v>
      </c>
      <c r="AA93" s="18" t="n">
        <v>7369</v>
      </c>
      <c r="AB93" s="19" t="n">
        <v>269100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F94" s="9" t="n"/>
      <c r="K94" s="9" t="n"/>
      <c r="P94" s="9" t="n"/>
      <c r="U94" s="9" t="n"/>
      <c r="X94" s="18" t="n">
        <v>0</v>
      </c>
      <c r="Y94" s="18" t="n">
        <v>-1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HJ중공업(별)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948911</v>
      </c>
      <c r="F5" s="34" t="n">
        <v>948911</v>
      </c>
      <c r="G5" s="18" t="n">
        <v>934811</v>
      </c>
      <c r="H5" s="18" t="n">
        <v>905456</v>
      </c>
      <c r="I5" s="18" t="n">
        <v>919500</v>
      </c>
      <c r="J5" s="18" t="n">
        <v>1430242</v>
      </c>
      <c r="K5" s="34" t="n">
        <v>1430242</v>
      </c>
      <c r="L5" s="18" t="n">
        <v>1527162</v>
      </c>
      <c r="M5" s="18" t="n">
        <v>1469744</v>
      </c>
      <c r="N5" s="18" t="n">
        <v>1717779</v>
      </c>
      <c r="O5" s="18" t="n">
        <v>1724579</v>
      </c>
      <c r="P5" s="34" t="n">
        <v>1724579</v>
      </c>
      <c r="Q5" s="18" t="n">
        <v>1682650</v>
      </c>
      <c r="R5" s="18" t="n">
        <v>1602652</v>
      </c>
      <c r="S5" s="18" t="n">
        <v>1041804</v>
      </c>
      <c r="T5" s="18" t="n">
        <v>1073132</v>
      </c>
      <c r="U5" s="34" t="n">
        <v>1073132</v>
      </c>
      <c r="V5" s="18" t="n">
        <v>1087266</v>
      </c>
      <c r="W5" s="18" t="n">
        <v>1150107</v>
      </c>
      <c r="X5" s="18" t="n">
        <v>1161613</v>
      </c>
      <c r="Y5" s="18" t="n">
        <v>1258557</v>
      </c>
      <c r="Z5" s="34" t="n">
        <v>1258557</v>
      </c>
      <c r="AA5" s="18" t="n">
        <v>1259136</v>
      </c>
      <c r="AB5" s="19" t="n">
        <v>1444063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118298</v>
      </c>
      <c r="F6" s="34" t="n">
        <v>118298</v>
      </c>
      <c r="G6" s="18" t="n">
        <v>117104</v>
      </c>
      <c r="H6" s="18" t="n">
        <v>136138</v>
      </c>
      <c r="I6" s="18" t="n">
        <v>82718</v>
      </c>
      <c r="J6" s="18" t="n">
        <v>102217</v>
      </c>
      <c r="K6" s="34" t="n">
        <v>102217</v>
      </c>
      <c r="L6" s="18" t="n">
        <v>151763</v>
      </c>
      <c r="M6" s="18" t="n">
        <v>100845</v>
      </c>
      <c r="N6" s="18" t="n">
        <v>350400</v>
      </c>
      <c r="O6" s="18" t="n">
        <v>347519</v>
      </c>
      <c r="P6" s="34" t="n">
        <v>347519</v>
      </c>
      <c r="Q6" s="18" t="n">
        <v>284379</v>
      </c>
      <c r="R6" s="18" t="n">
        <v>255142</v>
      </c>
      <c r="S6" s="18" t="n">
        <v>193509</v>
      </c>
      <c r="T6" s="18" t="n">
        <v>207117</v>
      </c>
      <c r="U6" s="34" t="n">
        <v>207117</v>
      </c>
      <c r="V6" s="18" t="n">
        <v>80360</v>
      </c>
      <c r="W6" s="18" t="n">
        <v>169892</v>
      </c>
      <c r="X6" s="18" t="n">
        <v>201935</v>
      </c>
      <c r="Y6" s="18" t="n">
        <v>332116</v>
      </c>
      <c r="Z6" s="34" t="n">
        <v>332116</v>
      </c>
      <c r="AA6" s="18" t="n">
        <v>163576</v>
      </c>
      <c r="AB6" s="19" t="n">
        <v>249647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45056</v>
      </c>
      <c r="F7" s="34" t="n">
        <v>45056</v>
      </c>
      <c r="G7" s="18" t="n">
        <v>39615</v>
      </c>
      <c r="H7" s="18" t="n">
        <v>27263</v>
      </c>
      <c r="I7" s="18" t="n">
        <v>22858</v>
      </c>
      <c r="J7" s="18" t="n">
        <v>53296</v>
      </c>
      <c r="K7" s="34" t="n">
        <v>53296</v>
      </c>
      <c r="L7" s="18" t="n">
        <v>16736</v>
      </c>
      <c r="M7" s="18" t="n">
        <v>12183</v>
      </c>
      <c r="N7" s="18" t="n">
        <v>12240</v>
      </c>
      <c r="O7" s="18" t="n">
        <v>12458</v>
      </c>
      <c r="P7" s="34" t="n">
        <v>12458</v>
      </c>
      <c r="Q7" s="18" t="n">
        <v>12478</v>
      </c>
      <c r="R7" s="18" t="n">
        <v>11276</v>
      </c>
      <c r="S7" s="18" t="n">
        <v>32142</v>
      </c>
      <c r="T7" s="18" t="n">
        <v>24154</v>
      </c>
      <c r="U7" s="34" t="n">
        <v>24154</v>
      </c>
      <c r="V7" s="18" t="n">
        <v>32847</v>
      </c>
      <c r="W7" s="18" t="n">
        <v>42942</v>
      </c>
      <c r="X7" s="18" t="n">
        <v>32408</v>
      </c>
      <c r="Y7" s="18" t="n">
        <v>26038</v>
      </c>
      <c r="Z7" s="34" t="n">
        <v>26038</v>
      </c>
      <c r="AA7" s="18" t="n">
        <v>22198</v>
      </c>
      <c r="AB7" s="19" t="n">
        <v>25560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45056</v>
      </c>
      <c r="F8" s="34" t="n">
        <v>45056</v>
      </c>
      <c r="G8" s="18" t="n">
        <v>39615</v>
      </c>
      <c r="H8" s="18" t="n">
        <v>27263</v>
      </c>
      <c r="I8" s="18" t="n">
        <v>22858</v>
      </c>
      <c r="J8" s="18" t="n">
        <v>53296</v>
      </c>
      <c r="K8" s="34" t="n">
        <v>53296</v>
      </c>
      <c r="L8" s="18" t="n">
        <v>16736</v>
      </c>
      <c r="M8" s="18" t="n">
        <v>12183</v>
      </c>
      <c r="N8" s="18" t="n">
        <v>12240</v>
      </c>
      <c r="O8" s="18" t="n">
        <v>12458</v>
      </c>
      <c r="P8" s="34" t="n">
        <v>12458</v>
      </c>
      <c r="Q8" s="18" t="n">
        <v>12478</v>
      </c>
      <c r="R8" s="18" t="n">
        <v>11276</v>
      </c>
      <c r="S8" s="18" t="n">
        <v>32142</v>
      </c>
      <c r="T8" s="18" t="n">
        <v>24154</v>
      </c>
      <c r="U8" s="34" t="n">
        <v>24154</v>
      </c>
      <c r="V8" s="18" t="n">
        <v>32847</v>
      </c>
      <c r="W8" s="18" t="n">
        <v>42942</v>
      </c>
      <c r="X8" s="18" t="n">
        <v>32408</v>
      </c>
      <c r="Y8" s="18" t="n">
        <v>26038</v>
      </c>
      <c r="Z8" s="34" t="n">
        <v>26038</v>
      </c>
      <c r="AA8" s="18" t="n">
        <v>22198</v>
      </c>
      <c r="AB8" s="19" t="n">
        <v>25560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125998</v>
      </c>
      <c r="F9" s="34" t="n">
        <v>125998</v>
      </c>
      <c r="G9" s="18" t="n">
        <v>81066</v>
      </c>
      <c r="H9" s="18" t="n">
        <v>111366</v>
      </c>
      <c r="I9" s="18" t="n">
        <v>120253</v>
      </c>
      <c r="J9" s="18" t="n">
        <v>191295</v>
      </c>
      <c r="K9" s="34" t="n">
        <v>191295</v>
      </c>
      <c r="L9" s="18" t="n">
        <v>174153</v>
      </c>
      <c r="M9" s="18" t="n">
        <v>140611</v>
      </c>
      <c r="N9" s="18" t="n">
        <v>88751</v>
      </c>
      <c r="O9" s="18" t="n">
        <v>187649</v>
      </c>
      <c r="P9" s="34" t="n">
        <v>187649</v>
      </c>
      <c r="Q9" s="18" t="n">
        <v>202261</v>
      </c>
      <c r="R9" s="18" t="n">
        <v>206701</v>
      </c>
      <c r="S9" s="18" t="n">
        <v>134264</v>
      </c>
      <c r="T9" s="18" t="n">
        <v>140323</v>
      </c>
      <c r="U9" s="34" t="n">
        <v>140323</v>
      </c>
      <c r="V9" s="18" t="n">
        <v>152521</v>
      </c>
      <c r="W9" s="18" t="n">
        <v>165562</v>
      </c>
      <c r="X9" s="18" t="n">
        <v>152510</v>
      </c>
      <c r="Y9" s="18" t="n">
        <v>182991</v>
      </c>
      <c r="Z9" s="34" t="n">
        <v>182991</v>
      </c>
      <c r="AA9" s="18" t="n">
        <v>149848</v>
      </c>
      <c r="AB9" s="19" t="n">
        <v>186707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4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4" t="n">
        <v>233295</v>
      </c>
      <c r="L10" s="18" t="n">
        <v>220328</v>
      </c>
      <c r="M10" s="18" t="n">
        <v>268615</v>
      </c>
      <c r="N10" s="18" t="n">
        <v>330340</v>
      </c>
      <c r="O10" s="18" t="n">
        <v>387497</v>
      </c>
      <c r="P10" s="34" t="n">
        <v>387497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4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4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149512</v>
      </c>
      <c r="F11" s="34" t="n">
        <v>149512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4" t="n">
        <v>166055</v>
      </c>
      <c r="L11" s="18" t="n">
        <v>213314</v>
      </c>
      <c r="M11" s="18" t="n">
        <v>213426</v>
      </c>
      <c r="N11" s="18" t="n">
        <v>194799</v>
      </c>
      <c r="O11" s="18" t="n">
        <v>204694</v>
      </c>
      <c r="P11" s="34" t="n">
        <v>204694</v>
      </c>
      <c r="Q11" s="18" t="n">
        <v>290387</v>
      </c>
      <c r="R11" s="18" t="n">
        <v>278752</v>
      </c>
      <c r="S11" s="18" t="n">
        <v>290239</v>
      </c>
      <c r="T11" s="18" t="n">
        <v>250694</v>
      </c>
      <c r="U11" s="34" t="n">
        <v>250694</v>
      </c>
      <c r="V11" s="18" t="n">
        <v>343447</v>
      </c>
      <c r="W11" s="18" t="n">
        <v>316909</v>
      </c>
      <c r="X11" s="18" t="n">
        <v>326142</v>
      </c>
      <c r="Y11" s="18" t="n">
        <v>272033</v>
      </c>
      <c r="Z11" s="34" t="n">
        <v>272033</v>
      </c>
      <c r="AA11" s="18" t="n">
        <v>313315</v>
      </c>
      <c r="AB11" s="19" t="n">
        <v>324474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149512</v>
      </c>
      <c r="F12" s="34" t="n">
        <v>149512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4" t="n">
        <v>166055</v>
      </c>
      <c r="L12" s="18" t="n">
        <v>213314</v>
      </c>
      <c r="M12" s="18" t="n">
        <v>213426</v>
      </c>
      <c r="N12" s="18" t="n">
        <v>194799</v>
      </c>
      <c r="O12" s="18" t="n">
        <v>204694</v>
      </c>
      <c r="P12" s="34" t="n">
        <v>204694</v>
      </c>
      <c r="Q12" s="18" t="n">
        <v>290387</v>
      </c>
      <c r="R12" s="18" t="n">
        <v>278752</v>
      </c>
      <c r="S12" s="18" t="n">
        <v>290239</v>
      </c>
      <c r="T12" s="18" t="n">
        <v>250694</v>
      </c>
      <c r="U12" s="34" t="n">
        <v>250694</v>
      </c>
      <c r="V12" s="18" t="n">
        <v>343447</v>
      </c>
      <c r="W12" s="18" t="n">
        <v>316909</v>
      </c>
      <c r="X12" s="18" t="n">
        <v>326142</v>
      </c>
      <c r="Y12" s="18" t="n">
        <v>272033</v>
      </c>
      <c r="Z12" s="34" t="n">
        <v>272033</v>
      </c>
      <c r="AA12" s="18" t="n">
        <v>313315</v>
      </c>
      <c r="AB12" s="19" t="n">
        <v>324474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211904</v>
      </c>
      <c r="F13" s="34" t="n">
        <v>211904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4" t="n">
        <v>226637</v>
      </c>
      <c r="L13" s="18" t="n">
        <v>281022</v>
      </c>
      <c r="M13" s="18" t="n">
        <v>272909</v>
      </c>
      <c r="N13" s="18" t="n">
        <v>251184</v>
      </c>
      <c r="O13" s="18" t="n">
        <v>261427</v>
      </c>
      <c r="P13" s="34" t="n">
        <v>261427</v>
      </c>
      <c r="Q13" s="18" t="n">
        <v>357668</v>
      </c>
      <c r="R13" s="18" t="n">
        <v>337442</v>
      </c>
      <c r="S13" s="18" t="n">
        <v>349678</v>
      </c>
      <c r="T13" s="18" t="n">
        <v>315070</v>
      </c>
      <c r="U13" s="34" t="n">
        <v>315070</v>
      </c>
      <c r="V13" s="18" t="n">
        <v>416849</v>
      </c>
      <c r="W13" s="18" t="n">
        <v>398285</v>
      </c>
      <c r="X13" s="18" t="n">
        <v>413691</v>
      </c>
      <c r="Y13" s="18" t="n">
        <v>357770</v>
      </c>
      <c r="Z13" s="34" t="n">
        <v>357770</v>
      </c>
      <c r="AA13" s="18" t="n">
        <v>415413</v>
      </c>
      <c r="AB13" s="19" t="n">
        <v>424177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4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4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4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4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4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4" t="n">
        <v>32717</v>
      </c>
      <c r="G15" s="18" t="n">
        <v>27576</v>
      </c>
      <c r="H15" s="18" t="n">
        <v>20713</v>
      </c>
      <c r="I15" s="18" t="n">
        <v>15203</v>
      </c>
      <c r="J15" s="18" t="n">
        <v>33260</v>
      </c>
      <c r="K15" s="34" t="n">
        <v>33260</v>
      </c>
      <c r="L15" s="18" t="n">
        <v>33558</v>
      </c>
      <c r="M15" s="18" t="n">
        <v>15757</v>
      </c>
      <c r="N15" s="18" t="n">
        <v>6040</v>
      </c>
      <c r="O15" s="18" t="n">
        <v>8894</v>
      </c>
      <c r="P15" s="34" t="n">
        <v>8894</v>
      </c>
      <c r="Q15" s="18" t="n">
        <v>7196</v>
      </c>
      <c r="R15" s="18" t="n">
        <v>6267</v>
      </c>
      <c r="S15" s="18" t="n">
        <v>6089</v>
      </c>
      <c r="T15" s="18" t="n">
        <v>6261</v>
      </c>
      <c r="U15" s="34" t="n">
        <v>6261</v>
      </c>
      <c r="V15" s="18" t="n">
        <v>9218</v>
      </c>
      <c r="W15" s="18" t="n">
        <v>8600</v>
      </c>
      <c r="X15" s="18" t="n">
        <v>18295</v>
      </c>
      <c r="Y15" s="18" t="n">
        <v>17965</v>
      </c>
      <c r="Z15" s="34" t="n">
        <v>17965</v>
      </c>
      <c r="AA15" s="18" t="n">
        <v>14662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4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4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4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4" t="n">
        <v>0</v>
      </c>
      <c r="Y16" s="18" t="n">
        <v>0</v>
      </c>
      <c r="Z16" s="34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1432133</v>
      </c>
      <c r="F17" s="34" t="n">
        <v>1432133</v>
      </c>
      <c r="G17" s="18" t="n">
        <v>1433035</v>
      </c>
      <c r="H17" s="18" t="n">
        <v>1496027</v>
      </c>
      <c r="I17" s="18" t="n">
        <v>1504906</v>
      </c>
      <c r="J17" s="18" t="n">
        <v>1133741</v>
      </c>
      <c r="K17" s="34" t="n">
        <v>1133741</v>
      </c>
      <c r="L17" s="18" t="n">
        <v>1114133</v>
      </c>
      <c r="M17" s="18" t="n">
        <v>1122429</v>
      </c>
      <c r="N17" s="18" t="n">
        <v>1054376</v>
      </c>
      <c r="O17" s="18" t="n">
        <v>1161038</v>
      </c>
      <c r="P17" s="34" t="n">
        <v>1161038</v>
      </c>
      <c r="Q17" s="18" t="n">
        <v>1165440</v>
      </c>
      <c r="R17" s="18" t="n">
        <v>1157800</v>
      </c>
      <c r="S17" s="18" t="n">
        <v>1140982</v>
      </c>
      <c r="T17" s="18" t="n">
        <v>1129115</v>
      </c>
      <c r="U17" s="34" t="n">
        <v>1129115</v>
      </c>
      <c r="V17" s="18" t="n">
        <v>1130054</v>
      </c>
      <c r="W17" s="18" t="n">
        <v>1133118</v>
      </c>
      <c r="X17" s="18" t="n">
        <v>1124597</v>
      </c>
      <c r="Y17" s="18" t="n">
        <v>1192819</v>
      </c>
      <c r="Z17" s="34" t="n">
        <v>1192819</v>
      </c>
      <c r="AA17" s="18" t="n">
        <v>1190749</v>
      </c>
      <c r="AB17" s="19" t="n">
        <v>1198852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4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4" t="n">
        <v>45985</v>
      </c>
      <c r="L18" s="18" t="n">
        <v>46138</v>
      </c>
      <c r="M18" s="18" t="n">
        <v>62896</v>
      </c>
      <c r="N18" s="18" t="n">
        <v>60869</v>
      </c>
      <c r="O18" s="18" t="n">
        <v>62275</v>
      </c>
      <c r="P18" s="34" t="n">
        <v>62275</v>
      </c>
      <c r="Q18" s="18" t="n">
        <v>59301</v>
      </c>
      <c r="R18" s="18" t="n">
        <v>60596</v>
      </c>
      <c r="S18" s="18" t="n">
        <v>57573</v>
      </c>
      <c r="T18" s="18" t="n">
        <v>52171</v>
      </c>
      <c r="U18" s="34" t="n">
        <v>52171</v>
      </c>
      <c r="V18" s="18" t="n">
        <v>58501</v>
      </c>
      <c r="W18" s="18" t="n">
        <v>60396</v>
      </c>
      <c r="X18" s="18" t="n">
        <v>39989</v>
      </c>
      <c r="Y18" s="18" t="n">
        <v>39087</v>
      </c>
      <c r="Z18" s="34" t="n">
        <v>39087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4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4" t="n">
        <v>130707</v>
      </c>
      <c r="L19" s="18" t="n">
        <v>142903</v>
      </c>
      <c r="M19" s="18" t="n">
        <v>151742</v>
      </c>
      <c r="N19" s="18" t="n">
        <v>152560</v>
      </c>
      <c r="O19" s="18" t="n">
        <v>157332</v>
      </c>
      <c r="P19" s="34" t="n">
        <v>157332</v>
      </c>
      <c r="Q19" s="18" t="n">
        <v>156281</v>
      </c>
      <c r="R19" s="18" t="n">
        <v>151168</v>
      </c>
      <c r="S19" s="18" t="n">
        <v>140833</v>
      </c>
      <c r="T19" s="18" t="n">
        <v>135419</v>
      </c>
      <c r="U19" s="34" t="n">
        <v>135419</v>
      </c>
      <c r="V19" s="18" t="n">
        <v>145937</v>
      </c>
      <c r="W19" s="18" t="n">
        <v>144310</v>
      </c>
      <c r="X19" s="18" t="n">
        <v>135493</v>
      </c>
      <c r="Y19" s="18" t="n">
        <v>115707</v>
      </c>
      <c r="Z19" s="34" t="n">
        <v>115707</v>
      </c>
      <c r="AA19" s="18" t="n">
        <v>119589</v>
      </c>
      <c r="AB19" s="19" t="n">
        <v>123812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921567</v>
      </c>
      <c r="F20" s="34" t="n">
        <v>921567</v>
      </c>
      <c r="G20" s="18" t="n">
        <v>924011</v>
      </c>
      <c r="H20" s="18" t="n">
        <v>967385</v>
      </c>
      <c r="I20" s="18" t="n">
        <v>971500</v>
      </c>
      <c r="J20" s="18" t="n">
        <v>643121</v>
      </c>
      <c r="K20" s="34" t="n">
        <v>643121</v>
      </c>
      <c r="L20" s="18" t="n">
        <v>641704</v>
      </c>
      <c r="M20" s="18" t="n">
        <v>640650</v>
      </c>
      <c r="N20" s="18" t="n">
        <v>640112</v>
      </c>
      <c r="O20" s="18" t="n">
        <v>743975</v>
      </c>
      <c r="P20" s="34" t="n">
        <v>743975</v>
      </c>
      <c r="Q20" s="18" t="n">
        <v>744142</v>
      </c>
      <c r="R20" s="18" t="n">
        <v>742048</v>
      </c>
      <c r="S20" s="18" t="n">
        <v>740618</v>
      </c>
      <c r="T20" s="18" t="n">
        <v>738677</v>
      </c>
      <c r="U20" s="34" t="n">
        <v>738677</v>
      </c>
      <c r="V20" s="18" t="n">
        <v>737108</v>
      </c>
      <c r="W20" s="18" t="n">
        <v>736772</v>
      </c>
      <c r="X20" s="18" t="n">
        <v>739145</v>
      </c>
      <c r="Y20" s="18" t="n">
        <v>820636</v>
      </c>
      <c r="Z20" s="34" t="n">
        <v>820636</v>
      </c>
      <c r="AA20" s="18" t="n">
        <v>819550</v>
      </c>
      <c r="AB20" s="19" t="n">
        <v>822331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4" t="n">
        <v>59891</v>
      </c>
      <c r="G21" s="18" t="n">
        <v>59798</v>
      </c>
      <c r="H21" s="18" t="n">
        <v>59705</v>
      </c>
      <c r="I21" s="18" t="n">
        <v>59611</v>
      </c>
      <c r="J21" s="18" t="n">
        <v>10643</v>
      </c>
      <c r="K21" s="34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4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4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4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2323</v>
      </c>
      <c r="F22" s="34" t="n">
        <v>2323</v>
      </c>
      <c r="G22" s="18" t="n">
        <v>2323</v>
      </c>
      <c r="H22" s="18" t="n">
        <v>2323</v>
      </c>
      <c r="I22" s="18" t="n">
        <v>2325</v>
      </c>
      <c r="J22" s="18" t="n">
        <v>2323</v>
      </c>
      <c r="K22" s="34" t="n">
        <v>2323</v>
      </c>
      <c r="L22" s="18" t="n">
        <v>2325</v>
      </c>
      <c r="M22" s="18" t="n">
        <v>3028</v>
      </c>
      <c r="N22" s="18" t="n">
        <v>3028</v>
      </c>
      <c r="O22" s="18" t="n">
        <v>3027</v>
      </c>
      <c r="P22" s="34" t="n">
        <v>3027</v>
      </c>
      <c r="Q22" s="18" t="n">
        <v>3028</v>
      </c>
      <c r="R22" s="18" t="n">
        <v>3010</v>
      </c>
      <c r="S22" s="18" t="n">
        <v>3010</v>
      </c>
      <c r="T22" s="18" t="n">
        <v>3012</v>
      </c>
      <c r="U22" s="34" t="n">
        <v>3012</v>
      </c>
      <c r="V22" s="18" t="n">
        <v>3012</v>
      </c>
      <c r="W22" s="18" t="n">
        <v>3011</v>
      </c>
      <c r="X22" s="18" t="n">
        <v>3011</v>
      </c>
      <c r="Y22" s="18" t="n">
        <v>3011</v>
      </c>
      <c r="Z22" s="34" t="n">
        <v>3011</v>
      </c>
      <c r="AA22" s="18" t="n">
        <v>3012</v>
      </c>
      <c r="AB22" s="19" t="n">
        <v>3012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4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4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4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4" t="n">
        <v>79469</v>
      </c>
      <c r="V23" s="18" t="n">
        <v>83955</v>
      </c>
      <c r="W23" s="18" t="n">
        <v>80347</v>
      </c>
      <c r="X23" s="18" t="n">
        <v>89937</v>
      </c>
      <c r="Y23" s="18" t="n">
        <v>71658</v>
      </c>
      <c r="Z23" s="34" t="n">
        <v>71658</v>
      </c>
      <c r="AA23" s="18" t="n">
        <v>75874</v>
      </c>
      <c r="AB23" s="19" t="n">
        <v>77013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4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4" t="n">
        <v>181681</v>
      </c>
      <c r="L24" s="18" t="n">
        <v>180966</v>
      </c>
      <c r="M24" s="18" t="n">
        <v>180233</v>
      </c>
      <c r="N24" s="18" t="n">
        <v>93156</v>
      </c>
      <c r="O24" s="18" t="n">
        <v>46514</v>
      </c>
      <c r="P24" s="34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4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4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4" t="n">
        <v>224791</v>
      </c>
      <c r="G25" s="18" t="n">
        <v>222253</v>
      </c>
      <c r="H25" s="18" t="n">
        <v>223165</v>
      </c>
      <c r="I25" s="18" t="n">
        <v>206634</v>
      </c>
      <c r="J25" s="18" t="n">
        <v>210621</v>
      </c>
      <c r="K25" s="34" t="n">
        <v>210621</v>
      </c>
      <c r="L25" s="18" t="n">
        <v>210868</v>
      </c>
      <c r="M25" s="18" t="n">
        <v>211254</v>
      </c>
      <c r="N25" s="18" t="n">
        <v>134435</v>
      </c>
      <c r="O25" s="18" t="n">
        <v>89941</v>
      </c>
      <c r="P25" s="34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4" t="n">
        <v>84698</v>
      </c>
      <c r="V25" s="18" t="n">
        <v>79001</v>
      </c>
      <c r="W25" s="18" t="n">
        <v>85538</v>
      </c>
      <c r="X25" s="18" t="n">
        <v>84270</v>
      </c>
      <c r="Y25" s="18" t="n">
        <v>92026</v>
      </c>
      <c r="Z25" s="34" t="n">
        <v>92026</v>
      </c>
      <c r="AA25" s="18" t="n">
        <v>90613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2042</v>
      </c>
      <c r="F26" s="34" t="n">
        <v>2042</v>
      </c>
      <c r="G26" s="18" t="n">
        <v>2036</v>
      </c>
      <c r="H26" s="18" t="n">
        <v>1677</v>
      </c>
      <c r="I26" s="18" t="n">
        <v>1664</v>
      </c>
      <c r="J26" s="18" t="n">
        <v>1651</v>
      </c>
      <c r="K26" s="34" t="n">
        <v>1651</v>
      </c>
      <c r="L26" s="18" t="n">
        <v>1638</v>
      </c>
      <c r="M26" s="18" t="n">
        <v>1624</v>
      </c>
      <c r="N26" s="18" t="n">
        <v>1611</v>
      </c>
      <c r="O26" s="18" t="n">
        <v>1598</v>
      </c>
      <c r="P26" s="34" t="n">
        <v>1598</v>
      </c>
      <c r="Q26" s="18" t="n">
        <v>1585</v>
      </c>
      <c r="R26" s="18" t="n">
        <v>1572</v>
      </c>
      <c r="T26" s="18" t="n">
        <v>0</v>
      </c>
      <c r="U26" s="34" t="n">
        <v>0</v>
      </c>
      <c r="V26" s="18" t="n">
        <v>1533</v>
      </c>
      <c r="W26" s="18" t="n">
        <v>1520</v>
      </c>
      <c r="X26" s="18" t="n">
        <v>1507</v>
      </c>
      <c r="Y26" s="18" t="n">
        <v>0</v>
      </c>
      <c r="Z26" s="34" t="n">
        <v>0</v>
      </c>
      <c r="AA26" s="18" t="n">
        <v>1481</v>
      </c>
      <c r="AB26" s="19" t="n">
        <v>1481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4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4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4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4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4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2381044</v>
      </c>
      <c r="F28" s="34" t="n">
        <v>2381044</v>
      </c>
      <c r="G28" s="18" t="n">
        <v>2367846</v>
      </c>
      <c r="H28" s="18" t="n">
        <v>2401483</v>
      </c>
      <c r="I28" s="18" t="n">
        <v>2424406</v>
      </c>
      <c r="J28" s="18" t="n">
        <v>2563983</v>
      </c>
      <c r="K28" s="34" t="n">
        <v>2563983</v>
      </c>
      <c r="L28" s="18" t="n">
        <v>2641295</v>
      </c>
      <c r="M28" s="18" t="n">
        <v>2592173</v>
      </c>
      <c r="N28" s="18" t="n">
        <v>2772155</v>
      </c>
      <c r="O28" s="18" t="n">
        <v>2885617</v>
      </c>
      <c r="P28" s="34" t="n">
        <v>2885617</v>
      </c>
      <c r="Q28" s="18" t="n">
        <v>2848090</v>
      </c>
      <c r="R28" s="18" t="n">
        <v>2760452</v>
      </c>
      <c r="S28" s="18" t="n">
        <v>2182786</v>
      </c>
      <c r="T28" s="18" t="n">
        <v>2202247</v>
      </c>
      <c r="U28" s="34" t="n">
        <v>2202247</v>
      </c>
      <c r="V28" s="18" t="n">
        <v>2217320</v>
      </c>
      <c r="W28" s="18" t="n">
        <v>2283225</v>
      </c>
      <c r="X28" s="18" t="n">
        <v>2286210</v>
      </c>
      <c r="Y28" s="18" t="n">
        <v>2451376</v>
      </c>
      <c r="Z28" s="34" t="n">
        <v>2451376</v>
      </c>
      <c r="AA28" s="18" t="n">
        <v>2449885</v>
      </c>
      <c r="AB28" s="19" t="n">
        <v>2642915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947510</v>
      </c>
      <c r="F29" s="34" t="n">
        <v>947510</v>
      </c>
      <c r="G29" s="18" t="n">
        <v>932325</v>
      </c>
      <c r="H29" s="18" t="n">
        <v>890113</v>
      </c>
      <c r="I29" s="18" t="n">
        <v>1032367</v>
      </c>
      <c r="J29" s="18" t="n">
        <v>1415824</v>
      </c>
      <c r="K29" s="34" t="n">
        <v>1415824</v>
      </c>
      <c r="L29" s="18" t="n">
        <v>1554976</v>
      </c>
      <c r="M29" s="18" t="n">
        <v>2113375</v>
      </c>
      <c r="N29" s="18" t="n">
        <v>2130565</v>
      </c>
      <c r="O29" s="18" t="n">
        <v>2122908</v>
      </c>
      <c r="P29" s="34" t="n">
        <v>2122908</v>
      </c>
      <c r="Q29" s="18" t="n">
        <v>2063119</v>
      </c>
      <c r="R29" s="18" t="n">
        <v>2015511</v>
      </c>
      <c r="S29" s="18" t="n">
        <v>1482820</v>
      </c>
      <c r="T29" s="18" t="n">
        <v>1554390</v>
      </c>
      <c r="U29" s="34" t="n">
        <v>1554390</v>
      </c>
      <c r="V29" s="18" t="n">
        <v>1559816</v>
      </c>
      <c r="W29" s="18" t="n">
        <v>1576602</v>
      </c>
      <c r="X29" s="18" t="n">
        <v>1584741</v>
      </c>
      <c r="Y29" s="18" t="n">
        <v>1491064</v>
      </c>
      <c r="Z29" s="34" t="n">
        <v>1491064</v>
      </c>
      <c r="AA29" s="18" t="n">
        <v>1457993</v>
      </c>
      <c r="AB29" s="19" t="n">
        <v>1390955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312298</v>
      </c>
      <c r="F30" s="34" t="n">
        <v>312298</v>
      </c>
      <c r="G30" s="18" t="n">
        <v>254708</v>
      </c>
      <c r="H30" s="18" t="n">
        <v>258352</v>
      </c>
      <c r="I30" s="18" t="n">
        <v>260178</v>
      </c>
      <c r="J30" s="18" t="n">
        <v>328103</v>
      </c>
      <c r="K30" s="34" t="n">
        <v>328103</v>
      </c>
      <c r="L30" s="18" t="n">
        <v>352352</v>
      </c>
      <c r="M30" s="18" t="n">
        <v>377630</v>
      </c>
      <c r="N30" s="18" t="n">
        <v>393842</v>
      </c>
      <c r="O30" s="18" t="n">
        <v>473208</v>
      </c>
      <c r="P30" s="34" t="n">
        <v>473208</v>
      </c>
      <c r="Q30" s="18" t="n">
        <v>434694</v>
      </c>
      <c r="R30" s="18" t="n">
        <v>510082</v>
      </c>
      <c r="S30" s="18" t="n">
        <v>379361</v>
      </c>
      <c r="T30" s="18" t="n">
        <v>385888</v>
      </c>
      <c r="U30" s="34" t="n">
        <v>385888</v>
      </c>
      <c r="V30" s="18" t="n">
        <v>393232</v>
      </c>
      <c r="W30" s="18" t="n">
        <v>408696</v>
      </c>
      <c r="X30" s="18" t="n">
        <v>438994</v>
      </c>
      <c r="Y30" s="18" t="n">
        <v>398325</v>
      </c>
      <c r="Z30" s="34" t="n">
        <v>398325</v>
      </c>
      <c r="AA30" s="18" t="n">
        <v>396656</v>
      </c>
      <c r="AB30" s="19" t="n">
        <v>401109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4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4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4" t="n">
        <v>656520</v>
      </c>
      <c r="Q31" s="18" t="n">
        <v>662635</v>
      </c>
      <c r="R31" s="18" t="n">
        <v>623770</v>
      </c>
      <c r="S31" s="18" t="n">
        <v>452151</v>
      </c>
      <c r="T31" s="18" t="n">
        <v>47678</v>
      </c>
      <c r="U31" s="34" t="n">
        <v>47678</v>
      </c>
      <c r="V31" s="18" t="n">
        <v>45676</v>
      </c>
      <c r="W31" s="18" t="n">
        <v>45676</v>
      </c>
      <c r="X31" s="18" t="n">
        <v>42646</v>
      </c>
      <c r="Y31" s="18" t="n">
        <v>67646</v>
      </c>
      <c r="Z31" s="34" t="n">
        <v>67646</v>
      </c>
      <c r="AA31" s="18" t="n">
        <v>67646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4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4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4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4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4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4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4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4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4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4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4" t="n">
        <v>28688</v>
      </c>
      <c r="G34" s="18" t="n">
        <v>28765</v>
      </c>
      <c r="H34" s="18" t="n">
        <v>29400</v>
      </c>
      <c r="I34" s="18" t="n">
        <v>194259</v>
      </c>
      <c r="J34" s="18" t="n">
        <v>193791</v>
      </c>
      <c r="K34" s="34" t="n">
        <v>193791</v>
      </c>
      <c r="L34" s="18" t="n">
        <v>193875</v>
      </c>
      <c r="M34" s="18" t="n">
        <v>194121</v>
      </c>
      <c r="N34" s="18" t="n">
        <v>33487</v>
      </c>
      <c r="O34" s="18" t="n">
        <v>35299</v>
      </c>
      <c r="P34" s="34" t="n">
        <v>35299</v>
      </c>
      <c r="Q34" s="18" t="n">
        <v>36363</v>
      </c>
      <c r="R34" s="18" t="n">
        <v>31864</v>
      </c>
      <c r="S34" s="18" t="n">
        <v>29133</v>
      </c>
      <c r="T34" s="18" t="n">
        <v>28368</v>
      </c>
      <c r="U34" s="34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4" t="n">
        <v>29616</v>
      </c>
      <c r="AA34" s="18" t="n">
        <v>31985</v>
      </c>
      <c r="AB34" s="19" t="n">
        <v>35735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4" t="n">
        <v>28688</v>
      </c>
      <c r="G35" s="18" t="n">
        <v>28765</v>
      </c>
      <c r="H35" s="18" t="n">
        <v>29400</v>
      </c>
      <c r="I35" s="18" t="n">
        <v>194259</v>
      </c>
      <c r="J35" s="18" t="n">
        <v>193791</v>
      </c>
      <c r="K35" s="34" t="n">
        <v>193791</v>
      </c>
      <c r="L35" s="18" t="n">
        <v>193875</v>
      </c>
      <c r="M35" s="18" t="n">
        <v>194121</v>
      </c>
      <c r="N35" s="18" t="n">
        <v>33487</v>
      </c>
      <c r="O35" s="18" t="n">
        <v>35299</v>
      </c>
      <c r="P35" s="34" t="n">
        <v>35299</v>
      </c>
      <c r="Q35" s="18" t="n">
        <v>36363</v>
      </c>
      <c r="R35" s="18" t="n">
        <v>31864</v>
      </c>
      <c r="S35" s="18" t="n">
        <v>29133</v>
      </c>
      <c r="T35" s="18" t="n">
        <v>28368</v>
      </c>
      <c r="U35" s="34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4" t="n">
        <v>29616</v>
      </c>
      <c r="AA35" s="18" t="n">
        <v>31985</v>
      </c>
      <c r="AB35" s="19" t="n">
        <v>35735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4" t="n">
        <v>12999</v>
      </c>
      <c r="G36" s="18" t="n">
        <v>16666</v>
      </c>
      <c r="H36" s="18" t="n">
        <v>16612</v>
      </c>
      <c r="I36" s="18" t="n">
        <v>33698</v>
      </c>
      <c r="J36" s="18" t="n">
        <v>218805</v>
      </c>
      <c r="K36" s="34" t="n">
        <v>218805</v>
      </c>
      <c r="L36" s="18" t="n">
        <v>217229</v>
      </c>
      <c r="M36" s="18" t="n">
        <v>210399</v>
      </c>
      <c r="N36" s="18" t="n">
        <v>210080</v>
      </c>
      <c r="O36" s="18" t="n">
        <v>208275</v>
      </c>
      <c r="P36" s="34" t="n">
        <v>208275</v>
      </c>
      <c r="Q36" s="18" t="n">
        <v>207480</v>
      </c>
      <c r="R36" s="18" t="n">
        <v>206020</v>
      </c>
      <c r="S36" s="18" t="n">
        <v>108962</v>
      </c>
      <c r="T36" s="18" t="n">
        <v>108838</v>
      </c>
      <c r="U36" s="34" t="n">
        <v>108838</v>
      </c>
      <c r="V36" s="18" t="n">
        <v>109147</v>
      </c>
      <c r="W36" s="18" t="n">
        <v>110151</v>
      </c>
      <c r="X36" s="18" t="n">
        <v>110511</v>
      </c>
      <c r="Y36" s="18" t="n">
        <v>111816</v>
      </c>
      <c r="Z36" s="34" t="n">
        <v>111816</v>
      </c>
      <c r="AA36" s="18" t="n">
        <v>109402</v>
      </c>
      <c r="AB36" s="19" t="n">
        <v>108597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1001336</v>
      </c>
      <c r="F37" s="34" t="n">
        <v>1001336</v>
      </c>
      <c r="G37" s="18" t="n">
        <v>1013278</v>
      </c>
      <c r="H37" s="18" t="n">
        <v>1103697</v>
      </c>
      <c r="I37" s="18" t="n">
        <v>1004639</v>
      </c>
      <c r="J37" s="18" t="n">
        <v>763003</v>
      </c>
      <c r="K37" s="34" t="n">
        <v>763003</v>
      </c>
      <c r="L37" s="18" t="n">
        <v>725807</v>
      </c>
      <c r="M37" s="18" t="n">
        <v>198581</v>
      </c>
      <c r="N37" s="18" t="n">
        <v>365201</v>
      </c>
      <c r="O37" s="18" t="n">
        <v>421300</v>
      </c>
      <c r="P37" s="34" t="n">
        <v>421300</v>
      </c>
      <c r="Q37" s="18" t="n">
        <v>429610</v>
      </c>
      <c r="R37" s="18" t="n">
        <v>431171</v>
      </c>
      <c r="S37" s="18" t="n">
        <v>333786</v>
      </c>
      <c r="T37" s="18" t="n">
        <v>303895</v>
      </c>
      <c r="U37" s="34" t="n">
        <v>303895</v>
      </c>
      <c r="V37" s="18" t="n">
        <v>308225</v>
      </c>
      <c r="W37" s="18" t="n">
        <v>362462</v>
      </c>
      <c r="X37" s="18" t="n">
        <v>353677</v>
      </c>
      <c r="Y37" s="18" t="n">
        <v>290276</v>
      </c>
      <c r="Z37" s="34" t="n">
        <v>290276</v>
      </c>
      <c r="AA37" s="18" t="n">
        <v>297522</v>
      </c>
      <c r="AB37" s="19" t="n">
        <v>498649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4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4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4" t="n">
        <v>0</v>
      </c>
      <c r="T38" s="18" t="n">
        <v>0</v>
      </c>
      <c r="U38" s="34" t="n">
        <v>0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4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4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4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4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4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4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4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4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4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4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4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4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4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4" t="n">
        <v>0</v>
      </c>
      <c r="Y41" s="18" t="n">
        <v>0</v>
      </c>
      <c r="Z41" s="34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4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4" t="n">
        <v>80368</v>
      </c>
      <c r="L42" s="18" t="n">
        <v>80367</v>
      </c>
      <c r="M42" s="18" t="n">
        <v>80367</v>
      </c>
      <c r="N42" s="18" t="n">
        <v>80368</v>
      </c>
      <c r="O42" s="18" t="n">
        <v>104537</v>
      </c>
      <c r="P42" s="34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4" t="n">
        <v>104525</v>
      </c>
      <c r="V42" s="18" t="n">
        <v>104448</v>
      </c>
      <c r="W42" s="18" t="n">
        <v>104431</v>
      </c>
      <c r="X42" s="18" t="n">
        <v>104524</v>
      </c>
      <c r="Y42" s="18" t="n">
        <v>100060</v>
      </c>
      <c r="Z42" s="34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181674</v>
      </c>
      <c r="F43" s="34" t="n">
        <v>181674</v>
      </c>
      <c r="G43" s="18" t="n">
        <v>181084</v>
      </c>
      <c r="H43" s="18" t="n">
        <v>180950</v>
      </c>
      <c r="I43" s="18" t="n">
        <v>16085</v>
      </c>
      <c r="J43" s="18" t="n">
        <v>15638</v>
      </c>
      <c r="K43" s="34" t="n">
        <v>15638</v>
      </c>
      <c r="L43" s="18" t="n">
        <v>15697</v>
      </c>
      <c r="M43" s="18" t="n">
        <v>15344</v>
      </c>
      <c r="N43" s="18" t="n">
        <v>76614</v>
      </c>
      <c r="O43" s="18" t="n">
        <v>75348</v>
      </c>
      <c r="P43" s="34" t="n">
        <v>75348</v>
      </c>
      <c r="Q43" s="18" t="n">
        <v>73455</v>
      </c>
      <c r="R43" s="18" t="n">
        <v>71541</v>
      </c>
      <c r="S43" s="18" t="n">
        <v>66794</v>
      </c>
      <c r="T43" s="18" t="n">
        <v>64883</v>
      </c>
      <c r="U43" s="34" t="n">
        <v>64883</v>
      </c>
      <c r="V43" s="18" t="n">
        <v>59330</v>
      </c>
      <c r="W43" s="18" t="n">
        <v>65021</v>
      </c>
      <c r="X43" s="18" t="n">
        <v>61627</v>
      </c>
      <c r="Y43" s="18" t="n">
        <v>59514</v>
      </c>
      <c r="Z43" s="34" t="n">
        <v>59514</v>
      </c>
      <c r="AA43" s="18" t="n">
        <v>55938</v>
      </c>
      <c r="AB43" s="19" t="n">
        <v>53045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181674</v>
      </c>
      <c r="F44" s="34" t="n">
        <v>181674</v>
      </c>
      <c r="G44" s="18" t="n">
        <v>181084</v>
      </c>
      <c r="H44" s="18" t="n">
        <v>180950</v>
      </c>
      <c r="I44" s="18" t="n">
        <v>16085</v>
      </c>
      <c r="J44" s="18" t="n">
        <v>15638</v>
      </c>
      <c r="K44" s="34" t="n">
        <v>15638</v>
      </c>
      <c r="L44" s="18" t="n">
        <v>15697</v>
      </c>
      <c r="M44" s="18" t="n">
        <v>15344</v>
      </c>
      <c r="N44" s="18" t="n">
        <v>76614</v>
      </c>
      <c r="O44" s="18" t="n">
        <v>75348</v>
      </c>
      <c r="P44" s="34" t="n">
        <v>75348</v>
      </c>
      <c r="Q44" s="18" t="n">
        <v>73455</v>
      </c>
      <c r="R44" s="18" t="n">
        <v>71541</v>
      </c>
      <c r="S44" s="18" t="n">
        <v>66794</v>
      </c>
      <c r="T44" s="18" t="n">
        <v>64883</v>
      </c>
      <c r="U44" s="34" t="n">
        <v>64883</v>
      </c>
      <c r="V44" s="18" t="n">
        <v>59330</v>
      </c>
      <c r="W44" s="18" t="n">
        <v>65021</v>
      </c>
      <c r="X44" s="18" t="n">
        <v>61627</v>
      </c>
      <c r="Y44" s="18" t="n">
        <v>59514</v>
      </c>
      <c r="Z44" s="34" t="n">
        <v>59514</v>
      </c>
      <c r="AA44" s="18" t="n">
        <v>55938</v>
      </c>
      <c r="AB44" s="19" t="n">
        <v>53045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4" t="n">
        <v>127545</v>
      </c>
      <c r="G45" s="18" t="n">
        <v>127669</v>
      </c>
      <c r="H45" s="18" t="n">
        <v>208293</v>
      </c>
      <c r="I45" s="18" t="n">
        <v>207495</v>
      </c>
      <c r="J45" s="18" t="n">
        <v>5383</v>
      </c>
      <c r="K45" s="34" t="n">
        <v>5383</v>
      </c>
      <c r="L45" s="18" t="n">
        <v>5548</v>
      </c>
      <c r="M45" s="18" t="n">
        <v>5715</v>
      </c>
      <c r="N45" s="18" t="n">
        <v>109972</v>
      </c>
      <c r="O45" s="18" t="n">
        <v>111184</v>
      </c>
      <c r="P45" s="34" t="n">
        <v>111184</v>
      </c>
      <c r="Q45" s="18" t="n">
        <v>111374</v>
      </c>
      <c r="R45" s="18" t="n">
        <v>111565</v>
      </c>
      <c r="S45" s="18" t="n">
        <v>6140</v>
      </c>
      <c r="T45" s="18" t="n">
        <v>8806</v>
      </c>
      <c r="U45" s="34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4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1948846</v>
      </c>
      <c r="F46" s="34" t="n">
        <v>1948846</v>
      </c>
      <c r="G46" s="18" t="n">
        <v>1945603</v>
      </c>
      <c r="H46" s="18" t="n">
        <v>1993810</v>
      </c>
      <c r="I46" s="18" t="n">
        <v>2037006</v>
      </c>
      <c r="J46" s="18" t="n">
        <v>2178827</v>
      </c>
      <c r="K46" s="34" t="n">
        <v>2178827</v>
      </c>
      <c r="L46" s="18" t="n">
        <v>2280783</v>
      </c>
      <c r="M46" s="18" t="n">
        <v>2311956</v>
      </c>
      <c r="N46" s="18" t="n">
        <v>2495766</v>
      </c>
      <c r="O46" s="18" t="n">
        <v>2544208</v>
      </c>
      <c r="P46" s="34" t="n">
        <v>2544208</v>
      </c>
      <c r="Q46" s="18" t="n">
        <v>2492729</v>
      </c>
      <c r="R46" s="18" t="n">
        <v>2446682</v>
      </c>
      <c r="S46" s="18" t="n">
        <v>1816606</v>
      </c>
      <c r="T46" s="18" t="n">
        <v>1858285</v>
      </c>
      <c r="U46" s="34" t="n">
        <v>1858285</v>
      </c>
      <c r="V46" s="18" t="n">
        <v>1868041</v>
      </c>
      <c r="W46" s="18" t="n">
        <v>1939064</v>
      </c>
      <c r="X46" s="18" t="n">
        <v>1938418</v>
      </c>
      <c r="Y46" s="18" t="n">
        <v>1781340</v>
      </c>
      <c r="Z46" s="34" t="n">
        <v>1781340</v>
      </c>
      <c r="AA46" s="18" t="n">
        <v>1755515</v>
      </c>
      <c r="AB46" s="19" t="n">
        <v>1889604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416371</v>
      </c>
      <c r="F47" s="34" t="n">
        <v>416371</v>
      </c>
      <c r="G47" s="18" t="n">
        <v>416371</v>
      </c>
      <c r="H47" s="18" t="n">
        <v>416371</v>
      </c>
      <c r="I47" s="18" t="n">
        <v>416371</v>
      </c>
      <c r="J47" s="18" t="n">
        <v>416371</v>
      </c>
      <c r="K47" s="34" t="n">
        <v>416371</v>
      </c>
      <c r="L47" s="18" t="n">
        <v>416371</v>
      </c>
      <c r="M47" s="18" t="n">
        <v>416371</v>
      </c>
      <c r="N47" s="18" t="n">
        <v>416371</v>
      </c>
      <c r="O47" s="18" t="n">
        <v>416371</v>
      </c>
      <c r="P47" s="34" t="n">
        <v>416371</v>
      </c>
      <c r="Q47" s="18" t="n">
        <v>416371</v>
      </c>
      <c r="R47" s="18" t="n">
        <v>416371</v>
      </c>
      <c r="S47" s="18" t="n">
        <v>416371</v>
      </c>
      <c r="T47" s="18" t="n">
        <v>416371</v>
      </c>
      <c r="U47" s="34" t="n">
        <v>416371</v>
      </c>
      <c r="V47" s="18" t="n">
        <v>416371</v>
      </c>
      <c r="W47" s="18" t="n">
        <v>416371</v>
      </c>
      <c r="X47" s="18" t="n">
        <v>416371</v>
      </c>
      <c r="Y47" s="18" t="n">
        <v>451477</v>
      </c>
      <c r="Z47" s="34" t="n">
        <v>451477</v>
      </c>
      <c r="AA47" s="18" t="n">
        <v>451477</v>
      </c>
      <c r="AB47" s="19" t="n">
        <v>451477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1050101</v>
      </c>
      <c r="F48" s="34" t="n">
        <v>1050101</v>
      </c>
      <c r="G48" s="18" t="n">
        <v>1050101</v>
      </c>
      <c r="H48" s="18" t="n">
        <v>1050101</v>
      </c>
      <c r="I48" s="18" t="n">
        <v>1050101</v>
      </c>
      <c r="J48" s="18" t="n">
        <v>1050101</v>
      </c>
      <c r="K48" s="34" t="n">
        <v>1050101</v>
      </c>
      <c r="L48" s="18" t="n">
        <v>1050101</v>
      </c>
      <c r="M48" s="18" t="n">
        <v>1050101</v>
      </c>
      <c r="N48" s="18" t="n">
        <v>1050101</v>
      </c>
      <c r="O48" s="18" t="n">
        <v>1050101</v>
      </c>
      <c r="P48" s="34" t="n">
        <v>1050101</v>
      </c>
      <c r="Q48" s="18" t="n">
        <v>1050101</v>
      </c>
      <c r="R48" s="18" t="n">
        <v>1050101</v>
      </c>
      <c r="S48" s="18" t="n">
        <v>1050101</v>
      </c>
      <c r="T48" s="18" t="n">
        <v>1050101</v>
      </c>
      <c r="U48" s="34" t="n">
        <v>1050101</v>
      </c>
      <c r="V48" s="18" t="n">
        <v>1050101</v>
      </c>
      <c r="W48" s="18" t="n">
        <v>1050101</v>
      </c>
      <c r="X48" s="18" t="n">
        <v>1050101</v>
      </c>
      <c r="Y48" s="18" t="n">
        <v>1224791</v>
      </c>
      <c r="Z48" s="34" t="n">
        <v>1224791</v>
      </c>
      <c r="AA48" s="18" t="n">
        <v>1224791</v>
      </c>
      <c r="AB48" s="19" t="n">
        <v>1224791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-1356822</v>
      </c>
      <c r="F49" s="34" t="n">
        <v>-1356822</v>
      </c>
      <c r="G49" s="18" t="n">
        <v>-1366070</v>
      </c>
      <c r="H49" s="18" t="n">
        <v>-1380513</v>
      </c>
      <c r="I49" s="18" t="n">
        <v>-1401169</v>
      </c>
      <c r="J49" s="18" t="n">
        <v>-1406414</v>
      </c>
      <c r="K49" s="34" t="n">
        <v>-1406414</v>
      </c>
      <c r="L49" s="18" t="n">
        <v>-1430879</v>
      </c>
      <c r="M49" s="18" t="n">
        <v>-1511099</v>
      </c>
      <c r="N49" s="18" t="n">
        <v>-1514953</v>
      </c>
      <c r="O49" s="18" t="n">
        <v>-1530237</v>
      </c>
      <c r="P49" s="34" t="n">
        <v>-1530237</v>
      </c>
      <c r="Q49" s="18" t="n">
        <v>-1516300</v>
      </c>
      <c r="R49" s="18" t="n">
        <v>-1557889</v>
      </c>
      <c r="S49" s="18" t="n">
        <v>-1506315</v>
      </c>
      <c r="T49" s="18" t="n">
        <v>-1460536</v>
      </c>
      <c r="U49" s="34" t="n">
        <v>-1460536</v>
      </c>
      <c r="V49" s="18" t="n">
        <v>-1455255</v>
      </c>
      <c r="W49" s="18" t="n">
        <v>-1461954</v>
      </c>
      <c r="X49" s="18" t="n">
        <v>-1458216</v>
      </c>
      <c r="Y49" s="18" t="n">
        <v>-1405892</v>
      </c>
      <c r="Z49" s="34" t="n">
        <v>-1405892</v>
      </c>
      <c r="AA49" s="18" t="n">
        <v>-1380792</v>
      </c>
      <c r="AB49" s="19" t="n">
        <v>-1318421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기타자본</t>
        </is>
      </c>
      <c r="E50" s="18" t="n">
        <v>9938</v>
      </c>
      <c r="F50" s="34" t="n">
        <v>9938</v>
      </c>
      <c r="G50" s="18" t="n">
        <v>9938</v>
      </c>
      <c r="H50" s="18" t="n">
        <v>8515</v>
      </c>
      <c r="I50" s="18" t="n">
        <v>8515</v>
      </c>
      <c r="J50" s="18" t="n">
        <v>9938</v>
      </c>
      <c r="K50" s="34" t="n">
        <v>9938</v>
      </c>
      <c r="L50" s="18" t="n">
        <v>8515</v>
      </c>
      <c r="M50" s="18" t="n">
        <v>8515</v>
      </c>
      <c r="N50" s="18" t="n">
        <v>8515</v>
      </c>
      <c r="O50" s="18" t="n">
        <v>413689</v>
      </c>
      <c r="P50" s="34" t="n">
        <v>413689</v>
      </c>
      <c r="Q50" s="18" t="n">
        <v>413704</v>
      </c>
      <c r="R50" s="18" t="n">
        <v>413702</v>
      </c>
      <c r="S50" s="18" t="n">
        <v>414538</v>
      </c>
      <c r="T50" s="18" t="n">
        <v>346541</v>
      </c>
      <c r="U50" s="34" t="n">
        <v>346541</v>
      </c>
      <c r="V50" s="18" t="n">
        <v>346577</v>
      </c>
      <c r="W50" s="18" t="n">
        <v>348158</v>
      </c>
      <c r="X50" s="18" t="n">
        <v>348051</v>
      </c>
      <c r="Y50" s="18" t="n">
        <v>408175</v>
      </c>
      <c r="Z50" s="34" t="n">
        <v>408175</v>
      </c>
      <c r="AA50" s="18" t="n">
        <v>407409</v>
      </c>
      <c r="AB50" s="19" t="n">
        <v>403979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432198</v>
      </c>
      <c r="F51" s="34" t="n">
        <v>432198</v>
      </c>
      <c r="G51" s="18" t="n">
        <v>422243</v>
      </c>
      <c r="H51" s="18" t="n">
        <v>407673</v>
      </c>
      <c r="I51" s="18" t="n">
        <v>387400</v>
      </c>
      <c r="J51" s="18" t="n">
        <v>385156</v>
      </c>
      <c r="K51" s="34" t="n">
        <v>385156</v>
      </c>
      <c r="L51" s="18" t="n">
        <v>360512</v>
      </c>
      <c r="M51" s="18" t="n">
        <v>280217</v>
      </c>
      <c r="N51" s="18" t="n">
        <v>276389</v>
      </c>
      <c r="O51" s="18" t="n">
        <v>341409</v>
      </c>
      <c r="P51" s="34" t="n">
        <v>341409</v>
      </c>
      <c r="Q51" s="18" t="n">
        <v>355361</v>
      </c>
      <c r="R51" s="18" t="n">
        <v>313770</v>
      </c>
      <c r="S51" s="18" t="n">
        <v>366180</v>
      </c>
      <c r="T51" s="18" t="n">
        <v>343962</v>
      </c>
      <c r="U51" s="34" t="n">
        <v>343962</v>
      </c>
      <c r="V51" s="18" t="n">
        <v>349279</v>
      </c>
      <c r="W51" s="18" t="n">
        <v>344161</v>
      </c>
      <c r="X51" s="18" t="n">
        <v>347792</v>
      </c>
      <c r="Y51" s="18" t="n">
        <v>670036</v>
      </c>
      <c r="Z51" s="34" t="n">
        <v>670036</v>
      </c>
      <c r="AA51" s="18" t="n">
        <v>694370</v>
      </c>
      <c r="AB51" s="19" t="n">
        <v>753311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2381044</v>
      </c>
      <c r="F52" s="34" t="n">
        <v>2381044</v>
      </c>
      <c r="G52" s="18" t="n">
        <v>2367846</v>
      </c>
      <c r="H52" s="18" t="n">
        <v>2401483</v>
      </c>
      <c r="I52" s="18" t="n">
        <v>2424406</v>
      </c>
      <c r="J52" s="18" t="n">
        <v>2563983</v>
      </c>
      <c r="K52" s="34" t="n">
        <v>2563983</v>
      </c>
      <c r="L52" s="18" t="n">
        <v>2641295</v>
      </c>
      <c r="M52" s="18" t="n">
        <v>2592173</v>
      </c>
      <c r="N52" s="18" t="n">
        <v>2772155</v>
      </c>
      <c r="O52" s="18" t="n">
        <v>2885617</v>
      </c>
      <c r="P52" s="34" t="n">
        <v>2885617</v>
      </c>
      <c r="Q52" s="18" t="n">
        <v>2848090</v>
      </c>
      <c r="R52" s="18" t="n">
        <v>2760452</v>
      </c>
      <c r="S52" s="18" t="n">
        <v>2182786</v>
      </c>
      <c r="T52" s="18" t="n">
        <v>2202247</v>
      </c>
      <c r="U52" s="34" t="n">
        <v>2202247</v>
      </c>
      <c r="V52" s="18" t="n">
        <v>2217320</v>
      </c>
      <c r="W52" s="18" t="n">
        <v>2283225</v>
      </c>
      <c r="X52" s="18" t="n">
        <v>2286210</v>
      </c>
      <c r="Y52" s="18" t="n">
        <v>2451376</v>
      </c>
      <c r="Z52" s="34" t="n">
        <v>2451376</v>
      </c>
      <c r="AA52" s="18" t="n">
        <v>2449885</v>
      </c>
      <c r="AB52" s="19" t="n">
        <v>2642915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432198</v>
      </c>
      <c r="F53" s="34" t="n">
        <v>432198</v>
      </c>
      <c r="G53" s="18" t="n">
        <v>422243</v>
      </c>
      <c r="H53" s="18" t="n">
        <v>407673</v>
      </c>
      <c r="I53" s="18" t="n">
        <v>387400</v>
      </c>
      <c r="J53" s="18" t="n">
        <v>385156</v>
      </c>
      <c r="K53" s="34" t="n">
        <v>385156</v>
      </c>
      <c r="L53" s="18" t="n">
        <v>360512</v>
      </c>
      <c r="M53" s="18" t="n">
        <v>280217</v>
      </c>
      <c r="N53" s="18" t="n">
        <v>276389</v>
      </c>
      <c r="O53" s="18" t="n">
        <v>341409</v>
      </c>
      <c r="P53" s="34" t="n">
        <v>341409</v>
      </c>
      <c r="Q53" s="18" t="n">
        <v>355361</v>
      </c>
      <c r="R53" s="18" t="n">
        <v>313770</v>
      </c>
      <c r="S53" s="18" t="n">
        <v>366180</v>
      </c>
      <c r="T53" s="18" t="n">
        <v>343962</v>
      </c>
      <c r="U53" s="34" t="n">
        <v>343962</v>
      </c>
      <c r="V53" s="18" t="n">
        <v>349279</v>
      </c>
      <c r="W53" s="18" t="n">
        <v>344161</v>
      </c>
      <c r="X53" s="18" t="n">
        <v>347792</v>
      </c>
      <c r="Y53" s="18" t="n">
        <v>670036</v>
      </c>
      <c r="Z53" s="34" t="n">
        <v>670036</v>
      </c>
      <c r="AA53" s="18" t="n">
        <v>694370</v>
      </c>
      <c r="AB53" s="19" t="n">
        <v>753311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680304</v>
      </c>
      <c r="F54" s="34" t="n">
        <v>680304</v>
      </c>
      <c r="G54" s="18" t="n">
        <v>684194</v>
      </c>
      <c r="H54" s="18" t="n">
        <v>611927</v>
      </c>
      <c r="I54" s="18" t="n">
        <v>675817</v>
      </c>
      <c r="J54" s="18" t="n">
        <v>651213</v>
      </c>
      <c r="K54" s="34" t="n">
        <v>651213</v>
      </c>
      <c r="L54" s="18" t="n">
        <v>655888</v>
      </c>
      <c r="M54" s="18" t="n">
        <v>658714</v>
      </c>
      <c r="N54" s="18" t="n">
        <v>663098</v>
      </c>
      <c r="O54" s="18" t="n">
        <v>682305</v>
      </c>
      <c r="P54" s="34" t="n">
        <v>682305</v>
      </c>
      <c r="Q54" s="18" t="n">
        <v>688420</v>
      </c>
      <c r="R54" s="18" t="n">
        <v>649555</v>
      </c>
      <c r="S54" s="18" t="n">
        <v>477151</v>
      </c>
      <c r="T54" s="18" t="n">
        <v>454425</v>
      </c>
      <c r="U54" s="34" t="n">
        <v>454425</v>
      </c>
      <c r="V54" s="18" t="n">
        <v>444849</v>
      </c>
      <c r="W54" s="18" t="n">
        <v>396281</v>
      </c>
      <c r="X54" s="18" t="n">
        <v>387349</v>
      </c>
      <c r="Y54" s="18" t="n">
        <v>381964</v>
      </c>
      <c r="Z54" s="34" t="n">
        <v>381964</v>
      </c>
      <c r="AA54" s="18" t="n">
        <v>379076</v>
      </c>
      <c r="AB54" s="19" t="n">
        <v>475076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516950</v>
      </c>
      <c r="F55" s="34" t="n">
        <v>516950</v>
      </c>
      <c r="G55" s="18" t="n">
        <v>527475</v>
      </c>
      <c r="H55" s="18" t="n">
        <v>448526</v>
      </c>
      <c r="I55" s="18" t="n">
        <v>570241</v>
      </c>
      <c r="J55" s="18" t="n">
        <v>495700</v>
      </c>
      <c r="K55" s="34" t="n">
        <v>495700</v>
      </c>
      <c r="L55" s="18" t="n">
        <v>487389</v>
      </c>
      <c r="M55" s="18" t="n">
        <v>545686</v>
      </c>
      <c r="N55" s="18" t="n">
        <v>300458</v>
      </c>
      <c r="O55" s="18" t="n">
        <v>322328</v>
      </c>
      <c r="P55" s="34" t="n">
        <v>322328</v>
      </c>
      <c r="Q55" s="18" t="n">
        <v>391563</v>
      </c>
      <c r="R55" s="18" t="n">
        <v>383137</v>
      </c>
      <c r="S55" s="18" t="n">
        <v>251500</v>
      </c>
      <c r="T55" s="18" t="n">
        <v>223154</v>
      </c>
      <c r="U55" s="34" t="n">
        <v>223154</v>
      </c>
      <c r="V55" s="18" t="n">
        <v>331642</v>
      </c>
      <c r="W55" s="18" t="n">
        <v>183447</v>
      </c>
      <c r="X55" s="18" t="n">
        <v>153006</v>
      </c>
      <c r="Y55" s="18" t="n">
        <v>23810</v>
      </c>
      <c r="Z55" s="34" t="n">
        <v>23810</v>
      </c>
      <c r="AA55" s="18" t="n">
        <v>193302</v>
      </c>
      <c r="AB55" s="19" t="n">
        <v>199869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171772</v>
      </c>
      <c r="F56" s="34" t="n">
        <v>171772</v>
      </c>
      <c r="G56" s="18" t="n">
        <v>164099</v>
      </c>
      <c r="H56" s="18" t="n">
        <v>166098</v>
      </c>
      <c r="I56" s="18" t="n">
        <v>110234</v>
      </c>
      <c r="J56" s="18" t="n">
        <v>160199</v>
      </c>
      <c r="K56" s="34" t="n">
        <v>160199</v>
      </c>
      <c r="L56" s="18" t="n">
        <v>179425</v>
      </c>
      <c r="M56" s="18" t="n">
        <v>121336</v>
      </c>
      <c r="N56" s="18" t="n">
        <v>370920</v>
      </c>
      <c r="O56" s="18" t="n">
        <v>367828</v>
      </c>
      <c r="P56" s="34" t="n">
        <v>367828</v>
      </c>
      <c r="Q56" s="18" t="n">
        <v>305145</v>
      </c>
      <c r="R56" s="18" t="n">
        <v>269923</v>
      </c>
      <c r="S56" s="18" t="n">
        <v>227071</v>
      </c>
      <c r="T56" s="18" t="n">
        <v>235050</v>
      </c>
      <c r="U56" s="34" t="n">
        <v>235050</v>
      </c>
      <c r="V56" s="18" t="n">
        <v>116688</v>
      </c>
      <c r="W56" s="18" t="n">
        <v>216401</v>
      </c>
      <c r="X56" s="18" t="n">
        <v>239910</v>
      </c>
      <c r="Y56" s="18" t="n">
        <v>363116</v>
      </c>
      <c r="Z56" s="34" t="n">
        <v>363116</v>
      </c>
      <c r="AA56" s="18" t="n">
        <v>190596</v>
      </c>
      <c r="AB56" s="19" t="n">
        <v>281304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단기차입금</t>
        </is>
      </c>
      <c r="F57" s="9" t="n"/>
      <c r="K57" s="9" t="n"/>
      <c r="P57" s="9" t="n"/>
      <c r="T57" s="18" t="n">
        <v>381747</v>
      </c>
      <c r="U57" s="34" t="n">
        <v>381747</v>
      </c>
      <c r="V57" s="18" t="n">
        <v>374173</v>
      </c>
      <c r="W57" s="18" t="n">
        <v>282177</v>
      </c>
      <c r="X57" s="18" t="n">
        <v>276093</v>
      </c>
      <c r="Y57" s="18" t="n">
        <v>270520</v>
      </c>
      <c r="Z57" s="34" t="n">
        <v>270520</v>
      </c>
      <c r="AA57" s="18" t="n">
        <v>267443</v>
      </c>
      <c r="AB57" s="19" t="n">
        <v>190033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513126</v>
      </c>
      <c r="F58" s="9" t="n"/>
      <c r="G58" s="18" t="n">
        <v>347795</v>
      </c>
      <c r="H58" s="18" t="n">
        <v>445257</v>
      </c>
      <c r="I58" s="18" t="n">
        <v>397650</v>
      </c>
      <c r="J58" s="18" t="n">
        <v>596664</v>
      </c>
      <c r="K58" s="34" t="n">
        <v>1787366</v>
      </c>
      <c r="L58" s="18" t="n">
        <v>404822</v>
      </c>
      <c r="M58" s="18" t="n">
        <v>501178</v>
      </c>
      <c r="N58" s="18" t="n">
        <v>490317</v>
      </c>
      <c r="O58" s="18" t="n">
        <v>764948</v>
      </c>
      <c r="P58" s="34" t="n">
        <v>2161265</v>
      </c>
      <c r="Q58" s="18" t="n">
        <v>467381</v>
      </c>
      <c r="R58" s="18" t="n">
        <v>484600</v>
      </c>
      <c r="S58" s="18" t="n">
        <v>453568</v>
      </c>
      <c r="T58" s="18" t="n">
        <v>479614</v>
      </c>
      <c r="U58" s="34" t="n">
        <v>1885163</v>
      </c>
      <c r="V58" s="18" t="n">
        <v>409866</v>
      </c>
      <c r="W58" s="18" t="n">
        <v>507577</v>
      </c>
      <c r="X58" s="18" t="n">
        <v>452009</v>
      </c>
      <c r="Y58" s="18" t="n">
        <v>629454</v>
      </c>
      <c r="Z58" s="34" t="n">
        <v>1998906</v>
      </c>
      <c r="AA58" s="18" t="n">
        <v>541201</v>
      </c>
      <c r="AB58" s="19" t="n">
        <v>729708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582624</v>
      </c>
      <c r="F59" s="9" t="n"/>
      <c r="G59" s="18" t="n">
        <v>323986</v>
      </c>
      <c r="H59" s="18" t="n">
        <v>422021</v>
      </c>
      <c r="I59" s="18" t="n">
        <v>370715</v>
      </c>
      <c r="J59" s="18" t="n">
        <v>574347</v>
      </c>
      <c r="K59" s="34" t="n">
        <v>1691069</v>
      </c>
      <c r="L59" s="18" t="n">
        <v>392922</v>
      </c>
      <c r="M59" s="18" t="n">
        <v>550357</v>
      </c>
      <c r="N59" s="18" t="n">
        <v>502687</v>
      </c>
      <c r="O59" s="18" t="n">
        <v>717523</v>
      </c>
      <c r="P59" s="34" t="n">
        <v>2163489</v>
      </c>
      <c r="Q59" s="18" t="n">
        <v>431435</v>
      </c>
      <c r="R59" s="18" t="n">
        <v>500459</v>
      </c>
      <c r="S59" s="18" t="n">
        <v>397328</v>
      </c>
      <c r="T59" s="18" t="n">
        <v>450019</v>
      </c>
      <c r="U59" s="34" t="n">
        <v>1779241</v>
      </c>
      <c r="V59" s="18" t="n">
        <v>379044</v>
      </c>
      <c r="W59" s="18" t="n">
        <v>474587</v>
      </c>
      <c r="X59" s="18" t="n">
        <v>421175</v>
      </c>
      <c r="Y59" s="18" t="n">
        <v>547511</v>
      </c>
      <c r="Z59" s="34" t="n">
        <v>1822317</v>
      </c>
      <c r="AA59" s="18" t="n">
        <v>484908</v>
      </c>
      <c r="AB59" s="19" t="n">
        <v>627249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-69498</v>
      </c>
      <c r="F60" s="9" t="n"/>
      <c r="G60" s="18" t="n">
        <v>23809</v>
      </c>
      <c r="H60" s="18" t="n">
        <v>23236</v>
      </c>
      <c r="I60" s="18" t="n">
        <v>26935</v>
      </c>
      <c r="J60" s="18" t="n">
        <v>22317</v>
      </c>
      <c r="K60" s="34" t="n">
        <v>96297</v>
      </c>
      <c r="L60" s="18" t="n">
        <v>11900</v>
      </c>
      <c r="M60" s="18" t="n">
        <v>-49179</v>
      </c>
      <c r="N60" s="18" t="n">
        <v>-12370</v>
      </c>
      <c r="O60" s="18" t="n">
        <v>47425</v>
      </c>
      <c r="P60" s="34" t="n">
        <v>-2224</v>
      </c>
      <c r="Q60" s="18" t="n">
        <v>35946</v>
      </c>
      <c r="R60" s="18" t="n">
        <v>-15859</v>
      </c>
      <c r="S60" s="18" t="n">
        <v>56240</v>
      </c>
      <c r="T60" s="18" t="n">
        <v>29595</v>
      </c>
      <c r="U60" s="34" t="n">
        <v>105922</v>
      </c>
      <c r="V60" s="18" t="n">
        <v>30822</v>
      </c>
      <c r="W60" s="18" t="n">
        <v>32990</v>
      </c>
      <c r="X60" s="18" t="n">
        <v>30834</v>
      </c>
      <c r="Y60" s="18" t="n">
        <v>81943</v>
      </c>
      <c r="Z60" s="34" t="n">
        <v>176589</v>
      </c>
      <c r="AA60" s="18" t="n">
        <v>56293</v>
      </c>
      <c r="AB60" s="19" t="n">
        <v>102459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23641</v>
      </c>
      <c r="F61" s="9" t="n"/>
      <c r="G61" s="18" t="n">
        <v>21287</v>
      </c>
      <c r="H61" s="18" t="n">
        <v>20991</v>
      </c>
      <c r="I61" s="18" t="n">
        <v>27037</v>
      </c>
      <c r="J61" s="18" t="n">
        <v>20622</v>
      </c>
      <c r="K61" s="34" t="n">
        <v>89937</v>
      </c>
      <c r="L61" s="18" t="n">
        <v>23054</v>
      </c>
      <c r="M61" s="18" t="n">
        <v>26059</v>
      </c>
      <c r="N61" s="18" t="n">
        <v>28472</v>
      </c>
      <c r="O61" s="18" t="n">
        <v>28420</v>
      </c>
      <c r="P61" s="34" t="n">
        <v>106005</v>
      </c>
      <c r="Q61" s="18" t="n">
        <v>23483</v>
      </c>
      <c r="R61" s="18" t="n">
        <v>24055</v>
      </c>
      <c r="S61" s="18" t="n">
        <v>23266</v>
      </c>
      <c r="T61" s="18" t="n">
        <v>27661</v>
      </c>
      <c r="U61" s="34" t="n">
        <v>98465</v>
      </c>
      <c r="V61" s="18" t="n">
        <v>25433</v>
      </c>
      <c r="W61" s="18" t="n">
        <v>27717</v>
      </c>
      <c r="X61" s="18" t="n">
        <v>25109</v>
      </c>
      <c r="Y61" s="18" t="n">
        <v>31526</v>
      </c>
      <c r="Z61" s="34" t="n">
        <v>109785</v>
      </c>
      <c r="AA61" s="18" t="n">
        <v>31777</v>
      </c>
      <c r="AB61" s="19" t="n">
        <v>37671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-93139</v>
      </c>
      <c r="F62" s="9" t="n"/>
      <c r="G62" s="18" t="n">
        <v>2522</v>
      </c>
      <c r="H62" s="18" t="n">
        <v>2245</v>
      </c>
      <c r="I62" s="18" t="n">
        <v>-102</v>
      </c>
      <c r="J62" s="18" t="n">
        <v>1695</v>
      </c>
      <c r="K62" s="34" t="n">
        <v>6360</v>
      </c>
      <c r="L62" s="18" t="n">
        <v>-11154</v>
      </c>
      <c r="M62" s="18" t="n">
        <v>-75238</v>
      </c>
      <c r="N62" s="18" t="n">
        <v>-40842</v>
      </c>
      <c r="O62" s="18" t="n">
        <v>19005</v>
      </c>
      <c r="P62" s="34" t="n">
        <v>-108229</v>
      </c>
      <c r="Q62" s="18" t="n">
        <v>12463</v>
      </c>
      <c r="R62" s="18" t="n">
        <v>-39914</v>
      </c>
      <c r="S62" s="18" t="n">
        <v>32974</v>
      </c>
      <c r="T62" s="18" t="n">
        <v>1934</v>
      </c>
      <c r="U62" s="34" t="n">
        <v>7457</v>
      </c>
      <c r="V62" s="18" t="n">
        <v>5389</v>
      </c>
      <c r="W62" s="18" t="n">
        <v>5273</v>
      </c>
      <c r="X62" s="18" t="n">
        <v>5725</v>
      </c>
      <c r="Y62" s="18" t="n">
        <v>50417</v>
      </c>
      <c r="Z62" s="34" t="n">
        <v>66804</v>
      </c>
      <c r="AA62" s="18" t="n">
        <v>24516</v>
      </c>
      <c r="AB62" s="19" t="n">
        <v>64788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4979</v>
      </c>
      <c r="F63" s="9" t="n"/>
      <c r="G63" s="18" t="n">
        <v>644</v>
      </c>
      <c r="H63" s="18" t="n">
        <v>2553</v>
      </c>
      <c r="I63" s="18" t="n">
        <v>1216</v>
      </c>
      <c r="J63" s="18" t="n">
        <v>7355</v>
      </c>
      <c r="K63" s="34" t="n">
        <v>11768</v>
      </c>
      <c r="L63" s="18" t="n">
        <v>3028</v>
      </c>
      <c r="M63" s="18" t="n">
        <v>6455</v>
      </c>
      <c r="N63" s="18" t="n">
        <v>42103</v>
      </c>
      <c r="O63" s="18" t="n">
        <v>2079</v>
      </c>
      <c r="P63" s="34" t="n">
        <v>53665</v>
      </c>
      <c r="Q63" s="18" t="n">
        <v>799</v>
      </c>
      <c r="R63" s="18" t="n">
        <v>5411</v>
      </c>
      <c r="S63" s="18" t="n">
        <v>32496</v>
      </c>
      <c r="T63" s="18" t="n">
        <v>3414</v>
      </c>
      <c r="U63" s="34" t="n">
        <v>42120</v>
      </c>
      <c r="V63" s="18" t="n">
        <v>4263</v>
      </c>
      <c r="W63" s="18" t="n">
        <v>826</v>
      </c>
      <c r="X63" s="18" t="n">
        <v>4271</v>
      </c>
      <c r="Y63" s="18" t="n">
        <v>4362</v>
      </c>
      <c r="Z63" s="34" t="n">
        <v>13722</v>
      </c>
      <c r="AA63" s="18" t="n">
        <v>2343</v>
      </c>
      <c r="AB63" s="19" t="n">
        <v>6138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5923</v>
      </c>
      <c r="F64" s="9" t="n"/>
      <c r="G64" s="18" t="n">
        <v>2082</v>
      </c>
      <c r="H64" s="18" t="n">
        <v>2630</v>
      </c>
      <c r="I64" s="18" t="n">
        <v>3731</v>
      </c>
      <c r="J64" s="18" t="n">
        <v>8657</v>
      </c>
      <c r="K64" s="34" t="n">
        <v>17100</v>
      </c>
      <c r="L64" s="18" t="n">
        <v>6850</v>
      </c>
      <c r="M64" s="18" t="n">
        <v>1064</v>
      </c>
      <c r="N64" s="18" t="n">
        <v>2440</v>
      </c>
      <c r="O64" s="18" t="n">
        <v>3865</v>
      </c>
      <c r="P64" s="34" t="n">
        <v>14219</v>
      </c>
      <c r="Q64" s="18" t="n">
        <v>509</v>
      </c>
      <c r="R64" s="18" t="n">
        <v>1976</v>
      </c>
      <c r="S64" s="18" t="n">
        <v>1813</v>
      </c>
      <c r="T64" s="18" t="n">
        <v>5950</v>
      </c>
      <c r="U64" s="34" t="n">
        <v>10248</v>
      </c>
      <c r="V64" s="18" t="n">
        <v>1957</v>
      </c>
      <c r="W64" s="18" t="n">
        <v>6338</v>
      </c>
      <c r="X64" s="18" t="n">
        <v>1398</v>
      </c>
      <c r="Y64" s="18" t="n">
        <v>27451</v>
      </c>
      <c r="Z64" s="34" t="n">
        <v>37144</v>
      </c>
      <c r="AA64" s="18" t="n">
        <v>3719</v>
      </c>
      <c r="AB64" s="19" t="n">
        <v>3506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4518</v>
      </c>
      <c r="F65" s="9" t="n"/>
      <c r="G65" s="18" t="n">
        <v>1094</v>
      </c>
      <c r="H65" s="18" t="n">
        <v>2325</v>
      </c>
      <c r="I65" s="18" t="n">
        <v>3312</v>
      </c>
      <c r="J65" s="18" t="n">
        <v>829</v>
      </c>
      <c r="K65" s="34" t="n">
        <v>7560</v>
      </c>
      <c r="L65" s="18" t="n">
        <v>3384</v>
      </c>
      <c r="M65" s="18" t="n">
        <v>4807</v>
      </c>
      <c r="N65" s="18" t="n">
        <v>13152</v>
      </c>
      <c r="O65" s="18" t="n">
        <v>-3520</v>
      </c>
      <c r="P65" s="34" t="n">
        <v>17823</v>
      </c>
      <c r="Q65" s="18" t="n">
        <v>16371</v>
      </c>
      <c r="R65" s="18" t="n">
        <v>7029</v>
      </c>
      <c r="S65" s="18" t="n">
        <v>959</v>
      </c>
      <c r="T65" s="18" t="n">
        <v>7283</v>
      </c>
      <c r="U65" s="34" t="n">
        <v>31642</v>
      </c>
      <c r="V65" s="18" t="n">
        <v>2001</v>
      </c>
      <c r="W65" s="18" t="n">
        <v>9560</v>
      </c>
      <c r="X65" s="18" t="n">
        <v>1324</v>
      </c>
      <c r="Y65" s="18" t="n">
        <v>7170</v>
      </c>
      <c r="Z65" s="34" t="n">
        <v>20055</v>
      </c>
      <c r="AA65" s="18" t="n">
        <v>16623</v>
      </c>
      <c r="AB65" s="19" t="n">
        <v>11954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12059</v>
      </c>
      <c r="F66" s="9" t="n"/>
      <c r="G66" s="18" t="n">
        <v>13357</v>
      </c>
      <c r="H66" s="18" t="n">
        <v>17567</v>
      </c>
      <c r="I66" s="18" t="n">
        <v>21436</v>
      </c>
      <c r="J66" s="18" t="n">
        <v>8292</v>
      </c>
      <c r="K66" s="34" t="n">
        <v>60652</v>
      </c>
      <c r="L66" s="18" t="n">
        <v>13839</v>
      </c>
      <c r="M66" s="18" t="n">
        <v>11688</v>
      </c>
      <c r="N66" s="18" t="n">
        <v>13204</v>
      </c>
      <c r="O66" s="18" t="n">
        <v>10946</v>
      </c>
      <c r="P66" s="34" t="n">
        <v>49677</v>
      </c>
      <c r="Q66" s="18" t="n">
        <v>15006</v>
      </c>
      <c r="R66" s="18" t="n">
        <v>13262</v>
      </c>
      <c r="S66" s="18" t="n">
        <v>9611</v>
      </c>
      <c r="T66" s="18" t="n">
        <v>20608</v>
      </c>
      <c r="U66" s="34" t="n">
        <v>58487</v>
      </c>
      <c r="V66" s="18" t="n">
        <v>11308</v>
      </c>
      <c r="W66" s="18" t="n">
        <v>17867</v>
      </c>
      <c r="X66" s="18" t="n">
        <v>4675</v>
      </c>
      <c r="Y66" s="18" t="n">
        <v>9425</v>
      </c>
      <c r="Z66" s="34" t="n">
        <v>43275</v>
      </c>
      <c r="AA66" s="18" t="n">
        <v>14853</v>
      </c>
      <c r="AB66" s="19" t="n">
        <v>16951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-101750</v>
      </c>
      <c r="F67" s="9" t="n"/>
      <c r="G67" s="18" t="n">
        <v>-11194</v>
      </c>
      <c r="H67" s="18" t="n">
        <v>-12920</v>
      </c>
      <c r="I67" s="18" t="n">
        <v>-20471</v>
      </c>
      <c r="J67" s="18" t="n">
        <v>-7070</v>
      </c>
      <c r="K67" s="34" t="n">
        <v>-51655</v>
      </c>
      <c r="L67" s="18" t="n">
        <v>-24019</v>
      </c>
      <c r="M67" s="18" t="n">
        <v>-76466</v>
      </c>
      <c r="N67" s="18" t="n">
        <v>-3282</v>
      </c>
      <c r="O67" s="18" t="n">
        <v>1191</v>
      </c>
      <c r="P67" s="34" t="n">
        <v>-102576</v>
      </c>
      <c r="Q67" s="18" t="n">
        <v>11887</v>
      </c>
      <c r="R67" s="18" t="n">
        <v>-41433</v>
      </c>
      <c r="S67" s="18" t="n">
        <v>51994</v>
      </c>
      <c r="T67" s="18" t="n">
        <v>-19154</v>
      </c>
      <c r="U67" s="34" t="n">
        <v>3294</v>
      </c>
      <c r="V67" s="18" t="n">
        <v>5667</v>
      </c>
      <c r="W67" s="18" t="n">
        <v>-6650</v>
      </c>
      <c r="X67" s="18" t="n">
        <v>3945</v>
      </c>
      <c r="Y67" s="18" t="n">
        <v>24171</v>
      </c>
      <c r="Z67" s="34" t="n">
        <v>27133</v>
      </c>
      <c r="AA67" s="18" t="n">
        <v>25287</v>
      </c>
      <c r="AB67" s="19" t="n">
        <v>64230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-20237</v>
      </c>
      <c r="F68" s="9" t="n"/>
      <c r="G68" s="18" t="n">
        <v>-2160</v>
      </c>
      <c r="H68" s="18" t="n">
        <v>1232</v>
      </c>
      <c r="I68" s="18" t="n">
        <v>44</v>
      </c>
      <c r="J68" s="18" t="n">
        <v>-584</v>
      </c>
      <c r="K68" s="34" t="n">
        <v>-1468</v>
      </c>
      <c r="L68" s="18" t="n">
        <v>79</v>
      </c>
      <c r="M68" s="18" t="n">
        <v>3655</v>
      </c>
      <c r="N68" s="18" t="n">
        <v>481</v>
      </c>
      <c r="O68" s="18" t="n">
        <v>6701</v>
      </c>
      <c r="P68" s="34" t="n">
        <v>10916</v>
      </c>
      <c r="Q68" s="18" t="n">
        <v>-2366</v>
      </c>
      <c r="R68" s="18" t="n">
        <v>27</v>
      </c>
      <c r="S68" s="18" t="n">
        <v>-1</v>
      </c>
      <c r="T68" s="18" t="n">
        <v>395</v>
      </c>
      <c r="U68" s="34" t="n">
        <v>-1945</v>
      </c>
      <c r="V68" s="18" t="n">
        <v>131</v>
      </c>
      <c r="W68" s="18" t="n">
        <v>-7</v>
      </c>
      <c r="X68" s="18" t="n">
        <v>35</v>
      </c>
      <c r="Y68" s="18" t="n">
        <v>-24354</v>
      </c>
      <c r="Z68" s="34" t="n">
        <v>-24195</v>
      </c>
      <c r="AA68" s="18" t="n">
        <v>-198</v>
      </c>
      <c r="AB68" s="19" t="n">
        <v>1724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-81513</v>
      </c>
      <c r="F69" s="9" t="n"/>
      <c r="I69" s="18" t="n">
        <v>-20515</v>
      </c>
      <c r="J69" s="18" t="n">
        <v>-6486</v>
      </c>
      <c r="K69" s="9" t="n"/>
      <c r="N69" s="18" t="n">
        <v>-3763</v>
      </c>
      <c r="O69" s="18" t="n">
        <v>-5510</v>
      </c>
      <c r="P69" s="9" t="n"/>
      <c r="Q69" s="18" t="n">
        <v>14253</v>
      </c>
      <c r="R69" s="18" t="n">
        <v>-41460</v>
      </c>
      <c r="S69" s="18" t="n">
        <v>51995</v>
      </c>
      <c r="T69" s="18" t="n">
        <v>-19549</v>
      </c>
      <c r="U69" s="34" t="n">
        <v>5239</v>
      </c>
      <c r="V69" s="18" t="n">
        <v>5536</v>
      </c>
      <c r="W69" s="18" t="n">
        <v>-6643</v>
      </c>
      <c r="X69" s="18" t="n">
        <v>3910</v>
      </c>
      <c r="Y69" s="18" t="n">
        <v>48525</v>
      </c>
      <c r="Z69" s="34" t="n">
        <v>51328</v>
      </c>
      <c r="AA69" s="18" t="n">
        <v>25485</v>
      </c>
      <c r="AB69" s="19" t="n">
        <v>62506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-7541</v>
      </c>
      <c r="F70" s="9" t="n"/>
      <c r="G70" s="18" t="n">
        <v>-12263</v>
      </c>
      <c r="H70" s="18" t="n">
        <v>-15242</v>
      </c>
      <c r="I70" s="18" t="n">
        <v>-18124</v>
      </c>
      <c r="J70" s="18" t="n">
        <v>-7463</v>
      </c>
      <c r="K70" s="34" t="n">
        <v>-53092</v>
      </c>
      <c r="L70" s="18" t="n">
        <v>-10455</v>
      </c>
      <c r="M70" s="18" t="n">
        <v>-6881</v>
      </c>
      <c r="N70" s="18" t="n">
        <v>-52</v>
      </c>
      <c r="O70" s="18" t="n">
        <v>-14466</v>
      </c>
      <c r="P70" s="34" t="n">
        <v>-31854</v>
      </c>
      <c r="Q70" s="18" t="n">
        <v>1365</v>
      </c>
      <c r="R70" s="18" t="n">
        <v>-6233</v>
      </c>
      <c r="S70" s="18" t="n">
        <v>-8652</v>
      </c>
      <c r="T70" s="18" t="n">
        <v>-13325</v>
      </c>
      <c r="U70" s="34" t="n">
        <v>-26845</v>
      </c>
      <c r="V70" s="18" t="n">
        <v>-9307</v>
      </c>
      <c r="W70" s="18" t="n">
        <v>-8307</v>
      </c>
      <c r="X70" s="18" t="n">
        <v>-3351</v>
      </c>
      <c r="Y70" s="18" t="n">
        <v>-2255</v>
      </c>
      <c r="Z70" s="34" t="n">
        <v>-23220</v>
      </c>
      <c r="AA70" s="18" t="n">
        <v>1770</v>
      </c>
      <c r="AB70" s="19" t="n">
        <v>-4997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-944</v>
      </c>
      <c r="F71" s="9" t="n"/>
      <c r="G71" s="18" t="n">
        <v>-1438</v>
      </c>
      <c r="H71" s="18" t="n">
        <v>-77</v>
      </c>
      <c r="I71" s="18" t="n">
        <v>-2515</v>
      </c>
      <c r="J71" s="18" t="n">
        <v>-1302</v>
      </c>
      <c r="K71" s="34" t="n">
        <v>-5332</v>
      </c>
      <c r="L71" s="18" t="n">
        <v>-3822</v>
      </c>
      <c r="M71" s="18" t="n">
        <v>5391</v>
      </c>
      <c r="N71" s="18" t="n">
        <v>39663</v>
      </c>
      <c r="O71" s="18" t="n">
        <v>-1786</v>
      </c>
      <c r="P71" s="34" t="n">
        <v>39446</v>
      </c>
      <c r="Q71" s="18" t="n">
        <v>290</v>
      </c>
      <c r="R71" s="18" t="n">
        <v>3435</v>
      </c>
      <c r="S71" s="18" t="n">
        <v>30683</v>
      </c>
      <c r="T71" s="18" t="n">
        <v>-2536</v>
      </c>
      <c r="U71" s="34" t="n">
        <v>31872</v>
      </c>
      <c r="V71" s="18" t="n">
        <v>2306</v>
      </c>
      <c r="W71" s="18" t="n">
        <v>-5512</v>
      </c>
      <c r="X71" s="18" t="n">
        <v>2873</v>
      </c>
      <c r="Y71" s="18" t="n">
        <v>-23089</v>
      </c>
      <c r="Z71" s="34" t="n">
        <v>-23422</v>
      </c>
      <c r="AA71" s="18" t="n">
        <v>-1376</v>
      </c>
      <c r="AB71" s="19" t="n">
        <v>2632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-81513</v>
      </c>
      <c r="F72" s="9" t="n"/>
      <c r="I72" s="18" t="n">
        <v>-20515</v>
      </c>
      <c r="J72" s="18" t="n">
        <v>-6486</v>
      </c>
      <c r="K72" s="9" t="n"/>
      <c r="N72" s="18" t="n">
        <v>-3763</v>
      </c>
      <c r="O72" s="18" t="n">
        <v>-5510</v>
      </c>
      <c r="P72" s="9" t="n"/>
      <c r="Q72" s="18" t="n">
        <v>14253</v>
      </c>
      <c r="R72" s="18" t="n">
        <v>-41460</v>
      </c>
      <c r="S72" s="18" t="n">
        <v>51995</v>
      </c>
      <c r="T72" s="18" t="n">
        <v>-19549</v>
      </c>
      <c r="U72" s="34" t="n">
        <v>5239</v>
      </c>
      <c r="V72" s="18" t="n">
        <v>5536</v>
      </c>
      <c r="W72" s="18" t="n">
        <v>-6643</v>
      </c>
      <c r="X72" s="18" t="n">
        <v>3910</v>
      </c>
      <c r="Y72" s="18" t="n">
        <v>48525</v>
      </c>
      <c r="Z72" s="34" t="n">
        <v>51328</v>
      </c>
      <c r="AA72" s="18" t="n">
        <v>25485</v>
      </c>
      <c r="AB72" s="19" t="n">
        <v>62506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-81513</v>
      </c>
      <c r="F73" s="9" t="n"/>
      <c r="I73" s="18" t="n">
        <v>-20515</v>
      </c>
      <c r="J73" s="18" t="n">
        <v>-6486</v>
      </c>
      <c r="K73" s="9" t="n"/>
      <c r="N73" s="18" t="n">
        <v>-3763</v>
      </c>
      <c r="O73" s="18" t="n">
        <v>-5510</v>
      </c>
      <c r="P73" s="9" t="n"/>
      <c r="Q73" s="18" t="n">
        <v>14253</v>
      </c>
      <c r="R73" s="18" t="n">
        <v>-41460</v>
      </c>
      <c r="S73" s="18" t="n">
        <v>51995</v>
      </c>
      <c r="T73" s="18" t="n">
        <v>-19549</v>
      </c>
      <c r="U73" s="34" t="n">
        <v>5239</v>
      </c>
      <c r="V73" s="18" t="n">
        <v>5536</v>
      </c>
      <c r="W73" s="18" t="n">
        <v>-6643</v>
      </c>
      <c r="X73" s="18" t="n">
        <v>3910</v>
      </c>
      <c r="Y73" s="18" t="n">
        <v>48525</v>
      </c>
      <c r="Z73" s="34" t="n">
        <v>51328</v>
      </c>
      <c r="AA73" s="18" t="n">
        <v>25485</v>
      </c>
      <c r="AB73" s="19" t="n">
        <v>62506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171322</v>
      </c>
      <c r="F74" s="9" t="n"/>
      <c r="G74" s="18" t="n">
        <v>-9955</v>
      </c>
      <c r="I74" s="18" t="n">
        <v>-20273</v>
      </c>
      <c r="J74" s="18" t="n">
        <v>-2244</v>
      </c>
      <c r="K74" s="9" t="n"/>
      <c r="L74" s="18" t="n">
        <v>-24644</v>
      </c>
      <c r="M74" s="18" t="n">
        <v>-80295</v>
      </c>
      <c r="N74" s="18" t="n">
        <v>-3828</v>
      </c>
      <c r="O74" s="18" t="n">
        <v>65020</v>
      </c>
      <c r="P74" s="34" t="n">
        <v>-43747</v>
      </c>
      <c r="Q74" s="18" t="n">
        <v>13952</v>
      </c>
      <c r="R74" s="18" t="n">
        <v>-41591</v>
      </c>
      <c r="S74" s="18" t="n">
        <v>52410</v>
      </c>
      <c r="T74" s="18" t="n">
        <v>-22218</v>
      </c>
      <c r="U74" s="34" t="n">
        <v>2553</v>
      </c>
      <c r="V74" s="18" t="n">
        <v>5317</v>
      </c>
      <c r="W74" s="18" t="n">
        <v>-5118</v>
      </c>
      <c r="X74" s="18" t="n">
        <v>3631</v>
      </c>
      <c r="Y74" s="18" t="n">
        <v>112448</v>
      </c>
      <c r="Z74" s="34" t="n">
        <v>116278</v>
      </c>
      <c r="AA74" s="18" t="n">
        <v>24334</v>
      </c>
      <c r="AB74" s="19" t="n">
        <v>58941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41271</v>
      </c>
      <c r="F75" s="9" t="n"/>
      <c r="G75" s="18" t="n">
        <v>7586</v>
      </c>
      <c r="H75" s="18" t="n">
        <v>69827</v>
      </c>
      <c r="I75" s="18" t="n">
        <v>-111591</v>
      </c>
      <c r="J75" s="18" t="n">
        <v>117969</v>
      </c>
      <c r="K75" s="34" t="n">
        <v>83791</v>
      </c>
      <c r="L75" s="18" t="n">
        <v>39950</v>
      </c>
      <c r="M75" s="18" t="n">
        <v>-77311</v>
      </c>
      <c r="N75" s="18" t="n">
        <v>268080</v>
      </c>
      <c r="O75" s="18" t="n">
        <v>-49589</v>
      </c>
      <c r="P75" s="34" t="n">
        <v>181130</v>
      </c>
      <c r="Q75" s="18" t="n">
        <v>-50175</v>
      </c>
      <c r="R75" s="18" t="n">
        <v>19753</v>
      </c>
      <c r="S75" s="18" t="n">
        <v>-77372</v>
      </c>
      <c r="T75" s="18" t="n">
        <v>21594</v>
      </c>
      <c r="U75" s="34" t="n">
        <v>-86200</v>
      </c>
      <c r="V75" s="18" t="n">
        <v>-102883</v>
      </c>
      <c r="W75" s="18" t="n">
        <v>146674</v>
      </c>
      <c r="X75" s="18" t="n">
        <v>38807</v>
      </c>
      <c r="Y75" s="18" t="n">
        <v>-76853</v>
      </c>
      <c r="Z75" s="34" t="n">
        <v>5745</v>
      </c>
      <c r="AA75" s="18" t="n">
        <v>-164053</v>
      </c>
      <c r="AB75" s="19" t="n">
        <v>21263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136</v>
      </c>
      <c r="F76" s="9" t="n"/>
      <c r="G76" s="18" t="n">
        <v>277</v>
      </c>
      <c r="H76" s="18" t="n">
        <v>422</v>
      </c>
      <c r="I76" s="18" t="n">
        <v>430</v>
      </c>
      <c r="J76" s="18" t="n">
        <v>760</v>
      </c>
      <c r="K76" s="34" t="n">
        <v>1889</v>
      </c>
      <c r="L76" s="18" t="n">
        <v>873</v>
      </c>
      <c r="M76" s="18" t="n">
        <v>1114</v>
      </c>
      <c r="N76" s="18" t="n">
        <v>1912</v>
      </c>
      <c r="O76" s="18" t="n">
        <v>3064</v>
      </c>
      <c r="P76" s="34" t="n">
        <v>6963</v>
      </c>
      <c r="Q76" s="18" t="n">
        <v>2569</v>
      </c>
      <c r="R76" s="18" t="n">
        <v>2156</v>
      </c>
      <c r="S76" s="18" t="n">
        <v>2186</v>
      </c>
      <c r="T76" s="18" t="n">
        <v>1595</v>
      </c>
      <c r="U76" s="34" t="n">
        <v>8506</v>
      </c>
      <c r="V76" s="18" t="n">
        <v>748</v>
      </c>
      <c r="W76" s="18" t="n">
        <v>1031</v>
      </c>
      <c r="X76" s="18" t="n">
        <v>1431</v>
      </c>
      <c r="Y76" s="18" t="n">
        <v>2076</v>
      </c>
      <c r="Z76" s="34" t="n">
        <v>5286</v>
      </c>
      <c r="AA76" s="18" t="n">
        <v>1605</v>
      </c>
      <c r="AB76" s="19" t="n">
        <v>1616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1</v>
      </c>
      <c r="F77" s="9" t="n"/>
      <c r="G77" s="18" t="n">
        <v>10</v>
      </c>
      <c r="H77" s="18" t="n">
        <v>1015</v>
      </c>
      <c r="I77" s="18" t="n">
        <v>-1</v>
      </c>
      <c r="J77" s="18" t="n">
        <v>1</v>
      </c>
      <c r="K77" s="34" t="n">
        <v>1025</v>
      </c>
      <c r="L77" s="18" t="n">
        <v>0</v>
      </c>
      <c r="M77" s="18" t="n">
        <v>501</v>
      </c>
      <c r="N77" s="18" t="n">
        <v>7</v>
      </c>
      <c r="O77" s="18" t="n">
        <v>0</v>
      </c>
      <c r="P77" s="34" t="n">
        <v>508</v>
      </c>
      <c r="Q77" s="18" t="n">
        <v>3</v>
      </c>
      <c r="R77" s="18" t="n">
        <v>418</v>
      </c>
      <c r="S77" s="18" t="n">
        <v>0</v>
      </c>
      <c r="T77" s="18" t="n">
        <v>20</v>
      </c>
      <c r="U77" s="34" t="n">
        <v>441</v>
      </c>
      <c r="V77" s="18" t="n">
        <v>0</v>
      </c>
      <c r="W77" s="18" t="n">
        <v>60</v>
      </c>
      <c r="X77" s="18" t="n">
        <v>9</v>
      </c>
      <c r="Y77" s="18" t="n">
        <v>0</v>
      </c>
      <c r="Z77" s="34" t="n">
        <v>69</v>
      </c>
      <c r="AA77" s="18" t="n">
        <v>709</v>
      </c>
      <c r="AB77" s="19" t="n">
        <v>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-6939</v>
      </c>
      <c r="F78" s="9" t="n"/>
      <c r="G78" s="18" t="n">
        <v>-6772</v>
      </c>
      <c r="H78" s="18" t="n">
        <v>-7054</v>
      </c>
      <c r="I78" s="18" t="n">
        <v>-5770</v>
      </c>
      <c r="J78" s="18" t="n">
        <v>-5149</v>
      </c>
      <c r="K78" s="34" t="n">
        <v>-24745</v>
      </c>
      <c r="L78" s="18" t="n">
        <v>-6529</v>
      </c>
      <c r="M78" s="18" t="n">
        <v>-4305</v>
      </c>
      <c r="N78" s="18" t="n">
        <v>-11778</v>
      </c>
      <c r="O78" s="18" t="n">
        <v>-7418</v>
      </c>
      <c r="P78" s="34" t="n">
        <v>-30030</v>
      </c>
      <c r="Q78" s="18" t="n">
        <v>-7739</v>
      </c>
      <c r="R78" s="18" t="n">
        <v>-7297</v>
      </c>
      <c r="S78" s="18" t="n">
        <v>-14500</v>
      </c>
      <c r="T78" s="18" t="n">
        <v>-9827</v>
      </c>
      <c r="U78" s="34" t="n">
        <v>-39363</v>
      </c>
      <c r="V78" s="18" t="n">
        <v>-9664</v>
      </c>
      <c r="W78" s="18" t="n">
        <v>-9041</v>
      </c>
      <c r="X78" s="18" t="n">
        <v>-8510</v>
      </c>
      <c r="Y78" s="18" t="n">
        <v>-8595</v>
      </c>
      <c r="Z78" s="34" t="n">
        <v>-35810</v>
      </c>
      <c r="AA78" s="18" t="n">
        <v>-6993</v>
      </c>
      <c r="AB78" s="19" t="n">
        <v>-8189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8006</v>
      </c>
      <c r="F79" s="9" t="n"/>
      <c r="G79" s="18" t="n">
        <v>-5697</v>
      </c>
      <c r="H79" s="18" t="n">
        <v>32383</v>
      </c>
      <c r="I79" s="18" t="n">
        <v>8338</v>
      </c>
      <c r="J79" s="18" t="n">
        <v>-70861</v>
      </c>
      <c r="K79" s="34" t="n">
        <v>-35837</v>
      </c>
      <c r="L79" s="18" t="n">
        <v>11921</v>
      </c>
      <c r="M79" s="18" t="n">
        <v>31440</v>
      </c>
      <c r="N79" s="18" t="n">
        <v>-19686</v>
      </c>
      <c r="O79" s="18" t="n">
        <v>34045</v>
      </c>
      <c r="P79" s="34" t="n">
        <v>57720</v>
      </c>
      <c r="Q79" s="18" t="n">
        <v>-12074</v>
      </c>
      <c r="R79" s="18" t="n">
        <v>4701</v>
      </c>
      <c r="S79" s="18" t="n">
        <v>192527</v>
      </c>
      <c r="T79" s="18" t="n">
        <v>4693</v>
      </c>
      <c r="U79" s="34" t="n">
        <v>189847</v>
      </c>
      <c r="V79" s="18" t="n">
        <v>-10795</v>
      </c>
      <c r="W79" s="18" t="n">
        <v>-5088</v>
      </c>
      <c r="X79" s="18" t="n">
        <v>6053</v>
      </c>
      <c r="Y79" s="18" t="n">
        <v>7314</v>
      </c>
      <c r="Z79" s="34" t="n">
        <v>-2516</v>
      </c>
      <c r="AA79" s="18" t="n">
        <v>1383</v>
      </c>
      <c r="AB79" s="19" t="n">
        <v>-3057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1369</v>
      </c>
      <c r="F80" s="9" t="n"/>
      <c r="G80" s="18" t="n">
        <v>5163</v>
      </c>
      <c r="H80" s="18" t="n">
        <v>46236</v>
      </c>
      <c r="I80" s="18" t="n">
        <v>7436</v>
      </c>
      <c r="J80" s="18" t="n">
        <v>5440</v>
      </c>
      <c r="K80" s="34" t="n">
        <v>64275</v>
      </c>
      <c r="L80" s="18" t="n">
        <v>1559</v>
      </c>
      <c r="M80" s="18" t="n">
        <v>2198</v>
      </c>
      <c r="N80" s="18" t="n">
        <v>2688</v>
      </c>
      <c r="O80" s="18" t="n">
        <v>3036</v>
      </c>
      <c r="P80" s="34" t="n">
        <v>9481</v>
      </c>
      <c r="Q80" s="18" t="n">
        <v>1981</v>
      </c>
      <c r="R80" s="18" t="n">
        <v>1593</v>
      </c>
      <c r="S80" s="18" t="n">
        <v>932</v>
      </c>
      <c r="T80" s="18" t="n">
        <v>888</v>
      </c>
      <c r="U80" s="34" t="n">
        <v>5394</v>
      </c>
      <c r="V80" s="18" t="n">
        <v>1204</v>
      </c>
      <c r="W80" s="18" t="n">
        <v>1766</v>
      </c>
      <c r="X80" s="18" t="n">
        <v>4627</v>
      </c>
      <c r="Y80" s="18" t="n">
        <v>3064</v>
      </c>
      <c r="Z80" s="34" t="n">
        <v>10661</v>
      </c>
      <c r="AA80" s="18" t="n">
        <v>2984</v>
      </c>
      <c r="AB80" s="19" t="n">
        <v>2589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1369</v>
      </c>
      <c r="F81" s="9" t="n"/>
      <c r="G81" s="18" t="n">
        <v>5163</v>
      </c>
      <c r="H81" s="18" t="n">
        <v>46236</v>
      </c>
      <c r="I81" s="18" t="n">
        <v>7436</v>
      </c>
      <c r="J81" s="18" t="n">
        <v>5440</v>
      </c>
      <c r="K81" s="34" t="n">
        <v>64275</v>
      </c>
      <c r="L81" s="18" t="n">
        <v>1559</v>
      </c>
      <c r="M81" s="18" t="n">
        <v>2902</v>
      </c>
      <c r="N81" s="18" t="n">
        <v>2688</v>
      </c>
      <c r="O81" s="18" t="n">
        <v>3036</v>
      </c>
      <c r="P81" s="34" t="n">
        <v>10185</v>
      </c>
      <c r="Q81" s="18" t="n">
        <v>1981</v>
      </c>
      <c r="R81" s="18" t="n">
        <v>1593</v>
      </c>
      <c r="S81" s="18" t="n">
        <v>932</v>
      </c>
      <c r="T81" s="18" t="n">
        <v>888</v>
      </c>
      <c r="U81" s="34" t="n">
        <v>5394</v>
      </c>
      <c r="V81" s="18" t="n">
        <v>1204</v>
      </c>
      <c r="W81" s="18" t="n">
        <v>1766</v>
      </c>
      <c r="X81" s="18" t="n">
        <v>4627</v>
      </c>
      <c r="Y81" s="18" t="n">
        <v>3064</v>
      </c>
      <c r="Z81" s="34" t="n">
        <v>10661</v>
      </c>
      <c r="AA81" s="18" t="n">
        <v>2984</v>
      </c>
      <c r="AB81" s="19" t="n">
        <v>2589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4</v>
      </c>
      <c r="F82" s="9" t="n"/>
      <c r="G82" s="18" t="n">
        <v>3</v>
      </c>
      <c r="H82" s="18" t="n">
        <v>160</v>
      </c>
      <c r="I82" s="18" t="n">
        <v>77</v>
      </c>
      <c r="K82" s="9" t="n"/>
      <c r="L82" s="18" t="n">
        <v>22</v>
      </c>
      <c r="M82" s="18" t="n">
        <v>181</v>
      </c>
      <c r="N82" s="18" t="n">
        <v>48</v>
      </c>
      <c r="O82" s="18" t="n">
        <v>420</v>
      </c>
      <c r="P82" s="34" t="n">
        <v>671</v>
      </c>
      <c r="Q82" s="18" t="n">
        <v>148</v>
      </c>
      <c r="R82" s="18" t="n">
        <v>383</v>
      </c>
      <c r="S82" s="18" t="n">
        <v>281</v>
      </c>
      <c r="T82" s="18" t="n">
        <v>26</v>
      </c>
      <c r="U82" s="34" t="n">
        <v>838</v>
      </c>
      <c r="V82" s="18" t="n">
        <v>340</v>
      </c>
      <c r="W82" s="18" t="n">
        <v>17</v>
      </c>
      <c r="X82" s="18" t="n">
        <v>16</v>
      </c>
      <c r="Y82" s="18" t="n">
        <v>2141</v>
      </c>
      <c r="Z82" s="34" t="n">
        <v>2514</v>
      </c>
      <c r="AA82" s="18" t="n">
        <v>16</v>
      </c>
      <c r="AB82" s="19" t="n">
        <v>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13</v>
      </c>
      <c r="F83" s="9" t="n"/>
      <c r="G83" s="18" t="n">
        <v>52</v>
      </c>
      <c r="I83" s="18" t="n">
        <v>13</v>
      </c>
      <c r="J83" s="18" t="n">
        <v>13</v>
      </c>
      <c r="K83" s="9" t="n"/>
      <c r="L83" s="18" t="n">
        <v>13</v>
      </c>
      <c r="M83" s="18" t="n">
        <v>13</v>
      </c>
      <c r="N83" s="18" t="n">
        <v>13</v>
      </c>
      <c r="O83" s="18" t="n">
        <v>13</v>
      </c>
      <c r="P83" s="34" t="n">
        <v>52</v>
      </c>
      <c r="Q83" s="18" t="n">
        <v>13</v>
      </c>
      <c r="R83" s="18" t="n">
        <v>13</v>
      </c>
      <c r="S83" s="18" t="n">
        <v>13</v>
      </c>
      <c r="T83" s="18" t="n">
        <v>13</v>
      </c>
      <c r="U83" s="34" t="n">
        <v>52</v>
      </c>
      <c r="V83" s="18" t="n">
        <v>13</v>
      </c>
      <c r="W83" s="18" t="n">
        <v>13</v>
      </c>
      <c r="X83" s="18" t="n">
        <v>13</v>
      </c>
      <c r="Y83" s="18" t="n">
        <v>13</v>
      </c>
      <c r="Z83" s="34" t="n">
        <v>52</v>
      </c>
      <c r="AA83" s="18" t="n">
        <v>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-5967</v>
      </c>
      <c r="F84" s="9" t="n"/>
      <c r="G84" s="18" t="n">
        <v>-3067</v>
      </c>
      <c r="H84" s="18" t="n">
        <v>-83474</v>
      </c>
      <c r="I84" s="18" t="n">
        <v>48025</v>
      </c>
      <c r="J84" s="18" t="n">
        <v>-18835</v>
      </c>
      <c r="K84" s="34" t="n">
        <v>-57351</v>
      </c>
      <c r="L84" s="18" t="n">
        <v>-3375</v>
      </c>
      <c r="M84" s="18" t="n">
        <v>-3865</v>
      </c>
      <c r="N84" s="18" t="n">
        <v>-4223</v>
      </c>
      <c r="O84" s="18" t="n">
        <v>20657</v>
      </c>
      <c r="P84" s="34" t="n">
        <v>9194</v>
      </c>
      <c r="Q84" s="18" t="n">
        <v>-4567</v>
      </c>
      <c r="R84" s="18" t="n">
        <v>-53188</v>
      </c>
      <c r="S84" s="18" t="n">
        <v>-173575</v>
      </c>
      <c r="T84" s="18" t="n">
        <v>-13285</v>
      </c>
      <c r="U84" s="34" t="n">
        <v>-244615</v>
      </c>
      <c r="V84" s="18" t="n">
        <v>-13314</v>
      </c>
      <c r="W84" s="18" t="n">
        <v>-48116</v>
      </c>
      <c r="X84" s="18" t="n">
        <v>-17162</v>
      </c>
      <c r="Y84" s="18" t="n">
        <v>199224</v>
      </c>
      <c r="Z84" s="34" t="n">
        <v>120632</v>
      </c>
      <c r="AA84" s="18" t="n">
        <v>-11116</v>
      </c>
      <c r="AB84" s="19" t="n">
        <v>69491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43310</v>
      </c>
      <c r="F85" s="9" t="n"/>
      <c r="G85" s="18" t="n">
        <v>-1178</v>
      </c>
      <c r="H85" s="18" t="n">
        <v>18736</v>
      </c>
      <c r="I85" s="18" t="n">
        <v>-55228</v>
      </c>
      <c r="J85" s="18" t="n">
        <v>28273</v>
      </c>
      <c r="K85" s="34" t="n">
        <v>-9397</v>
      </c>
      <c r="L85" s="18" t="n">
        <v>48496</v>
      </c>
      <c r="M85" s="18" t="n">
        <v>-49736</v>
      </c>
      <c r="N85" s="18" t="n">
        <v>244171</v>
      </c>
      <c r="O85" s="18" t="n">
        <v>5113</v>
      </c>
      <c r="P85" s="34" t="n">
        <v>248044</v>
      </c>
      <c r="Q85" s="18" t="n">
        <v>-66816</v>
      </c>
      <c r="R85" s="18" t="n">
        <v>-28734</v>
      </c>
      <c r="S85" s="18" t="n">
        <v>-58420</v>
      </c>
      <c r="T85" s="18" t="n">
        <v>13002</v>
      </c>
      <c r="U85" s="34" t="n">
        <v>-140968</v>
      </c>
      <c r="V85" s="18" t="n">
        <v>-126992</v>
      </c>
      <c r="W85" s="18" t="n">
        <v>93470</v>
      </c>
      <c r="X85" s="18" t="n">
        <v>27698</v>
      </c>
      <c r="Y85" s="18" t="n">
        <v>129685</v>
      </c>
      <c r="Z85" s="34" t="n">
        <v>123861</v>
      </c>
      <c r="AA85" s="18" t="n">
        <v>-173786</v>
      </c>
      <c r="AB85" s="19" t="n">
        <v>87697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42937</v>
      </c>
      <c r="F86" s="9" t="n"/>
      <c r="G86" s="18" t="n">
        <v>117104</v>
      </c>
      <c r="H86" s="18" t="n">
        <v>19034</v>
      </c>
      <c r="I86" s="18" t="n">
        <v>-53420</v>
      </c>
      <c r="J86" s="18" t="n">
        <v>19499</v>
      </c>
      <c r="K86" s="34" t="n">
        <v>102217</v>
      </c>
      <c r="L86" s="18" t="n">
        <v>151763</v>
      </c>
      <c r="M86" s="18" t="n">
        <v>-50918</v>
      </c>
      <c r="N86" s="18" t="n">
        <v>249555</v>
      </c>
      <c r="O86" s="18" t="n">
        <v>-2881</v>
      </c>
      <c r="P86" s="34" t="n">
        <v>347519</v>
      </c>
      <c r="Q86" s="18" t="n">
        <v>284379</v>
      </c>
      <c r="R86" s="18" t="n">
        <v>-29237</v>
      </c>
      <c r="S86" s="18" t="n">
        <v>-61633</v>
      </c>
      <c r="T86" s="18" t="n">
        <v>13608</v>
      </c>
      <c r="U86" s="34" t="n">
        <v>207117</v>
      </c>
      <c r="V86" s="18" t="n">
        <v>80360</v>
      </c>
      <c r="W86" s="18" t="n">
        <v>89532</v>
      </c>
      <c r="X86" s="18" t="n">
        <v>32043</v>
      </c>
      <c r="Y86" s="18" t="n">
        <v>130181</v>
      </c>
      <c r="Z86" s="34" t="n">
        <v>332116</v>
      </c>
      <c r="AA86" s="18" t="n">
        <v>163576</v>
      </c>
      <c r="AB86" s="19" t="n">
        <v>86071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F87" s="9" t="n"/>
      <c r="I87" s="18" t="n">
        <v>785</v>
      </c>
      <c r="K87" s="9" t="n"/>
      <c r="N87" s="18" t="n">
        <v>0</v>
      </c>
      <c r="O87" s="18" t="n">
        <v>4285</v>
      </c>
      <c r="P87" s="9" t="n"/>
      <c r="S87" s="18" t="n">
        <v>664966</v>
      </c>
      <c r="U87" s="9" t="n"/>
      <c r="V87" s="18" t="n">
        <v>2002</v>
      </c>
      <c r="W87" s="18" t="n">
        <v>1</v>
      </c>
      <c r="X87" s="18" t="n">
        <v>3029</v>
      </c>
      <c r="Y87" s="18" t="n">
        <v>1</v>
      </c>
      <c r="Z87" s="34" t="n">
        <v>5033</v>
      </c>
      <c r="AA87" s="18" t="n">
        <v>0</v>
      </c>
      <c r="AB87" s="19" t="n">
        <v>25000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F89" s="9" t="n"/>
      <c r="K89" s="9" t="n"/>
      <c r="O89" s="18" t="n">
        <v>25000</v>
      </c>
      <c r="P89" s="9" t="n"/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K90" s="9" t="n"/>
      <c r="P90" s="9" t="n"/>
      <c r="U90" s="9" t="n"/>
      <c r="V90" s="18" t="n">
        <v>7361</v>
      </c>
      <c r="W90" s="18" t="n">
        <v>374386</v>
      </c>
      <c r="X90" s="18" t="n">
        <v>8588</v>
      </c>
      <c r="Y90" s="18" t="n">
        <v>7361</v>
      </c>
      <c r="Z90" s="34" t="n">
        <v>397696</v>
      </c>
      <c r="AA90" s="18" t="n">
        <v>7370</v>
      </c>
      <c r="AB90" s="19" t="n">
        <v>269099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K91" s="9" t="n"/>
      <c r="P91" s="9" t="n"/>
      <c r="U91" s="9" t="n"/>
      <c r="X91" s="18" t="n">
        <v>0</v>
      </c>
      <c r="Y91" s="18" t="n">
        <v>-1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-0.1812</v>
      </c>
      <c r="F10" s="34" t="n"/>
      <c r="G10" s="18" t="n">
        <v>0.0074</v>
      </c>
      <c r="H10" s="18" t="n">
        <v>0.0052</v>
      </c>
      <c r="I10" s="18" t="n">
        <v>-0.0001</v>
      </c>
      <c r="J10" s="18" t="n">
        <v>0.003</v>
      </c>
      <c r="K10" s="34">
        <f>SUM(G10:J10)</f>
        <v/>
      </c>
      <c r="L10" s="18" t="n">
        <v>-0.0274</v>
      </c>
      <c r="M10" s="18" t="n">
        <v>-0.1499</v>
      </c>
      <c r="N10" s="18" t="n">
        <v>-0.0834</v>
      </c>
      <c r="O10" s="18" t="n">
        <v>0.024</v>
      </c>
      <c r="P10" s="34">
        <f>SUM(L10:O10)</f>
        <v/>
      </c>
      <c r="Q10" s="18" t="n">
        <v>0.0254</v>
      </c>
      <c r="R10" s="18" t="n">
        <v>-0.08160000000000001</v>
      </c>
      <c r="S10" s="18" t="n">
        <v>0.0725</v>
      </c>
      <c r="T10" s="18" t="n">
        <v>0.0041</v>
      </c>
      <c r="U10" s="34">
        <f>SUM(Q10:T10)</f>
        <v/>
      </c>
      <c r="V10" s="18" t="n">
        <v>0.0133</v>
      </c>
      <c r="W10" s="18" t="n">
        <v>0.0105</v>
      </c>
      <c r="X10" s="18" t="n">
        <v>0.0128</v>
      </c>
      <c r="Y10" s="18" t="n">
        <v>0.08019999999999999</v>
      </c>
      <c r="Z10" s="34">
        <f>SUM(V10:Y10)</f>
        <v/>
      </c>
      <c r="AA10" s="18" t="n">
        <v>0.0454</v>
      </c>
      <c r="AB10" s="19" t="n">
        <v>0.08890000000000001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 t="n"/>
      <c r="H15" s="18" t="n"/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SUM(G15:J15)</f>
        <v/>
      </c>
      <c r="L15" s="18" t="n"/>
      <c r="M15" s="18" t="n"/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중단사업이익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중단사업이익(실적만)</t>
        </is>
      </c>
      <c r="E17" s="18" t="n">
        <v>0</v>
      </c>
      <c r="F17" s="34" t="n"/>
      <c r="G17" s="18" t="n"/>
      <c r="H17" s="18" t="n"/>
      <c r="I17" s="18" t="n"/>
      <c r="J17" s="18" t="n"/>
      <c r="K17" s="34">
        <f>SUM(G17:J17)</f>
        <v/>
      </c>
      <c r="L17" s="18" t="n"/>
      <c r="M17" s="18" t="n"/>
      <c r="N17" s="18" t="n"/>
      <c r="O17" s="18" t="n"/>
      <c r="P17" s="34">
        <f>SUM(L17:O17)</f>
        <v/>
      </c>
      <c r="Q17" s="18" t="n"/>
      <c r="R17" s="18" t="n"/>
      <c r="S17" s="18" t="n"/>
      <c r="T17" s="18" t="n"/>
      <c r="U17" s="34">
        <f>SUM(Q17:T17)</f>
        <v/>
      </c>
      <c r="V17" s="18" t="n"/>
      <c r="W17" s="18" t="n"/>
      <c r="X17" s="18" t="n"/>
      <c r="Y17" s="18" t="n"/>
      <c r="Z17" s="34">
        <f>SUM(V17:Y17)</f>
        <v/>
      </c>
      <c r="AA17" s="18" t="n"/>
      <c r="AB17" s="19" t="n"/>
      <c r="AC17" s="20" t="n"/>
      <c r="AD17" s="20" t="n"/>
      <c r="AE17" s="35">
        <f>SUM(AA17:AD17)</f>
        <v/>
      </c>
      <c r="AF17" s="20" t="n"/>
      <c r="AG17" s="20" t="n"/>
      <c r="AH17" s="20" t="n"/>
      <c r="AI17" s="20" t="n"/>
      <c r="AJ17" s="35">
        <f>SUM(AF17:AI17)</f>
        <v/>
      </c>
      <c r="AK17" s="20" t="n"/>
      <c r="AL17" s="20" t="n"/>
      <c r="AM17" s="20" t="n"/>
      <c r="AN17" s="20" t="n"/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IFERROR(AB20+AC15-변수!AC31,"")</f>
        <v/>
      </c>
      <c r="AD20" s="20">
        <f>IFERROR(AC20+AD15-변수!AD31,"")</f>
        <v/>
      </c>
      <c r="AE20" s="35">
        <f>AD20</f>
        <v/>
      </c>
      <c r="AF20" s="20">
        <f>IFERROR(AD20+AF15-변수!AF31,"")</f>
        <v/>
      </c>
      <c r="AG20" s="20">
        <f>IFERROR(AF20+AG15-변수!AG31,"")</f>
        <v/>
      </c>
      <c r="AH20" s="20">
        <f>IFERROR(AG20+AH15-변수!AH31,"")</f>
        <v/>
      </c>
      <c r="AI20" s="20">
        <f>IFERROR(AH20+AI15-변수!AI31,"")</f>
        <v/>
      </c>
      <c r="AJ20" s="35">
        <f>AI20</f>
        <v/>
      </c>
      <c r="AK20" s="20">
        <f>IFERROR(AI20+AK15-변수!AK31,"")</f>
        <v/>
      </c>
      <c r="AL20" s="20">
        <f>IFERROR(AK20+AL15-변수!AL31,"")</f>
        <v/>
      </c>
      <c r="AM20" s="20">
        <f>IFERROR(AL20+AM15-변수!AM31,"")</f>
        <v/>
      </c>
      <c r="AN20" s="20">
        <f>IFERROR(AM20+AN15-변수!AN31,"")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415</v>
      </c>
      <c r="F27" s="34" t="n"/>
      <c r="G27" s="18" t="n">
        <v>77.84999999999999</v>
      </c>
      <c r="H27" s="18" t="n">
        <v>700.1900000000001</v>
      </c>
      <c r="I27" s="18" t="n">
        <v>-1113.98</v>
      </c>
      <c r="J27" s="18" t="n">
        <v>1181.69</v>
      </c>
      <c r="K27" s="34">
        <f>SUM(G27:J27)</f>
        <v/>
      </c>
      <c r="L27" s="18" t="n">
        <v>399.48</v>
      </c>
      <c r="M27" s="18" t="n">
        <v>-773.1900000000001</v>
      </c>
      <c r="N27" s="18" t="n">
        <v>2431.78</v>
      </c>
      <c r="O27" s="18" t="n">
        <v>-510.19</v>
      </c>
      <c r="P27" s="34">
        <f>SUM(L27:O27)</f>
        <v/>
      </c>
      <c r="Q27" s="18" t="n">
        <v>-505.04</v>
      </c>
      <c r="R27" s="18" t="n">
        <v>198.66</v>
      </c>
      <c r="S27" s="18" t="n">
        <v>-773.85</v>
      </c>
      <c r="T27" s="18" t="n">
        <v>216.58</v>
      </c>
      <c r="U27" s="34">
        <f>SUM(Q27:T27)</f>
        <v/>
      </c>
      <c r="V27" s="18" t="n">
        <v>-1026.84</v>
      </c>
      <c r="W27" s="18" t="n">
        <v>1468.68</v>
      </c>
      <c r="X27" s="18" t="n">
        <v>389.21</v>
      </c>
      <c r="Y27" s="18" t="n">
        <v>-767.75</v>
      </c>
      <c r="Z27" s="34">
        <f>SUM(V27:Y27)</f>
        <v/>
      </c>
      <c r="AA27" s="18" t="n">
        <v>-1638.53</v>
      </c>
      <c r="AB27" s="19" t="n">
        <v>214.61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83.268</v>
      </c>
      <c r="F28" s="27">
        <f>E28</f>
        <v/>
      </c>
      <c r="G28" s="26" t="n">
        <v>83.268</v>
      </c>
      <c r="H28" s="26" t="n">
        <v>83.268</v>
      </c>
      <c r="I28" s="26" t="n">
        <v>83.268</v>
      </c>
      <c r="J28" s="26" t="n">
        <v>83.268</v>
      </c>
      <c r="K28" s="27">
        <f>J28</f>
        <v/>
      </c>
      <c r="L28" s="26" t="n">
        <v>83.268</v>
      </c>
      <c r="M28" s="26" t="n">
        <v>83.268</v>
      </c>
      <c r="N28" s="26" t="n">
        <v>83.268</v>
      </c>
      <c r="O28" s="26" t="n">
        <v>83.268</v>
      </c>
      <c r="P28" s="27">
        <f>O28</f>
        <v/>
      </c>
      <c r="Q28" s="26" t="n">
        <v>83.268</v>
      </c>
      <c r="R28" s="26" t="n">
        <v>83.268</v>
      </c>
      <c r="S28" s="26" t="n">
        <v>83.268</v>
      </c>
      <c r="T28" s="26" t="n">
        <v>83.268</v>
      </c>
      <c r="U28" s="27">
        <f>T28</f>
        <v/>
      </c>
      <c r="V28" s="26" t="n">
        <v>83.268</v>
      </c>
      <c r="W28" s="26" t="n">
        <v>83.268</v>
      </c>
      <c r="X28" s="26" t="n">
        <v>83.268</v>
      </c>
      <c r="Y28" s="26" t="n">
        <v>90.289</v>
      </c>
      <c r="Z28" s="27">
        <f>Y28</f>
        <v/>
      </c>
      <c r="AA28" s="26" t="n">
        <v>90.289</v>
      </c>
      <c r="AB28" s="28" t="n">
        <v>90.289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IFERROR(E16*100/E28,"")</f>
        <v/>
      </c>
      <c r="F29" s="34" t="n"/>
      <c r="G29" s="18">
        <f>IFERROR(G16*100/G28,"")</f>
        <v/>
      </c>
      <c r="H29" s="18">
        <f>IFERROR(H16*100/H28,"")</f>
        <v/>
      </c>
      <c r="I29" s="18">
        <f>IFERROR(I16*100/I28,"")</f>
        <v/>
      </c>
      <c r="J29" s="18">
        <f>IFERROR(J16*100/J28,"")</f>
        <v/>
      </c>
      <c r="K29" s="34">
        <f>SUM(G29:J29)</f>
        <v/>
      </c>
      <c r="L29" s="18">
        <f>IFERROR(L16*100/L28,"")</f>
        <v/>
      </c>
      <c r="M29" s="18">
        <f>IFERROR(M16*100/M28,"")</f>
        <v/>
      </c>
      <c r="N29" s="18">
        <f>IFERROR(N16*100/N28,"")</f>
        <v/>
      </c>
      <c r="O29" s="18">
        <f>IFERROR(O16*100/O28,"")</f>
        <v/>
      </c>
      <c r="P29" s="34">
        <f>SUM(L29:O29)</f>
        <v/>
      </c>
      <c r="Q29" s="18">
        <f>IFERROR(Q16*100/Q28,"")</f>
        <v/>
      </c>
      <c r="R29" s="18">
        <f>IFERROR(R16*100/R28,"")</f>
        <v/>
      </c>
      <c r="S29" s="18">
        <f>IFERROR(S16*100/S28,"")</f>
        <v/>
      </c>
      <c r="T29" s="18">
        <f>IFERROR(T16*100/T28,"")</f>
        <v/>
      </c>
      <c r="U29" s="34">
        <f>SUM(Q29:T29)</f>
        <v/>
      </c>
      <c r="V29" s="18">
        <f>IFERROR(V16*100/V28,"")</f>
        <v/>
      </c>
      <c r="W29" s="18">
        <f>IFERROR(W16*100/W28,"")</f>
        <v/>
      </c>
      <c r="X29" s="18">
        <f>IFERROR(X16*100/X28,"")</f>
        <v/>
      </c>
      <c r="Y29" s="18">
        <f>IFERROR(Y16*100/Y28,"")</f>
        <v/>
      </c>
      <c r="Z29" s="34">
        <f>SUM(V29:Y29)</f>
        <v/>
      </c>
      <c r="AA29" s="18">
        <f>IFERROR(AA16*100/AA28,"")</f>
        <v/>
      </c>
      <c r="AB29" s="19">
        <f>IFERROR(AB16*100/AB28,"")</f>
        <v/>
      </c>
      <c r="AC29" s="20">
        <f>IFERROR(AC16*100/AC28,"")</f>
        <v/>
      </c>
      <c r="AD29" s="20">
        <f>IFERROR(AD16*100/AD28,"")</f>
        <v/>
      </c>
      <c r="AE29" s="35">
        <f>SUM(AA29:AD29)</f>
        <v/>
      </c>
      <c r="AF29" s="20">
        <f>IFERROR(AF16*100/AF28,"")</f>
        <v/>
      </c>
      <c r="AG29" s="20">
        <f>IFERROR(AG16*100/AG28,"")</f>
        <v/>
      </c>
      <c r="AH29" s="20">
        <f>IFERROR(AH16*100/AH28,"")</f>
        <v/>
      </c>
      <c r="AI29" s="20">
        <f>IFERROR(AI16*100/AI28,"")</f>
        <v/>
      </c>
      <c r="AJ29" s="35">
        <f>SUM(AF29:AI29)</f>
        <v/>
      </c>
      <c r="AK29" s="20">
        <f>IFERROR(AK16*100/AK28,"")</f>
        <v/>
      </c>
      <c r="AL29" s="20">
        <f>IFERROR(AL16*100/AL28,"")</f>
        <v/>
      </c>
      <c r="AM29" s="20">
        <f>IFERROR(AM16*100/AM28,"")</f>
        <v/>
      </c>
      <c r="AN29" s="20">
        <f>IFERROR(AN16*100/AN28,"")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/>
      <c r="J32" s="18" t="n"/>
      <c r="K32" s="34">
        <f>SUM(G32:J32)</f>
        <v/>
      </c>
      <c r="L32" s="18" t="n"/>
      <c r="M32" s="18" t="n"/>
      <c r="N32" s="18" t="n"/>
      <c r="O32" s="18" t="n"/>
      <c r="P32" s="34">
        <f>SUM(L32:O32)</f>
        <v/>
      </c>
      <c r="Q32" s="18" t="n"/>
      <c r="R32" s="18" t="n"/>
      <c r="S32" s="18" t="n">
        <v>13.23</v>
      </c>
      <c r="T32" s="18" t="n">
        <v>53.81</v>
      </c>
      <c r="U32" s="34">
        <f>SUM(Q32:T32)</f>
        <v/>
      </c>
      <c r="V32" s="18" t="n"/>
      <c r="W32" s="18" t="n">
        <v>19.6</v>
      </c>
      <c r="X32" s="18" t="n"/>
      <c r="Y32" s="18" t="n">
        <v>41.6</v>
      </c>
      <c r="Z32" s="34">
        <f>SUM(V32:Y32)</f>
        <v/>
      </c>
      <c r="AA32" s="18" t="n">
        <v>31.53</v>
      </c>
      <c r="AB32" s="19" t="n">
        <v>15.63</v>
      </c>
      <c r="AC32" s="20" t="n">
        <v>7.3</v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1.68</v>
      </c>
      <c r="F33" s="34" t="n">
        <v>1.55</v>
      </c>
      <c r="G33" s="18" t="n">
        <v>1.5</v>
      </c>
      <c r="H33" s="18" t="n">
        <v>1.57</v>
      </c>
      <c r="I33" s="18" t="n">
        <v>1.36</v>
      </c>
      <c r="J33" s="18" t="n">
        <v>0.87</v>
      </c>
      <c r="K33" s="34">
        <f>SUM(G33:J33)</f>
        <v/>
      </c>
      <c r="L33" s="18" t="n">
        <v>0.89</v>
      </c>
      <c r="M33" s="18" t="n">
        <v>1.13</v>
      </c>
      <c r="N33" s="18" t="n">
        <v>1.22</v>
      </c>
      <c r="O33" s="18" t="n">
        <v>0.91</v>
      </c>
      <c r="P33" s="34">
        <f>SUM(L33:O33)</f>
        <v/>
      </c>
      <c r="Q33" s="18" t="n">
        <v>0.84</v>
      </c>
      <c r="R33" s="18" t="n">
        <v>0.85</v>
      </c>
      <c r="S33" s="18" t="n">
        <v>0.7</v>
      </c>
      <c r="T33" s="18" t="n">
        <v>0.84</v>
      </c>
      <c r="U33" s="34">
        <f>SUM(Q33:T33)</f>
        <v/>
      </c>
      <c r="V33" s="18" t="n">
        <v>1.66</v>
      </c>
      <c r="W33" s="18" t="n">
        <v>1.79</v>
      </c>
      <c r="X33" s="18" t="n">
        <v>3.97</v>
      </c>
      <c r="Y33" s="18" t="n">
        <v>3.21</v>
      </c>
      <c r="Z33" s="34">
        <f>SUM(V33:Y33)</f>
        <v/>
      </c>
      <c r="AA33" s="18" t="n">
        <v>3.23</v>
      </c>
      <c r="AB33" s="19" t="n">
        <v>2.93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매출조선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조선·해양(방산·신조선·상선·특수선)</t>
        </is>
      </c>
      <c r="E34" s="18" t="n"/>
      <c r="F34" s="34" t="n"/>
      <c r="G34" s="18" t="n"/>
      <c r="H34" s="18" t="n">
        <v>902</v>
      </c>
      <c r="I34" s="18" t="n">
        <v>2402</v>
      </c>
      <c r="J34" s="18" t="n">
        <v>-8411</v>
      </c>
      <c r="K34" s="34">
        <f>SUM(G34:J34)</f>
        <v/>
      </c>
      <c r="L34" s="18" t="n"/>
      <c r="M34" s="18" t="n">
        <v>6762</v>
      </c>
      <c r="N34" s="18" t="n">
        <v>1683</v>
      </c>
      <c r="O34" s="18" t="n">
        <v>2951</v>
      </c>
      <c r="P34" s="34">
        <f>SUM(L34:O34)</f>
        <v/>
      </c>
      <c r="Q34" s="18" t="n"/>
      <c r="R34" s="18" t="n">
        <v>2034</v>
      </c>
      <c r="S34" s="18" t="n">
        <v>1884</v>
      </c>
      <c r="T34" s="18" t="n"/>
      <c r="U34" s="34">
        <f>SUM(Q34:T34)</f>
        <v/>
      </c>
      <c r="V34" s="18" t="n"/>
      <c r="W34" s="18" t="n">
        <v>2280</v>
      </c>
      <c r="X34" s="18" t="n">
        <v>2026</v>
      </c>
      <c r="Y34" s="18" t="n"/>
      <c r="Z34" s="34">
        <f>SUM(V34:Y34)</f>
        <v/>
      </c>
      <c r="AA34" s="18" t="n"/>
      <c r="AB34" s="19" t="n">
        <v>3951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OP조선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조선·해양(방산·신조선·상선·특수선)</t>
        </is>
      </c>
      <c r="E35" s="18" t="n"/>
      <c r="F35" s="34" t="n"/>
      <c r="G35" s="18" t="n"/>
      <c r="H35" s="18" t="n"/>
      <c r="I35" s="18" t="n"/>
      <c r="J35" s="18" t="n"/>
      <c r="K35" s="34">
        <f>SUM(G35:J35)</f>
        <v/>
      </c>
      <c r="L35" s="18" t="n"/>
      <c r="M35" s="18" t="n"/>
      <c r="N35" s="18" t="n"/>
      <c r="O35" s="18" t="n"/>
      <c r="P35" s="34">
        <f>SUM(L35:O35)</f>
        <v/>
      </c>
      <c r="Q35" s="18" t="n"/>
      <c r="R35" s="18" t="n"/>
      <c r="S35" s="18" t="n"/>
      <c r="T35" s="18" t="n"/>
      <c r="U35" s="34">
        <f>SUM(Q35:T35)</f>
        <v/>
      </c>
      <c r="V35" s="18" t="n"/>
      <c r="W35" s="18" t="n"/>
      <c r="X35" s="18" t="n"/>
      <c r="Y35" s="18" t="n"/>
      <c r="Z35" s="34">
        <f>SUM(V35:Y35)</f>
        <v/>
      </c>
      <c r="AA35" s="18" t="n"/>
      <c r="AB35" s="19" t="n"/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A36" s="12" t="inlineStr">
        <is>
          <t>매출기타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기타 부문(총매출 − 조선)</t>
        </is>
      </c>
      <c r="E36" s="18" t="n"/>
      <c r="F36" s="34" t="n"/>
      <c r="G36" s="18" t="n"/>
      <c r="H36" s="18" t="n">
        <v>3552.57</v>
      </c>
      <c r="I36" s="18" t="n">
        <v>1576.49</v>
      </c>
      <c r="J36" s="18" t="n">
        <v>14379.63</v>
      </c>
      <c r="K36" s="34">
        <f>SUM(G36:J36)</f>
        <v/>
      </c>
      <c r="L36" s="18" t="n"/>
      <c r="M36" s="18" t="n">
        <v>0</v>
      </c>
      <c r="N36" s="18" t="n">
        <v>3222.17</v>
      </c>
      <c r="O36" s="18" t="n">
        <v>4700.57</v>
      </c>
      <c r="P36" s="34">
        <f>SUM(L36:O36)</f>
        <v/>
      </c>
      <c r="Q36" s="18" t="n"/>
      <c r="R36" s="18" t="n">
        <v>2814</v>
      </c>
      <c r="S36" s="18" t="n">
        <v>2653.68</v>
      </c>
      <c r="T36" s="18" t="n"/>
      <c r="U36" s="34">
        <f>SUM(Q36:T36)</f>
        <v/>
      </c>
      <c r="V36" s="18" t="n"/>
      <c r="W36" s="18" t="n">
        <v>2797.77</v>
      </c>
      <c r="X36" s="18" t="n">
        <v>2496.08</v>
      </c>
      <c r="Y36" s="18" t="n"/>
      <c r="Z36" s="34">
        <f>SUM(V36:Y36)</f>
        <v/>
      </c>
      <c r="AA36" s="18" t="n"/>
      <c r="AB36" s="19" t="n">
        <v>3348.08</v>
      </c>
      <c r="AC36" s="20">
        <f>IFERROR(AC5*변수!AC45,"")</f>
        <v/>
      </c>
      <c r="AD36" s="20">
        <f>IFERROR(AD5*변수!AD45,"")</f>
        <v/>
      </c>
      <c r="AE36" s="35">
        <f>SUM(AA36:AD36)</f>
        <v/>
      </c>
      <c r="AF36" s="20">
        <f>IFERROR(AF5*변수!AF45,"")</f>
        <v/>
      </c>
      <c r="AG36" s="20">
        <f>IFERROR(AG5*변수!AG45,"")</f>
        <v/>
      </c>
      <c r="AH36" s="20">
        <f>IFERROR(AH5*변수!AH45,"")</f>
        <v/>
      </c>
      <c r="AI36" s="20">
        <f>IFERROR(AI5*변수!AI45,"")</f>
        <v/>
      </c>
      <c r="AJ36" s="35">
        <f>SUM(AF36:AI36)</f>
        <v/>
      </c>
      <c r="AK36" s="20">
        <f>IFERROR(AK5*변수!AK45,"")</f>
        <v/>
      </c>
      <c r="AL36" s="20">
        <f>IFERROR(AL5*변수!AL45,"")</f>
        <v/>
      </c>
      <c r="AM36" s="20">
        <f>IFERROR(AM5*변수!AM45,"")</f>
        <v/>
      </c>
      <c r="AN36" s="20">
        <f>IFERROR(AN5*변수!AN45,"")</f>
        <v/>
      </c>
      <c r="AO36" s="35">
        <f>SUM(AK36:AN36)</f>
        <v/>
      </c>
    </row>
    <row r="37">
      <c r="A37" s="12" t="inlineStr">
        <is>
          <t>OP기타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기타 부문(총매출 − 조선)</t>
        </is>
      </c>
      <c r="E37" s="18" t="n"/>
      <c r="F37" s="34" t="n"/>
      <c r="G37" s="18" t="n"/>
      <c r="H37" s="18" t="n"/>
      <c r="I37" s="18" t="n"/>
      <c r="J37" s="18" t="n"/>
      <c r="K37" s="34">
        <f>SUM(G37:J37)</f>
        <v/>
      </c>
      <c r="L37" s="18" t="n"/>
      <c r="M37" s="18" t="n"/>
      <c r="N37" s="18" t="n"/>
      <c r="O37" s="18" t="n"/>
      <c r="P37" s="34">
        <f>SUM(L37:O37)</f>
        <v/>
      </c>
      <c r="Q37" s="18" t="n"/>
      <c r="R37" s="18" t="n"/>
      <c r="S37" s="18" t="n"/>
      <c r="T37" s="18" t="n"/>
      <c r="U37" s="34">
        <f>SUM(Q37:T37)</f>
        <v/>
      </c>
      <c r="V37" s="18" t="n"/>
      <c r="W37" s="18" t="n"/>
      <c r="X37" s="18" t="n"/>
      <c r="Y37" s="18" t="n"/>
      <c r="Z37" s="34">
        <f>SUM(V37:Y37)</f>
        <v/>
      </c>
      <c r="AA37" s="18" t="n"/>
      <c r="AB37" s="19" t="n"/>
      <c r="AC37" s="20">
        <f>IFERROR(AC36*변수!AC46,"")</f>
        <v/>
      </c>
      <c r="AD37" s="20">
        <f>IFERROR(AD36*변수!AD46,"")</f>
        <v/>
      </c>
      <c r="AE37" s="35">
        <f>SUM(AA37:AD37)</f>
        <v/>
      </c>
      <c r="AF37" s="20">
        <f>IFERROR(AF36*변수!AF46,"")</f>
        <v/>
      </c>
      <c r="AG37" s="20">
        <f>IFERROR(AG36*변수!AG46,"")</f>
        <v/>
      </c>
      <c r="AH37" s="20">
        <f>IFERROR(AH36*변수!AH46,"")</f>
        <v/>
      </c>
      <c r="AI37" s="20">
        <f>IFERROR(AI36*변수!AI46,"")</f>
        <v/>
      </c>
      <c r="AJ37" s="35">
        <f>SUM(AF37:AI37)</f>
        <v/>
      </c>
      <c r="AK37" s="20">
        <f>IFERROR(AK36*변수!AK46,"")</f>
        <v/>
      </c>
      <c r="AL37" s="20">
        <f>IFERROR(AL36*변수!AL46,"")</f>
        <v/>
      </c>
      <c r="AM37" s="20">
        <f>IFERROR(AM36*변수!AM46,"")</f>
        <v/>
      </c>
      <c r="AN37" s="20">
        <f>IFERROR(AN36*변수!AN46,"")</f>
        <v/>
      </c>
      <c r="AO37" s="35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OPM</t>
        </is>
      </c>
      <c r="C39" t="inlineStr">
        <is>
          <t>%</t>
        </is>
      </c>
      <c r="D39" t="inlineStr">
        <is>
          <t>영업이익 / 매출액</t>
        </is>
      </c>
      <c r="E39" s="21">
        <f>IFERROR(E9/E5,"")</f>
        <v/>
      </c>
      <c r="F39" s="22">
        <f>IFERROR(F9/F5,"")</f>
        <v/>
      </c>
      <c r="G39" s="21">
        <f>IFERROR(G9/G5,"")</f>
        <v/>
      </c>
      <c r="H39" s="21">
        <f>IFERROR(H9/H5,"")</f>
        <v/>
      </c>
      <c r="I39" s="21">
        <f>IFERROR(I9/I5,"")</f>
        <v/>
      </c>
      <c r="J39" s="21">
        <f>IFERROR(J9/J5,"")</f>
        <v/>
      </c>
      <c r="K39" s="22">
        <f>IFERROR(K9/K5,"")</f>
        <v/>
      </c>
      <c r="L39" s="21">
        <f>IFERROR(L9/L5,"")</f>
        <v/>
      </c>
      <c r="M39" s="21">
        <f>IFERROR(M9/M5,"")</f>
        <v/>
      </c>
      <c r="N39" s="21">
        <f>IFERROR(N9/N5,"")</f>
        <v/>
      </c>
      <c r="O39" s="21">
        <f>IFERROR(O9/O5,"")</f>
        <v/>
      </c>
      <c r="P39" s="22">
        <f>IFERROR(P9/P5,"")</f>
        <v/>
      </c>
      <c r="Q39" s="21">
        <f>IFERROR(Q9/Q5,"")</f>
        <v/>
      </c>
      <c r="R39" s="21">
        <f>IFERROR(R9/R5,"")</f>
        <v/>
      </c>
      <c r="S39" s="21">
        <f>IFERROR(S9/S5,"")</f>
        <v/>
      </c>
      <c r="T39" s="21">
        <f>IFERROR(T9/T5,"")</f>
        <v/>
      </c>
      <c r="U39" s="22">
        <f>IFERROR(U9/U5,"")</f>
        <v/>
      </c>
      <c r="V39" s="21">
        <f>IFERROR(V9/V5,"")</f>
        <v/>
      </c>
      <c r="W39" s="21">
        <f>IFERROR(W9/W5,"")</f>
        <v/>
      </c>
      <c r="X39" s="21">
        <f>IFERROR(X9/X5,"")</f>
        <v/>
      </c>
      <c r="Y39" s="21">
        <f>IFERROR(Y9/Y5,"")</f>
        <v/>
      </c>
      <c r="Z39" s="22">
        <f>IFERROR(Z9/Z5,"")</f>
        <v/>
      </c>
      <c r="AA39" s="21">
        <f>IFERROR(AA9/AA5,"")</f>
        <v/>
      </c>
      <c r="AB39" s="23">
        <f>IFERROR(AB9/AB5,"")</f>
        <v/>
      </c>
      <c r="AC39" s="31">
        <f>IFERROR(AC9/AC5,"")</f>
        <v/>
      </c>
      <c r="AD39" s="31">
        <f>IFERROR(AD9/AD5,"")</f>
        <v/>
      </c>
      <c r="AE39" s="25">
        <f>IFERROR(AE9/AE5,"")</f>
        <v/>
      </c>
      <c r="AF39" s="31">
        <f>IFERROR(AF9/AF5,"")</f>
        <v/>
      </c>
      <c r="AG39" s="31">
        <f>IFERROR(AG9/AG5,"")</f>
        <v/>
      </c>
      <c r="AH39" s="31">
        <f>IFERROR(AH9/AH5,"")</f>
        <v/>
      </c>
      <c r="AI39" s="31">
        <f>IFERROR(AI9/AI5,"")</f>
        <v/>
      </c>
      <c r="AJ39" s="25">
        <f>IFERROR(AJ9/AJ5,"")</f>
        <v/>
      </c>
      <c r="AK39" s="31">
        <f>IFERROR(AK9/AK5,"")</f>
        <v/>
      </c>
      <c r="AL39" s="31">
        <f>IFERROR(AL9/AL5,"")</f>
        <v/>
      </c>
      <c r="AM39" s="31">
        <f>IFERROR(AM9/AM5,"")</f>
        <v/>
      </c>
      <c r="AN39" s="31">
        <f>IFERROR(AN9/AN5,"")</f>
        <v/>
      </c>
      <c r="AO39" s="25">
        <f>IFERROR(AO9/AO5,"")</f>
        <v/>
      </c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IFERROR(E16/E5,"")</f>
        <v/>
      </c>
      <c r="F40" s="22">
        <f>IFERROR(F16/F5,"")</f>
        <v/>
      </c>
      <c r="G40" s="21">
        <f>IFERROR(G16/G5,"")</f>
        <v/>
      </c>
      <c r="H40" s="21">
        <f>IFERROR(H16/H5,"")</f>
        <v/>
      </c>
      <c r="I40" s="21">
        <f>IFERROR(I16/I5,"")</f>
        <v/>
      </c>
      <c r="J40" s="21">
        <f>IFERROR(J16/J5,"")</f>
        <v/>
      </c>
      <c r="K40" s="22">
        <f>IFERROR(K16/K5,"")</f>
        <v/>
      </c>
      <c r="L40" s="21">
        <f>IFERROR(L16/L5,"")</f>
        <v/>
      </c>
      <c r="M40" s="21">
        <f>IFERROR(M16/M5,"")</f>
        <v/>
      </c>
      <c r="N40" s="21">
        <f>IFERROR(N16/N5,"")</f>
        <v/>
      </c>
      <c r="O40" s="21">
        <f>IFERROR(O16/O5,"")</f>
        <v/>
      </c>
      <c r="P40" s="22">
        <f>IFERROR(P16/P5,"")</f>
        <v/>
      </c>
      <c r="Q40" s="21">
        <f>IFERROR(Q16/Q5,"")</f>
        <v/>
      </c>
      <c r="R40" s="21">
        <f>IFERROR(R16/R5,"")</f>
        <v/>
      </c>
      <c r="S40" s="21">
        <f>IFERROR(S16/S5,"")</f>
        <v/>
      </c>
      <c r="T40" s="21">
        <f>IFERROR(T16/T5,"")</f>
        <v/>
      </c>
      <c r="U40" s="22">
        <f>IFERROR(U16/U5,"")</f>
        <v/>
      </c>
      <c r="V40" s="21">
        <f>IFERROR(V16/V5,"")</f>
        <v/>
      </c>
      <c r="W40" s="21">
        <f>IFERROR(W16/W5,"")</f>
        <v/>
      </c>
      <c r="X40" s="21">
        <f>IFERROR(X16/X5,"")</f>
        <v/>
      </c>
      <c r="Y40" s="21">
        <f>IFERROR(Y16/Y5,"")</f>
        <v/>
      </c>
      <c r="Z40" s="22">
        <f>IFERROR(Z16/Z5,"")</f>
        <v/>
      </c>
      <c r="AA40" s="21">
        <f>IFERROR(AA16/AA5,"")</f>
        <v/>
      </c>
      <c r="AB40" s="23">
        <f>IFERROR(AB16/AB5,"")</f>
        <v/>
      </c>
      <c r="AC40" s="31">
        <f>IFERROR(AC16/AC5,"")</f>
        <v/>
      </c>
      <c r="AD40" s="31">
        <f>IFERROR(AD16/AD5,"")</f>
        <v/>
      </c>
      <c r="AE40" s="25">
        <f>IFERROR(AE16/AE5,"")</f>
        <v/>
      </c>
      <c r="AF40" s="31">
        <f>IFERROR(AF16/AF5,"")</f>
        <v/>
      </c>
      <c r="AG40" s="31">
        <f>IFERROR(AG16/AG5,"")</f>
        <v/>
      </c>
      <c r="AH40" s="31">
        <f>IFERROR(AH16/AH5,"")</f>
        <v/>
      </c>
      <c r="AI40" s="31">
        <f>IFERROR(AI16/AI5,"")</f>
        <v/>
      </c>
      <c r="AJ40" s="25">
        <f>IFERROR(AJ16/AJ5,"")</f>
        <v/>
      </c>
      <c r="AK40" s="31">
        <f>IFERROR(AK16/AK5,"")</f>
        <v/>
      </c>
      <c r="AL40" s="31">
        <f>IFERROR(AL16/AL5,"")</f>
        <v/>
      </c>
      <c r="AM40" s="31">
        <f>IFERROR(AM16/AM5,"")</f>
        <v/>
      </c>
      <c r="AN40" s="31">
        <f>IFERROR(AN16/AN5,"")</f>
        <v/>
      </c>
      <c r="AO40" s="25">
        <f>IFERROR(AO16/AO5,"")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1">
        <f>IFERROR(AC6/AC5,"")</f>
        <v/>
      </c>
      <c r="AD41" s="31">
        <f>IFERROR(AD6/AD5,"")</f>
        <v/>
      </c>
      <c r="AE41" s="25">
        <f>IFERROR(AE6/AE5,"")</f>
        <v/>
      </c>
      <c r="AF41" s="31">
        <f>IFERROR(AF6/AF5,"")</f>
        <v/>
      </c>
      <c r="AG41" s="31">
        <f>IFERROR(AG6/AG5,"")</f>
        <v/>
      </c>
      <c r="AH41" s="31">
        <f>IFERROR(AH6/AH5,"")</f>
        <v/>
      </c>
      <c r="AI41" s="31">
        <f>IFERROR(AI6/AI5,"")</f>
        <v/>
      </c>
      <c r="AJ41" s="25">
        <f>IFERROR(AJ6/AJ5,"")</f>
        <v/>
      </c>
      <c r="AK41" s="31">
        <f>IFERROR(AK6/AK5,"")</f>
        <v/>
      </c>
      <c r="AL41" s="31">
        <f>IFERROR(AL6/AL5,"")</f>
        <v/>
      </c>
      <c r="AM41" s="31">
        <f>IFERROR(AM6/AM5,"")</f>
        <v/>
      </c>
      <c r="AN41" s="31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1">
        <f>IFERROR(AC8/AC5,"")</f>
        <v/>
      </c>
      <c r="AD42" s="31">
        <f>IFERROR(AD8/AD5,"")</f>
        <v/>
      </c>
      <c r="AE42" s="25">
        <f>IFERROR(AE8/AE5,"")</f>
        <v/>
      </c>
      <c r="AF42" s="31">
        <f>IFERROR(AF8/AF5,"")</f>
        <v/>
      </c>
      <c r="AG42" s="31">
        <f>IFERROR(AG8/AG5,"")</f>
        <v/>
      </c>
      <c r="AH42" s="31">
        <f>IFERROR(AH8/AH5,"")</f>
        <v/>
      </c>
      <c r="AI42" s="31">
        <f>IFERROR(AI8/AI5,"")</f>
        <v/>
      </c>
      <c r="AJ42" s="25">
        <f>IFERROR(AJ8/AJ5,"")</f>
        <v/>
      </c>
      <c r="AK42" s="31">
        <f>IFERROR(AK8/AK5,"")</f>
        <v/>
      </c>
      <c r="AL42" s="31">
        <f>IFERROR(AL8/AL5,"")</f>
        <v/>
      </c>
      <c r="AM42" s="31">
        <f>IFERROR(AM8/AM5,"")</f>
        <v/>
      </c>
      <c r="AN42" s="31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E7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</cols>
  <sheetData>
    <row r="1">
      <c r="C1" s="2" t="inlineStr">
        <is>
          <t>이름: SLS_H · 선표 매출인식(백만$) — sls json origin 2026Q2</t>
        </is>
      </c>
      <c r="E1" s="3" t="inlineStr">
        <is>
          <t>2Q18</t>
        </is>
      </c>
      <c r="F1" s="3" t="inlineStr">
        <is>
          <t>3Q18</t>
        </is>
      </c>
      <c r="G1" s="3" t="inlineStr">
        <is>
          <t>4Q18</t>
        </is>
      </c>
      <c r="H1" s="3" t="inlineStr">
        <is>
          <t>1Q19</t>
        </is>
      </c>
      <c r="I1" s="3" t="inlineStr">
        <is>
          <t>2Q19</t>
        </is>
      </c>
      <c r="J1" s="3" t="inlineStr">
        <is>
          <t>3Q19</t>
        </is>
      </c>
      <c r="K1" s="3" t="inlineStr">
        <is>
          <t>4Q19</t>
        </is>
      </c>
      <c r="L1" s="3" t="inlineStr">
        <is>
          <t>1Q20</t>
        </is>
      </c>
      <c r="M1" s="3" t="inlineStr">
        <is>
          <t>2Q20</t>
        </is>
      </c>
      <c r="N1" s="3" t="inlineStr">
        <is>
          <t>3Q20</t>
        </is>
      </c>
      <c r="O1" s="3" t="inlineStr">
        <is>
          <t>4Q20</t>
        </is>
      </c>
      <c r="P1" s="3" t="inlineStr">
        <is>
          <t>1Q21</t>
        </is>
      </c>
      <c r="Q1" s="3" t="inlineStr">
        <is>
          <t>2Q21</t>
        </is>
      </c>
      <c r="R1" s="3" t="inlineStr">
        <is>
          <t>3Q21</t>
        </is>
      </c>
      <c r="S1" s="3" t="inlineStr">
        <is>
          <t>4Q21</t>
        </is>
      </c>
      <c r="T1" s="3" t="inlineStr">
        <is>
          <t>1Q22</t>
        </is>
      </c>
      <c r="U1" s="3" t="inlineStr">
        <is>
          <t>2Q22</t>
        </is>
      </c>
      <c r="V1" s="3" t="inlineStr">
        <is>
          <t>3Q22</t>
        </is>
      </c>
      <c r="W1" s="3" t="inlineStr">
        <is>
          <t>4Q22</t>
        </is>
      </c>
      <c r="X1" s="3" t="inlineStr">
        <is>
          <t>1Q23</t>
        </is>
      </c>
      <c r="Y1" s="3" t="inlineStr">
        <is>
          <t>2Q23</t>
        </is>
      </c>
      <c r="Z1" s="3" t="inlineStr">
        <is>
          <t>3Q23</t>
        </is>
      </c>
      <c r="AA1" s="3" t="inlineStr">
        <is>
          <t>4Q23</t>
        </is>
      </c>
      <c r="AB1" s="3" t="inlineStr">
        <is>
          <t>1Q24</t>
        </is>
      </c>
      <c r="AC1" s="3" t="inlineStr">
        <is>
          <t>2Q24</t>
        </is>
      </c>
      <c r="AD1" s="3" t="inlineStr">
        <is>
          <t>3Q24</t>
        </is>
      </c>
      <c r="AE1" s="3" t="inlineStr">
        <is>
          <t>4Q24</t>
        </is>
      </c>
      <c r="AF1" s="3" t="inlineStr">
        <is>
          <t>1Q25</t>
        </is>
      </c>
      <c r="AG1" s="3" t="inlineStr">
        <is>
          <t>2Q25</t>
        </is>
      </c>
      <c r="AH1" s="3" t="inlineStr">
        <is>
          <t>3Q25</t>
        </is>
      </c>
      <c r="AI1" s="3" t="inlineStr">
        <is>
          <t>4Q25</t>
        </is>
      </c>
      <c r="AJ1" s="3" t="inlineStr">
        <is>
          <t>1Q26</t>
        </is>
      </c>
      <c r="AK1" s="3" t="inlineStr">
        <is>
          <t>2Q26</t>
        </is>
      </c>
      <c r="AL1" s="3" t="inlineStr">
        <is>
          <t>3Q26</t>
        </is>
      </c>
      <c r="AM1" s="3" t="inlineStr">
        <is>
          <t>4Q26</t>
        </is>
      </c>
      <c r="AN1" s="3" t="inlineStr">
        <is>
          <t>1Q27</t>
        </is>
      </c>
      <c r="AO1" s="3" t="inlineStr">
        <is>
          <t>2Q27</t>
        </is>
      </c>
      <c r="AP1" s="3" t="inlineStr">
        <is>
          <t>3Q27</t>
        </is>
      </c>
      <c r="AQ1" s="3" t="inlineStr">
        <is>
          <t>4Q27</t>
        </is>
      </c>
      <c r="AR1" s="3" t="inlineStr">
        <is>
          <t>1Q28</t>
        </is>
      </c>
      <c r="AS1" s="3" t="inlineStr">
        <is>
          <t>2Q28</t>
        </is>
      </c>
      <c r="AT1" s="3" t="inlineStr">
        <is>
          <t>3Q28</t>
        </is>
      </c>
      <c r="AU1" s="3" t="inlineStr">
        <is>
          <t>4Q28</t>
        </is>
      </c>
      <c r="AV1" s="3" t="inlineStr">
        <is>
          <t>1Q29</t>
        </is>
      </c>
      <c r="AW1" s="3" t="inlineStr">
        <is>
          <t>2Q29</t>
        </is>
      </c>
      <c r="AX1" s="3" t="inlineStr">
        <is>
          <t>3Q29</t>
        </is>
      </c>
      <c r="AY1" s="3" t="inlineStr">
        <is>
          <t>4Q29</t>
        </is>
      </c>
      <c r="AZ1" s="3" t="inlineStr">
        <is>
          <t>1Q30</t>
        </is>
      </c>
      <c r="BA1" s="3" t="inlineStr">
        <is>
          <t>2Q30</t>
        </is>
      </c>
      <c r="BB1" s="3" t="inlineStr">
        <is>
          <t>3Q30</t>
        </is>
      </c>
      <c r="BC1" s="3" t="inlineStr">
        <is>
          <t>4Q30</t>
        </is>
      </c>
      <c r="BD1" s="3" t="inlineStr">
        <is>
          <t>1Q31</t>
        </is>
      </c>
      <c r="BE1" s="3" t="inlineStr">
        <is>
          <t>2Q31</t>
        </is>
      </c>
      <c r="BF1" s="3" t="inlineStr">
        <is>
          <t>3Q31</t>
        </is>
      </c>
      <c r="BG1" s="3" t="inlineStr">
        <is>
          <t>4Q31</t>
        </is>
      </c>
      <c r="BH1" s="3" t="inlineStr">
        <is>
          <t>1Q32</t>
        </is>
      </c>
      <c r="BI1" s="3" t="inlineStr">
        <is>
          <t>2Q32</t>
        </is>
      </c>
      <c r="BJ1" s="3" t="inlineStr">
        <is>
          <t>3Q32</t>
        </is>
      </c>
      <c r="BK1" s="3" t="inlineStr">
        <is>
          <t>4Q32</t>
        </is>
      </c>
      <c r="BL1" s="3" t="inlineStr">
        <is>
          <t>1Q33</t>
        </is>
      </c>
      <c r="BM1" s="3" t="inlineStr">
        <is>
          <t>2Q33</t>
        </is>
      </c>
      <c r="BN1" s="3" t="inlineStr">
        <is>
          <t>3Q33</t>
        </is>
      </c>
      <c r="BO1" s="3" t="inlineStr">
        <is>
          <t>4Q33</t>
        </is>
      </c>
      <c r="BP1" s="3" t="inlineStr">
        <is>
          <t>1Q34</t>
        </is>
      </c>
      <c r="BQ1" s="3" t="inlineStr">
        <is>
          <t>2Q34</t>
        </is>
      </c>
      <c r="BR1" s="3" t="inlineStr">
        <is>
          <t>3Q34</t>
        </is>
      </c>
      <c r="BS1" s="3" t="inlineStr">
        <is>
          <t>4Q34</t>
        </is>
      </c>
      <c r="BT1" s="3" t="inlineStr">
        <is>
          <t>1Q35</t>
        </is>
      </c>
      <c r="BU1" s="3" t="inlineStr">
        <is>
          <t>2Q35</t>
        </is>
      </c>
      <c r="BV1" s="3" t="inlineStr">
        <is>
          <t>3Q35</t>
        </is>
      </c>
      <c r="BW1" s="3" t="inlineStr">
        <is>
          <t>4Q35</t>
        </is>
      </c>
      <c r="BX1" s="3" t="inlineStr">
        <is>
          <t>1Q36</t>
        </is>
      </c>
      <c r="BY1" s="3" t="inlineStr">
        <is>
          <t>2Q36</t>
        </is>
      </c>
      <c r="BZ1" s="3" t="inlineStr">
        <is>
          <t>3Q36</t>
        </is>
      </c>
      <c r="CA1" s="3" t="inlineStr">
        <is>
          <t>4Q36</t>
        </is>
      </c>
      <c r="CB1" s="3" t="inlineStr">
        <is>
          <t>1Q37</t>
        </is>
      </c>
      <c r="CC1" s="3" t="inlineStr">
        <is>
          <t>2Q37</t>
        </is>
      </c>
      <c r="CD1" s="3" t="inlineStr">
        <is>
          <t>3Q37</t>
        </is>
      </c>
      <c r="CE1" s="3" t="inlineStr">
        <is>
          <t>4Q37</t>
        </is>
      </c>
      <c r="CF1" s="3" t="inlineStr">
        <is>
          <t>1Q38</t>
        </is>
      </c>
      <c r="CG1" s="3" t="inlineStr">
        <is>
          <t>2Q38</t>
        </is>
      </c>
      <c r="CH1" s="3" t="inlineStr">
        <is>
          <t>3Q38</t>
        </is>
      </c>
      <c r="CI1" s="3" t="inlineStr">
        <is>
          <t>4Q38</t>
        </is>
      </c>
      <c r="CJ1" s="3" t="inlineStr">
        <is>
          <t>1Q39</t>
        </is>
      </c>
      <c r="CK1" s="3" t="inlineStr">
        <is>
          <t>2Q39</t>
        </is>
      </c>
      <c r="CL1" s="3" t="inlineStr">
        <is>
          <t>3Q39</t>
        </is>
      </c>
      <c r="CM1" s="3" t="inlineStr">
        <is>
          <t>4Q39</t>
        </is>
      </c>
      <c r="CN1" s="3" t="inlineStr">
        <is>
          <t>1Q40</t>
        </is>
      </c>
      <c r="CO1" s="3" t="inlineStr">
        <is>
          <t>2Q40</t>
        </is>
      </c>
      <c r="CP1" s="3" t="inlineStr">
        <is>
          <t>3Q40</t>
        </is>
      </c>
      <c r="CQ1" s="3" t="inlineStr">
        <is>
          <t>4Q40</t>
        </is>
      </c>
      <c r="CR1" s="3" t="inlineStr">
        <is>
          <t>1Q41</t>
        </is>
      </c>
      <c r="CS1" s="3" t="inlineStr">
        <is>
          <t>2Q41</t>
        </is>
      </c>
      <c r="CT1" s="3" t="inlineStr">
        <is>
          <t>3Q41</t>
        </is>
      </c>
      <c r="CU1" s="3" t="inlineStr">
        <is>
          <t>4Q41</t>
        </is>
      </c>
      <c r="CV1" s="3" t="inlineStr">
        <is>
          <t>1Q42</t>
        </is>
      </c>
      <c r="CW1" s="3" t="inlineStr">
        <is>
          <t>2Q42</t>
        </is>
      </c>
      <c r="CX1" s="3" t="inlineStr">
        <is>
          <t>3Q42</t>
        </is>
      </c>
      <c r="CY1" s="3" t="inlineStr">
        <is>
          <t>4Q42</t>
        </is>
      </c>
      <c r="CZ1" s="3" t="inlineStr">
        <is>
          <t>1Q43</t>
        </is>
      </c>
      <c r="DA1" s="3" t="inlineStr">
        <is>
          <t>2Q43</t>
        </is>
      </c>
      <c r="DB1" s="3" t="inlineStr">
        <is>
          <t>3Q43</t>
        </is>
      </c>
      <c r="DC1" s="3" t="inlineStr">
        <is>
          <t>4Q43</t>
        </is>
      </c>
      <c r="DD1" s="3" t="inlineStr">
        <is>
          <t>1Q44</t>
        </is>
      </c>
      <c r="DE1" s="3" t="inlineStr">
        <is>
          <t>2Q44</t>
        </is>
      </c>
      <c r="DF1" s="3" t="inlineStr">
        <is>
          <t>3Q44</t>
        </is>
      </c>
      <c r="DG1" s="3" t="inlineStr">
        <is>
          <t>4Q44</t>
        </is>
      </c>
      <c r="DH1" s="3" t="inlineStr">
        <is>
          <t>1Q45</t>
        </is>
      </c>
      <c r="DI1" s="3" t="inlineStr">
        <is>
          <t>2Q45</t>
        </is>
      </c>
      <c r="DJ1" s="3" t="inlineStr">
        <is>
          <t>3Q45</t>
        </is>
      </c>
      <c r="DK1" s="3" t="inlineStr">
        <is>
          <t>4Q45</t>
        </is>
      </c>
      <c r="DL1" s="3" t="inlineStr">
        <is>
          <t>1Q46</t>
        </is>
      </c>
      <c r="DM1" s="3" t="inlineStr">
        <is>
          <t>2Q46</t>
        </is>
      </c>
      <c r="DN1" s="3" t="inlineStr">
        <is>
          <t>3Q46</t>
        </is>
      </c>
      <c r="DO1" s="3" t="inlineStr">
        <is>
          <t>4Q46</t>
        </is>
      </c>
      <c r="DP1" s="3" t="inlineStr">
        <is>
          <t>1Q47</t>
        </is>
      </c>
      <c r="DQ1" s="3" t="inlineStr">
        <is>
          <t>2Q47</t>
        </is>
      </c>
      <c r="DR1" s="3" t="inlineStr">
        <is>
          <t>3Q47</t>
        </is>
      </c>
      <c r="DS1" s="3" t="inlineStr">
        <is>
          <t>4Q47</t>
        </is>
      </c>
      <c r="DT1" s="3" t="inlineStr">
        <is>
          <t>1Q48</t>
        </is>
      </c>
      <c r="DU1" s="3" t="inlineStr">
        <is>
          <t>2Q48</t>
        </is>
      </c>
      <c r="DV1" s="3" t="inlineStr">
        <is>
          <t>3Q48</t>
        </is>
      </c>
      <c r="DW1" s="3" t="inlineStr">
        <is>
          <t>4Q48</t>
        </is>
      </c>
      <c r="DX1" s="3" t="inlineStr">
        <is>
          <t>1Q49</t>
        </is>
      </c>
      <c r="DY1" s="3" t="inlineStr">
        <is>
          <t>2Q49</t>
        </is>
      </c>
      <c r="DZ1" s="3" t="n">
        <v>2018</v>
      </c>
      <c r="EA1" s="3" t="n">
        <v>2019</v>
      </c>
      <c r="EB1" s="3" t="n">
        <v>2020</v>
      </c>
      <c r="EC1" s="3" t="n">
        <v>2021</v>
      </c>
      <c r="ED1" s="3" t="n">
        <v>2022</v>
      </c>
      <c r="EE1" s="3" t="n">
        <v>2023</v>
      </c>
      <c r="EF1" s="3" t="n">
        <v>2024</v>
      </c>
      <c r="EG1" s="3" t="n">
        <v>2025</v>
      </c>
      <c r="EH1" s="3" t="n">
        <v>2026</v>
      </c>
      <c r="EI1" s="3" t="n">
        <v>2027</v>
      </c>
      <c r="EJ1" s="3" t="n">
        <v>2028</v>
      </c>
      <c r="EK1" s="3" t="n">
        <v>2029</v>
      </c>
      <c r="EL1" s="3" t="n">
        <v>2030</v>
      </c>
      <c r="EM1" s="3" t="n">
        <v>2031</v>
      </c>
      <c r="EN1" s="3" t="n">
        <v>2032</v>
      </c>
      <c r="EO1" s="3" t="n">
        <v>2033</v>
      </c>
      <c r="EP1" s="3" t="n">
        <v>2034</v>
      </c>
      <c r="EQ1" s="3" t="n">
        <v>2035</v>
      </c>
      <c r="ER1" s="3" t="n">
        <v>2036</v>
      </c>
      <c r="ES1" s="3" t="n">
        <v>2037</v>
      </c>
      <c r="ET1" s="3" t="n">
        <v>2038</v>
      </c>
      <c r="EU1" s="3" t="n">
        <v>2039</v>
      </c>
      <c r="EV1" s="3" t="n">
        <v>2040</v>
      </c>
      <c r="EW1" s="3" t="n">
        <v>2041</v>
      </c>
      <c r="EX1" s="3" t="n">
        <v>2042</v>
      </c>
      <c r="EY1" s="3" t="n">
        <v>2043</v>
      </c>
      <c r="EZ1" s="3" t="n">
        <v>2044</v>
      </c>
      <c r="FA1" s="3" t="n">
        <v>2045</v>
      </c>
      <c r="FB1" s="3" t="n">
        <v>2046</v>
      </c>
      <c r="FC1" s="3" t="n">
        <v>2047</v>
      </c>
      <c r="FD1" s="3" t="n">
        <v>2048</v>
      </c>
      <c r="FE1" s="3" t="n">
        <v>2049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  <c r="BT3" s="2" t="n">
        <v>68</v>
      </c>
      <c r="BU3" s="2" t="n">
        <v>69</v>
      </c>
      <c r="BV3" s="2" t="n">
        <v>70</v>
      </c>
      <c r="BW3" s="2" t="n">
        <v>71</v>
      </c>
      <c r="BX3" s="2" t="n">
        <v>72</v>
      </c>
      <c r="BY3" s="2" t="n">
        <v>73</v>
      </c>
      <c r="BZ3" s="2" t="n">
        <v>74</v>
      </c>
      <c r="CA3" s="2" t="n">
        <v>75</v>
      </c>
      <c r="CB3" s="2" t="n">
        <v>76</v>
      </c>
      <c r="CC3" s="2" t="n">
        <v>77</v>
      </c>
      <c r="CD3" s="2" t="n">
        <v>78</v>
      </c>
      <c r="CE3" s="2" t="n">
        <v>79</v>
      </c>
      <c r="CF3" s="2" t="n">
        <v>80</v>
      </c>
      <c r="CG3" s="2" t="n">
        <v>81</v>
      </c>
      <c r="CH3" s="2" t="n">
        <v>82</v>
      </c>
      <c r="CI3" s="2" t="n">
        <v>83</v>
      </c>
      <c r="CJ3" s="2" t="n">
        <v>84</v>
      </c>
      <c r="CK3" s="2" t="n">
        <v>85</v>
      </c>
      <c r="CL3" s="2" t="n">
        <v>86</v>
      </c>
      <c r="CM3" s="2" t="n">
        <v>87</v>
      </c>
      <c r="CN3" s="2" t="n">
        <v>88</v>
      </c>
      <c r="CO3" s="2" t="n">
        <v>89</v>
      </c>
      <c r="CP3" s="2" t="n">
        <v>90</v>
      </c>
      <c r="CQ3" s="2" t="n">
        <v>91</v>
      </c>
      <c r="CR3" s="2" t="n">
        <v>92</v>
      </c>
      <c r="CS3" s="2" t="n">
        <v>93</v>
      </c>
      <c r="CT3" s="2" t="n">
        <v>94</v>
      </c>
      <c r="CU3" s="2" t="n">
        <v>95</v>
      </c>
      <c r="CV3" s="2" t="n">
        <v>96</v>
      </c>
      <c r="CW3" s="2" t="n">
        <v>97</v>
      </c>
      <c r="CX3" s="2" t="n">
        <v>98</v>
      </c>
      <c r="CY3" s="2" t="n">
        <v>99</v>
      </c>
      <c r="CZ3" s="2" t="n">
        <v>100</v>
      </c>
      <c r="DA3" s="2" t="n">
        <v>101</v>
      </c>
      <c r="DB3" s="2" t="n">
        <v>102</v>
      </c>
      <c r="DC3" s="2" t="n">
        <v>103</v>
      </c>
      <c r="DD3" s="2" t="n">
        <v>104</v>
      </c>
      <c r="DE3" s="2" t="n">
        <v>105</v>
      </c>
      <c r="DF3" s="2" t="n">
        <v>106</v>
      </c>
      <c r="DG3" s="2" t="n">
        <v>107</v>
      </c>
      <c r="DH3" s="2" t="n">
        <v>108</v>
      </c>
      <c r="DI3" s="2" t="n">
        <v>109</v>
      </c>
      <c r="DJ3" s="2" t="n">
        <v>110</v>
      </c>
      <c r="DK3" s="2" t="n">
        <v>111</v>
      </c>
      <c r="DL3" s="2" t="n">
        <v>112</v>
      </c>
      <c r="DM3" s="2" t="n">
        <v>113</v>
      </c>
      <c r="DN3" s="2" t="n">
        <v>114</v>
      </c>
      <c r="DO3" s="2" t="n">
        <v>115</v>
      </c>
      <c r="DP3" s="2" t="n">
        <v>116</v>
      </c>
      <c r="DQ3" s="2" t="n">
        <v>117</v>
      </c>
      <c r="DR3" s="2" t="n">
        <v>118</v>
      </c>
      <c r="DS3" s="2" t="n">
        <v>119</v>
      </c>
      <c r="DT3" s="2" t="n">
        <v>120</v>
      </c>
      <c r="DU3" s="2" t="n">
        <v>121</v>
      </c>
      <c r="DV3" s="2" t="n">
        <v>122</v>
      </c>
      <c r="DW3" s="2" t="n">
        <v>123</v>
      </c>
      <c r="DX3" s="2" t="n">
        <v>124</v>
      </c>
      <c r="DY3" s="2" t="n">
        <v>125</v>
      </c>
      <c r="DZ3" s="2" t="n">
        <v>126</v>
      </c>
      <c r="EA3" s="2" t="n">
        <v>127</v>
      </c>
      <c r="EB3" s="2" t="n">
        <v>128</v>
      </c>
      <c r="EC3" s="2" t="n">
        <v>129</v>
      </c>
      <c r="ED3" s="2" t="n">
        <v>130</v>
      </c>
      <c r="EE3" s="2" t="n">
        <v>131</v>
      </c>
      <c r="EF3" s="2" t="n">
        <v>132</v>
      </c>
      <c r="EG3" s="2" t="n">
        <v>133</v>
      </c>
      <c r="EH3" s="2" t="n">
        <v>134</v>
      </c>
      <c r="EI3" s="2" t="n">
        <v>135</v>
      </c>
      <c r="EJ3" s="2" t="n">
        <v>136</v>
      </c>
      <c r="EK3" s="2" t="n">
        <v>137</v>
      </c>
      <c r="EL3" s="2" t="n">
        <v>138</v>
      </c>
      <c r="EM3" s="2" t="n">
        <v>139</v>
      </c>
      <c r="EN3" s="2" t="n">
        <v>140</v>
      </c>
      <c r="EO3" s="2" t="n">
        <v>141</v>
      </c>
      <c r="EP3" s="2" t="n">
        <v>142</v>
      </c>
      <c r="EQ3" s="2" t="n">
        <v>143</v>
      </c>
      <c r="ER3" s="2" t="n">
        <v>144</v>
      </c>
      <c r="ES3" s="2" t="n">
        <v>145</v>
      </c>
      <c r="ET3" s="2" t="n">
        <v>146</v>
      </c>
      <c r="EU3" s="2" t="n">
        <v>147</v>
      </c>
      <c r="EV3" s="2" t="n">
        <v>148</v>
      </c>
      <c r="EW3" s="2" t="n">
        <v>149</v>
      </c>
      <c r="EX3" s="2" t="n">
        <v>150</v>
      </c>
      <c r="EY3" s="2" t="n">
        <v>151</v>
      </c>
      <c r="EZ3" s="2" t="n">
        <v>152</v>
      </c>
      <c r="FA3" s="2" t="n">
        <v>153</v>
      </c>
      <c r="FB3" s="2" t="n">
        <v>154</v>
      </c>
      <c r="FC3" s="2" t="n">
        <v>155</v>
      </c>
      <c r="FD3" s="2" t="n">
        <v>156</v>
      </c>
      <c r="FE3" s="2" t="n">
        <v>157</v>
      </c>
    </row>
    <row r="4">
      <c r="E4" s="7" t="inlineStr">
        <is>
          <t>2018.06</t>
        </is>
      </c>
      <c r="F4" s="7" t="inlineStr">
        <is>
          <t>2018.09</t>
        </is>
      </c>
      <c r="G4" s="7" t="inlineStr">
        <is>
          <t>2018.12</t>
        </is>
      </c>
      <c r="H4" s="7" t="inlineStr">
        <is>
          <t>2019.03</t>
        </is>
      </c>
      <c r="I4" s="7" t="inlineStr">
        <is>
          <t>2019.06</t>
        </is>
      </c>
      <c r="J4" s="7" t="inlineStr">
        <is>
          <t>2019.09</t>
        </is>
      </c>
      <c r="K4" s="7" t="inlineStr">
        <is>
          <t>2019.12</t>
        </is>
      </c>
      <c r="L4" s="7" t="inlineStr">
        <is>
          <t>2020.03</t>
        </is>
      </c>
      <c r="M4" s="7" t="inlineStr">
        <is>
          <t>2020.06</t>
        </is>
      </c>
      <c r="N4" s="7" t="inlineStr">
        <is>
          <t>2020.09</t>
        </is>
      </c>
      <c r="O4" s="7" t="inlineStr">
        <is>
          <t>2020.12</t>
        </is>
      </c>
      <c r="P4" s="7" t="inlineStr">
        <is>
          <t>2021.03</t>
        </is>
      </c>
      <c r="Q4" s="7" t="inlineStr">
        <is>
          <t>2021.06</t>
        </is>
      </c>
      <c r="R4" s="7" t="inlineStr">
        <is>
          <t>2021.09</t>
        </is>
      </c>
      <c r="S4" s="7" t="inlineStr">
        <is>
          <t>2021.12</t>
        </is>
      </c>
      <c r="T4" s="7" t="inlineStr">
        <is>
          <t>2022.03</t>
        </is>
      </c>
      <c r="U4" s="7" t="inlineStr">
        <is>
          <t>2022.06</t>
        </is>
      </c>
      <c r="V4" s="7" t="inlineStr">
        <is>
          <t>2022.09</t>
        </is>
      </c>
      <c r="W4" s="7" t="inlineStr">
        <is>
          <t>2022.12</t>
        </is>
      </c>
      <c r="X4" s="7" t="inlineStr">
        <is>
          <t>2023.03</t>
        </is>
      </c>
      <c r="Y4" s="7" t="inlineStr">
        <is>
          <t>2023.06</t>
        </is>
      </c>
      <c r="Z4" s="7" t="inlineStr">
        <is>
          <t>2023.09</t>
        </is>
      </c>
      <c r="AA4" s="7" t="inlineStr">
        <is>
          <t>2023.12</t>
        </is>
      </c>
      <c r="AB4" s="7" t="inlineStr">
        <is>
          <t>2024.03</t>
        </is>
      </c>
      <c r="AC4" s="7" t="inlineStr">
        <is>
          <t>2024.06</t>
        </is>
      </c>
      <c r="AD4" s="7" t="inlineStr">
        <is>
          <t>2024.09</t>
        </is>
      </c>
      <c r="AE4" s="7" t="inlineStr">
        <is>
          <t>2024.12</t>
        </is>
      </c>
      <c r="AF4" s="7" t="inlineStr">
        <is>
          <t>2025.03</t>
        </is>
      </c>
      <c r="AG4" s="7" t="inlineStr">
        <is>
          <t>2025.06</t>
        </is>
      </c>
      <c r="AH4" s="7" t="inlineStr">
        <is>
          <t>2025.09</t>
        </is>
      </c>
      <c r="AI4" s="7" t="inlineStr">
        <is>
          <t>2025.12</t>
        </is>
      </c>
      <c r="AJ4" s="7" t="inlineStr">
        <is>
          <t>2026.03</t>
        </is>
      </c>
      <c r="AK4" s="7" t="inlineStr">
        <is>
          <t>2026.06</t>
        </is>
      </c>
      <c r="AL4" s="7" t="inlineStr">
        <is>
          <t>2026.09</t>
        </is>
      </c>
      <c r="AM4" s="7" t="inlineStr">
        <is>
          <t>2026.12</t>
        </is>
      </c>
      <c r="AN4" s="7" t="inlineStr">
        <is>
          <t>2027.03</t>
        </is>
      </c>
      <c r="AO4" s="7" t="inlineStr">
        <is>
          <t>2027.06</t>
        </is>
      </c>
      <c r="AP4" s="7" t="inlineStr">
        <is>
          <t>2027.09</t>
        </is>
      </c>
      <c r="AQ4" s="7" t="inlineStr">
        <is>
          <t>2027.12</t>
        </is>
      </c>
      <c r="AR4" s="7" t="inlineStr">
        <is>
          <t>2028.03</t>
        </is>
      </c>
      <c r="AS4" s="7" t="inlineStr">
        <is>
          <t>2028.06</t>
        </is>
      </c>
      <c r="AT4" s="7" t="inlineStr">
        <is>
          <t>2028.09</t>
        </is>
      </c>
      <c r="AU4" s="7" t="inlineStr">
        <is>
          <t>2028.12</t>
        </is>
      </c>
      <c r="AV4" s="7" t="inlineStr">
        <is>
          <t>2029.03</t>
        </is>
      </c>
      <c r="AW4" s="7" t="inlineStr">
        <is>
          <t>2029.06</t>
        </is>
      </c>
      <c r="AX4" s="7" t="inlineStr">
        <is>
          <t>2029.09</t>
        </is>
      </c>
      <c r="AY4" s="7" t="inlineStr">
        <is>
          <t>2029.12</t>
        </is>
      </c>
      <c r="AZ4" s="7" t="inlineStr">
        <is>
          <t>2030.03</t>
        </is>
      </c>
      <c r="BA4" s="7" t="inlineStr">
        <is>
          <t>2030.06</t>
        </is>
      </c>
      <c r="BB4" s="7" t="inlineStr">
        <is>
          <t>2030.09</t>
        </is>
      </c>
      <c r="BC4" s="7" t="inlineStr">
        <is>
          <t>2030.12</t>
        </is>
      </c>
      <c r="BD4" s="7" t="inlineStr">
        <is>
          <t>2031.03</t>
        </is>
      </c>
      <c r="BE4" s="7" t="inlineStr">
        <is>
          <t>2031.06</t>
        </is>
      </c>
      <c r="BF4" s="7" t="inlineStr">
        <is>
          <t>2031.09</t>
        </is>
      </c>
      <c r="BG4" s="7" t="inlineStr">
        <is>
          <t>2031.12</t>
        </is>
      </c>
      <c r="BH4" s="7" t="inlineStr">
        <is>
          <t>2032.03</t>
        </is>
      </c>
      <c r="BI4" s="7" t="inlineStr">
        <is>
          <t>2032.06</t>
        </is>
      </c>
      <c r="BJ4" s="7" t="inlineStr">
        <is>
          <t>2032.09</t>
        </is>
      </c>
      <c r="BK4" s="7" t="inlineStr">
        <is>
          <t>2032.12</t>
        </is>
      </c>
      <c r="BL4" s="7" t="inlineStr">
        <is>
          <t>2033.03</t>
        </is>
      </c>
      <c r="BM4" s="7" t="inlineStr">
        <is>
          <t>2033.06</t>
        </is>
      </c>
      <c r="BN4" s="7" t="inlineStr">
        <is>
          <t>2033.09</t>
        </is>
      </c>
      <c r="BO4" s="7" t="inlineStr">
        <is>
          <t>2033.12</t>
        </is>
      </c>
      <c r="BP4" s="7" t="inlineStr">
        <is>
          <t>2034.03</t>
        </is>
      </c>
      <c r="BQ4" s="7" t="inlineStr">
        <is>
          <t>2034.06</t>
        </is>
      </c>
      <c r="BR4" s="7" t="inlineStr">
        <is>
          <t>2034.09</t>
        </is>
      </c>
      <c r="BS4" s="7" t="inlineStr">
        <is>
          <t>2034.12</t>
        </is>
      </c>
      <c r="BT4" s="7" t="inlineStr">
        <is>
          <t>2035.03</t>
        </is>
      </c>
      <c r="BU4" s="7" t="inlineStr">
        <is>
          <t>2035.06</t>
        </is>
      </c>
      <c r="BV4" s="7" t="inlineStr">
        <is>
          <t>2035.09</t>
        </is>
      </c>
      <c r="BW4" s="7" t="inlineStr">
        <is>
          <t>2035.12</t>
        </is>
      </c>
      <c r="BX4" s="7" t="inlineStr">
        <is>
          <t>2036.03</t>
        </is>
      </c>
      <c r="BY4" s="7" t="inlineStr">
        <is>
          <t>2036.06</t>
        </is>
      </c>
      <c r="BZ4" s="7" t="inlineStr">
        <is>
          <t>2036.09</t>
        </is>
      </c>
      <c r="CA4" s="7" t="inlineStr">
        <is>
          <t>2036.12</t>
        </is>
      </c>
      <c r="CB4" s="7" t="inlineStr">
        <is>
          <t>2037.03</t>
        </is>
      </c>
      <c r="CC4" s="7" t="inlineStr">
        <is>
          <t>2037.06</t>
        </is>
      </c>
      <c r="CD4" s="7" t="inlineStr">
        <is>
          <t>2037.09</t>
        </is>
      </c>
      <c r="CE4" s="7" t="inlineStr">
        <is>
          <t>2037.12</t>
        </is>
      </c>
      <c r="CF4" s="7" t="inlineStr">
        <is>
          <t>2038.03</t>
        </is>
      </c>
      <c r="CG4" s="7" t="inlineStr">
        <is>
          <t>2038.06</t>
        </is>
      </c>
      <c r="CH4" s="7" t="inlineStr">
        <is>
          <t>2038.09</t>
        </is>
      </c>
      <c r="CI4" s="7" t="inlineStr">
        <is>
          <t>2038.12</t>
        </is>
      </c>
      <c r="CJ4" s="7" t="inlineStr">
        <is>
          <t>2039.03</t>
        </is>
      </c>
      <c r="CK4" s="7" t="inlineStr">
        <is>
          <t>2039.06</t>
        </is>
      </c>
      <c r="CL4" s="7" t="inlineStr">
        <is>
          <t>2039.09</t>
        </is>
      </c>
      <c r="CM4" s="7" t="inlineStr">
        <is>
          <t>2039.12</t>
        </is>
      </c>
      <c r="CN4" s="7" t="inlineStr">
        <is>
          <t>2040.03</t>
        </is>
      </c>
      <c r="CO4" s="7" t="inlineStr">
        <is>
          <t>2040.06</t>
        </is>
      </c>
      <c r="CP4" s="7" t="inlineStr">
        <is>
          <t>2040.09</t>
        </is>
      </c>
      <c r="CQ4" s="7" t="inlineStr">
        <is>
          <t>2040.12</t>
        </is>
      </c>
      <c r="CR4" s="7" t="inlineStr">
        <is>
          <t>2041.03</t>
        </is>
      </c>
      <c r="CS4" s="7" t="inlineStr">
        <is>
          <t>2041.06</t>
        </is>
      </c>
      <c r="CT4" s="7" t="inlineStr">
        <is>
          <t>2041.09</t>
        </is>
      </c>
      <c r="CU4" s="7" t="inlineStr">
        <is>
          <t>2041.12</t>
        </is>
      </c>
      <c r="CV4" s="7" t="inlineStr">
        <is>
          <t>2042.03</t>
        </is>
      </c>
      <c r="CW4" s="7" t="inlineStr">
        <is>
          <t>2042.06</t>
        </is>
      </c>
      <c r="CX4" s="7" t="inlineStr">
        <is>
          <t>2042.09</t>
        </is>
      </c>
      <c r="CY4" s="7" t="inlineStr">
        <is>
          <t>2042.12</t>
        </is>
      </c>
      <c r="CZ4" s="7" t="inlineStr">
        <is>
          <t>2043.03</t>
        </is>
      </c>
      <c r="DA4" s="7" t="inlineStr">
        <is>
          <t>2043.06</t>
        </is>
      </c>
      <c r="DB4" s="7" t="inlineStr">
        <is>
          <t>2043.09</t>
        </is>
      </c>
      <c r="DC4" s="7" t="inlineStr">
        <is>
          <t>2043.12</t>
        </is>
      </c>
      <c r="DD4" s="7" t="inlineStr">
        <is>
          <t>2044.03</t>
        </is>
      </c>
      <c r="DE4" s="7" t="inlineStr">
        <is>
          <t>2044.06</t>
        </is>
      </c>
      <c r="DF4" s="7" t="inlineStr">
        <is>
          <t>2044.09</t>
        </is>
      </c>
      <c r="DG4" s="7" t="inlineStr">
        <is>
          <t>2044.12</t>
        </is>
      </c>
      <c r="DH4" s="7" t="inlineStr">
        <is>
          <t>2045.03</t>
        </is>
      </c>
      <c r="DI4" s="7" t="inlineStr">
        <is>
          <t>2045.06</t>
        </is>
      </c>
      <c r="DJ4" s="7" t="inlineStr">
        <is>
          <t>2045.09</t>
        </is>
      </c>
      <c r="DK4" s="7" t="inlineStr">
        <is>
          <t>2045.12</t>
        </is>
      </c>
      <c r="DL4" s="7" t="inlineStr">
        <is>
          <t>2046.03</t>
        </is>
      </c>
      <c r="DM4" s="7" t="inlineStr">
        <is>
          <t>2046.06</t>
        </is>
      </c>
      <c r="DN4" s="7" t="inlineStr">
        <is>
          <t>2046.09</t>
        </is>
      </c>
      <c r="DO4" s="7" t="inlineStr">
        <is>
          <t>2046.12</t>
        </is>
      </c>
      <c r="DP4" s="7" t="inlineStr">
        <is>
          <t>2047.03</t>
        </is>
      </c>
      <c r="DQ4" s="7" t="inlineStr">
        <is>
          <t>2047.06</t>
        </is>
      </c>
      <c r="DR4" s="7" t="inlineStr">
        <is>
          <t>2047.09</t>
        </is>
      </c>
      <c r="DS4" s="7" t="inlineStr">
        <is>
          <t>2047.12</t>
        </is>
      </c>
      <c r="DT4" s="7" t="inlineStr">
        <is>
          <t>2048.03</t>
        </is>
      </c>
      <c r="DU4" s="7" t="inlineStr">
        <is>
          <t>2048.06</t>
        </is>
      </c>
      <c r="DV4" s="7" t="inlineStr">
        <is>
          <t>2048.09</t>
        </is>
      </c>
      <c r="DW4" s="7" t="inlineStr">
        <is>
          <t>2048.12</t>
        </is>
      </c>
      <c r="DX4" s="7" t="inlineStr">
        <is>
          <t>2049.03</t>
        </is>
      </c>
      <c r="DY4" s="7" t="inlineStr">
        <is>
          <t>2049.06</t>
        </is>
      </c>
      <c r="DZ4" s="7" t="inlineStr">
        <is>
          <t>2018.12A</t>
        </is>
      </c>
      <c r="EA4" s="7" t="inlineStr">
        <is>
          <t>2019.12A</t>
        </is>
      </c>
      <c r="EB4" s="7" t="inlineStr">
        <is>
          <t>2020.12A</t>
        </is>
      </c>
      <c r="EC4" s="7" t="inlineStr">
        <is>
          <t>2021.12A</t>
        </is>
      </c>
      <c r="ED4" s="7" t="inlineStr">
        <is>
          <t>2022.12A</t>
        </is>
      </c>
      <c r="EE4" s="7" t="inlineStr">
        <is>
          <t>2023.12A</t>
        </is>
      </c>
      <c r="EF4" s="7" t="inlineStr">
        <is>
          <t>2024.12A</t>
        </is>
      </c>
      <c r="EG4" s="7" t="inlineStr">
        <is>
          <t>2025.12A</t>
        </is>
      </c>
      <c r="EH4" s="7" t="inlineStr">
        <is>
          <t>2026.12A</t>
        </is>
      </c>
      <c r="EI4" s="7" t="inlineStr">
        <is>
          <t>2027.12A</t>
        </is>
      </c>
      <c r="EJ4" s="7" t="inlineStr">
        <is>
          <t>2028.12A</t>
        </is>
      </c>
      <c r="EK4" s="7" t="inlineStr">
        <is>
          <t>2029.12A</t>
        </is>
      </c>
      <c r="EL4" s="7" t="inlineStr">
        <is>
          <t>2030.12A</t>
        </is>
      </c>
      <c r="EM4" s="7" t="inlineStr">
        <is>
          <t>2031.12A</t>
        </is>
      </c>
      <c r="EN4" s="7" t="inlineStr">
        <is>
          <t>2032.12A</t>
        </is>
      </c>
      <c r="EO4" s="7" t="inlineStr">
        <is>
          <t>2033.12A</t>
        </is>
      </c>
      <c r="EP4" s="7" t="inlineStr">
        <is>
          <t>2034.12A</t>
        </is>
      </c>
      <c r="EQ4" s="7" t="inlineStr">
        <is>
          <t>2035.12A</t>
        </is>
      </c>
      <c r="ER4" s="7" t="inlineStr">
        <is>
          <t>2036.12A</t>
        </is>
      </c>
      <c r="ES4" s="7" t="inlineStr">
        <is>
          <t>2037.12A</t>
        </is>
      </c>
      <c r="ET4" s="7" t="inlineStr">
        <is>
          <t>2038.12A</t>
        </is>
      </c>
      <c r="EU4" s="7" t="inlineStr">
        <is>
          <t>2039.12A</t>
        </is>
      </c>
      <c r="EV4" s="7" t="inlineStr">
        <is>
          <t>2040.12A</t>
        </is>
      </c>
      <c r="EW4" s="7" t="inlineStr">
        <is>
          <t>2041.12A</t>
        </is>
      </c>
      <c r="EX4" s="7" t="inlineStr">
        <is>
          <t>2042.12A</t>
        </is>
      </c>
      <c r="EY4" s="7" t="inlineStr">
        <is>
          <t>2043.12A</t>
        </is>
      </c>
      <c r="EZ4" s="7" t="inlineStr">
        <is>
          <t>2044.12A</t>
        </is>
      </c>
      <c r="FA4" s="7" t="inlineStr">
        <is>
          <t>2045.12A</t>
        </is>
      </c>
      <c r="FB4" s="7" t="inlineStr">
        <is>
          <t>2046.12A</t>
        </is>
      </c>
      <c r="FC4" s="7" t="inlineStr">
        <is>
          <t>2047.12A</t>
        </is>
      </c>
      <c r="FD4" s="7" t="inlineStr">
        <is>
          <t>2048.12A</t>
        </is>
      </c>
      <c r="FE4" s="7" t="inlineStr">
        <is>
          <t>2049.12A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2.933</v>
      </c>
      <c r="F5" s="26" t="n">
        <v>6.133</v>
      </c>
      <c r="G5" s="26" t="n">
        <v>6.133</v>
      </c>
      <c r="H5" s="26" t="n">
        <v>6.7</v>
      </c>
      <c r="I5" s="26" t="n">
        <v>12.374</v>
      </c>
      <c r="J5" s="26" t="n">
        <v>14.461</v>
      </c>
      <c r="K5" s="26" t="n">
        <v>14.729</v>
      </c>
      <c r="L5" s="26" t="n">
        <v>19.188</v>
      </c>
      <c r="M5" s="26" t="n">
        <v>19.188</v>
      </c>
      <c r="N5" s="26" t="n">
        <v>19.399</v>
      </c>
      <c r="O5" s="26" t="n">
        <v>30.827</v>
      </c>
      <c r="P5" s="26" t="n">
        <v>45.288</v>
      </c>
      <c r="Q5" s="26" t="n">
        <v>50.661</v>
      </c>
      <c r="R5" s="26" t="n">
        <v>56.415</v>
      </c>
      <c r="S5" s="26" t="n">
        <v>59.244</v>
      </c>
      <c r="T5" s="26" t="n">
        <v>58.81</v>
      </c>
      <c r="U5" s="26" t="n">
        <v>59.464</v>
      </c>
      <c r="V5" s="26" t="n">
        <v>61.318</v>
      </c>
      <c r="W5" s="26" t="n">
        <v>65.621</v>
      </c>
      <c r="X5" s="26" t="n">
        <v>73.087</v>
      </c>
      <c r="Y5" s="26" t="n">
        <v>81.759</v>
      </c>
      <c r="Z5" s="26" t="n">
        <v>100.274</v>
      </c>
      <c r="AA5" s="26" t="n">
        <v>115.312</v>
      </c>
      <c r="AB5" s="26" t="n">
        <v>115.478</v>
      </c>
      <c r="AC5" s="26" t="n">
        <v>122.382</v>
      </c>
      <c r="AD5" s="26" t="n">
        <v>123.837</v>
      </c>
      <c r="AE5" s="26" t="n">
        <v>124.334</v>
      </c>
      <c r="AF5" s="26" t="n">
        <v>125.21</v>
      </c>
      <c r="AG5" s="26" t="n">
        <v>124.927</v>
      </c>
      <c r="AH5" s="26" t="n">
        <v>125.515</v>
      </c>
      <c r="AI5" s="26" t="n">
        <v>135.042</v>
      </c>
      <c r="AJ5" s="26" t="n">
        <v>185.788</v>
      </c>
      <c r="AK5" s="26" t="n">
        <v>220.764</v>
      </c>
      <c r="AL5" s="26" t="n">
        <v>242.216</v>
      </c>
      <c r="AM5" s="26" t="n">
        <v>284.624</v>
      </c>
      <c r="AN5" s="26" t="n">
        <v>262.167</v>
      </c>
      <c r="AO5" s="26" t="n">
        <v>237.986</v>
      </c>
      <c r="AP5" s="26" t="n">
        <v>230.415</v>
      </c>
      <c r="AQ5" s="26" t="n">
        <v>220.82</v>
      </c>
      <c r="AR5" s="26" t="n">
        <v>205.301</v>
      </c>
      <c r="AS5" s="26" t="n">
        <v>198.969</v>
      </c>
      <c r="AT5" s="26" t="n">
        <v>167.965</v>
      </c>
      <c r="AU5" s="26" t="n">
        <v>143.642</v>
      </c>
      <c r="AV5" s="26" t="n">
        <v>129.772</v>
      </c>
      <c r="AW5" s="26" t="n">
        <v>91.565</v>
      </c>
      <c r="AX5" s="26" t="n">
        <v>73.017</v>
      </c>
      <c r="AY5" s="26" t="n">
        <v>59.308</v>
      </c>
      <c r="AZ5" s="26" t="n">
        <v>37.303</v>
      </c>
      <c r="BA5" s="26" t="n">
        <v>35.271</v>
      </c>
      <c r="BB5" s="26" t="n">
        <v>30.116</v>
      </c>
      <c r="BC5" s="26" t="n">
        <v>15.251</v>
      </c>
      <c r="BD5" s="26" t="n">
        <v>12.996</v>
      </c>
      <c r="BE5" s="26" t="n">
        <v>12.048</v>
      </c>
      <c r="BF5" s="26" t="n">
        <v>11.179</v>
      </c>
      <c r="BG5" s="26" t="n">
        <v>11.179</v>
      </c>
      <c r="BH5" s="26" t="n">
        <v>11.058</v>
      </c>
      <c r="BI5" s="26" t="n">
        <v>7.646</v>
      </c>
      <c r="BJ5" s="26" t="n">
        <v>6.88</v>
      </c>
      <c r="BK5" s="26" t="n">
        <v>6.88</v>
      </c>
      <c r="BL5" s="26" t="n">
        <v>6.73</v>
      </c>
      <c r="BM5" s="26" t="n">
        <v>6.805</v>
      </c>
      <c r="BN5" s="26" t="n">
        <v>5.965</v>
      </c>
      <c r="BO5" s="26" t="n">
        <v>4.25</v>
      </c>
      <c r="BP5" s="26" t="n">
        <v>4.158</v>
      </c>
      <c r="BQ5" s="26" t="n">
        <v>1.785</v>
      </c>
      <c r="BR5" s="26" t="n">
        <v>0.602</v>
      </c>
      <c r="BS5" s="26" t="n">
        <v>0.602</v>
      </c>
      <c r="BT5" s="26" t="n">
        <v>0.589</v>
      </c>
      <c r="BU5" s="26" t="n">
        <v>0.596</v>
      </c>
      <c r="BV5" s="26" t="n">
        <v>0.602</v>
      </c>
      <c r="BW5" s="26" t="n">
        <v>0.602</v>
      </c>
      <c r="BX5" s="26" t="n">
        <v>0.596</v>
      </c>
      <c r="BY5" s="26" t="n">
        <v>0.596</v>
      </c>
      <c r="BZ5" s="26" t="n">
        <v>0.602</v>
      </c>
      <c r="CA5" s="26" t="n">
        <v>0.602</v>
      </c>
      <c r="CB5" s="26" t="n">
        <v>0.589</v>
      </c>
      <c r="CC5" s="26" t="n">
        <v>0.596</v>
      </c>
      <c r="CD5" s="26" t="n">
        <v>0.602</v>
      </c>
      <c r="CE5" s="26" t="n">
        <v>0.602</v>
      </c>
      <c r="CF5" s="26" t="n">
        <v>0.589</v>
      </c>
      <c r="CG5" s="26" t="n">
        <v>0.596</v>
      </c>
      <c r="CH5" s="26" t="n">
        <v>0.602</v>
      </c>
      <c r="CI5" s="26" t="n">
        <v>0.602</v>
      </c>
      <c r="CJ5" s="26" t="n">
        <v>0.589</v>
      </c>
      <c r="CK5" s="26" t="n">
        <v>0.596</v>
      </c>
      <c r="CL5" s="26" t="n">
        <v>0.602</v>
      </c>
      <c r="CM5" s="26" t="n">
        <v>0.602</v>
      </c>
      <c r="CN5" s="26" t="n">
        <v>0.596</v>
      </c>
      <c r="CO5" s="26" t="n">
        <v>0.596</v>
      </c>
      <c r="CP5" s="26" t="n">
        <v>0.602</v>
      </c>
      <c r="CQ5" s="26" t="n">
        <v>0.602</v>
      </c>
      <c r="CR5" s="26" t="n">
        <v>0.589</v>
      </c>
      <c r="CS5" s="26" t="n">
        <v>0.596</v>
      </c>
      <c r="CT5" s="26" t="n">
        <v>0.602</v>
      </c>
      <c r="CU5" s="26" t="n">
        <v>0.602</v>
      </c>
      <c r="CV5" s="26" t="n">
        <v>0.589</v>
      </c>
      <c r="CW5" s="26" t="n">
        <v>0.596</v>
      </c>
      <c r="CX5" s="26" t="n">
        <v>0.602</v>
      </c>
      <c r="CY5" s="26" t="n">
        <v>0.602</v>
      </c>
      <c r="CZ5" s="26" t="n">
        <v>0.589</v>
      </c>
      <c r="DA5" s="26" t="n">
        <v>0.596</v>
      </c>
      <c r="DB5" s="26" t="n">
        <v>0.602</v>
      </c>
      <c r="DC5" s="26" t="n">
        <v>0.602</v>
      </c>
      <c r="DD5" s="26" t="n">
        <v>0.596</v>
      </c>
      <c r="DE5" s="26" t="n">
        <v>0.596</v>
      </c>
      <c r="DF5" s="26" t="n">
        <v>0.602</v>
      </c>
      <c r="DG5" s="26" t="n">
        <v>0.602</v>
      </c>
      <c r="DH5" s="26" t="n">
        <v>0.589</v>
      </c>
      <c r="DI5" s="26" t="n">
        <v>0.596</v>
      </c>
      <c r="DJ5" s="26" t="n">
        <v>0.602</v>
      </c>
      <c r="DK5" s="26" t="n">
        <v>0.602</v>
      </c>
      <c r="DL5" s="26" t="n">
        <v>0.589</v>
      </c>
      <c r="DM5" s="26" t="n">
        <v>0.596</v>
      </c>
      <c r="DN5" s="26" t="n">
        <v>0.602</v>
      </c>
      <c r="DO5" s="26" t="n">
        <v>0.602</v>
      </c>
      <c r="DP5" s="26" t="n">
        <v>0.589</v>
      </c>
      <c r="DQ5" s="26" t="n">
        <v>0.596</v>
      </c>
      <c r="DR5" s="26" t="n">
        <v>0.602</v>
      </c>
      <c r="DS5" s="26" t="n">
        <v>0.602</v>
      </c>
      <c r="DT5" s="26" t="n">
        <v>0.596</v>
      </c>
      <c r="DU5" s="26" t="n">
        <v>0.596</v>
      </c>
      <c r="DV5" s="26" t="n">
        <v>0.602</v>
      </c>
      <c r="DW5" s="26" t="n">
        <v>0.602</v>
      </c>
      <c r="DX5" s="26" t="n">
        <v>0.589</v>
      </c>
      <c r="DY5" s="26" t="n">
        <v>0.399</v>
      </c>
      <c r="DZ5" s="26" t="n">
        <v>15.199</v>
      </c>
      <c r="EA5" s="26" t="n">
        <v>48.264</v>
      </c>
      <c r="EB5" s="26" t="n">
        <v>88.602</v>
      </c>
      <c r="EC5" s="26" t="n">
        <v>211.608</v>
      </c>
      <c r="ED5" s="26" t="n">
        <v>245.213</v>
      </c>
      <c r="EE5" s="26" t="n">
        <v>370.432</v>
      </c>
      <c r="EF5" s="26" t="n">
        <v>486.031</v>
      </c>
      <c r="EG5" s="26" t="n">
        <v>510.694</v>
      </c>
      <c r="EH5" s="26" t="n">
        <v>933.3920000000001</v>
      </c>
      <c r="EI5" s="26" t="n">
        <v>951.388</v>
      </c>
      <c r="EJ5" s="26" t="n">
        <v>715.877</v>
      </c>
      <c r="EK5" s="26" t="n">
        <v>353.662</v>
      </c>
      <c r="EL5" s="26" t="n">
        <v>117.941</v>
      </c>
      <c r="EM5" s="26" t="n">
        <v>47.402</v>
      </c>
      <c r="EN5" s="26" t="n">
        <v>32.464</v>
      </c>
      <c r="EO5" s="26" t="n">
        <v>23.75</v>
      </c>
      <c r="EP5" s="26" t="n">
        <v>7.147</v>
      </c>
      <c r="EQ5" s="26" t="n">
        <v>2.389</v>
      </c>
      <c r="ER5" s="26" t="n">
        <v>2.396</v>
      </c>
      <c r="ES5" s="26" t="n">
        <v>2.389</v>
      </c>
      <c r="ET5" s="26" t="n">
        <v>2.389</v>
      </c>
      <c r="EU5" s="26" t="n">
        <v>2.389</v>
      </c>
      <c r="EV5" s="26" t="n">
        <v>2.396</v>
      </c>
      <c r="EW5" s="26" t="n">
        <v>2.389</v>
      </c>
      <c r="EX5" s="26" t="n">
        <v>2.389</v>
      </c>
      <c r="EY5" s="26" t="n">
        <v>2.389</v>
      </c>
      <c r="EZ5" s="26" t="n">
        <v>2.396</v>
      </c>
      <c r="FA5" s="26" t="n">
        <v>2.389</v>
      </c>
      <c r="FB5" s="26" t="n">
        <v>2.389</v>
      </c>
      <c r="FC5" s="26" t="n">
        <v>2.389</v>
      </c>
      <c r="FD5" s="26" t="n">
        <v>2.396</v>
      </c>
      <c r="FE5" s="26" t="n">
        <v>0.988</v>
      </c>
    </row>
    <row r="6">
      <c r="A6" s="12" t="inlineStr">
        <is>
          <t>type:OTHER</t>
        </is>
      </c>
      <c r="D6" t="inlineStr">
        <is>
          <t>선종 OTHER</t>
        </is>
      </c>
      <c r="E6" s="26" t="n">
        <v>2.933</v>
      </c>
      <c r="F6" s="26" t="n">
        <v>6.133</v>
      </c>
      <c r="G6" s="26" t="n">
        <v>6.133</v>
      </c>
      <c r="H6" s="26" t="n">
        <v>6.7</v>
      </c>
      <c r="I6" s="26" t="n">
        <v>12.374</v>
      </c>
      <c r="J6" s="26" t="n">
        <v>14.461</v>
      </c>
      <c r="K6" s="26" t="n">
        <v>14.729</v>
      </c>
      <c r="L6" s="26" t="n">
        <v>19.188</v>
      </c>
      <c r="M6" s="26" t="n">
        <v>19.188</v>
      </c>
      <c r="N6" s="26" t="n">
        <v>19.399</v>
      </c>
      <c r="O6" s="26" t="n">
        <v>30.827</v>
      </c>
      <c r="P6" s="26" t="n">
        <v>45.288</v>
      </c>
      <c r="Q6" s="26" t="n">
        <v>50.661</v>
      </c>
      <c r="R6" s="26" t="n">
        <v>56.415</v>
      </c>
      <c r="S6" s="26" t="n">
        <v>59.244</v>
      </c>
      <c r="T6" s="26" t="n">
        <v>58.81</v>
      </c>
      <c r="U6" s="26" t="n">
        <v>59.464</v>
      </c>
      <c r="V6" s="26" t="n">
        <v>61.318</v>
      </c>
      <c r="W6" s="26" t="n">
        <v>65.621</v>
      </c>
      <c r="X6" s="26" t="n">
        <v>73.087</v>
      </c>
      <c r="Y6" s="26" t="n">
        <v>81.759</v>
      </c>
      <c r="Z6" s="26" t="n">
        <v>100.274</v>
      </c>
      <c r="AA6" s="26" t="n">
        <v>115.312</v>
      </c>
      <c r="AB6" s="26" t="n">
        <v>115.478</v>
      </c>
      <c r="AC6" s="26" t="n">
        <v>122.382</v>
      </c>
      <c r="AD6" s="26" t="n">
        <v>123.837</v>
      </c>
      <c r="AE6" s="26" t="n">
        <v>124.334</v>
      </c>
      <c r="AF6" s="26" t="n">
        <v>125.21</v>
      </c>
      <c r="AG6" s="26" t="n">
        <v>124.927</v>
      </c>
      <c r="AH6" s="26" t="n">
        <v>125.515</v>
      </c>
      <c r="AI6" s="26" t="n">
        <v>132.36</v>
      </c>
      <c r="AJ6" s="26" t="n">
        <v>154.297</v>
      </c>
      <c r="AK6" s="26" t="n">
        <v>160.205</v>
      </c>
      <c r="AL6" s="26" t="n">
        <v>169.975</v>
      </c>
      <c r="AM6" s="26" t="n">
        <v>171.233</v>
      </c>
      <c r="AN6" s="26" t="n">
        <v>151.241</v>
      </c>
      <c r="AO6" s="26" t="n">
        <v>125.827</v>
      </c>
      <c r="AP6" s="26" t="n">
        <v>117.024</v>
      </c>
      <c r="AQ6" s="26" t="n">
        <v>107.429</v>
      </c>
      <c r="AR6" s="26" t="n">
        <v>93.143</v>
      </c>
      <c r="AS6" s="26" t="n">
        <v>86.81100000000001</v>
      </c>
      <c r="AT6" s="26" t="n">
        <v>79.996</v>
      </c>
      <c r="AU6" s="26" t="n">
        <v>72.465</v>
      </c>
      <c r="AV6" s="26" t="n">
        <v>70.889</v>
      </c>
      <c r="AW6" s="26" t="n">
        <v>62.639</v>
      </c>
      <c r="AX6" s="26" t="n">
        <v>58.993</v>
      </c>
      <c r="AY6" s="26" t="n">
        <v>54.583</v>
      </c>
      <c r="AZ6" s="26" t="n">
        <v>37.303</v>
      </c>
      <c r="BA6" s="26" t="n">
        <v>35.271</v>
      </c>
      <c r="BB6" s="26" t="n">
        <v>30.116</v>
      </c>
      <c r="BC6" s="26" t="n">
        <v>15.251</v>
      </c>
      <c r="BD6" s="26" t="n">
        <v>12.996</v>
      </c>
      <c r="BE6" s="26" t="n">
        <v>12.048</v>
      </c>
      <c r="BF6" s="26" t="n">
        <v>11.179</v>
      </c>
      <c r="BG6" s="26" t="n">
        <v>11.179</v>
      </c>
      <c r="BH6" s="26" t="n">
        <v>11.058</v>
      </c>
      <c r="BI6" s="26" t="n">
        <v>7.646</v>
      </c>
      <c r="BJ6" s="26" t="n">
        <v>6.88</v>
      </c>
      <c r="BK6" s="26" t="n">
        <v>6.88</v>
      </c>
      <c r="BL6" s="26" t="n">
        <v>6.73</v>
      </c>
      <c r="BM6" s="26" t="n">
        <v>6.805</v>
      </c>
      <c r="BN6" s="26" t="n">
        <v>5.965</v>
      </c>
      <c r="BO6" s="26" t="n">
        <v>4.25</v>
      </c>
      <c r="BP6" s="26" t="n">
        <v>4.158</v>
      </c>
      <c r="BQ6" s="26" t="n">
        <v>1.785</v>
      </c>
      <c r="BR6" s="26" t="n">
        <v>0.602</v>
      </c>
      <c r="BS6" s="26" t="n">
        <v>0.602</v>
      </c>
      <c r="BT6" s="26" t="n">
        <v>0.589</v>
      </c>
      <c r="BU6" s="26" t="n">
        <v>0.596</v>
      </c>
      <c r="BV6" s="26" t="n">
        <v>0.602</v>
      </c>
      <c r="BW6" s="26" t="n">
        <v>0.602</v>
      </c>
      <c r="BX6" s="26" t="n">
        <v>0.596</v>
      </c>
      <c r="BY6" s="26" t="n">
        <v>0.596</v>
      </c>
      <c r="BZ6" s="26" t="n">
        <v>0.602</v>
      </c>
      <c r="CA6" s="26" t="n">
        <v>0.602</v>
      </c>
      <c r="CB6" s="26" t="n">
        <v>0.589</v>
      </c>
      <c r="CC6" s="26" t="n">
        <v>0.596</v>
      </c>
      <c r="CD6" s="26" t="n">
        <v>0.602</v>
      </c>
      <c r="CE6" s="26" t="n">
        <v>0.602</v>
      </c>
      <c r="CF6" s="26" t="n">
        <v>0.589</v>
      </c>
      <c r="CG6" s="26" t="n">
        <v>0.596</v>
      </c>
      <c r="CH6" s="26" t="n">
        <v>0.602</v>
      </c>
      <c r="CI6" s="26" t="n">
        <v>0.602</v>
      </c>
      <c r="CJ6" s="26" t="n">
        <v>0.589</v>
      </c>
      <c r="CK6" s="26" t="n">
        <v>0.596</v>
      </c>
      <c r="CL6" s="26" t="n">
        <v>0.602</v>
      </c>
      <c r="CM6" s="26" t="n">
        <v>0.602</v>
      </c>
      <c r="CN6" s="26" t="n">
        <v>0.596</v>
      </c>
      <c r="CO6" s="26" t="n">
        <v>0.596</v>
      </c>
      <c r="CP6" s="26" t="n">
        <v>0.602</v>
      </c>
      <c r="CQ6" s="26" t="n">
        <v>0.602</v>
      </c>
      <c r="CR6" s="26" t="n">
        <v>0.589</v>
      </c>
      <c r="CS6" s="26" t="n">
        <v>0.596</v>
      </c>
      <c r="CT6" s="26" t="n">
        <v>0.602</v>
      </c>
      <c r="CU6" s="26" t="n">
        <v>0.602</v>
      </c>
      <c r="CV6" s="26" t="n">
        <v>0.589</v>
      </c>
      <c r="CW6" s="26" t="n">
        <v>0.596</v>
      </c>
      <c r="CX6" s="26" t="n">
        <v>0.602</v>
      </c>
      <c r="CY6" s="26" t="n">
        <v>0.602</v>
      </c>
      <c r="CZ6" s="26" t="n">
        <v>0.589</v>
      </c>
      <c r="DA6" s="26" t="n">
        <v>0.596</v>
      </c>
      <c r="DB6" s="26" t="n">
        <v>0.602</v>
      </c>
      <c r="DC6" s="26" t="n">
        <v>0.602</v>
      </c>
      <c r="DD6" s="26" t="n">
        <v>0.596</v>
      </c>
      <c r="DE6" s="26" t="n">
        <v>0.596</v>
      </c>
      <c r="DF6" s="26" t="n">
        <v>0.602</v>
      </c>
      <c r="DG6" s="26" t="n">
        <v>0.602</v>
      </c>
      <c r="DH6" s="26" t="n">
        <v>0.589</v>
      </c>
      <c r="DI6" s="26" t="n">
        <v>0.596</v>
      </c>
      <c r="DJ6" s="26" t="n">
        <v>0.602</v>
      </c>
      <c r="DK6" s="26" t="n">
        <v>0.602</v>
      </c>
      <c r="DL6" s="26" t="n">
        <v>0.589</v>
      </c>
      <c r="DM6" s="26" t="n">
        <v>0.596</v>
      </c>
      <c r="DN6" s="26" t="n">
        <v>0.602</v>
      </c>
      <c r="DO6" s="26" t="n">
        <v>0.602</v>
      </c>
      <c r="DP6" s="26" t="n">
        <v>0.589</v>
      </c>
      <c r="DQ6" s="26" t="n">
        <v>0.596</v>
      </c>
      <c r="DR6" s="26" t="n">
        <v>0.602</v>
      </c>
      <c r="DS6" s="26" t="n">
        <v>0.602</v>
      </c>
      <c r="DT6" s="26" t="n">
        <v>0.596</v>
      </c>
      <c r="DU6" s="26" t="n">
        <v>0.596</v>
      </c>
      <c r="DV6" s="26" t="n">
        <v>0.602</v>
      </c>
      <c r="DW6" s="26" t="n">
        <v>0.602</v>
      </c>
      <c r="DX6" s="26" t="n">
        <v>0.589</v>
      </c>
      <c r="DY6" s="26" t="n">
        <v>0.399</v>
      </c>
      <c r="DZ6" s="26" t="n">
        <v>15.199</v>
      </c>
      <c r="EA6" s="26" t="n">
        <v>48.264</v>
      </c>
      <c r="EB6" s="26" t="n">
        <v>88.602</v>
      </c>
      <c r="EC6" s="26" t="n">
        <v>211.608</v>
      </c>
      <c r="ED6" s="26" t="n">
        <v>245.213</v>
      </c>
      <c r="EE6" s="26" t="n">
        <v>370.432</v>
      </c>
      <c r="EF6" s="26" t="n">
        <v>486.031</v>
      </c>
      <c r="EG6" s="26" t="n">
        <v>508.012</v>
      </c>
      <c r="EH6" s="26" t="n">
        <v>655.71</v>
      </c>
      <c r="EI6" s="26" t="n">
        <v>501.521</v>
      </c>
      <c r="EJ6" s="26" t="n">
        <v>332.415</v>
      </c>
      <c r="EK6" s="26" t="n">
        <v>247.104</v>
      </c>
      <c r="EL6" s="26" t="n">
        <v>117.941</v>
      </c>
      <c r="EM6" s="26" t="n">
        <v>47.402</v>
      </c>
      <c r="EN6" s="26" t="n">
        <v>32.464</v>
      </c>
      <c r="EO6" s="26" t="n">
        <v>23.75</v>
      </c>
      <c r="EP6" s="26" t="n">
        <v>7.147</v>
      </c>
      <c r="EQ6" s="26" t="n">
        <v>2.389</v>
      </c>
      <c r="ER6" s="26" t="n">
        <v>2.396</v>
      </c>
      <c r="ES6" s="26" t="n">
        <v>2.389</v>
      </c>
      <c r="ET6" s="26" t="n">
        <v>2.389</v>
      </c>
      <c r="EU6" s="26" t="n">
        <v>2.389</v>
      </c>
      <c r="EV6" s="26" t="n">
        <v>2.396</v>
      </c>
      <c r="EW6" s="26" t="n">
        <v>2.389</v>
      </c>
      <c r="EX6" s="26" t="n">
        <v>2.389</v>
      </c>
      <c r="EY6" s="26" t="n">
        <v>2.389</v>
      </c>
      <c r="EZ6" s="26" t="n">
        <v>2.396</v>
      </c>
      <c r="FA6" s="26" t="n">
        <v>2.389</v>
      </c>
      <c r="FB6" s="26" t="n">
        <v>2.389</v>
      </c>
      <c r="FC6" s="26" t="n">
        <v>2.389</v>
      </c>
      <c r="FD6" s="26" t="n">
        <v>2.396</v>
      </c>
      <c r="FE6" s="26" t="n">
        <v>0.988</v>
      </c>
    </row>
    <row r="7">
      <c r="A7" s="12" t="inlineStr">
        <is>
          <t>type:NAVAL</t>
        </is>
      </c>
      <c r="D7" t="inlineStr">
        <is>
          <t>선종 NAVAL</t>
        </is>
      </c>
      <c r="AI7" s="26" t="n">
        <v>2.682</v>
      </c>
      <c r="AJ7" s="26" t="n">
        <v>17.675</v>
      </c>
      <c r="AK7" s="26" t="n">
        <v>17.871</v>
      </c>
      <c r="AL7" s="26" t="n">
        <v>18.067</v>
      </c>
      <c r="AM7" s="26" t="n">
        <v>18.067</v>
      </c>
      <c r="AN7" s="26" t="n">
        <v>17.675</v>
      </c>
      <c r="AO7" s="26" t="n">
        <v>17.871</v>
      </c>
      <c r="AP7" s="26" t="n">
        <v>18.067</v>
      </c>
      <c r="AQ7" s="26" t="n">
        <v>18.067</v>
      </c>
      <c r="AR7" s="26" t="n">
        <v>17.871</v>
      </c>
      <c r="AS7" s="26" t="n">
        <v>17.871</v>
      </c>
      <c r="AT7" s="26" t="n">
        <v>18.067</v>
      </c>
      <c r="AU7" s="26" t="n">
        <v>17.013</v>
      </c>
      <c r="AV7" s="26" t="n">
        <v>13.719</v>
      </c>
      <c r="AW7" s="26" t="n">
        <v>13.871</v>
      </c>
      <c r="AX7" s="26" t="n">
        <v>14.024</v>
      </c>
      <c r="AY7" s="26" t="n">
        <v>4.725</v>
      </c>
      <c r="EG7" s="26" t="n">
        <v>2.682</v>
      </c>
      <c r="EH7" s="26" t="n">
        <v>71.68000000000001</v>
      </c>
      <c r="EI7" s="26" t="n">
        <v>71.68000000000001</v>
      </c>
      <c r="EJ7" s="26" t="n">
        <v>70.822</v>
      </c>
      <c r="EK7" s="26" t="n">
        <v>46.339</v>
      </c>
    </row>
    <row r="8">
      <c r="A8" s="12" t="inlineStr">
        <is>
          <t>type:CONT</t>
        </is>
      </c>
      <c r="D8" t="inlineStr">
        <is>
          <t>선종 CONT</t>
        </is>
      </c>
      <c r="AJ8" s="26" t="n">
        <v>13.816</v>
      </c>
      <c r="AK8" s="26" t="n">
        <v>42.688</v>
      </c>
      <c r="AL8" s="26" t="n">
        <v>54.174</v>
      </c>
      <c r="AM8" s="26" t="n">
        <v>95.324</v>
      </c>
      <c r="AN8" s="26" t="n">
        <v>93.251</v>
      </c>
      <c r="AO8" s="26" t="n">
        <v>94.28700000000001</v>
      </c>
      <c r="AP8" s="26" t="n">
        <v>95.324</v>
      </c>
      <c r="AQ8" s="26" t="n">
        <v>95.324</v>
      </c>
      <c r="AR8" s="26" t="n">
        <v>94.28700000000001</v>
      </c>
      <c r="AS8" s="26" t="n">
        <v>94.28700000000001</v>
      </c>
      <c r="AT8" s="26" t="n">
        <v>69.902</v>
      </c>
      <c r="AU8" s="26" t="n">
        <v>54.165</v>
      </c>
      <c r="AV8" s="26" t="n">
        <v>45.164</v>
      </c>
      <c r="AW8" s="26" t="n">
        <v>15.055</v>
      </c>
      <c r="EH8" s="26" t="n">
        <v>206.002</v>
      </c>
      <c r="EI8" s="26" t="n">
        <v>378.186</v>
      </c>
      <c r="EJ8" s="26" t="n">
        <v>312.641</v>
      </c>
      <c r="EK8" s="26" t="n">
        <v>60.219</v>
      </c>
    </row>
    <row r="9">
      <c r="A9" s="12" t="inlineStr">
        <is>
          <t>cohort:등급없음</t>
        </is>
      </c>
      <c r="D9" t="inlineStr">
        <is>
          <t>코호트 등급없음</t>
        </is>
      </c>
      <c r="E9" s="26" t="n">
        <v>2.933</v>
      </c>
      <c r="F9" s="26" t="n">
        <v>6.133</v>
      </c>
      <c r="G9" s="26" t="n">
        <v>6.133</v>
      </c>
      <c r="H9" s="26" t="n">
        <v>6.7</v>
      </c>
      <c r="I9" s="26" t="n">
        <v>12.374</v>
      </c>
      <c r="J9" s="26" t="n">
        <v>14.461</v>
      </c>
      <c r="K9" s="26" t="n">
        <v>14.729</v>
      </c>
      <c r="L9" s="26" t="n">
        <v>19.188</v>
      </c>
      <c r="M9" s="26" t="n">
        <v>19.188</v>
      </c>
      <c r="N9" s="26" t="n">
        <v>19.399</v>
      </c>
      <c r="O9" s="26" t="n">
        <v>30.827</v>
      </c>
      <c r="P9" s="26" t="n">
        <v>45.288</v>
      </c>
      <c r="Q9" s="26" t="n">
        <v>50.661</v>
      </c>
      <c r="R9" s="26" t="n">
        <v>56.415</v>
      </c>
      <c r="S9" s="26" t="n">
        <v>59.244</v>
      </c>
      <c r="T9" s="26" t="n">
        <v>58.81</v>
      </c>
      <c r="U9" s="26" t="n">
        <v>59.464</v>
      </c>
      <c r="V9" s="26" t="n">
        <v>61.318</v>
      </c>
      <c r="W9" s="26" t="n">
        <v>65.621</v>
      </c>
      <c r="X9" s="26" t="n">
        <v>73.087</v>
      </c>
      <c r="Y9" s="26" t="n">
        <v>81.759</v>
      </c>
      <c r="Z9" s="26" t="n">
        <v>100.274</v>
      </c>
      <c r="AA9" s="26" t="n">
        <v>115.312</v>
      </c>
      <c r="AB9" s="26" t="n">
        <v>115.478</v>
      </c>
      <c r="AC9" s="26" t="n">
        <v>122.382</v>
      </c>
      <c r="AD9" s="26" t="n">
        <v>123.837</v>
      </c>
      <c r="AE9" s="26" t="n">
        <v>124.334</v>
      </c>
      <c r="AF9" s="26" t="n">
        <v>125.21</v>
      </c>
      <c r="AG9" s="26" t="n">
        <v>124.927</v>
      </c>
      <c r="AH9" s="26" t="n">
        <v>125.515</v>
      </c>
      <c r="AI9" s="26" t="n">
        <v>134.646</v>
      </c>
      <c r="AJ9" s="26" t="n">
        <v>168.016</v>
      </c>
      <c r="AK9" s="26" t="n">
        <v>174.076</v>
      </c>
      <c r="AL9" s="26" t="n">
        <v>183.999</v>
      </c>
      <c r="AM9" s="26" t="n">
        <v>185.257</v>
      </c>
      <c r="AN9" s="26" t="n">
        <v>164.96</v>
      </c>
      <c r="AO9" s="26" t="n">
        <v>139.698</v>
      </c>
      <c r="AP9" s="26" t="n">
        <v>131.048</v>
      </c>
      <c r="AQ9" s="26" t="n">
        <v>121.453</v>
      </c>
      <c r="AR9" s="26" t="n">
        <v>107.014</v>
      </c>
      <c r="AS9" s="26" t="n">
        <v>100.682</v>
      </c>
      <c r="AT9" s="26" t="n">
        <v>94.02</v>
      </c>
      <c r="AU9" s="26" t="n">
        <v>86.488</v>
      </c>
      <c r="AV9" s="26" t="n">
        <v>84.608</v>
      </c>
      <c r="AW9" s="26" t="n">
        <v>76.511</v>
      </c>
      <c r="AX9" s="26" t="n">
        <v>73.017</v>
      </c>
      <c r="AY9" s="26" t="n">
        <v>59.308</v>
      </c>
      <c r="AZ9" s="26" t="n">
        <v>37.303</v>
      </c>
      <c r="BA9" s="26" t="n">
        <v>35.271</v>
      </c>
      <c r="BB9" s="26" t="n">
        <v>30.116</v>
      </c>
      <c r="BC9" s="26" t="n">
        <v>15.251</v>
      </c>
      <c r="BD9" s="26" t="n">
        <v>12.996</v>
      </c>
      <c r="BE9" s="26" t="n">
        <v>12.048</v>
      </c>
      <c r="BF9" s="26" t="n">
        <v>11.179</v>
      </c>
      <c r="BG9" s="26" t="n">
        <v>11.179</v>
      </c>
      <c r="BH9" s="26" t="n">
        <v>11.058</v>
      </c>
      <c r="BI9" s="26" t="n">
        <v>7.646</v>
      </c>
      <c r="BJ9" s="26" t="n">
        <v>6.88</v>
      </c>
      <c r="BK9" s="26" t="n">
        <v>6.88</v>
      </c>
      <c r="BL9" s="26" t="n">
        <v>6.73</v>
      </c>
      <c r="BM9" s="26" t="n">
        <v>6.805</v>
      </c>
      <c r="BN9" s="26" t="n">
        <v>5.965</v>
      </c>
      <c r="BO9" s="26" t="n">
        <v>4.25</v>
      </c>
      <c r="BP9" s="26" t="n">
        <v>4.158</v>
      </c>
      <c r="BQ9" s="26" t="n">
        <v>1.785</v>
      </c>
      <c r="BR9" s="26" t="n">
        <v>0.602</v>
      </c>
      <c r="BS9" s="26" t="n">
        <v>0.602</v>
      </c>
      <c r="BT9" s="26" t="n">
        <v>0.589</v>
      </c>
      <c r="BU9" s="26" t="n">
        <v>0.596</v>
      </c>
      <c r="BV9" s="26" t="n">
        <v>0.602</v>
      </c>
      <c r="BW9" s="26" t="n">
        <v>0.602</v>
      </c>
      <c r="BX9" s="26" t="n">
        <v>0.596</v>
      </c>
      <c r="BY9" s="26" t="n">
        <v>0.596</v>
      </c>
      <c r="BZ9" s="26" t="n">
        <v>0.602</v>
      </c>
      <c r="CA9" s="26" t="n">
        <v>0.602</v>
      </c>
      <c r="CB9" s="26" t="n">
        <v>0.589</v>
      </c>
      <c r="CC9" s="26" t="n">
        <v>0.596</v>
      </c>
      <c r="CD9" s="26" t="n">
        <v>0.602</v>
      </c>
      <c r="CE9" s="26" t="n">
        <v>0.602</v>
      </c>
      <c r="CF9" s="26" t="n">
        <v>0.589</v>
      </c>
      <c r="CG9" s="26" t="n">
        <v>0.596</v>
      </c>
      <c r="CH9" s="26" t="n">
        <v>0.602</v>
      </c>
      <c r="CI9" s="26" t="n">
        <v>0.602</v>
      </c>
      <c r="CJ9" s="26" t="n">
        <v>0.589</v>
      </c>
      <c r="CK9" s="26" t="n">
        <v>0.596</v>
      </c>
      <c r="CL9" s="26" t="n">
        <v>0.602</v>
      </c>
      <c r="CM9" s="26" t="n">
        <v>0.602</v>
      </c>
      <c r="CN9" s="26" t="n">
        <v>0.596</v>
      </c>
      <c r="CO9" s="26" t="n">
        <v>0.596</v>
      </c>
      <c r="CP9" s="26" t="n">
        <v>0.602</v>
      </c>
      <c r="CQ9" s="26" t="n">
        <v>0.602</v>
      </c>
      <c r="CR9" s="26" t="n">
        <v>0.589</v>
      </c>
      <c r="CS9" s="26" t="n">
        <v>0.596</v>
      </c>
      <c r="CT9" s="26" t="n">
        <v>0.602</v>
      </c>
      <c r="CU9" s="26" t="n">
        <v>0.602</v>
      </c>
      <c r="CV9" s="26" t="n">
        <v>0.589</v>
      </c>
      <c r="CW9" s="26" t="n">
        <v>0.596</v>
      </c>
      <c r="CX9" s="26" t="n">
        <v>0.602</v>
      </c>
      <c r="CY9" s="26" t="n">
        <v>0.602</v>
      </c>
      <c r="CZ9" s="26" t="n">
        <v>0.589</v>
      </c>
      <c r="DA9" s="26" t="n">
        <v>0.596</v>
      </c>
      <c r="DB9" s="26" t="n">
        <v>0.602</v>
      </c>
      <c r="DC9" s="26" t="n">
        <v>0.602</v>
      </c>
      <c r="DD9" s="26" t="n">
        <v>0.596</v>
      </c>
      <c r="DE9" s="26" t="n">
        <v>0.596</v>
      </c>
      <c r="DF9" s="26" t="n">
        <v>0.602</v>
      </c>
      <c r="DG9" s="26" t="n">
        <v>0.602</v>
      </c>
      <c r="DH9" s="26" t="n">
        <v>0.589</v>
      </c>
      <c r="DI9" s="26" t="n">
        <v>0.596</v>
      </c>
      <c r="DJ9" s="26" t="n">
        <v>0.602</v>
      </c>
      <c r="DK9" s="26" t="n">
        <v>0.602</v>
      </c>
      <c r="DL9" s="26" t="n">
        <v>0.589</v>
      </c>
      <c r="DM9" s="26" t="n">
        <v>0.596</v>
      </c>
      <c r="DN9" s="26" t="n">
        <v>0.602</v>
      </c>
      <c r="DO9" s="26" t="n">
        <v>0.602</v>
      </c>
      <c r="DP9" s="26" t="n">
        <v>0.589</v>
      </c>
      <c r="DQ9" s="26" t="n">
        <v>0.596</v>
      </c>
      <c r="DR9" s="26" t="n">
        <v>0.602</v>
      </c>
      <c r="DS9" s="26" t="n">
        <v>0.602</v>
      </c>
      <c r="DT9" s="26" t="n">
        <v>0.596</v>
      </c>
      <c r="DU9" s="26" t="n">
        <v>0.596</v>
      </c>
      <c r="DV9" s="26" t="n">
        <v>0.602</v>
      </c>
      <c r="DW9" s="26" t="n">
        <v>0.602</v>
      </c>
      <c r="DX9" s="26" t="n">
        <v>0.589</v>
      </c>
      <c r="DY9" s="26" t="n">
        <v>0.399</v>
      </c>
      <c r="DZ9" s="26" t="n">
        <v>15.199</v>
      </c>
      <c r="EA9" s="26" t="n">
        <v>48.264</v>
      </c>
      <c r="EB9" s="26" t="n">
        <v>88.602</v>
      </c>
      <c r="EC9" s="26" t="n">
        <v>211.608</v>
      </c>
      <c r="ED9" s="26" t="n">
        <v>245.213</v>
      </c>
      <c r="EE9" s="26" t="n">
        <v>370.432</v>
      </c>
      <c r="EF9" s="26" t="n">
        <v>486.031</v>
      </c>
      <c r="EG9" s="26" t="n">
        <v>510.298</v>
      </c>
      <c r="EH9" s="26" t="n">
        <v>711.348</v>
      </c>
      <c r="EI9" s="26" t="n">
        <v>557.159</v>
      </c>
      <c r="EJ9" s="26" t="n">
        <v>388.204</v>
      </c>
      <c r="EK9" s="26" t="n">
        <v>293.444</v>
      </c>
      <c r="EL9" s="26" t="n">
        <v>117.941</v>
      </c>
      <c r="EM9" s="26" t="n">
        <v>47.402</v>
      </c>
      <c r="EN9" s="26" t="n">
        <v>32.464</v>
      </c>
      <c r="EO9" s="26" t="n">
        <v>23.75</v>
      </c>
      <c r="EP9" s="26" t="n">
        <v>7.147</v>
      </c>
      <c r="EQ9" s="26" t="n">
        <v>2.389</v>
      </c>
      <c r="ER9" s="26" t="n">
        <v>2.396</v>
      </c>
      <c r="ES9" s="26" t="n">
        <v>2.389</v>
      </c>
      <c r="ET9" s="26" t="n">
        <v>2.389</v>
      </c>
      <c r="EU9" s="26" t="n">
        <v>2.389</v>
      </c>
      <c r="EV9" s="26" t="n">
        <v>2.396</v>
      </c>
      <c r="EW9" s="26" t="n">
        <v>2.389</v>
      </c>
      <c r="EX9" s="26" t="n">
        <v>2.389</v>
      </c>
      <c r="EY9" s="26" t="n">
        <v>2.389</v>
      </c>
      <c r="EZ9" s="26" t="n">
        <v>2.396</v>
      </c>
      <c r="FA9" s="26" t="n">
        <v>2.389</v>
      </c>
      <c r="FB9" s="26" t="n">
        <v>2.389</v>
      </c>
      <c r="FC9" s="26" t="n">
        <v>2.389</v>
      </c>
      <c r="FD9" s="26" t="n">
        <v>2.396</v>
      </c>
      <c r="FE9" s="26" t="n">
        <v>0.988</v>
      </c>
    </row>
    <row r="10">
      <c r="A10" s="12" t="inlineStr">
        <is>
          <t>cohort:②BEP</t>
        </is>
      </c>
      <c r="D10" t="inlineStr">
        <is>
          <t>코호트 ②BEP</t>
        </is>
      </c>
      <c r="AI10" s="26" t="n">
        <v>0.396</v>
      </c>
      <c r="AJ10" s="26" t="n">
        <v>3.956</v>
      </c>
      <c r="AK10" s="26" t="n">
        <v>4</v>
      </c>
      <c r="AL10" s="26" t="n">
        <v>4.044</v>
      </c>
      <c r="AM10" s="26" t="n">
        <v>4.044</v>
      </c>
      <c r="AN10" s="26" t="n">
        <v>3.956</v>
      </c>
      <c r="AO10" s="26" t="n">
        <v>4</v>
      </c>
      <c r="AP10" s="26" t="n">
        <v>4.044</v>
      </c>
      <c r="AQ10" s="26" t="n">
        <v>4.044</v>
      </c>
      <c r="AR10" s="26" t="n">
        <v>4</v>
      </c>
      <c r="AS10" s="26" t="n">
        <v>4</v>
      </c>
      <c r="AT10" s="26" t="n">
        <v>4.044</v>
      </c>
      <c r="AU10" s="26" t="n">
        <v>2.989</v>
      </c>
      <c r="EG10" s="26" t="n">
        <v>0.396</v>
      </c>
      <c r="EH10" s="26" t="n">
        <v>16.044</v>
      </c>
      <c r="EI10" s="26" t="n">
        <v>16.044</v>
      </c>
      <c r="EJ10" s="26" t="n">
        <v>15.033</v>
      </c>
    </row>
    <row r="11">
      <c r="A11" s="12" t="inlineStr">
        <is>
          <t>cohort:③중마진</t>
        </is>
      </c>
      <c r="D11" t="inlineStr">
        <is>
          <t>코호트 ③중마진</t>
        </is>
      </c>
      <c r="AJ11" s="26" t="n">
        <v>13.816</v>
      </c>
      <c r="AK11" s="26" t="n">
        <v>42.688</v>
      </c>
      <c r="AL11" s="26" t="n">
        <v>54.174</v>
      </c>
      <c r="AM11" s="26" t="n">
        <v>95.324</v>
      </c>
      <c r="AN11" s="26" t="n">
        <v>93.251</v>
      </c>
      <c r="AO11" s="26" t="n">
        <v>94.28700000000001</v>
      </c>
      <c r="AP11" s="26" t="n">
        <v>95.324</v>
      </c>
      <c r="AQ11" s="26" t="n">
        <v>95.324</v>
      </c>
      <c r="AR11" s="26" t="n">
        <v>94.28700000000001</v>
      </c>
      <c r="AS11" s="26" t="n">
        <v>94.28700000000001</v>
      </c>
      <c r="AT11" s="26" t="n">
        <v>69.902</v>
      </c>
      <c r="AU11" s="26" t="n">
        <v>54.165</v>
      </c>
      <c r="AV11" s="26" t="n">
        <v>45.164</v>
      </c>
      <c r="AW11" s="26" t="n">
        <v>15.055</v>
      </c>
      <c r="EH11" s="26" t="n">
        <v>206.002</v>
      </c>
      <c r="EI11" s="26" t="n">
        <v>378.186</v>
      </c>
      <c r="EJ11" s="26" t="n">
        <v>312.641</v>
      </c>
      <c r="EK11" s="26" t="n">
        <v>60.219</v>
      </c>
    </row>
    <row r="12">
      <c r="A12" s="12" t="inlineStr">
        <is>
          <t>hedge_ratio</t>
        </is>
      </c>
      <c r="D12" t="inlineStr">
        <is>
          <t>헤지비율</t>
        </is>
      </c>
      <c r="E12" s="21" t="n">
        <v>0.7</v>
      </c>
      <c r="F12" s="21" t="n">
        <v>0.7</v>
      </c>
      <c r="G12" s="21" t="n">
        <v>0.7</v>
      </c>
      <c r="H12" s="21" t="n">
        <v>0.7</v>
      </c>
      <c r="I12" s="21" t="n">
        <v>0.7</v>
      </c>
      <c r="J12" s="21" t="n">
        <v>0.7</v>
      </c>
      <c r="K12" s="21" t="n">
        <v>0.7</v>
      </c>
      <c r="L12" s="21" t="n">
        <v>0.7</v>
      </c>
      <c r="M12" s="21" t="n">
        <v>0.7</v>
      </c>
      <c r="N12" s="21" t="n">
        <v>0.7</v>
      </c>
      <c r="O12" s="21" t="n">
        <v>0.7</v>
      </c>
      <c r="P12" s="21" t="n">
        <v>0.7</v>
      </c>
      <c r="Q12" s="21" t="n">
        <v>0.7</v>
      </c>
      <c r="R12" s="21" t="n">
        <v>0.7</v>
      </c>
      <c r="S12" s="21" t="n">
        <v>0.7</v>
      </c>
      <c r="T12" s="21" t="n">
        <v>0.7</v>
      </c>
      <c r="U12" s="21" t="n">
        <v>0.7</v>
      </c>
      <c r="V12" s="21" t="n">
        <v>0.7</v>
      </c>
      <c r="W12" s="21" t="n">
        <v>0.7</v>
      </c>
      <c r="X12" s="21" t="n">
        <v>0.7</v>
      </c>
      <c r="Y12" s="21" t="n">
        <v>0.7</v>
      </c>
      <c r="Z12" s="21" t="n">
        <v>0.7</v>
      </c>
      <c r="AA12" s="21" t="n">
        <v>0.7</v>
      </c>
      <c r="AB12" s="21" t="n">
        <v>0.7</v>
      </c>
      <c r="AC12" s="21" t="n">
        <v>0.7</v>
      </c>
      <c r="AD12" s="21" t="n">
        <v>0.7</v>
      </c>
      <c r="AE12" s="21" t="n">
        <v>0.7</v>
      </c>
      <c r="AF12" s="21" t="n">
        <v>0.7</v>
      </c>
      <c r="AG12" s="21" t="n">
        <v>0.7</v>
      </c>
      <c r="AH12" s="21" t="n">
        <v>0.7</v>
      </c>
      <c r="AI12" s="21" t="n">
        <v>0.7</v>
      </c>
      <c r="AJ12" s="21" t="n">
        <v>0.7</v>
      </c>
      <c r="AK12" s="21" t="n">
        <v>0.7</v>
      </c>
      <c r="AL12" s="21" t="n">
        <v>0.7</v>
      </c>
      <c r="AM12" s="21" t="n">
        <v>0.7</v>
      </c>
      <c r="AN12" s="21" t="n">
        <v>0.7</v>
      </c>
      <c r="AO12" s="21" t="n">
        <v>0.7</v>
      </c>
      <c r="AP12" s="21" t="n">
        <v>0.7</v>
      </c>
      <c r="AQ12" s="21" t="n">
        <v>0.7</v>
      </c>
      <c r="AR12" s="21" t="n">
        <v>0.7</v>
      </c>
      <c r="AS12" s="21" t="n">
        <v>0.7</v>
      </c>
      <c r="AT12" s="21" t="n">
        <v>0.7</v>
      </c>
      <c r="AU12" s="21" t="n">
        <v>0.7</v>
      </c>
      <c r="AV12" s="21" t="n">
        <v>0.7</v>
      </c>
      <c r="AW12" s="21" t="n">
        <v>0.7</v>
      </c>
      <c r="AX12" s="21" t="n">
        <v>0.7</v>
      </c>
      <c r="AY12" s="21" t="n">
        <v>0.7</v>
      </c>
      <c r="AZ12" s="21" t="n">
        <v>0.7</v>
      </c>
      <c r="BA12" s="21" t="n">
        <v>0.7</v>
      </c>
      <c r="BB12" s="21" t="n">
        <v>0.7</v>
      </c>
      <c r="BC12" s="21" t="n">
        <v>0.7</v>
      </c>
      <c r="BD12" s="21" t="n">
        <v>0.7</v>
      </c>
      <c r="BE12" s="21" t="n">
        <v>0.7</v>
      </c>
      <c r="BF12" s="21" t="n">
        <v>0.7</v>
      </c>
      <c r="BG12" s="21" t="n">
        <v>0.7</v>
      </c>
      <c r="BH12" s="21" t="n">
        <v>0.7</v>
      </c>
      <c r="BI12" s="21" t="n">
        <v>0.7</v>
      </c>
      <c r="BJ12" s="21" t="n">
        <v>0.7</v>
      </c>
      <c r="BK12" s="21" t="n">
        <v>0.7</v>
      </c>
      <c r="BL12" s="21" t="n">
        <v>0.7</v>
      </c>
      <c r="BM12" s="21" t="n">
        <v>0.7</v>
      </c>
      <c r="BN12" s="21" t="n">
        <v>0.7</v>
      </c>
      <c r="BO12" s="21" t="n">
        <v>0.7</v>
      </c>
      <c r="BP12" s="21" t="n">
        <v>0.7</v>
      </c>
      <c r="BQ12" s="21" t="n">
        <v>0.7</v>
      </c>
      <c r="BR12" s="21" t="n">
        <v>0.7</v>
      </c>
      <c r="BS12" s="21" t="n">
        <v>0.7</v>
      </c>
      <c r="BT12" s="21" t="n">
        <v>0.7</v>
      </c>
      <c r="BU12" s="21" t="n">
        <v>0.7</v>
      </c>
      <c r="BV12" s="21" t="n">
        <v>0.7</v>
      </c>
      <c r="BW12" s="21" t="n">
        <v>0.7</v>
      </c>
      <c r="BX12" s="21" t="n">
        <v>0.7</v>
      </c>
      <c r="BY12" s="21" t="n">
        <v>0.7</v>
      </c>
      <c r="BZ12" s="21" t="n">
        <v>0.7</v>
      </c>
      <c r="CA12" s="21" t="n">
        <v>0.7</v>
      </c>
      <c r="CB12" s="21" t="n">
        <v>0.7</v>
      </c>
      <c r="CC12" s="21" t="n">
        <v>0.7</v>
      </c>
      <c r="CD12" s="21" t="n">
        <v>0.7</v>
      </c>
      <c r="CE12" s="21" t="n">
        <v>0.7</v>
      </c>
      <c r="CF12" s="21" t="n">
        <v>0.7</v>
      </c>
      <c r="CG12" s="21" t="n">
        <v>0.7</v>
      </c>
      <c r="CH12" s="21" t="n">
        <v>0.7</v>
      </c>
      <c r="CI12" s="21" t="n">
        <v>0.7</v>
      </c>
      <c r="CJ12" s="21" t="n">
        <v>0.7</v>
      </c>
      <c r="CK12" s="21" t="n">
        <v>0.7</v>
      </c>
      <c r="CL12" s="21" t="n">
        <v>0.7</v>
      </c>
      <c r="CM12" s="21" t="n">
        <v>0.7</v>
      </c>
      <c r="CN12" s="21" t="n">
        <v>0.7</v>
      </c>
      <c r="CO12" s="21" t="n">
        <v>0.7</v>
      </c>
      <c r="CP12" s="21" t="n">
        <v>0.7</v>
      </c>
      <c r="CQ12" s="21" t="n">
        <v>0.7</v>
      </c>
      <c r="CR12" s="21" t="n">
        <v>0.7</v>
      </c>
      <c r="CS12" s="21" t="n">
        <v>0.7</v>
      </c>
      <c r="CT12" s="21" t="n">
        <v>0.7</v>
      </c>
      <c r="CU12" s="21" t="n">
        <v>0.7</v>
      </c>
      <c r="CV12" s="21" t="n">
        <v>0.7</v>
      </c>
      <c r="CW12" s="21" t="n">
        <v>0.7</v>
      </c>
      <c r="CX12" s="21" t="n">
        <v>0.7</v>
      </c>
      <c r="CY12" s="21" t="n">
        <v>0.7</v>
      </c>
      <c r="CZ12" s="21" t="n">
        <v>0.7</v>
      </c>
      <c r="DA12" s="21" t="n">
        <v>0.7</v>
      </c>
      <c r="DB12" s="21" t="n">
        <v>0.7</v>
      </c>
      <c r="DC12" s="21" t="n">
        <v>0.7</v>
      </c>
      <c r="DD12" s="21" t="n">
        <v>0.7</v>
      </c>
      <c r="DE12" s="21" t="n">
        <v>0.7</v>
      </c>
      <c r="DF12" s="21" t="n">
        <v>0.7</v>
      </c>
      <c r="DG12" s="21" t="n">
        <v>0.7</v>
      </c>
      <c r="DH12" s="21" t="n">
        <v>0.7</v>
      </c>
      <c r="DI12" s="21" t="n">
        <v>0.7</v>
      </c>
      <c r="DJ12" s="21" t="n">
        <v>0.7</v>
      </c>
      <c r="DK12" s="21" t="n">
        <v>0.7</v>
      </c>
      <c r="DL12" s="21" t="n">
        <v>0.7</v>
      </c>
      <c r="DM12" s="21" t="n">
        <v>0.7</v>
      </c>
      <c r="DN12" s="21" t="n">
        <v>0.7</v>
      </c>
      <c r="DO12" s="21" t="n">
        <v>0.7</v>
      </c>
      <c r="DP12" s="21" t="n">
        <v>0.7</v>
      </c>
      <c r="DQ12" s="21" t="n">
        <v>0.7</v>
      </c>
      <c r="DR12" s="21" t="n">
        <v>0.7</v>
      </c>
      <c r="DS12" s="21" t="n">
        <v>0.7</v>
      </c>
      <c r="DT12" s="21" t="n">
        <v>0.7</v>
      </c>
      <c r="DU12" s="21" t="n">
        <v>0.7</v>
      </c>
      <c r="DV12" s="21" t="n">
        <v>0.7</v>
      </c>
      <c r="DW12" s="21" t="n">
        <v>0.7</v>
      </c>
      <c r="DX12" s="21" t="n">
        <v>0.7</v>
      </c>
      <c r="DY12" s="21" t="n">
        <v>0.7</v>
      </c>
    </row>
    <row r="13">
      <c r="A13" s="12" t="inlineStr">
        <is>
          <t>hedge_rate</t>
        </is>
      </c>
      <c r="D13" t="inlineStr">
        <is>
          <t>헤지환율</t>
        </is>
      </c>
      <c r="E13" s="13" t="n">
        <v>1080.48</v>
      </c>
      <c r="F13" s="13" t="n">
        <v>1080.48</v>
      </c>
      <c r="G13" s="13" t="n">
        <v>1080.48</v>
      </c>
      <c r="H13" s="13" t="n">
        <v>1085.22</v>
      </c>
      <c r="I13" s="13" t="n">
        <v>1106.95</v>
      </c>
      <c r="J13" s="13" t="n">
        <v>1115.14</v>
      </c>
      <c r="K13" s="13" t="n">
        <v>1116.26</v>
      </c>
      <c r="L13" s="13" t="n">
        <v>1130.69</v>
      </c>
      <c r="M13" s="13" t="n">
        <v>1130.69</v>
      </c>
      <c r="N13" s="13" t="n">
        <v>1130.69</v>
      </c>
      <c r="O13" s="13" t="n">
        <v>1125.98</v>
      </c>
      <c r="P13" s="13" t="n">
        <v>1123.3</v>
      </c>
      <c r="Q13" s="13" t="n">
        <v>1122.51</v>
      </c>
      <c r="R13" s="13" t="n">
        <v>1124.2</v>
      </c>
      <c r="S13" s="13" t="n">
        <v>1126.74</v>
      </c>
      <c r="T13" s="13" t="n">
        <v>1127.57</v>
      </c>
      <c r="U13" s="13" t="n">
        <v>1127.57</v>
      </c>
      <c r="V13" s="13" t="n">
        <v>1131.77</v>
      </c>
      <c r="W13" s="13" t="n">
        <v>1145.89</v>
      </c>
      <c r="X13" s="13" t="n">
        <v>1170.82</v>
      </c>
      <c r="Y13" s="13" t="n">
        <v>1183.49</v>
      </c>
      <c r="Z13" s="13" t="n">
        <v>1206.46</v>
      </c>
      <c r="AA13" s="13" t="n">
        <v>1220.44</v>
      </c>
      <c r="AB13" s="13" t="n">
        <v>1221.79</v>
      </c>
      <c r="AC13" s="13" t="n">
        <v>1227.91</v>
      </c>
      <c r="AD13" s="13" t="n">
        <v>1228</v>
      </c>
      <c r="AE13" s="13" t="n">
        <v>1228.67</v>
      </c>
      <c r="AF13" s="13" t="n">
        <v>1233.83</v>
      </c>
      <c r="AG13" s="13" t="n">
        <v>1249.2</v>
      </c>
      <c r="AH13" s="13" t="n">
        <v>1254.23</v>
      </c>
      <c r="AI13" s="13" t="n">
        <v>1267.98</v>
      </c>
      <c r="AJ13" s="13" t="n">
        <v>1322.94</v>
      </c>
      <c r="AK13" s="13" t="n">
        <v>1377.69</v>
      </c>
      <c r="AL13" s="13" t="n">
        <v>1386.22</v>
      </c>
      <c r="AM13" s="13" t="n">
        <v>1391.21</v>
      </c>
      <c r="AN13" s="13" t="n">
        <v>1404.32</v>
      </c>
      <c r="AO13" s="13" t="n">
        <v>1421.93</v>
      </c>
      <c r="AP13" s="13" t="n">
        <v>1427.26</v>
      </c>
      <c r="AQ13" s="13" t="n">
        <v>1432.54</v>
      </c>
      <c r="AR13" s="13" t="n">
        <v>1439.9</v>
      </c>
      <c r="AS13" s="13" t="n">
        <v>1446.89</v>
      </c>
      <c r="AT13" s="13" t="n">
        <v>1448.2</v>
      </c>
      <c r="AU13" s="13" t="n">
        <v>1445.63</v>
      </c>
      <c r="AV13" s="13" t="n">
        <v>1442.16</v>
      </c>
      <c r="AW13" s="13" t="n">
        <v>1446.33</v>
      </c>
      <c r="AX13" s="13" t="n">
        <v>1450.09</v>
      </c>
      <c r="AY13" s="13" t="n">
        <v>1455.1</v>
      </c>
      <c r="AZ13" s="13" t="n">
        <v>1461.49</v>
      </c>
      <c r="BA13" s="13" t="n">
        <v>1462.34</v>
      </c>
      <c r="BB13" s="13" t="n">
        <v>1461.64</v>
      </c>
      <c r="BC13" s="13" t="n">
        <v>1427.72</v>
      </c>
      <c r="BD13" s="13" t="n">
        <v>1461.27</v>
      </c>
      <c r="BE13" s="13" t="n">
        <v>1466.54</v>
      </c>
      <c r="BF13" s="13" t="n">
        <v>1463.38</v>
      </c>
      <c r="BG13" s="13" t="n">
        <v>1463.38</v>
      </c>
      <c r="BH13" s="13" t="n">
        <v>1463.38</v>
      </c>
      <c r="BI13" s="13" t="n">
        <v>1446.27</v>
      </c>
      <c r="BJ13" s="13" t="n">
        <v>1439.41</v>
      </c>
      <c r="BK13" s="13" t="n">
        <v>1439.41</v>
      </c>
      <c r="BL13" s="13" t="n">
        <v>1439.41</v>
      </c>
      <c r="BM13" s="13" t="n">
        <v>1439.41</v>
      </c>
      <c r="BN13" s="13" t="n">
        <v>1442.43</v>
      </c>
      <c r="BO13" s="13" t="n">
        <v>1451.59</v>
      </c>
      <c r="BP13" s="13" t="n">
        <v>1451.59</v>
      </c>
      <c r="BQ13" s="13" t="n">
        <v>1454.84</v>
      </c>
      <c r="BR13" s="13" t="n">
        <v>1466.12</v>
      </c>
      <c r="BS13" s="13" t="n">
        <v>1466.12</v>
      </c>
      <c r="BT13" s="13" t="n">
        <v>1466.12</v>
      </c>
      <c r="BU13" s="13" t="n">
        <v>1466.12</v>
      </c>
      <c r="BV13" s="13" t="n">
        <v>1466.12</v>
      </c>
      <c r="BW13" s="13" t="n">
        <v>1466.12</v>
      </c>
      <c r="BX13" s="13" t="n">
        <v>1466.12</v>
      </c>
      <c r="BY13" s="13" t="n">
        <v>1466.12</v>
      </c>
      <c r="BZ13" s="13" t="n">
        <v>1466.12</v>
      </c>
      <c r="CA13" s="13" t="n">
        <v>1466.12</v>
      </c>
      <c r="CB13" s="13" t="n">
        <v>1466.12</v>
      </c>
      <c r="CC13" s="13" t="n">
        <v>1466.12</v>
      </c>
      <c r="CD13" s="13" t="n">
        <v>1466.12</v>
      </c>
      <c r="CE13" s="13" t="n">
        <v>1466.12</v>
      </c>
      <c r="CF13" s="13" t="n">
        <v>1466.12</v>
      </c>
      <c r="CG13" s="13" t="n">
        <v>1466.12</v>
      </c>
      <c r="CH13" s="13" t="n">
        <v>1466.12</v>
      </c>
      <c r="CI13" s="13" t="n">
        <v>1466.12</v>
      </c>
      <c r="CJ13" s="13" t="n">
        <v>1466.12</v>
      </c>
      <c r="CK13" s="13" t="n">
        <v>1466.12</v>
      </c>
      <c r="CL13" s="13" t="n">
        <v>1466.12</v>
      </c>
      <c r="CM13" s="13" t="n">
        <v>1466.12</v>
      </c>
      <c r="CN13" s="13" t="n">
        <v>1466.12</v>
      </c>
      <c r="CO13" s="13" t="n">
        <v>1466.12</v>
      </c>
      <c r="CP13" s="13" t="n">
        <v>1466.12</v>
      </c>
      <c r="CQ13" s="13" t="n">
        <v>1466.12</v>
      </c>
      <c r="CR13" s="13" t="n">
        <v>1466.12</v>
      </c>
      <c r="CS13" s="13" t="n">
        <v>1466.12</v>
      </c>
      <c r="CT13" s="13" t="n">
        <v>1466.12</v>
      </c>
      <c r="CU13" s="13" t="n">
        <v>1466.12</v>
      </c>
      <c r="CV13" s="13" t="n">
        <v>1466.12</v>
      </c>
      <c r="CW13" s="13" t="n">
        <v>1466.12</v>
      </c>
      <c r="CX13" s="13" t="n">
        <v>1466.12</v>
      </c>
      <c r="CY13" s="13" t="n">
        <v>1466.12</v>
      </c>
      <c r="CZ13" s="13" t="n">
        <v>1466.12</v>
      </c>
      <c r="DA13" s="13" t="n">
        <v>1466.12</v>
      </c>
      <c r="DB13" s="13" t="n">
        <v>1466.12</v>
      </c>
      <c r="DC13" s="13" t="n">
        <v>1466.12</v>
      </c>
      <c r="DD13" s="13" t="n">
        <v>1466.12</v>
      </c>
      <c r="DE13" s="13" t="n">
        <v>1466.12</v>
      </c>
      <c r="DF13" s="13" t="n">
        <v>1466.12</v>
      </c>
      <c r="DG13" s="13" t="n">
        <v>1466.12</v>
      </c>
      <c r="DH13" s="13" t="n">
        <v>1466.12</v>
      </c>
      <c r="DI13" s="13" t="n">
        <v>1466.12</v>
      </c>
      <c r="DJ13" s="13" t="n">
        <v>1466.12</v>
      </c>
      <c r="DK13" s="13" t="n">
        <v>1466.12</v>
      </c>
      <c r="DL13" s="13" t="n">
        <v>1466.12</v>
      </c>
      <c r="DM13" s="13" t="n">
        <v>1466.12</v>
      </c>
      <c r="DN13" s="13" t="n">
        <v>1466.12</v>
      </c>
      <c r="DO13" s="13" t="n">
        <v>1466.12</v>
      </c>
      <c r="DP13" s="13" t="n">
        <v>1466.12</v>
      </c>
      <c r="DQ13" s="13" t="n">
        <v>1466.12</v>
      </c>
      <c r="DR13" s="13" t="n">
        <v>1466.12</v>
      </c>
      <c r="DS13" s="13" t="n">
        <v>1466.12</v>
      </c>
      <c r="DT13" s="13" t="n">
        <v>1466.12</v>
      </c>
      <c r="DU13" s="13" t="n">
        <v>1466.12</v>
      </c>
      <c r="DV13" s="13" t="n">
        <v>1466.12</v>
      </c>
      <c r="DW13" s="13" t="n">
        <v>1466.12</v>
      </c>
      <c r="DX13" s="13" t="n">
        <v>1466.12</v>
      </c>
      <c r="DY13" s="13" t="n">
        <v>1466.12</v>
      </c>
    </row>
    <row r="14">
      <c r="A14" s="12" t="inlineStr">
        <is>
          <t>spot_assumed</t>
        </is>
      </c>
      <c r="D14" t="inlineStr">
        <is>
          <t>건조시점 환율(가정)</t>
        </is>
      </c>
      <c r="E14" s="13" t="n">
        <v>1080.48</v>
      </c>
      <c r="F14" s="13" t="n">
        <v>1121.86</v>
      </c>
      <c r="G14" s="13" t="n">
        <v>1127.53</v>
      </c>
      <c r="H14" s="13" t="n">
        <v>1125.78</v>
      </c>
      <c r="I14" s="13" t="n">
        <v>1167.69</v>
      </c>
      <c r="J14" s="13" t="n">
        <v>1193.96</v>
      </c>
      <c r="K14" s="13" t="n">
        <v>1176.23</v>
      </c>
      <c r="L14" s="13" t="n">
        <v>1193.92</v>
      </c>
      <c r="M14" s="13" t="n">
        <v>1219.69</v>
      </c>
      <c r="N14" s="13" t="n">
        <v>1187.81</v>
      </c>
      <c r="O14" s="13" t="n">
        <v>1117.97</v>
      </c>
      <c r="P14" s="13" t="n">
        <v>1114.99</v>
      </c>
      <c r="Q14" s="13" t="n">
        <v>1121.13</v>
      </c>
      <c r="R14" s="13" t="n">
        <v>1159.91</v>
      </c>
      <c r="S14" s="13" t="n">
        <v>1183.5</v>
      </c>
      <c r="T14" s="13" t="n">
        <v>1205.78</v>
      </c>
      <c r="U14" s="13" t="n">
        <v>1262.09</v>
      </c>
      <c r="V14" s="13" t="n">
        <v>1341.93</v>
      </c>
      <c r="W14" s="13" t="n">
        <v>1360.12</v>
      </c>
      <c r="X14" s="13" t="n">
        <v>1276.95</v>
      </c>
      <c r="Y14" s="13" t="n">
        <v>1315.69</v>
      </c>
      <c r="Z14" s="13" t="n">
        <v>1313.62</v>
      </c>
      <c r="AA14" s="13" t="n">
        <v>1322.01</v>
      </c>
      <c r="AB14" s="13" t="n">
        <v>1330.14</v>
      </c>
      <c r="AC14" s="13" t="n">
        <v>1371.28</v>
      </c>
      <c r="AD14" s="13" t="n">
        <v>1356.22</v>
      </c>
      <c r="AE14" s="13" t="n">
        <v>1396.3</v>
      </c>
      <c r="AF14" s="13" t="n">
        <v>1452.28</v>
      </c>
      <c r="AG14" s="13" t="n">
        <v>1398.52</v>
      </c>
      <c r="AH14" s="13" t="n">
        <v>1386.95</v>
      </c>
      <c r="AI14" s="13" t="n">
        <v>1449.19</v>
      </c>
      <c r="AJ14" s="13" t="n">
        <v>1466.12</v>
      </c>
      <c r="AK14" s="13" t="n">
        <v>1501.75</v>
      </c>
      <c r="AL14" s="13" t="n">
        <v>1419.72</v>
      </c>
      <c r="AM14" s="13" t="n">
        <v>1353.36</v>
      </c>
      <c r="AN14" s="13" t="n">
        <v>1353.36</v>
      </c>
      <c r="AO14" s="13" t="n">
        <v>1353.36</v>
      </c>
      <c r="AP14" s="13" t="n">
        <v>1353.36</v>
      </c>
      <c r="AQ14" s="13" t="n">
        <v>1353.36</v>
      </c>
      <c r="AR14" s="13" t="n">
        <v>1353.36</v>
      </c>
      <c r="AS14" s="13" t="n">
        <v>1353.36</v>
      </c>
      <c r="AT14" s="13" t="n">
        <v>1353.36</v>
      </c>
      <c r="AU14" s="13" t="n">
        <v>1353.36</v>
      </c>
      <c r="AV14" s="13" t="n">
        <v>1353.36</v>
      </c>
      <c r="AW14" s="13" t="n">
        <v>1353.36</v>
      </c>
      <c r="AX14" s="13" t="n">
        <v>1353.36</v>
      </c>
      <c r="AY14" s="13" t="n">
        <v>1353.36</v>
      </c>
      <c r="AZ14" s="13" t="n">
        <v>1353.36</v>
      </c>
      <c r="BA14" s="13" t="n">
        <v>1353.36</v>
      </c>
      <c r="BB14" s="13" t="n">
        <v>1353.36</v>
      </c>
      <c r="BC14" s="13" t="n">
        <v>1353.36</v>
      </c>
      <c r="BD14" s="13" t="n">
        <v>1353.36</v>
      </c>
      <c r="BE14" s="13" t="n">
        <v>1353.36</v>
      </c>
      <c r="BF14" s="13" t="n">
        <v>1353.36</v>
      </c>
      <c r="BG14" s="13" t="n">
        <v>1353.36</v>
      </c>
      <c r="BH14" s="13" t="n">
        <v>1353.36</v>
      </c>
      <c r="BI14" s="13" t="n">
        <v>1353.36</v>
      </c>
      <c r="BJ14" s="13" t="n">
        <v>1353.36</v>
      </c>
      <c r="BK14" s="13" t="n">
        <v>1353.36</v>
      </c>
      <c r="BL14" s="13" t="n">
        <v>1353.36</v>
      </c>
      <c r="BM14" s="13" t="n">
        <v>1353.36</v>
      </c>
      <c r="BN14" s="13" t="n">
        <v>1353.36</v>
      </c>
      <c r="BO14" s="13" t="n">
        <v>1353.36</v>
      </c>
      <c r="BP14" s="13" t="n">
        <v>1353.36</v>
      </c>
      <c r="BQ14" s="13" t="n">
        <v>1353.36</v>
      </c>
      <c r="BR14" s="13" t="n">
        <v>1353.36</v>
      </c>
      <c r="BS14" s="13" t="n">
        <v>1353.36</v>
      </c>
      <c r="BT14" s="13" t="n">
        <v>1353.36</v>
      </c>
      <c r="BU14" s="13" t="n">
        <v>1353.36</v>
      </c>
      <c r="BV14" s="13" t="n">
        <v>1353.36</v>
      </c>
      <c r="BW14" s="13" t="n">
        <v>1353.36</v>
      </c>
      <c r="BX14" s="13" t="n">
        <v>1353.36</v>
      </c>
      <c r="BY14" s="13" t="n">
        <v>1353.36</v>
      </c>
      <c r="BZ14" s="13" t="n">
        <v>1353.36</v>
      </c>
      <c r="CA14" s="13" t="n">
        <v>1353.36</v>
      </c>
      <c r="CB14" s="13" t="n">
        <v>1353.36</v>
      </c>
      <c r="CC14" s="13" t="n">
        <v>1353.36</v>
      </c>
      <c r="CD14" s="13" t="n">
        <v>1353.36</v>
      </c>
      <c r="CE14" s="13" t="n">
        <v>1353.36</v>
      </c>
      <c r="CF14" s="13" t="n">
        <v>1353.36</v>
      </c>
      <c r="CG14" s="13" t="n">
        <v>1353.36</v>
      </c>
      <c r="CH14" s="13" t="n">
        <v>1353.36</v>
      </c>
      <c r="CI14" s="13" t="n">
        <v>1353.36</v>
      </c>
      <c r="CJ14" s="13" t="n">
        <v>1353.36</v>
      </c>
      <c r="CK14" s="13" t="n">
        <v>1353.36</v>
      </c>
      <c r="CL14" s="13" t="n">
        <v>1353.36</v>
      </c>
      <c r="CM14" s="13" t="n">
        <v>1353.36</v>
      </c>
      <c r="CN14" s="13" t="n">
        <v>1353.36</v>
      </c>
      <c r="CO14" s="13" t="n">
        <v>1353.36</v>
      </c>
      <c r="CP14" s="13" t="n">
        <v>1353.36</v>
      </c>
      <c r="CQ14" s="13" t="n">
        <v>1353.36</v>
      </c>
      <c r="CR14" s="13" t="n">
        <v>1353.36</v>
      </c>
      <c r="CS14" s="13" t="n">
        <v>1353.36</v>
      </c>
      <c r="CT14" s="13" t="n">
        <v>1353.36</v>
      </c>
      <c r="CU14" s="13" t="n">
        <v>1353.36</v>
      </c>
      <c r="CV14" s="13" t="n">
        <v>1353.36</v>
      </c>
      <c r="CW14" s="13" t="n">
        <v>1353.36</v>
      </c>
      <c r="CX14" s="13" t="n">
        <v>1353.36</v>
      </c>
      <c r="CY14" s="13" t="n">
        <v>1353.36</v>
      </c>
      <c r="CZ14" s="13" t="n">
        <v>1353.36</v>
      </c>
      <c r="DA14" s="13" t="n">
        <v>1353.36</v>
      </c>
      <c r="DB14" s="13" t="n">
        <v>1353.36</v>
      </c>
      <c r="DC14" s="13" t="n">
        <v>1353.36</v>
      </c>
      <c r="DD14" s="13" t="n">
        <v>1353.36</v>
      </c>
      <c r="DE14" s="13" t="n">
        <v>1353.36</v>
      </c>
      <c r="DF14" s="13" t="n">
        <v>1353.36</v>
      </c>
      <c r="DG14" s="13" t="n">
        <v>1353.36</v>
      </c>
      <c r="DH14" s="13" t="n">
        <v>1353.36</v>
      </c>
      <c r="DI14" s="13" t="n">
        <v>1353.36</v>
      </c>
      <c r="DJ14" s="13" t="n">
        <v>1353.36</v>
      </c>
      <c r="DK14" s="13" t="n">
        <v>1353.36</v>
      </c>
      <c r="DL14" s="13" t="n">
        <v>1353.36</v>
      </c>
      <c r="DM14" s="13" t="n">
        <v>1353.36</v>
      </c>
      <c r="DN14" s="13" t="n">
        <v>1353.36</v>
      </c>
      <c r="DO14" s="13" t="n">
        <v>1353.36</v>
      </c>
      <c r="DP14" s="13" t="n">
        <v>1353.36</v>
      </c>
      <c r="DQ14" s="13" t="n">
        <v>1353.36</v>
      </c>
      <c r="DR14" s="13" t="n">
        <v>1353.36</v>
      </c>
      <c r="DS14" s="13" t="n">
        <v>1353.36</v>
      </c>
      <c r="DT14" s="13" t="n">
        <v>1353.36</v>
      </c>
      <c r="DU14" s="13" t="n">
        <v>1353.36</v>
      </c>
      <c r="DV14" s="13" t="n">
        <v>1353.36</v>
      </c>
      <c r="DW14" s="13" t="n">
        <v>1353.36</v>
      </c>
      <c r="DX14" s="13" t="n">
        <v>1353.36</v>
      </c>
      <c r="DY14" s="13" t="n">
        <v>1353.36</v>
      </c>
    </row>
    <row r="15">
      <c r="A15" s="12" t="inlineStr">
        <is>
          <t>applied_rate</t>
        </is>
      </c>
      <c r="D15" t="inlineStr">
        <is>
          <t>적용환율</t>
        </is>
      </c>
      <c r="E15" s="13" t="n">
        <v>1080.48</v>
      </c>
      <c r="F15" s="13" t="n">
        <v>1092.89</v>
      </c>
      <c r="G15" s="13" t="n">
        <v>1094.6</v>
      </c>
      <c r="H15" s="13" t="n">
        <v>1097.39</v>
      </c>
      <c r="I15" s="13" t="n">
        <v>1125.17</v>
      </c>
      <c r="J15" s="13" t="n">
        <v>1138.79</v>
      </c>
      <c r="K15" s="13" t="n">
        <v>1134.25</v>
      </c>
      <c r="L15" s="13" t="n">
        <v>1149.66</v>
      </c>
      <c r="M15" s="13" t="n">
        <v>1157.39</v>
      </c>
      <c r="N15" s="13" t="n">
        <v>1147.83</v>
      </c>
      <c r="O15" s="13" t="n">
        <v>1123.57</v>
      </c>
      <c r="P15" s="13" t="n">
        <v>1120.81</v>
      </c>
      <c r="Q15" s="13" t="n">
        <v>1122.1</v>
      </c>
      <c r="R15" s="13" t="n">
        <v>1134.91</v>
      </c>
      <c r="S15" s="13" t="n">
        <v>1143.77</v>
      </c>
      <c r="T15" s="13" t="n">
        <v>1151.03</v>
      </c>
      <c r="U15" s="13" t="n">
        <v>1167.92</v>
      </c>
      <c r="V15" s="13" t="n">
        <v>1194.81</v>
      </c>
      <c r="W15" s="13" t="n">
        <v>1210.16</v>
      </c>
      <c r="X15" s="13" t="n">
        <v>1202.66</v>
      </c>
      <c r="Y15" s="13" t="n">
        <v>1223.15</v>
      </c>
      <c r="Z15" s="13" t="n">
        <v>1238.61</v>
      </c>
      <c r="AA15" s="13" t="n">
        <v>1250.91</v>
      </c>
      <c r="AB15" s="13" t="n">
        <v>1254.3</v>
      </c>
      <c r="AC15" s="13" t="n">
        <v>1270.92</v>
      </c>
      <c r="AD15" s="13" t="n">
        <v>1266.46</v>
      </c>
      <c r="AE15" s="13" t="n">
        <v>1278.96</v>
      </c>
      <c r="AF15" s="13" t="n">
        <v>1299.36</v>
      </c>
      <c r="AG15" s="13" t="n">
        <v>1294</v>
      </c>
      <c r="AH15" s="13" t="n">
        <v>1294.04</v>
      </c>
      <c r="AI15" s="13" t="n">
        <v>1322.34</v>
      </c>
      <c r="AJ15" s="13" t="n">
        <v>1365.89</v>
      </c>
      <c r="AK15" s="13" t="n">
        <v>1414.91</v>
      </c>
      <c r="AL15" s="13" t="n">
        <v>1396.27</v>
      </c>
      <c r="AM15" s="13" t="n">
        <v>1379.86</v>
      </c>
      <c r="AN15" s="13" t="n">
        <v>1389.03</v>
      </c>
      <c r="AO15" s="13" t="n">
        <v>1401.36</v>
      </c>
      <c r="AP15" s="13" t="n">
        <v>1405.09</v>
      </c>
      <c r="AQ15" s="13" t="n">
        <v>1408.79</v>
      </c>
      <c r="AR15" s="13" t="n">
        <v>1413.94</v>
      </c>
      <c r="AS15" s="13" t="n">
        <v>1418.83</v>
      </c>
      <c r="AT15" s="13" t="n">
        <v>1419.75</v>
      </c>
      <c r="AU15" s="13" t="n">
        <v>1417.95</v>
      </c>
      <c r="AV15" s="13" t="n">
        <v>1415.52</v>
      </c>
      <c r="AW15" s="13" t="n">
        <v>1418.44</v>
      </c>
      <c r="AX15" s="13" t="n">
        <v>1421.07</v>
      </c>
      <c r="AY15" s="13" t="n">
        <v>1424.58</v>
      </c>
      <c r="AZ15" s="13" t="n">
        <v>1429.05</v>
      </c>
      <c r="BA15" s="13" t="n">
        <v>1429.64</v>
      </c>
      <c r="BB15" s="13" t="n">
        <v>1429.16</v>
      </c>
      <c r="BC15" s="13" t="n">
        <v>1405.41</v>
      </c>
      <c r="BD15" s="13" t="n">
        <v>1428.89</v>
      </c>
      <c r="BE15" s="13" t="n">
        <v>1432.58</v>
      </c>
      <c r="BF15" s="13" t="n">
        <v>1430.38</v>
      </c>
      <c r="BG15" s="13" t="n">
        <v>1430.38</v>
      </c>
      <c r="BH15" s="13" t="n">
        <v>1430.38</v>
      </c>
      <c r="BI15" s="13" t="n">
        <v>1418.39</v>
      </c>
      <c r="BJ15" s="13" t="n">
        <v>1413.59</v>
      </c>
      <c r="BK15" s="13" t="n">
        <v>1413.59</v>
      </c>
      <c r="BL15" s="13" t="n">
        <v>1413.59</v>
      </c>
      <c r="BM15" s="13" t="n">
        <v>1413.59</v>
      </c>
      <c r="BN15" s="13" t="n">
        <v>1415.71</v>
      </c>
      <c r="BO15" s="13" t="n">
        <v>1422.12</v>
      </c>
      <c r="BP15" s="13" t="n">
        <v>1422.12</v>
      </c>
      <c r="BQ15" s="13" t="n">
        <v>1424.4</v>
      </c>
      <c r="BR15" s="13" t="n">
        <v>1432.29</v>
      </c>
      <c r="BS15" s="13" t="n">
        <v>1432.29</v>
      </c>
      <c r="BT15" s="13" t="n">
        <v>1432.29</v>
      </c>
      <c r="BU15" s="13" t="n">
        <v>1432.29</v>
      </c>
      <c r="BV15" s="13" t="n">
        <v>1432.29</v>
      </c>
      <c r="BW15" s="13" t="n">
        <v>1432.29</v>
      </c>
      <c r="BX15" s="13" t="n">
        <v>1432.29</v>
      </c>
      <c r="BY15" s="13" t="n">
        <v>1432.29</v>
      </c>
      <c r="BZ15" s="13" t="n">
        <v>1432.29</v>
      </c>
      <c r="CA15" s="13" t="n">
        <v>1432.29</v>
      </c>
      <c r="CB15" s="13" t="n">
        <v>1432.29</v>
      </c>
      <c r="CC15" s="13" t="n">
        <v>1432.29</v>
      </c>
      <c r="CD15" s="13" t="n">
        <v>1432.29</v>
      </c>
      <c r="CE15" s="13" t="n">
        <v>1432.29</v>
      </c>
      <c r="CF15" s="13" t="n">
        <v>1432.29</v>
      </c>
      <c r="CG15" s="13" t="n">
        <v>1432.29</v>
      </c>
      <c r="CH15" s="13" t="n">
        <v>1432.29</v>
      </c>
      <c r="CI15" s="13" t="n">
        <v>1432.29</v>
      </c>
      <c r="CJ15" s="13" t="n">
        <v>1432.29</v>
      </c>
      <c r="CK15" s="13" t="n">
        <v>1432.29</v>
      </c>
      <c r="CL15" s="13" t="n">
        <v>1432.29</v>
      </c>
      <c r="CM15" s="13" t="n">
        <v>1432.29</v>
      </c>
      <c r="CN15" s="13" t="n">
        <v>1432.29</v>
      </c>
      <c r="CO15" s="13" t="n">
        <v>1432.29</v>
      </c>
      <c r="CP15" s="13" t="n">
        <v>1432.29</v>
      </c>
      <c r="CQ15" s="13" t="n">
        <v>1432.29</v>
      </c>
      <c r="CR15" s="13" t="n">
        <v>1432.29</v>
      </c>
      <c r="CS15" s="13" t="n">
        <v>1432.29</v>
      </c>
      <c r="CT15" s="13" t="n">
        <v>1432.29</v>
      </c>
      <c r="CU15" s="13" t="n">
        <v>1432.29</v>
      </c>
      <c r="CV15" s="13" t="n">
        <v>1432.29</v>
      </c>
      <c r="CW15" s="13" t="n">
        <v>1432.29</v>
      </c>
      <c r="CX15" s="13" t="n">
        <v>1432.29</v>
      </c>
      <c r="CY15" s="13" t="n">
        <v>1432.29</v>
      </c>
      <c r="CZ15" s="13" t="n">
        <v>1432.29</v>
      </c>
      <c r="DA15" s="13" t="n">
        <v>1432.29</v>
      </c>
      <c r="DB15" s="13" t="n">
        <v>1432.29</v>
      </c>
      <c r="DC15" s="13" t="n">
        <v>1432.29</v>
      </c>
      <c r="DD15" s="13" t="n">
        <v>1432.29</v>
      </c>
      <c r="DE15" s="13" t="n">
        <v>1432.29</v>
      </c>
      <c r="DF15" s="13" t="n">
        <v>1432.29</v>
      </c>
      <c r="DG15" s="13" t="n">
        <v>1432.29</v>
      </c>
      <c r="DH15" s="13" t="n">
        <v>1432.29</v>
      </c>
      <c r="DI15" s="13" t="n">
        <v>1432.29</v>
      </c>
      <c r="DJ15" s="13" t="n">
        <v>1432.29</v>
      </c>
      <c r="DK15" s="13" t="n">
        <v>1432.29</v>
      </c>
      <c r="DL15" s="13" t="n">
        <v>1432.29</v>
      </c>
      <c r="DM15" s="13" t="n">
        <v>1432.29</v>
      </c>
      <c r="DN15" s="13" t="n">
        <v>1432.29</v>
      </c>
      <c r="DO15" s="13" t="n">
        <v>1432.29</v>
      </c>
      <c r="DP15" s="13" t="n">
        <v>1432.29</v>
      </c>
      <c r="DQ15" s="13" t="n">
        <v>1432.29</v>
      </c>
      <c r="DR15" s="13" t="n">
        <v>1432.29</v>
      </c>
      <c r="DS15" s="13" t="n">
        <v>1432.29</v>
      </c>
      <c r="DT15" s="13" t="n">
        <v>1432.29</v>
      </c>
      <c r="DU15" s="13" t="n">
        <v>1432.29</v>
      </c>
      <c r="DV15" s="13" t="n">
        <v>1432.29</v>
      </c>
      <c r="DW15" s="13" t="n">
        <v>1432.29</v>
      </c>
      <c r="DX15" s="13" t="n">
        <v>1432.29</v>
      </c>
      <c r="DY15" s="13" t="n">
        <v>1432.29</v>
      </c>
    </row>
    <row r="16">
      <c r="A16" s="12" t="inlineStr">
        <is>
          <t>hedged_krw_m</t>
        </is>
      </c>
      <c r="D16" t="inlineStr">
        <is>
          <t>헤지적용 원화매출(백만원)</t>
        </is>
      </c>
      <c r="E16" s="18" t="n">
        <v>3169.1</v>
      </c>
      <c r="F16" s="18" t="n">
        <v>6702.4</v>
      </c>
      <c r="G16" s="18" t="n">
        <v>6712.8</v>
      </c>
      <c r="H16" s="18" t="n">
        <v>7352.3</v>
      </c>
      <c r="I16" s="18" t="n">
        <v>13923.4</v>
      </c>
      <c r="J16" s="18" t="n">
        <v>16467.9</v>
      </c>
      <c r="K16" s="18" t="n">
        <v>16706.7</v>
      </c>
      <c r="L16" s="18" t="n">
        <v>22060</v>
      </c>
      <c r="M16" s="18" t="n">
        <v>22208.4</v>
      </c>
      <c r="N16" s="18" t="n">
        <v>22266.9</v>
      </c>
      <c r="O16" s="18" t="n">
        <v>34636.6</v>
      </c>
      <c r="P16" s="18" t="n">
        <v>50759</v>
      </c>
      <c r="Q16" s="18" t="n">
        <v>56847.1</v>
      </c>
      <c r="R16" s="18" t="n">
        <v>64025.8</v>
      </c>
      <c r="S16" s="18" t="n">
        <v>67761.2</v>
      </c>
      <c r="T16" s="18" t="n">
        <v>67692.2</v>
      </c>
      <c r="U16" s="18" t="n">
        <v>69448.89999999999</v>
      </c>
      <c r="V16" s="18" t="n">
        <v>73263.5</v>
      </c>
      <c r="W16" s="18" t="n">
        <v>79412</v>
      </c>
      <c r="X16" s="18" t="n">
        <v>87898.7</v>
      </c>
      <c r="Y16" s="18" t="n">
        <v>100004.1</v>
      </c>
      <c r="Z16" s="18" t="n">
        <v>124200</v>
      </c>
      <c r="AA16" s="18" t="n">
        <v>144245.2</v>
      </c>
      <c r="AB16" s="18" t="n">
        <v>144844</v>
      </c>
      <c r="AC16" s="18" t="n">
        <v>155537.7</v>
      </c>
      <c r="AD16" s="18" t="n">
        <v>156835.1</v>
      </c>
      <c r="AE16" s="18" t="n">
        <v>159018.5</v>
      </c>
      <c r="AF16" s="18" t="n">
        <v>162693.6</v>
      </c>
      <c r="AG16" s="18" t="n">
        <v>161655.2</v>
      </c>
      <c r="AH16" s="18" t="n">
        <v>162421.9</v>
      </c>
      <c r="AI16" s="18" t="n">
        <v>178571.6</v>
      </c>
      <c r="AJ16" s="18" t="n">
        <v>253765.6</v>
      </c>
      <c r="AK16" s="18" t="n">
        <v>312360.8</v>
      </c>
      <c r="AL16" s="18" t="n">
        <v>338199.7</v>
      </c>
      <c r="AM16" s="18" t="n">
        <v>392740.1</v>
      </c>
      <c r="AN16" s="18" t="n">
        <v>364158.8</v>
      </c>
      <c r="AO16" s="18" t="n">
        <v>333504.1</v>
      </c>
      <c r="AP16" s="18" t="n">
        <v>323753.6</v>
      </c>
      <c r="AQ16" s="18" t="n">
        <v>311087.9</v>
      </c>
      <c r="AR16" s="18" t="n">
        <v>290283.1</v>
      </c>
      <c r="AS16" s="18" t="n">
        <v>282303.2</v>
      </c>
      <c r="AT16" s="18" t="n">
        <v>238468.2</v>
      </c>
      <c r="AU16" s="18" t="n">
        <v>203677.3</v>
      </c>
      <c r="AV16" s="18" t="n">
        <v>183695.6</v>
      </c>
      <c r="AW16" s="18" t="n">
        <v>129879.5</v>
      </c>
      <c r="AX16" s="18" t="n">
        <v>103761.7</v>
      </c>
      <c r="AY16" s="18" t="n">
        <v>84488.8</v>
      </c>
      <c r="AZ16" s="18" t="n">
        <v>53307.4</v>
      </c>
      <c r="BA16" s="18" t="n">
        <v>50425.1</v>
      </c>
      <c r="BB16" s="18" t="n">
        <v>43041</v>
      </c>
      <c r="BC16" s="18" t="n">
        <v>21434.6</v>
      </c>
      <c r="BD16" s="18" t="n">
        <v>18569.4</v>
      </c>
      <c r="BE16" s="18" t="n">
        <v>17259.3</v>
      </c>
      <c r="BF16" s="18" t="n">
        <v>15990.8</v>
      </c>
      <c r="BG16" s="18" t="n">
        <v>15990.8</v>
      </c>
      <c r="BH16" s="18" t="n">
        <v>15816.9</v>
      </c>
      <c r="BI16" s="18" t="n">
        <v>10845.4</v>
      </c>
      <c r="BJ16" s="18" t="n">
        <v>9725.200000000001</v>
      </c>
      <c r="BK16" s="18" t="n">
        <v>9725.200000000001</v>
      </c>
      <c r="BL16" s="18" t="n">
        <v>9513.799999999999</v>
      </c>
      <c r="BM16" s="18" t="n">
        <v>9619.5</v>
      </c>
      <c r="BN16" s="18" t="n">
        <v>8444.799999999999</v>
      </c>
      <c r="BO16" s="18" t="n">
        <v>6044</v>
      </c>
      <c r="BP16" s="18" t="n">
        <v>5912.6</v>
      </c>
      <c r="BQ16" s="18" t="n">
        <v>2543</v>
      </c>
      <c r="BR16" s="18" t="n">
        <v>862.9</v>
      </c>
      <c r="BS16" s="18" t="n">
        <v>862.9</v>
      </c>
      <c r="BT16" s="18" t="n">
        <v>844.2</v>
      </c>
      <c r="BU16" s="18" t="n">
        <v>853.5</v>
      </c>
      <c r="BV16" s="18" t="n">
        <v>862.9</v>
      </c>
      <c r="BW16" s="18" t="n">
        <v>862.9</v>
      </c>
      <c r="BX16" s="18" t="n">
        <v>853.5</v>
      </c>
      <c r="BY16" s="18" t="n">
        <v>853.5</v>
      </c>
      <c r="BZ16" s="18" t="n">
        <v>862.9</v>
      </c>
      <c r="CA16" s="18" t="n">
        <v>862.9</v>
      </c>
      <c r="CB16" s="18" t="n">
        <v>844.2</v>
      </c>
      <c r="CC16" s="18" t="n">
        <v>853.5</v>
      </c>
      <c r="CD16" s="18" t="n">
        <v>862.9</v>
      </c>
      <c r="CE16" s="18" t="n">
        <v>862.9</v>
      </c>
      <c r="CF16" s="18" t="n">
        <v>844.2</v>
      </c>
      <c r="CG16" s="18" t="n">
        <v>853.5</v>
      </c>
      <c r="CH16" s="18" t="n">
        <v>862.9</v>
      </c>
      <c r="CI16" s="18" t="n">
        <v>862.9</v>
      </c>
      <c r="CJ16" s="18" t="n">
        <v>844.2</v>
      </c>
      <c r="CK16" s="18" t="n">
        <v>853.5</v>
      </c>
      <c r="CL16" s="18" t="n">
        <v>862.9</v>
      </c>
      <c r="CM16" s="18" t="n">
        <v>862.9</v>
      </c>
      <c r="CN16" s="18" t="n">
        <v>853.5</v>
      </c>
      <c r="CO16" s="18" t="n">
        <v>853.5</v>
      </c>
      <c r="CP16" s="18" t="n">
        <v>862.9</v>
      </c>
      <c r="CQ16" s="18" t="n">
        <v>862.9</v>
      </c>
      <c r="CR16" s="18" t="n">
        <v>844.2</v>
      </c>
      <c r="CS16" s="18" t="n">
        <v>853.5</v>
      </c>
      <c r="CT16" s="18" t="n">
        <v>862.9</v>
      </c>
      <c r="CU16" s="18" t="n">
        <v>862.9</v>
      </c>
      <c r="CV16" s="18" t="n">
        <v>844.2</v>
      </c>
      <c r="CW16" s="18" t="n">
        <v>853.5</v>
      </c>
      <c r="CX16" s="18" t="n">
        <v>862.9</v>
      </c>
      <c r="CY16" s="18" t="n">
        <v>862.9</v>
      </c>
      <c r="CZ16" s="18" t="n">
        <v>844.2</v>
      </c>
      <c r="DA16" s="18" t="n">
        <v>853.5</v>
      </c>
      <c r="DB16" s="18" t="n">
        <v>862.9</v>
      </c>
      <c r="DC16" s="18" t="n">
        <v>862.9</v>
      </c>
      <c r="DD16" s="18" t="n">
        <v>853.5</v>
      </c>
      <c r="DE16" s="18" t="n">
        <v>853.5</v>
      </c>
      <c r="DF16" s="18" t="n">
        <v>862.9</v>
      </c>
      <c r="DG16" s="18" t="n">
        <v>862.9</v>
      </c>
      <c r="DH16" s="18" t="n">
        <v>844.2</v>
      </c>
      <c r="DI16" s="18" t="n">
        <v>853.5</v>
      </c>
      <c r="DJ16" s="18" t="n">
        <v>862.9</v>
      </c>
      <c r="DK16" s="18" t="n">
        <v>862.9</v>
      </c>
      <c r="DL16" s="18" t="n">
        <v>844.2</v>
      </c>
      <c r="DM16" s="18" t="n">
        <v>853.5</v>
      </c>
      <c r="DN16" s="18" t="n">
        <v>862.9</v>
      </c>
      <c r="DO16" s="18" t="n">
        <v>862.9</v>
      </c>
      <c r="DP16" s="18" t="n">
        <v>844.2</v>
      </c>
      <c r="DQ16" s="18" t="n">
        <v>853.5</v>
      </c>
      <c r="DR16" s="18" t="n">
        <v>862.9</v>
      </c>
      <c r="DS16" s="18" t="n">
        <v>862.9</v>
      </c>
      <c r="DT16" s="18" t="n">
        <v>853.5</v>
      </c>
      <c r="DU16" s="18" t="n">
        <v>853.5</v>
      </c>
      <c r="DV16" s="18" t="n">
        <v>862.9</v>
      </c>
      <c r="DW16" s="18" t="n">
        <v>862.9</v>
      </c>
      <c r="DX16" s="18" t="n">
        <v>844.2</v>
      </c>
      <c r="DY16" s="18" t="n">
        <v>572.1</v>
      </c>
      <c r="DZ16" s="18" t="n">
        <v>16584.3</v>
      </c>
      <c r="EA16" s="18" t="n">
        <v>54450.3</v>
      </c>
      <c r="EB16" s="18" t="n">
        <v>101171.9</v>
      </c>
      <c r="EC16" s="18" t="n">
        <v>239393.1</v>
      </c>
      <c r="ED16" s="18" t="n">
        <v>289816.6</v>
      </c>
      <c r="EE16" s="18" t="n">
        <v>456348</v>
      </c>
      <c r="EF16" s="18" t="n">
        <v>616235.3</v>
      </c>
      <c r="EG16" s="18" t="n">
        <v>665342.3</v>
      </c>
      <c r="EH16" s="18" t="n">
        <v>1297066.2</v>
      </c>
      <c r="EI16" s="18" t="n">
        <v>1332504.4</v>
      </c>
      <c r="EJ16" s="18" t="n">
        <v>1014731.8</v>
      </c>
      <c r="EK16" s="18" t="n">
        <v>501825.6</v>
      </c>
      <c r="EL16" s="18" t="n">
        <v>168208.1</v>
      </c>
      <c r="EM16" s="18" t="n">
        <v>67810.3</v>
      </c>
      <c r="EN16" s="18" t="n">
        <v>46112.7</v>
      </c>
      <c r="EO16" s="18" t="n">
        <v>33622.1</v>
      </c>
      <c r="EP16" s="18" t="n">
        <v>10181.4</v>
      </c>
      <c r="EQ16" s="18" t="n">
        <v>3423.5</v>
      </c>
      <c r="ER16" s="18" t="n">
        <v>3432.8</v>
      </c>
      <c r="ES16" s="18" t="n">
        <v>3423.5</v>
      </c>
      <c r="ET16" s="18" t="n">
        <v>3423.5</v>
      </c>
      <c r="EU16" s="18" t="n">
        <v>3423.5</v>
      </c>
      <c r="EV16" s="18" t="n">
        <v>3432.8</v>
      </c>
      <c r="EW16" s="18" t="n">
        <v>3423.5</v>
      </c>
      <c r="EX16" s="18" t="n">
        <v>3423.5</v>
      </c>
      <c r="EY16" s="18" t="n">
        <v>3423.5</v>
      </c>
      <c r="EZ16" s="18" t="n">
        <v>3432.8</v>
      </c>
      <c r="FA16" s="18" t="n">
        <v>3423.5</v>
      </c>
      <c r="FB16" s="18" t="n">
        <v>3423.5</v>
      </c>
      <c r="FC16" s="18" t="n">
        <v>3423.5</v>
      </c>
      <c r="FD16" s="18" t="n">
        <v>3432.8</v>
      </c>
      <c r="FE16" s="18" t="n">
        <v>1416.3</v>
      </c>
    </row>
    <row r="17">
      <c r="A17" s="12" t="inlineStr">
        <is>
          <t>target_opm</t>
        </is>
      </c>
      <c r="D17" t="inlineStr">
        <is>
          <t>타겟 OPM(코호트)</t>
        </is>
      </c>
      <c r="AI17" s="21" t="n">
        <v>0</v>
      </c>
      <c r="AJ17" s="21" t="n">
        <v>0.0389</v>
      </c>
      <c r="AK17" s="21" t="n">
        <v>0.0457</v>
      </c>
      <c r="AL17" s="21" t="n">
        <v>0.0465</v>
      </c>
      <c r="AM17" s="21" t="n">
        <v>0.048</v>
      </c>
      <c r="AN17" s="21" t="n">
        <v>0.048</v>
      </c>
      <c r="AO17" s="21" t="n">
        <v>0.048</v>
      </c>
      <c r="AP17" s="21" t="n">
        <v>0.048</v>
      </c>
      <c r="AQ17" s="21" t="n">
        <v>0.048</v>
      </c>
      <c r="AR17" s="21" t="n">
        <v>0.048</v>
      </c>
      <c r="AS17" s="21" t="n">
        <v>0.048</v>
      </c>
      <c r="AT17" s="21" t="n">
        <v>0.0473</v>
      </c>
      <c r="AU17" s="21" t="n">
        <v>0.0474</v>
      </c>
      <c r="AV17" s="21" t="n">
        <v>0.05</v>
      </c>
      <c r="AW17" s="21" t="n">
        <v>0.05</v>
      </c>
    </row>
    <row r="19">
      <c r="A19" s="1" t="inlineStr">
        <is>
          <t>계약 원장(contracts.json 기반)</t>
        </is>
      </c>
    </row>
    <row r="20">
      <c r="A20" s="1" t="inlineStr">
        <is>
          <t>rcp</t>
        </is>
      </c>
      <c r="B20" s="1" t="inlineStr">
        <is>
          <t>type</t>
        </is>
      </c>
      <c r="C20" s="1" t="inlineStr">
        <is>
          <t>ships</t>
        </is>
      </c>
      <c r="D20" s="1" t="inlineStr">
        <is>
          <t>amt_krw_m</t>
        </is>
      </c>
      <c r="E20" s="1" t="inlineStr">
        <is>
          <t>amt_usd_m</t>
        </is>
      </c>
      <c r="F20" s="1" t="inlineStr">
        <is>
          <t>fx_at_sign</t>
        </is>
      </c>
      <c r="G20" s="1" t="inlineStr">
        <is>
          <t>signed</t>
        </is>
      </c>
      <c r="H20" s="1" t="inlineStr">
        <is>
          <t>start</t>
        </is>
      </c>
      <c r="I20" s="1" t="inlineStr">
        <is>
          <t>end</t>
        </is>
      </c>
      <c r="J20" s="1" t="inlineStr">
        <is>
          <t>cohort</t>
        </is>
      </c>
      <c r="K20" s="1" t="inlineStr">
        <is>
          <t>curve</t>
        </is>
      </c>
      <c r="L20" s="1" t="inlineStr">
        <is>
          <t>estimated_series</t>
        </is>
      </c>
    </row>
    <row r="21">
      <c r="A21" t="inlineStr">
        <is>
          <t>20250930800101</t>
        </is>
      </c>
      <c r="B21" t="inlineStr">
        <is>
          <t>OTHER</t>
        </is>
      </c>
      <c r="D21" t="n">
        <v>96678.522</v>
      </c>
      <c r="E21" t="n">
        <v>83.34999999999999</v>
      </c>
      <c r="F21" t="n">
        <v>1159.91</v>
      </c>
      <c r="G21" t="inlineStr">
        <is>
          <t>2021-07-19</t>
        </is>
      </c>
      <c r="H21" t="inlineStr">
        <is>
          <t>2021-07-19</t>
        </is>
      </c>
      <c r="I21" t="inlineStr">
        <is>
          <t>2027-03-13</t>
        </is>
      </c>
      <c r="K21" t="inlineStr">
        <is>
          <t>linear_progress</t>
        </is>
      </c>
      <c r="L21" t="b">
        <v>0</v>
      </c>
    </row>
    <row r="22">
      <c r="A22" t="inlineStr">
        <is>
          <t>20251103800145</t>
        </is>
      </c>
      <c r="B22" t="inlineStr">
        <is>
          <t>OTHER</t>
        </is>
      </c>
      <c r="D22" t="n">
        <v>72796.84699999999</v>
      </c>
      <c r="E22" t="n">
        <v>55.33</v>
      </c>
      <c r="F22" t="n">
        <v>1315.69</v>
      </c>
      <c r="G22" t="inlineStr">
        <is>
          <t>2023-04-28</t>
        </is>
      </c>
      <c r="H22" t="inlineStr">
        <is>
          <t>2023-04-28</t>
        </is>
      </c>
      <c r="I22" t="inlineStr">
        <is>
          <t>2027-10-21</t>
        </is>
      </c>
      <c r="K22" t="inlineStr">
        <is>
          <t>linear_progress</t>
        </is>
      </c>
      <c r="L22" t="b">
        <v>0</v>
      </c>
    </row>
    <row r="23">
      <c r="A23" t="inlineStr">
        <is>
          <t>20251110800052</t>
        </is>
      </c>
      <c r="B23" t="inlineStr">
        <is>
          <t>OTHER</t>
        </is>
      </c>
      <c r="D23" t="n">
        <v>74855</v>
      </c>
      <c r="E23" t="n">
        <v>51.653</v>
      </c>
      <c r="F23" t="n">
        <v>1449.19</v>
      </c>
      <c r="G23" t="inlineStr">
        <is>
          <t>2025-11-09</t>
        </is>
      </c>
      <c r="H23" t="inlineStr">
        <is>
          <t>2025-11-09</t>
        </is>
      </c>
      <c r="I23" t="inlineStr">
        <is>
          <t>2029-11-17</t>
        </is>
      </c>
      <c r="K23" t="inlineStr">
        <is>
          <t>linear_progress</t>
        </is>
      </c>
      <c r="L23" t="b">
        <v>0</v>
      </c>
    </row>
    <row r="24">
      <c r="A24" t="inlineStr">
        <is>
          <t>20251126800540</t>
        </is>
      </c>
      <c r="B24" t="inlineStr">
        <is>
          <t>OTHER</t>
        </is>
      </c>
      <c r="D24" t="n">
        <v>164168.4</v>
      </c>
      <c r="E24" t="n">
        <v>120.701</v>
      </c>
      <c r="F24" t="n">
        <v>1360.12</v>
      </c>
      <c r="G24" t="inlineStr">
        <is>
          <t>2022-12-22</t>
        </is>
      </c>
      <c r="H24" t="inlineStr">
        <is>
          <t>2022-12-22</t>
        </is>
      </c>
      <c r="I24" t="inlineStr">
        <is>
          <t>2027-05-31</t>
        </is>
      </c>
      <c r="K24" t="inlineStr">
        <is>
          <t>linear_progress</t>
        </is>
      </c>
      <c r="L24" t="b">
        <v>0</v>
      </c>
    </row>
    <row r="25">
      <c r="A25" t="inlineStr">
        <is>
          <t>20251127800440</t>
        </is>
      </c>
      <c r="B25" t="inlineStr">
        <is>
          <t>OTHER</t>
        </is>
      </c>
      <c r="D25" t="n">
        <v>176849.588</v>
      </c>
      <c r="E25" t="n">
        <v>122.033</v>
      </c>
      <c r="F25" t="n">
        <v>1449.19</v>
      </c>
      <c r="G25" t="inlineStr">
        <is>
          <t>2025-11-26</t>
        </is>
      </c>
      <c r="H25" t="inlineStr">
        <is>
          <t>2025-11-26</t>
        </is>
      </c>
      <c r="I25" t="inlineStr">
        <is>
          <t>2034-04-30</t>
        </is>
      </c>
      <c r="K25" t="inlineStr">
        <is>
          <t>linear_progress</t>
        </is>
      </c>
      <c r="L25" t="b">
        <v>0</v>
      </c>
    </row>
    <row r="26">
      <c r="A26" t="inlineStr">
        <is>
          <t>20251127800601</t>
        </is>
      </c>
      <c r="B26" t="inlineStr">
        <is>
          <t>OTHER</t>
        </is>
      </c>
      <c r="D26" t="n">
        <v>168916.01</v>
      </c>
      <c r="E26" t="n">
        <v>116.559</v>
      </c>
      <c r="F26" t="n">
        <v>1449.19</v>
      </c>
      <c r="G26" t="inlineStr">
        <is>
          <t>2025-11-27</t>
        </is>
      </c>
      <c r="H26" t="inlineStr">
        <is>
          <t>2025-11-27</t>
        </is>
      </c>
      <c r="I26" t="inlineStr">
        <is>
          <t>2029-12-25</t>
        </is>
      </c>
      <c r="K26" t="inlineStr">
        <is>
          <t>linear_progress</t>
        </is>
      </c>
      <c r="L26" t="b">
        <v>0</v>
      </c>
    </row>
    <row r="27">
      <c r="A27" t="inlineStr">
        <is>
          <t>20251205800202</t>
        </is>
      </c>
      <c r="B27" t="inlineStr">
        <is>
          <t>OTHER</t>
        </is>
      </c>
      <c r="D27" t="n">
        <v>92057.856</v>
      </c>
      <c r="E27" t="n">
        <v>65.93000000000001</v>
      </c>
      <c r="F27" t="n">
        <v>1396.3</v>
      </c>
      <c r="G27" t="inlineStr">
        <is>
          <t>2024-12-18</t>
        </is>
      </c>
      <c r="H27" t="inlineStr">
        <is>
          <t>2024-12-18</t>
        </is>
      </c>
      <c r="I27" t="inlineStr">
        <is>
          <t>2030-01-16</t>
        </is>
      </c>
      <c r="K27" t="inlineStr">
        <is>
          <t>linear_progress</t>
        </is>
      </c>
      <c r="L27" t="b">
        <v>0</v>
      </c>
    </row>
    <row r="28">
      <c r="A28" t="inlineStr">
        <is>
          <t>20251217800479</t>
        </is>
      </c>
      <c r="B28" t="inlineStr">
        <is>
          <t>NAVAL</t>
        </is>
      </c>
      <c r="D28" t="n">
        <v>312576</v>
      </c>
      <c r="E28" t="n">
        <v>215.69</v>
      </c>
      <c r="F28" t="n">
        <v>1449.19</v>
      </c>
      <c r="G28" t="inlineStr">
        <is>
          <t>2025-12-17</t>
        </is>
      </c>
      <c r="H28" t="inlineStr">
        <is>
          <t>2025-12-17</t>
        </is>
      </c>
      <c r="I28" t="inlineStr">
        <is>
          <t>2029-10-31</t>
        </is>
      </c>
      <c r="K28" t="inlineStr">
        <is>
          <t>linear_progress</t>
        </is>
      </c>
      <c r="L28" t="b">
        <v>0</v>
      </c>
    </row>
    <row r="29">
      <c r="A29" t="inlineStr">
        <is>
          <t>20251222800631</t>
        </is>
      </c>
      <c r="B29" t="inlineStr">
        <is>
          <t>OTHER</t>
        </is>
      </c>
      <c r="D29" t="n">
        <v>161753.283</v>
      </c>
      <c r="E29" t="n">
        <v>137.518</v>
      </c>
      <c r="F29" t="n">
        <v>1176.23</v>
      </c>
      <c r="G29" t="inlineStr">
        <is>
          <t>2019-12-27</t>
        </is>
      </c>
      <c r="H29" t="inlineStr">
        <is>
          <t>2019-12-27</t>
        </is>
      </c>
      <c r="I29" t="inlineStr">
        <is>
          <t>2026-12-31</t>
        </is>
      </c>
      <c r="K29" t="inlineStr">
        <is>
          <t>linear_progress</t>
        </is>
      </c>
      <c r="L29" t="b">
        <v>0</v>
      </c>
    </row>
    <row r="30">
      <c r="A30" t="inlineStr">
        <is>
          <t>20251224800003</t>
        </is>
      </c>
      <c r="B30" t="inlineStr">
        <is>
          <t>NAVAL</t>
        </is>
      </c>
      <c r="C30" t="n">
        <v>1</v>
      </c>
      <c r="D30" t="n">
        <v>68858</v>
      </c>
      <c r="E30" t="n">
        <v>47.515</v>
      </c>
      <c r="F30" t="n">
        <v>1449.19</v>
      </c>
      <c r="G30" t="inlineStr">
        <is>
          <t>2025-12-23</t>
        </is>
      </c>
      <c r="H30" t="inlineStr">
        <is>
          <t>2025-12-23</t>
        </is>
      </c>
      <c r="I30" t="inlineStr">
        <is>
          <t>2028-12-07</t>
        </is>
      </c>
      <c r="J30" t="inlineStr">
        <is>
          <t>②BEP</t>
        </is>
      </c>
      <c r="K30" t="inlineStr">
        <is>
          <t>linear_progress</t>
        </is>
      </c>
      <c r="L30" t="b">
        <v>0</v>
      </c>
    </row>
    <row r="31">
      <c r="A31" t="inlineStr">
        <is>
          <t>20251224800596</t>
        </is>
      </c>
      <c r="B31" t="inlineStr">
        <is>
          <t>OTHER</t>
        </is>
      </c>
      <c r="D31" t="n">
        <v>181818.331</v>
      </c>
      <c r="E31" t="n">
        <v>163.067</v>
      </c>
      <c r="F31" t="n">
        <v>1114.99</v>
      </c>
      <c r="G31" t="inlineStr">
        <is>
          <t>2021-02-18</t>
        </is>
      </c>
      <c r="H31" t="inlineStr">
        <is>
          <t>2021-04-30</t>
        </is>
      </c>
      <c r="I31" t="inlineStr">
        <is>
          <t>2027-04-03</t>
        </is>
      </c>
      <c r="K31" t="inlineStr">
        <is>
          <t>linear_progress</t>
        </is>
      </c>
      <c r="L31" t="b">
        <v>0</v>
      </c>
    </row>
    <row r="32">
      <c r="A32" t="inlineStr">
        <is>
          <t>20251231800507</t>
        </is>
      </c>
      <c r="B32" t="inlineStr">
        <is>
          <t>OTHER</t>
        </is>
      </c>
      <c r="D32" t="n">
        <v>382299.462</v>
      </c>
      <c r="E32" t="n">
        <v>341.959</v>
      </c>
      <c r="F32" t="n">
        <v>1117.97</v>
      </c>
      <c r="G32" t="inlineStr">
        <is>
          <t>2020-12-03</t>
        </is>
      </c>
      <c r="H32" t="inlineStr">
        <is>
          <t>2020-12-03</t>
        </is>
      </c>
      <c r="I32" t="inlineStr">
        <is>
          <t>2026-03-31</t>
        </is>
      </c>
      <c r="K32" t="inlineStr">
        <is>
          <t>linear_progress</t>
        </is>
      </c>
      <c r="L32" t="b">
        <v>0</v>
      </c>
    </row>
    <row r="33">
      <c r="A33" t="inlineStr">
        <is>
          <t>20251231800547</t>
        </is>
      </c>
      <c r="B33" t="inlineStr">
        <is>
          <t>OTHER</t>
        </is>
      </c>
      <c r="D33" t="n">
        <v>55930.484</v>
      </c>
      <c r="E33" t="n">
        <v>38.594</v>
      </c>
      <c r="F33" t="n">
        <v>1449.19</v>
      </c>
      <c r="G33" t="inlineStr">
        <is>
          <t>2025-12-31</t>
        </is>
      </c>
      <c r="H33" t="inlineStr">
        <is>
          <t>2025-03-03</t>
        </is>
      </c>
      <c r="I33" t="inlineStr">
        <is>
          <t>2028-09-11</t>
        </is>
      </c>
      <c r="K33" t="inlineStr">
        <is>
          <t>linear_progress</t>
        </is>
      </c>
      <c r="L33" t="b">
        <v>0</v>
      </c>
    </row>
    <row r="34">
      <c r="A34" t="inlineStr">
        <is>
          <t>20260107800221</t>
        </is>
      </c>
      <c r="B34" t="inlineStr">
        <is>
          <t>OTHER</t>
        </is>
      </c>
      <c r="D34" t="n">
        <v>117781.019</v>
      </c>
      <c r="E34" t="n">
        <v>80.33499999999999</v>
      </c>
      <c r="F34" t="n">
        <v>1466.12</v>
      </c>
      <c r="G34" t="inlineStr">
        <is>
          <t>2026-01-07</t>
        </is>
      </c>
      <c r="H34" t="inlineStr">
        <is>
          <t>2026-01-07</t>
        </is>
      </c>
      <c r="I34" t="inlineStr">
        <is>
          <t>2030-07-02</t>
        </is>
      </c>
      <c r="K34" t="inlineStr">
        <is>
          <t>linear_progress</t>
        </is>
      </c>
      <c r="L34" t="b">
        <v>0</v>
      </c>
    </row>
    <row r="35">
      <c r="A35" t="inlineStr">
        <is>
          <t>20260116800164</t>
        </is>
      </c>
      <c r="B35" t="inlineStr">
        <is>
          <t>OTHER</t>
        </is>
      </c>
      <c r="D35" t="n">
        <v>185327.231</v>
      </c>
      <c r="E35" t="n">
        <v>126.407</v>
      </c>
      <c r="F35" t="n">
        <v>1466.12</v>
      </c>
      <c r="G35" t="inlineStr">
        <is>
          <t>2026-01-16</t>
        </is>
      </c>
      <c r="H35" t="inlineStr">
        <is>
          <t>2026-01-16</t>
        </is>
      </c>
      <c r="I35" t="inlineStr">
        <is>
          <t>2029-04-29</t>
        </is>
      </c>
      <c r="K35" t="inlineStr">
        <is>
          <t>linear_progress</t>
        </is>
      </c>
      <c r="L35" t="b">
        <v>0</v>
      </c>
    </row>
    <row r="36">
      <c r="A36" t="inlineStr">
        <is>
          <t>20260120800250</t>
        </is>
      </c>
      <c r="B36" t="inlineStr">
        <is>
          <t>OTHER</t>
        </is>
      </c>
      <c r="D36" t="n">
        <v>84068.62699999999</v>
      </c>
      <c r="E36" t="n">
        <v>65.83499999999999</v>
      </c>
      <c r="F36" t="n">
        <v>1276.95</v>
      </c>
      <c r="G36" t="inlineStr">
        <is>
          <t>2023-03-07</t>
        </is>
      </c>
      <c r="H36" t="inlineStr">
        <is>
          <t>2023-03-07</t>
        </is>
      </c>
      <c r="I36" t="inlineStr">
        <is>
          <t>2027-08-30</t>
        </is>
      </c>
      <c r="K36" t="inlineStr">
        <is>
          <t>linear_progress</t>
        </is>
      </c>
      <c r="L36" t="b">
        <v>0</v>
      </c>
    </row>
    <row r="37">
      <c r="A37" t="inlineStr">
        <is>
          <t>20260211800125</t>
        </is>
      </c>
      <c r="B37" t="inlineStr">
        <is>
          <t>CONT</t>
        </is>
      </c>
      <c r="C37" t="n">
        <v>2</v>
      </c>
      <c r="D37" t="n">
        <v>353265.889</v>
      </c>
      <c r="E37" t="n">
        <v>240.953</v>
      </c>
      <c r="F37" t="n">
        <v>1466.12</v>
      </c>
      <c r="G37" t="inlineStr">
        <is>
          <t>2026-02-10</t>
        </is>
      </c>
      <c r="H37" t="inlineStr">
        <is>
          <t>2026-02-10</t>
        </is>
      </c>
      <c r="I37" t="inlineStr">
        <is>
          <t>2028-06-30</t>
        </is>
      </c>
      <c r="J37" t="inlineStr">
        <is>
          <t>③중마진</t>
        </is>
      </c>
      <c r="K37" t="inlineStr">
        <is>
          <t>linear_progress</t>
        </is>
      </c>
      <c r="L37" t="b">
        <v>1</v>
      </c>
    </row>
    <row r="38">
      <c r="A38" t="inlineStr">
        <is>
          <t>20260227801603</t>
        </is>
      </c>
      <c r="B38" t="inlineStr">
        <is>
          <t>OTHER</t>
        </is>
      </c>
      <c r="D38" t="n">
        <v>218819.48</v>
      </c>
      <c r="E38" t="n">
        <v>194.371</v>
      </c>
      <c r="F38" t="n">
        <v>1125.78</v>
      </c>
      <c r="G38" t="inlineStr">
        <is>
          <t>2019-03-20</t>
        </is>
      </c>
      <c r="H38" t="inlineStr">
        <is>
          <t>2019-03-20</t>
        </is>
      </c>
      <c r="I38" t="inlineStr">
        <is>
          <t>2028-04-30</t>
        </is>
      </c>
      <c r="K38" t="inlineStr">
        <is>
          <t>linear_progress</t>
        </is>
      </c>
      <c r="L38" t="b">
        <v>0</v>
      </c>
    </row>
    <row r="39">
      <c r="A39" t="inlineStr">
        <is>
          <t>20260227801809</t>
        </is>
      </c>
      <c r="B39" t="inlineStr">
        <is>
          <t>OTHER</t>
        </is>
      </c>
      <c r="D39" t="n">
        <v>81559.656</v>
      </c>
      <c r="E39" t="n">
        <v>55.63</v>
      </c>
      <c r="F39" t="n">
        <v>1466.12</v>
      </c>
      <c r="G39" t="inlineStr">
        <is>
          <t>2026-02-27</t>
        </is>
      </c>
      <c r="H39" t="inlineStr">
        <is>
          <t>2026-02-27</t>
        </is>
      </c>
      <c r="I39" t="inlineStr">
        <is>
          <t>2049-05-31</t>
        </is>
      </c>
      <c r="K39" t="inlineStr">
        <is>
          <t>linear_progress</t>
        </is>
      </c>
      <c r="L39" t="b">
        <v>0</v>
      </c>
    </row>
    <row r="40">
      <c r="A40" t="inlineStr">
        <is>
          <t>20260304800353</t>
        </is>
      </c>
      <c r="B40" t="inlineStr">
        <is>
          <t>OTHER</t>
        </is>
      </c>
      <c r="D40" t="n">
        <v>92241.75599999999</v>
      </c>
      <c r="E40" t="n">
        <v>62.916</v>
      </c>
      <c r="F40" t="n">
        <v>1466.12</v>
      </c>
      <c r="G40" t="inlineStr">
        <is>
          <t>2026-02-25</t>
        </is>
      </c>
      <c r="H40" t="inlineStr">
        <is>
          <t>2026-02-25</t>
        </is>
      </c>
      <c r="I40" t="inlineStr">
        <is>
          <t>2030-02-10</t>
        </is>
      </c>
      <c r="K40" t="inlineStr">
        <is>
          <t>linear_progress</t>
        </is>
      </c>
      <c r="L40" t="b">
        <v>0</v>
      </c>
    </row>
    <row r="41">
      <c r="A41" t="inlineStr">
        <is>
          <t>20260306800575</t>
        </is>
      </c>
      <c r="B41" t="inlineStr">
        <is>
          <t>OTHER</t>
        </is>
      </c>
      <c r="D41" t="n">
        <v>84679.82000000001</v>
      </c>
      <c r="E41" t="n">
        <v>57.758</v>
      </c>
      <c r="F41" t="n">
        <v>1466.12</v>
      </c>
      <c r="G41" t="inlineStr">
        <is>
          <t>2026-03-06</t>
        </is>
      </c>
      <c r="H41" t="inlineStr">
        <is>
          <t>2026-03-06</t>
        </is>
      </c>
      <c r="I41" t="inlineStr">
        <is>
          <t>2030-08-29</t>
        </is>
      </c>
      <c r="K41" t="inlineStr">
        <is>
          <t>linear_progress</t>
        </is>
      </c>
      <c r="L41" t="b">
        <v>0</v>
      </c>
    </row>
    <row r="42">
      <c r="A42" t="inlineStr">
        <is>
          <t>20260313800208</t>
        </is>
      </c>
      <c r="B42" t="inlineStr">
        <is>
          <t>OTHER</t>
        </is>
      </c>
      <c r="D42" t="n">
        <v>89392.5</v>
      </c>
      <c r="E42" t="n">
        <v>60.972</v>
      </c>
      <c r="F42" t="n">
        <v>1466.12</v>
      </c>
      <c r="G42" t="inlineStr">
        <is>
          <t>2026-03-13</t>
        </is>
      </c>
      <c r="H42" t="inlineStr">
        <is>
          <t>2025-04-30</t>
        </is>
      </c>
      <c r="I42" t="inlineStr">
        <is>
          <t>2028-07-22</t>
        </is>
      </c>
      <c r="K42" t="inlineStr">
        <is>
          <t>linear_progress</t>
        </is>
      </c>
      <c r="L42" t="b">
        <v>0</v>
      </c>
    </row>
    <row r="43">
      <c r="A43" t="inlineStr">
        <is>
          <t>20260401800508</t>
        </is>
      </c>
      <c r="B43" t="inlineStr">
        <is>
          <t>OTHER</t>
        </is>
      </c>
      <c r="D43" t="n">
        <v>181103.297</v>
      </c>
      <c r="E43" t="n">
        <v>161.993</v>
      </c>
      <c r="F43" t="n">
        <v>1117.97</v>
      </c>
      <c r="G43" t="inlineStr">
        <is>
          <t>2020-10-29</t>
        </is>
      </c>
      <c r="H43" t="inlineStr">
        <is>
          <t>2020-10-29</t>
        </is>
      </c>
      <c r="I43" t="inlineStr">
        <is>
          <t>2025-04-23</t>
        </is>
      </c>
      <c r="K43" t="inlineStr">
        <is>
          <t>linear_progress</t>
        </is>
      </c>
      <c r="L43" t="b">
        <v>0</v>
      </c>
    </row>
    <row r="44">
      <c r="A44" t="inlineStr">
        <is>
          <t>20260410800253</t>
        </is>
      </c>
      <c r="B44" t="inlineStr">
        <is>
          <t>OTHER</t>
        </is>
      </c>
      <c r="D44" t="n">
        <v>349662.915</v>
      </c>
      <c r="E44" t="n">
        <v>232.837</v>
      </c>
      <c r="F44" t="n">
        <v>1501.75</v>
      </c>
      <c r="G44" t="inlineStr">
        <is>
          <t>2026-04-10</t>
        </is>
      </c>
      <c r="H44" t="inlineStr">
        <is>
          <t>2026-04-10</t>
        </is>
      </c>
      <c r="I44" t="inlineStr">
        <is>
          <t>2030-10-03</t>
        </is>
      </c>
      <c r="K44" t="inlineStr">
        <is>
          <t>linear_progress</t>
        </is>
      </c>
      <c r="L44" t="b">
        <v>0</v>
      </c>
    </row>
    <row r="45">
      <c r="A45" t="inlineStr">
        <is>
          <t>20260422800059</t>
        </is>
      </c>
      <c r="B45" t="inlineStr">
        <is>
          <t>OTHER</t>
        </is>
      </c>
      <c r="D45" t="n">
        <v>68249.882</v>
      </c>
      <c r="E45" t="n">
        <v>45.447</v>
      </c>
      <c r="F45" t="n">
        <v>1501.75</v>
      </c>
      <c r="G45" t="inlineStr">
        <is>
          <t>2026-04-21</t>
        </is>
      </c>
      <c r="H45" t="inlineStr">
        <is>
          <t>2026-04-21</t>
        </is>
      </c>
      <c r="I45" t="inlineStr">
        <is>
          <t>2029-04-30</t>
        </is>
      </c>
      <c r="K45" t="inlineStr">
        <is>
          <t>linear_progress</t>
        </is>
      </c>
      <c r="L45" t="b">
        <v>0</v>
      </c>
    </row>
    <row r="46">
      <c r="A46" t="inlineStr">
        <is>
          <t>20260423800218</t>
        </is>
      </c>
      <c r="B46" t="inlineStr">
        <is>
          <t>OTHER</t>
        </is>
      </c>
      <c r="D46" t="n">
        <v>101348.33</v>
      </c>
      <c r="E46" t="n">
        <v>77.03100000000001</v>
      </c>
      <c r="F46" t="n">
        <v>1315.69</v>
      </c>
      <c r="G46" t="inlineStr">
        <is>
          <t>2023-04-27</t>
        </is>
      </c>
      <c r="H46" t="inlineStr">
        <is>
          <t>2023-04-27</t>
        </is>
      </c>
      <c r="I46" t="inlineStr">
        <is>
          <t>2027-10-20</t>
        </is>
      </c>
      <c r="K46" t="inlineStr">
        <is>
          <t>linear_progress</t>
        </is>
      </c>
      <c r="L46" t="b">
        <v>0</v>
      </c>
    </row>
    <row r="47">
      <c r="A47" t="inlineStr">
        <is>
          <t>20260423800721</t>
        </is>
      </c>
      <c r="B47" t="inlineStr">
        <is>
          <t>OTHER</t>
        </is>
      </c>
      <c r="D47" t="n">
        <v>82529.905</v>
      </c>
      <c r="E47" t="n">
        <v>62.046</v>
      </c>
      <c r="F47" t="n">
        <v>1330.14</v>
      </c>
      <c r="G47" t="inlineStr">
        <is>
          <t>2024-03-28</t>
        </is>
      </c>
      <c r="H47" t="inlineStr">
        <is>
          <t>2024-03-28</t>
        </is>
      </c>
      <c r="I47" t="inlineStr">
        <is>
          <t>2028-09-20</t>
        </is>
      </c>
      <c r="K47" t="inlineStr">
        <is>
          <t>linear_progress</t>
        </is>
      </c>
      <c r="L47" t="b">
        <v>0</v>
      </c>
    </row>
    <row r="48">
      <c r="A48" t="inlineStr">
        <is>
          <t>20260427800078</t>
        </is>
      </c>
      <c r="B48" t="inlineStr">
        <is>
          <t>CONT</t>
        </is>
      </c>
      <c r="C48" t="n">
        <v>2</v>
      </c>
      <c r="D48" t="n">
        <v>357198.303</v>
      </c>
      <c r="E48" t="n">
        <v>237.855</v>
      </c>
      <c r="F48" t="n">
        <v>1501.75</v>
      </c>
      <c r="G48" t="inlineStr">
        <is>
          <t>2026-04-24</t>
        </is>
      </c>
      <c r="H48" t="inlineStr">
        <is>
          <t>2026-04-24</t>
        </is>
      </c>
      <c r="I48" t="inlineStr">
        <is>
          <t>2028-10-31</t>
        </is>
      </c>
      <c r="J48" t="inlineStr">
        <is>
          <t>③중마진</t>
        </is>
      </c>
      <c r="K48" t="inlineStr">
        <is>
          <t>linear_progress</t>
        </is>
      </c>
      <c r="L48" t="b">
        <v>1</v>
      </c>
    </row>
    <row r="49">
      <c r="A49" t="inlineStr">
        <is>
          <t>20260506800906</t>
        </is>
      </c>
      <c r="B49" t="inlineStr">
        <is>
          <t>OTHER</t>
        </is>
      </c>
      <c r="D49" t="n">
        <v>80559.458</v>
      </c>
      <c r="E49" t="n">
        <v>61.23</v>
      </c>
      <c r="F49" t="n">
        <v>1315.69</v>
      </c>
      <c r="G49" t="inlineStr">
        <is>
          <t>2023-06-23</t>
        </is>
      </c>
      <c r="H49" t="inlineStr">
        <is>
          <t>2023-07-13</t>
        </is>
      </c>
      <c r="I49" t="inlineStr">
        <is>
          <t>2027-11-30</t>
        </is>
      </c>
      <c r="K49" t="inlineStr">
        <is>
          <t>linear_progress</t>
        </is>
      </c>
      <c r="L49" t="b">
        <v>0</v>
      </c>
    </row>
    <row r="50">
      <c r="A50" t="inlineStr">
        <is>
          <t>20260518800840</t>
        </is>
      </c>
      <c r="B50" t="inlineStr">
        <is>
          <t>OTHER</t>
        </is>
      </c>
      <c r="D50" t="n">
        <v>73371.98299999999</v>
      </c>
      <c r="E50" t="n">
        <v>50.63</v>
      </c>
      <c r="F50" t="n">
        <v>1449.19</v>
      </c>
      <c r="G50" t="inlineStr">
        <is>
          <t>2025-12-08</t>
        </is>
      </c>
      <c r="H50" t="inlineStr">
        <is>
          <t>2025-12-08</t>
        </is>
      </c>
      <c r="I50" t="inlineStr">
        <is>
          <t>2030-01-02</t>
        </is>
      </c>
      <c r="K50" t="inlineStr">
        <is>
          <t>linear_progress</t>
        </is>
      </c>
      <c r="L50" t="b">
        <v>0</v>
      </c>
    </row>
    <row r="51">
      <c r="A51" t="inlineStr">
        <is>
          <t>20260520800639</t>
        </is>
      </c>
      <c r="B51" t="inlineStr">
        <is>
          <t>OTHER</t>
        </is>
      </c>
      <c r="D51" t="n">
        <v>54315.409</v>
      </c>
      <c r="E51" t="n">
        <v>36.168</v>
      </c>
      <c r="F51" t="n">
        <v>1501.75</v>
      </c>
      <c r="G51" t="inlineStr">
        <is>
          <t>2026-05-20</t>
        </is>
      </c>
      <c r="H51" t="inlineStr">
        <is>
          <t>2026-05-20</t>
        </is>
      </c>
      <c r="I51" t="inlineStr">
        <is>
          <t>2031-05-20</t>
        </is>
      </c>
      <c r="K51" t="inlineStr">
        <is>
          <t>linear_progress</t>
        </is>
      </c>
      <c r="L51" t="b">
        <v>0</v>
      </c>
    </row>
    <row r="52">
      <c r="A52" t="inlineStr">
        <is>
          <t>20260529800492</t>
        </is>
      </c>
      <c r="B52" t="inlineStr">
        <is>
          <t>OTHER</t>
        </is>
      </c>
      <c r="D52" t="n">
        <v>62695.656</v>
      </c>
      <c r="E52" t="n">
        <v>52.975</v>
      </c>
      <c r="F52" t="n">
        <v>1183.5</v>
      </c>
      <c r="G52" t="inlineStr">
        <is>
          <t>2021-10-28</t>
        </is>
      </c>
      <c r="H52" t="inlineStr">
        <is>
          <t>2021-10-28</t>
        </is>
      </c>
      <c r="I52" t="inlineStr">
        <is>
          <t>2026-04-22</t>
        </is>
      </c>
      <c r="K52" t="inlineStr">
        <is>
          <t>linear_progress</t>
        </is>
      </c>
      <c r="L52" t="b">
        <v>0</v>
      </c>
    </row>
    <row r="53">
      <c r="A53" t="inlineStr">
        <is>
          <t>20260601800841</t>
        </is>
      </c>
      <c r="B53" t="inlineStr">
        <is>
          <t>OTHER</t>
        </is>
      </c>
      <c r="D53" t="n">
        <v>59851.831</v>
      </c>
      <c r="E53" t="n">
        <v>44.005</v>
      </c>
      <c r="F53" t="n">
        <v>1360.12</v>
      </c>
      <c r="G53" t="inlineStr">
        <is>
          <t>2022-12-13</t>
        </is>
      </c>
      <c r="H53" t="inlineStr">
        <is>
          <t>2022-12-13</t>
        </is>
      </c>
      <c r="I53" t="inlineStr">
        <is>
          <t>2027-06-07</t>
        </is>
      </c>
      <c r="K53" t="inlineStr">
        <is>
          <t>linear_progress</t>
        </is>
      </c>
      <c r="L53" t="b">
        <v>0</v>
      </c>
    </row>
    <row r="54">
      <c r="A54" t="inlineStr">
        <is>
          <t>20260618800458</t>
        </is>
      </c>
      <c r="B54" t="inlineStr">
        <is>
          <t>OTHER</t>
        </is>
      </c>
      <c r="D54" t="n">
        <v>226877.219</v>
      </c>
      <c r="E54" t="n">
        <v>209.978</v>
      </c>
      <c r="F54" t="n">
        <v>1080.48</v>
      </c>
      <c r="G54" t="inlineStr">
        <is>
          <t>2018-05-18</t>
        </is>
      </c>
      <c r="H54" t="inlineStr">
        <is>
          <t>2018-05-18</t>
        </is>
      </c>
      <c r="I54" t="inlineStr">
        <is>
          <t>2026-12-31</t>
        </is>
      </c>
      <c r="K54" t="inlineStr">
        <is>
          <t>linear_progress</t>
        </is>
      </c>
      <c r="L54" t="b">
        <v>0</v>
      </c>
    </row>
    <row r="55">
      <c r="A55" t="inlineStr">
        <is>
          <t>20260629801171</t>
        </is>
      </c>
      <c r="B55" t="inlineStr">
        <is>
          <t>OTHER</t>
        </is>
      </c>
      <c r="D55" t="n">
        <v>81052.209</v>
      </c>
      <c r="E55" t="n">
        <v>72.499</v>
      </c>
      <c r="F55" t="n">
        <v>1117.97</v>
      </c>
      <c r="G55" t="inlineStr">
        <is>
          <t>2020-12-30</t>
        </is>
      </c>
      <c r="H55" t="inlineStr">
        <is>
          <t>2021-01-11</t>
        </is>
      </c>
      <c r="I55" t="inlineStr">
        <is>
          <t>2031-01-14</t>
        </is>
      </c>
      <c r="K55" t="inlineStr">
        <is>
          <t>linear_progress</t>
        </is>
      </c>
      <c r="L55" t="b">
        <v>0</v>
      </c>
    </row>
    <row r="56">
      <c r="A56" t="inlineStr">
        <is>
          <t>20260630800457</t>
        </is>
      </c>
      <c r="B56" t="inlineStr">
        <is>
          <t>OTHER</t>
        </is>
      </c>
      <c r="D56" t="n">
        <v>124213.19</v>
      </c>
      <c r="E56" t="n">
        <v>92.563</v>
      </c>
      <c r="F56" t="n">
        <v>1341.93</v>
      </c>
      <c r="G56" t="inlineStr">
        <is>
          <t>2022-09-05</t>
        </is>
      </c>
      <c r="H56" t="inlineStr">
        <is>
          <t>2022-09-05</t>
        </is>
      </c>
      <c r="I56" t="inlineStr">
        <is>
          <t>2028-02-29</t>
        </is>
      </c>
      <c r="K56" t="inlineStr">
        <is>
          <t>linear_progress</t>
        </is>
      </c>
      <c r="L56" t="b">
        <v>0</v>
      </c>
    </row>
    <row r="57">
      <c r="A57" t="inlineStr">
        <is>
          <t>20260630800913</t>
        </is>
      </c>
      <c r="B57" t="inlineStr">
        <is>
          <t>OTHER</t>
        </is>
      </c>
      <c r="D57" t="n">
        <v>148791.105</v>
      </c>
      <c r="E57" t="n">
        <v>99.078</v>
      </c>
      <c r="F57" t="n">
        <v>1501.75</v>
      </c>
      <c r="G57" t="inlineStr">
        <is>
          <t>2026-06-30</t>
        </is>
      </c>
      <c r="H57" t="inlineStr">
        <is>
          <t>2026-06-30</t>
        </is>
      </c>
      <c r="I57" t="inlineStr">
        <is>
          <t>2032-04-18</t>
        </is>
      </c>
      <c r="K57" t="inlineStr">
        <is>
          <t>linear_progress</t>
        </is>
      </c>
      <c r="L57" t="b">
        <v>0</v>
      </c>
    </row>
    <row r="58">
      <c r="A58" t="inlineStr">
        <is>
          <t>20260721800175</t>
        </is>
      </c>
      <c r="B58" t="inlineStr">
        <is>
          <t>OTHER</t>
        </is>
      </c>
      <c r="D58" t="n">
        <v>187291.109</v>
      </c>
      <c r="E58" t="n">
        <v>142.576</v>
      </c>
      <c r="F58" t="n">
        <v>1313.62</v>
      </c>
      <c r="G58" t="inlineStr">
        <is>
          <t>2023-07-06</t>
        </is>
      </c>
      <c r="H58" t="inlineStr">
        <is>
          <t>2023-07-06</t>
        </is>
      </c>
      <c r="I58" t="inlineStr">
        <is>
          <t>2027-12-29</t>
        </is>
      </c>
      <c r="K58" t="inlineStr">
        <is>
          <t>linear_progress</t>
        </is>
      </c>
      <c r="L58" t="b">
        <v>0</v>
      </c>
    </row>
    <row r="59">
      <c r="A59" t="inlineStr">
        <is>
          <t>20260805800532</t>
        </is>
      </c>
      <c r="B59" t="inlineStr">
        <is>
          <t>OTHER</t>
        </is>
      </c>
      <c r="D59" t="n">
        <v>110087.34</v>
      </c>
      <c r="E59" t="n">
        <v>94.27800000000001</v>
      </c>
      <c r="F59" t="n">
        <v>1167.69</v>
      </c>
      <c r="G59" t="inlineStr">
        <is>
          <t>2019-05-31</t>
        </is>
      </c>
      <c r="H59" t="inlineStr">
        <is>
          <t>2019-05-31</t>
        </is>
      </c>
      <c r="I59" t="inlineStr">
        <is>
          <t>2027-06-09</t>
        </is>
      </c>
      <c r="K59" t="inlineStr">
        <is>
          <t>linear_progress</t>
        </is>
      </c>
      <c r="L59" t="b">
        <v>0</v>
      </c>
    </row>
    <row r="60">
      <c r="A60" t="inlineStr">
        <is>
          <t>20260811800408</t>
        </is>
      </c>
      <c r="B60" t="inlineStr">
        <is>
          <t>OTHER</t>
        </is>
      </c>
      <c r="D60" t="n">
        <v>72728</v>
      </c>
      <c r="E60" t="n">
        <v>54.677</v>
      </c>
      <c r="F60" t="n">
        <v>1330.14</v>
      </c>
      <c r="G60" t="inlineStr">
        <is>
          <t>2024-03-08</t>
        </is>
      </c>
      <c r="H60" t="inlineStr">
        <is>
          <t>2024-04-05</t>
        </is>
      </c>
      <c r="I60" t="inlineStr">
        <is>
          <t>2029-10-04</t>
        </is>
      </c>
      <c r="K60" t="inlineStr">
        <is>
          <t>linear_progress</t>
        </is>
      </c>
      <c r="L60" t="b">
        <v>0</v>
      </c>
    </row>
    <row r="61">
      <c r="A61" t="inlineStr">
        <is>
          <t>20260818800047</t>
        </is>
      </c>
      <c r="B61" t="inlineStr">
        <is>
          <t>OTHER</t>
        </is>
      </c>
      <c r="D61" t="n">
        <v>104419.289</v>
      </c>
      <c r="E61" t="n">
        <v>73.54900000000001</v>
      </c>
      <c r="F61" t="n">
        <v>1419.72</v>
      </c>
      <c r="G61" t="inlineStr">
        <is>
          <t>2026-08-14</t>
        </is>
      </c>
      <c r="H61" t="inlineStr">
        <is>
          <t>2026-08-14</t>
        </is>
      </c>
      <c r="I61" t="inlineStr">
        <is>
          <t>2033-08-29</t>
        </is>
      </c>
      <c r="K61" t="inlineStr">
        <is>
          <t>linear_progress</t>
        </is>
      </c>
      <c r="L61" t="b">
        <v>0</v>
      </c>
    </row>
    <row r="62">
      <c r="A62" t="inlineStr">
        <is>
          <t>20260820800160</t>
        </is>
      </c>
      <c r="B62" t="inlineStr">
        <is>
          <t>OTHER</t>
        </is>
      </c>
      <c r="D62" t="n">
        <v>85419.25999999999</v>
      </c>
      <c r="E62" t="n">
        <v>65.026</v>
      </c>
      <c r="F62" t="n">
        <v>1313.62</v>
      </c>
      <c r="G62" t="inlineStr">
        <is>
          <t>2023-08-08</t>
        </is>
      </c>
      <c r="H62" t="inlineStr">
        <is>
          <t>2023-08-08</t>
        </is>
      </c>
      <c r="I62" t="inlineStr">
        <is>
          <t>2026-12-31</t>
        </is>
      </c>
      <c r="K62" t="inlineStr">
        <is>
          <t>linear_progress</t>
        </is>
      </c>
      <c r="L62" t="b">
        <v>0</v>
      </c>
    </row>
    <row r="63">
      <c r="A63" t="inlineStr">
        <is>
          <t>20260918800109</t>
        </is>
      </c>
      <c r="B63" t="inlineStr">
        <is>
          <t>OTHER</t>
        </is>
      </c>
      <c r="D63" t="n">
        <v>60071.111</v>
      </c>
      <c r="E63" t="n">
        <v>45.161</v>
      </c>
      <c r="F63" t="n">
        <v>1330.14</v>
      </c>
      <c r="G63" t="inlineStr">
        <is>
          <t>2024-01-10</t>
        </is>
      </c>
      <c r="H63" t="inlineStr">
        <is>
          <t>2024-02-15</t>
        </is>
      </c>
      <c r="I63" t="inlineStr">
        <is>
          <t>2028-08-09</t>
        </is>
      </c>
      <c r="K63" t="inlineStr">
        <is>
          <t>linear_progress</t>
        </is>
      </c>
      <c r="L63" t="b">
        <v>0</v>
      </c>
    </row>
    <row r="64">
      <c r="A64" t="inlineStr">
        <is>
          <t>20260922800008</t>
        </is>
      </c>
      <c r="B64" t="inlineStr">
        <is>
          <t>CONT</t>
        </is>
      </c>
      <c r="C64" t="n">
        <v>4</v>
      </c>
      <c r="D64" t="n">
        <v>678967.559</v>
      </c>
      <c r="E64" t="n">
        <v>478.24</v>
      </c>
      <c r="F64" t="n">
        <v>1419.72</v>
      </c>
      <c r="G64" t="inlineStr">
        <is>
          <t>2026-09-21</t>
        </is>
      </c>
      <c r="H64" t="inlineStr">
        <is>
          <t>2026-09-21</t>
        </is>
      </c>
      <c r="I64" t="inlineStr">
        <is>
          <t>2029-04-30</t>
        </is>
      </c>
      <c r="J64" t="inlineStr">
        <is>
          <t>③중마진</t>
        </is>
      </c>
      <c r="K64" t="inlineStr">
        <is>
          <t>linear_progress</t>
        </is>
      </c>
      <c r="L64" t="b">
        <v>1</v>
      </c>
    </row>
    <row r="65">
      <c r="A65" t="inlineStr">
        <is>
          <t>20260930800251</t>
        </is>
      </c>
      <c r="B65" t="inlineStr">
        <is>
          <t>OTHER</t>
        </is>
      </c>
      <c r="D65" t="n">
        <v>260922.379</v>
      </c>
      <c r="E65" t="n">
        <v>198.629</v>
      </c>
      <c r="F65" t="n">
        <v>1313.62</v>
      </c>
      <c r="G65" t="inlineStr">
        <is>
          <t>2023-09-18</t>
        </is>
      </c>
      <c r="H65" t="inlineStr">
        <is>
          <t>2023-09-18</t>
        </is>
      </c>
      <c r="I65" t="inlineStr">
        <is>
          <t>2027-03-31</t>
        </is>
      </c>
      <c r="K65" t="inlineStr">
        <is>
          <t>linear_progress</t>
        </is>
      </c>
      <c r="L65" t="b">
        <v>0</v>
      </c>
    </row>
    <row r="66">
      <c r="A66" s="2" t="inlineStr">
        <is>
          <t>⚠ 종료일 = 마지막 호선 인도 예정; 진행률 매출 분기는 계약기간 안에 선형 배분(가정)</t>
        </is>
      </c>
    </row>
    <row r="67">
      <c r="A67" s="2" t="inlineStr">
        <is>
          <t>⚠ 헤지비율 0.7 은 가정(통화선도 공시 없음 → 레퍼런스 SLS 시트의 HEDGE 70% 가정. hedge_rate 는 계약별 수주시점 환율로 대체)</t>
        </is>
      </c>
    </row>
    <row r="68">
      <c r="A68" s="2" t="inlineStr">
        <is>
          <t>⚠ 코호트는 원장 내부 상대 등급(신조선가 지수 없음): 2025~ 수주 물량(백만$) 판정 ②BEP 5%, ③중마진 95% — 최다 ③중마진. 레퍼런스 HD현대미포 SLS 는 2025~ 물량을 100% ⑤초호황으로 두어 방향이 다르다(2021 이후 절대 호황 수준 미반영). 타겟 OPM 은 회사 calibrated_shift 로 실측 OPM 에 맞추고, 외부 지수 도입은 사용자 결정</t>
        </is>
      </c>
    </row>
    <row r="69">
      <c r="A69" s="2" t="inlineStr">
        <is>
          <t>⚠ 종료일 '-' 12건은 같은 선종 계약기간 중위로 종료 추정(end_estimated)</t>
        </is>
      </c>
    </row>
    <row r="70">
      <c r="A70" s="2" t="inlineStr">
        <is>
          <t>⚠ 비해양(OTHER: 공사·플랜트 등) 포함 원장 잔여 32297억 &gt; 정기보고서 수주표 기말잔고 19043억(전부문 커버리지 1.70) — 수주표는 조선 부문 범위(특수선·상선·수리)만 담아 비교 범위가 다르다. backlog_coverage_all_segments 는 배율로 쓰지 말 것</t>
        </is>
      </c>
    </row>
    <row r="71">
      <c r="A71" s="2" t="inlineStr">
        <is>
          <t>⚠ 정기보고서 부문 매출 3개월분 &gt; 연결 매출(fin) 1분기(2023Q2; 최대 +34.9%)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변수!D49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중단사업이익</t>
        </is>
      </c>
      <c r="D17" t="inlineStr">
        <is>
          <t>중단사업이익(실적만)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매출조선</t>
        </is>
      </c>
      <c r="D34" t="inlineStr">
        <is>
          <t>매출 조선·해양(방산·신조선·상선·특수선)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OP조선</t>
        </is>
      </c>
      <c r="D35" t="inlineStr">
        <is>
          <t>OP 조선·해양(방산·신조선·상선·특수선)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매출기타</t>
        </is>
      </c>
      <c r="D36" t="inlineStr">
        <is>
          <t>매출 기타 부문(총매출 − 조선)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OP기타</t>
        </is>
      </c>
      <c r="D37" t="inlineStr">
        <is>
          <t>OP 기타 부문(총매출 − 조선)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2">
        <f>IFERROR(W5/S5-1,"")</f>
        <v/>
      </c>
      <c r="X40" s="31">
        <f>IFERROR(X5/T5-1,"")</f>
        <v/>
      </c>
      <c r="Y40" s="31">
        <f>IFERROR(Y5/U5-1,"")</f>
        <v/>
      </c>
      <c r="Z40" s="31">
        <f>IFERROR(Z5/V5-1,"")</f>
        <v/>
      </c>
      <c r="AA40" s="31">
        <f>IFERROR(AA5/W5-1,"")</f>
        <v/>
      </c>
      <c r="AB40" s="31">
        <f>IFERROR(AB5/X5-1,"")</f>
        <v/>
      </c>
      <c r="AC40" s="31">
        <f>IFERROR(AC5/Y5-1,"")</f>
        <v/>
      </c>
      <c r="AD40" s="31">
        <f>IFERROR(AD5/Z5-1,"")</f>
        <v/>
      </c>
      <c r="AE40" s="31">
        <f>IFERROR(AE5/AA5-1,"")</f>
        <v/>
      </c>
      <c r="AF40" s="31">
        <f>IFERROR(AF5/AB5-1,"")</f>
        <v/>
      </c>
      <c r="AG40" s="31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2">
        <f>IFERROR(W9/S9-1,"")</f>
        <v/>
      </c>
      <c r="X41" s="31">
        <f>IFERROR(X9/T9-1,"")</f>
        <v/>
      </c>
      <c r="Y41" s="31">
        <f>IFERROR(Y9/U9-1,"")</f>
        <v/>
      </c>
      <c r="Z41" s="31">
        <f>IFERROR(Z9/V9-1,"")</f>
        <v/>
      </c>
      <c r="AA41" s="31">
        <f>IFERROR(AA9/W9-1,"")</f>
        <v/>
      </c>
      <c r="AB41" s="31">
        <f>IFERROR(AB9/X9-1,"")</f>
        <v/>
      </c>
      <c r="AC41" s="31">
        <f>IFERROR(AC9/Y9-1,"")</f>
        <v/>
      </c>
      <c r="AD41" s="31">
        <f>IFERROR(AD9/Z9-1,"")</f>
        <v/>
      </c>
      <c r="AE41" s="31">
        <f>IFERROR(AE9/AA9-1,"")</f>
        <v/>
      </c>
      <c r="AF41" s="31">
        <f>IFERROR(AF9/AB9-1,"")</f>
        <v/>
      </c>
      <c r="AG41" s="31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IFERROR(I16/E16-1,"")</f>
        <v/>
      </c>
      <c r="J42" s="21">
        <f>IFERROR(J16/F16-1,"")</f>
        <v/>
      </c>
      <c r="K42" s="21">
        <f>IFERROR(K16/G16-1,"")</f>
        <v/>
      </c>
      <c r="L42" s="21">
        <f>IFERROR(L16/H16-1,"")</f>
        <v/>
      </c>
      <c r="M42" s="21">
        <f>IFERROR(M16/I16-1,"")</f>
        <v/>
      </c>
      <c r="N42" s="21">
        <f>IFERROR(N16/J16-1,"")</f>
        <v/>
      </c>
      <c r="O42" s="21">
        <f>IFERROR(O16/K16-1,"")</f>
        <v/>
      </c>
      <c r="P42" s="21">
        <f>IFERROR(P16/L16-1,"")</f>
        <v/>
      </c>
      <c r="Q42" s="21">
        <f>IFERROR(Q16/M16-1,"")</f>
        <v/>
      </c>
      <c r="R42" s="21">
        <f>IFERROR(R16/N16-1,"")</f>
        <v/>
      </c>
      <c r="S42" s="21">
        <f>IFERROR(S16/O16-1,"")</f>
        <v/>
      </c>
      <c r="T42" s="21">
        <f>IFERROR(T16/P16-1,"")</f>
        <v/>
      </c>
      <c r="U42" s="21">
        <f>IFERROR(U16/Q16-1,"")</f>
        <v/>
      </c>
      <c r="V42" s="21">
        <f>IFERROR(V16/R16-1,"")</f>
        <v/>
      </c>
      <c r="W42" s="42">
        <f>IFERROR(W16/S16-1,"")</f>
        <v/>
      </c>
      <c r="X42" s="31">
        <f>IFERROR(X16/T16-1,"")</f>
        <v/>
      </c>
      <c r="Y42" s="31">
        <f>IFERROR(Y16/U16-1,"")</f>
        <v/>
      </c>
      <c r="Z42" s="31">
        <f>IFERROR(Z16/V16-1,"")</f>
        <v/>
      </c>
      <c r="AA42" s="31">
        <f>IFERROR(AA16/W16-1,"")</f>
        <v/>
      </c>
      <c r="AB42" s="31">
        <f>IFERROR(AB16/X16-1,"")</f>
        <v/>
      </c>
      <c r="AC42" s="31">
        <f>IFERROR(AC16/Y16-1,"")</f>
        <v/>
      </c>
      <c r="AD42" s="31">
        <f>IFERROR(AD16/Z16-1,"")</f>
        <v/>
      </c>
      <c r="AE42" s="31">
        <f>IFERROR(AE16/AA16-1,"")</f>
        <v/>
      </c>
      <c r="AF42" s="31">
        <f>IFERROR(AF16/AB16-1,"")</f>
        <v/>
      </c>
      <c r="AG42" s="31">
        <f>IFERROR(AG16/AC16-1,"")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변수!D49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중단사업이익</t>
        </is>
      </c>
      <c r="D17" t="inlineStr">
        <is>
          <t>중단사업이익(실적만)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매출조선</t>
        </is>
      </c>
      <c r="D34" t="inlineStr">
        <is>
          <t>매출 조선·해양(방산·신조선·상선·특수선)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OP조선</t>
        </is>
      </c>
      <c r="D35" t="inlineStr">
        <is>
          <t>OP 조선·해양(방산·신조선·상선·특수선)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매출기타</t>
        </is>
      </c>
      <c r="D36" t="inlineStr">
        <is>
          <t>매출 기타 부문(총매출 − 조선)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OP기타</t>
        </is>
      </c>
      <c r="D37" t="inlineStr">
        <is>
          <t>OP 기타 부문(총매출 − 조선)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2">
        <f>IFERROR(I5/H5-1,"")</f>
        <v/>
      </c>
      <c r="J40" s="31">
        <f>IFERROR(J5/I5-1,"")</f>
        <v/>
      </c>
      <c r="K40" s="31">
        <f>IFERROR(K5/J5-1,"")</f>
        <v/>
      </c>
      <c r="L40" s="31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2">
        <f>IFERROR(I9/H9-1,"")</f>
        <v/>
      </c>
      <c r="J41" s="31">
        <f>IFERROR(J9/I9-1,"")</f>
        <v/>
      </c>
      <c r="K41" s="31">
        <f>IFERROR(K9/J9-1,"")</f>
        <v/>
      </c>
      <c r="L41" s="31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IFERROR(F16/E16-1,"")</f>
        <v/>
      </c>
      <c r="G42" s="21">
        <f>IFERROR(G16/F16-1,"")</f>
        <v/>
      </c>
      <c r="H42" s="21">
        <f>IFERROR(H16/G16-1,"")</f>
        <v/>
      </c>
      <c r="I42" s="42">
        <f>IFERROR(I16/H16-1,"")</f>
        <v/>
      </c>
      <c r="J42" s="31">
        <f>IFERROR(J16/I16-1,"")</f>
        <v/>
      </c>
      <c r="K42" s="31">
        <f>IFERROR(K16/J16-1,"")</f>
        <v/>
      </c>
      <c r="L42" s="31">
        <f>IFERROR(L16/K16-1,"")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변수!D49</f>
        <v/>
      </c>
    </row>
    <row r="2">
      <c r="B2" s="1" t="inlineStr">
        <is>
          <t>기준일</t>
        </is>
      </c>
      <c r="C2">
        <f>변수!D50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IFERROR(E7*변수!D55+F7*(1-변수!D55),"")</f>
        <v/>
      </c>
    </row>
    <row r="15">
      <c r="C15" t="inlineStr">
        <is>
          <t>적정가치 @PER_lo</t>
        </is>
      </c>
      <c r="D15" s="26">
        <f>변수!D52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2119</v>
      </c>
    </row>
    <row r="30">
      <c r="C30" s="2" t="inlineStr">
        <is>
          <t>bps_latest</t>
        </is>
      </c>
      <c r="D30" t="n">
        <v>8339.4</v>
      </c>
    </row>
    <row r="31">
      <c r="C31" s="2" t="inlineStr">
        <is>
          <t>per_now</t>
        </is>
      </c>
      <c r="D31" t="n">
        <v>6.87</v>
      </c>
    </row>
    <row r="32">
      <c r="C32" s="2" t="inlineStr">
        <is>
          <t>pbr_now</t>
        </is>
      </c>
      <c r="D32" t="n">
        <v>1.74</v>
      </c>
    </row>
    <row r="33">
      <c r="C33" s="2" t="inlineStr">
        <is>
          <t>roe_fwd</t>
        </is>
      </c>
      <c r="D33" t="n">
        <v>0.2541</v>
      </c>
    </row>
    <row r="34">
      <c r="C34" s="2" t="inlineStr">
        <is>
          <t>fair_pbr</t>
        </is>
      </c>
      <c r="D34" t="n">
        <v>2.82</v>
      </c>
    </row>
    <row r="35">
      <c r="C35" s="2" t="inlineStr">
        <is>
          <t>fair_value_pbr</t>
        </is>
      </c>
      <c r="D35" t="n">
        <v>23500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