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255215억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264588억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273348억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283457억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297524억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314836억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333860억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353102억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370556억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255215억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264588억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273348억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283457억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297524억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314836억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333860억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353102억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370556억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14.71%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3065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3216.2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0.287290496</v>
      </c>
      <c r="AE21" s="25" t="n"/>
      <c r="AF21" s="24" t="n">
        <v>0.520039769</v>
      </c>
      <c r="AG21" s="24" t="n">
        <v>0.333965089</v>
      </c>
      <c r="AH21" s="24" t="n">
        <v>0.179291656</v>
      </c>
      <c r="AI21" s="24" t="n">
        <v>0.16580029</v>
      </c>
      <c r="AJ21" s="25" t="n"/>
      <c r="AK21" s="24" t="n">
        <v>0.189908858</v>
      </c>
      <c r="AL21" s="24" t="n">
        <v>0.221356196</v>
      </c>
      <c r="AM21" s="24" t="n">
        <v>0.245711537</v>
      </c>
      <c r="AN21" s="24" t="n">
        <v>0.245450303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-0.010577853</v>
      </c>
      <c r="AE23" s="25">
        <f>IFERROR(subQ!AE9/subQ!AE5,"")</f>
        <v/>
      </c>
      <c r="AF23" s="24" t="n">
        <v>-0.010543873</v>
      </c>
      <c r="AG23" s="24" t="n">
        <v>-0.010577887</v>
      </c>
      <c r="AH23" s="24" t="n">
        <v>-0.01058088</v>
      </c>
      <c r="AI23" s="24" t="n">
        <v>-0.010577073</v>
      </c>
      <c r="AJ23" s="25">
        <f>IFERROR(subQ!AJ9/subQ!AJ5,"")</f>
        <v/>
      </c>
      <c r="AK23" s="24" t="n">
        <v>-0.010563204</v>
      </c>
      <c r="AL23" s="24" t="n">
        <v>-0.010575258</v>
      </c>
      <c r="AM23" s="24" t="n">
        <v>-0.010552958</v>
      </c>
      <c r="AN23" s="24" t="n">
        <v>-0.010574081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-0.005511141</v>
      </c>
      <c r="AD29" s="30" t="n">
        <v>-0.000133412</v>
      </c>
      <c r="AE29" s="31" t="n"/>
      <c r="AF29" s="30" t="n">
        <v>-0.004203941</v>
      </c>
      <c r="AG29" s="30" t="n">
        <v>1.259318199</v>
      </c>
      <c r="AH29" s="30" t="n">
        <v>-0.00567627</v>
      </c>
      <c r="AI29" s="30" t="n">
        <v>-0.006607317</v>
      </c>
      <c r="AJ29" s="31" t="n"/>
      <c r="AK29" s="30" t="n">
        <v>0.001344439</v>
      </c>
      <c r="AL29" s="30" t="n">
        <v>1.257806339</v>
      </c>
      <c r="AM29" s="30" t="n">
        <v>0.006895467</v>
      </c>
      <c r="AN29" s="30" t="n">
        <v>-0.003904697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-0.008517979</v>
      </c>
      <c r="AD30" s="30" t="n">
        <v>-0.002369308</v>
      </c>
      <c r="AE30" s="31" t="n"/>
      <c r="AF30" s="30" t="n">
        <v>0.003756954</v>
      </c>
      <c r="AG30" s="30" t="n">
        <v>1.248768294</v>
      </c>
      <c r="AH30" s="30" t="n">
        <v>0.005102419</v>
      </c>
      <c r="AI30" s="30" t="n">
        <v>-0.004976445</v>
      </c>
      <c r="AJ30" s="31" t="n"/>
      <c r="AK30" s="30" t="n">
        <v>0.003982977</v>
      </c>
      <c r="AL30" s="30" t="n">
        <v>1.253431426</v>
      </c>
      <c r="AM30" s="30" t="n">
        <v>0.004910915</v>
      </c>
      <c r="AN30" s="30" t="n">
        <v>-0.004619316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-0.01109597</v>
      </c>
      <c r="AN32" s="24" t="n">
        <v>-0.013188976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-0.006147324</v>
      </c>
      <c r="AN33" s="24" t="n">
        <v>-0.007038498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3065</v>
      </c>
      <c r="E41" s="2" t="inlineStr">
        <is>
          <t>원 — 네이버 정규장 종가(aik 확정종가 대조 · aik 3,150원)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20261014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0.1471456642284703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0.07448417616083117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696.59</v>
      </c>
    </row>
    <row r="32">
      <c r="C32" s="2" t="inlineStr">
        <is>
          <t>pbr_now</t>
        </is>
      </c>
      <c r="D32" t="n">
        <v>0.5600000000000001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