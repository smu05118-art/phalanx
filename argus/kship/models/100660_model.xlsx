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BS연결!$C$5:$AO$85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239810억 × 비례계수 0.0026 × 계절비중 Q3 0.254(계절비중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이동합(t−0) 253980억 × 비례계수 0.0026 × 계절비중 Q4 0.249(계절비중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이동합(t−0) 263158억 × 비례계수 0.0026 × 계절비중 Q1 0.244(계절비중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이동합(t−0) 272093억 × 비례계수 0.0026 × 계절비중 Q2 0.253(계절비중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이동합(t−0) 283204억 × 비례계수 0.0026 × 계절비중 Q3 0.254(계절비중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이동합(t−0) 298569억 × 비례계수 0.0026 × 계절비중 Q4 0.249(계절비중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이동합(t−0) 316779억 × 비례계수 0.0026 × 계절비중 Q1 0.244(계절비중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이동합(t−0) 336299억 × 비례계수 0.0026 × 계절비중 Q2 0.253(계절비중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이동합(t−0) 355620억 × 비례계수 0.0026 × 계절비중 Q3 0.254(계절비중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이동합(t−0) 372744억 × 비례계수 0.0026 × 계절비중 Q4 0.249(계절비중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14.72%(최근 4분기 중위)</t>
      </text>
    </comment>
    <comment ref="AD22" authorId="0" shapeId="0">
      <text>
        <t>3절 스칼라 '판관비율' 참조 — 숫자로 덮어쓰면 이 분기만 바뀐다
매출액 × 판관비율 14.72%(최근 4분기 중위)</t>
      </text>
    </comment>
    <comment ref="AF22" authorId="0" shapeId="0">
      <text>
        <t>3절 스칼라 '판관비율' 참조 — 숫자로 덮어쓰면 이 분기만 바뀐다
매출액 × 판관비율 14.72%(최근 4분기 중위)</t>
      </text>
    </comment>
    <comment ref="AG22" authorId="0" shapeId="0">
      <text>
        <t>3절 스칼라 '판관비율' 참조 — 숫자로 덮어쓰면 이 분기만 바뀐다
매출액 × 판관비율 14.72%(최근 4분기 중위)</t>
      </text>
    </comment>
    <comment ref="AH22" authorId="0" shapeId="0">
      <text>
        <t>3절 스칼라 '판관비율' 참조 — 숫자로 덮어쓰면 이 분기만 바뀐다
매출액 × 판관비율 14.72%(최근 4분기 중위)</t>
      </text>
    </comment>
    <comment ref="AI22" authorId="0" shapeId="0">
      <text>
        <t>3절 스칼라 '판관비율' 참조 — 숫자로 덮어쓰면 이 분기만 바뀐다
매출액 × 판관비율 14.72%(최근 4분기 중위)</t>
      </text>
    </comment>
    <comment ref="AK22" authorId="0" shapeId="0">
      <text>
        <t>3절 스칼라 '판관비율' 참조 — 숫자로 덮어쓰면 이 분기만 바뀐다
매출액 × 판관비율 14.72%(최근 4분기 중위)</t>
      </text>
    </comment>
    <comment ref="AL22" authorId="0" shapeId="0">
      <text>
        <t>3절 스칼라 '판관비율' 참조 — 숫자로 덮어쓰면 이 분기만 바뀐다
매출액 × 판관비율 14.72%(최근 4분기 중위)</t>
      </text>
    </comment>
    <comment ref="AM22" authorId="0" shapeId="0">
      <text>
        <t>3절 스칼라 '판관비율' 참조 — 숫자로 덮어쓰면 이 분기만 바뀐다
매출액 × 판관비율 14.72%(최근 4분기 중위)</t>
      </text>
    </comment>
    <comment ref="AN22" authorId="0" shapeId="0">
      <text>
        <t>3절 스칼라 '판관비율' 참조 — 숫자로 덮어쓰면 이 분기만 바뀐다
매출액 × 판관비율 14.72%(최근 4분기 중위)</t>
      </text>
    </comment>
    <comment ref="AC23" authorId="0" shapeId="0">
      <text>
        <t>모델값 역산(implied): v / 매출액
매출액 × OPM(최근 8분기 OPM 중위 -1.1% 유지)</t>
      </text>
    </comment>
    <comment ref="AD23" authorId="0" shapeId="0">
      <text>
        <t>모델값 역산(implied): v / 매출액
매출액 × OPM(최근 8분기 OPM 중위 -1.1% 유지)</t>
      </text>
    </comment>
    <comment ref="AF23" authorId="0" shapeId="0">
      <text>
        <t>모델값 역산(implied): v / 매출액
매출액 × OPM(최근 8분기 OPM 중위 -1.1% 유지)</t>
      </text>
    </comment>
    <comment ref="AG23" authorId="0" shapeId="0">
      <text>
        <t>모델값 역산(implied): v / 매출액
매출액 × OPM(최근 8분기 OPM 중위 -1.1% 유지)</t>
      </text>
    </comment>
    <comment ref="AH23" authorId="0" shapeId="0">
      <text>
        <t>모델값 역산(implied): v / 매출액
매출액 × OPM(최근 8분기 OPM 중위 -1.1% 유지)</t>
      </text>
    </comment>
    <comment ref="AI23" authorId="0" shapeId="0">
      <text>
        <t>모델값 역산(implied): v / 매출액
매출액 × OPM(최근 8분기 OPM 중위 -1.1% 유지)</t>
      </text>
    </comment>
    <comment ref="AK23" authorId="0" shapeId="0">
      <text>
        <t>모델값 역산(implied): v / 매출액
매출액 × OPM(최근 8분기 OPM 중위 -1.1% 유지)</t>
      </text>
    </comment>
    <comment ref="AL23" authorId="0" shapeId="0">
      <text>
        <t>모델값 역산(implied): v / 매출액
매출액 × OPM(최근 8분기 OPM 중위 -1.1% 유지)</t>
      </text>
    </comment>
    <comment ref="AM23" authorId="0" shapeId="0">
      <text>
        <t>모델값 역산(implied): v / 매출액
매출액 × OPM(최근 8분기 OPM 중위 -1.1% 유지)</t>
      </text>
    </comment>
    <comment ref="AN23" authorId="0" shapeId="0">
      <text>
        <t>모델값 역산(implied): v / 매출액
매출액 × OPM(최근 8분기 OPM 중위 -1.1%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D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F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G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H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I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K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L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M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N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C27" authorId="0" shapeId="0">
      <text>
        <t>3절 스칼라 '지배주주비중' 참조 — 숫자로 덮어쓰면 이 분기만 바뀐다
당기순이익 × (1 − 비지배 비중 1.1%, 최근 8분기 실측)</t>
      </text>
    </comment>
    <comment ref="AD27" authorId="0" shapeId="0">
      <text>
        <t>3절 스칼라 '지배주주비중' 참조 — 숫자로 덮어쓰면 이 분기만 바뀐다
당기순이익 × (1 − 비지배 비중 1.1%, 최근 8분기 실측)</t>
      </text>
    </comment>
    <comment ref="AF27" authorId="0" shapeId="0">
      <text>
        <t>3절 스칼라 '지배주주비중' 참조 — 숫자로 덮어쓰면 이 분기만 바뀐다
당기순이익 × (1 − 비지배 비중 1.1%, 최근 8분기 실측)</t>
      </text>
    </comment>
    <comment ref="AG27" authorId="0" shapeId="0">
      <text>
        <t>3절 스칼라 '지배주주비중' 참조 — 숫자로 덮어쓰면 이 분기만 바뀐다
당기순이익 × (1 − 비지배 비중 1.1%, 최근 8분기 실측)</t>
      </text>
    </comment>
    <comment ref="AH27" authorId="0" shapeId="0">
      <text>
        <t>3절 스칼라 '지배주주비중' 참조 — 숫자로 덮어쓰면 이 분기만 바뀐다
당기순이익 × (1 − 비지배 비중 1.1%, 최근 8분기 실측)</t>
      </text>
    </comment>
    <comment ref="AI27" authorId="0" shapeId="0">
      <text>
        <t>3절 스칼라 '지배주주비중' 참조 — 숫자로 덮어쓰면 이 분기만 바뀐다
당기순이익 × (1 − 비지배 비중 1.1%, 최근 8분기 실측)</t>
      </text>
    </comment>
    <comment ref="AK27" authorId="0" shapeId="0">
      <text>
        <t>3절 스칼라 '지배주주비중' 참조 — 숫자로 덮어쓰면 이 분기만 바뀐다
당기순이익 × (1 − 비지배 비중 1.1%, 최근 8분기 실측)</t>
      </text>
    </comment>
    <comment ref="AL27" authorId="0" shapeId="0">
      <text>
        <t>3절 스칼라 '지배주주비중' 참조 — 숫자로 덮어쓰면 이 분기만 바뀐다
당기순이익 × (1 − 비지배 비중 1.1%, 최근 8분기 실측)</t>
      </text>
    </comment>
    <comment ref="AM27" authorId="0" shapeId="0">
      <text>
        <t>3절 스칼라 '지배주주비중' 참조 — 숫자로 덮어쓰면 이 분기만 바뀐다
당기순이익 × (1 − 비지배 비중 1.1%, 최근 8분기 실측)</t>
      </text>
    </comment>
    <comment ref="AN27" authorId="0" shapeId="0">
      <text>
        <t>3절 스칼라 '지배주주비중' 참조 — 숫자로 덮어쓰면 이 분기만 바뀐다
당기순이익 × (1 − 비지배 비중 1.1%,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10원 유지</t>
      </text>
    </comment>
    <comment ref="AI38" authorId="0" shapeId="0">
      <text>
        <t>모델값 역산(implied): 모델 v 그대로
직전 결산 DPS 10원 유지</t>
      </text>
    </comment>
    <comment ref="AN38" authorId="0" shapeId="0">
      <text>
        <t>모델값 역산(implied): 모델 v 그대로
직전 결산 DPS 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239810억 × 비례계수 0.0026 × 계절비중 Q3 0.254(계절비중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이동합(t−0) 253980억 × 비례계수 0.0026 × 계절비중 Q4 0.249(계절비중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이동합(t−0) 263158억 × 비례계수 0.0026 × 계절비중 Q1 0.244(계절비중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이동합(t−0) 272093억 × 비례계수 0.0026 × 계절비중 Q2 0.253(계절비중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이동합(t−0) 283204억 × 비례계수 0.0026 × 계절비중 Q3 0.254(계절비중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이동합(t−0) 298569억 × 비례계수 0.0026 × 계절비중 Q4 0.249(계절비중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이동합(t−0) 316779억 × 비례계수 0.0026 × 계절비중 Q1 0.244(계절비중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이동합(t−0) 336299억 × 비례계수 0.0026 × 계절비중 Q2 0.253(계절비중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이동합(t−0) 355620억 × 비례계수 0.0026 × 계절비중 Q3 0.254(계절비중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이동합(t−0) 372744억 × 비례계수 0.0026 × 계절비중 Q4 0.249(계절비중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14.72%(최근 4분기 중위)
[ratio]</t>
      </text>
    </comment>
    <comment ref="AD8" authorId="0" shapeId="0">
      <text>
        <t>추정: 매출액 × 판관비율 14.72%(최근 4분기 중위)
[ratio]</t>
      </text>
    </comment>
    <comment ref="AF8" authorId="0" shapeId="0">
      <text>
        <t>추정: 매출액 × 판관비율 14.72%(최근 4분기 중위)
[ratio]</t>
      </text>
    </comment>
    <comment ref="AG8" authorId="0" shapeId="0">
      <text>
        <t>추정: 매출액 × 판관비율 14.72%(최근 4분기 중위)
[ratio]</t>
      </text>
    </comment>
    <comment ref="AH8" authorId="0" shapeId="0">
      <text>
        <t>추정: 매출액 × 판관비율 14.72%(최근 4분기 중위)
[ratio]</t>
      </text>
    </comment>
    <comment ref="AI8" authorId="0" shapeId="0">
      <text>
        <t>추정: 매출액 × 판관비율 14.72%(최근 4분기 중위)
[ratio]</t>
      </text>
    </comment>
    <comment ref="AK8" authorId="0" shapeId="0">
      <text>
        <t>추정: 매출액 × 판관비율 14.72%(최근 4분기 중위)
[ratio]</t>
      </text>
    </comment>
    <comment ref="AL8" authorId="0" shapeId="0">
      <text>
        <t>추정: 매출액 × 판관비율 14.72%(최근 4분기 중위)
[ratio]</t>
      </text>
    </comment>
    <comment ref="AM8" authorId="0" shapeId="0">
      <text>
        <t>추정: 매출액 × 판관비율 14.72%(최근 4분기 중위)
[ratio]</t>
      </text>
    </comment>
    <comment ref="AN8" authorId="0" shapeId="0">
      <text>
        <t>추정: 매출액 × 판관비율 14.72%(최근 4분기 중위)
[ratio]</t>
      </text>
    </comment>
    <comment ref="AC9" authorId="0" shapeId="0">
      <text>
        <t>추정: 매출액 × OPM(최근 8분기 OPM 중위 -1.1% 유지)
[ratio]</t>
      </text>
    </comment>
    <comment ref="AD9" authorId="0" shapeId="0">
      <text>
        <t>추정: 매출액 × OPM(최근 8분기 OPM 중위 -1.1% 유지)
[ratio]</t>
      </text>
    </comment>
    <comment ref="AF9" authorId="0" shapeId="0">
      <text>
        <t>추정: 매출액 × OPM(최근 8분기 OPM 중위 -1.1% 유지)
[ratio]</t>
      </text>
    </comment>
    <comment ref="AG9" authorId="0" shapeId="0">
      <text>
        <t>추정: 매출액 × OPM(최근 8분기 OPM 중위 -1.1% 유지)
[ratio]</t>
      </text>
    </comment>
    <comment ref="AH9" authorId="0" shapeId="0">
      <text>
        <t>추정: 매출액 × OPM(최근 8분기 OPM 중위 -1.1% 유지)
[ratio]</t>
      </text>
    </comment>
    <comment ref="AI9" authorId="0" shapeId="0">
      <text>
        <t>추정: 매출액 × OPM(최근 8분기 OPM 중위 -1.1% 유지)
[ratio]</t>
      </text>
    </comment>
    <comment ref="AK9" authorId="0" shapeId="0">
      <text>
        <t>추정: 매출액 × OPM(최근 8분기 OPM 중위 -1.1% 유지)
[ratio]</t>
      </text>
    </comment>
    <comment ref="AL9" authorId="0" shapeId="0">
      <text>
        <t>추정: 매출액 × OPM(최근 8분기 OPM 중위 -1.1% 유지)
[ratio]</t>
      </text>
    </comment>
    <comment ref="AM9" authorId="0" shapeId="0">
      <text>
        <t>추정: 매출액 × OPM(최근 8분기 OPM 중위 -1.1% 유지)
[ratio]</t>
      </text>
    </comment>
    <comment ref="AN9" authorId="0" shapeId="0">
      <text>
        <t>추정: 매출액 × OPM(최근 8분기 OPM 중위 -1.1% 유지)
[ratio]</t>
      </text>
    </comment>
    <comment ref="AC10" authorId="0" shapeId="0">
      <text>
        <t>추정: 최근 8분기 OPM 중위 -1.1% 유지
[divide]</t>
      </text>
    </comment>
    <comment ref="AD10" authorId="0" shapeId="0">
      <text>
        <t>추정: 최근 8분기 OPM 중위 -1.1% 유지
[divide]</t>
      </text>
    </comment>
    <comment ref="AF10" authorId="0" shapeId="0">
      <text>
        <t>추정: 최근 8분기 OPM 중위 -1.1% 유지
[divide]</t>
      </text>
    </comment>
    <comment ref="AG10" authorId="0" shapeId="0">
      <text>
        <t>추정: 최근 8분기 OPM 중위 -1.1% 유지
[divide]</t>
      </text>
    </comment>
    <comment ref="AH10" authorId="0" shapeId="0">
      <text>
        <t>추정: 최근 8분기 OPM 중위 -1.1% 유지
[divide]</t>
      </text>
    </comment>
    <comment ref="AI10" authorId="0" shapeId="0">
      <text>
        <t>추정: 최근 8분기 OPM 중위 -1.1% 유지
[divide]</t>
      </text>
    </comment>
    <comment ref="AK10" authorId="0" shapeId="0">
      <text>
        <t>추정: 최근 8분기 OPM 중위 -1.1% 유지
[divide]</t>
      </text>
    </comment>
    <comment ref="AL10" authorId="0" shapeId="0">
      <text>
        <t>추정: 최근 8분기 OPM 중위 -1.1% 유지
[divide]</t>
      </text>
    </comment>
    <comment ref="AM10" authorId="0" shapeId="0">
      <text>
        <t>추정: 최근 8분기 OPM 중위 -1.1% 유지
[divide]</t>
      </text>
    </comment>
    <comment ref="AN10" authorId="0" shapeId="0">
      <text>
        <t>추정: 최근 8분기 OPM 중위 -1.1%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98억 × 7.45%(주석 이자수익 ÷ 평균 이자발생자산(2025Q3~2026Q2)) − 총차입금 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C12" authorId="0" shapeId="0">
      <text>
        <t>추정: 이자발생자산 97억 × 7.45%(주석 이자수익 ÷ 평균 이자발생자산(2025Q3~2026Q2)) − 총차입금 38억 × 0.00%(없음) (연율) ÷ 4
[interest]</t>
      </text>
    </comment>
    <comment ref="AD12" authorId="0" shapeId="0">
      <text>
        <t>추정: 이자발생자산 97억 × 7.45%(주석 이자수익 ÷ 평균 이자발생자산(2025Q3~2026Q2)) − 총차입금 38억 × 0.00%(없음) (연율) ÷ 4
[interest]</t>
      </text>
    </comment>
    <comment ref="AF12" authorId="0" shapeId="0">
      <text>
        <t>추정: 이자발생자산 97억 × 7.45%(주석 이자수익 ÷ 평균 이자발생자산(2025Q3~2026Q2)) − 총차입금 38억 × 0.00%(없음) (연율) ÷ 4
[interest]</t>
      </text>
    </comment>
    <comment ref="AG12" authorId="0" shapeId="0">
      <text>
        <t>추정: 이자발생자산 98억 × 7.45%(주석 이자수익 ÷ 평균 이자발생자산(2025Q3~2026Q2)) − 총차입금 38억 × 0.00%(없음) (연율) ÷ 4
[interest]</t>
      </text>
    </comment>
    <comment ref="AH12" authorId="0" shapeId="0">
      <text>
        <t>추정: 이자발생자산 96억 × 7.45%(주석 이자수익 ÷ 평균 이자발생자산(2025Q3~2026Q2)) − 총차입금 38억 × 0.00%(없음) (연율) ÷ 4
[interest]</t>
      </text>
    </comment>
    <comment ref="AI12" authorId="0" shapeId="0">
      <text>
        <t>추정: 이자발생자산 96억 × 7.45%(주석 이자수익 ÷ 평균 이자발생자산(2025Q3~2026Q2)) − 총차입금 38억 × 0.00%(없음) (연율) ÷ 4
[interest]</t>
      </text>
    </comment>
    <comment ref="AK12" authorId="0" shapeId="0">
      <text>
        <t>추정: 이자발생자산 96억 × 7.45%(주석 이자수익 ÷ 평균 이자발생자산(2025Q3~2026Q2)) − 총차입금 38억 × 0.00%(없음) (연율) ÷ 4
[interest]</t>
      </text>
    </comment>
    <comment ref="AL12" authorId="0" shapeId="0">
      <text>
        <t>추정: 이자발생자산 96억 × 7.45%(주석 이자수익 ÷ 평균 이자발생자산(2025Q3~2026Q2)) − 총차입금 38억 × 0.00%(없음) (연율) ÷ 4
[interest]</t>
      </text>
    </comment>
    <comment ref="AM12" authorId="0" shapeId="0">
      <text>
        <t>추정: 이자발생자산 94억 × 7.45%(주석 이자수익 ÷ 평균 이자발생자산(2025Q3~2026Q2)) − 총차입금 38억 × 0.00%(없음) (연율) ÷ 4
[interest]</t>
      </text>
    </comment>
    <comment ref="AN12" authorId="0" shapeId="0">
      <text>
        <t>추정: 이자발생자산 94억 × 7.45%(주석 이자수익 ÷ 평균 이자발생자산(2025Q3~2026Q2)) − 총차입금 38억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15.5%(최근 12분기 유효세율 15.5%(5~27% 안 — 그대로))
[tax]</t>
      </text>
    </comment>
    <comment ref="AD16" authorId="0" shapeId="0">
      <text>
        <t>추정: max(세전, 0) × 세율 15.5%(최근 12분기 유효세율 15.5%(5~27% 안 — 그대로))
[tax]</t>
      </text>
    </comment>
    <comment ref="AF16" authorId="0" shapeId="0">
      <text>
        <t>추정: max(세전, 0) × 세율 15.5%(최근 12분기 유효세율 15.5%(5~27% 안 — 그대로))
[tax]</t>
      </text>
    </comment>
    <comment ref="AG16" authorId="0" shapeId="0">
      <text>
        <t>추정: max(세전, 0) × 세율 15.5%(최근 12분기 유효세율 15.5%(5~27% 안 — 그대로))
[tax]</t>
      </text>
    </comment>
    <comment ref="AH16" authorId="0" shapeId="0">
      <text>
        <t>추정: max(세전, 0) × 세율 15.5%(최근 12분기 유효세율 15.5%(5~27% 안 — 그대로))
[tax]</t>
      </text>
    </comment>
    <comment ref="AI16" authorId="0" shapeId="0">
      <text>
        <t>추정: max(세전, 0) × 세율 15.5%(최근 12분기 유효세율 15.5%(5~27% 안 — 그대로))
[tax]</t>
      </text>
    </comment>
    <comment ref="AK16" authorId="0" shapeId="0">
      <text>
        <t>추정: max(세전, 0) × 세율 15.5%(최근 12분기 유효세율 15.5%(5~27% 안 — 그대로))
[tax]</t>
      </text>
    </comment>
    <comment ref="AL16" authorId="0" shapeId="0">
      <text>
        <t>추정: max(세전, 0) × 세율 15.5%(최근 12분기 유효세율 15.5%(5~27% 안 — 그대로))
[tax]</t>
      </text>
    </comment>
    <comment ref="AM16" authorId="0" shapeId="0">
      <text>
        <t>추정: max(세전, 0) × 세율 15.5%(최근 12분기 유효세율 15.5%(5~27% 안 — 그대로))
[tax]</t>
      </text>
    </comment>
    <comment ref="AN16" authorId="0" shapeId="0">
      <text>
        <t>추정: max(세전, 0) × 세율 15.5%(최근 12분기 유효세율 15.5%(5~27%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1.1%, 최근 8분기 실측)
[ratio]</t>
      </text>
    </comment>
    <comment ref="AD18" authorId="0" shapeId="0">
      <text>
        <t>추정: 당기순이익 × (1 − 비지배 비중 1.1%, 최근 8분기 실측)
[ratio]</t>
      </text>
    </comment>
    <comment ref="AF18" authorId="0" shapeId="0">
      <text>
        <t>추정: 당기순이익 × (1 − 비지배 비중 1.1%, 최근 8분기 실측)
[ratio]</t>
      </text>
    </comment>
    <comment ref="AG18" authorId="0" shapeId="0">
      <text>
        <t>추정: 당기순이익 × (1 − 비지배 비중 1.1%, 최근 8분기 실측)
[ratio]</t>
      </text>
    </comment>
    <comment ref="AH18" authorId="0" shapeId="0">
      <text>
        <t>추정: 당기순이익 × (1 − 비지배 비중 1.1%, 최근 8분기 실측)
[ratio]</t>
      </text>
    </comment>
    <comment ref="AI18" authorId="0" shapeId="0">
      <text>
        <t>추정: 당기순이익 × (1 − 비지배 비중 1.1%, 최근 8분기 실측)
[ratio]</t>
      </text>
    </comment>
    <comment ref="AK18" authorId="0" shapeId="0">
      <text>
        <t>추정: 당기순이익 × (1 − 비지배 비중 1.1%, 최근 8분기 실측)
[ratio]</t>
      </text>
    </comment>
    <comment ref="AL18" authorId="0" shapeId="0">
      <text>
        <t>추정: 당기순이익 × (1 − 비지배 비중 1.1%, 최근 8분기 실측)
[ratio]</t>
      </text>
    </comment>
    <comment ref="AM18" authorId="0" shapeId="0">
      <text>
        <t>추정: 당기순이익 × (1 − 비지배 비중 1.1%, 최근 8분기 실측)
[ratio]</t>
      </text>
    </comment>
    <comment ref="AN18" authorId="0" shapeId="0">
      <text>
        <t>추정: 당기순이익 × (1 − 비지배 비중 1.1%,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10원 유지
[abs]</t>
      </text>
    </comment>
    <comment ref="AI32" authorId="0" shapeId="0">
      <text>
        <t>추정: 직전 결산 DPS 10원 유지
[abs]</t>
      </text>
    </comment>
    <comment ref="AN32" authorId="0" shapeId="0">
      <text>
        <t>추정: 직전 결산 DPS 10원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서암기계공업(100660)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15.49% — 법인세 = MAX(세전,0) × 세율, 추정 전 분기 연결(Σ법인세/Σmax(세전,0) 역산, 재현 오차 ≤ 0.05억). 모델 가정 15.50% · 근거: 최근 12분기 유효세율 15.5%(5~27% 안 — 그대로)</t>
        </is>
      </c>
    </row>
    <row r="23">
      <c r="A23" t="inlineStr">
        <is>
          <t>· 판관비율 14.72% — 판관비 = 매출액 × 판관비율, 추정 전 분기 연결</t>
        </is>
      </c>
    </row>
    <row r="24">
      <c r="A24" t="inlineStr">
        <is>
          <t>· 지배주주 비중 98.6% — 지배주주순이익 = 당기순이익 × 비중, 추정 전 분기 연결</t>
        </is>
      </c>
    </row>
    <row r="25">
      <c r="A25" t="inlineStr">
        <is>
          <t>· 이자율 자산 7.59% / 부채 0.36% — 이자손익 = (전분기 이자발생자산 × 자산이자율 − 전분기 총차입금 × 부채이자율)/4, 최소자승 역산(모델 assumptions [0.0745,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45.5배가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15개는 별도 재무제표로 보충(셀 src 표기; fin issues no_cons_statements·no_prior_ytd; 겹치는 마지막 분기 2026Q2 연결/별도 매출 +20.2%):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17.8, "op_wape_pct": 150.6,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107.47, "rev_act": 124.33, "op_pred": -4.3, "op_act": 1.52}, {"q": "2025Q4", "rev_pred": 95.29, "rev_act": 128.52, "op_pred": -3.81, "op_act": 2.9}, {"q": "2026Q1", "rev_pred": 95.09, "rev_act": 110.44, "op_pred": -3.8, "op_act": -3.69}, {"q": "2026Q2", "rev_pred": 111.26, "rev_act": 134.65, "op_pred": -4.45, "op_act": 9.63}]}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5150</v>
      </c>
      <c r="F15" s="9" t="n"/>
      <c r="G15" s="18" t="n">
        <v>5750</v>
      </c>
      <c r="H15" s="18" t="n">
        <v>8040</v>
      </c>
      <c r="I15" s="18" t="n">
        <v>5000</v>
      </c>
      <c r="J15" s="18" t="n">
        <v>5850</v>
      </c>
      <c r="K15" s="9" t="n"/>
      <c r="L15" s="18" t="n">
        <v>5860</v>
      </c>
      <c r="M15" s="18" t="n">
        <v>5900</v>
      </c>
      <c r="N15" s="18" t="n">
        <v>5060</v>
      </c>
      <c r="O15" s="18" t="n">
        <v>4545</v>
      </c>
      <c r="P15" s="9" t="n"/>
      <c r="Q15" s="18" t="n">
        <v>4770</v>
      </c>
      <c r="R15" s="18" t="n">
        <v>4565</v>
      </c>
      <c r="S15" s="18" t="n">
        <v>4030</v>
      </c>
      <c r="T15" s="18" t="n">
        <v>3620</v>
      </c>
      <c r="U15" s="9" t="n"/>
      <c r="V15" s="18" t="n">
        <v>3335</v>
      </c>
      <c r="W15" s="18" t="n">
        <v>3595</v>
      </c>
      <c r="X15" s="18" t="n">
        <v>3800</v>
      </c>
      <c r="Y15" s="18" t="n">
        <v>4490</v>
      </c>
      <c r="Z15" s="9" t="n"/>
      <c r="AA15" s="18" t="n">
        <v>4100</v>
      </c>
      <c r="AB15" s="19" t="n">
        <v>3345</v>
      </c>
      <c r="AC15" s="20" t="n">
        <v>3155</v>
      </c>
      <c r="AD15" s="20" t="n">
        <v>3295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6420</v>
      </c>
      <c r="F16" s="9" t="n"/>
      <c r="G16" s="18" t="n">
        <v>6440</v>
      </c>
      <c r="H16" s="18" t="n">
        <v>10650</v>
      </c>
      <c r="I16" s="18" t="n">
        <v>8520</v>
      </c>
      <c r="J16" s="18" t="n">
        <v>8590</v>
      </c>
      <c r="K16" s="9" t="n"/>
      <c r="L16" s="18" t="n">
        <v>6640</v>
      </c>
      <c r="M16" s="18" t="n">
        <v>6380</v>
      </c>
      <c r="N16" s="18" t="n">
        <v>5960</v>
      </c>
      <c r="O16" s="18" t="n">
        <v>5080</v>
      </c>
      <c r="P16" s="9" t="n"/>
      <c r="Q16" s="18" t="n">
        <v>5490</v>
      </c>
      <c r="R16" s="18" t="n">
        <v>6050</v>
      </c>
      <c r="S16" s="18" t="n">
        <v>5420</v>
      </c>
      <c r="T16" s="18" t="n">
        <v>4180</v>
      </c>
      <c r="U16" s="9" t="n"/>
      <c r="V16" s="18" t="n">
        <v>4255</v>
      </c>
      <c r="W16" s="18" t="n">
        <v>3880</v>
      </c>
      <c r="X16" s="18" t="n">
        <v>4495</v>
      </c>
      <c r="Y16" s="18" t="n">
        <v>5790</v>
      </c>
      <c r="Z16" s="9" t="n"/>
      <c r="AA16" s="18" t="n">
        <v>6180</v>
      </c>
      <c r="AB16" s="19" t="n">
        <v>5100</v>
      </c>
      <c r="AC16" s="20" t="n">
        <v>3640</v>
      </c>
      <c r="AD16" s="20" t="n">
        <v>3380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4525</v>
      </c>
      <c r="F17" s="9" t="n"/>
      <c r="G17" s="18" t="n">
        <v>4690</v>
      </c>
      <c r="H17" s="18" t="n">
        <v>5330</v>
      </c>
      <c r="I17" s="18" t="n">
        <v>4700</v>
      </c>
      <c r="J17" s="18" t="n">
        <v>4880</v>
      </c>
      <c r="K17" s="9" t="n"/>
      <c r="L17" s="18" t="n">
        <v>5260</v>
      </c>
      <c r="M17" s="18" t="n">
        <v>5360</v>
      </c>
      <c r="N17" s="18" t="n">
        <v>4605</v>
      </c>
      <c r="O17" s="18" t="n">
        <v>4380</v>
      </c>
      <c r="P17" s="9" t="n"/>
      <c r="Q17" s="18" t="n">
        <v>4400</v>
      </c>
      <c r="R17" s="18" t="n">
        <v>4220</v>
      </c>
      <c r="S17" s="18" t="n">
        <v>3555</v>
      </c>
      <c r="T17" s="18" t="n">
        <v>3100</v>
      </c>
      <c r="U17" s="9" t="n"/>
      <c r="V17" s="18" t="n">
        <v>3305</v>
      </c>
      <c r="W17" s="18" t="n">
        <v>3215</v>
      </c>
      <c r="X17" s="18" t="n">
        <v>3385</v>
      </c>
      <c r="Y17" s="18" t="n">
        <v>3315</v>
      </c>
      <c r="Z17" s="9" t="n"/>
      <c r="AA17" s="18" t="n">
        <v>3810</v>
      </c>
      <c r="AB17" s="19" t="n">
        <v>3110</v>
      </c>
      <c r="AC17" s="20" t="n">
        <v>2505</v>
      </c>
      <c r="AD17" s="20" t="n">
        <v>3125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5407.6</v>
      </c>
      <c r="F18" s="9" t="n"/>
      <c r="G18" s="18" t="n">
        <v>5259.3</v>
      </c>
      <c r="H18" s="18" t="n">
        <v>7022.6</v>
      </c>
      <c r="I18" s="18" t="n">
        <v>6767.6</v>
      </c>
      <c r="J18" s="18" t="n">
        <v>6325.1</v>
      </c>
      <c r="K18" s="9" t="n"/>
      <c r="L18" s="18" t="n">
        <v>5975.8</v>
      </c>
      <c r="M18" s="18" t="n">
        <v>5742.1</v>
      </c>
      <c r="N18" s="18" t="n">
        <v>5246</v>
      </c>
      <c r="O18" s="18" t="n">
        <v>4616.4</v>
      </c>
      <c r="P18" s="9" t="n"/>
      <c r="Q18" s="18" t="n">
        <v>4738.3</v>
      </c>
      <c r="R18" s="18" t="n">
        <v>4586.8</v>
      </c>
      <c r="S18" s="18" t="n">
        <v>4332.5</v>
      </c>
      <c r="T18" s="18" t="n">
        <v>3782.9</v>
      </c>
      <c r="U18" s="9" t="n"/>
      <c r="V18" s="18" t="n">
        <v>3746.5</v>
      </c>
      <c r="W18" s="18" t="n">
        <v>3526.3</v>
      </c>
      <c r="X18" s="18" t="n">
        <v>3668.2</v>
      </c>
      <c r="Y18" s="18" t="n">
        <v>3950.6</v>
      </c>
      <c r="Z18" s="9" t="n"/>
      <c r="AA18" s="18" t="n">
        <v>4742.5</v>
      </c>
      <c r="AB18" s="19" t="n">
        <v>4010.5</v>
      </c>
      <c r="AC18" s="20" t="n">
        <v>3024.2</v>
      </c>
      <c r="AD18" s="20" t="n">
        <v>3280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0.273434509</v>
      </c>
      <c r="AD21" s="24" t="n">
        <v>0.281065687</v>
      </c>
      <c r="AE21" s="25" t="n"/>
      <c r="AF21" s="24" t="n">
        <v>0.511799844</v>
      </c>
      <c r="AG21" s="24" t="n">
        <v>0.327875281</v>
      </c>
      <c r="AH21" s="24" t="n">
        <v>0.180899444</v>
      </c>
      <c r="AI21" s="24" t="n">
        <v>0.175595238</v>
      </c>
      <c r="AJ21" s="25" t="n"/>
      <c r="AK21" s="24" t="n">
        <v>0.203821275</v>
      </c>
      <c r="AL21" s="24" t="n">
        <v>0.235961969</v>
      </c>
      <c r="AM21" s="24" t="n">
        <v>0.255723149</v>
      </c>
      <c r="AN21" s="24" t="n">
        <v>0.248411263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-0.010548257</v>
      </c>
      <c r="AD23" s="24" t="n">
        <v>-0.010568513</v>
      </c>
      <c r="AE23" s="25">
        <f>IFERROR(subQ!AE9/subQ!AE5,"")</f>
        <v/>
      </c>
      <c r="AF23" s="24" t="n">
        <v>-0.010541447</v>
      </c>
      <c r="AG23" s="24" t="n">
        <v>-0.01057047</v>
      </c>
      <c r="AH23" s="24" t="n">
        <v>-0.010590501</v>
      </c>
      <c r="AI23" s="24" t="n">
        <v>-0.010591578</v>
      </c>
      <c r="AJ23" s="25">
        <f>IFERROR(subQ!AJ9/subQ!AJ5,"")</f>
        <v/>
      </c>
      <c r="AK23" s="24" t="n">
        <v>-0.010547788</v>
      </c>
      <c r="AL23" s="24" t="n">
        <v>-0.010588714</v>
      </c>
      <c r="AM23" s="24" t="n">
        <v>-0.01056353</v>
      </c>
      <c r="AN23" s="24" t="n">
        <v>-0.010553325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0.13</v>
      </c>
      <c r="AD25" s="30" t="n">
        <v>0.13</v>
      </c>
      <c r="AE25" s="31">
        <f>subQ!AE14</f>
        <v/>
      </c>
      <c r="AF25" s="30" t="n">
        <v>0.13</v>
      </c>
      <c r="AG25" s="30" t="n">
        <v>0.13</v>
      </c>
      <c r="AH25" s="30" t="n">
        <v>0.13</v>
      </c>
      <c r="AI25" s="30" t="n">
        <v>0.13</v>
      </c>
      <c r="AJ25" s="31">
        <f>subQ!AJ14</f>
        <v/>
      </c>
      <c r="AK25" s="30" t="n">
        <v>0.13</v>
      </c>
      <c r="AL25" s="30" t="n">
        <v>0.13</v>
      </c>
      <c r="AM25" s="30" t="n">
        <v>0.13</v>
      </c>
      <c r="AN25" s="30" t="n">
        <v>0.13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1.195e-05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0.004569124</v>
      </c>
      <c r="AD29" s="30" t="n">
        <v>-0.000439623</v>
      </c>
      <c r="AE29" s="31" t="n"/>
      <c r="AF29" s="30" t="n">
        <v>-0.004616004</v>
      </c>
      <c r="AG29" s="30" t="n">
        <v>1.257929246</v>
      </c>
      <c r="AH29" s="30" t="n">
        <v>-0.006235505</v>
      </c>
      <c r="AI29" s="30" t="n">
        <v>-0.007183778</v>
      </c>
      <c r="AJ29" s="31" t="n"/>
      <c r="AK29" s="30" t="n">
        <v>0.000540024</v>
      </c>
      <c r="AL29" s="30" t="n">
        <v>1.25674635</v>
      </c>
      <c r="AM29" s="30" t="n">
        <v>-0.00512057</v>
      </c>
      <c r="AN29" s="30" t="n">
        <v>0.003688101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0.001506959</v>
      </c>
      <c r="AD30" s="30" t="n">
        <v>-0.002746566</v>
      </c>
      <c r="AE30" s="31" t="n"/>
      <c r="AF30" s="30" t="n">
        <v>0.003269927</v>
      </c>
      <c r="AG30" s="30" t="n">
        <v>1.257277147</v>
      </c>
      <c r="AH30" s="30" t="n">
        <v>-0.005470396</v>
      </c>
      <c r="AI30" s="30" t="n">
        <v>-0.005453386</v>
      </c>
      <c r="AJ30" s="31" t="n"/>
      <c r="AK30" s="30" t="n">
        <v>0.003253765</v>
      </c>
      <c r="AL30" s="30" t="n">
        <v>1.252504904</v>
      </c>
      <c r="AM30" s="30" t="n">
        <v>-0.007023692</v>
      </c>
      <c r="AN30" s="30" t="n">
        <v>0.002889623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2.1009e-05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0.004199886</v>
      </c>
      <c r="AD32" s="24" t="n">
        <v>0.003130755</v>
      </c>
      <c r="AE32" s="25" t="n"/>
      <c r="AF32" s="24" t="n">
        <v>0.002753809</v>
      </c>
      <c r="AG32" s="24" t="n">
        <v>-0.022153057</v>
      </c>
      <c r="AH32" s="24" t="n">
        <v>-0.000936154</v>
      </c>
      <c r="AI32" s="24" t="n">
        <v>-0.002248876</v>
      </c>
      <c r="AJ32" s="25" t="n"/>
      <c r="AK32" s="24" t="n">
        <v>-0.003756574</v>
      </c>
      <c r="AL32" s="24" t="n">
        <v>-0.031674208</v>
      </c>
      <c r="AM32" s="24" t="n">
        <v>-0.011487539</v>
      </c>
      <c r="AN32" s="24" t="n">
        <v>-0.013393736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0.002344092</v>
      </c>
      <c r="AD33" s="24" t="n">
        <v>0.001747533</v>
      </c>
      <c r="AE33" s="25" t="n"/>
      <c r="AF33" s="24" t="n">
        <v>0.001539251</v>
      </c>
      <c r="AG33" s="24" t="n">
        <v>-0.012397541</v>
      </c>
      <c r="AH33" s="24" t="n">
        <v>-0.000518726</v>
      </c>
      <c r="AI33" s="24" t="n">
        <v>-0.001245589</v>
      </c>
      <c r="AJ33" s="25" t="n"/>
      <c r="AK33" s="24" t="n">
        <v>-0.00207857</v>
      </c>
      <c r="AL33" s="24" t="n">
        <v>-0.017496355</v>
      </c>
      <c r="AM33" s="24" t="n">
        <v>-0.006253975</v>
      </c>
      <c r="AN33" s="24" t="n">
        <v>-0.007253333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-0.032976585</v>
      </c>
      <c r="AD35" s="24" t="n">
        <v>-0.725325597</v>
      </c>
      <c r="AE35" s="25" t="n"/>
      <c r="AF35" s="24" t="n">
        <v>56.051282051</v>
      </c>
      <c r="AG35" s="24" t="n">
        <v>0.03626943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10</v>
      </c>
      <c r="AE38" s="31">
        <f>subQ!AE32</f>
        <v/>
      </c>
      <c r="AF38" s="33" t="n"/>
      <c r="AG38" s="33" t="n"/>
      <c r="AH38" s="33" t="n"/>
      <c r="AI38" s="30" t="n">
        <v>10</v>
      </c>
      <c r="AJ38" s="31">
        <f>subQ!AJ32</f>
        <v/>
      </c>
      <c r="AK38" s="33" t="n"/>
      <c r="AL38" s="33" t="n"/>
      <c r="AM38" s="33" t="n"/>
      <c r="AN38" s="30" t="n">
        <v>10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3295</v>
      </c>
      <c r="E41" s="2" t="inlineStr">
        <is>
          <t>원 — 네이버 정규장 종가(aik 확정종가 대조 · aik 3,255원)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20261002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45.5배가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0.1549295774647887</v>
      </c>
      <c r="E48" s="2" t="inlineStr">
        <is>
          <t>연결 — 법인세 = MAX(세전,0) × 세율(역산, 재현 오차 ≤ 0.05억 · 모델 assumptions 0.155) · 최근 12분기 유효세율 15.5%(5~27%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0.1471598523318323</v>
      </c>
      <c r="E49" s="2" t="inlineStr">
        <is>
          <t>연결 — 판관비 = 매출액 × 판관비율(역산, 재현 오차 ≤ 0.05억 · 모델 assumptions 0.1472)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0.9863945578231292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0.07587354845034724</v>
      </c>
      <c r="E51" s="2" t="inlineStr">
        <is>
          <t>연결 — 이자손익 = (전분기 이자발생자산 × 자산이자율 − 전분기 총차입금 × 부채이자율)/4(역산, 재현 오차 ≤ 0.05억 · 모델 assumptions 0.0745)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0.003634272242930141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0.1058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서암기계공업(연)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X5" s="18" t="n">
        <v>58492.5</v>
      </c>
      <c r="Y5" s="18" t="n">
        <v>57064.45</v>
      </c>
      <c r="Z5" s="37" t="n">
        <v>57064.45</v>
      </c>
      <c r="AA5" s="18" t="n">
        <v>57103.41</v>
      </c>
      <c r="AB5" s="19" t="n">
        <v>60690.01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X6" s="18" t="n">
        <v>10922.17</v>
      </c>
      <c r="Y6" s="18" t="n">
        <v>9134.459999999999</v>
      </c>
      <c r="Z6" s="37" t="n">
        <v>9134.459999999999</v>
      </c>
      <c r="AA6" s="18" t="n">
        <v>7468.59</v>
      </c>
      <c r="AB6" s="19" t="n">
        <v>9215.209999999999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F7" s="9" t="n"/>
      <c r="K7" s="9" t="n"/>
      <c r="P7" s="9" t="n"/>
      <c r="U7" s="9" t="n"/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F8" s="9" t="n"/>
      <c r="K8" s="9" t="n"/>
      <c r="P8" s="9" t="n"/>
      <c r="U8" s="9" t="n"/>
      <c r="X8" s="18" t="n">
        <v>9486.17</v>
      </c>
      <c r="Y8" s="18" t="n">
        <v>8073.9</v>
      </c>
      <c r="Z8" s="37" t="n">
        <v>8073.9</v>
      </c>
      <c r="AA8" s="18" t="n">
        <v>8923.290000000001</v>
      </c>
      <c r="AB8" s="19" t="n">
        <v>9899.120000000001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F9" s="9" t="n"/>
      <c r="K9" s="9" t="n"/>
      <c r="P9" s="9" t="n"/>
      <c r="U9" s="9" t="n"/>
      <c r="X9" s="18" t="n">
        <v>15588</v>
      </c>
      <c r="Y9" s="18" t="n">
        <v>15763.59</v>
      </c>
      <c r="Z9" s="37" t="n">
        <v>15763.59</v>
      </c>
      <c r="AA9" s="18" t="n">
        <v>16392.61</v>
      </c>
      <c r="AB9" s="19" t="n">
        <v>16831.14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P10" s="9" t="n"/>
      <c r="U10" s="9" t="n"/>
      <c r="X10" s="18" t="n">
        <v>0</v>
      </c>
      <c r="Y10" s="18" t="n">
        <v>264.02</v>
      </c>
      <c r="Z10" s="37" t="n">
        <v>264.02</v>
      </c>
      <c r="AA10" s="18" t="n">
        <v>71.95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F11" s="9" t="n"/>
      <c r="K11" s="9" t="n"/>
      <c r="P11" s="9" t="n"/>
      <c r="U11" s="9" t="n"/>
      <c r="X11" s="18" t="n">
        <v>1181.86</v>
      </c>
      <c r="Y11" s="18" t="n">
        <v>633.87</v>
      </c>
      <c r="Z11" s="37" t="n">
        <v>633.87</v>
      </c>
      <c r="AA11" s="18" t="n">
        <v>372.43</v>
      </c>
      <c r="AB11" s="19" t="n">
        <v>663.87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F12" s="9" t="n"/>
      <c r="K12" s="9" t="n"/>
      <c r="P12" s="9" t="n"/>
      <c r="U12" s="9" t="n"/>
      <c r="X12" s="18" t="n">
        <v>24799.19</v>
      </c>
      <c r="Y12" s="18" t="n">
        <v>25715.17</v>
      </c>
      <c r="Z12" s="37" t="n">
        <v>25715.17</v>
      </c>
      <c r="AA12" s="18" t="n">
        <v>25279.58</v>
      </c>
      <c r="AB12" s="19" t="n">
        <v>24410.74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F13" s="9" t="n"/>
      <c r="K13" s="9" t="n"/>
      <c r="P13" s="9" t="n"/>
      <c r="U13" s="9" t="n"/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F14" s="9" t="n"/>
      <c r="K14" s="9" t="n"/>
      <c r="P14" s="9" t="n"/>
      <c r="U14" s="9" t="n"/>
      <c r="X14" s="18" t="n">
        <v>559.71</v>
      </c>
      <c r="Y14" s="18" t="n">
        <v>459.57</v>
      </c>
      <c r="Z14" s="37" t="n">
        <v>459.57</v>
      </c>
      <c r="AA14" s="18" t="n">
        <v>454.36</v>
      </c>
      <c r="AB14" s="19" t="n">
        <v>490.04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F15" s="9" t="n"/>
      <c r="K15" s="9" t="n"/>
      <c r="P15" s="9" t="n"/>
      <c r="U15" s="9" t="n"/>
      <c r="X15" s="18" t="n">
        <v>559.71</v>
      </c>
      <c r="Y15" s="18" t="n">
        <v>459.57</v>
      </c>
      <c r="Z15" s="37" t="n">
        <v>459.57</v>
      </c>
      <c r="AA15" s="18" t="n">
        <v>454.36</v>
      </c>
      <c r="AB15" s="19" t="n">
        <v>490.04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F16" s="9" t="n"/>
      <c r="K16" s="9" t="n"/>
      <c r="P16" s="9" t="n"/>
      <c r="U16" s="9" t="n"/>
      <c r="X16" s="18" t="n">
        <v>20546.72</v>
      </c>
      <c r="Y16" s="18" t="n">
        <v>20582.79</v>
      </c>
      <c r="Z16" s="37" t="n">
        <v>20582.79</v>
      </c>
      <c r="AA16" s="18" t="n">
        <v>20072.35</v>
      </c>
      <c r="AB16" s="19" t="n">
        <v>19591.44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F17" s="9" t="n"/>
      <c r="K17" s="9" t="n"/>
      <c r="P17" s="9" t="n"/>
      <c r="U17" s="9" t="n"/>
      <c r="X17" s="18" t="n">
        <v>505.82</v>
      </c>
      <c r="Y17" s="18" t="n">
        <v>505.21</v>
      </c>
      <c r="Z17" s="37" t="n">
        <v>505.21</v>
      </c>
      <c r="AA17" s="18" t="n">
        <v>506.01</v>
      </c>
      <c r="AB17" s="19" t="n">
        <v>506.15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F18" s="9" t="n"/>
      <c r="K18" s="9" t="n"/>
      <c r="P18" s="9" t="n"/>
      <c r="U18" s="9" t="n"/>
      <c r="X18" s="18" t="n">
        <v>0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F19" s="9" t="n"/>
      <c r="K19" s="9" t="n"/>
      <c r="P19" s="9" t="n"/>
      <c r="U19" s="9" t="n"/>
      <c r="X19" s="18" t="n">
        <v>83291.7</v>
      </c>
      <c r="Y19" s="18" t="n">
        <v>82779.61</v>
      </c>
      <c r="Z19" s="37" t="n">
        <v>82779.61</v>
      </c>
      <c r="AA19" s="18" t="n">
        <v>82382.99000000001</v>
      </c>
      <c r="AB19" s="19" t="n">
        <v>85100.75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F20" s="9" t="n"/>
      <c r="K20" s="9" t="n"/>
      <c r="P20" s="9" t="n"/>
      <c r="U20" s="9" t="n"/>
      <c r="X20" s="18" t="n">
        <v>15364.56</v>
      </c>
      <c r="Y20" s="18" t="n">
        <v>13055.06</v>
      </c>
      <c r="Z20" s="37" t="n">
        <v>13055.06</v>
      </c>
      <c r="AA20" s="18" t="n">
        <v>12535.35</v>
      </c>
      <c r="AB20" s="19" t="n">
        <v>14342.65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F21" s="9" t="n"/>
      <c r="K21" s="9" t="n"/>
      <c r="P21" s="9" t="n"/>
      <c r="U21" s="9" t="n"/>
      <c r="X21" s="18" t="n">
        <v>5466.82</v>
      </c>
      <c r="Y21" s="18" t="n">
        <v>5021.46</v>
      </c>
      <c r="Z21" s="37" t="n">
        <v>5021.46</v>
      </c>
      <c r="AA21" s="18" t="n">
        <v>4700.94</v>
      </c>
      <c r="AB21" s="19" t="n">
        <v>5361.35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F22" s="9" t="n"/>
      <c r="K22" s="9" t="n"/>
      <c r="P22" s="9" t="n"/>
      <c r="U22" s="9" t="n"/>
      <c r="X22" s="18" t="n">
        <v>3736.19</v>
      </c>
      <c r="Y22" s="18" t="n">
        <v>3295.95</v>
      </c>
      <c r="Z22" s="37" t="n">
        <v>3295.95</v>
      </c>
      <c r="AA22" s="18" t="n">
        <v>3448.53</v>
      </c>
      <c r="AB22" s="19" t="n">
        <v>3792.54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F23" s="9" t="n"/>
      <c r="K23" s="9" t="n"/>
      <c r="P23" s="9" t="n"/>
      <c r="U23" s="9" t="n"/>
      <c r="X23" s="18" t="n">
        <v>3999.78</v>
      </c>
      <c r="Y23" s="18" t="n">
        <v>3562.26</v>
      </c>
      <c r="Z23" s="37" t="n">
        <v>3562.26</v>
      </c>
      <c r="AA23" s="18" t="n">
        <v>3729.2</v>
      </c>
      <c r="AB23" s="19" t="n">
        <v>4082.31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F24" s="9" t="n"/>
      <c r="K24" s="9" t="n"/>
      <c r="P24" s="9" t="n"/>
      <c r="U24" s="9" t="n"/>
      <c r="X24" s="18" t="n">
        <v>33.3</v>
      </c>
      <c r="Y24" s="18" t="n">
        <v>3.23</v>
      </c>
      <c r="Z24" s="37" t="n">
        <v>3.23</v>
      </c>
      <c r="AA24" s="18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F25" s="9" t="n"/>
      <c r="K25" s="9" t="n"/>
      <c r="P25" s="9" t="n"/>
      <c r="U25" s="9" t="n"/>
      <c r="X25" s="18" t="n">
        <v>263.59</v>
      </c>
      <c r="Y25" s="18" t="n">
        <v>266.31</v>
      </c>
      <c r="Z25" s="37" t="n">
        <v>266.31</v>
      </c>
      <c r="AA25" s="18" t="n">
        <v>280.67</v>
      </c>
      <c r="AB25" s="19" t="n">
        <v>289.77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F26" s="9" t="n"/>
      <c r="K26" s="9" t="n"/>
      <c r="P26" s="9" t="n"/>
      <c r="U26" s="9" t="n"/>
      <c r="X26" s="18" t="n">
        <v>1020.38</v>
      </c>
      <c r="Y26" s="18" t="n">
        <v>1146.41</v>
      </c>
      <c r="Z26" s="37" t="n">
        <v>1146.41</v>
      </c>
      <c r="AA26" s="18" t="n">
        <v>1139.49</v>
      </c>
      <c r="AB26" s="19" t="n">
        <v>1101.18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F27" s="9" t="n"/>
      <c r="K27" s="9" t="n"/>
      <c r="P27" s="9" t="n"/>
      <c r="U27" s="9" t="n"/>
      <c r="X27" s="18" t="n">
        <v>2089.73</v>
      </c>
      <c r="Y27" s="18" t="n">
        <v>797.58</v>
      </c>
      <c r="Z27" s="37" t="n">
        <v>797.58</v>
      </c>
      <c r="AA27" s="18" t="n">
        <v>318.3</v>
      </c>
      <c r="AB27" s="19" t="n">
        <v>829.12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F28" s="9" t="n"/>
      <c r="K28" s="9" t="n"/>
      <c r="P28" s="9" t="n"/>
      <c r="U28" s="9" t="n"/>
      <c r="X28" s="18" t="n">
        <v>3774.92</v>
      </c>
      <c r="Y28" s="18" t="n">
        <v>3670.52</v>
      </c>
      <c r="Z28" s="37" t="n">
        <v>3670.52</v>
      </c>
      <c r="AA28" s="18" t="n">
        <v>3786.92</v>
      </c>
      <c r="AB28" s="19" t="n">
        <v>3807.92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F29" s="9" t="n"/>
      <c r="K29" s="9" t="n"/>
      <c r="P29" s="9" t="n"/>
      <c r="U29" s="9" t="n"/>
      <c r="X29" s="18" t="n">
        <v>3774.92</v>
      </c>
      <c r="Z29" s="9" t="n"/>
      <c r="AA29" s="18" t="n">
        <v>3786.92</v>
      </c>
      <c r="AB29" s="19" t="n">
        <v>3807.92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F30" s="9" t="n"/>
      <c r="K30" s="9" t="n"/>
      <c r="P30" s="9" t="n"/>
      <c r="U30" s="9" t="n"/>
      <c r="X30" s="18" t="n">
        <v>834.91</v>
      </c>
      <c r="Y30" s="18" t="n">
        <v>1741.01</v>
      </c>
      <c r="Z30" s="37" t="n">
        <v>1741.01</v>
      </c>
      <c r="AA30" s="18" t="n">
        <v>1426.22</v>
      </c>
      <c r="AB30" s="19" t="n">
        <v>2393.15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F31" s="9" t="n"/>
      <c r="K31" s="9" t="n"/>
      <c r="P31" s="9" t="n"/>
      <c r="U31" s="9" t="n"/>
      <c r="X31" s="18" t="n">
        <v>756.79</v>
      </c>
      <c r="Y31" s="18" t="n">
        <v>880.1</v>
      </c>
      <c r="Z31" s="37" t="n">
        <v>880.1</v>
      </c>
      <c r="AA31" s="18" t="n">
        <v>858.8200000000001</v>
      </c>
      <c r="AB31" s="19" t="n">
        <v>811.41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P32" s="9" t="n"/>
      <c r="U32" s="9" t="n"/>
      <c r="X32" s="18" t="n">
        <v>756.79</v>
      </c>
      <c r="Y32" s="18" t="n">
        <v>880.1</v>
      </c>
      <c r="Z32" s="37" t="n">
        <v>880.1</v>
      </c>
      <c r="AA32" s="18" t="n">
        <v>858.8200000000001</v>
      </c>
      <c r="AB32" s="19" t="n">
        <v>1668.19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F33" s="9" t="n"/>
      <c r="K33" s="9" t="n"/>
      <c r="P33" s="9" t="n"/>
      <c r="U33" s="9" t="n"/>
      <c r="X33" s="18" t="n">
        <v>78.12</v>
      </c>
      <c r="Y33" s="18" t="n">
        <v>860.91</v>
      </c>
      <c r="Z33" s="37" t="n">
        <v>860.91</v>
      </c>
      <c r="AA33" s="18" t="n">
        <v>567.4</v>
      </c>
      <c r="AB33" s="19" t="n">
        <v>724.95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F34" s="9" t="n"/>
      <c r="K34" s="9" t="n"/>
      <c r="P34" s="9" t="n"/>
      <c r="U34" s="9" t="n"/>
      <c r="X34" s="18" t="n">
        <v>16199.47</v>
      </c>
      <c r="Y34" s="18" t="n">
        <v>14796.07</v>
      </c>
      <c r="Z34" s="37" t="n">
        <v>14796.07</v>
      </c>
      <c r="AA34" s="18" t="n">
        <v>13961.57</v>
      </c>
      <c r="AB34" s="19" t="n">
        <v>16735.8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F35" s="9" t="n"/>
      <c r="K35" s="9" t="n"/>
      <c r="P35" s="9" t="n"/>
      <c r="U35" s="9" t="n"/>
      <c r="X35" s="18" t="n">
        <v>66137.48</v>
      </c>
      <c r="Y35" s="18" t="n">
        <v>66944.19</v>
      </c>
      <c r="Z35" s="37" t="n">
        <v>66944.19</v>
      </c>
      <c r="AA35" s="18" t="n">
        <v>67350.85000000001</v>
      </c>
      <c r="AB35" s="19" t="n">
        <v>68364.95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F36" s="9" t="n"/>
      <c r="K36" s="9" t="n"/>
      <c r="P36" s="9" t="n"/>
      <c r="U36" s="9" t="n"/>
      <c r="X36" s="18" t="n">
        <v>6300</v>
      </c>
      <c r="Y36" s="18" t="n">
        <v>6300</v>
      </c>
      <c r="Z36" s="37" t="n">
        <v>6300</v>
      </c>
      <c r="AA36" s="18" t="n">
        <v>6300</v>
      </c>
      <c r="AB36" s="19" t="n">
        <v>6300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F37" s="9" t="n"/>
      <c r="K37" s="9" t="n"/>
      <c r="P37" s="9" t="n"/>
      <c r="U37" s="9" t="n"/>
      <c r="X37" s="18" t="n">
        <v>10412.2</v>
      </c>
      <c r="Y37" s="18" t="n">
        <v>10412.2</v>
      </c>
      <c r="Z37" s="37" t="n">
        <v>10412.2</v>
      </c>
      <c r="AA37" s="18" t="n">
        <v>10412.2</v>
      </c>
      <c r="AB37" s="19" t="n">
        <v>10412.2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F38" s="9" t="n"/>
      <c r="K38" s="9" t="n"/>
      <c r="P38" s="9" t="n"/>
      <c r="U38" s="9" t="n"/>
      <c r="X38" s="18" t="n">
        <v>1.58</v>
      </c>
      <c r="Y38" s="18" t="n">
        <v>1.58</v>
      </c>
      <c r="Z38" s="37" t="n">
        <v>1.58</v>
      </c>
      <c r="AA38" s="18" t="n">
        <v>1.58</v>
      </c>
      <c r="AB38" s="19" t="n">
        <v>1.58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기타포괄이익누계액</t>
        </is>
      </c>
      <c r="F39" s="9" t="n"/>
      <c r="K39" s="9" t="n"/>
      <c r="P39" s="9" t="n"/>
      <c r="U39" s="9" t="n"/>
      <c r="X39" s="18" t="n">
        <v>622.38</v>
      </c>
      <c r="Y39" s="18" t="n">
        <v>565.12</v>
      </c>
      <c r="Z39" s="37" t="n">
        <v>565.12</v>
      </c>
      <c r="AA39" s="18" t="n">
        <v>1065.22</v>
      </c>
      <c r="AB39" s="19" t="n">
        <v>972.8099999999999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P40" s="9" t="n"/>
      <c r="U40" s="9" t="n"/>
      <c r="X40" s="18" t="n">
        <v>48801.32</v>
      </c>
      <c r="Y40" s="18" t="n">
        <v>49665.29</v>
      </c>
      <c r="Z40" s="37" t="n">
        <v>49665.29</v>
      </c>
      <c r="AA40" s="18" t="n">
        <v>49571.85</v>
      </c>
      <c r="AB40" s="19" t="n">
        <v>50678.37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P41" s="9" t="n"/>
      <c r="U41" s="9" t="n"/>
      <c r="X41" s="18" t="n">
        <v>954.75</v>
      </c>
      <c r="Y41" s="18" t="n">
        <v>1039.36</v>
      </c>
      <c r="Z41" s="37" t="n">
        <v>1039.36</v>
      </c>
      <c r="AA41" s="18" t="n">
        <v>1070.56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P42" s="9" t="n"/>
      <c r="U42" s="9" t="n"/>
      <c r="X42" s="18" t="n">
        <v>67092.23</v>
      </c>
      <c r="Y42" s="18" t="n">
        <v>67983.55</v>
      </c>
      <c r="Z42" s="37" t="n">
        <v>67983.55</v>
      </c>
      <c r="AA42" s="18" t="n">
        <v>68421.41</v>
      </c>
      <c r="AB42" s="19" t="n">
        <v>68364.95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P43" s="9" t="n"/>
      <c r="U43" s="9" t="n"/>
      <c r="X43" s="18" t="n">
        <v>83291.7</v>
      </c>
      <c r="Y43" s="18" t="n">
        <v>82779.61</v>
      </c>
      <c r="Z43" s="37" t="n">
        <v>82779.61</v>
      </c>
      <c r="AA43" s="18" t="n">
        <v>82382.99000000001</v>
      </c>
      <c r="AB43" s="19" t="n">
        <v>85100.75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-7147.25</v>
      </c>
      <c r="Y45" s="18" t="n">
        <v>-5463.94</v>
      </c>
      <c r="Z45" s="37" t="n">
        <v>-5463.94</v>
      </c>
      <c r="AA45" s="18" t="n">
        <v>-3681.67</v>
      </c>
      <c r="AB45" s="19" t="n">
        <v>-5407.29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F46" s="9" t="n"/>
      <c r="K46" s="9" t="n"/>
      <c r="P46" s="9" t="n"/>
      <c r="U46" s="9" t="n"/>
      <c r="X46" s="18" t="n">
        <v>11481.88</v>
      </c>
      <c r="Y46" s="18" t="n">
        <v>9594.030000000001</v>
      </c>
      <c r="Z46" s="37" t="n">
        <v>9594.030000000001</v>
      </c>
      <c r="AA46" s="18" t="n">
        <v>7922.95</v>
      </c>
      <c r="AB46" s="19" t="n">
        <v>9705.25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U47" s="9" t="n"/>
      <c r="Z47" s="9" t="n"/>
      <c r="AB47" s="19" t="n">
        <v>2000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기타비유동금융부채</t>
        </is>
      </c>
      <c r="F48" s="9" t="n"/>
      <c r="K48" s="9" t="n"/>
      <c r="P48" s="9" t="n"/>
      <c r="U48" s="9" t="n"/>
      <c r="Z48" s="9" t="n"/>
      <c r="AB48" s="19" t="n">
        <v>856.78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F49" s="9" t="n"/>
      <c r="K49" s="9" t="n"/>
      <c r="P49" s="9" t="n"/>
      <c r="U49" s="9" t="n"/>
      <c r="X49" s="18" t="n">
        <v>12432.52</v>
      </c>
      <c r="Y49" s="18" t="n">
        <v>12851.8</v>
      </c>
      <c r="Z49" s="9" t="n"/>
      <c r="AA49" s="18" t="n">
        <v>11043.79</v>
      </c>
      <c r="AB49" s="19" t="n">
        <v>13465.12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F50" s="9" t="n"/>
      <c r="K50" s="9" t="n"/>
      <c r="P50" s="9" t="n"/>
      <c r="U50" s="9" t="n"/>
      <c r="X50" s="18" t="n">
        <v>10654.94</v>
      </c>
      <c r="Y50" s="18" t="n">
        <v>10681.92</v>
      </c>
      <c r="Z50" s="9" t="n"/>
      <c r="AA50" s="18" t="n">
        <v>9422.9</v>
      </c>
      <c r="AB50" s="19" t="n">
        <v>10508.31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F51" s="9" t="n"/>
      <c r="K51" s="9" t="n"/>
      <c r="P51" s="9" t="n"/>
      <c r="U51" s="9" t="n"/>
      <c r="X51" s="18" t="n">
        <v>1777.58</v>
      </c>
      <c r="Y51" s="18" t="n">
        <v>2169.88</v>
      </c>
      <c r="Z51" s="9" t="n"/>
      <c r="AA51" s="18" t="n">
        <v>1620.89</v>
      </c>
      <c r="AB51" s="19" t="n">
        <v>2956.81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F52" s="9" t="n"/>
      <c r="K52" s="9" t="n"/>
      <c r="P52" s="9" t="n"/>
      <c r="U52" s="9" t="n"/>
      <c r="X52" s="18" t="n">
        <v>1625.08</v>
      </c>
      <c r="Y52" s="18" t="n">
        <v>1879.59</v>
      </c>
      <c r="Z52" s="9" t="n"/>
      <c r="AA52" s="18" t="n">
        <v>1989.82</v>
      </c>
      <c r="AB52" s="19" t="n">
        <v>1993.5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F53" s="9" t="n"/>
      <c r="K53" s="9" t="n"/>
      <c r="P53" s="9" t="n"/>
      <c r="U53" s="9" t="n"/>
      <c r="X53" s="18" t="n">
        <v>152.5</v>
      </c>
      <c r="Y53" s="18" t="n">
        <v>290.29</v>
      </c>
      <c r="Z53" s="9" t="n"/>
      <c r="AA53" s="18" t="n">
        <v>-368.93</v>
      </c>
      <c r="AB53" s="19" t="n">
        <v>963.3099999999999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F54" s="9" t="n"/>
      <c r="K54" s="9" t="n"/>
      <c r="P54" s="9" t="n"/>
      <c r="U54" s="9" t="n"/>
      <c r="X54" s="18" t="n">
        <v>1589.84</v>
      </c>
      <c r="Y54" s="18" t="n">
        <v>233.53</v>
      </c>
      <c r="Z54" s="9" t="n"/>
      <c r="AA54" s="18" t="n">
        <v>363.48</v>
      </c>
      <c r="AB54" s="19" t="n">
        <v>219.5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F55" s="9" t="n"/>
      <c r="K55" s="9" t="n"/>
      <c r="P55" s="9" t="n"/>
      <c r="U55" s="9" t="n"/>
      <c r="X55" s="18" t="n">
        <v>863.03</v>
      </c>
      <c r="Y55" s="18" t="n">
        <v>63.93</v>
      </c>
      <c r="Z55" s="9" t="n"/>
      <c r="AA55" s="18" t="n">
        <v>167.65</v>
      </c>
      <c r="AB55" s="19" t="n">
        <v>47.53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F56" s="9" t="n"/>
      <c r="K56" s="9" t="n"/>
      <c r="P56" s="9" t="n"/>
      <c r="U56" s="9" t="n"/>
      <c r="X56" s="18" t="n">
        <v>11.19</v>
      </c>
      <c r="Y56" s="18" t="n">
        <v>23.76</v>
      </c>
      <c r="Z56" s="9" t="n"/>
      <c r="AA56" s="18" t="n">
        <v>0</v>
      </c>
      <c r="AB56" s="19" t="n">
        <v>15.26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지분법관련손익</t>
        </is>
      </c>
      <c r="F57" s="9" t="n"/>
      <c r="K57" s="9" t="n"/>
      <c r="P57" s="9" t="n"/>
      <c r="U57" s="9" t="n"/>
      <c r="X57" s="18" t="n">
        <v>11.19</v>
      </c>
      <c r="Y57" s="18" t="n">
        <v>23.76</v>
      </c>
      <c r="Z57" s="9" t="n"/>
      <c r="AA57" s="18" t="n">
        <v>0</v>
      </c>
      <c r="AB57" s="19" t="n">
        <v>15.26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F58" s="9" t="n"/>
      <c r="K58" s="9" t="n"/>
      <c r="P58" s="9" t="n"/>
      <c r="U58" s="9" t="n"/>
      <c r="X58" s="18" t="n">
        <v>181.17</v>
      </c>
      <c r="Y58" s="18" t="n">
        <v>180.75</v>
      </c>
      <c r="Z58" s="9" t="n"/>
      <c r="AA58" s="18" t="n">
        <v>176.74</v>
      </c>
      <c r="AB58" s="19" t="n">
        <v>184.39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F59" s="9" t="n"/>
      <c r="K59" s="9" t="n"/>
      <c r="P59" s="9" t="n"/>
      <c r="U59" s="9" t="n"/>
      <c r="X59" s="18" t="n">
        <v>21.91</v>
      </c>
      <c r="Y59" s="18" t="n">
        <v>-1.36</v>
      </c>
      <c r="Z59" s="9" t="n"/>
      <c r="AA59" s="18" t="n">
        <v>13.92</v>
      </c>
      <c r="AB59" s="19" t="n">
        <v>16.28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F60" s="9" t="n"/>
      <c r="K60" s="9" t="n"/>
      <c r="P60" s="9" t="n"/>
      <c r="U60" s="9" t="n"/>
      <c r="X60" s="18" t="n">
        <v>1049.76</v>
      </c>
      <c r="Y60" s="18" t="n">
        <v>649.33</v>
      </c>
      <c r="Z60" s="9" t="n"/>
      <c r="AA60" s="18" t="n">
        <v>-36.82</v>
      </c>
      <c r="AB60" s="19" t="n">
        <v>1318.65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F61" s="9" t="n"/>
      <c r="K61" s="9" t="n"/>
      <c r="P61" s="9" t="n"/>
      <c r="U61" s="9" t="n"/>
      <c r="X61" s="18" t="n">
        <v>676.29</v>
      </c>
      <c r="Y61" s="18" t="n">
        <v>-286.38</v>
      </c>
      <c r="Z61" s="9" t="n"/>
      <c r="AA61" s="18" t="n">
        <v>-56.68</v>
      </c>
      <c r="AB61" s="19" t="n">
        <v>369.14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F62" s="9" t="n"/>
      <c r="K62" s="9" t="n"/>
      <c r="P62" s="9" t="n"/>
      <c r="U62" s="9" t="n"/>
      <c r="X62" s="18" t="n">
        <v>373.47</v>
      </c>
      <c r="Y62" s="18" t="n">
        <v>935.7</v>
      </c>
      <c r="Z62" s="9" t="n"/>
      <c r="AA62" s="18" t="n">
        <v>19.86</v>
      </c>
      <c r="AB62" s="19" t="n">
        <v>949.51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F63" s="9" t="n"/>
      <c r="K63" s="9" t="n"/>
      <c r="P63" s="9" t="n"/>
      <c r="U63" s="9" t="n"/>
      <c r="X63" s="18" t="n">
        <v>431.48</v>
      </c>
      <c r="Y63" s="18" t="n">
        <v>863.97</v>
      </c>
      <c r="Z63" s="9" t="n"/>
      <c r="AA63" s="18" t="n">
        <v>32.56</v>
      </c>
      <c r="AB63" s="19" t="n">
        <v>925.8099999999999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(비지배주주지분)당기순이익</t>
        </is>
      </c>
      <c r="F64" s="9" t="n"/>
      <c r="K64" s="9" t="n"/>
      <c r="P64" s="9" t="n"/>
      <c r="U64" s="9" t="n"/>
      <c r="X64" s="18" t="n">
        <v>-58.01</v>
      </c>
      <c r="Y64" s="18" t="n">
        <v>71.73</v>
      </c>
      <c r="Z64" s="9" t="n"/>
      <c r="AA64" s="18" t="n">
        <v>-12.7</v>
      </c>
      <c r="AB64" s="19" t="n">
        <v>23.7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F65" s="9" t="n"/>
      <c r="K65" s="9" t="n"/>
      <c r="P65" s="9" t="n"/>
      <c r="U65" s="9" t="n"/>
      <c r="X65" s="18" t="n">
        <v>477.66</v>
      </c>
      <c r="Y65" s="18" t="n">
        <v>891.3200000000001</v>
      </c>
      <c r="Z65" s="9" t="n"/>
      <c r="AA65" s="18" t="n">
        <v>563.86</v>
      </c>
      <c r="AB65" s="19" t="n">
        <v>800.3200000000001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F66" s="9" t="n"/>
      <c r="K66" s="9" t="n"/>
      <c r="P66" s="9" t="n"/>
      <c r="U66" s="9" t="n"/>
      <c r="X66" s="18" t="n">
        <v>159.26</v>
      </c>
      <c r="Y66" s="18" t="n">
        <v>182.11</v>
      </c>
      <c r="Z66" s="9" t="n"/>
      <c r="AA66" s="18" t="n">
        <v>162.82</v>
      </c>
      <c r="AB66" s="19" t="n">
        <v>168.11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F67" s="9" t="n"/>
      <c r="K67" s="9" t="n"/>
      <c r="P67" s="9" t="n"/>
      <c r="U67" s="9" t="n"/>
      <c r="X67" s="18" t="n">
        <v>726.8099999999999</v>
      </c>
      <c r="Y67" s="18" t="n">
        <v>169.6</v>
      </c>
      <c r="Z67" s="9" t="n"/>
      <c r="AA67" s="18" t="n">
        <v>195.83</v>
      </c>
      <c r="AB67" s="19" t="n">
        <v>171.97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F68" s="9" t="n"/>
      <c r="K68" s="9" t="n"/>
      <c r="P68" s="9" t="n"/>
      <c r="U68" s="9" t="n"/>
      <c r="X68" s="18" t="n">
        <v>373.47</v>
      </c>
      <c r="Y68" s="18" t="n">
        <v>935.7</v>
      </c>
      <c r="Z68" s="9" t="n"/>
      <c r="AA68" s="18" t="n">
        <v>19.86</v>
      </c>
      <c r="AB68" s="19" t="n">
        <v>949.51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이자수익</t>
        </is>
      </c>
      <c r="F69" s="9" t="n"/>
      <c r="K69" s="9" t="n"/>
      <c r="P69" s="9" t="n"/>
      <c r="U69" s="9" t="n"/>
      <c r="X69" s="18" t="n">
        <v>181.17</v>
      </c>
      <c r="Y69" s="18" t="n">
        <v>180.74</v>
      </c>
      <c r="Z69" s="9" t="n"/>
      <c r="AA69" s="18" t="n">
        <v>176.74</v>
      </c>
      <c r="AB69" s="19" t="n">
        <v>181.75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배당금수익</t>
        </is>
      </c>
      <c r="F70" s="9" t="n"/>
      <c r="K70" s="9" t="n"/>
      <c r="P70" s="9" t="n"/>
      <c r="U70" s="9" t="n"/>
      <c r="X70" s="18" t="n">
        <v>0</v>
      </c>
      <c r="Y70" s="18" t="n">
        <v>0</v>
      </c>
      <c r="Z70" s="9" t="n"/>
      <c r="AB70" s="19" t="n">
        <v>2.64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이자비용</t>
        </is>
      </c>
      <c r="F71" s="9" t="n"/>
      <c r="K71" s="9" t="n"/>
      <c r="P71" s="9" t="n"/>
      <c r="U71" s="9" t="n"/>
      <c r="Z71" s="9" t="n"/>
      <c r="AA71" s="18" t="n">
        <v>13.92</v>
      </c>
      <c r="AB71" s="19" t="n">
        <v>16.28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이자손익</t>
        </is>
      </c>
      <c r="F72" s="9" t="n"/>
      <c r="K72" s="9" t="n"/>
      <c r="P72" s="9" t="n"/>
      <c r="U72" s="9" t="n"/>
      <c r="Z72" s="9" t="n"/>
      <c r="AA72" s="18" t="n">
        <v>162.82</v>
      </c>
      <c r="AB72" s="19" t="n">
        <v>165.47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F73" s="9" t="n"/>
      <c r="K73" s="9" t="n"/>
      <c r="P73" s="9" t="n"/>
      <c r="U73" s="9" t="n"/>
      <c r="X73" s="18" t="n">
        <v>-727.64</v>
      </c>
      <c r="Y73" s="18" t="n">
        <v>1040.26</v>
      </c>
      <c r="Z73" s="9" t="n"/>
      <c r="AA73" s="18" t="n">
        <v>-1437.28</v>
      </c>
      <c r="AB73" s="19" t="n">
        <v>2020.03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F74" s="9" t="n"/>
      <c r="K74" s="9" t="n"/>
      <c r="P74" s="9" t="n"/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이자수취(CF)</t>
        </is>
      </c>
      <c r="F75" s="9" t="n"/>
      <c r="K75" s="9" t="n"/>
      <c r="P75" s="9" t="n"/>
      <c r="U75" s="9" t="n"/>
      <c r="X75" s="18" t="n">
        <v>480.96</v>
      </c>
      <c r="Y75" s="18" t="n">
        <v>374.48</v>
      </c>
      <c r="Z75" s="9" t="n"/>
      <c r="AA75" s="18" t="n">
        <v>16.5</v>
      </c>
      <c r="AB75" s="19" t="n">
        <v>5.06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P76" s="9" t="n"/>
      <c r="U76" s="9" t="n"/>
      <c r="X76" s="18" t="n">
        <v>-74.06999999999999</v>
      </c>
      <c r="Y76" s="18" t="n">
        <v>-57.52</v>
      </c>
      <c r="Z76" s="9" t="n"/>
      <c r="AA76" s="18" t="n">
        <v>-2.34</v>
      </c>
      <c r="AB76" s="19" t="n">
        <v>124.79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P77" s="9" t="n"/>
      <c r="U77" s="9" t="n"/>
      <c r="X77" s="18" t="n">
        <v>2475.23</v>
      </c>
      <c r="Y77" s="18" t="n">
        <v>-2689.01</v>
      </c>
      <c r="Z77" s="9" t="n"/>
      <c r="AA77" s="18" t="n">
        <v>-436.09</v>
      </c>
      <c r="AB77" s="19" t="n">
        <v>-169.27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F78" s="9" t="n"/>
      <c r="K78" s="9" t="n"/>
      <c r="P78" s="9" t="n"/>
      <c r="U78" s="9" t="n"/>
      <c r="X78" s="18" t="n">
        <v>184.07</v>
      </c>
      <c r="Y78" s="18" t="n">
        <v>648.04</v>
      </c>
      <c r="Z78" s="9" t="n"/>
      <c r="AA78" s="18" t="n">
        <v>3.12</v>
      </c>
      <c r="AB78" s="19" t="n">
        <v>171.77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F79" s="9" t="n"/>
      <c r="K79" s="9" t="n"/>
      <c r="P79" s="9" t="n"/>
      <c r="U79" s="9" t="n"/>
      <c r="X79" s="18" t="n">
        <v>184.07</v>
      </c>
      <c r="Y79" s="18" t="n">
        <v>648.04</v>
      </c>
      <c r="Z79" s="9" t="n"/>
      <c r="AA79" s="18" t="n">
        <v>3.12</v>
      </c>
      <c r="AB79" s="19" t="n">
        <v>171.77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K80" s="9" t="n"/>
      <c r="P80" s="9" t="n"/>
      <c r="U80" s="9" t="n"/>
      <c r="X80" s="18" t="n">
        <v>29.18</v>
      </c>
      <c r="Y80" s="18" t="n">
        <v>-0.73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F81" s="9" t="n"/>
      <c r="K81" s="9" t="n"/>
      <c r="P81" s="9" t="n"/>
      <c r="U81" s="9" t="n"/>
      <c r="X81" s="18" t="n">
        <v>3696.77</v>
      </c>
      <c r="Y81" s="18" t="n">
        <v>-69.94</v>
      </c>
      <c r="Z81" s="9" t="n"/>
      <c r="AA81" s="18" t="n">
        <v>-73.39</v>
      </c>
      <c r="AB81" s="19" t="n">
        <v>-197.13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F83" s="9" t="n"/>
      <c r="K83" s="9" t="n"/>
      <c r="P83" s="9" t="n"/>
      <c r="U83" s="9" t="n"/>
      <c r="X83" s="18" t="n">
        <v>11189.86</v>
      </c>
      <c r="Y83" s="18" t="n">
        <v>-3506.41</v>
      </c>
      <c r="Z83" s="9" t="n"/>
      <c r="AA83" s="18" t="n">
        <v>-3612.63</v>
      </c>
      <c r="AB83" s="19" t="n">
        <v>3400.25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F84" s="9" t="n"/>
      <c r="K84" s="9" t="n"/>
      <c r="P84" s="9" t="n"/>
      <c r="U84" s="9" t="n"/>
      <c r="X84" s="18" t="n">
        <v>5745.5</v>
      </c>
      <c r="Y84" s="18" t="n">
        <v>-1787.71</v>
      </c>
      <c r="Z84" s="9" t="n"/>
      <c r="AA84" s="18" t="n">
        <v>7468.59</v>
      </c>
      <c r="AB84" s="19" t="n">
        <v>1746.62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F85" s="9" t="n"/>
      <c r="K85" s="9" t="n"/>
      <c r="P85" s="9" t="n"/>
      <c r="U85" s="9" t="n"/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서암기계공업(별)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51725.68</v>
      </c>
      <c r="F5" s="37" t="n">
        <v>51725.68</v>
      </c>
      <c r="G5" s="18" t="n">
        <v>52600.82</v>
      </c>
      <c r="H5" s="18" t="n">
        <v>52502.54</v>
      </c>
      <c r="I5" s="18" t="n">
        <v>54399.41</v>
      </c>
      <c r="J5" s="18" t="n">
        <v>54124.44</v>
      </c>
      <c r="K5" s="37" t="n">
        <v>54124.44</v>
      </c>
      <c r="L5" s="18" t="n">
        <v>51837.69</v>
      </c>
      <c r="M5" s="18" t="n">
        <v>51984.93</v>
      </c>
      <c r="N5" s="18" t="n">
        <v>51456.51</v>
      </c>
      <c r="O5" s="18" t="n">
        <v>52714.72</v>
      </c>
      <c r="P5" s="37" t="n">
        <v>52714.72</v>
      </c>
      <c r="Q5" s="18" t="n">
        <v>52492.54</v>
      </c>
      <c r="R5" s="18" t="n">
        <v>53439.64</v>
      </c>
      <c r="S5" s="18" t="n">
        <v>52077.75</v>
      </c>
      <c r="T5" s="18" t="n">
        <v>52968.52</v>
      </c>
      <c r="U5" s="37" t="n">
        <v>52968.52</v>
      </c>
      <c r="V5" s="18" t="n">
        <v>53613.69</v>
      </c>
      <c r="W5" s="18" t="n">
        <v>54752.16</v>
      </c>
      <c r="X5" s="18" t="n">
        <v>51098.53</v>
      </c>
      <c r="Y5" s="18" t="n">
        <v>49404.82</v>
      </c>
      <c r="Z5" s="37" t="n">
        <v>49404.82</v>
      </c>
      <c r="AA5" s="18" t="n">
        <v>49869.03</v>
      </c>
      <c r="AB5" s="19" t="n">
        <v>52090.99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1833.72</v>
      </c>
      <c r="F6" s="37" t="n">
        <v>1833.72</v>
      </c>
      <c r="G6" s="18" t="n">
        <v>1432.96</v>
      </c>
      <c r="H6" s="18" t="n">
        <v>2537.75</v>
      </c>
      <c r="I6" s="18" t="n">
        <v>2677.9</v>
      </c>
      <c r="J6" s="18" t="n">
        <v>3622.73</v>
      </c>
      <c r="K6" s="37" t="n">
        <v>3622.73</v>
      </c>
      <c r="L6" s="18" t="n">
        <v>1616.09</v>
      </c>
      <c r="M6" s="18" t="n">
        <v>2304.68</v>
      </c>
      <c r="N6" s="18" t="n">
        <v>2278.07</v>
      </c>
      <c r="O6" s="18" t="n">
        <v>3377.9</v>
      </c>
      <c r="P6" s="37" t="n">
        <v>3377.9</v>
      </c>
      <c r="Q6" s="18" t="n">
        <v>2449.17</v>
      </c>
      <c r="R6" s="18" t="n">
        <v>3471.53</v>
      </c>
      <c r="S6" s="18" t="n">
        <v>3284.26</v>
      </c>
      <c r="T6" s="18" t="n">
        <v>4307.22</v>
      </c>
      <c r="U6" s="37" t="n">
        <v>4307.22</v>
      </c>
      <c r="V6" s="18" t="n">
        <v>3753.11</v>
      </c>
      <c r="W6" s="18" t="n">
        <v>5176.67</v>
      </c>
      <c r="X6" s="18" t="n">
        <v>6004.85</v>
      </c>
      <c r="Y6" s="18" t="n">
        <v>4177.1</v>
      </c>
      <c r="Z6" s="37" t="n">
        <v>4177.1</v>
      </c>
      <c r="AA6" s="18" t="n">
        <v>1780.49</v>
      </c>
      <c r="AB6" s="19" t="n">
        <v>3255.78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28623.55</v>
      </c>
      <c r="F7" s="37" t="n">
        <v>28623.55</v>
      </c>
      <c r="G7" s="18" t="n">
        <v>27595.31</v>
      </c>
      <c r="H7" s="18" t="n">
        <v>27338.25</v>
      </c>
      <c r="I7" s="18" t="n">
        <v>27340.22</v>
      </c>
      <c r="J7" s="18" t="n">
        <v>26927.16</v>
      </c>
      <c r="K7" s="37" t="n">
        <v>26927.16</v>
      </c>
      <c r="L7" s="18" t="n">
        <v>25616.47</v>
      </c>
      <c r="M7" s="18" t="n">
        <v>25013.26</v>
      </c>
      <c r="N7" s="18" t="n">
        <v>24117.23</v>
      </c>
      <c r="O7" s="18" t="n">
        <v>23875.48</v>
      </c>
      <c r="P7" s="37" t="n">
        <v>23875.48</v>
      </c>
      <c r="Q7" s="18" t="n">
        <v>24112.94</v>
      </c>
      <c r="R7" s="18" t="n">
        <v>24354.16</v>
      </c>
      <c r="S7" s="18" t="n">
        <v>25065.14</v>
      </c>
      <c r="T7" s="18" t="n">
        <v>24852.28</v>
      </c>
      <c r="U7" s="37" t="n">
        <v>24852.28</v>
      </c>
      <c r="V7" s="18" t="n">
        <v>25059.08</v>
      </c>
      <c r="W7" s="18" t="n">
        <v>25254.99</v>
      </c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8084.52</v>
      </c>
      <c r="F8" s="37" t="n">
        <v>8084.52</v>
      </c>
      <c r="G8" s="18" t="n">
        <v>9131.73</v>
      </c>
      <c r="H8" s="18" t="n">
        <v>8234.24</v>
      </c>
      <c r="I8" s="18" t="n">
        <v>10358.78</v>
      </c>
      <c r="J8" s="18" t="n">
        <v>8809.91</v>
      </c>
      <c r="K8" s="37" t="n">
        <v>8809.91</v>
      </c>
      <c r="L8" s="18" t="n">
        <v>9097.440000000001</v>
      </c>
      <c r="M8" s="18" t="n">
        <v>7961.39</v>
      </c>
      <c r="N8" s="18" t="n">
        <v>8009.15</v>
      </c>
      <c r="O8" s="18" t="n">
        <v>8326.530000000001</v>
      </c>
      <c r="P8" s="37" t="n">
        <v>8326.530000000001</v>
      </c>
      <c r="Q8" s="18" t="n">
        <v>8913.280000000001</v>
      </c>
      <c r="R8" s="18" t="n">
        <v>9204.23</v>
      </c>
      <c r="S8" s="18" t="n">
        <v>7999.21</v>
      </c>
      <c r="T8" s="18" t="n">
        <v>7527.22</v>
      </c>
      <c r="U8" s="37" t="n">
        <v>7527.22</v>
      </c>
      <c r="V8" s="18" t="n">
        <v>7936.06</v>
      </c>
      <c r="W8" s="18" t="n">
        <v>8367.889999999999</v>
      </c>
      <c r="X8" s="18" t="n">
        <v>8420.66</v>
      </c>
      <c r="Y8" s="18" t="n">
        <v>6899.87</v>
      </c>
      <c r="Z8" s="37" t="n">
        <v>6899.87</v>
      </c>
      <c r="AA8" s="18" t="n">
        <v>8379.58</v>
      </c>
      <c r="AB8" s="19" t="n">
        <v>9055.719999999999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12689.02</v>
      </c>
      <c r="F9" s="37" t="n">
        <v>12689.02</v>
      </c>
      <c r="G9" s="18" t="n">
        <v>12919.41</v>
      </c>
      <c r="H9" s="18" t="n">
        <v>12892.89</v>
      </c>
      <c r="I9" s="18" t="n">
        <v>13657.59</v>
      </c>
      <c r="J9" s="18" t="n">
        <v>14070.46</v>
      </c>
      <c r="K9" s="37" t="n">
        <v>14070.46</v>
      </c>
      <c r="L9" s="18" t="n">
        <v>15199.69</v>
      </c>
      <c r="M9" s="18" t="n">
        <v>16371.53</v>
      </c>
      <c r="N9" s="18" t="n">
        <v>16948.07</v>
      </c>
      <c r="O9" s="18" t="n">
        <v>17018.62</v>
      </c>
      <c r="P9" s="37" t="n">
        <v>17018.62</v>
      </c>
      <c r="Q9" s="18" t="n">
        <v>16730.64</v>
      </c>
      <c r="R9" s="18" t="n">
        <v>16311.3</v>
      </c>
      <c r="S9" s="18" t="n">
        <v>15581.75</v>
      </c>
      <c r="T9" s="18" t="n">
        <v>15959.91</v>
      </c>
      <c r="U9" s="37" t="n">
        <v>15959.91</v>
      </c>
      <c r="V9" s="18" t="n">
        <v>16146.28</v>
      </c>
      <c r="W9" s="18" t="n">
        <v>15157.7</v>
      </c>
      <c r="X9" s="18" t="n">
        <v>14612.36</v>
      </c>
      <c r="Y9" s="18" t="n">
        <v>14882.95</v>
      </c>
      <c r="Z9" s="37" t="n">
        <v>14882.95</v>
      </c>
      <c r="AA9" s="18" t="n">
        <v>15531.3</v>
      </c>
      <c r="AB9" s="19" t="n">
        <v>15424.46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0</v>
      </c>
      <c r="F10" s="37" t="n">
        <v>0</v>
      </c>
      <c r="J10" s="18" t="n">
        <v>0</v>
      </c>
      <c r="K10" s="37" t="n">
        <v>0</v>
      </c>
      <c r="O10" s="18" t="n">
        <v>20.78</v>
      </c>
      <c r="P10" s="37" t="n">
        <v>20.78</v>
      </c>
      <c r="Q10" s="18" t="n">
        <v>21.67</v>
      </c>
      <c r="R10" s="18" t="n">
        <v>0</v>
      </c>
      <c r="S10" s="18" t="n">
        <v>37.95</v>
      </c>
      <c r="T10" s="18" t="n">
        <v>71.67</v>
      </c>
      <c r="U10" s="37" t="n">
        <v>71.67</v>
      </c>
      <c r="V10" s="18" t="n">
        <v>72.95</v>
      </c>
      <c r="W10" s="18" t="n">
        <v>4.11</v>
      </c>
      <c r="X10" s="18" t="n">
        <v>0</v>
      </c>
      <c r="Y10" s="18" t="n">
        <v>126.42</v>
      </c>
      <c r="Z10" s="37" t="n">
        <v>126.42</v>
      </c>
      <c r="AA10" s="18" t="n">
        <v>127.6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494.87</v>
      </c>
      <c r="F11" s="37" t="n">
        <v>494.87</v>
      </c>
      <c r="G11" s="18" t="n">
        <v>1521.41</v>
      </c>
      <c r="H11" s="18" t="n">
        <v>1499.41</v>
      </c>
      <c r="I11" s="18" t="n">
        <v>364.93</v>
      </c>
      <c r="J11" s="18" t="n">
        <v>694.1799999999999</v>
      </c>
      <c r="K11" s="37" t="n">
        <v>694.1799999999999</v>
      </c>
      <c r="L11" s="18" t="n">
        <v>308</v>
      </c>
      <c r="M11" s="18" t="n">
        <v>334.07</v>
      </c>
      <c r="N11" s="18" t="n">
        <v>103.99</v>
      </c>
      <c r="O11" s="18" t="n">
        <v>95.41</v>
      </c>
      <c r="P11" s="37" t="n">
        <v>95.41</v>
      </c>
      <c r="Q11" s="18" t="n">
        <v>264.84</v>
      </c>
      <c r="R11" s="18" t="n">
        <v>98.43000000000001</v>
      </c>
      <c r="S11" s="18" t="n">
        <v>109.45</v>
      </c>
      <c r="T11" s="18" t="n">
        <v>250.22</v>
      </c>
      <c r="U11" s="37" t="n">
        <v>250.22</v>
      </c>
      <c r="V11" s="18" t="n">
        <v>646.22</v>
      </c>
      <c r="W11" s="18" t="n">
        <v>790.79</v>
      </c>
      <c r="X11" s="18" t="n">
        <v>746.36</v>
      </c>
      <c r="Y11" s="18" t="n">
        <v>123.87</v>
      </c>
      <c r="Z11" s="37" t="n">
        <v>123.87</v>
      </c>
      <c r="AA11" s="18" t="n">
        <v>175.51</v>
      </c>
      <c r="AB11" s="19" t="n">
        <v>274.36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21265.5</v>
      </c>
      <c r="F12" s="37" t="n">
        <v>21265.5</v>
      </c>
      <c r="G12" s="18" t="n">
        <v>22564.07</v>
      </c>
      <c r="H12" s="18" t="n">
        <v>22304.12</v>
      </c>
      <c r="I12" s="18" t="n">
        <v>22016.33</v>
      </c>
      <c r="J12" s="18" t="n">
        <v>21522.19</v>
      </c>
      <c r="K12" s="37" t="n">
        <v>21522.19</v>
      </c>
      <c r="L12" s="18" t="n">
        <v>23670.01</v>
      </c>
      <c r="M12" s="18" t="n">
        <v>23682.98</v>
      </c>
      <c r="N12" s="18" t="n">
        <v>23249.81</v>
      </c>
      <c r="O12" s="18" t="n">
        <v>23088.12</v>
      </c>
      <c r="P12" s="37" t="n">
        <v>23088.12</v>
      </c>
      <c r="Q12" s="18" t="n">
        <v>22949.61</v>
      </c>
      <c r="R12" s="18" t="n">
        <v>22044.76</v>
      </c>
      <c r="S12" s="18" t="n">
        <v>21472.27</v>
      </c>
      <c r="T12" s="18" t="n">
        <v>20893.2</v>
      </c>
      <c r="U12" s="37" t="n">
        <v>20893.2</v>
      </c>
      <c r="V12" s="18" t="n">
        <v>20361.22</v>
      </c>
      <c r="W12" s="18" t="n">
        <v>20070.78</v>
      </c>
      <c r="X12" s="18" t="n">
        <v>28349.13</v>
      </c>
      <c r="Y12" s="18" t="n">
        <v>28631.62</v>
      </c>
      <c r="Z12" s="37" t="n">
        <v>28631.62</v>
      </c>
      <c r="AA12" s="18" t="n">
        <v>28285.38</v>
      </c>
      <c r="AB12" s="19" t="n">
        <v>27563.2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1306.32</v>
      </c>
      <c r="F13" s="37" t="n">
        <v>1306.32</v>
      </c>
      <c r="G13" s="18" t="n">
        <v>1289.13</v>
      </c>
      <c r="H13" s="18" t="n">
        <v>1271.95</v>
      </c>
      <c r="I13" s="18" t="n">
        <v>1254.77</v>
      </c>
      <c r="J13" s="18" t="n">
        <v>1237.59</v>
      </c>
      <c r="K13" s="37" t="n">
        <v>1237.59</v>
      </c>
      <c r="L13" s="18" t="n">
        <v>1220.41</v>
      </c>
      <c r="M13" s="18" t="n">
        <v>1203.22</v>
      </c>
      <c r="N13" s="18" t="n">
        <v>1186.04</v>
      </c>
      <c r="O13" s="18" t="n">
        <v>1168.86</v>
      </c>
      <c r="P13" s="37" t="n">
        <v>1168.86</v>
      </c>
      <c r="Q13" s="18" t="n">
        <v>1151.68</v>
      </c>
      <c r="R13" s="18" t="n">
        <v>1134.5</v>
      </c>
      <c r="S13" s="18" t="n">
        <v>1117.32</v>
      </c>
      <c r="T13" s="18" t="n">
        <v>1100.13</v>
      </c>
      <c r="U13" s="37" t="n">
        <v>1100.13</v>
      </c>
      <c r="V13" s="18" t="n">
        <v>1082.95</v>
      </c>
      <c r="W13" s="18" t="n">
        <v>1065.77</v>
      </c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367.82</v>
      </c>
      <c r="F14" s="37" t="n">
        <v>367.82</v>
      </c>
      <c r="G14" s="18" t="n">
        <v>334.82</v>
      </c>
      <c r="H14" s="18" t="n">
        <v>346.04</v>
      </c>
      <c r="I14" s="18" t="n">
        <v>668.12</v>
      </c>
      <c r="J14" s="18" t="n">
        <v>431.84</v>
      </c>
      <c r="K14" s="37" t="n">
        <v>431.84</v>
      </c>
      <c r="L14" s="18" t="n">
        <v>390.26</v>
      </c>
      <c r="M14" s="18" t="n">
        <v>552.62</v>
      </c>
      <c r="N14" s="18" t="n">
        <v>15.84</v>
      </c>
      <c r="O14" s="18" t="n">
        <v>245.84</v>
      </c>
      <c r="P14" s="37" t="n">
        <v>245.84</v>
      </c>
      <c r="Q14" s="18" t="n">
        <v>258.68</v>
      </c>
      <c r="R14" s="18" t="n">
        <v>258.68</v>
      </c>
      <c r="S14" s="18" t="n">
        <v>258.68</v>
      </c>
      <c r="T14" s="18" t="n">
        <v>268.82</v>
      </c>
      <c r="U14" s="37" t="n">
        <v>268.82</v>
      </c>
      <c r="V14" s="18" t="n">
        <v>269.82</v>
      </c>
      <c r="W14" s="18" t="n">
        <v>269.82</v>
      </c>
      <c r="X14" s="18" t="n">
        <v>269.82</v>
      </c>
      <c r="Y14" s="18" t="n">
        <v>269.82</v>
      </c>
      <c r="Z14" s="37" t="n">
        <v>269.82</v>
      </c>
      <c r="AA14" s="18" t="n">
        <v>269.82</v>
      </c>
      <c r="AB14" s="19" t="n">
        <v>269.82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367.82</v>
      </c>
      <c r="F15" s="37" t="n">
        <v>367.82</v>
      </c>
      <c r="G15" s="18" t="n">
        <v>334.82</v>
      </c>
      <c r="H15" s="18" t="n">
        <v>346.04</v>
      </c>
      <c r="I15" s="18" t="n">
        <v>668.12</v>
      </c>
      <c r="J15" s="18" t="n">
        <v>431.84</v>
      </c>
      <c r="K15" s="37" t="n">
        <v>431.84</v>
      </c>
      <c r="L15" s="18" t="n">
        <v>390.26</v>
      </c>
      <c r="M15" s="18" t="n">
        <v>552.62</v>
      </c>
      <c r="N15" s="18" t="n">
        <v>15.84</v>
      </c>
      <c r="O15" s="18" t="n">
        <v>245.84</v>
      </c>
      <c r="P15" s="37" t="n">
        <v>245.84</v>
      </c>
      <c r="Q15" s="18" t="n">
        <v>258.68</v>
      </c>
      <c r="R15" s="18" t="n">
        <v>258.68</v>
      </c>
      <c r="S15" s="18" t="n">
        <v>258.68</v>
      </c>
      <c r="T15" s="18" t="n">
        <v>268.82</v>
      </c>
      <c r="U15" s="37" t="n">
        <v>268.82</v>
      </c>
      <c r="V15" s="18" t="n">
        <v>269.82</v>
      </c>
      <c r="W15" s="18" t="n">
        <v>269.82</v>
      </c>
      <c r="X15" s="18" t="n">
        <v>8973.889999999999</v>
      </c>
      <c r="Y15" s="18" t="n">
        <v>8973.889999999999</v>
      </c>
      <c r="Z15" s="37" t="n">
        <v>8973.889999999999</v>
      </c>
      <c r="AA15" s="18" t="n">
        <v>9023.889999999999</v>
      </c>
      <c r="AB15" s="19" t="n">
        <v>269.82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17190.44</v>
      </c>
      <c r="F16" s="37" t="n">
        <v>17190.44</v>
      </c>
      <c r="G16" s="18" t="n">
        <v>18459.78</v>
      </c>
      <c r="H16" s="18" t="n">
        <v>18282.54</v>
      </c>
      <c r="I16" s="18" t="n">
        <v>17753.54</v>
      </c>
      <c r="J16" s="18" t="n">
        <v>17549.82</v>
      </c>
      <c r="K16" s="37" t="n">
        <v>17549.82</v>
      </c>
      <c r="L16" s="18" t="n">
        <v>19703.09</v>
      </c>
      <c r="M16" s="18" t="n">
        <v>19619.17</v>
      </c>
      <c r="N16" s="18" t="n">
        <v>19052.68</v>
      </c>
      <c r="O16" s="18" t="n">
        <v>18567.59</v>
      </c>
      <c r="P16" s="37" t="n">
        <v>18567.59</v>
      </c>
      <c r="Q16" s="18" t="n">
        <v>18223.12</v>
      </c>
      <c r="R16" s="18" t="n">
        <v>17601.81</v>
      </c>
      <c r="S16" s="18" t="n">
        <v>16996.85</v>
      </c>
      <c r="T16" s="18" t="n">
        <v>16458.45</v>
      </c>
      <c r="U16" s="37" t="n">
        <v>16458.45</v>
      </c>
      <c r="V16" s="18" t="n">
        <v>15903.34</v>
      </c>
      <c r="W16" s="18" t="n">
        <v>15353.04</v>
      </c>
      <c r="X16" s="18" t="n">
        <v>14966.26</v>
      </c>
      <c r="Y16" s="18" t="n">
        <v>15104.39</v>
      </c>
      <c r="Z16" s="37" t="n">
        <v>15104.39</v>
      </c>
      <c r="AA16" s="18" t="n">
        <v>14623.06</v>
      </c>
      <c r="AB16" s="19" t="n">
        <v>14316.68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291.82</v>
      </c>
      <c r="F17" s="37" t="n">
        <v>291.82</v>
      </c>
      <c r="G17" s="18" t="n">
        <v>330</v>
      </c>
      <c r="H17" s="18" t="n">
        <v>337.26</v>
      </c>
      <c r="I17" s="18" t="n">
        <v>337.26</v>
      </c>
      <c r="J17" s="18" t="n">
        <v>337.26</v>
      </c>
      <c r="K17" s="37" t="n">
        <v>337.26</v>
      </c>
      <c r="L17" s="18" t="n">
        <v>477.26</v>
      </c>
      <c r="M17" s="18" t="n">
        <v>480.2</v>
      </c>
      <c r="N17" s="18" t="n">
        <v>480.2</v>
      </c>
      <c r="O17" s="18" t="n">
        <v>480.2</v>
      </c>
      <c r="P17" s="37" t="n">
        <v>480.2</v>
      </c>
      <c r="Q17" s="18" t="n">
        <v>480.2</v>
      </c>
      <c r="R17" s="18" t="n">
        <v>480.2</v>
      </c>
      <c r="S17" s="18" t="n">
        <v>480.2</v>
      </c>
      <c r="T17" s="18" t="n">
        <v>480.2</v>
      </c>
      <c r="U17" s="37" t="n">
        <v>480.2</v>
      </c>
      <c r="V17" s="18" t="n">
        <v>480.2</v>
      </c>
      <c r="W17" s="18" t="n">
        <v>480.2</v>
      </c>
      <c r="X17" s="18" t="n">
        <v>480.2</v>
      </c>
      <c r="Y17" s="18" t="n">
        <v>480.2</v>
      </c>
      <c r="Z17" s="37" t="n">
        <v>480.2</v>
      </c>
      <c r="AA17" s="18" t="n">
        <v>480.2</v>
      </c>
      <c r="AB17" s="19" t="n">
        <v>480.2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638.15</v>
      </c>
      <c r="F18" s="37" t="n">
        <v>638.15</v>
      </c>
      <c r="G18" s="18" t="n">
        <v>642.13</v>
      </c>
      <c r="H18" s="18" t="n">
        <v>601.67</v>
      </c>
      <c r="I18" s="18" t="n">
        <v>543.98</v>
      </c>
      <c r="J18" s="18" t="n">
        <v>522.92</v>
      </c>
      <c r="K18" s="37" t="n">
        <v>522.92</v>
      </c>
      <c r="L18" s="18" t="n">
        <v>429.5</v>
      </c>
      <c r="M18" s="18" t="n">
        <v>389.83</v>
      </c>
      <c r="N18" s="18" t="n">
        <v>497.97</v>
      </c>
      <c r="O18" s="18" t="n">
        <v>601.08</v>
      </c>
      <c r="P18" s="37" t="n">
        <v>601.08</v>
      </c>
      <c r="Q18" s="18" t="n">
        <v>496</v>
      </c>
      <c r="R18" s="18" t="n">
        <v>599.54</v>
      </c>
      <c r="S18" s="18" t="n">
        <v>692.74</v>
      </c>
      <c r="T18" s="18" t="n">
        <v>732.05</v>
      </c>
      <c r="U18" s="37" t="n">
        <v>732.05</v>
      </c>
      <c r="V18" s="18" t="n">
        <v>712.89</v>
      </c>
      <c r="W18" s="18" t="n">
        <v>644.76</v>
      </c>
      <c r="X18" s="18" t="n">
        <v>741.84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72991.17</v>
      </c>
      <c r="F19" s="37" t="n">
        <v>72991.17</v>
      </c>
      <c r="G19" s="18" t="n">
        <v>75164.89</v>
      </c>
      <c r="H19" s="18" t="n">
        <v>74806.64999999999</v>
      </c>
      <c r="I19" s="18" t="n">
        <v>76415.74000000001</v>
      </c>
      <c r="J19" s="18" t="n">
        <v>75646.63</v>
      </c>
      <c r="K19" s="37" t="n">
        <v>75646.63</v>
      </c>
      <c r="L19" s="18" t="n">
        <v>75507.7</v>
      </c>
      <c r="M19" s="18" t="n">
        <v>75667.91</v>
      </c>
      <c r="N19" s="18" t="n">
        <v>74706.32000000001</v>
      </c>
      <c r="O19" s="18" t="n">
        <v>75802.84</v>
      </c>
      <c r="P19" s="37" t="n">
        <v>75802.84</v>
      </c>
      <c r="Q19" s="18" t="n">
        <v>75442.14999999999</v>
      </c>
      <c r="R19" s="18" t="n">
        <v>75484.39999999999</v>
      </c>
      <c r="S19" s="18" t="n">
        <v>73550.02</v>
      </c>
      <c r="T19" s="18" t="n">
        <v>73861.72</v>
      </c>
      <c r="U19" s="37" t="n">
        <v>73861.72</v>
      </c>
      <c r="V19" s="18" t="n">
        <v>73974.92</v>
      </c>
      <c r="W19" s="18" t="n">
        <v>74822.94</v>
      </c>
      <c r="X19" s="18" t="n">
        <v>79447.66</v>
      </c>
      <c r="Y19" s="18" t="n">
        <v>78036.42999999999</v>
      </c>
      <c r="Z19" s="37" t="n">
        <v>78036.42999999999</v>
      </c>
      <c r="AA19" s="18" t="n">
        <v>78154.41</v>
      </c>
      <c r="AB19" s="19" t="n">
        <v>79654.19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10616.16</v>
      </c>
      <c r="F20" s="37" t="n">
        <v>10616.16</v>
      </c>
      <c r="G20" s="18" t="n">
        <v>12529.69</v>
      </c>
      <c r="H20" s="18" t="n">
        <v>11730.99</v>
      </c>
      <c r="I20" s="18" t="n">
        <v>12163.91</v>
      </c>
      <c r="J20" s="18" t="n">
        <v>11508.92</v>
      </c>
      <c r="K20" s="37" t="n">
        <v>11508.92</v>
      </c>
      <c r="L20" s="18" t="n">
        <v>11327.7</v>
      </c>
      <c r="M20" s="18" t="n">
        <v>10473.56</v>
      </c>
      <c r="N20" s="18" t="n">
        <v>9506.52</v>
      </c>
      <c r="O20" s="18" t="n">
        <v>10108.97</v>
      </c>
      <c r="P20" s="37" t="n">
        <v>10108.97</v>
      </c>
      <c r="Q20" s="18" t="n">
        <v>10236.06</v>
      </c>
      <c r="R20" s="18" t="n">
        <v>9928.58</v>
      </c>
      <c r="S20" s="18" t="n">
        <v>8084.92</v>
      </c>
      <c r="T20" s="18" t="n">
        <v>8287.75</v>
      </c>
      <c r="U20" s="37" t="n">
        <v>8287.75</v>
      </c>
      <c r="V20" s="18" t="n">
        <v>8901.67</v>
      </c>
      <c r="W20" s="18" t="n">
        <v>9171.73</v>
      </c>
      <c r="X20" s="18" t="n">
        <v>13363.21</v>
      </c>
      <c r="Y20" s="18" t="n">
        <v>11706.42</v>
      </c>
      <c r="Z20" s="37" t="n">
        <v>11706.42</v>
      </c>
      <c r="AA20" s="18" t="n">
        <v>11704.04</v>
      </c>
      <c r="AB20" s="19" t="n">
        <v>12972.13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기타유동금융부채</t>
        </is>
      </c>
      <c r="E21" s="18" t="n">
        <v>3414.49</v>
      </c>
      <c r="F21" s="37" t="n">
        <v>3414.49</v>
      </c>
      <c r="G21" s="18" t="n">
        <v>3768.95</v>
      </c>
      <c r="H21" s="18" t="n">
        <v>3744.93</v>
      </c>
      <c r="I21" s="18" t="n">
        <v>3910.48</v>
      </c>
      <c r="J21" s="18" t="n">
        <v>3526.79</v>
      </c>
      <c r="K21" s="37" t="n">
        <v>3526.79</v>
      </c>
      <c r="L21" s="18" t="n">
        <v>3442.52</v>
      </c>
      <c r="M21" s="18" t="n">
        <v>3798.33</v>
      </c>
      <c r="N21" s="18" t="n">
        <v>3611.54</v>
      </c>
      <c r="O21" s="18" t="n">
        <v>3101.76</v>
      </c>
      <c r="P21" s="37" t="n">
        <v>3101.76</v>
      </c>
      <c r="Q21" s="18" t="n">
        <v>2975.32</v>
      </c>
      <c r="R21" s="18" t="n">
        <v>3193.24</v>
      </c>
      <c r="S21" s="18" t="n">
        <v>3255.26</v>
      </c>
      <c r="T21" s="18" t="n">
        <v>3127.89</v>
      </c>
      <c r="U21" s="37" t="n">
        <v>3127.89</v>
      </c>
      <c r="V21" s="18" t="n">
        <v>3124</v>
      </c>
      <c r="W21" s="18" t="n">
        <v>3342.34</v>
      </c>
      <c r="X21" s="18" t="n">
        <v>3436.51</v>
      </c>
      <c r="Y21" s="18" t="n">
        <v>2883.44</v>
      </c>
      <c r="Z21" s="37" t="n">
        <v>2883.44</v>
      </c>
      <c r="AA21" s="18" t="n">
        <v>3015.42</v>
      </c>
      <c r="AB21" s="19" t="n">
        <v>3380.97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3448.05</v>
      </c>
      <c r="F22" s="37" t="n">
        <v>3448.05</v>
      </c>
      <c r="G22" s="18" t="n">
        <v>3799.86</v>
      </c>
      <c r="H22" s="18" t="n">
        <v>3773.18</v>
      </c>
      <c r="I22" s="18" t="n">
        <v>3936.07</v>
      </c>
      <c r="J22" s="18" t="n">
        <v>3547.32</v>
      </c>
      <c r="K22" s="37" t="n">
        <v>3547.32</v>
      </c>
      <c r="L22" s="18" t="n">
        <v>3458.5</v>
      </c>
      <c r="M22" s="18" t="n">
        <v>3809.75</v>
      </c>
      <c r="N22" s="18" t="n">
        <v>3618.41</v>
      </c>
      <c r="O22" s="18" t="n">
        <v>3117.19</v>
      </c>
      <c r="P22" s="37" t="n">
        <v>3117.19</v>
      </c>
      <c r="Q22" s="18" t="n">
        <v>3005.75</v>
      </c>
      <c r="R22" s="18" t="n">
        <v>3218.77</v>
      </c>
      <c r="S22" s="18" t="n">
        <v>3275.9</v>
      </c>
      <c r="T22" s="18" t="n">
        <v>3151.17</v>
      </c>
      <c r="U22" s="37" t="n">
        <v>3151.17</v>
      </c>
      <c r="V22" s="18" t="n">
        <v>3168.47</v>
      </c>
      <c r="W22" s="18" t="n">
        <v>3382.24</v>
      </c>
      <c r="X22" s="18" t="n">
        <v>3471.83</v>
      </c>
      <c r="Y22" s="18" t="n">
        <v>2914.19</v>
      </c>
      <c r="Z22" s="37" t="n">
        <v>2914.19</v>
      </c>
      <c r="AA22" s="18" t="n">
        <v>3047.6</v>
      </c>
      <c r="AB22" s="19" t="n">
        <v>3415.69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108.51</v>
      </c>
      <c r="F23" s="37" t="n">
        <v>108.51</v>
      </c>
      <c r="G23" s="18" t="n">
        <v>150.38</v>
      </c>
      <c r="H23" s="18" t="n">
        <v>227.45</v>
      </c>
      <c r="I23" s="18" t="n">
        <v>332.04</v>
      </c>
      <c r="J23" s="18" t="n">
        <v>259.09</v>
      </c>
      <c r="K23" s="37" t="n">
        <v>259.09</v>
      </c>
      <c r="L23" s="18" t="n">
        <v>241.46</v>
      </c>
      <c r="M23" s="18" t="n">
        <v>232.02</v>
      </c>
      <c r="N23" s="18" t="n">
        <v>133.54</v>
      </c>
      <c r="O23" s="18" t="n">
        <v>23.95</v>
      </c>
      <c r="P23" s="37" t="n">
        <v>23.95</v>
      </c>
      <c r="Q23" s="18" t="n">
        <v>23.95</v>
      </c>
      <c r="R23" s="18" t="n">
        <v>38.37</v>
      </c>
      <c r="S23" s="18" t="n">
        <v>8.16</v>
      </c>
      <c r="T23" s="18" t="n">
        <v>9.529999999999999</v>
      </c>
      <c r="U23" s="37" t="n">
        <v>9.529999999999999</v>
      </c>
      <c r="V23" s="18" t="n">
        <v>3.24</v>
      </c>
      <c r="W23" s="18" t="n">
        <v>0</v>
      </c>
      <c r="X23" s="18" t="n">
        <v>33.3</v>
      </c>
      <c r="Y23" s="18" t="n">
        <v>0</v>
      </c>
      <c r="Z23" s="37" t="n">
        <v>0</v>
      </c>
      <c r="AA23" s="18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33.56</v>
      </c>
      <c r="F24" s="37" t="n">
        <v>33.56</v>
      </c>
      <c r="G24" s="18" t="n">
        <v>30.91</v>
      </c>
      <c r="H24" s="18" t="n">
        <v>28.25</v>
      </c>
      <c r="I24" s="18" t="n">
        <v>25.59</v>
      </c>
      <c r="J24" s="18" t="n">
        <v>20.53</v>
      </c>
      <c r="K24" s="37" t="n">
        <v>20.53</v>
      </c>
      <c r="L24" s="18" t="n">
        <v>15.98</v>
      </c>
      <c r="M24" s="18" t="n">
        <v>11.42</v>
      </c>
      <c r="N24" s="18" t="n">
        <v>6.87</v>
      </c>
      <c r="O24" s="18" t="n">
        <v>15.43</v>
      </c>
      <c r="P24" s="37" t="n">
        <v>15.43</v>
      </c>
      <c r="Q24" s="18" t="n">
        <v>30.43</v>
      </c>
      <c r="R24" s="18" t="n">
        <v>25.53</v>
      </c>
      <c r="S24" s="18" t="n">
        <v>20.64</v>
      </c>
      <c r="T24" s="18" t="n">
        <v>23.28</v>
      </c>
      <c r="U24" s="37" t="n">
        <v>23.28</v>
      </c>
      <c r="V24" s="18" t="n">
        <v>44.47</v>
      </c>
      <c r="W24" s="18" t="n">
        <v>39.9</v>
      </c>
      <c r="X24" s="18" t="n">
        <v>35.32</v>
      </c>
      <c r="Y24" s="18" t="n">
        <v>30.75</v>
      </c>
      <c r="Z24" s="37" t="n">
        <v>30.75</v>
      </c>
      <c r="AA24" s="18" t="n">
        <v>32.18</v>
      </c>
      <c r="AB24" s="19" t="n">
        <v>34.72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65.56</v>
      </c>
      <c r="F25" s="37" t="n">
        <v>65.56</v>
      </c>
      <c r="G25" s="18" t="n">
        <v>57.01</v>
      </c>
      <c r="H25" s="18" t="n">
        <v>48.46</v>
      </c>
      <c r="I25" s="18" t="n">
        <v>39.91</v>
      </c>
      <c r="J25" s="18" t="n">
        <v>25.33</v>
      </c>
      <c r="K25" s="37" t="n">
        <v>25.33</v>
      </c>
      <c r="L25" s="18" t="n">
        <v>19.58</v>
      </c>
      <c r="M25" s="18" t="n">
        <v>13.82</v>
      </c>
      <c r="N25" s="18" t="n">
        <v>8.07</v>
      </c>
      <c r="O25" s="18" t="n">
        <v>15.43</v>
      </c>
      <c r="P25" s="37" t="n">
        <v>15.43</v>
      </c>
      <c r="Q25" s="18" t="n">
        <v>82.12</v>
      </c>
      <c r="R25" s="18" t="n">
        <v>73.31</v>
      </c>
      <c r="S25" s="18" t="n">
        <v>64.52</v>
      </c>
      <c r="T25" s="18" t="n">
        <v>81.28</v>
      </c>
      <c r="U25" s="37" t="n">
        <v>81.28</v>
      </c>
      <c r="V25" s="18" t="n">
        <v>100.57</v>
      </c>
      <c r="W25" s="18" t="n">
        <v>89.31</v>
      </c>
      <c r="X25" s="18" t="n">
        <v>78.03</v>
      </c>
      <c r="Y25" s="18" t="n">
        <v>66.77</v>
      </c>
      <c r="Z25" s="37" t="n">
        <v>66.77</v>
      </c>
      <c r="AA25" s="18" t="n">
        <v>62.71</v>
      </c>
      <c r="AB25" s="19" t="n">
        <v>59.75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579.46</v>
      </c>
      <c r="F26" s="37" t="n">
        <v>579.46</v>
      </c>
      <c r="G26" s="18" t="n">
        <v>1493.51</v>
      </c>
      <c r="H26" s="18" t="n">
        <v>1803.74</v>
      </c>
      <c r="I26" s="18" t="n">
        <v>592.02</v>
      </c>
      <c r="J26" s="18" t="n">
        <v>873.66</v>
      </c>
      <c r="K26" s="37" t="n">
        <v>873.66</v>
      </c>
      <c r="L26" s="18" t="n">
        <v>171.82</v>
      </c>
      <c r="M26" s="18" t="n">
        <v>196.92</v>
      </c>
      <c r="N26" s="18" t="n">
        <v>168.48</v>
      </c>
      <c r="O26" s="18" t="n">
        <v>205.51</v>
      </c>
      <c r="P26" s="37" t="n">
        <v>205.51</v>
      </c>
      <c r="Q26" s="18" t="n">
        <v>130.28</v>
      </c>
      <c r="R26" s="18" t="n">
        <v>164.48</v>
      </c>
      <c r="S26" s="18" t="n">
        <v>183.01</v>
      </c>
      <c r="T26" s="18" t="n">
        <v>146.48</v>
      </c>
      <c r="U26" s="37" t="n">
        <v>146.48</v>
      </c>
      <c r="V26" s="18" t="n">
        <v>361.14</v>
      </c>
      <c r="W26" s="18" t="n">
        <v>473.51</v>
      </c>
      <c r="X26" s="18" t="n">
        <v>624.02</v>
      </c>
      <c r="Y26" s="18" t="n">
        <v>108.17</v>
      </c>
      <c r="Z26" s="37" t="n">
        <v>108.17</v>
      </c>
      <c r="AA26" s="18" t="n">
        <v>192.36</v>
      </c>
      <c r="AB26" s="19" t="n">
        <v>360.37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32</v>
      </c>
      <c r="F27" s="37" t="n">
        <v>32</v>
      </c>
      <c r="G27" s="18" t="n">
        <v>26.1</v>
      </c>
      <c r="H27" s="18" t="n">
        <v>20.21</v>
      </c>
      <c r="I27" s="18" t="n">
        <v>14.32</v>
      </c>
      <c r="J27" s="18" t="n">
        <v>4.8</v>
      </c>
      <c r="K27" s="37" t="n">
        <v>4.8</v>
      </c>
      <c r="L27" s="18" t="n">
        <v>3.6</v>
      </c>
      <c r="M27" s="18" t="n">
        <v>2.4</v>
      </c>
      <c r="N27" s="18" t="n">
        <v>1.2</v>
      </c>
      <c r="O27" s="18" t="n">
        <v>0</v>
      </c>
      <c r="P27" s="37" t="n">
        <v>0</v>
      </c>
      <c r="Q27" s="18" t="n">
        <v>51.69</v>
      </c>
      <c r="R27" s="18" t="n">
        <v>47.78</v>
      </c>
      <c r="S27" s="18" t="n">
        <v>43.88</v>
      </c>
      <c r="T27" s="18" t="n">
        <v>58</v>
      </c>
      <c r="U27" s="37" t="n">
        <v>58</v>
      </c>
      <c r="V27" s="18" t="n">
        <v>56.1</v>
      </c>
      <c r="W27" s="18" t="n">
        <v>49.41</v>
      </c>
      <c r="X27" s="18" t="n">
        <v>42.71</v>
      </c>
      <c r="Y27" s="18" t="n">
        <v>36.02</v>
      </c>
      <c r="Z27" s="37" t="n">
        <v>36.02</v>
      </c>
      <c r="AA27" s="18" t="n">
        <v>30.53</v>
      </c>
      <c r="AB27" s="19" t="n">
        <v>25.03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비유동리스부채</t>
        </is>
      </c>
      <c r="E28" s="18" t="n">
        <v>32</v>
      </c>
      <c r="F28" s="37" t="n">
        <v>32</v>
      </c>
      <c r="G28" s="18" t="n">
        <v>26.1</v>
      </c>
      <c r="H28" s="18" t="n">
        <v>20.21</v>
      </c>
      <c r="I28" s="18" t="n">
        <v>14.32</v>
      </c>
      <c r="J28" s="18" t="n">
        <v>4.8</v>
      </c>
      <c r="K28" s="37" t="n">
        <v>4.8</v>
      </c>
      <c r="L28" s="18" t="n">
        <v>3.6</v>
      </c>
      <c r="M28" s="18" t="n">
        <v>2.4</v>
      </c>
      <c r="N28" s="18" t="n">
        <v>1.2</v>
      </c>
      <c r="O28" s="18" t="n">
        <v>0</v>
      </c>
      <c r="P28" s="37" t="n">
        <v>0</v>
      </c>
      <c r="Q28" s="18" t="n">
        <v>51.69</v>
      </c>
      <c r="R28" s="18" t="n">
        <v>47.78</v>
      </c>
      <c r="S28" s="18" t="n">
        <v>43.88</v>
      </c>
      <c r="T28" s="18" t="n">
        <v>58</v>
      </c>
      <c r="U28" s="37" t="n">
        <v>58</v>
      </c>
      <c r="V28" s="18" t="n">
        <v>56.1</v>
      </c>
      <c r="W28" s="18" t="n">
        <v>49.41</v>
      </c>
      <c r="X28" s="18" t="n">
        <v>42.71</v>
      </c>
      <c r="Y28" s="18" t="n">
        <v>36.02</v>
      </c>
      <c r="Z28" s="37" t="n">
        <v>36.02</v>
      </c>
      <c r="AA28" s="18" t="n">
        <v>30.53</v>
      </c>
      <c r="AB28" s="19" t="n">
        <v>25.03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32</v>
      </c>
      <c r="F29" s="37" t="n">
        <v>32</v>
      </c>
      <c r="G29" s="18" t="n">
        <v>26.1</v>
      </c>
      <c r="H29" s="18" t="n">
        <v>20.21</v>
      </c>
      <c r="I29" s="18" t="n">
        <v>14.32</v>
      </c>
      <c r="J29" s="18" t="n">
        <v>4.8</v>
      </c>
      <c r="K29" s="37" t="n">
        <v>4.8</v>
      </c>
      <c r="L29" s="18" t="n">
        <v>3.6</v>
      </c>
      <c r="M29" s="18" t="n">
        <v>2.4</v>
      </c>
      <c r="N29" s="18" t="n">
        <v>1.2</v>
      </c>
      <c r="O29" s="18" t="n">
        <v>0</v>
      </c>
      <c r="P29" s="37" t="n">
        <v>0</v>
      </c>
      <c r="Q29" s="18" t="n">
        <v>51.69</v>
      </c>
      <c r="R29" s="18" t="n">
        <v>47.78</v>
      </c>
      <c r="S29" s="18" t="n">
        <v>43.88</v>
      </c>
      <c r="T29" s="18" t="n">
        <v>58</v>
      </c>
      <c r="U29" s="37" t="n">
        <v>58</v>
      </c>
      <c r="V29" s="18" t="n">
        <v>56.1</v>
      </c>
      <c r="W29" s="18" t="n">
        <v>49.41</v>
      </c>
      <c r="X29" s="18" t="n">
        <v>42.71</v>
      </c>
      <c r="Y29" s="18" t="n">
        <v>36.02</v>
      </c>
      <c r="Z29" s="37" t="n">
        <v>36.02</v>
      </c>
      <c r="AA29" s="18" t="n">
        <v>30.53</v>
      </c>
      <c r="AB29" s="19" t="n">
        <v>25.03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10648.16</v>
      </c>
      <c r="F30" s="37" t="n">
        <v>10648.16</v>
      </c>
      <c r="G30" s="18" t="n">
        <v>12555.79</v>
      </c>
      <c r="H30" s="18" t="n">
        <v>11751.2</v>
      </c>
      <c r="I30" s="18" t="n">
        <v>12178.23</v>
      </c>
      <c r="J30" s="18" t="n">
        <v>11513.72</v>
      </c>
      <c r="K30" s="37" t="n">
        <v>11513.72</v>
      </c>
      <c r="L30" s="18" t="n">
        <v>11331.3</v>
      </c>
      <c r="M30" s="18" t="n">
        <v>10475.96</v>
      </c>
      <c r="N30" s="18" t="n">
        <v>9507.719999999999</v>
      </c>
      <c r="O30" s="18" t="n">
        <v>10108.97</v>
      </c>
      <c r="P30" s="37" t="n">
        <v>10108.97</v>
      </c>
      <c r="Q30" s="18" t="n">
        <v>10287.74</v>
      </c>
      <c r="R30" s="18" t="n">
        <v>9976.370000000001</v>
      </c>
      <c r="S30" s="18" t="n">
        <v>8128.8</v>
      </c>
      <c r="T30" s="18" t="n">
        <v>8345.75</v>
      </c>
      <c r="U30" s="37" t="n">
        <v>8345.75</v>
      </c>
      <c r="V30" s="18" t="n">
        <v>8957.780000000001</v>
      </c>
      <c r="W30" s="18" t="n">
        <v>9221.139999999999</v>
      </c>
      <c r="X30" s="18" t="n">
        <v>13405.93</v>
      </c>
      <c r="Y30" s="18" t="n">
        <v>11742.44</v>
      </c>
      <c r="Z30" s="37" t="n">
        <v>11742.44</v>
      </c>
      <c r="AA30" s="18" t="n">
        <v>11734.57</v>
      </c>
      <c r="AB30" s="19" t="n">
        <v>12997.16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6300</v>
      </c>
      <c r="F31" s="37" t="n">
        <v>6300</v>
      </c>
      <c r="G31" s="18" t="n">
        <v>6300</v>
      </c>
      <c r="H31" s="18" t="n">
        <v>6300</v>
      </c>
      <c r="I31" s="18" t="n">
        <v>6300</v>
      </c>
      <c r="J31" s="18" t="n">
        <v>6300</v>
      </c>
      <c r="K31" s="37" t="n">
        <v>6300</v>
      </c>
      <c r="L31" s="18" t="n">
        <v>6300</v>
      </c>
      <c r="M31" s="18" t="n">
        <v>6300</v>
      </c>
      <c r="N31" s="18" t="n">
        <v>6300</v>
      </c>
      <c r="O31" s="18" t="n">
        <v>6300</v>
      </c>
      <c r="P31" s="37" t="n">
        <v>6300</v>
      </c>
      <c r="Q31" s="18" t="n">
        <v>6300</v>
      </c>
      <c r="R31" s="18" t="n">
        <v>6300</v>
      </c>
      <c r="S31" s="18" t="n">
        <v>6300</v>
      </c>
      <c r="T31" s="18" t="n">
        <v>6300</v>
      </c>
      <c r="U31" s="37" t="n">
        <v>6300</v>
      </c>
      <c r="V31" s="18" t="n">
        <v>6300</v>
      </c>
      <c r="W31" s="18" t="n">
        <v>6300</v>
      </c>
      <c r="X31" s="18" t="n">
        <v>6300</v>
      </c>
      <c r="Y31" s="18" t="n">
        <v>6300</v>
      </c>
      <c r="Z31" s="37" t="n">
        <v>6300</v>
      </c>
      <c r="AA31" s="18" t="n">
        <v>6300</v>
      </c>
      <c r="AB31" s="19" t="n">
        <v>6300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10412.2</v>
      </c>
      <c r="F32" s="37" t="n">
        <v>10412.2</v>
      </c>
      <c r="G32" s="18" t="n">
        <v>10412.2</v>
      </c>
      <c r="H32" s="18" t="n">
        <v>10412.2</v>
      </c>
      <c r="I32" s="18" t="n">
        <v>10412.2</v>
      </c>
      <c r="J32" s="18" t="n">
        <v>10412.2</v>
      </c>
      <c r="K32" s="37" t="n">
        <v>10412.2</v>
      </c>
      <c r="L32" s="18" t="n">
        <v>10412.2</v>
      </c>
      <c r="M32" s="18" t="n">
        <v>10412.2</v>
      </c>
      <c r="N32" s="18" t="n">
        <v>10412.2</v>
      </c>
      <c r="O32" s="18" t="n">
        <v>10412.2</v>
      </c>
      <c r="P32" s="37" t="n">
        <v>10412.2</v>
      </c>
      <c r="Q32" s="18" t="n">
        <v>10412.2</v>
      </c>
      <c r="R32" s="18" t="n">
        <v>10412.2</v>
      </c>
      <c r="S32" s="18" t="n">
        <v>10412.2</v>
      </c>
      <c r="T32" s="18" t="n">
        <v>10412.2</v>
      </c>
      <c r="U32" s="37" t="n">
        <v>10412.2</v>
      </c>
      <c r="V32" s="18" t="n">
        <v>10412.2</v>
      </c>
      <c r="W32" s="18" t="n">
        <v>10412.2</v>
      </c>
      <c r="X32" s="18" t="n">
        <v>10412.2</v>
      </c>
      <c r="Y32" s="18" t="n">
        <v>10412.2</v>
      </c>
      <c r="Z32" s="37" t="n">
        <v>10412.2</v>
      </c>
      <c r="AA32" s="18" t="n">
        <v>10412.2</v>
      </c>
      <c r="AB32" s="19" t="n">
        <v>10412.2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1.58</v>
      </c>
      <c r="F33" s="37" t="n">
        <v>1.58</v>
      </c>
      <c r="G33" s="18" t="n">
        <v>1.58</v>
      </c>
      <c r="H33" s="18" t="n">
        <v>1.58</v>
      </c>
      <c r="I33" s="18" t="n">
        <v>1.58</v>
      </c>
      <c r="J33" s="18" t="n">
        <v>1.58</v>
      </c>
      <c r="K33" s="37" t="n">
        <v>1.58</v>
      </c>
      <c r="L33" s="18" t="n">
        <v>1.58</v>
      </c>
      <c r="M33" s="18" t="n">
        <v>1.58</v>
      </c>
      <c r="N33" s="18" t="n">
        <v>1.58</v>
      </c>
      <c r="O33" s="18" t="n">
        <v>1.58</v>
      </c>
      <c r="P33" s="37" t="n">
        <v>1.58</v>
      </c>
      <c r="Q33" s="18" t="n">
        <v>1.58</v>
      </c>
      <c r="R33" s="18" t="n">
        <v>1.58</v>
      </c>
      <c r="S33" s="18" t="n">
        <v>1.58</v>
      </c>
      <c r="T33" s="18" t="n">
        <v>1.58</v>
      </c>
      <c r="U33" s="37" t="n">
        <v>1.58</v>
      </c>
      <c r="V33" s="18" t="n">
        <v>1.58</v>
      </c>
      <c r="W33" s="18" t="n">
        <v>1.58</v>
      </c>
      <c r="X33" s="18" t="n">
        <v>1.58</v>
      </c>
      <c r="Y33" s="18" t="n">
        <v>1.58</v>
      </c>
      <c r="Z33" s="37" t="n">
        <v>1.58</v>
      </c>
      <c r="AA33" s="18" t="n">
        <v>1.58</v>
      </c>
      <c r="AB33" s="19" t="n">
        <v>1.58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205.7</v>
      </c>
      <c r="F34" s="37" t="n">
        <v>205.7</v>
      </c>
      <c r="G34" s="18" t="n">
        <v>179.96</v>
      </c>
      <c r="H34" s="18" t="n">
        <v>188.71</v>
      </c>
      <c r="I34" s="18" t="n">
        <v>439.94</v>
      </c>
      <c r="J34" s="18" t="n">
        <v>259.24</v>
      </c>
      <c r="K34" s="37" t="n">
        <v>259.24</v>
      </c>
      <c r="L34" s="18" t="n">
        <v>226.07</v>
      </c>
      <c r="M34" s="18" t="n">
        <v>354.78</v>
      </c>
      <c r="N34" s="18" t="n">
        <v>388.71</v>
      </c>
      <c r="O34" s="18" t="n">
        <v>334.42</v>
      </c>
      <c r="P34" s="37" t="n">
        <v>334.42</v>
      </c>
      <c r="Q34" s="18" t="n">
        <v>569.35</v>
      </c>
      <c r="R34" s="18" t="n">
        <v>269.16</v>
      </c>
      <c r="S34" s="18" t="n">
        <v>240.97</v>
      </c>
      <c r="T34" s="18" t="n">
        <v>201.82</v>
      </c>
      <c r="U34" s="37" t="n">
        <v>201.82</v>
      </c>
      <c r="V34" s="18" t="n">
        <v>249.32</v>
      </c>
      <c r="W34" s="18" t="n">
        <v>518.1799999999999</v>
      </c>
      <c r="X34" s="18" t="n">
        <v>415.34</v>
      </c>
      <c r="Y34" s="18" t="n">
        <v>449.2</v>
      </c>
      <c r="Z34" s="37" t="n">
        <v>449.2</v>
      </c>
      <c r="AA34" s="18" t="n">
        <v>554.22</v>
      </c>
      <c r="AB34" s="19" t="n">
        <v>216.51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45423.54</v>
      </c>
      <c r="F35" s="37" t="n">
        <v>45423.54</v>
      </c>
      <c r="G35" s="18" t="n">
        <v>45715.36</v>
      </c>
      <c r="H35" s="18" t="n">
        <v>46152.97</v>
      </c>
      <c r="I35" s="18" t="n">
        <v>47083.8</v>
      </c>
      <c r="J35" s="18" t="n">
        <v>47159.89</v>
      </c>
      <c r="K35" s="37" t="n">
        <v>47159.89</v>
      </c>
      <c r="L35" s="18" t="n">
        <v>47236.56</v>
      </c>
      <c r="M35" s="18" t="n">
        <v>48123.4</v>
      </c>
      <c r="N35" s="18" t="n">
        <v>48096.11</v>
      </c>
      <c r="O35" s="18" t="n">
        <v>48645.68</v>
      </c>
      <c r="P35" s="37" t="n">
        <v>48645.68</v>
      </c>
      <c r="Q35" s="18" t="n">
        <v>47871.28</v>
      </c>
      <c r="R35" s="18" t="n">
        <v>48525.1</v>
      </c>
      <c r="S35" s="18" t="n">
        <v>48466.47</v>
      </c>
      <c r="T35" s="18" t="n">
        <v>48600.39</v>
      </c>
      <c r="U35" s="37" t="n">
        <v>48600.39</v>
      </c>
      <c r="V35" s="18" t="n">
        <v>48054.05</v>
      </c>
      <c r="W35" s="18" t="n">
        <v>48369.84</v>
      </c>
      <c r="X35" s="18" t="n">
        <v>48912.63</v>
      </c>
      <c r="Y35" s="18" t="n">
        <v>49131.02</v>
      </c>
      <c r="Z35" s="37" t="n">
        <v>49131.02</v>
      </c>
      <c r="AA35" s="18" t="n">
        <v>49151.85</v>
      </c>
      <c r="AB35" s="19" t="n">
        <v>49726.74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62343.01</v>
      </c>
      <c r="F36" s="37" t="n">
        <v>62343.01</v>
      </c>
      <c r="G36" s="18" t="n">
        <v>62609.1</v>
      </c>
      <c r="H36" s="18" t="n">
        <v>63055.46</v>
      </c>
      <c r="I36" s="18" t="n">
        <v>64237.51</v>
      </c>
      <c r="J36" s="18" t="n">
        <v>64132.9</v>
      </c>
      <c r="K36" s="37" t="n">
        <v>64132.9</v>
      </c>
      <c r="L36" s="18" t="n">
        <v>64176.4</v>
      </c>
      <c r="M36" s="18" t="n">
        <v>65191.95</v>
      </c>
      <c r="N36" s="18" t="n">
        <v>65198.59</v>
      </c>
      <c r="O36" s="18" t="n">
        <v>65693.87</v>
      </c>
      <c r="P36" s="37" t="n">
        <v>65693.87</v>
      </c>
      <c r="Q36" s="18" t="n">
        <v>65154.4</v>
      </c>
      <c r="R36" s="18" t="n">
        <v>65508.04</v>
      </c>
      <c r="S36" s="18" t="n">
        <v>65421.22</v>
      </c>
      <c r="T36" s="18" t="n">
        <v>65515.97</v>
      </c>
      <c r="U36" s="37" t="n">
        <v>65515.97</v>
      </c>
      <c r="V36" s="18" t="n">
        <v>65017.14</v>
      </c>
      <c r="W36" s="18" t="n">
        <v>65601.8</v>
      </c>
      <c r="X36" s="18" t="n">
        <v>66041.74000000001</v>
      </c>
      <c r="Y36" s="18" t="n">
        <v>66293.99000000001</v>
      </c>
      <c r="Z36" s="37" t="n">
        <v>66293.99000000001</v>
      </c>
      <c r="AA36" s="18" t="n">
        <v>66419.84</v>
      </c>
      <c r="AB36" s="19" t="n">
        <v>66657.03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72991.17</v>
      </c>
      <c r="F37" s="37" t="n">
        <v>72991.17</v>
      </c>
      <c r="G37" s="18" t="n">
        <v>75164.89</v>
      </c>
      <c r="H37" s="18" t="n">
        <v>74806.64999999999</v>
      </c>
      <c r="I37" s="18" t="n">
        <v>76415.74000000001</v>
      </c>
      <c r="J37" s="18" t="n">
        <v>75646.63</v>
      </c>
      <c r="K37" s="37" t="n">
        <v>75646.63</v>
      </c>
      <c r="L37" s="18" t="n">
        <v>75507.7</v>
      </c>
      <c r="M37" s="18" t="n">
        <v>75667.91</v>
      </c>
      <c r="N37" s="18" t="n">
        <v>74706.32000000001</v>
      </c>
      <c r="O37" s="18" t="n">
        <v>75802.84</v>
      </c>
      <c r="P37" s="37" t="n">
        <v>75802.84</v>
      </c>
      <c r="Q37" s="18" t="n">
        <v>75442.14999999999</v>
      </c>
      <c r="R37" s="18" t="n">
        <v>75484.39999999999</v>
      </c>
      <c r="S37" s="18" t="n">
        <v>73550.02</v>
      </c>
      <c r="T37" s="18" t="n">
        <v>73861.72</v>
      </c>
      <c r="U37" s="37" t="n">
        <v>73861.72</v>
      </c>
      <c r="V37" s="18" t="n">
        <v>73974.92</v>
      </c>
      <c r="W37" s="18" t="n">
        <v>74822.94</v>
      </c>
      <c r="X37" s="18" t="n">
        <v>79447.66</v>
      </c>
      <c r="Y37" s="18" t="n">
        <v>78036.42999999999</v>
      </c>
      <c r="Z37" s="37" t="n">
        <v>78036.42999999999</v>
      </c>
      <c r="AA37" s="18" t="n">
        <v>78154.41</v>
      </c>
      <c r="AB37" s="19" t="n">
        <v>79654.19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62343.01</v>
      </c>
      <c r="F38" s="37" t="n">
        <v>62343.01</v>
      </c>
      <c r="G38" s="18" t="n">
        <v>62609.1</v>
      </c>
      <c r="H38" s="18" t="n">
        <v>63055.46</v>
      </c>
      <c r="I38" s="18" t="n">
        <v>64237.51</v>
      </c>
      <c r="J38" s="18" t="n">
        <v>64132.9</v>
      </c>
      <c r="K38" s="37" t="n">
        <v>64132.9</v>
      </c>
      <c r="L38" s="18" t="n">
        <v>64176.4</v>
      </c>
      <c r="M38" s="18" t="n">
        <v>65191.95</v>
      </c>
      <c r="N38" s="18" t="n">
        <v>65198.59</v>
      </c>
      <c r="O38" s="18" t="n">
        <v>65693.87</v>
      </c>
      <c r="P38" s="37" t="n">
        <v>65693.87</v>
      </c>
      <c r="Q38" s="18" t="n">
        <v>65154.4</v>
      </c>
      <c r="R38" s="18" t="n">
        <v>65508.04</v>
      </c>
      <c r="S38" s="18" t="n">
        <v>65421.22</v>
      </c>
      <c r="T38" s="18" t="n">
        <v>65515.97</v>
      </c>
      <c r="U38" s="37" t="n">
        <v>65515.97</v>
      </c>
      <c r="V38" s="18" t="n">
        <v>65017.14</v>
      </c>
      <c r="W38" s="18" t="n">
        <v>65601.8</v>
      </c>
      <c r="X38" s="18" t="n">
        <v>66041.74000000001</v>
      </c>
      <c r="Y38" s="18" t="n">
        <v>66293.99000000001</v>
      </c>
      <c r="Z38" s="37" t="n">
        <v>66293.99000000001</v>
      </c>
      <c r="AA38" s="18" t="n">
        <v>66419.84</v>
      </c>
      <c r="AB38" s="19" t="n">
        <v>66657.03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2201.54</v>
      </c>
      <c r="F39" s="37" t="n">
        <v>2201.54</v>
      </c>
      <c r="G39" s="18" t="n">
        <v>1767.78</v>
      </c>
      <c r="H39" s="18" t="n">
        <v>2883.79</v>
      </c>
      <c r="I39" s="18" t="n">
        <v>3346.02</v>
      </c>
      <c r="J39" s="18" t="n">
        <v>4054.57</v>
      </c>
      <c r="K39" s="37" t="n">
        <v>4054.57</v>
      </c>
      <c r="L39" s="18" t="n">
        <v>2006.35</v>
      </c>
      <c r="M39" s="18" t="n">
        <v>2857.3</v>
      </c>
      <c r="N39" s="18" t="n">
        <v>2293.91</v>
      </c>
      <c r="O39" s="18" t="n">
        <v>3623.74</v>
      </c>
      <c r="P39" s="37" t="n">
        <v>3623.74</v>
      </c>
      <c r="Q39" s="18" t="n">
        <v>2707.85</v>
      </c>
      <c r="R39" s="18" t="n">
        <v>3730.21</v>
      </c>
      <c r="S39" s="18" t="n">
        <v>3542.94</v>
      </c>
      <c r="T39" s="18" t="n">
        <v>4576.04</v>
      </c>
      <c r="U39" s="37" t="n">
        <v>4576.04</v>
      </c>
      <c r="V39" s="18" t="n">
        <v>4022.93</v>
      </c>
      <c r="W39" s="18" t="n">
        <v>5446.49</v>
      </c>
      <c r="X39" s="18" t="n">
        <v>6274.67</v>
      </c>
      <c r="Y39" s="18" t="n">
        <v>4446.92</v>
      </c>
      <c r="Z39" s="37" t="n">
        <v>4446.92</v>
      </c>
      <c r="AA39" s="18" t="n">
        <v>2050.31</v>
      </c>
      <c r="AB39" s="19" t="n">
        <v>3525.6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매입채무및기타채무</t>
        </is>
      </c>
      <c r="F40" s="9" t="n"/>
      <c r="G40" s="18" t="n">
        <v>441</v>
      </c>
      <c r="K40" s="9" t="n"/>
      <c r="L40" s="18" t="n">
        <v>441</v>
      </c>
      <c r="N40" s="18" t="n">
        <v>5586.09</v>
      </c>
      <c r="O40" s="18" t="n">
        <v>6762.32</v>
      </c>
      <c r="P40" s="37" t="n">
        <v>6762.32</v>
      </c>
      <c r="Q40" s="18" t="n">
        <v>7076.07</v>
      </c>
      <c r="R40" s="18" t="n">
        <v>6506.97</v>
      </c>
      <c r="S40" s="18" t="n">
        <v>4617.86</v>
      </c>
      <c r="T40" s="18" t="n">
        <v>4980.57</v>
      </c>
      <c r="U40" s="37" t="n">
        <v>4980.57</v>
      </c>
      <c r="V40" s="18" t="n">
        <v>5368.81</v>
      </c>
      <c r="W40" s="18" t="n">
        <v>5315.98</v>
      </c>
      <c r="X40" s="18" t="n">
        <v>5459.13</v>
      </c>
      <c r="Y40" s="18" t="n">
        <v>5013.54</v>
      </c>
      <c r="Z40" s="37" t="n">
        <v>5013.54</v>
      </c>
      <c r="AA40" s="18" t="n">
        <v>4677.16</v>
      </c>
      <c r="AB40" s="19" t="n">
        <v>5338.79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P41" s="9" t="n"/>
      <c r="U41" s="9" t="n"/>
      <c r="X41" s="18" t="n">
        <v>8704.07</v>
      </c>
      <c r="Y41" s="18" t="n">
        <v>8704.07</v>
      </c>
      <c r="Z41" s="37" t="n">
        <v>8704.07</v>
      </c>
      <c r="AA41" s="18" t="n">
        <v>8754.07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단기차입금</t>
        </is>
      </c>
      <c r="F42" s="9" t="n"/>
      <c r="K42" s="9" t="n"/>
      <c r="P42" s="9" t="n"/>
      <c r="U42" s="9" t="n"/>
      <c r="X42" s="18" t="n">
        <v>3774.92</v>
      </c>
      <c r="Y42" s="18" t="n">
        <v>3670.52</v>
      </c>
      <c r="Z42" s="37" t="n">
        <v>3670.52</v>
      </c>
      <c r="AA42" s="18" t="n">
        <v>3786.92</v>
      </c>
      <c r="AB42" s="19" t="n">
        <v>3807.92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U43" s="9" t="n"/>
      <c r="X43" s="18" t="n">
        <v>3774.92</v>
      </c>
      <c r="Y43" s="18" t="n">
        <v>3670.52</v>
      </c>
      <c r="Z43" s="37" t="n">
        <v>3670.52</v>
      </c>
      <c r="AA43" s="18" t="n">
        <v>3786.92</v>
      </c>
      <c r="AB43" s="19" t="n">
        <v>3807.92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-2229.93</v>
      </c>
      <c r="Y45" s="18" t="n">
        <v>-506.58</v>
      </c>
      <c r="Z45" s="37" t="n">
        <v>-506.58</v>
      </c>
      <c r="AA45" s="18" t="n">
        <v>2006.43</v>
      </c>
      <c r="AB45" s="19" t="n">
        <v>552.14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U46" s="9" t="n"/>
      <c r="Z46" s="9" t="n"/>
      <c r="AB46" s="19" t="n">
        <v>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12430.92</v>
      </c>
      <c r="F47" s="9" t="n"/>
      <c r="G47" s="18" t="n">
        <v>11967.27</v>
      </c>
      <c r="H47" s="18" t="n">
        <v>11946.73</v>
      </c>
      <c r="I47" s="18" t="n">
        <v>14222.41</v>
      </c>
      <c r="J47" s="18" t="n">
        <v>12281.8</v>
      </c>
      <c r="K47" s="37" t="n">
        <v>50418.21</v>
      </c>
      <c r="L47" s="18" t="n">
        <v>12608.78</v>
      </c>
      <c r="M47" s="18" t="n">
        <v>11502.89</v>
      </c>
      <c r="N47" s="18" t="n">
        <v>10707.58</v>
      </c>
      <c r="O47" s="18" t="n">
        <v>11017.73</v>
      </c>
      <c r="P47" s="37" t="n">
        <v>45836.98</v>
      </c>
      <c r="Q47" s="18" t="n">
        <v>10454.85</v>
      </c>
      <c r="R47" s="18" t="n">
        <v>11069.22</v>
      </c>
      <c r="S47" s="18" t="n">
        <v>11049.55</v>
      </c>
      <c r="T47" s="18" t="n">
        <v>9797.4</v>
      </c>
      <c r="U47" s="37" t="n">
        <v>42371.02</v>
      </c>
      <c r="V47" s="18" t="n">
        <v>9777</v>
      </c>
      <c r="W47" s="18" t="n">
        <v>11439.92</v>
      </c>
      <c r="X47" s="18" t="n">
        <v>10939.65</v>
      </c>
      <c r="Y47" s="18" t="n">
        <v>9985.5</v>
      </c>
      <c r="Z47" s="37" t="n">
        <v>42142.07</v>
      </c>
      <c r="AA47" s="18" t="n">
        <v>9229.629999999999</v>
      </c>
      <c r="AB47" s="19" t="n">
        <v>11199.82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11728.55</v>
      </c>
      <c r="F48" s="9" t="n"/>
      <c r="G48" s="18" t="n">
        <v>9952.559999999999</v>
      </c>
      <c r="H48" s="18" t="n">
        <v>9906.57</v>
      </c>
      <c r="I48" s="18" t="n">
        <v>12159.48</v>
      </c>
      <c r="J48" s="18" t="n">
        <v>10645.75</v>
      </c>
      <c r="K48" s="37" t="n">
        <v>42664.36</v>
      </c>
      <c r="L48" s="18" t="n">
        <v>10736.97</v>
      </c>
      <c r="M48" s="18" t="n">
        <v>9083.27</v>
      </c>
      <c r="N48" s="18" t="n">
        <v>9570.870000000001</v>
      </c>
      <c r="O48" s="18" t="n">
        <v>9321.4</v>
      </c>
      <c r="P48" s="37" t="n">
        <v>38712.51</v>
      </c>
      <c r="Q48" s="18" t="n">
        <v>9400.049999999999</v>
      </c>
      <c r="R48" s="18" t="n">
        <v>9339.08</v>
      </c>
      <c r="S48" s="18" t="n">
        <v>10043.26</v>
      </c>
      <c r="T48" s="18" t="n">
        <v>8775.780000000001</v>
      </c>
      <c r="U48" s="37" t="n">
        <v>37558.17</v>
      </c>
      <c r="V48" s="18" t="n">
        <v>9076.030000000001</v>
      </c>
      <c r="W48" s="18" t="n">
        <v>9689.469999999999</v>
      </c>
      <c r="X48" s="18" t="n">
        <v>9550.32</v>
      </c>
      <c r="Y48" s="18" t="n">
        <v>8951.98</v>
      </c>
      <c r="Z48" s="37" t="n">
        <v>37267.8</v>
      </c>
      <c r="AA48" s="18" t="n">
        <v>7973.68</v>
      </c>
      <c r="AB48" s="19" t="n">
        <v>9352.09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702.37</v>
      </c>
      <c r="F49" s="9" t="n"/>
      <c r="G49" s="18" t="n">
        <v>2014.71</v>
      </c>
      <c r="H49" s="18" t="n">
        <v>2040.15</v>
      </c>
      <c r="I49" s="18" t="n">
        <v>2062.93</v>
      </c>
      <c r="J49" s="18" t="n">
        <v>1636.04</v>
      </c>
      <c r="K49" s="37" t="n">
        <v>7753.83</v>
      </c>
      <c r="L49" s="18" t="n">
        <v>1871.81</v>
      </c>
      <c r="M49" s="18" t="n">
        <v>2419.62</v>
      </c>
      <c r="N49" s="18" t="n">
        <v>1136.71</v>
      </c>
      <c r="O49" s="18" t="n">
        <v>1696.33</v>
      </c>
      <c r="P49" s="37" t="n">
        <v>7124.47</v>
      </c>
      <c r="Q49" s="18" t="n">
        <v>1054.8</v>
      </c>
      <c r="R49" s="18" t="n">
        <v>1730.14</v>
      </c>
      <c r="S49" s="18" t="n">
        <v>1006.29</v>
      </c>
      <c r="T49" s="18" t="n">
        <v>1021.62</v>
      </c>
      <c r="U49" s="37" t="n">
        <v>4812.85</v>
      </c>
      <c r="V49" s="18" t="n">
        <v>700.97</v>
      </c>
      <c r="W49" s="18" t="n">
        <v>1750.45</v>
      </c>
      <c r="X49" s="18" t="n">
        <v>1389.33</v>
      </c>
      <c r="Y49" s="18" t="n">
        <v>1033.52</v>
      </c>
      <c r="Z49" s="37" t="n">
        <v>4874.27</v>
      </c>
      <c r="AA49" s="18" t="n">
        <v>1255.95</v>
      </c>
      <c r="AB49" s="19" t="n">
        <v>1847.73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1451.48</v>
      </c>
      <c r="F50" s="9" t="n"/>
      <c r="G50" s="18" t="n">
        <v>1465.3</v>
      </c>
      <c r="H50" s="18" t="n">
        <v>1575.96</v>
      </c>
      <c r="I50" s="18" t="n">
        <v>1541.82</v>
      </c>
      <c r="J50" s="18" t="n">
        <v>1559.89</v>
      </c>
      <c r="K50" s="37" t="n">
        <v>6142.97</v>
      </c>
      <c r="L50" s="18" t="n">
        <v>1687.95</v>
      </c>
      <c r="M50" s="18" t="n">
        <v>1600.04</v>
      </c>
      <c r="N50" s="18" t="n">
        <v>1660.47</v>
      </c>
      <c r="O50" s="18" t="n">
        <v>1562.4</v>
      </c>
      <c r="P50" s="37" t="n">
        <v>6510.86</v>
      </c>
      <c r="Q50" s="18" t="n">
        <v>1771.18</v>
      </c>
      <c r="R50" s="18" t="n">
        <v>1477.11</v>
      </c>
      <c r="S50" s="18" t="n">
        <v>1419.91</v>
      </c>
      <c r="T50" s="18" t="n">
        <v>1438.63</v>
      </c>
      <c r="U50" s="37" t="n">
        <v>6106.83</v>
      </c>
      <c r="V50" s="18" t="n">
        <v>1467.04</v>
      </c>
      <c r="W50" s="18" t="n">
        <v>1382.91</v>
      </c>
      <c r="X50" s="18" t="n">
        <v>1299.38</v>
      </c>
      <c r="Y50" s="18" t="n">
        <v>1446.78</v>
      </c>
      <c r="Z50" s="37" t="n">
        <v>5596.11</v>
      </c>
      <c r="AA50" s="18" t="n">
        <v>1509.18</v>
      </c>
      <c r="AB50" s="19" t="n">
        <v>1492.17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-749.11</v>
      </c>
      <c r="F51" s="9" t="n"/>
      <c r="G51" s="18" t="n">
        <v>549.4</v>
      </c>
      <c r="H51" s="18" t="n">
        <v>464.2</v>
      </c>
      <c r="I51" s="18" t="n">
        <v>521.12</v>
      </c>
      <c r="J51" s="18" t="n">
        <v>76.15000000000001</v>
      </c>
      <c r="K51" s="37" t="n">
        <v>1610.87</v>
      </c>
      <c r="L51" s="18" t="n">
        <v>183.86</v>
      </c>
      <c r="M51" s="18" t="n">
        <v>819.58</v>
      </c>
      <c r="N51" s="18" t="n">
        <v>-523.76</v>
      </c>
      <c r="O51" s="18" t="n">
        <v>133.93</v>
      </c>
      <c r="P51" s="37" t="n">
        <v>613.61</v>
      </c>
      <c r="Q51" s="18" t="n">
        <v>-716.39</v>
      </c>
      <c r="R51" s="18" t="n">
        <v>253.03</v>
      </c>
      <c r="S51" s="18" t="n">
        <v>-413.62</v>
      </c>
      <c r="T51" s="18" t="n">
        <v>-417.01</v>
      </c>
      <c r="U51" s="37" t="n">
        <v>-1293.99</v>
      </c>
      <c r="V51" s="18" t="n">
        <v>-766.0700000000001</v>
      </c>
      <c r="W51" s="18" t="n">
        <v>367.54</v>
      </c>
      <c r="X51" s="18" t="n">
        <v>89.94</v>
      </c>
      <c r="Y51" s="18" t="n">
        <v>-413.26</v>
      </c>
      <c r="Z51" s="37" t="n">
        <v>-721.85</v>
      </c>
      <c r="AA51" s="18" t="n">
        <v>-253.23</v>
      </c>
      <c r="AB51" s="19" t="n">
        <v>355.56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기타영업외수익</t>
        </is>
      </c>
      <c r="E52" s="18" t="n">
        <v>75.48</v>
      </c>
      <c r="F52" s="9" t="n"/>
      <c r="G52" s="18" t="n">
        <v>234.27</v>
      </c>
      <c r="H52" s="18" t="n">
        <v>147.98</v>
      </c>
      <c r="I52" s="18" t="n">
        <v>421.6</v>
      </c>
      <c r="J52" s="18" t="n">
        <v>97.86</v>
      </c>
      <c r="K52" s="37" t="n">
        <v>901.71</v>
      </c>
      <c r="L52" s="18" t="n">
        <v>271.61</v>
      </c>
      <c r="M52" s="18" t="n">
        <v>94.63</v>
      </c>
      <c r="N52" s="18" t="n">
        <v>152.4</v>
      </c>
      <c r="O52" s="18" t="n">
        <v>27.23</v>
      </c>
      <c r="P52" s="37" t="n">
        <v>545.87</v>
      </c>
      <c r="Q52" s="18" t="n">
        <v>182.39</v>
      </c>
      <c r="R52" s="18" t="n">
        <v>193.35</v>
      </c>
      <c r="S52" s="18" t="n">
        <v>99.18000000000001</v>
      </c>
      <c r="T52" s="18" t="n">
        <v>286.76</v>
      </c>
      <c r="U52" s="37" t="n">
        <v>761.6799999999999</v>
      </c>
      <c r="V52" s="18" t="n">
        <v>146.83</v>
      </c>
      <c r="W52" s="18" t="n">
        <v>-18.31</v>
      </c>
      <c r="X52" s="18" t="n">
        <v>112.48</v>
      </c>
      <c r="Y52" s="18" t="n">
        <v>204.27</v>
      </c>
      <c r="Z52" s="37" t="n">
        <v>445.27</v>
      </c>
      <c r="AA52" s="18" t="n">
        <v>360.75</v>
      </c>
      <c r="AB52" s="19" t="n">
        <v>185.12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기타영업외비용</t>
        </is>
      </c>
      <c r="E53" s="18" t="n">
        <v>51.42</v>
      </c>
      <c r="F53" s="9" t="n"/>
      <c r="G53" s="18" t="n">
        <v>32.13</v>
      </c>
      <c r="H53" s="18" t="n">
        <v>34.67</v>
      </c>
      <c r="I53" s="18" t="n">
        <v>-29.86</v>
      </c>
      <c r="J53" s="18" t="n">
        <v>307.81</v>
      </c>
      <c r="K53" s="37" t="n">
        <v>344.75</v>
      </c>
      <c r="L53" s="18" t="n">
        <v>1.53</v>
      </c>
      <c r="M53" s="18" t="n">
        <v>112.9</v>
      </c>
      <c r="N53" s="18" t="n">
        <v>-3.08</v>
      </c>
      <c r="O53" s="18" t="n">
        <v>34.78</v>
      </c>
      <c r="P53" s="37" t="n">
        <v>146.13</v>
      </c>
      <c r="Q53" s="18" t="n">
        <v>17.43</v>
      </c>
      <c r="R53" s="18" t="n">
        <v>30.52</v>
      </c>
      <c r="S53" s="18" t="n">
        <v>18.2</v>
      </c>
      <c r="T53" s="18" t="n">
        <v>-53.67</v>
      </c>
      <c r="U53" s="37" t="n">
        <v>12.48</v>
      </c>
      <c r="V53" s="18" t="n">
        <v>5.77</v>
      </c>
      <c r="W53" s="18" t="n">
        <v>261.23</v>
      </c>
      <c r="X53" s="18" t="n">
        <v>-198.7</v>
      </c>
      <c r="Y53" s="18" t="n">
        <v>-29.12</v>
      </c>
      <c r="Z53" s="37" t="n">
        <v>39.18</v>
      </c>
      <c r="AA53" s="18" t="n">
        <v>118.32</v>
      </c>
      <c r="AB53" s="19" t="n">
        <v>21.64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92</v>
      </c>
      <c r="F54" s="9" t="n"/>
      <c r="G54" s="18" t="n">
        <v>106.96</v>
      </c>
      <c r="H54" s="18" t="n">
        <v>112.62</v>
      </c>
      <c r="I54" s="18" t="n">
        <v>138.68</v>
      </c>
      <c r="J54" s="18" t="n">
        <v>231.32</v>
      </c>
      <c r="K54" s="37" t="n">
        <v>589.58</v>
      </c>
      <c r="L54" s="18" t="n">
        <v>257.1</v>
      </c>
      <c r="M54" s="18" t="n">
        <v>250.49</v>
      </c>
      <c r="N54" s="18" t="n">
        <v>261.19</v>
      </c>
      <c r="O54" s="18" t="n">
        <v>260.53</v>
      </c>
      <c r="P54" s="37" t="n">
        <v>1029.31</v>
      </c>
      <c r="Q54" s="18" t="n">
        <v>242.65</v>
      </c>
      <c r="R54" s="18" t="n">
        <v>243.87</v>
      </c>
      <c r="S54" s="18" t="n">
        <v>243.77</v>
      </c>
      <c r="T54" s="18" t="n">
        <v>241.73</v>
      </c>
      <c r="U54" s="37" t="n">
        <v>972.02</v>
      </c>
      <c r="V54" s="18" t="n">
        <v>212.86</v>
      </c>
      <c r="W54" s="18" t="n">
        <v>219.62</v>
      </c>
      <c r="X54" s="18" t="n">
        <v>180.26</v>
      </c>
      <c r="Y54" s="18" t="n">
        <v>180.72</v>
      </c>
      <c r="Z54" s="37" t="n">
        <v>793.46</v>
      </c>
      <c r="AA54" s="18" t="n">
        <v>175.45</v>
      </c>
      <c r="AB54" s="19" t="n">
        <v>184.36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-633.0700000000001</v>
      </c>
      <c r="F55" s="9" t="n"/>
      <c r="G55" s="18" t="n">
        <v>858.51</v>
      </c>
      <c r="H55" s="18" t="n">
        <v>646.59</v>
      </c>
      <c r="I55" s="18" t="n">
        <v>1105.26</v>
      </c>
      <c r="J55" s="18" t="n">
        <v>109.81</v>
      </c>
      <c r="K55" s="37" t="n">
        <v>2720.17</v>
      </c>
      <c r="L55" s="18" t="n">
        <v>711.04</v>
      </c>
      <c r="M55" s="18" t="n">
        <v>1040.23</v>
      </c>
      <c r="N55" s="18" t="n">
        <v>-107.62</v>
      </c>
      <c r="O55" s="18" t="n">
        <v>463.02</v>
      </c>
      <c r="P55" s="37" t="n">
        <v>2106.67</v>
      </c>
      <c r="Q55" s="18" t="n">
        <v>-290.39</v>
      </c>
      <c r="R55" s="18" t="n">
        <v>669.33</v>
      </c>
      <c r="S55" s="18" t="n">
        <v>-96.79000000000001</v>
      </c>
      <c r="T55" s="18" t="n">
        <v>141.71</v>
      </c>
      <c r="U55" s="37" t="n">
        <v>423.86</v>
      </c>
      <c r="V55" s="18" t="n">
        <v>-413.73</v>
      </c>
      <c r="W55" s="18" t="n">
        <v>312.89</v>
      </c>
      <c r="X55" s="18" t="n">
        <v>584.36</v>
      </c>
      <c r="Y55" s="18" t="n">
        <v>12.28</v>
      </c>
      <c r="Z55" s="37" t="n">
        <v>495.8</v>
      </c>
      <c r="AA55" s="18" t="n">
        <v>136.06</v>
      </c>
      <c r="AB55" s="19" t="n">
        <v>713.41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-179.42</v>
      </c>
      <c r="F56" s="9" t="n"/>
      <c r="G56" s="18" t="n">
        <v>125.68</v>
      </c>
      <c r="H56" s="18" t="n">
        <v>208.97</v>
      </c>
      <c r="I56" s="18" t="n">
        <v>174.43</v>
      </c>
      <c r="J56" s="18" t="n">
        <v>33.73</v>
      </c>
      <c r="K56" s="37" t="n">
        <v>542.8099999999999</v>
      </c>
      <c r="L56" s="18" t="n">
        <v>193.37</v>
      </c>
      <c r="M56" s="18" t="n">
        <v>153.39</v>
      </c>
      <c r="N56" s="18" t="n">
        <v>-80.33</v>
      </c>
      <c r="O56" s="18" t="n">
        <v>-86.55</v>
      </c>
      <c r="P56" s="37" t="n">
        <v>179.88</v>
      </c>
      <c r="Q56" s="18" t="n">
        <v>43.01</v>
      </c>
      <c r="R56" s="18" t="n">
        <v>15.51</v>
      </c>
      <c r="S56" s="18" t="n">
        <v>-38.17</v>
      </c>
      <c r="T56" s="18" t="n">
        <v>7.8</v>
      </c>
      <c r="U56" s="37" t="n">
        <v>28.15</v>
      </c>
      <c r="V56" s="18" t="n">
        <v>6.61</v>
      </c>
      <c r="W56" s="18" t="n">
        <v>-2.91</v>
      </c>
      <c r="X56" s="18" t="n">
        <v>41.58</v>
      </c>
      <c r="Y56" s="18" t="n">
        <v>-206.11</v>
      </c>
      <c r="Z56" s="37" t="n">
        <v>-160.83</v>
      </c>
      <c r="AA56" s="18" t="n">
        <v>-10.78</v>
      </c>
      <c r="AB56" s="19" t="n">
        <v>138.52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-453.65</v>
      </c>
      <c r="F57" s="9" t="n"/>
      <c r="G57" s="18" t="n">
        <v>732.8200000000001</v>
      </c>
      <c r="H57" s="18" t="n">
        <v>437.61</v>
      </c>
      <c r="I57" s="18" t="n">
        <v>930.83</v>
      </c>
      <c r="J57" s="18" t="n">
        <v>76.09</v>
      </c>
      <c r="K57" s="37" t="n">
        <v>2177.35</v>
      </c>
      <c r="L57" s="18" t="n">
        <v>517.67</v>
      </c>
      <c r="M57" s="18" t="n">
        <v>886.84</v>
      </c>
      <c r="N57" s="18" t="n">
        <v>-27.29</v>
      </c>
      <c r="O57" s="18" t="n">
        <v>549.5700000000001</v>
      </c>
      <c r="P57" s="37" t="n">
        <v>1926.79</v>
      </c>
      <c r="Q57" s="18" t="n">
        <v>-333.39</v>
      </c>
      <c r="R57" s="18" t="n">
        <v>653.8200000000001</v>
      </c>
      <c r="S57" s="18" t="n">
        <v>-58.63</v>
      </c>
      <c r="T57" s="18" t="n">
        <v>133.92</v>
      </c>
      <c r="U57" s="37" t="n">
        <v>395.72</v>
      </c>
      <c r="V57" s="18" t="n">
        <v>-420.34</v>
      </c>
      <c r="W57" s="18" t="n">
        <v>315.8</v>
      </c>
      <c r="X57" s="18" t="n">
        <v>542.78</v>
      </c>
      <c r="Y57" s="18" t="n">
        <v>218.39</v>
      </c>
      <c r="Z57" s="37" t="n">
        <v>656.63</v>
      </c>
      <c r="AA57" s="18" t="n">
        <v>146.83</v>
      </c>
      <c r="AB57" s="19" t="n">
        <v>574.89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-471.15</v>
      </c>
      <c r="F58" s="9" t="n"/>
      <c r="G58" s="18" t="n">
        <v>707.08</v>
      </c>
      <c r="H58" s="18" t="n">
        <v>446.36</v>
      </c>
      <c r="I58" s="18" t="n">
        <v>1182.05</v>
      </c>
      <c r="J58" s="18" t="n">
        <v>-104.61</v>
      </c>
      <c r="K58" s="37" t="n">
        <v>2230.88</v>
      </c>
      <c r="L58" s="18" t="n">
        <v>484.49</v>
      </c>
      <c r="M58" s="18" t="n">
        <v>1015.55</v>
      </c>
      <c r="N58" s="18" t="n">
        <v>6.64</v>
      </c>
      <c r="O58" s="18" t="n">
        <v>495.28</v>
      </c>
      <c r="P58" s="37" t="n">
        <v>2001.96</v>
      </c>
      <c r="Q58" s="18" t="n">
        <v>-98.47</v>
      </c>
      <c r="R58" s="18" t="n">
        <v>353.63</v>
      </c>
      <c r="S58" s="18" t="n">
        <v>-86.81999999999999</v>
      </c>
      <c r="T58" s="18" t="n">
        <v>94.75</v>
      </c>
      <c r="U58" s="37" t="n">
        <v>263.09</v>
      </c>
      <c r="V58" s="18" t="n">
        <v>-372.83</v>
      </c>
      <c r="W58" s="18" t="n">
        <v>584.66</v>
      </c>
      <c r="X58" s="18" t="n">
        <v>439.94</v>
      </c>
      <c r="Y58" s="18" t="n">
        <v>252.26</v>
      </c>
      <c r="Z58" s="37" t="n">
        <v>904.03</v>
      </c>
      <c r="AA58" s="18" t="n">
        <v>251.85</v>
      </c>
      <c r="AB58" s="19" t="n">
        <v>237.19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92</v>
      </c>
      <c r="F59" s="9" t="n"/>
      <c r="G59" s="18" t="n">
        <v>106.96</v>
      </c>
      <c r="H59" s="18" t="n">
        <v>112.62</v>
      </c>
      <c r="I59" s="18" t="n">
        <v>138.68</v>
      </c>
      <c r="J59" s="18" t="n">
        <v>231.32</v>
      </c>
      <c r="K59" s="37" t="n">
        <v>589.58</v>
      </c>
      <c r="L59" s="18" t="n">
        <v>257.1</v>
      </c>
      <c r="M59" s="18" t="n">
        <v>250.49</v>
      </c>
      <c r="N59" s="18" t="n">
        <v>261.19</v>
      </c>
      <c r="O59" s="18" t="n">
        <v>260.53</v>
      </c>
      <c r="P59" s="37" t="n">
        <v>1029.31</v>
      </c>
      <c r="Q59" s="18" t="n">
        <v>242.65</v>
      </c>
      <c r="R59" s="18" t="n">
        <v>243.87</v>
      </c>
      <c r="S59" s="18" t="n">
        <v>243.77</v>
      </c>
      <c r="T59" s="18" t="n">
        <v>241.73</v>
      </c>
      <c r="U59" s="37" t="n">
        <v>972.02</v>
      </c>
      <c r="V59" s="18" t="n">
        <v>212.86</v>
      </c>
      <c r="W59" s="18" t="n">
        <v>219.62</v>
      </c>
      <c r="X59" s="18" t="n">
        <v>172.05</v>
      </c>
      <c r="Y59" s="18" t="n">
        <v>168.38</v>
      </c>
      <c r="Z59" s="37" t="n">
        <v>772.91</v>
      </c>
      <c r="AA59" s="18" t="n">
        <v>161.53</v>
      </c>
      <c r="AB59" s="19" t="n">
        <v>168.08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24.06</v>
      </c>
      <c r="F60" s="9" t="n"/>
      <c r="G60" s="18" t="n">
        <v>202.14</v>
      </c>
      <c r="H60" s="18" t="n">
        <v>113.31</v>
      </c>
      <c r="I60" s="18" t="n">
        <v>451.46</v>
      </c>
      <c r="J60" s="18" t="n">
        <v>-209.95</v>
      </c>
      <c r="K60" s="37" t="n">
        <v>556.96</v>
      </c>
      <c r="L60" s="18" t="n">
        <v>270.08</v>
      </c>
      <c r="M60" s="18" t="n">
        <v>-18.27</v>
      </c>
      <c r="N60" s="18" t="n">
        <v>155.48</v>
      </c>
      <c r="O60" s="18" t="n">
        <v>-7.55</v>
      </c>
      <c r="P60" s="37" t="n">
        <v>399.74</v>
      </c>
      <c r="Q60" s="18" t="n">
        <v>164.96</v>
      </c>
      <c r="R60" s="18" t="n">
        <v>162.83</v>
      </c>
      <c r="S60" s="18" t="n">
        <v>80.98</v>
      </c>
      <c r="T60" s="18" t="n">
        <v>340.43</v>
      </c>
      <c r="U60" s="37" t="n">
        <v>749.2</v>
      </c>
      <c r="V60" s="18" t="n">
        <v>141.06</v>
      </c>
      <c r="W60" s="18" t="n">
        <v>-279.54</v>
      </c>
      <c r="X60" s="18" t="n">
        <v>311.18</v>
      </c>
      <c r="Y60" s="18" t="n">
        <v>233.39</v>
      </c>
      <c r="Z60" s="37" t="n">
        <v>406.09</v>
      </c>
      <c r="AA60" s="18" t="n">
        <v>242.43</v>
      </c>
      <c r="AB60" s="19" t="n">
        <v>163.48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-453.65</v>
      </c>
      <c r="F61" s="9" t="n"/>
      <c r="G61" s="18" t="n">
        <v>732.8200000000001</v>
      </c>
      <c r="H61" s="18" t="n">
        <v>437.61</v>
      </c>
      <c r="I61" s="18" t="n">
        <v>930.83</v>
      </c>
      <c r="J61" s="18" t="n">
        <v>76.09</v>
      </c>
      <c r="K61" s="37" t="n">
        <v>2177.35</v>
      </c>
      <c r="L61" s="18" t="n">
        <v>517.67</v>
      </c>
      <c r="M61" s="18" t="n">
        <v>886.84</v>
      </c>
      <c r="N61" s="18" t="n">
        <v>-27.29</v>
      </c>
      <c r="O61" s="18" t="n">
        <v>549.5700000000001</v>
      </c>
      <c r="P61" s="37" t="n">
        <v>1926.79</v>
      </c>
      <c r="Q61" s="18" t="n">
        <v>-333.39</v>
      </c>
      <c r="R61" s="18" t="n">
        <v>653.8200000000001</v>
      </c>
      <c r="S61" s="18" t="n">
        <v>-58.63</v>
      </c>
      <c r="T61" s="18" t="n">
        <v>133.92</v>
      </c>
      <c r="U61" s="37" t="n">
        <v>395.72</v>
      </c>
      <c r="V61" s="18" t="n">
        <v>-420.34</v>
      </c>
      <c r="W61" s="18" t="n">
        <v>315.8</v>
      </c>
      <c r="X61" s="18" t="n">
        <v>542.78</v>
      </c>
      <c r="Y61" s="18" t="n">
        <v>218.39</v>
      </c>
      <c r="Z61" s="37" t="n">
        <v>656.63</v>
      </c>
      <c r="AA61" s="18" t="n">
        <v>146.83</v>
      </c>
      <c r="AB61" s="19" t="n">
        <v>574.89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-453.65</v>
      </c>
      <c r="F62" s="9" t="n"/>
      <c r="G62" s="18" t="n">
        <v>732.8200000000001</v>
      </c>
      <c r="H62" s="18" t="n">
        <v>437.61</v>
      </c>
      <c r="I62" s="18" t="n">
        <v>930.83</v>
      </c>
      <c r="J62" s="18" t="n">
        <v>76.09</v>
      </c>
      <c r="K62" s="37" t="n">
        <v>2177.35</v>
      </c>
      <c r="L62" s="18" t="n">
        <v>517.67</v>
      </c>
      <c r="M62" s="18" t="n">
        <v>886.84</v>
      </c>
      <c r="N62" s="18" t="n">
        <v>-27.29</v>
      </c>
      <c r="O62" s="18" t="n">
        <v>549.5700000000001</v>
      </c>
      <c r="P62" s="37" t="n">
        <v>1926.79</v>
      </c>
      <c r="Q62" s="18" t="n">
        <v>-333.39</v>
      </c>
      <c r="R62" s="18" t="n">
        <v>653.8200000000001</v>
      </c>
      <c r="S62" s="18" t="n">
        <v>-58.63</v>
      </c>
      <c r="T62" s="18" t="n">
        <v>133.92</v>
      </c>
      <c r="U62" s="37" t="n">
        <v>395.72</v>
      </c>
      <c r="V62" s="18" t="n">
        <v>-420.34</v>
      </c>
      <c r="W62" s="18" t="n">
        <v>315.8</v>
      </c>
      <c r="X62" s="18" t="n">
        <v>542.78</v>
      </c>
      <c r="Y62" s="18" t="n">
        <v>218.39</v>
      </c>
      <c r="Z62" s="37" t="n">
        <v>656.63</v>
      </c>
      <c r="AA62" s="18" t="n">
        <v>146.83</v>
      </c>
      <c r="AB62" s="19" t="n">
        <v>574.89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이자수익</t>
        </is>
      </c>
      <c r="F63" s="9" t="n"/>
      <c r="G63" s="18" t="n">
        <v>106.96</v>
      </c>
      <c r="H63" s="18" t="n">
        <v>112.62</v>
      </c>
      <c r="I63" s="18" t="n">
        <v>138.68</v>
      </c>
      <c r="J63" s="18" t="n">
        <v>231.32</v>
      </c>
      <c r="K63" s="37" t="n">
        <v>589.58</v>
      </c>
      <c r="L63" s="18" t="n">
        <v>257.1</v>
      </c>
      <c r="M63" s="18" t="n">
        <v>250.49</v>
      </c>
      <c r="N63" s="18" t="n">
        <v>257.1</v>
      </c>
      <c r="O63" s="18" t="n">
        <v>256.57</v>
      </c>
      <c r="P63" s="37" t="n">
        <v>1021.26</v>
      </c>
      <c r="Q63" s="18" t="n">
        <v>242.65</v>
      </c>
      <c r="R63" s="18" t="n">
        <v>243.87</v>
      </c>
      <c r="S63" s="18" t="n">
        <v>243.77</v>
      </c>
      <c r="T63" s="18" t="n">
        <v>237.77</v>
      </c>
      <c r="U63" s="37" t="n">
        <v>968.0599999999999</v>
      </c>
      <c r="V63" s="18" t="n">
        <v>212.86</v>
      </c>
      <c r="W63" s="18" t="n">
        <v>214.34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F64" s="9" t="n"/>
      <c r="H64" s="18" t="n">
        <v>-43.54</v>
      </c>
      <c r="I64" s="18" t="n">
        <v>-6</v>
      </c>
      <c r="K64" s="9" t="n"/>
      <c r="M64" s="18" t="n">
        <v>-11.57</v>
      </c>
      <c r="N64" s="18" t="n">
        <v>-0.53</v>
      </c>
      <c r="O64" s="18" t="n">
        <v>76.11</v>
      </c>
      <c r="P64" s="9" t="n"/>
      <c r="Q64" s="18" t="n">
        <v>18.38</v>
      </c>
      <c r="R64" s="18" t="n">
        <v>9.6</v>
      </c>
      <c r="S64" s="18" t="n">
        <v>-7.92</v>
      </c>
      <c r="T64" s="18" t="n">
        <v>-20.06</v>
      </c>
      <c r="U64" s="37" t="n">
        <v>0</v>
      </c>
      <c r="V64" s="18" t="n">
        <v>-1.58</v>
      </c>
      <c r="W64" s="18" t="n">
        <v>5.26</v>
      </c>
      <c r="X64" s="18" t="n">
        <v>11.19</v>
      </c>
      <c r="Y64" s="18" t="n">
        <v>23.76</v>
      </c>
      <c r="Z64" s="37" t="n">
        <v>38.63</v>
      </c>
      <c r="AA64" s="18" t="n">
        <v>14.68</v>
      </c>
      <c r="AB64" s="19" t="n">
        <v>26.3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F65" s="9" t="n"/>
      <c r="H65" s="18" t="n">
        <v>-43.54</v>
      </c>
      <c r="I65" s="18" t="n">
        <v>-6</v>
      </c>
      <c r="K65" s="9" t="n"/>
      <c r="M65" s="18" t="n">
        <v>-11.57</v>
      </c>
      <c r="N65" s="18" t="n">
        <v>-0.53</v>
      </c>
      <c r="O65" s="18" t="n">
        <v>76.11</v>
      </c>
      <c r="P65" s="9" t="n"/>
      <c r="Q65" s="18" t="n">
        <v>18.38</v>
      </c>
      <c r="R65" s="18" t="n">
        <v>9.6</v>
      </c>
      <c r="S65" s="18" t="n">
        <v>-7.92</v>
      </c>
      <c r="T65" s="18" t="n">
        <v>-20.06</v>
      </c>
      <c r="U65" s="37" t="n">
        <v>0</v>
      </c>
      <c r="V65" s="18" t="n">
        <v>-1.58</v>
      </c>
      <c r="W65" s="18" t="n">
        <v>5.26</v>
      </c>
      <c r="X65" s="18" t="n">
        <v>11.19</v>
      </c>
      <c r="Y65" s="18" t="n">
        <v>23.76</v>
      </c>
      <c r="Z65" s="37" t="n">
        <v>38.63</v>
      </c>
      <c r="AA65" s="18" t="n">
        <v>14.68</v>
      </c>
      <c r="AB65" s="19" t="n">
        <v>26.3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배당금수익</t>
        </is>
      </c>
      <c r="F66" s="9" t="n"/>
      <c r="K66" s="9" t="n"/>
      <c r="P66" s="9" t="n"/>
      <c r="U66" s="9" t="n"/>
      <c r="W66" s="18" t="n">
        <v>5.28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F67" s="9" t="n"/>
      <c r="K67" s="9" t="n"/>
      <c r="P67" s="9" t="n"/>
      <c r="U67" s="9" t="n"/>
      <c r="X67" s="18" t="n">
        <v>8.210000000000001</v>
      </c>
      <c r="Y67" s="18" t="n">
        <v>12.34</v>
      </c>
      <c r="Z67" s="9" t="n"/>
      <c r="AA67" s="18" t="n">
        <v>13.92</v>
      </c>
      <c r="AB67" s="19" t="n">
        <v>16.28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634.0599999999999</v>
      </c>
      <c r="F68" s="9" t="n"/>
      <c r="G68" s="18" t="n">
        <v>435.16</v>
      </c>
      <c r="H68" s="18" t="n">
        <v>1571.01</v>
      </c>
      <c r="I68" s="18" t="n">
        <v>93.81999999999999</v>
      </c>
      <c r="J68" s="18" t="n">
        <v>838.87</v>
      </c>
      <c r="K68" s="37" t="n">
        <v>2938.86</v>
      </c>
      <c r="L68" s="18" t="n">
        <v>-1631.22</v>
      </c>
      <c r="M68" s="18" t="n">
        <v>1745.56</v>
      </c>
      <c r="N68" s="18" t="n">
        <v>-645.04</v>
      </c>
      <c r="O68" s="18" t="n">
        <v>1458.35</v>
      </c>
      <c r="P68" s="37" t="n">
        <v>927.65</v>
      </c>
      <c r="Q68" s="18" t="n">
        <v>-696.9</v>
      </c>
      <c r="R68" s="18" t="n">
        <v>1491.09</v>
      </c>
      <c r="S68" s="18" t="n">
        <v>814.5599999999999</v>
      </c>
      <c r="T68" s="18" t="n">
        <v>1082.15</v>
      </c>
      <c r="U68" s="37" t="n">
        <v>2690.9</v>
      </c>
      <c r="V68" s="18" t="n">
        <v>-588.2</v>
      </c>
      <c r="W68" s="18" t="n">
        <v>1783.1</v>
      </c>
      <c r="X68" s="18" t="n">
        <v>1189.48</v>
      </c>
      <c r="Y68" s="18" t="n">
        <v>1713.35</v>
      </c>
      <c r="Z68" s="37" t="n">
        <v>4097.73</v>
      </c>
      <c r="AA68" s="18" t="n">
        <v>-1927.5</v>
      </c>
      <c r="AB68" s="19" t="n">
        <v>1711.26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0</v>
      </c>
      <c r="F69" s="9" t="n"/>
      <c r="G69" s="18" t="n">
        <v>0</v>
      </c>
      <c r="H69" s="18" t="n">
        <v>1.32</v>
      </c>
      <c r="I69" s="18" t="n">
        <v>0</v>
      </c>
      <c r="J69" s="18" t="n">
        <v>0</v>
      </c>
      <c r="K69" s="37" t="n">
        <v>1.32</v>
      </c>
      <c r="L69" s="18" t="n">
        <v>0</v>
      </c>
      <c r="M69" s="18" t="n">
        <v>3.96</v>
      </c>
      <c r="N69" s="18" t="n">
        <v>0</v>
      </c>
      <c r="O69" s="18" t="n">
        <v>0</v>
      </c>
      <c r="P69" s="37" t="n">
        <v>3.96</v>
      </c>
      <c r="Q69" s="18" t="n">
        <v>0</v>
      </c>
      <c r="R69" s="18" t="n">
        <v>0</v>
      </c>
      <c r="S69" s="18" t="n">
        <v>0</v>
      </c>
      <c r="T69" s="18" t="n">
        <v>3.96</v>
      </c>
      <c r="U69" s="37" t="n">
        <v>3.96</v>
      </c>
      <c r="V69" s="18" t="n">
        <v>0</v>
      </c>
      <c r="W69" s="18" t="n">
        <v>5.28</v>
      </c>
      <c r="X69" s="18" t="n">
        <v>0</v>
      </c>
      <c r="Y69" s="18" t="n">
        <v>0</v>
      </c>
      <c r="Z69" s="37" t="n">
        <v>5.28</v>
      </c>
      <c r="AA69" s="18" t="n">
        <v>0</v>
      </c>
      <c r="AB69" s="19" t="n">
        <v>2.64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법인세납부(CF)</t>
        </is>
      </c>
      <c r="E70" s="18" t="n">
        <v>-19.06</v>
      </c>
      <c r="F70" s="9" t="n"/>
      <c r="G70" s="18" t="n">
        <v>-80.53</v>
      </c>
      <c r="H70" s="18" t="n">
        <v>-93.92</v>
      </c>
      <c r="I70" s="18" t="n">
        <v>-83</v>
      </c>
      <c r="J70" s="18" t="n">
        <v>-30.04</v>
      </c>
      <c r="K70" s="37" t="n">
        <v>-287.49</v>
      </c>
      <c r="L70" s="18" t="n">
        <v>-109.18</v>
      </c>
      <c r="M70" s="18" t="n">
        <v>-156.81</v>
      </c>
      <c r="N70" s="18" t="n">
        <v>-135.25</v>
      </c>
      <c r="O70" s="18" t="n">
        <v>-132.59</v>
      </c>
      <c r="P70" s="37" t="n">
        <v>-533.83</v>
      </c>
      <c r="Q70" s="18" t="n">
        <v>-0.89</v>
      </c>
      <c r="R70" s="18" t="n">
        <v>-3.65</v>
      </c>
      <c r="S70" s="18" t="n">
        <v>-115.75</v>
      </c>
      <c r="T70" s="18" t="n">
        <v>-69.12</v>
      </c>
      <c r="U70" s="37" t="n">
        <v>-189.41</v>
      </c>
      <c r="V70" s="18" t="n">
        <v>-7.57</v>
      </c>
      <c r="W70" s="18" t="n">
        <v>65.59999999999999</v>
      </c>
      <c r="X70" s="18" t="n">
        <v>-74.06999999999999</v>
      </c>
      <c r="Y70" s="18" t="n">
        <v>-57.52</v>
      </c>
      <c r="Z70" s="37" t="n">
        <v>-73.56</v>
      </c>
      <c r="AA70" s="18" t="n">
        <v>-2.34</v>
      </c>
      <c r="AB70" s="19" t="n">
        <v>125.65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138.06</v>
      </c>
      <c r="F71" s="9" t="n"/>
      <c r="G71" s="18" t="n">
        <v>-824.23</v>
      </c>
      <c r="H71" s="18" t="n">
        <v>-19.3</v>
      </c>
      <c r="I71" s="18" t="n">
        <v>-4.56</v>
      </c>
      <c r="J71" s="18" t="n">
        <v>254.73</v>
      </c>
      <c r="K71" s="37" t="n">
        <v>-593.36</v>
      </c>
      <c r="L71" s="18" t="n">
        <v>-384.57</v>
      </c>
      <c r="M71" s="18" t="n">
        <v>-538.96</v>
      </c>
      <c r="N71" s="18" t="n">
        <v>615.26</v>
      </c>
      <c r="O71" s="18" t="n">
        <v>-351.42</v>
      </c>
      <c r="P71" s="37" t="n">
        <v>-659.6900000000001</v>
      </c>
      <c r="Q71" s="18" t="n">
        <v>-210.06</v>
      </c>
      <c r="R71" s="18" t="n">
        <v>2.43</v>
      </c>
      <c r="S71" s="18" t="n">
        <v>-1008.9</v>
      </c>
      <c r="T71" s="18" t="n">
        <v>-181</v>
      </c>
      <c r="U71" s="37" t="n">
        <v>-1397.53</v>
      </c>
      <c r="V71" s="18" t="n">
        <v>-5.05</v>
      </c>
      <c r="W71" s="18" t="n">
        <v>-28.13</v>
      </c>
      <c r="X71" s="18" t="n">
        <v>-4217.4</v>
      </c>
      <c r="Y71" s="18" t="n">
        <v>-3583.54</v>
      </c>
      <c r="Z71" s="37" t="n">
        <v>-7834.12</v>
      </c>
      <c r="AA71" s="18" t="n">
        <v>-486.09</v>
      </c>
      <c r="AB71" s="19" t="n">
        <v>-168.01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517.79</v>
      </c>
      <c r="F72" s="9" t="n"/>
      <c r="G72" s="18" t="n">
        <v>1828.8</v>
      </c>
      <c r="H72" s="18" t="n">
        <v>424.39</v>
      </c>
      <c r="I72" s="18" t="n">
        <v>44.56</v>
      </c>
      <c r="J72" s="18" t="n">
        <v>359.42</v>
      </c>
      <c r="K72" s="37" t="n">
        <v>2657.17</v>
      </c>
      <c r="L72" s="18" t="n">
        <v>1817.84</v>
      </c>
      <c r="M72" s="18" t="n">
        <v>1342.75</v>
      </c>
      <c r="N72" s="18" t="n">
        <v>34.89</v>
      </c>
      <c r="O72" s="18" t="n">
        <v>121.42</v>
      </c>
      <c r="P72" s="37" t="n">
        <v>3316.9</v>
      </c>
      <c r="Q72" s="18" t="n">
        <v>208.22</v>
      </c>
      <c r="S72" s="18" t="n">
        <v>8.9</v>
      </c>
      <c r="T72" s="18" t="n">
        <v>38.29</v>
      </c>
      <c r="U72" s="9" t="n"/>
      <c r="V72" s="18" t="n">
        <v>4.05</v>
      </c>
      <c r="W72" s="18" t="n">
        <v>33.01</v>
      </c>
      <c r="X72" s="18" t="n">
        <v>184.07</v>
      </c>
      <c r="Y72" s="18" t="n">
        <v>648.04</v>
      </c>
      <c r="Z72" s="37" t="n">
        <v>869.17</v>
      </c>
      <c r="AA72" s="18" t="n">
        <v>3.12</v>
      </c>
      <c r="AB72" s="19" t="n">
        <v>170.51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517.79</v>
      </c>
      <c r="F73" s="9" t="n"/>
      <c r="G73" s="18" t="n">
        <v>1866.98</v>
      </c>
      <c r="H73" s="18" t="n">
        <v>723.47</v>
      </c>
      <c r="I73" s="18" t="n">
        <v>44.56</v>
      </c>
      <c r="J73" s="18" t="n">
        <v>359.42</v>
      </c>
      <c r="K73" s="37" t="n">
        <v>2994.43</v>
      </c>
      <c r="L73" s="18" t="n">
        <v>1957.84</v>
      </c>
      <c r="M73" s="18" t="n">
        <v>1345.69</v>
      </c>
      <c r="N73" s="18" t="n">
        <v>34.89</v>
      </c>
      <c r="O73" s="18" t="n">
        <v>121.42</v>
      </c>
      <c r="P73" s="37" t="n">
        <v>3459.84</v>
      </c>
      <c r="Q73" s="18" t="n">
        <v>208.22</v>
      </c>
      <c r="R73" s="18" t="n">
        <v>0</v>
      </c>
      <c r="S73" s="18" t="n">
        <v>8.9</v>
      </c>
      <c r="T73" s="18" t="n">
        <v>38.29</v>
      </c>
      <c r="U73" s="37" t="n">
        <v>255.41</v>
      </c>
      <c r="V73" s="18" t="n">
        <v>4.05</v>
      </c>
      <c r="W73" s="18" t="n">
        <v>33.01</v>
      </c>
      <c r="X73" s="18" t="n">
        <v>184.07</v>
      </c>
      <c r="Y73" s="18" t="n">
        <v>648.04</v>
      </c>
      <c r="Z73" s="37" t="n">
        <v>869.17</v>
      </c>
      <c r="AA73" s="18" t="n">
        <v>3.12</v>
      </c>
      <c r="AB73" s="19" t="n">
        <v>170.51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0.85</v>
      </c>
      <c r="F74" s="9" t="n"/>
      <c r="G74" s="18" t="n">
        <v>0</v>
      </c>
      <c r="H74" s="18" t="n">
        <v>6.92</v>
      </c>
      <c r="I74" s="18" t="n">
        <v>40</v>
      </c>
      <c r="J74" s="18" t="n">
        <v>164.15</v>
      </c>
      <c r="K74" s="37" t="n">
        <v>211.07</v>
      </c>
      <c r="L74" s="18" t="n">
        <v>40</v>
      </c>
      <c r="M74" s="18" t="n">
        <v>0</v>
      </c>
      <c r="N74" s="18" t="n">
        <v>0.15</v>
      </c>
      <c r="O74" s="18" t="n">
        <v>0</v>
      </c>
      <c r="P74" s="37" t="n">
        <v>40.15</v>
      </c>
      <c r="Q74" s="18" t="n">
        <v>11</v>
      </c>
      <c r="R74" s="18" t="n">
        <v>0</v>
      </c>
      <c r="S74" s="18" t="n">
        <v>0</v>
      </c>
      <c r="T74" s="18" t="n">
        <v>12.07</v>
      </c>
      <c r="U74" s="37" t="n">
        <v>23.07</v>
      </c>
      <c r="V74" s="18" t="n">
        <v>0</v>
      </c>
      <c r="W74" s="18" t="n">
        <v>4.88</v>
      </c>
      <c r="X74" s="18" t="n">
        <v>0</v>
      </c>
      <c r="Y74" s="18" t="n">
        <v>0</v>
      </c>
      <c r="Z74" s="37" t="n">
        <v>4.88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-8.550000000000001</v>
      </c>
      <c r="F75" s="9" t="n"/>
      <c r="G75" s="18" t="n">
        <v>-8.550000000000001</v>
      </c>
      <c r="H75" s="18" t="n">
        <v>-449.56</v>
      </c>
      <c r="I75" s="18" t="n">
        <v>-8.550000000000001</v>
      </c>
      <c r="J75" s="18" t="n">
        <v>-4.97</v>
      </c>
      <c r="K75" s="37" t="n">
        <v>-471.63</v>
      </c>
      <c r="L75" s="18" t="n">
        <v>-5.75</v>
      </c>
      <c r="M75" s="18" t="n">
        <v>-446.76</v>
      </c>
      <c r="N75" s="18" t="n">
        <v>-5.75</v>
      </c>
      <c r="O75" s="18" t="n">
        <v>-5.15</v>
      </c>
      <c r="P75" s="37" t="n">
        <v>-463.41</v>
      </c>
      <c r="Q75" s="18" t="n">
        <v>-6.89</v>
      </c>
      <c r="R75" s="18" t="n">
        <v>-449.8</v>
      </c>
      <c r="S75" s="18" t="n">
        <v>-8.800000000000001</v>
      </c>
      <c r="T75" s="18" t="n">
        <v>-8.710000000000001</v>
      </c>
      <c r="U75" s="37" t="n">
        <v>-474.2</v>
      </c>
      <c r="V75" s="18" t="n">
        <v>-8.59</v>
      </c>
      <c r="W75" s="18" t="n">
        <v>-137.27</v>
      </c>
      <c r="X75" s="18" t="n">
        <v>3736.25</v>
      </c>
      <c r="Y75" s="18" t="n">
        <v>-11.27</v>
      </c>
      <c r="Z75" s="37" t="n">
        <v>3579.12</v>
      </c>
      <c r="AA75" s="18" t="n">
        <v>-11.27</v>
      </c>
      <c r="AB75" s="19" t="n">
        <v>-136.34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G76" s="18" t="n">
        <v>0</v>
      </c>
      <c r="H76" s="18" t="n">
        <v>441</v>
      </c>
      <c r="I76" s="18" t="n">
        <v>0</v>
      </c>
      <c r="J76" s="18" t="n">
        <v>0</v>
      </c>
      <c r="K76" s="37" t="n">
        <v>441</v>
      </c>
      <c r="L76" s="18" t="n">
        <v>0</v>
      </c>
      <c r="M76" s="18" t="n">
        <v>441</v>
      </c>
      <c r="N76" s="18" t="n">
        <v>0</v>
      </c>
      <c r="O76" s="18" t="n">
        <v>0</v>
      </c>
      <c r="P76" s="37" t="n">
        <v>441</v>
      </c>
      <c r="S76" s="18" t="n">
        <v>0</v>
      </c>
      <c r="T76" s="18" t="n">
        <v>0</v>
      </c>
      <c r="U76" s="9" t="n"/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1506.92</v>
      </c>
      <c r="F77" s="9" t="n"/>
      <c r="G77" s="18" t="n">
        <v>-798.38</v>
      </c>
      <c r="H77" s="18" t="n">
        <v>2206.95</v>
      </c>
      <c r="I77" s="18" t="n">
        <v>220.85</v>
      </c>
      <c r="J77" s="18" t="n">
        <v>2033.47</v>
      </c>
      <c r="K77" s="37" t="n">
        <v>3662.89</v>
      </c>
      <c r="L77" s="18" t="n">
        <v>-4028.2</v>
      </c>
      <c r="M77" s="18" t="n">
        <v>1448.45</v>
      </c>
      <c r="N77" s="18" t="n">
        <v>-62.15</v>
      </c>
      <c r="O77" s="18" t="n">
        <v>2201.62</v>
      </c>
      <c r="P77" s="37" t="n">
        <v>-440.28</v>
      </c>
      <c r="Q77" s="18" t="n">
        <v>-1842.58</v>
      </c>
      <c r="R77" s="18" t="n">
        <v>2066.1</v>
      </c>
      <c r="S77" s="18" t="n">
        <v>-390.43</v>
      </c>
      <c r="T77" s="18" t="n">
        <v>1915.4</v>
      </c>
      <c r="U77" s="37" t="n">
        <v>1748.49</v>
      </c>
      <c r="V77" s="18" t="n">
        <v>-1155.95</v>
      </c>
      <c r="W77" s="18" t="n">
        <v>3041.27</v>
      </c>
      <c r="X77" s="18" t="n">
        <v>1536.5</v>
      </c>
      <c r="Y77" s="18" t="n">
        <v>-3709.21</v>
      </c>
      <c r="Z77" s="37" t="n">
        <v>-287.39</v>
      </c>
      <c r="AA77" s="18" t="n">
        <v>-4821.47</v>
      </c>
      <c r="AB77" s="19" t="n">
        <v>2882.2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743.36</v>
      </c>
      <c r="F78" s="9" t="n"/>
      <c r="G78" s="18" t="n">
        <v>1432.96</v>
      </c>
      <c r="H78" s="18" t="n">
        <v>1104.79</v>
      </c>
      <c r="I78" s="18" t="n">
        <v>140.15</v>
      </c>
      <c r="J78" s="18" t="n">
        <v>944.83</v>
      </c>
      <c r="K78" s="37" t="n">
        <v>3622.73</v>
      </c>
      <c r="L78" s="18" t="n">
        <v>1616.09</v>
      </c>
      <c r="M78" s="18" t="n">
        <v>688.59</v>
      </c>
      <c r="N78" s="18" t="n">
        <v>-26.61</v>
      </c>
      <c r="O78" s="18" t="n">
        <v>1099.83</v>
      </c>
      <c r="P78" s="37" t="n">
        <v>3377.9</v>
      </c>
      <c r="Q78" s="18" t="n">
        <v>2449.17</v>
      </c>
      <c r="R78" s="18" t="n">
        <v>1022.36</v>
      </c>
      <c r="S78" s="18" t="n">
        <v>-187.27</v>
      </c>
      <c r="T78" s="18" t="n">
        <v>1022.96</v>
      </c>
      <c r="U78" s="37" t="n">
        <v>4307.22</v>
      </c>
      <c r="V78" s="18" t="n">
        <v>3753.11</v>
      </c>
      <c r="W78" s="18" t="n">
        <v>1423.56</v>
      </c>
      <c r="X78" s="18" t="n">
        <v>828.1799999999999</v>
      </c>
      <c r="Y78" s="18" t="n">
        <v>-1827.75</v>
      </c>
      <c r="Z78" s="37" t="n">
        <v>4177.1</v>
      </c>
      <c r="AA78" s="18" t="n">
        <v>1780.49</v>
      </c>
      <c r="AB78" s="19" t="n">
        <v>1475.29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F79" s="9" t="n"/>
      <c r="G79" s="18" t="n">
        <v>38.18</v>
      </c>
      <c r="H79" s="18" t="n">
        <v>299.08</v>
      </c>
      <c r="J79" s="18" t="n">
        <v>0</v>
      </c>
      <c r="K79" s="9" t="n"/>
      <c r="L79" s="18" t="n">
        <v>140</v>
      </c>
      <c r="M79" s="18" t="n">
        <v>2.94</v>
      </c>
      <c r="N79" s="18" t="n">
        <v>0</v>
      </c>
      <c r="O79" s="18" t="n">
        <v>0</v>
      </c>
      <c r="P79" s="37" t="n">
        <v>142.94</v>
      </c>
      <c r="Q79" s="18" t="n">
        <v>0</v>
      </c>
      <c r="R79" s="18" t="n">
        <v>0</v>
      </c>
      <c r="S79" s="18" t="n">
        <v>0</v>
      </c>
      <c r="T79" s="18" t="n">
        <v>0</v>
      </c>
      <c r="U79" s="37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O80" s="18" t="n">
        <v>497.37</v>
      </c>
      <c r="P80" s="9" t="n"/>
      <c r="Q80" s="18" t="n">
        <v>5.78</v>
      </c>
      <c r="R80" s="18" t="n">
        <v>3.15</v>
      </c>
      <c r="S80" s="18" t="n">
        <v>534.26</v>
      </c>
      <c r="T80" s="18" t="n">
        <v>448.82</v>
      </c>
      <c r="U80" s="37" t="n">
        <v>992.01</v>
      </c>
      <c r="V80" s="18" t="n">
        <v>8.34</v>
      </c>
      <c r="W80" s="18" t="n">
        <v>18.42</v>
      </c>
      <c r="X80" s="18" t="n">
        <v>480.96</v>
      </c>
      <c r="Y80" s="18" t="n">
        <v>373.55</v>
      </c>
      <c r="Z80" s="37" t="n">
        <v>881.27</v>
      </c>
      <c r="AA80" s="18" t="n">
        <v>15.21</v>
      </c>
      <c r="AB80" s="19" t="n">
        <v>5.04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F81" s="9" t="n"/>
      <c r="K81" s="9" t="n"/>
      <c r="P81" s="9" t="n"/>
      <c r="U81" s="9" t="n"/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 t="n"/>
      <c r="F14" s="37" t="n"/>
      <c r="G14" s="18" t="n"/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 t="n"/>
      <c r="K14" s="37">
        <f>SUM(G14:J14)</f>
        <v/>
      </c>
      <c r="L14" s="18" t="n"/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729.91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106.48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623.4299999999999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623.4299999999999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 t="n"/>
      <c r="F23" s="37">
        <f>E23</f>
        <v/>
      </c>
      <c r="G23" s="18" t="n"/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 t="n"/>
      <c r="F24" s="37">
        <f>E24</f>
        <v/>
      </c>
      <c r="G24" s="18" t="n"/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22.02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18.34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SUM(V28:Y28)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12.6</v>
      </c>
      <c r="F29" s="28">
        <f>E29</f>
        <v/>
      </c>
      <c r="G29" s="27" t="n">
        <v>12.6</v>
      </c>
      <c r="H29" s="27" t="n">
        <v>12.6</v>
      </c>
      <c r="I29" s="27" t="n">
        <v>12.6</v>
      </c>
      <c r="J29" s="27" t="n">
        <v>12.6</v>
      </c>
      <c r="K29" s="28">
        <f>J29</f>
        <v/>
      </c>
      <c r="L29" s="27" t="n">
        <v>12.6</v>
      </c>
      <c r="M29" s="27" t="n">
        <v>12.6</v>
      </c>
      <c r="N29" s="27" t="n">
        <v>12.6</v>
      </c>
      <c r="O29" s="27" t="n">
        <v>12.6</v>
      </c>
      <c r="P29" s="28">
        <f>O29</f>
        <v/>
      </c>
      <c r="Q29" s="27" t="n">
        <v>12.6</v>
      </c>
      <c r="R29" s="27" t="n">
        <v>12.6</v>
      </c>
      <c r="S29" s="27" t="n">
        <v>12.6</v>
      </c>
      <c r="T29" s="27" t="n">
        <v>12.6</v>
      </c>
      <c r="U29" s="28">
        <f>T29</f>
        <v/>
      </c>
      <c r="V29" s="27" t="n">
        <v>12.6</v>
      </c>
      <c r="W29" s="27" t="n">
        <v>12.6</v>
      </c>
      <c r="X29" s="27" t="n">
        <v>12.6</v>
      </c>
      <c r="Y29" s="27" t="n">
        <v>12.6</v>
      </c>
      <c r="Z29" s="28">
        <f>Y29</f>
        <v/>
      </c>
      <c r="AA29" s="27" t="n">
        <v>12.6</v>
      </c>
      <c r="AB29" s="29" t="n">
        <v>12.6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</v>
      </c>
      <c r="F32" s="37" t="n">
        <v>35</v>
      </c>
      <c r="G32" s="18" t="n"/>
      <c r="H32" s="18" t="n"/>
      <c r="I32" s="18" t="n"/>
      <c r="J32" s="18" t="n">
        <v>35</v>
      </c>
      <c r="K32" s="37">
        <f>SUM(G32:J32)</f>
        <v/>
      </c>
      <c r="L32" s="18" t="n"/>
      <c r="M32" s="18" t="n"/>
      <c r="N32" s="18" t="n"/>
      <c r="O32" s="18" t="n">
        <v>35</v>
      </c>
      <c r="P32" s="37">
        <f>SUM(L32:O32)</f>
        <v/>
      </c>
      <c r="Q32" s="18" t="n"/>
      <c r="R32" s="18" t="n"/>
      <c r="S32" s="18" t="n"/>
      <c r="T32" s="18" t="n">
        <v>10</v>
      </c>
      <c r="U32" s="37">
        <f>SUM(Q32:T32)</f>
        <v/>
      </c>
      <c r="V32" s="18" t="n"/>
      <c r="W32" s="18" t="n"/>
      <c r="X32" s="18" t="n"/>
      <c r="Y32" s="18" t="n">
        <v>10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 t="n"/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 t="n"/>
      <c r="AL33" s="39" t="n"/>
      <c r="AM33" s="39" t="n"/>
      <c r="AN33" s="39" t="n"/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124.31</v>
      </c>
      <c r="F35" s="37" t="n"/>
      <c r="G35" s="18" t="n">
        <v>119.67</v>
      </c>
      <c r="H35" s="18" t="n">
        <v>119.47</v>
      </c>
      <c r="I35" s="18" t="n">
        <v>142.22</v>
      </c>
      <c r="J35" s="18" t="n">
        <v>122.82</v>
      </c>
      <c r="K35" s="37">
        <f>SUM(G35:J35)</f>
        <v/>
      </c>
      <c r="L35" s="18" t="n">
        <v>126.09</v>
      </c>
      <c r="M35" s="18" t="n">
        <v>115.03</v>
      </c>
      <c r="N35" s="18" t="n">
        <v>107.08</v>
      </c>
      <c r="O35" s="18" t="n">
        <v>110.18</v>
      </c>
      <c r="P35" s="37">
        <f>SUM(L35:O35)</f>
        <v/>
      </c>
      <c r="Q35" s="18" t="n">
        <v>104.55</v>
      </c>
      <c r="R35" s="18" t="n">
        <v>110.69</v>
      </c>
      <c r="S35" s="18" t="n">
        <v>110.5</v>
      </c>
      <c r="T35" s="18" t="n">
        <v>97.97</v>
      </c>
      <c r="U35" s="37">
        <f>SUM(Q35:T35)</f>
        <v/>
      </c>
      <c r="V35" s="18" t="n">
        <v>97.77</v>
      </c>
      <c r="W35" s="18" t="n">
        <v>114.4</v>
      </c>
      <c r="X35" s="18" t="n">
        <v>124.33</v>
      </c>
      <c r="Y35" s="18" t="n">
        <v>128.52</v>
      </c>
      <c r="Z35" s="37">
        <f>SUM(V35:Y35)</f>
        <v/>
      </c>
      <c r="AA35" s="18" t="n">
        <v>110.44</v>
      </c>
      <c r="AB35" s="19" t="n">
        <v>134.65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-7.49</v>
      </c>
      <c r="F36" s="37" t="n"/>
      <c r="G36" s="18" t="n">
        <v>5.49</v>
      </c>
      <c r="H36" s="18" t="n">
        <v>4.64</v>
      </c>
      <c r="I36" s="18" t="n">
        <v>5.21</v>
      </c>
      <c r="J36" s="18" t="n">
        <v>0.76</v>
      </c>
      <c r="K36" s="37">
        <f>SUM(G36:J36)</f>
        <v/>
      </c>
      <c r="L36" s="18" t="n">
        <v>1.84</v>
      </c>
      <c r="M36" s="18" t="n">
        <v>8.199999999999999</v>
      </c>
      <c r="N36" s="18" t="n">
        <v>-5.24</v>
      </c>
      <c r="O36" s="18" t="n">
        <v>1.34</v>
      </c>
      <c r="P36" s="37">
        <f>SUM(L36:O36)</f>
        <v/>
      </c>
      <c r="Q36" s="18" t="n">
        <v>-7.16</v>
      </c>
      <c r="R36" s="18" t="n">
        <v>2.53</v>
      </c>
      <c r="S36" s="18" t="n">
        <v>-4.14</v>
      </c>
      <c r="T36" s="18" t="n">
        <v>-4.17</v>
      </c>
      <c r="U36" s="37">
        <f>SUM(Q36:T36)</f>
        <v/>
      </c>
      <c r="V36" s="18" t="n">
        <v>-7.66</v>
      </c>
      <c r="W36" s="18" t="n">
        <v>3.68</v>
      </c>
      <c r="X36" s="18" t="n">
        <v>1.52</v>
      </c>
      <c r="Y36" s="18" t="n">
        <v>2.9</v>
      </c>
      <c r="Z36" s="37">
        <f>SUM(V36:Y36)</f>
        <v/>
      </c>
      <c r="AA36" s="18" t="n">
        <v>-3.69</v>
      </c>
      <c r="AB36" s="19" t="n">
        <v>9.630000000000001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4.7</v>
      </c>
    </row>
    <row r="30">
      <c r="C30" s="2" t="inlineStr">
        <is>
          <t>bps_latest</t>
        </is>
      </c>
      <c r="D30" t="n">
        <v>5425.8</v>
      </c>
    </row>
    <row r="31">
      <c r="C31" s="2" t="inlineStr">
        <is>
          <t>per_now</t>
        </is>
      </c>
      <c r="D31" t="n">
        <v>701.0599999999999</v>
      </c>
    </row>
    <row r="32">
      <c r="C32" s="2" t="inlineStr">
        <is>
          <t>pbr_now</t>
        </is>
      </c>
      <c r="D32" t="n">
        <v>0.61</v>
      </c>
    </row>
    <row r="33">
      <c r="C33" s="2" t="inlineStr">
        <is>
          <t>roe_fwd</t>
        </is>
      </c>
      <c r="D33" t="n">
        <v>0.0009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