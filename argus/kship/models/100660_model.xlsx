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BS연결!$C$5:$AO$76</definedName>
    <definedName name="BS별도H">BS별도!$C$1:$AO$1</definedName>
    <definedName name="BS별도">BS별도!$C$5:$AO$74</definedName>
    <definedName name="SUBQH">subQ!$A$1:$AO$1</definedName>
    <definedName name="subQ">subQ!$A$5:$AO$38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240370억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254552억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261025억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263179억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261873억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259656억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257012억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253887억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250257억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245591억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14.72%(최근 4분기 중위)</t>
      </text>
    </comment>
    <comment ref="AD22" authorId="0" shapeId="0">
      <text>
        <t>모델값 역산(implied): v / 매출액
매출액 × 판관비율 14.72%(최근 4분기 중위)</t>
      </text>
    </comment>
    <comment ref="AF22" authorId="0" shapeId="0">
      <text>
        <t>모델값 역산(implied): v / 매출액
매출액 × 판관비율 14.72%(최근 4분기 중위)</t>
      </text>
    </comment>
    <comment ref="AG22" authorId="0" shapeId="0">
      <text>
        <t>모델값 역산(implied): v / 매출액
매출액 × 판관비율 14.72%(최근 4분기 중위)</t>
      </text>
    </comment>
    <comment ref="AH22" authorId="0" shapeId="0">
      <text>
        <t>모델값 역산(implied): v / 매출액
매출액 × 판관비율 14.72%(최근 4분기 중위)</t>
      </text>
    </comment>
    <comment ref="AI22" authorId="0" shapeId="0">
      <text>
        <t>모델값 역산(implied): v / 매출액
매출액 × 판관비율 14.72%(최근 4분기 중위)</t>
      </text>
    </comment>
    <comment ref="AK22" authorId="0" shapeId="0">
      <text>
        <t>모델값 역산(implied): v / 매출액
매출액 × 판관비율 14.72%(최근 4분기 중위)</t>
      </text>
    </comment>
    <comment ref="AL22" authorId="0" shapeId="0">
      <text>
        <t>모델값 역산(implied): v / 매출액
매출액 × 판관비율 14.72%(최근 4분기 중위)</t>
      </text>
    </comment>
    <comment ref="AM22" authorId="0" shapeId="0">
      <text>
        <t>모델값 역산(implied): v / 매출액
매출액 × 판관비율 14.72%(최근 4분기 중위)</t>
      </text>
    </comment>
    <comment ref="AN22" authorId="0" shapeId="0">
      <text>
        <t>모델값 역산(implied): v / 매출액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v / 전년동기 − 1
최근 8분기 OPM 중위 -1.1% 유지</t>
      </text>
    </comment>
    <comment ref="AD24" authorId="0" shapeId="0">
      <text>
        <t>모델값 역산(implied): v / 전년동기 − 1
최근 8분기 OPM 중위 -1.1% 유지</t>
      </text>
    </comment>
    <comment ref="AF24" authorId="0" shapeId="0">
      <text>
        <t>모델값 역산(implied): v / 전년동기 − 1
최근 8분기 OPM 중위 -1.1% 유지</t>
      </text>
    </comment>
    <comment ref="AG24" authorId="0" shapeId="0">
      <text>
        <t>모델값 역산(implied): v / 전년동기 − 1
최근 8분기 OPM 중위 -1.1% 유지</t>
      </text>
    </comment>
    <comment ref="AH24" authorId="0" shapeId="0">
      <text>
        <t>모델값 역산(implied): v / 전년동기 − 1
최근 8분기 OPM 중위 -1.1% 유지</t>
      </text>
    </comment>
    <comment ref="AI24" authorId="0" shapeId="0">
      <text>
        <t>모델값 역산(implied): v / 전년동기 − 1
최근 8분기 OPM 중위 -1.1% 유지</t>
      </text>
    </comment>
    <comment ref="AK24" authorId="0" shapeId="0">
      <text>
        <t>모델값 역산(implied): v / 전년동기 − 1
최근 8분기 OPM 중위 -1.1% 유지</t>
      </text>
    </comment>
    <comment ref="AL24" authorId="0" shapeId="0">
      <text>
        <t>모델값 역산(implied): v / 전년동기 − 1
최근 8분기 OPM 중위 -1.1% 유지</t>
      </text>
    </comment>
    <comment ref="AM24" authorId="0" shapeId="0">
      <text>
        <t>모델값 역산(implied): v / 전년동기 − 1
최근 8분기 OPM 중위 -1.1% 유지</t>
      </text>
    </comment>
    <comment ref="AN24" authorId="0" shapeId="0">
      <text>
        <t>모델값 역산(implied): v / 전년동기 − 1
최근 8분기 OPM 중위 -1.1% 유지</t>
      </text>
    </comment>
    <comment ref="AC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D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F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G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H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I25" authorId="0" shapeId="0">
      <text>
        <t>모델값 역산(implied): 모델 v 그대로
이자손익 = 이자발생자산 93억 × 9.17% − 총차입금 0억 × 0.00% (연율, CF 실측) ÷ 4; 환·평가손익 0 가정</t>
      </text>
    </comment>
    <comment ref="AK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L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M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N25" authorId="0" shapeId="0">
      <text>
        <t>모델값 역산(implied): 모델 v 그대로
이자손익 = 이자발생자산 94억 × 9.17%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15.5%(최근 12분기 유효세율 15.5% → 5~27% 클립)</t>
      </text>
    </comment>
    <comment ref="AD28" authorId="0" shapeId="0">
      <text>
        <t>모델값 역산(implied): v / 세전이익
max(세전, 0) × 세율 15.5%(최근 12분기 유효세율 15.5% → 5~27% 클립)</t>
      </text>
    </comment>
    <comment ref="AF28" authorId="0" shapeId="0">
      <text>
        <t>모델값 역산(implied): v / 세전이익
max(세전, 0) × 세율 15.5%(최근 12분기 유효세율 15.5% → 5~27% 클립)</t>
      </text>
    </comment>
    <comment ref="AG28" authorId="0" shapeId="0">
      <text>
        <t>모델값 역산(implied): v / 세전이익
max(세전, 0) × 세율 15.5%(최근 12분기 유효세율 15.5% → 5~27% 클립)</t>
      </text>
    </comment>
    <comment ref="AH28" authorId="0" shapeId="0">
      <text>
        <t>모델값 역산(implied): v / 세전이익
max(세전, 0) × 세율 15.5%(최근 12분기 유효세율 15.5% → 5~27% 클립)</t>
      </text>
    </comment>
    <comment ref="AI28" authorId="0" shapeId="0">
      <text>
        <t>모델값 역산(implied): v / 세전이익
max(세전, 0) × 세율 15.5%(최근 12분기 유효세율 15.5% → 5~27% 클립)</t>
      </text>
    </comment>
    <comment ref="AK28" authorId="0" shapeId="0">
      <text>
        <t>모델값 역산(implied): v / 세전이익
max(세전, 0) × 세율 15.5%(최근 12분기 유효세율 15.5% → 5~27% 클립)</t>
      </text>
    </comment>
    <comment ref="AL28" authorId="0" shapeId="0">
      <text>
        <t>모델값 역산(implied): v / 세전이익
max(세전, 0) × 세율 15.5%(최근 12분기 유효세율 15.5% → 5~27% 클립)</t>
      </text>
    </comment>
    <comment ref="AM28" authorId="0" shapeId="0">
      <text>
        <t>모델값 역산(implied): v / 세전이익
max(세전, 0) × 세율 15.5%(최근 12분기 유효세율 15.5% → 5~27% 클립)</t>
      </text>
    </comment>
    <comment ref="AN28" authorId="0" shapeId="0">
      <text>
        <t>모델값 역산(implied): v / 세전이익
max(세전, 0) × 세율 15.5%(최근 12분기 유효세율 15.5% → 5~27% 클립)</t>
      </text>
    </comment>
    <comment ref="AC29" authorId="0" shapeId="0">
      <text>
        <t>모델값 역산(implied): v / 당기순이익
당기순이익 × (1 − 비지배 비중 1.1%, 최근 8분기 실측)</t>
      </text>
    </comment>
    <comment ref="AD29" authorId="0" shapeId="0">
      <text>
        <t>모델값 역산(implied): v / 당기순이익
당기순이익 × (1 − 비지배 비중 1.1%, 최근 8분기 실측)</t>
      </text>
    </comment>
    <comment ref="AF29" authorId="0" shapeId="0">
      <text>
        <t>모델값 역산(implied): v / 당기순이익
당기순이익 × (1 − 비지배 비중 1.1%, 최근 8분기 실측)</t>
      </text>
    </comment>
    <comment ref="AG29" authorId="0" shapeId="0">
      <text>
        <t>모델값 역산(implied): v / 당기순이익
당기순이익 × (1 − 비지배 비중 1.1%, 최근 8분기 실측)</t>
      </text>
    </comment>
    <comment ref="AH29" authorId="0" shapeId="0">
      <text>
        <t>모델값 역산(implied): v / 당기순이익
당기순이익 × (1 − 비지배 비중 1.1%, 최근 8분기 실측)</t>
      </text>
    </comment>
    <comment ref="AI29" authorId="0" shapeId="0">
      <text>
        <t>모델값 역산(implied): v / 당기순이익
당기순이익 × (1 − 비지배 비중 1.1%, 최근 8분기 실측)</t>
      </text>
    </comment>
    <comment ref="AK29" authorId="0" shapeId="0">
      <text>
        <t>모델값 역산(implied): v / 당기순이익
당기순이익 × (1 − 비지배 비중 1.1%, 최근 8분기 실측)</t>
      </text>
    </comment>
    <comment ref="AL29" authorId="0" shapeId="0">
      <text>
        <t>모델값 역산(implied): v / 당기순이익
당기순이익 × (1 − 비지배 비중 1.1%, 최근 8분기 실측)</t>
      </text>
    </comment>
    <comment ref="AM29" authorId="0" shapeId="0">
      <text>
        <t>모델값 역산(implied): v / 당기순이익
당기순이익 × (1 − 비지배 비중 1.1%, 최근 8분기 실측)</t>
      </text>
    </comment>
    <comment ref="AN29" authorId="0" shapeId="0">
      <text>
        <t>모델값 역산(implied): v / 당기순이익
당기순이익 × (1 − 비지배 비중 1.1%,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전분기 + (순이익 − 배당) — 순차입금 롤과 같은 가정</t>
      </text>
    </comment>
    <comment ref="AD33" authorId="0" shapeId="0">
      <text>
        <t>모델값 역산(implied): v / 전분기 − 1
전분기 + (순이익 − 배당) — 순차입금 롤과 같은 가정</t>
      </text>
    </comment>
    <comment ref="AF33" authorId="0" shapeId="0">
      <text>
        <t>모델값 역산(implied): v / 전분기 − 1
전분기 + (순이익 − 배당) — 순차입금 롤과 같은 가정</t>
      </text>
    </comment>
    <comment ref="AG33" authorId="0" shapeId="0">
      <text>
        <t>모델값 역산(implied): v / 전분기 − 1
전분기 + (순이익 − 배당) — 순차입금 롤과 같은 가정</t>
      </text>
    </comment>
    <comment ref="AH33" authorId="0" shapeId="0">
      <text>
        <t>모델값 역산(implied): v / 전분기 − 1
전분기 + (순이익 − 배당) — 순차입금 롤과 같은 가정</t>
      </text>
    </comment>
    <comment ref="AI33" authorId="0" shapeId="0">
      <text>
        <t>모델값 역산(implied): v / 전분기 − 1
전분기 + (순이익 − 배당) — 순차입금 롤과 같은 가정</t>
      </text>
    </comment>
    <comment ref="AK33" authorId="0" shapeId="0">
      <text>
        <t>모델값 역산(implied): v / 전분기 − 1
전분기 + (순이익 − 배당) — 순차입금 롤과 같은 가정</t>
      </text>
    </comment>
    <comment ref="AL33" authorId="0" shapeId="0">
      <text>
        <t>모델값 역산(implied): v / 전분기 − 1
전분기 + (순이익 − 배당) — 순차입금 롤과 같은 가정</t>
      </text>
    </comment>
    <comment ref="AM33" authorId="0" shapeId="0">
      <text>
        <t>모델값 역산(implied): v / 전분기 − 1
전분기 + (순이익 − 배당) — 순차입금 롤과 같은 가정</t>
      </text>
    </comment>
    <comment ref="AN33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전년동기 − 1
직전 결산 DPS 10원 유지</t>
      </text>
    </comment>
    <comment ref="AI38" authorId="0" shapeId="0">
      <text>
        <t>모델값 역산(implied): v / 전년동기 − 1
직전 결산 DPS 10원 유지</t>
      </text>
    </comment>
    <comment ref="AN38" authorId="0" shapeId="0">
      <text>
        <t>모델값 역산(implied): v / 전년동기 − 1
직전 결산 DPS 10원 유지</t>
      </text>
    </comment>
    <comment ref="AC39" authorId="0" shapeId="0">
      <text>
        <t>모델값 역산(implied): v / 전년동기 − 1
현재 종가 ÷ TTM EPS(추정 포함)</t>
      </text>
    </comment>
    <comment ref="AD39" authorId="0" shapeId="0">
      <text>
        <t>모델값 역산(implied): v / 전년동기 − 1
현재 종가 ÷ TTM EPS(추정 포함)</t>
      </text>
    </comment>
    <comment ref="AF39" authorId="0" shapeId="0">
      <text>
        <t>모델값 역산(implied): v / 전년동기 − 1
현재 종가 ÷ TTM EPS(추정 포함)</t>
      </text>
    </comment>
    <comment ref="AG39" authorId="0" shapeId="0">
      <text>
        <t>모델값 역산(implied): v / 전년동기 − 1
현재 종가 ÷ TTM EPS(추정 포함)</t>
      </text>
    </comment>
    <comment ref="AH39" authorId="0" shapeId="0">
      <text>
        <t>모델값 역산(implied): v / 전년동기 − 1
현재 종가 ÷ TTM EPS(추정 포함)</t>
      </text>
    </comment>
    <comment ref="AI39" authorId="0" shapeId="0">
      <text>
        <t>모델값 역산(implied): v / 전년동기 − 1
현재 종가 ÷ TTM EPS(추정 포함)</t>
      </text>
    </comment>
    <comment ref="AK39" authorId="0" shapeId="0">
      <text>
        <t>모델값 역산(implied): v / 전년동기 − 1
현재 종가 ÷ TTM EPS(추정 포함)</t>
      </text>
    </comment>
    <comment ref="AL39" authorId="0" shapeId="0">
      <text>
        <t>모델값 역산(implied): v / 전년동기 − 1
현재 종가 ÷ TTM EPS(추정 포함)</t>
      </text>
    </comment>
    <comment ref="AM39" authorId="0" shapeId="0">
      <text>
        <t>모델값 역산(implied): v / 전년동기 − 1
현재 종가 ÷ TTM EPS(추정 포함)</t>
      </text>
    </comment>
    <comment ref="AN39" authorId="0" shapeId="0">
      <text>
        <t>모델값 역산(implied): v / 전년동기 − 1
현재 종가 ÷ TTM EPS(추정 포함)</t>
      </text>
    </comment>
    <comment ref="AC40" authorId="0" shapeId="0">
      <text>
        <t>모델값 역산(implied): v / 전년동기 − 1
현재 종가 ÷ BPS(추정 포함)</t>
      </text>
    </comment>
    <comment ref="AD40" authorId="0" shapeId="0">
      <text>
        <t>모델값 역산(implied): v / 전년동기 − 1
현재 종가 ÷ BPS(추정 포함)</t>
      </text>
    </comment>
    <comment ref="AF40" authorId="0" shapeId="0">
      <text>
        <t>모델값 역산(implied): v / 전년동기 − 1
현재 종가 ÷ BPS(추정 포함)</t>
      </text>
    </comment>
    <comment ref="AG40" authorId="0" shapeId="0">
      <text>
        <t>모델값 역산(implied): v / 전년동기 − 1
현재 종가 ÷ BPS(추정 포함)</t>
      </text>
    </comment>
    <comment ref="AH40" authorId="0" shapeId="0">
      <text>
        <t>모델값 역산(implied): v / 전년동기 − 1
현재 종가 ÷ BPS(추정 포함)</t>
      </text>
    </comment>
    <comment ref="AI40" authorId="0" shapeId="0">
      <text>
        <t>모델값 역산(implied): v / 전년동기 − 1
현재 종가 ÷ BPS(추정 포함)</t>
      </text>
    </comment>
    <comment ref="AK40" authorId="0" shapeId="0">
      <text>
        <t>모델값 역산(implied): v / 전년동기 − 1
현재 종가 ÷ BPS(추정 포함)</t>
      </text>
    </comment>
    <comment ref="AL40" authorId="0" shapeId="0">
      <text>
        <t>모델값 역산(implied): v / 전년동기 − 1
현재 종가 ÷ BPS(추정 포함)</t>
      </text>
    </comment>
    <comment ref="AM40" authorId="0" shapeId="0">
      <text>
        <t>모델값 역산(implied): v / 전년동기 − 1
현재 종가 ÷ BPS(추정 포함)</t>
      </text>
    </comment>
    <comment ref="AN40" authorId="0" shapeId="0">
      <text>
        <t>모델값 역산(implied): v / 전년동기 − 1
현재 종가 ÷ BPS(추정 포함)</t>
      </text>
    </comment>
    <comment ref="AC41" authorId="0" shapeId="0">
      <text>
        <t>모델값 역산(implied): v / 매출액
= 매출액 추정(부문 미분리)</t>
      </text>
    </comment>
    <comment ref="AD41" authorId="0" shapeId="0">
      <text>
        <t>모델값 역산(implied): v / 매출액
= 매출액 추정(부문 미분리)</t>
      </text>
    </comment>
    <comment ref="AF41" authorId="0" shapeId="0">
      <text>
        <t>모델값 역산(implied): v / 매출액
= 매출액 추정(부문 미분리)</t>
      </text>
    </comment>
    <comment ref="AG41" authorId="0" shapeId="0">
      <text>
        <t>모델값 역산(implied): v / 매출액
= 매출액 추정(부문 미분리)</t>
      </text>
    </comment>
    <comment ref="AH41" authorId="0" shapeId="0">
      <text>
        <t>모델값 역산(implied): v / 매출액
= 매출액 추정(부문 미분리)</t>
      </text>
    </comment>
    <comment ref="AI41" authorId="0" shapeId="0">
      <text>
        <t>모델값 역산(implied): v / 매출액
= 매출액 추정(부문 미분리)</t>
      </text>
    </comment>
    <comment ref="AK41" authorId="0" shapeId="0">
      <text>
        <t>모델값 역산(implied): v / 매출액
= 매출액 추정(부문 미분리)</t>
      </text>
    </comment>
    <comment ref="AL41" authorId="0" shapeId="0">
      <text>
        <t>모델값 역산(implied): v / 매출액
= 매출액 추정(부문 미분리)</t>
      </text>
    </comment>
    <comment ref="AM41" authorId="0" shapeId="0">
      <text>
        <t>모델값 역산(implied): v / 매출액
= 매출액 추정(부문 미분리)</t>
      </text>
    </comment>
    <comment ref="AN41" authorId="0" shapeId="0">
      <text>
        <t>모델값 역산(implied): v / 매출액
= 매출액 추정(부문 미분리)</t>
      </text>
    </comment>
    <comment ref="AC42" authorId="0" shapeId="0">
      <text>
        <t>모델값 역산(implied): v / 매출전사
= 매출액 × OPM(부문 미분리)</t>
      </text>
    </comment>
    <comment ref="AD42" authorId="0" shapeId="0">
      <text>
        <t>모델값 역산(implied): v / 매출전사
= 매출액 × OPM(부문 미분리)</t>
      </text>
    </comment>
    <comment ref="AF42" authorId="0" shapeId="0">
      <text>
        <t>모델값 역산(implied): v / 매출전사
= 매출액 × OPM(부문 미분리)</t>
      </text>
    </comment>
    <comment ref="AG42" authorId="0" shapeId="0">
      <text>
        <t>모델값 역산(implied): v / 매출전사
= 매출액 × OPM(부문 미분리)</t>
      </text>
    </comment>
    <comment ref="AH42" authorId="0" shapeId="0">
      <text>
        <t>모델값 역산(implied): v / 매출전사
= 매출액 × OPM(부문 미분리)</t>
      </text>
    </comment>
    <comment ref="AI42" authorId="0" shapeId="0">
      <text>
        <t>모델값 역산(implied): v / 매출전사
= 매출액 × OPM(부문 미분리)</t>
      </text>
    </comment>
    <comment ref="AK42" authorId="0" shapeId="0">
      <text>
        <t>모델값 역산(implied): v / 매출전사
= 매출액 × OPM(부문 미분리)</t>
      </text>
    </comment>
    <comment ref="AL42" authorId="0" shapeId="0">
      <text>
        <t>모델값 역산(implied): v / 매출전사
= 매출액 × OPM(부문 미분리)</t>
      </text>
    </comment>
    <comment ref="AM42" authorId="0" shapeId="0">
      <text>
        <t>모델값 역산(implied): v / 매출전사
= 매출액 × OPM(부문 미분리)</t>
      </text>
    </comment>
    <comment ref="AN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240370억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254552억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261025억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263179억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261873억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259656억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257012억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253887억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250257억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245591억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-1.1% 유지
[yoy]</t>
      </text>
    </comment>
    <comment ref="AD10" authorId="0" shapeId="0">
      <text>
        <t>추정: 최근 8분기 OPM 중위 -1.1% 유지
[yoy]</t>
      </text>
    </comment>
    <comment ref="AF10" authorId="0" shapeId="0">
      <text>
        <t>추정: 최근 8분기 OPM 중위 -1.1% 유지
[yoy]</t>
      </text>
    </comment>
    <comment ref="AG10" authorId="0" shapeId="0">
      <text>
        <t>추정: 최근 8분기 OPM 중위 -1.1% 유지
[yoy]</t>
      </text>
    </comment>
    <comment ref="AH10" authorId="0" shapeId="0">
      <text>
        <t>추정: 최근 8분기 OPM 중위 -1.1% 유지
[yoy]</t>
      </text>
    </comment>
    <comment ref="AI10" authorId="0" shapeId="0">
      <text>
        <t>추정: 최근 8분기 OPM 중위 -1.1% 유지
[yoy]</t>
      </text>
    </comment>
    <comment ref="AK10" authorId="0" shapeId="0">
      <text>
        <t>추정: 최근 8분기 OPM 중위 -1.1% 유지
[yoy]</t>
      </text>
    </comment>
    <comment ref="AL10" authorId="0" shapeId="0">
      <text>
        <t>추정: 최근 8분기 OPM 중위 -1.1% 유지
[yoy]</t>
      </text>
    </comment>
    <comment ref="AM10" authorId="0" shapeId="0">
      <text>
        <t>추정: 최근 8분기 OPM 중위 -1.1% 유지
[yoy]</t>
      </text>
    </comment>
    <comment ref="AN10" authorId="0" shapeId="0">
      <text>
        <t>추정: 최근 8분기 OPM 중위 -1.1% 유지
[yoy]</t>
      </text>
    </comment>
    <comment ref="AC11" authorId="0" shapeId="0">
      <text>
        <t>추정: 이자손익 = 이자발생자산 93억 × 9.17% − 총차입금 0억 × 0.00% (연율, CF 실측) ÷ 4; 환·평가손익 0 가정
[abs]</t>
      </text>
    </comment>
    <comment ref="AD11" authorId="0" shapeId="0">
      <text>
        <t>추정: 이자손익 = 이자발생자산 93억 × 9.17% − 총차입금 0억 × 0.00% (연율, CF 실측) ÷ 4; 환·평가손익 0 가정
[abs]</t>
      </text>
    </comment>
    <comment ref="AF11" authorId="0" shapeId="0">
      <text>
        <t>추정: 이자손익 = 이자발생자산 94억 × 9.17% − 총차입금 0억 × 0.00% (연율, CF 실측) ÷ 4; 환·평가손익 0 가정
[abs]</t>
      </text>
    </comment>
    <comment ref="AG11" authorId="0" shapeId="0">
      <text>
        <t>추정: 이자손익 = 이자발생자산 94억 × 9.17% − 총차입금 0억 × 0.00% (연율, CF 실측) ÷ 4; 환·평가손익 0 가정
[abs]</t>
      </text>
    </comment>
    <comment ref="AH11" authorId="0" shapeId="0">
      <text>
        <t>추정: 이자손익 = 이자발생자산 93억 × 9.17% − 총차입금 0억 × 0.00% (연율, CF 실측) ÷ 4; 환·평가손익 0 가정
[abs]</t>
      </text>
    </comment>
    <comment ref="AI11" authorId="0" shapeId="0">
      <text>
        <t>추정: 이자손익 = 이자발생자산 93억 × 9.17% − 총차입금 0억 × 0.00% (연율, CF 실측) ÷ 4; 환·평가손익 0 가정
[abs]</t>
      </text>
    </comment>
    <comment ref="AK11" authorId="0" shapeId="0">
      <text>
        <t>추정: 이자손익 = 이자발생자산 94억 × 9.17% − 총차입금 0억 × 0.00% (연율, CF 실측) ÷ 4; 환·평가손익 0 가정
[abs]</t>
      </text>
    </comment>
    <comment ref="AL11" authorId="0" shapeId="0">
      <text>
        <t>추정: 이자손익 = 이자발생자산 94억 × 9.17% − 총차입금 0억 × 0.00% (연율, CF 실측) ÷ 4; 환·평가손익 0 가정
[abs]</t>
      </text>
    </comment>
    <comment ref="AM11" authorId="0" shapeId="0">
      <text>
        <t>추정: 이자손익 = 이자발생자산 94억 × 9.17% − 총차입금 0억 × 0.00% (연율, CF 실측) ÷ 4; 환·평가손익 0 가정
[abs]</t>
      </text>
    </comment>
    <comment ref="AN11" authorId="0" shapeId="0">
      <text>
        <t>추정: 이자손익 = 이자발생자산 94억 × 9.17%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15.5%(최근 12분기 유효세율 15.5% → 5~27% 클립)
[ratio]</t>
      </text>
    </comment>
    <comment ref="AD15" authorId="0" shapeId="0">
      <text>
        <t>추정: max(세전, 0) × 세율 15.5%(최근 12분기 유효세율 15.5% → 5~27% 클립)
[ratio]</t>
      </text>
    </comment>
    <comment ref="AF15" authorId="0" shapeId="0">
      <text>
        <t>추정: max(세전, 0) × 세율 15.5%(최근 12분기 유효세율 15.5% → 5~27% 클립)
[ratio]</t>
      </text>
    </comment>
    <comment ref="AG15" authorId="0" shapeId="0">
      <text>
        <t>추정: max(세전, 0) × 세율 15.5%(최근 12분기 유효세율 15.5% → 5~27% 클립)
[ratio]</t>
      </text>
    </comment>
    <comment ref="AH15" authorId="0" shapeId="0">
      <text>
        <t>추정: max(세전, 0) × 세율 15.5%(최근 12분기 유효세율 15.5% → 5~27% 클립)
[ratio]</t>
      </text>
    </comment>
    <comment ref="AI15" authorId="0" shapeId="0">
      <text>
        <t>추정: max(세전, 0) × 세율 15.5%(최근 12분기 유효세율 15.5% → 5~27% 클립)
[ratio]</t>
      </text>
    </comment>
    <comment ref="AK15" authorId="0" shapeId="0">
      <text>
        <t>추정: max(세전, 0) × 세율 15.5%(최근 12분기 유효세율 15.5% → 5~27% 클립)
[ratio]</t>
      </text>
    </comment>
    <comment ref="AL15" authorId="0" shapeId="0">
      <text>
        <t>추정: max(세전, 0) × 세율 15.5%(최근 12분기 유효세율 15.5% → 5~27% 클립)
[ratio]</t>
      </text>
    </comment>
    <comment ref="AM15" authorId="0" shapeId="0">
      <text>
        <t>추정: max(세전, 0) × 세율 15.5%(최근 12분기 유효세율 15.5% → 5~27% 클립)
[ratio]</t>
      </text>
    </comment>
    <comment ref="AN15" authorId="0" shapeId="0">
      <text>
        <t>추정: max(세전, 0) × 세율 15.5%(최근 12분기 유효세율 15.5%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1.1%, 최근 8분기 실측)
[ratio]</t>
      </text>
    </comment>
    <comment ref="AD17" authorId="0" shapeId="0">
      <text>
        <t>추정: 당기순이익 × (1 − 비지배 비중 1.1%, 최근 8분기 실측)
[ratio]</t>
      </text>
    </comment>
    <comment ref="AF17" authorId="0" shapeId="0">
      <text>
        <t>추정: 당기순이익 × (1 − 비지배 비중 1.1%, 최근 8분기 실측)
[ratio]</t>
      </text>
    </comment>
    <comment ref="AG17" authorId="0" shapeId="0">
      <text>
        <t>추정: 당기순이익 × (1 − 비지배 비중 1.1%, 최근 8분기 실측)
[ratio]</t>
      </text>
    </comment>
    <comment ref="AH17" authorId="0" shapeId="0">
      <text>
        <t>추정: 당기순이익 × (1 − 비지배 비중 1.1%, 최근 8분기 실측)
[ratio]</t>
      </text>
    </comment>
    <comment ref="AI17" authorId="0" shapeId="0">
      <text>
        <t>추정: 당기순이익 × (1 − 비지배 비중 1.1%, 최근 8분기 실측)
[ratio]</t>
      </text>
    </comment>
    <comment ref="AK17" authorId="0" shapeId="0">
      <text>
        <t>추정: 당기순이익 × (1 − 비지배 비중 1.1%, 최근 8분기 실측)
[ratio]</t>
      </text>
    </comment>
    <comment ref="AL17" authorId="0" shapeId="0">
      <text>
        <t>추정: 당기순이익 × (1 − 비지배 비중 1.1%, 최근 8분기 실측)
[ratio]</t>
      </text>
    </comment>
    <comment ref="AM17" authorId="0" shapeId="0">
      <text>
        <t>추정: 당기순이익 × (1 − 비지배 비중 1.1%, 최근 8분기 실측)
[ratio]</t>
      </text>
    </comment>
    <comment ref="AN17" authorId="0" shapeId="0">
      <text>
        <t>추정: 당기순이익 × (1 − 비지배 비중 1.1%,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(순이익 − 배당) — 순차입금 롤과 같은 가정
[qoq]</t>
      </text>
    </comment>
    <comment ref="AD22" authorId="0" shapeId="0">
      <text>
        <t>추정: 전분기 + (순이익 − 배당) — 순차입금 롤과 같은 가정
[qoq]</t>
      </text>
    </comment>
    <comment ref="AF22" authorId="0" shapeId="0">
      <text>
        <t>추정: 전분기 + (순이익 − 배당) — 순차입금 롤과 같은 가정
[qoq]</t>
      </text>
    </comment>
    <comment ref="AG22" authorId="0" shapeId="0">
      <text>
        <t>추정: 전분기 + (순이익 − 배당) — 순차입금 롤과 같은 가정
[qoq]</t>
      </text>
    </comment>
    <comment ref="AH22" authorId="0" shapeId="0">
      <text>
        <t>추정: 전분기 + (순이익 − 배당) — 순차입금 롤과 같은 가정
[qoq]</t>
      </text>
    </comment>
    <comment ref="AI22" authorId="0" shapeId="0">
      <text>
        <t>추정: 전분기 + (순이익 − 배당) — 순차입금 롤과 같은 가정
[qoq]</t>
      </text>
    </comment>
    <comment ref="AK22" authorId="0" shapeId="0">
      <text>
        <t>추정: 전분기 + (순이익 − 배당) — 순차입금 롤과 같은 가정
[qoq]</t>
      </text>
    </comment>
    <comment ref="AL22" authorId="0" shapeId="0">
      <text>
        <t>추정: 전분기 + (순이익 − 배당) — 순차입금 롤과 같은 가정
[qoq]</t>
      </text>
    </comment>
    <comment ref="AM22" authorId="0" shapeId="0">
      <text>
        <t>추정: 전분기 + (순이익 − 배당) — 순차입금 롤과 같은 가정
[qoq]</t>
      </text>
    </comment>
    <comment ref="AN22" authorId="0" shapeId="0">
      <text>
        <t>추정: 전분기 + (순이익 − 배당) — 순차입금 롤과 같은 가정
[qoq]</t>
      </text>
    </comment>
    <comment ref="F23" authorId="0" shapeId="0">
      <text>
        <t>연간 실측(BS 시트에 2021.12A 없음 — 모델 a 값 직접)</t>
      </text>
    </comment>
    <comment ref="E25" authorId="0" shapeId="0">
      <text>
        <t>실측(계정 매핑 없음 — 모델값 직접) — fin.sep.cf.영업활동으로인한현금흐름 (연결 손익 없는 분기 → 별도 보충)</t>
      </text>
    </comment>
    <comment ref="G25" authorId="0" shapeId="0">
      <text>
        <t>실측(계정 매핑 없음 — 모델값 직접) — fin.sep.cf.영업활동으로인한현금흐름 (연결 손익 없는 분기 → 별도 보충)</t>
      </text>
    </comment>
    <comment ref="H25" authorId="0" shapeId="0">
      <text>
        <t>실측(계정 매핑 없음 — 모델값 직접) — fin.sep.cf.영업활동으로인한현금흐름 (연결 손익 없는 분기 → 별도 보충)</t>
      </text>
    </comment>
    <comment ref="I25" authorId="0" shapeId="0">
      <text>
        <t>실측(계정 매핑 없음 — 모델값 직접) — fin.sep.cf.영업활동으로인한현금흐름 (연결 손익 없는 분기 → 별도 보충)</t>
      </text>
    </comment>
    <comment ref="J25" authorId="0" shapeId="0">
      <text>
        <t>실측(계정 매핑 없음 — 모델값 직접) — fin.sep.cf.영업활동으로인한현금흐름 (연결 손익 없는 분기 → 별도 보충)</t>
      </text>
    </comment>
    <comment ref="L25" authorId="0" shapeId="0">
      <text>
        <t>실측(계정 매핑 없음 — 모델값 직접) — fin.sep.cf.영업활동으로인한현금흐름 (연결 손익 없는 분기 → 별도 보충)</t>
      </text>
    </comment>
    <comment ref="M25" authorId="0" shapeId="0">
      <text>
        <t>실측(계정 매핑 없음 — 모델값 직접) — fin.sep.cf.영업활동으로인한현금흐름 (연결 손익 없는 분기 → 별도 보충)</t>
      </text>
    </comment>
    <comment ref="N25" authorId="0" shapeId="0">
      <text>
        <t>실측(계정 매핑 없음 — 모델값 직접) — fin.sep.cf.영업활동으로인한현금흐름 (연결 손익 없는 분기 → 별도 보충)</t>
      </text>
    </comment>
    <comment ref="O25" authorId="0" shapeId="0">
      <text>
        <t>실측(계정 매핑 없음 — 모델값 직접) — fin.sep.cf.영업활동으로인한현금흐름 (연결 손익 없는 분기 → 별도 보충)</t>
      </text>
    </comment>
    <comment ref="Q25" authorId="0" shapeId="0">
      <text>
        <t>실측(계정 매핑 없음 — 모델값 직접) — fin.sep.cf.영업활동으로인한현금흐름 (연결 손익 없는 분기 → 별도 보충)</t>
      </text>
    </comment>
    <comment ref="R25" authorId="0" shapeId="0">
      <text>
        <t>실측(계정 매핑 없음 — 모델값 직접) — fin.sep.cf.영업활동으로인한현금흐름 (연결 손익 없는 분기 → 별도 보충)</t>
      </text>
    </comment>
    <comment ref="S25" authorId="0" shapeId="0">
      <text>
        <t>실측(계정 매핑 없음 — 모델값 직접) — fin.sep.cf.영업활동으로인한현금흐름 (연결 손익 없는 분기 → 별도 보충)</t>
      </text>
    </comment>
    <comment ref="T25" authorId="0" shapeId="0">
      <text>
        <t>실측(계정 매핑 없음 — 모델값 직접) — fin.sep.cf.영업활동으로인한현금흐름 (연결 손익 없는 분기 → 별도 보충)</t>
      </text>
    </comment>
    <comment ref="V25" authorId="0" shapeId="0">
      <text>
        <t>실측(계정 매핑 없음 — 모델값 직접) — fin.sep.cf.영업활동으로인한현금흐름 (연결 손익 없는 분기 → 별도 보충)</t>
      </text>
    </comment>
    <comment ref="W25" authorId="0" shapeId="0">
      <text>
        <t>실측(계정 매핑 없음 — 모델값 직접) — fin.sep.cf.영업활동으로인한현금흐름 (연결 손익 없는 분기 → 별도 보충)</t>
      </text>
    </comment>
    <comment ref="X25" authorId="0" shapeId="0">
      <text>
        <t>실측(계정 매핑 없음 — 모델값 직접) — fin.cons.cf.영업활동으로인한현금흐름</t>
      </text>
    </comment>
    <comment ref="Y25" authorId="0" shapeId="0">
      <text>
        <t>실측(계정 매핑 없음 — 모델값 직접) — fin.cons.cf.영업활동으로인한현금흐름</t>
      </text>
    </comment>
    <comment ref="AA25" authorId="0" shapeId="0">
      <text>
        <t>실측(계정 매핑 없음 — 모델값 직접) — fin.cons.cf.영업활동으로인한현금흐름</t>
      </text>
    </comment>
    <comment ref="AB25" authorId="0" shapeId="0">
      <text>
        <t>실측(계정 매핑 없음 — 모델값 직접) — fin.cons.cf.영업활동으로인한현금흐름</t>
      </text>
    </comment>
    <comment ref="E26" authorId="0" shapeId="0">
      <text>
        <t>실측(계정 매핑 없음 — 모델값 직접) — fin.shares.common_outstanding</t>
      </text>
    </comment>
    <comment ref="G26" authorId="0" shapeId="0">
      <text>
        <t>실측(계정 매핑 없음 — 모델값 직접) — fin.shares.common_outstanding</t>
      </text>
    </comment>
    <comment ref="H26" authorId="0" shapeId="0">
      <text>
        <t>실측(계정 매핑 없음 — 모델값 직접) — fin.shares.common_outstanding</t>
      </text>
    </comment>
    <comment ref="I26" authorId="0" shapeId="0">
      <text>
        <t>실측(계정 매핑 없음 — 모델값 직접) — fin.shares.common_outstanding</t>
      </text>
    </comment>
    <comment ref="J26" authorId="0" shapeId="0">
      <text>
        <t>실측(계정 매핑 없음 — 모델값 직접) — fin.shares.common_outstanding</t>
      </text>
    </comment>
    <comment ref="L26" authorId="0" shapeId="0">
      <text>
        <t>실측(계정 매핑 없음 — 모델값 직접) — fin.shares.common_outstanding</t>
      </text>
    </comment>
    <comment ref="M26" authorId="0" shapeId="0">
      <text>
        <t>실측(계정 매핑 없음 — 모델값 직접) — fin.shares.common_outstanding</t>
      </text>
    </comment>
    <comment ref="N26" authorId="0" shapeId="0">
      <text>
        <t>실측(계정 매핑 없음 — 모델값 직접) — fin.shares.common_outstanding</t>
      </text>
    </comment>
    <comment ref="O26" authorId="0" shapeId="0">
      <text>
        <t>실측(계정 매핑 없음 — 모델값 직접) — fin.shares.common_outstanding</t>
      </text>
    </comment>
    <comment ref="Q26" authorId="0" shapeId="0">
      <text>
        <t>실측(계정 매핑 없음 — 모델값 직접) — fin.shares.common_outstanding</t>
      </text>
    </comment>
    <comment ref="R26" authorId="0" shapeId="0">
      <text>
        <t>실측(계정 매핑 없음 — 모델값 직접) — fin.shares.common_outstanding</t>
      </text>
    </comment>
    <comment ref="S26" authorId="0" shapeId="0">
      <text>
        <t>실측(계정 매핑 없음 — 모델값 직접) — fin.shares.common_outstanding</t>
      </text>
    </comment>
    <comment ref="T26" authorId="0" shapeId="0">
      <text>
        <t>실측(계정 매핑 없음 — 모델값 직접) — fin.shares.common_outstanding</t>
      </text>
    </comment>
    <comment ref="V26" authorId="0" shapeId="0">
      <text>
        <t>실측(계정 매핑 없음 — 모델값 직접) — fin.shares.common_outstanding</t>
      </text>
    </comment>
    <comment ref="W26" authorId="0" shapeId="0">
      <text>
        <t>실측(계정 매핑 없음 — 모델값 직접) — fin.shares.common_outstanding</t>
      </text>
    </comment>
    <comment ref="X26" authorId="0" shapeId="0">
      <text>
        <t>실측(계정 매핑 없음 — 모델값 직접) — fin.shares.common_outstanding</t>
      </text>
    </comment>
    <comment ref="Y26" authorId="0" shapeId="0">
      <text>
        <t>실측(계정 매핑 없음 — 모델값 직접) — fin.shares.common_outstanding</t>
      </text>
    </comment>
    <comment ref="AA26" authorId="0" shapeId="0">
      <text>
        <t>실측(계정 매핑 없음 — 모델값 직접) — fin.shares.common_outstanding</t>
      </text>
    </comment>
    <comment ref="AB26" authorId="0" shapeId="0">
      <text>
        <t>실측(계정 매핑 없음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 — 모델값 직접) — fin.dividend.dps_common(연간, Q4 에 표기)</t>
      </text>
    </comment>
    <comment ref="O29" authorId="0" shapeId="0">
      <text>
        <t>실측(계정 매핑 없음 — 모델값 직접) — fin.dividend.dps_common(연간, Q4 에 표기)</t>
      </text>
    </comment>
    <comment ref="T29" authorId="0" shapeId="0">
      <text>
        <t>실측(계정 매핑 없음 — 모델값 직접) — fin.dividend.dps_common(연간, Q4 에 표기)</t>
      </text>
    </comment>
    <comment ref="Y29" authorId="0" shapeId="0">
      <text>
        <t>실측(계정 매핑 없음 — 모델값 직접) — fin.dividend.dps_common(연간, Q4 에 표기)</t>
      </text>
    </comment>
    <comment ref="AD29" authorId="0" shapeId="0">
      <text>
        <t>추정: 직전 결산 DPS 10원 유지
[yoy]</t>
      </text>
    </comment>
    <comment ref="AI29" authorId="0" shapeId="0">
      <text>
        <t>추정: 직전 결산 DPS 10원 유지
[yoy]</t>
      </text>
    </comment>
    <comment ref="AN29" authorId="0" shapeId="0">
      <text>
        <t>추정: 직전 결산 DPS 10원 유지
[yoy]</t>
      </text>
    </comment>
    <comment ref="I30" authorId="0" shapeId="0">
      <text>
        <t>실측(계정 매핑 없음 — 모델값 직접) — 토스 일봉 분기 평균 ÷ TTM EPS</t>
      </text>
    </comment>
    <comment ref="J30" authorId="0" shapeId="0">
      <text>
        <t>실측(계정 매핑 없음 — 모델값 직접) — 토스 일봉 분기 평균 ÷ TTM EPS</t>
      </text>
    </comment>
    <comment ref="L30" authorId="0" shapeId="0">
      <text>
        <t>실측(계정 매핑 없음 — 모델값 직접) — 토스 일봉 분기 평균 ÷ TTM EPS</t>
      </text>
    </comment>
    <comment ref="M30" authorId="0" shapeId="0">
      <text>
        <t>실측(계정 매핑 없음 — 모델값 직접) — 토스 일봉 분기 평균 ÷ TTM EPS</t>
      </text>
    </comment>
    <comment ref="N30" authorId="0" shapeId="0">
      <text>
        <t>실측(계정 매핑 없음 — 모델값 직접) — 토스 일봉 분기 평균 ÷ TTM EPS</t>
      </text>
    </comment>
    <comment ref="O30" authorId="0" shapeId="0">
      <text>
        <t>실측(계정 매핑 없음 — 모델값 직접) — 토스 일봉 분기 평균 ÷ TTM EPS</t>
      </text>
    </comment>
    <comment ref="Q30" authorId="0" shapeId="0">
      <text>
        <t>실측(계정 매핑 없음 — 모델값 직접) — 토스 일봉 분기 평균 ÷ TTM EPS</t>
      </text>
    </comment>
    <comment ref="R30" authorId="0" shapeId="0">
      <text>
        <t>실측(계정 매핑 없음 — 모델값 직접) — 토스 일봉 분기 평균 ÷ TTM EPS</t>
      </text>
    </comment>
    <comment ref="S30" authorId="0" shapeId="0">
      <text>
        <t>실측(계정 매핑 없음 — 모델값 직접) — 토스 일봉 분기 평균 ÷ TTM EPS</t>
      </text>
    </comment>
    <comment ref="T30" authorId="0" shapeId="0">
      <text>
        <t>실측(계정 매핑 없음 — 모델값 직접) — 토스 일봉 분기 평균 ÷ TTM EPS</t>
      </text>
    </comment>
    <comment ref="V30" authorId="0" shapeId="0">
      <text>
        <t>실측(계정 매핑 없음 — 모델값 직접) — 토스 일봉 분기 평균 ÷ TTM EPS</t>
      </text>
    </comment>
    <comment ref="X30" authorId="0" shapeId="0">
      <text>
        <t>실측(계정 매핑 없음 — 모델값 직접) — 토스 일봉 분기 평균 ÷ TTM EPS</t>
      </text>
    </comment>
    <comment ref="Y30" authorId="0" shapeId="0">
      <text>
        <t>실측(계정 매핑 없음 — 모델값 직접) — 토스 일봉 분기 평균 ÷ TTM EPS</t>
      </text>
    </comment>
    <comment ref="AA30" authorId="0" shapeId="0">
      <text>
        <t>실측(계정 매핑 없음 — 모델값 직접) — 토스 일봉 분기 평균 ÷ TTM EPS</t>
      </text>
    </comment>
    <comment ref="AB30" authorId="0" shapeId="0">
      <text>
        <t>실측(계정 매핑 없음 — 모델값 직접) — 토스 일봉 분기 평균 ÷ TTM EPS</t>
      </text>
    </comment>
    <comment ref="AC30" authorId="0" shapeId="0">
      <text>
        <t>추정: 현재 종가 ÷ TTM EPS(추정 포함)
[yoy]</t>
      </text>
    </comment>
    <comment ref="AD30" authorId="0" shapeId="0">
      <text>
        <t>추정: 현재 종가 ÷ TTM EPS(추정 포함)
[yoy]</t>
      </text>
    </comment>
    <comment ref="AF30" authorId="0" shapeId="0">
      <text>
        <t>추정: 현재 종가 ÷ TTM EPS(추정 포함)
[yoy]</t>
      </text>
    </comment>
    <comment ref="AG30" authorId="0" shapeId="0">
      <text>
        <t>추정: 현재 종가 ÷ TTM EPS(추정 포함)
[yoy]</t>
      </text>
    </comment>
    <comment ref="AH30" authorId="0" shapeId="0">
      <text>
        <t>추정: 현재 종가 ÷ TTM EPS(추정 포함)
[yoy]</t>
      </text>
    </comment>
    <comment ref="AI30" authorId="0" shapeId="0">
      <text>
        <t>추정: 현재 종가 ÷ TTM EPS(추정 포함)
[yoy]</t>
      </text>
    </comment>
    <comment ref="AK30" authorId="0" shapeId="0">
      <text>
        <t>추정: 현재 종가 ÷ TTM EPS(추정 포함)
[yoy]</t>
      </text>
    </comment>
    <comment ref="AL30" authorId="0" shapeId="0">
      <text>
        <t>추정: 현재 종가 ÷ TTM EPS(추정 포함)
[yoy]</t>
      </text>
    </comment>
    <comment ref="AM30" authorId="0" shapeId="0">
      <text>
        <t>추정: 현재 종가 ÷ TTM EPS(추정 포함)
[yoy]</t>
      </text>
    </comment>
    <comment ref="AN30" authorId="0" shapeId="0">
      <text>
        <t>추정: 현재 종가 ÷ TTM EPS(추정 포함)
[yoy]</t>
      </text>
    </comment>
    <comment ref="E31" authorId="0" shapeId="0">
      <text>
        <t>실측(계정 매핑 없음 — 모델값 직접) — 토스 일봉 분기 평균 ÷ BPS</t>
      </text>
    </comment>
    <comment ref="F31" authorId="0" shapeId="0">
      <text>
        <t>연간(actual) — 분기 미완 연도, 모델 a 값 직접</t>
      </text>
    </comment>
    <comment ref="G31" authorId="0" shapeId="0">
      <text>
        <t>실측(계정 매핑 없음 — 모델값 직접) — 토스 일봉 분기 평균 ÷ BPS</t>
      </text>
    </comment>
    <comment ref="H31" authorId="0" shapeId="0">
      <text>
        <t>실측(계정 매핑 없음 — 모델값 직접) — 토스 일봉 분기 평균 ÷ BPS</t>
      </text>
    </comment>
    <comment ref="I31" authorId="0" shapeId="0">
      <text>
        <t>실측(계정 매핑 없음 — 모델값 직접) — 토스 일봉 분기 평균 ÷ BPS</t>
      </text>
    </comment>
    <comment ref="J31" authorId="0" shapeId="0">
      <text>
        <t>실측(계정 매핑 없음 — 모델값 직접) — 토스 일봉 분기 평균 ÷ BPS</t>
      </text>
    </comment>
    <comment ref="L31" authorId="0" shapeId="0">
      <text>
        <t>실측(계정 매핑 없음 — 모델값 직접) — 토스 일봉 분기 평균 ÷ BPS</t>
      </text>
    </comment>
    <comment ref="M31" authorId="0" shapeId="0">
      <text>
        <t>실측(계정 매핑 없음 — 모델값 직접) — 토스 일봉 분기 평균 ÷ BPS</t>
      </text>
    </comment>
    <comment ref="N31" authorId="0" shapeId="0">
      <text>
        <t>실측(계정 매핑 없음 — 모델값 직접) — 토스 일봉 분기 평균 ÷ BPS</t>
      </text>
    </comment>
    <comment ref="O31" authorId="0" shapeId="0">
      <text>
        <t>실측(계정 매핑 없음 — 모델값 직접) — 토스 일봉 분기 평균 ÷ BPS</t>
      </text>
    </comment>
    <comment ref="Q31" authorId="0" shapeId="0">
      <text>
        <t>실측(계정 매핑 없음 — 모델값 직접) — 토스 일봉 분기 평균 ÷ BPS</t>
      </text>
    </comment>
    <comment ref="R31" authorId="0" shapeId="0">
      <text>
        <t>실측(계정 매핑 없음 — 모델값 직접) — 토스 일봉 분기 평균 ÷ BPS</t>
      </text>
    </comment>
    <comment ref="S31" authorId="0" shapeId="0">
      <text>
        <t>실측(계정 매핑 없음 — 모델값 직접) — 토스 일봉 분기 평균 ÷ BPS</t>
      </text>
    </comment>
    <comment ref="T31" authorId="0" shapeId="0">
      <text>
        <t>실측(계정 매핑 없음 — 모델값 직접) — 토스 일봉 분기 평균 ÷ BPS</t>
      </text>
    </comment>
    <comment ref="V31" authorId="0" shapeId="0">
      <text>
        <t>실측(계정 매핑 없음 — 모델값 직접) — 토스 일봉 분기 평균 ÷ BPS</t>
      </text>
    </comment>
    <comment ref="W31" authorId="0" shapeId="0">
      <text>
        <t>실측(계정 매핑 없음 — 모델값 직접) — 토스 일봉 분기 평균 ÷ BPS</t>
      </text>
    </comment>
    <comment ref="X31" authorId="0" shapeId="0">
      <text>
        <t>실측(계정 매핑 없음 — 모델값 직접) — 토스 일봉 분기 평균 ÷ BPS</t>
      </text>
    </comment>
    <comment ref="Y31" authorId="0" shapeId="0">
      <text>
        <t>실측(계정 매핑 없음 — 모델값 직접) — 토스 일봉 분기 평균 ÷ BPS</t>
      </text>
    </comment>
    <comment ref="AA31" authorId="0" shapeId="0">
      <text>
        <t>실측(계정 매핑 없음 — 모델값 직접) — 토스 일봉 분기 평균 ÷ BPS</t>
      </text>
    </comment>
    <comment ref="AB31" authorId="0" shapeId="0">
      <text>
        <t>실측(계정 매핑 없음 — 모델값 직접) — 토스 일봉 분기 평균 ÷ BPS</t>
      </text>
    </comment>
    <comment ref="AC31" authorId="0" shapeId="0">
      <text>
        <t>추정: 현재 종가 ÷ BPS(추정 포함)
[yoy]</t>
      </text>
    </comment>
    <comment ref="AD31" authorId="0" shapeId="0">
      <text>
        <t>추정: 현재 종가 ÷ BPS(추정 포함)
[yoy]</t>
      </text>
    </comment>
    <comment ref="AF31" authorId="0" shapeId="0">
      <text>
        <t>추정: 현재 종가 ÷ BPS(추정 포함)
[yoy]</t>
      </text>
    </comment>
    <comment ref="AG31" authorId="0" shapeId="0">
      <text>
        <t>추정: 현재 종가 ÷ BPS(추정 포함)
[yoy]</t>
      </text>
    </comment>
    <comment ref="AH31" authorId="0" shapeId="0">
      <text>
        <t>추정: 현재 종가 ÷ BPS(추정 포함)
[yoy]</t>
      </text>
    </comment>
    <comment ref="AI31" authorId="0" shapeId="0">
      <text>
        <t>추정: 현재 종가 ÷ BPS(추정 포함)
[yoy]</t>
      </text>
    </comment>
    <comment ref="AK31" authorId="0" shapeId="0">
      <text>
        <t>추정: 현재 종가 ÷ BPS(추정 포함)
[yoy]</t>
      </text>
    </comment>
    <comment ref="AL31" authorId="0" shapeId="0">
      <text>
        <t>추정: 현재 종가 ÷ BPS(추정 포함)
[yoy]</t>
      </text>
    </comment>
    <comment ref="AM31" authorId="0" shapeId="0">
      <text>
        <t>추정: 현재 종가 ÷ BPS(추정 포함)
[yoy]</t>
      </text>
    </comment>
    <comment ref="AN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G32" authorId="0" shapeId="0">
      <text>
        <t>실측(계정 매핑 없음 — 모델값 직접) — = 매출액(부문 미분리)</t>
      </text>
    </comment>
    <comment ref="H32" authorId="0" shapeId="0">
      <text>
        <t>실측(계정 매핑 없음 — 모델값 직접) — = 매출액(부문 미분리)</t>
      </text>
    </comment>
    <comment ref="I32" authorId="0" shapeId="0">
      <text>
        <t>실측(계정 매핑 없음 — 모델값 직접) — = 매출액(부문 미분리)</t>
      </text>
    </comment>
    <comment ref="J32" authorId="0" shapeId="0">
      <text>
        <t>실측(계정 매핑 없음 — 모델값 직접) — = 매출액(부문 미분리)</t>
      </text>
    </comment>
    <comment ref="L32" authorId="0" shapeId="0">
      <text>
        <t>실측(계정 매핑 없음 — 모델값 직접) — = 매출액(부문 미분리)</t>
      </text>
    </comment>
    <comment ref="M32" authorId="0" shapeId="0">
      <text>
        <t>실측(계정 매핑 없음 — 모델값 직접) — = 매출액(부문 미분리)</t>
      </text>
    </comment>
    <comment ref="N32" authorId="0" shapeId="0">
      <text>
        <t>실측(계정 매핑 없음 — 모델값 직접) — = 매출액(부문 미분리)</t>
      </text>
    </comment>
    <comment ref="O32" authorId="0" shapeId="0">
      <text>
        <t>실측(계정 매핑 없음 — 모델값 직접) — = 매출액(부문 미분리)</t>
      </text>
    </comment>
    <comment ref="Q32" authorId="0" shapeId="0">
      <text>
        <t>실측(계정 매핑 없음 — 모델값 직접) — = 매출액(부문 미분리)</t>
      </text>
    </comment>
    <comment ref="R32" authorId="0" shapeId="0">
      <text>
        <t>실측(계정 매핑 없음 — 모델값 직접) — = 매출액(부문 미분리)</t>
      </text>
    </comment>
    <comment ref="S32" authorId="0" shapeId="0">
      <text>
        <t>실측(계정 매핑 없음 — 모델값 직접) — = 매출액(부문 미분리)</t>
      </text>
    </comment>
    <comment ref="T32" authorId="0" shapeId="0">
      <text>
        <t>실측(계정 매핑 없음 — 모델값 직접) — = 매출액(부문 미분리)</t>
      </text>
    </comment>
    <comment ref="V32" authorId="0" shapeId="0">
      <text>
        <t>실측(계정 매핑 없음 — 모델값 직접) — = 매출액(부문 미분리)</t>
      </text>
    </comment>
    <comment ref="W32" authorId="0" shapeId="0">
      <text>
        <t>실측(계정 매핑 없음 — 모델값 직접) — = 매출액(부문 미분리)</t>
      </text>
    </comment>
    <comment ref="X32" authorId="0" shapeId="0">
      <text>
        <t>실측(계정 매핑 없음 — 모델값 직접) — = 매출액(부문 미분리)</t>
      </text>
    </comment>
    <comment ref="Y32" authorId="0" shapeId="0">
      <text>
        <t>실측(계정 매핑 없음 — 모델값 직접) — = 매출액(부문 미분리)</t>
      </text>
    </comment>
    <comment ref="AA32" authorId="0" shapeId="0">
      <text>
        <t>실측(계정 매핑 없음 — 모델값 직접) — = 매출액(부문 미분리)</t>
      </text>
    </comment>
    <comment ref="AB32" authorId="0" shapeId="0">
      <text>
        <t>실측(계정 매핑 없음 — 모델값 직접) — = 매출액(부문 미분리)</t>
      </text>
    </comment>
    <comment ref="AC32" authorId="0" shapeId="0">
      <text>
        <t>추정: = 매출액 추정(부문 미분리)
[ratio]</t>
      </text>
    </comment>
    <comment ref="AD32" authorId="0" shapeId="0">
      <text>
        <t>추정: = 매출액 추정(부문 미분리)
[ratio]</t>
      </text>
    </comment>
    <comment ref="AF32" authorId="0" shapeId="0">
      <text>
        <t>추정: = 매출액 추정(부문 미분리)
[ratio]</t>
      </text>
    </comment>
    <comment ref="AG32" authorId="0" shapeId="0">
      <text>
        <t>추정: = 매출액 추정(부문 미분리)
[ratio]</t>
      </text>
    </comment>
    <comment ref="AH32" authorId="0" shapeId="0">
      <text>
        <t>추정: = 매출액 추정(부문 미분리)
[ratio]</t>
      </text>
    </comment>
    <comment ref="AI32" authorId="0" shapeId="0">
      <text>
        <t>추정: = 매출액 추정(부문 미분리)
[ratio]</t>
      </text>
    </comment>
    <comment ref="AK32" authorId="0" shapeId="0">
      <text>
        <t>추정: = 매출액 추정(부문 미분리)
[ratio]</t>
      </text>
    </comment>
    <comment ref="AL32" authorId="0" shapeId="0">
      <text>
        <t>추정: = 매출액 추정(부문 미분리)
[ratio]</t>
      </text>
    </comment>
    <comment ref="AM32" authorId="0" shapeId="0">
      <text>
        <t>추정: = 매출액 추정(부문 미분리)
[ratio]</t>
      </text>
    </comment>
    <comment ref="AN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G33" authorId="0" shapeId="0">
      <text>
        <t>실측(계정 매핑 없음 — 모델값 직접) — = 영업이익(부문 미분리)</t>
      </text>
    </comment>
    <comment ref="H33" authorId="0" shapeId="0">
      <text>
        <t>실측(계정 매핑 없음 — 모델값 직접) — = 영업이익(부문 미분리)</t>
      </text>
    </comment>
    <comment ref="I33" authorId="0" shapeId="0">
      <text>
        <t>실측(계정 매핑 없음 — 모델값 직접) — = 영업이익(부문 미분리)</t>
      </text>
    </comment>
    <comment ref="J33" authorId="0" shapeId="0">
      <text>
        <t>실측(계정 매핑 없음 — 모델값 직접) — = 영업이익(부문 미분리)</t>
      </text>
    </comment>
    <comment ref="L33" authorId="0" shapeId="0">
      <text>
        <t>실측(계정 매핑 없음 — 모델값 직접) — = 영업이익(부문 미분리)</t>
      </text>
    </comment>
    <comment ref="M33" authorId="0" shapeId="0">
      <text>
        <t>실측(계정 매핑 없음 — 모델값 직접) — = 영업이익(부문 미분리)</t>
      </text>
    </comment>
    <comment ref="N33" authorId="0" shapeId="0">
      <text>
        <t>실측(계정 매핑 없음 — 모델값 직접) — = 영업이익(부문 미분리)</t>
      </text>
    </comment>
    <comment ref="O33" authorId="0" shapeId="0">
      <text>
        <t>실측(계정 매핑 없음 — 모델값 직접) — = 영업이익(부문 미분리)</t>
      </text>
    </comment>
    <comment ref="Q33" authorId="0" shapeId="0">
      <text>
        <t>실측(계정 매핑 없음 — 모델값 직접) — = 영업이익(부문 미분리)</t>
      </text>
    </comment>
    <comment ref="R33" authorId="0" shapeId="0">
      <text>
        <t>실측(계정 매핑 없음 — 모델값 직접) — = 영업이익(부문 미분리)</t>
      </text>
    </comment>
    <comment ref="S33" authorId="0" shapeId="0">
      <text>
        <t>실측(계정 매핑 없음 — 모델값 직접) — = 영업이익(부문 미분리)</t>
      </text>
    </comment>
    <comment ref="T33" authorId="0" shapeId="0">
      <text>
        <t>실측(계정 매핑 없음 — 모델값 직접) — = 영업이익(부문 미분리)</t>
      </text>
    </comment>
    <comment ref="V33" authorId="0" shapeId="0">
      <text>
        <t>실측(계정 매핑 없음 — 모델값 직접) — = 영업이익(부문 미분리)</t>
      </text>
    </comment>
    <comment ref="W33" authorId="0" shapeId="0">
      <text>
        <t>실측(계정 매핑 없음 — 모델값 직접) — = 영업이익(부문 미분리)</t>
      </text>
    </comment>
    <comment ref="X33" authorId="0" shapeId="0">
      <text>
        <t>실측(계정 매핑 없음 — 모델값 직접) — = 영업이익(부문 미분리)</t>
      </text>
    </comment>
    <comment ref="Y33" authorId="0" shapeId="0">
      <text>
        <t>실측(계정 매핑 없음 — 모델값 직접) — = 영업이익(부문 미분리)</t>
      </text>
    </comment>
    <comment ref="AA33" authorId="0" shapeId="0">
      <text>
        <t>실측(계정 매핑 없음 — 모델값 직접) — = 영업이익(부문 미분리)</t>
      </text>
    </comment>
    <comment ref="AB33" authorId="0" shapeId="0">
      <text>
        <t>실측(계정 매핑 없음 — 모델값 직접) — = 영업이익(부문 미분리)</t>
      </text>
    </comment>
    <comment ref="AC33" authorId="0" shapeId="0">
      <text>
        <t>추정: = 매출액 × OPM(부문 미분리)
[ratio]</t>
      </text>
    </comment>
    <comment ref="AD33" authorId="0" shapeId="0">
      <text>
        <t>추정: = 매출액 × OPM(부문 미분리)
[ratio]</t>
      </text>
    </comment>
    <comment ref="AF33" authorId="0" shapeId="0">
      <text>
        <t>추정: = 매출액 × OPM(부문 미분리)
[ratio]</t>
      </text>
    </comment>
    <comment ref="AG33" authorId="0" shapeId="0">
      <text>
        <t>추정: = 매출액 × OPM(부문 미분리)
[ratio]</t>
      </text>
    </comment>
    <comment ref="AH33" authorId="0" shapeId="0">
      <text>
        <t>추정: = 매출액 × OPM(부문 미분리)
[ratio]</t>
      </text>
    </comment>
    <comment ref="AI33" authorId="0" shapeId="0">
      <text>
        <t>추정: = 매출액 × OPM(부문 미분리)
[ratio]</t>
      </text>
    </comment>
    <comment ref="AK33" authorId="0" shapeId="0">
      <text>
        <t>추정: = 매출액 × OPM(부문 미분리)
[ratio]</t>
      </text>
    </comment>
    <comment ref="AL33" authorId="0" shapeId="0">
      <text>
        <t>추정: = 매출액 × OPM(부문 미분리)
[ratio]</t>
      </text>
    </comment>
    <comment ref="AM33" authorId="0" shapeId="0">
      <text>
        <t>추정: = 매출액 × OPM(부문 미분리)
[ratio]</t>
      </text>
    </comment>
    <comment ref="AN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17.8, "op_wape_pct": 150.6,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0.276411</v>
      </c>
      <c r="AD21" s="24" t="n">
        <v>0.283945</v>
      </c>
      <c r="AE21" s="25" t="n"/>
      <c r="AF21" s="24" t="n">
        <v>0.499576</v>
      </c>
      <c r="AG21" s="24" t="n">
        <v>0.284355</v>
      </c>
      <c r="AH21" s="24" t="n">
        <v>0.08942</v>
      </c>
      <c r="AI21" s="24" t="n">
        <v>0.020059</v>
      </c>
      <c r="AJ21" s="25" t="n"/>
      <c r="AK21" s="24" t="n">
        <v>-0.015337</v>
      </c>
      <c r="AL21" s="24" t="n">
        <v>-0.03533</v>
      </c>
      <c r="AM21" s="24" t="n">
        <v>-0.044366</v>
      </c>
      <c r="AN21" s="24" t="n">
        <v>-0.054183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0.147142</v>
      </c>
      <c r="AD22" s="24" t="n">
        <v>0.147143</v>
      </c>
      <c r="AE22" s="25">
        <f>IFERROR(subQ!AE8/subQ!AE5,"")</f>
        <v/>
      </c>
      <c r="AF22" s="24" t="n">
        <v>0.147153</v>
      </c>
      <c r="AG22" s="24" t="n">
        <v>0.147161</v>
      </c>
      <c r="AH22" s="24" t="n">
        <v>0.147154</v>
      </c>
      <c r="AI22" s="24" t="n">
        <v>0.14716</v>
      </c>
      <c r="AJ22" s="25">
        <f>IFERROR(subQ!AJ8/subQ!AJ5,"")</f>
        <v/>
      </c>
      <c r="AK22" s="24" t="n">
        <v>0.147176</v>
      </c>
      <c r="AL22" s="24" t="n">
        <v>0.147156</v>
      </c>
      <c r="AM22" s="24" t="n">
        <v>0.147146</v>
      </c>
      <c r="AN22" s="24" t="n">
        <v>0.147173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</v>
      </c>
      <c r="AD23" s="24" t="n">
        <v>-0.010545</v>
      </c>
      <c r="AE23" s="25">
        <f>IFERROR(subQ!AE9/subQ!AE5,"")</f>
        <v/>
      </c>
      <c r="AF23" s="24" t="n">
        <v>-0.010567</v>
      </c>
      <c r="AG23" s="24" t="n">
        <v>-0.010582</v>
      </c>
      <c r="AH23" s="24" t="n">
        <v>-0.010585</v>
      </c>
      <c r="AI23" s="24" t="n">
        <v>-0.010575</v>
      </c>
      <c r="AJ23" s="25">
        <f>IFERROR(subQ!AJ9/subQ!AJ5,"")</f>
        <v/>
      </c>
      <c r="AK23" s="24" t="n">
        <v>-0.010548</v>
      </c>
      <c r="AL23" s="24" t="n">
        <v>-0.01055</v>
      </c>
      <c r="AM23" s="24" t="n">
        <v>-0.010593</v>
      </c>
      <c r="AN23" s="24" t="n">
        <v>-0.010553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IFERROR(subQ!J35/subQ!E35-1,"")</f>
        <v/>
      </c>
      <c r="K24" s="22" t="n"/>
      <c r="L24" s="21">
        <f>IFERROR(subQ!L35/subQ!G35-1,"")</f>
        <v/>
      </c>
      <c r="M24" s="21">
        <f>IFERROR(subQ!M35/subQ!H35-1,"")</f>
        <v/>
      </c>
      <c r="N24" s="21">
        <f>IFERROR(subQ!N35/subQ!I35-1,"")</f>
        <v/>
      </c>
      <c r="O24" s="21">
        <f>IFERROR(subQ!O35/subQ!J35-1,"")</f>
        <v/>
      </c>
      <c r="P24" s="22" t="n"/>
      <c r="Q24" s="21">
        <f>IFERROR(subQ!Q35/subQ!L35-1,"")</f>
        <v/>
      </c>
      <c r="R24" s="21">
        <f>IFERROR(subQ!R35/subQ!M35-1,"")</f>
        <v/>
      </c>
      <c r="S24" s="21">
        <f>IFERROR(subQ!S35/subQ!N35-1,"")</f>
        <v/>
      </c>
      <c r="T24" s="21">
        <f>IFERROR(subQ!T35/subQ!O35-1,"")</f>
        <v/>
      </c>
      <c r="U24" s="22" t="n"/>
      <c r="V24" s="21">
        <f>IFERROR(subQ!V35/subQ!Q35-1,"")</f>
        <v/>
      </c>
      <c r="W24" s="21">
        <f>IFERROR(subQ!W35/subQ!R35-1,"")</f>
        <v/>
      </c>
      <c r="X24" s="21">
        <f>IFERROR(subQ!X35/subQ!S35-1,"")</f>
        <v/>
      </c>
      <c r="Y24" s="21">
        <f>IFERROR(subQ!Y35/subQ!T35-1,"")</f>
        <v/>
      </c>
      <c r="Z24" s="22" t="n"/>
      <c r="AA24" s="21">
        <f>IFERROR(subQ!AA35/subQ!V35-1,"")</f>
        <v/>
      </c>
      <c r="AB24" s="23">
        <f>IFERROR(subQ!AB35/subQ!W35-1,"")</f>
        <v/>
      </c>
      <c r="AC24" s="24" t="n">
        <v>-1.861789</v>
      </c>
      <c r="AD24" s="24" t="n">
        <v>-1.469027</v>
      </c>
      <c r="AE24" s="25" t="n"/>
      <c r="AF24" s="24" t="n">
        <v>-0.682635</v>
      </c>
      <c r="AG24" s="24" t="n">
        <v>-1.148252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2.12</v>
      </c>
      <c r="AD25" s="29" t="n">
        <v>2.13</v>
      </c>
      <c r="AE25" s="30">
        <f>subQ!AE11</f>
        <v/>
      </c>
      <c r="AF25" s="29" t="n">
        <v>2.14</v>
      </c>
      <c r="AG25" s="29" t="n">
        <v>2.15</v>
      </c>
      <c r="AH25" s="29" t="n">
        <v>2.13</v>
      </c>
      <c r="AI25" s="29" t="n">
        <v>2.14</v>
      </c>
      <c r="AJ25" s="30">
        <f>subQ!AJ11</f>
        <v/>
      </c>
      <c r="AK25" s="29" t="n">
        <v>2.15</v>
      </c>
      <c r="AL25" s="29" t="n">
        <v>2.16</v>
      </c>
      <c r="AM25" s="29" t="n">
        <v>2.14</v>
      </c>
      <c r="AN25" s="29" t="n">
        <v>2.16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0.13</v>
      </c>
      <c r="AD27" s="29" t="n">
        <v>0.13</v>
      </c>
      <c r="AE27" s="30">
        <f>subQ!AE13</f>
        <v/>
      </c>
      <c r="AF27" s="29" t="n">
        <v>0.13</v>
      </c>
      <c r="AG27" s="29" t="n">
        <v>0.13</v>
      </c>
      <c r="AH27" s="29" t="n">
        <v>0.13</v>
      </c>
      <c r="AI27" s="29" t="n">
        <v>0.13</v>
      </c>
      <c r="AJ27" s="30">
        <f>subQ!AJ13</f>
        <v/>
      </c>
      <c r="AK27" s="29" t="n">
        <v>0.13</v>
      </c>
      <c r="AL27" s="29" t="n">
        <v>0.13</v>
      </c>
      <c r="AM27" s="29" t="n">
        <v>0.13</v>
      </c>
      <c r="AN27" s="29" t="n">
        <v>0.13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0.155172</v>
      </c>
      <c r="AD28" s="24" t="n">
        <v>0.153846</v>
      </c>
      <c r="AE28" s="25">
        <f>IFERROR(subQ!AE15/subQ!AE14,"")</f>
        <v/>
      </c>
      <c r="AF28" s="24" t="n">
        <v>0.150943</v>
      </c>
      <c r="AG28" s="24" t="n">
        <v>0.152174</v>
      </c>
      <c r="AH28" s="24" t="n">
        <v>0.159091</v>
      </c>
      <c r="AI28" s="24" t="n">
        <v>0.16</v>
      </c>
      <c r="AJ28" s="25">
        <f>IFERROR(subQ!AJ15/subQ!AJ14,"")</f>
        <v/>
      </c>
      <c r="AK28" s="24" t="n">
        <v>0.160714</v>
      </c>
      <c r="AL28" s="24" t="n">
        <v>0.150943</v>
      </c>
      <c r="AM28" s="24" t="n">
        <v>0.150943</v>
      </c>
      <c r="AN28" s="24" t="n">
        <v>0.15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0.979592</v>
      </c>
      <c r="AD29" s="24" t="n">
        <v>1</v>
      </c>
      <c r="AE29" s="25">
        <f>IFERROR(subQ!AE17/subQ!AE16,"")</f>
        <v/>
      </c>
      <c r="AF29" s="24" t="n">
        <v>1</v>
      </c>
      <c r="AG29" s="24" t="n">
        <v>0.974359</v>
      </c>
      <c r="AH29" s="24" t="n">
        <v>1</v>
      </c>
      <c r="AI29" s="24" t="n">
        <v>0.97619</v>
      </c>
      <c r="AJ29" s="25">
        <f>IFERROR(subQ!AJ17/subQ!AJ16,"")</f>
        <v/>
      </c>
      <c r="AK29" s="24" t="n">
        <v>1</v>
      </c>
      <c r="AL29" s="24" t="n">
        <v>0.977778</v>
      </c>
      <c r="AM29" s="24" t="n">
        <v>0.977778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1.2e-05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-0.0005</v>
      </c>
      <c r="AD31" s="29" t="n">
        <v>0</v>
      </c>
      <c r="AE31" s="30" t="n"/>
      <c r="AF31" s="29" t="n">
        <v>0</v>
      </c>
      <c r="AG31" s="29" t="n">
        <v>1.26</v>
      </c>
      <c r="AH31" s="29" t="n">
        <v>0</v>
      </c>
      <c r="AI31" s="29" t="n">
        <v>-0</v>
      </c>
      <c r="AJ31" s="30" t="n"/>
      <c r="AK31" s="29" t="n">
        <v>-0.01</v>
      </c>
      <c r="AL31" s="29" t="n">
        <v>1.26</v>
      </c>
      <c r="AM31" s="29" t="n">
        <v>0.01</v>
      </c>
      <c r="AN31" s="29" t="n">
        <v>-0.01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-0.0005</v>
      </c>
      <c r="AD32" s="29" t="n">
        <v>0</v>
      </c>
      <c r="AE32" s="30" t="n"/>
      <c r="AF32" s="29" t="n">
        <v>0</v>
      </c>
      <c r="AG32" s="29" t="n">
        <v>1.26</v>
      </c>
      <c r="AH32" s="29" t="n">
        <v>0</v>
      </c>
      <c r="AI32" s="29" t="n">
        <v>0</v>
      </c>
      <c r="AJ32" s="30" t="n"/>
      <c r="AK32" s="29" t="n">
        <v>0</v>
      </c>
      <c r="AL32" s="29" t="n">
        <v>1.25</v>
      </c>
      <c r="AM32" s="29" t="n">
        <v>0</v>
      </c>
      <c r="AN32" s="29" t="n">
        <v>0</v>
      </c>
      <c r="AO32" s="30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0.005298</v>
      </c>
      <c r="AD33" s="24" t="n">
        <v>0.004726</v>
      </c>
      <c r="AE33" s="25" t="n"/>
      <c r="AF33" s="24" t="n">
        <v>0.004703</v>
      </c>
      <c r="AG33" s="24" t="n">
        <v>-0.009256</v>
      </c>
      <c r="AH33" s="24" t="n">
        <v>0.003973</v>
      </c>
      <c r="AI33" s="24" t="n">
        <v>0.004492</v>
      </c>
      <c r="AJ33" s="25" t="n"/>
      <c r="AK33" s="24" t="n">
        <v>0.005111</v>
      </c>
      <c r="AL33" s="24" t="n">
        <v>-0.008581</v>
      </c>
      <c r="AM33" s="24" t="n">
        <v>0.004702</v>
      </c>
      <c r="AN33" s="24" t="n">
        <v>0.005531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31" t="n"/>
      <c r="AD38" s="24" t="n">
        <v>0</v>
      </c>
      <c r="AE38" s="25" t="n"/>
      <c r="AF38" s="31" t="n"/>
      <c r="AG38" s="31" t="n"/>
      <c r="AH38" s="31" t="n"/>
      <c r="AI38" s="24" t="n">
        <v>0</v>
      </c>
      <c r="AJ38" s="25" t="n"/>
      <c r="AK38" s="31" t="n"/>
      <c r="AL38" s="31" t="n"/>
      <c r="AM38" s="31" t="n"/>
      <c r="AN38" s="24" t="n">
        <v>0</v>
      </c>
      <c r="AO38" s="25" t="n"/>
    </row>
    <row r="39">
      <c r="A39" s="12" t="inlineStr">
        <is>
          <t>drv:PER</t>
        </is>
      </c>
      <c r="B39" s="2" t="inlineStr">
        <is>
          <t>yoy</t>
        </is>
      </c>
      <c r="C39" t="inlineStr">
        <is>
          <t>PER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-0.793632</v>
      </c>
      <c r="AD39" s="24" t="n">
        <v>-0.116718</v>
      </c>
      <c r="AE39" s="25" t="n"/>
      <c r="AF39" s="24" t="n">
        <v>0.005504</v>
      </c>
      <c r="AG39" s="24" t="n">
        <v>8.954950999999999</v>
      </c>
      <c r="AH39" s="24" t="n">
        <v>10.512054</v>
      </c>
      <c r="AI39" s="24" t="n">
        <v>5.567019</v>
      </c>
      <c r="AJ39" s="25" t="n"/>
      <c r="AK39" s="24" t="n">
        <v>5.534209</v>
      </c>
      <c r="AL39" s="24" t="n">
        <v>0.02984</v>
      </c>
      <c r="AM39" s="24" t="n">
        <v>-0.078573</v>
      </c>
      <c r="AN39" s="24" t="n">
        <v>-0.136071</v>
      </c>
      <c r="AO39" s="25" t="n"/>
    </row>
    <row r="40">
      <c r="A40" s="12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-0.185714</v>
      </c>
      <c r="AD40" s="24" t="n">
        <v>-0.22973</v>
      </c>
      <c r="AE40" s="25" t="n"/>
      <c r="AF40" s="24" t="n">
        <v>-0.359551</v>
      </c>
      <c r="AG40" s="24" t="n">
        <v>-0.22973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21">
        <f>IFERROR(subQ!E32/subQ!E5,"")</f>
        <v/>
      </c>
      <c r="F41" s="22">
        <f>IFERROR(subQ!F32/subQ!F5,"")</f>
        <v/>
      </c>
      <c r="G41" s="21">
        <f>IFERROR(subQ!G32/subQ!G5,"")</f>
        <v/>
      </c>
      <c r="H41" s="21">
        <f>IFERROR(subQ!H32/subQ!H5,"")</f>
        <v/>
      </c>
      <c r="I41" s="21">
        <f>IFERROR(subQ!I32/subQ!I5,"")</f>
        <v/>
      </c>
      <c r="J41" s="21">
        <f>IFERROR(subQ!J32/subQ!J5,"")</f>
        <v/>
      </c>
      <c r="K41" s="22">
        <f>IFERROR(subQ!K32/subQ!K5,"")</f>
        <v/>
      </c>
      <c r="L41" s="21">
        <f>IFERROR(subQ!L32/subQ!L5,"")</f>
        <v/>
      </c>
      <c r="M41" s="21">
        <f>IFERROR(subQ!M32/subQ!M5,"")</f>
        <v/>
      </c>
      <c r="N41" s="21">
        <f>IFERROR(subQ!N32/subQ!N5,"")</f>
        <v/>
      </c>
      <c r="O41" s="21">
        <f>IFERROR(subQ!O32/subQ!O5,"")</f>
        <v/>
      </c>
      <c r="P41" s="22">
        <f>IFERROR(subQ!P32/subQ!P5,"")</f>
        <v/>
      </c>
      <c r="Q41" s="21">
        <f>IFERROR(subQ!Q32/subQ!Q5,"")</f>
        <v/>
      </c>
      <c r="R41" s="21">
        <f>IFERROR(subQ!R32/subQ!R5,"")</f>
        <v/>
      </c>
      <c r="S41" s="21">
        <f>IFERROR(subQ!S32/subQ!S5,"")</f>
        <v/>
      </c>
      <c r="T41" s="21">
        <f>IFERROR(subQ!T32/subQ!T5,"")</f>
        <v/>
      </c>
      <c r="U41" s="22">
        <f>IFERROR(subQ!U32/subQ!U5,"")</f>
        <v/>
      </c>
      <c r="V41" s="21">
        <f>IFERROR(subQ!V32/subQ!V5,"")</f>
        <v/>
      </c>
      <c r="W41" s="21">
        <f>IFERROR(subQ!W32/subQ!W5,"")</f>
        <v/>
      </c>
      <c r="X41" s="21">
        <f>IFERROR(subQ!X32/subQ!X5,"")</f>
        <v/>
      </c>
      <c r="Y41" s="21">
        <f>IFERROR(subQ!Y32/subQ!Y5,"")</f>
        <v/>
      </c>
      <c r="Z41" s="22">
        <f>IFERROR(subQ!Z32/subQ!Z5,"")</f>
        <v/>
      </c>
      <c r="AA41" s="21">
        <f>IFERROR(subQ!AA32/subQ!AA5,"")</f>
        <v/>
      </c>
      <c r="AB41" s="23">
        <f>IFERROR(subQ!AB32/subQ!AB5,"")</f>
        <v/>
      </c>
      <c r="AC41" s="24" t="n">
        <v>1</v>
      </c>
      <c r="AD41" s="24" t="n">
        <v>1</v>
      </c>
      <c r="AE41" s="25">
        <f>IFERROR(subQ!AE32/subQ!AE5,"")</f>
        <v/>
      </c>
      <c r="AF41" s="24" t="n">
        <v>1</v>
      </c>
      <c r="AG41" s="24" t="n">
        <v>1</v>
      </c>
      <c r="AH41" s="24" t="n">
        <v>1</v>
      </c>
      <c r="AI41" s="24" t="n">
        <v>1</v>
      </c>
      <c r="AJ41" s="25">
        <f>IFERROR(subQ!AJ32/subQ!AJ5,"")</f>
        <v/>
      </c>
      <c r="AK41" s="24" t="n">
        <v>1</v>
      </c>
      <c r="AL41" s="24" t="n">
        <v>1</v>
      </c>
      <c r="AM41" s="24" t="n">
        <v>1</v>
      </c>
      <c r="AN41" s="24" t="n">
        <v>1</v>
      </c>
      <c r="AO41" s="25">
        <f>IFERROR(subQ!AO32/subQ!AO5,"")</f>
        <v/>
      </c>
    </row>
    <row r="42">
      <c r="A42" s="12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21">
        <f>IFERROR(subQ!E33/subQ!E32,"")</f>
        <v/>
      </c>
      <c r="F42" s="22">
        <f>IFERROR(subQ!F33/subQ!F32,"")</f>
        <v/>
      </c>
      <c r="G42" s="21">
        <f>IFERROR(subQ!G33/subQ!G32,"")</f>
        <v/>
      </c>
      <c r="H42" s="21">
        <f>IFERROR(subQ!H33/subQ!H32,"")</f>
        <v/>
      </c>
      <c r="I42" s="21">
        <f>IFERROR(subQ!I33/subQ!I32,"")</f>
        <v/>
      </c>
      <c r="J42" s="21">
        <f>IFERROR(subQ!J33/subQ!J32,"")</f>
        <v/>
      </c>
      <c r="K42" s="22">
        <f>IFERROR(subQ!K33/subQ!K32,"")</f>
        <v/>
      </c>
      <c r="L42" s="21">
        <f>IFERROR(subQ!L33/subQ!L32,"")</f>
        <v/>
      </c>
      <c r="M42" s="21">
        <f>IFERROR(subQ!M33/subQ!M32,"")</f>
        <v/>
      </c>
      <c r="N42" s="21">
        <f>IFERROR(subQ!N33/subQ!N32,"")</f>
        <v/>
      </c>
      <c r="O42" s="21">
        <f>IFERROR(subQ!O33/subQ!O32,"")</f>
        <v/>
      </c>
      <c r="P42" s="22">
        <f>IFERROR(subQ!P33/subQ!P32,"")</f>
        <v/>
      </c>
      <c r="Q42" s="21">
        <f>IFERROR(subQ!Q33/subQ!Q32,"")</f>
        <v/>
      </c>
      <c r="R42" s="21">
        <f>IFERROR(subQ!R33/subQ!R32,"")</f>
        <v/>
      </c>
      <c r="S42" s="21">
        <f>IFERROR(subQ!S33/subQ!S32,"")</f>
        <v/>
      </c>
      <c r="T42" s="21">
        <f>IFERROR(subQ!T33/subQ!T32,"")</f>
        <v/>
      </c>
      <c r="U42" s="22">
        <f>IFERROR(subQ!U33/subQ!U32,"")</f>
        <v/>
      </c>
      <c r="V42" s="21">
        <f>IFERROR(subQ!V33/subQ!V32,"")</f>
        <v/>
      </c>
      <c r="W42" s="21">
        <f>IFERROR(subQ!W33/subQ!W32,"")</f>
        <v/>
      </c>
      <c r="X42" s="21">
        <f>IFERROR(subQ!X33/subQ!X32,"")</f>
        <v/>
      </c>
      <c r="Y42" s="21">
        <f>IFERROR(subQ!Y33/subQ!Y32,"")</f>
        <v/>
      </c>
      <c r="Z42" s="22">
        <f>IFERROR(subQ!Z33/subQ!Z32,"")</f>
        <v/>
      </c>
      <c r="AA42" s="21">
        <f>IFERROR(subQ!AA33/subQ!AA32,"")</f>
        <v/>
      </c>
      <c r="AB42" s="23">
        <f>IFERROR(subQ!AB33/subQ!AB32,"")</f>
        <v/>
      </c>
      <c r="AC42" s="24" t="n">
        <v>-0.010587</v>
      </c>
      <c r="AD42" s="24" t="n">
        <v>-0.010545</v>
      </c>
      <c r="AE42" s="25">
        <f>IFERROR(subQ!AE33/subQ!AE32,"")</f>
        <v/>
      </c>
      <c r="AF42" s="24" t="n">
        <v>-0.010567</v>
      </c>
      <c r="AG42" s="24" t="n">
        <v>-0.010582</v>
      </c>
      <c r="AH42" s="24" t="n">
        <v>-0.010585</v>
      </c>
      <c r="AI42" s="24" t="n">
        <v>-0.010575</v>
      </c>
      <c r="AJ42" s="25">
        <f>IFERROR(subQ!AJ33/subQ!AJ32,"")</f>
        <v/>
      </c>
      <c r="AK42" s="24" t="n">
        <v>-0.010548</v>
      </c>
      <c r="AL42" s="24" t="n">
        <v>-0.01055</v>
      </c>
      <c r="AM42" s="24" t="n">
        <v>-0.010593</v>
      </c>
      <c r="AN42" s="24" t="n">
        <v>-0.010553</v>
      </c>
      <c r="AO42" s="25">
        <f>IFERROR(subQ!AO33/subQ!AO32,"")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2" t="n">
        <v>3080</v>
      </c>
      <c r="E45" s="2" t="inlineStr">
        <is>
          <t>원 — aikstockdata(금융위 T+1)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3" t="inlineStr">
        <is>
          <t>20260929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10</v>
      </c>
      <c r="E48" s="2" t="inlineStr">
        <is>
          <t>PER 밴드 하단(배) — sector_default(레퍼런스 TP_PE PB 예시 10/15/20배; 과거 PER 중위 45.5배가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24" t="n">
        <v>0.155</v>
      </c>
      <c r="E52" s="2" t="inlineStr">
        <is>
          <t>법인세율 가정(참고 — 추정 수식은 드라이버 행 참조)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24" t="n">
        <v>0.1472</v>
      </c>
      <c r="E53" s="2" t="inlineStr">
        <is>
          <t>판관비율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0.1058</v>
      </c>
      <c r="E54" s="2" t="inlineStr">
        <is>
          <t>배당성향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29" t="n"/>
      <c r="E55" s="2" t="inlineStr">
        <is>
          <t>외화 순노출 × Δ기말환율 (외화 시트 방식)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4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4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4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4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4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4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4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4" t="n">
        <v>459.57</v>
      </c>
      <c r="AA14" s="18" t="n">
        <v>454.36</v>
      </c>
      <c r="AB14" s="19" t="n">
        <v>46.72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4" t="n">
        <v>459.57</v>
      </c>
      <c r="AA15" s="18" t="n">
        <v>454.36</v>
      </c>
      <c r="AB15" s="19" t="n">
        <v>46.72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4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4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4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4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4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4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4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4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4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4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4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F28" s="9" t="n"/>
      <c r="K28" s="9" t="n"/>
      <c r="P28" s="9" t="n"/>
      <c r="U28" s="9" t="n"/>
      <c r="X28" s="18" t="n">
        <v>834.91</v>
      </c>
      <c r="Y28" s="18" t="n">
        <v>1741.01</v>
      </c>
      <c r="Z28" s="34" t="n">
        <v>1741.01</v>
      </c>
      <c r="AA28" s="18" t="n">
        <v>1426.22</v>
      </c>
      <c r="AB28" s="19" t="n">
        <v>2393.15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F29" s="9" t="n"/>
      <c r="K29" s="9" t="n"/>
      <c r="P29" s="9" t="n"/>
      <c r="U29" s="9" t="n"/>
      <c r="X29" s="18" t="n">
        <v>756.79</v>
      </c>
      <c r="Y29" s="18" t="n">
        <v>880.1</v>
      </c>
      <c r="Z29" s="34" t="n">
        <v>880.1</v>
      </c>
      <c r="AA29" s="18" t="n">
        <v>858.8200000000001</v>
      </c>
      <c r="AB29" s="19" t="n">
        <v>811.41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X30" s="18" t="n">
        <v>756.79</v>
      </c>
      <c r="Y30" s="18" t="n">
        <v>880.1</v>
      </c>
      <c r="Z30" s="34" t="n">
        <v>880.1</v>
      </c>
      <c r="AA30" s="18" t="n">
        <v>858.8200000000001</v>
      </c>
      <c r="AB30" s="19" t="n">
        <v>1668.19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F31" s="9" t="n"/>
      <c r="K31" s="9" t="n"/>
      <c r="P31" s="9" t="n"/>
      <c r="U31" s="9" t="n"/>
      <c r="X31" s="18" t="n">
        <v>78.12</v>
      </c>
      <c r="Y31" s="18" t="n">
        <v>860.91</v>
      </c>
      <c r="Z31" s="34" t="n">
        <v>860.91</v>
      </c>
      <c r="AA31" s="18" t="n">
        <v>567.4</v>
      </c>
      <c r="AB31" s="19" t="n">
        <v>724.95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F32" s="9" t="n"/>
      <c r="K32" s="9" t="n"/>
      <c r="P32" s="9" t="n"/>
      <c r="U32" s="9" t="n"/>
      <c r="X32" s="18" t="n">
        <v>16199.47</v>
      </c>
      <c r="Y32" s="18" t="n">
        <v>14796.07</v>
      </c>
      <c r="Z32" s="34" t="n">
        <v>14796.07</v>
      </c>
      <c r="AA32" s="18" t="n">
        <v>13961.57</v>
      </c>
      <c r="AB32" s="19" t="n">
        <v>16735.8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지배주주지분</t>
        </is>
      </c>
      <c r="F33" s="9" t="n"/>
      <c r="K33" s="9" t="n"/>
      <c r="P33" s="9" t="n"/>
      <c r="U33" s="9" t="n"/>
      <c r="X33" s="18" t="n">
        <v>66137.48</v>
      </c>
      <c r="Y33" s="18" t="n">
        <v>66944.19</v>
      </c>
      <c r="Z33" s="34" t="n">
        <v>66944.19</v>
      </c>
      <c r="AA33" s="18" t="n">
        <v>67350.85000000001</v>
      </c>
      <c r="AB33" s="19" t="n">
        <v>68364.95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F34" s="9" t="n"/>
      <c r="K34" s="9" t="n"/>
      <c r="P34" s="9" t="n"/>
      <c r="U34" s="9" t="n"/>
      <c r="X34" s="18" t="n">
        <v>6300</v>
      </c>
      <c r="Y34" s="18" t="n">
        <v>6300</v>
      </c>
      <c r="Z34" s="34" t="n">
        <v>6300</v>
      </c>
      <c r="AA34" s="18" t="n">
        <v>6300</v>
      </c>
      <c r="AB34" s="19" t="n">
        <v>6300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F35" s="9" t="n"/>
      <c r="K35" s="9" t="n"/>
      <c r="P35" s="9" t="n"/>
      <c r="U35" s="9" t="n"/>
      <c r="X35" s="18" t="n">
        <v>10412.2</v>
      </c>
      <c r="Y35" s="18" t="n">
        <v>10412.2</v>
      </c>
      <c r="Z35" s="34" t="n">
        <v>10412.2</v>
      </c>
      <c r="AA35" s="18" t="n">
        <v>10412.2</v>
      </c>
      <c r="AB35" s="19" t="n">
        <v>10412.2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F36" s="9" t="n"/>
      <c r="K36" s="9" t="n"/>
      <c r="P36" s="9" t="n"/>
      <c r="U36" s="9" t="n"/>
      <c r="X36" s="18" t="n">
        <v>1.58</v>
      </c>
      <c r="Y36" s="18" t="n">
        <v>1.58</v>
      </c>
      <c r="Z36" s="34" t="n">
        <v>1.58</v>
      </c>
      <c r="AA36" s="18" t="n">
        <v>1.58</v>
      </c>
      <c r="AB36" s="19" t="n">
        <v>1.58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F37" s="9" t="n"/>
      <c r="K37" s="9" t="n"/>
      <c r="P37" s="9" t="n"/>
      <c r="U37" s="9" t="n"/>
      <c r="X37" s="18" t="n">
        <v>622.38</v>
      </c>
      <c r="Y37" s="18" t="n">
        <v>565.12</v>
      </c>
      <c r="Z37" s="34" t="n">
        <v>565.12</v>
      </c>
      <c r="AA37" s="18" t="n">
        <v>1065.22</v>
      </c>
      <c r="AB37" s="19" t="n">
        <v>972.8099999999999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F38" s="9" t="n"/>
      <c r="K38" s="9" t="n"/>
      <c r="P38" s="9" t="n"/>
      <c r="U38" s="9" t="n"/>
      <c r="X38" s="18" t="n">
        <v>48801.32</v>
      </c>
      <c r="Y38" s="18" t="n">
        <v>49665.29</v>
      </c>
      <c r="Z38" s="34" t="n">
        <v>49665.29</v>
      </c>
      <c r="AA38" s="18" t="n">
        <v>49571.85</v>
      </c>
      <c r="AB38" s="19" t="n">
        <v>50678.37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F39" s="9" t="n"/>
      <c r="K39" s="9" t="n"/>
      <c r="P39" s="9" t="n"/>
      <c r="U39" s="9" t="n"/>
      <c r="X39" s="18" t="n">
        <v>954.75</v>
      </c>
      <c r="Y39" s="18" t="n">
        <v>1039.36</v>
      </c>
      <c r="Z39" s="34" t="n">
        <v>1039.36</v>
      </c>
      <c r="AA39" s="18" t="n">
        <v>1070.56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X40" s="18" t="n">
        <v>67092.23</v>
      </c>
      <c r="Y40" s="18" t="n">
        <v>67983.55</v>
      </c>
      <c r="Z40" s="34" t="n">
        <v>67983.55</v>
      </c>
      <c r="AA40" s="18" t="n">
        <v>68421.41</v>
      </c>
      <c r="AB40" s="19" t="n">
        <v>68364.95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X41" s="18" t="n">
        <v>83291.7</v>
      </c>
      <c r="Y41" s="18" t="n">
        <v>82779.61</v>
      </c>
      <c r="Z41" s="34" t="n">
        <v>82779.61</v>
      </c>
      <c r="AA41" s="18" t="n">
        <v>82382.99000000001</v>
      </c>
      <c r="AB41" s="19" t="n">
        <v>85100.75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F42" s="9" t="n"/>
      <c r="K42" s="9" t="n"/>
      <c r="P42" s="9" t="n"/>
      <c r="U42" s="9" t="n"/>
      <c r="X42" s="18" t="n">
        <v>11481.88</v>
      </c>
      <c r="Y42" s="18" t="n">
        <v>9594.030000000001</v>
      </c>
      <c r="Z42" s="34" t="n">
        <v>9594.030000000001</v>
      </c>
      <c r="AA42" s="18" t="n">
        <v>7922.95</v>
      </c>
      <c r="AB42" s="19" t="n">
        <v>9261.93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F43" s="9" t="n"/>
      <c r="K43" s="9" t="n"/>
      <c r="P43" s="9" t="n"/>
      <c r="U43" s="9" t="n"/>
      <c r="Z43" s="9" t="n"/>
      <c r="AB43" s="19" t="n">
        <v>856.78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매출액(수익)</t>
        </is>
      </c>
      <c r="F44" s="9" t="n"/>
      <c r="K44" s="9" t="n"/>
      <c r="P44" s="9" t="n"/>
      <c r="U44" s="9" t="n"/>
      <c r="X44" s="18" t="n">
        <v>12432.52</v>
      </c>
      <c r="Y44" s="18" t="n">
        <v>12851.8</v>
      </c>
      <c r="Z44" s="9" t="n"/>
      <c r="AA44" s="18" t="n">
        <v>11043.79</v>
      </c>
      <c r="AB44" s="19" t="n">
        <v>13465.12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매출원가</t>
        </is>
      </c>
      <c r="F45" s="9" t="n"/>
      <c r="K45" s="9" t="n"/>
      <c r="P45" s="9" t="n"/>
      <c r="U45" s="9" t="n"/>
      <c r="X45" s="18" t="n">
        <v>10654.94</v>
      </c>
      <c r="Y45" s="18" t="n">
        <v>10681.92</v>
      </c>
      <c r="Z45" s="9" t="n"/>
      <c r="AA45" s="18" t="n">
        <v>9422.9</v>
      </c>
      <c r="AB45" s="19" t="n">
        <v>10508.31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매출총이익</t>
        </is>
      </c>
      <c r="F46" s="9" t="n"/>
      <c r="K46" s="9" t="n"/>
      <c r="P46" s="9" t="n"/>
      <c r="U46" s="9" t="n"/>
      <c r="X46" s="18" t="n">
        <v>1777.58</v>
      </c>
      <c r="Y46" s="18" t="n">
        <v>2169.88</v>
      </c>
      <c r="Z46" s="9" t="n"/>
      <c r="AA46" s="18" t="n">
        <v>1620.89</v>
      </c>
      <c r="AB46" s="19" t="n">
        <v>2956.81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판관비</t>
        </is>
      </c>
      <c r="F47" s="9" t="n"/>
      <c r="K47" s="9" t="n"/>
      <c r="P47" s="9" t="n"/>
      <c r="U47" s="9" t="n"/>
      <c r="X47" s="18" t="n">
        <v>1625.08</v>
      </c>
      <c r="Y47" s="18" t="n">
        <v>1879.59</v>
      </c>
      <c r="Z47" s="9" t="n"/>
      <c r="AA47" s="18" t="n">
        <v>1989.82</v>
      </c>
      <c r="AB47" s="19" t="n">
        <v>1993.5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영업이익</t>
        </is>
      </c>
      <c r="F48" s="9" t="n"/>
      <c r="K48" s="9" t="n"/>
      <c r="P48" s="9" t="n"/>
      <c r="U48" s="9" t="n"/>
      <c r="X48" s="18" t="n">
        <v>152.5</v>
      </c>
      <c r="Y48" s="18" t="n">
        <v>290.29</v>
      </c>
      <c r="Z48" s="9" t="n"/>
      <c r="AA48" s="18" t="n">
        <v>-368.93</v>
      </c>
      <c r="AB48" s="19" t="n">
        <v>963.3099999999999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기타영업외수익</t>
        </is>
      </c>
      <c r="F49" s="9" t="n"/>
      <c r="K49" s="9" t="n"/>
      <c r="P49" s="9" t="n"/>
      <c r="U49" s="9" t="n"/>
      <c r="X49" s="18" t="n">
        <v>1589.84</v>
      </c>
      <c r="Y49" s="18" t="n">
        <v>233.53</v>
      </c>
      <c r="Z49" s="9" t="n"/>
      <c r="AA49" s="18" t="n">
        <v>363.48</v>
      </c>
      <c r="AB49" s="19" t="n">
        <v>219.5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기타영업외비용</t>
        </is>
      </c>
      <c r="F50" s="9" t="n"/>
      <c r="K50" s="9" t="n"/>
      <c r="P50" s="9" t="n"/>
      <c r="U50" s="9" t="n"/>
      <c r="X50" s="18" t="n">
        <v>863.03</v>
      </c>
      <c r="Y50" s="18" t="n">
        <v>63.93</v>
      </c>
      <c r="Z50" s="9" t="n"/>
      <c r="AA50" s="18" t="n">
        <v>167.65</v>
      </c>
      <c r="AB50" s="19" t="n">
        <v>47.53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종속기업,공동지배기업및관계기업관련손익</t>
        </is>
      </c>
      <c r="F51" s="9" t="n"/>
      <c r="K51" s="9" t="n"/>
      <c r="P51" s="9" t="n"/>
      <c r="U51" s="9" t="n"/>
      <c r="X51" s="18" t="n">
        <v>11.19</v>
      </c>
      <c r="Y51" s="18" t="n">
        <v>23.76</v>
      </c>
      <c r="Z51" s="9" t="n"/>
      <c r="AA51" s="18" t="n">
        <v>0</v>
      </c>
      <c r="AB51" s="19" t="n">
        <v>15.26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지분법관련손익</t>
        </is>
      </c>
      <c r="F52" s="9" t="n"/>
      <c r="K52" s="9" t="n"/>
      <c r="P52" s="9" t="n"/>
      <c r="U52" s="9" t="n"/>
      <c r="X52" s="18" t="n">
        <v>11.19</v>
      </c>
      <c r="Y52" s="18" t="n">
        <v>23.76</v>
      </c>
      <c r="Z52" s="9" t="n"/>
      <c r="AA52" s="18" t="n">
        <v>0</v>
      </c>
      <c r="AB52" s="19" t="n">
        <v>15.26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X53" s="18" t="n">
        <v>181.17</v>
      </c>
      <c r="Y53" s="18" t="n">
        <v>180.75</v>
      </c>
      <c r="Z53" s="9" t="n"/>
      <c r="AA53" s="18" t="n">
        <v>176.74</v>
      </c>
      <c r="AB53" s="19" t="n">
        <v>184.39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X54" s="18" t="n">
        <v>21.91</v>
      </c>
      <c r="Y54" s="18" t="n">
        <v>-1.36</v>
      </c>
      <c r="Z54" s="9" t="n"/>
      <c r="AA54" s="18" t="n">
        <v>13.92</v>
      </c>
      <c r="AB54" s="19" t="n">
        <v>16.28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F55" s="9" t="n"/>
      <c r="K55" s="9" t="n"/>
      <c r="P55" s="9" t="n"/>
      <c r="U55" s="9" t="n"/>
      <c r="X55" s="18" t="n">
        <v>1049.76</v>
      </c>
      <c r="Y55" s="18" t="n">
        <v>649.33</v>
      </c>
      <c r="Z55" s="9" t="n"/>
      <c r="AA55" s="18" t="n">
        <v>-36.82</v>
      </c>
      <c r="AB55" s="19" t="n">
        <v>1318.65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F56" s="9" t="n"/>
      <c r="K56" s="9" t="n"/>
      <c r="P56" s="9" t="n"/>
      <c r="U56" s="9" t="n"/>
      <c r="X56" s="18" t="n">
        <v>676.29</v>
      </c>
      <c r="Y56" s="18" t="n">
        <v>-286.38</v>
      </c>
      <c r="Z56" s="9" t="n"/>
      <c r="AA56" s="18" t="n">
        <v>-56.68</v>
      </c>
      <c r="AB56" s="19" t="n">
        <v>369.14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F57" s="9" t="n"/>
      <c r="K57" s="9" t="n"/>
      <c r="P57" s="9" t="n"/>
      <c r="U57" s="9" t="n"/>
      <c r="X57" s="18" t="n">
        <v>373.47</v>
      </c>
      <c r="Y57" s="18" t="n">
        <v>935.7</v>
      </c>
      <c r="Z57" s="9" t="n"/>
      <c r="AA57" s="18" t="n">
        <v>19.86</v>
      </c>
      <c r="AB57" s="19" t="n">
        <v>949.51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(지배주주지분)당기순이익</t>
        </is>
      </c>
      <c r="F58" s="9" t="n"/>
      <c r="K58" s="9" t="n"/>
      <c r="P58" s="9" t="n"/>
      <c r="U58" s="9" t="n"/>
      <c r="X58" s="18" t="n">
        <v>431.48</v>
      </c>
      <c r="Y58" s="18" t="n">
        <v>863.97</v>
      </c>
      <c r="Z58" s="9" t="n"/>
      <c r="AA58" s="18" t="n">
        <v>32.56</v>
      </c>
      <c r="AB58" s="19" t="n">
        <v>925.8099999999999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(비지배주주지분)당기순이익</t>
        </is>
      </c>
      <c r="F59" s="9" t="n"/>
      <c r="K59" s="9" t="n"/>
      <c r="P59" s="9" t="n"/>
      <c r="U59" s="9" t="n"/>
      <c r="X59" s="18" t="n">
        <v>-58.01</v>
      </c>
      <c r="Y59" s="18" t="n">
        <v>71.73</v>
      </c>
      <c r="Z59" s="9" t="n"/>
      <c r="AA59" s="18" t="n">
        <v>-12.7</v>
      </c>
      <c r="AB59" s="19" t="n">
        <v>23.7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X60" s="18" t="n">
        <v>477.66</v>
      </c>
      <c r="Y60" s="18" t="n">
        <v>891.3200000000001</v>
      </c>
      <c r="Z60" s="9" t="n"/>
      <c r="AA60" s="18" t="n">
        <v>563.86</v>
      </c>
      <c r="AB60" s="19" t="n">
        <v>800.3200000000001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F61" s="9" t="n"/>
      <c r="K61" s="9" t="n"/>
      <c r="P61" s="9" t="n"/>
      <c r="U61" s="9" t="n"/>
      <c r="X61" s="18" t="n">
        <v>159.26</v>
      </c>
      <c r="Y61" s="18" t="n">
        <v>182.11</v>
      </c>
      <c r="Z61" s="9" t="n"/>
      <c r="AA61" s="18" t="n">
        <v>162.82</v>
      </c>
      <c r="AB61" s="19" t="n">
        <v>168.11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F62" s="9" t="n"/>
      <c r="K62" s="9" t="n"/>
      <c r="P62" s="9" t="n"/>
      <c r="U62" s="9" t="n"/>
      <c r="X62" s="18" t="n">
        <v>726.8099999999999</v>
      </c>
      <c r="Y62" s="18" t="n">
        <v>169.6</v>
      </c>
      <c r="Z62" s="9" t="n"/>
      <c r="AA62" s="18" t="n">
        <v>195.83</v>
      </c>
      <c r="AB62" s="19" t="n">
        <v>171.97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F63" s="9" t="n"/>
      <c r="K63" s="9" t="n"/>
      <c r="P63" s="9" t="n"/>
      <c r="U63" s="9" t="n"/>
      <c r="X63" s="18" t="n">
        <v>373.47</v>
      </c>
      <c r="Y63" s="18" t="n">
        <v>935.7</v>
      </c>
      <c r="Z63" s="9" t="n"/>
      <c r="AA63" s="18" t="n">
        <v>19.86</v>
      </c>
      <c r="AB63" s="19" t="n">
        <v>949.51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F64" s="9" t="n"/>
      <c r="K64" s="9" t="n"/>
      <c r="P64" s="9" t="n"/>
      <c r="U64" s="9" t="n"/>
      <c r="X64" s="18" t="n">
        <v>-727.64</v>
      </c>
      <c r="Y64" s="18" t="n">
        <v>1040.26</v>
      </c>
      <c r="Z64" s="9" t="n"/>
      <c r="AA64" s="18" t="n">
        <v>-1437.28</v>
      </c>
      <c r="AB64" s="19" t="n">
        <v>2020.03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배당금수취(CF)</t>
        </is>
      </c>
      <c r="F65" s="9" t="n"/>
      <c r="K65" s="9" t="n"/>
      <c r="P65" s="9" t="n"/>
      <c r="U65" s="9" t="n"/>
      <c r="X65" s="18" t="n">
        <v>0</v>
      </c>
      <c r="Y65" s="18" t="n">
        <v>0</v>
      </c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F66" s="9" t="n"/>
      <c r="K66" s="9" t="n"/>
      <c r="P66" s="9" t="n"/>
      <c r="U66" s="9" t="n"/>
      <c r="X66" s="18" t="n">
        <v>480.96</v>
      </c>
      <c r="Y66" s="18" t="n">
        <v>374.48</v>
      </c>
      <c r="Z66" s="9" t="n"/>
      <c r="AA66" s="18" t="n">
        <v>16.5</v>
      </c>
      <c r="AB66" s="19" t="n">
        <v>5.06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F67" s="9" t="n"/>
      <c r="K67" s="9" t="n"/>
      <c r="P67" s="9" t="n"/>
      <c r="U67" s="9" t="n"/>
      <c r="X67" s="18" t="n">
        <v>-74.06999999999999</v>
      </c>
      <c r="Y67" s="18" t="n">
        <v>-57.52</v>
      </c>
      <c r="Z67" s="9" t="n"/>
      <c r="AA67" s="18" t="n">
        <v>-2.34</v>
      </c>
      <c r="AB67" s="19" t="n">
        <v>124.79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F68" s="9" t="n"/>
      <c r="K68" s="9" t="n"/>
      <c r="P68" s="9" t="n"/>
      <c r="U68" s="9" t="n"/>
      <c r="X68" s="18" t="n">
        <v>2475.23</v>
      </c>
      <c r="Y68" s="18" t="n">
        <v>-2689.01</v>
      </c>
      <c r="Z68" s="9" t="n"/>
      <c r="AA68" s="18" t="n">
        <v>-436.09</v>
      </c>
      <c r="AB68" s="19" t="n">
        <v>-169.27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F69" s="9" t="n"/>
      <c r="K69" s="9" t="n"/>
      <c r="P69" s="9" t="n"/>
      <c r="U69" s="9" t="n"/>
      <c r="X69" s="18" t="n">
        <v>184.07</v>
      </c>
      <c r="Y69" s="18" t="n">
        <v>648.04</v>
      </c>
      <c r="Z69" s="9" t="n"/>
      <c r="AA69" s="18" t="n">
        <v>3.12</v>
      </c>
      <c r="AB69" s="19" t="n">
        <v>171.77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F70" s="9" t="n"/>
      <c r="K70" s="9" t="n"/>
      <c r="P70" s="9" t="n"/>
      <c r="U70" s="9" t="n"/>
      <c r="X70" s="18" t="n">
        <v>184.07</v>
      </c>
      <c r="Y70" s="18" t="n">
        <v>648.04</v>
      </c>
      <c r="Z70" s="9" t="n"/>
      <c r="AA70" s="18" t="n">
        <v>3.12</v>
      </c>
      <c r="AB70" s="19" t="n">
        <v>171.77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F71" s="9" t="n"/>
      <c r="K71" s="9" t="n"/>
      <c r="P71" s="9" t="n"/>
      <c r="U71" s="9" t="n"/>
      <c r="X71" s="18" t="n">
        <v>29.18</v>
      </c>
      <c r="Y71" s="18" t="n">
        <v>-0.73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F72" s="9" t="n"/>
      <c r="K72" s="9" t="n"/>
      <c r="P72" s="9" t="n"/>
      <c r="U72" s="9" t="n"/>
      <c r="X72" s="18" t="n">
        <v>3696.77</v>
      </c>
      <c r="Y72" s="18" t="n">
        <v>-69.94</v>
      </c>
      <c r="Z72" s="9" t="n"/>
      <c r="AA72" s="18" t="n">
        <v>-73.39</v>
      </c>
      <c r="AB72" s="19" t="n">
        <v>-197.13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배당금지급</t>
        </is>
      </c>
      <c r="F73" s="9" t="n"/>
      <c r="K73" s="9" t="n"/>
      <c r="P73" s="9" t="n"/>
      <c r="U73" s="9" t="n"/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F74" s="9" t="n"/>
      <c r="K74" s="9" t="n"/>
      <c r="P74" s="9" t="n"/>
      <c r="U74" s="9" t="n"/>
      <c r="X74" s="18" t="n">
        <v>11189.86</v>
      </c>
      <c r="Y74" s="18" t="n">
        <v>-3506.41</v>
      </c>
      <c r="Z74" s="9" t="n"/>
      <c r="AA74" s="18" t="n">
        <v>-3612.63</v>
      </c>
      <c r="AB74" s="19" t="n">
        <v>3400.25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F75" s="9" t="n"/>
      <c r="K75" s="9" t="n"/>
      <c r="P75" s="9" t="n"/>
      <c r="U75" s="9" t="n"/>
      <c r="X75" s="18" t="n">
        <v>5745.5</v>
      </c>
      <c r="Y75" s="18" t="n">
        <v>-1787.71</v>
      </c>
      <c r="Z75" s="9" t="n"/>
      <c r="AA75" s="18" t="n">
        <v>7468.59</v>
      </c>
      <c r="AB75" s="19" t="n">
        <v>1746.62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F76" s="9" t="n"/>
      <c r="K76" s="9" t="n"/>
      <c r="P76" s="9" t="n"/>
      <c r="U76" s="9" t="n"/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4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4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4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4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4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4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4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4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4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4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4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4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4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4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4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4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4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4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4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4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4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4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4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4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4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4" t="n">
        <v>0</v>
      </c>
      <c r="J10" s="18" t="n">
        <v>0</v>
      </c>
      <c r="K10" s="34" t="n">
        <v>0</v>
      </c>
      <c r="O10" s="18" t="n">
        <v>20.78</v>
      </c>
      <c r="P10" s="34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4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4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4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4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4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4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4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4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4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4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4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4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4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4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4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4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4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4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4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4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4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4" t="n">
        <v>269.82</v>
      </c>
      <c r="AA14" s="18" t="n">
        <v>269.82</v>
      </c>
      <c r="AB14" s="19" t="n">
        <v>39.82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4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4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4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4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4" t="n">
        <v>8973.889999999999</v>
      </c>
      <c r="AA15" s="18" t="n">
        <v>9023.889999999999</v>
      </c>
      <c r="AB15" s="19" t="n">
        <v>39.82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4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4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4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4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4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4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4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4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4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4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4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4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4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4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4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4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4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4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4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4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4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4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4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4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4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4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4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4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4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4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4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4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4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4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4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4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4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4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4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4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4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4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4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4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4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4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4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4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4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4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4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4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4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4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4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4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4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4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4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4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4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4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4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4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4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4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4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4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4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4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4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4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4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4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4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4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4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4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4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4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4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4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4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4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4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4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4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4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4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4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4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4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4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4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4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4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4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4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4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4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4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4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4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4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4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4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4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4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4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4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4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4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4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4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4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4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4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4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4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4" t="n">
        <v>4446.92</v>
      </c>
      <c r="AA39" s="18" t="n">
        <v>2050.31</v>
      </c>
      <c r="AB39" s="19" t="n">
        <v>3295.6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4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4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4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4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매출액(수익)</t>
        </is>
      </c>
      <c r="E42" s="18" t="n">
        <v>12430.92</v>
      </c>
      <c r="F42" s="9" t="n"/>
      <c r="G42" s="18" t="n">
        <v>11967.27</v>
      </c>
      <c r="H42" s="18" t="n">
        <v>11946.73</v>
      </c>
      <c r="I42" s="18" t="n">
        <v>14222.41</v>
      </c>
      <c r="J42" s="18" t="n">
        <v>12281.8</v>
      </c>
      <c r="K42" s="34" t="n">
        <v>50418.21</v>
      </c>
      <c r="L42" s="18" t="n">
        <v>12608.78</v>
      </c>
      <c r="M42" s="18" t="n">
        <v>11502.89</v>
      </c>
      <c r="N42" s="18" t="n">
        <v>10707.58</v>
      </c>
      <c r="O42" s="18" t="n">
        <v>11017.73</v>
      </c>
      <c r="P42" s="34" t="n">
        <v>45836.98</v>
      </c>
      <c r="Q42" s="18" t="n">
        <v>10454.85</v>
      </c>
      <c r="R42" s="18" t="n">
        <v>11069.22</v>
      </c>
      <c r="S42" s="18" t="n">
        <v>11049.55</v>
      </c>
      <c r="T42" s="18" t="n">
        <v>9797.4</v>
      </c>
      <c r="U42" s="34" t="n">
        <v>42371.02</v>
      </c>
      <c r="V42" s="18" t="n">
        <v>9777</v>
      </c>
      <c r="W42" s="18" t="n">
        <v>11439.92</v>
      </c>
      <c r="X42" s="18" t="n">
        <v>10939.65</v>
      </c>
      <c r="Y42" s="18" t="n">
        <v>9985.5</v>
      </c>
      <c r="Z42" s="34" t="n">
        <v>42142.07</v>
      </c>
      <c r="AA42" s="18" t="n">
        <v>9229.629999999999</v>
      </c>
      <c r="AB42" s="19" t="n">
        <v>11199.82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매출원가</t>
        </is>
      </c>
      <c r="E43" s="18" t="n">
        <v>11728.55</v>
      </c>
      <c r="F43" s="9" t="n"/>
      <c r="G43" s="18" t="n">
        <v>9952.559999999999</v>
      </c>
      <c r="H43" s="18" t="n">
        <v>9906.57</v>
      </c>
      <c r="I43" s="18" t="n">
        <v>12159.48</v>
      </c>
      <c r="J43" s="18" t="n">
        <v>10645.75</v>
      </c>
      <c r="K43" s="34" t="n">
        <v>42664.36</v>
      </c>
      <c r="L43" s="18" t="n">
        <v>10736.97</v>
      </c>
      <c r="M43" s="18" t="n">
        <v>9083.27</v>
      </c>
      <c r="N43" s="18" t="n">
        <v>9570.870000000001</v>
      </c>
      <c r="O43" s="18" t="n">
        <v>9321.4</v>
      </c>
      <c r="P43" s="34" t="n">
        <v>38712.51</v>
      </c>
      <c r="Q43" s="18" t="n">
        <v>9400.049999999999</v>
      </c>
      <c r="R43" s="18" t="n">
        <v>9339.08</v>
      </c>
      <c r="S43" s="18" t="n">
        <v>10043.26</v>
      </c>
      <c r="T43" s="18" t="n">
        <v>8775.780000000001</v>
      </c>
      <c r="U43" s="34" t="n">
        <v>37558.17</v>
      </c>
      <c r="V43" s="18" t="n">
        <v>9076.030000000001</v>
      </c>
      <c r="W43" s="18" t="n">
        <v>9689.469999999999</v>
      </c>
      <c r="X43" s="18" t="n">
        <v>9550.32</v>
      </c>
      <c r="Y43" s="18" t="n">
        <v>8951.98</v>
      </c>
      <c r="Z43" s="34" t="n">
        <v>37267.8</v>
      </c>
      <c r="AA43" s="18" t="n">
        <v>7973.68</v>
      </c>
      <c r="AB43" s="19" t="n">
        <v>9352.09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매출총이익</t>
        </is>
      </c>
      <c r="E44" s="18" t="n">
        <v>702.37</v>
      </c>
      <c r="F44" s="9" t="n"/>
      <c r="G44" s="18" t="n">
        <v>2014.71</v>
      </c>
      <c r="H44" s="18" t="n">
        <v>2040.15</v>
      </c>
      <c r="I44" s="18" t="n">
        <v>2062.93</v>
      </c>
      <c r="J44" s="18" t="n">
        <v>1636.04</v>
      </c>
      <c r="K44" s="34" t="n">
        <v>7753.83</v>
      </c>
      <c r="L44" s="18" t="n">
        <v>1871.81</v>
      </c>
      <c r="M44" s="18" t="n">
        <v>2419.62</v>
      </c>
      <c r="N44" s="18" t="n">
        <v>1136.71</v>
      </c>
      <c r="O44" s="18" t="n">
        <v>1696.33</v>
      </c>
      <c r="P44" s="34" t="n">
        <v>7124.47</v>
      </c>
      <c r="Q44" s="18" t="n">
        <v>1054.8</v>
      </c>
      <c r="R44" s="18" t="n">
        <v>1730.14</v>
      </c>
      <c r="S44" s="18" t="n">
        <v>1006.29</v>
      </c>
      <c r="T44" s="18" t="n">
        <v>1021.62</v>
      </c>
      <c r="U44" s="34" t="n">
        <v>4812.85</v>
      </c>
      <c r="V44" s="18" t="n">
        <v>700.97</v>
      </c>
      <c r="W44" s="18" t="n">
        <v>1750.45</v>
      </c>
      <c r="X44" s="18" t="n">
        <v>1389.33</v>
      </c>
      <c r="Y44" s="18" t="n">
        <v>1033.52</v>
      </c>
      <c r="Z44" s="34" t="n">
        <v>4874.27</v>
      </c>
      <c r="AA44" s="18" t="n">
        <v>1255.95</v>
      </c>
      <c r="AB44" s="19" t="n">
        <v>1847.73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판관비</t>
        </is>
      </c>
      <c r="E45" s="18" t="n">
        <v>1451.48</v>
      </c>
      <c r="F45" s="9" t="n"/>
      <c r="G45" s="18" t="n">
        <v>1465.3</v>
      </c>
      <c r="H45" s="18" t="n">
        <v>1575.96</v>
      </c>
      <c r="I45" s="18" t="n">
        <v>1541.82</v>
      </c>
      <c r="J45" s="18" t="n">
        <v>1559.89</v>
      </c>
      <c r="K45" s="34" t="n">
        <v>6142.97</v>
      </c>
      <c r="L45" s="18" t="n">
        <v>1687.95</v>
      </c>
      <c r="M45" s="18" t="n">
        <v>1600.04</v>
      </c>
      <c r="N45" s="18" t="n">
        <v>1660.47</v>
      </c>
      <c r="O45" s="18" t="n">
        <v>1562.4</v>
      </c>
      <c r="P45" s="34" t="n">
        <v>6510.86</v>
      </c>
      <c r="Q45" s="18" t="n">
        <v>1771.18</v>
      </c>
      <c r="R45" s="18" t="n">
        <v>1477.11</v>
      </c>
      <c r="S45" s="18" t="n">
        <v>1419.91</v>
      </c>
      <c r="T45" s="18" t="n">
        <v>1438.63</v>
      </c>
      <c r="U45" s="34" t="n">
        <v>6106.83</v>
      </c>
      <c r="V45" s="18" t="n">
        <v>1467.04</v>
      </c>
      <c r="W45" s="18" t="n">
        <v>1382.91</v>
      </c>
      <c r="X45" s="18" t="n">
        <v>1299.38</v>
      </c>
      <c r="Y45" s="18" t="n">
        <v>1446.78</v>
      </c>
      <c r="Z45" s="34" t="n">
        <v>5596.11</v>
      </c>
      <c r="AA45" s="18" t="n">
        <v>1509.18</v>
      </c>
      <c r="AB45" s="19" t="n">
        <v>1492.17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영업이익</t>
        </is>
      </c>
      <c r="E46" s="18" t="n">
        <v>-749.11</v>
      </c>
      <c r="F46" s="9" t="n"/>
      <c r="G46" s="18" t="n">
        <v>549.4</v>
      </c>
      <c r="H46" s="18" t="n">
        <v>464.2</v>
      </c>
      <c r="I46" s="18" t="n">
        <v>521.12</v>
      </c>
      <c r="J46" s="18" t="n">
        <v>76.15000000000001</v>
      </c>
      <c r="K46" s="34" t="n">
        <v>1610.87</v>
      </c>
      <c r="L46" s="18" t="n">
        <v>183.86</v>
      </c>
      <c r="M46" s="18" t="n">
        <v>819.58</v>
      </c>
      <c r="N46" s="18" t="n">
        <v>-523.76</v>
      </c>
      <c r="O46" s="18" t="n">
        <v>133.93</v>
      </c>
      <c r="P46" s="34" t="n">
        <v>613.61</v>
      </c>
      <c r="Q46" s="18" t="n">
        <v>-716.39</v>
      </c>
      <c r="R46" s="18" t="n">
        <v>253.03</v>
      </c>
      <c r="S46" s="18" t="n">
        <v>-413.62</v>
      </c>
      <c r="T46" s="18" t="n">
        <v>-417.01</v>
      </c>
      <c r="U46" s="34" t="n">
        <v>-1293.99</v>
      </c>
      <c r="V46" s="18" t="n">
        <v>-766.0700000000001</v>
      </c>
      <c r="W46" s="18" t="n">
        <v>367.54</v>
      </c>
      <c r="X46" s="18" t="n">
        <v>89.94</v>
      </c>
      <c r="Y46" s="18" t="n">
        <v>-413.26</v>
      </c>
      <c r="Z46" s="34" t="n">
        <v>-721.85</v>
      </c>
      <c r="AA46" s="18" t="n">
        <v>-253.23</v>
      </c>
      <c r="AB46" s="19" t="n">
        <v>355.56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기타영업외수익</t>
        </is>
      </c>
      <c r="E47" s="18" t="n">
        <v>75.48</v>
      </c>
      <c r="F47" s="9" t="n"/>
      <c r="G47" s="18" t="n">
        <v>234.27</v>
      </c>
      <c r="H47" s="18" t="n">
        <v>147.98</v>
      </c>
      <c r="I47" s="18" t="n">
        <v>421.6</v>
      </c>
      <c r="J47" s="18" t="n">
        <v>97.86</v>
      </c>
      <c r="K47" s="34" t="n">
        <v>901.71</v>
      </c>
      <c r="L47" s="18" t="n">
        <v>271.61</v>
      </c>
      <c r="M47" s="18" t="n">
        <v>94.63</v>
      </c>
      <c r="N47" s="18" t="n">
        <v>152.4</v>
      </c>
      <c r="O47" s="18" t="n">
        <v>27.23</v>
      </c>
      <c r="P47" s="34" t="n">
        <v>545.87</v>
      </c>
      <c r="Q47" s="18" t="n">
        <v>182.39</v>
      </c>
      <c r="R47" s="18" t="n">
        <v>193.35</v>
      </c>
      <c r="S47" s="18" t="n">
        <v>99.18000000000001</v>
      </c>
      <c r="T47" s="18" t="n">
        <v>286.76</v>
      </c>
      <c r="U47" s="34" t="n">
        <v>761.6799999999999</v>
      </c>
      <c r="V47" s="18" t="n">
        <v>146.83</v>
      </c>
      <c r="W47" s="18" t="n">
        <v>-18.31</v>
      </c>
      <c r="X47" s="18" t="n">
        <v>112.48</v>
      </c>
      <c r="Y47" s="18" t="n">
        <v>204.27</v>
      </c>
      <c r="Z47" s="34" t="n">
        <v>445.27</v>
      </c>
      <c r="AA47" s="18" t="n">
        <v>360.75</v>
      </c>
      <c r="AB47" s="19" t="n">
        <v>185.12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기타영업외비용</t>
        </is>
      </c>
      <c r="E48" s="18" t="n">
        <v>51.42</v>
      </c>
      <c r="F48" s="9" t="n"/>
      <c r="G48" s="18" t="n">
        <v>32.13</v>
      </c>
      <c r="H48" s="18" t="n">
        <v>34.67</v>
      </c>
      <c r="I48" s="18" t="n">
        <v>-29.86</v>
      </c>
      <c r="J48" s="18" t="n">
        <v>307.81</v>
      </c>
      <c r="K48" s="34" t="n">
        <v>344.75</v>
      </c>
      <c r="L48" s="18" t="n">
        <v>1.53</v>
      </c>
      <c r="M48" s="18" t="n">
        <v>112.9</v>
      </c>
      <c r="N48" s="18" t="n">
        <v>-3.08</v>
      </c>
      <c r="O48" s="18" t="n">
        <v>34.78</v>
      </c>
      <c r="P48" s="34" t="n">
        <v>146.13</v>
      </c>
      <c r="Q48" s="18" t="n">
        <v>17.43</v>
      </c>
      <c r="R48" s="18" t="n">
        <v>30.52</v>
      </c>
      <c r="S48" s="18" t="n">
        <v>18.2</v>
      </c>
      <c r="T48" s="18" t="n">
        <v>-53.67</v>
      </c>
      <c r="U48" s="34" t="n">
        <v>12.48</v>
      </c>
      <c r="V48" s="18" t="n">
        <v>5.77</v>
      </c>
      <c r="W48" s="18" t="n">
        <v>261.23</v>
      </c>
      <c r="X48" s="18" t="n">
        <v>-198.7</v>
      </c>
      <c r="Y48" s="18" t="n">
        <v>-29.12</v>
      </c>
      <c r="Z48" s="34" t="n">
        <v>39.18</v>
      </c>
      <c r="AA48" s="18" t="n">
        <v>118.32</v>
      </c>
      <c r="AB48" s="19" t="n">
        <v>21.64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금융수익</t>
        </is>
      </c>
      <c r="E49" s="18" t="n">
        <v>92</v>
      </c>
      <c r="F49" s="9" t="n"/>
      <c r="G49" s="18" t="n">
        <v>106.96</v>
      </c>
      <c r="H49" s="18" t="n">
        <v>112.62</v>
      </c>
      <c r="I49" s="18" t="n">
        <v>138.68</v>
      </c>
      <c r="J49" s="18" t="n">
        <v>231.32</v>
      </c>
      <c r="K49" s="34" t="n">
        <v>589.58</v>
      </c>
      <c r="L49" s="18" t="n">
        <v>257.1</v>
      </c>
      <c r="M49" s="18" t="n">
        <v>250.49</v>
      </c>
      <c r="N49" s="18" t="n">
        <v>261.19</v>
      </c>
      <c r="O49" s="18" t="n">
        <v>260.53</v>
      </c>
      <c r="P49" s="34" t="n">
        <v>1029.31</v>
      </c>
      <c r="Q49" s="18" t="n">
        <v>242.65</v>
      </c>
      <c r="R49" s="18" t="n">
        <v>243.87</v>
      </c>
      <c r="S49" s="18" t="n">
        <v>243.77</v>
      </c>
      <c r="T49" s="18" t="n">
        <v>241.73</v>
      </c>
      <c r="U49" s="34" t="n">
        <v>972.02</v>
      </c>
      <c r="V49" s="18" t="n">
        <v>212.86</v>
      </c>
      <c r="W49" s="18" t="n">
        <v>219.62</v>
      </c>
      <c r="X49" s="18" t="n">
        <v>180.26</v>
      </c>
      <c r="Y49" s="18" t="n">
        <v>180.72</v>
      </c>
      <c r="Z49" s="34" t="n">
        <v>793.46</v>
      </c>
      <c r="AA49" s="18" t="n">
        <v>175.45</v>
      </c>
      <c r="AB49" s="19" t="n">
        <v>184.36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법인세비용차감전계속사업이익</t>
        </is>
      </c>
      <c r="E50" s="18" t="n">
        <v>-633.0700000000001</v>
      </c>
      <c r="F50" s="9" t="n"/>
      <c r="G50" s="18" t="n">
        <v>858.51</v>
      </c>
      <c r="H50" s="18" t="n">
        <v>646.59</v>
      </c>
      <c r="I50" s="18" t="n">
        <v>1105.26</v>
      </c>
      <c r="J50" s="18" t="n">
        <v>109.81</v>
      </c>
      <c r="K50" s="34" t="n">
        <v>2720.17</v>
      </c>
      <c r="L50" s="18" t="n">
        <v>711.04</v>
      </c>
      <c r="M50" s="18" t="n">
        <v>1040.23</v>
      </c>
      <c r="N50" s="18" t="n">
        <v>-107.62</v>
      </c>
      <c r="O50" s="18" t="n">
        <v>463.02</v>
      </c>
      <c r="P50" s="34" t="n">
        <v>2106.67</v>
      </c>
      <c r="Q50" s="18" t="n">
        <v>-290.39</v>
      </c>
      <c r="R50" s="18" t="n">
        <v>669.33</v>
      </c>
      <c r="S50" s="18" t="n">
        <v>-96.79000000000001</v>
      </c>
      <c r="T50" s="18" t="n">
        <v>141.71</v>
      </c>
      <c r="U50" s="34" t="n">
        <v>423.86</v>
      </c>
      <c r="V50" s="18" t="n">
        <v>-413.73</v>
      </c>
      <c r="W50" s="18" t="n">
        <v>312.89</v>
      </c>
      <c r="X50" s="18" t="n">
        <v>584.36</v>
      </c>
      <c r="Y50" s="18" t="n">
        <v>12.28</v>
      </c>
      <c r="Z50" s="34" t="n">
        <v>495.8</v>
      </c>
      <c r="AA50" s="18" t="n">
        <v>136.06</v>
      </c>
      <c r="AB50" s="19" t="n">
        <v>713.41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법인세비용</t>
        </is>
      </c>
      <c r="E51" s="18" t="n">
        <v>-179.42</v>
      </c>
      <c r="F51" s="9" t="n"/>
      <c r="G51" s="18" t="n">
        <v>125.68</v>
      </c>
      <c r="H51" s="18" t="n">
        <v>208.97</v>
      </c>
      <c r="I51" s="18" t="n">
        <v>174.43</v>
      </c>
      <c r="J51" s="18" t="n">
        <v>33.73</v>
      </c>
      <c r="K51" s="34" t="n">
        <v>542.8099999999999</v>
      </c>
      <c r="L51" s="18" t="n">
        <v>193.37</v>
      </c>
      <c r="M51" s="18" t="n">
        <v>153.39</v>
      </c>
      <c r="N51" s="18" t="n">
        <v>-80.33</v>
      </c>
      <c r="O51" s="18" t="n">
        <v>-86.55</v>
      </c>
      <c r="P51" s="34" t="n">
        <v>179.88</v>
      </c>
      <c r="Q51" s="18" t="n">
        <v>43.01</v>
      </c>
      <c r="R51" s="18" t="n">
        <v>15.51</v>
      </c>
      <c r="S51" s="18" t="n">
        <v>-38.17</v>
      </c>
      <c r="T51" s="18" t="n">
        <v>7.8</v>
      </c>
      <c r="U51" s="34" t="n">
        <v>28.15</v>
      </c>
      <c r="V51" s="18" t="n">
        <v>6.61</v>
      </c>
      <c r="W51" s="18" t="n">
        <v>-2.91</v>
      </c>
      <c r="X51" s="18" t="n">
        <v>41.58</v>
      </c>
      <c r="Y51" s="18" t="n">
        <v>-206.11</v>
      </c>
      <c r="Z51" s="34" t="n">
        <v>-160.83</v>
      </c>
      <c r="AA51" s="18" t="n">
        <v>-10.78</v>
      </c>
      <c r="AB51" s="19" t="n">
        <v>138.52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당기순이익</t>
        </is>
      </c>
      <c r="E52" s="18" t="n">
        <v>-453.65</v>
      </c>
      <c r="F52" s="9" t="n"/>
      <c r="G52" s="18" t="n">
        <v>732.8200000000001</v>
      </c>
      <c r="H52" s="18" t="n">
        <v>437.61</v>
      </c>
      <c r="I52" s="18" t="n">
        <v>930.83</v>
      </c>
      <c r="J52" s="18" t="n">
        <v>76.09</v>
      </c>
      <c r="K52" s="34" t="n">
        <v>2177.35</v>
      </c>
      <c r="L52" s="18" t="n">
        <v>517.67</v>
      </c>
      <c r="M52" s="18" t="n">
        <v>886.84</v>
      </c>
      <c r="N52" s="18" t="n">
        <v>-27.29</v>
      </c>
      <c r="O52" s="18" t="n">
        <v>549.5700000000001</v>
      </c>
      <c r="P52" s="34" t="n">
        <v>1926.79</v>
      </c>
      <c r="Q52" s="18" t="n">
        <v>-333.39</v>
      </c>
      <c r="R52" s="18" t="n">
        <v>653.8200000000001</v>
      </c>
      <c r="S52" s="18" t="n">
        <v>-58.63</v>
      </c>
      <c r="T52" s="18" t="n">
        <v>133.92</v>
      </c>
      <c r="U52" s="34" t="n">
        <v>395.72</v>
      </c>
      <c r="V52" s="18" t="n">
        <v>-420.34</v>
      </c>
      <c r="W52" s="18" t="n">
        <v>315.8</v>
      </c>
      <c r="X52" s="18" t="n">
        <v>542.78</v>
      </c>
      <c r="Y52" s="18" t="n">
        <v>218.39</v>
      </c>
      <c r="Z52" s="34" t="n">
        <v>656.63</v>
      </c>
      <c r="AA52" s="18" t="n">
        <v>146.83</v>
      </c>
      <c r="AB52" s="19" t="n">
        <v>574.89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-471.15</v>
      </c>
      <c r="F53" s="9" t="n"/>
      <c r="G53" s="18" t="n">
        <v>707.08</v>
      </c>
      <c r="H53" s="18" t="n">
        <v>446.36</v>
      </c>
      <c r="I53" s="18" t="n">
        <v>1182.05</v>
      </c>
      <c r="J53" s="18" t="n">
        <v>-104.61</v>
      </c>
      <c r="K53" s="34" t="n">
        <v>2230.88</v>
      </c>
      <c r="L53" s="18" t="n">
        <v>484.49</v>
      </c>
      <c r="M53" s="18" t="n">
        <v>1015.55</v>
      </c>
      <c r="N53" s="18" t="n">
        <v>6.64</v>
      </c>
      <c r="O53" s="18" t="n">
        <v>495.28</v>
      </c>
      <c r="P53" s="34" t="n">
        <v>2001.96</v>
      </c>
      <c r="Q53" s="18" t="n">
        <v>-98.47</v>
      </c>
      <c r="R53" s="18" t="n">
        <v>353.63</v>
      </c>
      <c r="S53" s="18" t="n">
        <v>-86.81999999999999</v>
      </c>
      <c r="T53" s="18" t="n">
        <v>94.75</v>
      </c>
      <c r="U53" s="34" t="n">
        <v>263.09</v>
      </c>
      <c r="V53" s="18" t="n">
        <v>-372.83</v>
      </c>
      <c r="W53" s="18" t="n">
        <v>584.66</v>
      </c>
      <c r="X53" s="18" t="n">
        <v>439.94</v>
      </c>
      <c r="Y53" s="18" t="n">
        <v>252.26</v>
      </c>
      <c r="Z53" s="34" t="n">
        <v>904.03</v>
      </c>
      <c r="AA53" s="18" t="n">
        <v>251.85</v>
      </c>
      <c r="AB53" s="19" t="n">
        <v>237.19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금융손익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4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4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4" t="n">
        <v>972.02</v>
      </c>
      <c r="V54" s="18" t="n">
        <v>212.86</v>
      </c>
      <c r="W54" s="18" t="n">
        <v>219.62</v>
      </c>
      <c r="X54" s="18" t="n">
        <v>172.05</v>
      </c>
      <c r="Y54" s="18" t="n">
        <v>168.38</v>
      </c>
      <c r="Z54" s="34" t="n">
        <v>772.91</v>
      </c>
      <c r="AA54" s="18" t="n">
        <v>161.53</v>
      </c>
      <c r="AB54" s="19" t="n">
        <v>168.08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기타영업외손익</t>
        </is>
      </c>
      <c r="E55" s="18" t="n">
        <v>24.06</v>
      </c>
      <c r="F55" s="9" t="n"/>
      <c r="G55" s="18" t="n">
        <v>202.14</v>
      </c>
      <c r="H55" s="18" t="n">
        <v>113.31</v>
      </c>
      <c r="I55" s="18" t="n">
        <v>451.46</v>
      </c>
      <c r="J55" s="18" t="n">
        <v>-209.95</v>
      </c>
      <c r="K55" s="34" t="n">
        <v>556.96</v>
      </c>
      <c r="L55" s="18" t="n">
        <v>270.08</v>
      </c>
      <c r="M55" s="18" t="n">
        <v>-18.27</v>
      </c>
      <c r="N55" s="18" t="n">
        <v>155.48</v>
      </c>
      <c r="O55" s="18" t="n">
        <v>-7.55</v>
      </c>
      <c r="P55" s="34" t="n">
        <v>399.74</v>
      </c>
      <c r="Q55" s="18" t="n">
        <v>164.96</v>
      </c>
      <c r="R55" s="18" t="n">
        <v>162.83</v>
      </c>
      <c r="S55" s="18" t="n">
        <v>80.98</v>
      </c>
      <c r="T55" s="18" t="n">
        <v>340.43</v>
      </c>
      <c r="U55" s="34" t="n">
        <v>749.2</v>
      </c>
      <c r="V55" s="18" t="n">
        <v>141.06</v>
      </c>
      <c r="W55" s="18" t="n">
        <v>-279.54</v>
      </c>
      <c r="X55" s="18" t="n">
        <v>311.18</v>
      </c>
      <c r="Y55" s="18" t="n">
        <v>233.39</v>
      </c>
      <c r="Z55" s="34" t="n">
        <v>406.09</v>
      </c>
      <c r="AA55" s="18" t="n">
        <v>242.43</v>
      </c>
      <c r="AB55" s="19" t="n">
        <v>163.48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(지배주주지분)당기순이익</t>
        </is>
      </c>
      <c r="E56" s="18" t="n">
        <v>-453.65</v>
      </c>
      <c r="F56" s="9" t="n"/>
      <c r="G56" s="18" t="n">
        <v>732.8200000000001</v>
      </c>
      <c r="H56" s="18" t="n">
        <v>437.61</v>
      </c>
      <c r="I56" s="18" t="n">
        <v>930.83</v>
      </c>
      <c r="J56" s="18" t="n">
        <v>76.09</v>
      </c>
      <c r="K56" s="34" t="n">
        <v>2177.35</v>
      </c>
      <c r="L56" s="18" t="n">
        <v>517.67</v>
      </c>
      <c r="M56" s="18" t="n">
        <v>886.84</v>
      </c>
      <c r="N56" s="18" t="n">
        <v>-27.29</v>
      </c>
      <c r="O56" s="18" t="n">
        <v>549.5700000000001</v>
      </c>
      <c r="P56" s="34" t="n">
        <v>1926.79</v>
      </c>
      <c r="Q56" s="18" t="n">
        <v>-333.39</v>
      </c>
      <c r="R56" s="18" t="n">
        <v>653.8200000000001</v>
      </c>
      <c r="S56" s="18" t="n">
        <v>-58.63</v>
      </c>
      <c r="T56" s="18" t="n">
        <v>133.92</v>
      </c>
      <c r="U56" s="34" t="n">
        <v>395.72</v>
      </c>
      <c r="V56" s="18" t="n">
        <v>-420.34</v>
      </c>
      <c r="W56" s="18" t="n">
        <v>315.8</v>
      </c>
      <c r="X56" s="18" t="n">
        <v>542.78</v>
      </c>
      <c r="Y56" s="18" t="n">
        <v>218.39</v>
      </c>
      <c r="Z56" s="34" t="n">
        <v>656.63</v>
      </c>
      <c r="AA56" s="18" t="n">
        <v>146.83</v>
      </c>
      <c r="AB56" s="19" t="n">
        <v>574.89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계속사업이익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4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4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4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4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F58" s="9" t="n"/>
      <c r="H58" s="18" t="n">
        <v>-43.54</v>
      </c>
      <c r="I58" s="18" t="n">
        <v>-6</v>
      </c>
      <c r="K58" s="9" t="n"/>
      <c r="M58" s="18" t="n">
        <v>-11.57</v>
      </c>
      <c r="N58" s="18" t="n">
        <v>-0.53</v>
      </c>
      <c r="O58" s="18" t="n">
        <v>76.11</v>
      </c>
      <c r="P58" s="9" t="n"/>
      <c r="Q58" s="18" t="n">
        <v>18.38</v>
      </c>
      <c r="R58" s="18" t="n">
        <v>9.6</v>
      </c>
      <c r="S58" s="18" t="n">
        <v>-7.92</v>
      </c>
      <c r="T58" s="18" t="n">
        <v>-20.06</v>
      </c>
      <c r="U58" s="34" t="n">
        <v>0</v>
      </c>
      <c r="V58" s="18" t="n">
        <v>-1.58</v>
      </c>
      <c r="W58" s="18" t="n">
        <v>5.26</v>
      </c>
      <c r="X58" s="18" t="n">
        <v>11.19</v>
      </c>
      <c r="Y58" s="18" t="n">
        <v>23.76</v>
      </c>
      <c r="Z58" s="34" t="n">
        <v>38.63</v>
      </c>
      <c r="AA58" s="18" t="n">
        <v>14.68</v>
      </c>
      <c r="AB58" s="19" t="n">
        <v>26.3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F59" s="9" t="n"/>
      <c r="H59" s="18" t="n">
        <v>-43.54</v>
      </c>
      <c r="I59" s="18" t="n">
        <v>-6</v>
      </c>
      <c r="K59" s="9" t="n"/>
      <c r="M59" s="18" t="n">
        <v>-11.57</v>
      </c>
      <c r="N59" s="18" t="n">
        <v>-0.53</v>
      </c>
      <c r="O59" s="18" t="n">
        <v>76.11</v>
      </c>
      <c r="P59" s="9" t="n"/>
      <c r="Q59" s="18" t="n">
        <v>18.38</v>
      </c>
      <c r="R59" s="18" t="n">
        <v>9.6</v>
      </c>
      <c r="S59" s="18" t="n">
        <v>-7.92</v>
      </c>
      <c r="T59" s="18" t="n">
        <v>-20.06</v>
      </c>
      <c r="U59" s="34" t="n">
        <v>0</v>
      </c>
      <c r="V59" s="18" t="n">
        <v>-1.58</v>
      </c>
      <c r="W59" s="18" t="n">
        <v>5.26</v>
      </c>
      <c r="X59" s="18" t="n">
        <v>11.19</v>
      </c>
      <c r="Y59" s="18" t="n">
        <v>23.76</v>
      </c>
      <c r="Z59" s="34" t="n">
        <v>38.63</v>
      </c>
      <c r="AA59" s="18" t="n">
        <v>14.68</v>
      </c>
      <c r="AB59" s="19" t="n">
        <v>26.3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F60" s="9" t="n"/>
      <c r="K60" s="9" t="n"/>
      <c r="P60" s="9" t="n"/>
      <c r="U60" s="9" t="n"/>
      <c r="X60" s="18" t="n">
        <v>8.210000000000001</v>
      </c>
      <c r="Y60" s="18" t="n">
        <v>12.34</v>
      </c>
      <c r="Z60" s="9" t="n"/>
      <c r="AA60" s="18" t="n">
        <v>13.92</v>
      </c>
      <c r="AB60" s="19" t="n">
        <v>16.28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영업활동으로인한현금흐름</t>
        </is>
      </c>
      <c r="E61" s="18" t="n">
        <v>634.0599999999999</v>
      </c>
      <c r="F61" s="9" t="n"/>
      <c r="G61" s="18" t="n">
        <v>435.16</v>
      </c>
      <c r="H61" s="18" t="n">
        <v>1571.01</v>
      </c>
      <c r="I61" s="18" t="n">
        <v>93.81999999999999</v>
      </c>
      <c r="J61" s="18" t="n">
        <v>838.87</v>
      </c>
      <c r="K61" s="34" t="n">
        <v>2938.86</v>
      </c>
      <c r="L61" s="18" t="n">
        <v>-1631.22</v>
      </c>
      <c r="M61" s="18" t="n">
        <v>1745.56</v>
      </c>
      <c r="N61" s="18" t="n">
        <v>-645.04</v>
      </c>
      <c r="O61" s="18" t="n">
        <v>1458.35</v>
      </c>
      <c r="P61" s="34" t="n">
        <v>927.65</v>
      </c>
      <c r="Q61" s="18" t="n">
        <v>-696.9</v>
      </c>
      <c r="R61" s="18" t="n">
        <v>1491.09</v>
      </c>
      <c r="S61" s="18" t="n">
        <v>814.5599999999999</v>
      </c>
      <c r="T61" s="18" t="n">
        <v>1082.15</v>
      </c>
      <c r="U61" s="34" t="n">
        <v>2690.9</v>
      </c>
      <c r="V61" s="18" t="n">
        <v>-588.2</v>
      </c>
      <c r="W61" s="18" t="n">
        <v>1783.1</v>
      </c>
      <c r="X61" s="18" t="n">
        <v>1189.48</v>
      </c>
      <c r="Y61" s="18" t="n">
        <v>1713.35</v>
      </c>
      <c r="Z61" s="34" t="n">
        <v>4097.73</v>
      </c>
      <c r="AA61" s="18" t="n">
        <v>-1927.5</v>
      </c>
      <c r="AB61" s="19" t="n">
        <v>1711.26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배당금수취(CF)</t>
        </is>
      </c>
      <c r="E62" s="18" t="n">
        <v>0</v>
      </c>
      <c r="F62" s="9" t="n"/>
      <c r="G62" s="18" t="n">
        <v>0</v>
      </c>
      <c r="H62" s="18" t="n">
        <v>1.32</v>
      </c>
      <c r="I62" s="18" t="n">
        <v>0</v>
      </c>
      <c r="J62" s="18" t="n">
        <v>0</v>
      </c>
      <c r="K62" s="34" t="n">
        <v>1.32</v>
      </c>
      <c r="L62" s="18" t="n">
        <v>0</v>
      </c>
      <c r="M62" s="18" t="n">
        <v>3.96</v>
      </c>
      <c r="N62" s="18" t="n">
        <v>0</v>
      </c>
      <c r="O62" s="18" t="n">
        <v>0</v>
      </c>
      <c r="P62" s="34" t="n">
        <v>3.96</v>
      </c>
      <c r="Q62" s="18" t="n">
        <v>0</v>
      </c>
      <c r="R62" s="18" t="n">
        <v>0</v>
      </c>
      <c r="S62" s="18" t="n">
        <v>0</v>
      </c>
      <c r="T62" s="18" t="n">
        <v>3.96</v>
      </c>
      <c r="U62" s="34" t="n">
        <v>3.96</v>
      </c>
      <c r="V62" s="18" t="n">
        <v>0</v>
      </c>
      <c r="W62" s="18" t="n">
        <v>5.28</v>
      </c>
      <c r="X62" s="18" t="n">
        <v>0</v>
      </c>
      <c r="Y62" s="18" t="n">
        <v>0</v>
      </c>
      <c r="Z62" s="34" t="n">
        <v>5.28</v>
      </c>
      <c r="AA62" s="18" t="n">
        <v>0</v>
      </c>
      <c r="AB62" s="19" t="n">
        <v>2.64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법인세납부(CF)</t>
        </is>
      </c>
      <c r="E63" s="18" t="n">
        <v>-19.06</v>
      </c>
      <c r="F63" s="9" t="n"/>
      <c r="G63" s="18" t="n">
        <v>-80.53</v>
      </c>
      <c r="H63" s="18" t="n">
        <v>-93.92</v>
      </c>
      <c r="I63" s="18" t="n">
        <v>-83</v>
      </c>
      <c r="J63" s="18" t="n">
        <v>-30.04</v>
      </c>
      <c r="K63" s="34" t="n">
        <v>-287.49</v>
      </c>
      <c r="L63" s="18" t="n">
        <v>-109.18</v>
      </c>
      <c r="M63" s="18" t="n">
        <v>-156.81</v>
      </c>
      <c r="N63" s="18" t="n">
        <v>-135.25</v>
      </c>
      <c r="O63" s="18" t="n">
        <v>-132.59</v>
      </c>
      <c r="P63" s="34" t="n">
        <v>-533.83</v>
      </c>
      <c r="Q63" s="18" t="n">
        <v>-0.89</v>
      </c>
      <c r="R63" s="18" t="n">
        <v>-3.65</v>
      </c>
      <c r="S63" s="18" t="n">
        <v>-115.75</v>
      </c>
      <c r="T63" s="18" t="n">
        <v>-69.12</v>
      </c>
      <c r="U63" s="34" t="n">
        <v>-189.41</v>
      </c>
      <c r="V63" s="18" t="n">
        <v>-7.57</v>
      </c>
      <c r="W63" s="18" t="n">
        <v>65.59999999999999</v>
      </c>
      <c r="X63" s="18" t="n">
        <v>-74.06999999999999</v>
      </c>
      <c r="Y63" s="18" t="n">
        <v>-57.52</v>
      </c>
      <c r="Z63" s="34" t="n">
        <v>-73.56</v>
      </c>
      <c r="AA63" s="18" t="n">
        <v>-2.34</v>
      </c>
      <c r="AB63" s="19" t="n">
        <v>125.65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투자활동으로인한현금흐름</t>
        </is>
      </c>
      <c r="E64" s="18" t="n">
        <v>138.06</v>
      </c>
      <c r="F64" s="9" t="n"/>
      <c r="G64" s="18" t="n">
        <v>-824.23</v>
      </c>
      <c r="H64" s="18" t="n">
        <v>-19.3</v>
      </c>
      <c r="I64" s="18" t="n">
        <v>-4.56</v>
      </c>
      <c r="J64" s="18" t="n">
        <v>254.73</v>
      </c>
      <c r="K64" s="34" t="n">
        <v>-593.36</v>
      </c>
      <c r="L64" s="18" t="n">
        <v>-384.57</v>
      </c>
      <c r="M64" s="18" t="n">
        <v>-538.96</v>
      </c>
      <c r="N64" s="18" t="n">
        <v>615.26</v>
      </c>
      <c r="O64" s="18" t="n">
        <v>-351.42</v>
      </c>
      <c r="P64" s="34" t="n">
        <v>-659.6900000000001</v>
      </c>
      <c r="Q64" s="18" t="n">
        <v>-210.06</v>
      </c>
      <c r="R64" s="18" t="n">
        <v>2.43</v>
      </c>
      <c r="S64" s="18" t="n">
        <v>-1008.9</v>
      </c>
      <c r="T64" s="18" t="n">
        <v>-181</v>
      </c>
      <c r="U64" s="34" t="n">
        <v>-1397.53</v>
      </c>
      <c r="V64" s="18" t="n">
        <v>-5.05</v>
      </c>
      <c r="W64" s="18" t="n">
        <v>-28.13</v>
      </c>
      <c r="X64" s="18" t="n">
        <v>-4217.4</v>
      </c>
      <c r="Y64" s="18" t="n">
        <v>-3583.54</v>
      </c>
      <c r="Z64" s="34" t="n">
        <v>-7834.12</v>
      </c>
      <c r="AA64" s="18" t="n">
        <v>-486.09</v>
      </c>
      <c r="AB64" s="19" t="n">
        <v>-168.01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유형자산의증가</t>
        </is>
      </c>
      <c r="E65" s="18" t="n">
        <v>517.79</v>
      </c>
      <c r="F65" s="9" t="n"/>
      <c r="G65" s="18" t="n">
        <v>1828.8</v>
      </c>
      <c r="H65" s="18" t="n">
        <v>424.39</v>
      </c>
      <c r="I65" s="18" t="n">
        <v>44.56</v>
      </c>
      <c r="J65" s="18" t="n">
        <v>359.42</v>
      </c>
      <c r="K65" s="34" t="n">
        <v>2657.17</v>
      </c>
      <c r="L65" s="18" t="n">
        <v>1817.84</v>
      </c>
      <c r="M65" s="18" t="n">
        <v>1342.75</v>
      </c>
      <c r="N65" s="18" t="n">
        <v>34.89</v>
      </c>
      <c r="O65" s="18" t="n">
        <v>121.42</v>
      </c>
      <c r="P65" s="34" t="n">
        <v>3316.9</v>
      </c>
      <c r="Q65" s="18" t="n">
        <v>208.22</v>
      </c>
      <c r="S65" s="18" t="n">
        <v>8.9</v>
      </c>
      <c r="T65" s="18" t="n">
        <v>38.29</v>
      </c>
      <c r="U65" s="9" t="n"/>
      <c r="V65" s="18" t="n">
        <v>4.05</v>
      </c>
      <c r="W65" s="18" t="n">
        <v>33.01</v>
      </c>
      <c r="X65" s="18" t="n">
        <v>184.07</v>
      </c>
      <c r="Y65" s="18" t="n">
        <v>648.04</v>
      </c>
      <c r="Z65" s="34" t="n">
        <v>869.17</v>
      </c>
      <c r="AA65" s="18" t="n">
        <v>3.12</v>
      </c>
      <c r="AB65" s="19" t="n">
        <v>170.51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CAPEX</t>
        </is>
      </c>
      <c r="E66" s="18" t="n">
        <v>517.79</v>
      </c>
      <c r="F66" s="9" t="n"/>
      <c r="G66" s="18" t="n">
        <v>1866.98</v>
      </c>
      <c r="H66" s="18" t="n">
        <v>723.47</v>
      </c>
      <c r="I66" s="18" t="n">
        <v>44.56</v>
      </c>
      <c r="J66" s="18" t="n">
        <v>359.42</v>
      </c>
      <c r="K66" s="34" t="n">
        <v>2994.43</v>
      </c>
      <c r="L66" s="18" t="n">
        <v>1957.84</v>
      </c>
      <c r="M66" s="18" t="n">
        <v>1345.69</v>
      </c>
      <c r="N66" s="18" t="n">
        <v>34.89</v>
      </c>
      <c r="O66" s="18" t="n">
        <v>121.42</v>
      </c>
      <c r="P66" s="34" t="n">
        <v>3459.84</v>
      </c>
      <c r="Q66" s="18" t="n">
        <v>208.22</v>
      </c>
      <c r="R66" s="18" t="n">
        <v>0</v>
      </c>
      <c r="S66" s="18" t="n">
        <v>8.9</v>
      </c>
      <c r="T66" s="18" t="n">
        <v>38.29</v>
      </c>
      <c r="U66" s="34" t="n">
        <v>255.41</v>
      </c>
      <c r="V66" s="18" t="n">
        <v>4.05</v>
      </c>
      <c r="W66" s="18" t="n">
        <v>33.01</v>
      </c>
      <c r="X66" s="18" t="n">
        <v>184.07</v>
      </c>
      <c r="Y66" s="18" t="n">
        <v>648.04</v>
      </c>
      <c r="Z66" s="34" t="n">
        <v>869.17</v>
      </c>
      <c r="AA66" s="18" t="n">
        <v>3.12</v>
      </c>
      <c r="AB66" s="19" t="n">
        <v>170.51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0.85</v>
      </c>
      <c r="F67" s="9" t="n"/>
      <c r="G67" s="18" t="n">
        <v>0</v>
      </c>
      <c r="H67" s="18" t="n">
        <v>6.92</v>
      </c>
      <c r="I67" s="18" t="n">
        <v>40</v>
      </c>
      <c r="J67" s="18" t="n">
        <v>164.15</v>
      </c>
      <c r="K67" s="34" t="n">
        <v>211.07</v>
      </c>
      <c r="L67" s="18" t="n">
        <v>40</v>
      </c>
      <c r="M67" s="18" t="n">
        <v>0</v>
      </c>
      <c r="N67" s="18" t="n">
        <v>0.15</v>
      </c>
      <c r="O67" s="18" t="n">
        <v>0</v>
      </c>
      <c r="P67" s="34" t="n">
        <v>40.15</v>
      </c>
      <c r="Q67" s="18" t="n">
        <v>11</v>
      </c>
      <c r="R67" s="18" t="n">
        <v>0</v>
      </c>
      <c r="S67" s="18" t="n">
        <v>0</v>
      </c>
      <c r="T67" s="18" t="n">
        <v>12.07</v>
      </c>
      <c r="U67" s="34" t="n">
        <v>23.07</v>
      </c>
      <c r="V67" s="18" t="n">
        <v>0</v>
      </c>
      <c r="W67" s="18" t="n">
        <v>4.88</v>
      </c>
      <c r="X67" s="18" t="n">
        <v>0</v>
      </c>
      <c r="Y67" s="18" t="n">
        <v>0</v>
      </c>
      <c r="Z67" s="34" t="n">
        <v>4.88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재무활동으로인한현금흐름</t>
        </is>
      </c>
      <c r="E68" s="18" t="n">
        <v>-8.550000000000001</v>
      </c>
      <c r="F68" s="9" t="n"/>
      <c r="G68" s="18" t="n">
        <v>-8.550000000000001</v>
      </c>
      <c r="H68" s="18" t="n">
        <v>-449.56</v>
      </c>
      <c r="I68" s="18" t="n">
        <v>-8.550000000000001</v>
      </c>
      <c r="J68" s="18" t="n">
        <v>-4.97</v>
      </c>
      <c r="K68" s="34" t="n">
        <v>-471.63</v>
      </c>
      <c r="L68" s="18" t="n">
        <v>-5.75</v>
      </c>
      <c r="M68" s="18" t="n">
        <v>-446.76</v>
      </c>
      <c r="N68" s="18" t="n">
        <v>-5.75</v>
      </c>
      <c r="O68" s="18" t="n">
        <v>-5.15</v>
      </c>
      <c r="P68" s="34" t="n">
        <v>-463.41</v>
      </c>
      <c r="Q68" s="18" t="n">
        <v>-6.89</v>
      </c>
      <c r="R68" s="18" t="n">
        <v>-449.8</v>
      </c>
      <c r="S68" s="18" t="n">
        <v>-8.800000000000001</v>
      </c>
      <c r="T68" s="18" t="n">
        <v>-8.710000000000001</v>
      </c>
      <c r="U68" s="34" t="n">
        <v>-474.2</v>
      </c>
      <c r="V68" s="18" t="n">
        <v>-8.59</v>
      </c>
      <c r="W68" s="18" t="n">
        <v>-137.27</v>
      </c>
      <c r="X68" s="18" t="n">
        <v>3736.25</v>
      </c>
      <c r="Y68" s="18" t="n">
        <v>-11.27</v>
      </c>
      <c r="Z68" s="34" t="n">
        <v>3579.12</v>
      </c>
      <c r="AA68" s="18" t="n">
        <v>-11.27</v>
      </c>
      <c r="AB68" s="19" t="n">
        <v>-136.34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배당금지급</t>
        </is>
      </c>
      <c r="E69" s="18" t="n">
        <v>0</v>
      </c>
      <c r="F69" s="9" t="n"/>
      <c r="G69" s="18" t="n">
        <v>0</v>
      </c>
      <c r="H69" s="18" t="n">
        <v>441</v>
      </c>
      <c r="I69" s="18" t="n">
        <v>0</v>
      </c>
      <c r="J69" s="18" t="n">
        <v>0</v>
      </c>
      <c r="K69" s="34" t="n">
        <v>441</v>
      </c>
      <c r="L69" s="18" t="n">
        <v>0</v>
      </c>
      <c r="M69" s="18" t="n">
        <v>441</v>
      </c>
      <c r="N69" s="18" t="n">
        <v>0</v>
      </c>
      <c r="O69" s="18" t="n">
        <v>0</v>
      </c>
      <c r="P69" s="34" t="n">
        <v>441</v>
      </c>
      <c r="S69" s="18" t="n">
        <v>0</v>
      </c>
      <c r="T69" s="18" t="n">
        <v>0</v>
      </c>
      <c r="U69" s="9" t="n"/>
      <c r="X69" s="18" t="n">
        <v>0</v>
      </c>
      <c r="Y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현금및현금성자산의증감</t>
        </is>
      </c>
      <c r="E70" s="18" t="n">
        <v>1506.92</v>
      </c>
      <c r="F70" s="9" t="n"/>
      <c r="G70" s="18" t="n">
        <v>-798.38</v>
      </c>
      <c r="H70" s="18" t="n">
        <v>2206.95</v>
      </c>
      <c r="I70" s="18" t="n">
        <v>220.85</v>
      </c>
      <c r="J70" s="18" t="n">
        <v>2033.47</v>
      </c>
      <c r="K70" s="34" t="n">
        <v>3662.89</v>
      </c>
      <c r="L70" s="18" t="n">
        <v>-4028.2</v>
      </c>
      <c r="M70" s="18" t="n">
        <v>1448.45</v>
      </c>
      <c r="N70" s="18" t="n">
        <v>-62.15</v>
      </c>
      <c r="O70" s="18" t="n">
        <v>2201.62</v>
      </c>
      <c r="P70" s="34" t="n">
        <v>-440.28</v>
      </c>
      <c r="Q70" s="18" t="n">
        <v>-1842.58</v>
      </c>
      <c r="R70" s="18" t="n">
        <v>2066.1</v>
      </c>
      <c r="S70" s="18" t="n">
        <v>-390.43</v>
      </c>
      <c r="T70" s="18" t="n">
        <v>1915.4</v>
      </c>
      <c r="U70" s="34" t="n">
        <v>1748.49</v>
      </c>
      <c r="V70" s="18" t="n">
        <v>-1155.95</v>
      </c>
      <c r="W70" s="18" t="n">
        <v>3041.27</v>
      </c>
      <c r="X70" s="18" t="n">
        <v>1536.5</v>
      </c>
      <c r="Y70" s="18" t="n">
        <v>-3709.21</v>
      </c>
      <c r="Z70" s="34" t="n">
        <v>-287.39</v>
      </c>
      <c r="AA70" s="18" t="n">
        <v>-4821.47</v>
      </c>
      <c r="AB70" s="19" t="n">
        <v>2882.2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기말현금및현금성자산</t>
        </is>
      </c>
      <c r="E71" s="18" t="n">
        <v>743.36</v>
      </c>
      <c r="F71" s="9" t="n"/>
      <c r="G71" s="18" t="n">
        <v>1432.96</v>
      </c>
      <c r="H71" s="18" t="n">
        <v>1104.79</v>
      </c>
      <c r="I71" s="18" t="n">
        <v>140.15</v>
      </c>
      <c r="J71" s="18" t="n">
        <v>944.83</v>
      </c>
      <c r="K71" s="34" t="n">
        <v>3622.73</v>
      </c>
      <c r="L71" s="18" t="n">
        <v>1616.09</v>
      </c>
      <c r="M71" s="18" t="n">
        <v>688.59</v>
      </c>
      <c r="N71" s="18" t="n">
        <v>-26.61</v>
      </c>
      <c r="O71" s="18" t="n">
        <v>1099.83</v>
      </c>
      <c r="P71" s="34" t="n">
        <v>3377.9</v>
      </c>
      <c r="Q71" s="18" t="n">
        <v>2449.17</v>
      </c>
      <c r="R71" s="18" t="n">
        <v>1022.36</v>
      </c>
      <c r="S71" s="18" t="n">
        <v>-187.27</v>
      </c>
      <c r="T71" s="18" t="n">
        <v>1022.96</v>
      </c>
      <c r="U71" s="34" t="n">
        <v>4307.22</v>
      </c>
      <c r="V71" s="18" t="n">
        <v>3753.11</v>
      </c>
      <c r="W71" s="18" t="n">
        <v>1423.56</v>
      </c>
      <c r="X71" s="18" t="n">
        <v>828.1799999999999</v>
      </c>
      <c r="Y71" s="18" t="n">
        <v>-1827.75</v>
      </c>
      <c r="Z71" s="34" t="n">
        <v>4177.1</v>
      </c>
      <c r="AA71" s="18" t="n">
        <v>1780.49</v>
      </c>
      <c r="AB71" s="19" t="n">
        <v>1475.29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F72" s="9" t="n"/>
      <c r="G72" s="18" t="n">
        <v>38.18</v>
      </c>
      <c r="H72" s="18" t="n">
        <v>299.08</v>
      </c>
      <c r="J72" s="18" t="n">
        <v>0</v>
      </c>
      <c r="K72" s="9" t="n"/>
      <c r="L72" s="18" t="n">
        <v>140</v>
      </c>
      <c r="M72" s="18" t="n">
        <v>2.94</v>
      </c>
      <c r="N72" s="18" t="n">
        <v>0</v>
      </c>
      <c r="O72" s="18" t="n">
        <v>0</v>
      </c>
      <c r="P72" s="34" t="n">
        <v>142.94</v>
      </c>
      <c r="Q72" s="18" t="n">
        <v>0</v>
      </c>
      <c r="R72" s="18" t="n">
        <v>0</v>
      </c>
      <c r="S72" s="18" t="n">
        <v>0</v>
      </c>
      <c r="T72" s="18" t="n">
        <v>0</v>
      </c>
      <c r="U72" s="34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F73" s="9" t="n"/>
      <c r="K73" s="9" t="n"/>
      <c r="O73" s="18" t="n">
        <v>497.37</v>
      </c>
      <c r="P73" s="9" t="n"/>
      <c r="Q73" s="18" t="n">
        <v>5.78</v>
      </c>
      <c r="R73" s="18" t="n">
        <v>3.15</v>
      </c>
      <c r="S73" s="18" t="n">
        <v>534.26</v>
      </c>
      <c r="T73" s="18" t="n">
        <v>448.82</v>
      </c>
      <c r="U73" s="34" t="n">
        <v>992.01</v>
      </c>
      <c r="V73" s="18" t="n">
        <v>8.34</v>
      </c>
      <c r="W73" s="18" t="n">
        <v>18.42</v>
      </c>
      <c r="X73" s="18" t="n">
        <v>480.96</v>
      </c>
      <c r="Y73" s="18" t="n">
        <v>373.55</v>
      </c>
      <c r="Z73" s="34" t="n">
        <v>881.27</v>
      </c>
      <c r="AA73" s="18" t="n">
        <v>15.21</v>
      </c>
      <c r="AB73" s="19" t="n">
        <v>5.04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F74" s="9" t="n"/>
      <c r="K74" s="9" t="n"/>
      <c r="P74" s="9" t="n"/>
      <c r="U74" s="9" t="n"/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-0.0603</v>
      </c>
      <c r="F10" s="34" t="n"/>
      <c r="G10" s="18" t="n">
        <v>0.0459</v>
      </c>
      <c r="H10" s="18" t="n">
        <v>0.0389</v>
      </c>
      <c r="I10" s="18" t="n">
        <v>0.0366</v>
      </c>
      <c r="J10" s="18" t="n">
        <v>0.0062</v>
      </c>
      <c r="K10" s="34">
        <f>SUM(G10:J10)</f>
        <v/>
      </c>
      <c r="L10" s="18" t="n">
        <v>0.0146</v>
      </c>
      <c r="M10" s="18" t="n">
        <v>0.0712</v>
      </c>
      <c r="N10" s="18" t="n">
        <v>-0.0489</v>
      </c>
      <c r="O10" s="18" t="n">
        <v>0.0122</v>
      </c>
      <c r="P10" s="34">
        <f>SUM(L10:O10)</f>
        <v/>
      </c>
      <c r="Q10" s="18" t="n">
        <v>-0.06850000000000001</v>
      </c>
      <c r="R10" s="18" t="n">
        <v>0.0229</v>
      </c>
      <c r="S10" s="18" t="n">
        <v>-0.0374</v>
      </c>
      <c r="T10" s="18" t="n">
        <v>-0.0426</v>
      </c>
      <c r="U10" s="34">
        <f>SUM(Q10:T10)</f>
        <v/>
      </c>
      <c r="V10" s="18" t="n">
        <v>-0.0784</v>
      </c>
      <c r="W10" s="18" t="n">
        <v>0.0321</v>
      </c>
      <c r="X10" s="18" t="n">
        <v>0.0123</v>
      </c>
      <c r="Y10" s="18" t="n">
        <v>0.0226</v>
      </c>
      <c r="Z10" s="34">
        <f>SUM(V10:Y10)</f>
        <v/>
      </c>
      <c r="AA10" s="18" t="n">
        <v>-0.0334</v>
      </c>
      <c r="AB10" s="19" t="n">
        <v>0.07149999999999999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 t="n"/>
      <c r="K13" s="34">
        <f>SUM(G13:J13)</f>
        <v/>
      </c>
      <c r="L13" s="18" t="n"/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729.91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106.48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623.4299999999999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IFERROR(VLOOKUP($D22,BS별도,MATCH(E$1,BS별도H,0),0)/100,"")</f>
        <v/>
      </c>
      <c r="F22" s="34" t="n">
        <v>22.02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IFERROR(VLOOKUP($D23,BS별도,MATCH(E$1,BS별도H,0),0)/100,"")</f>
        <v/>
      </c>
      <c r="F23" s="34" t="n">
        <v>18.34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IFERROR(VLOOKUP($D24,BS별도,MATCH(E$1,BS별도H,0),0)/100,"")</f>
        <v/>
      </c>
      <c r="F24" s="34" t="n"/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SUM(G24:J24)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SUM(L24:O24)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SUM(Q24:T24)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SUM(V24:Y24)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영업활동현금흐름</t>
        </is>
      </c>
      <c r="E25" s="18" t="n">
        <v>6.34</v>
      </c>
      <c r="F25" s="34" t="n"/>
      <c r="G25" s="18" t="n">
        <v>4.35</v>
      </c>
      <c r="H25" s="18" t="n">
        <v>15.71</v>
      </c>
      <c r="I25" s="18" t="n">
        <v>0.9399999999999999</v>
      </c>
      <c r="J25" s="18" t="n">
        <v>8.390000000000001</v>
      </c>
      <c r="K25" s="34">
        <f>SUM(G25:J25)</f>
        <v/>
      </c>
      <c r="L25" s="18" t="n">
        <v>-16.31</v>
      </c>
      <c r="M25" s="18" t="n">
        <v>17.46</v>
      </c>
      <c r="N25" s="18" t="n">
        <v>-6.45</v>
      </c>
      <c r="O25" s="18" t="n">
        <v>14.58</v>
      </c>
      <c r="P25" s="34">
        <f>SUM(L25:O25)</f>
        <v/>
      </c>
      <c r="Q25" s="18" t="n">
        <v>-6.97</v>
      </c>
      <c r="R25" s="18" t="n">
        <v>14.91</v>
      </c>
      <c r="S25" s="18" t="n">
        <v>8.15</v>
      </c>
      <c r="T25" s="18" t="n">
        <v>10.82</v>
      </c>
      <c r="U25" s="34">
        <f>SUM(Q25:T25)</f>
        <v/>
      </c>
      <c r="V25" s="18" t="n">
        <v>-5.88</v>
      </c>
      <c r="W25" s="18" t="n">
        <v>17.83</v>
      </c>
      <c r="X25" s="18" t="n">
        <v>-7.28</v>
      </c>
      <c r="Y25" s="18" t="n">
        <v>10.4</v>
      </c>
      <c r="Z25" s="34">
        <f>SUM(V25:Y25)</f>
        <v/>
      </c>
      <c r="AA25" s="18" t="n">
        <v>-14.37</v>
      </c>
      <c r="AB25" s="19" t="n">
        <v>20.2</v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6" t="n">
        <v>12.6</v>
      </c>
      <c r="F26" s="27">
        <f>E26</f>
        <v/>
      </c>
      <c r="G26" s="26" t="n">
        <v>12.6</v>
      </c>
      <c r="H26" s="26" t="n">
        <v>12.6</v>
      </c>
      <c r="I26" s="26" t="n">
        <v>12.6</v>
      </c>
      <c r="J26" s="26" t="n">
        <v>12.6</v>
      </c>
      <c r="K26" s="27">
        <f>J26</f>
        <v/>
      </c>
      <c r="L26" s="26" t="n">
        <v>12.6</v>
      </c>
      <c r="M26" s="26" t="n">
        <v>12.6</v>
      </c>
      <c r="N26" s="26" t="n">
        <v>12.6</v>
      </c>
      <c r="O26" s="26" t="n">
        <v>12.6</v>
      </c>
      <c r="P26" s="27">
        <f>O26</f>
        <v/>
      </c>
      <c r="Q26" s="26" t="n">
        <v>12.6</v>
      </c>
      <c r="R26" s="26" t="n">
        <v>12.6</v>
      </c>
      <c r="S26" s="26" t="n">
        <v>12.6</v>
      </c>
      <c r="T26" s="26" t="n">
        <v>12.6</v>
      </c>
      <c r="U26" s="27">
        <f>T26</f>
        <v/>
      </c>
      <c r="V26" s="26" t="n">
        <v>12.6</v>
      </c>
      <c r="W26" s="26" t="n">
        <v>12.6</v>
      </c>
      <c r="X26" s="26" t="n">
        <v>12.6</v>
      </c>
      <c r="Y26" s="26" t="n">
        <v>12.6</v>
      </c>
      <c r="Z26" s="27">
        <f>Y26</f>
        <v/>
      </c>
      <c r="AA26" s="26" t="n">
        <v>12.6</v>
      </c>
      <c r="AB26" s="28" t="n">
        <v>12.6</v>
      </c>
      <c r="AC26" s="36">
        <f>IFERROR(AB26*(1+변수!AC37),"")</f>
        <v/>
      </c>
      <c r="AD26" s="36">
        <f>IFERROR(AC26*(1+변수!AD37),"")</f>
        <v/>
      </c>
      <c r="AE26" s="30">
        <f>AD26</f>
        <v/>
      </c>
      <c r="AF26" s="36">
        <f>IFERROR(AD26*(1+변수!AF37),"")</f>
        <v/>
      </c>
      <c r="AG26" s="36">
        <f>IFERROR(AF26*(1+변수!AG37),"")</f>
        <v/>
      </c>
      <c r="AH26" s="36">
        <f>IFERROR(AG26*(1+변수!AH37),"")</f>
        <v/>
      </c>
      <c r="AI26" s="36">
        <f>IFERROR(AH26*(1+변수!AI37),"")</f>
        <v/>
      </c>
      <c r="AJ26" s="30">
        <f>AI26</f>
        <v/>
      </c>
      <c r="AK26" s="36">
        <f>IFERROR(AI26*(1+변수!AK37),"")</f>
        <v/>
      </c>
      <c r="AL26" s="36">
        <f>IFERROR(AK26*(1+변수!AL37),"")</f>
        <v/>
      </c>
      <c r="AM26" s="36">
        <f>IFERROR(AL26*(1+변수!AM37),"")</f>
        <v/>
      </c>
      <c r="AN26" s="36">
        <f>IFERROR(AM26*(1+변수!AN37),"")</f>
        <v/>
      </c>
      <c r="AO26" s="30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4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4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4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4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4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5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5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5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4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4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4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4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4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5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5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5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35</v>
      </c>
      <c r="F29" s="34" t="n">
        <v>35</v>
      </c>
      <c r="G29" s="18" t="n"/>
      <c r="H29" s="18" t="n"/>
      <c r="I29" s="18" t="n"/>
      <c r="J29" s="18" t="n">
        <v>35</v>
      </c>
      <c r="K29" s="34">
        <f>SUM(G29:J29)</f>
        <v/>
      </c>
      <c r="L29" s="18" t="n"/>
      <c r="M29" s="18" t="n"/>
      <c r="N29" s="18" t="n"/>
      <c r="O29" s="18" t="n">
        <v>35</v>
      </c>
      <c r="P29" s="34">
        <f>SUM(L29:O29)</f>
        <v/>
      </c>
      <c r="Q29" s="18" t="n"/>
      <c r="R29" s="18" t="n"/>
      <c r="S29" s="18" t="n"/>
      <c r="T29" s="18" t="n">
        <v>10</v>
      </c>
      <c r="U29" s="34">
        <f>SUM(Q29:T29)</f>
        <v/>
      </c>
      <c r="V29" s="18" t="n"/>
      <c r="W29" s="18" t="n"/>
      <c r="X29" s="18" t="n"/>
      <c r="Y29" s="18" t="n">
        <v>10</v>
      </c>
      <c r="Z29" s="34">
        <f>SUM(V29:Y29)</f>
        <v/>
      </c>
      <c r="AA29" s="18" t="n"/>
      <c r="AB29" s="19" t="n"/>
      <c r="AC29" s="20" t="n"/>
      <c r="AD29" s="20">
        <f>IFERROR(Y29*(1+변수!AD38),"")</f>
        <v/>
      </c>
      <c r="AE29" s="35">
        <f>SUM(AA29:AD29)</f>
        <v/>
      </c>
      <c r="AF29" s="20" t="n"/>
      <c r="AG29" s="20" t="n"/>
      <c r="AH29" s="20" t="n"/>
      <c r="AI29" s="20">
        <f>IFERROR(AD29*(1+변수!AI38),"")</f>
        <v/>
      </c>
      <c r="AJ29" s="35">
        <f>SUM(AF29:AI29)</f>
        <v/>
      </c>
      <c r="AK29" s="20" t="n"/>
      <c r="AL29" s="20" t="n"/>
      <c r="AM29" s="20" t="n"/>
      <c r="AN29" s="20">
        <f>IFERROR(AI29*(1+변수!AN38),"")</f>
        <v/>
      </c>
      <c r="AO29" s="35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8" t="n"/>
      <c r="F30" s="34" t="n"/>
      <c r="G30" s="18" t="n"/>
      <c r="H30" s="18" t="n"/>
      <c r="I30" s="18" t="n">
        <v>51.74</v>
      </c>
      <c r="J30" s="18" t="n">
        <v>36.6</v>
      </c>
      <c r="K30" s="34">
        <f>SUM(G30:J30)</f>
        <v/>
      </c>
      <c r="L30" s="18" t="n">
        <v>38.38</v>
      </c>
      <c r="M30" s="18" t="n">
        <v>30</v>
      </c>
      <c r="N30" s="18" t="n">
        <v>45.5</v>
      </c>
      <c r="O30" s="18" t="n">
        <v>30.19</v>
      </c>
      <c r="P30" s="34">
        <f>SUM(L30:O30)</f>
        <v/>
      </c>
      <c r="Q30" s="18" t="n">
        <v>55.55</v>
      </c>
      <c r="R30" s="18" t="n">
        <v>68.66</v>
      </c>
      <c r="S30" s="18" t="n">
        <v>67.38</v>
      </c>
      <c r="T30" s="18" t="n">
        <v>120.86</v>
      </c>
      <c r="U30" s="34">
        <f>SUM(Q30:T30)</f>
        <v/>
      </c>
      <c r="V30" s="18" t="n">
        <v>153.55</v>
      </c>
      <c r="W30" s="18" t="n"/>
      <c r="X30" s="18" t="n">
        <v>100.5</v>
      </c>
      <c r="Y30" s="18" t="n">
        <v>41.81</v>
      </c>
      <c r="Z30" s="34">
        <f>SUM(V30:Y30)</f>
        <v/>
      </c>
      <c r="AA30" s="18" t="n">
        <v>36.34</v>
      </c>
      <c r="AB30" s="19" t="n">
        <v>22.42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8" t="n">
        <v>1.09</v>
      </c>
      <c r="F31" s="34" t="n">
        <v>1.04</v>
      </c>
      <c r="G31" s="18" t="n">
        <v>1.06</v>
      </c>
      <c r="H31" s="18" t="n">
        <v>1.4</v>
      </c>
      <c r="I31" s="18" t="n">
        <v>1.33</v>
      </c>
      <c r="J31" s="18" t="n">
        <v>1.24</v>
      </c>
      <c r="K31" s="34">
        <f>SUM(G31:J31)</f>
        <v/>
      </c>
      <c r="L31" s="18" t="n">
        <v>1.17</v>
      </c>
      <c r="M31" s="18" t="n">
        <v>1.11</v>
      </c>
      <c r="N31" s="18" t="n">
        <v>1.01</v>
      </c>
      <c r="O31" s="18" t="n">
        <v>0.89</v>
      </c>
      <c r="P31" s="34">
        <f>SUM(L31:O31)</f>
        <v/>
      </c>
      <c r="Q31" s="18" t="n">
        <v>0.92</v>
      </c>
      <c r="R31" s="18" t="n">
        <v>0.88</v>
      </c>
      <c r="S31" s="18" t="n">
        <v>0.83</v>
      </c>
      <c r="T31" s="18" t="n">
        <v>0.73</v>
      </c>
      <c r="U31" s="34">
        <f>SUM(Q31:T31)</f>
        <v/>
      </c>
      <c r="V31" s="18" t="n">
        <v>0.73</v>
      </c>
      <c r="W31" s="18" t="n">
        <v>0.68</v>
      </c>
      <c r="X31" s="18" t="n">
        <v>0.7</v>
      </c>
      <c r="Y31" s="18" t="n">
        <v>0.74</v>
      </c>
      <c r="Z31" s="34">
        <f>SUM(V31:Y31)</f>
        <v/>
      </c>
      <c r="AA31" s="18" t="n">
        <v>0.89</v>
      </c>
      <c r="AB31" s="19" t="n">
        <v>0.74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124.31</v>
      </c>
      <c r="F32" s="34" t="n"/>
      <c r="G32" s="18" t="n">
        <v>119.67</v>
      </c>
      <c r="H32" s="18" t="n">
        <v>119.47</v>
      </c>
      <c r="I32" s="18" t="n">
        <v>142.22</v>
      </c>
      <c r="J32" s="18" t="n">
        <v>122.82</v>
      </c>
      <c r="K32" s="34">
        <f>SUM(G32:J32)</f>
        <v/>
      </c>
      <c r="L32" s="18" t="n">
        <v>126.09</v>
      </c>
      <c r="M32" s="18" t="n">
        <v>115.03</v>
      </c>
      <c r="N32" s="18" t="n">
        <v>107.08</v>
      </c>
      <c r="O32" s="18" t="n">
        <v>110.18</v>
      </c>
      <c r="P32" s="34">
        <f>SUM(L32:O32)</f>
        <v/>
      </c>
      <c r="Q32" s="18" t="n">
        <v>104.55</v>
      </c>
      <c r="R32" s="18" t="n">
        <v>110.69</v>
      </c>
      <c r="S32" s="18" t="n">
        <v>110.5</v>
      </c>
      <c r="T32" s="18" t="n">
        <v>97.97</v>
      </c>
      <c r="U32" s="34">
        <f>SUM(Q32:T32)</f>
        <v/>
      </c>
      <c r="V32" s="18" t="n">
        <v>97.77</v>
      </c>
      <c r="W32" s="18" t="n">
        <v>114.4</v>
      </c>
      <c r="X32" s="18" t="n">
        <v>124.33</v>
      </c>
      <c r="Y32" s="18" t="n">
        <v>128.52</v>
      </c>
      <c r="Z32" s="34">
        <f>SUM(V32:Y32)</f>
        <v/>
      </c>
      <c r="AA32" s="18" t="n">
        <v>110.44</v>
      </c>
      <c r="AB32" s="19" t="n">
        <v>134.65</v>
      </c>
      <c r="AC32" s="20">
        <f>IFERROR(AC5*변수!AC41,"")</f>
        <v/>
      </c>
      <c r="AD32" s="20">
        <f>IFERROR(AD5*변수!AD41,"")</f>
        <v/>
      </c>
      <c r="AE32" s="35">
        <f>SUM(AA32:AD32)</f>
        <v/>
      </c>
      <c r="AF32" s="20">
        <f>IFERROR(AF5*변수!AF41,"")</f>
        <v/>
      </c>
      <c r="AG32" s="20">
        <f>IFERROR(AG5*변수!AG41,"")</f>
        <v/>
      </c>
      <c r="AH32" s="20">
        <f>IFERROR(AH5*변수!AH41,"")</f>
        <v/>
      </c>
      <c r="AI32" s="20">
        <f>IFERROR(AI5*변수!AI41,"")</f>
        <v/>
      </c>
      <c r="AJ32" s="35">
        <f>SUM(AF32:AI32)</f>
        <v/>
      </c>
      <c r="AK32" s="20">
        <f>IFERROR(AK5*변수!AK41,"")</f>
        <v/>
      </c>
      <c r="AL32" s="20">
        <f>IFERROR(AL5*변수!AL41,"")</f>
        <v/>
      </c>
      <c r="AM32" s="20">
        <f>IFERROR(AM5*변수!AM41,"")</f>
        <v/>
      </c>
      <c r="AN32" s="20">
        <f>IFERROR(AN5*변수!AN41,"")</f>
        <v/>
      </c>
      <c r="AO32" s="35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-7.49</v>
      </c>
      <c r="F33" s="34" t="n"/>
      <c r="G33" s="18" t="n">
        <v>5.49</v>
      </c>
      <c r="H33" s="18" t="n">
        <v>4.64</v>
      </c>
      <c r="I33" s="18" t="n">
        <v>5.21</v>
      </c>
      <c r="J33" s="18" t="n">
        <v>0.76</v>
      </c>
      <c r="K33" s="34">
        <f>SUM(G33:J33)</f>
        <v/>
      </c>
      <c r="L33" s="18" t="n">
        <v>1.84</v>
      </c>
      <c r="M33" s="18" t="n">
        <v>8.199999999999999</v>
      </c>
      <c r="N33" s="18" t="n">
        <v>-5.24</v>
      </c>
      <c r="O33" s="18" t="n">
        <v>1.34</v>
      </c>
      <c r="P33" s="34">
        <f>SUM(L33:O33)</f>
        <v/>
      </c>
      <c r="Q33" s="18" t="n">
        <v>-7.16</v>
      </c>
      <c r="R33" s="18" t="n">
        <v>2.53</v>
      </c>
      <c r="S33" s="18" t="n">
        <v>-4.14</v>
      </c>
      <c r="T33" s="18" t="n">
        <v>-4.17</v>
      </c>
      <c r="U33" s="34">
        <f>SUM(Q33:T33)</f>
        <v/>
      </c>
      <c r="V33" s="18" t="n">
        <v>-7.66</v>
      </c>
      <c r="W33" s="18" t="n">
        <v>3.68</v>
      </c>
      <c r="X33" s="18" t="n">
        <v>1.52</v>
      </c>
      <c r="Y33" s="18" t="n">
        <v>2.9</v>
      </c>
      <c r="Z33" s="34">
        <f>SUM(V33:Y33)</f>
        <v/>
      </c>
      <c r="AA33" s="18" t="n">
        <v>-3.69</v>
      </c>
      <c r="AB33" s="19" t="n">
        <v>9.630000000000001</v>
      </c>
      <c r="AC33" s="20">
        <f>IFERROR(AC32*변수!AC42,"")</f>
        <v/>
      </c>
      <c r="AD33" s="20">
        <f>IFERROR(AD32*변수!AD42,"")</f>
        <v/>
      </c>
      <c r="AE33" s="35">
        <f>SUM(AA33:AD33)</f>
        <v/>
      </c>
      <c r="AF33" s="20">
        <f>IFERROR(AF32*변수!AF42,"")</f>
        <v/>
      </c>
      <c r="AG33" s="20">
        <f>IFERROR(AG32*변수!AG42,"")</f>
        <v/>
      </c>
      <c r="AH33" s="20">
        <f>IFERROR(AH32*변수!AH42,"")</f>
        <v/>
      </c>
      <c r="AI33" s="20">
        <f>IFERROR(AI32*변수!AI42,"")</f>
        <v/>
      </c>
      <c r="AJ33" s="35">
        <f>SUM(AF33:AI33)</f>
        <v/>
      </c>
      <c r="AK33" s="20">
        <f>IFERROR(AK32*변수!AK42,"")</f>
        <v/>
      </c>
      <c r="AL33" s="20">
        <f>IFERROR(AL32*변수!AL42,"")</f>
        <v/>
      </c>
      <c r="AM33" s="20">
        <f>IFERROR(AM32*변수!AM42,"")</f>
        <v/>
      </c>
      <c r="AN33" s="20">
        <f>IFERROR(AN32*변수!AN42,"")</f>
        <v/>
      </c>
      <c r="AO33" s="35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21">
        <f>IFERROR(E9/E5,"")</f>
        <v/>
      </c>
      <c r="F35" s="22">
        <f>IFERROR(F9/F5,"")</f>
        <v/>
      </c>
      <c r="G35" s="21">
        <f>IFERROR(G9/G5,"")</f>
        <v/>
      </c>
      <c r="H35" s="21">
        <f>IFERROR(H9/H5,"")</f>
        <v/>
      </c>
      <c r="I35" s="21">
        <f>IFERROR(I9/I5,"")</f>
        <v/>
      </c>
      <c r="J35" s="21">
        <f>IFERROR(J9/J5,"")</f>
        <v/>
      </c>
      <c r="K35" s="22">
        <f>IFERROR(K9/K5,"")</f>
        <v/>
      </c>
      <c r="L35" s="21">
        <f>IFERROR(L9/L5,"")</f>
        <v/>
      </c>
      <c r="M35" s="21">
        <f>IFERROR(M9/M5,"")</f>
        <v/>
      </c>
      <c r="N35" s="21">
        <f>IFERROR(N9/N5,"")</f>
        <v/>
      </c>
      <c r="O35" s="21">
        <f>IFERROR(O9/O5,"")</f>
        <v/>
      </c>
      <c r="P35" s="22">
        <f>IFERROR(P9/P5,"")</f>
        <v/>
      </c>
      <c r="Q35" s="21">
        <f>IFERROR(Q9/Q5,"")</f>
        <v/>
      </c>
      <c r="R35" s="21">
        <f>IFERROR(R9/R5,"")</f>
        <v/>
      </c>
      <c r="S35" s="21">
        <f>IFERROR(S9/S5,"")</f>
        <v/>
      </c>
      <c r="T35" s="21">
        <f>IFERROR(T9/T5,"")</f>
        <v/>
      </c>
      <c r="U35" s="22">
        <f>IFERROR(U9/U5,"")</f>
        <v/>
      </c>
      <c r="V35" s="21">
        <f>IFERROR(V9/V5,"")</f>
        <v/>
      </c>
      <c r="W35" s="21">
        <f>IFERROR(W9/W5,"")</f>
        <v/>
      </c>
      <c r="X35" s="21">
        <f>IFERROR(X9/X5,"")</f>
        <v/>
      </c>
      <c r="Y35" s="21">
        <f>IFERROR(Y9/Y5,"")</f>
        <v/>
      </c>
      <c r="Z35" s="22">
        <f>IFERROR(Z9/Z5,"")</f>
        <v/>
      </c>
      <c r="AA35" s="21">
        <f>IFERROR(AA9/AA5,"")</f>
        <v/>
      </c>
      <c r="AB35" s="23">
        <f>IFERROR(AB9/AB5,"")</f>
        <v/>
      </c>
      <c r="AC35" s="31">
        <f>IFERROR(AC9/AC5,"")</f>
        <v/>
      </c>
      <c r="AD35" s="31">
        <f>IFERROR(AD9/AD5,"")</f>
        <v/>
      </c>
      <c r="AE35" s="25">
        <f>IFERROR(AE9/AE5,"")</f>
        <v/>
      </c>
      <c r="AF35" s="31">
        <f>IFERROR(AF9/AF5,"")</f>
        <v/>
      </c>
      <c r="AG35" s="31">
        <f>IFERROR(AG9/AG5,"")</f>
        <v/>
      </c>
      <c r="AH35" s="31">
        <f>IFERROR(AH9/AH5,"")</f>
        <v/>
      </c>
      <c r="AI35" s="31">
        <f>IFERROR(AI9/AI5,"")</f>
        <v/>
      </c>
      <c r="AJ35" s="25">
        <f>IFERROR(AJ9/AJ5,"")</f>
        <v/>
      </c>
      <c r="AK35" s="31">
        <f>IFERROR(AK9/AK5,"")</f>
        <v/>
      </c>
      <c r="AL35" s="31">
        <f>IFERROR(AL9/AL5,"")</f>
        <v/>
      </c>
      <c r="AM35" s="31">
        <f>IFERROR(AM9/AM5,"")</f>
        <v/>
      </c>
      <c r="AN35" s="31">
        <f>IFERROR(AN9/AN5,"")</f>
        <v/>
      </c>
      <c r="AO35" s="25">
        <f>IFERROR(AO9/AO5,"")</f>
        <v/>
      </c>
    </row>
    <row r="36">
      <c r="A36" s="12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21">
        <f>IFERROR(E17/E5,"")</f>
        <v/>
      </c>
      <c r="F36" s="22">
        <f>IFERROR(F17/F5,"")</f>
        <v/>
      </c>
      <c r="G36" s="21">
        <f>IFERROR(G17/G5,"")</f>
        <v/>
      </c>
      <c r="H36" s="21">
        <f>IFERROR(H17/H5,"")</f>
        <v/>
      </c>
      <c r="I36" s="21">
        <f>IFERROR(I17/I5,"")</f>
        <v/>
      </c>
      <c r="J36" s="21">
        <f>IFERROR(J17/J5,"")</f>
        <v/>
      </c>
      <c r="K36" s="22">
        <f>IFERROR(K17/K5,"")</f>
        <v/>
      </c>
      <c r="L36" s="21">
        <f>IFERROR(L17/L5,"")</f>
        <v/>
      </c>
      <c r="M36" s="21">
        <f>IFERROR(M17/M5,"")</f>
        <v/>
      </c>
      <c r="N36" s="21">
        <f>IFERROR(N17/N5,"")</f>
        <v/>
      </c>
      <c r="O36" s="21">
        <f>IFERROR(O17/O5,"")</f>
        <v/>
      </c>
      <c r="P36" s="22">
        <f>IFERROR(P17/P5,"")</f>
        <v/>
      </c>
      <c r="Q36" s="21">
        <f>IFERROR(Q17/Q5,"")</f>
        <v/>
      </c>
      <c r="R36" s="21">
        <f>IFERROR(R17/R5,"")</f>
        <v/>
      </c>
      <c r="S36" s="21">
        <f>IFERROR(S17/S5,"")</f>
        <v/>
      </c>
      <c r="T36" s="21">
        <f>IFERROR(T17/T5,"")</f>
        <v/>
      </c>
      <c r="U36" s="22">
        <f>IFERROR(U17/U5,"")</f>
        <v/>
      </c>
      <c r="V36" s="21">
        <f>IFERROR(V17/V5,"")</f>
        <v/>
      </c>
      <c r="W36" s="21">
        <f>IFERROR(W17/W5,"")</f>
        <v/>
      </c>
      <c r="X36" s="21">
        <f>IFERROR(X17/X5,"")</f>
        <v/>
      </c>
      <c r="Y36" s="21">
        <f>IFERROR(Y17/Y5,"")</f>
        <v/>
      </c>
      <c r="Z36" s="22">
        <f>IFERROR(Z17/Z5,"")</f>
        <v/>
      </c>
      <c r="AA36" s="21">
        <f>IFERROR(AA17/AA5,"")</f>
        <v/>
      </c>
      <c r="AB36" s="23">
        <f>IFERROR(AB17/AB5,"")</f>
        <v/>
      </c>
      <c r="AC36" s="31">
        <f>IFERROR(AC17/AC5,"")</f>
        <v/>
      </c>
      <c r="AD36" s="31">
        <f>IFERROR(AD17/AD5,"")</f>
        <v/>
      </c>
      <c r="AE36" s="25">
        <f>IFERROR(AE17/AE5,"")</f>
        <v/>
      </c>
      <c r="AF36" s="31">
        <f>IFERROR(AF17/AF5,"")</f>
        <v/>
      </c>
      <c r="AG36" s="31">
        <f>IFERROR(AG17/AG5,"")</f>
        <v/>
      </c>
      <c r="AH36" s="31">
        <f>IFERROR(AH17/AH5,"")</f>
        <v/>
      </c>
      <c r="AI36" s="31">
        <f>IFERROR(AI17/AI5,"")</f>
        <v/>
      </c>
      <c r="AJ36" s="25">
        <f>IFERROR(AJ17/AJ5,"")</f>
        <v/>
      </c>
      <c r="AK36" s="31">
        <f>IFERROR(AK17/AK5,"")</f>
        <v/>
      </c>
      <c r="AL36" s="31">
        <f>IFERROR(AL17/AL5,"")</f>
        <v/>
      </c>
      <c r="AM36" s="31">
        <f>IFERROR(AM17/AM5,"")</f>
        <v/>
      </c>
      <c r="AN36" s="31">
        <f>IFERROR(AN17/AN5,"")</f>
        <v/>
      </c>
      <c r="AO36" s="25">
        <f>IFERROR(AO17/AO5,"")</f>
        <v/>
      </c>
    </row>
    <row r="37">
      <c r="A37" s="12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21">
        <f>IFERROR(E6/E5,"")</f>
        <v/>
      </c>
      <c r="F37" s="22">
        <f>IFERROR(F6/F5,"")</f>
        <v/>
      </c>
      <c r="G37" s="21">
        <f>IFERROR(G6/G5,"")</f>
        <v/>
      </c>
      <c r="H37" s="21">
        <f>IFERROR(H6/H5,"")</f>
        <v/>
      </c>
      <c r="I37" s="21">
        <f>IFERROR(I6/I5,"")</f>
        <v/>
      </c>
      <c r="J37" s="21">
        <f>IFERROR(J6/J5,"")</f>
        <v/>
      </c>
      <c r="K37" s="22">
        <f>IFERROR(K6/K5,"")</f>
        <v/>
      </c>
      <c r="L37" s="21">
        <f>IFERROR(L6/L5,"")</f>
        <v/>
      </c>
      <c r="M37" s="21">
        <f>IFERROR(M6/M5,"")</f>
        <v/>
      </c>
      <c r="N37" s="21">
        <f>IFERROR(N6/N5,"")</f>
        <v/>
      </c>
      <c r="O37" s="21">
        <f>IFERROR(O6/O5,"")</f>
        <v/>
      </c>
      <c r="P37" s="22">
        <f>IFERROR(P6/P5,"")</f>
        <v/>
      </c>
      <c r="Q37" s="21">
        <f>IFERROR(Q6/Q5,"")</f>
        <v/>
      </c>
      <c r="R37" s="21">
        <f>IFERROR(R6/R5,"")</f>
        <v/>
      </c>
      <c r="S37" s="21">
        <f>IFERROR(S6/S5,"")</f>
        <v/>
      </c>
      <c r="T37" s="21">
        <f>IFERROR(T6/T5,"")</f>
        <v/>
      </c>
      <c r="U37" s="22">
        <f>IFERROR(U6/U5,"")</f>
        <v/>
      </c>
      <c r="V37" s="21">
        <f>IFERROR(V6/V5,"")</f>
        <v/>
      </c>
      <c r="W37" s="21">
        <f>IFERROR(W6/W5,"")</f>
        <v/>
      </c>
      <c r="X37" s="21">
        <f>IFERROR(X6/X5,"")</f>
        <v/>
      </c>
      <c r="Y37" s="21">
        <f>IFERROR(Y6/Y5,"")</f>
        <v/>
      </c>
      <c r="Z37" s="22">
        <f>IFERROR(Z6/Z5,"")</f>
        <v/>
      </c>
      <c r="AA37" s="21">
        <f>IFERROR(AA6/AA5,"")</f>
        <v/>
      </c>
      <c r="AB37" s="23">
        <f>IFERROR(AB6/AB5,"")</f>
        <v/>
      </c>
      <c r="AC37" s="31">
        <f>IFERROR(AC6/AC5,"")</f>
        <v/>
      </c>
      <c r="AD37" s="31">
        <f>IFERROR(AD6/AD5,"")</f>
        <v/>
      </c>
      <c r="AE37" s="25">
        <f>IFERROR(AE6/AE5,"")</f>
        <v/>
      </c>
      <c r="AF37" s="31">
        <f>IFERROR(AF6/AF5,"")</f>
        <v/>
      </c>
      <c r="AG37" s="31">
        <f>IFERROR(AG6/AG5,"")</f>
        <v/>
      </c>
      <c r="AH37" s="31">
        <f>IFERROR(AH6/AH5,"")</f>
        <v/>
      </c>
      <c r="AI37" s="31">
        <f>IFERROR(AI6/AI5,"")</f>
        <v/>
      </c>
      <c r="AJ37" s="25">
        <f>IFERROR(AJ6/AJ5,"")</f>
        <v/>
      </c>
      <c r="AK37" s="31">
        <f>IFERROR(AK6/AK5,"")</f>
        <v/>
      </c>
      <c r="AL37" s="31">
        <f>IFERROR(AL6/AL5,"")</f>
        <v/>
      </c>
      <c r="AM37" s="31">
        <f>IFERROR(AM6/AM5,"")</f>
        <v/>
      </c>
      <c r="AN37" s="31">
        <f>IFERROR(AN6/AN5,"")</f>
        <v/>
      </c>
      <c r="AO37" s="25">
        <f>IFERROR(AO6/AO5,"")</f>
        <v/>
      </c>
    </row>
    <row r="38">
      <c r="A38" s="12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21">
        <f>IFERROR(E8/E5,"")</f>
        <v/>
      </c>
      <c r="F38" s="22">
        <f>IFERROR(F8/F5,"")</f>
        <v/>
      </c>
      <c r="G38" s="21">
        <f>IFERROR(G8/G5,"")</f>
        <v/>
      </c>
      <c r="H38" s="21">
        <f>IFERROR(H8/H5,"")</f>
        <v/>
      </c>
      <c r="I38" s="21">
        <f>IFERROR(I8/I5,"")</f>
        <v/>
      </c>
      <c r="J38" s="21">
        <f>IFERROR(J8/J5,"")</f>
        <v/>
      </c>
      <c r="K38" s="22">
        <f>IFERROR(K8/K5,"")</f>
        <v/>
      </c>
      <c r="L38" s="21">
        <f>IFERROR(L8/L5,"")</f>
        <v/>
      </c>
      <c r="M38" s="21">
        <f>IFERROR(M8/M5,"")</f>
        <v/>
      </c>
      <c r="N38" s="21">
        <f>IFERROR(N8/N5,"")</f>
        <v/>
      </c>
      <c r="O38" s="21">
        <f>IFERROR(O8/O5,"")</f>
        <v/>
      </c>
      <c r="P38" s="22">
        <f>IFERROR(P8/P5,"")</f>
        <v/>
      </c>
      <c r="Q38" s="21">
        <f>IFERROR(Q8/Q5,"")</f>
        <v/>
      </c>
      <c r="R38" s="21">
        <f>IFERROR(R8/R5,"")</f>
        <v/>
      </c>
      <c r="S38" s="21">
        <f>IFERROR(S8/S5,"")</f>
        <v/>
      </c>
      <c r="T38" s="21">
        <f>IFERROR(T8/T5,"")</f>
        <v/>
      </c>
      <c r="U38" s="22">
        <f>IFERROR(U8/U5,"")</f>
        <v/>
      </c>
      <c r="V38" s="21">
        <f>IFERROR(V8/V5,"")</f>
        <v/>
      </c>
      <c r="W38" s="21">
        <f>IFERROR(W8/W5,"")</f>
        <v/>
      </c>
      <c r="X38" s="21">
        <f>IFERROR(X8/X5,"")</f>
        <v/>
      </c>
      <c r="Y38" s="21">
        <f>IFERROR(Y8/Y5,"")</f>
        <v/>
      </c>
      <c r="Z38" s="22">
        <f>IFERROR(Z8/Z5,"")</f>
        <v/>
      </c>
      <c r="AA38" s="21">
        <f>IFERROR(AA8/AA5,"")</f>
        <v/>
      </c>
      <c r="AB38" s="23">
        <f>IFERROR(AB8/AB5,"")</f>
        <v/>
      </c>
      <c r="AC38" s="31">
        <f>IFERROR(AC8/AC5,"")</f>
        <v/>
      </c>
      <c r="AD38" s="31">
        <f>IFERROR(AD8/AD5,"")</f>
        <v/>
      </c>
      <c r="AE38" s="25">
        <f>IFERROR(AE8/AE5,"")</f>
        <v/>
      </c>
      <c r="AF38" s="31">
        <f>IFERROR(AF8/AF5,"")</f>
        <v/>
      </c>
      <c r="AG38" s="31">
        <f>IFERROR(AG8/AG5,"")</f>
        <v/>
      </c>
      <c r="AH38" s="31">
        <f>IFERROR(AH8/AH5,"")</f>
        <v/>
      </c>
      <c r="AI38" s="31">
        <f>IFERROR(AI8/AI5,"")</f>
        <v/>
      </c>
      <c r="AJ38" s="25">
        <f>IFERROR(AJ8/AJ5,"")</f>
        <v/>
      </c>
      <c r="AK38" s="31">
        <f>IFERROR(AK8/AK5,"")</f>
        <v/>
      </c>
      <c r="AL38" s="31">
        <f>IFERROR(AL8/AL5,"")</f>
        <v/>
      </c>
      <c r="AM38" s="31">
        <f>IFERROR(AM8/AM5,"")</f>
        <v/>
      </c>
      <c r="AN38" s="31">
        <f>IFERROR(AN8/AN5,"")</f>
        <v/>
      </c>
      <c r="AO3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26">
        <f>IFERROR(VLOOKUP($A26,subQ,MATCH(I$1,SUBQH,0),0),"")</f>
        <v/>
      </c>
      <c r="J26" s="26">
        <f>IFERROR(VLOOKUP($A26,subQ,MATCH(J$1,SUBQH,0),0),"")</f>
        <v/>
      </c>
      <c r="K26" s="26">
        <f>IFERROR(VLOOKUP($A26,subQ,MATCH(K$1,SUBQH,0),0),"")</f>
        <v/>
      </c>
      <c r="L26" s="26">
        <f>IFERROR(VLOOKUP($A26,subQ,MATCH(L$1,SUBQH,0),0),"")</f>
        <v/>
      </c>
      <c r="M26" s="26">
        <f>IFERROR(VLOOKUP($A26,subQ,MATCH(M$1,SUBQH,0),0),"")</f>
        <v/>
      </c>
      <c r="N26" s="26">
        <f>IFERROR(VLOOKUP($A26,subQ,MATCH(N$1,SUBQH,0),0),"")</f>
        <v/>
      </c>
      <c r="O26" s="26">
        <f>IFERROR(VLOOKUP($A26,subQ,MATCH(O$1,SUBQH,0),0),"")</f>
        <v/>
      </c>
      <c r="P26" s="26">
        <f>IFERROR(VLOOKUP($A26,subQ,MATCH(P$1,SUBQH,0),0),"")</f>
        <v/>
      </c>
      <c r="Q26" s="26">
        <f>IFERROR(VLOOKUP($A26,subQ,MATCH(Q$1,SUBQH,0),0),"")</f>
        <v/>
      </c>
      <c r="R26" s="26">
        <f>IFERROR(VLOOKUP($A26,subQ,MATCH(R$1,SUBQH,0),0),"")</f>
        <v/>
      </c>
      <c r="S26" s="26">
        <f>IFERROR(VLOOKUP($A26,subQ,MATCH(S$1,SUBQH,0),0),"")</f>
        <v/>
      </c>
      <c r="T26" s="26">
        <f>IFERROR(VLOOKUP($A26,subQ,MATCH(T$1,SUBQH,0),0),"")</f>
        <v/>
      </c>
      <c r="U26" s="26">
        <f>IFERROR(VLOOKUP($A26,subQ,MATCH(U$1,SUBQH,0),0),"")</f>
        <v/>
      </c>
      <c r="V26" s="26">
        <f>IFERROR(VLOOKUP($A26,subQ,MATCH(V$1,SUBQH,0),0),"")</f>
        <v/>
      </c>
      <c r="W26" s="43">
        <f>IFERROR(VLOOKUP($A26,subQ,MATCH(W$1,SUBQH,0),0),"")</f>
        <v/>
      </c>
      <c r="X26" s="36">
        <f>IFERROR(VLOOKUP($A26,subQ,MATCH(X$1,SUBQH,0),0),"")</f>
        <v/>
      </c>
      <c r="Y26" s="36">
        <f>IFERROR(VLOOKUP($A26,subQ,MATCH(Y$1,SUBQH,0),0),"")</f>
        <v/>
      </c>
      <c r="Z26" s="36">
        <f>IFERROR(VLOOKUP($A26,subQ,MATCH(Z$1,SUBQH,0),0),"")</f>
        <v/>
      </c>
      <c r="AA26" s="36">
        <f>IFERROR(VLOOKUP($A26,subQ,MATCH(AA$1,SUBQH,0),0),"")</f>
        <v/>
      </c>
      <c r="AB26" s="36">
        <f>IFERROR(VLOOKUP($A26,subQ,MATCH(AB$1,SUBQH,0),0),"")</f>
        <v/>
      </c>
      <c r="AC26" s="36">
        <f>IFERROR(VLOOKUP($A26,subQ,MATCH(AC$1,SUBQH,0),0),"")</f>
        <v/>
      </c>
      <c r="AD26" s="36">
        <f>IFERROR(VLOOKUP($A26,subQ,MATCH(AD$1,SUBQH,0),0),"")</f>
        <v/>
      </c>
      <c r="AE26" s="36">
        <f>IFERROR(VLOOKUP($A26,subQ,MATCH(AE$1,SUBQH,0),0),"")</f>
        <v/>
      </c>
      <c r="AF26" s="36">
        <f>IFERROR(VLOOKUP($A26,subQ,MATCH(AF$1,SUBQH,0),0),"")</f>
        <v/>
      </c>
      <c r="AG26" s="36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I36" s="21">
        <f>IFERROR(I5/E5-1,"")</f>
        <v/>
      </c>
      <c r="J36" s="21">
        <f>IFERROR(J5/F5-1,"")</f>
        <v/>
      </c>
      <c r="K36" s="21">
        <f>IFERROR(K5/G5-1,"")</f>
        <v/>
      </c>
      <c r="L36" s="21">
        <f>IFERROR(L5/H5-1,"")</f>
        <v/>
      </c>
      <c r="M36" s="21">
        <f>IFERROR(M5/I5-1,"")</f>
        <v/>
      </c>
      <c r="N36" s="21">
        <f>IFERROR(N5/J5-1,"")</f>
        <v/>
      </c>
      <c r="O36" s="21">
        <f>IFERROR(O5/K5-1,"")</f>
        <v/>
      </c>
      <c r="P36" s="21">
        <f>IFERROR(P5/L5-1,"")</f>
        <v/>
      </c>
      <c r="Q36" s="21">
        <f>IFERROR(Q5/M5-1,"")</f>
        <v/>
      </c>
      <c r="R36" s="21">
        <f>IFERROR(R5/N5-1,"")</f>
        <v/>
      </c>
      <c r="S36" s="21">
        <f>IFERROR(S5/O5-1,"")</f>
        <v/>
      </c>
      <c r="T36" s="21">
        <f>IFERROR(T5/P5-1,"")</f>
        <v/>
      </c>
      <c r="U36" s="21">
        <f>IFERROR(U5/Q5-1,"")</f>
        <v/>
      </c>
      <c r="V36" s="21">
        <f>IFERROR(V5/R5-1,"")</f>
        <v/>
      </c>
      <c r="W36" s="42">
        <f>IFERROR(W5/S5-1,"")</f>
        <v/>
      </c>
      <c r="X36" s="31">
        <f>IFERROR(X5/T5-1,"")</f>
        <v/>
      </c>
      <c r="Y36" s="31">
        <f>IFERROR(Y5/U5-1,"")</f>
        <v/>
      </c>
      <c r="Z36" s="31">
        <f>IFERROR(Z5/V5-1,"")</f>
        <v/>
      </c>
      <c r="AA36" s="31">
        <f>IFERROR(AA5/W5-1,"")</f>
        <v/>
      </c>
      <c r="AB36" s="31">
        <f>IFERROR(AB5/X5-1,"")</f>
        <v/>
      </c>
      <c r="AC36" s="31">
        <f>IFERROR(AC5/Y5-1,"")</f>
        <v/>
      </c>
      <c r="AD36" s="31">
        <f>IFERROR(AD5/Z5-1,"")</f>
        <v/>
      </c>
      <c r="AE36" s="31">
        <f>IFERROR(AE5/AA5-1,"")</f>
        <v/>
      </c>
      <c r="AF36" s="31">
        <f>IFERROR(AF5/AB5-1,"")</f>
        <v/>
      </c>
      <c r="AG36" s="31">
        <f>IFERROR(AG5/AC5-1,"")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I37" s="21">
        <f>IFERROR(I9/E9-1,"")</f>
        <v/>
      </c>
      <c r="J37" s="21">
        <f>IFERROR(J9/F9-1,"")</f>
        <v/>
      </c>
      <c r="K37" s="21">
        <f>IFERROR(K9/G9-1,"")</f>
        <v/>
      </c>
      <c r="L37" s="21">
        <f>IFERROR(L9/H9-1,"")</f>
        <v/>
      </c>
      <c r="M37" s="21">
        <f>IFERROR(M9/I9-1,"")</f>
        <v/>
      </c>
      <c r="N37" s="21">
        <f>IFERROR(N9/J9-1,"")</f>
        <v/>
      </c>
      <c r="O37" s="21">
        <f>IFERROR(O9/K9-1,"")</f>
        <v/>
      </c>
      <c r="P37" s="21">
        <f>IFERROR(P9/L9-1,"")</f>
        <v/>
      </c>
      <c r="Q37" s="21">
        <f>IFERROR(Q9/M9-1,"")</f>
        <v/>
      </c>
      <c r="R37" s="21">
        <f>IFERROR(R9/N9-1,"")</f>
        <v/>
      </c>
      <c r="S37" s="21">
        <f>IFERROR(S9/O9-1,"")</f>
        <v/>
      </c>
      <c r="T37" s="21">
        <f>IFERROR(T9/P9-1,"")</f>
        <v/>
      </c>
      <c r="U37" s="21">
        <f>IFERROR(U9/Q9-1,"")</f>
        <v/>
      </c>
      <c r="V37" s="21">
        <f>IFERROR(V9/R9-1,"")</f>
        <v/>
      </c>
      <c r="W37" s="42">
        <f>IFERROR(W9/S9-1,"")</f>
        <v/>
      </c>
      <c r="X37" s="31">
        <f>IFERROR(X9/T9-1,"")</f>
        <v/>
      </c>
      <c r="Y37" s="31">
        <f>IFERROR(Y9/U9-1,"")</f>
        <v/>
      </c>
      <c r="Z37" s="31">
        <f>IFERROR(Z9/V9-1,"")</f>
        <v/>
      </c>
      <c r="AA37" s="31">
        <f>IFERROR(AA9/W9-1,"")</f>
        <v/>
      </c>
      <c r="AB37" s="31">
        <f>IFERROR(AB9/X9-1,"")</f>
        <v/>
      </c>
      <c r="AC37" s="31">
        <f>IFERROR(AC9/Y9-1,"")</f>
        <v/>
      </c>
      <c r="AD37" s="31">
        <f>IFERROR(AD9/Z9-1,"")</f>
        <v/>
      </c>
      <c r="AE37" s="31">
        <f>IFERROR(AE9/AA9-1,"")</f>
        <v/>
      </c>
      <c r="AF37" s="31">
        <f>IFERROR(AF9/AB9-1,"")</f>
        <v/>
      </c>
      <c r="AG37" s="31">
        <f>IFERROR(AG9/AC9-1,"")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I38" s="21">
        <f>IFERROR(I17/E17-1,"")</f>
        <v/>
      </c>
      <c r="J38" s="21">
        <f>IFERROR(J17/F17-1,"")</f>
        <v/>
      </c>
      <c r="K38" s="21">
        <f>IFERROR(K17/G17-1,"")</f>
        <v/>
      </c>
      <c r="L38" s="21">
        <f>IFERROR(L17/H17-1,"")</f>
        <v/>
      </c>
      <c r="M38" s="21">
        <f>IFERROR(M17/I17-1,"")</f>
        <v/>
      </c>
      <c r="N38" s="21">
        <f>IFERROR(N17/J17-1,"")</f>
        <v/>
      </c>
      <c r="O38" s="21">
        <f>IFERROR(O17/K17-1,"")</f>
        <v/>
      </c>
      <c r="P38" s="21">
        <f>IFERROR(P17/L17-1,"")</f>
        <v/>
      </c>
      <c r="Q38" s="21">
        <f>IFERROR(Q17/M17-1,"")</f>
        <v/>
      </c>
      <c r="R38" s="21">
        <f>IFERROR(R17/N17-1,"")</f>
        <v/>
      </c>
      <c r="S38" s="21">
        <f>IFERROR(S17/O17-1,"")</f>
        <v/>
      </c>
      <c r="T38" s="21">
        <f>IFERROR(T17/P17-1,"")</f>
        <v/>
      </c>
      <c r="U38" s="21">
        <f>IFERROR(U17/Q17-1,"")</f>
        <v/>
      </c>
      <c r="V38" s="21">
        <f>IFERROR(V17/R17-1,"")</f>
        <v/>
      </c>
      <c r="W38" s="42">
        <f>IFERROR(W17/S17-1,"")</f>
        <v/>
      </c>
      <c r="X38" s="31">
        <f>IFERROR(X17/T17-1,"")</f>
        <v/>
      </c>
      <c r="Y38" s="31">
        <f>IFERROR(Y17/U17-1,"")</f>
        <v/>
      </c>
      <c r="Z38" s="31">
        <f>IFERROR(Z17/V17-1,"")</f>
        <v/>
      </c>
      <c r="AA38" s="31">
        <f>IFERROR(AA17/W17-1,"")</f>
        <v/>
      </c>
      <c r="AB38" s="31">
        <f>IFERROR(AB17/X17-1,"")</f>
        <v/>
      </c>
      <c r="AC38" s="31">
        <f>IFERROR(AC17/Y17-1,"")</f>
        <v/>
      </c>
      <c r="AD38" s="31">
        <f>IFERROR(AD17/Z17-1,"")</f>
        <v/>
      </c>
      <c r="AE38" s="31">
        <f>IFERROR(AE17/AA17-1,"")</f>
        <v/>
      </c>
      <c r="AF38" s="31">
        <f>IFERROR(AF17/AB17-1,"")</f>
        <v/>
      </c>
      <c r="AG38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43">
        <f>IFERROR(VLOOKUP($A26,subQ,MATCH(I$1,SUBQH,0),0),"")</f>
        <v/>
      </c>
      <c r="J26" s="36">
        <f>IFERROR(VLOOKUP($A26,subQ,MATCH(J$1,SUBQH,0),0),"")</f>
        <v/>
      </c>
      <c r="K26" s="36">
        <f>IFERROR(VLOOKUP($A26,subQ,MATCH(K$1,SUBQH,0),0),"")</f>
        <v/>
      </c>
      <c r="L26" s="36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F36" s="21">
        <f>IFERROR(F5/E5-1,"")</f>
        <v/>
      </c>
      <c r="G36" s="21">
        <f>IFERROR(G5/F5-1,"")</f>
        <v/>
      </c>
      <c r="H36" s="21">
        <f>IFERROR(H5/G5-1,"")</f>
        <v/>
      </c>
      <c r="I36" s="42">
        <f>IFERROR(I5/H5-1,"")</f>
        <v/>
      </c>
      <c r="J36" s="31">
        <f>IFERROR(J5/I5-1,"")</f>
        <v/>
      </c>
      <c r="K36" s="31">
        <f>IFERROR(K5/J5-1,"")</f>
        <v/>
      </c>
      <c r="L36" s="31">
        <f>IFERROR(L5/K5-1,"")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F37" s="21">
        <f>IFERROR(F9/E9-1,"")</f>
        <v/>
      </c>
      <c r="G37" s="21">
        <f>IFERROR(G9/F9-1,"")</f>
        <v/>
      </c>
      <c r="H37" s="21">
        <f>IFERROR(H9/G9-1,"")</f>
        <v/>
      </c>
      <c r="I37" s="42">
        <f>IFERROR(I9/H9-1,"")</f>
        <v/>
      </c>
      <c r="J37" s="31">
        <f>IFERROR(J9/I9-1,"")</f>
        <v/>
      </c>
      <c r="K37" s="31">
        <f>IFERROR(K9/J9-1,"")</f>
        <v/>
      </c>
      <c r="L37" s="31">
        <f>IFERROR(L9/K9-1,"")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F38" s="21">
        <f>IFERROR(F17/E17-1,"")</f>
        <v/>
      </c>
      <c r="G38" s="21">
        <f>IFERROR(G17/F17-1,"")</f>
        <v/>
      </c>
      <c r="H38" s="21">
        <f>IFERROR(H17/G17-1,"")</f>
        <v/>
      </c>
      <c r="I38" s="42">
        <f>IFERROR(I17/H17-1,"")</f>
        <v/>
      </c>
      <c r="J38" s="31">
        <f>IFERROR(J17/I17-1,"")</f>
        <v/>
      </c>
      <c r="K38" s="31">
        <f>IFERROR(K17/J17-1,"")</f>
        <v/>
      </c>
      <c r="L38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13.8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223.19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0.0025</v>
      </c>
    </row>
    <row r="34">
      <c r="C34" s="2" t="inlineStr">
        <is>
          <t>fair_pbr</t>
        </is>
      </c>
      <c r="D34" t="n">
        <v>0.03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