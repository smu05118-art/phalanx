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BS연결!$C$5:$AO$80</definedName>
    <definedName name="BS별도H">BS별도!$C$1:$AO$1</definedName>
    <definedName name="BS별도">BS별도!$C$5:$AO$76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253983억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263191억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272157억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283297억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298688억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316893억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336408억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355724억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372841억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모델값 역산(implied): v / 매출액
매출액 × 판관비율 14.72%(최근 4분기 중위)</t>
      </text>
    </comment>
    <comment ref="AD22" authorId="0" shapeId="0">
      <text>
        <t>모델값 역산(implied): v / 매출액
매출액 × 판관비율 14.72%(최근 4분기 중위)</t>
      </text>
    </comment>
    <comment ref="AF22" authorId="0" shapeId="0">
      <text>
        <t>모델값 역산(implied): v / 매출액
매출액 × 판관비율 14.72%(최근 4분기 중위)</t>
      </text>
    </comment>
    <comment ref="AG22" authorId="0" shapeId="0">
      <text>
        <t>모델값 역산(implied): v / 매출액
매출액 × 판관비율 14.72%(최근 4분기 중위)</t>
      </text>
    </comment>
    <comment ref="AH22" authorId="0" shapeId="0">
      <text>
        <t>모델값 역산(implied): v / 매출액
매출액 × 판관비율 14.72%(최근 4분기 중위)</t>
      </text>
    </comment>
    <comment ref="AI22" authorId="0" shapeId="0">
      <text>
        <t>모델값 역산(implied): v / 매출액
매출액 × 판관비율 14.72%(최근 4분기 중위)</t>
      </text>
    </comment>
    <comment ref="AK22" authorId="0" shapeId="0">
      <text>
        <t>모델값 역산(implied): v / 매출액
매출액 × 판관비율 14.72%(최근 4분기 중위)</t>
      </text>
    </comment>
    <comment ref="AL22" authorId="0" shapeId="0">
      <text>
        <t>모델값 역산(implied): v / 매출액
매출액 × 판관비율 14.72%(최근 4분기 중위)</t>
      </text>
    </comment>
    <comment ref="AM22" authorId="0" shapeId="0">
      <text>
        <t>모델값 역산(implied): v / 매출액
매출액 × 판관비율 14.72%(최근 4분기 중위)</t>
      </text>
    </comment>
    <comment ref="AN22" authorId="0" shapeId="0">
      <text>
        <t>모델값 역산(implied): v / 매출액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v / 전년동기 − 1
최근 8분기 OPM 중위 -1.1% 유지</t>
      </text>
    </comment>
    <comment ref="AD24" authorId="0" shapeId="0">
      <text>
        <t>모델값 역산(implied): v / 전년동기 − 1
최근 8분기 OPM 중위 -1.1% 유지</t>
      </text>
    </comment>
    <comment ref="AF24" authorId="0" shapeId="0">
      <text>
        <t>모델값 역산(implied): v / 전년동기 − 1
최근 8분기 OPM 중위 -1.1% 유지</t>
      </text>
    </comment>
    <comment ref="AG24" authorId="0" shapeId="0">
      <text>
        <t>모델값 역산(implied): v / 전년동기 − 1
최근 8분기 OPM 중위 -1.1% 유지</t>
      </text>
    </comment>
    <comment ref="AH24" authorId="0" shapeId="0">
      <text>
        <t>모델값 역산(implied): v / 전년동기 − 1
최근 8분기 OPM 중위 -1.1% 유지</t>
      </text>
    </comment>
    <comment ref="AI24" authorId="0" shapeId="0">
      <text>
        <t>모델값 역산(implied): v / 전년동기 − 1
최근 8분기 OPM 중위 -1.1% 유지</t>
      </text>
    </comment>
    <comment ref="AK24" authorId="0" shapeId="0">
      <text>
        <t>모델값 역산(implied): v / 전년동기 − 1
최근 8분기 OPM 중위 -1.1% 유지</t>
      </text>
    </comment>
    <comment ref="AL24" authorId="0" shapeId="0">
      <text>
        <t>모델값 역산(implied): v / 전년동기 − 1
최근 8분기 OPM 중위 -1.1% 유지</t>
      </text>
    </comment>
    <comment ref="AM24" authorId="0" shapeId="0">
      <text>
        <t>모델값 역산(implied): v / 전년동기 − 1
최근 8분기 OPM 중위 -1.1% 유지</t>
      </text>
    </comment>
    <comment ref="AN24" authorId="0" shapeId="0">
      <text>
        <t>모델값 역산(implied): v / 전년동기 − 1
최근 8분기 OPM 중위 -1.1% 유지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93억 × 7.53%(주석 이자수익 ÷ 평균 이자발생자산(2025Q3~2026Q2)) − 총차입금 0억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93억 × 7.53%(주석 이자수익 ÷ 평균 이자발생자산(2025Q3~2026Q2)) − 총차입금 0억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93억 × 7.53%(주석 이자수익 ÷ 평균 이자발생자산(2025Q3~2026Q2)) − 총차입금 0억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93억 × 7.53%(주석 이자수익 ÷ 평균 이자발생자산(2025Q3~2026Q2)) − 총차입금 0억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92억 × 7.53%(주석 이자수익 ÷ 평균 이자발생자산(2025Q3~2026Q2)) − 총차입금 0억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92억 × 7.53%(주석 이자수익 ÷ 평균 이자발생자산(2025Q3~2026Q2)) − 총차입금 0억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91억 × 7.53%(주석 이자수익 ÷ 평균 이자발생자산(2025Q3~2026Q2)) − 총차입금 0억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91억 × 7.53%(주석 이자수익 ÷ 평균 이자발생자산(2025Q3~2026Q2)) − 총차입금 0억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89억 × 7.53%(주석 이자수익 ÷ 평균 이자발생자산(2025Q3~2026Q2)) − 총차입금 0억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89억 × 7.53%(주석 이자수익 ÷ 평균 이자발생자산(2025Q3~2026Q2)) − 총차입금 0억 × 0.00%(없음) (연율) ÷ 4; 환율 효과는 환관련손익 행 별도</t>
      </text>
    </comment>
    <comment ref="AC26" authorId="0" shapeId="0">
      <text>
        <t>모델값 역산(implied): 모델 v 그대로
이자발생자산 93억 × 7.53%(주석 이자수익 ÷ 평균 이자발생자산(2025Q3~2026Q2)) − 총차입금 0억 × 0.00%(없음) (연율) ÷ 4</t>
      </text>
    </comment>
    <comment ref="AD26" authorId="0" shapeId="0">
      <text>
        <t>모델값 역산(implied): 모델 v 그대로
이자발생자산 93억 × 7.53%(주석 이자수익 ÷ 평균 이자발생자산(2025Q3~2026Q2)) − 총차입금 0억 × 0.00%(없음) (연율) ÷ 4</t>
      </text>
    </comment>
    <comment ref="AF26" authorId="0" shapeId="0">
      <text>
        <t>모델값 역산(implied): 모델 v 그대로
이자발생자산 93억 × 7.53%(주석 이자수익 ÷ 평균 이자발생자산(2025Q3~2026Q2)) − 총차입금 0억 × 0.00%(없음) (연율) ÷ 4</t>
      </text>
    </comment>
    <comment ref="AG26" authorId="0" shapeId="0">
      <text>
        <t>모델값 역산(implied): 모델 v 그대로
이자발생자산 93억 × 7.53%(주석 이자수익 ÷ 평균 이자발생자산(2025Q3~2026Q2)) − 총차입금 0억 × 0.00%(없음) (연율) ÷ 4</t>
      </text>
    </comment>
    <comment ref="AH26" authorId="0" shapeId="0">
      <text>
        <t>모델값 역산(implied): 모델 v 그대로
이자발생자산 92억 × 7.53%(주석 이자수익 ÷ 평균 이자발생자산(2025Q3~2026Q2)) − 총차입금 0억 × 0.00%(없음) (연율) ÷ 4</t>
      </text>
    </comment>
    <comment ref="AI26" authorId="0" shapeId="0">
      <text>
        <t>모델값 역산(implied): 모델 v 그대로
이자발생자산 92억 × 7.53%(주석 이자수익 ÷ 평균 이자발생자산(2025Q3~2026Q2)) − 총차입금 0억 × 0.00%(없음) (연율) ÷ 4</t>
      </text>
    </comment>
    <comment ref="AK26" authorId="0" shapeId="0">
      <text>
        <t>모델값 역산(implied): 모델 v 그대로
이자발생자산 91억 × 7.53%(주석 이자수익 ÷ 평균 이자발생자산(2025Q3~2026Q2)) − 총차입금 0억 × 0.00%(없음) (연율) ÷ 4</t>
      </text>
    </comment>
    <comment ref="AL26" authorId="0" shapeId="0">
      <text>
        <t>모델값 역산(implied): 모델 v 그대로
이자발생자산 91억 × 7.53%(주석 이자수익 ÷ 평균 이자발생자산(2025Q3~2026Q2)) − 총차입금 0억 × 0.00%(없음) (연율) ÷ 4</t>
      </text>
    </comment>
    <comment ref="AM26" authorId="0" shapeId="0">
      <text>
        <t>모델값 역산(implied): 모델 v 그대로
이자발생자산 89억 × 7.53%(주석 이자수익 ÷ 평균 이자발생자산(2025Q3~2026Q2)) − 총차입금 0억 × 0.00%(없음) (연율) ÷ 4</t>
      </text>
    </comment>
    <comment ref="AN26" authorId="0" shapeId="0">
      <text>
        <t>모델값 역산(implied): 모델 v 그대로
이자발생자산 89억 × 7.53%(주석 이자수익 ÷ 평균 이자발생자산(2025Q3~2026Q2)) − 총차입금 0억 × 0.00%(없음)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15.5%(최근 12분기 유효세율 15.5%(5~27% 안 — 그대로))</t>
      </text>
    </comment>
    <comment ref="AD29" authorId="0" shapeId="0">
      <text>
        <t>모델값 역산(implied): v / 세전이익
max(세전, 0) × 세율 15.5%(최근 12분기 유효세율 15.5%(5~27% 안 — 그대로))</t>
      </text>
    </comment>
    <comment ref="AF29" authorId="0" shapeId="0">
      <text>
        <t>모델값 역산(implied): v / 세전이익
max(세전, 0) × 세율 15.5%(최근 12분기 유효세율 15.5%(5~27% 안 — 그대로))</t>
      </text>
    </comment>
    <comment ref="AG29" authorId="0" shapeId="0">
      <text>
        <t>모델값 역산(implied): v / 세전이익
max(세전, 0) × 세율 15.5%(최근 12분기 유효세율 15.5%(5~27% 안 — 그대로))</t>
      </text>
    </comment>
    <comment ref="AH29" authorId="0" shapeId="0">
      <text>
        <t>모델값 역산(implied): v / 세전이익
max(세전, 0) × 세율 15.5%(최근 12분기 유효세율 15.5%(5~27% 안 — 그대로))</t>
      </text>
    </comment>
    <comment ref="AI29" authorId="0" shapeId="0">
      <text>
        <t>모델값 역산(implied): v / 세전이익
max(세전, 0) × 세율 15.5%(최근 12분기 유효세율 15.5%(5~27% 안 — 그대로))</t>
      </text>
    </comment>
    <comment ref="AK29" authorId="0" shapeId="0">
      <text>
        <t>모델값 역산(implied): v / 세전이익
max(세전, 0) × 세율 15.5%(최근 12분기 유효세율 15.5%(5~27% 안 — 그대로))</t>
      </text>
    </comment>
    <comment ref="AL29" authorId="0" shapeId="0">
      <text>
        <t>모델값 역산(implied): v / 세전이익
max(세전, 0) × 세율 15.5%(최근 12분기 유효세율 15.5%(5~27% 안 — 그대로))</t>
      </text>
    </comment>
    <comment ref="AM29" authorId="0" shapeId="0">
      <text>
        <t>모델값 역산(implied): v / 세전이익
max(세전, 0) × 세율 15.5%(최근 12분기 유효세율 15.5%(5~27% 안 — 그대로))</t>
      </text>
    </comment>
    <comment ref="AN29" authorId="0" shapeId="0">
      <text>
        <t>모델값 역산(implied): v / 세전이익
max(세전, 0) × 세율 15.5%(최근 12분기 유효세율 15.5%(5~27% 안 — 그대로))</t>
      </text>
    </comment>
    <comment ref="AC30" authorId="0" shapeId="0">
      <text>
        <t>모델값 역산(implied): v / 당기순이익
당기순이익 × (1 − 비지배 비중 1.1%, 최근 8분기 실측)</t>
      </text>
    </comment>
    <comment ref="AD30" authorId="0" shapeId="0">
      <text>
        <t>모델값 역산(implied): v / 당기순이익
당기순이익 × (1 − 비지배 비중 1.1%, 최근 8분기 실측)</t>
      </text>
    </comment>
    <comment ref="AF30" authorId="0" shapeId="0">
      <text>
        <t>모델값 역산(implied): v / 당기순이익
당기순이익 × (1 − 비지배 비중 1.1%, 최근 8분기 실측)</t>
      </text>
    </comment>
    <comment ref="AG30" authorId="0" shapeId="0">
      <text>
        <t>모델값 역산(implied): v / 당기순이익
당기순이익 × (1 − 비지배 비중 1.1%, 최근 8분기 실측)</t>
      </text>
    </comment>
    <comment ref="AH30" authorId="0" shapeId="0">
      <text>
        <t>모델값 역산(implied): v / 당기순이익
당기순이익 × (1 − 비지배 비중 1.1%, 최근 8분기 실측)</t>
      </text>
    </comment>
    <comment ref="AI30" authorId="0" shapeId="0">
      <text>
        <t>모델값 역산(implied): v / 당기순이익
당기순이익 × (1 − 비지배 비중 1.1%, 최근 8분기 실측)</t>
      </text>
    </comment>
    <comment ref="AK30" authorId="0" shapeId="0">
      <text>
        <t>모델값 역산(implied): v / 당기순이익
당기순이익 × (1 − 비지배 비중 1.1%, 최근 8분기 실측)</t>
      </text>
    </comment>
    <comment ref="AL30" authorId="0" shapeId="0">
      <text>
        <t>모델값 역산(implied): v / 당기순이익
당기순이익 × (1 − 비지배 비중 1.1%, 최근 8분기 실측)</t>
      </text>
    </comment>
    <comment ref="AM30" authorId="0" shapeId="0">
      <text>
        <t>모델값 역산(implied): v / 당기순이익
당기순이익 × (1 − 비지배 비중 1.1%, 최근 8분기 실측)</t>
      </text>
    </comment>
    <comment ref="AN30" authorId="0" shapeId="0">
      <text>
        <t>모델값 역산(implied): v / 당기순이익
당기순이익 × (1 − 비지배 비중 1.1%,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10원 유지</t>
      </text>
    </comment>
    <comment ref="AI39" authorId="0" shapeId="0">
      <text>
        <t>모델값 역산(implied): v / 전년동기 − 1
직전 결산 DPS 10원 유지</t>
      </text>
    </comment>
    <comment ref="AN39" authorId="0" shapeId="0">
      <text>
        <t>모델값 역산(implied): v / 전년동기 − 1
직전 결산 DPS 10원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253983억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263191억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272157억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283297억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298688억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316893억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336408억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355724억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372841억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-1.1% 유지
[yoy]</t>
      </text>
    </comment>
    <comment ref="AD10" authorId="0" shapeId="0">
      <text>
        <t>추정: 최근 8분기 OPM 중위 -1.1% 유지
[yoy]</t>
      </text>
    </comment>
    <comment ref="AF10" authorId="0" shapeId="0">
      <text>
        <t>추정: 최근 8분기 OPM 중위 -1.1% 유지
[yoy]</t>
      </text>
    </comment>
    <comment ref="AG10" authorId="0" shapeId="0">
      <text>
        <t>추정: 최근 8분기 OPM 중위 -1.1% 유지
[yoy]</t>
      </text>
    </comment>
    <comment ref="AH10" authorId="0" shapeId="0">
      <text>
        <t>추정: 최근 8분기 OPM 중위 -1.1% 유지
[yoy]</t>
      </text>
    </comment>
    <comment ref="AI10" authorId="0" shapeId="0">
      <text>
        <t>추정: 최근 8분기 OPM 중위 -1.1% 유지
[yoy]</t>
      </text>
    </comment>
    <comment ref="AK10" authorId="0" shapeId="0">
      <text>
        <t>추정: 최근 8분기 OPM 중위 -1.1% 유지
[yoy]</t>
      </text>
    </comment>
    <comment ref="AL10" authorId="0" shapeId="0">
      <text>
        <t>추정: 최근 8분기 OPM 중위 -1.1% 유지
[yoy]</t>
      </text>
    </comment>
    <comment ref="AM10" authorId="0" shapeId="0">
      <text>
        <t>추정: 최근 8분기 OPM 중위 -1.1% 유지
[yoy]</t>
      </text>
    </comment>
    <comment ref="AN10" authorId="0" shapeId="0">
      <text>
        <t>추정: 최근 8분기 OPM 중위 -1.1% 유지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93억 × 7.53%(주석 이자수익 ÷ 평균 이자발생자산(2025Q3~2026Q2)) − 총차입금 0억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93억 × 7.53%(주석 이자수익 ÷ 평균 이자발생자산(2025Q3~2026Q2)) − 총차입금 0억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93억 × 7.53%(주석 이자수익 ÷ 평균 이자발생자산(2025Q3~2026Q2)) − 총차입금 0억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93억 × 7.53%(주석 이자수익 ÷ 평균 이자발생자산(2025Q3~2026Q2)) − 총차입금 0억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92억 × 7.53%(주석 이자수익 ÷ 평균 이자발생자산(2025Q3~2026Q2)) − 총차입금 0억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92억 × 7.53%(주석 이자수익 ÷ 평균 이자발생자산(2025Q3~2026Q2)) − 총차입금 0억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91억 × 7.53%(주석 이자수익 ÷ 평균 이자발생자산(2025Q3~2026Q2)) − 총차입금 0억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91억 × 7.53%(주석 이자수익 ÷ 평균 이자발생자산(2025Q3~2026Q2)) − 총차입금 0억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7.53%(주석 이자수익 ÷ 평균 이자발생자산(2025Q3~2026Q2)) − 총차입금 0억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89억 × 7.53%(주석 이자수익 ÷ 평균 이자발생자산(2025Q3~2026Q2)) − 총차입금 0억 × 0.00%(없음) (연율) ÷ 4; 환율 효과는 환관련손익 행 별도
[abs]</t>
      </text>
    </comment>
    <comment ref="AC12" authorId="0" shapeId="0">
      <text>
        <t>추정: 이자발생자산 93억 × 7.53%(주석 이자수익 ÷ 평균 이자발생자산(2025Q3~2026Q2)) − 총차입금 0억 × 0.00%(없음) (연율) ÷ 4
[abs]</t>
      </text>
    </comment>
    <comment ref="AD12" authorId="0" shapeId="0">
      <text>
        <t>추정: 이자발생자산 93억 × 7.53%(주석 이자수익 ÷ 평균 이자발생자산(2025Q3~2026Q2)) − 총차입금 0억 × 0.00%(없음) (연율) ÷ 4
[abs]</t>
      </text>
    </comment>
    <comment ref="AF12" authorId="0" shapeId="0">
      <text>
        <t>추정: 이자발생자산 93억 × 7.53%(주석 이자수익 ÷ 평균 이자발생자산(2025Q3~2026Q2)) − 총차입금 0억 × 0.00%(없음) (연율) ÷ 4
[abs]</t>
      </text>
    </comment>
    <comment ref="AG12" authorId="0" shapeId="0">
      <text>
        <t>추정: 이자발생자산 93억 × 7.53%(주석 이자수익 ÷ 평균 이자발생자산(2025Q3~2026Q2)) − 총차입금 0억 × 0.00%(없음) (연율) ÷ 4
[abs]</t>
      </text>
    </comment>
    <comment ref="AH12" authorId="0" shapeId="0">
      <text>
        <t>추정: 이자발생자산 92억 × 7.53%(주석 이자수익 ÷ 평균 이자발생자산(2025Q3~2026Q2)) − 총차입금 0억 × 0.00%(없음) (연율) ÷ 4
[abs]</t>
      </text>
    </comment>
    <comment ref="AI12" authorId="0" shapeId="0">
      <text>
        <t>추정: 이자발생자산 92억 × 7.53%(주석 이자수익 ÷ 평균 이자발생자산(2025Q3~2026Q2)) − 총차입금 0억 × 0.00%(없음) (연율) ÷ 4
[abs]</t>
      </text>
    </comment>
    <comment ref="AK12" authorId="0" shapeId="0">
      <text>
        <t>추정: 이자발생자산 91억 × 7.53%(주석 이자수익 ÷ 평균 이자발생자산(2025Q3~2026Q2)) − 총차입금 0억 × 0.00%(없음) (연율) ÷ 4
[abs]</t>
      </text>
    </comment>
    <comment ref="AL12" authorId="0" shapeId="0">
      <text>
        <t>추정: 이자발생자산 91억 × 7.53%(주석 이자수익 ÷ 평균 이자발생자산(2025Q3~2026Q2)) − 총차입금 0억 × 0.00%(없음) (연율) ÷ 4
[abs]</t>
      </text>
    </comment>
    <comment ref="AM12" authorId="0" shapeId="0">
      <text>
        <t>추정: 이자발생자산 89억 × 7.53%(주석 이자수익 ÷ 평균 이자발생자산(2025Q3~2026Q2)) − 총차입금 0억 × 0.00%(없음) (연율) ÷ 4
[abs]</t>
      </text>
    </comment>
    <comment ref="AN12" authorId="0" shapeId="0">
      <text>
        <t>추정: 이자발생자산 89억 × 7.53%(주석 이자수익 ÷ 평균 이자발생자산(2025Q3~2026Q2)) − 총차입금 0억 × 0.00%(없음)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[ratio]</t>
      </text>
    </comment>
    <comment ref="AD16" authorId="0" shapeId="0">
      <text>
        <t>추정: max(세전, 0) × 세율 15.5%(최근 12분기 유효세율 15.5%(5~27% 안 — 그대로))
[ratio]</t>
      </text>
    </comment>
    <comment ref="AF16" authorId="0" shapeId="0">
      <text>
        <t>추정: max(세전, 0) × 세율 15.5%(최근 12분기 유효세율 15.5%(5~27% 안 — 그대로))
[ratio]</t>
      </text>
    </comment>
    <comment ref="AG16" authorId="0" shapeId="0">
      <text>
        <t>추정: max(세전, 0) × 세율 15.5%(최근 12분기 유효세율 15.5%(5~27% 안 — 그대로))
[ratio]</t>
      </text>
    </comment>
    <comment ref="AH16" authorId="0" shapeId="0">
      <text>
        <t>추정: max(세전, 0) × 세율 15.5%(최근 12분기 유효세율 15.5%(5~27% 안 — 그대로))
[ratio]</t>
      </text>
    </comment>
    <comment ref="AI16" authorId="0" shapeId="0">
      <text>
        <t>추정: max(세전, 0) × 세율 15.5%(최근 12분기 유효세율 15.5%(5~27% 안 — 그대로))
[ratio]</t>
      </text>
    </comment>
    <comment ref="AK16" authorId="0" shapeId="0">
      <text>
        <t>추정: max(세전, 0) × 세율 15.5%(최근 12분기 유효세율 15.5%(5~27% 안 — 그대로))
[ratio]</t>
      </text>
    </comment>
    <comment ref="AL16" authorId="0" shapeId="0">
      <text>
        <t>추정: max(세전, 0) × 세율 15.5%(최근 12분기 유효세율 15.5%(5~27% 안 — 그대로))
[ratio]</t>
      </text>
    </comment>
    <comment ref="AM16" authorId="0" shapeId="0">
      <text>
        <t>추정: max(세전, 0) × 세율 15.5%(최근 12분기 유효세율 15.5%(5~27% 안 — 그대로))
[ratio]</t>
      </text>
    </comment>
    <comment ref="AN16" authorId="0" shapeId="0">
      <text>
        <t>추정: max(세전, 0) × 세율 15.5%(최근 12분기 유효세율 15.5%(5~27% 안 — 그대로))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F24" authorId="0" shapeId="0">
      <text>
        <t>연간 실측(BS 시트에 2021.12A 없음 — 모델 a 값 직접)</t>
      </text>
    </comment>
    <comment ref="E26" authorId="0" shapeId="0">
      <text>
        <t>실측(계정 매핑 없음 — 모델값 직접) — fin.sep.cf.영업활동으로인한현금흐름 (연결 손익 없는 분기 → 별도 보충)</t>
      </text>
    </comment>
    <comment ref="G26" authorId="0" shapeId="0">
      <text>
        <t>실측(계정 매핑 없음 — 모델값 직접) — fin.sep.cf.영업활동으로인한현금흐름 (연결 손익 없는 분기 → 별도 보충)</t>
      </text>
    </comment>
    <comment ref="H26" authorId="0" shapeId="0">
      <text>
        <t>실측(계정 매핑 없음 — 모델값 직접) — fin.sep.cf.영업활동으로인한현금흐름 (연결 손익 없는 분기 → 별도 보충)</t>
      </text>
    </comment>
    <comment ref="I26" authorId="0" shapeId="0">
      <text>
        <t>실측(계정 매핑 없음 — 모델값 직접) — fin.sep.cf.영업활동으로인한현금흐름 (연결 손익 없는 분기 → 별도 보충)</t>
      </text>
    </comment>
    <comment ref="J26" authorId="0" shapeId="0">
      <text>
        <t>실측(계정 매핑 없음 — 모델값 직접) — fin.sep.cf.영업활동으로인한현금흐름 (연결 손익 없는 분기 → 별도 보충)</t>
      </text>
    </comment>
    <comment ref="L26" authorId="0" shapeId="0">
      <text>
        <t>실측(계정 매핑 없음 — 모델값 직접) — fin.sep.cf.영업활동으로인한현금흐름 (연결 손익 없는 분기 → 별도 보충)</t>
      </text>
    </comment>
    <comment ref="M26" authorId="0" shapeId="0">
      <text>
        <t>실측(계정 매핑 없음 — 모델값 직접) — fin.sep.cf.영업활동으로인한현금흐름 (연결 손익 없는 분기 → 별도 보충)</t>
      </text>
    </comment>
    <comment ref="N26" authorId="0" shapeId="0">
      <text>
        <t>실측(계정 매핑 없음 — 모델값 직접) — fin.sep.cf.영업활동으로인한현금흐름 (연결 손익 없는 분기 → 별도 보충)</t>
      </text>
    </comment>
    <comment ref="O26" authorId="0" shapeId="0">
      <text>
        <t>실측(계정 매핑 없음 — 모델값 직접) — fin.sep.cf.영업활동으로인한현금흐름 (연결 손익 없는 분기 → 별도 보충)</t>
      </text>
    </comment>
    <comment ref="Q26" authorId="0" shapeId="0">
      <text>
        <t>실측(계정 매핑 없음 — 모델값 직접) — fin.sep.cf.영업활동으로인한현금흐름 (연결 손익 없는 분기 → 별도 보충)</t>
      </text>
    </comment>
    <comment ref="R26" authorId="0" shapeId="0">
      <text>
        <t>실측(계정 매핑 없음 — 모델값 직접) — fin.sep.cf.영업활동으로인한현금흐름 (연결 손익 없는 분기 → 별도 보충)</t>
      </text>
    </comment>
    <comment ref="S26" authorId="0" shapeId="0">
      <text>
        <t>실측(계정 매핑 없음 — 모델값 직접) — fin.sep.cf.영업활동으로인한현금흐름 (연결 손익 없는 분기 → 별도 보충)</t>
      </text>
    </comment>
    <comment ref="T26" authorId="0" shapeId="0">
      <text>
        <t>실측(계정 매핑 없음 — 모델값 직접) — fin.sep.cf.영업활동으로인한현금흐름 (연결 손익 없는 분기 → 별도 보충)</t>
      </text>
    </comment>
    <comment ref="V26" authorId="0" shapeId="0">
      <text>
        <t>실측(계정 매핑 없음 — 모델값 직접) — fin.sep.cf.영업활동으로인한현금흐름 (연결 손익 없는 분기 → 별도 보충)</t>
      </text>
    </comment>
    <comment ref="W26" authorId="0" shapeId="0">
      <text>
        <t>실측(계정 매핑 없음 — 모델값 직접) — fin.sep.cf.영업활동으로인한현금흐름 (연결 손익 없는 분기 → 별도 보충)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10원 유지
[yoy]</t>
      </text>
    </comment>
    <comment ref="AI30" authorId="0" shapeId="0">
      <text>
        <t>추정: 직전 결산 DPS 10원 유지
[yoy]</t>
      </text>
    </comment>
    <comment ref="AN30" authorId="0" shapeId="0">
      <text>
        <t>추정: 직전 결산 DPS 10원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assets/models/100660.json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22">
      <c r="A22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0.273435</v>
      </c>
      <c r="AD21" s="24" t="n">
        <v>0.281066</v>
      </c>
      <c r="AE21" s="25" t="n"/>
      <c r="AF21" s="24" t="n">
        <v>0.5120710000000001</v>
      </c>
      <c r="AG21" s="24" t="n">
        <v>0.328172</v>
      </c>
      <c r="AH21" s="24" t="n">
        <v>0.181342</v>
      </c>
      <c r="AI21" s="24" t="n">
        <v>0.17602</v>
      </c>
      <c r="AJ21" s="25" t="n"/>
      <c r="AK21" s="24" t="n">
        <v>0.204024</v>
      </c>
      <c r="AL21" s="24" t="n">
        <v>0.236077</v>
      </c>
      <c r="AM21" s="24" t="n">
        <v>0.255627</v>
      </c>
      <c r="AN21" s="24" t="n">
        <v>0.24827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0.14717</v>
      </c>
      <c r="AD22" s="24" t="n">
        <v>0.14717</v>
      </c>
      <c r="AE22" s="25">
        <f>IFERROR(subQ!AE8/subQ!AE5,"")</f>
        <v/>
      </c>
      <c r="AF22" s="24" t="n">
        <v>0.147135</v>
      </c>
      <c r="AG22" s="24" t="n">
        <v>0.147171</v>
      </c>
      <c r="AH22" s="24" t="n">
        <v>0.147142</v>
      </c>
      <c r="AI22" s="24" t="n">
        <v>0.147144</v>
      </c>
      <c r="AJ22" s="25">
        <f>IFERROR(subQ!AJ8/subQ!AJ5,"")</f>
        <v/>
      </c>
      <c r="AK22" s="24" t="n">
        <v>0.14717</v>
      </c>
      <c r="AL22" s="24" t="n">
        <v>0.147155</v>
      </c>
      <c r="AM22" s="24" t="n">
        <v>0.147164</v>
      </c>
      <c r="AN22" s="24" t="n">
        <v>0.147131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-0.010548</v>
      </c>
      <c r="AD23" s="24" t="n">
        <v>-0.010569</v>
      </c>
      <c r="AE23" s="25">
        <f>IFERROR(subQ!AE9/subQ!AE5,"")</f>
        <v/>
      </c>
      <c r="AF23" s="24" t="n">
        <v>-0.010599</v>
      </c>
      <c r="AG23" s="24" t="n">
        <v>-0.010568</v>
      </c>
      <c r="AH23" s="24" t="n">
        <v>-0.010587</v>
      </c>
      <c r="AI23" s="24" t="n">
        <v>-0.010588</v>
      </c>
      <c r="AJ23" s="25">
        <f>IFERROR(subQ!AJ9/subQ!AJ5,"")</f>
        <v/>
      </c>
      <c r="AK23" s="24" t="n">
        <v>-0.010594</v>
      </c>
      <c r="AL23" s="24" t="n">
        <v>-0.010585</v>
      </c>
      <c r="AM23" s="24" t="n">
        <v>-0.01056</v>
      </c>
      <c r="AN23" s="24" t="n">
        <v>-0.010551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-1.861789</v>
      </c>
      <c r="AD24" s="24" t="n">
        <v>-1.469027</v>
      </c>
      <c r="AE24" s="25" t="n"/>
      <c r="AF24" s="24" t="n">
        <v>-0.682635</v>
      </c>
      <c r="AG24" s="24" t="n">
        <v>-1.148252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1.74</v>
      </c>
      <c r="AD25" s="29" t="n">
        <v>1.75</v>
      </c>
      <c r="AE25" s="30">
        <f>subQ!AE11</f>
        <v/>
      </c>
      <c r="AF25" s="29" t="n">
        <v>1.75</v>
      </c>
      <c r="AG25" s="29" t="n">
        <v>1.75</v>
      </c>
      <c r="AH25" s="29" t="n">
        <v>1.73</v>
      </c>
      <c r="AI25" s="29" t="n">
        <v>1.73</v>
      </c>
      <c r="AJ25" s="30">
        <f>subQ!AJ11</f>
        <v/>
      </c>
      <c r="AK25" s="29" t="n">
        <v>1.72</v>
      </c>
      <c r="AL25" s="29" t="n">
        <v>1.72</v>
      </c>
      <c r="AM25" s="29" t="n">
        <v>1.68</v>
      </c>
      <c r="AN25" s="29" t="n">
        <v>1.67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1.74</v>
      </c>
      <c r="AD26" s="29" t="n">
        <v>1.75</v>
      </c>
      <c r="AE26" s="30">
        <f>subQ!AE12</f>
        <v/>
      </c>
      <c r="AF26" s="29" t="n">
        <v>1.75</v>
      </c>
      <c r="AG26" s="29" t="n">
        <v>1.75</v>
      </c>
      <c r="AH26" s="29" t="n">
        <v>1.73</v>
      </c>
      <c r="AI26" s="29" t="n">
        <v>1.73</v>
      </c>
      <c r="AJ26" s="30">
        <f>subQ!AJ12</f>
        <v/>
      </c>
      <c r="AK26" s="29" t="n">
        <v>1.72</v>
      </c>
      <c r="AL26" s="29" t="n">
        <v>1.72</v>
      </c>
      <c r="AM26" s="29" t="n">
        <v>1.68</v>
      </c>
      <c r="AN26" s="29" t="n">
        <v>1.67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0.13</v>
      </c>
      <c r="AD28" s="29" t="n">
        <v>0.13</v>
      </c>
      <c r="AE28" s="30">
        <f>subQ!AE14</f>
        <v/>
      </c>
      <c r="AF28" s="29" t="n">
        <v>0.13</v>
      </c>
      <c r="AG28" s="29" t="n">
        <v>0.13</v>
      </c>
      <c r="AH28" s="29" t="n">
        <v>0.13</v>
      </c>
      <c r="AI28" s="29" t="n">
        <v>0.13</v>
      </c>
      <c r="AJ28" s="30">
        <f>subQ!AJ14</f>
        <v/>
      </c>
      <c r="AK28" s="29" t="n">
        <v>0.13</v>
      </c>
      <c r="AL28" s="29" t="n">
        <v>0.13</v>
      </c>
      <c r="AM28" s="29" t="n">
        <v>0.13</v>
      </c>
      <c r="AN28" s="29" t="n">
        <v>0.13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0.15</v>
      </c>
      <c r="AD29" s="24" t="n">
        <v>0.142857</v>
      </c>
      <c r="AE29" s="25">
        <f>IFERROR(subQ!AE16/subQ!AE15,"")</f>
        <v/>
      </c>
      <c r="AF29" s="24" t="n">
        <v>0.166667</v>
      </c>
      <c r="AG29" s="24" t="n">
        <v>-0</v>
      </c>
      <c r="AH29" s="24" t="n">
        <v>-0</v>
      </c>
      <c r="AI29" s="24" t="n">
        <v>-0</v>
      </c>
      <c r="AJ29" s="25">
        <f>IFERROR(subQ!AJ16/subQ!AJ15,"")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0.979592</v>
      </c>
      <c r="AM30" s="24" t="n">
        <v>0.985075</v>
      </c>
      <c r="AN30" s="24" t="n">
        <v>0.986667</v>
      </c>
      <c r="AO30" s="25">
        <f>IFERROR(subQ!AO18/subQ!AO17,"")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1.2e-05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-0.0005</v>
      </c>
      <c r="AD32" s="29" t="n">
        <v>0</v>
      </c>
      <c r="AE32" s="30" t="n"/>
      <c r="AF32" s="29" t="n">
        <v>0</v>
      </c>
      <c r="AG32" s="29" t="n">
        <v>1.26</v>
      </c>
      <c r="AH32" s="29" t="n">
        <v>0</v>
      </c>
      <c r="AI32" s="29" t="n">
        <v>-0</v>
      </c>
      <c r="AJ32" s="30" t="n"/>
      <c r="AK32" s="29" t="n">
        <v>0</v>
      </c>
      <c r="AL32" s="29" t="n">
        <v>1.26</v>
      </c>
      <c r="AM32" s="29" t="n">
        <v>-0.01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-0.0005</v>
      </c>
      <c r="AD33" s="29" t="n">
        <v>0</v>
      </c>
      <c r="AE33" s="30" t="n"/>
      <c r="AF33" s="29" t="n">
        <v>0.01</v>
      </c>
      <c r="AG33" s="29" t="n">
        <v>1.25</v>
      </c>
      <c r="AH33" s="29" t="n">
        <v>0</v>
      </c>
      <c r="AI33" s="29" t="n">
        <v>-0</v>
      </c>
      <c r="AJ33" s="30" t="n"/>
      <c r="AK33" s="29" t="n">
        <v>0</v>
      </c>
      <c r="AL33" s="29" t="n">
        <v>1.26</v>
      </c>
      <c r="AM33" s="29" t="n">
        <v>0</v>
      </c>
      <c r="AN33" s="29" t="n">
        <v>0</v>
      </c>
      <c r="AO33" s="30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0.001843</v>
      </c>
      <c r="AD34" s="24" t="n">
        <v>0.001293</v>
      </c>
      <c r="AE34" s="25" t="n"/>
      <c r="AF34" s="24" t="n">
        <v>0.001076</v>
      </c>
      <c r="AG34" s="24" t="n">
        <v>-0.013654</v>
      </c>
      <c r="AH34" s="24" t="n">
        <v>-0.001308</v>
      </c>
      <c r="AI34" s="24" t="n">
        <v>-0.002074</v>
      </c>
      <c r="AJ34" s="25" t="n"/>
      <c r="AK34" s="24" t="n">
        <v>-0.002953</v>
      </c>
      <c r="AL34" s="24" t="n">
        <v>-0.019197</v>
      </c>
      <c r="AM34" s="24" t="n">
        <v>-0.007382</v>
      </c>
      <c r="AN34" s="24" t="n">
        <v>-0.008451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-0.79005</v>
      </c>
      <c r="AD40" s="24" t="n">
        <v>-0.059077</v>
      </c>
      <c r="AE40" s="25" t="n"/>
      <c r="AF40" s="24" t="n">
        <v>0.10787</v>
      </c>
      <c r="AG40" s="24" t="n">
        <v>46.371543</v>
      </c>
      <c r="AH40" s="24" t="n">
        <v>207.530806</v>
      </c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-0.185714</v>
      </c>
      <c r="AD41" s="24" t="n">
        <v>-0.22973</v>
      </c>
      <c r="AE41" s="25" t="n"/>
      <c r="AF41" s="24" t="n">
        <v>-0.359551</v>
      </c>
      <c r="AG41" s="24" t="n">
        <v>-0.22973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-0.010548</v>
      </c>
      <c r="AD43" s="24" t="n">
        <v>-0.010569</v>
      </c>
      <c r="AE43" s="25">
        <f>IFERROR(subQ!AE34/subQ!AE33,"")</f>
        <v/>
      </c>
      <c r="AF43" s="24" t="n">
        <v>-0.010599</v>
      </c>
      <c r="AG43" s="24" t="n">
        <v>-0.010568</v>
      </c>
      <c r="AH43" s="24" t="n">
        <v>-0.010587</v>
      </c>
      <c r="AI43" s="24" t="n">
        <v>-0.010588</v>
      </c>
      <c r="AJ43" s="25">
        <f>IFERROR(subQ!AJ34/subQ!AJ33,"")</f>
        <v/>
      </c>
      <c r="AK43" s="24" t="n">
        <v>-0.010594</v>
      </c>
      <c r="AL43" s="24" t="n">
        <v>-0.010585</v>
      </c>
      <c r="AM43" s="24" t="n">
        <v>-0.01056</v>
      </c>
      <c r="AN43" s="24" t="n">
        <v>-0.010551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3080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45.5배가 3~40 밖(턴어라운드 왜곡))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0.155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0.1472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0.1058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4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4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4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4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4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4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4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4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4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4" t="n">
        <v>459.57</v>
      </c>
      <c r="AA14" s="18" t="n">
        <v>454.36</v>
      </c>
      <c r="AB14" s="19" t="n">
        <v>46.72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4" t="n">
        <v>459.57</v>
      </c>
      <c r="AA15" s="18" t="n">
        <v>454.36</v>
      </c>
      <c r="AB15" s="19" t="n">
        <v>46.72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4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4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4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4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4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4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4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4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4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4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4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4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F28" s="9" t="n"/>
      <c r="K28" s="9" t="n"/>
      <c r="P28" s="9" t="n"/>
      <c r="U28" s="9" t="n"/>
      <c r="X28" s="18" t="n">
        <v>834.91</v>
      </c>
      <c r="Y28" s="18" t="n">
        <v>1741.01</v>
      </c>
      <c r="Z28" s="34" t="n">
        <v>1741.01</v>
      </c>
      <c r="AA28" s="18" t="n">
        <v>1426.22</v>
      </c>
      <c r="AB28" s="19" t="n">
        <v>2393.15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F29" s="9" t="n"/>
      <c r="K29" s="9" t="n"/>
      <c r="P29" s="9" t="n"/>
      <c r="U29" s="9" t="n"/>
      <c r="X29" s="18" t="n">
        <v>756.79</v>
      </c>
      <c r="Y29" s="18" t="n">
        <v>880.1</v>
      </c>
      <c r="Z29" s="34" t="n">
        <v>880.1</v>
      </c>
      <c r="AA29" s="18" t="n">
        <v>858.8200000000001</v>
      </c>
      <c r="AB29" s="19" t="n">
        <v>811.41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X30" s="18" t="n">
        <v>756.79</v>
      </c>
      <c r="Y30" s="18" t="n">
        <v>880.1</v>
      </c>
      <c r="Z30" s="34" t="n">
        <v>880.1</v>
      </c>
      <c r="AA30" s="18" t="n">
        <v>858.8200000000001</v>
      </c>
      <c r="AB30" s="19" t="n">
        <v>1668.19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F31" s="9" t="n"/>
      <c r="K31" s="9" t="n"/>
      <c r="P31" s="9" t="n"/>
      <c r="U31" s="9" t="n"/>
      <c r="X31" s="18" t="n">
        <v>78.12</v>
      </c>
      <c r="Y31" s="18" t="n">
        <v>860.91</v>
      </c>
      <c r="Z31" s="34" t="n">
        <v>860.91</v>
      </c>
      <c r="AA31" s="18" t="n">
        <v>567.4</v>
      </c>
      <c r="AB31" s="19" t="n">
        <v>724.95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F32" s="9" t="n"/>
      <c r="K32" s="9" t="n"/>
      <c r="P32" s="9" t="n"/>
      <c r="U32" s="9" t="n"/>
      <c r="X32" s="18" t="n">
        <v>16199.47</v>
      </c>
      <c r="Y32" s="18" t="n">
        <v>14796.07</v>
      </c>
      <c r="Z32" s="34" t="n">
        <v>14796.07</v>
      </c>
      <c r="AA32" s="18" t="n">
        <v>13961.57</v>
      </c>
      <c r="AB32" s="19" t="n">
        <v>16735.8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지배주주지분</t>
        </is>
      </c>
      <c r="F33" s="9" t="n"/>
      <c r="K33" s="9" t="n"/>
      <c r="P33" s="9" t="n"/>
      <c r="U33" s="9" t="n"/>
      <c r="X33" s="18" t="n">
        <v>66137.48</v>
      </c>
      <c r="Y33" s="18" t="n">
        <v>66944.19</v>
      </c>
      <c r="Z33" s="34" t="n">
        <v>66944.19</v>
      </c>
      <c r="AA33" s="18" t="n">
        <v>67350.85000000001</v>
      </c>
      <c r="AB33" s="19" t="n">
        <v>68364.95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F34" s="9" t="n"/>
      <c r="K34" s="9" t="n"/>
      <c r="P34" s="9" t="n"/>
      <c r="U34" s="9" t="n"/>
      <c r="X34" s="18" t="n">
        <v>6300</v>
      </c>
      <c r="Y34" s="18" t="n">
        <v>6300</v>
      </c>
      <c r="Z34" s="34" t="n">
        <v>6300</v>
      </c>
      <c r="AA34" s="18" t="n">
        <v>6300</v>
      </c>
      <c r="AB34" s="19" t="n">
        <v>6300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F35" s="9" t="n"/>
      <c r="K35" s="9" t="n"/>
      <c r="P35" s="9" t="n"/>
      <c r="U35" s="9" t="n"/>
      <c r="X35" s="18" t="n">
        <v>10412.2</v>
      </c>
      <c r="Y35" s="18" t="n">
        <v>10412.2</v>
      </c>
      <c r="Z35" s="34" t="n">
        <v>10412.2</v>
      </c>
      <c r="AA35" s="18" t="n">
        <v>10412.2</v>
      </c>
      <c r="AB35" s="19" t="n">
        <v>10412.2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F36" s="9" t="n"/>
      <c r="K36" s="9" t="n"/>
      <c r="P36" s="9" t="n"/>
      <c r="U36" s="9" t="n"/>
      <c r="X36" s="18" t="n">
        <v>1.58</v>
      </c>
      <c r="Y36" s="18" t="n">
        <v>1.58</v>
      </c>
      <c r="Z36" s="34" t="n">
        <v>1.58</v>
      </c>
      <c r="AA36" s="18" t="n">
        <v>1.58</v>
      </c>
      <c r="AB36" s="19" t="n">
        <v>1.58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F37" s="9" t="n"/>
      <c r="K37" s="9" t="n"/>
      <c r="P37" s="9" t="n"/>
      <c r="U37" s="9" t="n"/>
      <c r="X37" s="18" t="n">
        <v>622.38</v>
      </c>
      <c r="Y37" s="18" t="n">
        <v>565.12</v>
      </c>
      <c r="Z37" s="34" t="n">
        <v>565.12</v>
      </c>
      <c r="AA37" s="18" t="n">
        <v>1065.22</v>
      </c>
      <c r="AB37" s="19" t="n">
        <v>972.8099999999999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F38" s="9" t="n"/>
      <c r="K38" s="9" t="n"/>
      <c r="P38" s="9" t="n"/>
      <c r="U38" s="9" t="n"/>
      <c r="X38" s="18" t="n">
        <v>48801.32</v>
      </c>
      <c r="Y38" s="18" t="n">
        <v>49665.29</v>
      </c>
      <c r="Z38" s="34" t="n">
        <v>49665.29</v>
      </c>
      <c r="AA38" s="18" t="n">
        <v>49571.85</v>
      </c>
      <c r="AB38" s="19" t="n">
        <v>50678.37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F39" s="9" t="n"/>
      <c r="K39" s="9" t="n"/>
      <c r="P39" s="9" t="n"/>
      <c r="U39" s="9" t="n"/>
      <c r="X39" s="18" t="n">
        <v>954.75</v>
      </c>
      <c r="Y39" s="18" t="n">
        <v>1039.36</v>
      </c>
      <c r="Z39" s="34" t="n">
        <v>1039.36</v>
      </c>
      <c r="AA39" s="18" t="n">
        <v>1070.56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X40" s="18" t="n">
        <v>67092.23</v>
      </c>
      <c r="Y40" s="18" t="n">
        <v>67983.55</v>
      </c>
      <c r="Z40" s="34" t="n">
        <v>67983.55</v>
      </c>
      <c r="AA40" s="18" t="n">
        <v>68421.41</v>
      </c>
      <c r="AB40" s="19" t="n">
        <v>68364.95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X41" s="18" t="n">
        <v>83291.7</v>
      </c>
      <c r="Y41" s="18" t="n">
        <v>82779.61</v>
      </c>
      <c r="Z41" s="34" t="n">
        <v>82779.61</v>
      </c>
      <c r="AA41" s="18" t="n">
        <v>82382.99000000001</v>
      </c>
      <c r="AB41" s="19" t="n">
        <v>85100.75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F42" s="9" t="n"/>
      <c r="K42" s="9" t="n"/>
      <c r="P42" s="9" t="n"/>
      <c r="U42" s="9" t="n"/>
      <c r="X42" s="18" t="n">
        <v>11481.88</v>
      </c>
      <c r="Y42" s="18" t="n">
        <v>9594.030000000001</v>
      </c>
      <c r="Z42" s="34" t="n">
        <v>9594.030000000001</v>
      </c>
      <c r="AA42" s="18" t="n">
        <v>7922.95</v>
      </c>
      <c r="AB42" s="19" t="n">
        <v>9261.93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F43" s="9" t="n"/>
      <c r="K43" s="9" t="n"/>
      <c r="P43" s="9" t="n"/>
      <c r="U43" s="9" t="n"/>
      <c r="Z43" s="9" t="n"/>
      <c r="AB43" s="19" t="n">
        <v>856.78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매출액(수익)</t>
        </is>
      </c>
      <c r="F44" s="9" t="n"/>
      <c r="K44" s="9" t="n"/>
      <c r="P44" s="9" t="n"/>
      <c r="U44" s="9" t="n"/>
      <c r="X44" s="18" t="n">
        <v>12432.52</v>
      </c>
      <c r="Y44" s="18" t="n">
        <v>12851.8</v>
      </c>
      <c r="Z44" s="9" t="n"/>
      <c r="AA44" s="18" t="n">
        <v>11043.79</v>
      </c>
      <c r="AB44" s="19" t="n">
        <v>13465.12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매출원가</t>
        </is>
      </c>
      <c r="F45" s="9" t="n"/>
      <c r="K45" s="9" t="n"/>
      <c r="P45" s="9" t="n"/>
      <c r="U45" s="9" t="n"/>
      <c r="X45" s="18" t="n">
        <v>10654.94</v>
      </c>
      <c r="Y45" s="18" t="n">
        <v>10681.92</v>
      </c>
      <c r="Z45" s="9" t="n"/>
      <c r="AA45" s="18" t="n">
        <v>9422.9</v>
      </c>
      <c r="AB45" s="19" t="n">
        <v>10508.31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매출총이익</t>
        </is>
      </c>
      <c r="F46" s="9" t="n"/>
      <c r="K46" s="9" t="n"/>
      <c r="P46" s="9" t="n"/>
      <c r="U46" s="9" t="n"/>
      <c r="X46" s="18" t="n">
        <v>1777.58</v>
      </c>
      <c r="Y46" s="18" t="n">
        <v>2169.88</v>
      </c>
      <c r="Z46" s="9" t="n"/>
      <c r="AA46" s="18" t="n">
        <v>1620.89</v>
      </c>
      <c r="AB46" s="19" t="n">
        <v>2956.81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판관비</t>
        </is>
      </c>
      <c r="F47" s="9" t="n"/>
      <c r="K47" s="9" t="n"/>
      <c r="P47" s="9" t="n"/>
      <c r="U47" s="9" t="n"/>
      <c r="X47" s="18" t="n">
        <v>1625.08</v>
      </c>
      <c r="Y47" s="18" t="n">
        <v>1879.59</v>
      </c>
      <c r="Z47" s="9" t="n"/>
      <c r="AA47" s="18" t="n">
        <v>1989.82</v>
      </c>
      <c r="AB47" s="19" t="n">
        <v>1993.5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영업이익</t>
        </is>
      </c>
      <c r="F48" s="9" t="n"/>
      <c r="K48" s="9" t="n"/>
      <c r="P48" s="9" t="n"/>
      <c r="U48" s="9" t="n"/>
      <c r="X48" s="18" t="n">
        <v>152.5</v>
      </c>
      <c r="Y48" s="18" t="n">
        <v>290.29</v>
      </c>
      <c r="Z48" s="9" t="n"/>
      <c r="AA48" s="18" t="n">
        <v>-368.93</v>
      </c>
      <c r="AB48" s="19" t="n">
        <v>963.3099999999999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기타영업외수익</t>
        </is>
      </c>
      <c r="F49" s="9" t="n"/>
      <c r="K49" s="9" t="n"/>
      <c r="P49" s="9" t="n"/>
      <c r="U49" s="9" t="n"/>
      <c r="X49" s="18" t="n">
        <v>1589.84</v>
      </c>
      <c r="Y49" s="18" t="n">
        <v>233.53</v>
      </c>
      <c r="Z49" s="9" t="n"/>
      <c r="AA49" s="18" t="n">
        <v>363.48</v>
      </c>
      <c r="AB49" s="19" t="n">
        <v>219.5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기타영업외비용</t>
        </is>
      </c>
      <c r="F50" s="9" t="n"/>
      <c r="K50" s="9" t="n"/>
      <c r="P50" s="9" t="n"/>
      <c r="U50" s="9" t="n"/>
      <c r="X50" s="18" t="n">
        <v>863.03</v>
      </c>
      <c r="Y50" s="18" t="n">
        <v>63.93</v>
      </c>
      <c r="Z50" s="9" t="n"/>
      <c r="AA50" s="18" t="n">
        <v>167.65</v>
      </c>
      <c r="AB50" s="19" t="n">
        <v>47.53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종속기업,공동지배기업및관계기업관련손익</t>
        </is>
      </c>
      <c r="F51" s="9" t="n"/>
      <c r="K51" s="9" t="n"/>
      <c r="P51" s="9" t="n"/>
      <c r="U51" s="9" t="n"/>
      <c r="X51" s="18" t="n">
        <v>11.19</v>
      </c>
      <c r="Y51" s="18" t="n">
        <v>23.76</v>
      </c>
      <c r="Z51" s="9" t="n"/>
      <c r="AA51" s="18" t="n">
        <v>0</v>
      </c>
      <c r="AB51" s="19" t="n">
        <v>15.26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지분법관련손익</t>
        </is>
      </c>
      <c r="F52" s="9" t="n"/>
      <c r="K52" s="9" t="n"/>
      <c r="P52" s="9" t="n"/>
      <c r="U52" s="9" t="n"/>
      <c r="X52" s="18" t="n">
        <v>11.19</v>
      </c>
      <c r="Y52" s="18" t="n">
        <v>23.76</v>
      </c>
      <c r="Z52" s="9" t="n"/>
      <c r="AA52" s="18" t="n">
        <v>0</v>
      </c>
      <c r="AB52" s="19" t="n">
        <v>15.26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X53" s="18" t="n">
        <v>181.17</v>
      </c>
      <c r="Y53" s="18" t="n">
        <v>180.75</v>
      </c>
      <c r="Z53" s="9" t="n"/>
      <c r="AA53" s="18" t="n">
        <v>176.74</v>
      </c>
      <c r="AB53" s="19" t="n">
        <v>184.39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X54" s="18" t="n">
        <v>21.91</v>
      </c>
      <c r="Y54" s="18" t="n">
        <v>-1.36</v>
      </c>
      <c r="Z54" s="9" t="n"/>
      <c r="AA54" s="18" t="n">
        <v>13.92</v>
      </c>
      <c r="AB54" s="19" t="n">
        <v>16.28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F55" s="9" t="n"/>
      <c r="K55" s="9" t="n"/>
      <c r="P55" s="9" t="n"/>
      <c r="U55" s="9" t="n"/>
      <c r="X55" s="18" t="n">
        <v>1049.76</v>
      </c>
      <c r="Y55" s="18" t="n">
        <v>649.33</v>
      </c>
      <c r="Z55" s="9" t="n"/>
      <c r="AA55" s="18" t="n">
        <v>-36.82</v>
      </c>
      <c r="AB55" s="19" t="n">
        <v>1318.65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F56" s="9" t="n"/>
      <c r="K56" s="9" t="n"/>
      <c r="P56" s="9" t="n"/>
      <c r="U56" s="9" t="n"/>
      <c r="X56" s="18" t="n">
        <v>676.29</v>
      </c>
      <c r="Y56" s="18" t="n">
        <v>-286.38</v>
      </c>
      <c r="Z56" s="9" t="n"/>
      <c r="AA56" s="18" t="n">
        <v>-56.68</v>
      </c>
      <c r="AB56" s="19" t="n">
        <v>369.14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F57" s="9" t="n"/>
      <c r="K57" s="9" t="n"/>
      <c r="P57" s="9" t="n"/>
      <c r="U57" s="9" t="n"/>
      <c r="X57" s="18" t="n">
        <v>373.47</v>
      </c>
      <c r="Y57" s="18" t="n">
        <v>935.7</v>
      </c>
      <c r="Z57" s="9" t="n"/>
      <c r="AA57" s="18" t="n">
        <v>19.86</v>
      </c>
      <c r="AB57" s="19" t="n">
        <v>949.51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(지배주주지분)당기순이익</t>
        </is>
      </c>
      <c r="F58" s="9" t="n"/>
      <c r="K58" s="9" t="n"/>
      <c r="P58" s="9" t="n"/>
      <c r="U58" s="9" t="n"/>
      <c r="X58" s="18" t="n">
        <v>431.48</v>
      </c>
      <c r="Y58" s="18" t="n">
        <v>863.97</v>
      </c>
      <c r="Z58" s="9" t="n"/>
      <c r="AA58" s="18" t="n">
        <v>32.56</v>
      </c>
      <c r="AB58" s="19" t="n">
        <v>925.8099999999999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(비지배주주지분)당기순이익</t>
        </is>
      </c>
      <c r="F59" s="9" t="n"/>
      <c r="K59" s="9" t="n"/>
      <c r="P59" s="9" t="n"/>
      <c r="U59" s="9" t="n"/>
      <c r="X59" s="18" t="n">
        <v>-58.01</v>
      </c>
      <c r="Y59" s="18" t="n">
        <v>71.73</v>
      </c>
      <c r="Z59" s="9" t="n"/>
      <c r="AA59" s="18" t="n">
        <v>-12.7</v>
      </c>
      <c r="AB59" s="19" t="n">
        <v>23.7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X60" s="18" t="n">
        <v>477.66</v>
      </c>
      <c r="Y60" s="18" t="n">
        <v>891.3200000000001</v>
      </c>
      <c r="Z60" s="9" t="n"/>
      <c r="AA60" s="18" t="n">
        <v>563.86</v>
      </c>
      <c r="AB60" s="19" t="n">
        <v>800.3200000000001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F61" s="9" t="n"/>
      <c r="K61" s="9" t="n"/>
      <c r="P61" s="9" t="n"/>
      <c r="U61" s="9" t="n"/>
      <c r="X61" s="18" t="n">
        <v>159.26</v>
      </c>
      <c r="Y61" s="18" t="n">
        <v>182.11</v>
      </c>
      <c r="Z61" s="9" t="n"/>
      <c r="AA61" s="18" t="n">
        <v>162.82</v>
      </c>
      <c r="AB61" s="19" t="n">
        <v>168.11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F62" s="9" t="n"/>
      <c r="K62" s="9" t="n"/>
      <c r="P62" s="9" t="n"/>
      <c r="U62" s="9" t="n"/>
      <c r="X62" s="18" t="n">
        <v>726.8099999999999</v>
      </c>
      <c r="Y62" s="18" t="n">
        <v>169.6</v>
      </c>
      <c r="Z62" s="9" t="n"/>
      <c r="AA62" s="18" t="n">
        <v>195.83</v>
      </c>
      <c r="AB62" s="19" t="n">
        <v>171.97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F63" s="9" t="n"/>
      <c r="K63" s="9" t="n"/>
      <c r="P63" s="9" t="n"/>
      <c r="U63" s="9" t="n"/>
      <c r="X63" s="18" t="n">
        <v>373.47</v>
      </c>
      <c r="Y63" s="18" t="n">
        <v>935.7</v>
      </c>
      <c r="Z63" s="9" t="n"/>
      <c r="AA63" s="18" t="n">
        <v>19.86</v>
      </c>
      <c r="AB63" s="19" t="n">
        <v>949.51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이자수익</t>
        </is>
      </c>
      <c r="F64" s="9" t="n"/>
      <c r="K64" s="9" t="n"/>
      <c r="P64" s="9" t="n"/>
      <c r="U64" s="9" t="n"/>
      <c r="X64" s="18" t="n">
        <v>181.17</v>
      </c>
      <c r="Y64" s="18" t="n">
        <v>180.74</v>
      </c>
      <c r="Z64" s="9" t="n"/>
      <c r="AA64" s="18" t="n">
        <v>176.74</v>
      </c>
      <c r="AB64" s="19" t="n">
        <v>181.75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배당금수익</t>
        </is>
      </c>
      <c r="F65" s="9" t="n"/>
      <c r="K65" s="9" t="n"/>
      <c r="P65" s="9" t="n"/>
      <c r="U65" s="9" t="n"/>
      <c r="X65" s="18" t="n">
        <v>0</v>
      </c>
      <c r="Y65" s="18" t="n">
        <v>0</v>
      </c>
      <c r="Z65" s="9" t="n"/>
      <c r="AB65" s="19" t="n">
        <v>2.64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13.92</v>
      </c>
      <c r="AB66" s="19" t="n">
        <v>16.28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Z67" s="9" t="n"/>
      <c r="AA67" s="18" t="n">
        <v>162.82</v>
      </c>
      <c r="AB67" s="19" t="n">
        <v>165.47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F68" s="9" t="n"/>
      <c r="K68" s="9" t="n"/>
      <c r="P68" s="9" t="n"/>
      <c r="U68" s="9" t="n"/>
      <c r="X68" s="18" t="n">
        <v>-727.64</v>
      </c>
      <c r="Y68" s="18" t="n">
        <v>1040.26</v>
      </c>
      <c r="Z68" s="9" t="n"/>
      <c r="AA68" s="18" t="n">
        <v>-1437.28</v>
      </c>
      <c r="AB68" s="19" t="n">
        <v>2020.03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F69" s="9" t="n"/>
      <c r="K69" s="9" t="n"/>
      <c r="P69" s="9" t="n"/>
      <c r="U69" s="9" t="n"/>
      <c r="X69" s="18" t="n">
        <v>0</v>
      </c>
      <c r="Y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X70" s="18" t="n">
        <v>480.96</v>
      </c>
      <c r="Y70" s="18" t="n">
        <v>374.48</v>
      </c>
      <c r="Z70" s="9" t="n"/>
      <c r="AA70" s="18" t="n">
        <v>16.5</v>
      </c>
      <c r="AB70" s="19" t="n">
        <v>5.06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X71" s="18" t="n">
        <v>-74.06999999999999</v>
      </c>
      <c r="Y71" s="18" t="n">
        <v>-57.52</v>
      </c>
      <c r="Z71" s="9" t="n"/>
      <c r="AA71" s="18" t="n">
        <v>-2.34</v>
      </c>
      <c r="AB71" s="19" t="n">
        <v>124.79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X72" s="18" t="n">
        <v>2475.23</v>
      </c>
      <c r="Y72" s="18" t="n">
        <v>-2689.01</v>
      </c>
      <c r="Z72" s="9" t="n"/>
      <c r="AA72" s="18" t="n">
        <v>-436.09</v>
      </c>
      <c r="AB72" s="19" t="n">
        <v>-169.27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F73" s="9" t="n"/>
      <c r="K73" s="9" t="n"/>
      <c r="P73" s="9" t="n"/>
      <c r="U73" s="9" t="n"/>
      <c r="X73" s="18" t="n">
        <v>184.07</v>
      </c>
      <c r="Y73" s="18" t="n">
        <v>648.04</v>
      </c>
      <c r="Z73" s="9" t="n"/>
      <c r="AA73" s="18" t="n">
        <v>3.12</v>
      </c>
      <c r="AB73" s="19" t="n">
        <v>171.77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F74" s="9" t="n"/>
      <c r="K74" s="9" t="n"/>
      <c r="P74" s="9" t="n"/>
      <c r="U74" s="9" t="n"/>
      <c r="X74" s="18" t="n">
        <v>184.07</v>
      </c>
      <c r="Y74" s="18" t="n">
        <v>648.04</v>
      </c>
      <c r="Z74" s="9" t="n"/>
      <c r="AA74" s="18" t="n">
        <v>3.12</v>
      </c>
      <c r="AB74" s="19" t="n">
        <v>171.77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F75" s="9" t="n"/>
      <c r="K75" s="9" t="n"/>
      <c r="P75" s="9" t="n"/>
      <c r="U75" s="9" t="n"/>
      <c r="X75" s="18" t="n">
        <v>29.18</v>
      </c>
      <c r="Y75" s="18" t="n">
        <v>-0.73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X76" s="18" t="n">
        <v>3696.77</v>
      </c>
      <c r="Y76" s="18" t="n">
        <v>-69.94</v>
      </c>
      <c r="Z76" s="9" t="n"/>
      <c r="AA76" s="18" t="n">
        <v>-73.39</v>
      </c>
      <c r="AB76" s="19" t="n">
        <v>-197.13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F77" s="9" t="n"/>
      <c r="K77" s="9" t="n"/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F78" s="9" t="n"/>
      <c r="K78" s="9" t="n"/>
      <c r="P78" s="9" t="n"/>
      <c r="U78" s="9" t="n"/>
      <c r="X78" s="18" t="n">
        <v>11189.86</v>
      </c>
      <c r="Y78" s="18" t="n">
        <v>-3506.41</v>
      </c>
      <c r="Z78" s="9" t="n"/>
      <c r="AA78" s="18" t="n">
        <v>-3612.63</v>
      </c>
      <c r="AB78" s="19" t="n">
        <v>3400.25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X79" s="18" t="n">
        <v>5745.5</v>
      </c>
      <c r="Y79" s="18" t="n">
        <v>-1787.71</v>
      </c>
      <c r="Z79" s="9" t="n"/>
      <c r="AA79" s="18" t="n">
        <v>7468.59</v>
      </c>
      <c r="AB79" s="19" t="n">
        <v>1746.62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P80" s="9" t="n"/>
      <c r="U80" s="9" t="n"/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4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4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4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4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4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4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4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4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4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4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4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4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4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4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4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4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4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4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4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4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4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4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4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4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4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4" t="n">
        <v>0</v>
      </c>
      <c r="J10" s="18" t="n">
        <v>0</v>
      </c>
      <c r="K10" s="34" t="n">
        <v>0</v>
      </c>
      <c r="O10" s="18" t="n">
        <v>20.78</v>
      </c>
      <c r="P10" s="34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4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4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4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4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4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4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4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4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4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4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4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4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4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4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4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4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4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4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4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4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4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4" t="n">
        <v>269.82</v>
      </c>
      <c r="AA14" s="18" t="n">
        <v>269.82</v>
      </c>
      <c r="AB14" s="19" t="n">
        <v>39.82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4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4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4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4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4" t="n">
        <v>8973.889999999999</v>
      </c>
      <c r="AA15" s="18" t="n">
        <v>9023.889999999999</v>
      </c>
      <c r="AB15" s="19" t="n">
        <v>39.82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4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4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4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4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4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4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4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4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4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4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4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4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4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4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4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4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4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4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4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4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4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4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4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4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4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4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4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4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4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4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4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4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4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4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4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4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4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4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4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4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4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4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4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4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4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4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4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4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4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4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4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4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4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4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4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4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4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4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4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4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4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4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4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4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4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4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4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4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4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4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4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4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4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4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4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4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4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4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4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4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4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4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4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4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4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4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4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4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4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4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4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4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4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4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4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4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4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4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4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4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4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4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4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4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4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4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4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4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4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4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4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4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4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4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4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4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4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4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4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4" t="n">
        <v>4446.92</v>
      </c>
      <c r="AA39" s="18" t="n">
        <v>2050.31</v>
      </c>
      <c r="AB39" s="19" t="n">
        <v>3295.6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4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4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4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4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매출액(수익)</t>
        </is>
      </c>
      <c r="E42" s="18" t="n">
        <v>12430.92</v>
      </c>
      <c r="F42" s="9" t="n"/>
      <c r="G42" s="18" t="n">
        <v>11967.27</v>
      </c>
      <c r="H42" s="18" t="n">
        <v>11946.73</v>
      </c>
      <c r="I42" s="18" t="n">
        <v>14222.41</v>
      </c>
      <c r="J42" s="18" t="n">
        <v>12281.8</v>
      </c>
      <c r="K42" s="34" t="n">
        <v>50418.21</v>
      </c>
      <c r="L42" s="18" t="n">
        <v>12608.78</v>
      </c>
      <c r="M42" s="18" t="n">
        <v>11502.89</v>
      </c>
      <c r="N42" s="18" t="n">
        <v>10707.58</v>
      </c>
      <c r="O42" s="18" t="n">
        <v>11017.73</v>
      </c>
      <c r="P42" s="34" t="n">
        <v>45836.98</v>
      </c>
      <c r="Q42" s="18" t="n">
        <v>10454.85</v>
      </c>
      <c r="R42" s="18" t="n">
        <v>11069.22</v>
      </c>
      <c r="S42" s="18" t="n">
        <v>11049.55</v>
      </c>
      <c r="T42" s="18" t="n">
        <v>9797.4</v>
      </c>
      <c r="U42" s="34" t="n">
        <v>42371.02</v>
      </c>
      <c r="V42" s="18" t="n">
        <v>9777</v>
      </c>
      <c r="W42" s="18" t="n">
        <v>11439.92</v>
      </c>
      <c r="X42" s="18" t="n">
        <v>10939.65</v>
      </c>
      <c r="Y42" s="18" t="n">
        <v>9985.5</v>
      </c>
      <c r="Z42" s="34" t="n">
        <v>42142.07</v>
      </c>
      <c r="AA42" s="18" t="n">
        <v>9229.629999999999</v>
      </c>
      <c r="AB42" s="19" t="n">
        <v>11199.82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매출원가</t>
        </is>
      </c>
      <c r="E43" s="18" t="n">
        <v>11728.55</v>
      </c>
      <c r="F43" s="9" t="n"/>
      <c r="G43" s="18" t="n">
        <v>9952.559999999999</v>
      </c>
      <c r="H43" s="18" t="n">
        <v>9906.57</v>
      </c>
      <c r="I43" s="18" t="n">
        <v>12159.48</v>
      </c>
      <c r="J43" s="18" t="n">
        <v>10645.75</v>
      </c>
      <c r="K43" s="34" t="n">
        <v>42664.36</v>
      </c>
      <c r="L43" s="18" t="n">
        <v>10736.97</v>
      </c>
      <c r="M43" s="18" t="n">
        <v>9083.27</v>
      </c>
      <c r="N43" s="18" t="n">
        <v>9570.870000000001</v>
      </c>
      <c r="O43" s="18" t="n">
        <v>9321.4</v>
      </c>
      <c r="P43" s="34" t="n">
        <v>38712.51</v>
      </c>
      <c r="Q43" s="18" t="n">
        <v>9400.049999999999</v>
      </c>
      <c r="R43" s="18" t="n">
        <v>9339.08</v>
      </c>
      <c r="S43" s="18" t="n">
        <v>10043.26</v>
      </c>
      <c r="T43" s="18" t="n">
        <v>8775.780000000001</v>
      </c>
      <c r="U43" s="34" t="n">
        <v>37558.17</v>
      </c>
      <c r="V43" s="18" t="n">
        <v>9076.030000000001</v>
      </c>
      <c r="W43" s="18" t="n">
        <v>9689.469999999999</v>
      </c>
      <c r="X43" s="18" t="n">
        <v>9550.32</v>
      </c>
      <c r="Y43" s="18" t="n">
        <v>8951.98</v>
      </c>
      <c r="Z43" s="34" t="n">
        <v>37267.8</v>
      </c>
      <c r="AA43" s="18" t="n">
        <v>7973.68</v>
      </c>
      <c r="AB43" s="19" t="n">
        <v>9352.09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매출총이익</t>
        </is>
      </c>
      <c r="E44" s="18" t="n">
        <v>702.37</v>
      </c>
      <c r="F44" s="9" t="n"/>
      <c r="G44" s="18" t="n">
        <v>2014.71</v>
      </c>
      <c r="H44" s="18" t="n">
        <v>2040.15</v>
      </c>
      <c r="I44" s="18" t="n">
        <v>2062.93</v>
      </c>
      <c r="J44" s="18" t="n">
        <v>1636.04</v>
      </c>
      <c r="K44" s="34" t="n">
        <v>7753.83</v>
      </c>
      <c r="L44" s="18" t="n">
        <v>1871.81</v>
      </c>
      <c r="M44" s="18" t="n">
        <v>2419.62</v>
      </c>
      <c r="N44" s="18" t="n">
        <v>1136.71</v>
      </c>
      <c r="O44" s="18" t="n">
        <v>1696.33</v>
      </c>
      <c r="P44" s="34" t="n">
        <v>7124.47</v>
      </c>
      <c r="Q44" s="18" t="n">
        <v>1054.8</v>
      </c>
      <c r="R44" s="18" t="n">
        <v>1730.14</v>
      </c>
      <c r="S44" s="18" t="n">
        <v>1006.29</v>
      </c>
      <c r="T44" s="18" t="n">
        <v>1021.62</v>
      </c>
      <c r="U44" s="34" t="n">
        <v>4812.85</v>
      </c>
      <c r="V44" s="18" t="n">
        <v>700.97</v>
      </c>
      <c r="W44" s="18" t="n">
        <v>1750.45</v>
      </c>
      <c r="X44" s="18" t="n">
        <v>1389.33</v>
      </c>
      <c r="Y44" s="18" t="n">
        <v>1033.52</v>
      </c>
      <c r="Z44" s="34" t="n">
        <v>4874.27</v>
      </c>
      <c r="AA44" s="18" t="n">
        <v>1255.95</v>
      </c>
      <c r="AB44" s="19" t="n">
        <v>1847.73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판관비</t>
        </is>
      </c>
      <c r="E45" s="18" t="n">
        <v>1451.48</v>
      </c>
      <c r="F45" s="9" t="n"/>
      <c r="G45" s="18" t="n">
        <v>1465.3</v>
      </c>
      <c r="H45" s="18" t="n">
        <v>1575.96</v>
      </c>
      <c r="I45" s="18" t="n">
        <v>1541.82</v>
      </c>
      <c r="J45" s="18" t="n">
        <v>1559.89</v>
      </c>
      <c r="K45" s="34" t="n">
        <v>6142.97</v>
      </c>
      <c r="L45" s="18" t="n">
        <v>1687.95</v>
      </c>
      <c r="M45" s="18" t="n">
        <v>1600.04</v>
      </c>
      <c r="N45" s="18" t="n">
        <v>1660.47</v>
      </c>
      <c r="O45" s="18" t="n">
        <v>1562.4</v>
      </c>
      <c r="P45" s="34" t="n">
        <v>6510.86</v>
      </c>
      <c r="Q45" s="18" t="n">
        <v>1771.18</v>
      </c>
      <c r="R45" s="18" t="n">
        <v>1477.11</v>
      </c>
      <c r="S45" s="18" t="n">
        <v>1419.91</v>
      </c>
      <c r="T45" s="18" t="n">
        <v>1438.63</v>
      </c>
      <c r="U45" s="34" t="n">
        <v>6106.83</v>
      </c>
      <c r="V45" s="18" t="n">
        <v>1467.04</v>
      </c>
      <c r="W45" s="18" t="n">
        <v>1382.91</v>
      </c>
      <c r="X45" s="18" t="n">
        <v>1299.38</v>
      </c>
      <c r="Y45" s="18" t="n">
        <v>1446.78</v>
      </c>
      <c r="Z45" s="34" t="n">
        <v>5596.11</v>
      </c>
      <c r="AA45" s="18" t="n">
        <v>1509.18</v>
      </c>
      <c r="AB45" s="19" t="n">
        <v>1492.17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영업이익</t>
        </is>
      </c>
      <c r="E46" s="18" t="n">
        <v>-749.11</v>
      </c>
      <c r="F46" s="9" t="n"/>
      <c r="G46" s="18" t="n">
        <v>549.4</v>
      </c>
      <c r="H46" s="18" t="n">
        <v>464.2</v>
      </c>
      <c r="I46" s="18" t="n">
        <v>521.12</v>
      </c>
      <c r="J46" s="18" t="n">
        <v>76.15000000000001</v>
      </c>
      <c r="K46" s="34" t="n">
        <v>1610.87</v>
      </c>
      <c r="L46" s="18" t="n">
        <v>183.86</v>
      </c>
      <c r="M46" s="18" t="n">
        <v>819.58</v>
      </c>
      <c r="N46" s="18" t="n">
        <v>-523.76</v>
      </c>
      <c r="O46" s="18" t="n">
        <v>133.93</v>
      </c>
      <c r="P46" s="34" t="n">
        <v>613.61</v>
      </c>
      <c r="Q46" s="18" t="n">
        <v>-716.39</v>
      </c>
      <c r="R46" s="18" t="n">
        <v>253.03</v>
      </c>
      <c r="S46" s="18" t="n">
        <v>-413.62</v>
      </c>
      <c r="T46" s="18" t="n">
        <v>-417.01</v>
      </c>
      <c r="U46" s="34" t="n">
        <v>-1293.99</v>
      </c>
      <c r="V46" s="18" t="n">
        <v>-766.0700000000001</v>
      </c>
      <c r="W46" s="18" t="n">
        <v>367.54</v>
      </c>
      <c r="X46" s="18" t="n">
        <v>89.94</v>
      </c>
      <c r="Y46" s="18" t="n">
        <v>-413.26</v>
      </c>
      <c r="Z46" s="34" t="n">
        <v>-721.85</v>
      </c>
      <c r="AA46" s="18" t="n">
        <v>-253.23</v>
      </c>
      <c r="AB46" s="19" t="n">
        <v>355.56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기타영업외수익</t>
        </is>
      </c>
      <c r="E47" s="18" t="n">
        <v>75.48</v>
      </c>
      <c r="F47" s="9" t="n"/>
      <c r="G47" s="18" t="n">
        <v>234.27</v>
      </c>
      <c r="H47" s="18" t="n">
        <v>147.98</v>
      </c>
      <c r="I47" s="18" t="n">
        <v>421.6</v>
      </c>
      <c r="J47" s="18" t="n">
        <v>97.86</v>
      </c>
      <c r="K47" s="34" t="n">
        <v>901.71</v>
      </c>
      <c r="L47" s="18" t="n">
        <v>271.61</v>
      </c>
      <c r="M47" s="18" t="n">
        <v>94.63</v>
      </c>
      <c r="N47" s="18" t="n">
        <v>152.4</v>
      </c>
      <c r="O47" s="18" t="n">
        <v>27.23</v>
      </c>
      <c r="P47" s="34" t="n">
        <v>545.87</v>
      </c>
      <c r="Q47" s="18" t="n">
        <v>182.39</v>
      </c>
      <c r="R47" s="18" t="n">
        <v>193.35</v>
      </c>
      <c r="S47" s="18" t="n">
        <v>99.18000000000001</v>
      </c>
      <c r="T47" s="18" t="n">
        <v>286.76</v>
      </c>
      <c r="U47" s="34" t="n">
        <v>761.6799999999999</v>
      </c>
      <c r="V47" s="18" t="n">
        <v>146.83</v>
      </c>
      <c r="W47" s="18" t="n">
        <v>-18.31</v>
      </c>
      <c r="X47" s="18" t="n">
        <v>112.48</v>
      </c>
      <c r="Y47" s="18" t="n">
        <v>204.27</v>
      </c>
      <c r="Z47" s="34" t="n">
        <v>445.27</v>
      </c>
      <c r="AA47" s="18" t="n">
        <v>360.75</v>
      </c>
      <c r="AB47" s="19" t="n">
        <v>185.12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기타영업외비용</t>
        </is>
      </c>
      <c r="E48" s="18" t="n">
        <v>51.42</v>
      </c>
      <c r="F48" s="9" t="n"/>
      <c r="G48" s="18" t="n">
        <v>32.13</v>
      </c>
      <c r="H48" s="18" t="n">
        <v>34.67</v>
      </c>
      <c r="I48" s="18" t="n">
        <v>-29.86</v>
      </c>
      <c r="J48" s="18" t="n">
        <v>307.81</v>
      </c>
      <c r="K48" s="34" t="n">
        <v>344.75</v>
      </c>
      <c r="L48" s="18" t="n">
        <v>1.53</v>
      </c>
      <c r="M48" s="18" t="n">
        <v>112.9</v>
      </c>
      <c r="N48" s="18" t="n">
        <v>-3.08</v>
      </c>
      <c r="O48" s="18" t="n">
        <v>34.78</v>
      </c>
      <c r="P48" s="34" t="n">
        <v>146.13</v>
      </c>
      <c r="Q48" s="18" t="n">
        <v>17.43</v>
      </c>
      <c r="R48" s="18" t="n">
        <v>30.52</v>
      </c>
      <c r="S48" s="18" t="n">
        <v>18.2</v>
      </c>
      <c r="T48" s="18" t="n">
        <v>-53.67</v>
      </c>
      <c r="U48" s="34" t="n">
        <v>12.48</v>
      </c>
      <c r="V48" s="18" t="n">
        <v>5.77</v>
      </c>
      <c r="W48" s="18" t="n">
        <v>261.23</v>
      </c>
      <c r="X48" s="18" t="n">
        <v>-198.7</v>
      </c>
      <c r="Y48" s="18" t="n">
        <v>-29.12</v>
      </c>
      <c r="Z48" s="34" t="n">
        <v>39.18</v>
      </c>
      <c r="AA48" s="18" t="n">
        <v>118.32</v>
      </c>
      <c r="AB48" s="19" t="n">
        <v>21.64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금융수익</t>
        </is>
      </c>
      <c r="E49" s="18" t="n">
        <v>92</v>
      </c>
      <c r="F49" s="9" t="n"/>
      <c r="G49" s="18" t="n">
        <v>106.96</v>
      </c>
      <c r="H49" s="18" t="n">
        <v>112.62</v>
      </c>
      <c r="I49" s="18" t="n">
        <v>138.68</v>
      </c>
      <c r="J49" s="18" t="n">
        <v>231.32</v>
      </c>
      <c r="K49" s="34" t="n">
        <v>589.58</v>
      </c>
      <c r="L49" s="18" t="n">
        <v>257.1</v>
      </c>
      <c r="M49" s="18" t="n">
        <v>250.49</v>
      </c>
      <c r="N49" s="18" t="n">
        <v>261.19</v>
      </c>
      <c r="O49" s="18" t="n">
        <v>260.53</v>
      </c>
      <c r="P49" s="34" t="n">
        <v>1029.31</v>
      </c>
      <c r="Q49" s="18" t="n">
        <v>242.65</v>
      </c>
      <c r="R49" s="18" t="n">
        <v>243.87</v>
      </c>
      <c r="S49" s="18" t="n">
        <v>243.77</v>
      </c>
      <c r="T49" s="18" t="n">
        <v>241.73</v>
      </c>
      <c r="U49" s="34" t="n">
        <v>972.02</v>
      </c>
      <c r="V49" s="18" t="n">
        <v>212.86</v>
      </c>
      <c r="W49" s="18" t="n">
        <v>219.62</v>
      </c>
      <c r="X49" s="18" t="n">
        <v>180.26</v>
      </c>
      <c r="Y49" s="18" t="n">
        <v>180.72</v>
      </c>
      <c r="Z49" s="34" t="n">
        <v>793.46</v>
      </c>
      <c r="AA49" s="18" t="n">
        <v>175.45</v>
      </c>
      <c r="AB49" s="19" t="n">
        <v>184.36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법인세비용차감전계속사업이익</t>
        </is>
      </c>
      <c r="E50" s="18" t="n">
        <v>-633.0700000000001</v>
      </c>
      <c r="F50" s="9" t="n"/>
      <c r="G50" s="18" t="n">
        <v>858.51</v>
      </c>
      <c r="H50" s="18" t="n">
        <v>646.59</v>
      </c>
      <c r="I50" s="18" t="n">
        <v>1105.26</v>
      </c>
      <c r="J50" s="18" t="n">
        <v>109.81</v>
      </c>
      <c r="K50" s="34" t="n">
        <v>2720.17</v>
      </c>
      <c r="L50" s="18" t="n">
        <v>711.04</v>
      </c>
      <c r="M50" s="18" t="n">
        <v>1040.23</v>
      </c>
      <c r="N50" s="18" t="n">
        <v>-107.62</v>
      </c>
      <c r="O50" s="18" t="n">
        <v>463.02</v>
      </c>
      <c r="P50" s="34" t="n">
        <v>2106.67</v>
      </c>
      <c r="Q50" s="18" t="n">
        <v>-290.39</v>
      </c>
      <c r="R50" s="18" t="n">
        <v>669.33</v>
      </c>
      <c r="S50" s="18" t="n">
        <v>-96.79000000000001</v>
      </c>
      <c r="T50" s="18" t="n">
        <v>141.71</v>
      </c>
      <c r="U50" s="34" t="n">
        <v>423.86</v>
      </c>
      <c r="V50" s="18" t="n">
        <v>-413.73</v>
      </c>
      <c r="W50" s="18" t="n">
        <v>312.89</v>
      </c>
      <c r="X50" s="18" t="n">
        <v>584.36</v>
      </c>
      <c r="Y50" s="18" t="n">
        <v>12.28</v>
      </c>
      <c r="Z50" s="34" t="n">
        <v>495.8</v>
      </c>
      <c r="AA50" s="18" t="n">
        <v>136.06</v>
      </c>
      <c r="AB50" s="19" t="n">
        <v>713.41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법인세비용</t>
        </is>
      </c>
      <c r="E51" s="18" t="n">
        <v>-179.42</v>
      </c>
      <c r="F51" s="9" t="n"/>
      <c r="G51" s="18" t="n">
        <v>125.68</v>
      </c>
      <c r="H51" s="18" t="n">
        <v>208.97</v>
      </c>
      <c r="I51" s="18" t="n">
        <v>174.43</v>
      </c>
      <c r="J51" s="18" t="n">
        <v>33.73</v>
      </c>
      <c r="K51" s="34" t="n">
        <v>542.8099999999999</v>
      </c>
      <c r="L51" s="18" t="n">
        <v>193.37</v>
      </c>
      <c r="M51" s="18" t="n">
        <v>153.39</v>
      </c>
      <c r="N51" s="18" t="n">
        <v>-80.33</v>
      </c>
      <c r="O51" s="18" t="n">
        <v>-86.55</v>
      </c>
      <c r="P51" s="34" t="n">
        <v>179.88</v>
      </c>
      <c r="Q51" s="18" t="n">
        <v>43.01</v>
      </c>
      <c r="R51" s="18" t="n">
        <v>15.51</v>
      </c>
      <c r="S51" s="18" t="n">
        <v>-38.17</v>
      </c>
      <c r="T51" s="18" t="n">
        <v>7.8</v>
      </c>
      <c r="U51" s="34" t="n">
        <v>28.15</v>
      </c>
      <c r="V51" s="18" t="n">
        <v>6.61</v>
      </c>
      <c r="W51" s="18" t="n">
        <v>-2.91</v>
      </c>
      <c r="X51" s="18" t="n">
        <v>41.58</v>
      </c>
      <c r="Y51" s="18" t="n">
        <v>-206.11</v>
      </c>
      <c r="Z51" s="34" t="n">
        <v>-160.83</v>
      </c>
      <c r="AA51" s="18" t="n">
        <v>-10.78</v>
      </c>
      <c r="AB51" s="19" t="n">
        <v>138.52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당기순이익</t>
        </is>
      </c>
      <c r="E52" s="18" t="n">
        <v>-453.65</v>
      </c>
      <c r="F52" s="9" t="n"/>
      <c r="G52" s="18" t="n">
        <v>732.8200000000001</v>
      </c>
      <c r="H52" s="18" t="n">
        <v>437.61</v>
      </c>
      <c r="I52" s="18" t="n">
        <v>930.83</v>
      </c>
      <c r="J52" s="18" t="n">
        <v>76.09</v>
      </c>
      <c r="K52" s="34" t="n">
        <v>2177.35</v>
      </c>
      <c r="L52" s="18" t="n">
        <v>517.67</v>
      </c>
      <c r="M52" s="18" t="n">
        <v>886.84</v>
      </c>
      <c r="N52" s="18" t="n">
        <v>-27.29</v>
      </c>
      <c r="O52" s="18" t="n">
        <v>549.5700000000001</v>
      </c>
      <c r="P52" s="34" t="n">
        <v>1926.79</v>
      </c>
      <c r="Q52" s="18" t="n">
        <v>-333.39</v>
      </c>
      <c r="R52" s="18" t="n">
        <v>653.8200000000001</v>
      </c>
      <c r="S52" s="18" t="n">
        <v>-58.63</v>
      </c>
      <c r="T52" s="18" t="n">
        <v>133.92</v>
      </c>
      <c r="U52" s="34" t="n">
        <v>395.72</v>
      </c>
      <c r="V52" s="18" t="n">
        <v>-420.34</v>
      </c>
      <c r="W52" s="18" t="n">
        <v>315.8</v>
      </c>
      <c r="X52" s="18" t="n">
        <v>542.78</v>
      </c>
      <c r="Y52" s="18" t="n">
        <v>218.39</v>
      </c>
      <c r="Z52" s="34" t="n">
        <v>656.63</v>
      </c>
      <c r="AA52" s="18" t="n">
        <v>146.83</v>
      </c>
      <c r="AB52" s="19" t="n">
        <v>574.89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-471.15</v>
      </c>
      <c r="F53" s="9" t="n"/>
      <c r="G53" s="18" t="n">
        <v>707.08</v>
      </c>
      <c r="H53" s="18" t="n">
        <v>446.36</v>
      </c>
      <c r="I53" s="18" t="n">
        <v>1182.05</v>
      </c>
      <c r="J53" s="18" t="n">
        <v>-104.61</v>
      </c>
      <c r="K53" s="34" t="n">
        <v>2230.88</v>
      </c>
      <c r="L53" s="18" t="n">
        <v>484.49</v>
      </c>
      <c r="M53" s="18" t="n">
        <v>1015.55</v>
      </c>
      <c r="N53" s="18" t="n">
        <v>6.64</v>
      </c>
      <c r="O53" s="18" t="n">
        <v>495.28</v>
      </c>
      <c r="P53" s="34" t="n">
        <v>2001.96</v>
      </c>
      <c r="Q53" s="18" t="n">
        <v>-98.47</v>
      </c>
      <c r="R53" s="18" t="n">
        <v>353.63</v>
      </c>
      <c r="S53" s="18" t="n">
        <v>-86.81999999999999</v>
      </c>
      <c r="T53" s="18" t="n">
        <v>94.75</v>
      </c>
      <c r="U53" s="34" t="n">
        <v>263.09</v>
      </c>
      <c r="V53" s="18" t="n">
        <v>-372.83</v>
      </c>
      <c r="W53" s="18" t="n">
        <v>584.66</v>
      </c>
      <c r="X53" s="18" t="n">
        <v>439.94</v>
      </c>
      <c r="Y53" s="18" t="n">
        <v>252.26</v>
      </c>
      <c r="Z53" s="34" t="n">
        <v>904.03</v>
      </c>
      <c r="AA53" s="18" t="n">
        <v>251.85</v>
      </c>
      <c r="AB53" s="19" t="n">
        <v>237.19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금융손익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4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4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4" t="n">
        <v>972.02</v>
      </c>
      <c r="V54" s="18" t="n">
        <v>212.86</v>
      </c>
      <c r="W54" s="18" t="n">
        <v>219.62</v>
      </c>
      <c r="X54" s="18" t="n">
        <v>172.05</v>
      </c>
      <c r="Y54" s="18" t="n">
        <v>168.38</v>
      </c>
      <c r="Z54" s="34" t="n">
        <v>772.91</v>
      </c>
      <c r="AA54" s="18" t="n">
        <v>161.53</v>
      </c>
      <c r="AB54" s="19" t="n">
        <v>168.08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기타영업외손익</t>
        </is>
      </c>
      <c r="E55" s="18" t="n">
        <v>24.06</v>
      </c>
      <c r="F55" s="9" t="n"/>
      <c r="G55" s="18" t="n">
        <v>202.14</v>
      </c>
      <c r="H55" s="18" t="n">
        <v>113.31</v>
      </c>
      <c r="I55" s="18" t="n">
        <v>451.46</v>
      </c>
      <c r="J55" s="18" t="n">
        <v>-209.95</v>
      </c>
      <c r="K55" s="34" t="n">
        <v>556.96</v>
      </c>
      <c r="L55" s="18" t="n">
        <v>270.08</v>
      </c>
      <c r="M55" s="18" t="n">
        <v>-18.27</v>
      </c>
      <c r="N55" s="18" t="n">
        <v>155.48</v>
      </c>
      <c r="O55" s="18" t="n">
        <v>-7.55</v>
      </c>
      <c r="P55" s="34" t="n">
        <v>399.74</v>
      </c>
      <c r="Q55" s="18" t="n">
        <v>164.96</v>
      </c>
      <c r="R55" s="18" t="n">
        <v>162.83</v>
      </c>
      <c r="S55" s="18" t="n">
        <v>80.98</v>
      </c>
      <c r="T55" s="18" t="n">
        <v>340.43</v>
      </c>
      <c r="U55" s="34" t="n">
        <v>749.2</v>
      </c>
      <c r="V55" s="18" t="n">
        <v>141.06</v>
      </c>
      <c r="W55" s="18" t="n">
        <v>-279.54</v>
      </c>
      <c r="X55" s="18" t="n">
        <v>311.18</v>
      </c>
      <c r="Y55" s="18" t="n">
        <v>233.39</v>
      </c>
      <c r="Z55" s="34" t="n">
        <v>406.09</v>
      </c>
      <c r="AA55" s="18" t="n">
        <v>242.43</v>
      </c>
      <c r="AB55" s="19" t="n">
        <v>163.48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(지배주주지분)당기순이익</t>
        </is>
      </c>
      <c r="E56" s="18" t="n">
        <v>-453.65</v>
      </c>
      <c r="F56" s="9" t="n"/>
      <c r="G56" s="18" t="n">
        <v>732.8200000000001</v>
      </c>
      <c r="H56" s="18" t="n">
        <v>437.61</v>
      </c>
      <c r="I56" s="18" t="n">
        <v>930.83</v>
      </c>
      <c r="J56" s="18" t="n">
        <v>76.09</v>
      </c>
      <c r="K56" s="34" t="n">
        <v>2177.35</v>
      </c>
      <c r="L56" s="18" t="n">
        <v>517.67</v>
      </c>
      <c r="M56" s="18" t="n">
        <v>886.84</v>
      </c>
      <c r="N56" s="18" t="n">
        <v>-27.29</v>
      </c>
      <c r="O56" s="18" t="n">
        <v>549.5700000000001</v>
      </c>
      <c r="P56" s="34" t="n">
        <v>1926.79</v>
      </c>
      <c r="Q56" s="18" t="n">
        <v>-333.39</v>
      </c>
      <c r="R56" s="18" t="n">
        <v>653.8200000000001</v>
      </c>
      <c r="S56" s="18" t="n">
        <v>-58.63</v>
      </c>
      <c r="T56" s="18" t="n">
        <v>133.92</v>
      </c>
      <c r="U56" s="34" t="n">
        <v>395.72</v>
      </c>
      <c r="V56" s="18" t="n">
        <v>-420.34</v>
      </c>
      <c r="W56" s="18" t="n">
        <v>315.8</v>
      </c>
      <c r="X56" s="18" t="n">
        <v>542.78</v>
      </c>
      <c r="Y56" s="18" t="n">
        <v>218.39</v>
      </c>
      <c r="Z56" s="34" t="n">
        <v>656.63</v>
      </c>
      <c r="AA56" s="18" t="n">
        <v>146.83</v>
      </c>
      <c r="AB56" s="19" t="n">
        <v>574.89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계속사업이익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4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4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4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4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이자수익</t>
        </is>
      </c>
      <c r="F58" s="9" t="n"/>
      <c r="G58" s="18" t="n">
        <v>106.96</v>
      </c>
      <c r="H58" s="18" t="n">
        <v>112.62</v>
      </c>
      <c r="I58" s="18" t="n">
        <v>138.68</v>
      </c>
      <c r="J58" s="18" t="n">
        <v>231.32</v>
      </c>
      <c r="K58" s="34" t="n">
        <v>589.58</v>
      </c>
      <c r="L58" s="18" t="n">
        <v>257.1</v>
      </c>
      <c r="M58" s="18" t="n">
        <v>250.49</v>
      </c>
      <c r="P58" s="9" t="n"/>
      <c r="Q58" s="18" t="n">
        <v>242.65</v>
      </c>
      <c r="R58" s="18" t="n">
        <v>243.87</v>
      </c>
      <c r="S58" s="18" t="n">
        <v>243.77</v>
      </c>
      <c r="T58" s="18" t="n">
        <v>237.77</v>
      </c>
      <c r="U58" s="34" t="n">
        <v>968.0599999999999</v>
      </c>
      <c r="V58" s="18" t="n">
        <v>212.86</v>
      </c>
      <c r="W58" s="18" t="n">
        <v>214.34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종속기업,공동지배기업및관계기업관련손익</t>
        </is>
      </c>
      <c r="F59" s="9" t="n"/>
      <c r="H59" s="18" t="n">
        <v>-43.54</v>
      </c>
      <c r="I59" s="18" t="n">
        <v>-6</v>
      </c>
      <c r="K59" s="9" t="n"/>
      <c r="M59" s="18" t="n">
        <v>-11.57</v>
      </c>
      <c r="N59" s="18" t="n">
        <v>-0.53</v>
      </c>
      <c r="O59" s="18" t="n">
        <v>76.11</v>
      </c>
      <c r="P59" s="9" t="n"/>
      <c r="Q59" s="18" t="n">
        <v>18.38</v>
      </c>
      <c r="R59" s="18" t="n">
        <v>9.6</v>
      </c>
      <c r="S59" s="18" t="n">
        <v>-7.92</v>
      </c>
      <c r="T59" s="18" t="n">
        <v>-20.06</v>
      </c>
      <c r="U59" s="34" t="n">
        <v>0</v>
      </c>
      <c r="V59" s="18" t="n">
        <v>-1.58</v>
      </c>
      <c r="W59" s="18" t="n">
        <v>5.26</v>
      </c>
      <c r="X59" s="18" t="n">
        <v>11.19</v>
      </c>
      <c r="Y59" s="18" t="n">
        <v>23.76</v>
      </c>
      <c r="Z59" s="34" t="n">
        <v>38.63</v>
      </c>
      <c r="AA59" s="18" t="n">
        <v>14.68</v>
      </c>
      <c r="AB59" s="19" t="n">
        <v>26.3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지분법관련손익</t>
        </is>
      </c>
      <c r="F60" s="9" t="n"/>
      <c r="H60" s="18" t="n">
        <v>-43.54</v>
      </c>
      <c r="I60" s="18" t="n">
        <v>-6</v>
      </c>
      <c r="K60" s="9" t="n"/>
      <c r="M60" s="18" t="n">
        <v>-11.57</v>
      </c>
      <c r="N60" s="18" t="n">
        <v>-0.53</v>
      </c>
      <c r="O60" s="18" t="n">
        <v>76.11</v>
      </c>
      <c r="P60" s="9" t="n"/>
      <c r="Q60" s="18" t="n">
        <v>18.38</v>
      </c>
      <c r="R60" s="18" t="n">
        <v>9.6</v>
      </c>
      <c r="S60" s="18" t="n">
        <v>-7.92</v>
      </c>
      <c r="T60" s="18" t="n">
        <v>-20.06</v>
      </c>
      <c r="U60" s="34" t="n">
        <v>0</v>
      </c>
      <c r="V60" s="18" t="n">
        <v>-1.58</v>
      </c>
      <c r="W60" s="18" t="n">
        <v>5.26</v>
      </c>
      <c r="X60" s="18" t="n">
        <v>11.19</v>
      </c>
      <c r="Y60" s="18" t="n">
        <v>23.76</v>
      </c>
      <c r="Z60" s="34" t="n">
        <v>38.63</v>
      </c>
      <c r="AA60" s="18" t="n">
        <v>14.68</v>
      </c>
      <c r="AB60" s="19" t="n">
        <v>26.3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배당금수익</t>
        </is>
      </c>
      <c r="F61" s="9" t="n"/>
      <c r="K61" s="9" t="n"/>
      <c r="P61" s="9" t="n"/>
      <c r="U61" s="9" t="n"/>
      <c r="W61" s="18" t="n">
        <v>5.28</v>
      </c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F62" s="9" t="n"/>
      <c r="K62" s="9" t="n"/>
      <c r="P62" s="9" t="n"/>
      <c r="U62" s="9" t="n"/>
      <c r="X62" s="18" t="n">
        <v>8.210000000000001</v>
      </c>
      <c r="Y62" s="18" t="n">
        <v>12.34</v>
      </c>
      <c r="Z62" s="9" t="n"/>
      <c r="AA62" s="18" t="n">
        <v>13.92</v>
      </c>
      <c r="AB62" s="19" t="n">
        <v>16.28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634.0599999999999</v>
      </c>
      <c r="F63" s="9" t="n"/>
      <c r="G63" s="18" t="n">
        <v>435.16</v>
      </c>
      <c r="H63" s="18" t="n">
        <v>1571.01</v>
      </c>
      <c r="I63" s="18" t="n">
        <v>93.81999999999999</v>
      </c>
      <c r="J63" s="18" t="n">
        <v>838.87</v>
      </c>
      <c r="K63" s="34" t="n">
        <v>2938.86</v>
      </c>
      <c r="L63" s="18" t="n">
        <v>-1631.22</v>
      </c>
      <c r="M63" s="18" t="n">
        <v>1745.56</v>
      </c>
      <c r="N63" s="18" t="n">
        <v>-645.04</v>
      </c>
      <c r="O63" s="18" t="n">
        <v>1458.35</v>
      </c>
      <c r="P63" s="34" t="n">
        <v>927.65</v>
      </c>
      <c r="Q63" s="18" t="n">
        <v>-696.9</v>
      </c>
      <c r="R63" s="18" t="n">
        <v>1491.09</v>
      </c>
      <c r="S63" s="18" t="n">
        <v>814.5599999999999</v>
      </c>
      <c r="T63" s="18" t="n">
        <v>1082.15</v>
      </c>
      <c r="U63" s="34" t="n">
        <v>2690.9</v>
      </c>
      <c r="V63" s="18" t="n">
        <v>-588.2</v>
      </c>
      <c r="W63" s="18" t="n">
        <v>1783.1</v>
      </c>
      <c r="X63" s="18" t="n">
        <v>1189.48</v>
      </c>
      <c r="Y63" s="18" t="n">
        <v>1713.35</v>
      </c>
      <c r="Z63" s="34" t="n">
        <v>4097.73</v>
      </c>
      <c r="AA63" s="18" t="n">
        <v>-1927.5</v>
      </c>
      <c r="AB63" s="19" t="n">
        <v>1711.26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배당금수취(CF)</t>
        </is>
      </c>
      <c r="E64" s="18" t="n">
        <v>0</v>
      </c>
      <c r="F64" s="9" t="n"/>
      <c r="G64" s="18" t="n">
        <v>0</v>
      </c>
      <c r="H64" s="18" t="n">
        <v>1.32</v>
      </c>
      <c r="I64" s="18" t="n">
        <v>0</v>
      </c>
      <c r="J64" s="18" t="n">
        <v>0</v>
      </c>
      <c r="K64" s="34" t="n">
        <v>1.32</v>
      </c>
      <c r="L64" s="18" t="n">
        <v>0</v>
      </c>
      <c r="M64" s="18" t="n">
        <v>3.96</v>
      </c>
      <c r="N64" s="18" t="n">
        <v>0</v>
      </c>
      <c r="O64" s="18" t="n">
        <v>0</v>
      </c>
      <c r="P64" s="34" t="n">
        <v>3.96</v>
      </c>
      <c r="Q64" s="18" t="n">
        <v>0</v>
      </c>
      <c r="R64" s="18" t="n">
        <v>0</v>
      </c>
      <c r="S64" s="18" t="n">
        <v>0</v>
      </c>
      <c r="T64" s="18" t="n">
        <v>3.96</v>
      </c>
      <c r="U64" s="34" t="n">
        <v>3.96</v>
      </c>
      <c r="V64" s="18" t="n">
        <v>0</v>
      </c>
      <c r="W64" s="18" t="n">
        <v>5.28</v>
      </c>
      <c r="X64" s="18" t="n">
        <v>0</v>
      </c>
      <c r="Y64" s="18" t="n">
        <v>0</v>
      </c>
      <c r="Z64" s="34" t="n">
        <v>5.28</v>
      </c>
      <c r="AA64" s="18" t="n">
        <v>0</v>
      </c>
      <c r="AB64" s="19" t="n">
        <v>2.64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-19.06</v>
      </c>
      <c r="F65" s="9" t="n"/>
      <c r="G65" s="18" t="n">
        <v>-80.53</v>
      </c>
      <c r="H65" s="18" t="n">
        <v>-93.92</v>
      </c>
      <c r="I65" s="18" t="n">
        <v>-83</v>
      </c>
      <c r="J65" s="18" t="n">
        <v>-30.04</v>
      </c>
      <c r="K65" s="34" t="n">
        <v>-287.49</v>
      </c>
      <c r="L65" s="18" t="n">
        <v>-109.18</v>
      </c>
      <c r="M65" s="18" t="n">
        <v>-156.81</v>
      </c>
      <c r="N65" s="18" t="n">
        <v>-135.25</v>
      </c>
      <c r="O65" s="18" t="n">
        <v>-132.59</v>
      </c>
      <c r="P65" s="34" t="n">
        <v>-533.83</v>
      </c>
      <c r="Q65" s="18" t="n">
        <v>-0.89</v>
      </c>
      <c r="R65" s="18" t="n">
        <v>-3.65</v>
      </c>
      <c r="S65" s="18" t="n">
        <v>-115.75</v>
      </c>
      <c r="T65" s="18" t="n">
        <v>-69.12</v>
      </c>
      <c r="U65" s="34" t="n">
        <v>-189.41</v>
      </c>
      <c r="V65" s="18" t="n">
        <v>-7.57</v>
      </c>
      <c r="W65" s="18" t="n">
        <v>65.59999999999999</v>
      </c>
      <c r="X65" s="18" t="n">
        <v>-74.06999999999999</v>
      </c>
      <c r="Y65" s="18" t="n">
        <v>-57.52</v>
      </c>
      <c r="Z65" s="34" t="n">
        <v>-73.56</v>
      </c>
      <c r="AA65" s="18" t="n">
        <v>-2.34</v>
      </c>
      <c r="AB65" s="19" t="n">
        <v>125.65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138.06</v>
      </c>
      <c r="F66" s="9" t="n"/>
      <c r="G66" s="18" t="n">
        <v>-824.23</v>
      </c>
      <c r="H66" s="18" t="n">
        <v>-19.3</v>
      </c>
      <c r="I66" s="18" t="n">
        <v>-4.56</v>
      </c>
      <c r="J66" s="18" t="n">
        <v>254.73</v>
      </c>
      <c r="K66" s="34" t="n">
        <v>-593.36</v>
      </c>
      <c r="L66" s="18" t="n">
        <v>-384.57</v>
      </c>
      <c r="M66" s="18" t="n">
        <v>-538.96</v>
      </c>
      <c r="N66" s="18" t="n">
        <v>615.26</v>
      </c>
      <c r="O66" s="18" t="n">
        <v>-351.42</v>
      </c>
      <c r="P66" s="34" t="n">
        <v>-659.6900000000001</v>
      </c>
      <c r="Q66" s="18" t="n">
        <v>-210.06</v>
      </c>
      <c r="R66" s="18" t="n">
        <v>2.43</v>
      </c>
      <c r="S66" s="18" t="n">
        <v>-1008.9</v>
      </c>
      <c r="T66" s="18" t="n">
        <v>-181</v>
      </c>
      <c r="U66" s="34" t="n">
        <v>-1397.53</v>
      </c>
      <c r="V66" s="18" t="n">
        <v>-5.05</v>
      </c>
      <c r="W66" s="18" t="n">
        <v>-28.13</v>
      </c>
      <c r="X66" s="18" t="n">
        <v>-4217.4</v>
      </c>
      <c r="Y66" s="18" t="n">
        <v>-3583.54</v>
      </c>
      <c r="Z66" s="34" t="n">
        <v>-7834.12</v>
      </c>
      <c r="AA66" s="18" t="n">
        <v>-486.09</v>
      </c>
      <c r="AB66" s="19" t="n">
        <v>-168.01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유형자산의증가</t>
        </is>
      </c>
      <c r="E67" s="18" t="n">
        <v>517.79</v>
      </c>
      <c r="F67" s="9" t="n"/>
      <c r="G67" s="18" t="n">
        <v>1828.8</v>
      </c>
      <c r="H67" s="18" t="n">
        <v>424.39</v>
      </c>
      <c r="I67" s="18" t="n">
        <v>44.56</v>
      </c>
      <c r="J67" s="18" t="n">
        <v>359.42</v>
      </c>
      <c r="K67" s="34" t="n">
        <v>2657.17</v>
      </c>
      <c r="L67" s="18" t="n">
        <v>1817.84</v>
      </c>
      <c r="M67" s="18" t="n">
        <v>1342.75</v>
      </c>
      <c r="N67" s="18" t="n">
        <v>34.89</v>
      </c>
      <c r="O67" s="18" t="n">
        <v>121.42</v>
      </c>
      <c r="P67" s="34" t="n">
        <v>3316.9</v>
      </c>
      <c r="Q67" s="18" t="n">
        <v>208.22</v>
      </c>
      <c r="S67" s="18" t="n">
        <v>8.9</v>
      </c>
      <c r="T67" s="18" t="n">
        <v>38.29</v>
      </c>
      <c r="U67" s="9" t="n"/>
      <c r="V67" s="18" t="n">
        <v>4.05</v>
      </c>
      <c r="W67" s="18" t="n">
        <v>33.01</v>
      </c>
      <c r="X67" s="18" t="n">
        <v>184.07</v>
      </c>
      <c r="Y67" s="18" t="n">
        <v>648.04</v>
      </c>
      <c r="Z67" s="34" t="n">
        <v>869.17</v>
      </c>
      <c r="AA67" s="18" t="n">
        <v>3.12</v>
      </c>
      <c r="AB67" s="19" t="n">
        <v>170.51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CAPEX</t>
        </is>
      </c>
      <c r="E68" s="18" t="n">
        <v>517.79</v>
      </c>
      <c r="F68" s="9" t="n"/>
      <c r="G68" s="18" t="n">
        <v>1866.98</v>
      </c>
      <c r="H68" s="18" t="n">
        <v>723.47</v>
      </c>
      <c r="I68" s="18" t="n">
        <v>44.56</v>
      </c>
      <c r="J68" s="18" t="n">
        <v>359.42</v>
      </c>
      <c r="K68" s="34" t="n">
        <v>2994.43</v>
      </c>
      <c r="L68" s="18" t="n">
        <v>1957.84</v>
      </c>
      <c r="M68" s="18" t="n">
        <v>1345.69</v>
      </c>
      <c r="N68" s="18" t="n">
        <v>34.89</v>
      </c>
      <c r="O68" s="18" t="n">
        <v>121.42</v>
      </c>
      <c r="P68" s="34" t="n">
        <v>3459.84</v>
      </c>
      <c r="Q68" s="18" t="n">
        <v>208.22</v>
      </c>
      <c r="R68" s="18" t="n">
        <v>0</v>
      </c>
      <c r="S68" s="18" t="n">
        <v>8.9</v>
      </c>
      <c r="T68" s="18" t="n">
        <v>38.29</v>
      </c>
      <c r="U68" s="34" t="n">
        <v>255.41</v>
      </c>
      <c r="V68" s="18" t="n">
        <v>4.05</v>
      </c>
      <c r="W68" s="18" t="n">
        <v>33.01</v>
      </c>
      <c r="X68" s="18" t="n">
        <v>184.07</v>
      </c>
      <c r="Y68" s="18" t="n">
        <v>648.04</v>
      </c>
      <c r="Z68" s="34" t="n">
        <v>869.17</v>
      </c>
      <c r="AA68" s="18" t="n">
        <v>3.12</v>
      </c>
      <c r="AB68" s="19" t="n">
        <v>170.51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유형자산의감소</t>
        </is>
      </c>
      <c r="E69" s="18" t="n">
        <v>0.85</v>
      </c>
      <c r="F69" s="9" t="n"/>
      <c r="G69" s="18" t="n">
        <v>0</v>
      </c>
      <c r="H69" s="18" t="n">
        <v>6.92</v>
      </c>
      <c r="I69" s="18" t="n">
        <v>40</v>
      </c>
      <c r="J69" s="18" t="n">
        <v>164.15</v>
      </c>
      <c r="K69" s="34" t="n">
        <v>211.07</v>
      </c>
      <c r="L69" s="18" t="n">
        <v>40</v>
      </c>
      <c r="M69" s="18" t="n">
        <v>0</v>
      </c>
      <c r="N69" s="18" t="n">
        <v>0.15</v>
      </c>
      <c r="O69" s="18" t="n">
        <v>0</v>
      </c>
      <c r="P69" s="34" t="n">
        <v>40.15</v>
      </c>
      <c r="Q69" s="18" t="n">
        <v>11</v>
      </c>
      <c r="R69" s="18" t="n">
        <v>0</v>
      </c>
      <c r="S69" s="18" t="n">
        <v>0</v>
      </c>
      <c r="T69" s="18" t="n">
        <v>12.07</v>
      </c>
      <c r="U69" s="34" t="n">
        <v>23.07</v>
      </c>
      <c r="V69" s="18" t="n">
        <v>0</v>
      </c>
      <c r="W69" s="18" t="n">
        <v>4.88</v>
      </c>
      <c r="X69" s="18" t="n">
        <v>0</v>
      </c>
      <c r="Y69" s="18" t="n">
        <v>0</v>
      </c>
      <c r="Z69" s="34" t="n">
        <v>4.88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재무활동으로인한현금흐름</t>
        </is>
      </c>
      <c r="E70" s="18" t="n">
        <v>-8.550000000000001</v>
      </c>
      <c r="F70" s="9" t="n"/>
      <c r="G70" s="18" t="n">
        <v>-8.550000000000001</v>
      </c>
      <c r="H70" s="18" t="n">
        <v>-449.56</v>
      </c>
      <c r="I70" s="18" t="n">
        <v>-8.550000000000001</v>
      </c>
      <c r="J70" s="18" t="n">
        <v>-4.97</v>
      </c>
      <c r="K70" s="34" t="n">
        <v>-471.63</v>
      </c>
      <c r="L70" s="18" t="n">
        <v>-5.75</v>
      </c>
      <c r="M70" s="18" t="n">
        <v>-446.76</v>
      </c>
      <c r="N70" s="18" t="n">
        <v>-5.75</v>
      </c>
      <c r="O70" s="18" t="n">
        <v>-5.15</v>
      </c>
      <c r="P70" s="34" t="n">
        <v>-463.41</v>
      </c>
      <c r="Q70" s="18" t="n">
        <v>-6.89</v>
      </c>
      <c r="R70" s="18" t="n">
        <v>-449.8</v>
      </c>
      <c r="S70" s="18" t="n">
        <v>-8.800000000000001</v>
      </c>
      <c r="T70" s="18" t="n">
        <v>-8.710000000000001</v>
      </c>
      <c r="U70" s="34" t="n">
        <v>-474.2</v>
      </c>
      <c r="V70" s="18" t="n">
        <v>-8.59</v>
      </c>
      <c r="W70" s="18" t="n">
        <v>-137.27</v>
      </c>
      <c r="X70" s="18" t="n">
        <v>3736.25</v>
      </c>
      <c r="Y70" s="18" t="n">
        <v>-11.27</v>
      </c>
      <c r="Z70" s="34" t="n">
        <v>3579.12</v>
      </c>
      <c r="AA70" s="18" t="n">
        <v>-11.27</v>
      </c>
      <c r="AB70" s="19" t="n">
        <v>-136.34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배당금지급</t>
        </is>
      </c>
      <c r="E71" s="18" t="n">
        <v>0</v>
      </c>
      <c r="F71" s="9" t="n"/>
      <c r="G71" s="18" t="n">
        <v>0</v>
      </c>
      <c r="H71" s="18" t="n">
        <v>441</v>
      </c>
      <c r="I71" s="18" t="n">
        <v>0</v>
      </c>
      <c r="J71" s="18" t="n">
        <v>0</v>
      </c>
      <c r="K71" s="34" t="n">
        <v>441</v>
      </c>
      <c r="L71" s="18" t="n">
        <v>0</v>
      </c>
      <c r="M71" s="18" t="n">
        <v>441</v>
      </c>
      <c r="N71" s="18" t="n">
        <v>0</v>
      </c>
      <c r="O71" s="18" t="n">
        <v>0</v>
      </c>
      <c r="P71" s="34" t="n">
        <v>441</v>
      </c>
      <c r="S71" s="18" t="n">
        <v>0</v>
      </c>
      <c r="T71" s="18" t="n">
        <v>0</v>
      </c>
      <c r="U71" s="9" t="n"/>
      <c r="X71" s="18" t="n">
        <v>0</v>
      </c>
      <c r="Y71" s="18" t="n">
        <v>0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현금및현금성자산의증감</t>
        </is>
      </c>
      <c r="E72" s="18" t="n">
        <v>1506.92</v>
      </c>
      <c r="F72" s="9" t="n"/>
      <c r="G72" s="18" t="n">
        <v>-798.38</v>
      </c>
      <c r="H72" s="18" t="n">
        <v>2206.95</v>
      </c>
      <c r="I72" s="18" t="n">
        <v>220.85</v>
      </c>
      <c r="J72" s="18" t="n">
        <v>2033.47</v>
      </c>
      <c r="K72" s="34" t="n">
        <v>3662.89</v>
      </c>
      <c r="L72" s="18" t="n">
        <v>-4028.2</v>
      </c>
      <c r="M72" s="18" t="n">
        <v>1448.45</v>
      </c>
      <c r="N72" s="18" t="n">
        <v>-62.15</v>
      </c>
      <c r="O72" s="18" t="n">
        <v>2201.62</v>
      </c>
      <c r="P72" s="34" t="n">
        <v>-440.28</v>
      </c>
      <c r="Q72" s="18" t="n">
        <v>-1842.58</v>
      </c>
      <c r="R72" s="18" t="n">
        <v>2066.1</v>
      </c>
      <c r="S72" s="18" t="n">
        <v>-390.43</v>
      </c>
      <c r="T72" s="18" t="n">
        <v>1915.4</v>
      </c>
      <c r="U72" s="34" t="n">
        <v>1748.49</v>
      </c>
      <c r="V72" s="18" t="n">
        <v>-1155.95</v>
      </c>
      <c r="W72" s="18" t="n">
        <v>3041.27</v>
      </c>
      <c r="X72" s="18" t="n">
        <v>1536.5</v>
      </c>
      <c r="Y72" s="18" t="n">
        <v>-3709.21</v>
      </c>
      <c r="Z72" s="34" t="n">
        <v>-287.39</v>
      </c>
      <c r="AA72" s="18" t="n">
        <v>-4821.47</v>
      </c>
      <c r="AB72" s="19" t="n">
        <v>2882.2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기말현금및현금성자산</t>
        </is>
      </c>
      <c r="E73" s="18" t="n">
        <v>743.36</v>
      </c>
      <c r="F73" s="9" t="n"/>
      <c r="G73" s="18" t="n">
        <v>1432.96</v>
      </c>
      <c r="H73" s="18" t="n">
        <v>1104.79</v>
      </c>
      <c r="I73" s="18" t="n">
        <v>140.15</v>
      </c>
      <c r="J73" s="18" t="n">
        <v>944.83</v>
      </c>
      <c r="K73" s="34" t="n">
        <v>3622.73</v>
      </c>
      <c r="L73" s="18" t="n">
        <v>1616.09</v>
      </c>
      <c r="M73" s="18" t="n">
        <v>688.59</v>
      </c>
      <c r="N73" s="18" t="n">
        <v>-26.61</v>
      </c>
      <c r="O73" s="18" t="n">
        <v>1099.83</v>
      </c>
      <c r="P73" s="34" t="n">
        <v>3377.9</v>
      </c>
      <c r="Q73" s="18" t="n">
        <v>2449.17</v>
      </c>
      <c r="R73" s="18" t="n">
        <v>1022.36</v>
      </c>
      <c r="S73" s="18" t="n">
        <v>-187.27</v>
      </c>
      <c r="T73" s="18" t="n">
        <v>1022.96</v>
      </c>
      <c r="U73" s="34" t="n">
        <v>4307.22</v>
      </c>
      <c r="V73" s="18" t="n">
        <v>3753.11</v>
      </c>
      <c r="W73" s="18" t="n">
        <v>1423.56</v>
      </c>
      <c r="X73" s="18" t="n">
        <v>828.1799999999999</v>
      </c>
      <c r="Y73" s="18" t="n">
        <v>-1827.75</v>
      </c>
      <c r="Z73" s="34" t="n">
        <v>4177.1</v>
      </c>
      <c r="AA73" s="18" t="n">
        <v>1780.49</v>
      </c>
      <c r="AB73" s="19" t="n">
        <v>1475.29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무형자산의증가</t>
        </is>
      </c>
      <c r="F74" s="9" t="n"/>
      <c r="G74" s="18" t="n">
        <v>38.18</v>
      </c>
      <c r="H74" s="18" t="n">
        <v>299.08</v>
      </c>
      <c r="J74" s="18" t="n">
        <v>0</v>
      </c>
      <c r="K74" s="9" t="n"/>
      <c r="L74" s="18" t="n">
        <v>140</v>
      </c>
      <c r="M74" s="18" t="n">
        <v>2.94</v>
      </c>
      <c r="N74" s="18" t="n">
        <v>0</v>
      </c>
      <c r="O74" s="18" t="n">
        <v>0</v>
      </c>
      <c r="P74" s="34" t="n">
        <v>142.94</v>
      </c>
      <c r="Q74" s="18" t="n">
        <v>0</v>
      </c>
      <c r="R74" s="18" t="n">
        <v>0</v>
      </c>
      <c r="S74" s="18" t="n">
        <v>0</v>
      </c>
      <c r="T74" s="18" t="n">
        <v>0</v>
      </c>
      <c r="U74" s="34" t="n">
        <v>0</v>
      </c>
      <c r="V74" s="18" t="n">
        <v>0</v>
      </c>
      <c r="W74" s="18" t="n">
        <v>0</v>
      </c>
      <c r="X74" s="18" t="n">
        <v>0</v>
      </c>
      <c r="Y74" s="18" t="n">
        <v>0</v>
      </c>
      <c r="Z74" s="34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O75" s="18" t="n">
        <v>497.37</v>
      </c>
      <c r="P75" s="9" t="n"/>
      <c r="Q75" s="18" t="n">
        <v>5.78</v>
      </c>
      <c r="R75" s="18" t="n">
        <v>3.15</v>
      </c>
      <c r="S75" s="18" t="n">
        <v>534.26</v>
      </c>
      <c r="T75" s="18" t="n">
        <v>448.82</v>
      </c>
      <c r="U75" s="34" t="n">
        <v>992.01</v>
      </c>
      <c r="V75" s="18" t="n">
        <v>8.34</v>
      </c>
      <c r="W75" s="18" t="n">
        <v>18.42</v>
      </c>
      <c r="X75" s="18" t="n">
        <v>480.96</v>
      </c>
      <c r="Y75" s="18" t="n">
        <v>373.55</v>
      </c>
      <c r="Z75" s="34" t="n">
        <v>881.27</v>
      </c>
      <c r="AA75" s="18" t="n">
        <v>15.21</v>
      </c>
      <c r="AB75" s="19" t="n">
        <v>5.04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F76" s="9" t="n"/>
      <c r="K76" s="9" t="n"/>
      <c r="P76" s="9" t="n"/>
      <c r="U76" s="9" t="n"/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-0.0603</v>
      </c>
      <c r="F10" s="34" t="n"/>
      <c r="G10" s="18" t="n">
        <v>0.0459</v>
      </c>
      <c r="H10" s="18" t="n">
        <v>0.0389</v>
      </c>
      <c r="I10" s="18" t="n">
        <v>0.0366</v>
      </c>
      <c r="J10" s="18" t="n">
        <v>0.0062</v>
      </c>
      <c r="K10" s="34">
        <f>SUM(G10:J10)</f>
        <v/>
      </c>
      <c r="L10" s="18" t="n">
        <v>0.0146</v>
      </c>
      <c r="M10" s="18" t="n">
        <v>0.0712</v>
      </c>
      <c r="N10" s="18" t="n">
        <v>-0.0489</v>
      </c>
      <c r="O10" s="18" t="n">
        <v>0.0122</v>
      </c>
      <c r="P10" s="34">
        <f>SUM(L10:O10)</f>
        <v/>
      </c>
      <c r="Q10" s="18" t="n">
        <v>-0.06850000000000001</v>
      </c>
      <c r="R10" s="18" t="n">
        <v>0.0229</v>
      </c>
      <c r="S10" s="18" t="n">
        <v>-0.0374</v>
      </c>
      <c r="T10" s="18" t="n">
        <v>-0.0426</v>
      </c>
      <c r="U10" s="34">
        <f>SUM(Q10:T10)</f>
        <v/>
      </c>
      <c r="V10" s="18" t="n">
        <v>-0.0784</v>
      </c>
      <c r="W10" s="18" t="n">
        <v>0.0321</v>
      </c>
      <c r="X10" s="18" t="n">
        <v>0.0123</v>
      </c>
      <c r="Y10" s="18" t="n">
        <v>0.0226</v>
      </c>
      <c r="Z10" s="34">
        <f>SUM(V10:Y10)</f>
        <v/>
      </c>
      <c r="AA10" s="18" t="n">
        <v>-0.0334</v>
      </c>
      <c r="AB10" s="19" t="n">
        <v>0.07149999999999999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4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4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5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5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4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34" t="n">
        <v>22.02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34" t="n">
        <v>18.34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IFERROR(VLOOKUP($D25,BS별도,MATCH(E$1,BS별도H,0),0)/100,"")</f>
        <v/>
      </c>
      <c r="F25" s="34" t="n"/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SUM(G25:J25)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SUM(L25:O25)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SUM(Q25:T25)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SUM(V25:Y25)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6.34</v>
      </c>
      <c r="F26" s="34" t="n"/>
      <c r="G26" s="18" t="n">
        <v>4.35</v>
      </c>
      <c r="H26" s="18" t="n">
        <v>15.71</v>
      </c>
      <c r="I26" s="18" t="n">
        <v>0.9399999999999999</v>
      </c>
      <c r="J26" s="18" t="n">
        <v>8.390000000000001</v>
      </c>
      <c r="K26" s="34">
        <f>SUM(G26:J26)</f>
        <v/>
      </c>
      <c r="L26" s="18" t="n">
        <v>-16.31</v>
      </c>
      <c r="M26" s="18" t="n">
        <v>17.46</v>
      </c>
      <c r="N26" s="18" t="n">
        <v>-6.45</v>
      </c>
      <c r="O26" s="18" t="n">
        <v>14.58</v>
      </c>
      <c r="P26" s="34">
        <f>SUM(L26:O26)</f>
        <v/>
      </c>
      <c r="Q26" s="18" t="n">
        <v>-6.97</v>
      </c>
      <c r="R26" s="18" t="n">
        <v>14.91</v>
      </c>
      <c r="S26" s="18" t="n">
        <v>8.15</v>
      </c>
      <c r="T26" s="18" t="n">
        <v>10.82</v>
      </c>
      <c r="U26" s="34">
        <f>SUM(Q26:T26)</f>
        <v/>
      </c>
      <c r="V26" s="18" t="n">
        <v>-5.88</v>
      </c>
      <c r="W26" s="18" t="n">
        <v>17.83</v>
      </c>
      <c r="X26" s="18" t="n">
        <v>-7.28</v>
      </c>
      <c r="Y26" s="18" t="n">
        <v>10.4</v>
      </c>
      <c r="Z26" s="34">
        <f>SUM(V26:Y26)</f>
        <v/>
      </c>
      <c r="AA26" s="18" t="n">
        <v>-14.37</v>
      </c>
      <c r="AB26" s="19" t="n">
        <v>20.2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12.6</v>
      </c>
      <c r="F27" s="27">
        <f>E27</f>
        <v/>
      </c>
      <c r="G27" s="26" t="n">
        <v>12.6</v>
      </c>
      <c r="H27" s="26" t="n">
        <v>12.6</v>
      </c>
      <c r="I27" s="26" t="n">
        <v>12.6</v>
      </c>
      <c r="J27" s="26" t="n">
        <v>12.6</v>
      </c>
      <c r="K27" s="27">
        <f>J27</f>
        <v/>
      </c>
      <c r="L27" s="26" t="n">
        <v>12.6</v>
      </c>
      <c r="M27" s="26" t="n">
        <v>12.6</v>
      </c>
      <c r="N27" s="26" t="n">
        <v>12.6</v>
      </c>
      <c r="O27" s="26" t="n">
        <v>12.6</v>
      </c>
      <c r="P27" s="27">
        <f>O27</f>
        <v/>
      </c>
      <c r="Q27" s="26" t="n">
        <v>12.6</v>
      </c>
      <c r="R27" s="26" t="n">
        <v>12.6</v>
      </c>
      <c r="S27" s="26" t="n">
        <v>12.6</v>
      </c>
      <c r="T27" s="26" t="n">
        <v>12.6</v>
      </c>
      <c r="U27" s="27">
        <f>T27</f>
        <v/>
      </c>
      <c r="V27" s="26" t="n">
        <v>12.6</v>
      </c>
      <c r="W27" s="26" t="n">
        <v>12.6</v>
      </c>
      <c r="X27" s="26" t="n">
        <v>12.6</v>
      </c>
      <c r="Y27" s="26" t="n">
        <v>12.6</v>
      </c>
      <c r="Z27" s="27">
        <f>Y27</f>
        <v/>
      </c>
      <c r="AA27" s="26" t="n">
        <v>12.6</v>
      </c>
      <c r="AB27" s="28" t="n">
        <v>12.6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IFERROR(E18*100/E27,"")</f>
        <v/>
      </c>
      <c r="F28" s="34" t="n"/>
      <c r="G28" s="18">
        <f>IFERROR(G18*100/G27,"")</f>
        <v/>
      </c>
      <c r="H28" s="18">
        <f>IFERROR(H18*100/H27,"")</f>
        <v/>
      </c>
      <c r="I28" s="18">
        <f>IFERROR(I18*100/I27,"")</f>
        <v/>
      </c>
      <c r="J28" s="18">
        <f>IFERROR(J18*100/J27,"")</f>
        <v/>
      </c>
      <c r="K28" s="34">
        <f>SUM(G28:J28)</f>
        <v/>
      </c>
      <c r="L28" s="18">
        <f>IFERROR(L18*100/L27,"")</f>
        <v/>
      </c>
      <c r="M28" s="18">
        <f>IFERROR(M18*100/M27,"")</f>
        <v/>
      </c>
      <c r="N28" s="18">
        <f>IFERROR(N18*100/N27,"")</f>
        <v/>
      </c>
      <c r="O28" s="18">
        <f>IFERROR(O18*100/O27,"")</f>
        <v/>
      </c>
      <c r="P28" s="34">
        <f>SUM(L28:O28)</f>
        <v/>
      </c>
      <c r="Q28" s="18">
        <f>IFERROR(Q18*100/Q27,"")</f>
        <v/>
      </c>
      <c r="R28" s="18">
        <f>IFERROR(R18*100/R27,"")</f>
        <v/>
      </c>
      <c r="S28" s="18">
        <f>IFERROR(S18*100/S27,"")</f>
        <v/>
      </c>
      <c r="T28" s="18">
        <f>IFERROR(T18*100/T27,"")</f>
        <v/>
      </c>
      <c r="U28" s="34">
        <f>SUM(Q28:T28)</f>
        <v/>
      </c>
      <c r="V28" s="18">
        <f>IFERROR(V18*100/V27,"")</f>
        <v/>
      </c>
      <c r="W28" s="18">
        <f>IFERROR(W18*100/W27,"")</f>
        <v/>
      </c>
      <c r="X28" s="18">
        <f>IFERROR(X18*100/X27,"")</f>
        <v/>
      </c>
      <c r="Y28" s="18">
        <f>IFERROR(Y18*100/Y27,"")</f>
        <v/>
      </c>
      <c r="Z28" s="34">
        <f>SUM(V28:Y28)</f>
        <v/>
      </c>
      <c r="AA28" s="18">
        <f>IFERROR(AA18*100/AA27,"")</f>
        <v/>
      </c>
      <c r="AB28" s="19">
        <f>IFERROR(AB18*100/AB27,"")</f>
        <v/>
      </c>
      <c r="AC28" s="20">
        <f>IFERROR(AC18*100/AC27,"")</f>
        <v/>
      </c>
      <c r="AD28" s="20">
        <f>IFERROR(AD18*100/AD27,"")</f>
        <v/>
      </c>
      <c r="AE28" s="35">
        <f>SUM(AA28:AD28)</f>
        <v/>
      </c>
      <c r="AF28" s="20">
        <f>IFERROR(AF18*100/AF27,"")</f>
        <v/>
      </c>
      <c r="AG28" s="20">
        <f>IFERROR(AG18*100/AG27,"")</f>
        <v/>
      </c>
      <c r="AH28" s="20">
        <f>IFERROR(AH18*100/AH27,"")</f>
        <v/>
      </c>
      <c r="AI28" s="20">
        <f>IFERROR(AI18*100/AI27,"")</f>
        <v/>
      </c>
      <c r="AJ28" s="35">
        <f>SUM(AF28:AI28)</f>
        <v/>
      </c>
      <c r="AK28" s="20">
        <f>IFERROR(AK18*100/AK27,"")</f>
        <v/>
      </c>
      <c r="AL28" s="20">
        <f>IFERROR(AL18*100/AL27,"")</f>
        <v/>
      </c>
      <c r="AM28" s="20">
        <f>IFERROR(AM18*100/AM27,"")</f>
        <v/>
      </c>
      <c r="AN28" s="20">
        <f>IFERROR(AN18*100/AN27,"")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IFERROR(E22*100/E27,"")</f>
        <v/>
      </c>
      <c r="F29" s="34">
        <f>E29</f>
        <v/>
      </c>
      <c r="G29" s="18">
        <f>IFERROR(G22*100/G27,"")</f>
        <v/>
      </c>
      <c r="H29" s="18">
        <f>IFERROR(H22*100/H27,"")</f>
        <v/>
      </c>
      <c r="I29" s="18">
        <f>IFERROR(I22*100/I27,"")</f>
        <v/>
      </c>
      <c r="J29" s="18">
        <f>IFERROR(J22*100/J27,"")</f>
        <v/>
      </c>
      <c r="K29" s="34">
        <f>J29</f>
        <v/>
      </c>
      <c r="L29" s="18">
        <f>IFERROR(L22*100/L27,"")</f>
        <v/>
      </c>
      <c r="M29" s="18">
        <f>IFERROR(M22*100/M27,"")</f>
        <v/>
      </c>
      <c r="N29" s="18">
        <f>IFERROR(N22*100/N27,"")</f>
        <v/>
      </c>
      <c r="O29" s="18">
        <f>IFERROR(O22*100/O27,"")</f>
        <v/>
      </c>
      <c r="P29" s="34">
        <f>O29</f>
        <v/>
      </c>
      <c r="Q29" s="18">
        <f>IFERROR(Q22*100/Q27,"")</f>
        <v/>
      </c>
      <c r="R29" s="18">
        <f>IFERROR(R22*100/R27,"")</f>
        <v/>
      </c>
      <c r="S29" s="18">
        <f>IFERROR(S22*100/S27,"")</f>
        <v/>
      </c>
      <c r="T29" s="18">
        <f>IFERROR(T22*100/T27,"")</f>
        <v/>
      </c>
      <c r="U29" s="34">
        <f>T29</f>
        <v/>
      </c>
      <c r="V29" s="18">
        <f>IFERROR(V22*100/V27,"")</f>
        <v/>
      </c>
      <c r="W29" s="18">
        <f>IFERROR(W22*100/W27,"")</f>
        <v/>
      </c>
      <c r="X29" s="18">
        <f>IFERROR(X22*100/X27,"")</f>
        <v/>
      </c>
      <c r="Y29" s="18">
        <f>IFERROR(Y22*100/Y27,"")</f>
        <v/>
      </c>
      <c r="Z29" s="34">
        <f>Y29</f>
        <v/>
      </c>
      <c r="AA29" s="18">
        <f>IFERROR(AA22*100/AA27,"")</f>
        <v/>
      </c>
      <c r="AB29" s="19">
        <f>IFERROR(AB22*100/AB27,"")</f>
        <v/>
      </c>
      <c r="AC29" s="20">
        <f>IFERROR(AC22*100/AC27,"")</f>
        <v/>
      </c>
      <c r="AD29" s="20">
        <f>IFERROR(AD22*100/AD27,"")</f>
        <v/>
      </c>
      <c r="AE29" s="35">
        <f>AD29</f>
        <v/>
      </c>
      <c r="AF29" s="20">
        <f>IFERROR(AF22*100/AF27,"")</f>
        <v/>
      </c>
      <c r="AG29" s="20">
        <f>IFERROR(AG22*100/AG27,"")</f>
        <v/>
      </c>
      <c r="AH29" s="20">
        <f>IFERROR(AH22*100/AH27,"")</f>
        <v/>
      </c>
      <c r="AI29" s="20">
        <f>IFERROR(AI22*100/AI27,"")</f>
        <v/>
      </c>
      <c r="AJ29" s="35">
        <f>AI29</f>
        <v/>
      </c>
      <c r="AK29" s="20">
        <f>IFERROR(AK22*100/AK27,"")</f>
        <v/>
      </c>
      <c r="AL29" s="20">
        <f>IFERROR(AL22*100/AL27,"")</f>
        <v/>
      </c>
      <c r="AM29" s="20">
        <f>IFERROR(AM22*100/AM27,"")</f>
        <v/>
      </c>
      <c r="AN29" s="20">
        <f>IFERROR(AN22*100/AN27,"")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35</v>
      </c>
      <c r="F30" s="34" t="n">
        <v>35</v>
      </c>
      <c r="G30" s="18" t="n"/>
      <c r="H30" s="18" t="n"/>
      <c r="I30" s="18" t="n"/>
      <c r="J30" s="18" t="n">
        <v>35</v>
      </c>
      <c r="K30" s="34">
        <f>SUM(G30:J30)</f>
        <v/>
      </c>
      <c r="L30" s="18" t="n"/>
      <c r="M30" s="18" t="n"/>
      <c r="N30" s="18" t="n"/>
      <c r="O30" s="18" t="n">
        <v>35</v>
      </c>
      <c r="P30" s="34">
        <f>SUM(L30:O30)</f>
        <v/>
      </c>
      <c r="Q30" s="18" t="n"/>
      <c r="R30" s="18" t="n"/>
      <c r="S30" s="18" t="n"/>
      <c r="T30" s="18" t="n">
        <v>10</v>
      </c>
      <c r="U30" s="34">
        <f>SUM(Q30:T30)</f>
        <v/>
      </c>
      <c r="V30" s="18" t="n"/>
      <c r="W30" s="18" t="n"/>
      <c r="X30" s="18" t="n"/>
      <c r="Y30" s="18" t="n">
        <v>10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51.74</v>
      </c>
      <c r="J31" s="18" t="n">
        <v>36.6</v>
      </c>
      <c r="K31" s="34">
        <f>SUM(G31:J31)</f>
        <v/>
      </c>
      <c r="L31" s="18" t="n">
        <v>38.38</v>
      </c>
      <c r="M31" s="18" t="n">
        <v>30</v>
      </c>
      <c r="N31" s="18" t="n">
        <v>45.5</v>
      </c>
      <c r="O31" s="18" t="n">
        <v>30.19</v>
      </c>
      <c r="P31" s="34">
        <f>SUM(L31:O31)</f>
        <v/>
      </c>
      <c r="Q31" s="18" t="n">
        <v>55.55</v>
      </c>
      <c r="R31" s="18" t="n">
        <v>68.66</v>
      </c>
      <c r="S31" s="18" t="n">
        <v>67.38</v>
      </c>
      <c r="T31" s="18" t="n">
        <v>120.86</v>
      </c>
      <c r="U31" s="34">
        <f>SUM(Q31:T31)</f>
        <v/>
      </c>
      <c r="V31" s="18" t="n">
        <v>153.55</v>
      </c>
      <c r="W31" s="18" t="n"/>
      <c r="X31" s="18" t="n">
        <v>100.5</v>
      </c>
      <c r="Y31" s="18" t="n">
        <v>41.81</v>
      </c>
      <c r="Z31" s="34">
        <f>SUM(V31:Y31)</f>
        <v/>
      </c>
      <c r="AA31" s="18" t="n">
        <v>36.34</v>
      </c>
      <c r="AB31" s="19" t="n">
        <v>22.42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1.09</v>
      </c>
      <c r="F32" s="34" t="n">
        <v>1.04</v>
      </c>
      <c r="G32" s="18" t="n">
        <v>1.06</v>
      </c>
      <c r="H32" s="18" t="n">
        <v>1.4</v>
      </c>
      <c r="I32" s="18" t="n">
        <v>1.33</v>
      </c>
      <c r="J32" s="18" t="n">
        <v>1.24</v>
      </c>
      <c r="K32" s="34">
        <f>SUM(G32:J32)</f>
        <v/>
      </c>
      <c r="L32" s="18" t="n">
        <v>1.17</v>
      </c>
      <c r="M32" s="18" t="n">
        <v>1.11</v>
      </c>
      <c r="N32" s="18" t="n">
        <v>1.01</v>
      </c>
      <c r="O32" s="18" t="n">
        <v>0.89</v>
      </c>
      <c r="P32" s="34">
        <f>SUM(L32:O32)</f>
        <v/>
      </c>
      <c r="Q32" s="18" t="n">
        <v>0.92</v>
      </c>
      <c r="R32" s="18" t="n">
        <v>0.88</v>
      </c>
      <c r="S32" s="18" t="n">
        <v>0.83</v>
      </c>
      <c r="T32" s="18" t="n">
        <v>0.73</v>
      </c>
      <c r="U32" s="34">
        <f>SUM(Q32:T32)</f>
        <v/>
      </c>
      <c r="V32" s="18" t="n">
        <v>0.73</v>
      </c>
      <c r="W32" s="18" t="n">
        <v>0.68</v>
      </c>
      <c r="X32" s="18" t="n">
        <v>0.7</v>
      </c>
      <c r="Y32" s="18" t="n">
        <v>0.74</v>
      </c>
      <c r="Z32" s="34">
        <f>SUM(V32:Y32)</f>
        <v/>
      </c>
      <c r="AA32" s="18" t="n">
        <v>0.89</v>
      </c>
      <c r="AB32" s="19" t="n">
        <v>0.74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124.31</v>
      </c>
      <c r="F33" s="34" t="n"/>
      <c r="G33" s="18" t="n">
        <v>119.67</v>
      </c>
      <c r="H33" s="18" t="n">
        <v>119.47</v>
      </c>
      <c r="I33" s="18" t="n">
        <v>142.22</v>
      </c>
      <c r="J33" s="18" t="n">
        <v>122.82</v>
      </c>
      <c r="K33" s="34">
        <f>SUM(G33:J33)</f>
        <v/>
      </c>
      <c r="L33" s="18" t="n">
        <v>126.09</v>
      </c>
      <c r="M33" s="18" t="n">
        <v>115.03</v>
      </c>
      <c r="N33" s="18" t="n">
        <v>107.08</v>
      </c>
      <c r="O33" s="18" t="n">
        <v>110.18</v>
      </c>
      <c r="P33" s="34">
        <f>SUM(L33:O33)</f>
        <v/>
      </c>
      <c r="Q33" s="18" t="n">
        <v>104.55</v>
      </c>
      <c r="R33" s="18" t="n">
        <v>110.69</v>
      </c>
      <c r="S33" s="18" t="n">
        <v>110.5</v>
      </c>
      <c r="T33" s="18" t="n">
        <v>97.97</v>
      </c>
      <c r="U33" s="34">
        <f>SUM(Q33:T33)</f>
        <v/>
      </c>
      <c r="V33" s="18" t="n">
        <v>97.77</v>
      </c>
      <c r="W33" s="18" t="n">
        <v>114.4</v>
      </c>
      <c r="X33" s="18" t="n">
        <v>124.33</v>
      </c>
      <c r="Y33" s="18" t="n">
        <v>128.52</v>
      </c>
      <c r="Z33" s="34">
        <f>SUM(V33:Y33)</f>
        <v/>
      </c>
      <c r="AA33" s="18" t="n">
        <v>110.44</v>
      </c>
      <c r="AB33" s="19" t="n">
        <v>134.65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-7.49</v>
      </c>
      <c r="F34" s="34" t="n"/>
      <c r="G34" s="18" t="n">
        <v>5.49</v>
      </c>
      <c r="H34" s="18" t="n">
        <v>4.64</v>
      </c>
      <c r="I34" s="18" t="n">
        <v>5.21</v>
      </c>
      <c r="J34" s="18" t="n">
        <v>0.76</v>
      </c>
      <c r="K34" s="34">
        <f>SUM(G34:J34)</f>
        <v/>
      </c>
      <c r="L34" s="18" t="n">
        <v>1.84</v>
      </c>
      <c r="M34" s="18" t="n">
        <v>8.199999999999999</v>
      </c>
      <c r="N34" s="18" t="n">
        <v>-5.24</v>
      </c>
      <c r="O34" s="18" t="n">
        <v>1.34</v>
      </c>
      <c r="P34" s="34">
        <f>SUM(L34:O34)</f>
        <v/>
      </c>
      <c r="Q34" s="18" t="n">
        <v>-7.16</v>
      </c>
      <c r="R34" s="18" t="n">
        <v>2.53</v>
      </c>
      <c r="S34" s="18" t="n">
        <v>-4.14</v>
      </c>
      <c r="T34" s="18" t="n">
        <v>-4.17</v>
      </c>
      <c r="U34" s="34">
        <f>SUM(Q34:T34)</f>
        <v/>
      </c>
      <c r="V34" s="18" t="n">
        <v>-7.66</v>
      </c>
      <c r="W34" s="18" t="n">
        <v>3.68</v>
      </c>
      <c r="X34" s="18" t="n">
        <v>1.52</v>
      </c>
      <c r="Y34" s="18" t="n">
        <v>2.9</v>
      </c>
      <c r="Z34" s="34">
        <f>SUM(V34:Y34)</f>
        <v/>
      </c>
      <c r="AA34" s="18" t="n">
        <v>-3.69</v>
      </c>
      <c r="AB34" s="19" t="n">
        <v>9.630000000000001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1">
        <f>IFERROR(AC18/AC5,"")</f>
        <v/>
      </c>
      <c r="AD37" s="31">
        <f>IFERROR(AD18/AD5,"")</f>
        <v/>
      </c>
      <c r="AE37" s="25">
        <f>IFERROR(AE18/AE5,"")</f>
        <v/>
      </c>
      <c r="AF37" s="31">
        <f>IFERROR(AF18/AF5,"")</f>
        <v/>
      </c>
      <c r="AG37" s="31">
        <f>IFERROR(AG18/AG5,"")</f>
        <v/>
      </c>
      <c r="AH37" s="31">
        <f>IFERROR(AH18/AH5,"")</f>
        <v/>
      </c>
      <c r="AI37" s="31">
        <f>IFERROR(AI18/AI5,"")</f>
        <v/>
      </c>
      <c r="AJ37" s="25">
        <f>IFERROR(AJ18/AJ5,"")</f>
        <v/>
      </c>
      <c r="AK37" s="31">
        <f>IFERROR(AK18/AK5,"")</f>
        <v/>
      </c>
      <c r="AL37" s="31">
        <f>IFERROR(AL18/AL5,"")</f>
        <v/>
      </c>
      <c r="AM37" s="31">
        <f>IFERROR(AM18/AM5,"")</f>
        <v/>
      </c>
      <c r="AN37" s="31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2">
        <f>IFERROR(W18/S18-1,"")</f>
        <v/>
      </c>
      <c r="X39" s="31">
        <f>IFERROR(X18/T18-1,"")</f>
        <v/>
      </c>
      <c r="Y39" s="31">
        <f>IFERROR(Y18/U18-1,"")</f>
        <v/>
      </c>
      <c r="Z39" s="31">
        <f>IFERROR(Z18/V18-1,"")</f>
        <v/>
      </c>
      <c r="AA39" s="31">
        <f>IFERROR(AA18/W18-1,"")</f>
        <v/>
      </c>
      <c r="AB39" s="31">
        <f>IFERROR(AB18/X18-1,"")</f>
        <v/>
      </c>
      <c r="AC39" s="31">
        <f>IFERROR(AC18/Y18-1,"")</f>
        <v/>
      </c>
      <c r="AD39" s="31">
        <f>IFERROR(AD18/Z18-1,"")</f>
        <v/>
      </c>
      <c r="AE39" s="31">
        <f>IFERROR(AE18/AA18-1,"")</f>
        <v/>
      </c>
      <c r="AF39" s="31">
        <f>IFERROR(AF18/AB18-1,"")</f>
        <v/>
      </c>
      <c r="AG39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2">
        <f>IFERROR(I18/H18-1,"")</f>
        <v/>
      </c>
      <c r="J39" s="31">
        <f>IFERROR(J18/I18-1,"")</f>
        <v/>
      </c>
      <c r="K39" s="31">
        <f>IFERROR(K18/J18-1,"")</f>
        <v/>
      </c>
      <c r="L39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2.9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1062.07</v>
      </c>
    </row>
    <row r="32">
      <c r="C32" s="2" t="inlineStr">
        <is>
          <t>pbr_now</t>
        </is>
      </c>
      <c r="D32" t="n">
        <v>0.57</v>
      </c>
    </row>
    <row r="33">
      <c r="C33" s="2" t="inlineStr">
        <is>
          <t>roe_fwd</t>
        </is>
      </c>
      <c r="D33" t="n">
        <v>0.0005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