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255224억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264597억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273359억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283476억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297542억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314861억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333890억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353131억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370586억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255224억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264597억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273359억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283476억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297542억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314861억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333890억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353131억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370586억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3264.2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0.287368306</v>
      </c>
      <c r="AE21" s="25" t="n"/>
      <c r="AF21" s="24" t="n">
        <v>0.520130318</v>
      </c>
      <c r="AG21" s="24" t="n">
        <v>0.334039355</v>
      </c>
      <c r="AH21" s="24" t="n">
        <v>0.179354676</v>
      </c>
      <c r="AI21" s="24" t="n">
        <v>0.165790269</v>
      </c>
      <c r="AJ21" s="25" t="n"/>
      <c r="AK21" s="24" t="n">
        <v>0.189957112</v>
      </c>
      <c r="AL21" s="24" t="n">
        <v>0.221399544</v>
      </c>
      <c r="AM21" s="24" t="n">
        <v>0.245751844</v>
      </c>
      <c r="AN21" s="24" t="n">
        <v>0.245489423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-0.010577214</v>
      </c>
      <c r="AE23" s="25">
        <f>IFERROR(subQ!AE9/subQ!AE5,"")</f>
        <v/>
      </c>
      <c r="AF23" s="24" t="n">
        <v>-0.010543245</v>
      </c>
      <c r="AG23" s="24" t="n">
        <v>-0.010577298</v>
      </c>
      <c r="AH23" s="24" t="n">
        <v>-0.010580314</v>
      </c>
      <c r="AI23" s="24" t="n">
        <v>-0.010576524</v>
      </c>
      <c r="AJ23" s="25">
        <f>IFERROR(subQ!AJ9/subQ!AJ5,"")</f>
        <v/>
      </c>
      <c r="AK23" s="24" t="n">
        <v>-0.010562146</v>
      </c>
      <c r="AL23" s="24" t="n">
        <v>-0.010574294</v>
      </c>
      <c r="AM23" s="24" t="n">
        <v>-0.010552053</v>
      </c>
      <c r="AN23" s="24" t="n">
        <v>-0.010573201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-0.005511141</v>
      </c>
      <c r="AD29" s="30" t="n">
        <v>-0.000133459</v>
      </c>
      <c r="AE29" s="31" t="n"/>
      <c r="AF29" s="30" t="n">
        <v>-0.004203949</v>
      </c>
      <c r="AG29" s="30" t="n">
        <v>1.259318218</v>
      </c>
      <c r="AH29" s="30" t="n">
        <v>-0.005676158</v>
      </c>
      <c r="AI29" s="30" t="n">
        <v>-0.006607196</v>
      </c>
      <c r="AJ29" s="31" t="n"/>
      <c r="AK29" s="30" t="n">
        <v>0.00134453</v>
      </c>
      <c r="AL29" s="30" t="n">
        <v>1.257806335</v>
      </c>
      <c r="AM29" s="30" t="n">
        <v>0.006895388</v>
      </c>
      <c r="AN29" s="30" t="n">
        <v>-0.003904776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-0.008517979</v>
      </c>
      <c r="AD30" s="30" t="n">
        <v>-0.002369354</v>
      </c>
      <c r="AE30" s="31" t="n"/>
      <c r="AF30" s="30" t="n">
        <v>0.003756945</v>
      </c>
      <c r="AG30" s="30" t="n">
        <v>1.248768313</v>
      </c>
      <c r="AH30" s="30" t="n">
        <v>0.00510253</v>
      </c>
      <c r="AI30" s="30" t="n">
        <v>-0.004976327</v>
      </c>
      <c r="AJ30" s="31" t="n"/>
      <c r="AK30" s="30" t="n">
        <v>0.003983069</v>
      </c>
      <c r="AL30" s="30" t="n">
        <v>1.253431421</v>
      </c>
      <c r="AM30" s="30" t="n">
        <v>0.004910837</v>
      </c>
      <c r="AN30" s="30" t="n">
        <v>0.005380606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-0.011290637</v>
      </c>
      <c r="AN32" s="24" t="n">
        <v>-0.012994684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-0.006147324</v>
      </c>
      <c r="AN33" s="24" t="n">
        <v>-0.007038498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3170</v>
      </c>
      <c r="E41" s="2" t="inlineStr">
        <is>
          <t>원 — 네이버 정규장 종가(aik 확정종가 대조 · aik 3,270원)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0.1471512557929009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0.07448417616083117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-0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-0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720.45</v>
      </c>
    </row>
    <row r="32">
      <c r="C32" s="2" t="inlineStr">
        <is>
          <t>pbr_now</t>
        </is>
      </c>
      <c r="D32" t="n">
        <v>0.58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