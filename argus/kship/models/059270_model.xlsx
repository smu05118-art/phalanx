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(1+3.9%) — g=최근 4분기 합 YoY 3.9% 클립(−30~+50%), 연차별 절반 감쇠(가정)</t>
      </text>
    </comment>
    <comment ref="AD21" authorId="0" shapeId="0">
      <text>
        <t>모델값 역산(implied): v / 전년동기 − 1
전년동기 × (1+3.9%) — g=최근 4분기 합 YoY 3.9% 클립(−30~+50%), 연차별 절반 감쇠(가정)</t>
      </text>
    </comment>
    <comment ref="AF21" authorId="0" shapeId="0">
      <text>
        <t>모델값 역산(implied): v / 전년동기 − 1
전년동기 × (1+3.9%) — g=최근 4분기 합 YoY 3.9% 클립(−30~+50%), 연차별 절반 감쇠(가정)</t>
      </text>
    </comment>
    <comment ref="AG21" authorId="0" shapeId="0">
      <text>
        <t>모델값 역산(implied): v / 전년동기 − 1
전년동기 × (1+3.9%) — g=최근 4분기 합 YoY 3.9% 클립(−30~+50%), 연차별 절반 감쇠(가정)</t>
      </text>
    </comment>
    <comment ref="AH21" authorId="0" shapeId="0">
      <text>
        <t>모델값 역산(implied): v / 전년동기 − 1
전년동기 × (1+2.0%) — g=최근 4분기 합 YoY 3.9% 클립(−30~+50%), 연차별 절반 감쇠(가정)</t>
      </text>
    </comment>
    <comment ref="AI21" authorId="0" shapeId="0">
      <text>
        <t>모델값 역산(implied): v / 전년동기 − 1
전년동기 × (1+2.0%) — g=최근 4분기 합 YoY 3.9% 클립(−30~+50%), 연차별 절반 감쇠(가정)</t>
      </text>
    </comment>
    <comment ref="AK21" authorId="0" shapeId="0">
      <text>
        <t>모델값 역산(implied): v / 전년동기 − 1
전년동기 × (1+2.0%) — g=최근 4분기 합 YoY 3.9% 클립(−30~+50%), 연차별 절반 감쇠(가정)</t>
      </text>
    </comment>
    <comment ref="AL21" authorId="0" shapeId="0">
      <text>
        <t>모델값 역산(implied): v / 전년동기 − 1
전년동기 × (1+2.0%) — g=최근 4분기 합 YoY 3.9% 클립(−30~+50%), 연차별 절반 감쇠(가정)</t>
      </text>
    </comment>
    <comment ref="AM21" authorId="0" shapeId="0">
      <text>
        <t>모델값 역산(implied): v / 전년동기 − 1
전년동기 × (1+1.0%) — g=최근 4분기 합 YoY 3.9% 클립(−30~+50%), 연차별 절반 감쇠(가정)</t>
      </text>
    </comment>
    <comment ref="AN21" authorId="0" shapeId="0">
      <text>
        <t>모델값 역산(implied): v / 전년동기 − 1
전년동기 × (1+1.0%) — g=최근 4분기 합 YoY 3.9% 클립(−30~+50%), 연차별 절반 감쇠(가정)</t>
      </text>
    </comment>
    <comment ref="AC22" authorId="0" shapeId="0">
      <text>
        <t>모델값 역산(implied): v / 매출액
매출액 × 판관비율 19.02%(최근 4분기 중위)</t>
      </text>
    </comment>
    <comment ref="AD22" authorId="0" shapeId="0">
      <text>
        <t>모델값 역산(implied): v / 매출액
매출액 × 판관비율 19.02%(최근 4분기 중위)</t>
      </text>
    </comment>
    <comment ref="AF22" authorId="0" shapeId="0">
      <text>
        <t>모델값 역산(implied): v / 매출액
매출액 × 판관비율 19.02%(최근 4분기 중위)</t>
      </text>
    </comment>
    <comment ref="AG22" authorId="0" shapeId="0">
      <text>
        <t>모델값 역산(implied): v / 매출액
매출액 × 판관비율 19.02%(최근 4분기 중위)</t>
      </text>
    </comment>
    <comment ref="AH22" authorId="0" shapeId="0">
      <text>
        <t>모델값 역산(implied): v / 매출액
매출액 × 판관비율 19.02%(최근 4분기 중위)</t>
      </text>
    </comment>
    <comment ref="AI22" authorId="0" shapeId="0">
      <text>
        <t>모델값 역산(implied): v / 매출액
매출액 × 판관비율 19.02%(최근 4분기 중위)</t>
      </text>
    </comment>
    <comment ref="AK22" authorId="0" shapeId="0">
      <text>
        <t>모델값 역산(implied): v / 매출액
매출액 × 판관비율 19.02%(최근 4분기 중위)</t>
      </text>
    </comment>
    <comment ref="AL22" authorId="0" shapeId="0">
      <text>
        <t>모델값 역산(implied): v / 매출액
매출액 × 판관비율 19.02%(최근 4분기 중위)</t>
      </text>
    </comment>
    <comment ref="AM22" authorId="0" shapeId="0">
      <text>
        <t>모델값 역산(implied): v / 매출액
매출액 × 판관비율 19.02%(최근 4분기 중위)</t>
      </text>
    </comment>
    <comment ref="AN22" authorId="0" shapeId="0">
      <text>
        <t>모델값 역산(implied): v / 매출액
매출액 × 판관비율 19.02%(최근 4분기 중위)</t>
      </text>
    </comment>
    <comment ref="AC23" authorId="0" shapeId="0">
      <text>
        <t>모델값 역산(implied): v / 매출액
매출액 × OPM(최근 8분기 OPM 중위 -5.8% 유지(클립 −20~40%))</t>
      </text>
    </comment>
    <comment ref="AD23" authorId="0" shapeId="0">
      <text>
        <t>모델값 역산(implied): v / 매출액
매출액 × OPM(최근 8분기 OPM 중위 -5.8% 유지(클립 −20~40%))</t>
      </text>
    </comment>
    <comment ref="AF23" authorId="0" shapeId="0">
      <text>
        <t>모델값 역산(implied): v / 매출액
매출액 × OPM(최근 8분기 OPM 중위 -5.8% 유지(클립 −20~40%))</t>
      </text>
    </comment>
    <comment ref="AG23" authorId="0" shapeId="0">
      <text>
        <t>모델값 역산(implied): v / 매출액
매출액 × OPM(최근 8분기 OPM 중위 -5.8% 유지(클립 −20~40%))</t>
      </text>
    </comment>
    <comment ref="AH23" authorId="0" shapeId="0">
      <text>
        <t>모델값 역산(implied): v / 매출액
매출액 × OPM(최근 8분기 OPM 중위 -5.8% 유지(클립 −20~40%))</t>
      </text>
    </comment>
    <comment ref="AI23" authorId="0" shapeId="0">
      <text>
        <t>모델값 역산(implied): v / 매출액
매출액 × OPM(최근 8분기 OPM 중위 -5.8% 유지(클립 −20~40%))</t>
      </text>
    </comment>
    <comment ref="AK23" authorId="0" shapeId="0">
      <text>
        <t>모델값 역산(implied): v / 매출액
매출액 × OPM(최근 8분기 OPM 중위 -5.8% 유지(클립 −20~40%))</t>
      </text>
    </comment>
    <comment ref="AL23" authorId="0" shapeId="0">
      <text>
        <t>모델값 역산(implied): v / 매출액
매출액 × OPM(최근 8분기 OPM 중위 -5.8% 유지(클립 −20~40%))</t>
      </text>
    </comment>
    <comment ref="AM23" authorId="0" shapeId="0">
      <text>
        <t>모델값 역산(implied): v / 매출액
매출액 × OPM(최근 8분기 OPM 중위 -5.8% 유지(클립 −20~40%))</t>
      </text>
    </comment>
    <comment ref="AN23" authorId="0" shapeId="0">
      <text>
        <t>모델값 역산(implied): v / 매출액
매출액 × OPM(최근 8분기 OPM 중위 -5.8% 유지(클립 −20~40%))</t>
      </text>
    </comment>
    <comment ref="AC24" authorId="0" shapeId="0">
      <text>
        <t>모델값 역산(implied): v / 전년동기 − 1
최근 8분기 OPM 중위 -5.8% 유지(클립 −20~40%)</t>
      </text>
    </comment>
    <comment ref="AD24" authorId="0" shapeId="0">
      <text>
        <t>모델값 역산(implied): v / 전년동기 − 1
최근 8분기 OPM 중위 -5.8% 유지(클립 −20~40%)</t>
      </text>
    </comment>
    <comment ref="AF24" authorId="0" shapeId="0">
      <text>
        <t>모델값 역산(implied): v / 전년동기 − 1
최근 8분기 OPM 중위 -5.8% 유지(클립 −20~40%)</t>
      </text>
    </comment>
    <comment ref="AG24" authorId="0" shapeId="0">
      <text>
        <t>모델값 역산(implied): v / 전년동기 − 1
최근 8분기 OPM 중위 -5.8% 유지(클립 −20~40%)</t>
      </text>
    </comment>
    <comment ref="AH24" authorId="0" shapeId="0">
      <text>
        <t>모델값 역산(implied): v / 전년동기 − 1
최근 8분기 OPM 중위 -5.8% 유지(클립 −20~40%)</t>
      </text>
    </comment>
    <comment ref="AI24" authorId="0" shapeId="0">
      <text>
        <t>모델값 역산(implied): v / 전년동기 − 1
최근 8분기 OPM 중위 -5.8% 유지(클립 −20~40%)</t>
      </text>
    </comment>
    <comment ref="AK24" authorId="0" shapeId="0">
      <text>
        <t>모델값 역산(implied): v / 전년동기 − 1
최근 8분기 OPM 중위 -5.8% 유지(클립 −20~40%)</t>
      </text>
    </comment>
    <comment ref="AL24" authorId="0" shapeId="0">
      <text>
        <t>모델값 역산(implied): v / 전년동기 − 1
최근 8분기 OPM 중위 -5.8% 유지(클립 −20~40%)</t>
      </text>
    </comment>
    <comment ref="AM24" authorId="0" shapeId="0">
      <text>
        <t>모델값 역산(implied): v / 전년동기 − 1
최근 8분기 OPM 중위 -5.8% 유지(클립 −20~40%)</t>
      </text>
    </comment>
    <comment ref="AN24" authorId="0" shapeId="0">
      <text>
        <t>모델값 역산(implied): v / 전년동기 − 1
최근 8분기 OPM 중위 -5.8%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240억 × 2.03%(주석 이자수익 ÷ 평균 이자발생자산(2025Q3~2026Q2)) − 총차입금 231억 × 0.00%(없음)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239억 × 2.03%(주석 이자수익 ÷ 평균 이자발생자산(2025Q3~2026Q2)) − 총차입금 231억 × 0.00%(없음)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238억 × 2.03%(주석 이자수익 ÷ 평균 이자발생자산(2025Q3~2026Q2)) − 총차입금 231억 × 0.00%(없음)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237억 × 2.03%(주석 이자수익 ÷ 평균 이자발생자산(2025Q3~2026Q2)) − 총차입금 231억 × 0.00%(없음)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236억 × 2.03%(주석 이자수익 ÷ 평균 이자발생자산(2025Q3~2026Q2)) − 총차입금 231억 × 0.00%(없음)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235억 × 2.03%(주석 이자수익 ÷ 평균 이자발생자산(2025Q3~2026Q2)) − 총차입금 231억 × 0.00%(없음)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234억 × 2.03%(주석 이자수익 ÷ 평균 이자발생자산(2025Q3~2026Q2)) − 총차입금 231억 × 0.00%(없음)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233억 × 2.03%(주석 이자수익 ÷ 평균 이자발생자산(2025Q3~2026Q2)) − 총차입금 231억 × 0.00%(없음)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232억 × 2.03%(주석 이자수익 ÷ 평균 이자발생자산(2025Q3~2026Q2)) − 총차입금 231억 × 0.00%(없음)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231억 × 2.03%(주석 이자수익 ÷ 평균 이자발생자산(2025Q3~2026Q2)) − 총차입금 231억 × 0.00%(없음) (연율) ÷ 4; 환율 효과는 환관련손익 행 별도</t>
      </text>
    </comment>
    <comment ref="AC26" authorId="0" shapeId="0">
      <text>
        <t>모델값 역산(implied): 모델 v 그대로
이자발생자산 240억 × 2.03%(주석 이자수익 ÷ 평균 이자발생자산(2025Q3~2026Q2)) − 총차입금 231억 × 0.00%(없음) (연율) ÷ 4</t>
      </text>
    </comment>
    <comment ref="AD26" authorId="0" shapeId="0">
      <text>
        <t>모델값 역산(implied): 모델 v 그대로
이자발생자산 239억 × 2.03%(주석 이자수익 ÷ 평균 이자발생자산(2025Q3~2026Q2)) − 총차입금 231억 × 0.00%(없음) (연율) ÷ 4</t>
      </text>
    </comment>
    <comment ref="AF26" authorId="0" shapeId="0">
      <text>
        <t>모델값 역산(implied): 모델 v 그대로
이자발생자산 238억 × 2.03%(주석 이자수익 ÷ 평균 이자발생자산(2025Q3~2026Q2)) − 총차입금 231억 × 0.00%(없음) (연율) ÷ 4</t>
      </text>
    </comment>
    <comment ref="AG26" authorId="0" shapeId="0">
      <text>
        <t>모델값 역산(implied): 모델 v 그대로
이자발생자산 237억 × 2.03%(주석 이자수익 ÷ 평균 이자발생자산(2025Q3~2026Q2)) − 총차입금 231억 × 0.00%(없음) (연율) ÷ 4</t>
      </text>
    </comment>
    <comment ref="AH26" authorId="0" shapeId="0">
      <text>
        <t>모델값 역산(implied): 모델 v 그대로
이자발생자산 236억 × 2.03%(주석 이자수익 ÷ 평균 이자발생자산(2025Q3~2026Q2)) − 총차입금 231억 × 0.00%(없음) (연율) ÷ 4</t>
      </text>
    </comment>
    <comment ref="AI26" authorId="0" shapeId="0">
      <text>
        <t>모델값 역산(implied): 모델 v 그대로
이자발생자산 235억 × 2.03%(주석 이자수익 ÷ 평균 이자발생자산(2025Q3~2026Q2)) − 총차입금 231억 × 0.00%(없음) (연율) ÷ 4</t>
      </text>
    </comment>
    <comment ref="AK26" authorId="0" shapeId="0">
      <text>
        <t>모델값 역산(implied): 모델 v 그대로
이자발생자산 234억 × 2.03%(주석 이자수익 ÷ 평균 이자발생자산(2025Q3~2026Q2)) − 총차입금 231억 × 0.00%(없음) (연율) ÷ 4</t>
      </text>
    </comment>
    <comment ref="AL26" authorId="0" shapeId="0">
      <text>
        <t>모델값 역산(implied): 모델 v 그대로
이자발생자산 233억 × 2.03%(주석 이자수익 ÷ 평균 이자발생자산(2025Q3~2026Q2)) − 총차입금 231억 × 0.00%(없음) (연율) ÷ 4</t>
      </text>
    </comment>
    <comment ref="AM26" authorId="0" shapeId="0">
      <text>
        <t>모델값 역산(implied): 모델 v 그대로
이자발생자산 232억 × 2.03%(주석 이자수익 ÷ 평균 이자발생자산(2025Q3~2026Q2)) − 총차입금 231억 × 0.00%(없음) (연율) ÷ 4</t>
      </text>
    </comment>
    <comment ref="AN26" authorId="0" shapeId="0">
      <text>
        <t>모델값 역산(implied): 모델 v 그대로
이자발생자산 231억 × 2.03%(주석 이자수익 ÷ 평균 이자발생자산(2025Q3~2026Q2)) − 총차입금 231억 × 0.00%(없음) (연율) ÷ 4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AF28" authorId="0" shapeId="0">
      <text>
        <t>모델값 역산(implied): 모델 v 그대로
일회성 미가정 → 0</t>
      </text>
    </comment>
    <comment ref="AG28" authorId="0" shapeId="0">
      <text>
        <t>모델값 역산(implied): 모델 v 그대로
일회성 미가정 → 0</t>
      </text>
    </comment>
    <comment ref="AH28" authorId="0" shapeId="0">
      <text>
        <t>모델값 역산(implied): 모델 v 그대로
일회성 미가정 → 0</t>
      </text>
    </comment>
    <comment ref="AI28" authorId="0" shapeId="0">
      <text>
        <t>모델값 역산(implied): 모델 v 그대로
일회성 미가정 → 0</t>
      </text>
    </comment>
    <comment ref="AK28" authorId="0" shapeId="0">
      <text>
        <t>모델값 역산(implied): 모델 v 그대로
일회성 미가정 → 0</t>
      </text>
    </comment>
    <comment ref="AL28" authorId="0" shapeId="0">
      <text>
        <t>모델값 역산(implied): 모델 v 그대로
일회성 미가정 → 0</t>
      </text>
    </comment>
    <comment ref="AM28" authorId="0" shapeId="0">
      <text>
        <t>모델값 역산(implied): 모델 v 그대로
일회성 미가정 → 0</t>
      </text>
    </comment>
    <comment ref="AN28" authorId="0" shapeId="0">
      <text>
        <t>모델값 역산(implied): 모델 v 그대로
일회성 미가정 → 0</t>
      </text>
    </comment>
    <comment ref="AC29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30" authorId="0" shapeId="0">
      <text>
        <t>모델값 역산(implied): v / 당기순이익
당기순이익 × (1 − 비지배 비중 0.0%, 최근 8분기 실측)</t>
      </text>
    </comment>
    <comment ref="AD30" authorId="0" shapeId="0">
      <text>
        <t>모델값 역산(implied): v / 당기순이익
당기순이익 × (1 − 비지배 비중 0.0%, 최근 8분기 실측)</t>
      </text>
    </comment>
    <comment ref="AF30" authorId="0" shapeId="0">
      <text>
        <t>모델값 역산(implied): v / 당기순이익
당기순이익 × (1 − 비지배 비중 0.0%, 최근 8분기 실측)</t>
      </text>
    </comment>
    <comment ref="AG30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당기순이익
당기순이익 × (1 − 비지배 비중 0.0%, 최근 8분기 실측)</t>
      </text>
    </comment>
    <comment ref="AI30" authorId="0" shapeId="0">
      <text>
        <t>모델값 역산(implied): v / 당기순이익
당기순이익 × (1 − 비지배 비중 0.0%, 최근 8분기 실측)</t>
      </text>
    </comment>
    <comment ref="AK30" authorId="0" shapeId="0">
      <text>
        <t>모델값 역산(implied): v / 당기순이익
당기순이익 × (1 − 비지배 비중 0.0%, 최근 8분기 실측)</t>
      </text>
    </comment>
    <comment ref="AL30" authorId="0" shapeId="0">
      <text>
        <t>모델값 역산(implied): v / 당기순이익
당기순이익 × (1 − 비지배 비중 0.0%, 최근 8분기 실측)</t>
      </text>
    </comment>
    <comment ref="AM30" authorId="0" shapeId="0">
      <text>
        <t>모델값 역산(implied): v / 당기순이익
당기순이익 × (1 − 비지배 비중 0.0%, 최근 8분기 실측)</t>
      </text>
    </comment>
    <comment ref="AN30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(1+3.9%) — g=최근 4분기 합 YoY 3.9% 클립(−30~+50%), 연차별 절반 감쇠(가정)
[yoy]</t>
      </text>
    </comment>
    <comment ref="AD5" authorId="0" shapeId="0">
      <text>
        <t>추정: 전년동기 × (1+3.9%) — g=최근 4분기 합 YoY 3.9% 클립(−30~+50%), 연차별 절반 감쇠(가정)
[yoy]</t>
      </text>
    </comment>
    <comment ref="AF5" authorId="0" shapeId="0">
      <text>
        <t>추정: 전년동기 × (1+3.9%) — g=최근 4분기 합 YoY 3.9% 클립(−30~+50%), 연차별 절반 감쇠(가정)
[yoy]</t>
      </text>
    </comment>
    <comment ref="AG5" authorId="0" shapeId="0">
      <text>
        <t>추정: 전년동기 × (1+3.9%) — g=최근 4분기 합 YoY 3.9% 클립(−30~+50%), 연차별 절반 감쇠(가정)
[yoy]</t>
      </text>
    </comment>
    <comment ref="AH5" authorId="0" shapeId="0">
      <text>
        <t>추정: 전년동기 × (1+2.0%) — g=최근 4분기 합 YoY 3.9% 클립(−30~+50%), 연차별 절반 감쇠(가정)
[yoy]</t>
      </text>
    </comment>
    <comment ref="AI5" authorId="0" shapeId="0">
      <text>
        <t>추정: 전년동기 × (1+2.0%) — g=최근 4분기 합 YoY 3.9% 클립(−30~+50%), 연차별 절반 감쇠(가정)
[yoy]</t>
      </text>
    </comment>
    <comment ref="AK5" authorId="0" shapeId="0">
      <text>
        <t>추정: 전년동기 × (1+2.0%) — g=최근 4분기 합 YoY 3.9% 클립(−30~+50%), 연차별 절반 감쇠(가정)
[yoy]</t>
      </text>
    </comment>
    <comment ref="AL5" authorId="0" shapeId="0">
      <text>
        <t>추정: 전년동기 × (1+2.0%) — g=최근 4분기 합 YoY 3.9% 클립(−30~+50%), 연차별 절반 감쇠(가정)
[yoy]</t>
      </text>
    </comment>
    <comment ref="AM5" authorId="0" shapeId="0">
      <text>
        <t>추정: 전년동기 × (1+1.0%) — g=최근 4분기 합 YoY 3.9% 클립(−30~+50%), 연차별 절반 감쇠(가정)
[yoy]</t>
      </text>
    </comment>
    <comment ref="AN5" authorId="0" shapeId="0">
      <text>
        <t>추정: 전년동기 × (1+1.0%) — g=최근 4분기 합 YoY 3.9%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유지(클립 −20~40%))
[ratio]</t>
      </text>
    </comment>
    <comment ref="AD9" authorId="0" shapeId="0">
      <text>
        <t>추정: 매출액 × OPM(최근 8분기 OPM 중위 -5.8% 유지(클립 −20~40%))
[ratio]</t>
      </text>
    </comment>
    <comment ref="AF9" authorId="0" shapeId="0">
      <text>
        <t>추정: 매출액 × OPM(최근 8분기 OPM 중위 -5.8% 유지(클립 −20~40%))
[ratio]</t>
      </text>
    </comment>
    <comment ref="AG9" authorId="0" shapeId="0">
      <text>
        <t>추정: 매출액 × OPM(최근 8분기 OPM 중위 -5.8% 유지(클립 −20~40%))
[ratio]</t>
      </text>
    </comment>
    <comment ref="AH9" authorId="0" shapeId="0">
      <text>
        <t>추정: 매출액 × OPM(최근 8분기 OPM 중위 -5.8% 유지(클립 −20~40%))
[ratio]</t>
      </text>
    </comment>
    <comment ref="AI9" authorId="0" shapeId="0">
      <text>
        <t>추정: 매출액 × OPM(최근 8분기 OPM 중위 -5.8% 유지(클립 −20~40%))
[ratio]</t>
      </text>
    </comment>
    <comment ref="AK9" authorId="0" shapeId="0">
      <text>
        <t>추정: 매출액 × OPM(최근 8분기 OPM 중위 -5.8% 유지(클립 −20~40%))
[ratio]</t>
      </text>
    </comment>
    <comment ref="AL9" authorId="0" shapeId="0">
      <text>
        <t>추정: 매출액 × OPM(최근 8분기 OPM 중위 -5.8% 유지(클립 −20~40%))
[ratio]</t>
      </text>
    </comment>
    <comment ref="AM9" authorId="0" shapeId="0">
      <text>
        <t>추정: 매출액 × OPM(최근 8분기 OPM 중위 -5.8% 유지(클립 −20~40%))
[ratio]</t>
      </text>
    </comment>
    <comment ref="AN9" authorId="0" shapeId="0">
      <text>
        <t>추정: 매출액 × OPM(최근 8분기 OPM 중위 -5.8%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-5.8% 유지(클립 −20~40%)
[yoy]</t>
      </text>
    </comment>
    <comment ref="AD10" authorId="0" shapeId="0">
      <text>
        <t>추정: 최근 8분기 OPM 중위 -5.8% 유지(클립 −20~40%)
[yoy]</t>
      </text>
    </comment>
    <comment ref="AF10" authorId="0" shapeId="0">
      <text>
        <t>추정: 최근 8분기 OPM 중위 -5.8% 유지(클립 −20~40%)
[yoy]</t>
      </text>
    </comment>
    <comment ref="AG10" authorId="0" shapeId="0">
      <text>
        <t>추정: 최근 8분기 OPM 중위 -5.8% 유지(클립 −20~40%)
[yoy]</t>
      </text>
    </comment>
    <comment ref="AH10" authorId="0" shapeId="0">
      <text>
        <t>추정: 최근 8분기 OPM 중위 -5.8% 유지(클립 −20~40%)
[yoy]</t>
      </text>
    </comment>
    <comment ref="AI10" authorId="0" shapeId="0">
      <text>
        <t>추정: 최근 8분기 OPM 중위 -5.8% 유지(클립 −20~40%)
[yoy]</t>
      </text>
    </comment>
    <comment ref="AK10" authorId="0" shapeId="0">
      <text>
        <t>추정: 최근 8분기 OPM 중위 -5.8% 유지(클립 −20~40%)
[yoy]</t>
      </text>
    </comment>
    <comment ref="AL10" authorId="0" shapeId="0">
      <text>
        <t>추정: 최근 8분기 OPM 중위 -5.8% 유지(클립 −20~40%)
[yoy]</t>
      </text>
    </comment>
    <comment ref="AM10" authorId="0" shapeId="0">
      <text>
        <t>추정: 최근 8분기 OPM 중위 -5.8% 유지(클립 −20~40%)
[yoy]</t>
      </text>
    </comment>
    <comment ref="AN10" authorId="0" shapeId="0">
      <text>
        <t>추정: 최근 8분기 OPM 중위 -5.8%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240억 × 2.03%(주석 이자수익 ÷ 평균 이자발생자산(2025Q3~2026Q2)) − 총차입금 231억 × 0.00%(없음)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239억 × 2.03%(주석 이자수익 ÷ 평균 이자발생자산(2025Q3~2026Q2)) − 총차입금 231억 × 0.00%(없음)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238억 × 2.03%(주석 이자수익 ÷ 평균 이자발생자산(2025Q3~2026Q2)) − 총차입금 231억 × 0.00%(없음)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237억 × 2.03%(주석 이자수익 ÷ 평균 이자발생자산(2025Q3~2026Q2)) − 총차입금 231억 × 0.00%(없음)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236억 × 2.03%(주석 이자수익 ÷ 평균 이자발생자산(2025Q3~2026Q2)) − 총차입금 231억 × 0.00%(없음)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235억 × 2.03%(주석 이자수익 ÷ 평균 이자발생자산(2025Q3~2026Q2)) − 총차입금 231억 × 0.00%(없음)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234억 × 2.03%(주석 이자수익 ÷ 평균 이자발생자산(2025Q3~2026Q2)) − 총차입금 231억 × 0.00%(없음)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233억 × 2.03%(주석 이자수익 ÷ 평균 이자발생자산(2025Q3~2026Q2)) − 총차입금 231억 × 0.00%(없음)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232억 × 2.03%(주석 이자수익 ÷ 평균 이자발생자산(2025Q3~2026Q2)) − 총차입금 231억 × 0.00%(없음)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231억 × 2.03%(주석 이자수익 ÷ 평균 이자발생자산(2025Q3~2026Q2)) − 총차입금 231억 × 0.00%(없음) (연율) ÷ 4; 환율 효과는 환관련손익 행 별도
[abs]</t>
      </text>
    </comment>
    <comment ref="AC12" authorId="0" shapeId="0">
      <text>
        <t>추정: 이자발생자산 240억 × 2.03%(주석 이자수익 ÷ 평균 이자발생자산(2025Q3~2026Q2)) − 총차입금 231억 × 0.00%(없음) (연율) ÷ 4
[abs]</t>
      </text>
    </comment>
    <comment ref="AD12" authorId="0" shapeId="0">
      <text>
        <t>추정: 이자발생자산 239억 × 2.03%(주석 이자수익 ÷ 평균 이자발생자산(2025Q3~2026Q2)) − 총차입금 231억 × 0.00%(없음) (연율) ÷ 4
[abs]</t>
      </text>
    </comment>
    <comment ref="AF12" authorId="0" shapeId="0">
      <text>
        <t>추정: 이자발생자산 238억 × 2.03%(주석 이자수익 ÷ 평균 이자발생자산(2025Q3~2026Q2)) − 총차입금 231억 × 0.00%(없음) (연율) ÷ 4
[abs]</t>
      </text>
    </comment>
    <comment ref="AG12" authorId="0" shapeId="0">
      <text>
        <t>추정: 이자발생자산 237억 × 2.03%(주석 이자수익 ÷ 평균 이자발생자산(2025Q3~2026Q2)) − 총차입금 231억 × 0.00%(없음) (연율) ÷ 4
[abs]</t>
      </text>
    </comment>
    <comment ref="AH12" authorId="0" shapeId="0">
      <text>
        <t>추정: 이자발생자산 236억 × 2.03%(주석 이자수익 ÷ 평균 이자발생자산(2025Q3~2026Q2)) − 총차입금 231억 × 0.00%(없음) (연율) ÷ 4
[abs]</t>
      </text>
    </comment>
    <comment ref="AI12" authorId="0" shapeId="0">
      <text>
        <t>추정: 이자발생자산 235억 × 2.03%(주석 이자수익 ÷ 평균 이자발생자산(2025Q3~2026Q2)) − 총차입금 231억 × 0.00%(없음) (연율) ÷ 4
[abs]</t>
      </text>
    </comment>
    <comment ref="AK12" authorId="0" shapeId="0">
      <text>
        <t>추정: 이자발생자산 234억 × 2.03%(주석 이자수익 ÷ 평균 이자발생자산(2025Q3~2026Q2)) − 총차입금 231억 × 0.00%(없음) (연율) ÷ 4
[abs]</t>
      </text>
    </comment>
    <comment ref="AL12" authorId="0" shapeId="0">
      <text>
        <t>추정: 이자발생자산 233억 × 2.03%(주석 이자수익 ÷ 평균 이자발생자산(2025Q3~2026Q2)) − 총차입금 231억 × 0.00%(없음) (연율) ÷ 4
[abs]</t>
      </text>
    </comment>
    <comment ref="AM12" authorId="0" shapeId="0">
      <text>
        <t>추정: 이자발생자산 232억 × 2.03%(주석 이자수익 ÷ 평균 이자발생자산(2025Q3~2026Q2)) − 총차입금 231억 × 0.00%(없음) (연율) ÷ 4
[abs]</t>
      </text>
    </comment>
    <comment ref="AN12" authorId="0" shapeId="0">
      <text>
        <t>추정: 이자발생자산 231억 × 2.03%(주석 이자수익 ÷ 평균 이자발생자산(2025Q3~2026Q2)) − 총차입금 231억 × 0.00%(없음) (연율) ÷ 4
[abs]</t>
      </text>
    </comment>
    <comment ref="G13" authorId="0" shapeId="0">
      <text>
        <t>실측(계정 매핑 없음 — 모델값 직접) — fin.sep.is.외환차익 − fin.sep.is.외환차손 + fin.sep.is.외화환산이익 − fin.sep.is.외화환산손실</t>
      </text>
    </comment>
    <comment ref="H13" authorId="0" shapeId="0">
      <text>
        <t>실측(계정 매핑 없음 — 모델값 직접) — fin.sep.is.외환차익 − fin.sep.is.외환차손 + fin.sep.is.외화환산이익 − fin.sep.is.외화환산손실</t>
      </text>
    </comment>
    <comment ref="L13" authorId="0" shapeId="0">
      <text>
        <t>실측(계정 매핑 없음 — 모델값 직접) — fin.sep.is.외환차익 − fin.sep.is.외환차손 + fin.sep.is.외화환산이익 − fin.sep.is.외화환산손실</t>
      </text>
    </comment>
    <comment ref="M13" authorId="0" shapeId="0">
      <text>
        <t>실측(계정 매핑 없음 — 모델값 직접) — fin.sep.is.외환차익 − fin.sep.is.외환차손 + fin.sep.is.외화환산이익 − fin.sep.is.외화환산손실</t>
      </text>
    </comment>
    <comment ref="N13" authorId="0" shapeId="0">
      <text>
        <t>실측(계정 매핑 없음 — 모델값 직접) — fin.sep.is.외환차익 − fin.sep.is.외환차손 + fin.sep.is.외화환산이익 − fin.sep.is.외화환산손실</t>
      </text>
    </comment>
    <comment ref="O13" authorId="0" shapeId="0">
      <text>
        <t>실측(계정 매핑 없음 — 모델값 직접) — fin.sep.is.외환차익 − fin.sep.is.외환차손 + fin.sep.is.외화환산이익 − fin.sep.is.외화환산손실</t>
      </text>
    </comment>
    <comment ref="Q13" authorId="0" shapeId="0">
      <text>
        <t>실측(계정 매핑 없음 — 모델값 직접) — fin.sep.is.외환차익 − fin.sep.is.외환차손 + fin.sep.is.외화환산이익 − fin.sep.is.외화환산손실</t>
      </text>
    </comment>
    <comment ref="R13" authorId="0" shapeId="0">
      <text>
        <t>실측(계정 매핑 없음 — 모델값 직접) — fin.sep.is.외환차익 − fin.sep.is.외환차손 + fin.sep.is.외화환산이익 − fin.sep.is.외화환산손실</t>
      </text>
    </comment>
    <comment ref="S13" authorId="0" shapeId="0">
      <text>
        <t>실측(계정 매핑 없음 — 모델값 직접) — fin.sep.is.외환차익 − fin.sep.is.외환차손 + fin.sep.is.외화환산이익 − fin.sep.is.외화환산손실</t>
      </text>
    </comment>
    <comment ref="T13" authorId="0" shapeId="0">
      <text>
        <t>실측(계정 매핑 없음 — 모델값 직접) — fin.sep.is.외환차익 − fin.sep.is.외환차손 + fin.sep.is.외화환산이익 − fin.sep.is.외화환산손실</t>
      </text>
    </comment>
    <comment ref="V13" authorId="0" shapeId="0">
      <text>
        <t>실측(계정 매핑 없음 — 모델값 직접) — fin.sep.is.외환차익 − fin.sep.is.외환차손 + fin.sep.is.외화환산이익 − fin.sep.is.외화환산손실</t>
      </text>
    </comment>
    <comment ref="Y13" authorId="0" shapeId="0">
      <text>
        <t>실측(계정 매핑 없음 — 모델값 직접) — fin.sep.is.외환차익 − fin.sep.is.외환차손 + fin.sep.is.외화환산이익 − fin.sep.is.외화환산손실</t>
      </text>
    </comment>
    <comment ref="AA13" authorId="0" shapeId="0">
      <text>
        <t>실측(계정 매핑 없음 — 모델값 직접) — fin.sep.is.외환차익 − fin.sep.is.외환차손 + fin.sep.is.외화환산이익 − fin.sep.is.외화환산손실</t>
      </text>
    </comment>
    <comment ref="AB13" authorId="0" shapeId="0">
      <text>
        <t>실측(계정 매핑 없음 — 모델값 직접) — fin.sep.is.외환차익 − fin.sep.is.외환차손 + fin.sep.is.외화환산이익 − fin.sep.is.외화환산손실</t>
      </text>
    </comment>
    <comment ref="AC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0.0% 도 5~27% 밖 → 법정세율 근사 22% 가정)
[ratio]</t>
      </text>
    </comment>
    <comment ref="AD16" authorId="0" shapeId="0">
      <text>
        <t>추정: max(세전, 0) × 세율 22.0%(최근 12분기 세전 합 ≤ 0; 세전 &gt; 0 분기 중위 0.0% 도 5~27% 밖 → 법정세율 근사 22% 가정)
[ratio]</t>
      </text>
    </comment>
    <comment ref="AF16" authorId="0" shapeId="0">
      <text>
        <t>추정: max(세전, 0) × 세율 22.0%(최근 12분기 세전 합 ≤ 0; 세전 &gt; 0 분기 중위 0.0% 도 5~27% 밖 → 법정세율 근사 22% 가정)
[ratio]</t>
      </text>
    </comment>
    <comment ref="AG16" authorId="0" shapeId="0">
      <text>
        <t>추정: max(세전, 0) × 세율 22.0%(최근 12분기 세전 합 ≤ 0; 세전 &gt; 0 분기 중위 0.0% 도 5~27% 밖 → 법정세율 근사 22% 가정)
[ratio]</t>
      </text>
    </comment>
    <comment ref="AH16" authorId="0" shapeId="0">
      <text>
        <t>추정: max(세전, 0) × 세율 22.0%(최근 12분기 세전 합 ≤ 0; 세전 &gt; 0 분기 중위 0.0% 도 5~27% 밖 → 법정세율 근사 22% 가정)
[ratio]</t>
      </text>
    </comment>
    <comment ref="AI16" authorId="0" shapeId="0">
      <text>
        <t>추정: max(세전, 0) × 세율 22.0%(최근 12분기 세전 합 ≤ 0; 세전 &gt; 0 분기 중위 0.0% 도 5~27% 밖 → 법정세율 근사 22% 가정)
[ratio]</t>
      </text>
    </comment>
    <comment ref="AK16" authorId="0" shapeId="0">
      <text>
        <t>추정: max(세전, 0) × 세율 22.0%(최근 12분기 세전 합 ≤ 0; 세전 &gt; 0 분기 중위 0.0% 도 5~27% 밖 → 법정세율 근사 22% 가정)
[ratio]</t>
      </text>
    </comment>
    <comment ref="AL16" authorId="0" shapeId="0">
      <text>
        <t>추정: max(세전, 0) × 세율 22.0%(최근 12분기 세전 합 ≤ 0; 세전 &gt; 0 분기 중위 0.0% 도 5~27% 밖 → 법정세율 근사 22% 가정)
[ratio]</t>
      </text>
    </comment>
    <comment ref="AM16" authorId="0" shapeId="0">
      <text>
        <t>추정: max(세전, 0) × 세율 22.0%(최근 12분기 세전 합 ≤ 0; 세전 &gt; 0 분기 중위 0.0% 도 5~27% 밖 → 법정세율 근사 22% 가정)
[ratio]</t>
      </text>
    </comment>
    <comment ref="AN16" authorId="0" shapeId="0">
      <text>
        <t>추정: max(세전, 0) × 세율 22.0%(최근 12분기 세전 합 ≤ 0; 세전 &gt; 0 분기 중위 0.0%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F26" authorId="0" shapeId="0">
      <text>
        <t>연간 실측(BS 시트에 2021.12A 없음 — 모델 a 값 직접)</t>
      </text>
    </comment>
    <comment ref="E28" authorId="0" shapeId="0">
      <text>
        <t>실측(계정 매핑 없음 — 모델값 직접) — fin.sep.cf.영업활동으로인한현금흐름</t>
      </text>
    </comment>
    <comment ref="G28" authorId="0" shapeId="0">
      <text>
        <t>실측(계정 매핑 없음 — 모델값 직접) — fin.sep.cf.영업활동으로인한현금흐름</t>
      </text>
    </comment>
    <comment ref="H28" authorId="0" shapeId="0">
      <text>
        <t>실측(계정 매핑 없음 — 모델값 직접) — fin.sep.cf.영업활동으로인한현금흐름</t>
      </text>
    </comment>
    <comment ref="I28" authorId="0" shapeId="0">
      <text>
        <t>실측(계정 매핑 없음 — 모델값 직접) — fin.sep.cf.영업활동으로인한현금흐름</t>
      </text>
    </comment>
    <comment ref="J28" authorId="0" shapeId="0">
      <text>
        <t>실측(계정 매핑 없음 — 모델값 직접) — fin.sep.cf.영업활동으로인한현금흐름</t>
      </text>
    </comment>
    <comment ref="L28" authorId="0" shapeId="0">
      <text>
        <t>실측(계정 매핑 없음 — 모델값 직접) — fin.sep.cf.영업활동으로인한현금흐름</t>
      </text>
    </comment>
    <comment ref="M28" authorId="0" shapeId="0">
      <text>
        <t>실측(계정 매핑 없음 — 모델값 직접) — fin.sep.cf.영업활동으로인한현금흐름</t>
      </text>
    </comment>
    <comment ref="N28" authorId="0" shapeId="0">
      <text>
        <t>실측(계정 매핑 없음 — 모델값 직접) — fin.sep.cf.영업활동으로인한현금흐름</t>
      </text>
    </comment>
    <comment ref="O28" authorId="0" shapeId="0">
      <text>
        <t>실측(계정 매핑 없음 — 모델값 직접) — fin.sep.cf.영업활동으로인한현금흐름</t>
      </text>
    </comment>
    <comment ref="Q28" authorId="0" shapeId="0">
      <text>
        <t>실측(계정 매핑 없음 — 모델값 직접) — fin.sep.cf.영업활동으로인한현금흐름</t>
      </text>
    </comment>
    <comment ref="R28" authorId="0" shapeId="0">
      <text>
        <t>실측(계정 매핑 없음 — 모델값 직접) — fin.sep.cf.영업활동으로인한현금흐름</t>
      </text>
    </comment>
    <comment ref="S28" authorId="0" shapeId="0">
      <text>
        <t>실측(계정 매핑 없음 — 모델값 직접) — fin.sep.cf.영업활동으로인한현금흐름</t>
      </text>
    </comment>
    <comment ref="T28" authorId="0" shapeId="0">
      <text>
        <t>실측(계정 매핑 없음 — 모델값 직접) — fin.sep.cf.영업활동으로인한현금흐름</t>
      </text>
    </comment>
    <comment ref="V28" authorId="0" shapeId="0">
      <text>
        <t>실측(계정 매핑 없음 — 모델값 직접) — fin.sep.cf.영업활동으로인한현금흐름</t>
      </text>
    </comment>
    <comment ref="W28" authorId="0" shapeId="0">
      <text>
        <t>실측(계정 매핑 없음 — 모델값 직접) — fin.sep.cf.영업활동으로인한현금흐름</t>
      </text>
    </comment>
    <comment ref="X28" authorId="0" shapeId="0">
      <text>
        <t>실측(계정 매핑 없음 — 모델값 직접) — fin.sep.cf.영업활동으로인한현금흐름</t>
      </text>
    </comment>
    <comment ref="Y28" authorId="0" shapeId="0">
      <text>
        <t>실측(계정 매핑 없음 — 모델값 직접) — fin.sep.cf.영업활동으로인한현금흐름</t>
      </text>
    </comment>
    <comment ref="AA28" authorId="0" shapeId="0">
      <text>
        <t>실측(계정 매핑 없음 — 모델값 직접) — fin.sep.cf.영업활동으로인한현금흐름</t>
      </text>
    </comment>
    <comment ref="AB28" authorId="0" shapeId="0">
      <text>
        <t>실측(계정 매핑 없음 — 모델값 직접) — fin.sep.cf.영업활동으로인한현금흐름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assets/models/059270.json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OOS 기각 — 동결 2025Q2 이후 4분기 매출 WAPE 연동 30.3% &gt; 추세 14.0% × 1.10 (suppliers_mentions·시차 2·4분기 이동합·창 19, r=0.77 유의)): 전년동기 × (1+g) 추세 / 감가상각비가 face·CF 에 없음(주석 미파싱) → EBITDA·EV/EBITDA 미산출 / 일회성 의심 2026Q2: 비영업손익 20억(영업이익 -7억의 3배, 12분기 중위 0억) → 지배NI 13억·EPS·FY2026 합계·TTM PER 에 그대로 포함 — 처분이익 등 일회성 여부는 주석 확인 전까지 미확정(12M fwd EPS 에는 미포함) / 금융손익 실적→추정 단절: 최근 4분기 실적 -0/-0/-0/+20(중위 -0억) → 추정 2026Q3 +1억(차 +1억, +937%)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14.0, "op_wape_pct": 60.1,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0.039042</v>
      </c>
      <c r="AD21" s="24" t="n">
        <v>0.039034</v>
      </c>
      <c r="AE21" s="25" t="n"/>
      <c r="AF21" s="24" t="n">
        <v>0.039102</v>
      </c>
      <c r="AG21" s="24" t="n">
        <v>0.039109</v>
      </c>
      <c r="AH21" s="24" t="n">
        <v>0.019494</v>
      </c>
      <c r="AI21" s="24" t="n">
        <v>0.019429</v>
      </c>
      <c r="AJ21" s="25" t="n"/>
      <c r="AK21" s="24" t="n">
        <v>0.019332</v>
      </c>
      <c r="AL21" s="24" t="n">
        <v>0.019448</v>
      </c>
      <c r="AM21" s="24" t="n">
        <v>0.009684999999999999</v>
      </c>
      <c r="AN21" s="24" t="n">
        <v>0.009865000000000001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0.190127</v>
      </c>
      <c r="AD22" s="24" t="n">
        <v>0.190171</v>
      </c>
      <c r="AE22" s="25">
        <f>IFERROR(subQ!AE8/subQ!AE5,"")</f>
        <v/>
      </c>
      <c r="AF22" s="24" t="n">
        <v>0.1901</v>
      </c>
      <c r="AG22" s="24" t="n">
        <v>0.190131</v>
      </c>
      <c r="AH22" s="24" t="n">
        <v>0.190216</v>
      </c>
      <c r="AI22" s="24" t="n">
        <v>0.190135</v>
      </c>
      <c r="AJ22" s="25">
        <f>IFERROR(subQ!AJ8/subQ!AJ5,"")</f>
        <v/>
      </c>
      <c r="AK22" s="24" t="n">
        <v>0.19023</v>
      </c>
      <c r="AL22" s="24" t="n">
        <v>0.190205</v>
      </c>
      <c r="AM22" s="24" t="n">
        <v>0.190113</v>
      </c>
      <c r="AN22" s="24" t="n">
        <v>0.190275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-0.057975</v>
      </c>
      <c r="AD23" s="24" t="n">
        <v>-0.057829</v>
      </c>
      <c r="AE23" s="25">
        <f>IFERROR(subQ!AE9/subQ!AE5,"")</f>
        <v/>
      </c>
      <c r="AF23" s="24" t="n">
        <v>-0.057996</v>
      </c>
      <c r="AG23" s="24" t="n">
        <v>-0.057765</v>
      </c>
      <c r="AH23" s="24" t="n">
        <v>-0.057859</v>
      </c>
      <c r="AI23" s="24" t="n">
        <v>-0.057848</v>
      </c>
      <c r="AJ23" s="25">
        <f>IFERROR(subQ!AJ9/subQ!AJ5,"")</f>
        <v/>
      </c>
      <c r="AK23" s="24" t="n">
        <v>-0.057759</v>
      </c>
      <c r="AL23" s="24" t="n">
        <v>-0.057802</v>
      </c>
      <c r="AM23" s="24" t="n">
        <v>-0.057796</v>
      </c>
      <c r="AN23" s="24" t="n">
        <v>-0.057948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7.15493</v>
      </c>
      <c r="AD24" s="24" t="n">
        <v>0.06433800000000001</v>
      </c>
      <c r="AE24" s="25" t="n"/>
      <c r="AF24" s="24" t="n">
        <v>-0.374054</v>
      </c>
      <c r="AG24" s="24" t="n">
        <v>-0.739189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1.22</v>
      </c>
      <c r="AD25" s="29" t="n">
        <v>1.22</v>
      </c>
      <c r="AE25" s="30">
        <f>subQ!AE11</f>
        <v/>
      </c>
      <c r="AF25" s="29" t="n">
        <v>1.21</v>
      </c>
      <c r="AG25" s="29" t="n">
        <v>1.2</v>
      </c>
      <c r="AH25" s="29" t="n">
        <v>1.2</v>
      </c>
      <c r="AI25" s="29" t="n">
        <v>1.19</v>
      </c>
      <c r="AJ25" s="30">
        <f>subQ!AJ11</f>
        <v/>
      </c>
      <c r="AK25" s="29" t="n">
        <v>1.19</v>
      </c>
      <c r="AL25" s="29" t="n">
        <v>1.18</v>
      </c>
      <c r="AM25" s="29" t="n">
        <v>1.18</v>
      </c>
      <c r="AN25" s="29" t="n">
        <v>1.17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1.22</v>
      </c>
      <c r="AD26" s="29" t="n">
        <v>1.22</v>
      </c>
      <c r="AE26" s="30">
        <f>subQ!AE12</f>
        <v/>
      </c>
      <c r="AF26" s="29" t="n">
        <v>1.21</v>
      </c>
      <c r="AG26" s="29" t="n">
        <v>1.2</v>
      </c>
      <c r="AH26" s="29" t="n">
        <v>1.2</v>
      </c>
      <c r="AI26" s="29" t="n">
        <v>1.19</v>
      </c>
      <c r="AJ26" s="30">
        <f>subQ!AJ12</f>
        <v/>
      </c>
      <c r="AK26" s="29" t="n">
        <v>1.19</v>
      </c>
      <c r="AL26" s="29" t="n">
        <v>1.18</v>
      </c>
      <c r="AM26" s="29" t="n">
        <v>1.18</v>
      </c>
      <c r="AN26" s="29" t="n">
        <v>1.17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31" t="n"/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1">
        <f>IFERROR(subQ!R16/subQ!R15,"")</f>
        <v/>
      </c>
      <c r="S29" s="21">
        <f>IFERROR(subQ!S16/subQ!S15,"")</f>
        <v/>
      </c>
      <c r="T29" s="21">
        <f>IFERROR(subQ!T16/subQ!T15,"")</f>
        <v/>
      </c>
      <c r="U29" s="22">
        <f>IFERROR(subQ!U16/subQ!U15,"")</f>
        <v/>
      </c>
      <c r="V29" s="21">
        <f>IFERROR(subQ!V16/subQ!V15,"")</f>
        <v/>
      </c>
      <c r="W29" s="21">
        <f>IFERROR(subQ!W16/subQ!W15,"")</f>
        <v/>
      </c>
      <c r="X29" s="21">
        <f>IFERROR(subQ!X16/subQ!X15,"")</f>
        <v/>
      </c>
      <c r="Y29" s="21">
        <f>IFERROR(subQ!Y16/subQ!Y15,"")</f>
        <v/>
      </c>
      <c r="Z29" s="22">
        <f>IFERROR(subQ!Z16/subQ!Z15,"")</f>
        <v/>
      </c>
      <c r="AA29" s="21">
        <f>IFERROR(subQ!AA16/subQ!AA15,"")</f>
        <v/>
      </c>
      <c r="AB29" s="23">
        <f>IFERROR(subQ!AB16/subQ!AB15,"")</f>
        <v/>
      </c>
      <c r="AC29" s="24" t="n">
        <v>-0</v>
      </c>
      <c r="AD29" s="24" t="n">
        <v>-0</v>
      </c>
      <c r="AE29" s="25">
        <f>IFERROR(subQ!AE16/subQ!AE15,"")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IFERROR(subQ!AJ16/subQ!AJ15,"")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IFERROR(subQ!AO16/subQ!AO15,"")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1">
        <f>IFERROR(subQ!R18/subQ!R17,"")</f>
        <v/>
      </c>
      <c r="S30" s="21">
        <f>IFERROR(subQ!S18/subQ!S17,"")</f>
        <v/>
      </c>
      <c r="T30" s="21">
        <f>IFERROR(subQ!T18/subQ!T17,"")</f>
        <v/>
      </c>
      <c r="U30" s="22">
        <f>IFERROR(subQ!U18/subQ!U17,"")</f>
        <v/>
      </c>
      <c r="V30" s="21">
        <f>IFERROR(subQ!V18/subQ!V17,"")</f>
        <v/>
      </c>
      <c r="W30" s="21">
        <f>IFERROR(subQ!W18/subQ!W17,"")</f>
        <v/>
      </c>
      <c r="X30" s="21">
        <f>IFERROR(subQ!X18/subQ!X17,"")</f>
        <v/>
      </c>
      <c r="Y30" s="21">
        <f>IFERROR(subQ!Y18/subQ!Y17,"")</f>
        <v/>
      </c>
      <c r="Z30" s="22">
        <f>IFERROR(subQ!Z18/subQ!Z17,"")</f>
        <v/>
      </c>
      <c r="AA30" s="21">
        <f>IFERROR(subQ!AA18/subQ!AA17,"")</f>
        <v/>
      </c>
      <c r="AB30" s="23">
        <f>IFERROR(subQ!AB18/subQ!AB17,"")</f>
        <v/>
      </c>
      <c r="AC30" s="24" t="n">
        <v>1</v>
      </c>
      <c r="AD30" s="24" t="n">
        <v>1</v>
      </c>
      <c r="AE30" s="25">
        <f>IFERROR(subQ!AE18/subQ!AE17,"")</f>
        <v/>
      </c>
      <c r="AF30" s="24" t="n">
        <v>1</v>
      </c>
      <c r="AG30" s="24" t="n">
        <v>1</v>
      </c>
      <c r="AH30" s="24" t="n">
        <v>1</v>
      </c>
      <c r="AI30" s="24" t="n">
        <v>1</v>
      </c>
      <c r="AJ30" s="25">
        <f>IFERROR(subQ!AJ18/subQ!AJ17,"")</f>
        <v/>
      </c>
      <c r="AK30" s="24" t="n">
        <v>1</v>
      </c>
      <c r="AL30" s="24" t="n">
        <v>1</v>
      </c>
      <c r="AM30" s="24" t="n">
        <v>1</v>
      </c>
      <c r="AN30" s="24" t="n">
        <v>1</v>
      </c>
      <c r="AO30" s="25">
        <f>IFERROR(subQ!AO18/subQ!AO17,"")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4e-06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-0.0066</v>
      </c>
      <c r="AD32" s="29" t="n">
        <v>0</v>
      </c>
      <c r="AE32" s="30" t="n"/>
      <c r="AF32" s="29" t="n">
        <v>0</v>
      </c>
      <c r="AG32" s="29" t="n">
        <v>0</v>
      </c>
      <c r="AH32" s="29" t="n">
        <v>0</v>
      </c>
      <c r="AI32" s="29" t="n">
        <v>0</v>
      </c>
      <c r="AJ32" s="30" t="n"/>
      <c r="AK32" s="29" t="n">
        <v>-0.01</v>
      </c>
      <c r="AL32" s="29" t="n">
        <v>0</v>
      </c>
      <c r="AM32" s="29" t="n">
        <v>0.01</v>
      </c>
      <c r="AN32" s="29" t="n">
        <v>-0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IFERROR(subQ!E22+subQ!G18-subQ!G22,"")</f>
        <v/>
      </c>
      <c r="H33" s="26">
        <f>IFERROR(subQ!G22+subQ!H18-subQ!H22,"")</f>
        <v/>
      </c>
      <c r="I33" s="26">
        <f>IFERROR(subQ!H22+subQ!I18-subQ!I22,"")</f>
        <v/>
      </c>
      <c r="J33" s="26">
        <f>IFERROR(subQ!I22+subQ!J18-subQ!J22,"")</f>
        <v/>
      </c>
      <c r="K33" s="27" t="n"/>
      <c r="L33" s="26">
        <f>IFERROR(subQ!J22+subQ!L18-subQ!L22,"")</f>
        <v/>
      </c>
      <c r="M33" s="26">
        <f>IFERROR(subQ!L22+subQ!M18-subQ!M22,"")</f>
        <v/>
      </c>
      <c r="N33" s="26">
        <f>IFERROR(subQ!M22+subQ!N18-subQ!N22,"")</f>
        <v/>
      </c>
      <c r="O33" s="26">
        <f>IFERROR(subQ!N22+subQ!O18-subQ!O22,"")</f>
        <v/>
      </c>
      <c r="P33" s="27" t="n"/>
      <c r="Q33" s="26">
        <f>IFERROR(subQ!O22+subQ!Q18-subQ!Q22,"")</f>
        <v/>
      </c>
      <c r="R33" s="26">
        <f>IFERROR(subQ!Q22+subQ!R18-subQ!R22,"")</f>
        <v/>
      </c>
      <c r="S33" s="26">
        <f>IFERROR(subQ!R22+subQ!S18-subQ!S22,"")</f>
        <v/>
      </c>
      <c r="T33" s="26">
        <f>IFERROR(subQ!S22+subQ!T18-subQ!T22,"")</f>
        <v/>
      </c>
      <c r="U33" s="27" t="n"/>
      <c r="V33" s="26">
        <f>IFERROR(subQ!T22+subQ!V18-subQ!V22,"")</f>
        <v/>
      </c>
      <c r="W33" s="26">
        <f>IFERROR(subQ!V22+subQ!W18-subQ!W22,"")</f>
        <v/>
      </c>
      <c r="X33" s="26">
        <f>IFERROR(subQ!W22+subQ!X18-subQ!X22,"")</f>
        <v/>
      </c>
      <c r="Y33" s="26">
        <f>IFERROR(subQ!X22+subQ!Y18-subQ!Y22,"")</f>
        <v/>
      </c>
      <c r="Z33" s="27" t="n"/>
      <c r="AA33" s="26">
        <f>IFERROR(subQ!Y22+subQ!AA18-subQ!AA22,"")</f>
        <v/>
      </c>
      <c r="AB33" s="28">
        <f>IFERROR(subQ!AA22+subQ!AB18-subQ!AB22,"")</f>
        <v/>
      </c>
      <c r="AC33" s="29" t="n">
        <v>-0.0066</v>
      </c>
      <c r="AD33" s="29" t="n">
        <v>0</v>
      </c>
      <c r="AE33" s="30" t="n"/>
      <c r="AF33" s="29" t="n">
        <v>0</v>
      </c>
      <c r="AG33" s="29" t="n">
        <v>0</v>
      </c>
      <c r="AH33" s="29" t="n">
        <v>0</v>
      </c>
      <c r="AI33" s="29" t="n">
        <v>0</v>
      </c>
      <c r="AJ33" s="30" t="n"/>
      <c r="AK33" s="29" t="n">
        <v>-0.01</v>
      </c>
      <c r="AL33" s="29" t="n">
        <v>0</v>
      </c>
      <c r="AM33" s="29" t="n">
        <v>0.01</v>
      </c>
      <c r="AN33" s="29" t="n">
        <v>-0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1.6e-05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-0.125141</v>
      </c>
      <c r="AD35" s="24" t="n">
        <v>-0.177658</v>
      </c>
      <c r="AE35" s="25" t="n"/>
      <c r="AF35" s="24" t="n">
        <v>-0.126023</v>
      </c>
      <c r="AG35" s="24" t="n">
        <v>-0.14794</v>
      </c>
      <c r="AH35" s="24" t="n">
        <v>-0.248352</v>
      </c>
      <c r="AI35" s="24" t="n">
        <v>-0.406433</v>
      </c>
      <c r="AJ35" s="25" t="n"/>
      <c r="AK35" s="24" t="n">
        <v>-0.403941</v>
      </c>
      <c r="AL35" s="24" t="n">
        <v>-0.702479</v>
      </c>
      <c r="AM35" s="24" t="n">
        <v>-3.277778</v>
      </c>
      <c r="AN35" s="24" t="n">
        <v>1.743902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-0.004441</v>
      </c>
      <c r="AD36" s="24" t="n">
        <v>-0.005517</v>
      </c>
      <c r="AE36" s="25" t="n"/>
      <c r="AF36" s="24" t="n">
        <v>-0.003194</v>
      </c>
      <c r="AG36" s="24" t="n">
        <v>-0.003331</v>
      </c>
      <c r="AH36" s="24" t="n">
        <v>-0.00478</v>
      </c>
      <c r="AI36" s="24" t="n">
        <v>-0.005908</v>
      </c>
      <c r="AJ36" s="25" t="n"/>
      <c r="AK36" s="24" t="n">
        <v>-0.003549</v>
      </c>
      <c r="AL36" s="24" t="n">
        <v>-0.003647</v>
      </c>
      <c r="AM36" s="24" t="n">
        <v>-0.005039</v>
      </c>
      <c r="AN36" s="24" t="n">
        <v>-0.006233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-0.777211</v>
      </c>
      <c r="AD42" s="24" t="n">
        <v>-0.883808</v>
      </c>
      <c r="AE42" s="25" t="n"/>
      <c r="AF42" s="24" t="n">
        <v>-0.957373</v>
      </c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-0.116564</v>
      </c>
      <c r="AD43" s="24" t="n">
        <v>-0.417004</v>
      </c>
      <c r="AE43" s="25" t="n"/>
      <c r="AF43" s="24" t="n">
        <v>-0.588571</v>
      </c>
      <c r="AG43" s="24" t="n">
        <v>-0.424603</v>
      </c>
      <c r="AH43" s="24" t="n">
        <v>0.006944</v>
      </c>
      <c r="AI43" s="24" t="n">
        <v>0.013889</v>
      </c>
      <c r="AJ43" s="25" t="n"/>
      <c r="AK43" s="24" t="n">
        <v>0.013889</v>
      </c>
      <c r="AL43" s="24" t="n">
        <v>0.006897</v>
      </c>
      <c r="AM43" s="24" t="n">
        <v>0.013793</v>
      </c>
      <c r="AN43" s="24" t="n">
        <v>0.006849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-0.057975</v>
      </c>
      <c r="AD45" s="24" t="n">
        <v>-0.057829</v>
      </c>
      <c r="AE45" s="25">
        <f>IFERROR(subQ!AE36/subQ!AE35,"")</f>
        <v/>
      </c>
      <c r="AF45" s="24" t="n">
        <v>-0.057996</v>
      </c>
      <c r="AG45" s="24" t="n">
        <v>-0.057765</v>
      </c>
      <c r="AH45" s="24" t="n">
        <v>-0.057859</v>
      </c>
      <c r="AI45" s="24" t="n">
        <v>-0.057848</v>
      </c>
      <c r="AJ45" s="25">
        <f>IFERROR(subQ!AJ36/subQ!AJ35,"")</f>
        <v/>
      </c>
      <c r="AK45" s="24" t="n">
        <v>-0.057759</v>
      </c>
      <c r="AL45" s="24" t="n">
        <v>-0.057802</v>
      </c>
      <c r="AM45" s="24" t="n">
        <v>-0.057796</v>
      </c>
      <c r="AN45" s="24" t="n">
        <v>-0.057948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5220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PER 중위 639.1배가 3~40 밖(턴어라운드 왜곡))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0.22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0.1902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4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4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4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4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4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4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4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4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4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4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4" t="n">
        <v>9000</v>
      </c>
      <c r="G7" s="18" t="n">
        <v>5000</v>
      </c>
      <c r="H7" s="18" t="n">
        <v>2000</v>
      </c>
      <c r="J7" s="18" t="n">
        <v>4963.05</v>
      </c>
      <c r="K7" s="34" t="n">
        <v>4963.05</v>
      </c>
      <c r="L7" s="18" t="n">
        <v>2000</v>
      </c>
      <c r="N7" s="18" t="n">
        <v>1000</v>
      </c>
      <c r="O7" s="18" t="n">
        <v>2978.98</v>
      </c>
      <c r="P7" s="34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4" t="n">
        <v>2000</v>
      </c>
      <c r="V7" s="18" t="n">
        <v>2000</v>
      </c>
      <c r="W7" s="18" t="n">
        <v>2000</v>
      </c>
      <c r="Y7" s="18" t="n">
        <v>4000</v>
      </c>
      <c r="Z7" s="34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4" t="n">
        <v>9000</v>
      </c>
      <c r="G8" s="18" t="n">
        <v>5000</v>
      </c>
      <c r="H8" s="18" t="n">
        <v>2000</v>
      </c>
      <c r="J8" s="18" t="n">
        <v>4963.05</v>
      </c>
      <c r="K8" s="34" t="n">
        <v>4963.05</v>
      </c>
      <c r="L8" s="18" t="n">
        <v>2000</v>
      </c>
      <c r="N8" s="18" t="n">
        <v>1000</v>
      </c>
      <c r="O8" s="18" t="n">
        <v>2978.98</v>
      </c>
      <c r="P8" s="34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4" t="n">
        <v>2000</v>
      </c>
      <c r="V8" s="18" t="n">
        <v>2000</v>
      </c>
      <c r="W8" s="18" t="n">
        <v>2000</v>
      </c>
      <c r="Y8" s="18" t="n">
        <v>4000</v>
      </c>
      <c r="Z8" s="34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4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4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4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4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4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4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4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4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4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4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4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4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4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4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4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4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4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4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4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4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4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4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4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4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4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4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4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4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4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4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4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4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4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4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4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4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4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4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4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4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4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4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4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4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4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4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4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4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4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4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4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4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4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4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4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4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4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4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4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4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4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4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4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4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4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4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4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4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4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4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4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4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4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4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4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4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4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4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4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4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4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4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4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4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4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4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4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4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4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4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4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4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4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4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4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4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4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4" t="n">
        <v>2.42</v>
      </c>
      <c r="G30" s="18" t="n">
        <v>0.79</v>
      </c>
      <c r="K30" s="9" t="n"/>
      <c r="O30" s="18" t="n">
        <v>21.16</v>
      </c>
      <c r="P30" s="34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4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4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4" t="n">
        <v>2.42</v>
      </c>
      <c r="G31" s="18" t="n">
        <v>0.79</v>
      </c>
      <c r="K31" s="9" t="n"/>
      <c r="O31" s="18" t="n">
        <v>21.16</v>
      </c>
      <c r="P31" s="34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4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4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4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4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4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4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4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4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4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4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4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4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4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4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4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4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4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4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4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4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4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4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4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4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4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4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4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4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4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4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4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4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4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4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4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4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4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4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4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4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4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4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4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4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4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4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4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4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4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4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4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4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4" t="n">
        <v>5000</v>
      </c>
      <c r="G42" s="18" t="n">
        <v>5000</v>
      </c>
      <c r="K42" s="9" t="n"/>
      <c r="P42" s="9" t="n"/>
      <c r="U42" s="9" t="n"/>
      <c r="Z42" s="9" t="n"/>
      <c r="AB42" s="19" t="n">
        <v>23103.64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4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-849.28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4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4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4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4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4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4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4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4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4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4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K49" s="9" t="n"/>
      <c r="P49" s="9" t="n"/>
      <c r="U49" s="9" t="n"/>
      <c r="Z49" s="9" t="n"/>
      <c r="AB49" s="19" t="n">
        <v>11551.82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4238.91</v>
      </c>
      <c r="F50" s="9" t="n"/>
      <c r="G50" s="18" t="n">
        <v>3555.62</v>
      </c>
      <c r="H50" s="18" t="n">
        <v>3788.46</v>
      </c>
      <c r="I50" s="18" t="n">
        <v>3141.53</v>
      </c>
      <c r="J50" s="18" t="n">
        <v>3428.31</v>
      </c>
      <c r="K50" s="34" t="n">
        <v>13913.92</v>
      </c>
      <c r="L50" s="18" t="n">
        <v>3430.12</v>
      </c>
      <c r="M50" s="18" t="n">
        <v>3838.59</v>
      </c>
      <c r="N50" s="18" t="n">
        <v>3148.06</v>
      </c>
      <c r="O50" s="18" t="n">
        <v>3266.24</v>
      </c>
      <c r="P50" s="34" t="n">
        <v>13683.01</v>
      </c>
      <c r="Q50" s="18" t="n">
        <v>3418.53</v>
      </c>
      <c r="R50" s="18" t="n">
        <v>4521.41</v>
      </c>
      <c r="S50" s="18" t="n">
        <v>3400.74</v>
      </c>
      <c r="T50" s="18" t="n">
        <v>3597.44</v>
      </c>
      <c r="U50" s="34" t="n">
        <v>14938.12</v>
      </c>
      <c r="V50" s="18" t="n">
        <v>3065.14</v>
      </c>
      <c r="W50" s="18" t="n">
        <v>4000.59</v>
      </c>
      <c r="X50" s="18" t="n">
        <v>3801.58</v>
      </c>
      <c r="Y50" s="18" t="n">
        <v>4210.64</v>
      </c>
      <c r="Z50" s="34" t="n">
        <v>15077.95</v>
      </c>
      <c r="AA50" s="18" t="n">
        <v>3285.53</v>
      </c>
      <c r="AB50" s="19" t="n">
        <v>3315.34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3515.69</v>
      </c>
      <c r="F51" s="9" t="n"/>
      <c r="G51" s="18" t="n">
        <v>2999.21</v>
      </c>
      <c r="H51" s="18" t="n">
        <v>3240.13</v>
      </c>
      <c r="I51" s="18" t="n">
        <v>2656.67</v>
      </c>
      <c r="J51" s="18" t="n">
        <v>2740.27</v>
      </c>
      <c r="K51" s="34" t="n">
        <v>11636.28</v>
      </c>
      <c r="L51" s="18" t="n">
        <v>2946.06</v>
      </c>
      <c r="M51" s="18" t="n">
        <v>3268.82</v>
      </c>
      <c r="N51" s="18" t="n">
        <v>2869.55</v>
      </c>
      <c r="O51" s="18" t="n">
        <v>2899.98</v>
      </c>
      <c r="P51" s="34" t="n">
        <v>11984.41</v>
      </c>
      <c r="Q51" s="18" t="n">
        <v>2923.9</v>
      </c>
      <c r="R51" s="18" t="n">
        <v>3596.78</v>
      </c>
      <c r="S51" s="18" t="n">
        <v>2878.66</v>
      </c>
      <c r="T51" s="18" t="n">
        <v>3152.87</v>
      </c>
      <c r="U51" s="34" t="n">
        <v>12552.21</v>
      </c>
      <c r="V51" s="18" t="n">
        <v>2769.64</v>
      </c>
      <c r="W51" s="18" t="n">
        <v>3258.79</v>
      </c>
      <c r="X51" s="18" t="n">
        <v>3181.05</v>
      </c>
      <c r="Y51" s="18" t="n">
        <v>3738.96</v>
      </c>
      <c r="Z51" s="34" t="n">
        <v>12948.44</v>
      </c>
      <c r="AA51" s="18" t="n">
        <v>2899.27</v>
      </c>
      <c r="AB51" s="19" t="n">
        <v>2918.94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723.22</v>
      </c>
      <c r="F52" s="9" t="n"/>
      <c r="G52" s="18" t="n">
        <v>556.41</v>
      </c>
      <c r="H52" s="18" t="n">
        <v>548.33</v>
      </c>
      <c r="I52" s="18" t="n">
        <v>484.86</v>
      </c>
      <c r="J52" s="18" t="n">
        <v>688.04</v>
      </c>
      <c r="K52" s="34" t="n">
        <v>2277.64</v>
      </c>
      <c r="L52" s="18" t="n">
        <v>484.06</v>
      </c>
      <c r="M52" s="18" t="n">
        <v>569.77</v>
      </c>
      <c r="N52" s="18" t="n">
        <v>278.52</v>
      </c>
      <c r="O52" s="18" t="n">
        <v>366.27</v>
      </c>
      <c r="P52" s="34" t="n">
        <v>1698.62</v>
      </c>
      <c r="Q52" s="18" t="n">
        <v>494.63</v>
      </c>
      <c r="R52" s="18" t="n">
        <v>924.63</v>
      </c>
      <c r="S52" s="18" t="n">
        <v>522.08</v>
      </c>
      <c r="T52" s="18" t="n">
        <v>444.56</v>
      </c>
      <c r="U52" s="34" t="n">
        <v>2385.9</v>
      </c>
      <c r="V52" s="18" t="n">
        <v>295.49</v>
      </c>
      <c r="W52" s="18" t="n">
        <v>741.8</v>
      </c>
      <c r="X52" s="18" t="n">
        <v>620.52</v>
      </c>
      <c r="Y52" s="18" t="n">
        <v>471.68</v>
      </c>
      <c r="Z52" s="34" t="n">
        <v>2129.49</v>
      </c>
      <c r="AA52" s="18" t="n">
        <v>386.26</v>
      </c>
      <c r="AB52" s="19" t="n">
        <v>396.4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878.61</v>
      </c>
      <c r="F53" s="9" t="n"/>
      <c r="G53" s="18" t="n">
        <v>861.46</v>
      </c>
      <c r="H53" s="18" t="n">
        <v>969.41</v>
      </c>
      <c r="I53" s="18" t="n">
        <v>868.67</v>
      </c>
      <c r="J53" s="18" t="n">
        <v>848.0599999999999</v>
      </c>
      <c r="K53" s="34" t="n">
        <v>3547.6</v>
      </c>
      <c r="L53" s="18" t="n">
        <v>740.4400000000001</v>
      </c>
      <c r="M53" s="18" t="n">
        <v>764.55</v>
      </c>
      <c r="N53" s="18" t="n">
        <v>859.38</v>
      </c>
      <c r="O53" s="18" t="n">
        <v>829.5</v>
      </c>
      <c r="P53" s="34" t="n">
        <v>3193.87</v>
      </c>
      <c r="Q53" s="18" t="n">
        <v>802.51</v>
      </c>
      <c r="R53" s="18" t="n">
        <v>926.6799999999999</v>
      </c>
      <c r="S53" s="18" t="n">
        <v>707.0599999999999</v>
      </c>
      <c r="T53" s="18" t="n">
        <v>665.37</v>
      </c>
      <c r="U53" s="34" t="n">
        <v>3101.62</v>
      </c>
      <c r="V53" s="18" t="n">
        <v>672.9400000000001</v>
      </c>
      <c r="W53" s="18" t="n">
        <v>729.71</v>
      </c>
      <c r="X53" s="18" t="n">
        <v>647.4400000000001</v>
      </c>
      <c r="Y53" s="18" t="n">
        <v>700.5700000000001</v>
      </c>
      <c r="Z53" s="34" t="n">
        <v>2750.66</v>
      </c>
      <c r="AA53" s="18" t="n">
        <v>690.16</v>
      </c>
      <c r="AB53" s="19" t="n">
        <v>1132.34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-155.4</v>
      </c>
      <c r="F54" s="9" t="n"/>
      <c r="G54" s="18" t="n">
        <v>-305.05</v>
      </c>
      <c r="H54" s="18" t="n">
        <v>-421.09</v>
      </c>
      <c r="I54" s="18" t="n">
        <v>-383.81</v>
      </c>
      <c r="J54" s="18" t="n">
        <v>-160.02</v>
      </c>
      <c r="K54" s="34" t="n">
        <v>-1269.97</v>
      </c>
      <c r="L54" s="18" t="n">
        <v>-256.38</v>
      </c>
      <c r="M54" s="18" t="n">
        <v>-194.78</v>
      </c>
      <c r="N54" s="18" t="n">
        <v>-580.86</v>
      </c>
      <c r="O54" s="18" t="n">
        <v>-463.23</v>
      </c>
      <c r="P54" s="34" t="n">
        <v>-1495.25</v>
      </c>
      <c r="Q54" s="18" t="n">
        <v>-307.87</v>
      </c>
      <c r="R54" s="18" t="n">
        <v>-2.05</v>
      </c>
      <c r="S54" s="18" t="n">
        <v>-184.98</v>
      </c>
      <c r="T54" s="18" t="n">
        <v>-220.82</v>
      </c>
      <c r="U54" s="34" t="n">
        <v>-715.72</v>
      </c>
      <c r="V54" s="18" t="n">
        <v>-377.45</v>
      </c>
      <c r="W54" s="18" t="n">
        <v>12.09</v>
      </c>
      <c r="X54" s="18" t="n">
        <v>-26.91</v>
      </c>
      <c r="Y54" s="18" t="n">
        <v>-228.9</v>
      </c>
      <c r="Z54" s="34" t="n">
        <v>-621.17</v>
      </c>
      <c r="AA54" s="18" t="n">
        <v>-303.89</v>
      </c>
      <c r="AB54" s="19" t="n">
        <v>-735.9400000000001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52.08</v>
      </c>
      <c r="F55" s="9" t="n"/>
      <c r="G55" s="18" t="n">
        <v>186.52</v>
      </c>
      <c r="H55" s="18" t="n">
        <v>123.2</v>
      </c>
      <c r="I55" s="18" t="n">
        <v>189.46</v>
      </c>
      <c r="J55" s="18" t="n">
        <v>27.17</v>
      </c>
      <c r="K55" s="34" t="n">
        <v>526.35</v>
      </c>
      <c r="L55" s="18" t="n">
        <v>314.92</v>
      </c>
      <c r="M55" s="18" t="n">
        <v>179.81</v>
      </c>
      <c r="N55" s="18" t="n">
        <v>124.19</v>
      </c>
      <c r="O55" s="18" t="n">
        <v>189.49</v>
      </c>
      <c r="P55" s="34" t="n">
        <v>808.41</v>
      </c>
      <c r="Q55" s="18" t="n">
        <v>302.05</v>
      </c>
      <c r="R55" s="18" t="n">
        <v>252.93</v>
      </c>
      <c r="S55" s="18" t="n">
        <v>163.51</v>
      </c>
      <c r="T55" s="18" t="n">
        <v>158.57</v>
      </c>
      <c r="U55" s="34" t="n">
        <v>877.0599999999999</v>
      </c>
      <c r="V55" s="18" t="n">
        <v>302.27</v>
      </c>
      <c r="W55" s="18" t="n">
        <v>836.42</v>
      </c>
      <c r="X55" s="18" t="n">
        <v>-19.22</v>
      </c>
      <c r="Y55" s="18" t="n">
        <v>144.57</v>
      </c>
      <c r="Z55" s="34" t="n">
        <v>1264.04</v>
      </c>
      <c r="AA55" s="18" t="n">
        <v>173.39</v>
      </c>
      <c r="AB55" s="19" t="n">
        <v>2386.67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88.92</v>
      </c>
      <c r="F56" s="9" t="n"/>
      <c r="G56" s="18" t="n">
        <v>56.82</v>
      </c>
      <c r="H56" s="18" t="n">
        <v>51.77</v>
      </c>
      <c r="I56" s="18" t="n">
        <v>125.58</v>
      </c>
      <c r="J56" s="18" t="n">
        <v>112.44</v>
      </c>
      <c r="K56" s="34" t="n">
        <v>346.61</v>
      </c>
      <c r="L56" s="18" t="n">
        <v>55.45</v>
      </c>
      <c r="M56" s="18" t="n">
        <v>247.61</v>
      </c>
      <c r="N56" s="18" t="n">
        <v>144.01</v>
      </c>
      <c r="O56" s="18" t="n">
        <v>15.23</v>
      </c>
      <c r="P56" s="34" t="n">
        <v>462.3</v>
      </c>
      <c r="Q56" s="18" t="n">
        <v>226.08</v>
      </c>
      <c r="R56" s="18" t="n">
        <v>204.93</v>
      </c>
      <c r="S56" s="18" t="n">
        <v>74.40000000000001</v>
      </c>
      <c r="T56" s="18" t="n">
        <v>195.15</v>
      </c>
      <c r="U56" s="34" t="n">
        <v>700.5599999999999</v>
      </c>
      <c r="V56" s="18" t="n">
        <v>157.71</v>
      </c>
      <c r="W56" s="18" t="n">
        <v>183.16</v>
      </c>
      <c r="X56" s="18" t="n">
        <v>-2.85</v>
      </c>
      <c r="Y56" s="18" t="n">
        <v>183.23</v>
      </c>
      <c r="Z56" s="34" t="n">
        <v>521.25</v>
      </c>
      <c r="AA56" s="18" t="n">
        <v>186.16</v>
      </c>
      <c r="AB56" s="19" t="n">
        <v>379.04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13.23</v>
      </c>
      <c r="F57" s="9" t="n"/>
      <c r="G57" s="18" t="n">
        <v>39.8</v>
      </c>
      <c r="H57" s="18" t="n">
        <v>12.08</v>
      </c>
      <c r="I57" s="18" t="n">
        <v>5.34</v>
      </c>
      <c r="J57" s="18" t="n">
        <v>6.06</v>
      </c>
      <c r="K57" s="34" t="n">
        <v>63.28</v>
      </c>
      <c r="L57" s="18" t="n">
        <v>287.29</v>
      </c>
      <c r="M57" s="18" t="n">
        <v>56.94</v>
      </c>
      <c r="N57" s="18" t="n">
        <v>9.81</v>
      </c>
      <c r="O57" s="18" t="n">
        <v>16.82</v>
      </c>
      <c r="P57" s="34" t="n">
        <v>370.86</v>
      </c>
      <c r="Q57" s="18" t="n">
        <v>15.57</v>
      </c>
      <c r="R57" s="18" t="n">
        <v>8.01</v>
      </c>
      <c r="S57" s="18" t="n">
        <v>6.77</v>
      </c>
      <c r="T57" s="18" t="n">
        <v>5.88</v>
      </c>
      <c r="U57" s="34" t="n">
        <v>36.23</v>
      </c>
      <c r="V57" s="18" t="n">
        <v>5.36</v>
      </c>
      <c r="W57" s="18" t="n">
        <v>10.18</v>
      </c>
      <c r="X57" s="18" t="n">
        <v>7.89</v>
      </c>
      <c r="Y57" s="18" t="n">
        <v>6.53</v>
      </c>
      <c r="Z57" s="34" t="n">
        <v>29.96</v>
      </c>
      <c r="AA57" s="18" t="n">
        <v>37.7</v>
      </c>
      <c r="AB57" s="19" t="n">
        <v>6.77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0.15</v>
      </c>
      <c r="F58" s="9" t="n"/>
      <c r="G58" s="18" t="n">
        <v>0</v>
      </c>
      <c r="H58" s="18" t="n">
        <v>0</v>
      </c>
      <c r="I58" s="18" t="n">
        <v>0</v>
      </c>
      <c r="J58" s="18" t="n">
        <v>0</v>
      </c>
      <c r="K58" s="34" t="n">
        <v>0</v>
      </c>
      <c r="N58" s="18" t="n">
        <v>0</v>
      </c>
      <c r="O58" s="18" t="n">
        <v>0</v>
      </c>
      <c r="P58" s="9" t="n"/>
      <c r="Q58" s="18" t="n">
        <v>0</v>
      </c>
      <c r="R58" s="18" t="n">
        <v>24.9</v>
      </c>
      <c r="S58" s="18" t="n">
        <v>0</v>
      </c>
      <c r="T58" s="18" t="n">
        <v>0</v>
      </c>
      <c r="U58" s="34" t="n">
        <v>24.9</v>
      </c>
      <c r="V58" s="18" t="n">
        <v>0</v>
      </c>
      <c r="W58" s="18" t="n">
        <v>0</v>
      </c>
      <c r="X58" s="18" t="n">
        <v>3.72</v>
      </c>
      <c r="Y58" s="18" t="n">
        <v>0</v>
      </c>
      <c r="Z58" s="34" t="n">
        <v>3.72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-179.15</v>
      </c>
      <c r="F59" s="9" t="n"/>
      <c r="G59" s="18" t="n">
        <v>-135.54</v>
      </c>
      <c r="H59" s="18" t="n">
        <v>-337.57</v>
      </c>
      <c r="I59" s="18" t="n">
        <v>-314.58</v>
      </c>
      <c r="J59" s="18" t="n">
        <v>-239.23</v>
      </c>
      <c r="K59" s="34" t="n">
        <v>-1026.92</v>
      </c>
      <c r="L59" s="18" t="n">
        <v>290.38</v>
      </c>
      <c r="M59" s="18" t="n">
        <v>-205.64</v>
      </c>
      <c r="N59" s="18" t="n">
        <v>-590.86</v>
      </c>
      <c r="O59" s="18" t="n">
        <v>-272.16</v>
      </c>
      <c r="P59" s="34" t="n">
        <v>-778.28</v>
      </c>
      <c r="Q59" s="18" t="n">
        <v>-216.34</v>
      </c>
      <c r="R59" s="18" t="n">
        <v>29.06</v>
      </c>
      <c r="S59" s="18" t="n">
        <v>-89.09999999999999</v>
      </c>
      <c r="T59" s="18" t="n">
        <v>-251.51</v>
      </c>
      <c r="U59" s="34" t="n">
        <v>-527.89</v>
      </c>
      <c r="V59" s="18" t="n">
        <v>-227.53</v>
      </c>
      <c r="W59" s="18" t="n">
        <v>675.52</v>
      </c>
      <c r="X59" s="18" t="n">
        <v>-39.11</v>
      </c>
      <c r="Y59" s="18" t="n">
        <v>-261.03</v>
      </c>
      <c r="Z59" s="34" t="n">
        <v>147.85</v>
      </c>
      <c r="AA59" s="18" t="n">
        <v>-278.97</v>
      </c>
      <c r="AB59" s="19" t="n">
        <v>1278.46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-13.64</v>
      </c>
      <c r="F60" s="9" t="n"/>
      <c r="K60" s="9" t="n"/>
      <c r="P60" s="9" t="n"/>
      <c r="U60" s="9" t="n"/>
      <c r="Z60" s="9" t="n"/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-165.5</v>
      </c>
      <c r="F61" s="9" t="n"/>
      <c r="G61" s="18" t="n">
        <v>-135.54</v>
      </c>
      <c r="H61" s="18" t="n">
        <v>-337.57</v>
      </c>
      <c r="I61" s="18" t="n">
        <v>-314.58</v>
      </c>
      <c r="J61" s="18" t="n">
        <v>-239.23</v>
      </c>
      <c r="K61" s="34" t="n">
        <v>-1026.92</v>
      </c>
      <c r="L61" s="18" t="n">
        <v>290.38</v>
      </c>
      <c r="M61" s="18" t="n">
        <v>-205.64</v>
      </c>
      <c r="N61" s="18" t="n">
        <v>-590.86</v>
      </c>
      <c r="O61" s="18" t="n">
        <v>-272.16</v>
      </c>
      <c r="P61" s="34" t="n">
        <v>-778.28</v>
      </c>
      <c r="Q61" s="18" t="n">
        <v>-216.34</v>
      </c>
      <c r="R61" s="18" t="n">
        <v>29.06</v>
      </c>
      <c r="S61" s="18" t="n">
        <v>-89.09999999999999</v>
      </c>
      <c r="T61" s="18" t="n">
        <v>-251.51</v>
      </c>
      <c r="U61" s="34" t="n">
        <v>-527.89</v>
      </c>
      <c r="V61" s="18" t="n">
        <v>-227.53</v>
      </c>
      <c r="W61" s="18" t="n">
        <v>675.52</v>
      </c>
      <c r="X61" s="18" t="n">
        <v>-39.11</v>
      </c>
      <c r="Y61" s="18" t="n">
        <v>-261.03</v>
      </c>
      <c r="Z61" s="34" t="n">
        <v>147.85</v>
      </c>
      <c r="AA61" s="18" t="n">
        <v>-278.97</v>
      </c>
      <c r="AB61" s="19" t="n">
        <v>1278.46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-119.6</v>
      </c>
      <c r="F62" s="9" t="n"/>
      <c r="G62" s="18" t="n">
        <v>-78.26000000000001</v>
      </c>
      <c r="H62" s="18" t="n">
        <v>-290.69</v>
      </c>
      <c r="I62" s="18" t="n">
        <v>-263.46</v>
      </c>
      <c r="J62" s="18" t="n">
        <v>-192.56</v>
      </c>
      <c r="K62" s="34" t="n">
        <v>-824.97</v>
      </c>
      <c r="L62" s="18" t="n">
        <v>275.23</v>
      </c>
      <c r="M62" s="18" t="n">
        <v>-267.25</v>
      </c>
      <c r="N62" s="18" t="n">
        <v>-573.46</v>
      </c>
      <c r="O62" s="18" t="n">
        <v>-343.47</v>
      </c>
      <c r="P62" s="34" t="n">
        <v>-908.95</v>
      </c>
      <c r="Q62" s="18" t="n">
        <v>-273.07</v>
      </c>
      <c r="R62" s="18" t="n">
        <v>-10.07</v>
      </c>
      <c r="S62" s="18" t="n">
        <v>-49.12</v>
      </c>
      <c r="T62" s="18" t="n">
        <v>-182.05</v>
      </c>
      <c r="U62" s="34" t="n">
        <v>-514.3099999999999</v>
      </c>
      <c r="V62" s="18" t="n">
        <v>-218.55</v>
      </c>
      <c r="W62" s="18" t="n">
        <v>597.65</v>
      </c>
      <c r="X62" s="18" t="n">
        <v>-28.17</v>
      </c>
      <c r="Y62" s="18" t="n">
        <v>-210.36</v>
      </c>
      <c r="Z62" s="34" t="n">
        <v>140.57</v>
      </c>
      <c r="AA62" s="18" t="n">
        <v>-275.05</v>
      </c>
      <c r="AB62" s="19" t="n">
        <v>1289.63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-36.84</v>
      </c>
      <c r="F63" s="9" t="n"/>
      <c r="G63" s="18" t="n">
        <v>129.7</v>
      </c>
      <c r="H63" s="18" t="n">
        <v>71.43000000000001</v>
      </c>
      <c r="I63" s="18" t="n">
        <v>63.88</v>
      </c>
      <c r="J63" s="18" t="n">
        <v>-85.27</v>
      </c>
      <c r="K63" s="34" t="n">
        <v>179.74</v>
      </c>
      <c r="L63" s="18" t="n">
        <v>259.47</v>
      </c>
      <c r="M63" s="18" t="n">
        <v>-67.8</v>
      </c>
      <c r="N63" s="18" t="n">
        <v>-19.82</v>
      </c>
      <c r="O63" s="18" t="n">
        <v>174.26</v>
      </c>
      <c r="P63" s="34" t="n">
        <v>346.11</v>
      </c>
      <c r="Q63" s="18" t="n">
        <v>75.97</v>
      </c>
      <c r="R63" s="18" t="n">
        <v>48</v>
      </c>
      <c r="S63" s="18" t="n">
        <v>89.11</v>
      </c>
      <c r="T63" s="18" t="n">
        <v>-36.58</v>
      </c>
      <c r="U63" s="34" t="n">
        <v>176.5</v>
      </c>
      <c r="V63" s="18" t="n">
        <v>144.56</v>
      </c>
      <c r="W63" s="18" t="n">
        <v>653.26</v>
      </c>
      <c r="X63" s="18" t="n">
        <v>-16.37</v>
      </c>
      <c r="Y63" s="18" t="n">
        <v>-38.66</v>
      </c>
      <c r="Z63" s="34" t="n">
        <v>742.79</v>
      </c>
      <c r="AA63" s="18" t="n">
        <v>-12.77</v>
      </c>
      <c r="AB63" s="19" t="n">
        <v>2007.63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13.08</v>
      </c>
      <c r="F64" s="9" t="n"/>
      <c r="G64" s="18" t="n">
        <v>39.8</v>
      </c>
      <c r="H64" s="18" t="n">
        <v>12.08</v>
      </c>
      <c r="I64" s="18" t="n">
        <v>5.34</v>
      </c>
      <c r="J64" s="18" t="n">
        <v>6.06</v>
      </c>
      <c r="K64" s="34" t="n">
        <v>63.28</v>
      </c>
      <c r="L64" s="18" t="n">
        <v>287.29</v>
      </c>
      <c r="M64" s="18" t="n">
        <v>56.94</v>
      </c>
      <c r="N64" s="18" t="n">
        <v>9.81</v>
      </c>
      <c r="O64" s="18" t="n">
        <v>16.82</v>
      </c>
      <c r="P64" s="34" t="n">
        <v>370.86</v>
      </c>
      <c r="Q64" s="18" t="n">
        <v>15.57</v>
      </c>
      <c r="R64" s="18" t="n">
        <v>-16.89</v>
      </c>
      <c r="S64" s="18" t="n">
        <v>6.77</v>
      </c>
      <c r="T64" s="18" t="n">
        <v>5.88</v>
      </c>
      <c r="U64" s="34" t="n">
        <v>11.33</v>
      </c>
      <c r="V64" s="18" t="n">
        <v>5.36</v>
      </c>
      <c r="W64" s="18" t="n">
        <v>10.18</v>
      </c>
      <c r="X64" s="18" t="n">
        <v>4.17</v>
      </c>
      <c r="Y64" s="18" t="n">
        <v>6.53</v>
      </c>
      <c r="Z64" s="34" t="n">
        <v>26.24</v>
      </c>
      <c r="AA64" s="18" t="n">
        <v>37.7</v>
      </c>
      <c r="AB64" s="19" t="n">
        <v>6.77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4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4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4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4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-165.5</v>
      </c>
      <c r="F66" s="9" t="n"/>
      <c r="G66" s="18" t="n">
        <v>-135.54</v>
      </c>
      <c r="H66" s="18" t="n">
        <v>-337.57</v>
      </c>
      <c r="I66" s="18" t="n">
        <v>-314.58</v>
      </c>
      <c r="J66" s="18" t="n">
        <v>-239.23</v>
      </c>
      <c r="K66" s="34" t="n">
        <v>-1026.92</v>
      </c>
      <c r="L66" s="18" t="n">
        <v>290.38</v>
      </c>
      <c r="M66" s="18" t="n">
        <v>-205.64</v>
      </c>
      <c r="N66" s="18" t="n">
        <v>-590.86</v>
      </c>
      <c r="O66" s="18" t="n">
        <v>-272.16</v>
      </c>
      <c r="P66" s="34" t="n">
        <v>-778.28</v>
      </c>
      <c r="Q66" s="18" t="n">
        <v>-216.34</v>
      </c>
      <c r="R66" s="18" t="n">
        <v>29.06</v>
      </c>
      <c r="S66" s="18" t="n">
        <v>-89.09999999999999</v>
      </c>
      <c r="T66" s="18" t="n">
        <v>-251.51</v>
      </c>
      <c r="U66" s="34" t="n">
        <v>-527.89</v>
      </c>
      <c r="V66" s="18" t="n">
        <v>-227.53</v>
      </c>
      <c r="W66" s="18" t="n">
        <v>675.52</v>
      </c>
      <c r="X66" s="18" t="n">
        <v>-39.11</v>
      </c>
      <c r="Y66" s="18" t="n">
        <v>-261.03</v>
      </c>
      <c r="Z66" s="34" t="n">
        <v>147.85</v>
      </c>
      <c r="AA66" s="18" t="n">
        <v>-278.97</v>
      </c>
      <c r="AB66" s="19" t="n">
        <v>1278.46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79.3</v>
      </c>
      <c r="H67" s="18" t="n">
        <v>64.87</v>
      </c>
      <c r="I67" s="18" t="n">
        <v>65.20999999999999</v>
      </c>
      <c r="J67" s="18" t="n">
        <v>67.84</v>
      </c>
      <c r="K67" s="34" t="n">
        <v>277.22</v>
      </c>
      <c r="L67" s="18" t="n">
        <v>92.64</v>
      </c>
      <c r="M67" s="18" t="n">
        <v>102.92</v>
      </c>
      <c r="N67" s="18" t="n">
        <v>91.67</v>
      </c>
      <c r="O67" s="18" t="n">
        <v>92.76000000000001</v>
      </c>
      <c r="P67" s="34" t="n">
        <v>379.99</v>
      </c>
      <c r="Q67" s="18" t="n">
        <v>92.04000000000001</v>
      </c>
      <c r="R67" s="18" t="n">
        <v>83.8</v>
      </c>
      <c r="S67" s="18" t="n">
        <v>82.34</v>
      </c>
      <c r="T67" s="18" t="n">
        <v>83.75</v>
      </c>
      <c r="U67" s="34" t="n">
        <v>341.93</v>
      </c>
      <c r="V67" s="18" t="n">
        <v>81.38</v>
      </c>
      <c r="W67" s="18" t="n">
        <v>76.89</v>
      </c>
      <c r="X67" s="18" t="n">
        <v>70.7</v>
      </c>
      <c r="Y67" s="18" t="n">
        <v>80.34999999999999</v>
      </c>
      <c r="Z67" s="34" t="n">
        <v>309.32</v>
      </c>
      <c r="AA67" s="18" t="n">
        <v>86.16</v>
      </c>
      <c r="AB67" s="19" t="n">
        <v>58.62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40.23</v>
      </c>
      <c r="H68" s="18" t="n">
        <v>23.5</v>
      </c>
      <c r="I68" s="18" t="n">
        <v>0.06</v>
      </c>
      <c r="J68" s="18" t="n">
        <v>0.05</v>
      </c>
      <c r="K68" s="34" t="n">
        <v>63.84</v>
      </c>
      <c r="L68" s="18" t="n">
        <v>0.02</v>
      </c>
      <c r="M68" s="18" t="n">
        <v>0.01</v>
      </c>
      <c r="N68" s="18" t="n">
        <v>0</v>
      </c>
      <c r="O68" s="18" t="n">
        <v>0.29</v>
      </c>
      <c r="P68" s="34" t="n">
        <v>0.32</v>
      </c>
      <c r="Q68" s="18" t="n">
        <v>0.57</v>
      </c>
      <c r="R68" s="18" t="n">
        <v>0.53</v>
      </c>
      <c r="S68" s="18" t="n">
        <v>0.51</v>
      </c>
      <c r="T68" s="18" t="n">
        <v>0.47</v>
      </c>
      <c r="U68" s="34" t="n">
        <v>2.08</v>
      </c>
      <c r="V68" s="18" t="n">
        <v>0.44</v>
      </c>
      <c r="W68" s="18" t="n">
        <v>0.4</v>
      </c>
      <c r="X68" s="18" t="n">
        <v>0.36</v>
      </c>
      <c r="Y68" s="18" t="n">
        <v>0.33</v>
      </c>
      <c r="Z68" s="34" t="n">
        <v>1.53</v>
      </c>
      <c r="AA68" s="18" t="n">
        <v>0.29</v>
      </c>
      <c r="AB68" s="19" t="n">
        <v>252.06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외환차익</t>
        </is>
      </c>
      <c r="F69" s="9" t="n"/>
      <c r="G69" s="18" t="n">
        <v>27.57</v>
      </c>
      <c r="H69" s="18" t="n">
        <v>13.62</v>
      </c>
      <c r="I69" s="18" t="n">
        <v>51.73</v>
      </c>
      <c r="J69" s="18" t="n">
        <v>11.09</v>
      </c>
      <c r="K69" s="34" t="n">
        <v>104.01</v>
      </c>
      <c r="L69" s="18" t="n">
        <v>31.2</v>
      </c>
      <c r="M69" s="18" t="n">
        <v>59.96</v>
      </c>
      <c r="N69" s="18" t="n">
        <v>17.95</v>
      </c>
      <c r="O69" s="18" t="n">
        <v>13.95</v>
      </c>
      <c r="P69" s="34" t="n">
        <v>123.06</v>
      </c>
      <c r="Q69" s="18" t="n">
        <v>16.28</v>
      </c>
      <c r="R69" s="18" t="n">
        <v>2.72</v>
      </c>
      <c r="S69" s="18" t="n">
        <v>54.87</v>
      </c>
      <c r="T69" s="18" t="n">
        <v>15.62</v>
      </c>
      <c r="U69" s="34" t="n">
        <v>89.48999999999999</v>
      </c>
      <c r="V69" s="18" t="n">
        <v>30.84</v>
      </c>
      <c r="W69" s="18" t="n">
        <v>17.05</v>
      </c>
      <c r="X69" s="18" t="n">
        <v>1.08</v>
      </c>
      <c r="Y69" s="18" t="n">
        <v>4.6</v>
      </c>
      <c r="Z69" s="34" t="n">
        <v>53.57</v>
      </c>
      <c r="AA69" s="18" t="n">
        <v>45.36</v>
      </c>
      <c r="AB69" s="19" t="n">
        <v>58.93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외환차손</t>
        </is>
      </c>
      <c r="F70" s="9" t="n"/>
      <c r="G70" s="18" t="n">
        <v>4.96</v>
      </c>
      <c r="H70" s="18" t="n">
        <v>28.03</v>
      </c>
      <c r="I70" s="18" t="n">
        <v>6.48</v>
      </c>
      <c r="J70" s="18" t="n">
        <v>20.49</v>
      </c>
      <c r="K70" s="34" t="n">
        <v>59.96</v>
      </c>
      <c r="L70" s="18" t="n">
        <v>0.7</v>
      </c>
      <c r="M70" s="18" t="n">
        <v>31.6</v>
      </c>
      <c r="N70" s="18" t="n">
        <v>31.26</v>
      </c>
      <c r="O70" s="18" t="n">
        <v>19.31</v>
      </c>
      <c r="P70" s="34" t="n">
        <v>82.87</v>
      </c>
      <c r="Q70" s="18" t="n">
        <v>5.82</v>
      </c>
      <c r="R70" s="18" t="n">
        <v>27.54</v>
      </c>
      <c r="S70" s="18" t="n">
        <v>1.19</v>
      </c>
      <c r="T70" s="18" t="n">
        <v>7.6</v>
      </c>
      <c r="U70" s="34" t="n">
        <v>42.15</v>
      </c>
      <c r="V70" s="18" t="n">
        <v>0.91</v>
      </c>
      <c r="W70" s="18" t="n">
        <v>13.64</v>
      </c>
      <c r="X70" s="18" t="n">
        <v>3.59</v>
      </c>
      <c r="Y70" s="18" t="n">
        <v>3.39</v>
      </c>
      <c r="Z70" s="34" t="n">
        <v>21.53</v>
      </c>
      <c r="AA70" s="18" t="n">
        <v>0.65</v>
      </c>
      <c r="AB70" s="19" t="n">
        <v>1.99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G71" s="18" t="n">
        <v>4.56</v>
      </c>
      <c r="H71" s="18" t="n">
        <v>32.64</v>
      </c>
      <c r="I71" s="18" t="n">
        <v>64.69</v>
      </c>
      <c r="J71" s="18" t="n">
        <v>-100.36</v>
      </c>
      <c r="K71" s="34" t="n">
        <v>1.53</v>
      </c>
      <c r="L71" s="18" t="n">
        <v>85.72</v>
      </c>
      <c r="M71" s="18" t="n">
        <v>-81.11</v>
      </c>
      <c r="N71" s="18" t="n">
        <v>2.69</v>
      </c>
      <c r="O71" s="18" t="n">
        <v>-6.73</v>
      </c>
      <c r="P71" s="34" t="n">
        <v>0.57</v>
      </c>
      <c r="Q71" s="18" t="n">
        <v>7.78</v>
      </c>
      <c r="R71" s="18" t="n">
        <v>11.01</v>
      </c>
      <c r="S71" s="18" t="n">
        <v>-15.54</v>
      </c>
      <c r="T71" s="18" t="n">
        <v>25.46</v>
      </c>
      <c r="U71" s="34" t="n">
        <v>28.71</v>
      </c>
      <c r="V71" s="18" t="n">
        <v>6.27</v>
      </c>
      <c r="Y71" s="18" t="n">
        <v>4.63</v>
      </c>
      <c r="Z71" s="9" t="n"/>
      <c r="AA71" s="18" t="n">
        <v>41.87</v>
      </c>
      <c r="AB71" s="19" t="n">
        <v>-37.96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11.63</v>
      </c>
      <c r="H72" s="18" t="n">
        <v>0.24</v>
      </c>
      <c r="K72" s="9" t="n"/>
      <c r="L72" s="18" t="n">
        <v>0.11</v>
      </c>
      <c r="M72" s="18" t="n">
        <v>145.74</v>
      </c>
      <c r="N72" s="18" t="n">
        <v>-26.19</v>
      </c>
      <c r="O72" s="18" t="n">
        <v>-35.58</v>
      </c>
      <c r="P72" s="34" t="n">
        <v>84.08</v>
      </c>
      <c r="Q72" s="18" t="n">
        <v>82.78</v>
      </c>
      <c r="R72" s="18" t="n">
        <v>-23.67</v>
      </c>
      <c r="S72" s="18" t="n">
        <v>-53.57</v>
      </c>
      <c r="T72" s="18" t="n">
        <v>-5.41</v>
      </c>
      <c r="U72" s="34" t="n">
        <v>0.13</v>
      </c>
      <c r="V72" s="18" t="n">
        <v>0.07000000000000001</v>
      </c>
      <c r="W72" s="18" t="n">
        <v>38.65</v>
      </c>
      <c r="X72" s="18" t="n">
        <v>-21.27</v>
      </c>
      <c r="Y72" s="18" t="n">
        <v>29.78</v>
      </c>
      <c r="Z72" s="34" t="n">
        <v>47.23</v>
      </c>
      <c r="AA72" s="18" t="n">
        <v>0.01</v>
      </c>
      <c r="AB72" s="19" t="n">
        <v>0.15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39.07</v>
      </c>
      <c r="H73" s="18" t="n">
        <v>41.37</v>
      </c>
      <c r="I73" s="18" t="n">
        <v>65.15000000000001</v>
      </c>
      <c r="J73" s="18" t="n">
        <v>67.79000000000001</v>
      </c>
      <c r="K73" s="34" t="n">
        <v>213.38</v>
      </c>
      <c r="L73" s="18" t="n">
        <v>92.62</v>
      </c>
      <c r="M73" s="18" t="n">
        <v>102.91</v>
      </c>
      <c r="N73" s="18" t="n">
        <v>91.67</v>
      </c>
      <c r="O73" s="18" t="n">
        <v>92.47</v>
      </c>
      <c r="P73" s="34" t="n">
        <v>379.67</v>
      </c>
      <c r="Q73" s="18" t="n">
        <v>91.47</v>
      </c>
      <c r="R73" s="18" t="n">
        <v>83.27</v>
      </c>
      <c r="S73" s="18" t="n">
        <v>81.83</v>
      </c>
      <c r="T73" s="18" t="n">
        <v>83.28</v>
      </c>
      <c r="U73" s="34" t="n">
        <v>339.85</v>
      </c>
      <c r="V73" s="18" t="n">
        <v>80.94</v>
      </c>
      <c r="W73" s="18" t="n">
        <v>76.48999999999999</v>
      </c>
      <c r="X73" s="18" t="n">
        <v>70.34</v>
      </c>
      <c r="Y73" s="18" t="n">
        <v>80.02</v>
      </c>
      <c r="Z73" s="34" t="n">
        <v>307.79</v>
      </c>
      <c r="AA73" s="18" t="n">
        <v>85.87</v>
      </c>
      <c r="AB73" s="19" t="n">
        <v>-193.44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0</v>
      </c>
      <c r="J74" s="18" t="n">
        <v>0.31</v>
      </c>
      <c r="K74" s="9" t="n"/>
      <c r="N74" s="18" t="n">
        <v>1.55</v>
      </c>
      <c r="O74" s="18" t="n">
        <v>0</v>
      </c>
      <c r="P74" s="9" t="n"/>
      <c r="S74" s="18" t="n">
        <v>2.29</v>
      </c>
      <c r="T74" s="18" t="n">
        <v>0.36</v>
      </c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327.84</v>
      </c>
      <c r="F75" s="9" t="n"/>
      <c r="G75" s="18" t="n">
        <v>-422.93</v>
      </c>
      <c r="H75" s="18" t="n">
        <v>-147.51</v>
      </c>
      <c r="I75" s="18" t="n">
        <v>467.96</v>
      </c>
      <c r="J75" s="18" t="n">
        <v>-190.8</v>
      </c>
      <c r="K75" s="34" t="n">
        <v>-293.28</v>
      </c>
      <c r="L75" s="18" t="n">
        <v>516.65</v>
      </c>
      <c r="M75" s="18" t="n">
        <v>157.62</v>
      </c>
      <c r="N75" s="18" t="n">
        <v>608.09</v>
      </c>
      <c r="O75" s="18" t="n">
        <v>-277.08</v>
      </c>
      <c r="P75" s="34" t="n">
        <v>1005.28</v>
      </c>
      <c r="Q75" s="18" t="n">
        <v>-432.33</v>
      </c>
      <c r="R75" s="18" t="n">
        <v>-661.6900000000001</v>
      </c>
      <c r="S75" s="18" t="n">
        <v>-178.14</v>
      </c>
      <c r="T75" s="18" t="n">
        <v>358.89</v>
      </c>
      <c r="U75" s="34" t="n">
        <v>-913.27</v>
      </c>
      <c r="V75" s="18" t="n">
        <v>303.32</v>
      </c>
      <c r="W75" s="18" t="n">
        <v>-309.35</v>
      </c>
      <c r="X75" s="18" t="n">
        <v>1293.05</v>
      </c>
      <c r="Y75" s="18" t="n">
        <v>358.16</v>
      </c>
      <c r="Z75" s="34" t="n">
        <v>1645.18</v>
      </c>
      <c r="AA75" s="18" t="n">
        <v>-261.11</v>
      </c>
      <c r="AB75" s="19" t="n">
        <v>-1097.28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-4.93</v>
      </c>
      <c r="F76" s="9" t="n"/>
      <c r="G76" s="18" t="n">
        <v>-11.43</v>
      </c>
      <c r="H76" s="18" t="n">
        <v>-5.52</v>
      </c>
      <c r="I76" s="18" t="n">
        <v>-10.54</v>
      </c>
      <c r="J76" s="18" t="n">
        <v>-10.03</v>
      </c>
      <c r="K76" s="34" t="n">
        <v>-37.52</v>
      </c>
      <c r="L76" s="18" t="n">
        <v>-6.57</v>
      </c>
      <c r="M76" s="18" t="n">
        <v>30.56</v>
      </c>
      <c r="N76" s="18" t="n">
        <v>-16.47</v>
      </c>
      <c r="O76" s="18" t="n">
        <v>-18.93</v>
      </c>
      <c r="P76" s="34" t="n">
        <v>-11.41</v>
      </c>
      <c r="Q76" s="18" t="n">
        <v>-12.18</v>
      </c>
      <c r="R76" s="18" t="n">
        <v>40.62</v>
      </c>
      <c r="S76" s="18" t="n">
        <v>-9.85</v>
      </c>
      <c r="T76" s="18" t="n">
        <v>-13.8</v>
      </c>
      <c r="U76" s="34" t="n">
        <v>4.79</v>
      </c>
      <c r="V76" s="18" t="n">
        <v>-12.06</v>
      </c>
      <c r="W76" s="18" t="n">
        <v>45.78</v>
      </c>
      <c r="X76" s="18" t="n">
        <v>-14.72</v>
      </c>
      <c r="Y76" s="18" t="n">
        <v>-12.57</v>
      </c>
      <c r="Z76" s="34" t="n">
        <v>6.43</v>
      </c>
      <c r="AA76" s="18" t="n">
        <v>-6.14</v>
      </c>
      <c r="AB76" s="19" t="n">
        <v>25.99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-9150.440000000001</v>
      </c>
      <c r="F77" s="9" t="n"/>
      <c r="G77" s="18" t="n">
        <v>2585.62</v>
      </c>
      <c r="H77" s="18" t="n">
        <v>2426.08</v>
      </c>
      <c r="I77" s="18" t="n">
        <v>-537.05</v>
      </c>
      <c r="J77" s="18" t="n">
        <v>-4869.25</v>
      </c>
      <c r="K77" s="34" t="n">
        <v>-394.6</v>
      </c>
      <c r="L77" s="18" t="n">
        <v>8028.66</v>
      </c>
      <c r="M77" s="18" t="n">
        <v>1380.69</v>
      </c>
      <c r="N77" s="18" t="n">
        <v>-3131.33</v>
      </c>
      <c r="O77" s="18" t="n">
        <v>-2397.42</v>
      </c>
      <c r="P77" s="34" t="n">
        <v>3880.6</v>
      </c>
      <c r="Q77" s="18" t="n">
        <v>1883.94</v>
      </c>
      <c r="R77" s="18" t="n">
        <v>-1293.13</v>
      </c>
      <c r="S77" s="18" t="n">
        <v>-1636.86</v>
      </c>
      <c r="T77" s="18" t="n">
        <v>973.02</v>
      </c>
      <c r="U77" s="34" t="n">
        <v>-73.03</v>
      </c>
      <c r="V77" s="18" t="n">
        <v>987.2</v>
      </c>
      <c r="W77" s="18" t="n">
        <v>-2079.77</v>
      </c>
      <c r="X77" s="18" t="n">
        <v>3371.33</v>
      </c>
      <c r="Y77" s="18" t="n">
        <v>-4008.86</v>
      </c>
      <c r="Z77" s="34" t="n">
        <v>-1730.1</v>
      </c>
      <c r="AA77" s="18" t="n">
        <v>-1280.2</v>
      </c>
      <c r="AB77" s="19" t="n">
        <v>-767.33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150.44</v>
      </c>
      <c r="F78" s="9" t="n"/>
      <c r="G78" s="18" t="n">
        <v>1541.47</v>
      </c>
      <c r="H78" s="18" t="n">
        <v>566.4</v>
      </c>
      <c r="I78" s="18" t="n">
        <v>1717.94</v>
      </c>
      <c r="J78" s="18" t="n">
        <v>104.77</v>
      </c>
      <c r="K78" s="34" t="n">
        <v>3930.58</v>
      </c>
      <c r="L78" s="18" t="n">
        <v>17.39</v>
      </c>
      <c r="M78" s="18" t="n">
        <v>47.37</v>
      </c>
      <c r="N78" s="18" t="n">
        <v>163.23</v>
      </c>
      <c r="O78" s="18" t="n">
        <v>205.42</v>
      </c>
      <c r="P78" s="34" t="n">
        <v>433.41</v>
      </c>
      <c r="Q78" s="18" t="n">
        <v>33.15</v>
      </c>
      <c r="R78" s="18" t="n">
        <v>87.95</v>
      </c>
      <c r="S78" s="18" t="n">
        <v>624.63</v>
      </c>
      <c r="T78" s="18" t="n">
        <v>30</v>
      </c>
      <c r="U78" s="34" t="n">
        <v>775.73</v>
      </c>
      <c r="V78" s="18" t="n">
        <v>30.65</v>
      </c>
      <c r="W78" s="18" t="n">
        <v>13.1</v>
      </c>
      <c r="X78" s="18" t="n">
        <v>34.25</v>
      </c>
      <c r="Y78" s="18" t="n">
        <v>8.859999999999999</v>
      </c>
      <c r="Z78" s="34" t="n">
        <v>86.86</v>
      </c>
      <c r="AA78" s="18" t="n">
        <v>1310.2</v>
      </c>
      <c r="AB78" s="19" t="n">
        <v>1373.07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150.44</v>
      </c>
      <c r="F79" s="9" t="n"/>
      <c r="G79" s="18" t="n">
        <v>1541.47</v>
      </c>
      <c r="H79" s="18" t="n">
        <v>573.91</v>
      </c>
      <c r="I79" s="18" t="n">
        <v>1717.94</v>
      </c>
      <c r="J79" s="18" t="n">
        <v>104.77</v>
      </c>
      <c r="K79" s="34" t="n">
        <v>3938.09</v>
      </c>
      <c r="L79" s="18" t="n">
        <v>17.39</v>
      </c>
      <c r="M79" s="18" t="n">
        <v>47.37</v>
      </c>
      <c r="N79" s="18" t="n">
        <v>163.23</v>
      </c>
      <c r="O79" s="18" t="n">
        <v>205.42</v>
      </c>
      <c r="P79" s="34" t="n">
        <v>433.41</v>
      </c>
      <c r="Q79" s="18" t="n">
        <v>33.15</v>
      </c>
      <c r="R79" s="18" t="n">
        <v>87.95</v>
      </c>
      <c r="S79" s="18" t="n">
        <v>624.63</v>
      </c>
      <c r="T79" s="18" t="n">
        <v>30</v>
      </c>
      <c r="U79" s="34" t="n">
        <v>775.73</v>
      </c>
      <c r="V79" s="18" t="n">
        <v>30.65</v>
      </c>
      <c r="W79" s="18" t="n">
        <v>13.1</v>
      </c>
      <c r="X79" s="18" t="n">
        <v>34.25</v>
      </c>
      <c r="Y79" s="18" t="n">
        <v>8.859999999999999</v>
      </c>
      <c r="Z79" s="34" t="n">
        <v>86.86</v>
      </c>
      <c r="AA79" s="18" t="n">
        <v>1310.2</v>
      </c>
      <c r="AB79" s="19" t="n">
        <v>1373.07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10416.96</v>
      </c>
      <c r="F80" s="9" t="n"/>
      <c r="G80" s="18" t="n">
        <v>-2.77</v>
      </c>
      <c r="H80" s="18" t="n">
        <v>-5001.65</v>
      </c>
      <c r="I80" s="18" t="n">
        <v>463.41</v>
      </c>
      <c r="J80" s="18" t="n">
        <v>-1.65</v>
      </c>
      <c r="K80" s="34" t="n">
        <v>-4542.66</v>
      </c>
      <c r="L80" s="18" t="n">
        <v>127.8</v>
      </c>
      <c r="M80" s="18" t="n">
        <v>-0.79</v>
      </c>
      <c r="N80" s="18" t="n">
        <v>0</v>
      </c>
      <c r="O80" s="18" t="n">
        <v>-1.04</v>
      </c>
      <c r="P80" s="34" t="n">
        <v>125.97</v>
      </c>
      <c r="Q80" s="18" t="n">
        <v>92.34999999999999</v>
      </c>
      <c r="R80" s="18" t="n">
        <v>-4.14</v>
      </c>
      <c r="S80" s="18" t="n">
        <v>-2.08</v>
      </c>
      <c r="T80" s="18" t="n">
        <v>-2.08</v>
      </c>
      <c r="U80" s="34" t="n">
        <v>84.05</v>
      </c>
      <c r="V80" s="18" t="n">
        <v>-2.08</v>
      </c>
      <c r="W80" s="18" t="n">
        <v>-2.08</v>
      </c>
      <c r="X80" s="18" t="n">
        <v>70.73</v>
      </c>
      <c r="Y80" s="18" t="n">
        <v>-2.08</v>
      </c>
      <c r="Z80" s="34" t="n">
        <v>64.48999999999999</v>
      </c>
      <c r="AA80" s="18" t="n">
        <v>-2.08</v>
      </c>
      <c r="AB80" s="19" t="n">
        <v>19377.2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5.03</v>
      </c>
      <c r="F82" s="9" t="n"/>
      <c r="G82" s="18" t="n">
        <v>2.77</v>
      </c>
      <c r="H82" s="18" t="n">
        <v>1.65</v>
      </c>
      <c r="I82" s="18" t="n">
        <v>1.65</v>
      </c>
      <c r="J82" s="18" t="n">
        <v>1.65</v>
      </c>
      <c r="K82" s="34" t="n">
        <v>7.72</v>
      </c>
      <c r="L82" s="18" t="n">
        <v>1.65</v>
      </c>
      <c r="M82" s="18" t="n">
        <v>0.8</v>
      </c>
      <c r="N82" s="18" t="n">
        <v>0</v>
      </c>
      <c r="O82" s="18" t="n">
        <v>1.03</v>
      </c>
      <c r="P82" s="34" t="n">
        <v>3.48</v>
      </c>
      <c r="Q82" s="18" t="n">
        <v>2.08</v>
      </c>
      <c r="R82" s="18" t="n">
        <v>2.08</v>
      </c>
      <c r="S82" s="18" t="n">
        <v>2.07</v>
      </c>
      <c r="T82" s="18" t="n">
        <v>2.08</v>
      </c>
      <c r="U82" s="34" t="n">
        <v>8.31</v>
      </c>
      <c r="V82" s="18" t="n">
        <v>2.08</v>
      </c>
      <c r="W82" s="18" t="n">
        <v>2.08</v>
      </c>
      <c r="X82" s="18" t="n">
        <v>2.07</v>
      </c>
      <c r="Y82" s="18" t="n">
        <v>2.08</v>
      </c>
      <c r="Z82" s="34" t="n">
        <v>8.31</v>
      </c>
      <c r="AA82" s="18" t="n">
        <v>2.08</v>
      </c>
      <c r="AB82" s="19" t="n">
        <v>4.8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1585.98</v>
      </c>
      <c r="F83" s="9" t="n"/>
      <c r="G83" s="18" t="n">
        <v>2162.61</v>
      </c>
      <c r="H83" s="18" t="n">
        <v>-2701.02</v>
      </c>
      <c r="I83" s="18" t="n">
        <v>459.76</v>
      </c>
      <c r="J83" s="18" t="n">
        <v>-5221.44</v>
      </c>
      <c r="K83" s="34" t="n">
        <v>-5300.09</v>
      </c>
      <c r="L83" s="18" t="n">
        <v>8749.200000000001</v>
      </c>
      <c r="M83" s="18" t="n">
        <v>1331.47</v>
      </c>
      <c r="N83" s="18" t="n">
        <v>-2508.86</v>
      </c>
      <c r="O83" s="18" t="n">
        <v>-2643.93</v>
      </c>
      <c r="P83" s="34" t="n">
        <v>4927.88</v>
      </c>
      <c r="Q83" s="18" t="n">
        <v>1466.86</v>
      </c>
      <c r="R83" s="18" t="n">
        <v>-1922.76</v>
      </c>
      <c r="S83" s="18" t="n">
        <v>-1775.48</v>
      </c>
      <c r="T83" s="18" t="n">
        <v>1351.89</v>
      </c>
      <c r="U83" s="34" t="n">
        <v>-879.49</v>
      </c>
      <c r="V83" s="18" t="n">
        <v>1293.51</v>
      </c>
      <c r="W83" s="18" t="n">
        <v>-2430.94</v>
      </c>
      <c r="X83" s="18" t="n">
        <v>4753.62</v>
      </c>
      <c r="Y83" s="18" t="n">
        <v>-3668.78</v>
      </c>
      <c r="Z83" s="34" t="n">
        <v>-52.59</v>
      </c>
      <c r="AA83" s="18" t="n">
        <v>-1506.82</v>
      </c>
      <c r="AB83" s="19" t="n">
        <v>17477.92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1587.27</v>
      </c>
      <c r="F84" s="9" t="n"/>
      <c r="G84" s="18" t="n">
        <v>11448.72</v>
      </c>
      <c r="H84" s="18" t="n">
        <v>-2701.02</v>
      </c>
      <c r="I84" s="18" t="n">
        <v>459.76</v>
      </c>
      <c r="J84" s="18" t="n">
        <v>-5221.44</v>
      </c>
      <c r="K84" s="34" t="n">
        <v>3986.02</v>
      </c>
      <c r="L84" s="18" t="n">
        <v>12735.22</v>
      </c>
      <c r="M84" s="18" t="n">
        <v>1331.47</v>
      </c>
      <c r="N84" s="18" t="n">
        <v>-2508.86</v>
      </c>
      <c r="O84" s="18" t="n">
        <v>-2643.93</v>
      </c>
      <c r="P84" s="34" t="n">
        <v>8913.9</v>
      </c>
      <c r="Q84" s="18" t="n">
        <v>10380.76</v>
      </c>
      <c r="R84" s="18" t="n">
        <v>-1922.76</v>
      </c>
      <c r="S84" s="18" t="n">
        <v>-1775.48</v>
      </c>
      <c r="T84" s="18" t="n">
        <v>1351.89</v>
      </c>
      <c r="U84" s="34" t="n">
        <v>8034.41</v>
      </c>
      <c r="V84" s="18" t="n">
        <v>9327.91</v>
      </c>
      <c r="W84" s="18" t="n">
        <v>-2430.93</v>
      </c>
      <c r="X84" s="18" t="n">
        <v>4753.62</v>
      </c>
      <c r="Y84" s="18" t="n">
        <v>-3668.78</v>
      </c>
      <c r="Z84" s="34" t="n">
        <v>7981.82</v>
      </c>
      <c r="AA84" s="18" t="n">
        <v>6475</v>
      </c>
      <c r="AB84" s="19" t="n">
        <v>17477.92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52</v>
      </c>
      <c r="H85" s="18" t="n">
        <v>0</v>
      </c>
      <c r="I85" s="18" t="n">
        <v>0</v>
      </c>
      <c r="J85" s="18" t="n">
        <v>0</v>
      </c>
      <c r="K85" s="34" t="n">
        <v>52</v>
      </c>
      <c r="P85" s="9" t="n"/>
      <c r="U85" s="9" t="n"/>
      <c r="Z85" s="9" t="n"/>
      <c r="AA85" s="18" t="n">
        <v>30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I86" s="18" t="n">
        <v>0</v>
      </c>
      <c r="J86" s="18" t="n">
        <v>0.31</v>
      </c>
      <c r="K86" s="9" t="n"/>
      <c r="N86" s="18" t="n">
        <v>1.55</v>
      </c>
      <c r="O86" s="18" t="n">
        <v>0</v>
      </c>
      <c r="P86" s="9" t="n"/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I87" s="18" t="n">
        <v>0</v>
      </c>
      <c r="J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134.73</v>
      </c>
      <c r="P88" s="9" t="n"/>
      <c r="Q88" s="18" t="n">
        <v>78.48999999999999</v>
      </c>
      <c r="R88" s="18" t="n">
        <v>106.27</v>
      </c>
      <c r="S88" s="18" t="n">
        <v>63.94</v>
      </c>
      <c r="T88" s="18" t="n">
        <v>99.01000000000001</v>
      </c>
      <c r="U88" s="34" t="n">
        <v>347.71</v>
      </c>
      <c r="V88" s="18" t="n">
        <v>84.16</v>
      </c>
      <c r="W88" s="18" t="n">
        <v>35.19</v>
      </c>
      <c r="X88" s="18" t="n">
        <v>95.65000000000001</v>
      </c>
      <c r="Y88" s="18" t="n">
        <v>81.65000000000001</v>
      </c>
      <c r="Z88" s="34" t="n">
        <v>296.65</v>
      </c>
      <c r="AA88" s="18" t="n">
        <v>40.97</v>
      </c>
      <c r="AB88" s="19" t="n">
        <v>126.83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-0.0367</v>
      </c>
      <c r="F10" s="34" t="n"/>
      <c r="G10" s="18" t="n">
        <v>-0.0858</v>
      </c>
      <c r="H10" s="18" t="n">
        <v>-0.1112</v>
      </c>
      <c r="I10" s="18" t="n">
        <v>-0.1222</v>
      </c>
      <c r="J10" s="18" t="n">
        <v>-0.0467</v>
      </c>
      <c r="K10" s="34">
        <f>SUM(G10:J10)</f>
        <v/>
      </c>
      <c r="L10" s="18" t="n">
        <v>-0.0747</v>
      </c>
      <c r="M10" s="18" t="n">
        <v>-0.0507</v>
      </c>
      <c r="N10" s="18" t="n">
        <v>-0.1845</v>
      </c>
      <c r="O10" s="18" t="n">
        <v>-0.1418</v>
      </c>
      <c r="P10" s="34">
        <f>SUM(L10:O10)</f>
        <v/>
      </c>
      <c r="Q10" s="18" t="n">
        <v>-0.0901</v>
      </c>
      <c r="R10" s="18" t="n">
        <v>-0.0005</v>
      </c>
      <c r="S10" s="18" t="n">
        <v>-0.0544</v>
      </c>
      <c r="T10" s="18" t="n">
        <v>-0.0614</v>
      </c>
      <c r="U10" s="34">
        <f>SUM(Q10:T10)</f>
        <v/>
      </c>
      <c r="V10" s="18" t="n">
        <v>-0.1231</v>
      </c>
      <c r="W10" s="18" t="n">
        <v>0.003</v>
      </c>
      <c r="X10" s="18" t="n">
        <v>-0.0071</v>
      </c>
      <c r="Y10" s="18" t="n">
        <v>-0.0544</v>
      </c>
      <c r="Z10" s="34">
        <f>SUM(V10:Y10)</f>
        <v/>
      </c>
      <c r="AA10" s="18" t="n">
        <v>-0.0925</v>
      </c>
      <c r="AB10" s="19" t="n">
        <v>-0.222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0.16</v>
      </c>
      <c r="H13" s="18" t="n">
        <v>0.18</v>
      </c>
      <c r="I13" s="18" t="n"/>
      <c r="J13" s="18" t="n"/>
      <c r="K13" s="34">
        <f>SUM(G13:J13)</f>
        <v/>
      </c>
      <c r="L13" s="18" t="n">
        <v>1.16</v>
      </c>
      <c r="M13" s="18" t="n">
        <v>-1.98</v>
      </c>
      <c r="N13" s="18" t="n">
        <v>0.16</v>
      </c>
      <c r="O13" s="18" t="n">
        <v>0.23</v>
      </c>
      <c r="P13" s="34">
        <f>SUM(L13:O13)</f>
        <v/>
      </c>
      <c r="Q13" s="18" t="n">
        <v>-0.65</v>
      </c>
      <c r="R13" s="18" t="n">
        <v>0.1</v>
      </c>
      <c r="S13" s="18" t="n">
        <v>0.92</v>
      </c>
      <c r="T13" s="18" t="n">
        <v>0.39</v>
      </c>
      <c r="U13" s="34">
        <f>SUM(Q13:T13)</f>
        <v/>
      </c>
      <c r="V13" s="18" t="n">
        <v>0.36</v>
      </c>
      <c r="W13" s="18" t="n"/>
      <c r="X13" s="18" t="n"/>
      <c r="Y13" s="18" t="n">
        <v>-0.24</v>
      </c>
      <c r="Z13" s="34">
        <f>SUM(V13:Y13)</f>
        <v/>
      </c>
      <c r="AA13" s="18" t="n">
        <v>0.87</v>
      </c>
      <c r="AB13" s="19" t="n">
        <v>0.19</v>
      </c>
      <c r="AC13" s="20" t="n">
        <v>0</v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4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5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5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5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4" t="n"/>
      <c r="G16" s="18" t="n"/>
      <c r="H16" s="18" t="n"/>
      <c r="I16" s="18" t="n"/>
      <c r="J16" s="18" t="n"/>
      <c r="K16" s="34">
        <f>SUM(G16:J16)</f>
        <v/>
      </c>
      <c r="L16" s="18" t="n"/>
      <c r="M16" s="18" t="n"/>
      <c r="N16" s="18" t="n"/>
      <c r="O16" s="18" t="n"/>
      <c r="P16" s="34">
        <f>SUM(L16:O16)</f>
        <v/>
      </c>
      <c r="Q16" s="18" t="n"/>
      <c r="R16" s="18" t="n"/>
      <c r="S16" s="18" t="n"/>
      <c r="T16" s="18" t="n"/>
      <c r="U16" s="34">
        <f>SUM(Q16:T16)</f>
        <v/>
      </c>
      <c r="V16" s="18" t="n"/>
      <c r="W16" s="18" t="n"/>
      <c r="X16" s="18" t="n"/>
      <c r="Y16" s="18" t="n"/>
      <c r="Z16" s="34">
        <f>SUM(V16:Y16)</f>
        <v/>
      </c>
      <c r="AA16" s="18" t="n"/>
      <c r="AB16" s="19">
        <f>IFERROR(VLOOKUP($D16,BS별도,MATCH(AB$1,BS별도H,0),0)/100,"")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  <c r="AF16" s="20">
        <f>IFERROR(AF15*변수!AF29,"")</f>
        <v/>
      </c>
      <c r="AG16" s="20">
        <f>IFERROR(AG15*변수!AG29,"")</f>
        <v/>
      </c>
      <c r="AH16" s="20">
        <f>IFERROR(AH15*변수!AH29,"")</f>
        <v/>
      </c>
      <c r="AI16" s="20">
        <f>IFERROR(AI15*변수!AI29,"")</f>
        <v/>
      </c>
      <c r="AJ16" s="35">
        <f>SUM(AF16:AI16)</f>
        <v/>
      </c>
      <c r="AK16" s="20">
        <f>IFERROR(AK15*변수!AK29,"")</f>
        <v/>
      </c>
      <c r="AL16" s="20">
        <f>IFERROR(AL15*변수!AL29,"")</f>
        <v/>
      </c>
      <c r="AM16" s="20">
        <f>IFERROR(AM15*변수!AM29,"")</f>
        <v/>
      </c>
      <c r="AN16" s="20">
        <f>IFERROR(AN15*변수!AN29,"")</f>
        <v/>
      </c>
      <c r="AO16" s="35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5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5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4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  <c r="AF18" s="20">
        <f>IFERROR(AF17*변수!AF30,"")</f>
        <v/>
      </c>
      <c r="AG18" s="20">
        <f>IFERROR(AG17*변수!AG30,"")</f>
        <v/>
      </c>
      <c r="AH18" s="20">
        <f>IFERROR(AH17*변수!AH30,"")</f>
        <v/>
      </c>
      <c r="AI18" s="20">
        <f>IFERROR(AI17*변수!AI30,"")</f>
        <v/>
      </c>
      <c r="AJ18" s="35">
        <f>SUM(AF18:AI18)</f>
        <v/>
      </c>
      <c r="AK18" s="20">
        <f>IFERROR(AK17*변수!AK30,"")</f>
        <v/>
      </c>
      <c r="AL18" s="20">
        <f>IFERROR(AL17*변수!AL30,"")</f>
        <v/>
      </c>
      <c r="AM18" s="20">
        <f>IFERROR(AM17*변수!AM30,"")</f>
        <v/>
      </c>
      <c r="AN18" s="20">
        <f>IFERROR(AN17*변수!AN30,"")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4" t="n">
        <v>499.7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4" t="n">
        <v>90.45999999999999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4" t="n">
        <v>409.24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4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4" t="n">
        <v>409.24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4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IFERROR(AB22+AC18-변수!AC33,"")</f>
        <v/>
      </c>
      <c r="AD22" s="20">
        <f>IFERROR(AC22+AD18-변수!AD33,"")</f>
        <v/>
      </c>
      <c r="AE22" s="35">
        <f>AD22</f>
        <v/>
      </c>
      <c r="AF22" s="20">
        <f>IFERROR(AD22+AF18-변수!AF33,"")</f>
        <v/>
      </c>
      <c r="AG22" s="20">
        <f>IFERROR(AF22+AG18-변수!AG33,"")</f>
        <v/>
      </c>
      <c r="AH22" s="20">
        <f>IFERROR(AG22+AH18-변수!AH33,"")</f>
        <v/>
      </c>
      <c r="AI22" s="20">
        <f>IFERROR(AH22+AI18-변수!AI33,"")</f>
        <v/>
      </c>
      <c r="AJ22" s="35">
        <f>AI22</f>
        <v/>
      </c>
      <c r="AK22" s="20">
        <f>IFERROR(AI22+AK18-변수!AK33,"")</f>
        <v/>
      </c>
      <c r="AL22" s="20">
        <f>IFERROR(AK22+AL18-변수!AL33,"")</f>
        <v/>
      </c>
      <c r="AM22" s="20">
        <f>IFERROR(AL22+AM18-변수!AM33,"")</f>
        <v/>
      </c>
      <c r="AN22" s="20">
        <f>IFERROR(AM22+AN18-변수!AN33,"")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4" t="n">
        <v>50</v>
      </c>
      <c r="G23" s="18">
        <f>IFERROR(VLOOKUP($D23,BS별도,MATCH(G$1,BS별도H,0),0)/100,"")</f>
        <v/>
      </c>
      <c r="H23" s="18" t="n"/>
      <c r="I23" s="18" t="n"/>
      <c r="J23" s="18" t="n"/>
      <c r="K23" s="34">
        <f>J23</f>
        <v/>
      </c>
      <c r="L23" s="18" t="n"/>
      <c r="M23" s="18" t="n"/>
      <c r="N23" s="18" t="n"/>
      <c r="O23" s="18" t="n"/>
      <c r="P23" s="34">
        <f>O23</f>
        <v/>
      </c>
      <c r="Q23" s="18" t="n"/>
      <c r="R23" s="18" t="n"/>
      <c r="S23" s="18" t="n"/>
      <c r="T23" s="18" t="n"/>
      <c r="U23" s="34">
        <f>T23</f>
        <v/>
      </c>
      <c r="V23" s="18" t="n"/>
      <c r="W23" s="18" t="n"/>
      <c r="X23" s="18" t="n"/>
      <c r="Y23" s="18" t="n"/>
      <c r="Z23" s="34">
        <f>Y23</f>
        <v/>
      </c>
      <c r="AA23" s="18" t="n"/>
      <c r="AB23" s="19">
        <f>IFERROR(VLOOKUP($D23,BS별도,MATCH(AB$1,BS별도H,0),0)/100,"")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4" t="n">
        <v>-132.86</v>
      </c>
      <c r="G24" s="18">
        <f>IFERROR(VLOOKUP($D24,BS별도,MATCH(G$1,BS별도H,0),0)/100,"")</f>
        <v/>
      </c>
      <c r="H24" s="18" t="n"/>
      <c r="I24" s="18" t="n"/>
      <c r="J24" s="18" t="n"/>
      <c r="K24" s="34">
        <f>J24</f>
        <v/>
      </c>
      <c r="L24" s="18" t="n"/>
      <c r="M24" s="18" t="n"/>
      <c r="N24" s="18" t="n"/>
      <c r="O24" s="18" t="n"/>
      <c r="P24" s="34">
        <f>O24</f>
        <v/>
      </c>
      <c r="Q24" s="18" t="n"/>
      <c r="R24" s="18" t="n"/>
      <c r="S24" s="18" t="n"/>
      <c r="T24" s="18" t="n"/>
      <c r="U24" s="34">
        <f>T24</f>
        <v/>
      </c>
      <c r="V24" s="18" t="n"/>
      <c r="W24" s="18" t="n"/>
      <c r="X24" s="18" t="n"/>
      <c r="Y24" s="18" t="n"/>
      <c r="Z24" s="34">
        <f>Y24</f>
        <v/>
      </c>
      <c r="AA24" s="18" t="n"/>
      <c r="AB24" s="19">
        <f>IFERROR(VLOOKUP($D24,BS별도,MATCH(AB$1,BS별도H,0),0)/100,"")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4" t="n">
        <v>183.14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4" t="n">
        <v>92.86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4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4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4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4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4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4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4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3.28</v>
      </c>
      <c r="F28" s="34" t="n"/>
      <c r="G28" s="18" t="n">
        <v>-4.23</v>
      </c>
      <c r="H28" s="18" t="n">
        <v>-1.48</v>
      </c>
      <c r="I28" s="18" t="n">
        <v>4.68</v>
      </c>
      <c r="J28" s="18" t="n">
        <v>-1.91</v>
      </c>
      <c r="K28" s="34">
        <f>SUM(G28:J28)</f>
        <v/>
      </c>
      <c r="L28" s="18" t="n">
        <v>5.17</v>
      </c>
      <c r="M28" s="18" t="n">
        <v>1.58</v>
      </c>
      <c r="N28" s="18" t="n">
        <v>6.08</v>
      </c>
      <c r="O28" s="18" t="n">
        <v>-2.77</v>
      </c>
      <c r="P28" s="34">
        <f>SUM(L28:O28)</f>
        <v/>
      </c>
      <c r="Q28" s="18" t="n">
        <v>-4.32</v>
      </c>
      <c r="R28" s="18" t="n">
        <v>-6.62</v>
      </c>
      <c r="S28" s="18" t="n">
        <v>-1.78</v>
      </c>
      <c r="T28" s="18" t="n">
        <v>3.59</v>
      </c>
      <c r="U28" s="34">
        <f>SUM(Q28:T28)</f>
        <v/>
      </c>
      <c r="V28" s="18" t="n">
        <v>3.03</v>
      </c>
      <c r="W28" s="18" t="n">
        <v>-3.09</v>
      </c>
      <c r="X28" s="18" t="n">
        <v>12.93</v>
      </c>
      <c r="Y28" s="18" t="n">
        <v>3.58</v>
      </c>
      <c r="Z28" s="34">
        <f>SUM(V28:Y28)</f>
        <v/>
      </c>
      <c r="AA28" s="18" t="n">
        <v>-2.61</v>
      </c>
      <c r="AB28" s="19" t="n">
        <v>-10.97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9.460000000000001</v>
      </c>
      <c r="F29" s="27">
        <f>E29</f>
        <v/>
      </c>
      <c r="G29" s="26" t="n">
        <v>9.460000000000001</v>
      </c>
      <c r="H29" s="26" t="n">
        <v>9.460000000000001</v>
      </c>
      <c r="I29" s="26" t="n">
        <v>9.615</v>
      </c>
      <c r="J29" s="26" t="n">
        <v>9.615</v>
      </c>
      <c r="K29" s="27">
        <f>J29</f>
        <v/>
      </c>
      <c r="L29" s="26" t="n">
        <v>10.021</v>
      </c>
      <c r="M29" s="26" t="n">
        <v>10.021</v>
      </c>
      <c r="N29" s="26" t="n">
        <v>10.021</v>
      </c>
      <c r="O29" s="26" t="n">
        <v>10.021</v>
      </c>
      <c r="P29" s="27">
        <f>O29</f>
        <v/>
      </c>
      <c r="Q29" s="26" t="n">
        <v>10.798</v>
      </c>
      <c r="R29" s="26" t="n">
        <v>11.141</v>
      </c>
      <c r="S29" s="26" t="n">
        <v>11.141</v>
      </c>
      <c r="T29" s="26" t="n">
        <v>11.141</v>
      </c>
      <c r="U29" s="27">
        <f>T29</f>
        <v/>
      </c>
      <c r="V29" s="26" t="n">
        <v>11.141</v>
      </c>
      <c r="W29" s="26" t="n">
        <v>11.141</v>
      </c>
      <c r="X29" s="26" t="n">
        <v>11.165</v>
      </c>
      <c r="Y29" s="26" t="n">
        <v>11.165</v>
      </c>
      <c r="Z29" s="27">
        <f>Y29</f>
        <v/>
      </c>
      <c r="AA29" s="26" t="n">
        <v>11.165</v>
      </c>
      <c r="AB29" s="28" t="n">
        <v>11.165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4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4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4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4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4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5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5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/>
      <c r="J33" s="18" t="n"/>
      <c r="K33" s="34">
        <f>SUM(G33:J33)</f>
        <v/>
      </c>
      <c r="L33" s="18" t="n"/>
      <c r="M33" s="18" t="n"/>
      <c r="N33" s="18" t="n"/>
      <c r="O33" s="18" t="n"/>
      <c r="P33" s="34">
        <f>SUM(L33:O33)</f>
        <v/>
      </c>
      <c r="Q33" s="18" t="n"/>
      <c r="R33" s="18" t="n"/>
      <c r="S33" s="18" t="n"/>
      <c r="T33" s="18" t="n"/>
      <c r="U33" s="34">
        <f>SUM(Q33:T33)</f>
        <v/>
      </c>
      <c r="V33" s="18" t="n"/>
      <c r="W33" s="18" t="n">
        <v>639.14</v>
      </c>
      <c r="X33" s="18" t="n">
        <v>413.98</v>
      </c>
      <c r="Y33" s="18" t="n">
        <v>658.74</v>
      </c>
      <c r="Z33" s="34">
        <f>SUM(V33:Y33)</f>
        <v/>
      </c>
      <c r="AA33" s="18" t="n">
        <v>1419.07</v>
      </c>
      <c r="AB33" s="19" t="n">
        <v>146.59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 t="n"/>
      <c r="AH33" s="20" t="n"/>
      <c r="AI33" s="20" t="n"/>
      <c r="AJ33" s="35">
        <f>SUM(AF33:AI33)</f>
        <v/>
      </c>
      <c r="AK33" s="20" t="n"/>
      <c r="AL33" s="20" t="n"/>
      <c r="AM33" s="20" t="n"/>
      <c r="AN33" s="20" t="n"/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1.91</v>
      </c>
      <c r="F34" s="34" t="n">
        <v>2.16</v>
      </c>
      <c r="G34" s="18" t="n">
        <v>1.87</v>
      </c>
      <c r="H34" s="18" t="n">
        <v>1.89</v>
      </c>
      <c r="I34" s="18" t="n">
        <v>1.7</v>
      </c>
      <c r="J34" s="18" t="n">
        <v>1.63</v>
      </c>
      <c r="K34" s="34">
        <f>SUM(G34:J34)</f>
        <v/>
      </c>
      <c r="L34" s="18" t="n">
        <v>1.73</v>
      </c>
      <c r="M34" s="18" t="n">
        <v>1.81</v>
      </c>
      <c r="N34" s="18" t="n">
        <v>1.71</v>
      </c>
      <c r="O34" s="18" t="n">
        <v>1.59</v>
      </c>
      <c r="P34" s="34">
        <f>SUM(L34:O34)</f>
        <v/>
      </c>
      <c r="Q34" s="18" t="n">
        <v>3.11</v>
      </c>
      <c r="R34" s="18" t="n">
        <v>2.48</v>
      </c>
      <c r="S34" s="18" t="n">
        <v>3.01</v>
      </c>
      <c r="T34" s="18" t="n">
        <v>1.64</v>
      </c>
      <c r="U34" s="34">
        <f>SUM(Q34:T34)</f>
        <v/>
      </c>
      <c r="V34" s="18" t="n">
        <v>1.89</v>
      </c>
      <c r="W34" s="18" t="n">
        <v>1.72</v>
      </c>
      <c r="X34" s="18" t="n">
        <v>1.63</v>
      </c>
      <c r="Y34" s="18" t="n">
        <v>2.47</v>
      </c>
      <c r="Z34" s="34">
        <f>SUM(V34:Y34)</f>
        <v/>
      </c>
      <c r="AA34" s="18" t="n">
        <v>3.5</v>
      </c>
      <c r="AB34" s="19" t="n">
        <v>2.52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42.39</v>
      </c>
      <c r="F35" s="34" t="n"/>
      <c r="G35" s="18" t="n">
        <v>35.56</v>
      </c>
      <c r="H35" s="18" t="n">
        <v>37.88</v>
      </c>
      <c r="I35" s="18" t="n">
        <v>31.42</v>
      </c>
      <c r="J35" s="18" t="n">
        <v>34.28</v>
      </c>
      <c r="K35" s="34">
        <f>SUM(G35:J35)</f>
        <v/>
      </c>
      <c r="L35" s="18" t="n">
        <v>34.3</v>
      </c>
      <c r="M35" s="18" t="n">
        <v>38.39</v>
      </c>
      <c r="N35" s="18" t="n">
        <v>31.48</v>
      </c>
      <c r="O35" s="18" t="n">
        <v>32.66</v>
      </c>
      <c r="P35" s="34">
        <f>SUM(L35:O35)</f>
        <v/>
      </c>
      <c r="Q35" s="18" t="n">
        <v>34.19</v>
      </c>
      <c r="R35" s="18" t="n">
        <v>45.21</v>
      </c>
      <c r="S35" s="18" t="n">
        <v>34.01</v>
      </c>
      <c r="T35" s="18" t="n">
        <v>35.97</v>
      </c>
      <c r="U35" s="34">
        <f>SUM(Q35:T35)</f>
        <v/>
      </c>
      <c r="V35" s="18" t="n">
        <v>30.65</v>
      </c>
      <c r="W35" s="18" t="n">
        <v>40.01</v>
      </c>
      <c r="X35" s="18" t="n">
        <v>38.02</v>
      </c>
      <c r="Y35" s="18" t="n">
        <v>42.11</v>
      </c>
      <c r="Z35" s="34">
        <f>SUM(V35:Y35)</f>
        <v/>
      </c>
      <c r="AA35" s="18" t="n">
        <v>32.86</v>
      </c>
      <c r="AB35" s="19" t="n">
        <v>33.15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-1.55</v>
      </c>
      <c r="F36" s="34" t="n"/>
      <c r="G36" s="18" t="n">
        <v>-3.05</v>
      </c>
      <c r="H36" s="18" t="n">
        <v>-4.21</v>
      </c>
      <c r="I36" s="18" t="n">
        <v>-3.84</v>
      </c>
      <c r="J36" s="18" t="n">
        <v>-1.6</v>
      </c>
      <c r="K36" s="34">
        <f>SUM(G36:J36)</f>
        <v/>
      </c>
      <c r="L36" s="18" t="n">
        <v>-2.56</v>
      </c>
      <c r="M36" s="18" t="n">
        <v>-1.95</v>
      </c>
      <c r="N36" s="18" t="n">
        <v>-5.81</v>
      </c>
      <c r="O36" s="18" t="n">
        <v>-4.63</v>
      </c>
      <c r="P36" s="34">
        <f>SUM(L36:O36)</f>
        <v/>
      </c>
      <c r="Q36" s="18" t="n">
        <v>-3.08</v>
      </c>
      <c r="R36" s="18" t="n">
        <v>-0.02</v>
      </c>
      <c r="S36" s="18" t="n">
        <v>-1.85</v>
      </c>
      <c r="T36" s="18" t="n">
        <v>-2.21</v>
      </c>
      <c r="U36" s="34">
        <f>SUM(Q36:T36)</f>
        <v/>
      </c>
      <c r="V36" s="18" t="n">
        <v>-3.77</v>
      </c>
      <c r="W36" s="18" t="n">
        <v>0.12</v>
      </c>
      <c r="X36" s="18" t="n">
        <v>-0.27</v>
      </c>
      <c r="Y36" s="18" t="n">
        <v>-2.29</v>
      </c>
      <c r="Z36" s="34">
        <f>SUM(V36:Y36)</f>
        <v/>
      </c>
      <c r="AA36" s="18" t="n">
        <v>-3.04</v>
      </c>
      <c r="AB36" s="19" t="n">
        <v>-7.36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1">
        <f>IFERROR(AC18/AC5,"")</f>
        <v/>
      </c>
      <c r="AD39" s="31">
        <f>IFERROR(AD18/AD5,"")</f>
        <v/>
      </c>
      <c r="AE39" s="25">
        <f>IFERROR(AE18/AE5,"")</f>
        <v/>
      </c>
      <c r="AF39" s="31">
        <f>IFERROR(AF18/AF5,"")</f>
        <v/>
      </c>
      <c r="AG39" s="31">
        <f>IFERROR(AG18/AG5,"")</f>
        <v/>
      </c>
      <c r="AH39" s="31">
        <f>IFERROR(AH18/AH5,"")</f>
        <v/>
      </c>
      <c r="AI39" s="31">
        <f>IFERROR(AI18/AI5,"")</f>
        <v/>
      </c>
      <c r="AJ39" s="25">
        <f>IFERROR(AJ18/AJ5,"")</f>
        <v/>
      </c>
      <c r="AK39" s="31">
        <f>IFERROR(AK18/AK5,"")</f>
        <v/>
      </c>
      <c r="AL39" s="31">
        <f>IFERROR(AL18/AL5,"")</f>
        <v/>
      </c>
      <c r="AM39" s="31">
        <f>IFERROR(AM18/AM5,"")</f>
        <v/>
      </c>
      <c r="AN39" s="31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2">
        <f>IFERROR(W18/S18-1,"")</f>
        <v/>
      </c>
      <c r="X41" s="31">
        <f>IFERROR(X18/T18-1,"")</f>
        <v/>
      </c>
      <c r="Y41" s="31">
        <f>IFERROR(Y18/U18-1,"")</f>
        <v/>
      </c>
      <c r="Z41" s="31">
        <f>IFERROR(Z18/V18-1,"")</f>
        <v/>
      </c>
      <c r="AA41" s="31">
        <f>IFERROR(AA18/W18-1,"")</f>
        <v/>
      </c>
      <c r="AB41" s="31">
        <f>IFERROR(AB18/X18-1,"")</f>
        <v/>
      </c>
      <c r="AC41" s="31">
        <f>IFERROR(AC18/Y18-1,"")</f>
        <v/>
      </c>
      <c r="AD41" s="31">
        <f>IFERROR(AD18/Z18-1,"")</f>
        <v/>
      </c>
      <c r="AE41" s="31">
        <f>IFERROR(AE18/AA18-1,"")</f>
        <v/>
      </c>
      <c r="AF41" s="31">
        <f>IFERROR(AF18/AB18-1,"")</f>
        <v/>
      </c>
      <c r="AG41" s="31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2">
        <f>IFERROR(I18/H18-1,"")</f>
        <v/>
      </c>
      <c r="J41" s="31">
        <f>IFERROR(J18/I18-1,"")</f>
        <v/>
      </c>
      <c r="K41" s="31">
        <f>IFERROR(K18/J18-1,"")</f>
        <v/>
      </c>
      <c r="L41" s="31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-35.3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1.43</v>
      </c>
    </row>
    <row r="33">
      <c r="C33" s="2" t="inlineStr">
        <is>
          <t>roe_fwd</t>
        </is>
      </c>
      <c r="D33" t="n">
        <v>-0.0097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