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B31" authorId="0" shapeId="0">
      <text>
        <t>조정EPS 산식(모델 추정, 일회성 여부·세효과 주석 미확인): 지배NI − 초과 비영업손익 20억 × (1 − 세율 0.0% [분기 유효세율(법인세 0억 ÷ 세전 13억)]) × 지배 비중 1.0000 [그 분기 지배NI/NI] = -7억 ÷ 유통주식수 · 초과 = 비영업손익 20억 − 12분기 기준선 0억 · 보고 EPS 114원(EPS 행 불변) · 상수 19.83·1.0 는 모델 one_offs_detected 값(세전·법인세 셀을 바꿔도 재계산되지 않음)</t>
      </text>
    </comment>
    <comment ref="AC31" authorId="0" shapeId="0">
      <text>
        <t>추정: = EPS(추정 구간은 일회성 미가정)
[identity]</t>
      </text>
    </comment>
    <comment ref="AD31" authorId="0" shapeId="0">
      <text>
        <t>추정: = EPS(추정 구간은 일회성 미가정)
[identity]</t>
      </text>
    </comment>
    <comment ref="AF31" authorId="0" shapeId="0">
      <text>
        <t>추정: = EPS(추정 구간은 일회성 미가정)
[identity]</t>
      </text>
    </comment>
    <comment ref="AG31" authorId="0" shapeId="0">
      <text>
        <t>추정: = EPS(추정 구간은 일회성 미가정)
[identity]</t>
      </text>
    </comment>
    <comment ref="AH31" authorId="0" shapeId="0">
      <text>
        <t>추정: = EPS(추정 구간은 일회성 미가정)
[identity]</t>
      </text>
    </comment>
    <comment ref="AI31" authorId="0" shapeId="0">
      <text>
        <t>추정: = EPS(추정 구간은 일회성 미가정)
[identity]</t>
      </text>
    </comment>
    <comment ref="AK31" authorId="0" shapeId="0">
      <text>
        <t>추정: = EPS(추정 구간은 일회성 미가정)
[identity]</t>
      </text>
    </comment>
    <comment ref="AL31" authorId="0" shapeId="0">
      <text>
        <t>추정: = EPS(추정 구간은 일회성 미가정)
[identity]</t>
      </text>
    </comment>
    <comment ref="AM31" authorId="0" shapeId="0">
      <text>
        <t>추정: = EPS(추정 구간은 일회성 미가정)
[identity]</t>
      </text>
    </comment>
    <comment ref="AN31" authorId="0" shapeId="0">
      <text>
        <t>추정: = EPS(추정 구간은 일회성 미가정)
[identity]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114→조정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4805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4800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5290.8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subQ!E33</f>
        <v/>
      </c>
      <c r="F38" s="28">
        <f>subQ!F33</f>
        <v/>
      </c>
      <c r="G38" s="27">
        <f>subQ!G33</f>
        <v/>
      </c>
      <c r="H38" s="27">
        <f>subQ!H33</f>
        <v/>
      </c>
      <c r="I38" s="27">
        <f>subQ!I33</f>
        <v/>
      </c>
      <c r="J38" s="27">
        <f>subQ!J33</f>
        <v/>
      </c>
      <c r="K38" s="28">
        <f>subQ!K33</f>
        <v/>
      </c>
      <c r="L38" s="27">
        <f>subQ!L33</f>
        <v/>
      </c>
      <c r="M38" s="27">
        <f>subQ!M33</f>
        <v/>
      </c>
      <c r="N38" s="27">
        <f>subQ!N33</f>
        <v/>
      </c>
      <c r="O38" s="27">
        <f>subQ!O33</f>
        <v/>
      </c>
      <c r="P38" s="28">
        <f>subQ!P33</f>
        <v/>
      </c>
      <c r="Q38" s="27">
        <f>subQ!Q33</f>
        <v/>
      </c>
      <c r="R38" s="27">
        <f>subQ!R33</f>
        <v/>
      </c>
      <c r="S38" s="27">
        <f>subQ!S33</f>
        <v/>
      </c>
      <c r="T38" s="27">
        <f>subQ!T33</f>
        <v/>
      </c>
      <c r="U38" s="28">
        <f>subQ!U33</f>
        <v/>
      </c>
      <c r="V38" s="27">
        <f>subQ!V33</f>
        <v/>
      </c>
      <c r="W38" s="27">
        <f>subQ!W33</f>
        <v/>
      </c>
      <c r="X38" s="27">
        <f>subQ!X33</f>
        <v/>
      </c>
      <c r="Y38" s="27">
        <f>subQ!Y33</f>
        <v/>
      </c>
      <c r="Z38" s="28">
        <f>subQ!Z33</f>
        <v/>
      </c>
      <c r="AA38" s="27">
        <f>subQ!AA33</f>
        <v/>
      </c>
      <c r="AB38" s="29">
        <f>subQ!AB33</f>
        <v/>
      </c>
      <c r="AC38" s="33" t="n"/>
      <c r="AD38" s="30" t="n">
        <v>0</v>
      </c>
      <c r="AE38" s="31">
        <f>subQ!AE33</f>
        <v/>
      </c>
      <c r="AF38" s="33" t="n"/>
      <c r="AG38" s="33" t="n"/>
      <c r="AH38" s="33" t="n"/>
      <c r="AI38" s="30" t="n">
        <v>0</v>
      </c>
      <c r="AJ38" s="31">
        <f>subQ!AJ33</f>
        <v/>
      </c>
      <c r="AK38" s="33" t="n"/>
      <c r="AL38" s="33" t="n"/>
      <c r="AM38" s="33" t="n"/>
      <c r="AN38" s="30" t="n">
        <v>0</v>
      </c>
      <c r="AO38" s="31">
        <f>subQ!AO33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4805</v>
      </c>
      <c r="E41" s="2" t="inlineStr">
        <is>
          <t>원 — 네이버 정규장 종가(aik 확정종가 대조 · aik 5,200원)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20261012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639.1배가 3~40 밖(턴어라운드 왜곡))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0.22</v>
      </c>
      <c r="E48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0.1901715392654144</v>
      </c>
      <c r="E49" s="2" t="inlineStr">
        <is>
          <t>연결 — 판관비 = 매출액 × 판관비율(역산, 재현 오차 ≤ 0.05억 · 모델 assumptions 0.1902)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0.0217382951702637</v>
      </c>
      <c r="E51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0.001467345107112027</v>
      </c>
      <c r="E52" s="2" t="inlineStr">
        <is>
          <t>연결 — 같은 수식의 부채 쪽(총차입금 행이 없으면 0)(역산,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>
        <f>IFERROR(E30,"")</f>
        <v/>
      </c>
      <c r="F31" s="37" t="n"/>
      <c r="G31" s="18">
        <f>IFERROR(G30,"")</f>
        <v/>
      </c>
      <c r="H31" s="18">
        <f>IFERROR(H30,"")</f>
        <v/>
      </c>
      <c r="I31" s="18">
        <f>IFERROR(I30,"")</f>
        <v/>
      </c>
      <c r="J31" s="18">
        <f>IFERROR(J30,"")</f>
        <v/>
      </c>
      <c r="K31" s="37">
        <f>SUM(G31:J31)</f>
        <v/>
      </c>
      <c r="L31" s="18">
        <f>IFERROR(L30,"")</f>
        <v/>
      </c>
      <c r="M31" s="18">
        <f>IFERROR(M30,"")</f>
        <v/>
      </c>
      <c r="N31" s="18">
        <f>IFERROR(N30,"")</f>
        <v/>
      </c>
      <c r="O31" s="18">
        <f>IFERROR(O30,"")</f>
        <v/>
      </c>
      <c r="P31" s="37">
        <f>SUM(L31:O31)</f>
        <v/>
      </c>
      <c r="Q31" s="18">
        <f>IFERROR(Q30,"")</f>
        <v/>
      </c>
      <c r="R31" s="18">
        <f>IFERROR(R30,"")</f>
        <v/>
      </c>
      <c r="S31" s="18">
        <f>IFERROR(S30,"")</f>
        <v/>
      </c>
      <c r="T31" s="18">
        <f>IFERROR(T30,"")</f>
        <v/>
      </c>
      <c r="U31" s="37">
        <f>SUM(Q31:T31)</f>
        <v/>
      </c>
      <c r="V31" s="18">
        <f>IFERROR(V30,"")</f>
        <v/>
      </c>
      <c r="W31" s="18">
        <f>IFERROR(W30,"")</f>
        <v/>
      </c>
      <c r="X31" s="18">
        <f>IFERROR(X30,"")</f>
        <v/>
      </c>
      <c r="Y31" s="18">
        <f>IFERROR(Y30,"")</f>
        <v/>
      </c>
      <c r="Z31" s="37">
        <f>SUM(V31:Y31)</f>
        <v/>
      </c>
      <c r="AA31" s="18">
        <f>IFERROR(AA30,"")</f>
        <v/>
      </c>
      <c r="AB31" s="39">
        <f>IFERROR((AB18-(19.83)*(1.0))*100/AB29,"")</f>
        <v/>
      </c>
      <c r="AC31" s="20">
        <f>IFERROR(AC30,"")</f>
        <v/>
      </c>
      <c r="AD31" s="20">
        <f>IFERROR(AD30,"")</f>
        <v/>
      </c>
      <c r="AE31" s="38">
        <f>SUM(AA31:AD31)</f>
        <v/>
      </c>
      <c r="AF31" s="20">
        <f>IFERROR(AF30,"")</f>
        <v/>
      </c>
      <c r="AG31" s="20">
        <f>IFERROR(AG30,"")</f>
        <v/>
      </c>
      <c r="AH31" s="20">
        <f>IFERROR(AH30,"")</f>
        <v/>
      </c>
      <c r="AI31" s="20">
        <f>IFERROR(AI30,"")</f>
        <v/>
      </c>
      <c r="AJ31" s="38">
        <f>SUM(AF31:AI31)</f>
        <v/>
      </c>
      <c r="AK31" s="20">
        <f>IFERROR(AK30,"")</f>
        <v/>
      </c>
      <c r="AL31" s="20">
        <f>IFERROR(AL30,"")</f>
        <v/>
      </c>
      <c r="AM31" s="20">
        <f>IFERROR(AM30,"")</f>
        <v/>
      </c>
      <c r="AN31" s="20">
        <f>IFERROR(AN30,"")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변수!AD38</f>
        <v/>
      </c>
      <c r="AE33" s="38">
        <f>SUM(AA33:AD33)</f>
        <v/>
      </c>
      <c r="AF33" s="20" t="n"/>
      <c r="AG33" s="20" t="n"/>
      <c r="AH33" s="20" t="n"/>
      <c r="AI33" s="20">
        <f>변수!AI38</f>
        <v/>
      </c>
      <c r="AJ33" s="38">
        <f>SUM(AF33:AI33)</f>
        <v/>
      </c>
      <c r="AK33" s="20" t="n"/>
      <c r="AL33" s="20" t="n"/>
      <c r="AM33" s="20" t="n"/>
      <c r="AN33" s="20">
        <f>변수!AN38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IFERROR(변수!$D$41/(Y30+AA30+AB30+AC30),"")</f>
        <v/>
      </c>
      <c r="AD34" s="40">
        <f>IFERROR(변수!$D$41/(AA30+AB30+AC30+AD30),"")</f>
        <v/>
      </c>
      <c r="AE34" s="41">
        <f>AD34</f>
        <v/>
      </c>
      <c r="AF34" s="40">
        <f>IFERROR(변수!$D$41/(AB30+AC30+AD30+AF30),"")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IFERROR(변수!$D$41/AC32,"")</f>
        <v/>
      </c>
      <c r="AD35" s="40">
        <f>IFERROR(변수!$D$41/AD32,"")</f>
        <v/>
      </c>
      <c r="AE35" s="41">
        <f>AD35</f>
        <v/>
      </c>
      <c r="AF35" s="40">
        <f>IFERROR(변수!$D$41/AF32,"")</f>
        <v/>
      </c>
      <c r="AG35" s="40">
        <f>IFERROR(변수!$D$41/AG32,"")</f>
        <v/>
      </c>
      <c r="AH35" s="40">
        <f>IFERROR(변수!$D$41/AH32,"")</f>
        <v/>
      </c>
      <c r="AI35" s="40">
        <f>IFERROR(변수!$D$41/AI32,"")</f>
        <v/>
      </c>
      <c r="AJ35" s="41">
        <f>AI35</f>
        <v/>
      </c>
      <c r="AK35" s="40">
        <f>IFERROR(변수!$D$41/AK32,"")</f>
        <v/>
      </c>
      <c r="AL35" s="40">
        <f>IFERROR(변수!$D$41/AL32,"")</f>
        <v/>
      </c>
      <c r="AM35" s="40">
        <f>IFERROR(변수!$D$41/AM32,"")</f>
        <v/>
      </c>
      <c r="AN35" s="40">
        <f>IFERROR(변수!$D$41/AN32,"")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3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3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1.32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