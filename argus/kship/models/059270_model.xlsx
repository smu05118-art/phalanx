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BS연결!$C$5:$AO$5</definedName>
    <definedName name="BS별도H">BS별도!$C$1:$AO$1</definedName>
    <definedName name="BS별도">BS별도!$C$5:$AO$88</definedName>
    <definedName name="SUBQH">subQ!$A$1:$AO$1</definedName>
    <definedName name="subQ">subQ!$A$5:$AO$41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3" fontId="0" fillId="5" borderId="1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(1+3.9%) — g=최근 4분기 합 YoY 3.9% 클립(−30~+50%), 연차별 절반 감쇠(가정)</t>
      </text>
    </comment>
    <comment ref="AD21" authorId="0" shapeId="0">
      <text>
        <t>모델값 역산(implied): v / 전년동기 − 1
전년동기 × (1+3.9%) — g=최근 4분기 합 YoY 3.9% 클립(−30~+50%), 연차별 절반 감쇠(가정)</t>
      </text>
    </comment>
    <comment ref="AF21" authorId="0" shapeId="0">
      <text>
        <t>모델값 역산(implied): v / 전년동기 − 1
전년동기 × (1+3.9%) — g=최근 4분기 합 YoY 3.9% 클립(−30~+50%), 연차별 절반 감쇠(가정)</t>
      </text>
    </comment>
    <comment ref="AG21" authorId="0" shapeId="0">
      <text>
        <t>모델값 역산(implied): v / 전년동기 − 1
전년동기 × (1+3.9%) — g=최근 4분기 합 YoY 3.9% 클립(−30~+50%), 연차별 절반 감쇠(가정)</t>
      </text>
    </comment>
    <comment ref="AH21" authorId="0" shapeId="0">
      <text>
        <t>모델값 역산(implied): v / 전년동기 − 1
전년동기 × (1+2.0%) — g=최근 4분기 합 YoY 3.9% 클립(−30~+50%), 연차별 절반 감쇠(가정)</t>
      </text>
    </comment>
    <comment ref="AI21" authorId="0" shapeId="0">
      <text>
        <t>모델값 역산(implied): v / 전년동기 − 1
전년동기 × (1+2.0%) — g=최근 4분기 합 YoY 3.9% 클립(−30~+50%), 연차별 절반 감쇠(가정)</t>
      </text>
    </comment>
    <comment ref="AK21" authorId="0" shapeId="0">
      <text>
        <t>모델값 역산(implied): v / 전년동기 − 1
전년동기 × (1+2.0%) — g=최근 4분기 합 YoY 3.9% 클립(−30~+50%), 연차별 절반 감쇠(가정)</t>
      </text>
    </comment>
    <comment ref="AL21" authorId="0" shapeId="0">
      <text>
        <t>모델값 역산(implied): v / 전년동기 − 1
전년동기 × (1+2.0%) — g=최근 4분기 합 YoY 3.9% 클립(−30~+50%), 연차별 절반 감쇠(가정)</t>
      </text>
    </comment>
    <comment ref="AM21" authorId="0" shapeId="0">
      <text>
        <t>모델값 역산(implied): v / 전년동기 − 1
전년동기 × (1+1.0%) — g=최근 4분기 합 YoY 3.9% 클립(−30~+50%), 연차별 절반 감쇠(가정)</t>
      </text>
    </comment>
    <comment ref="AN21" authorId="0" shapeId="0">
      <text>
        <t>모델값 역산(implied): v / 전년동기 − 1
전년동기 × (1+1.0%) — g=최근 4분기 합 YoY 3.9% 클립(−30~+50%), 연차별 절반 감쇠(가정)</t>
      </text>
    </comment>
    <comment ref="AC22" authorId="0" shapeId="0">
      <text>
        <t>3절 스칼라 '판관비율' 참조 — 숫자로 덮어쓰면 이 분기만 바뀐다
매출액 × 판관비율 19.02%(최근 4분기 중위)</t>
      </text>
    </comment>
    <comment ref="AD22" authorId="0" shapeId="0">
      <text>
        <t>3절 스칼라 '판관비율' 참조 — 숫자로 덮어쓰면 이 분기만 바뀐다
매출액 × 판관비율 19.02%(최근 4분기 중위)</t>
      </text>
    </comment>
    <comment ref="AF22" authorId="0" shapeId="0">
      <text>
        <t>3절 스칼라 '판관비율' 참조 — 숫자로 덮어쓰면 이 분기만 바뀐다
매출액 × 판관비율 19.02%(최근 4분기 중위)</t>
      </text>
    </comment>
    <comment ref="AG22" authorId="0" shapeId="0">
      <text>
        <t>3절 스칼라 '판관비율' 참조 — 숫자로 덮어쓰면 이 분기만 바뀐다
매출액 × 판관비율 19.02%(최근 4분기 중위)</t>
      </text>
    </comment>
    <comment ref="AH22" authorId="0" shapeId="0">
      <text>
        <t>3절 스칼라 '판관비율' 참조 — 숫자로 덮어쓰면 이 분기만 바뀐다
매출액 × 판관비율 19.02%(최근 4분기 중위)</t>
      </text>
    </comment>
    <comment ref="AI22" authorId="0" shapeId="0">
      <text>
        <t>3절 스칼라 '판관비율' 참조 — 숫자로 덮어쓰면 이 분기만 바뀐다
매출액 × 판관비율 19.02%(최근 4분기 중위)</t>
      </text>
    </comment>
    <comment ref="AK22" authorId="0" shapeId="0">
      <text>
        <t>3절 스칼라 '판관비율' 참조 — 숫자로 덮어쓰면 이 분기만 바뀐다
매출액 × 판관비율 19.02%(최근 4분기 중위)</t>
      </text>
    </comment>
    <comment ref="AL22" authorId="0" shapeId="0">
      <text>
        <t>3절 스칼라 '판관비율' 참조 — 숫자로 덮어쓰면 이 분기만 바뀐다
매출액 × 판관비율 19.02%(최근 4분기 중위)</t>
      </text>
    </comment>
    <comment ref="AM22" authorId="0" shapeId="0">
      <text>
        <t>3절 스칼라 '판관비율' 참조 — 숫자로 덮어쓰면 이 분기만 바뀐다
매출액 × 판관비율 19.02%(최근 4분기 중위)</t>
      </text>
    </comment>
    <comment ref="AN22" authorId="0" shapeId="0">
      <text>
        <t>3절 스칼라 '판관비율' 참조 — 숫자로 덮어쓰면 이 분기만 바뀐다
매출액 × 판관비율 19.02%(최근 4분기 중위)</t>
      </text>
    </comment>
    <comment ref="AC23" authorId="0" shapeId="0">
      <text>
        <t>모델값 역산(implied): v / 매출액
매출액 × OPM(최근 8분기 OPM 중위 -5.8% 유지(클립 −20~40%))</t>
      </text>
    </comment>
    <comment ref="AD23" authorId="0" shapeId="0">
      <text>
        <t>모델값 역산(implied): v / 매출액
매출액 × OPM(최근 8분기 OPM 중위 -5.8% 유지(클립 −20~40%))</t>
      </text>
    </comment>
    <comment ref="AF23" authorId="0" shapeId="0">
      <text>
        <t>모델값 역산(implied): v / 매출액
매출액 × OPM(최근 8분기 OPM 중위 -5.8% 유지(클립 −20~40%))</t>
      </text>
    </comment>
    <comment ref="AG23" authorId="0" shapeId="0">
      <text>
        <t>모델값 역산(implied): v / 매출액
매출액 × OPM(최근 8분기 OPM 중위 -5.8% 유지(클립 −20~40%))</t>
      </text>
    </comment>
    <comment ref="AH23" authorId="0" shapeId="0">
      <text>
        <t>모델값 역산(implied): v / 매출액
매출액 × OPM(최근 8분기 OPM 중위 -5.8% 유지(클립 −20~40%))</t>
      </text>
    </comment>
    <comment ref="AI23" authorId="0" shapeId="0">
      <text>
        <t>모델값 역산(implied): v / 매출액
매출액 × OPM(최근 8분기 OPM 중위 -5.8% 유지(클립 −20~40%))</t>
      </text>
    </comment>
    <comment ref="AK23" authorId="0" shapeId="0">
      <text>
        <t>모델값 역산(implied): v / 매출액
매출액 × OPM(최근 8분기 OPM 중위 -5.8% 유지(클립 −20~40%))</t>
      </text>
    </comment>
    <comment ref="AL23" authorId="0" shapeId="0">
      <text>
        <t>모델값 역산(implied): v / 매출액
매출액 × OPM(최근 8분기 OPM 중위 -5.8% 유지(클립 −20~40%))</t>
      </text>
    </comment>
    <comment ref="AM23" authorId="0" shapeId="0">
      <text>
        <t>모델값 역산(implied): v / 매출액
매출액 × OPM(최근 8분기 OPM 중위 -5.8% 유지(클립 −20~40%))</t>
      </text>
    </comment>
    <comment ref="AN23" authorId="0" shapeId="0">
      <text>
        <t>모델값 역산(implied): v / 매출액
매출액 × OPM(최근 8분기 OPM 중위 -5.8% 유지(클립 −20~40%))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일회성 미가정 → 0</t>
      </text>
    </comment>
    <comment ref="AD25" authorId="0" shapeId="0">
      <text>
        <t>모델값 역산(implied): 모델 v 그대로
일회성 미가정 → 0</t>
      </text>
    </comment>
    <comment ref="AF25" authorId="0" shapeId="0">
      <text>
        <t>모델값 역산(implied): 모델 v 그대로
일회성 미가정 → 0</t>
      </text>
    </comment>
    <comment ref="AG25" authorId="0" shapeId="0">
      <text>
        <t>모델값 역산(implied): 모델 v 그대로
일회성 미가정 → 0</t>
      </text>
    </comment>
    <comment ref="AH25" authorId="0" shapeId="0">
      <text>
        <t>모델값 역산(implied): 모델 v 그대로
일회성 미가정 → 0</t>
      </text>
    </comment>
    <comment ref="AI25" authorId="0" shapeId="0">
      <text>
        <t>모델값 역산(implied): 모델 v 그대로
일회성 미가정 → 0</t>
      </text>
    </comment>
    <comment ref="AK25" authorId="0" shapeId="0">
      <text>
        <t>모델값 역산(implied): 모델 v 그대로
일회성 미가정 → 0</t>
      </text>
    </comment>
    <comment ref="AL25" authorId="0" shapeId="0">
      <text>
        <t>모델값 역산(implied): 모델 v 그대로
일회성 미가정 → 0</t>
      </text>
    </comment>
    <comment ref="AM25" authorId="0" shapeId="0">
      <text>
        <t>모델값 역산(implied): 모델 v 그대로
일회성 미가정 → 0</t>
      </text>
    </comment>
    <comment ref="AN25" authorId="0" shapeId="0">
      <text>
        <t>모델값 역산(implied): 모델 v 그대로
일회성 미가정 → 0</t>
      </text>
    </comment>
    <comment ref="AC26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D26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F26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G26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H26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I26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K26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L26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M26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N26" authorId="0" shapeId="0">
      <text>
        <t>모델값 역산(implied): v / 세전이익
max(세전, 0) × 세율 22.0%(최근 12분기 세전 합 ≤ 0; 세전 &gt; 0 분기 중위 0.0% 도 5~27% 밖 → 법정세율 근사 22% 가정)</t>
      </text>
    </comment>
    <comment ref="AC27" authorId="0" shapeId="0">
      <text>
        <t>3절 스칼라 '지배주주비중' 참조 — 숫자로 덮어쓰면 이 분기만 바뀐다
당기순이익 × (1 − 비지배 비중 0.0%, 최근 8분기 실측)</t>
      </text>
    </comment>
    <comment ref="AD27" authorId="0" shapeId="0">
      <text>
        <t>3절 스칼라 '지배주주비중' 참조 — 숫자로 덮어쓰면 이 분기만 바뀐다
당기순이익 × (1 − 비지배 비중 0.0%, 최근 8분기 실측)</t>
      </text>
    </comment>
    <comment ref="AF27" authorId="0" shapeId="0">
      <text>
        <t>3절 스칼라 '지배주주비중' 참조 — 숫자로 덮어쓰면 이 분기만 바뀐다
당기순이익 × (1 − 비지배 비중 0.0%, 최근 8분기 실측)</t>
      </text>
    </comment>
    <comment ref="AG27" authorId="0" shapeId="0">
      <text>
        <t>3절 스칼라 '지배주주비중' 참조 — 숫자로 덮어쓰면 이 분기만 바뀐다
당기순이익 × (1 − 비지배 비중 0.0%, 최근 8분기 실측)</t>
      </text>
    </comment>
    <comment ref="AH27" authorId="0" shapeId="0">
      <text>
        <t>3절 스칼라 '지배주주비중' 참조 — 숫자로 덮어쓰면 이 분기만 바뀐다
당기순이익 × (1 − 비지배 비중 0.0%, 최근 8분기 실측)</t>
      </text>
    </comment>
    <comment ref="AI27" authorId="0" shapeId="0">
      <text>
        <t>3절 스칼라 '지배주주비중' 참조 — 숫자로 덮어쓰면 이 분기만 바뀐다
당기순이익 × (1 − 비지배 비중 0.0%, 최근 8분기 실측)</t>
      </text>
    </comment>
    <comment ref="AK27" authorId="0" shapeId="0">
      <text>
        <t>3절 스칼라 '지배주주비중' 참조 — 숫자로 덮어쓰면 이 분기만 바뀐다
당기순이익 × (1 − 비지배 비중 0.0%, 최근 8분기 실측)</t>
      </text>
    </comment>
    <comment ref="AL27" authorId="0" shapeId="0">
      <text>
        <t>3절 스칼라 '지배주주비중' 참조 — 숫자로 덮어쓰면 이 분기만 바뀐다
당기순이익 × (1 − 비지배 비중 0.0%, 최근 8분기 실측)</t>
      </text>
    </comment>
    <comment ref="AM27" authorId="0" shapeId="0">
      <text>
        <t>3절 스칼라 '지배주주비중' 참조 — 숫자로 덮어쓰면 이 분기만 바뀐다
당기순이익 × (1 − 비지배 비중 0.0%, 최근 8분기 실측)</t>
      </text>
    </comment>
    <comment ref="AN27" authorId="0" shapeId="0">
      <text>
        <t>3절 스칼라 '지배주주비중' 참조 — 숫자로 덮어쓰면 이 분기만 바뀐다
당기순이익 × (1 − 비지배 비중 0.0%, 최근 8분기 실측)</t>
      </text>
    </comment>
    <comment ref="AC28" authorId="0" shapeId="0">
      <text>
        <t>모델값 역산(implied): v / 전분기 − 1
마지막 실적 유지(가정)</t>
      </text>
    </comment>
    <comment ref="AD28" authorId="0" shapeId="0">
      <text>
        <t>모델값 역산(implied): v / 전분기 − 1
마지막 실적 유지(가정)</t>
      </text>
    </comment>
    <comment ref="AF28" authorId="0" shapeId="0">
      <text>
        <t>모델값 역산(implied): v / 전분기 − 1
마지막 실적 유지(가정)</t>
      </text>
    </comment>
    <comment ref="AG28" authorId="0" shapeId="0">
      <text>
        <t>모델값 역산(implied): v / 전분기 − 1
마지막 실적 유지(가정)</t>
      </text>
    </comment>
    <comment ref="AH28" authorId="0" shapeId="0">
      <text>
        <t>모델값 역산(implied): v / 전분기 − 1
마지막 실적 유지(가정)</t>
      </text>
    </comment>
    <comment ref="AI28" authorId="0" shapeId="0">
      <text>
        <t>모델값 역산(implied): v / 전분기 − 1
마지막 실적 유지(가정)</t>
      </text>
    </comment>
    <comment ref="AK28" authorId="0" shapeId="0">
      <text>
        <t>모델값 역산(implied): v / 전분기 − 1
마지막 실적 유지(가정)</t>
      </text>
    </comment>
    <comment ref="AL28" authorId="0" shapeId="0">
      <text>
        <t>모델값 역산(implied): v / 전분기 − 1
마지막 실적 유지(가정)</t>
      </text>
    </comment>
    <comment ref="AM28" authorId="0" shapeId="0">
      <text>
        <t>모델값 역산(implied): v / 전분기 − 1
마지막 실적 유지(가정)</t>
      </text>
    </comment>
    <comment ref="AN28" authorId="0" shapeId="0">
      <text>
        <t>모델값 역산(implied): v / 전분기 − 1
마지막 실적 유지(가정)</t>
      </text>
    </comment>
    <comment ref="AC29" authorId="0" shapeId="0">
      <text>
        <t>모델값 역산(implied): 전분기(시트값) + 당기순이익(시트 수식값) − v
전분기 + 당기순이익 − 배당(Q2 지급 가정)</t>
      </text>
    </comment>
    <comment ref="AD29" authorId="0" shapeId="0">
      <text>
        <t>모델값 역산(implied): 전분기(시트값) + 당기순이익(시트 수식값) − v
전분기 + 당기순이익 − 배당(Q2 지급 가정)</t>
      </text>
    </comment>
    <comment ref="AF29" authorId="0" shapeId="0">
      <text>
        <t>모델값 역산(implied): 전분기(시트값) + 당기순이익(시트 수식값) − v
전분기 + 당기순이익 − 배당(Q2 지급 가정)</t>
      </text>
    </comment>
    <comment ref="AG29" authorId="0" shapeId="0">
      <text>
        <t>모델값 역산(implied): 전분기(시트값) + 당기순이익(시트 수식값) − v
전분기 + 당기순이익 − 배당(Q2 지급 가정)</t>
      </text>
    </comment>
    <comment ref="AH29" authorId="0" shapeId="0">
      <text>
        <t>모델값 역산(implied): 전분기(시트값) + 당기순이익(시트 수식값) − v
전분기 + 당기순이익 − 배당(Q2 지급 가정)</t>
      </text>
    </comment>
    <comment ref="AI29" authorId="0" shapeId="0">
      <text>
        <t>모델값 역산(implied): 전분기(시트값) + 당기순이익(시트 수식값) − v
전분기 + 당기순이익 − 배당(Q2 지급 가정)</t>
      </text>
    </comment>
    <comment ref="AK29" authorId="0" shapeId="0">
      <text>
        <t>모델값 역산(implied): 전분기(시트값) + 당기순이익(시트 수식값) − v
전분기 + 당기순이익 − 배당(Q2 지급 가정)</t>
      </text>
    </comment>
    <comment ref="AL29" authorId="0" shapeId="0">
      <text>
        <t>모델값 역산(implied): 전분기(시트값) + 당기순이익(시트 수식값) − v
전분기 + 당기순이익 − 배당(Q2 지급 가정)</t>
      </text>
    </comment>
    <comment ref="AM29" authorId="0" shapeId="0">
      <text>
        <t>모델값 역산(implied): 전분기(시트값) + 당기순이익(시트 수식값) − v
전분기 + 당기순이익 − 배당(Q2 지급 가정)</t>
      </text>
    </comment>
    <comment ref="AN29" authorId="0" shapeId="0">
      <text>
        <t>모델값 역산(implied): 전분기(시트값) + 당기순이익(시트 수식값) − v
전분기 + 당기순이익 − 배당(Q2 지급 가정)</t>
      </text>
    </comment>
    <comment ref="AC30" authorId="0" shapeId="0">
      <text>
        <t>모델값 역산(implied): 전분기(시트값) + 지배주주순이익(시트 수식값) − v
전분기 + 지배주주순이익 − 배당</t>
      </text>
    </comment>
    <comment ref="AD30" authorId="0" shapeId="0">
      <text>
        <t>모델값 역산(implied): 전분기(시트값) + 지배주주순이익(시트 수식값) − v
전분기 + 지배주주순이익 − 배당</t>
      </text>
    </comment>
    <comment ref="AF30" authorId="0" shapeId="0">
      <text>
        <t>모델값 역산(implied): 전분기(시트값) + 지배주주순이익(시트 수식값) − v
전분기 + 지배주주순이익 − 배당</t>
      </text>
    </comment>
    <comment ref="AG30" authorId="0" shapeId="0">
      <text>
        <t>모델값 역산(implied): 전분기(시트값) + 지배주주순이익(시트 수식값) − v
전분기 + 지배주주순이익 − 배당</t>
      </text>
    </comment>
    <comment ref="AH30" authorId="0" shapeId="0">
      <text>
        <t>모델값 역산(implied): 전분기(시트값) + 지배주주순이익(시트 수식값) − v
전분기 + 지배주주순이익 − 배당</t>
      </text>
    </comment>
    <comment ref="AI30" authorId="0" shapeId="0">
      <text>
        <t>모델값 역산(implied): 전분기(시트값) + 지배주주순이익(시트 수식값) − v
전분기 + 지배주주순이익 − 배당</t>
      </text>
    </comment>
    <comment ref="AK30" authorId="0" shapeId="0">
      <text>
        <t>모델값 역산(implied): 전분기(시트값) + 지배주주순이익(시트 수식값) − v
전분기 + 지배주주순이익 − 배당</t>
      </text>
    </comment>
    <comment ref="AL30" authorId="0" shapeId="0">
      <text>
        <t>모델값 역산(implied): 전분기(시트값) + 지배주주순이익(시트 수식값) − v
전분기 + 지배주주순이익 − 배당</t>
      </text>
    </comment>
    <comment ref="AM30" authorId="0" shapeId="0">
      <text>
        <t>모델값 역산(implied): 전분기(시트값) + 지배주주순이익(시트 수식값) − v
전분기 + 지배주주순이익 − 배당</t>
      </text>
    </comment>
    <comment ref="AN30" authorId="0" shapeId="0">
      <text>
        <t>모델값 역산(implied): 전분기(시트값) + 지배주주순이익(시트 수식값) − v
전분기 + 지배주주순이익 − 배당</t>
      </text>
    </comment>
    <comment ref="AC31" authorId="0" shapeId="0">
      <text>
        <t>모델값 역산(implied): v / 전분기 − 1
마지막 실적 유지(가정)</t>
      </text>
    </comment>
    <comment ref="AD31" authorId="0" shapeId="0">
      <text>
        <t>모델값 역산(implied): v / 전분기 − 1
마지막 실적 유지(가정)</t>
      </text>
    </comment>
    <comment ref="AF31" authorId="0" shapeId="0">
      <text>
        <t>모델값 역산(implied): v / 전분기 − 1
마지막 실적 유지(가정)</t>
      </text>
    </comment>
    <comment ref="AG31" authorId="0" shapeId="0">
      <text>
        <t>모델값 역산(implied): v / 전분기 − 1
마지막 실적 유지(가정)</t>
      </text>
    </comment>
    <comment ref="AH31" authorId="0" shapeId="0">
      <text>
        <t>모델값 역산(implied): v / 전분기 − 1
마지막 실적 유지(가정)</t>
      </text>
    </comment>
    <comment ref="AI31" authorId="0" shapeId="0">
      <text>
        <t>모델값 역산(implied): v / 전분기 − 1
마지막 실적 유지(가정)</t>
      </text>
    </comment>
    <comment ref="AK31" authorId="0" shapeId="0">
      <text>
        <t>모델값 역산(implied): v / 전분기 − 1
마지막 실적 유지(가정)</t>
      </text>
    </comment>
    <comment ref="AL31" authorId="0" shapeId="0">
      <text>
        <t>모델값 역산(implied): v / 전분기 − 1
마지막 실적 유지(가정)</t>
      </text>
    </comment>
    <comment ref="AM31" authorId="0" shapeId="0">
      <text>
        <t>모델값 역산(implied): v / 전분기 − 1
마지막 실적 유지(가정)</t>
      </text>
    </comment>
    <comment ref="AN31" authorId="0" shapeId="0">
      <text>
        <t>모델값 역산(implied): v / 전분기 − 1
마지막 실적 유지(가정)</t>
      </text>
    </comment>
    <comment ref="AC32" authorId="0" shapeId="0">
      <text>
        <t>모델값 역산(implied): v / 전분기 − 1
전분기 − FCF 근사[순이익 − 배당(감가상각비 없음 → CAPEX≈감가 가정, CAPEX 중위 7억은 행에만)] (운전자본 불변·총차입금 유지 가정 → 변동은 전부 현금)</t>
      </text>
    </comment>
    <comment ref="AD32" authorId="0" shapeId="0">
      <text>
        <t>모델값 역산(implied): v / 전분기 − 1
전분기 − FCF 근사[순이익 − 배당(감가상각비 없음 → CAPEX≈감가 가정, CAPEX 중위 7억은 행에만)] (운전자본 불변·총차입금 유지 가정 → 변동은 전부 현금)</t>
      </text>
    </comment>
    <comment ref="AF32" authorId="0" shapeId="0">
      <text>
        <t>모델값 역산(implied): v / 전분기 − 1
전분기 − FCF 근사[순이익 − 배당(감가상각비 없음 → CAPEX≈감가 가정, CAPEX 중위 7억은 행에만)] (운전자본 불변·총차입금 유지 가정 → 변동은 전부 현금)</t>
      </text>
    </comment>
    <comment ref="AG32" authorId="0" shapeId="0">
      <text>
        <t>모델값 역산(implied): v / 전분기 − 1
전분기 − FCF 근사[순이익 − 배당(감가상각비 없음 → CAPEX≈감가 가정, CAPEX 중위 7억은 행에만)] (운전자본 불변·총차입금 유지 가정 → 변동은 전부 현금)</t>
      </text>
    </comment>
    <comment ref="AH32" authorId="0" shapeId="0">
      <text>
        <t>모델값 역산(implied): v / 전분기 − 1
전분기 − FCF 근사[순이익 − 배당(감가상각비 없음 → CAPEX≈감가 가정, CAPEX 중위 7억은 행에만)] (운전자본 불변·총차입금 유지 가정 → 변동은 전부 현금)</t>
      </text>
    </comment>
    <comment ref="AI32" authorId="0" shapeId="0">
      <text>
        <t>모델값 역산(implied): v / 전분기 − 1
전분기 − FCF 근사[순이익 − 배당(감가상각비 없음 → CAPEX≈감가 가정, CAPEX 중위 7억은 행에만)] (운전자본 불변·총차입금 유지 가정 → 변동은 전부 현금)</t>
      </text>
    </comment>
    <comment ref="AK32" authorId="0" shapeId="0">
      <text>
        <t>모델값 역산(implied): v / 전분기 − 1
전분기 − FCF 근사[순이익 − 배당(감가상각비 없음 → CAPEX≈감가 가정, CAPEX 중위 7억은 행에만)] (운전자본 불변·총차입금 유지 가정 → 변동은 전부 현금)</t>
      </text>
    </comment>
    <comment ref="AL32" authorId="0" shapeId="0">
      <text>
        <t>모델값 역산(implied): v / 전분기 − 1
전분기 − FCF 근사[순이익 − 배당(감가상각비 없음 → CAPEX≈감가 가정, CAPEX 중위 7억은 행에만)] (운전자본 불변·총차입금 유지 가정 → 변동은 전부 현금)</t>
      </text>
    </comment>
    <comment ref="AM32" authorId="0" shapeId="0">
      <text>
        <t>모델값 역산(implied): v / 전분기 − 1
전분기 − FCF 근사[순이익 − 배당(감가상각비 없음 → CAPEX≈감가 가정, CAPEX 중위 7억은 행에만)] (운전자본 불변·총차입금 유지 가정 → 변동은 전부 현금)</t>
      </text>
    </comment>
    <comment ref="AN32" authorId="0" shapeId="0">
      <text>
        <t>모델값 역산(implied): v / 전분기 − 1
전분기 − FCF 근사[순이익 − 배당(감가상각비 없음 → CAPEX≈감가 가정, CAPEX 중위 7억은 행에만)] (운전자본 불변·총차입금 유지 가정 → 변동은 전부 현금)</t>
      </text>
    </comment>
    <comment ref="AC33" authorId="0" shapeId="0">
      <text>
        <t>모델값 역산(implied): v / 전분기 − 1
전분기 + FCF 근사 — 순차입금 롤과 같은 가정</t>
      </text>
    </comment>
    <comment ref="AD33" authorId="0" shapeId="0">
      <text>
        <t>모델값 역산(implied): v / 전분기 − 1
전분기 + FCF 근사 — 순차입금 롤과 같은 가정</t>
      </text>
    </comment>
    <comment ref="AF33" authorId="0" shapeId="0">
      <text>
        <t>모델값 역산(implied): v / 전분기 − 1
전분기 + FCF 근사 — 순차입금 롤과 같은 가정</t>
      </text>
    </comment>
    <comment ref="AG33" authorId="0" shapeId="0">
      <text>
        <t>모델값 역산(implied): v / 전분기 − 1
전분기 + FCF 근사 — 순차입금 롤과 같은 가정</t>
      </text>
    </comment>
    <comment ref="AH33" authorId="0" shapeId="0">
      <text>
        <t>모델값 역산(implied): v / 전분기 − 1
전분기 + FCF 근사 — 순차입금 롤과 같은 가정</t>
      </text>
    </comment>
    <comment ref="AI33" authorId="0" shapeId="0">
      <text>
        <t>모델값 역산(implied): v / 전분기 − 1
전분기 + FCF 근사 — 순차입금 롤과 같은 가정</t>
      </text>
    </comment>
    <comment ref="AK33" authorId="0" shapeId="0">
      <text>
        <t>모델값 역산(implied): v / 전분기 − 1
전분기 + FCF 근사 — 순차입금 롤과 같은 가정</t>
      </text>
    </comment>
    <comment ref="AL33" authorId="0" shapeId="0">
      <text>
        <t>모델값 역산(implied): v / 전분기 − 1
전분기 + FCF 근사 — 순차입금 롤과 같은 가정</t>
      </text>
    </comment>
    <comment ref="AM33" authorId="0" shapeId="0">
      <text>
        <t>모델값 역산(implied): v / 전분기 − 1
전분기 + FCF 근사 — 순차입금 롤과 같은 가정</t>
      </text>
    </comment>
    <comment ref="AN33" authorId="0" shapeId="0">
      <text>
        <t>모델값 역산(implied): v / 전분기 − 1
전분기 + FCF 근사 — 순차입금 롤과 같은 가정</t>
      </text>
    </comment>
    <comment ref="AC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7" authorId="0" shapeId="0">
      <text>
        <t>모델값 역산(implied): v / 전분기 − 1
유통주식수 유지 — fin.shares.common_outstanding(2026Q2)</t>
      </text>
    </comment>
    <comment ref="AD37" authorId="0" shapeId="0">
      <text>
        <t>모델값 역산(implied): v / 전분기 − 1
유통주식수 유지 — fin.shares.common_outstanding(2026Q2)</t>
      </text>
    </comment>
    <comment ref="AF37" authorId="0" shapeId="0">
      <text>
        <t>모델값 역산(implied): v / 전분기 − 1
유통주식수 유지 — fin.shares.common_outstanding(2026Q2)</t>
      </text>
    </comment>
    <comment ref="AG37" authorId="0" shapeId="0">
      <text>
        <t>모델값 역산(implied): v / 전분기 − 1
유통주식수 유지 — fin.shares.common_outstanding(2026Q2)</t>
      </text>
    </comment>
    <comment ref="AH37" authorId="0" shapeId="0">
      <text>
        <t>모델값 역산(implied): v / 전분기 − 1
유통주식수 유지 — fin.shares.common_outstanding(2026Q2)</t>
      </text>
    </comment>
    <comment ref="AI37" authorId="0" shapeId="0">
      <text>
        <t>모델값 역산(implied): v / 전분기 − 1
유통주식수 유지 — fin.shares.common_outstanding(2026Q2)</t>
      </text>
    </comment>
    <comment ref="AK37" authorId="0" shapeId="0">
      <text>
        <t>모델값 역산(implied): v / 전분기 − 1
유통주식수 유지 — fin.shares.common_outstanding(2026Q2)</t>
      </text>
    </comment>
    <comment ref="AL37" authorId="0" shapeId="0">
      <text>
        <t>모델값 역산(implied): v / 전분기 − 1
유통주식수 유지 — fin.shares.common_outstanding(2026Q2)</t>
      </text>
    </comment>
    <comment ref="AM37" authorId="0" shapeId="0">
      <text>
        <t>모델값 역산(implied): v / 전분기 − 1
유통주식수 유지 — fin.shares.common_outstanding(2026Q2)</t>
      </text>
    </comment>
    <comment ref="AN37" authorId="0" shapeId="0">
      <text>
        <t>모델값 역산(implied): v / 전분기 − 1
유통주식수 유지 — fin.shares.common_outstanding(2026Q2)</t>
      </text>
    </comment>
    <comment ref="AD38" authorId="0" shapeId="0">
      <text>
        <t>모델값 역산(implied): 모델 v 그대로
직전 결산 DPS 0원 유지</t>
      </text>
    </comment>
    <comment ref="AI38" authorId="0" shapeId="0">
      <text>
        <t>모델값 역산(implied): 모델 v 그대로
직전 결산 DPS 0원 유지</t>
      </text>
    </comment>
    <comment ref="AN38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(1+3.9%) — g=최근 4분기 합 YoY 3.9% 클립(−30~+50%), 연차별 절반 감쇠(가정)
[yoy]</t>
      </text>
    </comment>
    <comment ref="AD5" authorId="0" shapeId="0">
      <text>
        <t>추정: 전년동기 × (1+3.9%) — g=최근 4분기 합 YoY 3.9% 클립(−30~+50%), 연차별 절반 감쇠(가정)
[yoy]</t>
      </text>
    </comment>
    <comment ref="AF5" authorId="0" shapeId="0">
      <text>
        <t>추정: 전년동기 × (1+3.9%) — g=최근 4분기 합 YoY 3.9% 클립(−30~+50%), 연차별 절반 감쇠(가정)
[yoy]</t>
      </text>
    </comment>
    <comment ref="AG5" authorId="0" shapeId="0">
      <text>
        <t>추정: 전년동기 × (1+3.9%) — g=최근 4분기 합 YoY 3.9% 클립(−30~+50%), 연차별 절반 감쇠(가정)
[yoy]</t>
      </text>
    </comment>
    <comment ref="AH5" authorId="0" shapeId="0">
      <text>
        <t>추정: 전년동기 × (1+2.0%) — g=최근 4분기 합 YoY 3.9% 클립(−30~+50%), 연차별 절반 감쇠(가정)
[yoy]</t>
      </text>
    </comment>
    <comment ref="AI5" authorId="0" shapeId="0">
      <text>
        <t>추정: 전년동기 × (1+2.0%) — g=최근 4분기 합 YoY 3.9% 클립(−30~+50%), 연차별 절반 감쇠(가정)
[yoy]</t>
      </text>
    </comment>
    <comment ref="AK5" authorId="0" shapeId="0">
      <text>
        <t>추정: 전년동기 × (1+2.0%) — g=최근 4분기 합 YoY 3.9% 클립(−30~+50%), 연차별 절반 감쇠(가정)
[yoy]</t>
      </text>
    </comment>
    <comment ref="AL5" authorId="0" shapeId="0">
      <text>
        <t>추정: 전년동기 × (1+2.0%) — g=최근 4분기 합 YoY 3.9% 클립(−30~+50%), 연차별 절반 감쇠(가정)
[yoy]</t>
      </text>
    </comment>
    <comment ref="AM5" authorId="0" shapeId="0">
      <text>
        <t>추정: 전년동기 × (1+1.0%) — g=최근 4분기 합 YoY 3.9% 클립(−30~+50%), 연차별 절반 감쇠(가정)
[yoy]</t>
      </text>
    </comment>
    <comment ref="AN5" authorId="0" shapeId="0">
      <text>
        <t>추정: 전년동기 × (1+1.0%) — g=최근 4분기 합 YoY 3.9%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19.02%(최근 4분기 중위)
[ratio]</t>
      </text>
    </comment>
    <comment ref="AD8" authorId="0" shapeId="0">
      <text>
        <t>추정: 매출액 × 판관비율 19.02%(최근 4분기 중위)
[ratio]</t>
      </text>
    </comment>
    <comment ref="AF8" authorId="0" shapeId="0">
      <text>
        <t>추정: 매출액 × 판관비율 19.02%(최근 4분기 중위)
[ratio]</t>
      </text>
    </comment>
    <comment ref="AG8" authorId="0" shapeId="0">
      <text>
        <t>추정: 매출액 × 판관비율 19.02%(최근 4분기 중위)
[ratio]</t>
      </text>
    </comment>
    <comment ref="AH8" authorId="0" shapeId="0">
      <text>
        <t>추정: 매출액 × 판관비율 19.02%(최근 4분기 중위)
[ratio]</t>
      </text>
    </comment>
    <comment ref="AI8" authorId="0" shapeId="0">
      <text>
        <t>추정: 매출액 × 판관비율 19.02%(최근 4분기 중위)
[ratio]</t>
      </text>
    </comment>
    <comment ref="AK8" authorId="0" shapeId="0">
      <text>
        <t>추정: 매출액 × 판관비율 19.02%(최근 4분기 중위)
[ratio]</t>
      </text>
    </comment>
    <comment ref="AL8" authorId="0" shapeId="0">
      <text>
        <t>추정: 매출액 × 판관비율 19.02%(최근 4분기 중위)
[ratio]</t>
      </text>
    </comment>
    <comment ref="AM8" authorId="0" shapeId="0">
      <text>
        <t>추정: 매출액 × 판관비율 19.02%(최근 4분기 중위)
[ratio]</t>
      </text>
    </comment>
    <comment ref="AN8" authorId="0" shapeId="0">
      <text>
        <t>추정: 매출액 × 판관비율 19.02%(최근 4분기 중위)
[ratio]</t>
      </text>
    </comment>
    <comment ref="AC9" authorId="0" shapeId="0">
      <text>
        <t>추정: 매출액 × OPM(최근 8분기 OPM 중위 -5.8% 유지(클립 −20~40%))
[ratio]</t>
      </text>
    </comment>
    <comment ref="AD9" authorId="0" shapeId="0">
      <text>
        <t>추정: 매출액 × OPM(최근 8분기 OPM 중위 -5.8% 유지(클립 −20~40%))
[ratio]</t>
      </text>
    </comment>
    <comment ref="AF9" authorId="0" shapeId="0">
      <text>
        <t>추정: 매출액 × OPM(최근 8분기 OPM 중위 -5.8% 유지(클립 −20~40%))
[ratio]</t>
      </text>
    </comment>
    <comment ref="AG9" authorId="0" shapeId="0">
      <text>
        <t>추정: 매출액 × OPM(최근 8분기 OPM 중위 -5.8% 유지(클립 −20~40%))
[ratio]</t>
      </text>
    </comment>
    <comment ref="AH9" authorId="0" shapeId="0">
      <text>
        <t>추정: 매출액 × OPM(최근 8분기 OPM 중위 -5.8% 유지(클립 −20~40%))
[ratio]</t>
      </text>
    </comment>
    <comment ref="AI9" authorId="0" shapeId="0">
      <text>
        <t>추정: 매출액 × OPM(최근 8분기 OPM 중위 -5.8% 유지(클립 −20~40%))
[ratio]</t>
      </text>
    </comment>
    <comment ref="AK9" authorId="0" shapeId="0">
      <text>
        <t>추정: 매출액 × OPM(최근 8분기 OPM 중위 -5.8% 유지(클립 −20~40%))
[ratio]</t>
      </text>
    </comment>
    <comment ref="AL9" authorId="0" shapeId="0">
      <text>
        <t>추정: 매출액 × OPM(최근 8분기 OPM 중위 -5.8% 유지(클립 −20~40%))
[ratio]</t>
      </text>
    </comment>
    <comment ref="AM9" authorId="0" shapeId="0">
      <text>
        <t>추정: 매출액 × OPM(최근 8분기 OPM 중위 -5.8% 유지(클립 −20~40%))
[ratio]</t>
      </text>
    </comment>
    <comment ref="AN9" authorId="0" shapeId="0">
      <text>
        <t>추정: 매출액 × OPM(최근 8분기 OPM 중위 -5.8% 유지(클립 −20~40%))
[ratio]</t>
      </text>
    </comment>
    <comment ref="AC10" authorId="0" shapeId="0">
      <text>
        <t>추정: 최근 8분기 OPM 중위 -5.8% 유지(클립 −20~40%)
[divide]</t>
      </text>
    </comment>
    <comment ref="AD10" authorId="0" shapeId="0">
      <text>
        <t>추정: 최근 8분기 OPM 중위 -5.8% 유지(클립 −20~40%)
[divide]</t>
      </text>
    </comment>
    <comment ref="AF10" authorId="0" shapeId="0">
      <text>
        <t>추정: 최근 8분기 OPM 중위 -5.8% 유지(클립 −20~40%)
[divide]</t>
      </text>
    </comment>
    <comment ref="AG10" authorId="0" shapeId="0">
      <text>
        <t>추정: 최근 8분기 OPM 중위 -5.8% 유지(클립 −20~40%)
[divide]</t>
      </text>
    </comment>
    <comment ref="AH10" authorId="0" shapeId="0">
      <text>
        <t>추정: 최근 8분기 OPM 중위 -5.8% 유지(클립 −20~40%)
[divide]</t>
      </text>
    </comment>
    <comment ref="AI10" authorId="0" shapeId="0">
      <text>
        <t>추정: 최근 8분기 OPM 중위 -5.8% 유지(클립 −20~40%)
[divide]</t>
      </text>
    </comment>
    <comment ref="AK10" authorId="0" shapeId="0">
      <text>
        <t>추정: 최근 8분기 OPM 중위 -5.8% 유지(클립 −20~40%)
[divide]</t>
      </text>
    </comment>
    <comment ref="AL10" authorId="0" shapeId="0">
      <text>
        <t>추정: 최근 8분기 OPM 중위 -5.8% 유지(클립 −20~40%)
[divide]</t>
      </text>
    </comment>
    <comment ref="AM10" authorId="0" shapeId="0">
      <text>
        <t>추정: 최근 8분기 OPM 중위 -5.8% 유지(클립 −20~40%)
[divide]</t>
      </text>
    </comment>
    <comment ref="AN10" authorId="0" shapeId="0">
      <text>
        <t>추정: 최근 8분기 OPM 중위 -5.8% 유지(클립 −20~40%)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240억 × 2.03%(주석 이자수익 ÷ 평균 이자발생자산(2025Q3~2026Q2)) − 총차입금 231억 × 0.00%(없음)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239억 × 2.03%(주석 이자수익 ÷ 평균 이자발생자산(2025Q3~2026Q2)) − 총차입금 231억 × 0.00%(없음)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238억 × 2.03%(주석 이자수익 ÷ 평균 이자발생자산(2025Q3~2026Q2)) − 총차입금 231억 × 0.00%(없음)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237억 × 2.03%(주석 이자수익 ÷ 평균 이자발생자산(2025Q3~2026Q2)) − 총차입금 231억 × 0.00%(없음)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236억 × 2.03%(주석 이자수익 ÷ 평균 이자발생자산(2025Q3~2026Q2)) − 총차입금 231억 × 0.00%(없음)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235억 × 2.03%(주석 이자수익 ÷ 평균 이자발생자산(2025Q3~2026Q2)) − 총차입금 231억 × 0.00%(없음)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234억 × 2.03%(주석 이자수익 ÷ 평균 이자발생자산(2025Q3~2026Q2)) − 총차입금 231억 × 0.00%(없음)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233억 × 2.03%(주석 이자수익 ÷ 평균 이자발생자산(2025Q3~2026Q2)) − 총차입금 231억 × 0.00%(없음)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232억 × 2.03%(주석 이자수익 ÷ 평균 이자발생자산(2025Q3~2026Q2)) − 총차입금 231억 × 0.00%(없음)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231억 × 2.03%(주석 이자수익 ÷ 평균 이자발생자산(2025Q3~2026Q2)) − 총차입금 231억 × 0.00%(없음) (연율) ÷ 4; 환율 효과는 환관련손익 행 별도
[identity]</t>
      </text>
    </comment>
    <comment ref="AC12" authorId="0" shapeId="0">
      <text>
        <t>추정: 이자발생자산 240억 × 2.03%(주석 이자수익 ÷ 평균 이자발생자산(2025Q3~2026Q2)) − 총차입금 231억 × 0.00%(없음) (연율) ÷ 4
[interest]</t>
      </text>
    </comment>
    <comment ref="AD12" authorId="0" shapeId="0">
      <text>
        <t>추정: 이자발생자산 239억 × 2.03%(주석 이자수익 ÷ 평균 이자발생자산(2025Q3~2026Q2)) − 총차입금 231억 × 0.00%(없음) (연율) ÷ 4
[interest]</t>
      </text>
    </comment>
    <comment ref="AF12" authorId="0" shapeId="0">
      <text>
        <t>추정: 이자발생자산 238억 × 2.03%(주석 이자수익 ÷ 평균 이자발생자산(2025Q3~2026Q2)) − 총차입금 231억 × 0.00%(없음) (연율) ÷ 4
[interest]</t>
      </text>
    </comment>
    <comment ref="AG12" authorId="0" shapeId="0">
      <text>
        <t>추정: 이자발생자산 237억 × 2.03%(주석 이자수익 ÷ 평균 이자발생자산(2025Q3~2026Q2)) − 총차입금 231억 × 0.00%(없음) (연율) ÷ 4
[interest]</t>
      </text>
    </comment>
    <comment ref="AH12" authorId="0" shapeId="0">
      <text>
        <t>추정: 이자발생자산 236억 × 2.03%(주석 이자수익 ÷ 평균 이자발생자산(2025Q3~2026Q2)) − 총차입금 231억 × 0.00%(없음) (연율) ÷ 4
[interest]</t>
      </text>
    </comment>
    <comment ref="AI12" authorId="0" shapeId="0">
      <text>
        <t>추정: 이자발생자산 235억 × 2.03%(주석 이자수익 ÷ 평균 이자발생자산(2025Q3~2026Q2)) − 총차입금 231억 × 0.00%(없음) (연율) ÷ 4
[interest]</t>
      </text>
    </comment>
    <comment ref="AK12" authorId="0" shapeId="0">
      <text>
        <t>추정: 이자발생자산 234억 × 2.03%(주석 이자수익 ÷ 평균 이자발생자산(2025Q3~2026Q2)) − 총차입금 231억 × 0.00%(없음) (연율) ÷ 4
[interest]</t>
      </text>
    </comment>
    <comment ref="AL12" authorId="0" shapeId="0">
      <text>
        <t>추정: 이자발생자산 233억 × 2.03%(주석 이자수익 ÷ 평균 이자발생자산(2025Q3~2026Q2)) − 총차입금 231억 × 0.00%(없음) (연율) ÷ 4
[interest]</t>
      </text>
    </comment>
    <comment ref="AM12" authorId="0" shapeId="0">
      <text>
        <t>추정: 이자발생자산 232억 × 2.03%(주석 이자수익 ÷ 평균 이자발생자산(2025Q3~2026Q2)) − 총차입금 231억 × 0.00%(없음) (연율) ÷ 4
[interest]</t>
      </text>
    </comment>
    <comment ref="AN12" authorId="0" shapeId="0">
      <text>
        <t>추정: 이자발생자산 231억 × 2.03%(주석 이자수익 ÷ 평균 이자발생자산(2025Q3~2026Q2)) − 총차입금 231억 × 0.00%(없음)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C14" authorId="0" shapeId="0">
      <text>
        <t>추정: 일회성 미가정 → 0
[abs]</t>
      </text>
    </comment>
    <comment ref="AD14" authorId="0" shapeId="0">
      <text>
        <t>추정: 일회성 미가정 → 0
[abs]</t>
      </text>
    </comment>
    <comment ref="AF14" authorId="0" shapeId="0">
      <text>
        <t>추정: 일회성 미가정 → 0
[abs]</t>
      </text>
    </comment>
    <comment ref="AG14" authorId="0" shapeId="0">
      <text>
        <t>추정: 일회성 미가정 → 0
[abs]</t>
      </text>
    </comment>
    <comment ref="AH14" authorId="0" shapeId="0">
      <text>
        <t>추정: 일회성 미가정 → 0
[abs]</t>
      </text>
    </comment>
    <comment ref="AI14" authorId="0" shapeId="0">
      <text>
        <t>추정: 일회성 미가정 → 0
[abs]</t>
      </text>
    </comment>
    <comment ref="AK14" authorId="0" shapeId="0">
      <text>
        <t>추정: 일회성 미가정 → 0
[abs]</t>
      </text>
    </comment>
    <comment ref="AL14" authorId="0" shapeId="0">
      <text>
        <t>추정: 일회성 미가정 → 0
[abs]</t>
      </text>
    </comment>
    <comment ref="AM14" authorId="0" shapeId="0">
      <text>
        <t>추정: 일회성 미가정 → 0
[abs]</t>
      </text>
    </comment>
    <comment ref="AN14" authorId="0" shapeId="0">
      <text>
        <t>추정: 일회성 미가정 → 0
[abs]</t>
      </text>
    </comment>
    <comment ref="AC15" authorId="0" shapeId="0">
      <text>
        <t>추정: 영업이익 + 금융손익 + 기타영업외 + 지분법 + 환관련(항등식)
[identity]</t>
      </text>
    </comment>
    <comment ref="AD15" authorId="0" shapeId="0">
      <text>
        <t>추정: 영업이익 + 금융손익 + 기타영업외 + 지분법 + 환관련(항등식)
[identity]</t>
      </text>
    </comment>
    <comment ref="AF15" authorId="0" shapeId="0">
      <text>
        <t>추정: 영업이익 + 금융손익 + 기타영업외 + 지분법 + 환관련(항등식)
[identity]</t>
      </text>
    </comment>
    <comment ref="AG15" authorId="0" shapeId="0">
      <text>
        <t>추정: 영업이익 + 금융손익 + 기타영업외 + 지분법 + 환관련(항등식)
[identity]</t>
      </text>
    </comment>
    <comment ref="AH15" authorId="0" shapeId="0">
      <text>
        <t>추정: 영업이익 + 금융손익 + 기타영업외 + 지분법 + 환관련(항등식)
[identity]</t>
      </text>
    </comment>
    <comment ref="AI15" authorId="0" shapeId="0">
      <text>
        <t>추정: 영업이익 + 금융손익 + 기타영업외 + 지분법 + 환관련(항등식)
[identity]</t>
      </text>
    </comment>
    <comment ref="AK15" authorId="0" shapeId="0">
      <text>
        <t>추정: 영업이익 + 금융손익 + 기타영업외 + 지분법 + 환관련(항등식)
[identity]</t>
      </text>
    </comment>
    <comment ref="AL15" authorId="0" shapeId="0">
      <text>
        <t>추정: 영업이익 + 금융손익 + 기타영업외 + 지분법 + 환관련(항등식)
[identity]</t>
      </text>
    </comment>
    <comment ref="AM15" authorId="0" shapeId="0">
      <text>
        <t>추정: 영업이익 + 금융손익 + 기타영업외 + 지분법 + 환관련(항등식)
[identity]</t>
      </text>
    </comment>
    <comment ref="AN15" authorId="0" shapeId="0">
      <text>
        <t>추정: 영업이익 + 금융손익 + 기타영업외 + 지분법 + 환관련(항등식)
[identity]</t>
      </text>
    </comment>
    <comment ref="AC16" authorId="0" shapeId="0">
      <text>
        <t>추정: max(세전, 0) × 세율 22.0%(최근 12분기 세전 합 ≤ 0; 세전 &gt; 0 분기 중위 0.0% 도 5~27% 밖 → 법정세율 근사 22% 가정)
[ratio]</t>
      </text>
    </comment>
    <comment ref="AD16" authorId="0" shapeId="0">
      <text>
        <t>추정: max(세전, 0) × 세율 22.0%(최근 12분기 세전 합 ≤ 0; 세전 &gt; 0 분기 중위 0.0% 도 5~27% 밖 → 법정세율 근사 22% 가정)
[ratio]</t>
      </text>
    </comment>
    <comment ref="AF16" authorId="0" shapeId="0">
      <text>
        <t>추정: max(세전, 0) × 세율 22.0%(최근 12분기 세전 합 ≤ 0; 세전 &gt; 0 분기 중위 0.0% 도 5~27% 밖 → 법정세율 근사 22% 가정)
[ratio]</t>
      </text>
    </comment>
    <comment ref="AG16" authorId="0" shapeId="0">
      <text>
        <t>추정: max(세전, 0) × 세율 22.0%(최근 12분기 세전 합 ≤ 0; 세전 &gt; 0 분기 중위 0.0% 도 5~27% 밖 → 법정세율 근사 22% 가정)
[ratio]</t>
      </text>
    </comment>
    <comment ref="AH16" authorId="0" shapeId="0">
      <text>
        <t>추정: max(세전, 0) × 세율 22.0%(최근 12분기 세전 합 ≤ 0; 세전 &gt; 0 분기 중위 0.0% 도 5~27% 밖 → 법정세율 근사 22% 가정)
[ratio]</t>
      </text>
    </comment>
    <comment ref="AI16" authorId="0" shapeId="0">
      <text>
        <t>추정: max(세전, 0) × 세율 22.0%(최근 12분기 세전 합 ≤ 0; 세전 &gt; 0 분기 중위 0.0% 도 5~27% 밖 → 법정세율 근사 22% 가정)
[ratio]</t>
      </text>
    </comment>
    <comment ref="AK16" authorId="0" shapeId="0">
      <text>
        <t>추정: max(세전, 0) × 세율 22.0%(최근 12분기 세전 합 ≤ 0; 세전 &gt; 0 분기 중위 0.0% 도 5~27% 밖 → 법정세율 근사 22% 가정)
[ratio]</t>
      </text>
    </comment>
    <comment ref="AL16" authorId="0" shapeId="0">
      <text>
        <t>추정: max(세전, 0) × 세율 22.0%(최근 12분기 세전 합 ≤ 0; 세전 &gt; 0 분기 중위 0.0% 도 5~27% 밖 → 법정세율 근사 22% 가정)
[ratio]</t>
      </text>
    </comment>
    <comment ref="AM16" authorId="0" shapeId="0">
      <text>
        <t>추정: max(세전, 0) × 세율 22.0%(최근 12분기 세전 합 ≤ 0; 세전 &gt; 0 분기 중위 0.0% 도 5~27% 밖 → 법정세율 근사 22% 가정)
[ratio]</t>
      </text>
    </comment>
    <comment ref="AN16" authorId="0" shapeId="0">
      <text>
        <t>추정: max(세전, 0) × 세율 22.0%(최근 12분기 세전 합 ≤ 0; 세전 &gt; 0 분기 중위 0.0% 도 5~27% 밖 → 법정세율 근사 22% 가정)
[ratio]</t>
      </text>
    </comment>
    <comment ref="AC17" authorId="0" shapeId="0">
      <text>
        <t>추정: 세전이익 − 법인세비용(항등식)
[identity]</t>
      </text>
    </comment>
    <comment ref="AD17" authorId="0" shapeId="0">
      <text>
        <t>추정: 세전이익 − 법인세비용(항등식)
[identity]</t>
      </text>
    </comment>
    <comment ref="AF17" authorId="0" shapeId="0">
      <text>
        <t>추정: 세전이익 − 법인세비용(항등식)
[identity]</t>
      </text>
    </comment>
    <comment ref="AG17" authorId="0" shapeId="0">
      <text>
        <t>추정: 세전이익 − 법인세비용(항등식)
[identity]</t>
      </text>
    </comment>
    <comment ref="AH17" authorId="0" shapeId="0">
      <text>
        <t>추정: 세전이익 − 법인세비용(항등식)
[identity]</t>
      </text>
    </comment>
    <comment ref="AI17" authorId="0" shapeId="0">
      <text>
        <t>추정: 세전이익 − 법인세비용(항등식)
[identity]</t>
      </text>
    </comment>
    <comment ref="AK17" authorId="0" shapeId="0">
      <text>
        <t>추정: 세전이익 − 법인세비용(항등식)
[identity]</t>
      </text>
    </comment>
    <comment ref="AL17" authorId="0" shapeId="0">
      <text>
        <t>추정: 세전이익 − 법인세비용(항등식)
[identity]</t>
      </text>
    </comment>
    <comment ref="AM17" authorId="0" shapeId="0">
      <text>
        <t>추정: 세전이익 − 법인세비용(항등식)
[identity]</t>
      </text>
    </comment>
    <comment ref="AN17" authorId="0" shapeId="0">
      <text>
        <t>추정: 세전이익 − 법인세비용(항등식)
[identity]</t>
      </text>
    </comment>
    <comment ref="AC18" authorId="0" shapeId="0">
      <text>
        <t>추정: 당기순이익 × (1 − 비지배 비중 0.0%, 최근 8분기 실측)
[ratio]</t>
      </text>
    </comment>
    <comment ref="AD18" authorId="0" shapeId="0">
      <text>
        <t>추정: 당기순이익 × (1 − 비지배 비중 0.0%, 최근 8분기 실측)
[ratio]</t>
      </text>
    </comment>
    <comment ref="AF18" authorId="0" shapeId="0">
      <text>
        <t>추정: 당기순이익 × (1 − 비지배 비중 0.0%, 최근 8분기 실측)
[ratio]</t>
      </text>
    </comment>
    <comment ref="AG18" authorId="0" shapeId="0">
      <text>
        <t>추정: 당기순이익 × (1 − 비지배 비중 0.0%, 최근 8분기 실측)
[ratio]</t>
      </text>
    </comment>
    <comment ref="AH18" authorId="0" shapeId="0">
      <text>
        <t>추정: 당기순이익 × (1 − 비지배 비중 0.0%, 최근 8분기 실측)
[ratio]</t>
      </text>
    </comment>
    <comment ref="AI18" authorId="0" shapeId="0">
      <text>
        <t>추정: 당기순이익 × (1 − 비지배 비중 0.0%, 최근 8분기 실측)
[ratio]</t>
      </text>
    </comment>
    <comment ref="AK18" authorId="0" shapeId="0">
      <text>
        <t>추정: 당기순이익 × (1 − 비지배 비중 0.0%, 최근 8분기 실측)
[ratio]</t>
      </text>
    </comment>
    <comment ref="AL18" authorId="0" shapeId="0">
      <text>
        <t>추정: 당기순이익 × (1 − 비지배 비중 0.0%, 최근 8분기 실측)
[ratio]</t>
      </text>
    </comment>
    <comment ref="AM18" authorId="0" shapeId="0">
      <text>
        <t>추정: 당기순이익 × (1 − 비지배 비중 0.0%, 최근 8분기 실측)
[ratio]</t>
      </text>
    </comment>
    <comment ref="AN18" authorId="0" shapeId="0">
      <text>
        <t>추정: 당기순이익 × (1 − 비지배 비중 0.0%, 최근 8분기 실측)
[ratio]</t>
      </text>
    </comment>
    <comment ref="F19" authorId="0" shapeId="0">
      <text>
        <t>연간 실측(BS 시트에 2021.12A 없음 — 모델 a 값 직접)</t>
      </text>
    </comment>
    <comment ref="AC19" authorId="0" shapeId="0">
      <text>
        <t>추정: 부채총계 + 자본총계(항등식)
[identity]</t>
      </text>
    </comment>
    <comment ref="AD19" authorId="0" shapeId="0">
      <text>
        <t>추정: 부채총계 + 자본총계(항등식)
[identity]</t>
      </text>
    </comment>
    <comment ref="AF19" authorId="0" shapeId="0">
      <text>
        <t>추정: 부채총계 + 자본총계(항등식)
[identity]</t>
      </text>
    </comment>
    <comment ref="AG19" authorId="0" shapeId="0">
      <text>
        <t>추정: 부채총계 + 자본총계(항등식)
[identity]</t>
      </text>
    </comment>
    <comment ref="AH19" authorId="0" shapeId="0">
      <text>
        <t>추정: 부채총계 + 자본총계(항등식)
[identity]</t>
      </text>
    </comment>
    <comment ref="AI19" authorId="0" shapeId="0">
      <text>
        <t>추정: 부채총계 + 자본총계(항등식)
[identity]</t>
      </text>
    </comment>
    <comment ref="AK19" authorId="0" shapeId="0">
      <text>
        <t>추정: 부채총계 + 자본총계(항등식)
[identity]</t>
      </text>
    </comment>
    <comment ref="AL19" authorId="0" shapeId="0">
      <text>
        <t>추정: 부채총계 + 자본총계(항등식)
[identity]</t>
      </text>
    </comment>
    <comment ref="AM19" authorId="0" shapeId="0">
      <text>
        <t>추정: 부채총계 + 자본총계(항등식)
[identity]</t>
      </text>
    </comment>
    <comment ref="AN19" authorId="0" shapeId="0">
      <text>
        <t>추정: 부채총계 + 자본총계(항등식)
[identity]</t>
      </text>
    </comment>
    <comment ref="F20" authorId="0" shapeId="0">
      <text>
        <t>연간 실측(BS 시트에 2021.12A 없음 — 모델 a 값 직접)</t>
      </text>
    </comment>
    <comment ref="AC20" authorId="0" shapeId="0">
      <text>
        <t>추정: 마지막 실적 유지(가정)
[qoq]</t>
      </text>
    </comment>
    <comment ref="AD20" authorId="0" shapeId="0">
      <text>
        <t>추정: 마지막 실적 유지(가정)
[qoq]</t>
      </text>
    </comment>
    <comment ref="AF20" authorId="0" shapeId="0">
      <text>
        <t>추정: 마지막 실적 유지(가정)
[qoq]</t>
      </text>
    </comment>
    <comment ref="AG20" authorId="0" shapeId="0">
      <text>
        <t>추정: 마지막 실적 유지(가정)
[qoq]</t>
      </text>
    </comment>
    <comment ref="AH20" authorId="0" shapeId="0">
      <text>
        <t>추정: 마지막 실적 유지(가정)
[qoq]</t>
      </text>
    </comment>
    <comment ref="AI20" authorId="0" shapeId="0">
      <text>
        <t>추정: 마지막 실적 유지(가정)
[qoq]</t>
      </text>
    </comment>
    <comment ref="AK20" authorId="0" shapeId="0">
      <text>
        <t>추정: 마지막 실적 유지(가정)
[qoq]</t>
      </text>
    </comment>
    <comment ref="AL20" authorId="0" shapeId="0">
      <text>
        <t>추정: 마지막 실적 유지(가정)
[qoq]</t>
      </text>
    </comment>
    <comment ref="AM20" authorId="0" shapeId="0">
      <text>
        <t>추정: 마지막 실적 유지(가정)
[qoq]</t>
      </text>
    </comment>
    <comment ref="AN20" authorId="0" shapeId="0">
      <text>
        <t>추정: 마지막 실적 유지(가정)
[qoq]</t>
      </text>
    </comment>
    <comment ref="F21" authorId="0" shapeId="0">
      <text>
        <t>연간 실측(BS 시트에 2021.12A 없음 — 모델 a 값 직접)</t>
      </text>
    </comment>
    <comment ref="AC21" authorId="0" shapeId="0">
      <text>
        <t>추정: 전분기 + 당기순이익 − 배당(Q2 지급 가정)
[roll]</t>
      </text>
    </comment>
    <comment ref="AD21" authorId="0" shapeId="0">
      <text>
        <t>추정: 전분기 + 당기순이익 − 배당(Q2 지급 가정)
[roll]</t>
      </text>
    </comment>
    <comment ref="AF21" authorId="0" shapeId="0">
      <text>
        <t>추정: 전분기 + 당기순이익 − 배당(Q2 지급 가정)
[roll]</t>
      </text>
    </comment>
    <comment ref="AG21" authorId="0" shapeId="0">
      <text>
        <t>추정: 전분기 + 당기순이익 − 배당(Q2 지급 가정)
[roll]</t>
      </text>
    </comment>
    <comment ref="AH21" authorId="0" shapeId="0">
      <text>
        <t>추정: 전분기 + 당기순이익 − 배당(Q2 지급 가정)
[roll]</t>
      </text>
    </comment>
    <comment ref="AI21" authorId="0" shapeId="0">
      <text>
        <t>추정: 전분기 + 당기순이익 − 배당(Q2 지급 가정)
[roll]</t>
      </text>
    </comment>
    <comment ref="AK21" authorId="0" shapeId="0">
      <text>
        <t>추정: 전분기 + 당기순이익 − 배당(Q2 지급 가정)
[roll]</t>
      </text>
    </comment>
    <comment ref="AL21" authorId="0" shapeId="0">
      <text>
        <t>추정: 전분기 + 당기순이익 − 배당(Q2 지급 가정)
[roll]</t>
      </text>
    </comment>
    <comment ref="AM21" authorId="0" shapeId="0">
      <text>
        <t>추정: 전분기 + 당기순이익 − 배당(Q2 지급 가정)
[roll]</t>
      </text>
    </comment>
    <comment ref="AN21" authorId="0" shapeId="0">
      <text>
        <t>추정: 전분기 + 당기순이익 − 배당(Q2 지급 가정)
[roll]</t>
      </text>
    </comment>
    <comment ref="F22" authorId="0" shapeId="0">
      <text>
        <t>연간 실측(BS 시트에 2021.12A 없음 — 모델 a 값 직접)</t>
      </text>
    </comment>
    <comment ref="AC22" authorId="0" shapeId="0">
      <text>
        <t>추정: 전분기 + 지배주주순이익 − 배당
[roll]</t>
      </text>
    </comment>
    <comment ref="AD22" authorId="0" shapeId="0">
      <text>
        <t>추정: 전분기 + 지배주주순이익 − 배당
[roll]</t>
      </text>
    </comment>
    <comment ref="AF22" authorId="0" shapeId="0">
      <text>
        <t>추정: 전분기 + 지배주주순이익 − 배당
[roll]</t>
      </text>
    </comment>
    <comment ref="AG22" authorId="0" shapeId="0">
      <text>
        <t>추정: 전분기 + 지배주주순이익 − 배당
[roll]</t>
      </text>
    </comment>
    <comment ref="AH22" authorId="0" shapeId="0">
      <text>
        <t>추정: 전분기 + 지배주주순이익 − 배당
[roll]</t>
      </text>
    </comment>
    <comment ref="AI22" authorId="0" shapeId="0">
      <text>
        <t>추정: 전분기 + 지배주주순이익 − 배당
[roll]</t>
      </text>
    </comment>
    <comment ref="AK22" authorId="0" shapeId="0">
      <text>
        <t>추정: 전분기 + 지배주주순이익 − 배당
[roll]</t>
      </text>
    </comment>
    <comment ref="AL22" authorId="0" shapeId="0">
      <text>
        <t>추정: 전분기 + 지배주주순이익 − 배당
[roll]</t>
      </text>
    </comment>
    <comment ref="AM22" authorId="0" shapeId="0">
      <text>
        <t>추정: 전분기 + 지배주주순이익 − 배당
[roll]</t>
      </text>
    </comment>
    <comment ref="AN22" authorId="0" shapeId="0">
      <text>
        <t>추정: 전분기 + 지배주주순이익 − 배당
[roll]</t>
      </text>
    </comment>
    <comment ref="F23" authorId="0" shapeId="0">
      <text>
        <t>연간 실측(BS 시트에 2021.12A 없음 — 모델 a 값 직접)</t>
      </text>
    </comment>
    <comment ref="AC23" authorId="0" shapeId="0">
      <text>
        <t>추정: 마지막 실적 유지(가정)
[qoq]</t>
      </text>
    </comment>
    <comment ref="AD23" authorId="0" shapeId="0">
      <text>
        <t>추정: 마지막 실적 유지(가정)
[qoq]</t>
      </text>
    </comment>
    <comment ref="AF23" authorId="0" shapeId="0">
      <text>
        <t>추정: 마지막 실적 유지(가정)
[qoq]</t>
      </text>
    </comment>
    <comment ref="AG23" authorId="0" shapeId="0">
      <text>
        <t>추정: 마지막 실적 유지(가정)
[qoq]</t>
      </text>
    </comment>
    <comment ref="AH23" authorId="0" shapeId="0">
      <text>
        <t>추정: 마지막 실적 유지(가정)
[qoq]</t>
      </text>
    </comment>
    <comment ref="AI23" authorId="0" shapeId="0">
      <text>
        <t>추정: 마지막 실적 유지(가정)
[qoq]</t>
      </text>
    </comment>
    <comment ref="AK23" authorId="0" shapeId="0">
      <text>
        <t>추정: 마지막 실적 유지(가정)
[qoq]</t>
      </text>
    </comment>
    <comment ref="AL23" authorId="0" shapeId="0">
      <text>
        <t>추정: 마지막 실적 유지(가정)
[qoq]</t>
      </text>
    </comment>
    <comment ref="AM23" authorId="0" shapeId="0">
      <text>
        <t>추정: 마지막 실적 유지(가정)
[qoq]</t>
      </text>
    </comment>
    <comment ref="AN23" authorId="0" shapeId="0">
      <text>
        <t>추정: 마지막 실적 유지(가정)
[qoq]</t>
      </text>
    </comment>
    <comment ref="F24" authorId="0" shapeId="0">
      <text>
        <t>연간 실측(BS 시트에 2021.12A 없음 — 모델 a 값 직접)</t>
      </text>
    </comment>
    <comment ref="AC24" authorId="0" shapeId="0">
      <text>
        <t>추정: 전분기 − FCF 근사[순이익 − 배당(감가상각비 없음 → CAPEX≈감가 가정, CAPEX 중위 7억은 행에만)] (운전자본 불변·총차입금 유지 가정 → 변동은 전부 현금)
[qoq]</t>
      </text>
    </comment>
    <comment ref="AD24" authorId="0" shapeId="0">
      <text>
        <t>추정: 전분기 − FCF 근사[순이익 − 배당(감가상각비 없음 → CAPEX≈감가 가정, CAPEX 중위 7억은 행에만)] (운전자본 불변·총차입금 유지 가정 → 변동은 전부 현금)
[qoq]</t>
      </text>
    </comment>
    <comment ref="AF24" authorId="0" shapeId="0">
      <text>
        <t>추정: 전분기 − FCF 근사[순이익 − 배당(감가상각비 없음 → CAPEX≈감가 가정, CAPEX 중위 7억은 행에만)] (운전자본 불변·총차입금 유지 가정 → 변동은 전부 현금)
[qoq]</t>
      </text>
    </comment>
    <comment ref="AG24" authorId="0" shapeId="0">
      <text>
        <t>추정: 전분기 − FCF 근사[순이익 − 배당(감가상각비 없음 → CAPEX≈감가 가정, CAPEX 중위 7억은 행에만)] (운전자본 불변·총차입금 유지 가정 → 변동은 전부 현금)
[qoq]</t>
      </text>
    </comment>
    <comment ref="AH24" authorId="0" shapeId="0">
      <text>
        <t>추정: 전분기 − FCF 근사[순이익 − 배당(감가상각비 없음 → CAPEX≈감가 가정, CAPEX 중위 7억은 행에만)] (운전자본 불변·총차입금 유지 가정 → 변동은 전부 현금)
[qoq]</t>
      </text>
    </comment>
    <comment ref="AI24" authorId="0" shapeId="0">
      <text>
        <t>추정: 전분기 − FCF 근사[순이익 − 배당(감가상각비 없음 → CAPEX≈감가 가정, CAPEX 중위 7억은 행에만)] (운전자본 불변·총차입금 유지 가정 → 변동은 전부 현금)
[qoq]</t>
      </text>
    </comment>
    <comment ref="AK24" authorId="0" shapeId="0">
      <text>
        <t>추정: 전분기 − FCF 근사[순이익 − 배당(감가상각비 없음 → CAPEX≈감가 가정, CAPEX 중위 7억은 행에만)] (운전자본 불변·총차입금 유지 가정 → 변동은 전부 현금)
[qoq]</t>
      </text>
    </comment>
    <comment ref="AL24" authorId="0" shapeId="0">
      <text>
        <t>추정: 전분기 − FCF 근사[순이익 − 배당(감가상각비 없음 → CAPEX≈감가 가정, CAPEX 중위 7억은 행에만)] (운전자본 불변·총차입금 유지 가정 → 변동은 전부 현금)
[qoq]</t>
      </text>
    </comment>
    <comment ref="AM24" authorId="0" shapeId="0">
      <text>
        <t>추정: 전분기 − FCF 근사[순이익 − 배당(감가상각비 없음 → CAPEX≈감가 가정, CAPEX 중위 7억은 행에만)] (운전자본 불변·총차입금 유지 가정 → 변동은 전부 현금)
[qoq]</t>
      </text>
    </comment>
    <comment ref="AN24" authorId="0" shapeId="0">
      <text>
        <t>추정: 전분기 − FCF 근사[순이익 − 배당(감가상각비 없음 → CAPEX≈감가 가정, CAPEX 중위 7억은 행에만)] (운전자본 불변·총차입금 유지 가정 → 변동은 전부 현금)
[qoq]</t>
      </text>
    </comment>
    <comment ref="F25" authorId="0" shapeId="0">
      <text>
        <t>연간 실측(BS 시트에 2021.12A 없음 — 모델 a 값 직접)</t>
      </text>
    </comment>
    <comment ref="AC25" authorId="0" shapeId="0">
      <text>
        <t>추정: 전분기 + FCF 근사 — 순차입금 롤과 같은 가정
[qoq]</t>
      </text>
    </comment>
    <comment ref="AD25" authorId="0" shapeId="0">
      <text>
        <t>추정: 전분기 + FCF 근사 — 순차입금 롤과 같은 가정
[qoq]</t>
      </text>
    </comment>
    <comment ref="AF25" authorId="0" shapeId="0">
      <text>
        <t>추정: 전분기 + FCF 근사 — 순차입금 롤과 같은 가정
[qoq]</t>
      </text>
    </comment>
    <comment ref="AG25" authorId="0" shapeId="0">
      <text>
        <t>추정: 전분기 + FCF 근사 — 순차입금 롤과 같은 가정
[qoq]</t>
      </text>
    </comment>
    <comment ref="AH25" authorId="0" shapeId="0">
      <text>
        <t>추정: 전분기 + FCF 근사 — 순차입금 롤과 같은 가정
[qoq]</t>
      </text>
    </comment>
    <comment ref="AI25" authorId="0" shapeId="0">
      <text>
        <t>추정: 전분기 + FCF 근사 — 순차입금 롤과 같은 가정
[qoq]</t>
      </text>
    </comment>
    <comment ref="AK25" authorId="0" shapeId="0">
      <text>
        <t>추정: 전분기 + FCF 근사 — 순차입금 롤과 같은 가정
[qoq]</t>
      </text>
    </comment>
    <comment ref="AL25" authorId="0" shapeId="0">
      <text>
        <t>추정: 전분기 + FCF 근사 — 순차입금 롤과 같은 가정
[qoq]</t>
      </text>
    </comment>
    <comment ref="AM25" authorId="0" shapeId="0">
      <text>
        <t>추정: 전분기 + FCF 근사 — 순차입금 롤과 같은 가정
[qoq]</t>
      </text>
    </comment>
    <comment ref="AN25" authorId="0" shapeId="0">
      <text>
        <t>추정: 전분기 + FCF 근사 — 순차입금 롤과 같은 가정
[qoq]</t>
      </text>
    </comment>
    <comment ref="F26" authorId="0" shapeId="0">
      <text>
        <t>연간 실측(BS 시트에 2021.12A 없음 — 모델 a 값 직접)</t>
      </text>
    </comment>
    <comment ref="AC27" authorId="0" shapeId="0">
      <text>
        <t>추정: 최근 4분기(2025Q3~2026Q2) CAPEX 중위 유지 — 순차입금 롤에 미반영(감가상각비 없음 → CAPEX≈감가 가정)
[yoy]</t>
      </text>
    </comment>
    <comment ref="AD27" authorId="0" shapeId="0">
      <text>
        <t>추정: 최근 4분기(2025Q3~2026Q2) CAPEX 중위 유지 — 순차입금 롤에 미반영(감가상각비 없음 → CAPEX≈감가 가정)
[yoy]</t>
      </text>
    </comment>
    <comment ref="AF27" authorId="0" shapeId="0">
      <text>
        <t>추정: 최근 4분기(2025Q3~2026Q2) CAPEX 중위 유지 — 순차입금 롤에 미반영(감가상각비 없음 → CAPEX≈감가 가정)
[yoy]</t>
      </text>
    </comment>
    <comment ref="AG27" authorId="0" shapeId="0">
      <text>
        <t>추정: 최근 4분기(2025Q3~2026Q2) CAPEX 중위 유지 — 순차입금 롤에 미반영(감가상각비 없음 → CAPEX≈감가 가정)
[yoy]</t>
      </text>
    </comment>
    <comment ref="AH27" authorId="0" shapeId="0">
      <text>
        <t>추정: 최근 4분기(2025Q3~2026Q2) CAPEX 중위 유지 — 순차입금 롤에 미반영(감가상각비 없음 → CAPEX≈감가 가정)
[yoy]</t>
      </text>
    </comment>
    <comment ref="AI27" authorId="0" shapeId="0">
      <text>
        <t>추정: 최근 4분기(2025Q3~2026Q2) CAPEX 중위 유지 — 순차입금 롤에 미반영(감가상각비 없음 → CAPEX≈감가 가정)
[yoy]</t>
      </text>
    </comment>
    <comment ref="AK27" authorId="0" shapeId="0">
      <text>
        <t>추정: 최근 4분기(2025Q3~2026Q2) CAPEX 중위 유지 — 순차입금 롤에 미반영(감가상각비 없음 → CAPEX≈감가 가정)
[yoy]</t>
      </text>
    </comment>
    <comment ref="AL27" authorId="0" shapeId="0">
      <text>
        <t>추정: 최근 4분기(2025Q3~2026Q2) CAPEX 중위 유지 — 순차입금 롤에 미반영(감가상각비 없음 → CAPEX≈감가 가정)
[yoy]</t>
      </text>
    </comment>
    <comment ref="AM27" authorId="0" shapeId="0">
      <text>
        <t>추정: 최근 4분기(2025Q3~2026Q2) CAPEX 중위 유지 — 순차입금 롤에 미반영(감가상각비 없음 → CAPEX≈감가 가정)
[yoy]</t>
      </text>
    </comment>
    <comment ref="AN27" authorId="0" shapeId="0">
      <text>
        <t>추정: 최근 4분기(2025Q3~2026Q2) CAPEX 중위 유지 — 순차입금 롤에 미반영(감가상각비 없음 → CAPEX≈감가 가정)
[yoy]</t>
      </text>
    </comment>
    <comment ref="E29" authorId="0" shapeId="0">
      <text>
        <t>실측(계정 매핑 없음(파생·부문·시세 행) — 모델값 직접) — fin.shares.common_outstanding</t>
      </text>
    </comment>
    <comment ref="G29" authorId="0" shapeId="0">
      <text>
        <t>실측(계정 매핑 없음(파생·부문·시세 행) — 모델값 직접) — fin.shares.common_outstanding</t>
      </text>
    </comment>
    <comment ref="H29" authorId="0" shapeId="0">
      <text>
        <t>실측(계정 매핑 없음(파생·부문·시세 행) — 모델값 직접) — fin.shares.common_outstanding</t>
      </text>
    </comment>
    <comment ref="I29" authorId="0" shapeId="0">
      <text>
        <t>실측(계정 매핑 없음(파생·부문·시세 행) — 모델값 직접) — fin.shares.common_outstanding</t>
      </text>
    </comment>
    <comment ref="J29" authorId="0" shapeId="0">
      <text>
        <t>실측(계정 매핑 없음(파생·부문·시세 행) — 모델값 직접) — fin.shares.common_outstanding</t>
      </text>
    </comment>
    <comment ref="L29" authorId="0" shapeId="0">
      <text>
        <t>실측(계정 매핑 없음(파생·부문·시세 행) — 모델값 직접) — fin.shares.common_outstanding</t>
      </text>
    </comment>
    <comment ref="M29" authorId="0" shapeId="0">
      <text>
        <t>실측(계정 매핑 없음(파생·부문·시세 행) — 모델값 직접) — fin.shares.common_outstanding</t>
      </text>
    </comment>
    <comment ref="N29" authorId="0" shapeId="0">
      <text>
        <t>실측(계정 매핑 없음(파생·부문·시세 행) — 모델값 직접) — fin.shares.common_outstanding</t>
      </text>
    </comment>
    <comment ref="O29" authorId="0" shapeId="0">
      <text>
        <t>실측(계정 매핑 없음(파생·부문·시세 행) — 모델값 직접) — fin.shares.common_outstanding</t>
      </text>
    </comment>
    <comment ref="Q29" authorId="0" shapeId="0">
      <text>
        <t>실측(계정 매핑 없음(파생·부문·시세 행) — 모델값 직접) — fin.shares.common_outstanding</t>
      </text>
    </comment>
    <comment ref="R29" authorId="0" shapeId="0">
      <text>
        <t>실측(계정 매핑 없음(파생·부문·시세 행) — 모델값 직접) — fin.shares.common_outstanding</t>
      </text>
    </comment>
    <comment ref="S29" authorId="0" shapeId="0">
      <text>
        <t>실측(계정 매핑 없음(파생·부문·시세 행) — 모델값 직접) — fin.shares.common_outstanding</t>
      </text>
    </comment>
    <comment ref="T29" authorId="0" shapeId="0">
      <text>
        <t>실측(계정 매핑 없음(파생·부문·시세 행) — 모델값 직접) — fin.shares.common_outstanding</t>
      </text>
    </comment>
    <comment ref="V29" authorId="0" shapeId="0">
      <text>
        <t>실측(계정 매핑 없음(파생·부문·시세 행) — 모델값 직접) — fin.shares.common_outstanding</t>
      </text>
    </comment>
    <comment ref="W29" authorId="0" shapeId="0">
      <text>
        <t>실측(계정 매핑 없음(파생·부문·시세 행) — 모델값 직접) — fin.shares.common_outstanding</t>
      </text>
    </comment>
    <comment ref="X29" authorId="0" shapeId="0">
      <text>
        <t>실측(계정 매핑 없음(파생·부문·시세 행) — 모델값 직접) — fin.shares.common_outstanding</t>
      </text>
    </comment>
    <comment ref="Y29" authorId="0" shapeId="0">
      <text>
        <t>실측(계정 매핑 없음(파생·부문·시세 행) — 모델값 직접) — fin.shares.common_outstanding</t>
      </text>
    </comment>
    <comment ref="AA29" authorId="0" shapeId="0">
      <text>
        <t>실측(계정 매핑 없음(파생·부문·시세 행) — 모델값 직접) — fin.shares.common_outstanding</t>
      </text>
    </comment>
    <comment ref="AB29" authorId="0" shapeId="0">
      <text>
        <t>실측(계정 매핑 없음(파생·부문·시세 행) — 모델값 직접) — fin.shares.common_outstanding</t>
      </text>
    </comment>
    <comment ref="AC29" authorId="0" shapeId="0">
      <text>
        <t>추정: 유통주식수 유지 — fin.shares.common_outstanding(2026Q2)
[qoq]</t>
      </text>
    </comment>
    <comment ref="AD29" authorId="0" shapeId="0">
      <text>
        <t>추정: 유통주식수 유지 — fin.shares.common_outstanding(2026Q2)
[qoq]</t>
      </text>
    </comment>
    <comment ref="AF29" authorId="0" shapeId="0">
      <text>
        <t>추정: 유통주식수 유지 — fin.shares.common_outstanding(2026Q2)
[qoq]</t>
      </text>
    </comment>
    <comment ref="AG29" authorId="0" shapeId="0">
      <text>
        <t>추정: 유통주식수 유지 — fin.shares.common_outstanding(2026Q2)
[qoq]</t>
      </text>
    </comment>
    <comment ref="AH29" authorId="0" shapeId="0">
      <text>
        <t>추정: 유통주식수 유지 — fin.shares.common_outstanding(2026Q2)
[qoq]</t>
      </text>
    </comment>
    <comment ref="AI29" authorId="0" shapeId="0">
      <text>
        <t>추정: 유통주식수 유지 — fin.shares.common_outstanding(2026Q2)
[qoq]</t>
      </text>
    </comment>
    <comment ref="AK29" authorId="0" shapeId="0">
      <text>
        <t>추정: 유통주식수 유지 — fin.shares.common_outstanding(2026Q2)
[qoq]</t>
      </text>
    </comment>
    <comment ref="AL29" authorId="0" shapeId="0">
      <text>
        <t>추정: 유통주식수 유지 — fin.shares.common_outstanding(2026Q2)
[qoq]</t>
      </text>
    </comment>
    <comment ref="AM29" authorId="0" shapeId="0">
      <text>
        <t>추정: 유통주식수 유지 — fin.shares.common_outstanding(2026Q2)
[qoq]</t>
      </text>
    </comment>
    <comment ref="AN29" authorId="0" shapeId="0">
      <text>
        <t>추정: 유통주식수 유지 — fin.shares.common_outstanding(2026Q2)
[qoq]</t>
      </text>
    </comment>
    <comment ref="AC30" authorId="0" shapeId="0">
      <text>
        <t>추정: 지배주주순이익 ÷ 유통주식수
[per_share]</t>
      </text>
    </comment>
    <comment ref="AD30" authorId="0" shapeId="0">
      <text>
        <t>추정: 지배주주순이익 ÷ 유통주식수
[per_share]</t>
      </text>
    </comment>
    <comment ref="AF30" authorId="0" shapeId="0">
      <text>
        <t>추정: 지배주주순이익 ÷ 유통주식수
[per_share]</t>
      </text>
    </comment>
    <comment ref="AG30" authorId="0" shapeId="0">
      <text>
        <t>추정: 지배주주순이익 ÷ 유통주식수
[per_share]</t>
      </text>
    </comment>
    <comment ref="AH30" authorId="0" shapeId="0">
      <text>
        <t>추정: 지배주주순이익 ÷ 유통주식수
[per_share]</t>
      </text>
    </comment>
    <comment ref="AI30" authorId="0" shapeId="0">
      <text>
        <t>추정: 지배주주순이익 ÷ 유통주식수
[per_share]</t>
      </text>
    </comment>
    <comment ref="AK30" authorId="0" shapeId="0">
      <text>
        <t>추정: 지배주주순이익 ÷ 유통주식수
[per_share]</t>
      </text>
    </comment>
    <comment ref="AL30" authorId="0" shapeId="0">
      <text>
        <t>추정: 지배주주순이익 ÷ 유통주식수
[per_share]</t>
      </text>
    </comment>
    <comment ref="AM30" authorId="0" shapeId="0">
      <text>
        <t>추정: 지배주주순이익 ÷ 유통주식수
[per_share]</t>
      </text>
    </comment>
    <comment ref="AN30" authorId="0" shapeId="0">
      <text>
        <t>추정: 지배주주순이익 ÷ 유통주식수
[per_share]</t>
      </text>
    </comment>
    <comment ref="AB31" authorId="0" shapeId="0">
      <text>
        <t>조정EPS 산식(모델 추정, 일회성 여부·세효과 주석 미확인): 지배NI − 초과 비영업손익 20억 × (1 − 세율 0.0% [분기 유효세율(법인세 0억 ÷ 세전 13억)]) × 지배 비중 1.0000 [그 분기 지배NI/NI] = -7억 ÷ 유통주식수 · 초과 = 비영업손익 20억 − 12분기 기준선 0억 · 보고 EPS 114원(EPS 행 불변) · 상수 19.83·1.0 는 모델 one_offs_detected 값(세전·법인세 셀을 바꿔도 재계산되지 않음)</t>
      </text>
    </comment>
    <comment ref="AC31" authorId="0" shapeId="0">
      <text>
        <t>추정: = EPS(추정 구간은 일회성 미가정)
[identity]</t>
      </text>
    </comment>
    <comment ref="AD31" authorId="0" shapeId="0">
      <text>
        <t>추정: = EPS(추정 구간은 일회성 미가정)
[identity]</t>
      </text>
    </comment>
    <comment ref="AF31" authorId="0" shapeId="0">
      <text>
        <t>추정: = EPS(추정 구간은 일회성 미가정)
[identity]</t>
      </text>
    </comment>
    <comment ref="AG31" authorId="0" shapeId="0">
      <text>
        <t>추정: = EPS(추정 구간은 일회성 미가정)
[identity]</t>
      </text>
    </comment>
    <comment ref="AH31" authorId="0" shapeId="0">
      <text>
        <t>추정: = EPS(추정 구간은 일회성 미가정)
[identity]</t>
      </text>
    </comment>
    <comment ref="AI31" authorId="0" shapeId="0">
      <text>
        <t>추정: = EPS(추정 구간은 일회성 미가정)
[identity]</t>
      </text>
    </comment>
    <comment ref="AK31" authorId="0" shapeId="0">
      <text>
        <t>추정: = EPS(추정 구간은 일회성 미가정)
[identity]</t>
      </text>
    </comment>
    <comment ref="AL31" authorId="0" shapeId="0">
      <text>
        <t>추정: = EPS(추정 구간은 일회성 미가정)
[identity]</t>
      </text>
    </comment>
    <comment ref="AM31" authorId="0" shapeId="0">
      <text>
        <t>추정: = EPS(추정 구간은 일회성 미가정)
[identity]</t>
      </text>
    </comment>
    <comment ref="AN31" authorId="0" shapeId="0">
      <text>
        <t>추정: = EPS(추정 구간은 일회성 미가정)
[identity]</t>
      </text>
    </comment>
    <comment ref="AC32" authorId="0" shapeId="0">
      <text>
        <t>추정: 지배주주지분 ÷ 유통주식수
[per_share]</t>
      </text>
    </comment>
    <comment ref="AD32" authorId="0" shapeId="0">
      <text>
        <t>추정: 지배주주지분 ÷ 유통주식수
[per_share]</t>
      </text>
    </comment>
    <comment ref="AF32" authorId="0" shapeId="0">
      <text>
        <t>추정: 지배주주지분 ÷ 유통주식수
[per_share]</t>
      </text>
    </comment>
    <comment ref="AG32" authorId="0" shapeId="0">
      <text>
        <t>추정: 지배주주지분 ÷ 유통주식수
[per_share]</t>
      </text>
    </comment>
    <comment ref="AH32" authorId="0" shapeId="0">
      <text>
        <t>추정: 지배주주지분 ÷ 유통주식수
[per_share]</t>
      </text>
    </comment>
    <comment ref="AI32" authorId="0" shapeId="0">
      <text>
        <t>추정: 지배주주지분 ÷ 유통주식수
[per_share]</t>
      </text>
    </comment>
    <comment ref="AK32" authorId="0" shapeId="0">
      <text>
        <t>추정: 지배주주지분 ÷ 유통주식수
[per_share]</t>
      </text>
    </comment>
    <comment ref="AL32" authorId="0" shapeId="0">
      <text>
        <t>추정: 지배주주지분 ÷ 유통주식수
[per_share]</t>
      </text>
    </comment>
    <comment ref="AM32" authorId="0" shapeId="0">
      <text>
        <t>추정: 지배주주지분 ÷ 유통주식수
[per_share]</t>
      </text>
    </comment>
    <comment ref="AN32" authorId="0" shapeId="0">
      <text>
        <t>추정: 지배주주지분 ÷ 유통주식수
[per_share]</t>
      </text>
    </comment>
    <comment ref="E33" authorId="0" shapeId="0">
      <text>
        <t>실측(계정 매핑 없음(파생·부문·시세 행) — 모델값 직접) — fin.dividend.dps_common(연간, Q4 에 표기)</t>
      </text>
    </comment>
    <comment ref="F33" authorId="0" shapeId="0">
      <text>
        <t>연간(actual) — 분기 미완 연도, 모델 a 값 직접</t>
      </text>
    </comment>
    <comment ref="J33" authorId="0" shapeId="0">
      <text>
        <t>실측(계정 매핑 없음(파생·부문·시세 행) — 모델값 직접) — fin.dividend.dps_common(연간, Q4 에 표기)</t>
      </text>
    </comment>
    <comment ref="O33" authorId="0" shapeId="0">
      <text>
        <t>실측(계정 매핑 없음(파생·부문·시세 행) — 모델값 직접) — fin.dividend.dps_common(연간, Q4 에 표기)</t>
      </text>
    </comment>
    <comment ref="T33" authorId="0" shapeId="0">
      <text>
        <t>실측(계정 매핑 없음(파생·부문·시세 행) — 모델값 직접) — fin.dividend.dps_common(연간, Q4 에 표기)</t>
      </text>
    </comment>
    <comment ref="Y33" authorId="0" shapeId="0">
      <text>
        <t>실측(계정 매핑 없음(파생·부문·시세 행) — 모델값 직접) — fin.dividend.dps_common(연간, Q4 에 표기)</t>
      </text>
    </comment>
    <comment ref="AD33" authorId="0" shapeId="0">
      <text>
        <t>추정: 직전 결산 DPS 0원 유지
[abs]</t>
      </text>
    </comment>
    <comment ref="AI33" authorId="0" shapeId="0">
      <text>
        <t>추정: 직전 결산 DPS 0원 유지
[abs]</t>
      </text>
    </comment>
    <comment ref="AN33" authorId="0" shapeId="0">
      <text>
        <t>추정: 직전 결산 DPS 0원 유지
[abs]</t>
      </text>
    </comment>
    <comment ref="AC34" authorId="0" shapeId="0">
      <text>
        <t>추정: 현재 종가 ÷ TTM EPS(추정 포함)
[valuation]</t>
      </text>
    </comment>
    <comment ref="AD34" authorId="0" shapeId="0">
      <text>
        <t>추정: 현재 종가 ÷ TTM EPS(추정 포함)
[valuation]</t>
      </text>
    </comment>
    <comment ref="AF34" authorId="0" shapeId="0">
      <text>
        <t>추정: 현재 종가 ÷ TTM EPS(추정 포함)
[valuation]</t>
      </text>
    </comment>
    <comment ref="AC35" authorId="0" shapeId="0">
      <text>
        <t>추정: 현재 종가 ÷ BPS(추정 포함)
[valuation]</t>
      </text>
    </comment>
    <comment ref="AD35" authorId="0" shapeId="0">
      <text>
        <t>추정: 현재 종가 ÷ BPS(추정 포함)
[valuation]</t>
      </text>
    </comment>
    <comment ref="AF35" authorId="0" shapeId="0">
      <text>
        <t>추정: 현재 종가 ÷ BPS(추정 포함)
[valuation]</t>
      </text>
    </comment>
    <comment ref="AG35" authorId="0" shapeId="0">
      <text>
        <t>추정: 현재 종가 ÷ BPS(추정 포함)
[valuation]</t>
      </text>
    </comment>
    <comment ref="AH35" authorId="0" shapeId="0">
      <text>
        <t>추정: 현재 종가 ÷ BPS(추정 포함)
[valuation]</t>
      </text>
    </comment>
    <comment ref="AI35" authorId="0" shapeId="0">
      <text>
        <t>추정: 현재 종가 ÷ BPS(추정 포함)
[valuation]</t>
      </text>
    </comment>
    <comment ref="AK35" authorId="0" shapeId="0">
      <text>
        <t>추정: 현재 종가 ÷ BPS(추정 포함)
[valuation]</t>
      </text>
    </comment>
    <comment ref="AL35" authorId="0" shapeId="0">
      <text>
        <t>추정: 현재 종가 ÷ BPS(추정 포함)
[valuation]</t>
      </text>
    </comment>
    <comment ref="AM35" authorId="0" shapeId="0">
      <text>
        <t>추정: 현재 종가 ÷ BPS(추정 포함)
[valuation]</t>
      </text>
    </comment>
    <comment ref="AN35" authorId="0" shapeId="0">
      <text>
        <t>추정: 현재 종가 ÷ BPS(추정 포함)
[valuation]</t>
      </text>
    </comment>
    <comment ref="E36" authorId="0" shapeId="0">
      <text>
        <t>실측(계정 매핑 없음(파생·부문·시세 행) — 모델값 직접) — = 매출액(부문 미분리)</t>
      </text>
    </comment>
    <comment ref="G36" authorId="0" shapeId="0">
      <text>
        <t>실측(계정 매핑 없음(파생·부문·시세 행) — 모델값 직접) — = 매출액(부문 미분리)</t>
      </text>
    </comment>
    <comment ref="H36" authorId="0" shapeId="0">
      <text>
        <t>실측(계정 매핑 없음(파생·부문·시세 행) — 모델값 직접) — = 매출액(부문 미분리)</t>
      </text>
    </comment>
    <comment ref="I36" authorId="0" shapeId="0">
      <text>
        <t>실측(계정 매핑 없음(파생·부문·시세 행) — 모델값 직접) — = 매출액(부문 미분리)</t>
      </text>
    </comment>
    <comment ref="J36" authorId="0" shapeId="0">
      <text>
        <t>실측(계정 매핑 없음(파생·부문·시세 행) — 모델값 직접) — = 매출액(부문 미분리)</t>
      </text>
    </comment>
    <comment ref="L36" authorId="0" shapeId="0">
      <text>
        <t>실측(계정 매핑 없음(파생·부문·시세 행) — 모델값 직접) — = 매출액(부문 미분리)</t>
      </text>
    </comment>
    <comment ref="M36" authorId="0" shapeId="0">
      <text>
        <t>실측(계정 매핑 없음(파생·부문·시세 행) — 모델값 직접) — = 매출액(부문 미분리)</t>
      </text>
    </comment>
    <comment ref="N36" authorId="0" shapeId="0">
      <text>
        <t>실측(계정 매핑 없음(파생·부문·시세 행) — 모델값 직접) — = 매출액(부문 미분리)</t>
      </text>
    </comment>
    <comment ref="O36" authorId="0" shapeId="0">
      <text>
        <t>실측(계정 매핑 없음(파생·부문·시세 행) — 모델값 직접) — = 매출액(부문 미분리)</t>
      </text>
    </comment>
    <comment ref="Q36" authorId="0" shapeId="0">
      <text>
        <t>실측(계정 매핑 없음(파생·부문·시세 행) — 모델값 직접) — = 매출액(부문 미분리)</t>
      </text>
    </comment>
    <comment ref="R36" authorId="0" shapeId="0">
      <text>
        <t>실측(계정 매핑 없음(파생·부문·시세 행) — 모델값 직접) — = 매출액(부문 미분리)</t>
      </text>
    </comment>
    <comment ref="S36" authorId="0" shapeId="0">
      <text>
        <t>실측(계정 매핑 없음(파생·부문·시세 행) — 모델값 직접) — = 매출액(부문 미분리)</t>
      </text>
    </comment>
    <comment ref="T36" authorId="0" shapeId="0">
      <text>
        <t>실측(계정 매핑 없음(파생·부문·시세 행) — 모델값 직접) — = 매출액(부문 미분리)</t>
      </text>
    </comment>
    <comment ref="V36" authorId="0" shapeId="0">
      <text>
        <t>실측(계정 매핑 없음(파생·부문·시세 행) — 모델값 직접) — = 매출액(부문 미분리)</t>
      </text>
    </comment>
    <comment ref="W36" authorId="0" shapeId="0">
      <text>
        <t>실측(계정 매핑 없음(파생·부문·시세 행) — 모델값 직접) — = 매출액(부문 미분리)</t>
      </text>
    </comment>
    <comment ref="X36" authorId="0" shapeId="0">
      <text>
        <t>실측(계정 매핑 없음(파생·부문·시세 행) — 모델값 직접) — = 매출액(부문 미분리)</t>
      </text>
    </comment>
    <comment ref="Y36" authorId="0" shapeId="0">
      <text>
        <t>실측(계정 매핑 없음(파생·부문·시세 행) — 모델값 직접) — = 매출액(부문 미분리)</t>
      </text>
    </comment>
    <comment ref="AA36" authorId="0" shapeId="0">
      <text>
        <t>실측(계정 매핑 없음(파생·부문·시세 행) — 모델값 직접) — = 매출액(부문 미분리)</t>
      </text>
    </comment>
    <comment ref="AB36" authorId="0" shapeId="0">
      <text>
        <t>실측(계정 매핑 없음(파생·부문·시세 행) — 모델값 직접) — = 매출액(부문 미분리)</t>
      </text>
    </comment>
    <comment ref="AC36" authorId="0" shapeId="0">
      <text>
        <t>추정: = 매출액 추정(부문 미분리)
[identity]</t>
      </text>
    </comment>
    <comment ref="AD36" authorId="0" shapeId="0">
      <text>
        <t>추정: = 매출액 추정(부문 미분리)
[identity]</t>
      </text>
    </comment>
    <comment ref="AF36" authorId="0" shapeId="0">
      <text>
        <t>추정: = 매출액 추정(부문 미분리)
[identity]</t>
      </text>
    </comment>
    <comment ref="AG36" authorId="0" shapeId="0">
      <text>
        <t>추정: = 매출액 추정(부문 미분리)
[identity]</t>
      </text>
    </comment>
    <comment ref="AH36" authorId="0" shapeId="0">
      <text>
        <t>추정: = 매출액 추정(부문 미분리)
[identity]</t>
      </text>
    </comment>
    <comment ref="AI36" authorId="0" shapeId="0">
      <text>
        <t>추정: = 매출액 추정(부문 미분리)
[identity]</t>
      </text>
    </comment>
    <comment ref="AK36" authorId="0" shapeId="0">
      <text>
        <t>추정: = 매출액 추정(부문 미분리)
[identity]</t>
      </text>
    </comment>
    <comment ref="AL36" authorId="0" shapeId="0">
      <text>
        <t>추정: = 매출액 추정(부문 미분리)
[identity]</t>
      </text>
    </comment>
    <comment ref="AM36" authorId="0" shapeId="0">
      <text>
        <t>추정: = 매출액 추정(부문 미분리)
[identity]</t>
      </text>
    </comment>
    <comment ref="AN36" authorId="0" shapeId="0">
      <text>
        <t>추정: = 매출액 추정(부문 미분리)
[identity]</t>
      </text>
    </comment>
    <comment ref="E37" authorId="0" shapeId="0">
      <text>
        <t>실측(계정 매핑 없음(파생·부문·시세 행) — 모델값 직접) — = 영업이익(부문 미분리)</t>
      </text>
    </comment>
    <comment ref="G37" authorId="0" shapeId="0">
      <text>
        <t>실측(계정 매핑 없음(파생·부문·시세 행) — 모델값 직접) — = 영업이익(부문 미분리)</t>
      </text>
    </comment>
    <comment ref="H37" authorId="0" shapeId="0">
      <text>
        <t>실측(계정 매핑 없음(파생·부문·시세 행) — 모델값 직접) — = 영업이익(부문 미분리)</t>
      </text>
    </comment>
    <comment ref="I37" authorId="0" shapeId="0">
      <text>
        <t>실측(계정 매핑 없음(파생·부문·시세 행) — 모델값 직접) — = 영업이익(부문 미분리)</t>
      </text>
    </comment>
    <comment ref="J37" authorId="0" shapeId="0">
      <text>
        <t>실측(계정 매핑 없음(파생·부문·시세 행) — 모델값 직접) — = 영업이익(부문 미분리)</t>
      </text>
    </comment>
    <comment ref="L37" authorId="0" shapeId="0">
      <text>
        <t>실측(계정 매핑 없음(파생·부문·시세 행) — 모델값 직접) — = 영업이익(부문 미분리)</t>
      </text>
    </comment>
    <comment ref="M37" authorId="0" shapeId="0">
      <text>
        <t>실측(계정 매핑 없음(파생·부문·시세 행) — 모델값 직접) — = 영업이익(부문 미분리)</t>
      </text>
    </comment>
    <comment ref="N37" authorId="0" shapeId="0">
      <text>
        <t>실측(계정 매핑 없음(파생·부문·시세 행) — 모델값 직접) — = 영업이익(부문 미분리)</t>
      </text>
    </comment>
    <comment ref="O37" authorId="0" shapeId="0">
      <text>
        <t>실측(계정 매핑 없음(파생·부문·시세 행) — 모델값 직접) — = 영업이익(부문 미분리)</t>
      </text>
    </comment>
    <comment ref="Q37" authorId="0" shapeId="0">
      <text>
        <t>실측(계정 매핑 없음(파생·부문·시세 행) — 모델값 직접) — = 영업이익(부문 미분리)</t>
      </text>
    </comment>
    <comment ref="R37" authorId="0" shapeId="0">
      <text>
        <t>실측(계정 매핑 없음(파생·부문·시세 행) — 모델값 직접) — = 영업이익(부문 미분리)</t>
      </text>
    </comment>
    <comment ref="S37" authorId="0" shapeId="0">
      <text>
        <t>실측(계정 매핑 없음(파생·부문·시세 행) — 모델값 직접) — = 영업이익(부문 미분리)</t>
      </text>
    </comment>
    <comment ref="T37" authorId="0" shapeId="0">
      <text>
        <t>실측(계정 매핑 없음(파생·부문·시세 행) — 모델값 직접) — = 영업이익(부문 미분리)</t>
      </text>
    </comment>
    <comment ref="V37" authorId="0" shapeId="0">
      <text>
        <t>실측(계정 매핑 없음(파생·부문·시세 행) — 모델값 직접) — = 영업이익(부문 미분리)</t>
      </text>
    </comment>
    <comment ref="W37" authorId="0" shapeId="0">
      <text>
        <t>실측(계정 매핑 없음(파생·부문·시세 행) — 모델값 직접) — = 영업이익(부문 미분리)</t>
      </text>
    </comment>
    <comment ref="X37" authorId="0" shapeId="0">
      <text>
        <t>실측(계정 매핑 없음(파생·부문·시세 행) — 모델값 직접) — = 영업이익(부문 미분리)</t>
      </text>
    </comment>
    <comment ref="Y37" authorId="0" shapeId="0">
      <text>
        <t>실측(계정 매핑 없음(파생·부문·시세 행) — 모델값 직접) — = 영업이익(부문 미분리)</t>
      </text>
    </comment>
    <comment ref="AA37" authorId="0" shapeId="0">
      <text>
        <t>실측(계정 매핑 없음(파생·부문·시세 행) — 모델값 직접) — = 영업이익(부문 미분리)</t>
      </text>
    </comment>
    <comment ref="AB37" authorId="0" shapeId="0">
      <text>
        <t>실측(계정 매핑 없음(파생·부문·시세 행) — 모델값 직접) — = 영업이익(부문 미분리)</t>
      </text>
    </comment>
    <comment ref="AC37" authorId="0" shapeId="0">
      <text>
        <t>추정: = 매출액 × OPM(부문 미분리)
[identity]</t>
      </text>
    </comment>
    <comment ref="AD37" authorId="0" shapeId="0">
      <text>
        <t>추정: = 매출액 × OPM(부문 미분리)
[identity]</t>
      </text>
    </comment>
    <comment ref="AF37" authorId="0" shapeId="0">
      <text>
        <t>추정: = 매출액 × OPM(부문 미분리)
[identity]</t>
      </text>
    </comment>
    <comment ref="AG37" authorId="0" shapeId="0">
      <text>
        <t>추정: = 매출액 × OPM(부문 미분리)
[identity]</t>
      </text>
    </comment>
    <comment ref="AH37" authorId="0" shapeId="0">
      <text>
        <t>추정: = 매출액 × OPM(부문 미분리)
[identity]</t>
      </text>
    </comment>
    <comment ref="AI37" authorId="0" shapeId="0">
      <text>
        <t>추정: = 매출액 × OPM(부문 미분리)
[identity]</t>
      </text>
    </comment>
    <comment ref="AK37" authorId="0" shapeId="0">
      <text>
        <t>추정: = 매출액 × OPM(부문 미분리)
[identity]</t>
      </text>
    </comment>
    <comment ref="AL37" authorId="0" shapeId="0">
      <text>
        <t>추정: = 매출액 × OPM(부문 미분리)
[identity]</t>
      </text>
    </comment>
    <comment ref="AM37" authorId="0" shapeId="0">
      <text>
        <t>추정: = 매출액 × OPM(부문 미분리)
[identity]</t>
      </text>
    </comment>
    <comment ref="AN37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해성에어로보틱스(059270) 실적 모델 — ARGUS 한국조선</t>
        </is>
      </c>
    </row>
    <row r="2">
      <c r="A2" t="inlineStr">
        <is>
          <t>기준 분기 2026Q2 · 마지막 실적 2026Q2 · 생성 2026-10-14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수식, 조정EPS 는 EPS 참조(일회성 의심 분기만 산식 셀)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22.00% — 연결 안 됨(MAX(세전,0)×단일 세율로 재현 불가(지주 자회사 합산 등) → 분기별 역산) — 드라이버 행 분기별 역산값 사용</t>
        </is>
      </c>
    </row>
    <row r="23">
      <c r="A23" t="inlineStr">
        <is>
          <t>· 판관비율 19.02%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2.17% / 부채 0.15% — 이자손익 = (전분기 이자발생자산 × 자산이자율 − 전분기 총차입금 × 부채이자율)/4, 최소자승 역산(모델 assumptions [0.0203, None] 는 4자리 반올림이라 그대로 쓰면 ±1억 어긋남) · 출처: {"asset": "주석 이자수익 ÷ 평균 이자발생자산(2025Q3~2026Q2)", "debt": null}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조정EPS(일회성 의심 1분기: 2026Q2 보고 114→조정 -63원) — 의심 분기 = 지배NI − (비영업손익 − 12분기 기준선) × (1 − 세율) × 지배 비중 ÷ 유통주식수(subQ 수식+메모, 세후 초과·지배 비중은 모델 상수), 다른 분기 = EPS. 보고 EPS 행·TP 12M fwd EPS(추정 분기만) 는 불변. 일회성 여부·세효과는 주석 미확인(모델 추정)</t>
        </is>
      </c>
    </row>
    <row r="28">
      <c r="A28" t="inlineStr">
        <is>
          <t>· 연결된 가정: 판관비율, 지배주주비중, 이자율 · 연결 안 된 가정(모델값·분기별 역산 그대로): 세율(MAX(세전,0)×단일 세율로 재현 불가(지주 자회사 합산 등) → 분기별 역산)</t>
        </is>
      </c>
    </row>
    <row r="29">
      <c r="A29" t="inlineStr">
        <is>
          <t>· 밸류에이션 — PER 밴드 10.0/15.0/20.0배(sector_default(레퍼런스 TP_PE PB 예시 10/15/20배; 과거 PER 중위 639.1배가 3~40 밖(턴어라운드 왜곡))) · COE 9.0% · 12M fwd EPS 가중 0.5(가정). 모델 산출값 구간이며 추천이 아니다</t>
        </is>
      </c>
    </row>
    <row r="30">
      <c r="A30" t="inlineStr"/>
    </row>
    <row r="31">
      <c r="A31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2">
      <c r="A32" t="inlineStr">
        <is>
          <t>재현: cd argus/kship/tools &amp;&amp; python3 kship_model_xlsx.py --model assets/models/059270.json --verify   (모델 json 부터: kship_model.py --build --all --xlsx · xlsx 58사 일괄: kship_model_xlsx.py --all --verify)</t>
        </is>
      </c>
    </row>
    <row r="33">
      <c r="A33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4">
      <c r="A34" t="inlineStr">
        <is>
          <t>한계: 모델 quality.warnings — 매출 드라이버 폴백(고객 연동 OOS 기각 — 동결 2025Q2 이후 4분기 매출 WAPE 연동 30.3% &gt; 추세 14.0% × 1.10 (suppliers_mentions·시차 2·4분기 이동합·창 19, r=0.77 유의)): 전년동기 × (1+g) 추세 / 감가상각비가 face·CF 에 없음(주석 미파싱) → EBITDA·EV/EBITDA 미산출 / 일회성 의심 2026Q2: 비영업손익 20억(영업이익 -7억의 3배, 12분기 중위 0억·기준선 0억) → 지배NI 13억·보고 EPS·FY2026 합계·TTM PER 에 그대로 포함 — 처분이익 등 일회성 여부는 주석 확인 전까지 미확정(12M fwd EPS 에는 미포함) · 조정EPS -63.1원(보고 114.5원; 초과 비영업손익 20억 × (1 − 세율 0.0%) × 지배 비중 1.00 = 20억 차감 — 추정, 조정EPS 행) / 금융손익 실적→추정 단절: 최근 4분기 실적 -0/-0/-0/+20(중위 -0억) → 추정 2026Q3 +1억(차 +1억, +937%) — 추정은 이자손익 + 기타금융 중위, 외환·파생 평가손익 0 가정(환율 효과는 환관련손익 행). 값은 바꾸지 않음 — 지배NI·EPS 해석 시 참고</t>
        </is>
      </c>
    </row>
    <row r="35">
      <c r="A35" t="inlineStr">
        <is>
          <t>백테스트: {"freeze": "2025Q2", "horizon": 4, "revenue_wape_pct": 14.0, "op_wape_pct": 60.1, "n": 4, "note": "단일 회사 4분기 — 통계 아님", "driver_at_freeze": "trend_seasonal", "selection_oos_at_freeze": {"wape_link": null, "wape_trend": null, "adopted": false, "decision": "rejected", "note": "유의성 조건 미달 → OOS 비교 전 기각"},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33.32, "rev_act": 38.02, "op_pred": -2.52, "op_act": -0.27}, {"q": "2025Q4", "rev_pred": 35.25, "rev_act": 42.11, "op_pred": -2.67, "op_act": -2.29}, {"q": "2026Q1", "rev_pred": 30.03, "rev_act": 32.86, "op_pred": -2.27, "op_act": -3.04}, {"q": "2026Q2", "rev_pred": 39.2, "rev_act": 33.15, "op_pred": -2.97, "op_act": -7.36}]}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1343.39</v>
      </c>
      <c r="AE6" s="17" t="n">
        <v>1456.01</v>
      </c>
      <c r="AF6" s="16" t="n">
        <v>1341.45</v>
      </c>
      <c r="AG6" s="16" t="n">
        <v>1341.45</v>
      </c>
      <c r="AH6" s="16" t="n">
        <v>1341.45</v>
      </c>
      <c r="AI6" s="16" t="n">
        <v>1341.45</v>
      </c>
      <c r="AJ6" s="11" t="n"/>
      <c r="AK6" s="16" t="n">
        <v>1341.45</v>
      </c>
      <c r="AL6" s="16" t="n">
        <v>1341.45</v>
      </c>
      <c r="AM6" s="16" t="n">
        <v>1341.45</v>
      </c>
      <c r="AN6" s="16" t="n">
        <v>1341.45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1341.45</v>
      </c>
      <c r="AE7" s="17" t="n">
        <v>1341.45</v>
      </c>
      <c r="AF7" s="16" t="n">
        <v>1341.45</v>
      </c>
      <c r="AG7" s="16" t="n">
        <v>1341.45</v>
      </c>
      <c r="AH7" s="16" t="n">
        <v>1341.45</v>
      </c>
      <c r="AI7" s="16" t="n">
        <v>1341.45</v>
      </c>
      <c r="AJ7" s="11" t="n"/>
      <c r="AK7" s="16" t="n">
        <v>1341.45</v>
      </c>
      <c r="AL7" s="16" t="n">
        <v>1341.45</v>
      </c>
      <c r="AM7" s="16" t="n">
        <v>1341.45</v>
      </c>
      <c r="AN7" s="16" t="n">
        <v>1341.45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849.39</v>
      </c>
      <c r="AE8" s="17" t="n">
        <v>918.46</v>
      </c>
      <c r="AF8" s="16" t="n">
        <v>848.37</v>
      </c>
      <c r="AG8" s="16" t="n">
        <v>848.37</v>
      </c>
      <c r="AH8" s="16" t="n">
        <v>848.37</v>
      </c>
      <c r="AI8" s="16" t="n">
        <v>848.37</v>
      </c>
      <c r="AJ8" s="11" t="n"/>
      <c r="AK8" s="16" t="n">
        <v>848.37</v>
      </c>
      <c r="AL8" s="16" t="n">
        <v>848.37</v>
      </c>
      <c r="AM8" s="16" t="n">
        <v>848.37</v>
      </c>
      <c r="AN8" s="16" t="n">
        <v>848.37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848.37</v>
      </c>
      <c r="AE9" s="17" t="n">
        <v>848.37</v>
      </c>
      <c r="AF9" s="16" t="n">
        <v>848.37</v>
      </c>
      <c r="AG9" s="16" t="n">
        <v>848.37</v>
      </c>
      <c r="AH9" s="16" t="n">
        <v>848.37</v>
      </c>
      <c r="AI9" s="16" t="n">
        <v>848.37</v>
      </c>
      <c r="AJ9" s="11" t="n"/>
      <c r="AK9" s="16" t="n">
        <v>848.37</v>
      </c>
      <c r="AL9" s="16" t="n">
        <v>848.37</v>
      </c>
      <c r="AM9" s="16" t="n">
        <v>848.37</v>
      </c>
      <c r="AN9" s="16" t="n">
        <v>848.37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1506.62</v>
      </c>
      <c r="AE10" s="17" t="n">
        <v>1688.01</v>
      </c>
      <c r="AF10" s="16" t="n">
        <v>1500.82</v>
      </c>
      <c r="AG10" s="16" t="n">
        <v>1500.82</v>
      </c>
      <c r="AH10" s="16" t="n">
        <v>1500.82</v>
      </c>
      <c r="AI10" s="16" t="n">
        <v>1500.82</v>
      </c>
      <c r="AJ10" s="11" t="n"/>
      <c r="AK10" s="16" t="n">
        <v>1500.82</v>
      </c>
      <c r="AL10" s="16" t="n">
        <v>1500.82</v>
      </c>
      <c r="AM10" s="16" t="n">
        <v>1500.82</v>
      </c>
      <c r="AN10" s="16" t="n">
        <v>1500.82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1500.82</v>
      </c>
      <c r="AE11" s="17" t="n">
        <v>1500.82</v>
      </c>
      <c r="AF11" s="16" t="n">
        <v>1500.82</v>
      </c>
      <c r="AG11" s="16" t="n">
        <v>1500.82</v>
      </c>
      <c r="AH11" s="16" t="n">
        <v>1500.82</v>
      </c>
      <c r="AI11" s="16" t="n">
        <v>1500.82</v>
      </c>
      <c r="AJ11" s="11" t="n"/>
      <c r="AK11" s="16" t="n">
        <v>1500.82</v>
      </c>
      <c r="AL11" s="16" t="n">
        <v>1500.82</v>
      </c>
      <c r="AM11" s="16" t="n">
        <v>1500.82</v>
      </c>
      <c r="AN11" s="16" t="n">
        <v>1500.82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200.49</v>
      </c>
      <c r="AE12" s="17" t="n">
        <v>213.61</v>
      </c>
      <c r="AF12" s="16" t="n">
        <v>200.4</v>
      </c>
      <c r="AG12" s="16" t="n">
        <v>200.4</v>
      </c>
      <c r="AH12" s="16" t="n">
        <v>200.4</v>
      </c>
      <c r="AI12" s="16" t="n">
        <v>200.4</v>
      </c>
      <c r="AJ12" s="11" t="n"/>
      <c r="AK12" s="16" t="n">
        <v>200.4</v>
      </c>
      <c r="AL12" s="16" t="n">
        <v>200.4</v>
      </c>
      <c r="AM12" s="16" t="n">
        <v>200.4</v>
      </c>
      <c r="AN12" s="16" t="n">
        <v>200.4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</v>
      </c>
      <c r="AE13" s="17" t="n">
        <v>200.4</v>
      </c>
      <c r="AF13" s="16" t="n">
        <v>200.4</v>
      </c>
      <c r="AG13" s="16" t="n">
        <v>200.4</v>
      </c>
      <c r="AH13" s="16" t="n">
        <v>200.4</v>
      </c>
      <c r="AI13" s="16" t="n">
        <v>200.4</v>
      </c>
      <c r="AJ13" s="11" t="n"/>
      <c r="AK13" s="16" t="n">
        <v>200.4</v>
      </c>
      <c r="AL13" s="16" t="n">
        <v>200.4</v>
      </c>
      <c r="AM13" s="16" t="n">
        <v>200.4</v>
      </c>
      <c r="AN13" s="16" t="n">
        <v>200.4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9350</v>
      </c>
      <c r="F15" s="9" t="n"/>
      <c r="G15" s="18" t="n">
        <v>9290</v>
      </c>
      <c r="H15" s="18" t="n">
        <v>6030</v>
      </c>
      <c r="I15" s="18" t="n">
        <v>8070</v>
      </c>
      <c r="J15" s="18" t="n">
        <v>5440</v>
      </c>
      <c r="K15" s="9" t="n"/>
      <c r="L15" s="18" t="n">
        <v>8150</v>
      </c>
      <c r="M15" s="18" t="n">
        <v>7330</v>
      </c>
      <c r="N15" s="18" t="n">
        <v>6900</v>
      </c>
      <c r="O15" s="18" t="n">
        <v>7720</v>
      </c>
      <c r="P15" s="9" t="n"/>
      <c r="Q15" s="18" t="n">
        <v>11090</v>
      </c>
      <c r="R15" s="18" t="n">
        <v>9730</v>
      </c>
      <c r="S15" s="18" t="n">
        <v>7980</v>
      </c>
      <c r="T15" s="18" t="n">
        <v>5230</v>
      </c>
      <c r="U15" s="9" t="n"/>
      <c r="V15" s="18" t="n">
        <v>5720</v>
      </c>
      <c r="W15" s="18" t="n">
        <v>5810</v>
      </c>
      <c r="X15" s="18" t="n">
        <v>7130</v>
      </c>
      <c r="Y15" s="18" t="n">
        <v>9520</v>
      </c>
      <c r="Z15" s="9" t="n"/>
      <c r="AA15" s="18" t="n">
        <v>9680</v>
      </c>
      <c r="AB15" s="19" t="n">
        <v>6470</v>
      </c>
      <c r="AC15" s="20" t="n">
        <v>5460</v>
      </c>
      <c r="AD15" s="20" t="n">
        <v>4740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13950</v>
      </c>
      <c r="F16" s="9" t="n"/>
      <c r="G16" s="18" t="n">
        <v>10500</v>
      </c>
      <c r="H16" s="18" t="n">
        <v>11500</v>
      </c>
      <c r="I16" s="18" t="n">
        <v>9500</v>
      </c>
      <c r="J16" s="18" t="n">
        <v>9330</v>
      </c>
      <c r="K16" s="9" t="n"/>
      <c r="L16" s="18" t="n">
        <v>9900</v>
      </c>
      <c r="M16" s="18" t="n">
        <v>8590</v>
      </c>
      <c r="N16" s="18" t="n">
        <v>8100</v>
      </c>
      <c r="O16" s="18" t="n">
        <v>7750</v>
      </c>
      <c r="P16" s="9" t="n"/>
      <c r="Q16" s="18" t="n">
        <v>19740</v>
      </c>
      <c r="R16" s="18" t="n">
        <v>12110</v>
      </c>
      <c r="S16" s="18" t="n">
        <v>14680</v>
      </c>
      <c r="T16" s="18" t="n">
        <v>9160</v>
      </c>
      <c r="U16" s="9" t="n"/>
      <c r="V16" s="18" t="n">
        <v>9040</v>
      </c>
      <c r="W16" s="18" t="n">
        <v>7160</v>
      </c>
      <c r="X16" s="18" t="n">
        <v>7840</v>
      </c>
      <c r="Y16" s="18" t="n">
        <v>11350</v>
      </c>
      <c r="Z16" s="9" t="n"/>
      <c r="AA16" s="18" t="n">
        <v>21400</v>
      </c>
      <c r="AB16" s="19" t="n">
        <v>11650</v>
      </c>
      <c r="AC16" s="20" t="n">
        <v>6690</v>
      </c>
      <c r="AD16" s="20" t="n">
        <v>5640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6110</v>
      </c>
      <c r="F17" s="9" t="n"/>
      <c r="G17" s="18" t="n">
        <v>6990</v>
      </c>
      <c r="H17" s="18" t="n">
        <v>5550</v>
      </c>
      <c r="I17" s="18" t="n">
        <v>5580</v>
      </c>
      <c r="J17" s="18" t="n">
        <v>5320</v>
      </c>
      <c r="K17" s="9" t="n"/>
      <c r="L17" s="18" t="n">
        <v>5140</v>
      </c>
      <c r="M17" s="18" t="n">
        <v>6250</v>
      </c>
      <c r="N17" s="18" t="n">
        <v>5900</v>
      </c>
      <c r="O17" s="18" t="n">
        <v>5470</v>
      </c>
      <c r="P17" s="9" t="n"/>
      <c r="Q17" s="18" t="n">
        <v>7140</v>
      </c>
      <c r="R17" s="18" t="n">
        <v>6680</v>
      </c>
      <c r="S17" s="18" t="n">
        <v>7660</v>
      </c>
      <c r="T17" s="18" t="n">
        <v>4700</v>
      </c>
      <c r="U17" s="9" t="n"/>
      <c r="V17" s="18" t="n">
        <v>5430</v>
      </c>
      <c r="W17" s="18" t="n">
        <v>5430</v>
      </c>
      <c r="X17" s="18" t="n">
        <v>5000</v>
      </c>
      <c r="Y17" s="18" t="n">
        <v>6680</v>
      </c>
      <c r="Z17" s="9" t="n"/>
      <c r="AA17" s="18" t="n">
        <v>8730</v>
      </c>
      <c r="AB17" s="19" t="n">
        <v>5740</v>
      </c>
      <c r="AC17" s="20" t="n">
        <v>3980</v>
      </c>
      <c r="AD17" s="20" t="n">
        <v>4550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8276.9</v>
      </c>
      <c r="F18" s="9" t="n"/>
      <c r="G18" s="18" t="n">
        <v>8093.9</v>
      </c>
      <c r="H18" s="18" t="n">
        <v>8123.5</v>
      </c>
      <c r="I18" s="18" t="n">
        <v>7234</v>
      </c>
      <c r="J18" s="18" t="n">
        <v>6898.9</v>
      </c>
      <c r="K18" s="9" t="n"/>
      <c r="L18" s="18" t="n">
        <v>7075.8</v>
      </c>
      <c r="M18" s="18" t="n">
        <v>7369.5</v>
      </c>
      <c r="N18" s="18" t="n">
        <v>6881.9</v>
      </c>
      <c r="O18" s="18" t="n">
        <v>6315.7</v>
      </c>
      <c r="P18" s="9" t="n"/>
      <c r="Q18" s="18" t="n">
        <v>11433.4</v>
      </c>
      <c r="R18" s="18" t="n">
        <v>8840</v>
      </c>
      <c r="S18" s="18" t="n">
        <v>10702.7</v>
      </c>
      <c r="T18" s="18" t="n">
        <v>5805.4</v>
      </c>
      <c r="U18" s="9" t="n"/>
      <c r="V18" s="18" t="n">
        <v>6676</v>
      </c>
      <c r="W18" s="18" t="n">
        <v>6135.7</v>
      </c>
      <c r="X18" s="18" t="n">
        <v>5837.1</v>
      </c>
      <c r="Y18" s="18" t="n">
        <v>8761.200000000001</v>
      </c>
      <c r="Z18" s="9" t="n"/>
      <c r="AA18" s="18" t="n">
        <v>12345.9</v>
      </c>
      <c r="AB18" s="19" t="n">
        <v>9176.6</v>
      </c>
      <c r="AC18" s="20" t="n">
        <v>5525.9</v>
      </c>
      <c r="AD18" s="20" t="n">
        <v>5165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0.039041662</v>
      </c>
      <c r="AD21" s="24" t="n">
        <v>0.039034446</v>
      </c>
      <c r="AE21" s="25" t="n"/>
      <c r="AF21" s="24" t="n">
        <v>0.039101758</v>
      </c>
      <c r="AG21" s="24" t="n">
        <v>0.039109111</v>
      </c>
      <c r="AH21" s="24" t="n">
        <v>0.019493671</v>
      </c>
      <c r="AI21" s="24" t="n">
        <v>0.019428571</v>
      </c>
      <c r="AJ21" s="25" t="n"/>
      <c r="AK21" s="24" t="n">
        <v>0.019332162</v>
      </c>
      <c r="AL21" s="24" t="n">
        <v>0.019448476</v>
      </c>
      <c r="AM21" s="24" t="n">
        <v>0.009684629</v>
      </c>
      <c r="AN21" s="24" t="n">
        <v>0.009865471000000001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$D$49</f>
        <v/>
      </c>
      <c r="AD22" s="26">
        <f>$D$49</f>
        <v/>
      </c>
      <c r="AE22" s="25">
        <f>IFERROR(subQ!AE8/subQ!AE5,"")</f>
        <v/>
      </c>
      <c r="AF22" s="26">
        <f>$D$49</f>
        <v/>
      </c>
      <c r="AG22" s="26">
        <f>$D$49</f>
        <v/>
      </c>
      <c r="AH22" s="26">
        <f>$D$49</f>
        <v/>
      </c>
      <c r="AI22" s="26">
        <f>$D$49</f>
        <v/>
      </c>
      <c r="AJ22" s="25">
        <f>IFERROR(subQ!AJ8/subQ!AJ5,"")</f>
        <v/>
      </c>
      <c r="AK22" s="26">
        <f>$D$49</f>
        <v/>
      </c>
      <c r="AL22" s="26">
        <f>$D$49</f>
        <v/>
      </c>
      <c r="AM22" s="26">
        <f>$D$49</f>
        <v/>
      </c>
      <c r="AN22" s="26">
        <f>$D$49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-0.057974684</v>
      </c>
      <c r="AD23" s="24" t="n">
        <v>-0.057828571</v>
      </c>
      <c r="AE23" s="25">
        <f>IFERROR(subQ!AE9/subQ!AE5,"")</f>
        <v/>
      </c>
      <c r="AF23" s="24" t="n">
        <v>-0.057996485</v>
      </c>
      <c r="AG23" s="24" t="n">
        <v>-0.057764877</v>
      </c>
      <c r="AH23" s="24" t="n">
        <v>-0.057859449</v>
      </c>
      <c r="AI23" s="24" t="n">
        <v>-0.057847534</v>
      </c>
      <c r="AJ23" s="25">
        <f>IFERROR(subQ!AJ9/subQ!AJ5,"")</f>
        <v/>
      </c>
      <c r="AK23" s="24" t="n">
        <v>-0.057758621</v>
      </c>
      <c r="AL23" s="24" t="n">
        <v>-0.057801822</v>
      </c>
      <c r="AM23" s="24" t="n">
        <v>-0.05779636</v>
      </c>
      <c r="AN23" s="24" t="n">
        <v>-0.05794849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drv:기타영업외손익</t>
        </is>
      </c>
      <c r="B25" s="2" t="inlineStr">
        <is>
          <t>abs</t>
        </is>
      </c>
      <c r="C25" t="inlineStr">
        <is>
          <t>기타영업외손익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drv:법인세비용</t>
        </is>
      </c>
      <c r="B26" s="2" t="inlineStr">
        <is>
          <t>ratio</t>
        </is>
      </c>
      <c r="C26" t="inlineStr">
        <is>
          <t>법인세율(/세전)</t>
        </is>
      </c>
      <c r="E26" s="21">
        <f>IFERROR(subQ!E16/subQ!E15,"")</f>
        <v/>
      </c>
      <c r="F26" s="22">
        <f>IFERROR(subQ!F16/subQ!F15,"")</f>
        <v/>
      </c>
      <c r="G26" s="21">
        <f>IFERROR(subQ!G16/subQ!G15,"")</f>
        <v/>
      </c>
      <c r="H26" s="21">
        <f>IFERROR(subQ!H16/subQ!H15,"")</f>
        <v/>
      </c>
      <c r="I26" s="21">
        <f>IFERROR(subQ!I16/subQ!I15,"")</f>
        <v/>
      </c>
      <c r="J26" s="21">
        <f>IFERROR(subQ!J16/subQ!J15,"")</f>
        <v/>
      </c>
      <c r="K26" s="22">
        <f>IFERROR(subQ!K16/subQ!K15,"")</f>
        <v/>
      </c>
      <c r="L26" s="21">
        <f>IFERROR(subQ!L16/subQ!L15,"")</f>
        <v/>
      </c>
      <c r="M26" s="21">
        <f>IFERROR(subQ!M16/subQ!M15,"")</f>
        <v/>
      </c>
      <c r="N26" s="21">
        <f>IFERROR(subQ!N16/subQ!N15,"")</f>
        <v/>
      </c>
      <c r="O26" s="21">
        <f>IFERROR(subQ!O16/subQ!O15,"")</f>
        <v/>
      </c>
      <c r="P26" s="22">
        <f>IFERROR(subQ!P16/subQ!P15,"")</f>
        <v/>
      </c>
      <c r="Q26" s="21">
        <f>IFERROR(subQ!Q16/subQ!Q15,"")</f>
        <v/>
      </c>
      <c r="R26" s="21">
        <f>IFERROR(subQ!R16/subQ!R15,"")</f>
        <v/>
      </c>
      <c r="S26" s="21">
        <f>IFERROR(subQ!S16/subQ!S15,"")</f>
        <v/>
      </c>
      <c r="T26" s="21">
        <f>IFERROR(subQ!T16/subQ!T15,"")</f>
        <v/>
      </c>
      <c r="U26" s="22">
        <f>IFERROR(subQ!U16/subQ!U15,"")</f>
        <v/>
      </c>
      <c r="V26" s="21">
        <f>IFERROR(subQ!V16/subQ!V15,"")</f>
        <v/>
      </c>
      <c r="W26" s="21">
        <f>IFERROR(subQ!W16/subQ!W15,"")</f>
        <v/>
      </c>
      <c r="X26" s="21">
        <f>IFERROR(subQ!X16/subQ!X15,"")</f>
        <v/>
      </c>
      <c r="Y26" s="21">
        <f>IFERROR(subQ!Y16/subQ!Y15,"")</f>
        <v/>
      </c>
      <c r="Z26" s="22">
        <f>IFERROR(subQ!Z16/subQ!Z15,"")</f>
        <v/>
      </c>
      <c r="AA26" s="21">
        <f>IFERROR(subQ!AA16/subQ!AA15,"")</f>
        <v/>
      </c>
      <c r="AB26" s="23">
        <f>IFERROR(subQ!AB16/subQ!AB15,"")</f>
        <v/>
      </c>
      <c r="AC26" s="24" t="n">
        <v>-0</v>
      </c>
      <c r="AD26" s="24" t="n">
        <v>-0</v>
      </c>
      <c r="AE26" s="25">
        <f>IFERROR(subQ!AE16/subQ!AE15,"")</f>
        <v/>
      </c>
      <c r="AF26" s="24" t="n">
        <v>-0</v>
      </c>
      <c r="AG26" s="24" t="n">
        <v>-0</v>
      </c>
      <c r="AH26" s="24" t="n">
        <v>-0</v>
      </c>
      <c r="AI26" s="24" t="n">
        <v>-0</v>
      </c>
      <c r="AJ26" s="25">
        <f>IFERROR(subQ!AJ16/subQ!AJ15,"")</f>
        <v/>
      </c>
      <c r="AK26" s="24" t="n">
        <v>-0</v>
      </c>
      <c r="AL26" s="24" t="n">
        <v>-0</v>
      </c>
      <c r="AM26" s="24" t="n">
        <v>-0</v>
      </c>
      <c r="AN26" s="24" t="n">
        <v>-0</v>
      </c>
      <c r="AO26" s="25">
        <f>IFERROR(subQ!AO16/subQ!AO15,"")</f>
        <v/>
      </c>
    </row>
    <row r="27">
      <c r="A27" s="12" t="inlineStr">
        <is>
          <t>drv:지배주주순이익</t>
        </is>
      </c>
      <c r="B27" s="2" t="inlineStr">
        <is>
          <t>ratio</t>
        </is>
      </c>
      <c r="C27" t="inlineStr">
        <is>
          <t>지배주주 비중(/당기순이익)</t>
        </is>
      </c>
      <c r="E27" s="21">
        <f>IFERROR(subQ!E18/subQ!E17,"")</f>
        <v/>
      </c>
      <c r="F27" s="22">
        <f>IFERROR(subQ!F18/subQ!F17,"")</f>
        <v/>
      </c>
      <c r="G27" s="21">
        <f>IFERROR(subQ!G18/subQ!G17,"")</f>
        <v/>
      </c>
      <c r="H27" s="21">
        <f>IFERROR(subQ!H18/subQ!H17,"")</f>
        <v/>
      </c>
      <c r="I27" s="21">
        <f>IFERROR(subQ!I18/subQ!I17,"")</f>
        <v/>
      </c>
      <c r="J27" s="21">
        <f>IFERROR(subQ!J18/subQ!J17,"")</f>
        <v/>
      </c>
      <c r="K27" s="22">
        <f>IFERROR(subQ!K18/subQ!K17,"")</f>
        <v/>
      </c>
      <c r="L27" s="21">
        <f>IFERROR(subQ!L18/subQ!L17,"")</f>
        <v/>
      </c>
      <c r="M27" s="21">
        <f>IFERROR(subQ!M18/subQ!M17,"")</f>
        <v/>
      </c>
      <c r="N27" s="21">
        <f>IFERROR(subQ!N18/subQ!N17,"")</f>
        <v/>
      </c>
      <c r="O27" s="21">
        <f>IFERROR(subQ!O18/subQ!O17,"")</f>
        <v/>
      </c>
      <c r="P27" s="22">
        <f>IFERROR(subQ!P18/subQ!P17,"")</f>
        <v/>
      </c>
      <c r="Q27" s="21">
        <f>IFERROR(subQ!Q18/subQ!Q17,"")</f>
        <v/>
      </c>
      <c r="R27" s="21">
        <f>IFERROR(subQ!R18/subQ!R17,"")</f>
        <v/>
      </c>
      <c r="S27" s="21">
        <f>IFERROR(subQ!S18/subQ!S17,"")</f>
        <v/>
      </c>
      <c r="T27" s="21">
        <f>IFERROR(subQ!T18/subQ!T17,"")</f>
        <v/>
      </c>
      <c r="U27" s="22">
        <f>IFERROR(subQ!U18/subQ!U17,"")</f>
        <v/>
      </c>
      <c r="V27" s="21">
        <f>IFERROR(subQ!V18/subQ!V17,"")</f>
        <v/>
      </c>
      <c r="W27" s="21">
        <f>IFERROR(subQ!W18/subQ!W17,"")</f>
        <v/>
      </c>
      <c r="X27" s="21">
        <f>IFERROR(subQ!X18/subQ!X17,"")</f>
        <v/>
      </c>
      <c r="Y27" s="21">
        <f>IFERROR(subQ!Y18/subQ!Y17,"")</f>
        <v/>
      </c>
      <c r="Z27" s="22">
        <f>IFERROR(subQ!Z18/subQ!Z17,"")</f>
        <v/>
      </c>
      <c r="AA27" s="21">
        <f>IFERROR(subQ!AA18/subQ!AA17,"")</f>
        <v/>
      </c>
      <c r="AB27" s="23">
        <f>IFERROR(subQ!AB18/subQ!AB17,"")</f>
        <v/>
      </c>
      <c r="AC27" s="26">
        <f>$D$50</f>
        <v/>
      </c>
      <c r="AD27" s="26">
        <f>$D$50</f>
        <v/>
      </c>
      <c r="AE27" s="25">
        <f>IFERROR(subQ!AE18/subQ!AE17,"")</f>
        <v/>
      </c>
      <c r="AF27" s="26">
        <f>$D$50</f>
        <v/>
      </c>
      <c r="AG27" s="26">
        <f>$D$50</f>
        <v/>
      </c>
      <c r="AH27" s="26">
        <f>$D$50</f>
        <v/>
      </c>
      <c r="AI27" s="26">
        <f>$D$50</f>
        <v/>
      </c>
      <c r="AJ27" s="25">
        <f>IFERROR(subQ!AJ18/subQ!AJ17,"")</f>
        <v/>
      </c>
      <c r="AK27" s="26">
        <f>$D$50</f>
        <v/>
      </c>
      <c r="AL27" s="26">
        <f>$D$50</f>
        <v/>
      </c>
      <c r="AM27" s="26">
        <f>$D$50</f>
        <v/>
      </c>
      <c r="AN27" s="26">
        <f>$D$50</f>
        <v/>
      </c>
      <c r="AO27" s="25">
        <f>IFERROR(subQ!AO18/subQ!AO17,"")</f>
        <v/>
      </c>
    </row>
    <row r="28">
      <c r="A28" s="12" t="inlineStr">
        <is>
          <t>drv:부채총계</t>
        </is>
      </c>
      <c r="B28" s="2" t="inlineStr">
        <is>
          <t>qoq</t>
        </is>
      </c>
      <c r="C28" t="inlineStr">
        <is>
          <t>부채총계 QoQ</t>
        </is>
      </c>
      <c r="E28" s="21" t="n"/>
      <c r="F28" s="22" t="n"/>
      <c r="G28" s="21">
        <f>IFERROR(subQ!G20/subQ!E20-1,"")</f>
        <v/>
      </c>
      <c r="H28" s="21">
        <f>IFERROR(subQ!H20/subQ!G20-1,"")</f>
        <v/>
      </c>
      <c r="I28" s="21">
        <f>IFERROR(subQ!I20/subQ!H20-1,"")</f>
        <v/>
      </c>
      <c r="J28" s="21">
        <f>IFERROR(subQ!J20/subQ!I20-1,"")</f>
        <v/>
      </c>
      <c r="K28" s="22" t="n"/>
      <c r="L28" s="21">
        <f>IFERROR(subQ!L20/subQ!J20-1,"")</f>
        <v/>
      </c>
      <c r="M28" s="21">
        <f>IFERROR(subQ!M20/subQ!L20-1,"")</f>
        <v/>
      </c>
      <c r="N28" s="21">
        <f>IFERROR(subQ!N20/subQ!M20-1,"")</f>
        <v/>
      </c>
      <c r="O28" s="21">
        <f>IFERROR(subQ!O20/subQ!N20-1,"")</f>
        <v/>
      </c>
      <c r="P28" s="22" t="n"/>
      <c r="Q28" s="21">
        <f>IFERROR(subQ!Q20/subQ!O20-1,"")</f>
        <v/>
      </c>
      <c r="R28" s="21">
        <f>IFERROR(subQ!R20/subQ!Q20-1,"")</f>
        <v/>
      </c>
      <c r="S28" s="21">
        <f>IFERROR(subQ!S20/subQ!R20-1,"")</f>
        <v/>
      </c>
      <c r="T28" s="21">
        <f>IFERROR(subQ!T20/subQ!S20-1,"")</f>
        <v/>
      </c>
      <c r="U28" s="22" t="n"/>
      <c r="V28" s="21">
        <f>IFERROR(subQ!V20/subQ!T20-1,"")</f>
        <v/>
      </c>
      <c r="W28" s="21">
        <f>IFERROR(subQ!W20/subQ!V20-1,"")</f>
        <v/>
      </c>
      <c r="X28" s="21">
        <f>IFERROR(subQ!X20/subQ!W20-1,"")</f>
        <v/>
      </c>
      <c r="Y28" s="21">
        <f>IFERROR(subQ!Y20/subQ!X20-1,"")</f>
        <v/>
      </c>
      <c r="Z28" s="22" t="n"/>
      <c r="AA28" s="21">
        <f>IFERROR(subQ!AA20/subQ!Y20-1,"")</f>
        <v/>
      </c>
      <c r="AB28" s="23">
        <f>IFERROR(subQ!AB20/subQ!AA20-1,"")</f>
        <v/>
      </c>
      <c r="AC28" s="24" t="n">
        <v>3.886e-06</v>
      </c>
      <c r="AD28" s="24" t="n">
        <v>0</v>
      </c>
      <c r="AE28" s="25" t="n"/>
      <c r="AF28" s="24" t="n">
        <v>0</v>
      </c>
      <c r="AG28" s="24" t="n">
        <v>0</v>
      </c>
      <c r="AH28" s="24" t="n">
        <v>0</v>
      </c>
      <c r="AI28" s="24" t="n">
        <v>0</v>
      </c>
      <c r="AJ28" s="25" t="n"/>
      <c r="AK28" s="24" t="n">
        <v>0</v>
      </c>
      <c r="AL28" s="24" t="n">
        <v>0</v>
      </c>
      <c r="AM28" s="24" t="n">
        <v>0</v>
      </c>
      <c r="AN28" s="24" t="n">
        <v>0</v>
      </c>
      <c r="AO28" s="25" t="n"/>
    </row>
    <row r="29">
      <c r="A29" s="12" t="inlineStr">
        <is>
          <t>drv:자본총계</t>
        </is>
      </c>
      <c r="B29" s="2" t="inlineStr">
        <is>
          <t>roll</t>
        </is>
      </c>
      <c r="C29" t="inlineStr">
        <is>
          <t>자본총계 기타변동(배당 등, 억원)</t>
        </is>
      </c>
      <c r="E29" s="27" t="n"/>
      <c r="F29" s="28" t="n"/>
      <c r="G29" s="27">
        <f>IFERROR(subQ!E21+subQ!G17-subQ!G21,"")</f>
        <v/>
      </c>
      <c r="H29" s="27">
        <f>IFERROR(subQ!G21+subQ!H17-subQ!H21,"")</f>
        <v/>
      </c>
      <c r="I29" s="27">
        <f>IFERROR(subQ!H21+subQ!I17-subQ!I21,"")</f>
        <v/>
      </c>
      <c r="J29" s="27">
        <f>IFERROR(subQ!I21+subQ!J17-subQ!J21,"")</f>
        <v/>
      </c>
      <c r="K29" s="28" t="n"/>
      <c r="L29" s="27">
        <f>IFERROR(subQ!J21+subQ!L17-subQ!L21,"")</f>
        <v/>
      </c>
      <c r="M29" s="27">
        <f>IFERROR(subQ!L21+subQ!M17-subQ!M21,"")</f>
        <v/>
      </c>
      <c r="N29" s="27">
        <f>IFERROR(subQ!M21+subQ!N17-subQ!N21,"")</f>
        <v/>
      </c>
      <c r="O29" s="27">
        <f>IFERROR(subQ!N21+subQ!O17-subQ!O21,"")</f>
        <v/>
      </c>
      <c r="P29" s="28" t="n"/>
      <c r="Q29" s="27">
        <f>IFERROR(subQ!O21+subQ!Q17-subQ!Q21,"")</f>
        <v/>
      </c>
      <c r="R29" s="27">
        <f>IFERROR(subQ!Q21+subQ!R17-subQ!R21,"")</f>
        <v/>
      </c>
      <c r="S29" s="27">
        <f>IFERROR(subQ!R21+subQ!S17-subQ!S21,"")</f>
        <v/>
      </c>
      <c r="T29" s="27">
        <f>IFERROR(subQ!S21+subQ!T17-subQ!T21,"")</f>
        <v/>
      </c>
      <c r="U29" s="28" t="n"/>
      <c r="V29" s="27">
        <f>IFERROR(subQ!T21+subQ!V17-subQ!V21,"")</f>
        <v/>
      </c>
      <c r="W29" s="27">
        <f>IFERROR(subQ!V21+subQ!W17-subQ!W21,"")</f>
        <v/>
      </c>
      <c r="X29" s="27">
        <f>IFERROR(subQ!W21+subQ!X17-subQ!X21,"")</f>
        <v/>
      </c>
      <c r="Y29" s="27">
        <f>IFERROR(subQ!X21+subQ!Y17-subQ!Y21,"")</f>
        <v/>
      </c>
      <c r="Z29" s="28" t="n"/>
      <c r="AA29" s="27">
        <f>IFERROR(subQ!Y21+subQ!AA17-subQ!AA21,"")</f>
        <v/>
      </c>
      <c r="AB29" s="29">
        <f>IFERROR(subQ!AA21+subQ!AB17-subQ!AB21,"")</f>
        <v/>
      </c>
      <c r="AC29" s="30" t="n">
        <v>-0.00516687</v>
      </c>
      <c r="AD29" s="30" t="n">
        <v>0.005630982</v>
      </c>
      <c r="AE29" s="31" t="n"/>
      <c r="AF29" s="30" t="n">
        <v>-0.001542672</v>
      </c>
      <c r="AG29" s="30" t="n">
        <v>0.004327036</v>
      </c>
      <c r="AH29" s="30" t="n">
        <v>3.3723e-05</v>
      </c>
      <c r="AI29" s="30" t="n">
        <v>0.003892652</v>
      </c>
      <c r="AJ29" s="31" t="n"/>
      <c r="AK29" s="30" t="n">
        <v>-0.003661401</v>
      </c>
      <c r="AL29" s="30" t="n">
        <v>0.001827925</v>
      </c>
      <c r="AM29" s="30" t="n">
        <v>0.007208527</v>
      </c>
      <c r="AN29" s="30" t="n">
        <v>-0.009149914</v>
      </c>
      <c r="AO29" s="31" t="n"/>
    </row>
    <row r="30">
      <c r="A30" s="12" t="inlineStr">
        <is>
          <t>drv:지배주주지분</t>
        </is>
      </c>
      <c r="B30" s="2" t="inlineStr">
        <is>
          <t>roll</t>
        </is>
      </c>
      <c r="C30" t="inlineStr">
        <is>
          <t>지배주주지분 기타변동(배당 등, 억원)</t>
        </is>
      </c>
      <c r="E30" s="27" t="n"/>
      <c r="F30" s="28" t="n"/>
      <c r="G30" s="27">
        <f>IFERROR(subQ!E22+subQ!G18-subQ!G22,"")</f>
        <v/>
      </c>
      <c r="H30" s="27">
        <f>IFERROR(subQ!G22+subQ!H18-subQ!H22,"")</f>
        <v/>
      </c>
      <c r="I30" s="27">
        <f>IFERROR(subQ!H22+subQ!I18-subQ!I22,"")</f>
        <v/>
      </c>
      <c r="J30" s="27">
        <f>IFERROR(subQ!I22+subQ!J18-subQ!J22,"")</f>
        <v/>
      </c>
      <c r="K30" s="28" t="n"/>
      <c r="L30" s="27">
        <f>IFERROR(subQ!J22+subQ!L18-subQ!L22,"")</f>
        <v/>
      </c>
      <c r="M30" s="27">
        <f>IFERROR(subQ!L22+subQ!M18-subQ!M22,"")</f>
        <v/>
      </c>
      <c r="N30" s="27">
        <f>IFERROR(subQ!M22+subQ!N18-subQ!N22,"")</f>
        <v/>
      </c>
      <c r="O30" s="27">
        <f>IFERROR(subQ!N22+subQ!O18-subQ!O22,"")</f>
        <v/>
      </c>
      <c r="P30" s="28" t="n"/>
      <c r="Q30" s="27">
        <f>IFERROR(subQ!O22+subQ!Q18-subQ!Q22,"")</f>
        <v/>
      </c>
      <c r="R30" s="27">
        <f>IFERROR(subQ!Q22+subQ!R18-subQ!R22,"")</f>
        <v/>
      </c>
      <c r="S30" s="27">
        <f>IFERROR(subQ!R22+subQ!S18-subQ!S22,"")</f>
        <v/>
      </c>
      <c r="T30" s="27">
        <f>IFERROR(subQ!S22+subQ!T18-subQ!T22,"")</f>
        <v/>
      </c>
      <c r="U30" s="28" t="n"/>
      <c r="V30" s="27">
        <f>IFERROR(subQ!T22+subQ!V18-subQ!V22,"")</f>
        <v/>
      </c>
      <c r="W30" s="27">
        <f>IFERROR(subQ!V22+subQ!W18-subQ!W22,"")</f>
        <v/>
      </c>
      <c r="X30" s="27">
        <f>IFERROR(subQ!W22+subQ!X18-subQ!X22,"")</f>
        <v/>
      </c>
      <c r="Y30" s="27">
        <f>IFERROR(subQ!X22+subQ!Y18-subQ!Y22,"")</f>
        <v/>
      </c>
      <c r="Z30" s="28" t="n"/>
      <c r="AA30" s="27">
        <f>IFERROR(subQ!Y22+subQ!AA18-subQ!AA22,"")</f>
        <v/>
      </c>
      <c r="AB30" s="29">
        <f>IFERROR(subQ!AA22+subQ!AB18-subQ!AB22,"")</f>
        <v/>
      </c>
      <c r="AC30" s="30" t="n">
        <v>-0.00516687</v>
      </c>
      <c r="AD30" s="30" t="n">
        <v>0.005630982</v>
      </c>
      <c r="AE30" s="31" t="n"/>
      <c r="AF30" s="30" t="n">
        <v>-0.001542672</v>
      </c>
      <c r="AG30" s="30" t="n">
        <v>0.004327036</v>
      </c>
      <c r="AH30" s="30" t="n">
        <v>3.3723e-05</v>
      </c>
      <c r="AI30" s="30" t="n">
        <v>0.003892652</v>
      </c>
      <c r="AJ30" s="31" t="n"/>
      <c r="AK30" s="30" t="n">
        <v>-0.003661401</v>
      </c>
      <c r="AL30" s="30" t="n">
        <v>0.001827925</v>
      </c>
      <c r="AM30" s="30" t="n">
        <v>0.007208527</v>
      </c>
      <c r="AN30" s="30" t="n">
        <v>-0.009149914</v>
      </c>
      <c r="AO30" s="31" t="n"/>
    </row>
    <row r="31">
      <c r="A31" s="12" t="inlineStr">
        <is>
          <t>drv:총차입금</t>
        </is>
      </c>
      <c r="B31" s="2" t="inlineStr">
        <is>
          <t>qoq</t>
        </is>
      </c>
      <c r="C31" t="inlineStr">
        <is>
          <t>총차입금 QoQ</t>
        </is>
      </c>
      <c r="E31" s="21" t="n"/>
      <c r="F31" s="22" t="n"/>
      <c r="G31" s="21">
        <f>IFERROR(subQ!G23/subQ!E23-1,"")</f>
        <v/>
      </c>
      <c r="H31" s="21">
        <f>IFERROR(subQ!H23/subQ!G23-1,"")</f>
        <v/>
      </c>
      <c r="I31" s="21">
        <f>IFERROR(subQ!I23/subQ!H23-1,"")</f>
        <v/>
      </c>
      <c r="J31" s="21">
        <f>IFERROR(subQ!J23/subQ!I23-1,"")</f>
        <v/>
      </c>
      <c r="K31" s="22" t="n"/>
      <c r="L31" s="21">
        <f>IFERROR(subQ!L23/subQ!J23-1,"")</f>
        <v/>
      </c>
      <c r="M31" s="21">
        <f>IFERROR(subQ!M23/subQ!L23-1,"")</f>
        <v/>
      </c>
      <c r="N31" s="21">
        <f>IFERROR(subQ!N23/subQ!M23-1,"")</f>
        <v/>
      </c>
      <c r="O31" s="21">
        <f>IFERROR(subQ!O23/subQ!N23-1,"")</f>
        <v/>
      </c>
      <c r="P31" s="22" t="n"/>
      <c r="Q31" s="21">
        <f>IFERROR(subQ!Q23/subQ!O23-1,"")</f>
        <v/>
      </c>
      <c r="R31" s="21">
        <f>IFERROR(subQ!R23/subQ!Q23-1,"")</f>
        <v/>
      </c>
      <c r="S31" s="21">
        <f>IFERROR(subQ!S23/subQ!R23-1,"")</f>
        <v/>
      </c>
      <c r="T31" s="21">
        <f>IFERROR(subQ!T23/subQ!S23-1,"")</f>
        <v/>
      </c>
      <c r="U31" s="22" t="n"/>
      <c r="V31" s="21">
        <f>IFERROR(subQ!V23/subQ!T23-1,"")</f>
        <v/>
      </c>
      <c r="W31" s="21">
        <f>IFERROR(subQ!W23/subQ!V23-1,"")</f>
        <v/>
      </c>
      <c r="X31" s="21">
        <f>IFERROR(subQ!X23/subQ!W23-1,"")</f>
        <v/>
      </c>
      <c r="Y31" s="21">
        <f>IFERROR(subQ!Y23/subQ!X23-1,"")</f>
        <v/>
      </c>
      <c r="Z31" s="22" t="n"/>
      <c r="AA31" s="21">
        <f>IFERROR(subQ!AA23/subQ!Y23-1,"")</f>
        <v/>
      </c>
      <c r="AB31" s="23">
        <f>IFERROR(subQ!AB23/subQ!AA23-1,"")</f>
        <v/>
      </c>
      <c r="AC31" s="24" t="n">
        <v>1.5582e-05</v>
      </c>
      <c r="AD31" s="24" t="n">
        <v>0</v>
      </c>
      <c r="AE31" s="25" t="n"/>
      <c r="AF31" s="24" t="n">
        <v>0</v>
      </c>
      <c r="AG31" s="24" t="n">
        <v>0</v>
      </c>
      <c r="AH31" s="24" t="n">
        <v>0</v>
      </c>
      <c r="AI31" s="24" t="n">
        <v>0</v>
      </c>
      <c r="AJ31" s="25" t="n"/>
      <c r="AK31" s="24" t="n">
        <v>0</v>
      </c>
      <c r="AL31" s="24" t="n">
        <v>0</v>
      </c>
      <c r="AM31" s="24" t="n">
        <v>0</v>
      </c>
      <c r="AN31" s="24" t="n">
        <v>0</v>
      </c>
      <c r="AO31" s="25" t="n"/>
    </row>
    <row r="32">
      <c r="A32" s="12" t="inlineStr">
        <is>
          <t>drv:순차입금</t>
        </is>
      </c>
      <c r="B32" s="2" t="inlineStr">
        <is>
          <t>qoq</t>
        </is>
      </c>
      <c r="C32" t="inlineStr">
        <is>
          <t>순차입금 QoQ</t>
        </is>
      </c>
      <c r="E32" s="21" t="n"/>
      <c r="F32" s="22" t="n"/>
      <c r="G32" s="21">
        <f>IFERROR(subQ!G24/subQ!E24-1,"")</f>
        <v/>
      </c>
      <c r="H32" s="21">
        <f>IFERROR(subQ!H24/subQ!G24-1,"")</f>
        <v/>
      </c>
      <c r="I32" s="21">
        <f>IFERROR(subQ!I24/subQ!H24-1,"")</f>
        <v/>
      </c>
      <c r="J32" s="21">
        <f>IFERROR(subQ!J24/subQ!I24-1,"")</f>
        <v/>
      </c>
      <c r="K32" s="22" t="n"/>
      <c r="L32" s="21">
        <f>IFERROR(subQ!L24/subQ!J24-1,"")</f>
        <v/>
      </c>
      <c r="M32" s="21">
        <f>IFERROR(subQ!M24/subQ!L24-1,"")</f>
        <v/>
      </c>
      <c r="N32" s="21">
        <f>IFERROR(subQ!N24/subQ!M24-1,"")</f>
        <v/>
      </c>
      <c r="O32" s="21">
        <f>IFERROR(subQ!O24/subQ!N24-1,"")</f>
        <v/>
      </c>
      <c r="P32" s="22" t="n"/>
      <c r="Q32" s="21">
        <f>IFERROR(subQ!Q24/subQ!O24-1,"")</f>
        <v/>
      </c>
      <c r="R32" s="21">
        <f>IFERROR(subQ!R24/subQ!Q24-1,"")</f>
        <v/>
      </c>
      <c r="S32" s="21">
        <f>IFERROR(subQ!S24/subQ!R24-1,"")</f>
        <v/>
      </c>
      <c r="T32" s="21">
        <f>IFERROR(subQ!T24/subQ!S24-1,"")</f>
        <v/>
      </c>
      <c r="U32" s="22" t="n"/>
      <c r="V32" s="21">
        <f>IFERROR(subQ!V24/subQ!T24-1,"")</f>
        <v/>
      </c>
      <c r="W32" s="21">
        <f>IFERROR(subQ!W24/subQ!V24-1,"")</f>
        <v/>
      </c>
      <c r="X32" s="21">
        <f>IFERROR(subQ!X24/subQ!W24-1,"")</f>
        <v/>
      </c>
      <c r="Y32" s="21">
        <f>IFERROR(subQ!Y24/subQ!X24-1,"")</f>
        <v/>
      </c>
      <c r="Z32" s="22" t="n"/>
      <c r="AA32" s="21">
        <f>IFERROR(subQ!AA24/subQ!Y24-1,"")</f>
        <v/>
      </c>
      <c r="AB32" s="23">
        <f>IFERROR(subQ!AB24/subQ!AA24-1,"")</f>
        <v/>
      </c>
      <c r="AC32" s="24" t="n">
        <v>-0.125141296</v>
      </c>
      <c r="AD32" s="24" t="n">
        <v>-0.177658143</v>
      </c>
      <c r="AE32" s="25" t="n"/>
      <c r="AF32" s="24" t="n">
        <v>-0.126022913</v>
      </c>
      <c r="AG32" s="24" t="n">
        <v>-0.147940075</v>
      </c>
      <c r="AH32" s="24" t="n">
        <v>-0.248351648</v>
      </c>
      <c r="AI32" s="24" t="n">
        <v>-0.406432749</v>
      </c>
      <c r="AJ32" s="25" t="n"/>
      <c r="AK32" s="24" t="n">
        <v>-0.403940887</v>
      </c>
      <c r="AL32" s="24" t="n">
        <v>-0.702479339</v>
      </c>
      <c r="AM32" s="24" t="n">
        <v>-3.277777778</v>
      </c>
      <c r="AN32" s="24" t="n">
        <v>1.743902439</v>
      </c>
      <c r="AO32" s="25" t="n"/>
    </row>
    <row r="33">
      <c r="A33" s="12" t="inlineStr">
        <is>
          <t>drv:이자발생자산</t>
        </is>
      </c>
      <c r="B33" s="2" t="inlineStr">
        <is>
          <t>qoq</t>
        </is>
      </c>
      <c r="C33" t="inlineStr">
        <is>
          <t>이자발생자산 QoQ</t>
        </is>
      </c>
      <c r="E33" s="21" t="n"/>
      <c r="F33" s="22" t="n"/>
      <c r="G33" s="21">
        <f>IFERROR(subQ!G25/subQ!E25-1,"")</f>
        <v/>
      </c>
      <c r="H33" s="21">
        <f>IFERROR(subQ!H25/subQ!G25-1,"")</f>
        <v/>
      </c>
      <c r="I33" s="21">
        <f>IFERROR(subQ!I25/subQ!H25-1,"")</f>
        <v/>
      </c>
      <c r="J33" s="21">
        <f>IFERROR(subQ!J25/subQ!I25-1,"")</f>
        <v/>
      </c>
      <c r="K33" s="22" t="n"/>
      <c r="L33" s="21">
        <f>IFERROR(subQ!L25/subQ!J25-1,"")</f>
        <v/>
      </c>
      <c r="M33" s="21">
        <f>IFERROR(subQ!M25/subQ!L25-1,"")</f>
        <v/>
      </c>
      <c r="N33" s="21">
        <f>IFERROR(subQ!N25/subQ!M25-1,"")</f>
        <v/>
      </c>
      <c r="O33" s="21">
        <f>IFERROR(subQ!O25/subQ!N25-1,"")</f>
        <v/>
      </c>
      <c r="P33" s="22" t="n"/>
      <c r="Q33" s="21">
        <f>IFERROR(subQ!Q25/subQ!O25-1,"")</f>
        <v/>
      </c>
      <c r="R33" s="21">
        <f>IFERROR(subQ!R25/subQ!Q25-1,"")</f>
        <v/>
      </c>
      <c r="S33" s="21">
        <f>IFERROR(subQ!S25/subQ!R25-1,"")</f>
        <v/>
      </c>
      <c r="T33" s="21">
        <f>IFERROR(subQ!T25/subQ!S25-1,"")</f>
        <v/>
      </c>
      <c r="U33" s="22" t="n"/>
      <c r="V33" s="21">
        <f>IFERROR(subQ!V25/subQ!T25-1,"")</f>
        <v/>
      </c>
      <c r="W33" s="21">
        <f>IFERROR(subQ!W25/subQ!V25-1,"")</f>
        <v/>
      </c>
      <c r="X33" s="21">
        <f>IFERROR(subQ!X25/subQ!W25-1,"")</f>
        <v/>
      </c>
      <c r="Y33" s="21">
        <f>IFERROR(subQ!Y25/subQ!X25-1,"")</f>
        <v/>
      </c>
      <c r="Z33" s="22" t="n"/>
      <c r="AA33" s="21">
        <f>IFERROR(subQ!AA25/subQ!Y25-1,"")</f>
        <v/>
      </c>
      <c r="AB33" s="23">
        <f>IFERROR(subQ!AB25/subQ!AA25-1,"")</f>
        <v/>
      </c>
      <c r="AC33" s="24" t="n">
        <v>-0.004441072</v>
      </c>
      <c r="AD33" s="24" t="n">
        <v>-0.00551655</v>
      </c>
      <c r="AE33" s="25" t="n"/>
      <c r="AF33" s="24" t="n">
        <v>-0.003193814</v>
      </c>
      <c r="AG33" s="24" t="n">
        <v>-0.003330523</v>
      </c>
      <c r="AH33" s="24" t="n">
        <v>-0.004779832</v>
      </c>
      <c r="AI33" s="24" t="n">
        <v>-0.005907854</v>
      </c>
      <c r="AJ33" s="25" t="n"/>
      <c r="AK33" s="24" t="n">
        <v>-0.003548677</v>
      </c>
      <c r="AL33" s="24" t="n">
        <v>-0.003647129</v>
      </c>
      <c r="AM33" s="24" t="n">
        <v>-0.005038543</v>
      </c>
      <c r="AN33" s="24" t="n">
        <v>-0.006232687</v>
      </c>
      <c r="AO33" s="25" t="n"/>
    </row>
    <row r="34">
      <c r="A34" s="12" t="inlineStr">
        <is>
          <t>drv:현금및현금성자산</t>
        </is>
      </c>
      <c r="B34" s="2" t="inlineStr">
        <is>
          <t>qoq</t>
        </is>
      </c>
      <c r="C34" t="inlineStr">
        <is>
          <t>현금및현금성자산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32" t="n"/>
      <c r="AD34" s="32" t="n"/>
      <c r="AE34" s="25" t="n"/>
      <c r="AF34" s="32" t="n"/>
      <c r="AG34" s="32" t="n"/>
      <c r="AH34" s="32" t="n"/>
      <c r="AI34" s="32" t="n"/>
      <c r="AJ34" s="25" t="n"/>
      <c r="AK34" s="32" t="n"/>
      <c r="AL34" s="32" t="n"/>
      <c r="AM34" s="32" t="n"/>
      <c r="AN34" s="32" t="n"/>
      <c r="AO34" s="25" t="n"/>
    </row>
    <row r="35">
      <c r="A35" s="12" t="inlineStr">
        <is>
          <t>drv:CAPEX</t>
        </is>
      </c>
      <c r="B35" s="2" t="inlineStr">
        <is>
          <t>yoy</t>
        </is>
      </c>
      <c r="C35" t="inlineStr">
        <is>
          <t>CAPEX YoY</t>
        </is>
      </c>
      <c r="E35" s="21" t="n"/>
      <c r="F35" s="22" t="n"/>
      <c r="G35" s="21" t="n"/>
      <c r="H35" s="21" t="n"/>
      <c r="I35" s="21" t="n"/>
      <c r="J35" s="21">
        <f>IFERROR(subQ!J27/subQ!E27-1,"")</f>
        <v/>
      </c>
      <c r="K35" s="22" t="n"/>
      <c r="L35" s="21">
        <f>IFERROR(subQ!L27/subQ!G27-1,"")</f>
        <v/>
      </c>
      <c r="M35" s="21">
        <f>IFERROR(subQ!M27/subQ!H27-1,"")</f>
        <v/>
      </c>
      <c r="N35" s="21">
        <f>IFERROR(subQ!N27/subQ!I27-1,"")</f>
        <v/>
      </c>
      <c r="O35" s="21">
        <f>IFERROR(subQ!O27/subQ!J27-1,"")</f>
        <v/>
      </c>
      <c r="P35" s="22" t="n"/>
      <c r="Q35" s="21">
        <f>IFERROR(subQ!Q27/subQ!L27-1,"")</f>
        <v/>
      </c>
      <c r="R35" s="21">
        <f>IFERROR(subQ!R27/subQ!M27-1,"")</f>
        <v/>
      </c>
      <c r="S35" s="21">
        <f>IFERROR(subQ!S27/subQ!N27-1,"")</f>
        <v/>
      </c>
      <c r="T35" s="21">
        <f>IFERROR(subQ!T27/subQ!O27-1,"")</f>
        <v/>
      </c>
      <c r="U35" s="22" t="n"/>
      <c r="V35" s="21">
        <f>IFERROR(subQ!V27/subQ!Q27-1,"")</f>
        <v/>
      </c>
      <c r="W35" s="21">
        <f>IFERROR(subQ!W27/subQ!R27-1,"")</f>
        <v/>
      </c>
      <c r="X35" s="21">
        <f>IFERROR(subQ!X27/subQ!S27-1,"")</f>
        <v/>
      </c>
      <c r="Y35" s="21">
        <f>IFERROR(subQ!Y27/subQ!T27-1,"")</f>
        <v/>
      </c>
      <c r="Z35" s="22" t="n"/>
      <c r="AA35" s="21">
        <f>IFERROR(subQ!AA27/subQ!V27-1,"")</f>
        <v/>
      </c>
      <c r="AB35" s="23">
        <f>IFERROR(subQ!AB27/subQ!W27-1,"")</f>
        <v/>
      </c>
      <c r="AC35" s="24" t="n">
        <v>18.620437956</v>
      </c>
      <c r="AD35" s="24" t="n">
        <v>74.846501129</v>
      </c>
      <c r="AE35" s="25" t="n"/>
      <c r="AF35" s="24" t="n">
        <v>-0.487101206</v>
      </c>
      <c r="AG35" s="24" t="n">
        <v>-0.510585768</v>
      </c>
      <c r="AH35" s="24" t="n">
        <v>0</v>
      </c>
      <c r="AI35" s="24" t="n">
        <v>0</v>
      </c>
      <c r="AJ35" s="25" t="n"/>
      <c r="AK35" s="24" t="n">
        <v>0</v>
      </c>
      <c r="AL35" s="24" t="n">
        <v>0</v>
      </c>
      <c r="AM35" s="24" t="n">
        <v>0</v>
      </c>
      <c r="AN35" s="24" t="n">
        <v>0</v>
      </c>
      <c r="AO35" s="25" t="n"/>
    </row>
    <row r="36">
      <c r="A36" s="12" t="inlineStr">
        <is>
          <t>drv:영업활동현금흐름</t>
        </is>
      </c>
      <c r="B36" s="2" t="inlineStr">
        <is>
          <t>yoy</t>
        </is>
      </c>
      <c r="C36" t="inlineStr">
        <is>
          <t>영업활동현금흐름 YoY</t>
        </is>
      </c>
      <c r="E36" s="21" t="n"/>
      <c r="F36" s="22" t="n"/>
      <c r="G36" s="21" t="n"/>
      <c r="H36" s="21" t="n"/>
      <c r="I36" s="21" t="n"/>
      <c r="J36" s="21">
        <f>IFERROR(subQ!J28/subQ!E28-1,"")</f>
        <v/>
      </c>
      <c r="K36" s="22" t="n"/>
      <c r="L36" s="21">
        <f>IFERROR(subQ!L28/subQ!G28-1,"")</f>
        <v/>
      </c>
      <c r="M36" s="21">
        <f>IFERROR(subQ!M28/subQ!H28-1,"")</f>
        <v/>
      </c>
      <c r="N36" s="21">
        <f>IFERROR(subQ!N28/subQ!I28-1,"")</f>
        <v/>
      </c>
      <c r="O36" s="21">
        <f>IFERROR(subQ!O28/subQ!J28-1,"")</f>
        <v/>
      </c>
      <c r="P36" s="22" t="n"/>
      <c r="Q36" s="21">
        <f>IFERROR(subQ!Q28/subQ!L28-1,"")</f>
        <v/>
      </c>
      <c r="R36" s="21">
        <f>IFERROR(subQ!R28/subQ!M28-1,"")</f>
        <v/>
      </c>
      <c r="S36" s="21">
        <f>IFERROR(subQ!S28/subQ!N28-1,"")</f>
        <v/>
      </c>
      <c r="T36" s="21">
        <f>IFERROR(subQ!T28/subQ!O28-1,"")</f>
        <v/>
      </c>
      <c r="U36" s="22" t="n"/>
      <c r="V36" s="21">
        <f>IFERROR(subQ!V28/subQ!Q28-1,"")</f>
        <v/>
      </c>
      <c r="W36" s="21">
        <f>IFERROR(subQ!W28/subQ!R28-1,"")</f>
        <v/>
      </c>
      <c r="X36" s="21">
        <f>IFERROR(subQ!X28/subQ!S28-1,"")</f>
        <v/>
      </c>
      <c r="Y36" s="21">
        <f>IFERROR(subQ!Y28/subQ!T28-1,"")</f>
        <v/>
      </c>
      <c r="Z36" s="22" t="n"/>
      <c r="AA36" s="21">
        <f>IFERROR(subQ!AA28/subQ!V28-1,"")</f>
        <v/>
      </c>
      <c r="AB36" s="23">
        <f>IFERROR(subQ!AB28/subQ!W28-1,"")</f>
        <v/>
      </c>
      <c r="AC36" s="32" t="n"/>
      <c r="AD36" s="32" t="n"/>
      <c r="AE36" s="25" t="n"/>
      <c r="AF36" s="32" t="n"/>
      <c r="AG36" s="32" t="n"/>
      <c r="AH36" s="32" t="n"/>
      <c r="AI36" s="32" t="n"/>
      <c r="AJ36" s="25" t="n"/>
      <c r="AK36" s="32" t="n"/>
      <c r="AL36" s="32" t="n"/>
      <c r="AM36" s="32" t="n"/>
      <c r="AN36" s="32" t="n"/>
      <c r="AO36" s="25" t="n"/>
    </row>
    <row r="37">
      <c r="A37" s="12" t="inlineStr">
        <is>
          <t>drv:주식수</t>
        </is>
      </c>
      <c r="B37" s="2" t="inlineStr">
        <is>
          <t>qoq</t>
        </is>
      </c>
      <c r="C37" t="inlineStr">
        <is>
          <t>주식수 QoQ</t>
        </is>
      </c>
      <c r="E37" s="21" t="n"/>
      <c r="F37" s="22" t="n"/>
      <c r="G37" s="21">
        <f>IFERROR(subQ!G29/subQ!E29-1,"")</f>
        <v/>
      </c>
      <c r="H37" s="21">
        <f>IFERROR(subQ!H29/subQ!G29-1,"")</f>
        <v/>
      </c>
      <c r="I37" s="21">
        <f>IFERROR(subQ!I29/subQ!H29-1,"")</f>
        <v/>
      </c>
      <c r="J37" s="21">
        <f>IFERROR(subQ!J29/subQ!I29-1,"")</f>
        <v/>
      </c>
      <c r="K37" s="22" t="n"/>
      <c r="L37" s="21">
        <f>IFERROR(subQ!L29/subQ!J29-1,"")</f>
        <v/>
      </c>
      <c r="M37" s="21">
        <f>IFERROR(subQ!M29/subQ!L29-1,"")</f>
        <v/>
      </c>
      <c r="N37" s="21">
        <f>IFERROR(subQ!N29/subQ!M29-1,"")</f>
        <v/>
      </c>
      <c r="O37" s="21">
        <f>IFERROR(subQ!O29/subQ!N29-1,"")</f>
        <v/>
      </c>
      <c r="P37" s="22" t="n"/>
      <c r="Q37" s="21">
        <f>IFERROR(subQ!Q29/subQ!O29-1,"")</f>
        <v/>
      </c>
      <c r="R37" s="21">
        <f>IFERROR(subQ!R29/subQ!Q29-1,"")</f>
        <v/>
      </c>
      <c r="S37" s="21">
        <f>IFERROR(subQ!S29/subQ!R29-1,"")</f>
        <v/>
      </c>
      <c r="T37" s="21">
        <f>IFERROR(subQ!T29/subQ!S29-1,"")</f>
        <v/>
      </c>
      <c r="U37" s="22" t="n"/>
      <c r="V37" s="21">
        <f>IFERROR(subQ!V29/subQ!T29-1,"")</f>
        <v/>
      </c>
      <c r="W37" s="21">
        <f>IFERROR(subQ!W29/subQ!V29-1,"")</f>
        <v/>
      </c>
      <c r="X37" s="21">
        <f>IFERROR(subQ!X29/subQ!W29-1,"")</f>
        <v/>
      </c>
      <c r="Y37" s="21">
        <f>IFERROR(subQ!Y29/subQ!X29-1,"")</f>
        <v/>
      </c>
      <c r="Z37" s="22" t="n"/>
      <c r="AA37" s="21">
        <f>IFERROR(subQ!AA29/subQ!Y29-1,"")</f>
        <v/>
      </c>
      <c r="AB37" s="23">
        <f>IFERROR(subQ!AB29/subQ!AA29-1,"")</f>
        <v/>
      </c>
      <c r="AC37" s="24" t="n">
        <v>0</v>
      </c>
      <c r="AD37" s="24" t="n">
        <v>0</v>
      </c>
      <c r="AE37" s="25" t="n"/>
      <c r="AF37" s="24" t="n">
        <v>0</v>
      </c>
      <c r="AG37" s="24" t="n">
        <v>0</v>
      </c>
      <c r="AH37" s="24" t="n">
        <v>0</v>
      </c>
      <c r="AI37" s="24" t="n">
        <v>0</v>
      </c>
      <c r="AJ37" s="25" t="n"/>
      <c r="AK37" s="24" t="n">
        <v>0</v>
      </c>
      <c r="AL37" s="24" t="n">
        <v>0</v>
      </c>
      <c r="AM37" s="24" t="n">
        <v>0</v>
      </c>
      <c r="AN37" s="24" t="n">
        <v>0</v>
      </c>
      <c r="AO37" s="25" t="n"/>
    </row>
    <row r="38">
      <c r="A38" s="12" t="inlineStr">
        <is>
          <t>drv:DPS</t>
        </is>
      </c>
      <c r="B38" s="2" t="inlineStr">
        <is>
          <t>abs</t>
        </is>
      </c>
      <c r="C38" t="inlineStr">
        <is>
          <t>DPS (가정, 원)</t>
        </is>
      </c>
      <c r="E38" s="27">
        <f>subQ!E33</f>
        <v/>
      </c>
      <c r="F38" s="28">
        <f>subQ!F33</f>
        <v/>
      </c>
      <c r="G38" s="27">
        <f>subQ!G33</f>
        <v/>
      </c>
      <c r="H38" s="27">
        <f>subQ!H33</f>
        <v/>
      </c>
      <c r="I38" s="27">
        <f>subQ!I33</f>
        <v/>
      </c>
      <c r="J38" s="27">
        <f>subQ!J33</f>
        <v/>
      </c>
      <c r="K38" s="28">
        <f>subQ!K33</f>
        <v/>
      </c>
      <c r="L38" s="27">
        <f>subQ!L33</f>
        <v/>
      </c>
      <c r="M38" s="27">
        <f>subQ!M33</f>
        <v/>
      </c>
      <c r="N38" s="27">
        <f>subQ!N33</f>
        <v/>
      </c>
      <c r="O38" s="27">
        <f>subQ!O33</f>
        <v/>
      </c>
      <c r="P38" s="28">
        <f>subQ!P33</f>
        <v/>
      </c>
      <c r="Q38" s="27">
        <f>subQ!Q33</f>
        <v/>
      </c>
      <c r="R38" s="27">
        <f>subQ!R33</f>
        <v/>
      </c>
      <c r="S38" s="27">
        <f>subQ!S33</f>
        <v/>
      </c>
      <c r="T38" s="27">
        <f>subQ!T33</f>
        <v/>
      </c>
      <c r="U38" s="28">
        <f>subQ!U33</f>
        <v/>
      </c>
      <c r="V38" s="27">
        <f>subQ!V33</f>
        <v/>
      </c>
      <c r="W38" s="27">
        <f>subQ!W33</f>
        <v/>
      </c>
      <c r="X38" s="27">
        <f>subQ!X33</f>
        <v/>
      </c>
      <c r="Y38" s="27">
        <f>subQ!Y33</f>
        <v/>
      </c>
      <c r="Z38" s="28">
        <f>subQ!Z33</f>
        <v/>
      </c>
      <c r="AA38" s="27">
        <f>subQ!AA33</f>
        <v/>
      </c>
      <c r="AB38" s="29">
        <f>subQ!AB33</f>
        <v/>
      </c>
      <c r="AC38" s="33" t="n"/>
      <c r="AD38" s="30" t="n">
        <v>0</v>
      </c>
      <c r="AE38" s="31">
        <f>subQ!AE33</f>
        <v/>
      </c>
      <c r="AF38" s="33" t="n"/>
      <c r="AG38" s="33" t="n"/>
      <c r="AH38" s="33" t="n"/>
      <c r="AI38" s="30" t="n">
        <v>0</v>
      </c>
      <c r="AJ38" s="31">
        <f>subQ!AJ33</f>
        <v/>
      </c>
      <c r="AK38" s="33" t="n"/>
      <c r="AL38" s="33" t="n"/>
      <c r="AM38" s="33" t="n"/>
      <c r="AN38" s="30" t="n">
        <v>0</v>
      </c>
      <c r="AO38" s="31">
        <f>subQ!AO33</f>
        <v/>
      </c>
    </row>
    <row r="39"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B40" s="1" t="inlineStr">
        <is>
          <t>3. 밸류에이션·스칼라</t>
        </is>
      </c>
      <c r="C40" s="2" t="inlineStr">
        <is>
          <t>노란 셀 = 가정. '연결' 표시는 추정 전 분기 수식이 이 셀을 참조한다는 뜻</t>
        </is>
      </c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s="12" t="inlineStr">
        <is>
          <t>sc:종가</t>
        </is>
      </c>
      <c r="C41" t="inlineStr">
        <is>
          <t>종가</t>
        </is>
      </c>
      <c r="D41" s="34" t="n">
        <v>4740</v>
      </c>
      <c r="E41" s="2" t="inlineStr">
        <is>
          <t>원 — 네이버 정규장 종가(aik 확정종가 대조 · aik 4,840원)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sc:기준일</t>
        </is>
      </c>
      <c r="C42" t="inlineStr">
        <is>
          <t>기준일</t>
        </is>
      </c>
      <c r="D42" s="35" t="inlineStr">
        <is>
          <t>20261014</t>
        </is>
      </c>
      <c r="E42" s="2" t="inlineStr">
        <is>
          <t>종가 기준일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sc:COE</t>
        </is>
      </c>
      <c r="C43" t="inlineStr">
        <is>
          <t>COE</t>
        </is>
      </c>
      <c r="D43" s="24" t="n">
        <v>0.09</v>
      </c>
      <c r="E43" s="2" t="inlineStr">
        <is>
          <t>자기자본비용(가정) — TP 적정 PBR = ROE/COE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sc:PER_lo</t>
        </is>
      </c>
      <c r="C44" t="inlineStr">
        <is>
          <t>PER_lo</t>
        </is>
      </c>
      <c r="D44" s="30" t="n">
        <v>10</v>
      </c>
      <c r="E44" s="2" t="inlineStr">
        <is>
          <t>PER 밴드 하단(배) — sector_default(레퍼런스 TP_PE PB 예시 10/15/20배; 과거 PER 중위 639.1배가 3~40 밖(턴어라운드 왜곡))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sc:PER_mid</t>
        </is>
      </c>
      <c r="C45" t="inlineStr">
        <is>
          <t>PER_mid</t>
        </is>
      </c>
      <c r="D45" s="30" t="n">
        <v>15</v>
      </c>
      <c r="E45" s="2" t="inlineStr">
        <is>
          <t>PER 밴드 중단(배)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sc:PER_hi</t>
        </is>
      </c>
      <c r="C46" t="inlineStr">
        <is>
          <t>PER_hi</t>
        </is>
      </c>
      <c r="D46" s="30" t="n">
        <v>20</v>
      </c>
      <c r="E46" s="2" t="inlineStr">
        <is>
          <t>PER 밴드 상단(배)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sc:EPS_Y1가중</t>
        </is>
      </c>
      <c r="C47" t="inlineStr">
        <is>
          <t>EPS_Y1가중</t>
        </is>
      </c>
      <c r="D47" s="24" t="n">
        <v>0.5</v>
      </c>
      <c r="E47" s="2" t="inlineStr">
        <is>
          <t>12M fwd EPS = FY(last_actual연도)E × w + FY+1E × (1−w) — 기준 분기 2Q 이면 0.5(가정)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sc:세율</t>
        </is>
      </c>
      <c r="C48" t="inlineStr">
        <is>
          <t>세율</t>
        </is>
      </c>
      <c r="D48" s="36" t="n">
        <v>0.22</v>
      </c>
      <c r="E48" s="2" t="inlineStr">
        <is>
          <t>참고(연결 안 됨: MAX(세전,0)×단일 세율로 재현 불가(지주 자회사 합산 등) → 분기별 역산) — 모델 assumptions 값 · 최근 12분기 세전 합 ≤ 0; 세전 &gt; 0 분기 중위 0.0% 도 5~27% 밖 → 법정세율 근사 22% 가정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sc:판관비율</t>
        </is>
      </c>
      <c r="C49" t="inlineStr">
        <is>
          <t>판관비율</t>
        </is>
      </c>
      <c r="D49" s="36" t="n">
        <v>0.1901715392654144</v>
      </c>
      <c r="E49" s="2" t="inlineStr">
        <is>
          <t>연결 — 판관비 = 매출액 × 판관비율(역산, 재현 오차 ≤ 0.05억 · 모델 assumptions 0.1902)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sc:지배주주비중</t>
        </is>
      </c>
      <c r="C50" t="inlineStr">
        <is>
          <t>지배주주비중</t>
        </is>
      </c>
      <c r="D50" s="36" t="n">
        <v>1</v>
      </c>
      <c r="E50" s="2" t="inlineStr">
        <is>
          <t>연결 — 지배주주순이익 = 당기순이익 × 비중(역산, 재현 오차 ≤ 0.05억)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sc:이자율_자산</t>
        </is>
      </c>
      <c r="C51" t="inlineStr">
        <is>
          <t>이자율_자산</t>
        </is>
      </c>
      <c r="D51" s="36" t="n">
        <v>0.0217382951702637</v>
      </c>
      <c r="E51" s="2" t="inlineStr">
        <is>
          <t>연결 — 이자손익 = (전분기 이자발생자산 × 자산이자율 − 전분기 총차입금 × 부채이자율)/4(역산, 재현 오차 ≤ 0.05억 · 모델 assumptions 0.0203)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sc:이자율_부채</t>
        </is>
      </c>
      <c r="C52" t="inlineStr">
        <is>
          <t>이자율_부채</t>
        </is>
      </c>
      <c r="D52" s="36" t="n">
        <v>0.001467345107112027</v>
      </c>
      <c r="E52" s="2" t="inlineStr">
        <is>
          <t>연결 — 같은 수식의 부채 쪽(총차입금 행이 없으면 0)(역산, 재현 오차 ≤ 0.05억)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sc:배당성향</t>
        </is>
      </c>
      <c r="C53" t="inlineStr">
        <is>
          <t>배당성향</t>
        </is>
      </c>
      <c r="D53" s="24" t="n">
        <v>0</v>
      </c>
      <c r="E53" s="2" t="inlineStr">
        <is>
          <t>배당성향(참고 — 모델은 직전 DPS 유지·Q2 지급 가정)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sc:외화순노출_백만$</t>
        </is>
      </c>
      <c r="C54" t="inlineStr">
        <is>
          <t>외화순노출_백만$</t>
        </is>
      </c>
      <c r="D54" s="30" t="n"/>
      <c r="E54" s="2" t="inlineStr">
        <is>
          <t>외화 순노출 × Δ기말환율 (외화 시트 방식) — 외화 순노출 미공시(face) → 0 + 표기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sc:헤지비율</t>
        </is>
      </c>
      <c r="C55" t="inlineStr">
        <is>
          <t>헤지비율</t>
        </is>
      </c>
      <c r="D55" s="24" t="n"/>
      <c r="E55" s="2" t="inlineStr">
        <is>
          <t>sls 없음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sc:헤지환율_약정</t>
        </is>
      </c>
      <c r="C56" t="inlineStr">
        <is>
          <t>헤지환율_약정</t>
        </is>
      </c>
      <c r="D56" s="16" t="n"/>
      <c r="E56" s="2" t="inlineStr">
        <is>
          <t>sls 없음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해성에어로보틱스(연)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8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해성에어로보틱스(별)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23358.71</v>
      </c>
      <c r="F5" s="37" t="n">
        <v>23358.71</v>
      </c>
      <c r="G5" s="18" t="n">
        <v>21762.87</v>
      </c>
      <c r="H5" s="18" t="n">
        <v>21203.15</v>
      </c>
      <c r="I5" s="18" t="n">
        <v>19984.17</v>
      </c>
      <c r="J5" s="18" t="n">
        <v>19551.95</v>
      </c>
      <c r="K5" s="37" t="n">
        <v>19551.95</v>
      </c>
      <c r="L5" s="18" t="n">
        <v>20130.01</v>
      </c>
      <c r="M5" s="18" t="n">
        <v>19689.08</v>
      </c>
      <c r="N5" s="18" t="n">
        <v>19805.92</v>
      </c>
      <c r="O5" s="18" t="n">
        <v>19525.79</v>
      </c>
      <c r="P5" s="37" t="n">
        <v>19525.79</v>
      </c>
      <c r="Q5" s="18" t="n">
        <v>19976.58</v>
      </c>
      <c r="R5" s="18" t="n">
        <v>20093.42</v>
      </c>
      <c r="S5" s="18" t="n">
        <v>18387.79</v>
      </c>
      <c r="T5" s="18" t="n">
        <v>18463.75</v>
      </c>
      <c r="U5" s="37" t="n">
        <v>18463.75</v>
      </c>
      <c r="V5" s="18" t="n">
        <v>18784.92</v>
      </c>
      <c r="W5" s="18" t="n">
        <v>19875.51</v>
      </c>
      <c r="X5" s="18" t="n">
        <v>20048.65</v>
      </c>
      <c r="Y5" s="18" t="n">
        <v>20288.72</v>
      </c>
      <c r="Z5" s="37" t="n">
        <v>20288.72</v>
      </c>
      <c r="AA5" s="18" t="n">
        <v>18871.8</v>
      </c>
      <c r="AB5" s="19" t="n">
        <v>32428.96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9286.110000000001</v>
      </c>
      <c r="F6" s="37" t="n">
        <v>9286.110000000001</v>
      </c>
      <c r="G6" s="18" t="n">
        <v>11448.72</v>
      </c>
      <c r="H6" s="18" t="n">
        <v>8747.700000000001</v>
      </c>
      <c r="I6" s="18" t="n">
        <v>9207.459999999999</v>
      </c>
      <c r="J6" s="18" t="n">
        <v>3986.02</v>
      </c>
      <c r="K6" s="37" t="n">
        <v>3986.02</v>
      </c>
      <c r="L6" s="18" t="n">
        <v>12735.22</v>
      </c>
      <c r="M6" s="18" t="n">
        <v>14066.69</v>
      </c>
      <c r="N6" s="18" t="n">
        <v>11557.83</v>
      </c>
      <c r="O6" s="18" t="n">
        <v>8913.9</v>
      </c>
      <c r="P6" s="37" t="n">
        <v>8913.9</v>
      </c>
      <c r="Q6" s="18" t="n">
        <v>10380.76</v>
      </c>
      <c r="R6" s="18" t="n">
        <v>8458</v>
      </c>
      <c r="S6" s="18" t="n">
        <v>6682.52</v>
      </c>
      <c r="T6" s="18" t="n">
        <v>8034.41</v>
      </c>
      <c r="U6" s="37" t="n">
        <v>8034.41</v>
      </c>
      <c r="V6" s="18" t="n">
        <v>9327.91</v>
      </c>
      <c r="W6" s="18" t="n">
        <v>6896.98</v>
      </c>
      <c r="X6" s="18" t="n">
        <v>11650.6</v>
      </c>
      <c r="Y6" s="18" t="n">
        <v>7981.82</v>
      </c>
      <c r="Z6" s="37" t="n">
        <v>7981.82</v>
      </c>
      <c r="AA6" s="18" t="n">
        <v>6475</v>
      </c>
      <c r="AB6" s="19" t="n">
        <v>23952.92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9000</v>
      </c>
      <c r="F7" s="37" t="n">
        <v>9000</v>
      </c>
      <c r="G7" s="18" t="n">
        <v>5000</v>
      </c>
      <c r="H7" s="18" t="n">
        <v>2000</v>
      </c>
      <c r="J7" s="18" t="n">
        <v>4963.05</v>
      </c>
      <c r="K7" s="37" t="n">
        <v>4963.05</v>
      </c>
      <c r="L7" s="18" t="n">
        <v>2000</v>
      </c>
      <c r="N7" s="18" t="n">
        <v>1000</v>
      </c>
      <c r="O7" s="18" t="n">
        <v>2978.98</v>
      </c>
      <c r="P7" s="37" t="n">
        <v>2978.98</v>
      </c>
      <c r="Q7" s="18" t="n">
        <v>978.98</v>
      </c>
      <c r="R7" s="18" t="n">
        <v>2000</v>
      </c>
      <c r="S7" s="18" t="n">
        <v>3000</v>
      </c>
      <c r="T7" s="18" t="n">
        <v>2000</v>
      </c>
      <c r="U7" s="37" t="n">
        <v>2000</v>
      </c>
      <c r="V7" s="18" t="n">
        <v>2000</v>
      </c>
      <c r="W7" s="18" t="n">
        <v>2000</v>
      </c>
      <c r="Y7" s="18" t="n">
        <v>4000</v>
      </c>
      <c r="Z7" s="37" t="n">
        <v>4000</v>
      </c>
      <c r="AA7" s="18" t="n">
        <v>4000</v>
      </c>
      <c r="AB7" s="19" t="n">
        <v>0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9000</v>
      </c>
      <c r="F8" s="37" t="n">
        <v>9000</v>
      </c>
      <c r="G8" s="18" t="n">
        <v>5000</v>
      </c>
      <c r="H8" s="18" t="n">
        <v>2000</v>
      </c>
      <c r="J8" s="18" t="n">
        <v>4963.05</v>
      </c>
      <c r="K8" s="37" t="n">
        <v>4963.05</v>
      </c>
      <c r="L8" s="18" t="n">
        <v>2000</v>
      </c>
      <c r="N8" s="18" t="n">
        <v>1000</v>
      </c>
      <c r="O8" s="18" t="n">
        <v>2978.98</v>
      </c>
      <c r="P8" s="37" t="n">
        <v>2978.98</v>
      </c>
      <c r="Q8" s="18" t="n">
        <v>978.98</v>
      </c>
      <c r="R8" s="18" t="n">
        <v>2000</v>
      </c>
      <c r="S8" s="18" t="n">
        <v>3000</v>
      </c>
      <c r="T8" s="18" t="n">
        <v>2000</v>
      </c>
      <c r="U8" s="37" t="n">
        <v>2000</v>
      </c>
      <c r="V8" s="18" t="n">
        <v>2000</v>
      </c>
      <c r="W8" s="18" t="n">
        <v>2000</v>
      </c>
      <c r="Y8" s="18" t="n">
        <v>4000</v>
      </c>
      <c r="Z8" s="37" t="n">
        <v>4000</v>
      </c>
      <c r="AA8" s="18" t="n">
        <v>4000</v>
      </c>
      <c r="AB8" s="19" t="n">
        <v>0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2660.28</v>
      </c>
      <c r="F9" s="37" t="n">
        <v>2660.28</v>
      </c>
      <c r="G9" s="18" t="n">
        <v>2550.09</v>
      </c>
      <c r="H9" s="18" t="n">
        <v>2816.14</v>
      </c>
      <c r="I9" s="18" t="n">
        <v>2199.34</v>
      </c>
      <c r="J9" s="18" t="n">
        <v>1957.9</v>
      </c>
      <c r="K9" s="37" t="n">
        <v>1957.9</v>
      </c>
      <c r="L9" s="18" t="n">
        <v>2127.5</v>
      </c>
      <c r="M9" s="18" t="n">
        <v>2237.19</v>
      </c>
      <c r="N9" s="18" t="n">
        <v>1760.2</v>
      </c>
      <c r="O9" s="18" t="n">
        <v>1725.06</v>
      </c>
      <c r="P9" s="37" t="n">
        <v>1725.06</v>
      </c>
      <c r="Q9" s="18" t="n">
        <v>1913.2</v>
      </c>
      <c r="R9" s="18" t="n">
        <v>3090.92</v>
      </c>
      <c r="S9" s="18" t="n">
        <v>2069.09</v>
      </c>
      <c r="T9" s="18" t="n">
        <v>2310.11</v>
      </c>
      <c r="U9" s="37" t="n">
        <v>2310.11</v>
      </c>
      <c r="V9" s="18" t="n">
        <v>1933.93</v>
      </c>
      <c r="W9" s="18" t="n">
        <v>2583</v>
      </c>
      <c r="X9" s="18" t="n">
        <v>1731.24</v>
      </c>
      <c r="Y9" s="18" t="n">
        <v>2429.74</v>
      </c>
      <c r="Z9" s="37" t="n">
        <v>2429.74</v>
      </c>
      <c r="AA9" s="18" t="n">
        <v>2324.16</v>
      </c>
      <c r="AB9" s="19" t="n">
        <v>2197.83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기타유동금융자산</t>
        </is>
      </c>
      <c r="E10" s="18" t="n">
        <v>102.83</v>
      </c>
      <c r="F10" s="37" t="n">
        <v>102.83</v>
      </c>
      <c r="G10" s="18" t="n">
        <v>227.43</v>
      </c>
      <c r="H10" s="18" t="n">
        <v>202.52</v>
      </c>
      <c r="I10" s="18" t="n">
        <v>69.31</v>
      </c>
      <c r="J10" s="18" t="n">
        <v>223.29</v>
      </c>
      <c r="K10" s="37" t="n">
        <v>223.29</v>
      </c>
      <c r="L10" s="18" t="n">
        <v>99.77</v>
      </c>
      <c r="M10" s="18" t="n">
        <v>77.18000000000001</v>
      </c>
      <c r="N10" s="18" t="n">
        <v>122.9</v>
      </c>
      <c r="O10" s="18" t="n">
        <v>60.68</v>
      </c>
      <c r="P10" s="37" t="n">
        <v>60.68</v>
      </c>
      <c r="Q10" s="18" t="n">
        <v>139.21</v>
      </c>
      <c r="R10" s="18" t="n">
        <v>20.4</v>
      </c>
      <c r="S10" s="18" t="n">
        <v>88.3</v>
      </c>
      <c r="T10" s="18" t="n">
        <v>23.21</v>
      </c>
      <c r="U10" s="37" t="n">
        <v>23.21</v>
      </c>
      <c r="V10" s="18" t="n">
        <v>92.03</v>
      </c>
      <c r="W10" s="18" t="n">
        <v>70.22</v>
      </c>
      <c r="X10" s="18" t="n">
        <v>36.91</v>
      </c>
      <c r="Y10" s="18" t="n">
        <v>35.35</v>
      </c>
      <c r="Z10" s="37" t="n">
        <v>35.35</v>
      </c>
      <c r="AA10" s="18" t="n">
        <v>100.98</v>
      </c>
      <c r="AB10" s="19" t="n">
        <v>170.5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당기법인세자산(선급법인세)</t>
        </is>
      </c>
      <c r="E11" s="18" t="n">
        <v>8.06</v>
      </c>
      <c r="F11" s="37" t="n">
        <v>8.06</v>
      </c>
      <c r="G11" s="18" t="n">
        <v>19.49</v>
      </c>
      <c r="H11" s="18" t="n">
        <v>25.01</v>
      </c>
      <c r="I11" s="18" t="n">
        <v>35.55</v>
      </c>
      <c r="J11" s="18" t="n">
        <v>45.57</v>
      </c>
      <c r="K11" s="37" t="n">
        <v>45.57</v>
      </c>
      <c r="L11" s="18" t="n">
        <v>52.15</v>
      </c>
      <c r="M11" s="18" t="n">
        <v>21.58</v>
      </c>
      <c r="N11" s="18" t="n">
        <v>38.05</v>
      </c>
      <c r="O11" s="18" t="n">
        <v>56.98</v>
      </c>
      <c r="P11" s="37" t="n">
        <v>56.98</v>
      </c>
      <c r="Q11" s="18" t="n">
        <v>69.16</v>
      </c>
      <c r="R11" s="18" t="n">
        <v>28.54</v>
      </c>
      <c r="S11" s="18" t="n">
        <v>38.39</v>
      </c>
      <c r="T11" s="18" t="n">
        <v>52.19</v>
      </c>
      <c r="U11" s="37" t="n">
        <v>52.19</v>
      </c>
      <c r="V11" s="18" t="n">
        <v>64.25</v>
      </c>
      <c r="W11" s="18" t="n">
        <v>18.47</v>
      </c>
      <c r="X11" s="18" t="n">
        <v>33.19</v>
      </c>
      <c r="Y11" s="18" t="n">
        <v>45.76</v>
      </c>
      <c r="Z11" s="37" t="n">
        <v>45.76</v>
      </c>
      <c r="AA11" s="18" t="n">
        <v>51.9</v>
      </c>
      <c r="AB11" s="19" t="n">
        <v>25.9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재고자산</t>
        </is>
      </c>
      <c r="E12" s="18" t="n">
        <v>2291.51</v>
      </c>
      <c r="F12" s="37" t="n">
        <v>2291.51</v>
      </c>
      <c r="G12" s="18" t="n">
        <v>2510.24</v>
      </c>
      <c r="H12" s="18" t="n">
        <v>2722.58</v>
      </c>
      <c r="I12" s="18" t="n">
        <v>3082.17</v>
      </c>
      <c r="J12" s="18" t="n">
        <v>2800.09</v>
      </c>
      <c r="K12" s="37" t="n">
        <v>2800.09</v>
      </c>
      <c r="L12" s="18" t="n">
        <v>2790.66</v>
      </c>
      <c r="M12" s="18" t="n">
        <v>2358.47</v>
      </c>
      <c r="N12" s="18" t="n">
        <v>2557.6</v>
      </c>
      <c r="O12" s="18" t="n">
        <v>2699.73</v>
      </c>
      <c r="P12" s="37" t="n">
        <v>2699.73</v>
      </c>
      <c r="Q12" s="18" t="n">
        <v>3304.5</v>
      </c>
      <c r="R12" s="18" t="n">
        <v>3204.36</v>
      </c>
      <c r="S12" s="18" t="n">
        <v>3276.54</v>
      </c>
      <c r="T12" s="18" t="n">
        <v>2991.65</v>
      </c>
      <c r="U12" s="37" t="n">
        <v>2991.65</v>
      </c>
      <c r="V12" s="18" t="n">
        <v>3305.18</v>
      </c>
      <c r="W12" s="18" t="n">
        <v>3572.72</v>
      </c>
      <c r="X12" s="18" t="n">
        <v>3357.79</v>
      </c>
      <c r="Y12" s="18" t="n">
        <v>2642.49</v>
      </c>
      <c r="Z12" s="37" t="n">
        <v>2642.49</v>
      </c>
      <c r="AA12" s="18" t="n">
        <v>2943.44</v>
      </c>
      <c r="AB12" s="19" t="n">
        <v>2624.69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기타유동자산</t>
        </is>
      </c>
      <c r="E13" s="18" t="n">
        <v>9.93</v>
      </c>
      <c r="F13" s="37" t="n">
        <v>9.93</v>
      </c>
      <c r="G13" s="18" t="n">
        <v>6.89</v>
      </c>
      <c r="H13" s="18" t="n">
        <v>2.64</v>
      </c>
      <c r="I13" s="18" t="n">
        <v>7.74</v>
      </c>
      <c r="J13" s="18" t="n">
        <v>5.53</v>
      </c>
      <c r="K13" s="37" t="n">
        <v>5.53</v>
      </c>
      <c r="L13" s="18" t="n">
        <v>5.54</v>
      </c>
      <c r="M13" s="18" t="n">
        <v>9.52</v>
      </c>
      <c r="N13" s="18" t="n">
        <v>11.39</v>
      </c>
      <c r="O13" s="18" t="n">
        <v>71.92</v>
      </c>
      <c r="P13" s="37" t="n">
        <v>71.92</v>
      </c>
      <c r="Q13" s="18" t="n">
        <v>40.29</v>
      </c>
      <c r="R13" s="18" t="n">
        <v>8.109999999999999</v>
      </c>
      <c r="S13" s="18" t="n">
        <v>24.36</v>
      </c>
      <c r="T13" s="18" t="n">
        <v>5.72</v>
      </c>
      <c r="U13" s="37" t="n">
        <v>5.72</v>
      </c>
      <c r="V13" s="18" t="n">
        <v>5.54</v>
      </c>
      <c r="W13" s="18" t="n">
        <v>1.95</v>
      </c>
      <c r="X13" s="18" t="n">
        <v>18.71</v>
      </c>
      <c r="Y13" s="18" t="n">
        <v>28.08</v>
      </c>
      <c r="Z13" s="37" t="n">
        <v>28.08</v>
      </c>
      <c r="AA13" s="18" t="n">
        <v>36.05</v>
      </c>
      <c r="AB13" s="19" t="n">
        <v>1095.28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비유동자산</t>
        </is>
      </c>
      <c r="E14" s="18" t="n">
        <v>26611.38</v>
      </c>
      <c r="F14" s="37" t="n">
        <v>26611.38</v>
      </c>
      <c r="G14" s="18" t="n">
        <v>27882.98</v>
      </c>
      <c r="H14" s="18" t="n">
        <v>23551.82</v>
      </c>
      <c r="I14" s="18" t="n">
        <v>25005.63</v>
      </c>
      <c r="J14" s="18" t="n">
        <v>24807.71</v>
      </c>
      <c r="K14" s="37" t="n">
        <v>24807.71</v>
      </c>
      <c r="L14" s="18" t="n">
        <v>24553.29</v>
      </c>
      <c r="M14" s="18" t="n">
        <v>24304.1</v>
      </c>
      <c r="N14" s="18" t="n">
        <v>24214.22</v>
      </c>
      <c r="O14" s="18" t="n">
        <v>24128.15</v>
      </c>
      <c r="P14" s="37" t="n">
        <v>24128.15</v>
      </c>
      <c r="Q14" s="18" t="n">
        <v>23884</v>
      </c>
      <c r="R14" s="18" t="n">
        <v>23690</v>
      </c>
      <c r="S14" s="18" t="n">
        <v>24027.86</v>
      </c>
      <c r="T14" s="18" t="n">
        <v>23768.43</v>
      </c>
      <c r="U14" s="37" t="n">
        <v>23768.43</v>
      </c>
      <c r="V14" s="18" t="n">
        <v>23508.27</v>
      </c>
      <c r="W14" s="18" t="n">
        <v>23253.78</v>
      </c>
      <c r="X14" s="18" t="n">
        <v>23019.9</v>
      </c>
      <c r="Y14" s="18" t="n">
        <v>22773.69</v>
      </c>
      <c r="Z14" s="37" t="n">
        <v>22773.69</v>
      </c>
      <c r="AA14" s="18" t="n">
        <v>23840.49</v>
      </c>
      <c r="AB14" s="19" t="n">
        <v>28816.3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투자부동산</t>
        </is>
      </c>
      <c r="E15" s="18" t="n">
        <v>4742.85</v>
      </c>
      <c r="F15" s="37" t="n">
        <v>4742.85</v>
      </c>
      <c r="G15" s="18" t="n">
        <v>4714.71</v>
      </c>
      <c r="K15" s="9" t="n"/>
      <c r="P15" s="9" t="n"/>
      <c r="U15" s="9" t="n"/>
      <c r="Z15" s="9" t="n"/>
      <c r="AB15" s="5" t="n"/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유형자산</t>
        </is>
      </c>
      <c r="E16" s="18" t="n">
        <v>21808.03</v>
      </c>
      <c r="F16" s="37" t="n">
        <v>21808.03</v>
      </c>
      <c r="G16" s="18" t="n">
        <v>23115.83</v>
      </c>
      <c r="H16" s="18" t="n">
        <v>23493.99</v>
      </c>
      <c r="I16" s="18" t="n">
        <v>24949.87</v>
      </c>
      <c r="J16" s="18" t="n">
        <v>24754</v>
      </c>
      <c r="K16" s="37" t="n">
        <v>24754</v>
      </c>
      <c r="L16" s="18" t="n">
        <v>24501.64</v>
      </c>
      <c r="M16" s="18" t="n">
        <v>24262.43</v>
      </c>
      <c r="N16" s="18" t="n">
        <v>24174.71</v>
      </c>
      <c r="O16" s="18" t="n">
        <v>24083.02</v>
      </c>
      <c r="P16" s="37" t="n">
        <v>24083.02</v>
      </c>
      <c r="Q16" s="18" t="n">
        <v>23840.87</v>
      </c>
      <c r="R16" s="18" t="n">
        <v>23648.86</v>
      </c>
      <c r="S16" s="18" t="n">
        <v>23988.7</v>
      </c>
      <c r="T16" s="18" t="n">
        <v>23731.25</v>
      </c>
      <c r="U16" s="37" t="n">
        <v>23731.25</v>
      </c>
      <c r="V16" s="18" t="n">
        <v>23473.07</v>
      </c>
      <c r="W16" s="18" t="n">
        <v>23220.07</v>
      </c>
      <c r="X16" s="18" t="n">
        <v>22986.73</v>
      </c>
      <c r="Y16" s="18" t="n">
        <v>22726.69</v>
      </c>
      <c r="Z16" s="37" t="n">
        <v>22726.69</v>
      </c>
      <c r="AA16" s="18" t="n">
        <v>23793.64</v>
      </c>
      <c r="AB16" s="19" t="n">
        <v>24920.58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무형자산</t>
        </is>
      </c>
      <c r="E17" s="18" t="n">
        <v>32.46</v>
      </c>
      <c r="F17" s="37" t="n">
        <v>32.46</v>
      </c>
      <c r="G17" s="18" t="n">
        <v>24.32</v>
      </c>
      <c r="H17" s="18" t="n">
        <v>29.6</v>
      </c>
      <c r="I17" s="18" t="n">
        <v>27.45</v>
      </c>
      <c r="J17" s="18" t="n">
        <v>25.29</v>
      </c>
      <c r="K17" s="37" t="n">
        <v>25.29</v>
      </c>
      <c r="L17" s="18" t="n">
        <v>23.13</v>
      </c>
      <c r="M17" s="18" t="n">
        <v>20.97</v>
      </c>
      <c r="N17" s="18" t="n">
        <v>18.81</v>
      </c>
      <c r="O17" s="18" t="n">
        <v>16.65</v>
      </c>
      <c r="P17" s="37" t="n">
        <v>16.65</v>
      </c>
      <c r="Q17" s="18" t="n">
        <v>14.49</v>
      </c>
      <c r="R17" s="18" t="n">
        <v>12.33</v>
      </c>
      <c r="S17" s="18" t="n">
        <v>10.17</v>
      </c>
      <c r="T17" s="18" t="n">
        <v>8.02</v>
      </c>
      <c r="U17" s="37" t="n">
        <v>8.02</v>
      </c>
      <c r="V17" s="18" t="n">
        <v>5.86</v>
      </c>
      <c r="W17" s="18" t="n">
        <v>4.18</v>
      </c>
      <c r="X17" s="18" t="n">
        <v>3.46</v>
      </c>
      <c r="Y17" s="18" t="n">
        <v>2.99</v>
      </c>
      <c r="Z17" s="37" t="n">
        <v>2.99</v>
      </c>
      <c r="AA17" s="18" t="n">
        <v>2.65</v>
      </c>
      <c r="AB17" s="19" t="n">
        <v>2.33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장기금융자산</t>
        </is>
      </c>
      <c r="E18" s="18" t="n">
        <v>28.03</v>
      </c>
      <c r="F18" s="37" t="n">
        <v>28.03</v>
      </c>
      <c r="G18" s="18" t="n">
        <v>28.12</v>
      </c>
      <c r="H18" s="18" t="n">
        <v>28.22</v>
      </c>
      <c r="I18" s="18" t="n">
        <v>28.32</v>
      </c>
      <c r="J18" s="18" t="n">
        <v>28.42</v>
      </c>
      <c r="K18" s="37" t="n">
        <v>28.42</v>
      </c>
      <c r="L18" s="18" t="n">
        <v>28.52</v>
      </c>
      <c r="M18" s="18" t="n">
        <v>20.7</v>
      </c>
      <c r="N18" s="18" t="n">
        <v>20.7</v>
      </c>
      <c r="O18" s="18" t="n">
        <v>28.48</v>
      </c>
      <c r="P18" s="37" t="n">
        <v>28.48</v>
      </c>
      <c r="Q18" s="18" t="n">
        <v>28.64</v>
      </c>
      <c r="R18" s="18" t="n">
        <v>28.81</v>
      </c>
      <c r="S18" s="18" t="n">
        <v>28.98</v>
      </c>
      <c r="T18" s="18" t="n">
        <v>29.16</v>
      </c>
      <c r="U18" s="37" t="n">
        <v>29.16</v>
      </c>
      <c r="V18" s="18" t="n">
        <v>29.34</v>
      </c>
      <c r="W18" s="18" t="n">
        <v>29.52</v>
      </c>
      <c r="X18" s="18" t="n">
        <v>29.71</v>
      </c>
      <c r="Y18" s="18" t="n">
        <v>44</v>
      </c>
      <c r="Z18" s="37" t="n">
        <v>44</v>
      </c>
      <c r="AA18" s="18" t="n">
        <v>41.78</v>
      </c>
      <c r="AB18" s="19" t="n">
        <v>81.81999999999999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투자자산</t>
        </is>
      </c>
      <c r="E19" s="18" t="n">
        <v>28.03</v>
      </c>
      <c r="F19" s="37" t="n">
        <v>28.03</v>
      </c>
      <c r="G19" s="18" t="n">
        <v>28.12</v>
      </c>
      <c r="H19" s="18" t="n">
        <v>28.22</v>
      </c>
      <c r="I19" s="18" t="n">
        <v>28.32</v>
      </c>
      <c r="J19" s="18" t="n">
        <v>28.42</v>
      </c>
      <c r="K19" s="37" t="n">
        <v>28.42</v>
      </c>
      <c r="L19" s="18" t="n">
        <v>28.52</v>
      </c>
      <c r="M19" s="18" t="n">
        <v>20.7</v>
      </c>
      <c r="N19" s="18" t="n">
        <v>20.7</v>
      </c>
      <c r="O19" s="18" t="n">
        <v>28.48</v>
      </c>
      <c r="P19" s="37" t="n">
        <v>28.48</v>
      </c>
      <c r="Q19" s="18" t="n">
        <v>28.64</v>
      </c>
      <c r="R19" s="18" t="n">
        <v>28.81</v>
      </c>
      <c r="S19" s="18" t="n">
        <v>28.98</v>
      </c>
      <c r="T19" s="18" t="n">
        <v>29.16</v>
      </c>
      <c r="U19" s="37" t="n">
        <v>29.16</v>
      </c>
      <c r="V19" s="18" t="n">
        <v>29.34</v>
      </c>
      <c r="W19" s="18" t="n">
        <v>29.52</v>
      </c>
      <c r="X19" s="18" t="n">
        <v>29.71</v>
      </c>
      <c r="Y19" s="18" t="n">
        <v>44</v>
      </c>
      <c r="Z19" s="37" t="n">
        <v>44</v>
      </c>
      <c r="AA19" s="18" t="n">
        <v>41.78</v>
      </c>
      <c r="AB19" s="19" t="n">
        <v>3890.96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자산총계</t>
        </is>
      </c>
      <c r="E20" s="18" t="n">
        <v>49970.09</v>
      </c>
      <c r="F20" s="37" t="n">
        <v>49970.09</v>
      </c>
      <c r="G20" s="18" t="n">
        <v>49645.85</v>
      </c>
      <c r="H20" s="18" t="n">
        <v>44754.97</v>
      </c>
      <c r="I20" s="18" t="n">
        <v>44989.8</v>
      </c>
      <c r="J20" s="18" t="n">
        <v>44359.66</v>
      </c>
      <c r="K20" s="37" t="n">
        <v>44359.66</v>
      </c>
      <c r="L20" s="18" t="n">
        <v>44683.3</v>
      </c>
      <c r="M20" s="18" t="n">
        <v>43993.18</v>
      </c>
      <c r="N20" s="18" t="n">
        <v>44020.14</v>
      </c>
      <c r="O20" s="18" t="n">
        <v>43653.93</v>
      </c>
      <c r="P20" s="37" t="n">
        <v>43653.93</v>
      </c>
      <c r="Q20" s="18" t="n">
        <v>43860.58</v>
      </c>
      <c r="R20" s="18" t="n">
        <v>43783.42</v>
      </c>
      <c r="S20" s="18" t="n">
        <v>42415.64</v>
      </c>
      <c r="T20" s="18" t="n">
        <v>42232.17</v>
      </c>
      <c r="U20" s="37" t="n">
        <v>42232.17</v>
      </c>
      <c r="V20" s="18" t="n">
        <v>42293.19</v>
      </c>
      <c r="W20" s="18" t="n">
        <v>43129.29</v>
      </c>
      <c r="X20" s="18" t="n">
        <v>43068.55</v>
      </c>
      <c r="Y20" s="18" t="n">
        <v>43062.41</v>
      </c>
      <c r="Z20" s="37" t="n">
        <v>43062.41</v>
      </c>
      <c r="AA20" s="18" t="n">
        <v>42712.29</v>
      </c>
      <c r="AB20" s="19" t="n">
        <v>61245.26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유동부채</t>
        </is>
      </c>
      <c r="E21" s="18" t="n">
        <v>7617.98</v>
      </c>
      <c r="F21" s="37" t="n">
        <v>7617.98</v>
      </c>
      <c r="G21" s="18" t="n">
        <v>7364.76</v>
      </c>
      <c r="H21" s="18" t="n">
        <v>2714.78</v>
      </c>
      <c r="I21" s="18" t="n">
        <v>2728.75</v>
      </c>
      <c r="J21" s="18" t="n">
        <v>2393.91</v>
      </c>
      <c r="K21" s="37" t="n">
        <v>2393.91</v>
      </c>
      <c r="L21" s="18" t="n">
        <v>2264.43</v>
      </c>
      <c r="M21" s="18" t="n">
        <v>1763.79</v>
      </c>
      <c r="N21" s="18" t="n">
        <v>2363.64</v>
      </c>
      <c r="O21" s="18" t="n">
        <v>2262.3</v>
      </c>
      <c r="P21" s="37" t="n">
        <v>2262.3</v>
      </c>
      <c r="Q21" s="18" t="n">
        <v>2541.81</v>
      </c>
      <c r="R21" s="18" t="n">
        <v>2538.05</v>
      </c>
      <c r="S21" s="18" t="n">
        <v>1989.24</v>
      </c>
      <c r="T21" s="18" t="n">
        <v>2006.63</v>
      </c>
      <c r="U21" s="37" t="n">
        <v>2006.63</v>
      </c>
      <c r="V21" s="18" t="n">
        <v>2257.45</v>
      </c>
      <c r="W21" s="18" t="n">
        <v>2382.1</v>
      </c>
      <c r="X21" s="18" t="n">
        <v>2234.79</v>
      </c>
      <c r="Y21" s="18" t="n">
        <v>2405.65</v>
      </c>
      <c r="Z21" s="37" t="n">
        <v>2405.65</v>
      </c>
      <c r="AA21" s="18" t="n">
        <v>2325.11</v>
      </c>
      <c r="AB21" s="19" t="n">
        <v>19747.26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매입채무및기타채무</t>
        </is>
      </c>
      <c r="E22" s="18" t="n">
        <v>1813.45</v>
      </c>
      <c r="F22" s="37" t="n">
        <v>1813.45</v>
      </c>
      <c r="G22" s="18" t="n">
        <v>1580.78</v>
      </c>
      <c r="H22" s="18" t="n">
        <v>1854.74</v>
      </c>
      <c r="I22" s="18" t="n">
        <v>1444.31</v>
      </c>
      <c r="J22" s="18" t="n">
        <v>1255.62</v>
      </c>
      <c r="K22" s="37" t="n">
        <v>1255.62</v>
      </c>
      <c r="L22" s="18" t="n">
        <v>1462</v>
      </c>
      <c r="M22" s="18" t="n">
        <v>1111.66</v>
      </c>
      <c r="N22" s="18" t="n">
        <v>1636.88</v>
      </c>
      <c r="O22" s="18" t="n">
        <v>1523.62</v>
      </c>
      <c r="P22" s="37" t="n">
        <v>1523.62</v>
      </c>
      <c r="Q22" s="18" t="n">
        <v>1865.08</v>
      </c>
      <c r="R22" s="18" t="n">
        <v>1706.67</v>
      </c>
      <c r="S22" s="18" t="n">
        <v>1264.09</v>
      </c>
      <c r="T22" s="18" t="n">
        <v>1315.47</v>
      </c>
      <c r="U22" s="37" t="n">
        <v>1315.47</v>
      </c>
      <c r="V22" s="18" t="n">
        <v>1479.26</v>
      </c>
      <c r="W22" s="18" t="n">
        <v>1708.13</v>
      </c>
      <c r="X22" s="18" t="n">
        <v>1449.68</v>
      </c>
      <c r="Y22" s="18" t="n">
        <v>1539.6</v>
      </c>
      <c r="Z22" s="37" t="n">
        <v>1539.6</v>
      </c>
      <c r="AA22" s="18" t="n">
        <v>1469.57</v>
      </c>
      <c r="AB22" s="19" t="n">
        <v>1239.02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기타유동금융부채</t>
        </is>
      </c>
      <c r="E23" s="18" t="n">
        <v>709.77</v>
      </c>
      <c r="F23" s="37" t="n">
        <v>709.77</v>
      </c>
      <c r="G23" s="18" t="n">
        <v>687.7</v>
      </c>
      <c r="H23" s="18" t="n">
        <v>587.67</v>
      </c>
      <c r="I23" s="18" t="n">
        <v>500.3</v>
      </c>
      <c r="J23" s="18" t="n">
        <v>535.91</v>
      </c>
      <c r="K23" s="37" t="n">
        <v>535.91</v>
      </c>
      <c r="L23" s="18" t="n">
        <v>704.23</v>
      </c>
      <c r="M23" s="18" t="n">
        <v>539.5</v>
      </c>
      <c r="N23" s="18" t="n">
        <v>612.1799999999999</v>
      </c>
      <c r="O23" s="18" t="n">
        <v>543.9</v>
      </c>
      <c r="P23" s="37" t="n">
        <v>543.9</v>
      </c>
      <c r="Q23" s="18" t="n">
        <v>526.09</v>
      </c>
      <c r="R23" s="18" t="n">
        <v>700.21</v>
      </c>
      <c r="S23" s="18" t="n">
        <v>486.05</v>
      </c>
      <c r="T23" s="18" t="n">
        <v>579.99</v>
      </c>
      <c r="U23" s="37" t="n">
        <v>579.99</v>
      </c>
      <c r="V23" s="18" t="n">
        <v>516.9400000000001</v>
      </c>
      <c r="W23" s="18" t="n">
        <v>483.4</v>
      </c>
      <c r="X23" s="18" t="n">
        <v>554.72</v>
      </c>
      <c r="Y23" s="18" t="n">
        <v>561.4299999999999</v>
      </c>
      <c r="Z23" s="37" t="n">
        <v>561.4299999999999</v>
      </c>
      <c r="AA23" s="18" t="n">
        <v>597.96</v>
      </c>
      <c r="AB23" s="19" t="n">
        <v>755.97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단기금융부채</t>
        </is>
      </c>
      <c r="E24" s="18" t="n">
        <v>709.77</v>
      </c>
      <c r="F24" s="37" t="n">
        <v>709.77</v>
      </c>
      <c r="G24" s="18" t="n">
        <v>687.7</v>
      </c>
      <c r="H24" s="18" t="n">
        <v>587.67</v>
      </c>
      <c r="I24" s="18" t="n">
        <v>500.3</v>
      </c>
      <c r="J24" s="18" t="n">
        <v>535.91</v>
      </c>
      <c r="K24" s="37" t="n">
        <v>535.91</v>
      </c>
      <c r="L24" s="18" t="n">
        <v>704.23</v>
      </c>
      <c r="M24" s="18" t="n">
        <v>539.5</v>
      </c>
      <c r="N24" s="18" t="n">
        <v>612.1799999999999</v>
      </c>
      <c r="O24" s="18" t="n">
        <v>543.9</v>
      </c>
      <c r="P24" s="37" t="n">
        <v>543.9</v>
      </c>
      <c r="Q24" s="18" t="n">
        <v>526.09</v>
      </c>
      <c r="R24" s="18" t="n">
        <v>700.21</v>
      </c>
      <c r="S24" s="18" t="n">
        <v>486.05</v>
      </c>
      <c r="T24" s="18" t="n">
        <v>579.99</v>
      </c>
      <c r="U24" s="37" t="n">
        <v>579.99</v>
      </c>
      <c r="V24" s="18" t="n">
        <v>516.9400000000001</v>
      </c>
      <c r="W24" s="18" t="n">
        <v>483.4</v>
      </c>
      <c r="X24" s="18" t="n">
        <v>554.72</v>
      </c>
      <c r="Y24" s="18" t="n">
        <v>561.4299999999999</v>
      </c>
      <c r="Z24" s="37" t="n">
        <v>561.4299999999999</v>
      </c>
      <c r="AA24" s="18" t="n">
        <v>597.96</v>
      </c>
      <c r="AB24" s="19" t="n">
        <v>6546.19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유동성장기부채</t>
        </is>
      </c>
      <c r="E25" s="18" t="n">
        <v>5000</v>
      </c>
      <c r="F25" s="37" t="n">
        <v>5000</v>
      </c>
      <c r="G25" s="18" t="n">
        <v>5000</v>
      </c>
      <c r="K25" s="9" t="n"/>
      <c r="P25" s="9" t="n"/>
      <c r="U25" s="9" t="n"/>
      <c r="Z25" s="9" t="n"/>
      <c r="AB25" s="19" t="n">
        <v>11551.82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기타유동부채</t>
        </is>
      </c>
      <c r="E26" s="18" t="n">
        <v>55.66</v>
      </c>
      <c r="F26" s="37" t="n">
        <v>55.66</v>
      </c>
      <c r="G26" s="18" t="n">
        <v>54.04</v>
      </c>
      <c r="H26" s="18" t="n">
        <v>81.02</v>
      </c>
      <c r="I26" s="18" t="n">
        <v>593.4</v>
      </c>
      <c r="J26" s="18" t="n">
        <v>562.47</v>
      </c>
      <c r="K26" s="37" t="n">
        <v>562.47</v>
      </c>
      <c r="L26" s="18" t="n">
        <v>55.6</v>
      </c>
      <c r="M26" s="18" t="n">
        <v>67.97</v>
      </c>
      <c r="N26" s="18" t="n">
        <v>77.26000000000001</v>
      </c>
      <c r="O26" s="18" t="n">
        <v>158.3</v>
      </c>
      <c r="P26" s="37" t="n">
        <v>158.3</v>
      </c>
      <c r="Q26" s="18" t="n">
        <v>114.56</v>
      </c>
      <c r="R26" s="18" t="n">
        <v>93.19</v>
      </c>
      <c r="S26" s="18" t="n">
        <v>207.2</v>
      </c>
      <c r="T26" s="18" t="n">
        <v>78.38</v>
      </c>
      <c r="U26" s="37" t="n">
        <v>78.38</v>
      </c>
      <c r="V26" s="18" t="n">
        <v>231.76</v>
      </c>
      <c r="W26" s="18" t="n">
        <v>160.83</v>
      </c>
      <c r="X26" s="18" t="n">
        <v>198.36</v>
      </c>
      <c r="Y26" s="18" t="n">
        <v>268.02</v>
      </c>
      <c r="Z26" s="37" t="n">
        <v>268.02</v>
      </c>
      <c r="AA26" s="18" t="n">
        <v>224.73</v>
      </c>
      <c r="AB26" s="19" t="n">
        <v>377.74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단기충당부채</t>
        </is>
      </c>
      <c r="E27" s="18" t="n">
        <v>39.11</v>
      </c>
      <c r="F27" s="37" t="n">
        <v>39.11</v>
      </c>
      <c r="G27" s="18" t="n">
        <v>42.24</v>
      </c>
      <c r="H27" s="18" t="n">
        <v>41.36</v>
      </c>
      <c r="I27" s="18" t="n">
        <v>40.74</v>
      </c>
      <c r="J27" s="18" t="n">
        <v>39.92</v>
      </c>
      <c r="K27" s="37" t="n">
        <v>39.92</v>
      </c>
      <c r="L27" s="18" t="n">
        <v>42.59</v>
      </c>
      <c r="M27" s="18" t="n">
        <v>44.66</v>
      </c>
      <c r="N27" s="18" t="n">
        <v>37.33</v>
      </c>
      <c r="O27" s="18" t="n">
        <v>36.49</v>
      </c>
      <c r="P27" s="37" t="n">
        <v>36.49</v>
      </c>
      <c r="Q27" s="18" t="n">
        <v>36.09</v>
      </c>
      <c r="R27" s="18" t="n">
        <v>37.99</v>
      </c>
      <c r="S27" s="18" t="n">
        <v>31.9</v>
      </c>
      <c r="T27" s="18" t="n">
        <v>32.8</v>
      </c>
      <c r="U27" s="37" t="n">
        <v>32.8</v>
      </c>
      <c r="V27" s="18" t="n">
        <v>29.49</v>
      </c>
      <c r="W27" s="18" t="n">
        <v>29.74</v>
      </c>
      <c r="X27" s="18" t="n">
        <v>32.02</v>
      </c>
      <c r="Y27" s="18" t="n">
        <v>36.61</v>
      </c>
      <c r="Z27" s="37" t="n">
        <v>36.61</v>
      </c>
      <c r="AA27" s="18" t="n">
        <v>32.85</v>
      </c>
      <c r="AB27" s="19" t="n">
        <v>32.5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비유동부채</t>
        </is>
      </c>
      <c r="E28" s="18" t="n">
        <v>1428.01</v>
      </c>
      <c r="F28" s="37" t="n">
        <v>1428.01</v>
      </c>
      <c r="G28" s="18" t="n">
        <v>1407.72</v>
      </c>
      <c r="H28" s="18" t="n">
        <v>1398.48</v>
      </c>
      <c r="I28" s="18" t="n">
        <v>1398.76</v>
      </c>
      <c r="J28" s="18" t="n">
        <v>1296.01</v>
      </c>
      <c r="K28" s="37" t="n">
        <v>1296.01</v>
      </c>
      <c r="L28" s="18" t="n">
        <v>1344.44</v>
      </c>
      <c r="M28" s="18" t="n">
        <v>1422.21</v>
      </c>
      <c r="N28" s="18" t="n">
        <v>1422.79</v>
      </c>
      <c r="O28" s="18" t="n">
        <v>1501.4</v>
      </c>
      <c r="P28" s="37" t="n">
        <v>1501.4</v>
      </c>
      <c r="Q28" s="18" t="n">
        <v>1607.18</v>
      </c>
      <c r="R28" s="18" t="n">
        <v>1545.9</v>
      </c>
      <c r="S28" s="18" t="n">
        <v>776.05</v>
      </c>
      <c r="T28" s="18" t="n">
        <v>757.24</v>
      </c>
      <c r="U28" s="37" t="n">
        <v>757.24</v>
      </c>
      <c r="V28" s="18" t="n">
        <v>785.98</v>
      </c>
      <c r="W28" s="18" t="n">
        <v>899.78</v>
      </c>
      <c r="X28" s="18" t="n">
        <v>941.72</v>
      </c>
      <c r="Y28" s="18" t="n">
        <v>1012</v>
      </c>
      <c r="Z28" s="37" t="n">
        <v>1012</v>
      </c>
      <c r="AA28" s="18" t="n">
        <v>1017.48</v>
      </c>
      <c r="AB28" s="19" t="n">
        <v>838.65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확정급여부채</t>
        </is>
      </c>
      <c r="E29" s="18" t="n">
        <v>760.15</v>
      </c>
      <c r="F29" s="37" t="n">
        <v>760.15</v>
      </c>
      <c r="G29" s="18" t="n">
        <v>742.35</v>
      </c>
      <c r="H29" s="18" t="n">
        <v>734.22</v>
      </c>
      <c r="I29" s="18" t="n">
        <v>735.33</v>
      </c>
      <c r="J29" s="18" t="n">
        <v>673.88</v>
      </c>
      <c r="K29" s="37" t="n">
        <v>673.88</v>
      </c>
      <c r="L29" s="18" t="n">
        <v>723.84</v>
      </c>
      <c r="M29" s="18" t="n">
        <v>720.75</v>
      </c>
      <c r="N29" s="18" t="n">
        <v>721.3200000000001</v>
      </c>
      <c r="O29" s="18" t="n">
        <v>778.78</v>
      </c>
      <c r="P29" s="37" t="n">
        <v>778.78</v>
      </c>
      <c r="Q29" s="18" t="n">
        <v>886.2</v>
      </c>
      <c r="R29" s="18" t="n">
        <v>826.6</v>
      </c>
      <c r="S29" s="18" t="n">
        <v>58.47</v>
      </c>
      <c r="T29" s="18" t="n">
        <v>41.4</v>
      </c>
      <c r="U29" s="37" t="n">
        <v>41.4</v>
      </c>
      <c r="V29" s="18" t="n">
        <v>71.93000000000001</v>
      </c>
      <c r="W29" s="18" t="n">
        <v>187.51</v>
      </c>
      <c r="X29" s="18" t="n">
        <v>231.35</v>
      </c>
      <c r="Y29" s="18" t="n">
        <v>266.62</v>
      </c>
      <c r="Z29" s="37" t="n">
        <v>266.62</v>
      </c>
      <c r="AA29" s="18" t="n">
        <v>274.04</v>
      </c>
      <c r="AB29" s="19" t="n">
        <v>72.2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기타비유동금융부채</t>
        </is>
      </c>
      <c r="E30" s="18" t="n">
        <v>2.42</v>
      </c>
      <c r="F30" s="37" t="n">
        <v>2.42</v>
      </c>
      <c r="G30" s="18" t="n">
        <v>0.79</v>
      </c>
      <c r="K30" s="9" t="n"/>
      <c r="O30" s="18" t="n">
        <v>21.16</v>
      </c>
      <c r="P30" s="37" t="n">
        <v>21.16</v>
      </c>
      <c r="Q30" s="18" t="n">
        <v>19.52</v>
      </c>
      <c r="R30" s="18" t="n">
        <v>17.84</v>
      </c>
      <c r="S30" s="18" t="n">
        <v>16.12</v>
      </c>
      <c r="T30" s="18" t="n">
        <v>14.37</v>
      </c>
      <c r="U30" s="37" t="n">
        <v>14.37</v>
      </c>
      <c r="V30" s="18" t="n">
        <v>12.59</v>
      </c>
      <c r="W30" s="18" t="n">
        <v>10.8</v>
      </c>
      <c r="X30" s="18" t="n">
        <v>8.9</v>
      </c>
      <c r="Y30" s="18" t="n">
        <v>7</v>
      </c>
      <c r="Z30" s="37" t="n">
        <v>7</v>
      </c>
      <c r="AA30" s="18" t="n">
        <v>5.05</v>
      </c>
      <c r="AB30" s="19" t="n">
        <v>28.07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장기금융부채</t>
        </is>
      </c>
      <c r="E31" s="18" t="n">
        <v>2.42</v>
      </c>
      <c r="F31" s="37" t="n">
        <v>2.42</v>
      </c>
      <c r="G31" s="18" t="n">
        <v>0.79</v>
      </c>
      <c r="K31" s="9" t="n"/>
      <c r="O31" s="18" t="n">
        <v>21.16</v>
      </c>
      <c r="P31" s="37" t="n">
        <v>21.16</v>
      </c>
      <c r="Q31" s="18" t="n">
        <v>19.52</v>
      </c>
      <c r="R31" s="18" t="n">
        <v>17.84</v>
      </c>
      <c r="S31" s="18" t="n">
        <v>16.12</v>
      </c>
      <c r="T31" s="18" t="n">
        <v>14.37</v>
      </c>
      <c r="U31" s="37" t="n">
        <v>14.37</v>
      </c>
      <c r="V31" s="18" t="n">
        <v>12.59</v>
      </c>
      <c r="W31" s="18" t="n">
        <v>10.8</v>
      </c>
      <c r="X31" s="18" t="n">
        <v>8.9</v>
      </c>
      <c r="Y31" s="18" t="n">
        <v>7</v>
      </c>
      <c r="Z31" s="37" t="n">
        <v>7</v>
      </c>
      <c r="AA31" s="18" t="n">
        <v>5.05</v>
      </c>
      <c r="AB31" s="19" t="n">
        <v>28.07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이연법인세부채</t>
        </is>
      </c>
      <c r="E32" s="18" t="n">
        <v>738.38</v>
      </c>
      <c r="F32" s="37" t="n">
        <v>738.38</v>
      </c>
      <c r="G32" s="18" t="n">
        <v>738.38</v>
      </c>
      <c r="H32" s="18" t="n">
        <v>738.38</v>
      </c>
      <c r="I32" s="18" t="n">
        <v>738.38</v>
      </c>
      <c r="J32" s="18" t="n">
        <v>704.8200000000001</v>
      </c>
      <c r="K32" s="37" t="n">
        <v>704.8200000000001</v>
      </c>
      <c r="L32" s="18" t="n">
        <v>704.8200000000001</v>
      </c>
      <c r="M32" s="18" t="n">
        <v>701.46</v>
      </c>
      <c r="N32" s="18" t="n">
        <v>701.46</v>
      </c>
      <c r="O32" s="18" t="n">
        <v>701.46</v>
      </c>
      <c r="P32" s="37" t="n">
        <v>701.46</v>
      </c>
      <c r="Q32" s="18" t="n">
        <v>701.46</v>
      </c>
      <c r="R32" s="18" t="n">
        <v>701.46</v>
      </c>
      <c r="S32" s="18" t="n">
        <v>701.46</v>
      </c>
      <c r="T32" s="18" t="n">
        <v>701.46</v>
      </c>
      <c r="U32" s="37" t="n">
        <v>701.46</v>
      </c>
      <c r="V32" s="18" t="n">
        <v>701.46</v>
      </c>
      <c r="W32" s="18" t="n">
        <v>701.46</v>
      </c>
      <c r="X32" s="18" t="n">
        <v>701.46</v>
      </c>
      <c r="Y32" s="18" t="n">
        <v>738.38</v>
      </c>
      <c r="Z32" s="37" t="n">
        <v>738.38</v>
      </c>
      <c r="AA32" s="18" t="n">
        <v>738.38</v>
      </c>
      <c r="AB32" s="19" t="n">
        <v>738.38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부채총계</t>
        </is>
      </c>
      <c r="E33" s="18" t="n">
        <v>9045.99</v>
      </c>
      <c r="F33" s="37" t="n">
        <v>9045.99</v>
      </c>
      <c r="G33" s="18" t="n">
        <v>8772.469999999999</v>
      </c>
      <c r="H33" s="18" t="n">
        <v>4113.25</v>
      </c>
      <c r="I33" s="18" t="n">
        <v>4127.5</v>
      </c>
      <c r="J33" s="18" t="n">
        <v>3689.92</v>
      </c>
      <c r="K33" s="37" t="n">
        <v>3689.92</v>
      </c>
      <c r="L33" s="18" t="n">
        <v>3608.87</v>
      </c>
      <c r="M33" s="18" t="n">
        <v>3186</v>
      </c>
      <c r="N33" s="18" t="n">
        <v>3786.43</v>
      </c>
      <c r="O33" s="18" t="n">
        <v>3763.7</v>
      </c>
      <c r="P33" s="37" t="n">
        <v>3763.7</v>
      </c>
      <c r="Q33" s="18" t="n">
        <v>4148.99</v>
      </c>
      <c r="R33" s="18" t="n">
        <v>4083.95</v>
      </c>
      <c r="S33" s="18" t="n">
        <v>2765.29</v>
      </c>
      <c r="T33" s="18" t="n">
        <v>2763.87</v>
      </c>
      <c r="U33" s="37" t="n">
        <v>2763.87</v>
      </c>
      <c r="V33" s="18" t="n">
        <v>3043.43</v>
      </c>
      <c r="W33" s="18" t="n">
        <v>3281.88</v>
      </c>
      <c r="X33" s="18" t="n">
        <v>3176.51</v>
      </c>
      <c r="Y33" s="18" t="n">
        <v>3417.65</v>
      </c>
      <c r="Z33" s="37" t="n">
        <v>3417.65</v>
      </c>
      <c r="AA33" s="18" t="n">
        <v>3342.58</v>
      </c>
      <c r="AB33" s="19" t="n">
        <v>20585.92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자본금</t>
        </is>
      </c>
      <c r="E34" s="18" t="n">
        <v>5346.44</v>
      </c>
      <c r="F34" s="37" t="n">
        <v>5346.44</v>
      </c>
      <c r="G34" s="18" t="n">
        <v>5346.44</v>
      </c>
      <c r="H34" s="18" t="n">
        <v>5346.44</v>
      </c>
      <c r="I34" s="18" t="n">
        <v>5424.16</v>
      </c>
      <c r="J34" s="18" t="n">
        <v>5424.16</v>
      </c>
      <c r="K34" s="37" t="n">
        <v>5424.16</v>
      </c>
      <c r="L34" s="18" t="n">
        <v>5455.63</v>
      </c>
      <c r="M34" s="18" t="n">
        <v>5455.63</v>
      </c>
      <c r="N34" s="18" t="n">
        <v>5455.63</v>
      </c>
      <c r="O34" s="18" t="n">
        <v>5455.63</v>
      </c>
      <c r="P34" s="37" t="n">
        <v>5455.63</v>
      </c>
      <c r="Q34" s="18" t="n">
        <v>5539.41</v>
      </c>
      <c r="R34" s="18" t="n">
        <v>5570.4</v>
      </c>
      <c r="S34" s="18" t="n">
        <v>5570.4</v>
      </c>
      <c r="T34" s="18" t="n">
        <v>5570.4</v>
      </c>
      <c r="U34" s="37" t="n">
        <v>5570.4</v>
      </c>
      <c r="V34" s="18" t="n">
        <v>5570.4</v>
      </c>
      <c r="W34" s="18" t="n">
        <v>5570.4</v>
      </c>
      <c r="X34" s="18" t="n">
        <v>5582.65</v>
      </c>
      <c r="Y34" s="18" t="n">
        <v>5582.65</v>
      </c>
      <c r="Z34" s="37" t="n">
        <v>5582.65</v>
      </c>
      <c r="AA34" s="18" t="n">
        <v>5582.65</v>
      </c>
      <c r="AB34" s="19" t="n">
        <v>5582.65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자본잉여금</t>
        </is>
      </c>
      <c r="E35" s="18" t="n">
        <v>34265.18</v>
      </c>
      <c r="F35" s="37" t="n">
        <v>34265.18</v>
      </c>
      <c r="G35" s="18" t="n">
        <v>34265.18</v>
      </c>
      <c r="H35" s="18" t="n">
        <v>34265.18</v>
      </c>
      <c r="I35" s="18" t="n">
        <v>34805.94</v>
      </c>
      <c r="J35" s="18" t="n">
        <v>34805.94</v>
      </c>
      <c r="K35" s="37" t="n">
        <v>34805.94</v>
      </c>
      <c r="L35" s="18" t="n">
        <v>34947.4</v>
      </c>
      <c r="M35" s="18" t="n">
        <v>34947.4</v>
      </c>
      <c r="N35" s="18" t="n">
        <v>34947.4</v>
      </c>
      <c r="O35" s="18" t="n">
        <v>34947.4</v>
      </c>
      <c r="P35" s="37" t="n">
        <v>34947.4</v>
      </c>
      <c r="Q35" s="18" t="n">
        <v>34990.62</v>
      </c>
      <c r="R35" s="18" t="n">
        <v>34957.57</v>
      </c>
      <c r="S35" s="18" t="n">
        <v>34957.57</v>
      </c>
      <c r="T35" s="18" t="n">
        <v>34957.57</v>
      </c>
      <c r="U35" s="37" t="n">
        <v>34957.57</v>
      </c>
      <c r="V35" s="18" t="n">
        <v>34957.57</v>
      </c>
      <c r="W35" s="18" t="n">
        <v>34957.57</v>
      </c>
      <c r="X35" s="18" t="n">
        <v>35042.31</v>
      </c>
      <c r="Y35" s="18" t="n">
        <v>35042.31</v>
      </c>
      <c r="Z35" s="37" t="n">
        <v>35042.31</v>
      </c>
      <c r="AA35" s="18" t="n">
        <v>35042.31</v>
      </c>
      <c r="AB35" s="19" t="n">
        <v>35042.31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기타자본</t>
        </is>
      </c>
      <c r="E36" s="18" t="n">
        <v>2766</v>
      </c>
      <c r="F36" s="37" t="n">
        <v>2766</v>
      </c>
      <c r="G36" s="18" t="n">
        <v>2793.54</v>
      </c>
      <c r="H36" s="18" t="n">
        <v>2852.57</v>
      </c>
      <c r="I36" s="18" t="n">
        <v>2718.13</v>
      </c>
      <c r="J36" s="18" t="n">
        <v>2751.69</v>
      </c>
      <c r="K36" s="37" t="n">
        <v>2751.69</v>
      </c>
      <c r="L36" s="18" t="n">
        <v>2708.21</v>
      </c>
      <c r="M36" s="18" t="n">
        <v>2711.57</v>
      </c>
      <c r="N36" s="18" t="n">
        <v>2711.57</v>
      </c>
      <c r="O36" s="18" t="n">
        <v>2711.57</v>
      </c>
      <c r="P36" s="37" t="n">
        <v>2711.57</v>
      </c>
      <c r="Q36" s="18" t="n">
        <v>2679</v>
      </c>
      <c r="R36" s="18" t="n">
        <v>2679</v>
      </c>
      <c r="S36" s="18" t="n">
        <v>2679</v>
      </c>
      <c r="T36" s="18" t="n">
        <v>2679</v>
      </c>
      <c r="U36" s="37" t="n">
        <v>2679</v>
      </c>
      <c r="V36" s="18" t="n">
        <v>2679</v>
      </c>
      <c r="W36" s="18" t="n">
        <v>2679</v>
      </c>
      <c r="X36" s="18" t="n">
        <v>2654.82</v>
      </c>
      <c r="Y36" s="18" t="n">
        <v>2617.9</v>
      </c>
      <c r="Z36" s="37" t="n">
        <v>2617.9</v>
      </c>
      <c r="AA36" s="18" t="n">
        <v>2617.9</v>
      </c>
      <c r="AB36" s="19" t="n">
        <v>2617.9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기타포괄이익누계액</t>
        </is>
      </c>
      <c r="E37" s="18" t="n">
        <v>-67.12</v>
      </c>
      <c r="F37" s="37" t="n">
        <v>-67.12</v>
      </c>
      <c r="G37" s="18" t="n">
        <v>-9.84</v>
      </c>
      <c r="H37" s="18" t="n">
        <v>37.04</v>
      </c>
      <c r="I37" s="18" t="n">
        <v>88.16</v>
      </c>
      <c r="J37" s="18" t="n">
        <v>101.27</v>
      </c>
      <c r="K37" s="37" t="n">
        <v>101.27</v>
      </c>
      <c r="L37" s="18" t="n">
        <v>86.13</v>
      </c>
      <c r="M37" s="18" t="n">
        <v>21.16</v>
      </c>
      <c r="N37" s="18" t="n">
        <v>38.56</v>
      </c>
      <c r="O37" s="18" t="n">
        <v>-32.76</v>
      </c>
      <c r="P37" s="37" t="n">
        <v>-32.76</v>
      </c>
      <c r="Q37" s="18" t="n">
        <v>-89.48</v>
      </c>
      <c r="R37" s="18" t="n">
        <v>-128.6</v>
      </c>
      <c r="S37" s="18" t="n">
        <v>-88.62</v>
      </c>
      <c r="T37" s="18" t="n">
        <v>-19.16</v>
      </c>
      <c r="U37" s="37" t="n">
        <v>-19.16</v>
      </c>
      <c r="V37" s="18" t="n">
        <v>-10.18</v>
      </c>
      <c r="W37" s="18" t="n">
        <v>-88.05</v>
      </c>
      <c r="X37" s="18" t="n">
        <v>-77.11</v>
      </c>
      <c r="Y37" s="18" t="n">
        <v>-26.45</v>
      </c>
      <c r="Z37" s="37" t="n">
        <v>-26.45</v>
      </c>
      <c r="AA37" s="18" t="n">
        <v>-22.53</v>
      </c>
      <c r="AB37" s="19" t="n">
        <v>-11.35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이익잉여금</t>
        </is>
      </c>
      <c r="E38" s="18" t="n">
        <v>-1386.4</v>
      </c>
      <c r="F38" s="37" t="n">
        <v>-1386.4</v>
      </c>
      <c r="G38" s="18" t="n">
        <v>-1521.94</v>
      </c>
      <c r="H38" s="18" t="n">
        <v>-1859.51</v>
      </c>
      <c r="I38" s="18" t="n">
        <v>-2174.09</v>
      </c>
      <c r="J38" s="18" t="n">
        <v>-2413.32</v>
      </c>
      <c r="K38" s="37" t="n">
        <v>-2413.32</v>
      </c>
      <c r="L38" s="18" t="n">
        <v>-2122.94</v>
      </c>
      <c r="M38" s="18" t="n">
        <v>-2328.59</v>
      </c>
      <c r="N38" s="18" t="n">
        <v>-2919.45</v>
      </c>
      <c r="O38" s="18" t="n">
        <v>-3191.61</v>
      </c>
      <c r="P38" s="37" t="n">
        <v>-3191.61</v>
      </c>
      <c r="Q38" s="18" t="n">
        <v>-3407.95</v>
      </c>
      <c r="R38" s="18" t="n">
        <v>-3378.9</v>
      </c>
      <c r="S38" s="18" t="n">
        <v>-3468</v>
      </c>
      <c r="T38" s="18" t="n">
        <v>-3719.51</v>
      </c>
      <c r="U38" s="37" t="n">
        <v>-3719.51</v>
      </c>
      <c r="V38" s="18" t="n">
        <v>-3947.04</v>
      </c>
      <c r="W38" s="18" t="n">
        <v>-3271.51</v>
      </c>
      <c r="X38" s="18" t="n">
        <v>-3310.63</v>
      </c>
      <c r="Y38" s="18" t="n">
        <v>-3571.66</v>
      </c>
      <c r="Z38" s="37" t="n">
        <v>-3571.66</v>
      </c>
      <c r="AA38" s="18" t="n">
        <v>-3850.62</v>
      </c>
      <c r="AB38" s="19" t="n">
        <v>-2572.16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자본총계</t>
        </is>
      </c>
      <c r="E39" s="18" t="n">
        <v>40924.1</v>
      </c>
      <c r="F39" s="37" t="n">
        <v>40924.1</v>
      </c>
      <c r="G39" s="18" t="n">
        <v>40873.38</v>
      </c>
      <c r="H39" s="18" t="n">
        <v>40641.71</v>
      </c>
      <c r="I39" s="18" t="n">
        <v>40862.3</v>
      </c>
      <c r="J39" s="18" t="n">
        <v>40669.74</v>
      </c>
      <c r="K39" s="37" t="n">
        <v>40669.74</v>
      </c>
      <c r="L39" s="18" t="n">
        <v>41074.43</v>
      </c>
      <c r="M39" s="18" t="n">
        <v>40807.17</v>
      </c>
      <c r="N39" s="18" t="n">
        <v>40233.71</v>
      </c>
      <c r="O39" s="18" t="n">
        <v>39890.24</v>
      </c>
      <c r="P39" s="37" t="n">
        <v>39890.24</v>
      </c>
      <c r="Q39" s="18" t="n">
        <v>39711.59</v>
      </c>
      <c r="R39" s="18" t="n">
        <v>39699.47</v>
      </c>
      <c r="S39" s="18" t="n">
        <v>39650.35</v>
      </c>
      <c r="T39" s="18" t="n">
        <v>39468.3</v>
      </c>
      <c r="U39" s="37" t="n">
        <v>39468.3</v>
      </c>
      <c r="V39" s="18" t="n">
        <v>39249.76</v>
      </c>
      <c r="W39" s="18" t="n">
        <v>39847.41</v>
      </c>
      <c r="X39" s="18" t="n">
        <v>39892.04</v>
      </c>
      <c r="Y39" s="18" t="n">
        <v>39644.76</v>
      </c>
      <c r="Z39" s="37" t="n">
        <v>39644.76</v>
      </c>
      <c r="AA39" s="18" t="n">
        <v>39369.71</v>
      </c>
      <c r="AB39" s="19" t="n">
        <v>40659.34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부채와자본총계</t>
        </is>
      </c>
      <c r="E40" s="18" t="n">
        <v>49970.09</v>
      </c>
      <c r="F40" s="37" t="n">
        <v>49970.09</v>
      </c>
      <c r="G40" s="18" t="n">
        <v>49645.85</v>
      </c>
      <c r="H40" s="18" t="n">
        <v>44754.97</v>
      </c>
      <c r="I40" s="18" t="n">
        <v>44989.8</v>
      </c>
      <c r="J40" s="18" t="n">
        <v>44359.66</v>
      </c>
      <c r="K40" s="37" t="n">
        <v>44359.66</v>
      </c>
      <c r="L40" s="18" t="n">
        <v>44683.3</v>
      </c>
      <c r="M40" s="18" t="n">
        <v>43993.18</v>
      </c>
      <c r="N40" s="18" t="n">
        <v>44020.14</v>
      </c>
      <c r="O40" s="18" t="n">
        <v>43653.93</v>
      </c>
      <c r="P40" s="37" t="n">
        <v>43653.93</v>
      </c>
      <c r="Q40" s="18" t="n">
        <v>43860.58</v>
      </c>
      <c r="R40" s="18" t="n">
        <v>43783.42</v>
      </c>
      <c r="S40" s="18" t="n">
        <v>42415.64</v>
      </c>
      <c r="T40" s="18" t="n">
        <v>42232.17</v>
      </c>
      <c r="U40" s="37" t="n">
        <v>42232.17</v>
      </c>
      <c r="V40" s="18" t="n">
        <v>42293.19</v>
      </c>
      <c r="W40" s="18" t="n">
        <v>43129.29</v>
      </c>
      <c r="X40" s="18" t="n">
        <v>43068.55</v>
      </c>
      <c r="Y40" s="18" t="n">
        <v>43062.41</v>
      </c>
      <c r="Z40" s="37" t="n">
        <v>43062.41</v>
      </c>
      <c r="AA40" s="18" t="n">
        <v>42712.29</v>
      </c>
      <c r="AB40" s="19" t="n">
        <v>61245.26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지배주주지분</t>
        </is>
      </c>
      <c r="E41" s="18" t="n">
        <v>40924.1</v>
      </c>
      <c r="F41" s="37" t="n">
        <v>40924.1</v>
      </c>
      <c r="G41" s="18" t="n">
        <v>40873.38</v>
      </c>
      <c r="H41" s="18" t="n">
        <v>40641.71</v>
      </c>
      <c r="I41" s="18" t="n">
        <v>40862.3</v>
      </c>
      <c r="J41" s="18" t="n">
        <v>40669.74</v>
      </c>
      <c r="K41" s="37" t="n">
        <v>40669.74</v>
      </c>
      <c r="L41" s="18" t="n">
        <v>41074.43</v>
      </c>
      <c r="M41" s="18" t="n">
        <v>40807.17</v>
      </c>
      <c r="N41" s="18" t="n">
        <v>40233.71</v>
      </c>
      <c r="O41" s="18" t="n">
        <v>39890.24</v>
      </c>
      <c r="P41" s="37" t="n">
        <v>39890.24</v>
      </c>
      <c r="Q41" s="18" t="n">
        <v>39711.59</v>
      </c>
      <c r="R41" s="18" t="n">
        <v>39699.47</v>
      </c>
      <c r="S41" s="18" t="n">
        <v>39650.35</v>
      </c>
      <c r="T41" s="18" t="n">
        <v>39468.3</v>
      </c>
      <c r="U41" s="37" t="n">
        <v>39468.3</v>
      </c>
      <c r="V41" s="18" t="n">
        <v>39249.76</v>
      </c>
      <c r="W41" s="18" t="n">
        <v>39847.41</v>
      </c>
      <c r="X41" s="18" t="n">
        <v>39892.04</v>
      </c>
      <c r="Y41" s="18" t="n">
        <v>39644.76</v>
      </c>
      <c r="Z41" s="37" t="n">
        <v>39644.76</v>
      </c>
      <c r="AA41" s="18" t="n">
        <v>39369.71</v>
      </c>
      <c r="AB41" s="19" t="n">
        <v>40659.34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총차입금</t>
        </is>
      </c>
      <c r="E42" s="18" t="n">
        <v>5000</v>
      </c>
      <c r="F42" s="37" t="n">
        <v>5000</v>
      </c>
      <c r="G42" s="18" t="n">
        <v>5000</v>
      </c>
      <c r="K42" s="9" t="n"/>
      <c r="P42" s="9" t="n"/>
      <c r="U42" s="9" t="n"/>
      <c r="Z42" s="9" t="n"/>
      <c r="AB42" s="19" t="n">
        <v>23103.64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순차입금</t>
        </is>
      </c>
      <c r="E43" s="18" t="n">
        <v>-13286.11</v>
      </c>
      <c r="F43" s="37" t="n">
        <v>-13286.11</v>
      </c>
      <c r="G43" s="18" t="n">
        <v>-11448.72</v>
      </c>
      <c r="K43" s="9" t="n"/>
      <c r="P43" s="9" t="n"/>
      <c r="U43" s="9" t="n"/>
      <c r="Z43" s="9" t="n"/>
      <c r="AB43" s="19" t="n">
        <v>-849.28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이자발생자산</t>
        </is>
      </c>
      <c r="E44" s="18" t="n">
        <v>18314.14</v>
      </c>
      <c r="F44" s="37" t="n">
        <v>18314.14</v>
      </c>
      <c r="G44" s="18" t="n">
        <v>16476.84</v>
      </c>
      <c r="H44" s="18" t="n">
        <v>10775.92</v>
      </c>
      <c r="I44" s="18" t="n">
        <v>9235.780000000001</v>
      </c>
      <c r="J44" s="18" t="n">
        <v>8977.49</v>
      </c>
      <c r="K44" s="37" t="n">
        <v>8977.49</v>
      </c>
      <c r="L44" s="18" t="n">
        <v>14763.74</v>
      </c>
      <c r="M44" s="18" t="n">
        <v>14087.39</v>
      </c>
      <c r="N44" s="18" t="n">
        <v>12578.53</v>
      </c>
      <c r="O44" s="18" t="n">
        <v>11921.36</v>
      </c>
      <c r="P44" s="37" t="n">
        <v>11921.36</v>
      </c>
      <c r="Q44" s="18" t="n">
        <v>11388.38</v>
      </c>
      <c r="R44" s="18" t="n">
        <v>10486.81</v>
      </c>
      <c r="S44" s="18" t="n">
        <v>9711.5</v>
      </c>
      <c r="T44" s="18" t="n">
        <v>10063.57</v>
      </c>
      <c r="U44" s="37" t="n">
        <v>10063.57</v>
      </c>
      <c r="V44" s="18" t="n">
        <v>11357.25</v>
      </c>
      <c r="W44" s="18" t="n">
        <v>8926.5</v>
      </c>
      <c r="X44" s="18" t="n">
        <v>11680.31</v>
      </c>
      <c r="Y44" s="18" t="n">
        <v>12025.82</v>
      </c>
      <c r="Z44" s="37" t="n">
        <v>12025.82</v>
      </c>
      <c r="AA44" s="18" t="n">
        <v>10516.78</v>
      </c>
      <c r="AB44" s="19" t="n">
        <v>24034.74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매각예정비유동자산및처분자산</t>
        </is>
      </c>
      <c r="F45" s="9" t="n"/>
      <c r="H45" s="18" t="n">
        <v>4686.56</v>
      </c>
      <c r="I45" s="18" t="n">
        <v>4686.56</v>
      </c>
      <c r="J45" s="18" t="n">
        <v>4686.56</v>
      </c>
      <c r="K45" s="37" t="n">
        <v>4686.56</v>
      </c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단기투자자산(공정가치)</t>
        </is>
      </c>
      <c r="F46" s="9" t="n"/>
      <c r="I46" s="18" t="n">
        <v>696.05</v>
      </c>
      <c r="J46" s="18" t="n">
        <v>883.9299999999999</v>
      </c>
      <c r="K46" s="37" t="n">
        <v>883.9299999999999</v>
      </c>
      <c r="L46" s="18" t="n">
        <v>319.18</v>
      </c>
      <c r="M46" s="18" t="n">
        <v>918.45</v>
      </c>
      <c r="N46" s="18" t="n">
        <v>2757.95</v>
      </c>
      <c r="O46" s="18" t="n">
        <v>3018.54</v>
      </c>
      <c r="P46" s="37" t="n">
        <v>3018.54</v>
      </c>
      <c r="Q46" s="18" t="n">
        <v>3150.48</v>
      </c>
      <c r="R46" s="18" t="n">
        <v>3283.09</v>
      </c>
      <c r="S46" s="18" t="n">
        <v>3208.59</v>
      </c>
      <c r="T46" s="18" t="n">
        <v>3046.46</v>
      </c>
      <c r="U46" s="37" t="n">
        <v>3046.46</v>
      </c>
      <c r="V46" s="18" t="n">
        <v>2056.09</v>
      </c>
      <c r="W46" s="18" t="n">
        <v>4732.17</v>
      </c>
      <c r="X46" s="18" t="n">
        <v>3220.22</v>
      </c>
      <c r="Y46" s="18" t="n">
        <v>3125.48</v>
      </c>
      <c r="Z46" s="37" t="n">
        <v>3125.48</v>
      </c>
      <c r="AA46" s="18" t="n">
        <v>2940.28</v>
      </c>
      <c r="AB46" s="19" t="n">
        <v>2361.84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종속기업및관계기업투자</t>
        </is>
      </c>
      <c r="F47" s="9" t="n"/>
      <c r="K47" s="9" t="n"/>
      <c r="P47" s="9" t="n"/>
      <c r="U47" s="9" t="n"/>
      <c r="Z47" s="9" t="n"/>
      <c r="AB47" s="19" t="n">
        <v>3809.14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단기파생상품부채</t>
        </is>
      </c>
      <c r="F48" s="9" t="n"/>
      <c r="K48" s="9" t="n"/>
      <c r="P48" s="9" t="n"/>
      <c r="U48" s="9" t="n"/>
      <c r="Z48" s="9" t="n"/>
      <c r="AB48" s="19" t="n">
        <v>5790.22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사채</t>
        </is>
      </c>
      <c r="F49" s="9" t="n"/>
      <c r="K49" s="9" t="n"/>
      <c r="P49" s="9" t="n"/>
      <c r="U49" s="9" t="n"/>
      <c r="Z49" s="9" t="n"/>
      <c r="AB49" s="19" t="n">
        <v>11551.82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매출액(수익)</t>
        </is>
      </c>
      <c r="E50" s="18" t="n">
        <v>4238.91</v>
      </c>
      <c r="F50" s="9" t="n"/>
      <c r="G50" s="18" t="n">
        <v>3555.62</v>
      </c>
      <c r="H50" s="18" t="n">
        <v>3788.46</v>
      </c>
      <c r="I50" s="18" t="n">
        <v>3141.53</v>
      </c>
      <c r="J50" s="18" t="n">
        <v>3428.31</v>
      </c>
      <c r="K50" s="37" t="n">
        <v>13913.92</v>
      </c>
      <c r="L50" s="18" t="n">
        <v>3430.12</v>
      </c>
      <c r="M50" s="18" t="n">
        <v>3838.59</v>
      </c>
      <c r="N50" s="18" t="n">
        <v>3148.06</v>
      </c>
      <c r="O50" s="18" t="n">
        <v>3266.24</v>
      </c>
      <c r="P50" s="37" t="n">
        <v>13683.01</v>
      </c>
      <c r="Q50" s="18" t="n">
        <v>3418.53</v>
      </c>
      <c r="R50" s="18" t="n">
        <v>4521.41</v>
      </c>
      <c r="S50" s="18" t="n">
        <v>3400.74</v>
      </c>
      <c r="T50" s="18" t="n">
        <v>3597.44</v>
      </c>
      <c r="U50" s="37" t="n">
        <v>14938.12</v>
      </c>
      <c r="V50" s="18" t="n">
        <v>3065.14</v>
      </c>
      <c r="W50" s="18" t="n">
        <v>4000.59</v>
      </c>
      <c r="X50" s="18" t="n">
        <v>3801.58</v>
      </c>
      <c r="Y50" s="18" t="n">
        <v>4210.64</v>
      </c>
      <c r="Z50" s="37" t="n">
        <v>15077.95</v>
      </c>
      <c r="AA50" s="18" t="n">
        <v>3285.53</v>
      </c>
      <c r="AB50" s="19" t="n">
        <v>3315.34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매출원가</t>
        </is>
      </c>
      <c r="E51" s="18" t="n">
        <v>3515.69</v>
      </c>
      <c r="F51" s="9" t="n"/>
      <c r="G51" s="18" t="n">
        <v>2999.21</v>
      </c>
      <c r="H51" s="18" t="n">
        <v>3240.13</v>
      </c>
      <c r="I51" s="18" t="n">
        <v>2656.67</v>
      </c>
      <c r="J51" s="18" t="n">
        <v>2740.27</v>
      </c>
      <c r="K51" s="37" t="n">
        <v>11636.28</v>
      </c>
      <c r="L51" s="18" t="n">
        <v>2946.06</v>
      </c>
      <c r="M51" s="18" t="n">
        <v>3268.82</v>
      </c>
      <c r="N51" s="18" t="n">
        <v>2869.55</v>
      </c>
      <c r="O51" s="18" t="n">
        <v>2899.98</v>
      </c>
      <c r="P51" s="37" t="n">
        <v>11984.41</v>
      </c>
      <c r="Q51" s="18" t="n">
        <v>2923.9</v>
      </c>
      <c r="R51" s="18" t="n">
        <v>3596.78</v>
      </c>
      <c r="S51" s="18" t="n">
        <v>2878.66</v>
      </c>
      <c r="T51" s="18" t="n">
        <v>3152.87</v>
      </c>
      <c r="U51" s="37" t="n">
        <v>12552.21</v>
      </c>
      <c r="V51" s="18" t="n">
        <v>2769.64</v>
      </c>
      <c r="W51" s="18" t="n">
        <v>3258.79</v>
      </c>
      <c r="X51" s="18" t="n">
        <v>3181.05</v>
      </c>
      <c r="Y51" s="18" t="n">
        <v>3738.96</v>
      </c>
      <c r="Z51" s="37" t="n">
        <v>12948.44</v>
      </c>
      <c r="AA51" s="18" t="n">
        <v>2899.27</v>
      </c>
      <c r="AB51" s="19" t="n">
        <v>2918.94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매출총이익</t>
        </is>
      </c>
      <c r="E52" s="18" t="n">
        <v>723.22</v>
      </c>
      <c r="F52" s="9" t="n"/>
      <c r="G52" s="18" t="n">
        <v>556.41</v>
      </c>
      <c r="H52" s="18" t="n">
        <v>548.33</v>
      </c>
      <c r="I52" s="18" t="n">
        <v>484.86</v>
      </c>
      <c r="J52" s="18" t="n">
        <v>688.04</v>
      </c>
      <c r="K52" s="37" t="n">
        <v>2277.64</v>
      </c>
      <c r="L52" s="18" t="n">
        <v>484.06</v>
      </c>
      <c r="M52" s="18" t="n">
        <v>569.77</v>
      </c>
      <c r="N52" s="18" t="n">
        <v>278.52</v>
      </c>
      <c r="O52" s="18" t="n">
        <v>366.27</v>
      </c>
      <c r="P52" s="37" t="n">
        <v>1698.62</v>
      </c>
      <c r="Q52" s="18" t="n">
        <v>494.63</v>
      </c>
      <c r="R52" s="18" t="n">
        <v>924.63</v>
      </c>
      <c r="S52" s="18" t="n">
        <v>522.08</v>
      </c>
      <c r="T52" s="18" t="n">
        <v>444.56</v>
      </c>
      <c r="U52" s="37" t="n">
        <v>2385.9</v>
      </c>
      <c r="V52" s="18" t="n">
        <v>295.49</v>
      </c>
      <c r="W52" s="18" t="n">
        <v>741.8</v>
      </c>
      <c r="X52" s="18" t="n">
        <v>620.52</v>
      </c>
      <c r="Y52" s="18" t="n">
        <v>471.68</v>
      </c>
      <c r="Z52" s="37" t="n">
        <v>2129.49</v>
      </c>
      <c r="AA52" s="18" t="n">
        <v>386.26</v>
      </c>
      <c r="AB52" s="19" t="n">
        <v>396.4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판관비</t>
        </is>
      </c>
      <c r="E53" s="18" t="n">
        <v>878.61</v>
      </c>
      <c r="F53" s="9" t="n"/>
      <c r="G53" s="18" t="n">
        <v>861.46</v>
      </c>
      <c r="H53" s="18" t="n">
        <v>969.41</v>
      </c>
      <c r="I53" s="18" t="n">
        <v>868.67</v>
      </c>
      <c r="J53" s="18" t="n">
        <v>848.0599999999999</v>
      </c>
      <c r="K53" s="37" t="n">
        <v>3547.6</v>
      </c>
      <c r="L53" s="18" t="n">
        <v>740.4400000000001</v>
      </c>
      <c r="M53" s="18" t="n">
        <v>764.55</v>
      </c>
      <c r="N53" s="18" t="n">
        <v>859.38</v>
      </c>
      <c r="O53" s="18" t="n">
        <v>829.5</v>
      </c>
      <c r="P53" s="37" t="n">
        <v>3193.87</v>
      </c>
      <c r="Q53" s="18" t="n">
        <v>802.51</v>
      </c>
      <c r="R53" s="18" t="n">
        <v>926.6799999999999</v>
      </c>
      <c r="S53" s="18" t="n">
        <v>707.0599999999999</v>
      </c>
      <c r="T53" s="18" t="n">
        <v>665.37</v>
      </c>
      <c r="U53" s="37" t="n">
        <v>3101.62</v>
      </c>
      <c r="V53" s="18" t="n">
        <v>672.9400000000001</v>
      </c>
      <c r="W53" s="18" t="n">
        <v>729.71</v>
      </c>
      <c r="X53" s="18" t="n">
        <v>647.4400000000001</v>
      </c>
      <c r="Y53" s="18" t="n">
        <v>700.5700000000001</v>
      </c>
      <c r="Z53" s="37" t="n">
        <v>2750.66</v>
      </c>
      <c r="AA53" s="18" t="n">
        <v>690.16</v>
      </c>
      <c r="AB53" s="19" t="n">
        <v>1132.34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영업이익</t>
        </is>
      </c>
      <c r="E54" s="18" t="n">
        <v>-155.4</v>
      </c>
      <c r="F54" s="9" t="n"/>
      <c r="G54" s="18" t="n">
        <v>-305.05</v>
      </c>
      <c r="H54" s="18" t="n">
        <v>-421.09</v>
      </c>
      <c r="I54" s="18" t="n">
        <v>-383.81</v>
      </c>
      <c r="J54" s="18" t="n">
        <v>-160.02</v>
      </c>
      <c r="K54" s="37" t="n">
        <v>-1269.97</v>
      </c>
      <c r="L54" s="18" t="n">
        <v>-256.38</v>
      </c>
      <c r="M54" s="18" t="n">
        <v>-194.78</v>
      </c>
      <c r="N54" s="18" t="n">
        <v>-580.86</v>
      </c>
      <c r="O54" s="18" t="n">
        <v>-463.23</v>
      </c>
      <c r="P54" s="37" t="n">
        <v>-1495.25</v>
      </c>
      <c r="Q54" s="18" t="n">
        <v>-307.87</v>
      </c>
      <c r="R54" s="18" t="n">
        <v>-2.05</v>
      </c>
      <c r="S54" s="18" t="n">
        <v>-184.98</v>
      </c>
      <c r="T54" s="18" t="n">
        <v>-220.82</v>
      </c>
      <c r="U54" s="37" t="n">
        <v>-715.72</v>
      </c>
      <c r="V54" s="18" t="n">
        <v>-377.45</v>
      </c>
      <c r="W54" s="18" t="n">
        <v>12.09</v>
      </c>
      <c r="X54" s="18" t="n">
        <v>-26.91</v>
      </c>
      <c r="Y54" s="18" t="n">
        <v>-228.9</v>
      </c>
      <c r="Z54" s="37" t="n">
        <v>-621.17</v>
      </c>
      <c r="AA54" s="18" t="n">
        <v>-303.89</v>
      </c>
      <c r="AB54" s="19" t="n">
        <v>-735.9400000000001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금융수익</t>
        </is>
      </c>
      <c r="E55" s="18" t="n">
        <v>52.08</v>
      </c>
      <c r="F55" s="9" t="n"/>
      <c r="G55" s="18" t="n">
        <v>186.52</v>
      </c>
      <c r="H55" s="18" t="n">
        <v>123.2</v>
      </c>
      <c r="I55" s="18" t="n">
        <v>189.46</v>
      </c>
      <c r="J55" s="18" t="n">
        <v>27.17</v>
      </c>
      <c r="K55" s="37" t="n">
        <v>526.35</v>
      </c>
      <c r="L55" s="18" t="n">
        <v>314.92</v>
      </c>
      <c r="M55" s="18" t="n">
        <v>179.81</v>
      </c>
      <c r="N55" s="18" t="n">
        <v>124.19</v>
      </c>
      <c r="O55" s="18" t="n">
        <v>189.49</v>
      </c>
      <c r="P55" s="37" t="n">
        <v>808.41</v>
      </c>
      <c r="Q55" s="18" t="n">
        <v>302.05</v>
      </c>
      <c r="R55" s="18" t="n">
        <v>252.93</v>
      </c>
      <c r="S55" s="18" t="n">
        <v>163.51</v>
      </c>
      <c r="T55" s="18" t="n">
        <v>158.57</v>
      </c>
      <c r="U55" s="37" t="n">
        <v>877.0599999999999</v>
      </c>
      <c r="V55" s="18" t="n">
        <v>302.27</v>
      </c>
      <c r="W55" s="18" t="n">
        <v>836.42</v>
      </c>
      <c r="X55" s="18" t="n">
        <v>-19.22</v>
      </c>
      <c r="Y55" s="18" t="n">
        <v>144.57</v>
      </c>
      <c r="Z55" s="37" t="n">
        <v>1264.04</v>
      </c>
      <c r="AA55" s="18" t="n">
        <v>173.39</v>
      </c>
      <c r="AB55" s="19" t="n">
        <v>2386.67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금융비용</t>
        </is>
      </c>
      <c r="E56" s="18" t="n">
        <v>88.92</v>
      </c>
      <c r="F56" s="9" t="n"/>
      <c r="G56" s="18" t="n">
        <v>56.82</v>
      </c>
      <c r="H56" s="18" t="n">
        <v>51.77</v>
      </c>
      <c r="I56" s="18" t="n">
        <v>125.58</v>
      </c>
      <c r="J56" s="18" t="n">
        <v>112.44</v>
      </c>
      <c r="K56" s="37" t="n">
        <v>346.61</v>
      </c>
      <c r="L56" s="18" t="n">
        <v>55.45</v>
      </c>
      <c r="M56" s="18" t="n">
        <v>247.61</v>
      </c>
      <c r="N56" s="18" t="n">
        <v>144.01</v>
      </c>
      <c r="O56" s="18" t="n">
        <v>15.23</v>
      </c>
      <c r="P56" s="37" t="n">
        <v>462.3</v>
      </c>
      <c r="Q56" s="18" t="n">
        <v>226.08</v>
      </c>
      <c r="R56" s="18" t="n">
        <v>204.93</v>
      </c>
      <c r="S56" s="18" t="n">
        <v>74.40000000000001</v>
      </c>
      <c r="T56" s="18" t="n">
        <v>195.15</v>
      </c>
      <c r="U56" s="37" t="n">
        <v>700.5599999999999</v>
      </c>
      <c r="V56" s="18" t="n">
        <v>157.71</v>
      </c>
      <c r="W56" s="18" t="n">
        <v>183.16</v>
      </c>
      <c r="X56" s="18" t="n">
        <v>-2.85</v>
      </c>
      <c r="Y56" s="18" t="n">
        <v>183.23</v>
      </c>
      <c r="Z56" s="37" t="n">
        <v>521.25</v>
      </c>
      <c r="AA56" s="18" t="n">
        <v>186.16</v>
      </c>
      <c r="AB56" s="19" t="n">
        <v>379.04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기타영업외수익</t>
        </is>
      </c>
      <c r="E57" s="18" t="n">
        <v>13.23</v>
      </c>
      <c r="F57" s="9" t="n"/>
      <c r="G57" s="18" t="n">
        <v>39.8</v>
      </c>
      <c r="H57" s="18" t="n">
        <v>12.08</v>
      </c>
      <c r="I57" s="18" t="n">
        <v>5.34</v>
      </c>
      <c r="J57" s="18" t="n">
        <v>6.06</v>
      </c>
      <c r="K57" s="37" t="n">
        <v>63.28</v>
      </c>
      <c r="L57" s="18" t="n">
        <v>287.29</v>
      </c>
      <c r="M57" s="18" t="n">
        <v>56.94</v>
      </c>
      <c r="N57" s="18" t="n">
        <v>9.81</v>
      </c>
      <c r="O57" s="18" t="n">
        <v>16.82</v>
      </c>
      <c r="P57" s="37" t="n">
        <v>370.86</v>
      </c>
      <c r="Q57" s="18" t="n">
        <v>15.57</v>
      </c>
      <c r="R57" s="18" t="n">
        <v>8.01</v>
      </c>
      <c r="S57" s="18" t="n">
        <v>6.77</v>
      </c>
      <c r="T57" s="18" t="n">
        <v>5.88</v>
      </c>
      <c r="U57" s="37" t="n">
        <v>36.23</v>
      </c>
      <c r="V57" s="18" t="n">
        <v>5.36</v>
      </c>
      <c r="W57" s="18" t="n">
        <v>10.18</v>
      </c>
      <c r="X57" s="18" t="n">
        <v>7.89</v>
      </c>
      <c r="Y57" s="18" t="n">
        <v>6.53</v>
      </c>
      <c r="Z57" s="37" t="n">
        <v>29.96</v>
      </c>
      <c r="AA57" s="18" t="n">
        <v>37.7</v>
      </c>
      <c r="AB57" s="19" t="n">
        <v>6.77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기타영업외비용</t>
        </is>
      </c>
      <c r="E58" s="18" t="n">
        <v>0.15</v>
      </c>
      <c r="F58" s="9" t="n"/>
      <c r="G58" s="18" t="n">
        <v>0</v>
      </c>
      <c r="H58" s="18" t="n">
        <v>0</v>
      </c>
      <c r="I58" s="18" t="n">
        <v>0</v>
      </c>
      <c r="J58" s="18" t="n">
        <v>0</v>
      </c>
      <c r="K58" s="37" t="n">
        <v>0</v>
      </c>
      <c r="N58" s="18" t="n">
        <v>0</v>
      </c>
      <c r="O58" s="18" t="n">
        <v>0</v>
      </c>
      <c r="P58" s="9" t="n"/>
      <c r="Q58" s="18" t="n">
        <v>0</v>
      </c>
      <c r="R58" s="18" t="n">
        <v>24.9</v>
      </c>
      <c r="S58" s="18" t="n">
        <v>0</v>
      </c>
      <c r="T58" s="18" t="n">
        <v>0</v>
      </c>
      <c r="U58" s="37" t="n">
        <v>24.9</v>
      </c>
      <c r="V58" s="18" t="n">
        <v>0</v>
      </c>
      <c r="W58" s="18" t="n">
        <v>0</v>
      </c>
      <c r="X58" s="18" t="n">
        <v>3.72</v>
      </c>
      <c r="Y58" s="18" t="n">
        <v>0</v>
      </c>
      <c r="Z58" s="37" t="n">
        <v>3.72</v>
      </c>
      <c r="AA58" s="18" t="n">
        <v>0</v>
      </c>
      <c r="AB58" s="19" t="n">
        <v>0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법인세비용차감전계속사업이익</t>
        </is>
      </c>
      <c r="E59" s="18" t="n">
        <v>-179.15</v>
      </c>
      <c r="F59" s="9" t="n"/>
      <c r="G59" s="18" t="n">
        <v>-135.54</v>
      </c>
      <c r="H59" s="18" t="n">
        <v>-337.57</v>
      </c>
      <c r="I59" s="18" t="n">
        <v>-314.58</v>
      </c>
      <c r="J59" s="18" t="n">
        <v>-239.23</v>
      </c>
      <c r="K59" s="37" t="n">
        <v>-1026.92</v>
      </c>
      <c r="L59" s="18" t="n">
        <v>290.38</v>
      </c>
      <c r="M59" s="18" t="n">
        <v>-205.64</v>
      </c>
      <c r="N59" s="18" t="n">
        <v>-590.86</v>
      </c>
      <c r="O59" s="18" t="n">
        <v>-272.16</v>
      </c>
      <c r="P59" s="37" t="n">
        <v>-778.28</v>
      </c>
      <c r="Q59" s="18" t="n">
        <v>-216.34</v>
      </c>
      <c r="R59" s="18" t="n">
        <v>29.06</v>
      </c>
      <c r="S59" s="18" t="n">
        <v>-89.09999999999999</v>
      </c>
      <c r="T59" s="18" t="n">
        <v>-251.51</v>
      </c>
      <c r="U59" s="37" t="n">
        <v>-527.89</v>
      </c>
      <c r="V59" s="18" t="n">
        <v>-227.53</v>
      </c>
      <c r="W59" s="18" t="n">
        <v>675.52</v>
      </c>
      <c r="X59" s="18" t="n">
        <v>-39.11</v>
      </c>
      <c r="Y59" s="18" t="n">
        <v>-261.03</v>
      </c>
      <c r="Z59" s="37" t="n">
        <v>147.85</v>
      </c>
      <c r="AA59" s="18" t="n">
        <v>-278.97</v>
      </c>
      <c r="AB59" s="19" t="n">
        <v>1278.46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법인세비용</t>
        </is>
      </c>
      <c r="E60" s="18" t="n">
        <v>-13.64</v>
      </c>
      <c r="F60" s="9" t="n"/>
      <c r="K60" s="9" t="n"/>
      <c r="P60" s="9" t="n"/>
      <c r="U60" s="9" t="n"/>
      <c r="Z60" s="9" t="n"/>
      <c r="AB60" s="19" t="n">
        <v>0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당기순이익</t>
        </is>
      </c>
      <c r="E61" s="18" t="n">
        <v>-165.5</v>
      </c>
      <c r="F61" s="9" t="n"/>
      <c r="G61" s="18" t="n">
        <v>-135.54</v>
      </c>
      <c r="H61" s="18" t="n">
        <v>-337.57</v>
      </c>
      <c r="I61" s="18" t="n">
        <v>-314.58</v>
      </c>
      <c r="J61" s="18" t="n">
        <v>-239.23</v>
      </c>
      <c r="K61" s="37" t="n">
        <v>-1026.92</v>
      </c>
      <c r="L61" s="18" t="n">
        <v>290.38</v>
      </c>
      <c r="M61" s="18" t="n">
        <v>-205.64</v>
      </c>
      <c r="N61" s="18" t="n">
        <v>-590.86</v>
      </c>
      <c r="O61" s="18" t="n">
        <v>-272.16</v>
      </c>
      <c r="P61" s="37" t="n">
        <v>-778.28</v>
      </c>
      <c r="Q61" s="18" t="n">
        <v>-216.34</v>
      </c>
      <c r="R61" s="18" t="n">
        <v>29.06</v>
      </c>
      <c r="S61" s="18" t="n">
        <v>-89.09999999999999</v>
      </c>
      <c r="T61" s="18" t="n">
        <v>-251.51</v>
      </c>
      <c r="U61" s="37" t="n">
        <v>-527.89</v>
      </c>
      <c r="V61" s="18" t="n">
        <v>-227.53</v>
      </c>
      <c r="W61" s="18" t="n">
        <v>675.52</v>
      </c>
      <c r="X61" s="18" t="n">
        <v>-39.11</v>
      </c>
      <c r="Y61" s="18" t="n">
        <v>-261.03</v>
      </c>
      <c r="Z61" s="37" t="n">
        <v>147.85</v>
      </c>
      <c r="AA61" s="18" t="n">
        <v>-278.97</v>
      </c>
      <c r="AB61" s="19" t="n">
        <v>1278.46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총포괄손익</t>
        </is>
      </c>
      <c r="E62" s="18" t="n">
        <v>-119.6</v>
      </c>
      <c r="F62" s="9" t="n"/>
      <c r="G62" s="18" t="n">
        <v>-78.26000000000001</v>
      </c>
      <c r="H62" s="18" t="n">
        <v>-290.69</v>
      </c>
      <c r="I62" s="18" t="n">
        <v>-263.46</v>
      </c>
      <c r="J62" s="18" t="n">
        <v>-192.56</v>
      </c>
      <c r="K62" s="37" t="n">
        <v>-824.97</v>
      </c>
      <c r="L62" s="18" t="n">
        <v>275.23</v>
      </c>
      <c r="M62" s="18" t="n">
        <v>-267.25</v>
      </c>
      <c r="N62" s="18" t="n">
        <v>-573.46</v>
      </c>
      <c r="O62" s="18" t="n">
        <v>-343.47</v>
      </c>
      <c r="P62" s="37" t="n">
        <v>-908.95</v>
      </c>
      <c r="Q62" s="18" t="n">
        <v>-273.07</v>
      </c>
      <c r="R62" s="18" t="n">
        <v>-10.07</v>
      </c>
      <c r="S62" s="18" t="n">
        <v>-49.12</v>
      </c>
      <c r="T62" s="18" t="n">
        <v>-182.05</v>
      </c>
      <c r="U62" s="37" t="n">
        <v>-514.3099999999999</v>
      </c>
      <c r="V62" s="18" t="n">
        <v>-218.55</v>
      </c>
      <c r="W62" s="18" t="n">
        <v>597.65</v>
      </c>
      <c r="X62" s="18" t="n">
        <v>-28.17</v>
      </c>
      <c r="Y62" s="18" t="n">
        <v>-210.36</v>
      </c>
      <c r="Z62" s="37" t="n">
        <v>140.57</v>
      </c>
      <c r="AA62" s="18" t="n">
        <v>-275.05</v>
      </c>
      <c r="AB62" s="19" t="n">
        <v>1289.63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금융손익</t>
        </is>
      </c>
      <c r="E63" s="18" t="n">
        <v>-36.84</v>
      </c>
      <c r="F63" s="9" t="n"/>
      <c r="G63" s="18" t="n">
        <v>129.7</v>
      </c>
      <c r="H63" s="18" t="n">
        <v>71.43000000000001</v>
      </c>
      <c r="I63" s="18" t="n">
        <v>63.88</v>
      </c>
      <c r="J63" s="18" t="n">
        <v>-85.27</v>
      </c>
      <c r="K63" s="37" t="n">
        <v>179.74</v>
      </c>
      <c r="L63" s="18" t="n">
        <v>259.47</v>
      </c>
      <c r="M63" s="18" t="n">
        <v>-67.8</v>
      </c>
      <c r="N63" s="18" t="n">
        <v>-19.82</v>
      </c>
      <c r="O63" s="18" t="n">
        <v>174.26</v>
      </c>
      <c r="P63" s="37" t="n">
        <v>346.11</v>
      </c>
      <c r="Q63" s="18" t="n">
        <v>75.97</v>
      </c>
      <c r="R63" s="18" t="n">
        <v>48</v>
      </c>
      <c r="S63" s="18" t="n">
        <v>89.11</v>
      </c>
      <c r="T63" s="18" t="n">
        <v>-36.58</v>
      </c>
      <c r="U63" s="37" t="n">
        <v>176.5</v>
      </c>
      <c r="V63" s="18" t="n">
        <v>144.56</v>
      </c>
      <c r="W63" s="18" t="n">
        <v>653.26</v>
      </c>
      <c r="X63" s="18" t="n">
        <v>-16.37</v>
      </c>
      <c r="Y63" s="18" t="n">
        <v>-38.66</v>
      </c>
      <c r="Z63" s="37" t="n">
        <v>742.79</v>
      </c>
      <c r="AA63" s="18" t="n">
        <v>-12.77</v>
      </c>
      <c r="AB63" s="19" t="n">
        <v>2007.63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기타영업외손익</t>
        </is>
      </c>
      <c r="E64" s="18" t="n">
        <v>13.08</v>
      </c>
      <c r="F64" s="9" t="n"/>
      <c r="G64" s="18" t="n">
        <v>39.8</v>
      </c>
      <c r="H64" s="18" t="n">
        <v>12.08</v>
      </c>
      <c r="I64" s="18" t="n">
        <v>5.34</v>
      </c>
      <c r="J64" s="18" t="n">
        <v>6.06</v>
      </c>
      <c r="K64" s="37" t="n">
        <v>63.28</v>
      </c>
      <c r="L64" s="18" t="n">
        <v>287.29</v>
      </c>
      <c r="M64" s="18" t="n">
        <v>56.94</v>
      </c>
      <c r="N64" s="18" t="n">
        <v>9.81</v>
      </c>
      <c r="O64" s="18" t="n">
        <v>16.82</v>
      </c>
      <c r="P64" s="37" t="n">
        <v>370.86</v>
      </c>
      <c r="Q64" s="18" t="n">
        <v>15.57</v>
      </c>
      <c r="R64" s="18" t="n">
        <v>-16.89</v>
      </c>
      <c r="S64" s="18" t="n">
        <v>6.77</v>
      </c>
      <c r="T64" s="18" t="n">
        <v>5.88</v>
      </c>
      <c r="U64" s="37" t="n">
        <v>11.33</v>
      </c>
      <c r="V64" s="18" t="n">
        <v>5.36</v>
      </c>
      <c r="W64" s="18" t="n">
        <v>10.18</v>
      </c>
      <c r="X64" s="18" t="n">
        <v>4.17</v>
      </c>
      <c r="Y64" s="18" t="n">
        <v>6.53</v>
      </c>
      <c r="Z64" s="37" t="n">
        <v>26.24</v>
      </c>
      <c r="AA64" s="18" t="n">
        <v>37.7</v>
      </c>
      <c r="AB64" s="19" t="n">
        <v>6.77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(지배주주지분)당기순이익</t>
        </is>
      </c>
      <c r="E65" s="18" t="n">
        <v>-165.5</v>
      </c>
      <c r="F65" s="9" t="n"/>
      <c r="G65" s="18" t="n">
        <v>-135.54</v>
      </c>
      <c r="H65" s="18" t="n">
        <v>-337.57</v>
      </c>
      <c r="I65" s="18" t="n">
        <v>-314.58</v>
      </c>
      <c r="J65" s="18" t="n">
        <v>-239.23</v>
      </c>
      <c r="K65" s="37" t="n">
        <v>-1026.92</v>
      </c>
      <c r="L65" s="18" t="n">
        <v>290.38</v>
      </c>
      <c r="M65" s="18" t="n">
        <v>-205.64</v>
      </c>
      <c r="N65" s="18" t="n">
        <v>-590.86</v>
      </c>
      <c r="O65" s="18" t="n">
        <v>-272.16</v>
      </c>
      <c r="P65" s="37" t="n">
        <v>-778.28</v>
      </c>
      <c r="Q65" s="18" t="n">
        <v>-216.34</v>
      </c>
      <c r="R65" s="18" t="n">
        <v>29.06</v>
      </c>
      <c r="S65" s="18" t="n">
        <v>-89.09999999999999</v>
      </c>
      <c r="T65" s="18" t="n">
        <v>-251.51</v>
      </c>
      <c r="U65" s="37" t="n">
        <v>-527.89</v>
      </c>
      <c r="V65" s="18" t="n">
        <v>-227.53</v>
      </c>
      <c r="W65" s="18" t="n">
        <v>675.52</v>
      </c>
      <c r="X65" s="18" t="n">
        <v>-39.11</v>
      </c>
      <c r="Y65" s="18" t="n">
        <v>-261.03</v>
      </c>
      <c r="Z65" s="37" t="n">
        <v>147.85</v>
      </c>
      <c r="AA65" s="18" t="n">
        <v>-278.97</v>
      </c>
      <c r="AB65" s="19" t="n">
        <v>1278.46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계속사업이익</t>
        </is>
      </c>
      <c r="E66" s="18" t="n">
        <v>-165.5</v>
      </c>
      <c r="F66" s="9" t="n"/>
      <c r="G66" s="18" t="n">
        <v>-135.54</v>
      </c>
      <c r="H66" s="18" t="n">
        <v>-337.57</v>
      </c>
      <c r="I66" s="18" t="n">
        <v>-314.58</v>
      </c>
      <c r="J66" s="18" t="n">
        <v>-239.23</v>
      </c>
      <c r="K66" s="37" t="n">
        <v>-1026.92</v>
      </c>
      <c r="L66" s="18" t="n">
        <v>290.38</v>
      </c>
      <c r="M66" s="18" t="n">
        <v>-205.64</v>
      </c>
      <c r="N66" s="18" t="n">
        <v>-590.86</v>
      </c>
      <c r="O66" s="18" t="n">
        <v>-272.16</v>
      </c>
      <c r="P66" s="37" t="n">
        <v>-778.28</v>
      </c>
      <c r="Q66" s="18" t="n">
        <v>-216.34</v>
      </c>
      <c r="R66" s="18" t="n">
        <v>29.06</v>
      </c>
      <c r="S66" s="18" t="n">
        <v>-89.09999999999999</v>
      </c>
      <c r="T66" s="18" t="n">
        <v>-251.51</v>
      </c>
      <c r="U66" s="37" t="n">
        <v>-527.89</v>
      </c>
      <c r="V66" s="18" t="n">
        <v>-227.53</v>
      </c>
      <c r="W66" s="18" t="n">
        <v>675.52</v>
      </c>
      <c r="X66" s="18" t="n">
        <v>-39.11</v>
      </c>
      <c r="Y66" s="18" t="n">
        <v>-261.03</v>
      </c>
      <c r="Z66" s="37" t="n">
        <v>147.85</v>
      </c>
      <c r="AA66" s="18" t="n">
        <v>-278.97</v>
      </c>
      <c r="AB66" s="19" t="n">
        <v>1278.46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이자수익</t>
        </is>
      </c>
      <c r="F67" s="9" t="n"/>
      <c r="G67" s="18" t="n">
        <v>79.3</v>
      </c>
      <c r="H67" s="18" t="n">
        <v>64.87</v>
      </c>
      <c r="I67" s="18" t="n">
        <v>65.20999999999999</v>
      </c>
      <c r="J67" s="18" t="n">
        <v>67.84</v>
      </c>
      <c r="K67" s="37" t="n">
        <v>277.22</v>
      </c>
      <c r="L67" s="18" t="n">
        <v>92.64</v>
      </c>
      <c r="M67" s="18" t="n">
        <v>102.92</v>
      </c>
      <c r="N67" s="18" t="n">
        <v>91.67</v>
      </c>
      <c r="O67" s="18" t="n">
        <v>92.76000000000001</v>
      </c>
      <c r="P67" s="37" t="n">
        <v>379.99</v>
      </c>
      <c r="Q67" s="18" t="n">
        <v>92.04000000000001</v>
      </c>
      <c r="R67" s="18" t="n">
        <v>83.8</v>
      </c>
      <c r="S67" s="18" t="n">
        <v>82.34</v>
      </c>
      <c r="T67" s="18" t="n">
        <v>83.75</v>
      </c>
      <c r="U67" s="37" t="n">
        <v>341.93</v>
      </c>
      <c r="V67" s="18" t="n">
        <v>81.38</v>
      </c>
      <c r="W67" s="18" t="n">
        <v>76.89</v>
      </c>
      <c r="X67" s="18" t="n">
        <v>70.7</v>
      </c>
      <c r="Y67" s="18" t="n">
        <v>80.34999999999999</v>
      </c>
      <c r="Z67" s="37" t="n">
        <v>309.32</v>
      </c>
      <c r="AA67" s="18" t="n">
        <v>86.16</v>
      </c>
      <c r="AB67" s="19" t="n">
        <v>58.62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이자비용</t>
        </is>
      </c>
      <c r="F68" s="9" t="n"/>
      <c r="G68" s="18" t="n">
        <v>40.23</v>
      </c>
      <c r="H68" s="18" t="n">
        <v>23.5</v>
      </c>
      <c r="I68" s="18" t="n">
        <v>0.06</v>
      </c>
      <c r="J68" s="18" t="n">
        <v>0.05</v>
      </c>
      <c r="K68" s="37" t="n">
        <v>63.84</v>
      </c>
      <c r="L68" s="18" t="n">
        <v>0.02</v>
      </c>
      <c r="M68" s="18" t="n">
        <v>0.01</v>
      </c>
      <c r="N68" s="18" t="n">
        <v>0</v>
      </c>
      <c r="O68" s="18" t="n">
        <v>0.29</v>
      </c>
      <c r="P68" s="37" t="n">
        <v>0.32</v>
      </c>
      <c r="Q68" s="18" t="n">
        <v>0.57</v>
      </c>
      <c r="R68" s="18" t="n">
        <v>0.53</v>
      </c>
      <c r="S68" s="18" t="n">
        <v>0.51</v>
      </c>
      <c r="T68" s="18" t="n">
        <v>0.47</v>
      </c>
      <c r="U68" s="37" t="n">
        <v>2.08</v>
      </c>
      <c r="V68" s="18" t="n">
        <v>0.44</v>
      </c>
      <c r="W68" s="18" t="n">
        <v>0.4</v>
      </c>
      <c r="X68" s="18" t="n">
        <v>0.36</v>
      </c>
      <c r="Y68" s="18" t="n">
        <v>0.33</v>
      </c>
      <c r="Z68" s="37" t="n">
        <v>1.53</v>
      </c>
      <c r="AA68" s="18" t="n">
        <v>0.29</v>
      </c>
      <c r="AB68" s="19" t="n">
        <v>252.06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외환차익</t>
        </is>
      </c>
      <c r="F69" s="9" t="n"/>
      <c r="G69" s="18" t="n">
        <v>27.57</v>
      </c>
      <c r="H69" s="18" t="n">
        <v>13.62</v>
      </c>
      <c r="I69" s="18" t="n">
        <v>51.73</v>
      </c>
      <c r="J69" s="18" t="n">
        <v>11.09</v>
      </c>
      <c r="K69" s="37" t="n">
        <v>104.01</v>
      </c>
      <c r="L69" s="18" t="n">
        <v>31.2</v>
      </c>
      <c r="M69" s="18" t="n">
        <v>59.96</v>
      </c>
      <c r="N69" s="18" t="n">
        <v>17.95</v>
      </c>
      <c r="O69" s="18" t="n">
        <v>13.95</v>
      </c>
      <c r="P69" s="37" t="n">
        <v>123.06</v>
      </c>
      <c r="Q69" s="18" t="n">
        <v>16.28</v>
      </c>
      <c r="R69" s="18" t="n">
        <v>2.72</v>
      </c>
      <c r="S69" s="18" t="n">
        <v>54.87</v>
      </c>
      <c r="T69" s="18" t="n">
        <v>15.62</v>
      </c>
      <c r="U69" s="37" t="n">
        <v>89.48999999999999</v>
      </c>
      <c r="V69" s="18" t="n">
        <v>30.84</v>
      </c>
      <c r="W69" s="18" t="n">
        <v>17.05</v>
      </c>
      <c r="X69" s="18" t="n">
        <v>1.08</v>
      </c>
      <c r="Y69" s="18" t="n">
        <v>4.6</v>
      </c>
      <c r="Z69" s="37" t="n">
        <v>53.57</v>
      </c>
      <c r="AA69" s="18" t="n">
        <v>45.36</v>
      </c>
      <c r="AB69" s="19" t="n">
        <v>58.93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외환차손</t>
        </is>
      </c>
      <c r="F70" s="9" t="n"/>
      <c r="G70" s="18" t="n">
        <v>4.96</v>
      </c>
      <c r="H70" s="18" t="n">
        <v>28.03</v>
      </c>
      <c r="I70" s="18" t="n">
        <v>6.48</v>
      </c>
      <c r="J70" s="18" t="n">
        <v>20.49</v>
      </c>
      <c r="K70" s="37" t="n">
        <v>59.96</v>
      </c>
      <c r="L70" s="18" t="n">
        <v>0.7</v>
      </c>
      <c r="M70" s="18" t="n">
        <v>31.6</v>
      </c>
      <c r="N70" s="18" t="n">
        <v>31.26</v>
      </c>
      <c r="O70" s="18" t="n">
        <v>19.31</v>
      </c>
      <c r="P70" s="37" t="n">
        <v>82.87</v>
      </c>
      <c r="Q70" s="18" t="n">
        <v>5.82</v>
      </c>
      <c r="R70" s="18" t="n">
        <v>27.54</v>
      </c>
      <c r="S70" s="18" t="n">
        <v>1.19</v>
      </c>
      <c r="T70" s="18" t="n">
        <v>7.6</v>
      </c>
      <c r="U70" s="37" t="n">
        <v>42.15</v>
      </c>
      <c r="V70" s="18" t="n">
        <v>0.91</v>
      </c>
      <c r="W70" s="18" t="n">
        <v>13.64</v>
      </c>
      <c r="X70" s="18" t="n">
        <v>3.59</v>
      </c>
      <c r="Y70" s="18" t="n">
        <v>3.39</v>
      </c>
      <c r="Z70" s="37" t="n">
        <v>21.53</v>
      </c>
      <c r="AA70" s="18" t="n">
        <v>0.65</v>
      </c>
      <c r="AB70" s="19" t="n">
        <v>1.99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외화환산이익</t>
        </is>
      </c>
      <c r="F71" s="9" t="n"/>
      <c r="G71" s="18" t="n">
        <v>4.56</v>
      </c>
      <c r="H71" s="18" t="n">
        <v>32.64</v>
      </c>
      <c r="I71" s="18" t="n">
        <v>64.69</v>
      </c>
      <c r="J71" s="18" t="n">
        <v>-100.36</v>
      </c>
      <c r="K71" s="37" t="n">
        <v>1.53</v>
      </c>
      <c r="L71" s="18" t="n">
        <v>85.72</v>
      </c>
      <c r="M71" s="18" t="n">
        <v>-81.11</v>
      </c>
      <c r="N71" s="18" t="n">
        <v>2.69</v>
      </c>
      <c r="O71" s="18" t="n">
        <v>-6.73</v>
      </c>
      <c r="P71" s="37" t="n">
        <v>0.57</v>
      </c>
      <c r="Q71" s="18" t="n">
        <v>7.78</v>
      </c>
      <c r="R71" s="18" t="n">
        <v>11.01</v>
      </c>
      <c r="S71" s="18" t="n">
        <v>-15.54</v>
      </c>
      <c r="T71" s="18" t="n">
        <v>25.46</v>
      </c>
      <c r="U71" s="37" t="n">
        <v>28.71</v>
      </c>
      <c r="V71" s="18" t="n">
        <v>6.27</v>
      </c>
      <c r="Y71" s="18" t="n">
        <v>4.63</v>
      </c>
      <c r="Z71" s="9" t="n"/>
      <c r="AA71" s="18" t="n">
        <v>41.87</v>
      </c>
      <c r="AB71" s="19" t="n">
        <v>-37.96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외화환산손실</t>
        </is>
      </c>
      <c r="F72" s="9" t="n"/>
      <c r="G72" s="18" t="n">
        <v>11.63</v>
      </c>
      <c r="H72" s="18" t="n">
        <v>0.24</v>
      </c>
      <c r="K72" s="9" t="n"/>
      <c r="L72" s="18" t="n">
        <v>0.11</v>
      </c>
      <c r="M72" s="18" t="n">
        <v>145.74</v>
      </c>
      <c r="N72" s="18" t="n">
        <v>-26.19</v>
      </c>
      <c r="O72" s="18" t="n">
        <v>-35.58</v>
      </c>
      <c r="P72" s="37" t="n">
        <v>84.08</v>
      </c>
      <c r="Q72" s="18" t="n">
        <v>82.78</v>
      </c>
      <c r="R72" s="18" t="n">
        <v>-23.67</v>
      </c>
      <c r="S72" s="18" t="n">
        <v>-53.57</v>
      </c>
      <c r="T72" s="18" t="n">
        <v>-5.41</v>
      </c>
      <c r="U72" s="37" t="n">
        <v>0.13</v>
      </c>
      <c r="V72" s="18" t="n">
        <v>0.07000000000000001</v>
      </c>
      <c r="W72" s="18" t="n">
        <v>38.65</v>
      </c>
      <c r="X72" s="18" t="n">
        <v>-21.27</v>
      </c>
      <c r="Y72" s="18" t="n">
        <v>29.78</v>
      </c>
      <c r="Z72" s="37" t="n">
        <v>47.23</v>
      </c>
      <c r="AA72" s="18" t="n">
        <v>0.01</v>
      </c>
      <c r="AB72" s="19" t="n">
        <v>0.15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이자손익</t>
        </is>
      </c>
      <c r="F73" s="9" t="n"/>
      <c r="G73" s="18" t="n">
        <v>39.07</v>
      </c>
      <c r="H73" s="18" t="n">
        <v>41.37</v>
      </c>
      <c r="I73" s="18" t="n">
        <v>65.15000000000001</v>
      </c>
      <c r="J73" s="18" t="n">
        <v>67.79000000000001</v>
      </c>
      <c r="K73" s="37" t="n">
        <v>213.38</v>
      </c>
      <c r="L73" s="18" t="n">
        <v>92.62</v>
      </c>
      <c r="M73" s="18" t="n">
        <v>102.91</v>
      </c>
      <c r="N73" s="18" t="n">
        <v>91.67</v>
      </c>
      <c r="O73" s="18" t="n">
        <v>92.47</v>
      </c>
      <c r="P73" s="37" t="n">
        <v>379.67</v>
      </c>
      <c r="Q73" s="18" t="n">
        <v>91.47</v>
      </c>
      <c r="R73" s="18" t="n">
        <v>83.27</v>
      </c>
      <c r="S73" s="18" t="n">
        <v>81.83</v>
      </c>
      <c r="T73" s="18" t="n">
        <v>83.28</v>
      </c>
      <c r="U73" s="37" t="n">
        <v>339.85</v>
      </c>
      <c r="V73" s="18" t="n">
        <v>80.94</v>
      </c>
      <c r="W73" s="18" t="n">
        <v>76.48999999999999</v>
      </c>
      <c r="X73" s="18" t="n">
        <v>70.34</v>
      </c>
      <c r="Y73" s="18" t="n">
        <v>80.02</v>
      </c>
      <c r="Z73" s="37" t="n">
        <v>307.79</v>
      </c>
      <c r="AA73" s="18" t="n">
        <v>85.87</v>
      </c>
      <c r="AB73" s="19" t="n">
        <v>-193.44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배당금수익</t>
        </is>
      </c>
      <c r="F74" s="9" t="n"/>
      <c r="I74" s="18" t="n">
        <v>0</v>
      </c>
      <c r="J74" s="18" t="n">
        <v>0.31</v>
      </c>
      <c r="K74" s="9" t="n"/>
      <c r="N74" s="18" t="n">
        <v>1.55</v>
      </c>
      <c r="O74" s="18" t="n">
        <v>0</v>
      </c>
      <c r="P74" s="9" t="n"/>
      <c r="S74" s="18" t="n">
        <v>2.29</v>
      </c>
      <c r="T74" s="18" t="n">
        <v>0.36</v>
      </c>
      <c r="U74" s="9" t="n"/>
      <c r="X74" s="18" t="n">
        <v>0</v>
      </c>
      <c r="Y74" s="18" t="n">
        <v>0</v>
      </c>
      <c r="Z74" s="9" t="n"/>
      <c r="AB74" s="5" t="n"/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영업활동으로인한현금흐름</t>
        </is>
      </c>
      <c r="E75" s="18" t="n">
        <v>327.84</v>
      </c>
      <c r="F75" s="9" t="n"/>
      <c r="G75" s="18" t="n">
        <v>-422.93</v>
      </c>
      <c r="H75" s="18" t="n">
        <v>-147.51</v>
      </c>
      <c r="I75" s="18" t="n">
        <v>467.96</v>
      </c>
      <c r="J75" s="18" t="n">
        <v>-190.8</v>
      </c>
      <c r="K75" s="37" t="n">
        <v>-293.28</v>
      </c>
      <c r="L75" s="18" t="n">
        <v>516.65</v>
      </c>
      <c r="M75" s="18" t="n">
        <v>157.62</v>
      </c>
      <c r="N75" s="18" t="n">
        <v>608.09</v>
      </c>
      <c r="O75" s="18" t="n">
        <v>-277.08</v>
      </c>
      <c r="P75" s="37" t="n">
        <v>1005.28</v>
      </c>
      <c r="Q75" s="18" t="n">
        <v>-432.33</v>
      </c>
      <c r="R75" s="18" t="n">
        <v>-661.6900000000001</v>
      </c>
      <c r="S75" s="18" t="n">
        <v>-178.14</v>
      </c>
      <c r="T75" s="18" t="n">
        <v>358.89</v>
      </c>
      <c r="U75" s="37" t="n">
        <v>-913.27</v>
      </c>
      <c r="V75" s="18" t="n">
        <v>303.32</v>
      </c>
      <c r="W75" s="18" t="n">
        <v>-309.35</v>
      </c>
      <c r="X75" s="18" t="n">
        <v>1293.05</v>
      </c>
      <c r="Y75" s="18" t="n">
        <v>358.16</v>
      </c>
      <c r="Z75" s="37" t="n">
        <v>1645.18</v>
      </c>
      <c r="AA75" s="18" t="n">
        <v>-261.11</v>
      </c>
      <c r="AB75" s="19" t="n">
        <v>-1097.28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법인세납부(CF)</t>
        </is>
      </c>
      <c r="E76" s="18" t="n">
        <v>-4.93</v>
      </c>
      <c r="F76" s="9" t="n"/>
      <c r="G76" s="18" t="n">
        <v>-11.43</v>
      </c>
      <c r="H76" s="18" t="n">
        <v>-5.52</v>
      </c>
      <c r="I76" s="18" t="n">
        <v>-10.54</v>
      </c>
      <c r="J76" s="18" t="n">
        <v>-10.03</v>
      </c>
      <c r="K76" s="37" t="n">
        <v>-37.52</v>
      </c>
      <c r="L76" s="18" t="n">
        <v>-6.57</v>
      </c>
      <c r="M76" s="18" t="n">
        <v>30.56</v>
      </c>
      <c r="N76" s="18" t="n">
        <v>-16.47</v>
      </c>
      <c r="O76" s="18" t="n">
        <v>-18.93</v>
      </c>
      <c r="P76" s="37" t="n">
        <v>-11.41</v>
      </c>
      <c r="Q76" s="18" t="n">
        <v>-12.18</v>
      </c>
      <c r="R76" s="18" t="n">
        <v>40.62</v>
      </c>
      <c r="S76" s="18" t="n">
        <v>-9.85</v>
      </c>
      <c r="T76" s="18" t="n">
        <v>-13.8</v>
      </c>
      <c r="U76" s="37" t="n">
        <v>4.79</v>
      </c>
      <c r="V76" s="18" t="n">
        <v>-12.06</v>
      </c>
      <c r="W76" s="18" t="n">
        <v>45.78</v>
      </c>
      <c r="X76" s="18" t="n">
        <v>-14.72</v>
      </c>
      <c r="Y76" s="18" t="n">
        <v>-12.57</v>
      </c>
      <c r="Z76" s="37" t="n">
        <v>6.43</v>
      </c>
      <c r="AA76" s="18" t="n">
        <v>-6.14</v>
      </c>
      <c r="AB76" s="19" t="n">
        <v>25.99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투자활동으로인한현금흐름</t>
        </is>
      </c>
      <c r="E77" s="18" t="n">
        <v>-9150.440000000001</v>
      </c>
      <c r="F77" s="9" t="n"/>
      <c r="G77" s="18" t="n">
        <v>2585.62</v>
      </c>
      <c r="H77" s="18" t="n">
        <v>2426.08</v>
      </c>
      <c r="I77" s="18" t="n">
        <v>-537.05</v>
      </c>
      <c r="J77" s="18" t="n">
        <v>-4869.25</v>
      </c>
      <c r="K77" s="37" t="n">
        <v>-394.6</v>
      </c>
      <c r="L77" s="18" t="n">
        <v>8028.66</v>
      </c>
      <c r="M77" s="18" t="n">
        <v>1380.69</v>
      </c>
      <c r="N77" s="18" t="n">
        <v>-3131.33</v>
      </c>
      <c r="O77" s="18" t="n">
        <v>-2397.42</v>
      </c>
      <c r="P77" s="37" t="n">
        <v>3880.6</v>
      </c>
      <c r="Q77" s="18" t="n">
        <v>1883.94</v>
      </c>
      <c r="R77" s="18" t="n">
        <v>-1293.13</v>
      </c>
      <c r="S77" s="18" t="n">
        <v>-1636.86</v>
      </c>
      <c r="T77" s="18" t="n">
        <v>973.02</v>
      </c>
      <c r="U77" s="37" t="n">
        <v>-73.03</v>
      </c>
      <c r="V77" s="18" t="n">
        <v>987.2</v>
      </c>
      <c r="W77" s="18" t="n">
        <v>-2079.77</v>
      </c>
      <c r="X77" s="18" t="n">
        <v>3371.33</v>
      </c>
      <c r="Y77" s="18" t="n">
        <v>-4008.86</v>
      </c>
      <c r="Z77" s="37" t="n">
        <v>-1730.1</v>
      </c>
      <c r="AA77" s="18" t="n">
        <v>-1280.2</v>
      </c>
      <c r="AB77" s="19" t="n">
        <v>-767.33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유형자산의증가</t>
        </is>
      </c>
      <c r="E78" s="18" t="n">
        <v>150.44</v>
      </c>
      <c r="F78" s="9" t="n"/>
      <c r="G78" s="18" t="n">
        <v>1541.47</v>
      </c>
      <c r="H78" s="18" t="n">
        <v>566.4</v>
      </c>
      <c r="I78" s="18" t="n">
        <v>1717.94</v>
      </c>
      <c r="J78" s="18" t="n">
        <v>104.77</v>
      </c>
      <c r="K78" s="37" t="n">
        <v>3930.58</v>
      </c>
      <c r="L78" s="18" t="n">
        <v>17.39</v>
      </c>
      <c r="M78" s="18" t="n">
        <v>47.37</v>
      </c>
      <c r="N78" s="18" t="n">
        <v>163.23</v>
      </c>
      <c r="O78" s="18" t="n">
        <v>205.42</v>
      </c>
      <c r="P78" s="37" t="n">
        <v>433.41</v>
      </c>
      <c r="Q78" s="18" t="n">
        <v>33.15</v>
      </c>
      <c r="R78" s="18" t="n">
        <v>87.95</v>
      </c>
      <c r="S78" s="18" t="n">
        <v>624.63</v>
      </c>
      <c r="T78" s="18" t="n">
        <v>30</v>
      </c>
      <c r="U78" s="37" t="n">
        <v>775.73</v>
      </c>
      <c r="V78" s="18" t="n">
        <v>30.65</v>
      </c>
      <c r="W78" s="18" t="n">
        <v>13.1</v>
      </c>
      <c r="X78" s="18" t="n">
        <v>34.25</v>
      </c>
      <c r="Y78" s="18" t="n">
        <v>8.859999999999999</v>
      </c>
      <c r="Z78" s="37" t="n">
        <v>86.86</v>
      </c>
      <c r="AA78" s="18" t="n">
        <v>1310.2</v>
      </c>
      <c r="AB78" s="19" t="n">
        <v>1373.07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CAPEX</t>
        </is>
      </c>
      <c r="E79" s="18" t="n">
        <v>150.44</v>
      </c>
      <c r="F79" s="9" t="n"/>
      <c r="G79" s="18" t="n">
        <v>1541.47</v>
      </c>
      <c r="H79" s="18" t="n">
        <v>573.91</v>
      </c>
      <c r="I79" s="18" t="n">
        <v>1717.94</v>
      </c>
      <c r="J79" s="18" t="n">
        <v>104.77</v>
      </c>
      <c r="K79" s="37" t="n">
        <v>3938.09</v>
      </c>
      <c r="L79" s="18" t="n">
        <v>17.39</v>
      </c>
      <c r="M79" s="18" t="n">
        <v>47.37</v>
      </c>
      <c r="N79" s="18" t="n">
        <v>163.23</v>
      </c>
      <c r="O79" s="18" t="n">
        <v>205.42</v>
      </c>
      <c r="P79" s="37" t="n">
        <v>433.41</v>
      </c>
      <c r="Q79" s="18" t="n">
        <v>33.15</v>
      </c>
      <c r="R79" s="18" t="n">
        <v>87.95</v>
      </c>
      <c r="S79" s="18" t="n">
        <v>624.63</v>
      </c>
      <c r="T79" s="18" t="n">
        <v>30</v>
      </c>
      <c r="U79" s="37" t="n">
        <v>775.73</v>
      </c>
      <c r="V79" s="18" t="n">
        <v>30.65</v>
      </c>
      <c r="W79" s="18" t="n">
        <v>13.1</v>
      </c>
      <c r="X79" s="18" t="n">
        <v>34.25</v>
      </c>
      <c r="Y79" s="18" t="n">
        <v>8.859999999999999</v>
      </c>
      <c r="Z79" s="37" t="n">
        <v>86.86</v>
      </c>
      <c r="AA79" s="18" t="n">
        <v>1310.2</v>
      </c>
      <c r="AB79" s="19" t="n">
        <v>1373.07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재무활동으로인한현금흐름</t>
        </is>
      </c>
      <c r="E80" s="18" t="n">
        <v>10416.96</v>
      </c>
      <c r="F80" s="9" t="n"/>
      <c r="G80" s="18" t="n">
        <v>-2.77</v>
      </c>
      <c r="H80" s="18" t="n">
        <v>-5001.65</v>
      </c>
      <c r="I80" s="18" t="n">
        <v>463.41</v>
      </c>
      <c r="J80" s="18" t="n">
        <v>-1.65</v>
      </c>
      <c r="K80" s="37" t="n">
        <v>-4542.66</v>
      </c>
      <c r="L80" s="18" t="n">
        <v>127.8</v>
      </c>
      <c r="M80" s="18" t="n">
        <v>-0.79</v>
      </c>
      <c r="N80" s="18" t="n">
        <v>0</v>
      </c>
      <c r="O80" s="18" t="n">
        <v>-1.04</v>
      </c>
      <c r="P80" s="37" t="n">
        <v>125.97</v>
      </c>
      <c r="Q80" s="18" t="n">
        <v>92.34999999999999</v>
      </c>
      <c r="R80" s="18" t="n">
        <v>-4.14</v>
      </c>
      <c r="S80" s="18" t="n">
        <v>-2.08</v>
      </c>
      <c r="T80" s="18" t="n">
        <v>-2.08</v>
      </c>
      <c r="U80" s="37" t="n">
        <v>84.05</v>
      </c>
      <c r="V80" s="18" t="n">
        <v>-2.08</v>
      </c>
      <c r="W80" s="18" t="n">
        <v>-2.08</v>
      </c>
      <c r="X80" s="18" t="n">
        <v>70.73</v>
      </c>
      <c r="Y80" s="18" t="n">
        <v>-2.08</v>
      </c>
      <c r="Z80" s="37" t="n">
        <v>64.48999999999999</v>
      </c>
      <c r="AA80" s="18" t="n">
        <v>-2.08</v>
      </c>
      <c r="AB80" s="19" t="n">
        <v>19377.2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유동성장기부채의감소</t>
        </is>
      </c>
      <c r="E81" s="18" t="n">
        <v>0</v>
      </c>
      <c r="F81" s="9" t="n"/>
      <c r="I81" s="18" t="n">
        <v>0</v>
      </c>
      <c r="J81" s="18" t="n">
        <v>0</v>
      </c>
      <c r="K81" s="9" t="n"/>
      <c r="P81" s="9" t="n"/>
      <c r="U81" s="9" t="n"/>
      <c r="Z81" s="9" t="n"/>
      <c r="AB81" s="5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리스부채의상환</t>
        </is>
      </c>
      <c r="E82" s="18" t="n">
        <v>5.03</v>
      </c>
      <c r="F82" s="9" t="n"/>
      <c r="G82" s="18" t="n">
        <v>2.77</v>
      </c>
      <c r="H82" s="18" t="n">
        <v>1.65</v>
      </c>
      <c r="I82" s="18" t="n">
        <v>1.65</v>
      </c>
      <c r="J82" s="18" t="n">
        <v>1.65</v>
      </c>
      <c r="K82" s="37" t="n">
        <v>7.72</v>
      </c>
      <c r="L82" s="18" t="n">
        <v>1.65</v>
      </c>
      <c r="M82" s="18" t="n">
        <v>0.8</v>
      </c>
      <c r="N82" s="18" t="n">
        <v>0</v>
      </c>
      <c r="O82" s="18" t="n">
        <v>1.03</v>
      </c>
      <c r="P82" s="37" t="n">
        <v>3.48</v>
      </c>
      <c r="Q82" s="18" t="n">
        <v>2.08</v>
      </c>
      <c r="R82" s="18" t="n">
        <v>2.08</v>
      </c>
      <c r="S82" s="18" t="n">
        <v>2.07</v>
      </c>
      <c r="T82" s="18" t="n">
        <v>2.08</v>
      </c>
      <c r="U82" s="37" t="n">
        <v>8.31</v>
      </c>
      <c r="V82" s="18" t="n">
        <v>2.08</v>
      </c>
      <c r="W82" s="18" t="n">
        <v>2.08</v>
      </c>
      <c r="X82" s="18" t="n">
        <v>2.07</v>
      </c>
      <c r="Y82" s="18" t="n">
        <v>2.08</v>
      </c>
      <c r="Z82" s="37" t="n">
        <v>8.31</v>
      </c>
      <c r="AA82" s="18" t="n">
        <v>2.08</v>
      </c>
      <c r="AB82" s="19" t="n">
        <v>4.8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현금및현금성자산의증감</t>
        </is>
      </c>
      <c r="E83" s="18" t="n">
        <v>1585.98</v>
      </c>
      <c r="F83" s="9" t="n"/>
      <c r="G83" s="18" t="n">
        <v>2162.61</v>
      </c>
      <c r="H83" s="18" t="n">
        <v>-2701.02</v>
      </c>
      <c r="I83" s="18" t="n">
        <v>459.76</v>
      </c>
      <c r="J83" s="18" t="n">
        <v>-5221.44</v>
      </c>
      <c r="K83" s="37" t="n">
        <v>-5300.09</v>
      </c>
      <c r="L83" s="18" t="n">
        <v>8749.200000000001</v>
      </c>
      <c r="M83" s="18" t="n">
        <v>1331.47</v>
      </c>
      <c r="N83" s="18" t="n">
        <v>-2508.86</v>
      </c>
      <c r="O83" s="18" t="n">
        <v>-2643.93</v>
      </c>
      <c r="P83" s="37" t="n">
        <v>4927.88</v>
      </c>
      <c r="Q83" s="18" t="n">
        <v>1466.86</v>
      </c>
      <c r="R83" s="18" t="n">
        <v>-1922.76</v>
      </c>
      <c r="S83" s="18" t="n">
        <v>-1775.48</v>
      </c>
      <c r="T83" s="18" t="n">
        <v>1351.89</v>
      </c>
      <c r="U83" s="37" t="n">
        <v>-879.49</v>
      </c>
      <c r="V83" s="18" t="n">
        <v>1293.51</v>
      </c>
      <c r="W83" s="18" t="n">
        <v>-2430.94</v>
      </c>
      <c r="X83" s="18" t="n">
        <v>4753.62</v>
      </c>
      <c r="Y83" s="18" t="n">
        <v>-3668.78</v>
      </c>
      <c r="Z83" s="37" t="n">
        <v>-52.59</v>
      </c>
      <c r="AA83" s="18" t="n">
        <v>-1506.82</v>
      </c>
      <c r="AB83" s="19" t="n">
        <v>17477.92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기말현금및현금성자산</t>
        </is>
      </c>
      <c r="E84" s="18" t="n">
        <v>1587.27</v>
      </c>
      <c r="F84" s="9" t="n"/>
      <c r="G84" s="18" t="n">
        <v>11448.72</v>
      </c>
      <c r="H84" s="18" t="n">
        <v>-2701.02</v>
      </c>
      <c r="I84" s="18" t="n">
        <v>459.76</v>
      </c>
      <c r="J84" s="18" t="n">
        <v>-5221.44</v>
      </c>
      <c r="K84" s="37" t="n">
        <v>3986.02</v>
      </c>
      <c r="L84" s="18" t="n">
        <v>12735.22</v>
      </c>
      <c r="M84" s="18" t="n">
        <v>1331.47</v>
      </c>
      <c r="N84" s="18" t="n">
        <v>-2508.86</v>
      </c>
      <c r="O84" s="18" t="n">
        <v>-2643.93</v>
      </c>
      <c r="P84" s="37" t="n">
        <v>8913.9</v>
      </c>
      <c r="Q84" s="18" t="n">
        <v>10380.76</v>
      </c>
      <c r="R84" s="18" t="n">
        <v>-1922.76</v>
      </c>
      <c r="S84" s="18" t="n">
        <v>-1775.48</v>
      </c>
      <c r="T84" s="18" t="n">
        <v>1351.89</v>
      </c>
      <c r="U84" s="37" t="n">
        <v>8034.41</v>
      </c>
      <c r="V84" s="18" t="n">
        <v>9327.91</v>
      </c>
      <c r="W84" s="18" t="n">
        <v>-2430.93</v>
      </c>
      <c r="X84" s="18" t="n">
        <v>4753.62</v>
      </c>
      <c r="Y84" s="18" t="n">
        <v>-3668.78</v>
      </c>
      <c r="Z84" s="37" t="n">
        <v>7981.82</v>
      </c>
      <c r="AA84" s="18" t="n">
        <v>6475</v>
      </c>
      <c r="AB84" s="19" t="n">
        <v>17477.92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유형자산의감소</t>
        </is>
      </c>
      <c r="F85" s="9" t="n"/>
      <c r="G85" s="18" t="n">
        <v>52</v>
      </c>
      <c r="H85" s="18" t="n">
        <v>0</v>
      </c>
      <c r="I85" s="18" t="n">
        <v>0</v>
      </c>
      <c r="J85" s="18" t="n">
        <v>0</v>
      </c>
      <c r="K85" s="37" t="n">
        <v>52</v>
      </c>
      <c r="P85" s="9" t="n"/>
      <c r="U85" s="9" t="n"/>
      <c r="Z85" s="9" t="n"/>
      <c r="AA85" s="18" t="n">
        <v>30</v>
      </c>
      <c r="AB85" s="19" t="n">
        <v>0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배당금수취(CF)</t>
        </is>
      </c>
      <c r="F86" s="9" t="n"/>
      <c r="I86" s="18" t="n">
        <v>0</v>
      </c>
      <c r="J86" s="18" t="n">
        <v>0.31</v>
      </c>
      <c r="K86" s="9" t="n"/>
      <c r="N86" s="18" t="n">
        <v>1.55</v>
      </c>
      <c r="O86" s="18" t="n">
        <v>0</v>
      </c>
      <c r="P86" s="9" t="n"/>
      <c r="U86" s="9" t="n"/>
      <c r="X86" s="18" t="n">
        <v>0</v>
      </c>
      <c r="Y86" s="18" t="n">
        <v>0</v>
      </c>
      <c r="Z86" s="9" t="n"/>
      <c r="AB86" s="5" t="n"/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무형자산의증가</t>
        </is>
      </c>
      <c r="F87" s="9" t="n"/>
      <c r="I87" s="18" t="n">
        <v>0</v>
      </c>
      <c r="J87" s="18" t="n">
        <v>0</v>
      </c>
      <c r="K87" s="9" t="n"/>
      <c r="P87" s="9" t="n"/>
      <c r="U87" s="9" t="n"/>
      <c r="Z87" s="9" t="n"/>
      <c r="AB87" s="5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이자수취(CF)</t>
        </is>
      </c>
      <c r="F88" s="9" t="n"/>
      <c r="K88" s="9" t="n"/>
      <c r="O88" s="18" t="n">
        <v>134.73</v>
      </c>
      <c r="P88" s="9" t="n"/>
      <c r="Q88" s="18" t="n">
        <v>78.48999999999999</v>
      </c>
      <c r="R88" s="18" t="n">
        <v>106.27</v>
      </c>
      <c r="S88" s="18" t="n">
        <v>63.94</v>
      </c>
      <c r="T88" s="18" t="n">
        <v>99.01000000000001</v>
      </c>
      <c r="U88" s="37" t="n">
        <v>347.71</v>
      </c>
      <c r="V88" s="18" t="n">
        <v>84.16</v>
      </c>
      <c r="W88" s="18" t="n">
        <v>35.19</v>
      </c>
      <c r="X88" s="18" t="n">
        <v>95.65000000000001</v>
      </c>
      <c r="Y88" s="18" t="n">
        <v>81.65000000000001</v>
      </c>
      <c r="Z88" s="37" t="n">
        <v>296.65</v>
      </c>
      <c r="AA88" s="18" t="n">
        <v>40.97</v>
      </c>
      <c r="AB88" s="19" t="n">
        <v>126.83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IFERROR(VLOOKUP($D5,BS별도,MATCH(E$1,BS별도H,0),0)/100,"")</f>
        <v/>
      </c>
      <c r="F5" s="37" t="n"/>
      <c r="G5" s="18">
        <f>IFERROR(VLOOKUP($D5,BS별도,MATCH(G$1,BS별도H,0),0)/100,"")</f>
        <v/>
      </c>
      <c r="H5" s="18">
        <f>IFERROR(VLOOKUP($D5,BS별도,MATCH(H$1,BS별도H,0),0)/100,"")</f>
        <v/>
      </c>
      <c r="I5" s="18">
        <f>IFERROR(VLOOKUP($D5,BS별도,MATCH(I$1,BS별도H,0),0)/100,"")</f>
        <v/>
      </c>
      <c r="J5" s="18">
        <f>IFERROR(VLOOKUP($D5,BS별도,MATCH(J$1,BS별도H,0),0)/100,"")</f>
        <v/>
      </c>
      <c r="K5" s="37">
        <f>SUM(G5:J5)</f>
        <v/>
      </c>
      <c r="L5" s="18">
        <f>IFERROR(VLOOKUP($D5,BS별도,MATCH(L$1,BS별도H,0),0)/100,"")</f>
        <v/>
      </c>
      <c r="M5" s="18">
        <f>IFERROR(VLOOKUP($D5,BS별도,MATCH(M$1,BS별도H,0),0)/100,"")</f>
        <v/>
      </c>
      <c r="N5" s="18">
        <f>IFERROR(VLOOKUP($D5,BS별도,MATCH(N$1,BS별도H,0),0)/100,"")</f>
        <v/>
      </c>
      <c r="O5" s="18">
        <f>IFERROR(VLOOKUP($D5,BS별도,MATCH(O$1,BS별도H,0),0)/100,"")</f>
        <v/>
      </c>
      <c r="P5" s="37">
        <f>SUM(L5:O5)</f>
        <v/>
      </c>
      <c r="Q5" s="18">
        <f>IFERROR(VLOOKUP($D5,BS별도,MATCH(Q$1,BS별도H,0),0)/100,"")</f>
        <v/>
      </c>
      <c r="R5" s="18">
        <f>IFERROR(VLOOKUP($D5,BS별도,MATCH(R$1,BS별도H,0),0)/100,"")</f>
        <v/>
      </c>
      <c r="S5" s="18">
        <f>IFERROR(VLOOKUP($D5,BS별도,MATCH(S$1,BS별도H,0),0)/100,"")</f>
        <v/>
      </c>
      <c r="T5" s="18">
        <f>IFERROR(VLOOKUP($D5,BS별도,MATCH(T$1,BS별도H,0),0)/100,"")</f>
        <v/>
      </c>
      <c r="U5" s="37">
        <f>SUM(Q5:T5)</f>
        <v/>
      </c>
      <c r="V5" s="18">
        <f>IFERROR(VLOOKUP($D5,BS별도,MATCH(V$1,BS별도H,0),0)/100,"")</f>
        <v/>
      </c>
      <c r="W5" s="18">
        <f>IFERROR(VLOOKUP($D5,BS별도,MATCH(W$1,BS별도H,0),0)/100,"")</f>
        <v/>
      </c>
      <c r="X5" s="18">
        <f>IFERROR(VLOOKUP($D5,BS별도,MATCH(X$1,BS별도H,0),0)/100,"")</f>
        <v/>
      </c>
      <c r="Y5" s="18">
        <f>IFERROR(VLOOKUP($D5,BS별도,MATCH(Y$1,BS별도H,0),0)/100,"")</f>
        <v/>
      </c>
      <c r="Z5" s="37">
        <f>SUM(V5:Y5)</f>
        <v/>
      </c>
      <c r="AA5" s="18">
        <f>IFERROR(VLOOKUP($D5,BS별도,MATCH(AA$1,BS별도H,0),0)/100,"")</f>
        <v/>
      </c>
      <c r="AB5" s="19">
        <f>IFERROR(VLOOKUP($D5,BS별도,MATCH(AB$1,BS별도H,0),0)/100,"")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IFERROR(VLOOKUP($D6,BS별도,MATCH(E$1,BS별도H,0),0)/100,"")</f>
        <v/>
      </c>
      <c r="F6" s="37" t="n"/>
      <c r="G6" s="18">
        <f>IFERROR(VLOOKUP($D6,BS별도,MATCH(G$1,BS별도H,0),0)/100,"")</f>
        <v/>
      </c>
      <c r="H6" s="18">
        <f>IFERROR(VLOOKUP($D6,BS별도,MATCH(H$1,BS별도H,0),0)/100,"")</f>
        <v/>
      </c>
      <c r="I6" s="18">
        <f>IFERROR(VLOOKUP($D6,BS별도,MATCH(I$1,BS별도H,0),0)/100,"")</f>
        <v/>
      </c>
      <c r="J6" s="18">
        <f>IFERROR(VLOOKUP($D6,BS별도,MATCH(J$1,BS별도H,0),0)/100,"")</f>
        <v/>
      </c>
      <c r="K6" s="37">
        <f>SUM(G6:J6)</f>
        <v/>
      </c>
      <c r="L6" s="18">
        <f>IFERROR(VLOOKUP($D6,BS별도,MATCH(L$1,BS별도H,0),0)/100,"")</f>
        <v/>
      </c>
      <c r="M6" s="18">
        <f>IFERROR(VLOOKUP($D6,BS별도,MATCH(M$1,BS별도H,0),0)/100,"")</f>
        <v/>
      </c>
      <c r="N6" s="18">
        <f>IFERROR(VLOOKUP($D6,BS별도,MATCH(N$1,BS별도H,0),0)/100,"")</f>
        <v/>
      </c>
      <c r="O6" s="18">
        <f>IFERROR(VLOOKUP($D6,BS별도,MATCH(O$1,BS별도H,0),0)/100,"")</f>
        <v/>
      </c>
      <c r="P6" s="37">
        <f>SUM(L6:O6)</f>
        <v/>
      </c>
      <c r="Q6" s="18">
        <f>IFERROR(VLOOKUP($D6,BS별도,MATCH(Q$1,BS별도H,0),0)/100,"")</f>
        <v/>
      </c>
      <c r="R6" s="18">
        <f>IFERROR(VLOOKUP($D6,BS별도,MATCH(R$1,BS별도H,0),0)/100,"")</f>
        <v/>
      </c>
      <c r="S6" s="18">
        <f>IFERROR(VLOOKUP($D6,BS별도,MATCH(S$1,BS별도H,0),0)/100,"")</f>
        <v/>
      </c>
      <c r="T6" s="18">
        <f>IFERROR(VLOOKUP($D6,BS별도,MATCH(T$1,BS별도H,0),0)/100,"")</f>
        <v/>
      </c>
      <c r="U6" s="37">
        <f>SUM(Q6:T6)</f>
        <v/>
      </c>
      <c r="V6" s="18">
        <f>IFERROR(VLOOKUP($D6,BS별도,MATCH(V$1,BS별도H,0),0)/100,"")</f>
        <v/>
      </c>
      <c r="W6" s="18">
        <f>IFERROR(VLOOKUP($D6,BS별도,MATCH(W$1,BS별도H,0),0)/100,"")</f>
        <v/>
      </c>
      <c r="X6" s="18">
        <f>IFERROR(VLOOKUP($D6,BS별도,MATCH(X$1,BS별도H,0),0)/100,"")</f>
        <v/>
      </c>
      <c r="Y6" s="18">
        <f>IFERROR(VLOOKUP($D6,BS별도,MATCH(Y$1,BS별도H,0),0)/100,"")</f>
        <v/>
      </c>
      <c r="Z6" s="37">
        <f>SUM(V6:Y6)</f>
        <v/>
      </c>
      <c r="AA6" s="18">
        <f>IFERROR(VLOOKUP($D6,BS별도,MATCH(AA$1,BS별도H,0),0)/100,"")</f>
        <v/>
      </c>
      <c r="AB6" s="19">
        <f>IFERROR(VLOOKUP($D6,BS별도,MATCH(AB$1,BS별도H,0),0)/100,"")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IFERROR(VLOOKUP($D7,BS별도,MATCH(E$1,BS별도H,0),0)/100,"")</f>
        <v/>
      </c>
      <c r="F7" s="37" t="n"/>
      <c r="G7" s="18">
        <f>IFERROR(VLOOKUP($D7,BS별도,MATCH(G$1,BS별도H,0),0)/100,"")</f>
        <v/>
      </c>
      <c r="H7" s="18">
        <f>IFERROR(VLOOKUP($D7,BS별도,MATCH(H$1,BS별도H,0),0)/100,"")</f>
        <v/>
      </c>
      <c r="I7" s="18">
        <f>IFERROR(VLOOKUP($D7,BS별도,MATCH(I$1,BS별도H,0),0)/100,"")</f>
        <v/>
      </c>
      <c r="J7" s="18">
        <f>IFERROR(VLOOKUP($D7,BS별도,MATCH(J$1,BS별도H,0),0)/100,"")</f>
        <v/>
      </c>
      <c r="K7" s="37">
        <f>SUM(G7:J7)</f>
        <v/>
      </c>
      <c r="L7" s="18">
        <f>IFERROR(VLOOKUP($D7,BS별도,MATCH(L$1,BS별도H,0),0)/100,"")</f>
        <v/>
      </c>
      <c r="M7" s="18">
        <f>IFERROR(VLOOKUP($D7,BS별도,MATCH(M$1,BS별도H,0),0)/100,"")</f>
        <v/>
      </c>
      <c r="N7" s="18">
        <f>IFERROR(VLOOKUP($D7,BS별도,MATCH(N$1,BS별도H,0),0)/100,"")</f>
        <v/>
      </c>
      <c r="O7" s="18">
        <f>IFERROR(VLOOKUP($D7,BS별도,MATCH(O$1,BS별도H,0),0)/100,"")</f>
        <v/>
      </c>
      <c r="P7" s="37">
        <f>SUM(L7:O7)</f>
        <v/>
      </c>
      <c r="Q7" s="18">
        <f>IFERROR(VLOOKUP($D7,BS별도,MATCH(Q$1,BS별도H,0),0)/100,"")</f>
        <v/>
      </c>
      <c r="R7" s="18">
        <f>IFERROR(VLOOKUP($D7,BS별도,MATCH(R$1,BS별도H,0),0)/100,"")</f>
        <v/>
      </c>
      <c r="S7" s="18">
        <f>IFERROR(VLOOKUP($D7,BS별도,MATCH(S$1,BS별도H,0),0)/100,"")</f>
        <v/>
      </c>
      <c r="T7" s="18">
        <f>IFERROR(VLOOKUP($D7,BS별도,MATCH(T$1,BS별도H,0),0)/100,"")</f>
        <v/>
      </c>
      <c r="U7" s="37">
        <f>SUM(Q7:T7)</f>
        <v/>
      </c>
      <c r="V7" s="18">
        <f>IFERROR(VLOOKUP($D7,BS별도,MATCH(V$1,BS별도H,0),0)/100,"")</f>
        <v/>
      </c>
      <c r="W7" s="18">
        <f>IFERROR(VLOOKUP($D7,BS별도,MATCH(W$1,BS별도H,0),0)/100,"")</f>
        <v/>
      </c>
      <c r="X7" s="18">
        <f>IFERROR(VLOOKUP($D7,BS별도,MATCH(X$1,BS별도H,0),0)/100,"")</f>
        <v/>
      </c>
      <c r="Y7" s="18">
        <f>IFERROR(VLOOKUP($D7,BS별도,MATCH(Y$1,BS별도H,0),0)/100,"")</f>
        <v/>
      </c>
      <c r="Z7" s="37">
        <f>SUM(V7:Y7)</f>
        <v/>
      </c>
      <c r="AA7" s="18">
        <f>IFERROR(VLOOKUP($D7,BS별도,MATCH(AA$1,BS별도H,0),0)/100,"")</f>
        <v/>
      </c>
      <c r="AB7" s="19">
        <f>IFERROR(VLOOKUP($D7,BS별도,MATCH(AB$1,BS별도H,0),0)/100,"")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IFERROR(VLOOKUP($D8,BS별도,MATCH(E$1,BS별도H,0),0)/100,"")</f>
        <v/>
      </c>
      <c r="F8" s="37" t="n"/>
      <c r="G8" s="18">
        <f>IFERROR(VLOOKUP($D8,BS별도,MATCH(G$1,BS별도H,0),0)/100,"")</f>
        <v/>
      </c>
      <c r="H8" s="18">
        <f>IFERROR(VLOOKUP($D8,BS별도,MATCH(H$1,BS별도H,0),0)/100,"")</f>
        <v/>
      </c>
      <c r="I8" s="18">
        <f>IFERROR(VLOOKUP($D8,BS별도,MATCH(I$1,BS별도H,0),0)/100,"")</f>
        <v/>
      </c>
      <c r="J8" s="18">
        <f>IFERROR(VLOOKUP($D8,BS별도,MATCH(J$1,BS별도H,0),0)/100,"")</f>
        <v/>
      </c>
      <c r="K8" s="37">
        <f>SUM(G8:J8)</f>
        <v/>
      </c>
      <c r="L8" s="18">
        <f>IFERROR(VLOOKUP($D8,BS별도,MATCH(L$1,BS별도H,0),0)/100,"")</f>
        <v/>
      </c>
      <c r="M8" s="18">
        <f>IFERROR(VLOOKUP($D8,BS별도,MATCH(M$1,BS별도H,0),0)/100,"")</f>
        <v/>
      </c>
      <c r="N8" s="18">
        <f>IFERROR(VLOOKUP($D8,BS별도,MATCH(N$1,BS별도H,0),0)/100,"")</f>
        <v/>
      </c>
      <c r="O8" s="18">
        <f>IFERROR(VLOOKUP($D8,BS별도,MATCH(O$1,BS별도H,0),0)/100,"")</f>
        <v/>
      </c>
      <c r="P8" s="37">
        <f>SUM(L8:O8)</f>
        <v/>
      </c>
      <c r="Q8" s="18">
        <f>IFERROR(VLOOKUP($D8,BS별도,MATCH(Q$1,BS별도H,0),0)/100,"")</f>
        <v/>
      </c>
      <c r="R8" s="18">
        <f>IFERROR(VLOOKUP($D8,BS별도,MATCH(R$1,BS별도H,0),0)/100,"")</f>
        <v/>
      </c>
      <c r="S8" s="18">
        <f>IFERROR(VLOOKUP($D8,BS별도,MATCH(S$1,BS별도H,0),0)/100,"")</f>
        <v/>
      </c>
      <c r="T8" s="18">
        <f>IFERROR(VLOOKUP($D8,BS별도,MATCH(T$1,BS별도H,0),0)/100,"")</f>
        <v/>
      </c>
      <c r="U8" s="37">
        <f>SUM(Q8:T8)</f>
        <v/>
      </c>
      <c r="V8" s="18">
        <f>IFERROR(VLOOKUP($D8,BS별도,MATCH(V$1,BS별도H,0),0)/100,"")</f>
        <v/>
      </c>
      <c r="W8" s="18">
        <f>IFERROR(VLOOKUP($D8,BS별도,MATCH(W$1,BS별도H,0),0)/100,"")</f>
        <v/>
      </c>
      <c r="X8" s="18">
        <f>IFERROR(VLOOKUP($D8,BS별도,MATCH(X$1,BS별도H,0),0)/100,"")</f>
        <v/>
      </c>
      <c r="Y8" s="18">
        <f>IFERROR(VLOOKUP($D8,BS별도,MATCH(Y$1,BS별도H,0),0)/100,"")</f>
        <v/>
      </c>
      <c r="Z8" s="37">
        <f>SUM(V8:Y8)</f>
        <v/>
      </c>
      <c r="AA8" s="18">
        <f>IFERROR(VLOOKUP($D8,BS별도,MATCH(AA$1,BS별도H,0),0)/100,"")</f>
        <v/>
      </c>
      <c r="AB8" s="19">
        <f>IFERROR(VLOOKUP($D8,BS별도,MATCH(AB$1,BS별도H,0),0)/100,"")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IFERROR(VLOOKUP($D9,BS별도,MATCH(E$1,BS별도H,0),0)/100,"")</f>
        <v/>
      </c>
      <c r="F9" s="37" t="n"/>
      <c r="G9" s="18">
        <f>IFERROR(VLOOKUP($D9,BS별도,MATCH(G$1,BS별도H,0),0)/100,"")</f>
        <v/>
      </c>
      <c r="H9" s="18">
        <f>IFERROR(VLOOKUP($D9,BS별도,MATCH(H$1,BS별도H,0),0)/100,"")</f>
        <v/>
      </c>
      <c r="I9" s="18">
        <f>IFERROR(VLOOKUP($D9,BS별도,MATCH(I$1,BS별도H,0),0)/100,"")</f>
        <v/>
      </c>
      <c r="J9" s="18">
        <f>IFERROR(VLOOKUP($D9,BS별도,MATCH(J$1,BS별도H,0),0)/100,"")</f>
        <v/>
      </c>
      <c r="K9" s="37">
        <f>SUM(G9:J9)</f>
        <v/>
      </c>
      <c r="L9" s="18">
        <f>IFERROR(VLOOKUP($D9,BS별도,MATCH(L$1,BS별도H,0),0)/100,"")</f>
        <v/>
      </c>
      <c r="M9" s="18">
        <f>IFERROR(VLOOKUP($D9,BS별도,MATCH(M$1,BS별도H,0),0)/100,"")</f>
        <v/>
      </c>
      <c r="N9" s="18">
        <f>IFERROR(VLOOKUP($D9,BS별도,MATCH(N$1,BS별도H,0),0)/100,"")</f>
        <v/>
      </c>
      <c r="O9" s="18">
        <f>IFERROR(VLOOKUP($D9,BS별도,MATCH(O$1,BS별도H,0),0)/100,"")</f>
        <v/>
      </c>
      <c r="P9" s="37">
        <f>SUM(L9:O9)</f>
        <v/>
      </c>
      <c r="Q9" s="18">
        <f>IFERROR(VLOOKUP($D9,BS별도,MATCH(Q$1,BS별도H,0),0)/100,"")</f>
        <v/>
      </c>
      <c r="R9" s="18">
        <f>IFERROR(VLOOKUP($D9,BS별도,MATCH(R$1,BS별도H,0),0)/100,"")</f>
        <v/>
      </c>
      <c r="S9" s="18">
        <f>IFERROR(VLOOKUP($D9,BS별도,MATCH(S$1,BS별도H,0),0)/100,"")</f>
        <v/>
      </c>
      <c r="T9" s="18">
        <f>IFERROR(VLOOKUP($D9,BS별도,MATCH(T$1,BS별도H,0),0)/100,"")</f>
        <v/>
      </c>
      <c r="U9" s="37">
        <f>SUM(Q9:T9)</f>
        <v/>
      </c>
      <c r="V9" s="18">
        <f>IFERROR(VLOOKUP($D9,BS별도,MATCH(V$1,BS별도H,0),0)/100,"")</f>
        <v/>
      </c>
      <c r="W9" s="18">
        <f>IFERROR(VLOOKUP($D9,BS별도,MATCH(W$1,BS별도H,0),0)/100,"")</f>
        <v/>
      </c>
      <c r="X9" s="18">
        <f>IFERROR(VLOOKUP($D9,BS별도,MATCH(X$1,BS별도H,0),0)/100,"")</f>
        <v/>
      </c>
      <c r="Y9" s="18">
        <f>IFERROR(VLOOKUP($D9,BS별도,MATCH(Y$1,BS별도H,0),0)/100,"")</f>
        <v/>
      </c>
      <c r="Z9" s="37">
        <f>SUM(V9:Y9)</f>
        <v/>
      </c>
      <c r="AA9" s="18">
        <f>IFERROR(VLOOKUP($D9,BS별도,MATCH(AA$1,BS별도H,0),0)/100,"")</f>
        <v/>
      </c>
      <c r="AB9" s="19">
        <f>IFERROR(VLOOKUP($D9,BS별도,MATCH(AB$1,BS별도H,0),0)/100,"")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IFERROR(VLOOKUP($D11,BS별도,MATCH(E$1,BS별도H,0),0)/100,"")</f>
        <v/>
      </c>
      <c r="F11" s="37" t="n"/>
      <c r="G11" s="18">
        <f>IFERROR(VLOOKUP($D11,BS별도,MATCH(G$1,BS별도H,0),0)/100,"")</f>
        <v/>
      </c>
      <c r="H11" s="18">
        <f>IFERROR(VLOOKUP($D11,BS별도,MATCH(H$1,BS별도H,0),0)/100,"")</f>
        <v/>
      </c>
      <c r="I11" s="18">
        <f>IFERROR(VLOOKUP($D11,BS별도,MATCH(I$1,BS별도H,0),0)/100,"")</f>
        <v/>
      </c>
      <c r="J11" s="18">
        <f>IFERROR(VLOOKUP($D11,BS별도,MATCH(J$1,BS별도H,0),0)/100,"")</f>
        <v/>
      </c>
      <c r="K11" s="37">
        <f>SUM(G11:J11)</f>
        <v/>
      </c>
      <c r="L11" s="18">
        <f>IFERROR(VLOOKUP($D11,BS별도,MATCH(L$1,BS별도H,0),0)/100,"")</f>
        <v/>
      </c>
      <c r="M11" s="18">
        <f>IFERROR(VLOOKUP($D11,BS별도,MATCH(M$1,BS별도H,0),0)/100,"")</f>
        <v/>
      </c>
      <c r="N11" s="18">
        <f>IFERROR(VLOOKUP($D11,BS별도,MATCH(N$1,BS별도H,0),0)/100,"")</f>
        <v/>
      </c>
      <c r="O11" s="18">
        <f>IFERROR(VLOOKUP($D11,BS별도,MATCH(O$1,BS별도H,0),0)/100,"")</f>
        <v/>
      </c>
      <c r="P11" s="37">
        <f>SUM(L11:O11)</f>
        <v/>
      </c>
      <c r="Q11" s="18">
        <f>IFERROR(VLOOKUP($D11,BS별도,MATCH(Q$1,BS별도H,0),0)/100,"")</f>
        <v/>
      </c>
      <c r="R11" s="18">
        <f>IFERROR(VLOOKUP($D11,BS별도,MATCH(R$1,BS별도H,0),0)/100,"")</f>
        <v/>
      </c>
      <c r="S11" s="18">
        <f>IFERROR(VLOOKUP($D11,BS별도,MATCH(S$1,BS별도H,0),0)/100,"")</f>
        <v/>
      </c>
      <c r="T11" s="18">
        <f>IFERROR(VLOOKUP($D11,BS별도,MATCH(T$1,BS별도H,0),0)/100,"")</f>
        <v/>
      </c>
      <c r="U11" s="37">
        <f>SUM(Q11:T11)</f>
        <v/>
      </c>
      <c r="V11" s="18">
        <f>IFERROR(VLOOKUP($D11,BS별도,MATCH(V$1,BS별도H,0),0)/100,"")</f>
        <v/>
      </c>
      <c r="W11" s="18">
        <f>IFERROR(VLOOKUP($D11,BS별도,MATCH(W$1,BS별도H,0),0)/100,"")</f>
        <v/>
      </c>
      <c r="X11" s="18">
        <f>IFERROR(VLOOKUP($D11,BS별도,MATCH(X$1,BS별도H,0),0)/100,"")</f>
        <v/>
      </c>
      <c r="Y11" s="18">
        <f>IFERROR(VLOOKUP($D11,BS별도,MATCH(Y$1,BS별도H,0),0)/100,"")</f>
        <v/>
      </c>
      <c r="Z11" s="37">
        <f>SUM(V11:Y11)</f>
        <v/>
      </c>
      <c r="AA11" s="18">
        <f>IFERROR(VLOOKUP($D11,BS별도,MATCH(AA$1,BS별도H,0),0)/100,"")</f>
        <v/>
      </c>
      <c r="AB11" s="19">
        <f>IFERROR(VLOOKUP($D11,BS별도,MATCH(AB$1,BS별도H,0),0)/100,"")</f>
        <v/>
      </c>
      <c r="AC11" s="20">
        <f>IFERROR(AC12+AC13,"")</f>
        <v/>
      </c>
      <c r="AD11" s="20">
        <f>IFERROR(AD12+AD13,"")</f>
        <v/>
      </c>
      <c r="AE11" s="38">
        <f>SUM(AA11:AD11)</f>
        <v/>
      </c>
      <c r="AF11" s="20">
        <f>IFERROR(AF12+AF13,"")</f>
        <v/>
      </c>
      <c r="AG11" s="20">
        <f>IFERROR(AG12+AG13,"")</f>
        <v/>
      </c>
      <c r="AH11" s="20">
        <f>IFERROR(AH12+AH13,"")</f>
        <v/>
      </c>
      <c r="AI11" s="20">
        <f>IFERROR(AI12+AI13,"")</f>
        <v/>
      </c>
      <c r="AJ11" s="38">
        <f>SUM(AF11:AI11)</f>
        <v/>
      </c>
      <c r="AK11" s="20">
        <f>IFERROR(AK12+AK13,"")</f>
        <v/>
      </c>
      <c r="AL11" s="20">
        <f>IFERROR(AL12+AL13,"")</f>
        <v/>
      </c>
      <c r="AM11" s="20">
        <f>IFERROR(AM12+AM13,"")</f>
        <v/>
      </c>
      <c r="AN11" s="20">
        <f>IFERROR(AN12+AN13,"")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IFERROR(VLOOKUP($D12,BS별도,MATCH(G$1,BS별도H,0),0)/100,"")</f>
        <v/>
      </c>
      <c r="H12" s="18">
        <f>IFERROR(VLOOKUP($D12,BS별도,MATCH(H$1,BS별도H,0),0)/100,"")</f>
        <v/>
      </c>
      <c r="I12" s="18">
        <f>IFERROR(VLOOKUP($D12,BS별도,MATCH(I$1,BS별도H,0),0)/100,"")</f>
        <v/>
      </c>
      <c r="J12" s="18">
        <f>IFERROR(VLOOKUP($D12,BS별도,MATCH(J$1,BS별도H,0),0)/100,"")</f>
        <v/>
      </c>
      <c r="K12" s="37">
        <f>SUM(G12:J12)</f>
        <v/>
      </c>
      <c r="L12" s="18">
        <f>IFERROR(VLOOKUP($D12,BS별도,MATCH(L$1,BS별도H,0),0)/100,"")</f>
        <v/>
      </c>
      <c r="M12" s="18">
        <f>IFERROR(VLOOKUP($D12,BS별도,MATCH(M$1,BS별도H,0),0)/100,"")</f>
        <v/>
      </c>
      <c r="N12" s="18">
        <f>IFERROR(VLOOKUP($D12,BS별도,MATCH(N$1,BS별도H,0),0)/100,"")</f>
        <v/>
      </c>
      <c r="O12" s="18">
        <f>IFERROR(VLOOKUP($D12,BS별도,MATCH(O$1,BS별도H,0),0)/100,"")</f>
        <v/>
      </c>
      <c r="P12" s="37">
        <f>SUM(L12:O12)</f>
        <v/>
      </c>
      <c r="Q12" s="18">
        <f>IFERROR(VLOOKUP($D12,BS별도,MATCH(Q$1,BS별도H,0),0)/100,"")</f>
        <v/>
      </c>
      <c r="R12" s="18">
        <f>IFERROR(VLOOKUP($D12,BS별도,MATCH(R$1,BS별도H,0),0)/100,"")</f>
        <v/>
      </c>
      <c r="S12" s="18">
        <f>IFERROR(VLOOKUP($D12,BS별도,MATCH(S$1,BS별도H,0),0)/100,"")</f>
        <v/>
      </c>
      <c r="T12" s="18">
        <f>IFERROR(VLOOKUP($D12,BS별도,MATCH(T$1,BS별도H,0),0)/100,"")</f>
        <v/>
      </c>
      <c r="U12" s="37">
        <f>SUM(Q12:T12)</f>
        <v/>
      </c>
      <c r="V12" s="18">
        <f>IFERROR(VLOOKUP($D12,BS별도,MATCH(V$1,BS별도H,0),0)/100,"")</f>
        <v/>
      </c>
      <c r="W12" s="18">
        <f>IFERROR(VLOOKUP($D12,BS별도,MATCH(W$1,BS별도H,0),0)/100,"")</f>
        <v/>
      </c>
      <c r="X12" s="18">
        <f>IFERROR(VLOOKUP($D12,BS별도,MATCH(X$1,BS별도H,0),0)/100,"")</f>
        <v/>
      </c>
      <c r="Y12" s="18">
        <f>IFERROR(VLOOKUP($D12,BS별도,MATCH(Y$1,BS별도H,0),0)/100,"")</f>
        <v/>
      </c>
      <c r="Z12" s="37">
        <f>SUM(V12:Y12)</f>
        <v/>
      </c>
      <c r="AA12" s="18">
        <f>IFERROR(VLOOKUP($D12,BS별도,MATCH(AA$1,BS별도H,0),0)/100,"")</f>
        <v/>
      </c>
      <c r="AB12" s="19">
        <f>IFERROR(VLOOKUP($D12,BS별도,MATCH(AB$1,BS별도H,0),0)/100,"")</f>
        <v/>
      </c>
      <c r="AC12" s="20">
        <f>IFERROR((AB25*변수!$D$51-AB23*변수!$D$52)/4,"")</f>
        <v/>
      </c>
      <c r="AD12" s="20">
        <f>IFERROR((AC25*변수!$D$51-AC23*변수!$D$52)/4,"")</f>
        <v/>
      </c>
      <c r="AE12" s="38">
        <f>SUM(AA12:AD12)</f>
        <v/>
      </c>
      <c r="AF12" s="20">
        <f>IFERROR((AD25*변수!$D$51-AD23*변수!$D$52)/4,"")</f>
        <v/>
      </c>
      <c r="AG12" s="20">
        <f>IFERROR((AF25*변수!$D$51-AF23*변수!$D$52)/4,"")</f>
        <v/>
      </c>
      <c r="AH12" s="20">
        <f>IFERROR((AG25*변수!$D$51-AG23*변수!$D$52)/4,"")</f>
        <v/>
      </c>
      <c r="AI12" s="20">
        <f>IFERROR((AH25*변수!$D$51-AH23*변수!$D$52)/4,"")</f>
        <v/>
      </c>
      <c r="AJ12" s="38">
        <f>SUM(AF12:AI12)</f>
        <v/>
      </c>
      <c r="AK12" s="20">
        <f>IFERROR((AI25*변수!$D$51-AI23*변수!$D$52)/4,"")</f>
        <v/>
      </c>
      <c r="AL12" s="20">
        <f>IFERROR((AK25*변수!$D$51-AK23*변수!$D$52)/4,"")</f>
        <v/>
      </c>
      <c r="AM12" s="20">
        <f>IFERROR((AL25*변수!$D$51-AL23*변수!$D$52)/4,"")</f>
        <v/>
      </c>
      <c r="AN12" s="20">
        <f>IFERROR((AM25*변수!$D$51-AM23*변수!$D$52)/4,"")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IFERROR((VLOOKUP("외환차익",BS별도,MATCH(G$1,BS별도H,0),0)-VLOOKUP("외환차손",BS별도,MATCH(G$1,BS별도H,0),0)+VLOOKUP("외화환산이익",BS별도,MATCH(G$1,BS별도H,0),0)-VLOOKUP("외화환산손실",BS별도,MATCH(G$1,BS별도H,0),0))/100,"")</f>
        <v/>
      </c>
      <c r="H13" s="18">
        <f>IFERROR((VLOOKUP("외환차익",BS별도,MATCH(H$1,BS별도H,0),0)-VLOOKUP("외환차손",BS별도,MATCH(H$1,BS별도H,0),0)+VLOOKUP("외화환산이익",BS별도,MATCH(H$1,BS별도H,0),0)-VLOOKUP("외화환산손실",BS별도,MATCH(H$1,BS별도H,0),0))/100,"")</f>
        <v/>
      </c>
      <c r="I13" s="18" t="n"/>
      <c r="J13" s="18" t="n"/>
      <c r="K13" s="37">
        <f>SUM(G13:J13)</f>
        <v/>
      </c>
      <c r="L13" s="18">
        <f>IFERROR((VLOOKUP("외환차익",BS별도,MATCH(L$1,BS별도H,0),0)-VLOOKUP("외환차손",BS별도,MATCH(L$1,BS별도H,0),0)+VLOOKUP("외화환산이익",BS별도,MATCH(L$1,BS별도H,0),0)-VLOOKUP("외화환산손실",BS별도,MATCH(L$1,BS별도H,0),0))/100,"")</f>
        <v/>
      </c>
      <c r="M13" s="18">
        <f>IFERROR((VLOOKUP("외환차익",BS별도,MATCH(M$1,BS별도H,0),0)-VLOOKUP("외환차손",BS별도,MATCH(M$1,BS별도H,0),0)+VLOOKUP("외화환산이익",BS별도,MATCH(M$1,BS별도H,0),0)-VLOOKUP("외화환산손실",BS별도,MATCH(M$1,BS별도H,0),0))/100,"")</f>
        <v/>
      </c>
      <c r="N13" s="18">
        <f>IFERROR((VLOOKUP("외환차익",BS별도,MATCH(N$1,BS별도H,0),0)-VLOOKUP("외환차손",BS별도,MATCH(N$1,BS별도H,0),0)+VLOOKUP("외화환산이익",BS별도,MATCH(N$1,BS별도H,0),0)-VLOOKUP("외화환산손실",BS별도,MATCH(N$1,BS별도H,0),0))/100,"")</f>
        <v/>
      </c>
      <c r="O13" s="18">
        <f>IFERROR((VLOOKUP("외환차익",BS별도,MATCH(O$1,BS별도H,0),0)-VLOOKUP("외환차손",BS별도,MATCH(O$1,BS별도H,0),0)+VLOOKUP("외화환산이익",BS별도,MATCH(O$1,BS별도H,0),0)-VLOOKUP("외화환산손실",BS별도,MATCH(O$1,BS별도H,0),0))/100,"")</f>
        <v/>
      </c>
      <c r="P13" s="37">
        <f>SUM(L13:O13)</f>
        <v/>
      </c>
      <c r="Q13" s="18">
        <f>IFERROR((VLOOKUP("외환차익",BS별도,MATCH(Q$1,BS별도H,0),0)-VLOOKUP("외환차손",BS별도,MATCH(Q$1,BS별도H,0),0)+VLOOKUP("외화환산이익",BS별도,MATCH(Q$1,BS별도H,0),0)-VLOOKUP("외화환산손실",BS별도,MATCH(Q$1,BS별도H,0),0))/100,"")</f>
        <v/>
      </c>
      <c r="R13" s="18">
        <f>IFERROR((VLOOKUP("외환차익",BS별도,MATCH(R$1,BS별도H,0),0)-VLOOKUP("외환차손",BS별도,MATCH(R$1,BS별도H,0),0)+VLOOKUP("외화환산이익",BS별도,MATCH(R$1,BS별도H,0),0)-VLOOKUP("외화환산손실",BS별도,MATCH(R$1,BS별도H,0),0))/100,"")</f>
        <v/>
      </c>
      <c r="S13" s="18">
        <f>IFERROR((VLOOKUP("외환차익",BS별도,MATCH(S$1,BS별도H,0),0)-VLOOKUP("외환차손",BS별도,MATCH(S$1,BS별도H,0),0)+VLOOKUP("외화환산이익",BS별도,MATCH(S$1,BS별도H,0),0)-VLOOKUP("외화환산손실",BS별도,MATCH(S$1,BS별도H,0),0))/100,"")</f>
        <v/>
      </c>
      <c r="T13" s="18">
        <f>IFERROR((VLOOKUP("외환차익",BS별도,MATCH(T$1,BS별도H,0),0)-VLOOKUP("외환차손",BS별도,MATCH(T$1,BS별도H,0),0)+VLOOKUP("외화환산이익",BS별도,MATCH(T$1,BS별도H,0),0)-VLOOKUP("외화환산손실",BS별도,MATCH(T$1,BS별도H,0),0))/100,"")</f>
        <v/>
      </c>
      <c r="U13" s="37">
        <f>SUM(Q13:T13)</f>
        <v/>
      </c>
      <c r="V13" s="18">
        <f>IFERROR((VLOOKUP("외환차익",BS별도,MATCH(V$1,BS별도H,0),0)-VLOOKUP("외환차손",BS별도,MATCH(V$1,BS별도H,0),0)+VLOOKUP("외화환산이익",BS별도,MATCH(V$1,BS별도H,0),0)-VLOOKUP("외화환산손실",BS별도,MATCH(V$1,BS별도H,0),0))/100,"")</f>
        <v/>
      </c>
      <c r="W13" s="18" t="n"/>
      <c r="X13" s="18" t="n"/>
      <c r="Y13" s="18">
        <f>IFERROR((VLOOKUP("외환차익",BS별도,MATCH(Y$1,BS별도H,0),0)-VLOOKUP("외환차손",BS별도,MATCH(Y$1,BS별도H,0),0)+VLOOKUP("외화환산이익",BS별도,MATCH(Y$1,BS별도H,0),0)-VLOOKUP("외화환산손실",BS별도,MATCH(Y$1,BS별도H,0),0))/100,"")</f>
        <v/>
      </c>
      <c r="Z13" s="37">
        <f>SUM(V13:Y13)</f>
        <v/>
      </c>
      <c r="AA13" s="18">
        <f>IFERROR((VLOOKUP("외환차익",BS별도,MATCH(AA$1,BS별도H,0),0)-VLOOKUP("외환차손",BS별도,MATCH(AA$1,BS별도H,0),0)+VLOOKUP("외화환산이익",BS별도,MATCH(AA$1,BS별도H,0),0)-VLOOKUP("외화환산손실",BS별도,MATCH(AA$1,BS별도H,0),0))/100,"")</f>
        <v/>
      </c>
      <c r="AB13" s="19">
        <f>IFERROR((VLOOKUP("외환차익",BS별도,MATCH(AB$1,BS별도H,0),0)-VLOOKUP("외환차손",BS별도,MATCH(AB$1,BS별도H,0),0)+VLOOKUP("외화환산이익",BS별도,MATCH(AB$1,BS별도H,0),0)-VLOOKUP("외화환산손실",BS별도,MATCH(AB$1,BS별도H,0),0))/100,"")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기타영업외손익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기타영업외손익</t>
        </is>
      </c>
      <c r="E14" s="18">
        <f>IFERROR(VLOOKUP($D14,BS별도,MATCH(E$1,BS별도H,0),0)/100,"")</f>
        <v/>
      </c>
      <c r="F14" s="37" t="n"/>
      <c r="G14" s="18">
        <f>IFERROR(VLOOKUP($D14,BS별도,MATCH(G$1,BS별도H,0),0)/100,"")</f>
        <v/>
      </c>
      <c r="H14" s="18">
        <f>IFERROR(VLOOKUP($D14,BS별도,MATCH(H$1,BS별도H,0),0)/100,"")</f>
        <v/>
      </c>
      <c r="I14" s="18">
        <f>IFERROR(VLOOKUP($D14,BS별도,MATCH(I$1,BS별도H,0),0)/100,"")</f>
        <v/>
      </c>
      <c r="J14" s="18">
        <f>IFERROR(VLOOKUP($D14,BS별도,MATCH(J$1,BS별도H,0),0)/100,"")</f>
        <v/>
      </c>
      <c r="K14" s="37">
        <f>SUM(G14:J14)</f>
        <v/>
      </c>
      <c r="L14" s="18">
        <f>IFERROR(VLOOKUP($D14,BS별도,MATCH(L$1,BS별도H,0),0)/100,"")</f>
        <v/>
      </c>
      <c r="M14" s="18">
        <f>IFERROR(VLOOKUP($D14,BS별도,MATCH(M$1,BS별도H,0),0)/100,"")</f>
        <v/>
      </c>
      <c r="N14" s="18">
        <f>IFERROR(VLOOKUP($D14,BS별도,MATCH(N$1,BS별도H,0),0)/100,"")</f>
        <v/>
      </c>
      <c r="O14" s="18">
        <f>IFERROR(VLOOKUP($D14,BS별도,MATCH(O$1,BS별도H,0),0)/100,"")</f>
        <v/>
      </c>
      <c r="P14" s="37">
        <f>SUM(L14:O14)</f>
        <v/>
      </c>
      <c r="Q14" s="18">
        <f>IFERROR(VLOOKUP($D14,BS별도,MATCH(Q$1,BS별도H,0),0)/100,"")</f>
        <v/>
      </c>
      <c r="R14" s="18">
        <f>IFERROR(VLOOKUP($D14,BS별도,MATCH(R$1,BS별도H,0),0)/100,"")</f>
        <v/>
      </c>
      <c r="S14" s="18">
        <f>IFERROR(VLOOKUP($D14,BS별도,MATCH(S$1,BS별도H,0),0)/100,"")</f>
        <v/>
      </c>
      <c r="T14" s="18">
        <f>IFERROR(VLOOKUP($D14,BS별도,MATCH(T$1,BS별도H,0),0)/100,"")</f>
        <v/>
      </c>
      <c r="U14" s="37">
        <f>SUM(Q14:T14)</f>
        <v/>
      </c>
      <c r="V14" s="18">
        <f>IFERROR(VLOOKUP($D14,BS별도,MATCH(V$1,BS별도H,0),0)/100,"")</f>
        <v/>
      </c>
      <c r="W14" s="18">
        <f>IFERROR(VLOOKUP($D14,BS별도,MATCH(W$1,BS별도H,0),0)/100,"")</f>
        <v/>
      </c>
      <c r="X14" s="18">
        <f>IFERROR(VLOOKUP($D14,BS별도,MATCH(X$1,BS별도H,0),0)/100,"")</f>
        <v/>
      </c>
      <c r="Y14" s="18">
        <f>IFERROR(VLOOKUP($D14,BS별도,MATCH(Y$1,BS별도H,0),0)/100,"")</f>
        <v/>
      </c>
      <c r="Z14" s="37">
        <f>SUM(V14:Y14)</f>
        <v/>
      </c>
      <c r="AA14" s="18">
        <f>IFERROR(VLOOKUP($D14,BS별도,MATCH(AA$1,BS별도H,0),0)/100,"")</f>
        <v/>
      </c>
      <c r="AB14" s="19">
        <f>IFERROR(VLOOKUP($D14,BS별도,MATCH(AB$1,BS별도H,0),0)/100,"")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세전이익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법인세비용차감전계속사업이익</t>
        </is>
      </c>
      <c r="E15" s="18">
        <f>IFERROR(VLOOKUP($D15,BS별도,MATCH(E$1,BS별도H,0),0)/100,"")</f>
        <v/>
      </c>
      <c r="F15" s="37" t="n"/>
      <c r="G15" s="18">
        <f>IFERROR(VLOOKUP($D15,BS별도,MATCH(G$1,BS별도H,0),0)/100,"")</f>
        <v/>
      </c>
      <c r="H15" s="18">
        <f>IFERROR(VLOOKUP($D15,BS별도,MATCH(H$1,BS별도H,0),0)/100,"")</f>
        <v/>
      </c>
      <c r="I15" s="18">
        <f>IFERROR(VLOOKUP($D15,BS별도,MATCH(I$1,BS별도H,0),0)/100,"")</f>
        <v/>
      </c>
      <c r="J15" s="18">
        <f>IFERROR(VLOOKUP($D15,BS별도,MATCH(J$1,BS별도H,0),0)/100,"")</f>
        <v/>
      </c>
      <c r="K15" s="37">
        <f>SUM(G15:J15)</f>
        <v/>
      </c>
      <c r="L15" s="18">
        <f>IFERROR(VLOOKUP($D15,BS별도,MATCH(L$1,BS별도H,0),0)/100,"")</f>
        <v/>
      </c>
      <c r="M15" s="18">
        <f>IFERROR(VLOOKUP($D15,BS별도,MATCH(M$1,BS별도H,0),0)/100,"")</f>
        <v/>
      </c>
      <c r="N15" s="18">
        <f>IFERROR(VLOOKUP($D15,BS별도,MATCH(N$1,BS별도H,0),0)/100,"")</f>
        <v/>
      </c>
      <c r="O15" s="18">
        <f>IFERROR(VLOOKUP($D15,BS별도,MATCH(O$1,BS별도H,0),0)/100,"")</f>
        <v/>
      </c>
      <c r="P15" s="37">
        <f>SUM(L15:O15)</f>
        <v/>
      </c>
      <c r="Q15" s="18">
        <f>IFERROR(VLOOKUP($D15,BS별도,MATCH(Q$1,BS별도H,0),0)/100,"")</f>
        <v/>
      </c>
      <c r="R15" s="18">
        <f>IFERROR(VLOOKUP($D15,BS별도,MATCH(R$1,BS별도H,0),0)/100,"")</f>
        <v/>
      </c>
      <c r="S15" s="18">
        <f>IFERROR(VLOOKUP($D15,BS별도,MATCH(S$1,BS별도H,0),0)/100,"")</f>
        <v/>
      </c>
      <c r="T15" s="18">
        <f>IFERROR(VLOOKUP($D15,BS별도,MATCH(T$1,BS별도H,0),0)/100,"")</f>
        <v/>
      </c>
      <c r="U15" s="37">
        <f>SUM(Q15:T15)</f>
        <v/>
      </c>
      <c r="V15" s="18">
        <f>IFERROR(VLOOKUP($D15,BS별도,MATCH(V$1,BS별도H,0),0)/100,"")</f>
        <v/>
      </c>
      <c r="W15" s="18">
        <f>IFERROR(VLOOKUP($D15,BS별도,MATCH(W$1,BS별도H,0),0)/100,"")</f>
        <v/>
      </c>
      <c r="X15" s="18">
        <f>IFERROR(VLOOKUP($D15,BS별도,MATCH(X$1,BS별도H,0),0)/100,"")</f>
        <v/>
      </c>
      <c r="Y15" s="18">
        <f>IFERROR(VLOOKUP($D15,BS별도,MATCH(Y$1,BS별도H,0),0)/100,"")</f>
        <v/>
      </c>
      <c r="Z15" s="37">
        <f>SUM(V15:Y15)</f>
        <v/>
      </c>
      <c r="AA15" s="18">
        <f>IFERROR(VLOOKUP($D15,BS별도,MATCH(AA$1,BS별도H,0),0)/100,"")</f>
        <v/>
      </c>
      <c r="AB15" s="19">
        <f>IFERROR(VLOOKUP($D15,BS별도,MATCH(AB$1,BS별도H,0),0)/100,"")</f>
        <v/>
      </c>
      <c r="AC15" s="20">
        <f>IFERROR(AC9+AC11+AC14,"")</f>
        <v/>
      </c>
      <c r="AD15" s="20">
        <f>IFERROR(AD9+AD11+AD14,"")</f>
        <v/>
      </c>
      <c r="AE15" s="38">
        <f>SUM(AA15:AD15)</f>
        <v/>
      </c>
      <c r="AF15" s="20">
        <f>IFERROR(AF9+AF11+AF14,"")</f>
        <v/>
      </c>
      <c r="AG15" s="20">
        <f>IFERROR(AG9+AG11+AG14,"")</f>
        <v/>
      </c>
      <c r="AH15" s="20">
        <f>IFERROR(AH9+AH11+AH14,"")</f>
        <v/>
      </c>
      <c r="AI15" s="20">
        <f>IFERROR(AI9+AI11+AI14,"")</f>
        <v/>
      </c>
      <c r="AJ15" s="38">
        <f>SUM(AF15:AI15)</f>
        <v/>
      </c>
      <c r="AK15" s="20">
        <f>IFERROR(AK9+AK11+AK14,"")</f>
        <v/>
      </c>
      <c r="AL15" s="20">
        <f>IFERROR(AL9+AL11+AL14,"")</f>
        <v/>
      </c>
      <c r="AM15" s="20">
        <f>IFERROR(AM9+AM11+AM14,"")</f>
        <v/>
      </c>
      <c r="AN15" s="20">
        <f>IFERROR(AN9+AN11+AN14,"")</f>
        <v/>
      </c>
      <c r="AO15" s="38">
        <f>SUM(AK15:AN15)</f>
        <v/>
      </c>
    </row>
    <row r="16">
      <c r="A16" s="12" t="inlineStr">
        <is>
          <t>법인세비용</t>
        </is>
      </c>
      <c r="B16" t="inlineStr">
        <is>
          <t>손익</t>
        </is>
      </c>
      <c r="C16" t="inlineStr">
        <is>
          <t>억원</t>
        </is>
      </c>
      <c r="D16" t="inlineStr">
        <is>
          <t>법인세비용</t>
        </is>
      </c>
      <c r="E16" s="18">
        <f>IFERROR(VLOOKUP($D16,BS별도,MATCH(E$1,BS별도H,0),0)/100,"")</f>
        <v/>
      </c>
      <c r="F16" s="37" t="n"/>
      <c r="G16" s="18" t="n"/>
      <c r="H16" s="18" t="n"/>
      <c r="I16" s="18" t="n"/>
      <c r="J16" s="18" t="n"/>
      <c r="K16" s="37">
        <f>SUM(G16:J16)</f>
        <v/>
      </c>
      <c r="L16" s="18" t="n"/>
      <c r="M16" s="18" t="n"/>
      <c r="N16" s="18" t="n"/>
      <c r="O16" s="18" t="n"/>
      <c r="P16" s="37">
        <f>SUM(L16:O16)</f>
        <v/>
      </c>
      <c r="Q16" s="18" t="n"/>
      <c r="R16" s="18" t="n"/>
      <c r="S16" s="18" t="n"/>
      <c r="T16" s="18" t="n"/>
      <c r="U16" s="37">
        <f>SUM(Q16:T16)</f>
        <v/>
      </c>
      <c r="V16" s="18" t="n"/>
      <c r="W16" s="18" t="n"/>
      <c r="X16" s="18" t="n"/>
      <c r="Y16" s="18" t="n"/>
      <c r="Z16" s="37">
        <f>SUM(V16:Y16)</f>
        <v/>
      </c>
      <c r="AA16" s="18" t="n"/>
      <c r="AB16" s="19">
        <f>IFERROR(VLOOKUP($D16,BS별도,MATCH(AB$1,BS별도H,0),0)/100,"")</f>
        <v/>
      </c>
      <c r="AC16" s="20">
        <f>IFERROR(AC15*변수!AC26,"")</f>
        <v/>
      </c>
      <c r="AD16" s="20">
        <f>IFERROR(AD15*변수!AD26,"")</f>
        <v/>
      </c>
      <c r="AE16" s="38">
        <f>SUM(AA16:AD16)</f>
        <v/>
      </c>
      <c r="AF16" s="20">
        <f>IFERROR(AF15*변수!AF26,"")</f>
        <v/>
      </c>
      <c r="AG16" s="20">
        <f>IFERROR(AG15*변수!AG26,"")</f>
        <v/>
      </c>
      <c r="AH16" s="20">
        <f>IFERROR(AH15*변수!AH26,"")</f>
        <v/>
      </c>
      <c r="AI16" s="20">
        <f>IFERROR(AI15*변수!AI26,"")</f>
        <v/>
      </c>
      <c r="AJ16" s="38">
        <f>SUM(AF16:AI16)</f>
        <v/>
      </c>
      <c r="AK16" s="20">
        <f>IFERROR(AK15*변수!AK26,"")</f>
        <v/>
      </c>
      <c r="AL16" s="20">
        <f>IFERROR(AL15*변수!AL26,"")</f>
        <v/>
      </c>
      <c r="AM16" s="20">
        <f>IFERROR(AM15*변수!AM26,"")</f>
        <v/>
      </c>
      <c r="AN16" s="20">
        <f>IFERROR(AN15*변수!AN26,"")</f>
        <v/>
      </c>
      <c r="AO16" s="38">
        <f>SUM(AK16:AN16)</f>
        <v/>
      </c>
    </row>
    <row r="17">
      <c r="A17" s="12" t="inlineStr">
        <is>
          <t>당기순이익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당기순이익</t>
        </is>
      </c>
      <c r="E17" s="18">
        <f>IFERROR(VLOOKUP($D17,BS별도,MATCH(E$1,BS별도H,0),0)/100,"")</f>
        <v/>
      </c>
      <c r="F17" s="37" t="n"/>
      <c r="G17" s="18">
        <f>IFERROR(VLOOKUP($D17,BS별도,MATCH(G$1,BS별도H,0),0)/100,"")</f>
        <v/>
      </c>
      <c r="H17" s="18">
        <f>IFERROR(VLOOKUP($D17,BS별도,MATCH(H$1,BS별도H,0),0)/100,"")</f>
        <v/>
      </c>
      <c r="I17" s="18">
        <f>IFERROR(VLOOKUP($D17,BS별도,MATCH(I$1,BS별도H,0),0)/100,"")</f>
        <v/>
      </c>
      <c r="J17" s="18">
        <f>IFERROR(VLOOKUP($D17,BS별도,MATCH(J$1,BS별도H,0),0)/100,"")</f>
        <v/>
      </c>
      <c r="K17" s="37">
        <f>SUM(G17:J17)</f>
        <v/>
      </c>
      <c r="L17" s="18">
        <f>IFERROR(VLOOKUP($D17,BS별도,MATCH(L$1,BS별도H,0),0)/100,"")</f>
        <v/>
      </c>
      <c r="M17" s="18">
        <f>IFERROR(VLOOKUP($D17,BS별도,MATCH(M$1,BS별도H,0),0)/100,"")</f>
        <v/>
      </c>
      <c r="N17" s="18">
        <f>IFERROR(VLOOKUP($D17,BS별도,MATCH(N$1,BS별도H,0),0)/100,"")</f>
        <v/>
      </c>
      <c r="O17" s="18">
        <f>IFERROR(VLOOKUP($D17,BS별도,MATCH(O$1,BS별도H,0),0)/100,"")</f>
        <v/>
      </c>
      <c r="P17" s="37">
        <f>SUM(L17:O17)</f>
        <v/>
      </c>
      <c r="Q17" s="18">
        <f>IFERROR(VLOOKUP($D17,BS별도,MATCH(Q$1,BS별도H,0),0)/100,"")</f>
        <v/>
      </c>
      <c r="R17" s="18">
        <f>IFERROR(VLOOKUP($D17,BS별도,MATCH(R$1,BS별도H,0),0)/100,"")</f>
        <v/>
      </c>
      <c r="S17" s="18">
        <f>IFERROR(VLOOKUP($D17,BS별도,MATCH(S$1,BS별도H,0),0)/100,"")</f>
        <v/>
      </c>
      <c r="T17" s="18">
        <f>IFERROR(VLOOKUP($D17,BS별도,MATCH(T$1,BS별도H,0),0)/100,"")</f>
        <v/>
      </c>
      <c r="U17" s="37">
        <f>SUM(Q17:T17)</f>
        <v/>
      </c>
      <c r="V17" s="18">
        <f>IFERROR(VLOOKUP($D17,BS별도,MATCH(V$1,BS별도H,0),0)/100,"")</f>
        <v/>
      </c>
      <c r="W17" s="18">
        <f>IFERROR(VLOOKUP($D17,BS별도,MATCH(W$1,BS별도H,0),0)/100,"")</f>
        <v/>
      </c>
      <c r="X17" s="18">
        <f>IFERROR(VLOOKUP($D17,BS별도,MATCH(X$1,BS별도H,0),0)/100,"")</f>
        <v/>
      </c>
      <c r="Y17" s="18">
        <f>IFERROR(VLOOKUP($D17,BS별도,MATCH(Y$1,BS별도H,0),0)/100,"")</f>
        <v/>
      </c>
      <c r="Z17" s="37">
        <f>SUM(V17:Y17)</f>
        <v/>
      </c>
      <c r="AA17" s="18">
        <f>IFERROR(VLOOKUP($D17,BS별도,MATCH(AA$1,BS별도H,0),0)/100,"")</f>
        <v/>
      </c>
      <c r="AB17" s="19">
        <f>IFERROR(VLOOKUP($D17,BS별도,MATCH(AB$1,BS별도H,0),0)/100,"")</f>
        <v/>
      </c>
      <c r="AC17" s="20">
        <f>IFERROR(AC15-AC16,"")</f>
        <v/>
      </c>
      <c r="AD17" s="20">
        <f>IFERROR(AD15-AD16,"")</f>
        <v/>
      </c>
      <c r="AE17" s="38">
        <f>SUM(AA17:AD17)</f>
        <v/>
      </c>
      <c r="AF17" s="20">
        <f>IFERROR(AF15-AF16,"")</f>
        <v/>
      </c>
      <c r="AG17" s="20">
        <f>IFERROR(AG15-AG16,"")</f>
        <v/>
      </c>
      <c r="AH17" s="20">
        <f>IFERROR(AH15-AH16,"")</f>
        <v/>
      </c>
      <c r="AI17" s="20">
        <f>IFERROR(AI15-AI16,"")</f>
        <v/>
      </c>
      <c r="AJ17" s="38">
        <f>SUM(AF17:AI17)</f>
        <v/>
      </c>
      <c r="AK17" s="20">
        <f>IFERROR(AK15-AK16,"")</f>
        <v/>
      </c>
      <c r="AL17" s="20">
        <f>IFERROR(AL15-AL16,"")</f>
        <v/>
      </c>
      <c r="AM17" s="20">
        <f>IFERROR(AM15-AM16,"")</f>
        <v/>
      </c>
      <c r="AN17" s="20">
        <f>IFERROR(AN15-AN16,"")</f>
        <v/>
      </c>
      <c r="AO17" s="38">
        <f>SUM(AK17:AN17)</f>
        <v/>
      </c>
    </row>
    <row r="18">
      <c r="A18" s="12" t="inlineStr">
        <is>
          <t>지배주주순이익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(지배주주지분)당기순이익</t>
        </is>
      </c>
      <c r="E18" s="18">
        <f>IFERROR(VLOOKUP($D18,BS별도,MATCH(E$1,BS별도H,0),0)/100,"")</f>
        <v/>
      </c>
      <c r="F18" s="37" t="n"/>
      <c r="G18" s="18">
        <f>IFERROR(VLOOKUP($D18,BS별도,MATCH(G$1,BS별도H,0),0)/100,"")</f>
        <v/>
      </c>
      <c r="H18" s="18">
        <f>IFERROR(VLOOKUP($D18,BS별도,MATCH(H$1,BS별도H,0),0)/100,"")</f>
        <v/>
      </c>
      <c r="I18" s="18">
        <f>IFERROR(VLOOKUP($D18,BS별도,MATCH(I$1,BS별도H,0),0)/100,"")</f>
        <v/>
      </c>
      <c r="J18" s="18">
        <f>IFERROR(VLOOKUP($D18,BS별도,MATCH(J$1,BS별도H,0),0)/100,"")</f>
        <v/>
      </c>
      <c r="K18" s="37">
        <f>SUM(G18:J18)</f>
        <v/>
      </c>
      <c r="L18" s="18">
        <f>IFERROR(VLOOKUP($D18,BS별도,MATCH(L$1,BS별도H,0),0)/100,"")</f>
        <v/>
      </c>
      <c r="M18" s="18">
        <f>IFERROR(VLOOKUP($D18,BS별도,MATCH(M$1,BS별도H,0),0)/100,"")</f>
        <v/>
      </c>
      <c r="N18" s="18">
        <f>IFERROR(VLOOKUP($D18,BS별도,MATCH(N$1,BS별도H,0),0)/100,"")</f>
        <v/>
      </c>
      <c r="O18" s="18">
        <f>IFERROR(VLOOKUP($D18,BS별도,MATCH(O$1,BS별도H,0),0)/100,"")</f>
        <v/>
      </c>
      <c r="P18" s="37">
        <f>SUM(L18:O18)</f>
        <v/>
      </c>
      <c r="Q18" s="18">
        <f>IFERROR(VLOOKUP($D18,BS별도,MATCH(Q$1,BS별도H,0),0)/100,"")</f>
        <v/>
      </c>
      <c r="R18" s="18">
        <f>IFERROR(VLOOKUP($D18,BS별도,MATCH(R$1,BS별도H,0),0)/100,"")</f>
        <v/>
      </c>
      <c r="S18" s="18">
        <f>IFERROR(VLOOKUP($D18,BS별도,MATCH(S$1,BS별도H,0),0)/100,"")</f>
        <v/>
      </c>
      <c r="T18" s="18">
        <f>IFERROR(VLOOKUP($D18,BS별도,MATCH(T$1,BS별도H,0),0)/100,"")</f>
        <v/>
      </c>
      <c r="U18" s="37">
        <f>SUM(Q18:T18)</f>
        <v/>
      </c>
      <c r="V18" s="18">
        <f>IFERROR(VLOOKUP($D18,BS별도,MATCH(V$1,BS별도H,0),0)/100,"")</f>
        <v/>
      </c>
      <c r="W18" s="18">
        <f>IFERROR(VLOOKUP($D18,BS별도,MATCH(W$1,BS별도H,0),0)/100,"")</f>
        <v/>
      </c>
      <c r="X18" s="18">
        <f>IFERROR(VLOOKUP($D18,BS별도,MATCH(X$1,BS별도H,0),0)/100,"")</f>
        <v/>
      </c>
      <c r="Y18" s="18">
        <f>IFERROR(VLOOKUP($D18,BS별도,MATCH(Y$1,BS별도H,0),0)/100,"")</f>
        <v/>
      </c>
      <c r="Z18" s="37">
        <f>SUM(V18:Y18)</f>
        <v/>
      </c>
      <c r="AA18" s="18">
        <f>IFERROR(VLOOKUP($D18,BS별도,MATCH(AA$1,BS별도H,0),0)/100,"")</f>
        <v/>
      </c>
      <c r="AB18" s="19">
        <f>IFERROR(VLOOKUP($D18,BS별도,MATCH(AB$1,BS별도H,0),0)/100,"")</f>
        <v/>
      </c>
      <c r="AC18" s="20">
        <f>IFERROR(AC17*변수!AC27,"")</f>
        <v/>
      </c>
      <c r="AD18" s="20">
        <f>IFERROR(AD17*변수!AD27,"")</f>
        <v/>
      </c>
      <c r="AE18" s="38">
        <f>SUM(AA18:AD18)</f>
        <v/>
      </c>
      <c r="AF18" s="20">
        <f>IFERROR(AF17*변수!AF27,"")</f>
        <v/>
      </c>
      <c r="AG18" s="20">
        <f>IFERROR(AG17*변수!AG27,"")</f>
        <v/>
      </c>
      <c r="AH18" s="20">
        <f>IFERROR(AH17*변수!AH27,"")</f>
        <v/>
      </c>
      <c r="AI18" s="20">
        <f>IFERROR(AI17*변수!AI27,"")</f>
        <v/>
      </c>
      <c r="AJ18" s="38">
        <f>SUM(AF18:AI18)</f>
        <v/>
      </c>
      <c r="AK18" s="20">
        <f>IFERROR(AK17*변수!AK27,"")</f>
        <v/>
      </c>
      <c r="AL18" s="20">
        <f>IFERROR(AL17*변수!AL27,"")</f>
        <v/>
      </c>
      <c r="AM18" s="20">
        <f>IFERROR(AM17*변수!AM27,"")</f>
        <v/>
      </c>
      <c r="AN18" s="20">
        <f>IFERROR(AN17*변수!AN27,"")</f>
        <v/>
      </c>
      <c r="AO18" s="38">
        <f>SUM(AK18:AN18)</f>
        <v/>
      </c>
    </row>
    <row r="19">
      <c r="A19" s="12" t="inlineStr">
        <is>
          <t>자산총계</t>
        </is>
      </c>
      <c r="B19" t="inlineStr">
        <is>
          <t>재무상태</t>
        </is>
      </c>
      <c r="C19" t="inlineStr">
        <is>
          <t>억원</t>
        </is>
      </c>
      <c r="D19" t="inlineStr">
        <is>
          <t>자산총계</t>
        </is>
      </c>
      <c r="E19" s="18">
        <f>IFERROR(VLOOKUP($D19,BS별도,MATCH(E$1,BS별도H,0),0)/100,"")</f>
        <v/>
      </c>
      <c r="F19" s="37" t="n">
        <v>499.7</v>
      </c>
      <c r="G19" s="18">
        <f>IFERROR(VLOOKUP($D19,BS별도,MATCH(G$1,BS별도H,0),0)/100,"")</f>
        <v/>
      </c>
      <c r="H19" s="18">
        <f>IFERROR(VLOOKUP($D19,BS별도,MATCH(H$1,BS별도H,0),0)/100,"")</f>
        <v/>
      </c>
      <c r="I19" s="18">
        <f>IFERROR(VLOOKUP($D19,BS별도,MATCH(I$1,BS별도H,0),0)/100,"")</f>
        <v/>
      </c>
      <c r="J19" s="18">
        <f>IFERROR(VLOOKUP($D19,BS별도,MATCH(J$1,BS별도H,0),0)/100,"")</f>
        <v/>
      </c>
      <c r="K19" s="37">
        <f>J19</f>
        <v/>
      </c>
      <c r="L19" s="18">
        <f>IFERROR(VLOOKUP($D19,BS별도,MATCH(L$1,BS별도H,0),0)/100,"")</f>
        <v/>
      </c>
      <c r="M19" s="18">
        <f>IFERROR(VLOOKUP($D19,BS별도,MATCH(M$1,BS별도H,0),0)/100,"")</f>
        <v/>
      </c>
      <c r="N19" s="18">
        <f>IFERROR(VLOOKUP($D19,BS별도,MATCH(N$1,BS별도H,0),0)/100,"")</f>
        <v/>
      </c>
      <c r="O19" s="18">
        <f>IFERROR(VLOOKUP($D19,BS별도,MATCH(O$1,BS별도H,0),0)/100,"")</f>
        <v/>
      </c>
      <c r="P19" s="37">
        <f>O19</f>
        <v/>
      </c>
      <c r="Q19" s="18">
        <f>IFERROR(VLOOKUP($D19,BS별도,MATCH(Q$1,BS별도H,0),0)/100,"")</f>
        <v/>
      </c>
      <c r="R19" s="18">
        <f>IFERROR(VLOOKUP($D19,BS별도,MATCH(R$1,BS별도H,0),0)/100,"")</f>
        <v/>
      </c>
      <c r="S19" s="18">
        <f>IFERROR(VLOOKUP($D19,BS별도,MATCH(S$1,BS별도H,0),0)/100,"")</f>
        <v/>
      </c>
      <c r="T19" s="18">
        <f>IFERROR(VLOOKUP($D19,BS별도,MATCH(T$1,BS별도H,0),0)/100,"")</f>
        <v/>
      </c>
      <c r="U19" s="37">
        <f>T19</f>
        <v/>
      </c>
      <c r="V19" s="18">
        <f>IFERROR(VLOOKUP($D19,BS별도,MATCH(V$1,BS별도H,0),0)/100,"")</f>
        <v/>
      </c>
      <c r="W19" s="18">
        <f>IFERROR(VLOOKUP($D19,BS별도,MATCH(W$1,BS별도H,0),0)/100,"")</f>
        <v/>
      </c>
      <c r="X19" s="18">
        <f>IFERROR(VLOOKUP($D19,BS별도,MATCH(X$1,BS별도H,0),0)/100,"")</f>
        <v/>
      </c>
      <c r="Y19" s="18">
        <f>IFERROR(VLOOKUP($D19,BS별도,MATCH(Y$1,BS별도H,0),0)/100,"")</f>
        <v/>
      </c>
      <c r="Z19" s="37">
        <f>Y19</f>
        <v/>
      </c>
      <c r="AA19" s="18">
        <f>IFERROR(VLOOKUP($D19,BS별도,MATCH(AA$1,BS별도H,0),0)/100,"")</f>
        <v/>
      </c>
      <c r="AB19" s="19">
        <f>IFERROR(VLOOKUP($D19,BS별도,MATCH(AB$1,BS별도H,0),0)/100,"")</f>
        <v/>
      </c>
      <c r="AC19" s="20">
        <f>IFERROR(AC20+AC21,"")</f>
        <v/>
      </c>
      <c r="AD19" s="20">
        <f>IFERROR(AD20+AD21,"")</f>
        <v/>
      </c>
      <c r="AE19" s="38">
        <f>AD19</f>
        <v/>
      </c>
      <c r="AF19" s="20">
        <f>IFERROR(AF20+AF21,"")</f>
        <v/>
      </c>
      <c r="AG19" s="20">
        <f>IFERROR(AG20+AG21,"")</f>
        <v/>
      </c>
      <c r="AH19" s="20">
        <f>IFERROR(AH20+AH21,"")</f>
        <v/>
      </c>
      <c r="AI19" s="20">
        <f>IFERROR(AI20+AI21,"")</f>
        <v/>
      </c>
      <c r="AJ19" s="38">
        <f>AI19</f>
        <v/>
      </c>
      <c r="AK19" s="20">
        <f>IFERROR(AK20+AK21,"")</f>
        <v/>
      </c>
      <c r="AL19" s="20">
        <f>IFERROR(AL20+AL21,"")</f>
        <v/>
      </c>
      <c r="AM19" s="20">
        <f>IFERROR(AM20+AM21,"")</f>
        <v/>
      </c>
      <c r="AN19" s="20">
        <f>IFERROR(AN20+AN21,"")</f>
        <v/>
      </c>
      <c r="AO19" s="38">
        <f>AN19</f>
        <v/>
      </c>
    </row>
    <row r="20">
      <c r="A20" s="12" t="inlineStr">
        <is>
          <t>부채총계</t>
        </is>
      </c>
      <c r="B20" t="inlineStr">
        <is>
          <t>재무상태</t>
        </is>
      </c>
      <c r="C20" t="inlineStr">
        <is>
          <t>억원</t>
        </is>
      </c>
      <c r="D20" t="inlineStr">
        <is>
          <t>부채총계</t>
        </is>
      </c>
      <c r="E20" s="18">
        <f>IFERROR(VLOOKUP($D20,BS별도,MATCH(E$1,BS별도H,0),0)/100,"")</f>
        <v/>
      </c>
      <c r="F20" s="37" t="n">
        <v>90.45999999999999</v>
      </c>
      <c r="G20" s="18">
        <f>IFERROR(VLOOKUP($D20,BS별도,MATCH(G$1,BS별도H,0),0)/100,"")</f>
        <v/>
      </c>
      <c r="H20" s="18">
        <f>IFERROR(VLOOKUP($D20,BS별도,MATCH(H$1,BS별도H,0),0)/100,"")</f>
        <v/>
      </c>
      <c r="I20" s="18">
        <f>IFERROR(VLOOKUP($D20,BS별도,MATCH(I$1,BS별도H,0),0)/100,"")</f>
        <v/>
      </c>
      <c r="J20" s="18">
        <f>IFERROR(VLOOKUP($D20,BS별도,MATCH(J$1,BS별도H,0),0)/100,"")</f>
        <v/>
      </c>
      <c r="K20" s="37">
        <f>J20</f>
        <v/>
      </c>
      <c r="L20" s="18">
        <f>IFERROR(VLOOKUP($D20,BS별도,MATCH(L$1,BS별도H,0),0)/100,"")</f>
        <v/>
      </c>
      <c r="M20" s="18">
        <f>IFERROR(VLOOKUP($D20,BS별도,MATCH(M$1,BS별도H,0),0)/100,"")</f>
        <v/>
      </c>
      <c r="N20" s="18">
        <f>IFERROR(VLOOKUP($D20,BS별도,MATCH(N$1,BS별도H,0),0)/100,"")</f>
        <v/>
      </c>
      <c r="O20" s="18">
        <f>IFERROR(VLOOKUP($D20,BS별도,MATCH(O$1,BS별도H,0),0)/100,"")</f>
        <v/>
      </c>
      <c r="P20" s="37">
        <f>O20</f>
        <v/>
      </c>
      <c r="Q20" s="18">
        <f>IFERROR(VLOOKUP($D20,BS별도,MATCH(Q$1,BS별도H,0),0)/100,"")</f>
        <v/>
      </c>
      <c r="R20" s="18">
        <f>IFERROR(VLOOKUP($D20,BS별도,MATCH(R$1,BS별도H,0),0)/100,"")</f>
        <v/>
      </c>
      <c r="S20" s="18">
        <f>IFERROR(VLOOKUP($D20,BS별도,MATCH(S$1,BS별도H,0),0)/100,"")</f>
        <v/>
      </c>
      <c r="T20" s="18">
        <f>IFERROR(VLOOKUP($D20,BS별도,MATCH(T$1,BS별도H,0),0)/100,"")</f>
        <v/>
      </c>
      <c r="U20" s="37">
        <f>T20</f>
        <v/>
      </c>
      <c r="V20" s="18">
        <f>IFERROR(VLOOKUP($D20,BS별도,MATCH(V$1,BS별도H,0),0)/100,"")</f>
        <v/>
      </c>
      <c r="W20" s="18">
        <f>IFERROR(VLOOKUP($D20,BS별도,MATCH(W$1,BS별도H,0),0)/100,"")</f>
        <v/>
      </c>
      <c r="X20" s="18">
        <f>IFERROR(VLOOKUP($D20,BS별도,MATCH(X$1,BS별도H,0),0)/100,"")</f>
        <v/>
      </c>
      <c r="Y20" s="18">
        <f>IFERROR(VLOOKUP($D20,BS별도,MATCH(Y$1,BS별도H,0),0)/100,"")</f>
        <v/>
      </c>
      <c r="Z20" s="37">
        <f>Y20</f>
        <v/>
      </c>
      <c r="AA20" s="18">
        <f>IFERROR(VLOOKUP($D20,BS별도,MATCH(AA$1,BS별도H,0),0)/100,"")</f>
        <v/>
      </c>
      <c r="AB20" s="19">
        <f>IFERROR(VLOOKUP($D20,BS별도,MATCH(AB$1,BS별도H,0),0)/100,"")</f>
        <v/>
      </c>
      <c r="AC20" s="20">
        <f>IFERROR(AB20*(1+변수!AC28),"")</f>
        <v/>
      </c>
      <c r="AD20" s="20">
        <f>IFERROR(AC20*(1+변수!AD28),"")</f>
        <v/>
      </c>
      <c r="AE20" s="38">
        <f>AD20</f>
        <v/>
      </c>
      <c r="AF20" s="20">
        <f>IFERROR(AD20*(1+변수!AF28),"")</f>
        <v/>
      </c>
      <c r="AG20" s="20">
        <f>IFERROR(AF20*(1+변수!AG28),"")</f>
        <v/>
      </c>
      <c r="AH20" s="20">
        <f>IFERROR(AG20*(1+변수!AH28),"")</f>
        <v/>
      </c>
      <c r="AI20" s="20">
        <f>IFERROR(AH20*(1+변수!AI28),"")</f>
        <v/>
      </c>
      <c r="AJ20" s="38">
        <f>AI20</f>
        <v/>
      </c>
      <c r="AK20" s="20">
        <f>IFERROR(AI20*(1+변수!AK28),"")</f>
        <v/>
      </c>
      <c r="AL20" s="20">
        <f>IFERROR(AK20*(1+변수!AL28),"")</f>
        <v/>
      </c>
      <c r="AM20" s="20">
        <f>IFERROR(AL20*(1+변수!AM28),"")</f>
        <v/>
      </c>
      <c r="AN20" s="20">
        <f>IFERROR(AM20*(1+변수!AN28),"")</f>
        <v/>
      </c>
      <c r="AO20" s="38">
        <f>AN20</f>
        <v/>
      </c>
    </row>
    <row r="21">
      <c r="A21" s="12" t="inlineStr">
        <is>
          <t>자본총계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자본총계</t>
        </is>
      </c>
      <c r="E21" s="18">
        <f>IFERROR(VLOOKUP($D21,BS별도,MATCH(E$1,BS별도H,0),0)/100,"")</f>
        <v/>
      </c>
      <c r="F21" s="37" t="n">
        <v>409.24</v>
      </c>
      <c r="G21" s="18">
        <f>IFERROR(VLOOKUP($D21,BS별도,MATCH(G$1,BS별도H,0),0)/100,"")</f>
        <v/>
      </c>
      <c r="H21" s="18">
        <f>IFERROR(VLOOKUP($D21,BS별도,MATCH(H$1,BS별도H,0),0)/100,"")</f>
        <v/>
      </c>
      <c r="I21" s="18">
        <f>IFERROR(VLOOKUP($D21,BS별도,MATCH(I$1,BS별도H,0),0)/100,"")</f>
        <v/>
      </c>
      <c r="J21" s="18">
        <f>IFERROR(VLOOKUP($D21,BS별도,MATCH(J$1,BS별도H,0),0)/100,"")</f>
        <v/>
      </c>
      <c r="K21" s="37">
        <f>J21</f>
        <v/>
      </c>
      <c r="L21" s="18">
        <f>IFERROR(VLOOKUP($D21,BS별도,MATCH(L$1,BS별도H,0),0)/100,"")</f>
        <v/>
      </c>
      <c r="M21" s="18">
        <f>IFERROR(VLOOKUP($D21,BS별도,MATCH(M$1,BS별도H,0),0)/100,"")</f>
        <v/>
      </c>
      <c r="N21" s="18">
        <f>IFERROR(VLOOKUP($D21,BS별도,MATCH(N$1,BS별도H,0),0)/100,"")</f>
        <v/>
      </c>
      <c r="O21" s="18">
        <f>IFERROR(VLOOKUP($D21,BS별도,MATCH(O$1,BS별도H,0),0)/100,"")</f>
        <v/>
      </c>
      <c r="P21" s="37">
        <f>O21</f>
        <v/>
      </c>
      <c r="Q21" s="18">
        <f>IFERROR(VLOOKUP($D21,BS별도,MATCH(Q$1,BS별도H,0),0)/100,"")</f>
        <v/>
      </c>
      <c r="R21" s="18">
        <f>IFERROR(VLOOKUP($D21,BS별도,MATCH(R$1,BS별도H,0),0)/100,"")</f>
        <v/>
      </c>
      <c r="S21" s="18">
        <f>IFERROR(VLOOKUP($D21,BS별도,MATCH(S$1,BS별도H,0),0)/100,"")</f>
        <v/>
      </c>
      <c r="T21" s="18">
        <f>IFERROR(VLOOKUP($D21,BS별도,MATCH(T$1,BS별도H,0),0)/100,"")</f>
        <v/>
      </c>
      <c r="U21" s="37">
        <f>T21</f>
        <v/>
      </c>
      <c r="V21" s="18">
        <f>IFERROR(VLOOKUP($D21,BS별도,MATCH(V$1,BS별도H,0),0)/100,"")</f>
        <v/>
      </c>
      <c r="W21" s="18">
        <f>IFERROR(VLOOKUP($D21,BS별도,MATCH(W$1,BS별도H,0),0)/100,"")</f>
        <v/>
      </c>
      <c r="X21" s="18">
        <f>IFERROR(VLOOKUP($D21,BS별도,MATCH(X$1,BS별도H,0),0)/100,"")</f>
        <v/>
      </c>
      <c r="Y21" s="18">
        <f>IFERROR(VLOOKUP($D21,BS별도,MATCH(Y$1,BS별도H,0),0)/100,"")</f>
        <v/>
      </c>
      <c r="Z21" s="37">
        <f>Y21</f>
        <v/>
      </c>
      <c r="AA21" s="18">
        <f>IFERROR(VLOOKUP($D21,BS별도,MATCH(AA$1,BS별도H,0),0)/100,"")</f>
        <v/>
      </c>
      <c r="AB21" s="19">
        <f>IFERROR(VLOOKUP($D21,BS별도,MATCH(AB$1,BS별도H,0),0)/100,"")</f>
        <v/>
      </c>
      <c r="AC21" s="20">
        <f>IFERROR(AB21+AC17-변수!AC29,"")</f>
        <v/>
      </c>
      <c r="AD21" s="20">
        <f>IFERROR(AC21+AD17-변수!AD29,"")</f>
        <v/>
      </c>
      <c r="AE21" s="38">
        <f>AD21</f>
        <v/>
      </c>
      <c r="AF21" s="20">
        <f>IFERROR(AD21+AF17-변수!AF29,"")</f>
        <v/>
      </c>
      <c r="AG21" s="20">
        <f>IFERROR(AF21+AG17-변수!AG29,"")</f>
        <v/>
      </c>
      <c r="AH21" s="20">
        <f>IFERROR(AG21+AH17-변수!AH29,"")</f>
        <v/>
      </c>
      <c r="AI21" s="20">
        <f>IFERROR(AH21+AI17-변수!AI29,"")</f>
        <v/>
      </c>
      <c r="AJ21" s="38">
        <f>AI21</f>
        <v/>
      </c>
      <c r="AK21" s="20">
        <f>IFERROR(AI21+AK17-변수!AK29,"")</f>
        <v/>
      </c>
      <c r="AL21" s="20">
        <f>IFERROR(AK21+AL17-변수!AL29,"")</f>
        <v/>
      </c>
      <c r="AM21" s="20">
        <f>IFERROR(AL21+AM17-변수!AM29,"")</f>
        <v/>
      </c>
      <c r="AN21" s="20">
        <f>IFERROR(AM21+AN17-변수!AN29,"")</f>
        <v/>
      </c>
      <c r="AO21" s="38">
        <f>AN21</f>
        <v/>
      </c>
    </row>
    <row r="22">
      <c r="A22" s="12" t="inlineStr">
        <is>
          <t>지배주주지분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지배주주지분</t>
        </is>
      </c>
      <c r="E22" s="18">
        <f>IFERROR(VLOOKUP($D22,BS별도,MATCH(E$1,BS별도H,0),0)/100,"")</f>
        <v/>
      </c>
      <c r="F22" s="37" t="n">
        <v>409.24</v>
      </c>
      <c r="G22" s="18">
        <f>IFERROR(VLOOKUP($D22,BS별도,MATCH(G$1,BS별도H,0),0)/100,"")</f>
        <v/>
      </c>
      <c r="H22" s="18">
        <f>IFERROR(VLOOKUP($D22,BS별도,MATCH(H$1,BS별도H,0),0)/100,"")</f>
        <v/>
      </c>
      <c r="I22" s="18">
        <f>IFERROR(VLOOKUP($D22,BS별도,MATCH(I$1,BS별도H,0),0)/100,"")</f>
        <v/>
      </c>
      <c r="J22" s="18">
        <f>IFERROR(VLOOKUP($D22,BS별도,MATCH(J$1,BS별도H,0),0)/100,"")</f>
        <v/>
      </c>
      <c r="K22" s="37">
        <f>J22</f>
        <v/>
      </c>
      <c r="L22" s="18">
        <f>IFERROR(VLOOKUP($D22,BS별도,MATCH(L$1,BS별도H,0),0)/100,"")</f>
        <v/>
      </c>
      <c r="M22" s="18">
        <f>IFERROR(VLOOKUP($D22,BS별도,MATCH(M$1,BS별도H,0),0)/100,"")</f>
        <v/>
      </c>
      <c r="N22" s="18">
        <f>IFERROR(VLOOKUP($D22,BS별도,MATCH(N$1,BS별도H,0),0)/100,"")</f>
        <v/>
      </c>
      <c r="O22" s="18">
        <f>IFERROR(VLOOKUP($D22,BS별도,MATCH(O$1,BS별도H,0),0)/100,"")</f>
        <v/>
      </c>
      <c r="P22" s="37">
        <f>O22</f>
        <v/>
      </c>
      <c r="Q22" s="18">
        <f>IFERROR(VLOOKUP($D22,BS별도,MATCH(Q$1,BS별도H,0),0)/100,"")</f>
        <v/>
      </c>
      <c r="R22" s="18">
        <f>IFERROR(VLOOKUP($D22,BS별도,MATCH(R$1,BS별도H,0),0)/100,"")</f>
        <v/>
      </c>
      <c r="S22" s="18">
        <f>IFERROR(VLOOKUP($D22,BS별도,MATCH(S$1,BS별도H,0),0)/100,"")</f>
        <v/>
      </c>
      <c r="T22" s="18">
        <f>IFERROR(VLOOKUP($D22,BS별도,MATCH(T$1,BS별도H,0),0)/100,"")</f>
        <v/>
      </c>
      <c r="U22" s="37">
        <f>T22</f>
        <v/>
      </c>
      <c r="V22" s="18">
        <f>IFERROR(VLOOKUP($D22,BS별도,MATCH(V$1,BS별도H,0),0)/100,"")</f>
        <v/>
      </c>
      <c r="W22" s="18">
        <f>IFERROR(VLOOKUP($D22,BS별도,MATCH(W$1,BS별도H,0),0)/100,"")</f>
        <v/>
      </c>
      <c r="X22" s="18">
        <f>IFERROR(VLOOKUP($D22,BS별도,MATCH(X$1,BS별도H,0),0)/100,"")</f>
        <v/>
      </c>
      <c r="Y22" s="18">
        <f>IFERROR(VLOOKUP($D22,BS별도,MATCH(Y$1,BS별도H,0),0)/100,"")</f>
        <v/>
      </c>
      <c r="Z22" s="37">
        <f>Y22</f>
        <v/>
      </c>
      <c r="AA22" s="18">
        <f>IFERROR(VLOOKUP($D22,BS별도,MATCH(AA$1,BS별도H,0),0)/100,"")</f>
        <v/>
      </c>
      <c r="AB22" s="19">
        <f>IFERROR(VLOOKUP($D22,BS별도,MATCH(AB$1,BS별도H,0),0)/100,"")</f>
        <v/>
      </c>
      <c r="AC22" s="20">
        <f>IFERROR(AB22+AC18-변수!AC30,"")</f>
        <v/>
      </c>
      <c r="AD22" s="20">
        <f>IFERROR(AC22+AD18-변수!AD30,"")</f>
        <v/>
      </c>
      <c r="AE22" s="38">
        <f>AD22</f>
        <v/>
      </c>
      <c r="AF22" s="20">
        <f>IFERROR(AD22+AF18-변수!AF30,"")</f>
        <v/>
      </c>
      <c r="AG22" s="20">
        <f>IFERROR(AF22+AG18-변수!AG30,"")</f>
        <v/>
      </c>
      <c r="AH22" s="20">
        <f>IFERROR(AG22+AH18-변수!AH30,"")</f>
        <v/>
      </c>
      <c r="AI22" s="20">
        <f>IFERROR(AH22+AI18-변수!AI30,"")</f>
        <v/>
      </c>
      <c r="AJ22" s="38">
        <f>AI22</f>
        <v/>
      </c>
      <c r="AK22" s="20">
        <f>IFERROR(AI22+AK18-변수!AK30,"")</f>
        <v/>
      </c>
      <c r="AL22" s="20">
        <f>IFERROR(AK22+AL18-변수!AL30,"")</f>
        <v/>
      </c>
      <c r="AM22" s="20">
        <f>IFERROR(AL22+AM18-변수!AM30,"")</f>
        <v/>
      </c>
      <c r="AN22" s="20">
        <f>IFERROR(AM22+AN18-변수!AN30,"")</f>
        <v/>
      </c>
      <c r="AO22" s="38">
        <f>AN22</f>
        <v/>
      </c>
    </row>
    <row r="23">
      <c r="A23" s="12" t="inlineStr">
        <is>
          <t>총차입금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총차입금</t>
        </is>
      </c>
      <c r="E23" s="18">
        <f>IFERROR(VLOOKUP($D23,BS별도,MATCH(E$1,BS별도H,0),0)/100,"")</f>
        <v/>
      </c>
      <c r="F23" s="37" t="n">
        <v>50</v>
      </c>
      <c r="G23" s="18">
        <f>IFERROR(VLOOKUP($D23,BS별도,MATCH(G$1,BS별도H,0),0)/100,"")</f>
        <v/>
      </c>
      <c r="H23" s="18" t="n"/>
      <c r="I23" s="18" t="n"/>
      <c r="J23" s="18" t="n"/>
      <c r="K23" s="37">
        <f>J23</f>
        <v/>
      </c>
      <c r="L23" s="18" t="n"/>
      <c r="M23" s="18" t="n"/>
      <c r="N23" s="18" t="n"/>
      <c r="O23" s="18" t="n"/>
      <c r="P23" s="37">
        <f>O23</f>
        <v/>
      </c>
      <c r="Q23" s="18" t="n"/>
      <c r="R23" s="18" t="n"/>
      <c r="S23" s="18" t="n"/>
      <c r="T23" s="18" t="n"/>
      <c r="U23" s="37">
        <f>T23</f>
        <v/>
      </c>
      <c r="V23" s="18" t="n"/>
      <c r="W23" s="18" t="n"/>
      <c r="X23" s="18" t="n"/>
      <c r="Y23" s="18" t="n"/>
      <c r="Z23" s="37">
        <f>Y23</f>
        <v/>
      </c>
      <c r="AA23" s="18" t="n"/>
      <c r="AB23" s="19">
        <f>IFERROR(VLOOKUP($D23,BS별도,MATCH(AB$1,BS별도H,0),0)/100,"")</f>
        <v/>
      </c>
      <c r="AC23" s="20">
        <f>IFERROR(AB23*(1+변수!AC31),"")</f>
        <v/>
      </c>
      <c r="AD23" s="20">
        <f>IFERROR(AC23*(1+변수!AD31),"")</f>
        <v/>
      </c>
      <c r="AE23" s="38">
        <f>AD23</f>
        <v/>
      </c>
      <c r="AF23" s="20">
        <f>IFERROR(AD23*(1+변수!AF31),"")</f>
        <v/>
      </c>
      <c r="AG23" s="20">
        <f>IFERROR(AF23*(1+변수!AG31),"")</f>
        <v/>
      </c>
      <c r="AH23" s="20">
        <f>IFERROR(AG23*(1+변수!AH31),"")</f>
        <v/>
      </c>
      <c r="AI23" s="20">
        <f>IFERROR(AH23*(1+변수!AI31),"")</f>
        <v/>
      </c>
      <c r="AJ23" s="38">
        <f>AI23</f>
        <v/>
      </c>
      <c r="AK23" s="20">
        <f>IFERROR(AI23*(1+변수!AK31),"")</f>
        <v/>
      </c>
      <c r="AL23" s="20">
        <f>IFERROR(AK23*(1+변수!AL31),"")</f>
        <v/>
      </c>
      <c r="AM23" s="20">
        <f>IFERROR(AL23*(1+변수!AM31),"")</f>
        <v/>
      </c>
      <c r="AN23" s="20">
        <f>IFERROR(AM23*(1+변수!AN31),"")</f>
        <v/>
      </c>
      <c r="AO23" s="38">
        <f>AN23</f>
        <v/>
      </c>
    </row>
    <row r="24">
      <c r="A24" s="12" t="inlineStr">
        <is>
          <t>순차입금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순차입금</t>
        </is>
      </c>
      <c r="E24" s="18">
        <f>IFERROR(VLOOKUP($D24,BS별도,MATCH(E$1,BS별도H,0),0)/100,"")</f>
        <v/>
      </c>
      <c r="F24" s="37" t="n">
        <v>-132.86</v>
      </c>
      <c r="G24" s="18">
        <f>IFERROR(VLOOKUP($D24,BS별도,MATCH(G$1,BS별도H,0),0)/100,"")</f>
        <v/>
      </c>
      <c r="H24" s="18" t="n"/>
      <c r="I24" s="18" t="n"/>
      <c r="J24" s="18" t="n"/>
      <c r="K24" s="37">
        <f>J24</f>
        <v/>
      </c>
      <c r="L24" s="18" t="n"/>
      <c r="M24" s="18" t="n"/>
      <c r="N24" s="18" t="n"/>
      <c r="O24" s="18" t="n"/>
      <c r="P24" s="37">
        <f>O24</f>
        <v/>
      </c>
      <c r="Q24" s="18" t="n"/>
      <c r="R24" s="18" t="n"/>
      <c r="S24" s="18" t="n"/>
      <c r="T24" s="18" t="n"/>
      <c r="U24" s="37">
        <f>T24</f>
        <v/>
      </c>
      <c r="V24" s="18" t="n"/>
      <c r="W24" s="18" t="n"/>
      <c r="X24" s="18" t="n"/>
      <c r="Y24" s="18" t="n"/>
      <c r="Z24" s="37">
        <f>Y24</f>
        <v/>
      </c>
      <c r="AA24" s="18" t="n"/>
      <c r="AB24" s="19">
        <f>IFERROR(VLOOKUP($D24,BS별도,MATCH(AB$1,BS별도H,0),0)/100,"")</f>
        <v/>
      </c>
      <c r="AC24" s="20">
        <f>IFERROR(AB24*(1+변수!AC32),"")</f>
        <v/>
      </c>
      <c r="AD24" s="20">
        <f>IFERROR(AC24*(1+변수!AD32),"")</f>
        <v/>
      </c>
      <c r="AE24" s="38">
        <f>AD24</f>
        <v/>
      </c>
      <c r="AF24" s="20">
        <f>IFERROR(AD24*(1+변수!AF32),"")</f>
        <v/>
      </c>
      <c r="AG24" s="20">
        <f>IFERROR(AF24*(1+변수!AG32),"")</f>
        <v/>
      </c>
      <c r="AH24" s="20">
        <f>IFERROR(AG24*(1+변수!AH32),"")</f>
        <v/>
      </c>
      <c r="AI24" s="20">
        <f>IFERROR(AH24*(1+변수!AI32),"")</f>
        <v/>
      </c>
      <c r="AJ24" s="38">
        <f>AI24</f>
        <v/>
      </c>
      <c r="AK24" s="20">
        <f>IFERROR(AI24*(1+변수!AK32),"")</f>
        <v/>
      </c>
      <c r="AL24" s="20">
        <f>IFERROR(AK24*(1+변수!AL32),"")</f>
        <v/>
      </c>
      <c r="AM24" s="20">
        <f>IFERROR(AL24*(1+변수!AM32),"")</f>
        <v/>
      </c>
      <c r="AN24" s="20">
        <f>IFERROR(AM24*(1+변수!AN32),"")</f>
        <v/>
      </c>
      <c r="AO24" s="38">
        <f>AN24</f>
        <v/>
      </c>
    </row>
    <row r="25">
      <c r="A25" s="12" t="inlineStr">
        <is>
          <t>이자발생자산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이자발생자산</t>
        </is>
      </c>
      <c r="E25" s="18">
        <f>IFERROR(VLOOKUP($D25,BS별도,MATCH(E$1,BS별도H,0),0)/100,"")</f>
        <v/>
      </c>
      <c r="F25" s="37" t="n">
        <v>183.14</v>
      </c>
      <c r="G25" s="18">
        <f>IFERROR(VLOOKUP($D25,BS별도,MATCH(G$1,BS별도H,0),0)/100,"")</f>
        <v/>
      </c>
      <c r="H25" s="18">
        <f>IFERROR(VLOOKUP($D25,BS별도,MATCH(H$1,BS별도H,0),0)/100,"")</f>
        <v/>
      </c>
      <c r="I25" s="18">
        <f>IFERROR(VLOOKUP($D25,BS별도,MATCH(I$1,BS별도H,0),0)/100,"")</f>
        <v/>
      </c>
      <c r="J25" s="18">
        <f>IFERROR(VLOOKUP($D25,BS별도,MATCH(J$1,BS별도H,0),0)/100,"")</f>
        <v/>
      </c>
      <c r="K25" s="37">
        <f>J25</f>
        <v/>
      </c>
      <c r="L25" s="18">
        <f>IFERROR(VLOOKUP($D25,BS별도,MATCH(L$1,BS별도H,0),0)/100,"")</f>
        <v/>
      </c>
      <c r="M25" s="18">
        <f>IFERROR(VLOOKUP($D25,BS별도,MATCH(M$1,BS별도H,0),0)/100,"")</f>
        <v/>
      </c>
      <c r="N25" s="18">
        <f>IFERROR(VLOOKUP($D25,BS별도,MATCH(N$1,BS별도H,0),0)/100,"")</f>
        <v/>
      </c>
      <c r="O25" s="18">
        <f>IFERROR(VLOOKUP($D25,BS별도,MATCH(O$1,BS별도H,0),0)/100,"")</f>
        <v/>
      </c>
      <c r="P25" s="37">
        <f>O25</f>
        <v/>
      </c>
      <c r="Q25" s="18">
        <f>IFERROR(VLOOKUP($D25,BS별도,MATCH(Q$1,BS별도H,0),0)/100,"")</f>
        <v/>
      </c>
      <c r="R25" s="18">
        <f>IFERROR(VLOOKUP($D25,BS별도,MATCH(R$1,BS별도H,0),0)/100,"")</f>
        <v/>
      </c>
      <c r="S25" s="18">
        <f>IFERROR(VLOOKUP($D25,BS별도,MATCH(S$1,BS별도H,0),0)/100,"")</f>
        <v/>
      </c>
      <c r="T25" s="18">
        <f>IFERROR(VLOOKUP($D25,BS별도,MATCH(T$1,BS별도H,0),0)/100,"")</f>
        <v/>
      </c>
      <c r="U25" s="37">
        <f>T25</f>
        <v/>
      </c>
      <c r="V25" s="18">
        <f>IFERROR(VLOOKUP($D25,BS별도,MATCH(V$1,BS별도H,0),0)/100,"")</f>
        <v/>
      </c>
      <c r="W25" s="18">
        <f>IFERROR(VLOOKUP($D25,BS별도,MATCH(W$1,BS별도H,0),0)/100,"")</f>
        <v/>
      </c>
      <c r="X25" s="18">
        <f>IFERROR(VLOOKUP($D25,BS별도,MATCH(X$1,BS별도H,0),0)/100,"")</f>
        <v/>
      </c>
      <c r="Y25" s="18">
        <f>IFERROR(VLOOKUP($D25,BS별도,MATCH(Y$1,BS별도H,0),0)/100,"")</f>
        <v/>
      </c>
      <c r="Z25" s="37">
        <f>Y25</f>
        <v/>
      </c>
      <c r="AA25" s="18">
        <f>IFERROR(VLOOKUP($D25,BS별도,MATCH(AA$1,BS별도H,0),0)/100,"")</f>
        <v/>
      </c>
      <c r="AB25" s="19">
        <f>IFERROR(VLOOKUP($D25,BS별도,MATCH(AB$1,BS별도H,0),0)/100,"")</f>
        <v/>
      </c>
      <c r="AC25" s="20">
        <f>IFERROR(AB25*(1+변수!AC33),"")</f>
        <v/>
      </c>
      <c r="AD25" s="20">
        <f>IFERROR(AC25*(1+변수!AD33),"")</f>
        <v/>
      </c>
      <c r="AE25" s="38">
        <f>AD25</f>
        <v/>
      </c>
      <c r="AF25" s="20">
        <f>IFERROR(AD25*(1+변수!AF33),"")</f>
        <v/>
      </c>
      <c r="AG25" s="20">
        <f>IFERROR(AF25*(1+변수!AG33),"")</f>
        <v/>
      </c>
      <c r="AH25" s="20">
        <f>IFERROR(AG25*(1+변수!AH33),"")</f>
        <v/>
      </c>
      <c r="AI25" s="20">
        <f>IFERROR(AH25*(1+변수!AI33),"")</f>
        <v/>
      </c>
      <c r="AJ25" s="38">
        <f>AI25</f>
        <v/>
      </c>
      <c r="AK25" s="20">
        <f>IFERROR(AI25*(1+변수!AK33),"")</f>
        <v/>
      </c>
      <c r="AL25" s="20">
        <f>IFERROR(AK25*(1+변수!AL33),"")</f>
        <v/>
      </c>
      <c r="AM25" s="20">
        <f>IFERROR(AL25*(1+변수!AM33),"")</f>
        <v/>
      </c>
      <c r="AN25" s="20">
        <f>IFERROR(AM25*(1+변수!AN33),"")</f>
        <v/>
      </c>
      <c r="AO25" s="38">
        <f>AN25</f>
        <v/>
      </c>
    </row>
    <row r="26">
      <c r="A26" s="12" t="inlineStr">
        <is>
          <t>현금및현금성자산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현금및현금성자산</t>
        </is>
      </c>
      <c r="E26" s="18">
        <f>IFERROR(VLOOKUP($D26,BS별도,MATCH(E$1,BS별도H,0),0)/100,"")</f>
        <v/>
      </c>
      <c r="F26" s="37" t="n">
        <v>92.86</v>
      </c>
      <c r="G26" s="18">
        <f>IFERROR(VLOOKUP($D26,BS별도,MATCH(G$1,BS별도H,0),0)/100,"")</f>
        <v/>
      </c>
      <c r="H26" s="18">
        <f>IFERROR(VLOOKUP($D26,BS별도,MATCH(H$1,BS별도H,0),0)/100,"")</f>
        <v/>
      </c>
      <c r="I26" s="18">
        <f>IFERROR(VLOOKUP($D26,BS별도,MATCH(I$1,BS별도H,0),0)/100,"")</f>
        <v/>
      </c>
      <c r="J26" s="18">
        <f>IFERROR(VLOOKUP($D26,BS별도,MATCH(J$1,BS별도H,0),0)/100,"")</f>
        <v/>
      </c>
      <c r="K26" s="37">
        <f>J26</f>
        <v/>
      </c>
      <c r="L26" s="18">
        <f>IFERROR(VLOOKUP($D26,BS별도,MATCH(L$1,BS별도H,0),0)/100,"")</f>
        <v/>
      </c>
      <c r="M26" s="18">
        <f>IFERROR(VLOOKUP($D26,BS별도,MATCH(M$1,BS별도H,0),0)/100,"")</f>
        <v/>
      </c>
      <c r="N26" s="18">
        <f>IFERROR(VLOOKUP($D26,BS별도,MATCH(N$1,BS별도H,0),0)/100,"")</f>
        <v/>
      </c>
      <c r="O26" s="18">
        <f>IFERROR(VLOOKUP($D26,BS별도,MATCH(O$1,BS별도H,0),0)/100,"")</f>
        <v/>
      </c>
      <c r="P26" s="37">
        <f>O26</f>
        <v/>
      </c>
      <c r="Q26" s="18">
        <f>IFERROR(VLOOKUP($D26,BS별도,MATCH(Q$1,BS별도H,0),0)/100,"")</f>
        <v/>
      </c>
      <c r="R26" s="18">
        <f>IFERROR(VLOOKUP($D26,BS별도,MATCH(R$1,BS별도H,0),0)/100,"")</f>
        <v/>
      </c>
      <c r="S26" s="18">
        <f>IFERROR(VLOOKUP($D26,BS별도,MATCH(S$1,BS별도H,0),0)/100,"")</f>
        <v/>
      </c>
      <c r="T26" s="18">
        <f>IFERROR(VLOOKUP($D26,BS별도,MATCH(T$1,BS별도H,0),0)/100,"")</f>
        <v/>
      </c>
      <c r="U26" s="37">
        <f>T26</f>
        <v/>
      </c>
      <c r="V26" s="18">
        <f>IFERROR(VLOOKUP($D26,BS별도,MATCH(V$1,BS별도H,0),0)/100,"")</f>
        <v/>
      </c>
      <c r="W26" s="18">
        <f>IFERROR(VLOOKUP($D26,BS별도,MATCH(W$1,BS별도H,0),0)/100,"")</f>
        <v/>
      </c>
      <c r="X26" s="18">
        <f>IFERROR(VLOOKUP($D26,BS별도,MATCH(X$1,BS별도H,0),0)/100,"")</f>
        <v/>
      </c>
      <c r="Y26" s="18">
        <f>IFERROR(VLOOKUP($D26,BS별도,MATCH(Y$1,BS별도H,0),0)/100,"")</f>
        <v/>
      </c>
      <c r="Z26" s="37">
        <f>Y26</f>
        <v/>
      </c>
      <c r="AA26" s="18">
        <f>IFERROR(VLOOKUP($D26,BS별도,MATCH(AA$1,BS별도H,0),0)/100,"")</f>
        <v/>
      </c>
      <c r="AB26" s="19">
        <f>IFERROR(VLOOKUP($D26,BS별도,MATCH(AB$1,BS별도H,0),0)/100,"")</f>
        <v/>
      </c>
      <c r="AC26" s="20" t="n"/>
      <c r="AD26" s="20" t="n"/>
      <c r="AE26" s="38">
        <f>AD26</f>
        <v/>
      </c>
      <c r="AF26" s="20" t="n"/>
      <c r="AG26" s="20" t="n"/>
      <c r="AH26" s="20" t="n"/>
      <c r="AI26" s="20" t="n"/>
      <c r="AJ26" s="38">
        <f>AI26</f>
        <v/>
      </c>
      <c r="AK26" s="20" t="n"/>
      <c r="AL26" s="20" t="n"/>
      <c r="AM26" s="20" t="n"/>
      <c r="AN26" s="20" t="n"/>
      <c r="AO26" s="38">
        <f>AN26</f>
        <v/>
      </c>
    </row>
    <row r="27">
      <c r="A27" s="12" t="inlineStr">
        <is>
          <t>CAPEX</t>
        </is>
      </c>
      <c r="B27" t="inlineStr">
        <is>
          <t>현금흐름</t>
        </is>
      </c>
      <c r="C27" t="inlineStr">
        <is>
          <t>억원</t>
        </is>
      </c>
      <c r="D27" t="inlineStr">
        <is>
          <t>CAPEX</t>
        </is>
      </c>
      <c r="E27" s="18">
        <f>IFERROR(VLOOKUP($D27,BS별도,MATCH(E$1,BS별도H,0),0)/100,"")</f>
        <v/>
      </c>
      <c r="F27" s="37" t="n"/>
      <c r="G27" s="18">
        <f>IFERROR(VLOOKUP($D27,BS별도,MATCH(G$1,BS별도H,0),0)/100,"")</f>
        <v/>
      </c>
      <c r="H27" s="18">
        <f>IFERROR(VLOOKUP($D27,BS별도,MATCH(H$1,BS별도H,0),0)/100,"")</f>
        <v/>
      </c>
      <c r="I27" s="18">
        <f>IFERROR(VLOOKUP($D27,BS별도,MATCH(I$1,BS별도H,0),0)/100,"")</f>
        <v/>
      </c>
      <c r="J27" s="18">
        <f>IFERROR(VLOOKUP($D27,BS별도,MATCH(J$1,BS별도H,0),0)/100,"")</f>
        <v/>
      </c>
      <c r="K27" s="37">
        <f>SUM(G27:J27)</f>
        <v/>
      </c>
      <c r="L27" s="18">
        <f>IFERROR(VLOOKUP($D27,BS별도,MATCH(L$1,BS별도H,0),0)/100,"")</f>
        <v/>
      </c>
      <c r="M27" s="18">
        <f>IFERROR(VLOOKUP($D27,BS별도,MATCH(M$1,BS별도H,0),0)/100,"")</f>
        <v/>
      </c>
      <c r="N27" s="18">
        <f>IFERROR(VLOOKUP($D27,BS별도,MATCH(N$1,BS별도H,0),0)/100,"")</f>
        <v/>
      </c>
      <c r="O27" s="18">
        <f>IFERROR(VLOOKUP($D27,BS별도,MATCH(O$1,BS별도H,0),0)/100,"")</f>
        <v/>
      </c>
      <c r="P27" s="37">
        <f>SUM(L27:O27)</f>
        <v/>
      </c>
      <c r="Q27" s="18">
        <f>IFERROR(VLOOKUP($D27,BS별도,MATCH(Q$1,BS별도H,0),0)/100,"")</f>
        <v/>
      </c>
      <c r="R27" s="18">
        <f>IFERROR(VLOOKUP($D27,BS별도,MATCH(R$1,BS별도H,0),0)/100,"")</f>
        <v/>
      </c>
      <c r="S27" s="18">
        <f>IFERROR(VLOOKUP($D27,BS별도,MATCH(S$1,BS별도H,0),0)/100,"")</f>
        <v/>
      </c>
      <c r="T27" s="18">
        <f>IFERROR(VLOOKUP($D27,BS별도,MATCH(T$1,BS별도H,0),0)/100,"")</f>
        <v/>
      </c>
      <c r="U27" s="37">
        <f>SUM(Q27:T27)</f>
        <v/>
      </c>
      <c r="V27" s="18">
        <f>IFERROR(VLOOKUP($D27,BS별도,MATCH(V$1,BS별도H,0),0)/100,"")</f>
        <v/>
      </c>
      <c r="W27" s="18">
        <f>IFERROR(VLOOKUP($D27,BS별도,MATCH(W$1,BS별도H,0),0)/100,"")</f>
        <v/>
      </c>
      <c r="X27" s="18">
        <f>IFERROR(VLOOKUP($D27,BS별도,MATCH(X$1,BS별도H,0),0)/100,"")</f>
        <v/>
      </c>
      <c r="Y27" s="18">
        <f>IFERROR(VLOOKUP($D27,BS별도,MATCH(Y$1,BS별도H,0),0)/100,"")</f>
        <v/>
      </c>
      <c r="Z27" s="37">
        <f>SUM(V27:Y27)</f>
        <v/>
      </c>
      <c r="AA27" s="18">
        <f>IFERROR(VLOOKUP($D27,BS별도,MATCH(AA$1,BS별도H,0),0)/100,"")</f>
        <v/>
      </c>
      <c r="AB27" s="19">
        <f>IFERROR(VLOOKUP($D27,BS별도,MATCH(AB$1,BS별도H,0),0)/100,"")</f>
        <v/>
      </c>
      <c r="AC27" s="20">
        <f>IFERROR(X27*(1+변수!AC35),"")</f>
        <v/>
      </c>
      <c r="AD27" s="20">
        <f>IFERROR(Y27*(1+변수!AD35),"")</f>
        <v/>
      </c>
      <c r="AE27" s="38">
        <f>SUM(AA27:AD27)</f>
        <v/>
      </c>
      <c r="AF27" s="20">
        <f>IFERROR(AA27*(1+변수!AF35),"")</f>
        <v/>
      </c>
      <c r="AG27" s="20">
        <f>IFERROR(AB27*(1+변수!AG35),"")</f>
        <v/>
      </c>
      <c r="AH27" s="20">
        <f>IFERROR(AC27*(1+변수!AH35),"")</f>
        <v/>
      </c>
      <c r="AI27" s="20">
        <f>IFERROR(AD27*(1+변수!AI35),"")</f>
        <v/>
      </c>
      <c r="AJ27" s="38">
        <f>SUM(AF27:AI27)</f>
        <v/>
      </c>
      <c r="AK27" s="20">
        <f>IFERROR(AF27*(1+변수!AK35),"")</f>
        <v/>
      </c>
      <c r="AL27" s="20">
        <f>IFERROR(AG27*(1+변수!AL35),"")</f>
        <v/>
      </c>
      <c r="AM27" s="20">
        <f>IFERROR(AH27*(1+변수!AM35),"")</f>
        <v/>
      </c>
      <c r="AN27" s="20">
        <f>IFERROR(AI27*(1+변수!AN35),"")</f>
        <v/>
      </c>
      <c r="AO27" s="38">
        <f>SUM(AK27:AN27)</f>
        <v/>
      </c>
    </row>
    <row r="28">
      <c r="A28" s="12" t="inlineStr">
        <is>
          <t>영업활동현금흐름</t>
        </is>
      </c>
      <c r="B28" t="inlineStr">
        <is>
          <t>현금흐름</t>
        </is>
      </c>
      <c r="C28" t="inlineStr">
        <is>
          <t>억원</t>
        </is>
      </c>
      <c r="D28" t="inlineStr">
        <is>
          <t>영업활동으로인한현금흐름</t>
        </is>
      </c>
      <c r="E28" s="18">
        <f>IFERROR(VLOOKUP($D28,BS별도,MATCH(E$1,BS별도H,0),0)/100,"")</f>
        <v/>
      </c>
      <c r="F28" s="37" t="n"/>
      <c r="G28" s="18">
        <f>IFERROR(VLOOKUP($D28,BS별도,MATCH(G$1,BS별도H,0),0)/100,"")</f>
        <v/>
      </c>
      <c r="H28" s="18">
        <f>IFERROR(VLOOKUP($D28,BS별도,MATCH(H$1,BS별도H,0),0)/100,"")</f>
        <v/>
      </c>
      <c r="I28" s="18">
        <f>IFERROR(VLOOKUP($D28,BS별도,MATCH(I$1,BS별도H,0),0)/100,"")</f>
        <v/>
      </c>
      <c r="J28" s="18">
        <f>IFERROR(VLOOKUP($D28,BS별도,MATCH(J$1,BS별도H,0),0)/100,"")</f>
        <v/>
      </c>
      <c r="K28" s="37">
        <f>SUM(G28:J28)</f>
        <v/>
      </c>
      <c r="L28" s="18">
        <f>IFERROR(VLOOKUP($D28,BS별도,MATCH(L$1,BS별도H,0),0)/100,"")</f>
        <v/>
      </c>
      <c r="M28" s="18">
        <f>IFERROR(VLOOKUP($D28,BS별도,MATCH(M$1,BS별도H,0),0)/100,"")</f>
        <v/>
      </c>
      <c r="N28" s="18">
        <f>IFERROR(VLOOKUP($D28,BS별도,MATCH(N$1,BS별도H,0),0)/100,"")</f>
        <v/>
      </c>
      <c r="O28" s="18">
        <f>IFERROR(VLOOKUP($D28,BS별도,MATCH(O$1,BS별도H,0),0)/100,"")</f>
        <v/>
      </c>
      <c r="P28" s="37">
        <f>SUM(L28:O28)</f>
        <v/>
      </c>
      <c r="Q28" s="18">
        <f>IFERROR(VLOOKUP($D28,BS별도,MATCH(Q$1,BS별도H,0),0)/100,"")</f>
        <v/>
      </c>
      <c r="R28" s="18">
        <f>IFERROR(VLOOKUP($D28,BS별도,MATCH(R$1,BS별도H,0),0)/100,"")</f>
        <v/>
      </c>
      <c r="S28" s="18">
        <f>IFERROR(VLOOKUP($D28,BS별도,MATCH(S$1,BS별도H,0),0)/100,"")</f>
        <v/>
      </c>
      <c r="T28" s="18">
        <f>IFERROR(VLOOKUP($D28,BS별도,MATCH(T$1,BS별도H,0),0)/100,"")</f>
        <v/>
      </c>
      <c r="U28" s="37">
        <f>SUM(Q28:T28)</f>
        <v/>
      </c>
      <c r="V28" s="18">
        <f>IFERROR(VLOOKUP($D28,BS별도,MATCH(V$1,BS별도H,0),0)/100,"")</f>
        <v/>
      </c>
      <c r="W28" s="18">
        <f>IFERROR(VLOOKUP($D28,BS별도,MATCH(W$1,BS별도H,0),0)/100,"")</f>
        <v/>
      </c>
      <c r="X28" s="18">
        <f>IFERROR(VLOOKUP($D28,BS별도,MATCH(X$1,BS별도H,0),0)/100,"")</f>
        <v/>
      </c>
      <c r="Y28" s="18">
        <f>IFERROR(VLOOKUP($D28,BS별도,MATCH(Y$1,BS별도H,0),0)/100,"")</f>
        <v/>
      </c>
      <c r="Z28" s="37">
        <f>SUM(V28:Y28)</f>
        <v/>
      </c>
      <c r="AA28" s="18">
        <f>IFERROR(VLOOKUP($D28,BS별도,MATCH(AA$1,BS별도H,0),0)/100,"")</f>
        <v/>
      </c>
      <c r="AB28" s="19">
        <f>IFERROR(VLOOKUP($D28,BS별도,MATCH(AB$1,BS별도H,0),0)/100,"")</f>
        <v/>
      </c>
      <c r="AC28" s="20" t="n"/>
      <c r="AD28" s="20" t="n"/>
      <c r="AE28" s="38">
        <f>SUM(AA28:AD28)</f>
        <v/>
      </c>
      <c r="AF28" s="20" t="n"/>
      <c r="AG28" s="20" t="n"/>
      <c r="AH28" s="20" t="n"/>
      <c r="AI28" s="20" t="n"/>
      <c r="AJ28" s="38">
        <f>SUM(AF28:AI28)</f>
        <v/>
      </c>
      <c r="AK28" s="20" t="n"/>
      <c r="AL28" s="20" t="n"/>
      <c r="AM28" s="20" t="n"/>
      <c r="AN28" s="20" t="n"/>
      <c r="AO28" s="38">
        <f>SUM(AK28:AN28)</f>
        <v/>
      </c>
    </row>
    <row r="29">
      <c r="A29" s="12" t="inlineStr">
        <is>
          <t>주식수</t>
        </is>
      </c>
      <c r="B29" t="inlineStr">
        <is>
          <t>주당</t>
        </is>
      </c>
      <c r="C29" t="inlineStr">
        <is>
          <t>백만주</t>
        </is>
      </c>
      <c r="D29" t="inlineStr">
        <is>
          <t>유통주식수</t>
        </is>
      </c>
      <c r="E29" s="27" t="n">
        <v>9.460000000000001</v>
      </c>
      <c r="F29" s="28">
        <f>E29</f>
        <v/>
      </c>
      <c r="G29" s="27" t="n">
        <v>9.460000000000001</v>
      </c>
      <c r="H29" s="27" t="n">
        <v>9.460000000000001</v>
      </c>
      <c r="I29" s="27" t="n">
        <v>9.615</v>
      </c>
      <c r="J29" s="27" t="n">
        <v>9.615</v>
      </c>
      <c r="K29" s="28">
        <f>J29</f>
        <v/>
      </c>
      <c r="L29" s="27" t="n">
        <v>10.021</v>
      </c>
      <c r="M29" s="27" t="n">
        <v>10.021</v>
      </c>
      <c r="N29" s="27" t="n">
        <v>10.021</v>
      </c>
      <c r="O29" s="27" t="n">
        <v>10.021</v>
      </c>
      <c r="P29" s="28">
        <f>O29</f>
        <v/>
      </c>
      <c r="Q29" s="27" t="n">
        <v>10.798</v>
      </c>
      <c r="R29" s="27" t="n">
        <v>11.141</v>
      </c>
      <c r="S29" s="27" t="n">
        <v>11.141</v>
      </c>
      <c r="T29" s="27" t="n">
        <v>11.141</v>
      </c>
      <c r="U29" s="28">
        <f>T29</f>
        <v/>
      </c>
      <c r="V29" s="27" t="n">
        <v>11.141</v>
      </c>
      <c r="W29" s="27" t="n">
        <v>11.141</v>
      </c>
      <c r="X29" s="27" t="n">
        <v>11.165</v>
      </c>
      <c r="Y29" s="27" t="n">
        <v>11.165</v>
      </c>
      <c r="Z29" s="28">
        <f>Y29</f>
        <v/>
      </c>
      <c r="AA29" s="27" t="n">
        <v>11.165</v>
      </c>
      <c r="AB29" s="29" t="n">
        <v>11.165</v>
      </c>
      <c r="AC29" s="33">
        <f>IFERROR(AB29*(1+변수!AC37),"")</f>
        <v/>
      </c>
      <c r="AD29" s="33">
        <f>IFERROR(AC29*(1+변수!AD37),"")</f>
        <v/>
      </c>
      <c r="AE29" s="31">
        <f>AD29</f>
        <v/>
      </c>
      <c r="AF29" s="33">
        <f>IFERROR(AD29*(1+변수!AF37),"")</f>
        <v/>
      </c>
      <c r="AG29" s="33">
        <f>IFERROR(AF29*(1+변수!AG37),"")</f>
        <v/>
      </c>
      <c r="AH29" s="33">
        <f>IFERROR(AG29*(1+변수!AH37),"")</f>
        <v/>
      </c>
      <c r="AI29" s="33">
        <f>IFERROR(AH29*(1+변수!AI37),"")</f>
        <v/>
      </c>
      <c r="AJ29" s="31">
        <f>AI29</f>
        <v/>
      </c>
      <c r="AK29" s="33">
        <f>IFERROR(AI29*(1+변수!AK37),"")</f>
        <v/>
      </c>
      <c r="AL29" s="33">
        <f>IFERROR(AK29*(1+변수!AL37),"")</f>
        <v/>
      </c>
      <c r="AM29" s="33">
        <f>IFERROR(AL29*(1+변수!AM37),"")</f>
        <v/>
      </c>
      <c r="AN29" s="33">
        <f>IFERROR(AM29*(1+변수!AN37),"")</f>
        <v/>
      </c>
      <c r="AO29" s="31">
        <f>AN29</f>
        <v/>
      </c>
    </row>
    <row r="30">
      <c r="A30" s="12" t="inlineStr">
        <is>
          <t>EPS</t>
        </is>
      </c>
      <c r="B30" t="inlineStr">
        <is>
          <t>주당</t>
        </is>
      </c>
      <c r="C30" t="inlineStr">
        <is>
          <t>원</t>
        </is>
      </c>
      <c r="D30" t="inlineStr">
        <is>
          <t>EPS</t>
        </is>
      </c>
      <c r="E30" s="18">
        <f>IFERROR(E18*100/E29,"")</f>
        <v/>
      </c>
      <c r="F30" s="37" t="n"/>
      <c r="G30" s="18">
        <f>IFERROR(G18*100/G29,"")</f>
        <v/>
      </c>
      <c r="H30" s="18">
        <f>IFERROR(H18*100/H29,"")</f>
        <v/>
      </c>
      <c r="I30" s="18">
        <f>IFERROR(I18*100/I29,"")</f>
        <v/>
      </c>
      <c r="J30" s="18">
        <f>IFERROR(J18*100/J29,"")</f>
        <v/>
      </c>
      <c r="K30" s="37">
        <f>SUM(G30:J30)</f>
        <v/>
      </c>
      <c r="L30" s="18">
        <f>IFERROR(L18*100/L29,"")</f>
        <v/>
      </c>
      <c r="M30" s="18">
        <f>IFERROR(M18*100/M29,"")</f>
        <v/>
      </c>
      <c r="N30" s="18">
        <f>IFERROR(N18*100/N29,"")</f>
        <v/>
      </c>
      <c r="O30" s="18">
        <f>IFERROR(O18*100/O29,"")</f>
        <v/>
      </c>
      <c r="P30" s="37">
        <f>SUM(L30:O30)</f>
        <v/>
      </c>
      <c r="Q30" s="18">
        <f>IFERROR(Q18*100/Q29,"")</f>
        <v/>
      </c>
      <c r="R30" s="18">
        <f>IFERROR(R18*100/R29,"")</f>
        <v/>
      </c>
      <c r="S30" s="18">
        <f>IFERROR(S18*100/S29,"")</f>
        <v/>
      </c>
      <c r="T30" s="18">
        <f>IFERROR(T18*100/T29,"")</f>
        <v/>
      </c>
      <c r="U30" s="37">
        <f>SUM(Q30:T30)</f>
        <v/>
      </c>
      <c r="V30" s="18">
        <f>IFERROR(V18*100/V29,"")</f>
        <v/>
      </c>
      <c r="W30" s="18">
        <f>IFERROR(W18*100/W29,"")</f>
        <v/>
      </c>
      <c r="X30" s="18">
        <f>IFERROR(X18*100/X29,"")</f>
        <v/>
      </c>
      <c r="Y30" s="18">
        <f>IFERROR(Y18*100/Y29,"")</f>
        <v/>
      </c>
      <c r="Z30" s="37">
        <f>SUM(V30:Y30)</f>
        <v/>
      </c>
      <c r="AA30" s="18">
        <f>IFERROR(AA18*100/AA29,"")</f>
        <v/>
      </c>
      <c r="AB30" s="19">
        <f>IFERROR(AB18*100/AB29,"")</f>
        <v/>
      </c>
      <c r="AC30" s="20">
        <f>IFERROR(AC18*100/AC29,"")</f>
        <v/>
      </c>
      <c r="AD30" s="20">
        <f>IFERROR(AD18*100/AD29,"")</f>
        <v/>
      </c>
      <c r="AE30" s="38">
        <f>SUM(AA30:AD30)</f>
        <v/>
      </c>
      <c r="AF30" s="20">
        <f>IFERROR(AF18*100/AF29,"")</f>
        <v/>
      </c>
      <c r="AG30" s="20">
        <f>IFERROR(AG18*100/AG29,"")</f>
        <v/>
      </c>
      <c r="AH30" s="20">
        <f>IFERROR(AH18*100/AH29,"")</f>
        <v/>
      </c>
      <c r="AI30" s="20">
        <f>IFERROR(AI18*100/AI29,"")</f>
        <v/>
      </c>
      <c r="AJ30" s="38">
        <f>SUM(AF30:AI30)</f>
        <v/>
      </c>
      <c r="AK30" s="20">
        <f>IFERROR(AK18*100/AK29,"")</f>
        <v/>
      </c>
      <c r="AL30" s="20">
        <f>IFERROR(AL18*100/AL29,"")</f>
        <v/>
      </c>
      <c r="AM30" s="20">
        <f>IFERROR(AM18*100/AM29,"")</f>
        <v/>
      </c>
      <c r="AN30" s="20">
        <f>IFERROR(AN18*100/AN29,"")</f>
        <v/>
      </c>
      <c r="AO30" s="38">
        <f>SUM(AK30:AN30)</f>
        <v/>
      </c>
    </row>
    <row r="31">
      <c r="A31" s="12" t="inlineStr">
        <is>
          <t>조정EPS</t>
        </is>
      </c>
      <c r="B31" t="inlineStr">
        <is>
          <t>주당</t>
        </is>
      </c>
      <c r="C31" t="inlineStr">
        <is>
          <t>원</t>
        </is>
      </c>
      <c r="D31" t="inlineStr">
        <is>
          <t>조정 EPS(일회성 의심 분기의 초과 비영업손익 세후 차감 — 모델 추정)</t>
        </is>
      </c>
      <c r="E31" s="18">
        <f>IFERROR(E30,"")</f>
        <v/>
      </c>
      <c r="F31" s="37" t="n"/>
      <c r="G31" s="18">
        <f>IFERROR(G30,"")</f>
        <v/>
      </c>
      <c r="H31" s="18">
        <f>IFERROR(H30,"")</f>
        <v/>
      </c>
      <c r="I31" s="18">
        <f>IFERROR(I30,"")</f>
        <v/>
      </c>
      <c r="J31" s="18">
        <f>IFERROR(J30,"")</f>
        <v/>
      </c>
      <c r="K31" s="37">
        <f>SUM(G31:J31)</f>
        <v/>
      </c>
      <c r="L31" s="18">
        <f>IFERROR(L30,"")</f>
        <v/>
      </c>
      <c r="M31" s="18">
        <f>IFERROR(M30,"")</f>
        <v/>
      </c>
      <c r="N31" s="18">
        <f>IFERROR(N30,"")</f>
        <v/>
      </c>
      <c r="O31" s="18">
        <f>IFERROR(O30,"")</f>
        <v/>
      </c>
      <c r="P31" s="37">
        <f>SUM(L31:O31)</f>
        <v/>
      </c>
      <c r="Q31" s="18">
        <f>IFERROR(Q30,"")</f>
        <v/>
      </c>
      <c r="R31" s="18">
        <f>IFERROR(R30,"")</f>
        <v/>
      </c>
      <c r="S31" s="18">
        <f>IFERROR(S30,"")</f>
        <v/>
      </c>
      <c r="T31" s="18">
        <f>IFERROR(T30,"")</f>
        <v/>
      </c>
      <c r="U31" s="37">
        <f>SUM(Q31:T31)</f>
        <v/>
      </c>
      <c r="V31" s="18">
        <f>IFERROR(V30,"")</f>
        <v/>
      </c>
      <c r="W31" s="18">
        <f>IFERROR(W30,"")</f>
        <v/>
      </c>
      <c r="X31" s="18">
        <f>IFERROR(X30,"")</f>
        <v/>
      </c>
      <c r="Y31" s="18">
        <f>IFERROR(Y30,"")</f>
        <v/>
      </c>
      <c r="Z31" s="37">
        <f>SUM(V31:Y31)</f>
        <v/>
      </c>
      <c r="AA31" s="18">
        <f>IFERROR(AA30,"")</f>
        <v/>
      </c>
      <c r="AB31" s="39">
        <f>IFERROR((AB18-(19.83)*(1.0))*100/AB29,"")</f>
        <v/>
      </c>
      <c r="AC31" s="20">
        <f>IFERROR(AC30,"")</f>
        <v/>
      </c>
      <c r="AD31" s="20">
        <f>IFERROR(AD30,"")</f>
        <v/>
      </c>
      <c r="AE31" s="38">
        <f>SUM(AA31:AD31)</f>
        <v/>
      </c>
      <c r="AF31" s="20">
        <f>IFERROR(AF30,"")</f>
        <v/>
      </c>
      <c r="AG31" s="20">
        <f>IFERROR(AG30,"")</f>
        <v/>
      </c>
      <c r="AH31" s="20">
        <f>IFERROR(AH30,"")</f>
        <v/>
      </c>
      <c r="AI31" s="20">
        <f>IFERROR(AI30,"")</f>
        <v/>
      </c>
      <c r="AJ31" s="38">
        <f>SUM(AF31:AI31)</f>
        <v/>
      </c>
      <c r="AK31" s="20">
        <f>IFERROR(AK30,"")</f>
        <v/>
      </c>
      <c r="AL31" s="20">
        <f>IFERROR(AL30,"")</f>
        <v/>
      </c>
      <c r="AM31" s="20">
        <f>IFERROR(AM30,"")</f>
        <v/>
      </c>
      <c r="AN31" s="20">
        <f>IFERROR(AN30,"")</f>
        <v/>
      </c>
      <c r="AO31" s="38">
        <f>SUM(AK31:AN31)</f>
        <v/>
      </c>
    </row>
    <row r="32">
      <c r="A32" s="12" t="inlineStr">
        <is>
          <t>BPS</t>
        </is>
      </c>
      <c r="B32" t="inlineStr">
        <is>
          <t>주당</t>
        </is>
      </c>
      <c r="C32" t="inlineStr">
        <is>
          <t>원</t>
        </is>
      </c>
      <c r="D32" t="inlineStr">
        <is>
          <t>BPS</t>
        </is>
      </c>
      <c r="E32" s="18">
        <f>IFERROR(E22*100/E29,"")</f>
        <v/>
      </c>
      <c r="F32" s="37">
        <f>E32</f>
        <v/>
      </c>
      <c r="G32" s="18">
        <f>IFERROR(G22*100/G29,"")</f>
        <v/>
      </c>
      <c r="H32" s="18">
        <f>IFERROR(H22*100/H29,"")</f>
        <v/>
      </c>
      <c r="I32" s="18">
        <f>IFERROR(I22*100/I29,"")</f>
        <v/>
      </c>
      <c r="J32" s="18">
        <f>IFERROR(J22*100/J29,"")</f>
        <v/>
      </c>
      <c r="K32" s="37">
        <f>J32</f>
        <v/>
      </c>
      <c r="L32" s="18">
        <f>IFERROR(L22*100/L29,"")</f>
        <v/>
      </c>
      <c r="M32" s="18">
        <f>IFERROR(M22*100/M29,"")</f>
        <v/>
      </c>
      <c r="N32" s="18">
        <f>IFERROR(N22*100/N29,"")</f>
        <v/>
      </c>
      <c r="O32" s="18">
        <f>IFERROR(O22*100/O29,"")</f>
        <v/>
      </c>
      <c r="P32" s="37">
        <f>O32</f>
        <v/>
      </c>
      <c r="Q32" s="18">
        <f>IFERROR(Q22*100/Q29,"")</f>
        <v/>
      </c>
      <c r="R32" s="18">
        <f>IFERROR(R22*100/R29,"")</f>
        <v/>
      </c>
      <c r="S32" s="18">
        <f>IFERROR(S22*100/S29,"")</f>
        <v/>
      </c>
      <c r="T32" s="18">
        <f>IFERROR(T22*100/T29,"")</f>
        <v/>
      </c>
      <c r="U32" s="37">
        <f>T32</f>
        <v/>
      </c>
      <c r="V32" s="18">
        <f>IFERROR(V22*100/V29,"")</f>
        <v/>
      </c>
      <c r="W32" s="18">
        <f>IFERROR(W22*100/W29,"")</f>
        <v/>
      </c>
      <c r="X32" s="18">
        <f>IFERROR(X22*100/X29,"")</f>
        <v/>
      </c>
      <c r="Y32" s="18">
        <f>IFERROR(Y22*100/Y29,"")</f>
        <v/>
      </c>
      <c r="Z32" s="37">
        <f>Y32</f>
        <v/>
      </c>
      <c r="AA32" s="18">
        <f>IFERROR(AA22*100/AA29,"")</f>
        <v/>
      </c>
      <c r="AB32" s="19">
        <f>IFERROR(AB22*100/AB29,"")</f>
        <v/>
      </c>
      <c r="AC32" s="20">
        <f>IFERROR(AC22*100/AC29,"")</f>
        <v/>
      </c>
      <c r="AD32" s="20">
        <f>IFERROR(AD22*100/AD29,"")</f>
        <v/>
      </c>
      <c r="AE32" s="38">
        <f>AD32</f>
        <v/>
      </c>
      <c r="AF32" s="20">
        <f>IFERROR(AF22*100/AF29,"")</f>
        <v/>
      </c>
      <c r="AG32" s="20">
        <f>IFERROR(AG22*100/AG29,"")</f>
        <v/>
      </c>
      <c r="AH32" s="20">
        <f>IFERROR(AH22*100/AH29,"")</f>
        <v/>
      </c>
      <c r="AI32" s="20">
        <f>IFERROR(AI22*100/AI29,"")</f>
        <v/>
      </c>
      <c r="AJ32" s="38">
        <f>AI32</f>
        <v/>
      </c>
      <c r="AK32" s="20">
        <f>IFERROR(AK22*100/AK29,"")</f>
        <v/>
      </c>
      <c r="AL32" s="20">
        <f>IFERROR(AL22*100/AL29,"")</f>
        <v/>
      </c>
      <c r="AM32" s="20">
        <f>IFERROR(AM22*100/AM29,"")</f>
        <v/>
      </c>
      <c r="AN32" s="20">
        <f>IFERROR(AN22*100/AN29,"")</f>
        <v/>
      </c>
      <c r="AO32" s="38">
        <f>AN32</f>
        <v/>
      </c>
    </row>
    <row r="33">
      <c r="A33" s="12" t="inlineStr">
        <is>
          <t>DPS</t>
        </is>
      </c>
      <c r="B33" t="inlineStr">
        <is>
          <t>주당</t>
        </is>
      </c>
      <c r="C33" t="inlineStr">
        <is>
          <t>원</t>
        </is>
      </c>
      <c r="D33" t="inlineStr">
        <is>
          <t>DPS(보통주)</t>
        </is>
      </c>
      <c r="E33" s="18" t="n">
        <v>0</v>
      </c>
      <c r="F33" s="37" t="n">
        <v>0</v>
      </c>
      <c r="G33" s="18" t="n"/>
      <c r="H33" s="18" t="n"/>
      <c r="I33" s="18" t="n"/>
      <c r="J33" s="18" t="n">
        <v>0</v>
      </c>
      <c r="K33" s="37">
        <f>SUM(G33:J33)</f>
        <v/>
      </c>
      <c r="L33" s="18" t="n"/>
      <c r="M33" s="18" t="n"/>
      <c r="N33" s="18" t="n"/>
      <c r="O33" s="18" t="n">
        <v>0</v>
      </c>
      <c r="P33" s="37">
        <f>SUM(L33:O33)</f>
        <v/>
      </c>
      <c r="Q33" s="18" t="n"/>
      <c r="R33" s="18" t="n"/>
      <c r="S33" s="18" t="n"/>
      <c r="T33" s="18" t="n">
        <v>0</v>
      </c>
      <c r="U33" s="37">
        <f>SUM(Q33:T33)</f>
        <v/>
      </c>
      <c r="V33" s="18" t="n"/>
      <c r="W33" s="18" t="n"/>
      <c r="X33" s="18" t="n"/>
      <c r="Y33" s="18" t="n">
        <v>0</v>
      </c>
      <c r="Z33" s="37">
        <f>SUM(V33:Y33)</f>
        <v/>
      </c>
      <c r="AA33" s="18" t="n"/>
      <c r="AB33" s="19" t="n"/>
      <c r="AC33" s="20" t="n"/>
      <c r="AD33" s="20">
        <f>변수!AD38</f>
        <v/>
      </c>
      <c r="AE33" s="38">
        <f>SUM(AA33:AD33)</f>
        <v/>
      </c>
      <c r="AF33" s="20" t="n"/>
      <c r="AG33" s="20" t="n"/>
      <c r="AH33" s="20" t="n"/>
      <c r="AI33" s="20">
        <f>변수!AI38</f>
        <v/>
      </c>
      <c r="AJ33" s="38">
        <f>SUM(AF33:AI33)</f>
        <v/>
      </c>
      <c r="AK33" s="20" t="n"/>
      <c r="AL33" s="20" t="n"/>
      <c r="AM33" s="20" t="n"/>
      <c r="AN33" s="20">
        <f>변수!AN38</f>
        <v/>
      </c>
      <c r="AO33" s="38">
        <f>SUM(AK33:AN33)</f>
        <v/>
      </c>
    </row>
    <row r="34">
      <c r="A34" s="12" t="inlineStr">
        <is>
          <t>PER</t>
        </is>
      </c>
      <c r="B34" t="inlineStr">
        <is>
          <t>주당</t>
        </is>
      </c>
      <c r="C34" t="inlineStr">
        <is>
          <t>배</t>
        </is>
      </c>
      <c r="D34" t="inlineStr">
        <is>
          <t>PER</t>
        </is>
      </c>
      <c r="E34" s="13" t="n"/>
      <c r="F34" s="14">
        <f>E34</f>
        <v/>
      </c>
      <c r="G34" s="13" t="n"/>
      <c r="H34" s="13" t="n"/>
      <c r="I34" s="13" t="n"/>
      <c r="J34" s="13" t="n"/>
      <c r="K34" s="14">
        <f>J34</f>
        <v/>
      </c>
      <c r="L34" s="13" t="n"/>
      <c r="M34" s="13" t="n"/>
      <c r="N34" s="13" t="n"/>
      <c r="O34" s="13" t="n"/>
      <c r="P34" s="14">
        <f>O34</f>
        <v/>
      </c>
      <c r="Q34" s="13" t="n"/>
      <c r="R34" s="13" t="n"/>
      <c r="S34" s="13" t="n"/>
      <c r="T34" s="13" t="n"/>
      <c r="U34" s="14">
        <f>T34</f>
        <v/>
      </c>
      <c r="V34" s="13" t="n"/>
      <c r="W34" s="13">
        <f>IFERROR(변수!W18/(S30+T30+V30+W30),"")</f>
        <v/>
      </c>
      <c r="X34" s="13">
        <f>IFERROR(변수!X18/(T30+V30+W30+X30),"")</f>
        <v/>
      </c>
      <c r="Y34" s="13">
        <f>IFERROR(변수!Y18/(V30+W30+X30+Y30),"")</f>
        <v/>
      </c>
      <c r="Z34" s="14">
        <f>Y34</f>
        <v/>
      </c>
      <c r="AA34" s="13">
        <f>IFERROR(변수!AA18/(W30+X30+Y30+AA30),"")</f>
        <v/>
      </c>
      <c r="AB34" s="15">
        <f>IFERROR(변수!AB18/(X30+Y30+AA30+AB30),"")</f>
        <v/>
      </c>
      <c r="AC34" s="40">
        <f>IFERROR(변수!$D$41/(Y30+AA30+AB30+AC30),"")</f>
        <v/>
      </c>
      <c r="AD34" s="40">
        <f>IFERROR(변수!$D$41/(AA30+AB30+AC30+AD30),"")</f>
        <v/>
      </c>
      <c r="AE34" s="41">
        <f>AD34</f>
        <v/>
      </c>
      <c r="AF34" s="40">
        <f>IFERROR(변수!$D$41/(AB30+AC30+AD30+AF30),"")</f>
        <v/>
      </c>
      <c r="AG34" s="40" t="n"/>
      <c r="AH34" s="40" t="n"/>
      <c r="AI34" s="40" t="n"/>
      <c r="AJ34" s="41">
        <f>AI34</f>
        <v/>
      </c>
      <c r="AK34" s="40" t="n"/>
      <c r="AL34" s="40" t="n"/>
      <c r="AM34" s="40" t="n"/>
      <c r="AN34" s="40" t="n"/>
      <c r="AO34" s="41">
        <f>AN34</f>
        <v/>
      </c>
    </row>
    <row r="35">
      <c r="A35" s="12" t="inlineStr">
        <is>
          <t>PBR</t>
        </is>
      </c>
      <c r="B35" t="inlineStr">
        <is>
          <t>주당</t>
        </is>
      </c>
      <c r="C35" t="inlineStr">
        <is>
          <t>배</t>
        </is>
      </c>
      <c r="D35" t="inlineStr">
        <is>
          <t>PBR</t>
        </is>
      </c>
      <c r="E35" s="13">
        <f>IFERROR(변수!E18/E32,"")</f>
        <v/>
      </c>
      <c r="F35" s="14">
        <f>E35</f>
        <v/>
      </c>
      <c r="G35" s="13">
        <f>IFERROR(변수!G18/G32,"")</f>
        <v/>
      </c>
      <c r="H35" s="13">
        <f>IFERROR(변수!H18/H32,"")</f>
        <v/>
      </c>
      <c r="I35" s="13">
        <f>IFERROR(변수!I18/I32,"")</f>
        <v/>
      </c>
      <c r="J35" s="13">
        <f>IFERROR(변수!J18/J32,"")</f>
        <v/>
      </c>
      <c r="K35" s="14">
        <f>J35</f>
        <v/>
      </c>
      <c r="L35" s="13">
        <f>IFERROR(변수!L18/L32,"")</f>
        <v/>
      </c>
      <c r="M35" s="13">
        <f>IFERROR(변수!M18/M32,"")</f>
        <v/>
      </c>
      <c r="N35" s="13">
        <f>IFERROR(변수!N18/N32,"")</f>
        <v/>
      </c>
      <c r="O35" s="13">
        <f>IFERROR(변수!O18/O32,"")</f>
        <v/>
      </c>
      <c r="P35" s="14">
        <f>O35</f>
        <v/>
      </c>
      <c r="Q35" s="13">
        <f>IFERROR(변수!Q18/Q32,"")</f>
        <v/>
      </c>
      <c r="R35" s="13">
        <f>IFERROR(변수!R18/R32,"")</f>
        <v/>
      </c>
      <c r="S35" s="13">
        <f>IFERROR(변수!S18/S32,"")</f>
        <v/>
      </c>
      <c r="T35" s="13">
        <f>IFERROR(변수!T18/T32,"")</f>
        <v/>
      </c>
      <c r="U35" s="14">
        <f>T35</f>
        <v/>
      </c>
      <c r="V35" s="13">
        <f>IFERROR(변수!V18/V32,"")</f>
        <v/>
      </c>
      <c r="W35" s="13">
        <f>IFERROR(변수!W18/W32,"")</f>
        <v/>
      </c>
      <c r="X35" s="13">
        <f>IFERROR(변수!X18/X32,"")</f>
        <v/>
      </c>
      <c r="Y35" s="13">
        <f>IFERROR(변수!Y18/Y32,"")</f>
        <v/>
      </c>
      <c r="Z35" s="14">
        <f>Y35</f>
        <v/>
      </c>
      <c r="AA35" s="13">
        <f>IFERROR(변수!AA18/AA32,"")</f>
        <v/>
      </c>
      <c r="AB35" s="15">
        <f>IFERROR(변수!AB18/AB32,"")</f>
        <v/>
      </c>
      <c r="AC35" s="40">
        <f>IFERROR(변수!$D$41/AC32,"")</f>
        <v/>
      </c>
      <c r="AD35" s="40">
        <f>IFERROR(변수!$D$41/AD32,"")</f>
        <v/>
      </c>
      <c r="AE35" s="41">
        <f>AD35</f>
        <v/>
      </c>
      <c r="AF35" s="40">
        <f>IFERROR(변수!$D$41/AF32,"")</f>
        <v/>
      </c>
      <c r="AG35" s="40">
        <f>IFERROR(변수!$D$41/AG32,"")</f>
        <v/>
      </c>
      <c r="AH35" s="40">
        <f>IFERROR(변수!$D$41/AH32,"")</f>
        <v/>
      </c>
      <c r="AI35" s="40">
        <f>IFERROR(변수!$D$41/AI32,"")</f>
        <v/>
      </c>
      <c r="AJ35" s="41">
        <f>AI35</f>
        <v/>
      </c>
      <c r="AK35" s="40">
        <f>IFERROR(변수!$D$41/AK32,"")</f>
        <v/>
      </c>
      <c r="AL35" s="40">
        <f>IFERROR(변수!$D$41/AL32,"")</f>
        <v/>
      </c>
      <c r="AM35" s="40">
        <f>IFERROR(변수!$D$41/AM32,"")</f>
        <v/>
      </c>
      <c r="AN35" s="40">
        <f>IFERROR(변수!$D$41/AN32,"")</f>
        <v/>
      </c>
      <c r="AO35" s="41">
        <f>AN35</f>
        <v/>
      </c>
    </row>
    <row r="36">
      <c r="A36" s="12" t="inlineStr">
        <is>
          <t>매출전사</t>
        </is>
      </c>
      <c r="B36" t="inlineStr">
        <is>
          <t>사업부</t>
        </is>
      </c>
      <c r="C36" t="inlineStr">
        <is>
          <t>억원</t>
        </is>
      </c>
      <c r="D36" t="inlineStr">
        <is>
          <t>매출 전사(부문 미분리)</t>
        </is>
      </c>
      <c r="E36" s="18" t="n">
        <v>42.39</v>
      </c>
      <c r="F36" s="37" t="n"/>
      <c r="G36" s="18" t="n">
        <v>35.56</v>
      </c>
      <c r="H36" s="18" t="n">
        <v>37.88</v>
      </c>
      <c r="I36" s="18" t="n">
        <v>31.42</v>
      </c>
      <c r="J36" s="18" t="n">
        <v>34.28</v>
      </c>
      <c r="K36" s="37">
        <f>SUM(G36:J36)</f>
        <v/>
      </c>
      <c r="L36" s="18" t="n">
        <v>34.3</v>
      </c>
      <c r="M36" s="18" t="n">
        <v>38.39</v>
      </c>
      <c r="N36" s="18" t="n">
        <v>31.48</v>
      </c>
      <c r="O36" s="18" t="n">
        <v>32.66</v>
      </c>
      <c r="P36" s="37">
        <f>SUM(L36:O36)</f>
        <v/>
      </c>
      <c r="Q36" s="18" t="n">
        <v>34.19</v>
      </c>
      <c r="R36" s="18" t="n">
        <v>45.21</v>
      </c>
      <c r="S36" s="18" t="n">
        <v>34.01</v>
      </c>
      <c r="T36" s="18" t="n">
        <v>35.97</v>
      </c>
      <c r="U36" s="37">
        <f>SUM(Q36:T36)</f>
        <v/>
      </c>
      <c r="V36" s="18" t="n">
        <v>30.65</v>
      </c>
      <c r="W36" s="18" t="n">
        <v>40.01</v>
      </c>
      <c r="X36" s="18" t="n">
        <v>38.02</v>
      </c>
      <c r="Y36" s="18" t="n">
        <v>42.11</v>
      </c>
      <c r="Z36" s="37">
        <f>SUM(V36:Y36)</f>
        <v/>
      </c>
      <c r="AA36" s="18" t="n">
        <v>32.86</v>
      </c>
      <c r="AB36" s="19" t="n">
        <v>33.15</v>
      </c>
      <c r="AC36" s="20">
        <f>IFERROR(AC5,"")</f>
        <v/>
      </c>
      <c r="AD36" s="20">
        <f>IFERROR(AD5,"")</f>
        <v/>
      </c>
      <c r="AE36" s="38">
        <f>SUM(AA36:AD36)</f>
        <v/>
      </c>
      <c r="AF36" s="20">
        <f>IFERROR(AF5,"")</f>
        <v/>
      </c>
      <c r="AG36" s="20">
        <f>IFERROR(AG5,"")</f>
        <v/>
      </c>
      <c r="AH36" s="20">
        <f>IFERROR(AH5,"")</f>
        <v/>
      </c>
      <c r="AI36" s="20">
        <f>IFERROR(AI5,"")</f>
        <v/>
      </c>
      <c r="AJ36" s="38">
        <f>SUM(AF36:AI36)</f>
        <v/>
      </c>
      <c r="AK36" s="20">
        <f>IFERROR(AK5,"")</f>
        <v/>
      </c>
      <c r="AL36" s="20">
        <f>IFERROR(AL5,"")</f>
        <v/>
      </c>
      <c r="AM36" s="20">
        <f>IFERROR(AM5,"")</f>
        <v/>
      </c>
      <c r="AN36" s="20">
        <f>IFERROR(AN5,"")</f>
        <v/>
      </c>
      <c r="AO36" s="38">
        <f>SUM(AK36:AN36)</f>
        <v/>
      </c>
    </row>
    <row r="37">
      <c r="A37" s="12" t="inlineStr">
        <is>
          <t>OP전사</t>
        </is>
      </c>
      <c r="B37" t="inlineStr">
        <is>
          <t>사업부</t>
        </is>
      </c>
      <c r="C37" t="inlineStr">
        <is>
          <t>억원</t>
        </is>
      </c>
      <c r="D37" t="inlineStr">
        <is>
          <t>OP 전사(부문 미분리)</t>
        </is>
      </c>
      <c r="E37" s="18" t="n">
        <v>-1.55</v>
      </c>
      <c r="F37" s="37" t="n"/>
      <c r="G37" s="18" t="n">
        <v>-3.05</v>
      </c>
      <c r="H37" s="18" t="n">
        <v>-4.21</v>
      </c>
      <c r="I37" s="18" t="n">
        <v>-3.84</v>
      </c>
      <c r="J37" s="18" t="n">
        <v>-1.6</v>
      </c>
      <c r="K37" s="37">
        <f>SUM(G37:J37)</f>
        <v/>
      </c>
      <c r="L37" s="18" t="n">
        <v>-2.56</v>
      </c>
      <c r="M37" s="18" t="n">
        <v>-1.95</v>
      </c>
      <c r="N37" s="18" t="n">
        <v>-5.81</v>
      </c>
      <c r="O37" s="18" t="n">
        <v>-4.63</v>
      </c>
      <c r="P37" s="37">
        <f>SUM(L37:O37)</f>
        <v/>
      </c>
      <c r="Q37" s="18" t="n">
        <v>-3.08</v>
      </c>
      <c r="R37" s="18" t="n">
        <v>-0.02</v>
      </c>
      <c r="S37" s="18" t="n">
        <v>-1.85</v>
      </c>
      <c r="T37" s="18" t="n">
        <v>-2.21</v>
      </c>
      <c r="U37" s="37">
        <f>SUM(Q37:T37)</f>
        <v/>
      </c>
      <c r="V37" s="18" t="n">
        <v>-3.77</v>
      </c>
      <c r="W37" s="18" t="n">
        <v>0.12</v>
      </c>
      <c r="X37" s="18" t="n">
        <v>-0.27</v>
      </c>
      <c r="Y37" s="18" t="n">
        <v>-2.29</v>
      </c>
      <c r="Z37" s="37">
        <f>SUM(V37:Y37)</f>
        <v/>
      </c>
      <c r="AA37" s="18" t="n">
        <v>-3.04</v>
      </c>
      <c r="AB37" s="19" t="n">
        <v>-7.36</v>
      </c>
      <c r="AC37" s="20">
        <f>IFERROR(AC9,"")</f>
        <v/>
      </c>
      <c r="AD37" s="20">
        <f>IFERROR(AD9,"")</f>
        <v/>
      </c>
      <c r="AE37" s="38">
        <f>SUM(AA37:AD37)</f>
        <v/>
      </c>
      <c r="AF37" s="20">
        <f>IFERROR(AF9,"")</f>
        <v/>
      </c>
      <c r="AG37" s="20">
        <f>IFERROR(AG9,"")</f>
        <v/>
      </c>
      <c r="AH37" s="20">
        <f>IFERROR(AH9,"")</f>
        <v/>
      </c>
      <c r="AI37" s="20">
        <f>IFERROR(AI9,"")</f>
        <v/>
      </c>
      <c r="AJ37" s="38">
        <f>SUM(AF37:AI37)</f>
        <v/>
      </c>
      <c r="AK37" s="20">
        <f>IFERROR(AK9,"")</f>
        <v/>
      </c>
      <c r="AL37" s="20">
        <f>IFERROR(AL9,"")</f>
        <v/>
      </c>
      <c r="AM37" s="20">
        <f>IFERROR(AM9,"")</f>
        <v/>
      </c>
      <c r="AN37" s="20">
        <f>IFERROR(AN9,"")</f>
        <v/>
      </c>
      <c r="AO37" s="38">
        <f>SUM(AK37:AN37)</f>
        <v/>
      </c>
    </row>
    <row r="38">
      <c r="B38" s="2" t="inlineStr">
        <is>
          <t>비율(참고)</t>
        </is>
      </c>
      <c r="F38" s="9" t="n"/>
      <c r="K38" s="9" t="n"/>
      <c r="P38" s="9" t="n"/>
      <c r="U38" s="9" t="n"/>
      <c r="Z38" s="9" t="n"/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s="12" t="inlineStr">
        <is>
          <t>NPM</t>
        </is>
      </c>
      <c r="C39" t="inlineStr">
        <is>
          <t>%</t>
        </is>
      </c>
      <c r="D39" t="inlineStr">
        <is>
          <t>지배주주순이익 / 매출액</t>
        </is>
      </c>
      <c r="E39" s="21">
        <f>IFERROR(E18/E5,"")</f>
        <v/>
      </c>
      <c r="F39" s="22">
        <f>IFERROR(F18/F5,"")</f>
        <v/>
      </c>
      <c r="G39" s="21">
        <f>IFERROR(G18/G5,"")</f>
        <v/>
      </c>
      <c r="H39" s="21">
        <f>IFERROR(H18/H5,"")</f>
        <v/>
      </c>
      <c r="I39" s="21">
        <f>IFERROR(I18/I5,"")</f>
        <v/>
      </c>
      <c r="J39" s="21">
        <f>IFERROR(J18/J5,"")</f>
        <v/>
      </c>
      <c r="K39" s="22">
        <f>IFERROR(K18/K5,"")</f>
        <v/>
      </c>
      <c r="L39" s="21">
        <f>IFERROR(L18/L5,"")</f>
        <v/>
      </c>
      <c r="M39" s="21">
        <f>IFERROR(M18/M5,"")</f>
        <v/>
      </c>
      <c r="N39" s="21">
        <f>IFERROR(N18/N5,"")</f>
        <v/>
      </c>
      <c r="O39" s="21">
        <f>IFERROR(O18/O5,"")</f>
        <v/>
      </c>
      <c r="P39" s="22">
        <f>IFERROR(P18/P5,"")</f>
        <v/>
      </c>
      <c r="Q39" s="21">
        <f>IFERROR(Q18/Q5,"")</f>
        <v/>
      </c>
      <c r="R39" s="21">
        <f>IFERROR(R18/R5,"")</f>
        <v/>
      </c>
      <c r="S39" s="21">
        <f>IFERROR(S18/S5,"")</f>
        <v/>
      </c>
      <c r="T39" s="21">
        <f>IFERROR(T18/T5,"")</f>
        <v/>
      </c>
      <c r="U39" s="22">
        <f>IFERROR(U18/U5,"")</f>
        <v/>
      </c>
      <c r="V39" s="21">
        <f>IFERROR(V18/V5,"")</f>
        <v/>
      </c>
      <c r="W39" s="21">
        <f>IFERROR(W18/W5,"")</f>
        <v/>
      </c>
      <c r="X39" s="21">
        <f>IFERROR(X18/X5,"")</f>
        <v/>
      </c>
      <c r="Y39" s="21">
        <f>IFERROR(Y18/Y5,"")</f>
        <v/>
      </c>
      <c r="Z39" s="22">
        <f>IFERROR(Z18/Z5,"")</f>
        <v/>
      </c>
      <c r="AA39" s="21">
        <f>IFERROR(AA18/AA5,"")</f>
        <v/>
      </c>
      <c r="AB39" s="23">
        <f>IFERROR(AB18/AB5,"")</f>
        <v/>
      </c>
      <c r="AC39" s="32">
        <f>IFERROR(AC18/AC5,"")</f>
        <v/>
      </c>
      <c r="AD39" s="32">
        <f>IFERROR(AD18/AD5,"")</f>
        <v/>
      </c>
      <c r="AE39" s="25">
        <f>IFERROR(AE18/AE5,"")</f>
        <v/>
      </c>
      <c r="AF39" s="32">
        <f>IFERROR(AF18/AF5,"")</f>
        <v/>
      </c>
      <c r="AG39" s="32">
        <f>IFERROR(AG18/AG5,"")</f>
        <v/>
      </c>
      <c r="AH39" s="32">
        <f>IFERROR(AH18/AH5,"")</f>
        <v/>
      </c>
      <c r="AI39" s="32">
        <f>IFERROR(AI18/AI5,"")</f>
        <v/>
      </c>
      <c r="AJ39" s="25">
        <f>IFERROR(AJ18/AJ5,"")</f>
        <v/>
      </c>
      <c r="AK39" s="32">
        <f>IFERROR(AK18/AK5,"")</f>
        <v/>
      </c>
      <c r="AL39" s="32">
        <f>IFERROR(AL18/AL5,"")</f>
        <v/>
      </c>
      <c r="AM39" s="32">
        <f>IFERROR(AM18/AM5,"")</f>
        <v/>
      </c>
      <c r="AN39" s="32">
        <f>IFERROR(AN18/AN5,"")</f>
        <v/>
      </c>
      <c r="AO39" s="25">
        <f>IFERROR(AO18/AO5,"")</f>
        <v/>
      </c>
    </row>
    <row r="40">
      <c r="A40" s="12" t="inlineStr">
        <is>
          <t>매출원가율</t>
        </is>
      </c>
      <c r="C40" t="inlineStr">
        <is>
          <t>%</t>
        </is>
      </c>
      <c r="D40" t="inlineStr">
        <is>
          <t>매출원가 / 매출액</t>
        </is>
      </c>
      <c r="E40" s="21">
        <f>IFERROR(E6/E5,"")</f>
        <v/>
      </c>
      <c r="F40" s="22">
        <f>IFERROR(F6/F5,"")</f>
        <v/>
      </c>
      <c r="G40" s="21">
        <f>IFERROR(G6/G5,"")</f>
        <v/>
      </c>
      <c r="H40" s="21">
        <f>IFERROR(H6/H5,"")</f>
        <v/>
      </c>
      <c r="I40" s="21">
        <f>IFERROR(I6/I5,"")</f>
        <v/>
      </c>
      <c r="J40" s="21">
        <f>IFERROR(J6/J5,"")</f>
        <v/>
      </c>
      <c r="K40" s="22">
        <f>IFERROR(K6/K5,"")</f>
        <v/>
      </c>
      <c r="L40" s="21">
        <f>IFERROR(L6/L5,"")</f>
        <v/>
      </c>
      <c r="M40" s="21">
        <f>IFERROR(M6/M5,"")</f>
        <v/>
      </c>
      <c r="N40" s="21">
        <f>IFERROR(N6/N5,"")</f>
        <v/>
      </c>
      <c r="O40" s="21">
        <f>IFERROR(O6/O5,"")</f>
        <v/>
      </c>
      <c r="P40" s="22">
        <f>IFERROR(P6/P5,"")</f>
        <v/>
      </c>
      <c r="Q40" s="21">
        <f>IFERROR(Q6/Q5,"")</f>
        <v/>
      </c>
      <c r="R40" s="21">
        <f>IFERROR(R6/R5,"")</f>
        <v/>
      </c>
      <c r="S40" s="21">
        <f>IFERROR(S6/S5,"")</f>
        <v/>
      </c>
      <c r="T40" s="21">
        <f>IFERROR(T6/T5,"")</f>
        <v/>
      </c>
      <c r="U40" s="22">
        <f>IFERROR(U6/U5,"")</f>
        <v/>
      </c>
      <c r="V40" s="21">
        <f>IFERROR(V6/V5,"")</f>
        <v/>
      </c>
      <c r="W40" s="21">
        <f>IFERROR(W6/W5,"")</f>
        <v/>
      </c>
      <c r="X40" s="21">
        <f>IFERROR(X6/X5,"")</f>
        <v/>
      </c>
      <c r="Y40" s="21">
        <f>IFERROR(Y6/Y5,"")</f>
        <v/>
      </c>
      <c r="Z40" s="22">
        <f>IFERROR(Z6/Z5,"")</f>
        <v/>
      </c>
      <c r="AA40" s="21">
        <f>IFERROR(AA6/AA5,"")</f>
        <v/>
      </c>
      <c r="AB40" s="23">
        <f>IFERROR(AB6/AB5,"")</f>
        <v/>
      </c>
      <c r="AC40" s="32">
        <f>IFERROR(AC6/AC5,"")</f>
        <v/>
      </c>
      <c r="AD40" s="32">
        <f>IFERROR(AD6/AD5,"")</f>
        <v/>
      </c>
      <c r="AE40" s="25">
        <f>IFERROR(AE6/AE5,"")</f>
        <v/>
      </c>
      <c r="AF40" s="32">
        <f>IFERROR(AF6/AF5,"")</f>
        <v/>
      </c>
      <c r="AG40" s="32">
        <f>IFERROR(AG6/AG5,"")</f>
        <v/>
      </c>
      <c r="AH40" s="32">
        <f>IFERROR(AH6/AH5,"")</f>
        <v/>
      </c>
      <c r="AI40" s="32">
        <f>IFERROR(AI6/AI5,"")</f>
        <v/>
      </c>
      <c r="AJ40" s="25">
        <f>IFERROR(AJ6/AJ5,"")</f>
        <v/>
      </c>
      <c r="AK40" s="32">
        <f>IFERROR(AK6/AK5,"")</f>
        <v/>
      </c>
      <c r="AL40" s="32">
        <f>IFERROR(AL6/AL5,"")</f>
        <v/>
      </c>
      <c r="AM40" s="32">
        <f>IFERROR(AM6/AM5,"")</f>
        <v/>
      </c>
      <c r="AN40" s="32">
        <f>IFERROR(AN6/AN5,"")</f>
        <v/>
      </c>
      <c r="AO40" s="25">
        <f>IFERROR(AO6/AO5,"")</f>
        <v/>
      </c>
    </row>
    <row r="41">
      <c r="A41" s="12" t="inlineStr">
        <is>
          <t>판관비율</t>
        </is>
      </c>
      <c r="C41" t="inlineStr">
        <is>
          <t>%</t>
        </is>
      </c>
      <c r="D41" t="inlineStr">
        <is>
          <t>판관비 / 매출액</t>
        </is>
      </c>
      <c r="E41" s="21">
        <f>IFERROR(E8/E5,"")</f>
        <v/>
      </c>
      <c r="F41" s="22">
        <f>IFERROR(F8/F5,"")</f>
        <v/>
      </c>
      <c r="G41" s="21">
        <f>IFERROR(G8/G5,"")</f>
        <v/>
      </c>
      <c r="H41" s="21">
        <f>IFERROR(H8/H5,"")</f>
        <v/>
      </c>
      <c r="I41" s="21">
        <f>IFERROR(I8/I5,"")</f>
        <v/>
      </c>
      <c r="J41" s="21">
        <f>IFERROR(J8/J5,"")</f>
        <v/>
      </c>
      <c r="K41" s="22">
        <f>IFERROR(K8/K5,"")</f>
        <v/>
      </c>
      <c r="L41" s="21">
        <f>IFERROR(L8/L5,"")</f>
        <v/>
      </c>
      <c r="M41" s="21">
        <f>IFERROR(M8/M5,"")</f>
        <v/>
      </c>
      <c r="N41" s="21">
        <f>IFERROR(N8/N5,"")</f>
        <v/>
      </c>
      <c r="O41" s="21">
        <f>IFERROR(O8/O5,"")</f>
        <v/>
      </c>
      <c r="P41" s="22">
        <f>IFERROR(P8/P5,"")</f>
        <v/>
      </c>
      <c r="Q41" s="21">
        <f>IFERROR(Q8/Q5,"")</f>
        <v/>
      </c>
      <c r="R41" s="21">
        <f>IFERROR(R8/R5,"")</f>
        <v/>
      </c>
      <c r="S41" s="21">
        <f>IFERROR(S8/S5,"")</f>
        <v/>
      </c>
      <c r="T41" s="21">
        <f>IFERROR(T8/T5,"")</f>
        <v/>
      </c>
      <c r="U41" s="22">
        <f>IFERROR(U8/U5,"")</f>
        <v/>
      </c>
      <c r="V41" s="21">
        <f>IFERROR(V8/V5,"")</f>
        <v/>
      </c>
      <c r="W41" s="21">
        <f>IFERROR(W8/W5,"")</f>
        <v/>
      </c>
      <c r="X41" s="21">
        <f>IFERROR(X8/X5,"")</f>
        <v/>
      </c>
      <c r="Y41" s="21">
        <f>IFERROR(Y8/Y5,"")</f>
        <v/>
      </c>
      <c r="Z41" s="22">
        <f>IFERROR(Z8/Z5,"")</f>
        <v/>
      </c>
      <c r="AA41" s="21">
        <f>IFERROR(AA8/AA5,"")</f>
        <v/>
      </c>
      <c r="AB41" s="23">
        <f>IFERROR(AB8/AB5,"")</f>
        <v/>
      </c>
      <c r="AC41" s="32">
        <f>IFERROR(AC8/AC5,"")</f>
        <v/>
      </c>
      <c r="AD41" s="32">
        <f>IFERROR(AD8/AD5,"")</f>
        <v/>
      </c>
      <c r="AE41" s="25">
        <f>IFERROR(AE8/AE5,"")</f>
        <v/>
      </c>
      <c r="AF41" s="32">
        <f>IFERROR(AF8/AF5,"")</f>
        <v/>
      </c>
      <c r="AG41" s="32">
        <f>IFERROR(AG8/AG5,"")</f>
        <v/>
      </c>
      <c r="AH41" s="32">
        <f>IFERROR(AH8/AH5,"")</f>
        <v/>
      </c>
      <c r="AI41" s="32">
        <f>IFERROR(AI8/AI5,"")</f>
        <v/>
      </c>
      <c r="AJ41" s="25">
        <f>IFERROR(AJ8/AJ5,"")</f>
        <v/>
      </c>
      <c r="AK41" s="32">
        <f>IFERROR(AK8/AK5,"")</f>
        <v/>
      </c>
      <c r="AL41" s="32">
        <f>IFERROR(AL8/AL5,"")</f>
        <v/>
      </c>
      <c r="AM41" s="32">
        <f>IFERROR(AM8/AM5,"")</f>
        <v/>
      </c>
      <c r="AN41" s="32">
        <f>IFERROR(AN8/AN5,"")</f>
        <v/>
      </c>
      <c r="AO41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2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변수!D41</f>
        <v/>
      </c>
      <c r="W2" s="43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4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5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6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6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6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6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6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7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6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6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6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6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6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6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6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6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자산총계</t>
        </is>
      </c>
      <c r="D19" t="inlineStr">
        <is>
          <t>자산총계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6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부채총계</t>
        </is>
      </c>
      <c r="D20" t="inlineStr">
        <is>
          <t>부채총계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6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자본총계</t>
        </is>
      </c>
      <c r="D21" t="inlineStr">
        <is>
          <t>자본총계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6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지배주주지분</t>
        </is>
      </c>
      <c r="D22" t="inlineStr">
        <is>
          <t>지배주주지분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6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총차입금</t>
        </is>
      </c>
      <c r="D23" t="inlineStr">
        <is>
          <t>총차입금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6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순차입금</t>
        </is>
      </c>
      <c r="D24" t="inlineStr">
        <is>
          <t>순차입금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6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이자발생자산</t>
        </is>
      </c>
      <c r="D25" t="inlineStr">
        <is>
          <t>이자발생자산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6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현금및현금성자산</t>
        </is>
      </c>
      <c r="D26" t="inlineStr">
        <is>
          <t>현금및현금성자산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6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CAPEX</t>
        </is>
      </c>
      <c r="D27" t="inlineStr">
        <is>
          <t>CAPEX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6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영업활동현금흐름</t>
        </is>
      </c>
      <c r="D28" t="inlineStr">
        <is>
          <t>영업활동현금흐름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6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주식수</t>
        </is>
      </c>
      <c r="D29" t="inlineStr">
        <is>
          <t>유통주식수</t>
        </is>
      </c>
      <c r="E29" s="27">
        <f>IFERROR(VLOOKUP($A29,subQ,MATCH(E$1,SUBQH,0),0),"")</f>
        <v/>
      </c>
      <c r="F29" s="27">
        <f>IFERROR(VLOOKUP($A29,subQ,MATCH(F$1,SUBQH,0),0),"")</f>
        <v/>
      </c>
      <c r="G29" s="27">
        <f>IFERROR(VLOOKUP($A29,subQ,MATCH(G$1,SUBQH,0),0),"")</f>
        <v/>
      </c>
      <c r="H29" s="27">
        <f>IFERROR(VLOOKUP($A29,subQ,MATCH(H$1,SUBQH,0),0),"")</f>
        <v/>
      </c>
      <c r="I29" s="27">
        <f>IFERROR(VLOOKUP($A29,subQ,MATCH(I$1,SUBQH,0),0),"")</f>
        <v/>
      </c>
      <c r="J29" s="27">
        <f>IFERROR(VLOOKUP($A29,subQ,MATCH(J$1,SUBQH,0),0),"")</f>
        <v/>
      </c>
      <c r="K29" s="27">
        <f>IFERROR(VLOOKUP($A29,subQ,MATCH(K$1,SUBQH,0),0),"")</f>
        <v/>
      </c>
      <c r="L29" s="27">
        <f>IFERROR(VLOOKUP($A29,subQ,MATCH(L$1,SUBQH,0),0),"")</f>
        <v/>
      </c>
      <c r="M29" s="27">
        <f>IFERROR(VLOOKUP($A29,subQ,MATCH(M$1,SUBQH,0),0),"")</f>
        <v/>
      </c>
      <c r="N29" s="27">
        <f>IFERROR(VLOOKUP($A29,subQ,MATCH(N$1,SUBQH,0),0),"")</f>
        <v/>
      </c>
      <c r="O29" s="27">
        <f>IFERROR(VLOOKUP($A29,subQ,MATCH(O$1,SUBQH,0),0),"")</f>
        <v/>
      </c>
      <c r="P29" s="27">
        <f>IFERROR(VLOOKUP($A29,subQ,MATCH(P$1,SUBQH,0),0),"")</f>
        <v/>
      </c>
      <c r="Q29" s="27">
        <f>IFERROR(VLOOKUP($A29,subQ,MATCH(Q$1,SUBQH,0),0),"")</f>
        <v/>
      </c>
      <c r="R29" s="27">
        <f>IFERROR(VLOOKUP($A29,subQ,MATCH(R$1,SUBQH,0),0),"")</f>
        <v/>
      </c>
      <c r="S29" s="27">
        <f>IFERROR(VLOOKUP($A29,subQ,MATCH(S$1,SUBQH,0),0),"")</f>
        <v/>
      </c>
      <c r="T29" s="27">
        <f>IFERROR(VLOOKUP($A29,subQ,MATCH(T$1,SUBQH,0),0),"")</f>
        <v/>
      </c>
      <c r="U29" s="27">
        <f>IFERROR(VLOOKUP($A29,subQ,MATCH(U$1,SUBQH,0),0),"")</f>
        <v/>
      </c>
      <c r="V29" s="27">
        <f>IFERROR(VLOOKUP($A29,subQ,MATCH(V$1,SUBQH,0),0),"")</f>
        <v/>
      </c>
      <c r="W29" s="48">
        <f>IFERROR(VLOOKUP($A29,subQ,MATCH(W$1,SUBQH,0),0),"")</f>
        <v/>
      </c>
      <c r="X29" s="33">
        <f>IFERROR(VLOOKUP($A29,subQ,MATCH(X$1,SUBQH,0),0),"")</f>
        <v/>
      </c>
      <c r="Y29" s="33">
        <f>IFERROR(VLOOKUP($A29,subQ,MATCH(Y$1,SUBQH,0),0),"")</f>
        <v/>
      </c>
      <c r="Z29" s="33">
        <f>IFERROR(VLOOKUP($A29,subQ,MATCH(Z$1,SUBQH,0),0),"")</f>
        <v/>
      </c>
      <c r="AA29" s="33">
        <f>IFERROR(VLOOKUP($A29,subQ,MATCH(AA$1,SUBQH,0),0),"")</f>
        <v/>
      </c>
      <c r="AB29" s="33">
        <f>IFERROR(VLOOKUP($A29,subQ,MATCH(AB$1,SUBQH,0),0),"")</f>
        <v/>
      </c>
      <c r="AC29" s="33">
        <f>IFERROR(VLOOKUP($A29,subQ,MATCH(AC$1,SUBQH,0),0),"")</f>
        <v/>
      </c>
      <c r="AD29" s="33">
        <f>IFERROR(VLOOKUP($A29,subQ,MATCH(AD$1,SUBQH,0),0),"")</f>
        <v/>
      </c>
      <c r="AE29" s="33">
        <f>IFERROR(VLOOKUP($A29,subQ,MATCH(AE$1,SUBQH,0),0),"")</f>
        <v/>
      </c>
      <c r="AF29" s="33">
        <f>IFERROR(VLOOKUP($A29,subQ,MATCH(AF$1,SUBQH,0),0),"")</f>
        <v/>
      </c>
      <c r="AG29" s="33">
        <f>IFERROR(VLOOKUP($A29,subQ,MATCH(AG$1,SUBQH,0),0),"")</f>
        <v/>
      </c>
    </row>
    <row r="30">
      <c r="A30" s="12" t="inlineStr">
        <is>
          <t>EPS</t>
        </is>
      </c>
      <c r="D30" t="inlineStr">
        <is>
          <t>EPS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6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조정EPS</t>
        </is>
      </c>
      <c r="D31" t="inlineStr">
        <is>
          <t>조정 EPS(일회성 의심 분기의 초과 비영업손익 세후 차감 — 모델 추정)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6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BPS</t>
        </is>
      </c>
      <c r="D32" t="inlineStr">
        <is>
          <t>BPS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6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DPS</t>
        </is>
      </c>
      <c r="D33" t="inlineStr">
        <is>
          <t>DPS(보통주)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6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PER</t>
        </is>
      </c>
      <c r="D34" t="inlineStr">
        <is>
          <t>PER</t>
        </is>
      </c>
      <c r="E34" s="13">
        <f>IFERROR(VLOOKUP($A34,subQ,MATCH(E$1,SUBQH,0),0),"")</f>
        <v/>
      </c>
      <c r="F34" s="13">
        <f>IFERROR(VLOOKUP($A34,subQ,MATCH(F$1,SUBQH,0),0),"")</f>
        <v/>
      </c>
      <c r="G34" s="13">
        <f>IFERROR(VLOOKUP($A34,subQ,MATCH(G$1,SUBQH,0),0),"")</f>
        <v/>
      </c>
      <c r="H34" s="13">
        <f>IFERROR(VLOOKUP($A34,subQ,MATCH(H$1,SUBQH,0),0),"")</f>
        <v/>
      </c>
      <c r="I34" s="13">
        <f>IFERROR(VLOOKUP($A34,subQ,MATCH(I$1,SUBQH,0),0),"")</f>
        <v/>
      </c>
      <c r="J34" s="13">
        <f>IFERROR(VLOOKUP($A34,subQ,MATCH(J$1,SUBQH,0),0),"")</f>
        <v/>
      </c>
      <c r="K34" s="13">
        <f>IFERROR(VLOOKUP($A34,subQ,MATCH(K$1,SUBQH,0),0),"")</f>
        <v/>
      </c>
      <c r="L34" s="13">
        <f>IFERROR(VLOOKUP($A34,subQ,MATCH(L$1,SUBQH,0),0),"")</f>
        <v/>
      </c>
      <c r="M34" s="13">
        <f>IFERROR(VLOOKUP($A34,subQ,MATCH(M$1,SUBQH,0),0),"")</f>
        <v/>
      </c>
      <c r="N34" s="13">
        <f>IFERROR(VLOOKUP($A34,subQ,MATCH(N$1,SUBQH,0),0),"")</f>
        <v/>
      </c>
      <c r="O34" s="13">
        <f>IFERROR(VLOOKUP($A34,subQ,MATCH(O$1,SUBQH,0),0),"")</f>
        <v/>
      </c>
      <c r="P34" s="13">
        <f>IFERROR(VLOOKUP($A34,subQ,MATCH(P$1,SUBQH,0),0),"")</f>
        <v/>
      </c>
      <c r="Q34" s="13">
        <f>IFERROR(VLOOKUP($A34,subQ,MATCH(Q$1,SUBQH,0),0),"")</f>
        <v/>
      </c>
      <c r="R34" s="13">
        <f>IFERROR(VLOOKUP($A34,subQ,MATCH(R$1,SUBQH,0),0),"")</f>
        <v/>
      </c>
      <c r="S34" s="13">
        <f>IFERROR(VLOOKUP($A34,subQ,MATCH(S$1,SUBQH,0),0),"")</f>
        <v/>
      </c>
      <c r="T34" s="13">
        <f>IFERROR(VLOOKUP($A34,subQ,MATCH(T$1,SUBQH,0),0),"")</f>
        <v/>
      </c>
      <c r="U34" s="13">
        <f>IFERROR(VLOOKUP($A34,subQ,MATCH(U$1,SUBQH,0),0),"")</f>
        <v/>
      </c>
      <c r="V34" s="13">
        <f>IFERROR(VLOOKUP($A34,subQ,MATCH(V$1,SUBQH,0),0),"")</f>
        <v/>
      </c>
      <c r="W34" s="49">
        <f>IFERROR(VLOOKUP($A34,subQ,MATCH(W$1,SUBQH,0),0),"")</f>
        <v/>
      </c>
      <c r="X34" s="40">
        <f>IFERROR(VLOOKUP($A34,subQ,MATCH(X$1,SUBQH,0),0),"")</f>
        <v/>
      </c>
      <c r="Y34" s="40">
        <f>IFERROR(VLOOKUP($A34,subQ,MATCH(Y$1,SUBQH,0),0),"")</f>
        <v/>
      </c>
      <c r="Z34" s="40">
        <f>IFERROR(VLOOKUP($A34,subQ,MATCH(Z$1,SUBQH,0),0),"")</f>
        <v/>
      </c>
      <c r="AA34" s="40">
        <f>IFERROR(VLOOKUP($A34,subQ,MATCH(AA$1,SUBQH,0),0),"")</f>
        <v/>
      </c>
      <c r="AB34" s="40">
        <f>IFERROR(VLOOKUP($A34,subQ,MATCH(AB$1,SUBQH,0),0),"")</f>
        <v/>
      </c>
      <c r="AC34" s="40">
        <f>IFERROR(VLOOKUP($A34,subQ,MATCH(AC$1,SUBQH,0),0),"")</f>
        <v/>
      </c>
      <c r="AD34" s="40">
        <f>IFERROR(VLOOKUP($A34,subQ,MATCH(AD$1,SUBQH,0),0),"")</f>
        <v/>
      </c>
      <c r="AE34" s="40">
        <f>IFERROR(VLOOKUP($A34,subQ,MATCH(AE$1,SUBQH,0),0),"")</f>
        <v/>
      </c>
      <c r="AF34" s="40">
        <f>IFERROR(VLOOKUP($A34,subQ,MATCH(AF$1,SUBQH,0),0),"")</f>
        <v/>
      </c>
      <c r="AG34" s="40">
        <f>IFERROR(VLOOKUP($A34,subQ,MATCH(AG$1,SUBQH,0),0),"")</f>
        <v/>
      </c>
    </row>
    <row r="35">
      <c r="A35" s="12" t="inlineStr">
        <is>
          <t>PBR</t>
        </is>
      </c>
      <c r="D35" t="inlineStr">
        <is>
          <t>PBR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13">
        <f>IFERROR(VLOOKUP($A35,subQ,MATCH(I$1,SUBQH,0),0),"")</f>
        <v/>
      </c>
      <c r="J35" s="13">
        <f>IFERROR(VLOOKUP($A35,subQ,MATCH(J$1,SUBQH,0),0),"")</f>
        <v/>
      </c>
      <c r="K35" s="13">
        <f>IFERROR(VLOOKUP($A35,subQ,MATCH(K$1,SUBQH,0),0),"")</f>
        <v/>
      </c>
      <c r="L35" s="13">
        <f>IFERROR(VLOOKUP($A35,subQ,MATCH(L$1,SUBQH,0),0),"")</f>
        <v/>
      </c>
      <c r="M35" s="13">
        <f>IFERROR(VLOOKUP($A35,subQ,MATCH(M$1,SUBQH,0),0),"")</f>
        <v/>
      </c>
      <c r="N35" s="13">
        <f>IFERROR(VLOOKUP($A35,subQ,MATCH(N$1,SUBQH,0),0),"")</f>
        <v/>
      </c>
      <c r="O35" s="13">
        <f>IFERROR(VLOOKUP($A35,subQ,MATCH(O$1,SUBQH,0),0),"")</f>
        <v/>
      </c>
      <c r="P35" s="13">
        <f>IFERROR(VLOOKUP($A35,subQ,MATCH(P$1,SUBQH,0),0),"")</f>
        <v/>
      </c>
      <c r="Q35" s="13">
        <f>IFERROR(VLOOKUP($A35,subQ,MATCH(Q$1,SUBQH,0),0),"")</f>
        <v/>
      </c>
      <c r="R35" s="13">
        <f>IFERROR(VLOOKUP($A35,subQ,MATCH(R$1,SUBQH,0),0),"")</f>
        <v/>
      </c>
      <c r="S35" s="13">
        <f>IFERROR(VLOOKUP($A35,subQ,MATCH(S$1,SUBQH,0),0),"")</f>
        <v/>
      </c>
      <c r="T35" s="13">
        <f>IFERROR(VLOOKUP($A35,subQ,MATCH(T$1,SUBQH,0),0),"")</f>
        <v/>
      </c>
      <c r="U35" s="13">
        <f>IFERROR(VLOOKUP($A35,subQ,MATCH(U$1,SUBQH,0),0),"")</f>
        <v/>
      </c>
      <c r="V35" s="13">
        <f>IFERROR(VLOOKUP($A35,subQ,MATCH(V$1,SUBQH,0),0),"")</f>
        <v/>
      </c>
      <c r="W35" s="49">
        <f>IFERROR(VLOOKUP($A35,subQ,MATCH(W$1,SUBQH,0),0),"")</f>
        <v/>
      </c>
      <c r="X35" s="40">
        <f>IFERROR(VLOOKUP($A35,subQ,MATCH(X$1,SUBQH,0),0),"")</f>
        <v/>
      </c>
      <c r="Y35" s="40">
        <f>IFERROR(VLOOKUP($A35,subQ,MATCH(Y$1,SUBQH,0),0),"")</f>
        <v/>
      </c>
      <c r="Z35" s="40">
        <f>IFERROR(VLOOKUP($A35,subQ,MATCH(Z$1,SUBQH,0),0),"")</f>
        <v/>
      </c>
      <c r="AA35" s="40">
        <f>IFERROR(VLOOKUP($A35,subQ,MATCH(AA$1,SUBQH,0),0),"")</f>
        <v/>
      </c>
      <c r="AB35" s="40">
        <f>IFERROR(VLOOKUP($A35,subQ,MATCH(AB$1,SUBQH,0),0),"")</f>
        <v/>
      </c>
      <c r="AC35" s="40">
        <f>IFERROR(VLOOKUP($A35,subQ,MATCH(AC$1,SUBQH,0),0),"")</f>
        <v/>
      </c>
      <c r="AD35" s="40">
        <f>IFERROR(VLOOKUP($A35,subQ,MATCH(AD$1,SUBQH,0),0),"")</f>
        <v/>
      </c>
      <c r="AE35" s="40">
        <f>IFERROR(VLOOKUP($A35,subQ,MATCH(AE$1,SUBQH,0),0),"")</f>
        <v/>
      </c>
      <c r="AF35" s="40">
        <f>IFERROR(VLOOKUP($A35,subQ,MATCH(AF$1,SUBQH,0),0),"")</f>
        <v/>
      </c>
      <c r="AG35" s="40">
        <f>IFERROR(VLOOKUP($A35,subQ,MATCH(AG$1,SUBQH,0),0),"")</f>
        <v/>
      </c>
    </row>
    <row r="36">
      <c r="A36" s="12" t="inlineStr">
        <is>
          <t>매출전사</t>
        </is>
      </c>
      <c r="D36" t="inlineStr">
        <is>
          <t>매출 전사(부문 미분리)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6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  <c r="AF36" s="20">
        <f>IFERROR(VLOOKUP($A36,subQ,MATCH(AF$1,SUBQH,0),0),"")</f>
        <v/>
      </c>
      <c r="AG36" s="20">
        <f>IFERROR(VLOOKUP($A36,subQ,MATCH(AG$1,SUBQH,0),0),"")</f>
        <v/>
      </c>
    </row>
    <row r="37">
      <c r="A37" s="12" t="inlineStr">
        <is>
          <t>OP전사</t>
        </is>
      </c>
      <c r="D37" t="inlineStr">
        <is>
          <t>OP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6">
        <f>IFERROR(VLOOKUP($A37,subQ,MATCH(W$1,SUBQH,0),0),"")</f>
        <v/>
      </c>
      <c r="X37" s="20">
        <f>IFERROR(VLOOKUP($A37,subQ,MATCH(X$1,SUBQH,0),0),"")</f>
        <v/>
      </c>
      <c r="Y37" s="20">
        <f>IFERROR(VLOOKUP($A37,subQ,MATCH(Y$1,SUBQH,0),0),"")</f>
        <v/>
      </c>
      <c r="Z37" s="20">
        <f>IFERROR(VLOOKUP($A37,subQ,MATCH(Z$1,SUBQH,0),0),"")</f>
        <v/>
      </c>
      <c r="AA37" s="20">
        <f>IFERROR(VLOOKUP($A37,subQ,MATCH(AA$1,SUBQH,0),0),"")</f>
        <v/>
      </c>
      <c r="AB37" s="20">
        <f>IFERROR(VLOOKUP($A37,subQ,MATCH(AB$1,SUBQH,0),0),"")</f>
        <v/>
      </c>
      <c r="AC37" s="20">
        <f>IFERROR(VLOOKUP($A37,subQ,MATCH(AC$1,SUBQH,0),0),"")</f>
        <v/>
      </c>
      <c r="AD37" s="20">
        <f>IFERROR(VLOOKUP($A37,subQ,MATCH(AD$1,SUBQH,0),0),"")</f>
        <v/>
      </c>
      <c r="AE37" s="20">
        <f>IFERROR(VLOOKUP($A37,subQ,MATCH(AE$1,SUBQH,0),0),"")</f>
        <v/>
      </c>
      <c r="AF37" s="20">
        <f>IFERROR(VLOOKUP($A37,subQ,MATCH(AF$1,SUBQH,0),0),"")</f>
        <v/>
      </c>
      <c r="AG37" s="20">
        <f>IFERROR(VLOOKUP($A37,subQ,MATCH(AG$1,SUBQH,0),0),"")</f>
        <v/>
      </c>
    </row>
    <row r="38">
      <c r="A38" s="12" t="inlineStr">
        <is>
          <t>NPM</t>
        </is>
      </c>
      <c r="D38" t="inlineStr">
        <is>
          <t>NPM</t>
        </is>
      </c>
      <c r="E38" s="21">
        <f>IFERROR(VLOOKUP($A38,subQ,MATCH(E$1,SUBQH,0),0),"")</f>
        <v/>
      </c>
      <c r="F38" s="21">
        <f>IFERROR(VLOOKUP($A38,subQ,MATCH(F$1,SUBQH,0),0),"")</f>
        <v/>
      </c>
      <c r="G38" s="21">
        <f>IFERROR(VLOOKUP($A38,subQ,MATCH(G$1,SUBQH,0),0),"")</f>
        <v/>
      </c>
      <c r="H38" s="21">
        <f>IFERROR(VLOOKUP($A38,subQ,MATCH(H$1,SUBQH,0),0),"")</f>
        <v/>
      </c>
      <c r="I38" s="21">
        <f>IFERROR(VLOOKUP($A38,subQ,MATCH(I$1,SUBQH,0),0),"")</f>
        <v/>
      </c>
      <c r="J38" s="21">
        <f>IFERROR(VLOOKUP($A38,subQ,MATCH(J$1,SUBQH,0),0),"")</f>
        <v/>
      </c>
      <c r="K38" s="21">
        <f>IFERROR(VLOOKUP($A38,subQ,MATCH(K$1,SUBQH,0),0),"")</f>
        <v/>
      </c>
      <c r="L38" s="21">
        <f>IFERROR(VLOOKUP($A38,subQ,MATCH(L$1,SUBQH,0),0),"")</f>
        <v/>
      </c>
      <c r="M38" s="21">
        <f>IFERROR(VLOOKUP($A38,subQ,MATCH(M$1,SUBQH,0),0),"")</f>
        <v/>
      </c>
      <c r="N38" s="21">
        <f>IFERROR(VLOOKUP($A38,subQ,MATCH(N$1,SUBQH,0),0),"")</f>
        <v/>
      </c>
      <c r="O38" s="21">
        <f>IFERROR(VLOOKUP($A38,subQ,MATCH(O$1,SUBQH,0),0),"")</f>
        <v/>
      </c>
      <c r="P38" s="21">
        <f>IFERROR(VLOOKUP($A38,subQ,MATCH(P$1,SUBQH,0),0),"")</f>
        <v/>
      </c>
      <c r="Q38" s="21">
        <f>IFERROR(VLOOKUP($A38,subQ,MATCH(Q$1,SUBQH,0),0),"")</f>
        <v/>
      </c>
      <c r="R38" s="21">
        <f>IFERROR(VLOOKUP($A38,subQ,MATCH(R$1,SUBQH,0),0),"")</f>
        <v/>
      </c>
      <c r="S38" s="21">
        <f>IFERROR(VLOOKUP($A38,subQ,MATCH(S$1,SUBQH,0),0),"")</f>
        <v/>
      </c>
      <c r="T38" s="21">
        <f>IFERROR(VLOOKUP($A38,subQ,MATCH(T$1,SUBQH,0),0),"")</f>
        <v/>
      </c>
      <c r="U38" s="21">
        <f>IFERROR(VLOOKUP($A38,subQ,MATCH(U$1,SUBQH,0),0),"")</f>
        <v/>
      </c>
      <c r="V38" s="21">
        <f>IFERROR(VLOOKUP($A38,subQ,MATCH(V$1,SUBQH,0),0),"")</f>
        <v/>
      </c>
      <c r="W38" s="47">
        <f>IFERROR(VLOOKUP($A38,subQ,MATCH(W$1,SUBQH,0),0),"")</f>
        <v/>
      </c>
      <c r="X38" s="32">
        <f>IFERROR(VLOOKUP($A38,subQ,MATCH(X$1,SUBQH,0),0),"")</f>
        <v/>
      </c>
      <c r="Y38" s="32">
        <f>IFERROR(VLOOKUP($A38,subQ,MATCH(Y$1,SUBQH,0),0),"")</f>
        <v/>
      </c>
      <c r="Z38" s="32">
        <f>IFERROR(VLOOKUP($A38,subQ,MATCH(Z$1,SUBQH,0),0),"")</f>
        <v/>
      </c>
      <c r="AA38" s="32">
        <f>IFERROR(VLOOKUP($A38,subQ,MATCH(AA$1,SUBQH,0),0),"")</f>
        <v/>
      </c>
      <c r="AB38" s="32">
        <f>IFERROR(VLOOKUP($A38,subQ,MATCH(AB$1,SUBQH,0),0),"")</f>
        <v/>
      </c>
      <c r="AC38" s="32">
        <f>IFERROR(VLOOKUP($A38,subQ,MATCH(AC$1,SUBQH,0),0),"")</f>
        <v/>
      </c>
      <c r="AD38" s="32">
        <f>IFERROR(VLOOKUP($A38,subQ,MATCH(AD$1,SUBQH,0),0),"")</f>
        <v/>
      </c>
      <c r="AE38" s="32">
        <f>IFERROR(VLOOKUP($A38,subQ,MATCH(AE$1,SUBQH,0),0),"")</f>
        <v/>
      </c>
      <c r="AF38" s="32">
        <f>IFERROR(VLOOKUP($A38,subQ,MATCH(AF$1,SUBQH,0),0),"")</f>
        <v/>
      </c>
      <c r="AG38" s="32">
        <f>IFERROR(VLOOKUP($A38,subQ,MATCH(AG$1,SUBQH,0),0),"")</f>
        <v/>
      </c>
    </row>
    <row r="39">
      <c r="A39" s="12" t="inlineStr">
        <is>
          <t>매출액 YoY</t>
        </is>
      </c>
      <c r="D39" t="inlineStr">
        <is>
          <t>매출액 YoY</t>
        </is>
      </c>
      <c r="I39" s="21">
        <f>IFERROR(I5/E5-1,"")</f>
        <v/>
      </c>
      <c r="J39" s="21">
        <f>IFERROR(J5/F5-1,"")</f>
        <v/>
      </c>
      <c r="K39" s="21">
        <f>IFERROR(K5/G5-1,"")</f>
        <v/>
      </c>
      <c r="L39" s="21">
        <f>IFERROR(L5/H5-1,"")</f>
        <v/>
      </c>
      <c r="M39" s="21">
        <f>IFERROR(M5/I5-1,"")</f>
        <v/>
      </c>
      <c r="N39" s="21">
        <f>IFERROR(N5/J5-1,"")</f>
        <v/>
      </c>
      <c r="O39" s="21">
        <f>IFERROR(O5/K5-1,"")</f>
        <v/>
      </c>
      <c r="P39" s="21">
        <f>IFERROR(P5/L5-1,"")</f>
        <v/>
      </c>
      <c r="Q39" s="21">
        <f>IFERROR(Q5/M5-1,"")</f>
        <v/>
      </c>
      <c r="R39" s="21">
        <f>IFERROR(R5/N5-1,"")</f>
        <v/>
      </c>
      <c r="S39" s="21">
        <f>IFERROR(S5/O5-1,"")</f>
        <v/>
      </c>
      <c r="T39" s="21">
        <f>IFERROR(T5/P5-1,"")</f>
        <v/>
      </c>
      <c r="U39" s="21">
        <f>IFERROR(U5/Q5-1,"")</f>
        <v/>
      </c>
      <c r="V39" s="21">
        <f>IFERROR(V5/R5-1,"")</f>
        <v/>
      </c>
      <c r="W39" s="47">
        <f>IFERROR(W5/S5-1,"")</f>
        <v/>
      </c>
      <c r="X39" s="32">
        <f>IFERROR(X5/T5-1,"")</f>
        <v/>
      </c>
      <c r="Y39" s="32">
        <f>IFERROR(Y5/U5-1,"")</f>
        <v/>
      </c>
      <c r="Z39" s="32">
        <f>IFERROR(Z5/V5-1,"")</f>
        <v/>
      </c>
      <c r="AA39" s="32">
        <f>IFERROR(AA5/W5-1,"")</f>
        <v/>
      </c>
      <c r="AB39" s="32">
        <f>IFERROR(AB5/X5-1,"")</f>
        <v/>
      </c>
      <c r="AC39" s="32">
        <f>IFERROR(AC5/Y5-1,"")</f>
        <v/>
      </c>
      <c r="AD39" s="32">
        <f>IFERROR(AD5/Z5-1,"")</f>
        <v/>
      </c>
      <c r="AE39" s="32">
        <f>IFERROR(AE5/AA5-1,"")</f>
        <v/>
      </c>
      <c r="AF39" s="32">
        <f>IFERROR(AF5/AB5-1,"")</f>
        <v/>
      </c>
      <c r="AG39" s="32">
        <f>IFERROR(AG5/AC5-1,"")</f>
        <v/>
      </c>
    </row>
    <row r="40">
      <c r="A40" s="12" t="inlineStr">
        <is>
          <t>영업이익 YoY</t>
        </is>
      </c>
      <c r="D40" t="inlineStr">
        <is>
          <t>영업이익 YoY</t>
        </is>
      </c>
      <c r="I40" s="21">
        <f>IFERROR(I9/E9-1,"")</f>
        <v/>
      </c>
      <c r="J40" s="21">
        <f>IFERROR(J9/F9-1,"")</f>
        <v/>
      </c>
      <c r="K40" s="21">
        <f>IFERROR(K9/G9-1,"")</f>
        <v/>
      </c>
      <c r="L40" s="21">
        <f>IFERROR(L9/H9-1,"")</f>
        <v/>
      </c>
      <c r="M40" s="21">
        <f>IFERROR(M9/I9-1,"")</f>
        <v/>
      </c>
      <c r="N40" s="21">
        <f>IFERROR(N9/J9-1,"")</f>
        <v/>
      </c>
      <c r="O40" s="21">
        <f>IFERROR(O9/K9-1,"")</f>
        <v/>
      </c>
      <c r="P40" s="21">
        <f>IFERROR(P9/L9-1,"")</f>
        <v/>
      </c>
      <c r="Q40" s="21">
        <f>IFERROR(Q9/M9-1,"")</f>
        <v/>
      </c>
      <c r="R40" s="21">
        <f>IFERROR(R9/N9-1,"")</f>
        <v/>
      </c>
      <c r="S40" s="21">
        <f>IFERROR(S9/O9-1,"")</f>
        <v/>
      </c>
      <c r="T40" s="21">
        <f>IFERROR(T9/P9-1,"")</f>
        <v/>
      </c>
      <c r="U40" s="21">
        <f>IFERROR(U9/Q9-1,"")</f>
        <v/>
      </c>
      <c r="V40" s="21">
        <f>IFERROR(V9/R9-1,"")</f>
        <v/>
      </c>
      <c r="W40" s="47">
        <f>IFERROR(W9/S9-1,"")</f>
        <v/>
      </c>
      <c r="X40" s="32">
        <f>IFERROR(X9/T9-1,"")</f>
        <v/>
      </c>
      <c r="Y40" s="32">
        <f>IFERROR(Y9/U9-1,"")</f>
        <v/>
      </c>
      <c r="Z40" s="32">
        <f>IFERROR(Z9/V9-1,"")</f>
        <v/>
      </c>
      <c r="AA40" s="32">
        <f>IFERROR(AA9/W9-1,"")</f>
        <v/>
      </c>
      <c r="AB40" s="32">
        <f>IFERROR(AB9/X9-1,"")</f>
        <v/>
      </c>
      <c r="AC40" s="32">
        <f>IFERROR(AC9/Y9-1,"")</f>
        <v/>
      </c>
      <c r="AD40" s="32">
        <f>IFERROR(AD9/Z9-1,"")</f>
        <v/>
      </c>
      <c r="AE40" s="32">
        <f>IFERROR(AE9/AA9-1,"")</f>
        <v/>
      </c>
      <c r="AF40" s="32">
        <f>IFERROR(AF9/AB9-1,"")</f>
        <v/>
      </c>
      <c r="AG40" s="32">
        <f>IFERROR(AG9/AC9-1,"")</f>
        <v/>
      </c>
    </row>
    <row r="41">
      <c r="A41" s="12" t="inlineStr">
        <is>
          <t>지배주주순이익 YoY</t>
        </is>
      </c>
      <c r="D41" t="inlineStr">
        <is>
          <t>지배주주순이익 YoY</t>
        </is>
      </c>
      <c r="I41" s="21">
        <f>IFERROR(I18/E18-1,"")</f>
        <v/>
      </c>
      <c r="J41" s="21">
        <f>IFERROR(J18/F18-1,"")</f>
        <v/>
      </c>
      <c r="K41" s="21">
        <f>IFERROR(K18/G18-1,"")</f>
        <v/>
      </c>
      <c r="L41" s="21">
        <f>IFERROR(L18/H18-1,"")</f>
        <v/>
      </c>
      <c r="M41" s="21">
        <f>IFERROR(M18/I18-1,"")</f>
        <v/>
      </c>
      <c r="N41" s="21">
        <f>IFERROR(N18/J18-1,"")</f>
        <v/>
      </c>
      <c r="O41" s="21">
        <f>IFERROR(O18/K18-1,"")</f>
        <v/>
      </c>
      <c r="P41" s="21">
        <f>IFERROR(P18/L18-1,"")</f>
        <v/>
      </c>
      <c r="Q41" s="21">
        <f>IFERROR(Q18/M18-1,"")</f>
        <v/>
      </c>
      <c r="R41" s="21">
        <f>IFERROR(R18/N18-1,"")</f>
        <v/>
      </c>
      <c r="S41" s="21">
        <f>IFERROR(S18/O18-1,"")</f>
        <v/>
      </c>
      <c r="T41" s="21">
        <f>IFERROR(T18/P18-1,"")</f>
        <v/>
      </c>
      <c r="U41" s="21">
        <f>IFERROR(U18/Q18-1,"")</f>
        <v/>
      </c>
      <c r="V41" s="21">
        <f>IFERROR(V18/R18-1,"")</f>
        <v/>
      </c>
      <c r="W41" s="47">
        <f>IFERROR(W18/S18-1,"")</f>
        <v/>
      </c>
      <c r="X41" s="32">
        <f>IFERROR(X18/T18-1,"")</f>
        <v/>
      </c>
      <c r="Y41" s="32">
        <f>IFERROR(Y18/U18-1,"")</f>
        <v/>
      </c>
      <c r="Z41" s="32">
        <f>IFERROR(Z18/V18-1,"")</f>
        <v/>
      </c>
      <c r="AA41" s="32">
        <f>IFERROR(AA18/W18-1,"")</f>
        <v/>
      </c>
      <c r="AB41" s="32">
        <f>IFERROR(AB18/X18-1,"")</f>
        <v/>
      </c>
      <c r="AC41" s="32">
        <f>IFERROR(AC18/Y18-1,"")</f>
        <v/>
      </c>
      <c r="AD41" s="32">
        <f>IFERROR(AD18/Z18-1,"")</f>
        <v/>
      </c>
      <c r="AE41" s="32">
        <f>IFERROR(AE18/AA18-1,"")</f>
        <v/>
      </c>
      <c r="AF41" s="32">
        <f>IFERROR(AF18/AB18-1,"")</f>
        <v/>
      </c>
      <c r="AG41" s="32">
        <f>IFERROR(AG18/AC18-1,"")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2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변수!D41</f>
        <v/>
      </c>
      <c r="I2" s="43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44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5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6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6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6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6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6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7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6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6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6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6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6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6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6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6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자산총계</t>
        </is>
      </c>
      <c r="D19" t="inlineStr">
        <is>
          <t>자산총계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6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부채총계</t>
        </is>
      </c>
      <c r="D20" t="inlineStr">
        <is>
          <t>부채총계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6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자본총계</t>
        </is>
      </c>
      <c r="D21" t="inlineStr">
        <is>
          <t>자본총계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6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지배주주지분</t>
        </is>
      </c>
      <c r="D22" t="inlineStr">
        <is>
          <t>지배주주지분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6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총차입금</t>
        </is>
      </c>
      <c r="D23" t="inlineStr">
        <is>
          <t>총차입금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6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순차입금</t>
        </is>
      </c>
      <c r="D24" t="inlineStr">
        <is>
          <t>순차입금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6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이자발생자산</t>
        </is>
      </c>
      <c r="D25" t="inlineStr">
        <is>
          <t>이자발생자산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6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현금및현금성자산</t>
        </is>
      </c>
      <c r="D26" t="inlineStr">
        <is>
          <t>현금및현금성자산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6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CAPEX</t>
        </is>
      </c>
      <c r="D27" t="inlineStr">
        <is>
          <t>CAPEX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6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영업활동현금흐름</t>
        </is>
      </c>
      <c r="D28" t="inlineStr">
        <is>
          <t>영업활동현금흐름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6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주식수</t>
        </is>
      </c>
      <c r="D29" t="inlineStr">
        <is>
          <t>유통주식수</t>
        </is>
      </c>
      <c r="E29" s="27">
        <f>IFERROR(VLOOKUP($A29,subQ,MATCH(E$1,SUBQH,0),0),"")</f>
        <v/>
      </c>
      <c r="F29" s="27">
        <f>IFERROR(VLOOKUP($A29,subQ,MATCH(F$1,SUBQH,0),0),"")</f>
        <v/>
      </c>
      <c r="G29" s="27">
        <f>IFERROR(VLOOKUP($A29,subQ,MATCH(G$1,SUBQH,0),0),"")</f>
        <v/>
      </c>
      <c r="H29" s="27">
        <f>IFERROR(VLOOKUP($A29,subQ,MATCH(H$1,SUBQH,0),0),"")</f>
        <v/>
      </c>
      <c r="I29" s="48">
        <f>IFERROR(VLOOKUP($A29,subQ,MATCH(I$1,SUBQH,0),0),"")</f>
        <v/>
      </c>
      <c r="J29" s="33">
        <f>IFERROR(VLOOKUP($A29,subQ,MATCH(J$1,SUBQH,0),0),"")</f>
        <v/>
      </c>
      <c r="K29" s="33">
        <f>IFERROR(VLOOKUP($A29,subQ,MATCH(K$1,SUBQH,0),0),"")</f>
        <v/>
      </c>
      <c r="L29" s="33">
        <f>IFERROR(VLOOKUP($A29,subQ,MATCH(L$1,SUBQH,0),0),"")</f>
        <v/>
      </c>
    </row>
    <row r="30">
      <c r="A30" s="12" t="inlineStr">
        <is>
          <t>EPS</t>
        </is>
      </c>
      <c r="D30" t="inlineStr">
        <is>
          <t>EPS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6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조정EPS</t>
        </is>
      </c>
      <c r="D31" t="inlineStr">
        <is>
          <t>조정 EPS(일회성 의심 분기의 초과 비영업손익 세후 차감 — 모델 추정)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6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BPS</t>
        </is>
      </c>
      <c r="D32" t="inlineStr">
        <is>
          <t>BPS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6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DPS</t>
        </is>
      </c>
      <c r="D33" t="inlineStr">
        <is>
          <t>DPS(보통주)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6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PER</t>
        </is>
      </c>
      <c r="D34" t="inlineStr">
        <is>
          <t>PER</t>
        </is>
      </c>
      <c r="E34" s="13">
        <f>IFERROR(VLOOKUP($A34,subQ,MATCH(E$1,SUBQH,0),0),"")</f>
        <v/>
      </c>
      <c r="F34" s="13">
        <f>IFERROR(VLOOKUP($A34,subQ,MATCH(F$1,SUBQH,0),0),"")</f>
        <v/>
      </c>
      <c r="G34" s="13">
        <f>IFERROR(VLOOKUP($A34,subQ,MATCH(G$1,SUBQH,0),0),"")</f>
        <v/>
      </c>
      <c r="H34" s="13">
        <f>IFERROR(VLOOKUP($A34,subQ,MATCH(H$1,SUBQH,0),0),"")</f>
        <v/>
      </c>
      <c r="I34" s="49">
        <f>IFERROR(VLOOKUP($A34,subQ,MATCH(I$1,SUBQH,0),0),"")</f>
        <v/>
      </c>
      <c r="J34" s="40">
        <f>IFERROR(VLOOKUP($A34,subQ,MATCH(J$1,SUBQH,0),0),"")</f>
        <v/>
      </c>
      <c r="K34" s="40">
        <f>IFERROR(VLOOKUP($A34,subQ,MATCH(K$1,SUBQH,0),0),"")</f>
        <v/>
      </c>
      <c r="L34" s="40">
        <f>IFERROR(VLOOKUP($A34,subQ,MATCH(L$1,SUBQH,0),0),"")</f>
        <v/>
      </c>
    </row>
    <row r="35">
      <c r="A35" s="12" t="inlineStr">
        <is>
          <t>PBR</t>
        </is>
      </c>
      <c r="D35" t="inlineStr">
        <is>
          <t>PBR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49">
        <f>IFERROR(VLOOKUP($A35,subQ,MATCH(I$1,SUBQH,0),0),"")</f>
        <v/>
      </c>
      <c r="J35" s="40">
        <f>IFERROR(VLOOKUP($A35,subQ,MATCH(J$1,SUBQH,0),0),"")</f>
        <v/>
      </c>
      <c r="K35" s="40">
        <f>IFERROR(VLOOKUP($A35,subQ,MATCH(K$1,SUBQH,0),0),"")</f>
        <v/>
      </c>
      <c r="L35" s="40">
        <f>IFERROR(VLOOKUP($A35,subQ,MATCH(L$1,SUBQH,0),0),"")</f>
        <v/>
      </c>
    </row>
    <row r="36">
      <c r="A36" s="12" t="inlineStr">
        <is>
          <t>매출전사</t>
        </is>
      </c>
      <c r="D36" t="inlineStr">
        <is>
          <t>매출 전사(부문 미분리)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6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  <c r="L36" s="20">
        <f>IFERROR(VLOOKUP($A36,subQ,MATCH(L$1,SUBQH,0),0),"")</f>
        <v/>
      </c>
    </row>
    <row r="37">
      <c r="A37" s="12" t="inlineStr">
        <is>
          <t>OP전사</t>
        </is>
      </c>
      <c r="D37" t="inlineStr">
        <is>
          <t>OP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6">
        <f>IFERROR(VLOOKUP($A37,subQ,MATCH(I$1,SUBQH,0),0),"")</f>
        <v/>
      </c>
      <c r="J37" s="20">
        <f>IFERROR(VLOOKUP($A37,subQ,MATCH(J$1,SUBQH,0),0),"")</f>
        <v/>
      </c>
      <c r="K37" s="20">
        <f>IFERROR(VLOOKUP($A37,subQ,MATCH(K$1,SUBQH,0),0),"")</f>
        <v/>
      </c>
      <c r="L37" s="20">
        <f>IFERROR(VLOOKUP($A37,subQ,MATCH(L$1,SUBQH,0),0),"")</f>
        <v/>
      </c>
    </row>
    <row r="38">
      <c r="A38" s="12" t="inlineStr">
        <is>
          <t>NPM</t>
        </is>
      </c>
      <c r="D38" t="inlineStr">
        <is>
          <t>NPM</t>
        </is>
      </c>
      <c r="E38" s="21">
        <f>IFERROR(VLOOKUP($A38,subQ,MATCH(E$1,SUBQH,0),0),"")</f>
        <v/>
      </c>
      <c r="F38" s="21">
        <f>IFERROR(VLOOKUP($A38,subQ,MATCH(F$1,SUBQH,0),0),"")</f>
        <v/>
      </c>
      <c r="G38" s="21">
        <f>IFERROR(VLOOKUP($A38,subQ,MATCH(G$1,SUBQH,0),0),"")</f>
        <v/>
      </c>
      <c r="H38" s="21">
        <f>IFERROR(VLOOKUP($A38,subQ,MATCH(H$1,SUBQH,0),0),"")</f>
        <v/>
      </c>
      <c r="I38" s="47">
        <f>IFERROR(VLOOKUP($A38,subQ,MATCH(I$1,SUBQH,0),0),"")</f>
        <v/>
      </c>
      <c r="J38" s="32">
        <f>IFERROR(VLOOKUP($A38,subQ,MATCH(J$1,SUBQH,0),0),"")</f>
        <v/>
      </c>
      <c r="K38" s="32">
        <f>IFERROR(VLOOKUP($A38,subQ,MATCH(K$1,SUBQH,0),0),"")</f>
        <v/>
      </c>
      <c r="L38" s="32">
        <f>IFERROR(VLOOKUP($A38,subQ,MATCH(L$1,SUBQH,0),0),"")</f>
        <v/>
      </c>
    </row>
    <row r="39">
      <c r="A39" s="12" t="inlineStr">
        <is>
          <t>매출액 YoY</t>
        </is>
      </c>
      <c r="D39" t="inlineStr">
        <is>
          <t>매출액 YoY</t>
        </is>
      </c>
      <c r="F39" s="21">
        <f>IFERROR(F5/E5-1,"")</f>
        <v/>
      </c>
      <c r="G39" s="21">
        <f>IFERROR(G5/F5-1,"")</f>
        <v/>
      </c>
      <c r="H39" s="21">
        <f>IFERROR(H5/G5-1,"")</f>
        <v/>
      </c>
      <c r="I39" s="47">
        <f>IFERROR(I5/H5-1,"")</f>
        <v/>
      </c>
      <c r="J39" s="32">
        <f>IFERROR(J5/I5-1,"")</f>
        <v/>
      </c>
      <c r="K39" s="32">
        <f>IFERROR(K5/J5-1,"")</f>
        <v/>
      </c>
      <c r="L39" s="32">
        <f>IFERROR(L5/K5-1,"")</f>
        <v/>
      </c>
    </row>
    <row r="40">
      <c r="A40" s="12" t="inlineStr">
        <is>
          <t>영업이익 YoY</t>
        </is>
      </c>
      <c r="D40" t="inlineStr">
        <is>
          <t>영업이익 YoY</t>
        </is>
      </c>
      <c r="F40" s="21">
        <f>IFERROR(F9/E9-1,"")</f>
        <v/>
      </c>
      <c r="G40" s="21">
        <f>IFERROR(G9/F9-1,"")</f>
        <v/>
      </c>
      <c r="H40" s="21">
        <f>IFERROR(H9/G9-1,"")</f>
        <v/>
      </c>
      <c r="I40" s="47">
        <f>IFERROR(I9/H9-1,"")</f>
        <v/>
      </c>
      <c r="J40" s="32">
        <f>IFERROR(J9/I9-1,"")</f>
        <v/>
      </c>
      <c r="K40" s="32">
        <f>IFERROR(K9/J9-1,"")</f>
        <v/>
      </c>
      <c r="L40" s="32">
        <f>IFERROR(L9/K9-1,"")</f>
        <v/>
      </c>
    </row>
    <row r="41">
      <c r="A41" s="12" t="inlineStr">
        <is>
          <t>지배주주순이익 YoY</t>
        </is>
      </c>
      <c r="D41" t="inlineStr">
        <is>
          <t>지배주주순이익 YoY</t>
        </is>
      </c>
      <c r="F41" s="21">
        <f>IFERROR(F18/E18-1,"")</f>
        <v/>
      </c>
      <c r="G41" s="21">
        <f>IFERROR(G18/F18-1,"")</f>
        <v/>
      </c>
      <c r="H41" s="21">
        <f>IFERROR(H18/G18-1,"")</f>
        <v/>
      </c>
      <c r="I41" s="47">
        <f>IFERROR(I18/H18-1,"")</f>
        <v/>
      </c>
      <c r="J41" s="32">
        <f>IFERROR(J18/I18-1,"")</f>
        <v/>
      </c>
      <c r="K41" s="32">
        <f>IFERROR(K18/J18-1,"")</f>
        <v/>
      </c>
      <c r="L41" s="32">
        <f>IFERROR(L18/K18-1,"")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변수!D41</f>
        <v/>
      </c>
    </row>
    <row r="2">
      <c r="B2" s="1" t="inlineStr">
        <is>
          <t>기준일</t>
        </is>
      </c>
      <c r="C2">
        <f>변수!D42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50" t="n">
        <v>2025</v>
      </c>
      <c r="E5" s="50" t="n">
        <v>2026</v>
      </c>
      <c r="F5" s="50" t="n">
        <v>2027</v>
      </c>
      <c r="G5" s="50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IFERROR(E7*변수!D47+F7*(1-변수!D47),"")</f>
        <v/>
      </c>
    </row>
    <row r="15">
      <c r="C15" t="inlineStr">
        <is>
          <t>적정가치 @PER_lo</t>
        </is>
      </c>
      <c r="D15" s="27">
        <f>변수!D44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변수!D45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변수!D46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변수!D43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-35.3</v>
      </c>
    </row>
    <row r="30">
      <c r="C30" s="2" t="inlineStr">
        <is>
          <t>bps_latest</t>
        </is>
      </c>
      <c r="D30" t="n">
        <v>3641.6</v>
      </c>
    </row>
    <row r="31">
      <c r="C31" s="2" t="inlineStr">
        <is>
          <t>per_now</t>
        </is>
      </c>
    </row>
    <row r="32">
      <c r="C32" s="2" t="inlineStr">
        <is>
          <t>pbr_now</t>
        </is>
      </c>
      <c r="D32" t="n">
        <v>1.3</v>
      </c>
    </row>
    <row r="33">
      <c r="C33" s="2" t="inlineStr">
        <is>
          <t>roe_fwd</t>
        </is>
      </c>
      <c r="D33" t="n">
        <v>-0.0097</v>
      </c>
    </row>
    <row r="34">
      <c r="C34" s="2" t="inlineStr">
        <is>
          <t>fair_pbr</t>
        </is>
      </c>
    </row>
    <row r="35">
      <c r="C35" s="2" t="inlineStr">
        <is>
          <t>fair_value_pbr</t>
        </is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40">
        <f>IFERROR(VLOOKUP($D5,환율,MATCH(X$1,변수H,0),0),"")</f>
        <v/>
      </c>
      <c r="Y5" s="40">
        <f>IFERROR(VLOOKUP($D5,환율,MATCH(Y$1,변수H,0),0),"")</f>
        <v/>
      </c>
      <c r="Z5" s="40">
        <f>IFERROR(VLOOKUP($D5,환율,MATCH(Z$1,변수H,0),0),"")</f>
        <v/>
      </c>
      <c r="AA5" s="40">
        <f>IFERROR(VLOOKUP($D5,환율,MATCH(AA$1,변수H,0),0),"")</f>
        <v/>
      </c>
      <c r="AB5" s="40">
        <f>IFERROR(VLOOKUP($D5,환율,MATCH(AB$1,변수H,0),0),"")</f>
        <v/>
      </c>
      <c r="AC5" s="40">
        <f>IFERROR(VLOOKUP($D5,환율,MATCH(AC$1,변수H,0),0),"")</f>
        <v/>
      </c>
      <c r="AD5" s="40">
        <f>IFERROR(VLOOKUP($D5,환율,MATCH(AD$1,변수H,0),0),"")</f>
        <v/>
      </c>
      <c r="AE5" s="40">
        <f>IFERROR(VLOOKUP($D5,환율,MATCH(AE$1,변수H,0),0),"")</f>
        <v/>
      </c>
      <c r="AF5" s="40">
        <f>IFERROR(VLOOKUP($D5,환율,MATCH(AF$1,변수H,0),0),"")</f>
        <v/>
      </c>
      <c r="AG5" s="40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40">
        <f>IFERROR(VLOOKUP($D7,환율,MATCH(X$1,변수H,0),0),"")</f>
        <v/>
      </c>
      <c r="Y7" s="40">
        <f>IFERROR(VLOOKUP($D7,환율,MATCH(Y$1,변수H,0),0),"")</f>
        <v/>
      </c>
      <c r="Z7" s="40">
        <f>IFERROR(VLOOKUP($D7,환율,MATCH(Z$1,변수H,0),0),"")</f>
        <v/>
      </c>
      <c r="AA7" s="40">
        <f>IFERROR(VLOOKUP($D7,환율,MATCH(AA$1,변수H,0),0),"")</f>
        <v/>
      </c>
      <c r="AB7" s="40">
        <f>IFERROR(VLOOKUP($D7,환율,MATCH(AB$1,변수H,0),0),"")</f>
        <v/>
      </c>
      <c r="AC7" s="40">
        <f>IFERROR(VLOOKUP($D7,환율,MATCH(AC$1,변수H,0),0),"")</f>
        <v/>
      </c>
      <c r="AD7" s="40">
        <f>IFERROR(VLOOKUP($D7,환율,MATCH(AD$1,변수H,0),0),"")</f>
        <v/>
      </c>
      <c r="AE7" s="40">
        <f>IFERROR(VLOOKUP($D7,환율,MATCH(AE$1,변수H,0),0),"")</f>
        <v/>
      </c>
      <c r="AF7" s="40">
        <f>IFERROR(VLOOKUP($D7,환율,MATCH(AF$1,변수H,0),0),"")</f>
        <v/>
      </c>
      <c r="AG7" s="40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40">
        <f>IFERROR(VLOOKUP($D9,환율,MATCH(X$1,변수H,0),0),"")</f>
        <v/>
      </c>
      <c r="Y9" s="40">
        <f>IFERROR(VLOOKUP($D9,환율,MATCH(Y$1,변수H,0),0),"")</f>
        <v/>
      </c>
      <c r="Z9" s="40">
        <f>IFERROR(VLOOKUP($D9,환율,MATCH(Z$1,변수H,0),0),"")</f>
        <v/>
      </c>
      <c r="AA9" s="40">
        <f>IFERROR(VLOOKUP($D9,환율,MATCH(AA$1,변수H,0),0),"")</f>
        <v/>
      </c>
      <c r="AB9" s="40">
        <f>IFERROR(VLOOKUP($D9,환율,MATCH(AB$1,변수H,0),0),"")</f>
        <v/>
      </c>
      <c r="AC9" s="40">
        <f>IFERROR(VLOOKUP($D9,환율,MATCH(AC$1,변수H,0),0),"")</f>
        <v/>
      </c>
      <c r="AD9" s="40">
        <f>IFERROR(VLOOKUP($D9,환율,MATCH(AD$1,변수H,0),0),"")</f>
        <v/>
      </c>
      <c r="AE9" s="40">
        <f>IFERROR(VLOOKUP($D9,환율,MATCH(AE$1,변수H,0),0),"")</f>
        <v/>
      </c>
      <c r="AF9" s="40">
        <f>IFERROR(VLOOKUP($D9,환율,MATCH(AF$1,변수H,0),0),"")</f>
        <v/>
      </c>
      <c r="AG9" s="40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40">
        <f>IFERROR(VLOOKUP($D11,환율,MATCH(X$1,변수H,0),0),"")</f>
        <v/>
      </c>
      <c r="Y11" s="40">
        <f>IFERROR(VLOOKUP($D11,환율,MATCH(Y$1,변수H,0),0),"")</f>
        <v/>
      </c>
      <c r="Z11" s="40">
        <f>IFERROR(VLOOKUP($D11,환율,MATCH(Z$1,변수H,0),0),"")</f>
        <v/>
      </c>
      <c r="AA11" s="40">
        <f>IFERROR(VLOOKUP($D11,환율,MATCH(AA$1,변수H,0),0),"")</f>
        <v/>
      </c>
      <c r="AB11" s="40">
        <f>IFERROR(VLOOKUP($D11,환율,MATCH(AB$1,변수H,0),0),"")</f>
        <v/>
      </c>
      <c r="AC11" s="40">
        <f>IFERROR(VLOOKUP($D11,환율,MATCH(AC$1,변수H,0),0),"")</f>
        <v/>
      </c>
      <c r="AD11" s="40">
        <f>IFERROR(VLOOKUP($D11,환율,MATCH(AD$1,변수H,0),0),"")</f>
        <v/>
      </c>
      <c r="AE11" s="40">
        <f>IFERROR(VLOOKUP($D11,환율,MATCH(AE$1,변수H,0),0),"")</f>
        <v/>
      </c>
      <c r="AF11" s="40">
        <f>IFERROR(VLOOKUP($D11,환율,MATCH(AF$1,변수H,0),0),"")</f>
        <v/>
      </c>
      <c r="AG11" s="40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40">
        <f>IFERROR(VLOOKUP($D13,환율,MATCH(X$1,변수H,0),0),"")</f>
        <v/>
      </c>
      <c r="Y13" s="40">
        <f>IFERROR(VLOOKUP($D13,환율,MATCH(Y$1,변수H,0),0),"")</f>
        <v/>
      </c>
      <c r="Z13" s="40">
        <f>IFERROR(VLOOKUP($D13,환율,MATCH(Z$1,변수H,0),0),"")</f>
        <v/>
      </c>
      <c r="AA13" s="40">
        <f>IFERROR(VLOOKUP($D13,환율,MATCH(AA$1,변수H,0),0),"")</f>
        <v/>
      </c>
      <c r="AB13" s="40">
        <f>IFERROR(VLOOKUP($D13,환율,MATCH(AB$1,변수H,0),0),"")</f>
        <v/>
      </c>
      <c r="AC13" s="40">
        <f>IFERROR(VLOOKUP($D13,환율,MATCH(AC$1,변수H,0),0),"")</f>
        <v/>
      </c>
      <c r="AD13" s="40">
        <f>IFERROR(VLOOKUP($D13,환율,MATCH(AD$1,변수H,0),0),"")</f>
        <v/>
      </c>
      <c r="AE13" s="40">
        <f>IFERROR(VLOOKUP($D13,환율,MATCH(AE$1,변수H,0),0),"")</f>
        <v/>
      </c>
      <c r="AF13" s="40">
        <f>IFERROR(VLOOKUP($D13,환율,MATCH(AF$1,변수H,0),0),"")</f>
        <v/>
      </c>
      <c r="AG13" s="40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변수!D54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2026-10-14T00:00:00Z</dcterms:created>
  <dcterms:modified xsi:type="dcterms:W3CDTF">2026-10-14T00:00:00Z</dcterms:modified>
</cp:coreProperties>
</file>