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BS별도!$C$5:$AO$79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0.0011 × 계절비중 Q3 0.237(계절비중 — 최근 3개 연도(2026, 2025, 2024) 분기/연간 비중 평균; 격자 lag0~4×창8/12/19×수준·YoY·4Q합 중 최대 r=0.77, n=14, 창 19)</t>
      </text>
    </comment>
    <comment ref="AD21" authorId="0" shapeId="0">
      <text>
        <t>모델값 역산(implied): v / 전년동기 − 1
고객지수 4분기 이동합(t−2) 218595억 × 비례계수 0.0011 × 계절비중 Q4 0.253(계절비중 — 최근 3개 연도(2026, 2025, 2024) 분기/연간 비중 평균; 격자 lag0~4×창8/12/19×수준·YoY·4Q합 중 최대 r=0.77, n=14, 창 19)</t>
      </text>
    </comment>
    <comment ref="AF21" authorId="0" shapeId="0">
      <text>
        <t>모델값 역산(implied): v / 전년동기 − 1
고객지수 4분기 이동합(t−2) 240370억 × 비례계수 0.0011 × 계절비중 Q1 0.228(계절비중 — 최근 3개 연도(2026, 2025, 2024) 분기/연간 비중 평균; 격자 lag0~4×창8/12/19×수준·YoY·4Q합 중 최대 r=0.77, n=14, 창 19)</t>
      </text>
    </comment>
    <comment ref="AG21" authorId="0" shapeId="0">
      <text>
        <t>모델값 역산(implied): v / 전년동기 − 1
고객지수 4분기 이동합(t−2) 254552억 × 비례계수 0.0011 × 계절비중 Q2 0.283(계절비중 — 최근 3개 연도(2026, 2025, 2024) 분기/연간 비중 평균; 격자 lag0~4×창8/12/19×수준·YoY·4Q합 중 최대 r=0.77, n=14, 창 19)</t>
      </text>
    </comment>
    <comment ref="AH21" authorId="0" shapeId="0">
      <text>
        <t>모델값 역산(implied): v / 전년동기 − 1
고객지수 4분기 이동합(t−2) 261026억 × 비례계수 0.0011 × 계절비중 Q3 0.237(계절비중 — 최근 3개 연도(2026, 2025, 2024) 분기/연간 비중 평균; 격자 lag0~4×창8/12/19×수준·YoY·4Q합 중 최대 r=0.77, n=14, 창 19)</t>
      </text>
    </comment>
    <comment ref="AI21" authorId="0" shapeId="0">
      <text>
        <t>모델값 역산(implied): v / 전년동기 − 1
고객지수 4분기 이동합(t−2) 262360억 × 비례계수 0.0011 × 계절비중 Q4 0.253(계절비중 — 최근 3개 연도(2026, 2025, 2024) 분기/연간 비중 평균; 격자 lag0~4×창8/12/19×수준·YoY·4Q합 중 최대 r=0.77, n=14, 창 19)</t>
      </text>
    </comment>
    <comment ref="AK21" authorId="0" shapeId="0">
      <text>
        <t>모델값 역산(implied): v / 전년동기 − 1
고객지수 4분기 이동합(t−2) 261074억 × 비례계수 0.0011 × 계절비중 Q1 0.228(계절비중 — 최근 3개 연도(2026, 2025, 2024) 분기/연간 비중 평균; 격자 lag0~4×창8/12/19×수준·YoY·4Q합 중 최대 r=0.77, n=14, 창 19)</t>
      </text>
    </comment>
    <comment ref="AL21" authorId="0" shapeId="0">
      <text>
        <t>모델값 역산(implied): v / 전년동기 − 1
고객지수 4분기 이동합(t−2) 258876억 × 비례계수 0.0011 × 계절비중 Q2 0.283(계절비중 — 최근 3개 연도(2026, 2025, 2024) 분기/연간 비중 평균; 격자 lag0~4×창8/12/19×수준·YoY·4Q합 중 최대 r=0.77, n=14, 창 19)</t>
      </text>
    </comment>
    <comment ref="AM21" authorId="0" shapeId="0">
      <text>
        <t>모델값 역산(implied): v / 전년동기 − 1
고객지수 4분기 이동합(t−2) 256251억 × 비례계수 0.0011 × 계절비중 Q3 0.237(계절비중 — 최근 3개 연도(2026, 2025, 2024) 분기/연간 비중 평균; 격자 lag0~4×창8/12/19×수준·YoY·4Q합 중 최대 r=0.77, n=14, 창 19)</t>
      </text>
    </comment>
    <comment ref="AN21" authorId="0" shapeId="0">
      <text>
        <t>모델값 역산(implied): v / 전년동기 − 1
고객지수 4분기 이동합(t−2) 253966억 × 비례계수 0.0011 × 계절비중 Q4 0.253(계절비중 — 최근 3개 연도(2026, 2025, 2024) 분기/연간 비중 평균; 격자 lag0~4×창8/12/19×수준·YoY·4Q합 중 최대 r=0.77, n=14, 창 19)</t>
      </text>
    </comment>
    <comment ref="AC22" authorId="0" shapeId="0">
      <text>
        <t>모델값 역산(implied): v / 매출액
매출액 × 판관비율 19.02%(최근 4분기 중위)</t>
      </text>
    </comment>
    <comment ref="AD22" authorId="0" shapeId="0">
      <text>
        <t>모델값 역산(implied): v / 매출액
매출액 × 판관비율 19.02%(최근 4분기 중위)</t>
      </text>
    </comment>
    <comment ref="AF22" authorId="0" shapeId="0">
      <text>
        <t>모델값 역산(implied): v / 매출액
매출액 × 판관비율 19.02%(최근 4분기 중위)</t>
      </text>
    </comment>
    <comment ref="AG22" authorId="0" shapeId="0">
      <text>
        <t>모델값 역산(implied): v / 매출액
매출액 × 판관비율 19.02%(최근 4분기 중위)</t>
      </text>
    </comment>
    <comment ref="AH22" authorId="0" shapeId="0">
      <text>
        <t>모델값 역산(implied): v / 매출액
매출액 × 판관비율 19.02%(최근 4분기 중위)</t>
      </text>
    </comment>
    <comment ref="AI22" authorId="0" shapeId="0">
      <text>
        <t>모델값 역산(implied): v / 매출액
매출액 × 판관비율 19.02%(최근 4분기 중위)</t>
      </text>
    </comment>
    <comment ref="AK22" authorId="0" shapeId="0">
      <text>
        <t>모델값 역산(implied): v / 매출액
매출액 × 판관비율 19.02%(최근 4분기 중위)</t>
      </text>
    </comment>
    <comment ref="AL22" authorId="0" shapeId="0">
      <text>
        <t>모델값 역산(implied): v / 매출액
매출액 × 판관비율 19.02%(최근 4분기 중위)</t>
      </text>
    </comment>
    <comment ref="AM22" authorId="0" shapeId="0">
      <text>
        <t>모델값 역산(implied): v / 매출액
매출액 × 판관비율 19.02%(최근 4분기 중위)</t>
      </text>
    </comment>
    <comment ref="AN22" authorId="0" shapeId="0">
      <text>
        <t>모델값 역산(implied): v / 매출액
매출액 × 판관비율 19.02%(최근 4분기 중위)</t>
      </text>
    </comment>
    <comment ref="AC23" authorId="0" shapeId="0">
      <text>
        <t>모델값 역산(implied): v / 매출액
매출액 × OPM(최근 8분기 OPM 중위 -5.8% 유지)</t>
      </text>
    </comment>
    <comment ref="AD23" authorId="0" shapeId="0">
      <text>
        <t>모델값 역산(implied): v / 매출액
매출액 × OPM(최근 8분기 OPM 중위 -5.8% 유지)</t>
      </text>
    </comment>
    <comment ref="AF23" authorId="0" shapeId="0">
      <text>
        <t>모델값 역산(implied): v / 매출액
매출액 × OPM(최근 8분기 OPM 중위 -5.8% 유지)</t>
      </text>
    </comment>
    <comment ref="AG23" authorId="0" shapeId="0">
      <text>
        <t>모델값 역산(implied): v / 매출액
매출액 × OPM(최근 8분기 OPM 중위 -5.8% 유지)</t>
      </text>
    </comment>
    <comment ref="AH23" authorId="0" shapeId="0">
      <text>
        <t>모델값 역산(implied): v / 매출액
매출액 × OPM(최근 8분기 OPM 중위 -5.8% 유지)</t>
      </text>
    </comment>
    <comment ref="AI23" authorId="0" shapeId="0">
      <text>
        <t>모델값 역산(implied): v / 매출액
매출액 × OPM(최근 8분기 OPM 중위 -5.8% 유지)</t>
      </text>
    </comment>
    <comment ref="AK23" authorId="0" shapeId="0">
      <text>
        <t>모델값 역산(implied): v / 매출액
매출액 × OPM(최근 8분기 OPM 중위 -5.8% 유지)</t>
      </text>
    </comment>
    <comment ref="AL23" authorId="0" shapeId="0">
      <text>
        <t>모델값 역산(implied): v / 매출액
매출액 × OPM(최근 8분기 OPM 중위 -5.8% 유지)</t>
      </text>
    </comment>
    <comment ref="AM23" authorId="0" shapeId="0">
      <text>
        <t>모델값 역산(implied): v / 매출액
매출액 × OPM(최근 8분기 OPM 중위 -5.8% 유지)</t>
      </text>
    </comment>
    <comment ref="AN23" authorId="0" shapeId="0">
      <text>
        <t>모델값 역산(implied): v / 매출액
매출액 × OPM(최근 8분기 OPM 중위 -5.8% 유지)</t>
      </text>
    </comment>
    <comment ref="AC24" authorId="0" shapeId="0">
      <text>
        <t>모델값 역산(implied): v / 전년동기 − 1
최근 8분기 OPM 중위 -5.8% 유지</t>
      </text>
    </comment>
    <comment ref="AD24" authorId="0" shapeId="0">
      <text>
        <t>모델값 역산(implied): v / 전년동기 − 1
최근 8분기 OPM 중위 -5.8% 유지</t>
      </text>
    </comment>
    <comment ref="AF24" authorId="0" shapeId="0">
      <text>
        <t>모델값 역산(implied): v / 전년동기 − 1
최근 8분기 OPM 중위 -5.8% 유지</t>
      </text>
    </comment>
    <comment ref="AG24" authorId="0" shapeId="0">
      <text>
        <t>모델값 역산(implied): v / 전년동기 − 1
최근 8분기 OPM 중위 -5.8% 유지</t>
      </text>
    </comment>
    <comment ref="AH24" authorId="0" shapeId="0">
      <text>
        <t>모델값 역산(implied): v / 전년동기 − 1
최근 8분기 OPM 중위 -5.8% 유지</t>
      </text>
    </comment>
    <comment ref="AI24" authorId="0" shapeId="0">
      <text>
        <t>모델값 역산(implied): v / 전년동기 − 1
최근 8분기 OPM 중위 -5.8% 유지</t>
      </text>
    </comment>
    <comment ref="AK24" authorId="0" shapeId="0">
      <text>
        <t>모델값 역산(implied): v / 전년동기 − 1
최근 8분기 OPM 중위 -5.8% 유지</t>
      </text>
    </comment>
    <comment ref="AL24" authorId="0" shapeId="0">
      <text>
        <t>모델값 역산(implied): v / 전년동기 − 1
최근 8분기 OPM 중위 -5.8% 유지</t>
      </text>
    </comment>
    <comment ref="AM24" authorId="0" shapeId="0">
      <text>
        <t>모델값 역산(implied): v / 전년동기 − 1
최근 8분기 OPM 중위 -5.8% 유지</t>
      </text>
    </comment>
    <comment ref="AN24" authorId="0" shapeId="0">
      <text>
        <t>모델값 역산(implied): v / 전년동기 − 1
최근 8분기 OPM 중위 -5.8% 유지</t>
      </text>
    </comment>
    <comment ref="AC25" authorId="0" shapeId="0">
      <text>
        <t>모델값 역산(implied): 모델 v 그대로
이자손익 = 이자발생자산 240억 × 2.37% − 총차입금 116억 × 0.00% (연율, CF 실측) ÷ 4; 환·평가손익 0 가정</t>
      </text>
    </comment>
    <comment ref="AD25" authorId="0" shapeId="0">
      <text>
        <t>모델값 역산(implied): 모델 v 그대로
이자손익 = 이자발생자산 239억 × 2.37% − 총차입금 116억 × 0.00% (연율, CF 실측) ÷ 4; 환·평가손익 0 가정</t>
      </text>
    </comment>
    <comment ref="AF25" authorId="0" shapeId="0">
      <text>
        <t>모델값 역산(implied): 모델 v 그대로
이자손익 = 이자발생자산 237억 × 2.37% − 총차입금 116억 × 0.00% (연율, CF 실측) ÷ 4; 환·평가손익 0 가정</t>
      </text>
    </comment>
    <comment ref="AG25" authorId="0" shapeId="0">
      <text>
        <t>모델값 역산(implied): 모델 v 그대로
이자손익 = 이자발생자산 235억 × 2.37% − 총차입금 116억 × 0.00% (연율, CF 실측) ÷ 4; 환·평가손익 0 가정</t>
      </text>
    </comment>
    <comment ref="AH25" authorId="0" shapeId="0">
      <text>
        <t>모델값 역산(implied): 모델 v 그대로
이자손익 = 이자발생자산 231억 × 2.37% − 총차입금 116억 × 0.00% (연율, CF 실측) ÷ 4; 환·평가손익 0 가정</t>
      </text>
    </comment>
    <comment ref="AI25" authorId="0" shapeId="0">
      <text>
        <t>모델값 역산(implied): 모델 v 그대로
이자손익 = 이자발생자산 229억 × 2.37% − 총차입금 116억 × 0.00% (연율, CF 실측) ÷ 4; 환·평가손익 0 가정</t>
      </text>
    </comment>
    <comment ref="AK25" authorId="0" shapeId="0">
      <text>
        <t>모델값 역산(implied): 모델 v 그대로
이자손익 = 이자발생자산 226억 × 2.37% − 총차입금 116억 × 0.00% (연율, CF 실측) ÷ 4; 환·평가손익 0 가정</t>
      </text>
    </comment>
    <comment ref="AL25" authorId="0" shapeId="0">
      <text>
        <t>모델값 역산(implied): 모델 v 그대로
이자손익 = 이자발생자산 224억 × 2.37% − 총차입금 116억 × 0.00% (연율, CF 실측) ÷ 4; 환·평가손익 0 가정</t>
      </text>
    </comment>
    <comment ref="AM25" authorId="0" shapeId="0">
      <text>
        <t>모델값 역산(implied): 모델 v 그대로
이자손익 = 이자발생자산 220억 × 2.37% − 총차입금 116억 × 0.00% (연율, CF 실측) ÷ 4; 환·평가손익 0 가정</t>
      </text>
    </comment>
    <comment ref="AN25" authorId="0" shapeId="0">
      <text>
        <t>모델값 역산(implied): 모델 v 그대로
이자손익 = 이자발생자산 218억 × 2.37% − 총차입금 116억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0.0011 × 계절비중 Q3 0.237(계절비중 — 최근 3개 연도(2026, 2025, 2024) 분기/연간 비중 평균; 격자 lag0~4×창8/12/19×수준·YoY·4Q합 중 최대 r=0.77, n=14, 창 19)
[yoy]</t>
      </text>
    </comment>
    <comment ref="AD5" authorId="0" shapeId="0">
      <text>
        <t>추정: 고객지수 4분기 이동합(t−2) 218595억 × 비례계수 0.0011 × 계절비중 Q4 0.253(계절비중 — 최근 3개 연도(2026, 2025, 2024) 분기/연간 비중 평균; 격자 lag0~4×창8/12/19×수준·YoY·4Q합 중 최대 r=0.77, n=14, 창 19)
[yoy]</t>
      </text>
    </comment>
    <comment ref="AF5" authorId="0" shapeId="0">
      <text>
        <t>추정: 고객지수 4분기 이동합(t−2) 240370억 × 비례계수 0.0011 × 계절비중 Q1 0.228(계절비중 — 최근 3개 연도(2026, 2025, 2024) 분기/연간 비중 평균; 격자 lag0~4×창8/12/19×수준·YoY·4Q합 중 최대 r=0.77, n=14, 창 19)
[yoy]</t>
      </text>
    </comment>
    <comment ref="AG5" authorId="0" shapeId="0">
      <text>
        <t>추정: 고객지수 4분기 이동합(t−2) 254552억 × 비례계수 0.0011 × 계절비중 Q2 0.283(계절비중 — 최근 3개 연도(2026, 2025, 2024) 분기/연간 비중 평균; 격자 lag0~4×창8/12/19×수준·YoY·4Q합 중 최대 r=0.77, n=14, 창 19)
[yoy]</t>
      </text>
    </comment>
    <comment ref="AH5" authorId="0" shapeId="0">
      <text>
        <t>추정: 고객지수 4분기 이동합(t−2) 261026억 × 비례계수 0.0011 × 계절비중 Q3 0.237(계절비중 — 최근 3개 연도(2026, 2025, 2024) 분기/연간 비중 평균; 격자 lag0~4×창8/12/19×수준·YoY·4Q합 중 최대 r=0.77, n=14, 창 19)
[yoy]</t>
      </text>
    </comment>
    <comment ref="AI5" authorId="0" shapeId="0">
      <text>
        <t>추정: 고객지수 4분기 이동합(t−2) 262360억 × 비례계수 0.0011 × 계절비중 Q4 0.253(계절비중 — 최근 3개 연도(2026, 2025, 2024) 분기/연간 비중 평균; 격자 lag0~4×창8/12/19×수준·YoY·4Q합 중 최대 r=0.77, n=14, 창 19)
[yoy]</t>
      </text>
    </comment>
    <comment ref="AK5" authorId="0" shapeId="0">
      <text>
        <t>추정: 고객지수 4분기 이동합(t−2) 261074억 × 비례계수 0.0011 × 계절비중 Q1 0.228(계절비중 — 최근 3개 연도(2026, 2025, 2024) 분기/연간 비중 평균; 격자 lag0~4×창8/12/19×수준·YoY·4Q합 중 최대 r=0.77, n=14, 창 19)
[yoy]</t>
      </text>
    </comment>
    <comment ref="AL5" authorId="0" shapeId="0">
      <text>
        <t>추정: 고객지수 4분기 이동합(t−2) 258876억 × 비례계수 0.0011 × 계절비중 Q2 0.283(계절비중 — 최근 3개 연도(2026, 2025, 2024) 분기/연간 비중 평균; 격자 lag0~4×창8/12/19×수준·YoY·4Q합 중 최대 r=0.77, n=14, 창 19)
[yoy]</t>
      </text>
    </comment>
    <comment ref="AM5" authorId="0" shapeId="0">
      <text>
        <t>추정: 고객지수 4분기 이동합(t−2) 256251억 × 비례계수 0.0011 × 계절비중 Q3 0.237(계절비중 — 최근 3개 연도(2026, 2025, 2024) 분기/연간 비중 평균; 격자 lag0~4×창8/12/19×수준·YoY·4Q합 중 최대 r=0.77, n=14, 창 19)
[yoy]</t>
      </text>
    </comment>
    <comment ref="AN5" authorId="0" shapeId="0">
      <text>
        <t>추정: 고객지수 4분기 이동합(t−2) 253966억 × 비례계수 0.0011 × 계절비중 Q4 0.253(계절비중 — 최근 3개 연도(2026, 2025, 2024) 분기/연간 비중 평균; 격자 lag0~4×창8/12/19×수준·YoY·4Q합 중 최대 r=0.77,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유지)
[ratio]</t>
      </text>
    </comment>
    <comment ref="AD9" authorId="0" shapeId="0">
      <text>
        <t>추정: 매출액 × OPM(최근 8분기 OPM 중위 -5.8% 유지)
[ratio]</t>
      </text>
    </comment>
    <comment ref="AF9" authorId="0" shapeId="0">
      <text>
        <t>추정: 매출액 × OPM(최근 8분기 OPM 중위 -5.8% 유지)
[ratio]</t>
      </text>
    </comment>
    <comment ref="AG9" authorId="0" shapeId="0">
      <text>
        <t>추정: 매출액 × OPM(최근 8분기 OPM 중위 -5.8% 유지)
[ratio]</t>
      </text>
    </comment>
    <comment ref="AH9" authorId="0" shapeId="0">
      <text>
        <t>추정: 매출액 × OPM(최근 8분기 OPM 중위 -5.8% 유지)
[ratio]</t>
      </text>
    </comment>
    <comment ref="AI9" authorId="0" shapeId="0">
      <text>
        <t>추정: 매출액 × OPM(최근 8분기 OPM 중위 -5.8% 유지)
[ratio]</t>
      </text>
    </comment>
    <comment ref="AK9" authorId="0" shapeId="0">
      <text>
        <t>추정: 매출액 × OPM(최근 8분기 OPM 중위 -5.8% 유지)
[ratio]</t>
      </text>
    </comment>
    <comment ref="AL9" authorId="0" shapeId="0">
      <text>
        <t>추정: 매출액 × OPM(최근 8분기 OPM 중위 -5.8% 유지)
[ratio]</t>
      </text>
    </comment>
    <comment ref="AM9" authorId="0" shapeId="0">
      <text>
        <t>추정: 매출액 × OPM(최근 8분기 OPM 중위 -5.8% 유지)
[ratio]</t>
      </text>
    </comment>
    <comment ref="AN9" authorId="0" shapeId="0">
      <text>
        <t>추정: 매출액 × OPM(최근 8분기 OPM 중위 -5.8%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-5.8% 유지
[yoy]</t>
      </text>
    </comment>
    <comment ref="AD10" authorId="0" shapeId="0">
      <text>
        <t>추정: 최근 8분기 OPM 중위 -5.8% 유지
[yoy]</t>
      </text>
    </comment>
    <comment ref="AF10" authorId="0" shapeId="0">
      <text>
        <t>추정: 최근 8분기 OPM 중위 -5.8% 유지
[yoy]</t>
      </text>
    </comment>
    <comment ref="AG10" authorId="0" shapeId="0">
      <text>
        <t>추정: 최근 8분기 OPM 중위 -5.8% 유지
[yoy]</t>
      </text>
    </comment>
    <comment ref="AH10" authorId="0" shapeId="0">
      <text>
        <t>추정: 최근 8분기 OPM 중위 -5.8% 유지
[yoy]</t>
      </text>
    </comment>
    <comment ref="AI10" authorId="0" shapeId="0">
      <text>
        <t>추정: 최근 8분기 OPM 중위 -5.8% 유지
[yoy]</t>
      </text>
    </comment>
    <comment ref="AK10" authorId="0" shapeId="0">
      <text>
        <t>추정: 최근 8분기 OPM 중위 -5.8% 유지
[yoy]</t>
      </text>
    </comment>
    <comment ref="AL10" authorId="0" shapeId="0">
      <text>
        <t>추정: 최근 8분기 OPM 중위 -5.8% 유지
[yoy]</t>
      </text>
    </comment>
    <comment ref="AM10" authorId="0" shapeId="0">
      <text>
        <t>추정: 최근 8분기 OPM 중위 -5.8% 유지
[yoy]</t>
      </text>
    </comment>
    <comment ref="AN10" authorId="0" shapeId="0">
      <text>
        <t>추정: 최근 8분기 OPM 중위 -5.8% 유지
[yoy]</t>
      </text>
    </comment>
    <comment ref="AC11" authorId="0" shapeId="0">
      <text>
        <t>추정: 이자손익 = 이자발생자산 240억 × 2.37% − 총차입금 116억 × 0.00% (연율, CF 실측) ÷ 4; 환·평가손익 0 가정
[abs]</t>
      </text>
    </comment>
    <comment ref="AD11" authorId="0" shapeId="0">
      <text>
        <t>추정: 이자손익 = 이자발생자산 239억 × 2.37% − 총차입금 116억 × 0.00% (연율, CF 실측) ÷ 4; 환·평가손익 0 가정
[abs]</t>
      </text>
    </comment>
    <comment ref="AF11" authorId="0" shapeId="0">
      <text>
        <t>추정: 이자손익 = 이자발생자산 237억 × 2.37% − 총차입금 116억 × 0.00% (연율, CF 실측) ÷ 4; 환·평가손익 0 가정
[abs]</t>
      </text>
    </comment>
    <comment ref="AG11" authorId="0" shapeId="0">
      <text>
        <t>추정: 이자손익 = 이자발생자산 235억 × 2.37% − 총차입금 116억 × 0.00% (연율, CF 실측) ÷ 4; 환·평가손익 0 가정
[abs]</t>
      </text>
    </comment>
    <comment ref="AH11" authorId="0" shapeId="0">
      <text>
        <t>추정: 이자손익 = 이자발생자산 231억 × 2.37% − 총차입금 116억 × 0.00% (연율, CF 실측) ÷ 4; 환·평가손익 0 가정
[abs]</t>
      </text>
    </comment>
    <comment ref="AI11" authorId="0" shapeId="0">
      <text>
        <t>추정: 이자손익 = 이자발생자산 229억 × 2.37% − 총차입금 116억 × 0.00% (연율, CF 실측) ÷ 4; 환·평가손익 0 가정
[abs]</t>
      </text>
    </comment>
    <comment ref="AK11" authorId="0" shapeId="0">
      <text>
        <t>추정: 이자손익 = 이자발생자산 226억 × 2.37% − 총차입금 116억 × 0.00% (연율, CF 실측) ÷ 4; 환·평가손익 0 가정
[abs]</t>
      </text>
    </comment>
    <comment ref="AL11" authorId="0" shapeId="0">
      <text>
        <t>추정: 이자손익 = 이자발생자산 224억 × 2.37% − 총차입금 116억 × 0.00% (연율, CF 실측) ÷ 4; 환·평가손익 0 가정
[abs]</t>
      </text>
    </comment>
    <comment ref="AM11" authorId="0" shapeId="0">
      <text>
        <t>추정: 이자손익 = 이자발생자산 220억 × 2.37% − 총차입금 116억 × 0.00% (연율, CF 실측) ÷ 4; 환·평가손익 0 가정
[abs]</t>
      </text>
    </comment>
    <comment ref="AN11" authorId="0" shapeId="0">
      <text>
        <t>추정: 이자손익 = 이자발생자산 218억 × 2.37% − 총차입금 116억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F17" authorId="0" shapeId="0">
      <text>
        <t>연간 실측(BS 시트에 2021.12A 없음 — 모델 a 값 직접)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F24" authorId="0" shapeId="0">
      <text>
        <t>연간 실측(BS 시트에 2021.12A 없음 — 모델 a 값 직접)</t>
      </text>
    </comment>
    <comment ref="E26" authorId="0" shapeId="0">
      <text>
        <t>실측(계정 매핑 없음 — 모델값 직접) — fin.sep.cf.영업활동으로인한현금흐름</t>
      </text>
    </comment>
    <comment ref="G26" authorId="0" shapeId="0">
      <text>
        <t>실측(계정 매핑 없음 — 모델값 직접) — fin.sep.cf.영업활동으로인한현금흐름</t>
      </text>
    </comment>
    <comment ref="H26" authorId="0" shapeId="0">
      <text>
        <t>실측(계정 매핑 없음 — 모델값 직접) — fin.sep.cf.영업활동으로인한현금흐름</t>
      </text>
    </comment>
    <comment ref="I26" authorId="0" shapeId="0">
      <text>
        <t>실측(계정 매핑 없음 — 모델값 직접) — fin.sep.cf.영업활동으로인한현금흐름</t>
      </text>
    </comment>
    <comment ref="J26" authorId="0" shapeId="0">
      <text>
        <t>실측(계정 매핑 없음 — 모델값 직접) — fin.sep.cf.영업활동으로인한현금흐름</t>
      </text>
    </comment>
    <comment ref="L26" authorId="0" shapeId="0">
      <text>
        <t>실측(계정 매핑 없음 — 모델값 직접) — fin.sep.cf.영업활동으로인한현금흐름</t>
      </text>
    </comment>
    <comment ref="M26" authorId="0" shapeId="0">
      <text>
        <t>실측(계정 매핑 없음 — 모델값 직접) — fin.sep.cf.영업활동으로인한현금흐름</t>
      </text>
    </comment>
    <comment ref="N26" authorId="0" shapeId="0">
      <text>
        <t>실측(계정 매핑 없음 — 모델값 직접) — fin.sep.cf.영업활동으로인한현금흐름</t>
      </text>
    </comment>
    <comment ref="O26" authorId="0" shapeId="0">
      <text>
        <t>실측(계정 매핑 없음 — 모델값 직접) — fin.sep.cf.영업활동으로인한현금흐름</t>
      </text>
    </comment>
    <comment ref="Q26" authorId="0" shapeId="0">
      <text>
        <t>실측(계정 매핑 없음 — 모델값 직접) — fin.sep.cf.영업활동으로인한현금흐름</t>
      </text>
    </comment>
    <comment ref="R26" authorId="0" shapeId="0">
      <text>
        <t>실측(계정 매핑 없음 — 모델값 직접) — fin.sep.cf.영업활동으로인한현금흐름</t>
      </text>
    </comment>
    <comment ref="S26" authorId="0" shapeId="0">
      <text>
        <t>실측(계정 매핑 없음 — 모델값 직접) — fin.sep.cf.영업활동으로인한현금흐름</t>
      </text>
    </comment>
    <comment ref="T26" authorId="0" shapeId="0">
      <text>
        <t>실측(계정 매핑 없음 — 모델값 직접) — fin.sep.cf.영업활동으로인한현금흐름</t>
      </text>
    </comment>
    <comment ref="V26" authorId="0" shapeId="0">
      <text>
        <t>실측(계정 매핑 없음 — 모델값 직접) — fin.sep.cf.영업활동으로인한현금흐름</t>
      </text>
    </comment>
    <comment ref="W26" authorId="0" shapeId="0">
      <text>
        <t>실측(계정 매핑 없음 — 모델값 직접) — fin.sep.cf.영업활동으로인한현금흐름</t>
      </text>
    </comment>
    <comment ref="X26" authorId="0" shapeId="0">
      <text>
        <t>실측(계정 매핑 없음 — 모델값 직접) — fin.sep.cf.영업활동으로인한현금흐름</t>
      </text>
    </comment>
    <comment ref="Y26" authorId="0" shapeId="0">
      <text>
        <t>실측(계정 매핑 없음 — 모델값 직접) — fin.sep.cf.영업활동으로인한현금흐름</t>
      </text>
    </comment>
    <comment ref="AA26" authorId="0" shapeId="0">
      <text>
        <t>실측(계정 매핑 없음 — 모델값 직접) — fin.sep.cf.영업활동으로인한현금흐름</t>
      </text>
    </comment>
    <comment ref="AB26" authorId="0" shapeId="0">
      <text>
        <t>실측(계정 매핑 없음 — 모델값 직접) — fin.sep.cf.영업활동으로인한현금흐름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assets/models/059270.json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일회성 의심 2026Q2: 비영업손익 20억(영업이익 -7억의 3배, 12분기 중위 0억) → 지배NI 13억·EPS·FY2026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14.0, "op_wape_pct": 60.1,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0.347071</v>
      </c>
      <c r="AD21" s="24" t="n">
        <v>0.444436</v>
      </c>
      <c r="AE21" s="25" t="n"/>
      <c r="AF21" s="24" t="n">
        <v>0.831668</v>
      </c>
      <c r="AG21" s="24" t="n">
        <v>1.388895</v>
      </c>
      <c r="AH21" s="24" t="n">
        <v>0.326694</v>
      </c>
      <c r="AI21" s="24" t="n">
        <v>0.200099</v>
      </c>
      <c r="AJ21" s="25" t="n"/>
      <c r="AK21" s="24" t="n">
        <v>0.086075</v>
      </c>
      <c r="AL21" s="24" t="n">
        <v>0.016919</v>
      </c>
      <c r="AM21" s="24" t="n">
        <v>-0.018251</v>
      </c>
      <c r="AN21" s="24" t="n">
        <v>-0.031922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0.190197</v>
      </c>
      <c r="AD22" s="24" t="n">
        <v>0.190233</v>
      </c>
      <c r="AE22" s="25">
        <f>IFERROR(subQ!AE8/subQ!AE5,"")</f>
        <v/>
      </c>
      <c r="AF22" s="24" t="n">
        <v>0.190263</v>
      </c>
      <c r="AG22" s="24" t="n">
        <v>0.190152</v>
      </c>
      <c r="AH22" s="24" t="n">
        <v>0.190168</v>
      </c>
      <c r="AI22" s="24" t="n">
        <v>0.190163</v>
      </c>
      <c r="AJ22" s="25">
        <f>IFERROR(subQ!AJ8/subQ!AJ5,"")</f>
        <v/>
      </c>
      <c r="AK22" s="24" t="n">
        <v>0.190177</v>
      </c>
      <c r="AL22" s="24" t="n">
        <v>0.190216</v>
      </c>
      <c r="AM22" s="24" t="n">
        <v>0.190105</v>
      </c>
      <c r="AN22" s="24" t="n">
        <v>0.190207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-0.057801</v>
      </c>
      <c r="AD23" s="24" t="n">
        <v>-0.057876</v>
      </c>
      <c r="AE23" s="25">
        <f>IFERROR(subQ!AE9/subQ!AE5,"")</f>
        <v/>
      </c>
      <c r="AF23" s="24" t="n">
        <v>-0.057827</v>
      </c>
      <c r="AG23" s="24" t="n">
        <v>-0.057828</v>
      </c>
      <c r="AH23" s="24" t="n">
        <v>-0.057845</v>
      </c>
      <c r="AI23" s="24" t="n">
        <v>-0.057953</v>
      </c>
      <c r="AJ23" s="25">
        <f>IFERROR(subQ!AJ9/subQ!AJ5,"")</f>
        <v/>
      </c>
      <c r="AK23" s="24" t="n">
        <v>-0.057834</v>
      </c>
      <c r="AL23" s="24" t="n">
        <v>-0.057859</v>
      </c>
      <c r="AM23" s="24" t="n">
        <v>-0.057871</v>
      </c>
      <c r="AN23" s="24" t="n">
        <v>-0.057883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7.15493</v>
      </c>
      <c r="AD24" s="24" t="n">
        <v>0.06433800000000001</v>
      </c>
      <c r="AE24" s="25" t="n"/>
      <c r="AF24" s="24" t="n">
        <v>-0.374054</v>
      </c>
      <c r="AG24" s="24" t="n">
        <v>-0.739189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1.42</v>
      </c>
      <c r="AD25" s="29" t="n">
        <v>1.41</v>
      </c>
      <c r="AE25" s="30">
        <f>subQ!AE11</f>
        <v/>
      </c>
      <c r="AF25" s="29" t="n">
        <v>1.4</v>
      </c>
      <c r="AG25" s="29" t="n">
        <v>1.39</v>
      </c>
      <c r="AH25" s="29" t="n">
        <v>1.37</v>
      </c>
      <c r="AI25" s="29" t="n">
        <v>1.36</v>
      </c>
      <c r="AJ25" s="30">
        <f>subQ!AJ11</f>
        <v/>
      </c>
      <c r="AK25" s="29" t="n">
        <v>1.34</v>
      </c>
      <c r="AL25" s="29" t="n">
        <v>1.32</v>
      </c>
      <c r="AM25" s="29" t="n">
        <v>1.3</v>
      </c>
      <c r="AN25" s="29" t="n">
        <v>1.29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-0</v>
      </c>
      <c r="AD27" s="24" t="n">
        <v>-0</v>
      </c>
      <c r="AE27" s="25">
        <f>IFERROR(subQ!AE14/subQ!AE13,"")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IFERROR(subQ!AJ14/subQ!AJ13,"")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4e-06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0.0034</v>
      </c>
      <c r="AD30" s="29" t="n">
        <v>-0.01</v>
      </c>
      <c r="AE30" s="30" t="n"/>
      <c r="AF30" s="29" t="n">
        <v>0</v>
      </c>
      <c r="AG30" s="29" t="n">
        <v>0.01</v>
      </c>
      <c r="AH30" s="29" t="n">
        <v>0</v>
      </c>
      <c r="AI30" s="29" t="n">
        <v>0</v>
      </c>
      <c r="AJ30" s="30" t="n"/>
      <c r="AK30" s="29" t="n">
        <v>0</v>
      </c>
      <c r="AL30" s="29" t="n">
        <v>0</v>
      </c>
      <c r="AM30" s="29" t="n">
        <v>-0.01</v>
      </c>
      <c r="AN30" s="29" t="n">
        <v>-0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0.0034</v>
      </c>
      <c r="AD31" s="29" t="n">
        <v>-0.01</v>
      </c>
      <c r="AE31" s="30" t="n"/>
      <c r="AF31" s="29" t="n">
        <v>0</v>
      </c>
      <c r="AG31" s="29" t="n">
        <v>0.01</v>
      </c>
      <c r="AH31" s="29" t="n">
        <v>0</v>
      </c>
      <c r="AI31" s="29" t="n">
        <v>0</v>
      </c>
      <c r="AJ31" s="30" t="n"/>
      <c r="AK31" s="29" t="n">
        <v>0</v>
      </c>
      <c r="AL31" s="29" t="n">
        <v>0</v>
      </c>
      <c r="AM31" s="29" t="n">
        <v>-0.01</v>
      </c>
      <c r="AN31" s="29" t="n">
        <v>-0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1.6e-05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-0.012426</v>
      </c>
      <c r="AD33" s="24" t="n">
        <v>-0.017229</v>
      </c>
      <c r="AE33" s="25" t="n"/>
      <c r="AF33" s="24" t="n">
        <v>-0.017281</v>
      </c>
      <c r="AG33" s="24" t="n">
        <v>-0.02697</v>
      </c>
      <c r="AH33" s="24" t="n">
        <v>-0.022243</v>
      </c>
      <c r="AI33" s="24" t="n">
        <v>-0.025504</v>
      </c>
      <c r="AJ33" s="25" t="n"/>
      <c r="AK33" s="24" t="n">
        <v>-0.022342</v>
      </c>
      <c r="AL33" s="24" t="n">
        <v>-0.031154</v>
      </c>
      <c r="AM33" s="24" t="n">
        <v>-0.02455</v>
      </c>
      <c r="AN33" s="24" t="n">
        <v>-0.027734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-0.006397</v>
      </c>
      <c r="AD34" s="24" t="n">
        <v>-0.008835000000000001</v>
      </c>
      <c r="AE34" s="25" t="n"/>
      <c r="AF34" s="24" t="n">
        <v>-0.008787</v>
      </c>
      <c r="AG34" s="24" t="n">
        <v>-0.013639</v>
      </c>
      <c r="AH34" s="24" t="n">
        <v>-0.011062</v>
      </c>
      <c r="AI34" s="24" t="n">
        <v>-0.01254</v>
      </c>
      <c r="AJ34" s="25" t="n"/>
      <c r="AK34" s="24" t="n">
        <v>-0.010797</v>
      </c>
      <c r="AL34" s="24" t="n">
        <v>-0.014941</v>
      </c>
      <c r="AM34" s="24" t="n">
        <v>-0.011625</v>
      </c>
      <c r="AN34" s="24" t="n">
        <v>-0.012865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-0.758901</v>
      </c>
      <c r="AD40" s="24" t="n">
        <v>-0.860491</v>
      </c>
      <c r="AE40" s="25" t="n"/>
      <c r="AF40" s="24" t="n">
        <v>-0.9418</v>
      </c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-0.116564</v>
      </c>
      <c r="AD41" s="24" t="n">
        <v>-0.412955</v>
      </c>
      <c r="AE41" s="25" t="n"/>
      <c r="AF41" s="24" t="n">
        <v>-0.585714</v>
      </c>
      <c r="AG41" s="24" t="n">
        <v>-0.416667</v>
      </c>
      <c r="AH41" s="24" t="n">
        <v>0.027778</v>
      </c>
      <c r="AI41" s="24" t="n">
        <v>0.027586</v>
      </c>
      <c r="AJ41" s="25" t="n"/>
      <c r="AK41" s="24" t="n">
        <v>0.034483</v>
      </c>
      <c r="AL41" s="24" t="n">
        <v>0.027211</v>
      </c>
      <c r="AM41" s="24" t="n">
        <v>0.027027</v>
      </c>
      <c r="AN41" s="24" t="n">
        <v>0.026846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-0.057801</v>
      </c>
      <c r="AD43" s="24" t="n">
        <v>-0.057876</v>
      </c>
      <c r="AE43" s="25">
        <f>IFERROR(subQ!AE34/subQ!AE33,"")</f>
        <v/>
      </c>
      <c r="AF43" s="24" t="n">
        <v>-0.057827</v>
      </c>
      <c r="AG43" s="24" t="n">
        <v>-0.057828</v>
      </c>
      <c r="AH43" s="24" t="n">
        <v>-0.057845</v>
      </c>
      <c r="AI43" s="24" t="n">
        <v>-0.057953</v>
      </c>
      <c r="AJ43" s="25">
        <f>IFERROR(subQ!AJ34/subQ!AJ33,"")</f>
        <v/>
      </c>
      <c r="AK43" s="24" t="n">
        <v>-0.057834</v>
      </c>
      <c r="AL43" s="24" t="n">
        <v>-0.057859</v>
      </c>
      <c r="AM43" s="24" t="n">
        <v>-0.057871</v>
      </c>
      <c r="AN43" s="24" t="n">
        <v>-0.057883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5220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639.1배가 3~40 밖(턴어라운드 왜곡))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0.22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0.1902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4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4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4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4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4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4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4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4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4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4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4" t="n">
        <v>9000</v>
      </c>
      <c r="G7" s="18" t="n">
        <v>5000</v>
      </c>
      <c r="H7" s="18" t="n">
        <v>2000</v>
      </c>
      <c r="J7" s="18" t="n">
        <v>4963.05</v>
      </c>
      <c r="K7" s="34" t="n">
        <v>4963.05</v>
      </c>
      <c r="L7" s="18" t="n">
        <v>2000</v>
      </c>
      <c r="N7" s="18" t="n">
        <v>1000</v>
      </c>
      <c r="O7" s="18" t="n">
        <v>2978.98</v>
      </c>
      <c r="P7" s="34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4" t="n">
        <v>2000</v>
      </c>
      <c r="V7" s="18" t="n">
        <v>2000</v>
      </c>
      <c r="W7" s="18" t="n">
        <v>2000</v>
      </c>
      <c r="Y7" s="18" t="n">
        <v>4000</v>
      </c>
      <c r="Z7" s="34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4" t="n">
        <v>9000</v>
      </c>
      <c r="G8" s="18" t="n">
        <v>5000</v>
      </c>
      <c r="H8" s="18" t="n">
        <v>2000</v>
      </c>
      <c r="J8" s="18" t="n">
        <v>4963.05</v>
      </c>
      <c r="K8" s="34" t="n">
        <v>4963.05</v>
      </c>
      <c r="L8" s="18" t="n">
        <v>2000</v>
      </c>
      <c r="N8" s="18" t="n">
        <v>1000</v>
      </c>
      <c r="O8" s="18" t="n">
        <v>2978.98</v>
      </c>
      <c r="P8" s="34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4" t="n">
        <v>2000</v>
      </c>
      <c r="V8" s="18" t="n">
        <v>2000</v>
      </c>
      <c r="W8" s="18" t="n">
        <v>2000</v>
      </c>
      <c r="Y8" s="18" t="n">
        <v>4000</v>
      </c>
      <c r="Z8" s="34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4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4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4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4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4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4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4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4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4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4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4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4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4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4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4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4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4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4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4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4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4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4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4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4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4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4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4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4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4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4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4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4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4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4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4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4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4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4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4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4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4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4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4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4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4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4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4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4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4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4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4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4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4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4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4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4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4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4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4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4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4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4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4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4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4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4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4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4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4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4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4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4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4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4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4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4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4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4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4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4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4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4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4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4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4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4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4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4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4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4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4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4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4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4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4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4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4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4" t="n">
        <v>2.42</v>
      </c>
      <c r="G30" s="18" t="n">
        <v>0.79</v>
      </c>
      <c r="K30" s="9" t="n"/>
      <c r="O30" s="18" t="n">
        <v>21.16</v>
      </c>
      <c r="P30" s="34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4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4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4" t="n">
        <v>2.42</v>
      </c>
      <c r="G31" s="18" t="n">
        <v>0.79</v>
      </c>
      <c r="K31" s="9" t="n"/>
      <c r="O31" s="18" t="n">
        <v>21.16</v>
      </c>
      <c r="P31" s="34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4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4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4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4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4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4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4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4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4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4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4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4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4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4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4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4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4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4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4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4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4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4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4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4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4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4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4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4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4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4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4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4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4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4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4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4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4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4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4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4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4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4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4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4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4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4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4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4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4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4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4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4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4" t="n">
        <v>5000</v>
      </c>
      <c r="G42" s="18" t="n">
        <v>5000</v>
      </c>
      <c r="K42" s="9" t="n"/>
      <c r="P42" s="9" t="n"/>
      <c r="U42" s="9" t="n"/>
      <c r="Z42" s="9" t="n"/>
      <c r="AB42" s="19" t="n">
        <v>11551.82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4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-12401.1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4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4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4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4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4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4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4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4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4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4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4238.91</v>
      </c>
      <c r="F49" s="9" t="n"/>
      <c r="G49" s="18" t="n">
        <v>3555.62</v>
      </c>
      <c r="H49" s="18" t="n">
        <v>3788.46</v>
      </c>
      <c r="I49" s="18" t="n">
        <v>3141.53</v>
      </c>
      <c r="J49" s="18" t="n">
        <v>3428.31</v>
      </c>
      <c r="K49" s="34" t="n">
        <v>13913.92</v>
      </c>
      <c r="L49" s="18" t="n">
        <v>3430.12</v>
      </c>
      <c r="M49" s="18" t="n">
        <v>3838.59</v>
      </c>
      <c r="N49" s="18" t="n">
        <v>3148.06</v>
      </c>
      <c r="O49" s="18" t="n">
        <v>3266.24</v>
      </c>
      <c r="P49" s="34" t="n">
        <v>13683.01</v>
      </c>
      <c r="Q49" s="18" t="n">
        <v>3418.53</v>
      </c>
      <c r="R49" s="18" t="n">
        <v>4521.41</v>
      </c>
      <c r="S49" s="18" t="n">
        <v>3400.74</v>
      </c>
      <c r="T49" s="18" t="n">
        <v>3597.44</v>
      </c>
      <c r="U49" s="34" t="n">
        <v>14938.12</v>
      </c>
      <c r="V49" s="18" t="n">
        <v>3065.14</v>
      </c>
      <c r="W49" s="18" t="n">
        <v>4000.59</v>
      </c>
      <c r="X49" s="18" t="n">
        <v>3801.58</v>
      </c>
      <c r="Y49" s="18" t="n">
        <v>4210.64</v>
      </c>
      <c r="Z49" s="34" t="n">
        <v>15077.95</v>
      </c>
      <c r="AA49" s="18" t="n">
        <v>3285.53</v>
      </c>
      <c r="AB49" s="19" t="n">
        <v>3315.34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3515.69</v>
      </c>
      <c r="F50" s="9" t="n"/>
      <c r="G50" s="18" t="n">
        <v>2999.21</v>
      </c>
      <c r="H50" s="18" t="n">
        <v>3240.13</v>
      </c>
      <c r="I50" s="18" t="n">
        <v>2656.67</v>
      </c>
      <c r="J50" s="18" t="n">
        <v>2740.27</v>
      </c>
      <c r="K50" s="34" t="n">
        <v>11636.28</v>
      </c>
      <c r="L50" s="18" t="n">
        <v>2946.06</v>
      </c>
      <c r="M50" s="18" t="n">
        <v>3268.82</v>
      </c>
      <c r="N50" s="18" t="n">
        <v>2869.55</v>
      </c>
      <c r="O50" s="18" t="n">
        <v>2899.98</v>
      </c>
      <c r="P50" s="34" t="n">
        <v>11984.41</v>
      </c>
      <c r="Q50" s="18" t="n">
        <v>2923.9</v>
      </c>
      <c r="R50" s="18" t="n">
        <v>3596.78</v>
      </c>
      <c r="S50" s="18" t="n">
        <v>2878.66</v>
      </c>
      <c r="T50" s="18" t="n">
        <v>3152.87</v>
      </c>
      <c r="U50" s="34" t="n">
        <v>12552.21</v>
      </c>
      <c r="V50" s="18" t="n">
        <v>2769.64</v>
      </c>
      <c r="W50" s="18" t="n">
        <v>3258.79</v>
      </c>
      <c r="X50" s="18" t="n">
        <v>3181.05</v>
      </c>
      <c r="Y50" s="18" t="n">
        <v>3738.96</v>
      </c>
      <c r="Z50" s="34" t="n">
        <v>12948.44</v>
      </c>
      <c r="AA50" s="18" t="n">
        <v>2899.27</v>
      </c>
      <c r="AB50" s="19" t="n">
        <v>2918.94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723.22</v>
      </c>
      <c r="F51" s="9" t="n"/>
      <c r="G51" s="18" t="n">
        <v>556.41</v>
      </c>
      <c r="H51" s="18" t="n">
        <v>548.33</v>
      </c>
      <c r="I51" s="18" t="n">
        <v>484.86</v>
      </c>
      <c r="J51" s="18" t="n">
        <v>688.04</v>
      </c>
      <c r="K51" s="34" t="n">
        <v>2277.64</v>
      </c>
      <c r="L51" s="18" t="n">
        <v>484.06</v>
      </c>
      <c r="M51" s="18" t="n">
        <v>569.77</v>
      </c>
      <c r="N51" s="18" t="n">
        <v>278.52</v>
      </c>
      <c r="O51" s="18" t="n">
        <v>366.27</v>
      </c>
      <c r="P51" s="34" t="n">
        <v>1698.62</v>
      </c>
      <c r="Q51" s="18" t="n">
        <v>494.63</v>
      </c>
      <c r="R51" s="18" t="n">
        <v>924.63</v>
      </c>
      <c r="S51" s="18" t="n">
        <v>522.08</v>
      </c>
      <c r="T51" s="18" t="n">
        <v>444.56</v>
      </c>
      <c r="U51" s="34" t="n">
        <v>2385.9</v>
      </c>
      <c r="V51" s="18" t="n">
        <v>295.49</v>
      </c>
      <c r="W51" s="18" t="n">
        <v>741.8</v>
      </c>
      <c r="X51" s="18" t="n">
        <v>620.52</v>
      </c>
      <c r="Y51" s="18" t="n">
        <v>471.68</v>
      </c>
      <c r="Z51" s="34" t="n">
        <v>2129.49</v>
      </c>
      <c r="AA51" s="18" t="n">
        <v>386.26</v>
      </c>
      <c r="AB51" s="19" t="n">
        <v>396.4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878.61</v>
      </c>
      <c r="F52" s="9" t="n"/>
      <c r="G52" s="18" t="n">
        <v>861.46</v>
      </c>
      <c r="H52" s="18" t="n">
        <v>969.41</v>
      </c>
      <c r="I52" s="18" t="n">
        <v>868.67</v>
      </c>
      <c r="J52" s="18" t="n">
        <v>848.0599999999999</v>
      </c>
      <c r="K52" s="34" t="n">
        <v>3547.6</v>
      </c>
      <c r="L52" s="18" t="n">
        <v>740.4400000000001</v>
      </c>
      <c r="M52" s="18" t="n">
        <v>764.55</v>
      </c>
      <c r="N52" s="18" t="n">
        <v>859.38</v>
      </c>
      <c r="O52" s="18" t="n">
        <v>829.5</v>
      </c>
      <c r="P52" s="34" t="n">
        <v>3193.87</v>
      </c>
      <c r="Q52" s="18" t="n">
        <v>802.51</v>
      </c>
      <c r="R52" s="18" t="n">
        <v>926.6799999999999</v>
      </c>
      <c r="S52" s="18" t="n">
        <v>707.0599999999999</v>
      </c>
      <c r="T52" s="18" t="n">
        <v>665.37</v>
      </c>
      <c r="U52" s="34" t="n">
        <v>3101.62</v>
      </c>
      <c r="V52" s="18" t="n">
        <v>672.9400000000001</v>
      </c>
      <c r="W52" s="18" t="n">
        <v>729.71</v>
      </c>
      <c r="X52" s="18" t="n">
        <v>647.4400000000001</v>
      </c>
      <c r="Y52" s="18" t="n">
        <v>700.5700000000001</v>
      </c>
      <c r="Z52" s="34" t="n">
        <v>2750.66</v>
      </c>
      <c r="AA52" s="18" t="n">
        <v>690.16</v>
      </c>
      <c r="AB52" s="19" t="n">
        <v>1132.34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-155.4</v>
      </c>
      <c r="F53" s="9" t="n"/>
      <c r="G53" s="18" t="n">
        <v>-305.05</v>
      </c>
      <c r="H53" s="18" t="n">
        <v>-421.09</v>
      </c>
      <c r="I53" s="18" t="n">
        <v>-383.81</v>
      </c>
      <c r="J53" s="18" t="n">
        <v>-160.02</v>
      </c>
      <c r="K53" s="34" t="n">
        <v>-1269.97</v>
      </c>
      <c r="L53" s="18" t="n">
        <v>-256.38</v>
      </c>
      <c r="M53" s="18" t="n">
        <v>-194.78</v>
      </c>
      <c r="N53" s="18" t="n">
        <v>-580.86</v>
      </c>
      <c r="O53" s="18" t="n">
        <v>-463.23</v>
      </c>
      <c r="P53" s="34" t="n">
        <v>-1495.25</v>
      </c>
      <c r="Q53" s="18" t="n">
        <v>-307.87</v>
      </c>
      <c r="R53" s="18" t="n">
        <v>-2.05</v>
      </c>
      <c r="S53" s="18" t="n">
        <v>-184.98</v>
      </c>
      <c r="T53" s="18" t="n">
        <v>-220.82</v>
      </c>
      <c r="U53" s="34" t="n">
        <v>-715.72</v>
      </c>
      <c r="V53" s="18" t="n">
        <v>-377.45</v>
      </c>
      <c r="W53" s="18" t="n">
        <v>12.09</v>
      </c>
      <c r="X53" s="18" t="n">
        <v>-26.91</v>
      </c>
      <c r="Y53" s="18" t="n">
        <v>-228.9</v>
      </c>
      <c r="Z53" s="34" t="n">
        <v>-621.17</v>
      </c>
      <c r="AA53" s="18" t="n">
        <v>-303.89</v>
      </c>
      <c r="AB53" s="19" t="n">
        <v>-735.9400000000001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52.08</v>
      </c>
      <c r="F54" s="9" t="n"/>
      <c r="G54" s="18" t="n">
        <v>186.52</v>
      </c>
      <c r="H54" s="18" t="n">
        <v>123.2</v>
      </c>
      <c r="I54" s="18" t="n">
        <v>189.46</v>
      </c>
      <c r="J54" s="18" t="n">
        <v>27.17</v>
      </c>
      <c r="K54" s="34" t="n">
        <v>526.35</v>
      </c>
      <c r="L54" s="18" t="n">
        <v>314.92</v>
      </c>
      <c r="M54" s="18" t="n">
        <v>179.81</v>
      </c>
      <c r="N54" s="18" t="n">
        <v>124.19</v>
      </c>
      <c r="O54" s="18" t="n">
        <v>189.49</v>
      </c>
      <c r="P54" s="34" t="n">
        <v>808.41</v>
      </c>
      <c r="Q54" s="18" t="n">
        <v>302.05</v>
      </c>
      <c r="R54" s="18" t="n">
        <v>252.93</v>
      </c>
      <c r="S54" s="18" t="n">
        <v>163.51</v>
      </c>
      <c r="T54" s="18" t="n">
        <v>158.57</v>
      </c>
      <c r="U54" s="34" t="n">
        <v>877.0599999999999</v>
      </c>
      <c r="V54" s="18" t="n">
        <v>302.27</v>
      </c>
      <c r="W54" s="18" t="n">
        <v>836.42</v>
      </c>
      <c r="X54" s="18" t="n">
        <v>-19.22</v>
      </c>
      <c r="Y54" s="18" t="n">
        <v>144.57</v>
      </c>
      <c r="Z54" s="34" t="n">
        <v>1264.04</v>
      </c>
      <c r="AA54" s="18" t="n">
        <v>173.39</v>
      </c>
      <c r="AB54" s="19" t="n">
        <v>2386.67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88.92</v>
      </c>
      <c r="F55" s="9" t="n"/>
      <c r="G55" s="18" t="n">
        <v>56.82</v>
      </c>
      <c r="H55" s="18" t="n">
        <v>51.77</v>
      </c>
      <c r="I55" s="18" t="n">
        <v>125.58</v>
      </c>
      <c r="J55" s="18" t="n">
        <v>112.44</v>
      </c>
      <c r="K55" s="34" t="n">
        <v>346.61</v>
      </c>
      <c r="L55" s="18" t="n">
        <v>55.45</v>
      </c>
      <c r="M55" s="18" t="n">
        <v>247.61</v>
      </c>
      <c r="N55" s="18" t="n">
        <v>144.01</v>
      </c>
      <c r="O55" s="18" t="n">
        <v>15.23</v>
      </c>
      <c r="P55" s="34" t="n">
        <v>462.3</v>
      </c>
      <c r="Q55" s="18" t="n">
        <v>226.08</v>
      </c>
      <c r="R55" s="18" t="n">
        <v>204.93</v>
      </c>
      <c r="S55" s="18" t="n">
        <v>74.40000000000001</v>
      </c>
      <c r="T55" s="18" t="n">
        <v>195.15</v>
      </c>
      <c r="U55" s="34" t="n">
        <v>700.5599999999999</v>
      </c>
      <c r="V55" s="18" t="n">
        <v>157.71</v>
      </c>
      <c r="W55" s="18" t="n">
        <v>183.16</v>
      </c>
      <c r="X55" s="18" t="n">
        <v>-2.85</v>
      </c>
      <c r="Y55" s="18" t="n">
        <v>183.23</v>
      </c>
      <c r="Z55" s="34" t="n">
        <v>521.25</v>
      </c>
      <c r="AA55" s="18" t="n">
        <v>186.16</v>
      </c>
      <c r="AB55" s="19" t="n">
        <v>379.04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13.23</v>
      </c>
      <c r="F56" s="9" t="n"/>
      <c r="G56" s="18" t="n">
        <v>39.8</v>
      </c>
      <c r="H56" s="18" t="n">
        <v>12.08</v>
      </c>
      <c r="I56" s="18" t="n">
        <v>5.34</v>
      </c>
      <c r="J56" s="18" t="n">
        <v>6.06</v>
      </c>
      <c r="K56" s="34" t="n">
        <v>63.28</v>
      </c>
      <c r="L56" s="18" t="n">
        <v>287.29</v>
      </c>
      <c r="M56" s="18" t="n">
        <v>56.94</v>
      </c>
      <c r="N56" s="18" t="n">
        <v>9.81</v>
      </c>
      <c r="O56" s="18" t="n">
        <v>16.82</v>
      </c>
      <c r="P56" s="34" t="n">
        <v>370.86</v>
      </c>
      <c r="Q56" s="18" t="n">
        <v>15.57</v>
      </c>
      <c r="R56" s="18" t="n">
        <v>8.01</v>
      </c>
      <c r="S56" s="18" t="n">
        <v>6.77</v>
      </c>
      <c r="T56" s="18" t="n">
        <v>5.88</v>
      </c>
      <c r="U56" s="34" t="n">
        <v>36.23</v>
      </c>
      <c r="V56" s="18" t="n">
        <v>5.36</v>
      </c>
      <c r="W56" s="18" t="n">
        <v>10.18</v>
      </c>
      <c r="X56" s="18" t="n">
        <v>7.89</v>
      </c>
      <c r="Y56" s="18" t="n">
        <v>6.53</v>
      </c>
      <c r="Z56" s="34" t="n">
        <v>29.96</v>
      </c>
      <c r="AA56" s="18" t="n">
        <v>37.7</v>
      </c>
      <c r="AB56" s="19" t="n">
        <v>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0.15</v>
      </c>
      <c r="F57" s="9" t="n"/>
      <c r="G57" s="18" t="n">
        <v>0</v>
      </c>
      <c r="H57" s="18" t="n">
        <v>0</v>
      </c>
      <c r="I57" s="18" t="n">
        <v>0</v>
      </c>
      <c r="J57" s="18" t="n">
        <v>0</v>
      </c>
      <c r="K57" s="34" t="n">
        <v>0</v>
      </c>
      <c r="N57" s="18" t="n">
        <v>0</v>
      </c>
      <c r="O57" s="18" t="n">
        <v>0</v>
      </c>
      <c r="P57" s="9" t="n"/>
      <c r="Q57" s="18" t="n">
        <v>0</v>
      </c>
      <c r="R57" s="18" t="n">
        <v>24.9</v>
      </c>
      <c r="S57" s="18" t="n">
        <v>0</v>
      </c>
      <c r="T57" s="18" t="n">
        <v>0</v>
      </c>
      <c r="U57" s="34" t="n">
        <v>24.9</v>
      </c>
      <c r="V57" s="18" t="n">
        <v>0</v>
      </c>
      <c r="W57" s="18" t="n">
        <v>0</v>
      </c>
      <c r="X57" s="18" t="n">
        <v>3.72</v>
      </c>
      <c r="Y57" s="18" t="n">
        <v>0</v>
      </c>
      <c r="Z57" s="34" t="n">
        <v>3.72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-179.15</v>
      </c>
      <c r="F58" s="9" t="n"/>
      <c r="G58" s="18" t="n">
        <v>-135.54</v>
      </c>
      <c r="H58" s="18" t="n">
        <v>-337.57</v>
      </c>
      <c r="I58" s="18" t="n">
        <v>-314.58</v>
      </c>
      <c r="J58" s="18" t="n">
        <v>-239.23</v>
      </c>
      <c r="K58" s="34" t="n">
        <v>-1026.92</v>
      </c>
      <c r="L58" s="18" t="n">
        <v>290.38</v>
      </c>
      <c r="M58" s="18" t="n">
        <v>-205.64</v>
      </c>
      <c r="N58" s="18" t="n">
        <v>-590.86</v>
      </c>
      <c r="O58" s="18" t="n">
        <v>-272.16</v>
      </c>
      <c r="P58" s="34" t="n">
        <v>-778.28</v>
      </c>
      <c r="Q58" s="18" t="n">
        <v>-216.34</v>
      </c>
      <c r="R58" s="18" t="n">
        <v>29.06</v>
      </c>
      <c r="S58" s="18" t="n">
        <v>-89.09999999999999</v>
      </c>
      <c r="T58" s="18" t="n">
        <v>-251.51</v>
      </c>
      <c r="U58" s="34" t="n">
        <v>-527.89</v>
      </c>
      <c r="V58" s="18" t="n">
        <v>-227.53</v>
      </c>
      <c r="W58" s="18" t="n">
        <v>675.52</v>
      </c>
      <c r="X58" s="18" t="n">
        <v>-39.11</v>
      </c>
      <c r="Y58" s="18" t="n">
        <v>-261.03</v>
      </c>
      <c r="Z58" s="34" t="n">
        <v>147.85</v>
      </c>
      <c r="AA58" s="18" t="n">
        <v>-278.97</v>
      </c>
      <c r="AB58" s="19" t="n">
        <v>1278.46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-13.64</v>
      </c>
      <c r="F59" s="9" t="n"/>
      <c r="K59" s="9" t="n"/>
      <c r="P59" s="9" t="n"/>
      <c r="U59" s="9" t="n"/>
      <c r="Z59" s="9" t="n"/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-165.5</v>
      </c>
      <c r="F60" s="9" t="n"/>
      <c r="G60" s="18" t="n">
        <v>-135.54</v>
      </c>
      <c r="H60" s="18" t="n">
        <v>-337.57</v>
      </c>
      <c r="I60" s="18" t="n">
        <v>-314.58</v>
      </c>
      <c r="J60" s="18" t="n">
        <v>-239.23</v>
      </c>
      <c r="K60" s="34" t="n">
        <v>-1026.92</v>
      </c>
      <c r="L60" s="18" t="n">
        <v>290.38</v>
      </c>
      <c r="M60" s="18" t="n">
        <v>-205.64</v>
      </c>
      <c r="N60" s="18" t="n">
        <v>-590.86</v>
      </c>
      <c r="O60" s="18" t="n">
        <v>-272.16</v>
      </c>
      <c r="P60" s="34" t="n">
        <v>-778.28</v>
      </c>
      <c r="Q60" s="18" t="n">
        <v>-216.34</v>
      </c>
      <c r="R60" s="18" t="n">
        <v>29.06</v>
      </c>
      <c r="S60" s="18" t="n">
        <v>-89.09999999999999</v>
      </c>
      <c r="T60" s="18" t="n">
        <v>-251.51</v>
      </c>
      <c r="U60" s="34" t="n">
        <v>-527.89</v>
      </c>
      <c r="V60" s="18" t="n">
        <v>-227.53</v>
      </c>
      <c r="W60" s="18" t="n">
        <v>675.52</v>
      </c>
      <c r="X60" s="18" t="n">
        <v>-39.11</v>
      </c>
      <c r="Y60" s="18" t="n">
        <v>-261.03</v>
      </c>
      <c r="Z60" s="34" t="n">
        <v>147.85</v>
      </c>
      <c r="AA60" s="18" t="n">
        <v>-278.97</v>
      </c>
      <c r="AB60" s="19" t="n">
        <v>1278.46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-119.6</v>
      </c>
      <c r="F61" s="9" t="n"/>
      <c r="G61" s="18" t="n">
        <v>-78.26000000000001</v>
      </c>
      <c r="H61" s="18" t="n">
        <v>-290.69</v>
      </c>
      <c r="I61" s="18" t="n">
        <v>-263.46</v>
      </c>
      <c r="J61" s="18" t="n">
        <v>-192.56</v>
      </c>
      <c r="K61" s="34" t="n">
        <v>-824.97</v>
      </c>
      <c r="L61" s="18" t="n">
        <v>275.23</v>
      </c>
      <c r="M61" s="18" t="n">
        <v>-267.25</v>
      </c>
      <c r="N61" s="18" t="n">
        <v>-573.46</v>
      </c>
      <c r="O61" s="18" t="n">
        <v>-343.47</v>
      </c>
      <c r="P61" s="34" t="n">
        <v>-908.95</v>
      </c>
      <c r="Q61" s="18" t="n">
        <v>-273.07</v>
      </c>
      <c r="R61" s="18" t="n">
        <v>-10.07</v>
      </c>
      <c r="S61" s="18" t="n">
        <v>-49.12</v>
      </c>
      <c r="T61" s="18" t="n">
        <v>-182.05</v>
      </c>
      <c r="U61" s="34" t="n">
        <v>-514.3099999999999</v>
      </c>
      <c r="V61" s="18" t="n">
        <v>-218.55</v>
      </c>
      <c r="W61" s="18" t="n">
        <v>597.65</v>
      </c>
      <c r="X61" s="18" t="n">
        <v>-28.17</v>
      </c>
      <c r="Y61" s="18" t="n">
        <v>-210.36</v>
      </c>
      <c r="Z61" s="34" t="n">
        <v>140.57</v>
      </c>
      <c r="AA61" s="18" t="n">
        <v>-275.05</v>
      </c>
      <c r="AB61" s="19" t="n">
        <v>1289.63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-36.84</v>
      </c>
      <c r="F62" s="9" t="n"/>
      <c r="G62" s="18" t="n">
        <v>129.7</v>
      </c>
      <c r="H62" s="18" t="n">
        <v>71.43000000000001</v>
      </c>
      <c r="I62" s="18" t="n">
        <v>63.88</v>
      </c>
      <c r="J62" s="18" t="n">
        <v>-85.27</v>
      </c>
      <c r="K62" s="34" t="n">
        <v>179.74</v>
      </c>
      <c r="L62" s="18" t="n">
        <v>259.47</v>
      </c>
      <c r="M62" s="18" t="n">
        <v>-67.8</v>
      </c>
      <c r="N62" s="18" t="n">
        <v>-19.82</v>
      </c>
      <c r="O62" s="18" t="n">
        <v>174.26</v>
      </c>
      <c r="P62" s="34" t="n">
        <v>346.11</v>
      </c>
      <c r="Q62" s="18" t="n">
        <v>75.97</v>
      </c>
      <c r="R62" s="18" t="n">
        <v>48</v>
      </c>
      <c r="S62" s="18" t="n">
        <v>89.11</v>
      </c>
      <c r="T62" s="18" t="n">
        <v>-36.58</v>
      </c>
      <c r="U62" s="34" t="n">
        <v>176.5</v>
      </c>
      <c r="V62" s="18" t="n">
        <v>144.56</v>
      </c>
      <c r="W62" s="18" t="n">
        <v>653.26</v>
      </c>
      <c r="X62" s="18" t="n">
        <v>-16.37</v>
      </c>
      <c r="Y62" s="18" t="n">
        <v>-38.66</v>
      </c>
      <c r="Z62" s="34" t="n">
        <v>742.79</v>
      </c>
      <c r="AA62" s="18" t="n">
        <v>-12.77</v>
      </c>
      <c r="AB62" s="19" t="n">
        <v>2007.63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13.08</v>
      </c>
      <c r="F63" s="9" t="n"/>
      <c r="G63" s="18" t="n">
        <v>39.8</v>
      </c>
      <c r="H63" s="18" t="n">
        <v>12.08</v>
      </c>
      <c r="I63" s="18" t="n">
        <v>5.34</v>
      </c>
      <c r="J63" s="18" t="n">
        <v>6.06</v>
      </c>
      <c r="K63" s="34" t="n">
        <v>63.28</v>
      </c>
      <c r="L63" s="18" t="n">
        <v>287.29</v>
      </c>
      <c r="M63" s="18" t="n">
        <v>56.94</v>
      </c>
      <c r="N63" s="18" t="n">
        <v>9.81</v>
      </c>
      <c r="O63" s="18" t="n">
        <v>16.82</v>
      </c>
      <c r="P63" s="34" t="n">
        <v>370.86</v>
      </c>
      <c r="Q63" s="18" t="n">
        <v>15.57</v>
      </c>
      <c r="R63" s="18" t="n">
        <v>-16.89</v>
      </c>
      <c r="S63" s="18" t="n">
        <v>6.77</v>
      </c>
      <c r="T63" s="18" t="n">
        <v>5.88</v>
      </c>
      <c r="U63" s="34" t="n">
        <v>11.33</v>
      </c>
      <c r="V63" s="18" t="n">
        <v>5.36</v>
      </c>
      <c r="W63" s="18" t="n">
        <v>10.18</v>
      </c>
      <c r="X63" s="18" t="n">
        <v>4.17</v>
      </c>
      <c r="Y63" s="18" t="n">
        <v>6.53</v>
      </c>
      <c r="Z63" s="34" t="n">
        <v>26.24</v>
      </c>
      <c r="AA63" s="18" t="n">
        <v>37.7</v>
      </c>
      <c r="AB63" s="19" t="n">
        <v>6.77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-165.5</v>
      </c>
      <c r="F64" s="9" t="n"/>
      <c r="G64" s="18" t="n">
        <v>-135.54</v>
      </c>
      <c r="H64" s="18" t="n">
        <v>-337.57</v>
      </c>
      <c r="I64" s="18" t="n">
        <v>-314.58</v>
      </c>
      <c r="J64" s="18" t="n">
        <v>-239.23</v>
      </c>
      <c r="K64" s="34" t="n">
        <v>-1026.92</v>
      </c>
      <c r="L64" s="18" t="n">
        <v>290.38</v>
      </c>
      <c r="M64" s="18" t="n">
        <v>-205.64</v>
      </c>
      <c r="N64" s="18" t="n">
        <v>-590.86</v>
      </c>
      <c r="O64" s="18" t="n">
        <v>-272.16</v>
      </c>
      <c r="P64" s="34" t="n">
        <v>-778.28</v>
      </c>
      <c r="Q64" s="18" t="n">
        <v>-216.34</v>
      </c>
      <c r="R64" s="18" t="n">
        <v>29.06</v>
      </c>
      <c r="S64" s="18" t="n">
        <v>-89.09999999999999</v>
      </c>
      <c r="T64" s="18" t="n">
        <v>-251.51</v>
      </c>
      <c r="U64" s="34" t="n">
        <v>-527.89</v>
      </c>
      <c r="V64" s="18" t="n">
        <v>-227.53</v>
      </c>
      <c r="W64" s="18" t="n">
        <v>675.52</v>
      </c>
      <c r="X64" s="18" t="n">
        <v>-39.11</v>
      </c>
      <c r="Y64" s="18" t="n">
        <v>-261.03</v>
      </c>
      <c r="Z64" s="34" t="n">
        <v>147.85</v>
      </c>
      <c r="AA64" s="18" t="n">
        <v>-278.97</v>
      </c>
      <c r="AB64" s="19" t="n">
        <v>1278.46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4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4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4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4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327.84</v>
      </c>
      <c r="F66" s="9" t="n"/>
      <c r="G66" s="18" t="n">
        <v>-422.93</v>
      </c>
      <c r="H66" s="18" t="n">
        <v>-147.51</v>
      </c>
      <c r="I66" s="18" t="n">
        <v>467.96</v>
      </c>
      <c r="J66" s="18" t="n">
        <v>-190.8</v>
      </c>
      <c r="K66" s="34" t="n">
        <v>-293.28</v>
      </c>
      <c r="L66" s="18" t="n">
        <v>516.65</v>
      </c>
      <c r="M66" s="18" t="n">
        <v>157.62</v>
      </c>
      <c r="N66" s="18" t="n">
        <v>608.09</v>
      </c>
      <c r="O66" s="18" t="n">
        <v>-277.08</v>
      </c>
      <c r="P66" s="34" t="n">
        <v>1005.28</v>
      </c>
      <c r="Q66" s="18" t="n">
        <v>-432.33</v>
      </c>
      <c r="R66" s="18" t="n">
        <v>-661.6900000000001</v>
      </c>
      <c r="S66" s="18" t="n">
        <v>-178.14</v>
      </c>
      <c r="T66" s="18" t="n">
        <v>358.89</v>
      </c>
      <c r="U66" s="34" t="n">
        <v>-913.27</v>
      </c>
      <c r="V66" s="18" t="n">
        <v>303.32</v>
      </c>
      <c r="W66" s="18" t="n">
        <v>-309.35</v>
      </c>
      <c r="X66" s="18" t="n">
        <v>1293.05</v>
      </c>
      <c r="Y66" s="18" t="n">
        <v>358.16</v>
      </c>
      <c r="Z66" s="34" t="n">
        <v>1645.18</v>
      </c>
      <c r="AA66" s="18" t="n">
        <v>-261.11</v>
      </c>
      <c r="AB66" s="19" t="n">
        <v>-1097.28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-4.93</v>
      </c>
      <c r="F67" s="9" t="n"/>
      <c r="G67" s="18" t="n">
        <v>-11.43</v>
      </c>
      <c r="H67" s="18" t="n">
        <v>-5.52</v>
      </c>
      <c r="I67" s="18" t="n">
        <v>-10.54</v>
      </c>
      <c r="J67" s="18" t="n">
        <v>-10.03</v>
      </c>
      <c r="K67" s="34" t="n">
        <v>-37.52</v>
      </c>
      <c r="L67" s="18" t="n">
        <v>-6.57</v>
      </c>
      <c r="M67" s="18" t="n">
        <v>30.56</v>
      </c>
      <c r="N67" s="18" t="n">
        <v>-16.47</v>
      </c>
      <c r="O67" s="18" t="n">
        <v>-18.93</v>
      </c>
      <c r="P67" s="34" t="n">
        <v>-11.41</v>
      </c>
      <c r="Q67" s="18" t="n">
        <v>-12.18</v>
      </c>
      <c r="R67" s="18" t="n">
        <v>40.62</v>
      </c>
      <c r="S67" s="18" t="n">
        <v>-9.85</v>
      </c>
      <c r="T67" s="18" t="n">
        <v>-13.8</v>
      </c>
      <c r="U67" s="34" t="n">
        <v>4.79</v>
      </c>
      <c r="V67" s="18" t="n">
        <v>-12.06</v>
      </c>
      <c r="W67" s="18" t="n">
        <v>45.78</v>
      </c>
      <c r="X67" s="18" t="n">
        <v>-14.72</v>
      </c>
      <c r="Y67" s="18" t="n">
        <v>-12.57</v>
      </c>
      <c r="Z67" s="34" t="n">
        <v>6.43</v>
      </c>
      <c r="AA67" s="18" t="n">
        <v>-6.14</v>
      </c>
      <c r="AB67" s="19" t="n">
        <v>25.99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-9150.440000000001</v>
      </c>
      <c r="F68" s="9" t="n"/>
      <c r="G68" s="18" t="n">
        <v>2585.62</v>
      </c>
      <c r="H68" s="18" t="n">
        <v>2426.08</v>
      </c>
      <c r="I68" s="18" t="n">
        <v>-537.05</v>
      </c>
      <c r="J68" s="18" t="n">
        <v>-4869.25</v>
      </c>
      <c r="K68" s="34" t="n">
        <v>-394.6</v>
      </c>
      <c r="L68" s="18" t="n">
        <v>8028.66</v>
      </c>
      <c r="M68" s="18" t="n">
        <v>1380.69</v>
      </c>
      <c r="N68" s="18" t="n">
        <v>-3131.33</v>
      </c>
      <c r="O68" s="18" t="n">
        <v>-2397.42</v>
      </c>
      <c r="P68" s="34" t="n">
        <v>3880.6</v>
      </c>
      <c r="Q68" s="18" t="n">
        <v>1883.94</v>
      </c>
      <c r="R68" s="18" t="n">
        <v>-1293.13</v>
      </c>
      <c r="S68" s="18" t="n">
        <v>-1636.86</v>
      </c>
      <c r="T68" s="18" t="n">
        <v>973.02</v>
      </c>
      <c r="U68" s="34" t="n">
        <v>-73.03</v>
      </c>
      <c r="V68" s="18" t="n">
        <v>987.2</v>
      </c>
      <c r="W68" s="18" t="n">
        <v>-2079.77</v>
      </c>
      <c r="X68" s="18" t="n">
        <v>3371.33</v>
      </c>
      <c r="Y68" s="18" t="n">
        <v>-4008.86</v>
      </c>
      <c r="Z68" s="34" t="n">
        <v>-1730.1</v>
      </c>
      <c r="AA68" s="18" t="n">
        <v>-1280.2</v>
      </c>
      <c r="AB68" s="19" t="n">
        <v>-767.33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150.44</v>
      </c>
      <c r="F69" s="9" t="n"/>
      <c r="G69" s="18" t="n">
        <v>1541.47</v>
      </c>
      <c r="H69" s="18" t="n">
        <v>566.4</v>
      </c>
      <c r="I69" s="18" t="n">
        <v>1717.94</v>
      </c>
      <c r="J69" s="18" t="n">
        <v>104.77</v>
      </c>
      <c r="K69" s="34" t="n">
        <v>3930.58</v>
      </c>
      <c r="L69" s="18" t="n">
        <v>17.39</v>
      </c>
      <c r="M69" s="18" t="n">
        <v>47.37</v>
      </c>
      <c r="N69" s="18" t="n">
        <v>163.23</v>
      </c>
      <c r="O69" s="18" t="n">
        <v>205.42</v>
      </c>
      <c r="P69" s="34" t="n">
        <v>433.41</v>
      </c>
      <c r="Q69" s="18" t="n">
        <v>33.15</v>
      </c>
      <c r="R69" s="18" t="n">
        <v>87.95</v>
      </c>
      <c r="S69" s="18" t="n">
        <v>624.63</v>
      </c>
      <c r="T69" s="18" t="n">
        <v>30</v>
      </c>
      <c r="U69" s="34" t="n">
        <v>775.73</v>
      </c>
      <c r="V69" s="18" t="n">
        <v>30.65</v>
      </c>
      <c r="W69" s="18" t="n">
        <v>13.1</v>
      </c>
      <c r="X69" s="18" t="n">
        <v>34.25</v>
      </c>
      <c r="Y69" s="18" t="n">
        <v>8.859999999999999</v>
      </c>
      <c r="Z69" s="34" t="n">
        <v>86.86</v>
      </c>
      <c r="AA69" s="18" t="n">
        <v>1310.2</v>
      </c>
      <c r="AB69" s="19" t="n">
        <v>1373.07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150.44</v>
      </c>
      <c r="F70" s="9" t="n"/>
      <c r="G70" s="18" t="n">
        <v>1541.47</v>
      </c>
      <c r="H70" s="18" t="n">
        <v>573.91</v>
      </c>
      <c r="I70" s="18" t="n">
        <v>1717.94</v>
      </c>
      <c r="J70" s="18" t="n">
        <v>104.77</v>
      </c>
      <c r="K70" s="34" t="n">
        <v>3938.09</v>
      </c>
      <c r="L70" s="18" t="n">
        <v>17.39</v>
      </c>
      <c r="M70" s="18" t="n">
        <v>47.37</v>
      </c>
      <c r="N70" s="18" t="n">
        <v>163.23</v>
      </c>
      <c r="O70" s="18" t="n">
        <v>205.42</v>
      </c>
      <c r="P70" s="34" t="n">
        <v>433.41</v>
      </c>
      <c r="Q70" s="18" t="n">
        <v>33.15</v>
      </c>
      <c r="R70" s="18" t="n">
        <v>87.95</v>
      </c>
      <c r="S70" s="18" t="n">
        <v>624.63</v>
      </c>
      <c r="T70" s="18" t="n">
        <v>30</v>
      </c>
      <c r="U70" s="34" t="n">
        <v>775.73</v>
      </c>
      <c r="V70" s="18" t="n">
        <v>30.65</v>
      </c>
      <c r="W70" s="18" t="n">
        <v>13.1</v>
      </c>
      <c r="X70" s="18" t="n">
        <v>34.25</v>
      </c>
      <c r="Y70" s="18" t="n">
        <v>8.859999999999999</v>
      </c>
      <c r="Z70" s="34" t="n">
        <v>86.86</v>
      </c>
      <c r="AA70" s="18" t="n">
        <v>1310.2</v>
      </c>
      <c r="AB70" s="19" t="n">
        <v>1373.07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10416.96</v>
      </c>
      <c r="F71" s="9" t="n"/>
      <c r="G71" s="18" t="n">
        <v>-2.77</v>
      </c>
      <c r="H71" s="18" t="n">
        <v>-5001.65</v>
      </c>
      <c r="I71" s="18" t="n">
        <v>463.41</v>
      </c>
      <c r="J71" s="18" t="n">
        <v>-1.65</v>
      </c>
      <c r="K71" s="34" t="n">
        <v>-4542.66</v>
      </c>
      <c r="L71" s="18" t="n">
        <v>127.8</v>
      </c>
      <c r="M71" s="18" t="n">
        <v>-0.79</v>
      </c>
      <c r="N71" s="18" t="n">
        <v>0</v>
      </c>
      <c r="O71" s="18" t="n">
        <v>-1.04</v>
      </c>
      <c r="P71" s="34" t="n">
        <v>125.97</v>
      </c>
      <c r="Q71" s="18" t="n">
        <v>92.34999999999999</v>
      </c>
      <c r="R71" s="18" t="n">
        <v>-4.14</v>
      </c>
      <c r="S71" s="18" t="n">
        <v>-2.08</v>
      </c>
      <c r="T71" s="18" t="n">
        <v>-2.08</v>
      </c>
      <c r="U71" s="34" t="n">
        <v>84.05</v>
      </c>
      <c r="V71" s="18" t="n">
        <v>-2.08</v>
      </c>
      <c r="W71" s="18" t="n">
        <v>-2.08</v>
      </c>
      <c r="X71" s="18" t="n">
        <v>70.73</v>
      </c>
      <c r="Y71" s="18" t="n">
        <v>-2.08</v>
      </c>
      <c r="Z71" s="34" t="n">
        <v>64.48999999999999</v>
      </c>
      <c r="AA71" s="18" t="n">
        <v>-2.08</v>
      </c>
      <c r="AB71" s="19" t="n">
        <v>19377.2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유동성장기부채의감소</t>
        </is>
      </c>
      <c r="E72" s="18" t="n">
        <v>0</v>
      </c>
      <c r="F72" s="9" t="n"/>
      <c r="I72" s="18" t="n">
        <v>0</v>
      </c>
      <c r="J72" s="18" t="n">
        <v>0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리스부채의상환</t>
        </is>
      </c>
      <c r="E73" s="18" t="n">
        <v>5.03</v>
      </c>
      <c r="F73" s="9" t="n"/>
      <c r="G73" s="18" t="n">
        <v>2.77</v>
      </c>
      <c r="H73" s="18" t="n">
        <v>1.65</v>
      </c>
      <c r="I73" s="18" t="n">
        <v>1.65</v>
      </c>
      <c r="J73" s="18" t="n">
        <v>1.65</v>
      </c>
      <c r="K73" s="34" t="n">
        <v>7.72</v>
      </c>
      <c r="L73" s="18" t="n">
        <v>1.65</v>
      </c>
      <c r="M73" s="18" t="n">
        <v>0.8</v>
      </c>
      <c r="N73" s="18" t="n">
        <v>0</v>
      </c>
      <c r="O73" s="18" t="n">
        <v>1.03</v>
      </c>
      <c r="P73" s="34" t="n">
        <v>3.48</v>
      </c>
      <c r="Q73" s="18" t="n">
        <v>2.08</v>
      </c>
      <c r="R73" s="18" t="n">
        <v>2.08</v>
      </c>
      <c r="S73" s="18" t="n">
        <v>2.07</v>
      </c>
      <c r="T73" s="18" t="n">
        <v>2.08</v>
      </c>
      <c r="U73" s="34" t="n">
        <v>8.31</v>
      </c>
      <c r="V73" s="18" t="n">
        <v>2.08</v>
      </c>
      <c r="W73" s="18" t="n">
        <v>2.08</v>
      </c>
      <c r="X73" s="18" t="n">
        <v>2.07</v>
      </c>
      <c r="Y73" s="18" t="n">
        <v>2.08</v>
      </c>
      <c r="Z73" s="34" t="n">
        <v>8.31</v>
      </c>
      <c r="AA73" s="18" t="n">
        <v>2.08</v>
      </c>
      <c r="AB73" s="19" t="n">
        <v>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E74" s="18" t="n">
        <v>1585.98</v>
      </c>
      <c r="F74" s="9" t="n"/>
      <c r="G74" s="18" t="n">
        <v>2162.61</v>
      </c>
      <c r="H74" s="18" t="n">
        <v>-2701.02</v>
      </c>
      <c r="I74" s="18" t="n">
        <v>459.76</v>
      </c>
      <c r="J74" s="18" t="n">
        <v>-5221.44</v>
      </c>
      <c r="K74" s="34" t="n">
        <v>-5300.09</v>
      </c>
      <c r="L74" s="18" t="n">
        <v>8749.200000000001</v>
      </c>
      <c r="M74" s="18" t="n">
        <v>1331.47</v>
      </c>
      <c r="N74" s="18" t="n">
        <v>-2508.86</v>
      </c>
      <c r="O74" s="18" t="n">
        <v>-2643.93</v>
      </c>
      <c r="P74" s="34" t="n">
        <v>4927.88</v>
      </c>
      <c r="Q74" s="18" t="n">
        <v>1466.86</v>
      </c>
      <c r="R74" s="18" t="n">
        <v>-1922.76</v>
      </c>
      <c r="S74" s="18" t="n">
        <v>-1775.48</v>
      </c>
      <c r="T74" s="18" t="n">
        <v>1351.89</v>
      </c>
      <c r="U74" s="34" t="n">
        <v>-879.49</v>
      </c>
      <c r="V74" s="18" t="n">
        <v>1293.51</v>
      </c>
      <c r="W74" s="18" t="n">
        <v>-2430.94</v>
      </c>
      <c r="X74" s="18" t="n">
        <v>4753.62</v>
      </c>
      <c r="Y74" s="18" t="n">
        <v>-3668.78</v>
      </c>
      <c r="Z74" s="34" t="n">
        <v>-52.59</v>
      </c>
      <c r="AA74" s="18" t="n">
        <v>-1506.82</v>
      </c>
      <c r="AB74" s="19" t="n">
        <v>17477.92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E75" s="18" t="n">
        <v>1587.27</v>
      </c>
      <c r="F75" s="9" t="n"/>
      <c r="G75" s="18" t="n">
        <v>11448.72</v>
      </c>
      <c r="H75" s="18" t="n">
        <v>-2701.02</v>
      </c>
      <c r="I75" s="18" t="n">
        <v>459.76</v>
      </c>
      <c r="J75" s="18" t="n">
        <v>-5221.44</v>
      </c>
      <c r="K75" s="34" t="n">
        <v>3986.02</v>
      </c>
      <c r="L75" s="18" t="n">
        <v>12735.22</v>
      </c>
      <c r="M75" s="18" t="n">
        <v>1331.47</v>
      </c>
      <c r="N75" s="18" t="n">
        <v>-2508.86</v>
      </c>
      <c r="O75" s="18" t="n">
        <v>-2643.93</v>
      </c>
      <c r="P75" s="34" t="n">
        <v>8913.9</v>
      </c>
      <c r="Q75" s="18" t="n">
        <v>10380.76</v>
      </c>
      <c r="R75" s="18" t="n">
        <v>-1922.76</v>
      </c>
      <c r="S75" s="18" t="n">
        <v>-1775.48</v>
      </c>
      <c r="T75" s="18" t="n">
        <v>1351.89</v>
      </c>
      <c r="U75" s="34" t="n">
        <v>8034.41</v>
      </c>
      <c r="V75" s="18" t="n">
        <v>9327.91</v>
      </c>
      <c r="W75" s="18" t="n">
        <v>-2430.93</v>
      </c>
      <c r="X75" s="18" t="n">
        <v>4753.62</v>
      </c>
      <c r="Y75" s="18" t="n">
        <v>-3668.78</v>
      </c>
      <c r="Z75" s="34" t="n">
        <v>7981.82</v>
      </c>
      <c r="AA75" s="18" t="n">
        <v>6475</v>
      </c>
      <c r="AB75" s="19" t="n">
        <v>17477.92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F76" s="9" t="n"/>
      <c r="G76" s="18" t="n">
        <v>52</v>
      </c>
      <c r="H76" s="18" t="n">
        <v>0</v>
      </c>
      <c r="I76" s="18" t="n">
        <v>0</v>
      </c>
      <c r="J76" s="18" t="n">
        <v>0</v>
      </c>
      <c r="K76" s="34" t="n">
        <v>52</v>
      </c>
      <c r="P76" s="9" t="n"/>
      <c r="U76" s="9" t="n"/>
      <c r="Z76" s="9" t="n"/>
      <c r="AA76" s="18" t="n">
        <v>30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F77" s="9" t="n"/>
      <c r="I77" s="18" t="n">
        <v>0</v>
      </c>
      <c r="J77" s="18" t="n">
        <v>0.31</v>
      </c>
      <c r="K77" s="9" t="n"/>
      <c r="N77" s="18" t="n">
        <v>1.55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F79" s="9" t="n"/>
      <c r="K79" s="9" t="n"/>
      <c r="O79" s="18" t="n">
        <v>134.73</v>
      </c>
      <c r="P79" s="9" t="n"/>
      <c r="Q79" s="18" t="n">
        <v>78.48999999999999</v>
      </c>
      <c r="R79" s="18" t="n">
        <v>106.27</v>
      </c>
      <c r="S79" s="18" t="n">
        <v>63.94</v>
      </c>
      <c r="T79" s="18" t="n">
        <v>99.01000000000001</v>
      </c>
      <c r="U79" s="34" t="n">
        <v>347.71</v>
      </c>
      <c r="V79" s="18" t="n">
        <v>84.16</v>
      </c>
      <c r="W79" s="18" t="n">
        <v>35.19</v>
      </c>
      <c r="X79" s="18" t="n">
        <v>95.65000000000001</v>
      </c>
      <c r="Y79" s="18" t="n">
        <v>81.65000000000001</v>
      </c>
      <c r="Z79" s="34" t="n">
        <v>296.65</v>
      </c>
      <c r="AA79" s="18" t="n">
        <v>40.97</v>
      </c>
      <c r="AB79" s="19" t="n">
        <v>126.83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-0.0367</v>
      </c>
      <c r="F10" s="34" t="n"/>
      <c r="G10" s="18" t="n">
        <v>-0.0858</v>
      </c>
      <c r="H10" s="18" t="n">
        <v>-0.1112</v>
      </c>
      <c r="I10" s="18" t="n">
        <v>-0.1222</v>
      </c>
      <c r="J10" s="18" t="n">
        <v>-0.0467</v>
      </c>
      <c r="K10" s="34">
        <f>SUM(G10:J10)</f>
        <v/>
      </c>
      <c r="L10" s="18" t="n">
        <v>-0.0747</v>
      </c>
      <c r="M10" s="18" t="n">
        <v>-0.0507</v>
      </c>
      <c r="N10" s="18" t="n">
        <v>-0.1845</v>
      </c>
      <c r="O10" s="18" t="n">
        <v>-0.1418</v>
      </c>
      <c r="P10" s="34">
        <f>SUM(L10:O10)</f>
        <v/>
      </c>
      <c r="Q10" s="18" t="n">
        <v>-0.0901</v>
      </c>
      <c r="R10" s="18" t="n">
        <v>-0.0005</v>
      </c>
      <c r="S10" s="18" t="n">
        <v>-0.0544</v>
      </c>
      <c r="T10" s="18" t="n">
        <v>-0.0614</v>
      </c>
      <c r="U10" s="34">
        <f>SUM(Q10:T10)</f>
        <v/>
      </c>
      <c r="V10" s="18" t="n">
        <v>-0.1231</v>
      </c>
      <c r="W10" s="18" t="n">
        <v>0.003</v>
      </c>
      <c r="X10" s="18" t="n">
        <v>-0.0071</v>
      </c>
      <c r="Y10" s="18" t="n">
        <v>-0.0544</v>
      </c>
      <c r="Z10" s="34">
        <f>SUM(V10:Y10)</f>
        <v/>
      </c>
      <c r="AA10" s="18" t="n">
        <v>-0.0925</v>
      </c>
      <c r="AB10" s="19" t="n">
        <v>-0.222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>
        <f>IFERROR(VLOOKUP($D14,BS별도,MATCH(AB$1,BS별도H,0),0)/100,"")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34" t="n">
        <v>499.7</v>
      </c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J17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O17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T17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Y17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34" t="n">
        <v>90.45999999999999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34" t="n">
        <v>409.24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34" t="n">
        <v>409.24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34" t="n">
        <v>50</v>
      </c>
      <c r="G21" s="18">
        <f>IFERROR(VLOOKUP($D21,BS별도,MATCH(G$1,BS별도H,0),0)/100,"")</f>
        <v/>
      </c>
      <c r="H21" s="18" t="n"/>
      <c r="I21" s="18" t="n"/>
      <c r="J21" s="18" t="n"/>
      <c r="K21" s="34">
        <f>J21</f>
        <v/>
      </c>
      <c r="L21" s="18" t="n"/>
      <c r="M21" s="18" t="n"/>
      <c r="N21" s="18" t="n"/>
      <c r="O21" s="18" t="n"/>
      <c r="P21" s="34">
        <f>O21</f>
        <v/>
      </c>
      <c r="Q21" s="18" t="n"/>
      <c r="R21" s="18" t="n"/>
      <c r="S21" s="18" t="n"/>
      <c r="T21" s="18" t="n"/>
      <c r="U21" s="34">
        <f>T21</f>
        <v/>
      </c>
      <c r="V21" s="18" t="n"/>
      <c r="W21" s="18" t="n"/>
      <c r="X21" s="18" t="n"/>
      <c r="Y21" s="18" t="n"/>
      <c r="Z21" s="34">
        <f>Y21</f>
        <v/>
      </c>
      <c r="AA21" s="18" t="n"/>
      <c r="AB21" s="19">
        <f>IFERROR(VLOOKUP($D21,BS별도,MATCH(AB$1,BS별도H,0),0)/100,"")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34" t="n">
        <v>-132.86</v>
      </c>
      <c r="G22" s="18">
        <f>IFERROR(VLOOKUP($D22,BS별도,MATCH(G$1,BS별도H,0),0)/100,"")</f>
        <v/>
      </c>
      <c r="H22" s="18" t="n"/>
      <c r="I22" s="18" t="n"/>
      <c r="J22" s="18" t="n"/>
      <c r="K22" s="34">
        <f>J22</f>
        <v/>
      </c>
      <c r="L22" s="18" t="n"/>
      <c r="M22" s="18" t="n"/>
      <c r="N22" s="18" t="n"/>
      <c r="O22" s="18" t="n"/>
      <c r="P22" s="34">
        <f>O22</f>
        <v/>
      </c>
      <c r="Q22" s="18" t="n"/>
      <c r="R22" s="18" t="n"/>
      <c r="S22" s="18" t="n"/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>
        <f>IFERROR(VLOOKUP($D22,BS별도,MATCH(AB$1,BS별도H,0),0)/100,"")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34" t="n">
        <v>183.14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34" t="n">
        <v>92.86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IFERROR(VLOOKUP($D25,BS별도,MATCH(E$1,BS별도H,0),0)/100,"")</f>
        <v/>
      </c>
      <c r="F25" s="34" t="n"/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SUM(G25:J25)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SUM(L25:O25)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SUM(Q25:T25)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SUM(V25:Y25)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3.28</v>
      </c>
      <c r="F26" s="34" t="n"/>
      <c r="G26" s="18" t="n">
        <v>-4.23</v>
      </c>
      <c r="H26" s="18" t="n">
        <v>-1.48</v>
      </c>
      <c r="I26" s="18" t="n">
        <v>4.68</v>
      </c>
      <c r="J26" s="18" t="n">
        <v>-1.91</v>
      </c>
      <c r="K26" s="34">
        <f>SUM(G26:J26)</f>
        <v/>
      </c>
      <c r="L26" s="18" t="n">
        <v>5.17</v>
      </c>
      <c r="M26" s="18" t="n">
        <v>1.58</v>
      </c>
      <c r="N26" s="18" t="n">
        <v>6.08</v>
      </c>
      <c r="O26" s="18" t="n">
        <v>-2.77</v>
      </c>
      <c r="P26" s="34">
        <f>SUM(L26:O26)</f>
        <v/>
      </c>
      <c r="Q26" s="18" t="n">
        <v>-4.32</v>
      </c>
      <c r="R26" s="18" t="n">
        <v>-6.62</v>
      </c>
      <c r="S26" s="18" t="n">
        <v>-1.78</v>
      </c>
      <c r="T26" s="18" t="n">
        <v>3.59</v>
      </c>
      <c r="U26" s="34">
        <f>SUM(Q26:T26)</f>
        <v/>
      </c>
      <c r="V26" s="18" t="n">
        <v>3.03</v>
      </c>
      <c r="W26" s="18" t="n">
        <v>-3.09</v>
      </c>
      <c r="X26" s="18" t="n">
        <v>12.93</v>
      </c>
      <c r="Y26" s="18" t="n">
        <v>3.58</v>
      </c>
      <c r="Z26" s="34">
        <f>SUM(V26:Y26)</f>
        <v/>
      </c>
      <c r="AA26" s="18" t="n">
        <v>-2.61</v>
      </c>
      <c r="AB26" s="19" t="n">
        <v>-10.97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9.460000000000001</v>
      </c>
      <c r="F27" s="27">
        <f>E27</f>
        <v/>
      </c>
      <c r="G27" s="26" t="n">
        <v>9.460000000000001</v>
      </c>
      <c r="H27" s="26" t="n">
        <v>9.460000000000001</v>
      </c>
      <c r="I27" s="26" t="n">
        <v>9.615</v>
      </c>
      <c r="J27" s="26" t="n">
        <v>9.615</v>
      </c>
      <c r="K27" s="27">
        <f>J27</f>
        <v/>
      </c>
      <c r="L27" s="26" t="n">
        <v>10.021</v>
      </c>
      <c r="M27" s="26" t="n">
        <v>10.021</v>
      </c>
      <c r="N27" s="26" t="n">
        <v>10.021</v>
      </c>
      <c r="O27" s="26" t="n">
        <v>10.021</v>
      </c>
      <c r="P27" s="27">
        <f>O27</f>
        <v/>
      </c>
      <c r="Q27" s="26" t="n">
        <v>10.798</v>
      </c>
      <c r="R27" s="26" t="n">
        <v>11.141</v>
      </c>
      <c r="S27" s="26" t="n">
        <v>11.141</v>
      </c>
      <c r="T27" s="26" t="n">
        <v>11.141</v>
      </c>
      <c r="U27" s="27">
        <f>T27</f>
        <v/>
      </c>
      <c r="V27" s="26" t="n">
        <v>11.141</v>
      </c>
      <c r="W27" s="26" t="n">
        <v>11.141</v>
      </c>
      <c r="X27" s="26" t="n">
        <v>11.165</v>
      </c>
      <c r="Y27" s="26" t="n">
        <v>11.165</v>
      </c>
      <c r="Z27" s="27">
        <f>Y27</f>
        <v/>
      </c>
      <c r="AA27" s="26" t="n">
        <v>11.165</v>
      </c>
      <c r="AB27" s="28" t="n">
        <v>11.165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/>
      <c r="O31" s="18" t="n"/>
      <c r="P31" s="34">
        <f>SUM(L31:O31)</f>
        <v/>
      </c>
      <c r="Q31" s="18" t="n"/>
      <c r="R31" s="18" t="n"/>
      <c r="S31" s="18" t="n"/>
      <c r="T31" s="18" t="n"/>
      <c r="U31" s="34">
        <f>SUM(Q31:T31)</f>
        <v/>
      </c>
      <c r="V31" s="18" t="n"/>
      <c r="W31" s="18" t="n">
        <v>639.14</v>
      </c>
      <c r="X31" s="18" t="n">
        <v>413.98</v>
      </c>
      <c r="Y31" s="18" t="n">
        <v>658.74</v>
      </c>
      <c r="Z31" s="34">
        <f>SUM(V31:Y31)</f>
        <v/>
      </c>
      <c r="AA31" s="18" t="n">
        <v>1419.07</v>
      </c>
      <c r="AB31" s="19" t="n">
        <v>146.59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1.91</v>
      </c>
      <c r="F32" s="34" t="n">
        <v>2.16</v>
      </c>
      <c r="G32" s="18" t="n">
        <v>1.87</v>
      </c>
      <c r="H32" s="18" t="n">
        <v>1.89</v>
      </c>
      <c r="I32" s="18" t="n">
        <v>1.7</v>
      </c>
      <c r="J32" s="18" t="n">
        <v>1.63</v>
      </c>
      <c r="K32" s="34">
        <f>SUM(G32:J32)</f>
        <v/>
      </c>
      <c r="L32" s="18" t="n">
        <v>1.73</v>
      </c>
      <c r="M32" s="18" t="n">
        <v>1.81</v>
      </c>
      <c r="N32" s="18" t="n">
        <v>1.71</v>
      </c>
      <c r="O32" s="18" t="n">
        <v>1.59</v>
      </c>
      <c r="P32" s="34">
        <f>SUM(L32:O32)</f>
        <v/>
      </c>
      <c r="Q32" s="18" t="n">
        <v>3.11</v>
      </c>
      <c r="R32" s="18" t="n">
        <v>2.48</v>
      </c>
      <c r="S32" s="18" t="n">
        <v>3.01</v>
      </c>
      <c r="T32" s="18" t="n">
        <v>1.64</v>
      </c>
      <c r="U32" s="34">
        <f>SUM(Q32:T32)</f>
        <v/>
      </c>
      <c r="V32" s="18" t="n">
        <v>1.89</v>
      </c>
      <c r="W32" s="18" t="n">
        <v>1.72</v>
      </c>
      <c r="X32" s="18" t="n">
        <v>1.63</v>
      </c>
      <c r="Y32" s="18" t="n">
        <v>2.47</v>
      </c>
      <c r="Z32" s="34">
        <f>SUM(V32:Y32)</f>
        <v/>
      </c>
      <c r="AA32" s="18" t="n">
        <v>3.5</v>
      </c>
      <c r="AB32" s="19" t="n">
        <v>2.52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42.39</v>
      </c>
      <c r="F33" s="34" t="n"/>
      <c r="G33" s="18" t="n">
        <v>35.56</v>
      </c>
      <c r="H33" s="18" t="n">
        <v>37.88</v>
      </c>
      <c r="I33" s="18" t="n">
        <v>31.42</v>
      </c>
      <c r="J33" s="18" t="n">
        <v>34.28</v>
      </c>
      <c r="K33" s="34">
        <f>SUM(G33:J33)</f>
        <v/>
      </c>
      <c r="L33" s="18" t="n">
        <v>34.3</v>
      </c>
      <c r="M33" s="18" t="n">
        <v>38.39</v>
      </c>
      <c r="N33" s="18" t="n">
        <v>31.48</v>
      </c>
      <c r="O33" s="18" t="n">
        <v>32.66</v>
      </c>
      <c r="P33" s="34">
        <f>SUM(L33:O33)</f>
        <v/>
      </c>
      <c r="Q33" s="18" t="n">
        <v>34.19</v>
      </c>
      <c r="R33" s="18" t="n">
        <v>45.21</v>
      </c>
      <c r="S33" s="18" t="n">
        <v>34.01</v>
      </c>
      <c r="T33" s="18" t="n">
        <v>35.97</v>
      </c>
      <c r="U33" s="34">
        <f>SUM(Q33:T33)</f>
        <v/>
      </c>
      <c r="V33" s="18" t="n">
        <v>30.65</v>
      </c>
      <c r="W33" s="18" t="n">
        <v>40.01</v>
      </c>
      <c r="X33" s="18" t="n">
        <v>38.02</v>
      </c>
      <c r="Y33" s="18" t="n">
        <v>42.11</v>
      </c>
      <c r="Z33" s="34">
        <f>SUM(V33:Y33)</f>
        <v/>
      </c>
      <c r="AA33" s="18" t="n">
        <v>32.86</v>
      </c>
      <c r="AB33" s="19" t="n">
        <v>33.15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-1.55</v>
      </c>
      <c r="F34" s="34" t="n"/>
      <c r="G34" s="18" t="n">
        <v>-3.05</v>
      </c>
      <c r="H34" s="18" t="n">
        <v>-4.21</v>
      </c>
      <c r="I34" s="18" t="n">
        <v>-3.84</v>
      </c>
      <c r="J34" s="18" t="n">
        <v>-1.6</v>
      </c>
      <c r="K34" s="34">
        <f>SUM(G34:J34)</f>
        <v/>
      </c>
      <c r="L34" s="18" t="n">
        <v>-2.56</v>
      </c>
      <c r="M34" s="18" t="n">
        <v>-1.95</v>
      </c>
      <c r="N34" s="18" t="n">
        <v>-5.81</v>
      </c>
      <c r="O34" s="18" t="n">
        <v>-4.63</v>
      </c>
      <c r="P34" s="34">
        <f>SUM(L34:O34)</f>
        <v/>
      </c>
      <c r="Q34" s="18" t="n">
        <v>-3.08</v>
      </c>
      <c r="R34" s="18" t="n">
        <v>-0.02</v>
      </c>
      <c r="S34" s="18" t="n">
        <v>-1.85</v>
      </c>
      <c r="T34" s="18" t="n">
        <v>-2.21</v>
      </c>
      <c r="U34" s="34">
        <f>SUM(Q34:T34)</f>
        <v/>
      </c>
      <c r="V34" s="18" t="n">
        <v>-3.77</v>
      </c>
      <c r="W34" s="18" t="n">
        <v>0.12</v>
      </c>
      <c r="X34" s="18" t="n">
        <v>-0.27</v>
      </c>
      <c r="Y34" s="18" t="n">
        <v>-2.29</v>
      </c>
      <c r="Z34" s="34">
        <f>SUM(V34:Y34)</f>
        <v/>
      </c>
      <c r="AA34" s="18" t="n">
        <v>-3.04</v>
      </c>
      <c r="AB34" s="19" t="n">
        <v>-7.36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-79.90000000000001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-0.0219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