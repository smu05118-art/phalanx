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AK38" authorId="0" shapeId="0">
      <text>
        <t>모델값 역산(implied): v / 전년동기 − 1
= EPS(추정 구간은 일회성 미가정)</t>
      </text>
    </comment>
    <comment ref="AL38" authorId="0" shapeId="0">
      <text>
        <t>모델값 역산(implied): v / 전년동기 − 1
= EPS(추정 구간은 일회성 미가정)</t>
      </text>
    </comment>
    <comment ref="AM38" authorId="0" shapeId="0">
      <text>
        <t>모델값 역산(implied): v / 전년동기 − 1
= EPS(추정 구간은 일회성 미가정)</t>
      </text>
    </comment>
    <comment ref="AN38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1" authorId="0" shapeId="0">
      <text>
        <t>실측(계정 매핑 없음(파생·부문·시세 행) — 모델값 직접) — = EPS(일회성 의심 없음)</t>
      </text>
    </comment>
    <comment ref="G31" authorId="0" shapeId="0">
      <text>
        <t>실측(계정 매핑 없음(파생·부문·시세 행) — 모델값 직접) — = EPS(일회성 의심 없음)</t>
      </text>
    </comment>
    <comment ref="H31" authorId="0" shapeId="0">
      <text>
        <t>실측(계정 매핑 없음(파생·부문·시세 행) — 모델값 직접) — = EPS(일회성 의심 없음)</t>
      </text>
    </comment>
    <comment ref="I31" authorId="0" shapeId="0">
      <text>
        <t>실측(계정 매핑 없음(파생·부문·시세 행) — 모델값 직접) — = EPS(일회성 의심 없음)</t>
      </text>
    </comment>
    <comment ref="J31" authorId="0" shapeId="0">
      <text>
        <t>실측(계정 매핑 없음(파생·부문·시세 행) — 모델값 직접) — = EPS(일회성 의심 없음)</t>
      </text>
    </comment>
    <comment ref="L31" authorId="0" shapeId="0">
      <text>
        <t>실측(계정 매핑 없음(파생·부문·시세 행) — 모델값 직접) — = EPS(일회성 의심 없음)</t>
      </text>
    </comment>
    <comment ref="M31" authorId="0" shapeId="0">
      <text>
        <t>실측(계정 매핑 없음(파생·부문·시세 행) — 모델값 직접) — = EPS(일회성 의심 없음)</t>
      </text>
    </comment>
    <comment ref="N31" authorId="0" shapeId="0">
      <text>
        <t>실측(계정 매핑 없음(파생·부문·시세 행) — 모델값 직접) — = EPS(일회성 의심 없음)</t>
      </text>
    </comment>
    <comment ref="O31" authorId="0" shapeId="0">
      <text>
        <t>실측(계정 매핑 없음(파생·부문·시세 행) — 모델값 직접) — = EPS(일회성 의심 없음)</t>
      </text>
    </comment>
    <comment ref="Q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실측(계정 매핑 없음(파생·부문·시세 행) — 모델값 직접) — = EPS(일회성 의심 없음)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실측(계정 매핑 없음(파생·부문·시세 행) — 모델값 직접) — = EPS(일회성 의심 없음)</t>
      </text>
    </comment>
    <comment ref="Y31" authorId="0" shapeId="0">
      <text>
        <t>실측(계정 매핑 없음(파생·부문·시세 행) — 모델값 직접) — = EPS(일회성 의심 없음)</t>
      </text>
    </comment>
    <comment ref="AA31" authorId="0" shapeId="0">
      <text>
        <t>실측(계정 매핑 없음(파생·부문·시세 행) — 모델값 직접) — = EPS(일회성 의심 없음)</t>
      </text>
    </comment>
    <comment ref="AB31" authorId="0" shapeId="0">
      <text>
        <t>추정(실적 구간 갭필): 지배NI 13억 − (비영업손익 20억 − 12분기 기준선 0억) × (1 − 0.0%, 분기 유효세율(법인세 0억 ÷ 세전 13억)) × 지배 비중 1.00(그 분기 지배NI/NI) = -7억 ÷ 유통주식수 — 일회성 여부·세효과는 주석 미확인(모델 추정); 보고 EPS 114.5원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AK31" authorId="0" shapeId="0">
      <text>
        <t>추정: = EPS(추정 구간은 일회성 미가정)
[yoy]</t>
      </text>
    </comment>
    <comment ref="AL31" authorId="0" shapeId="0">
      <text>
        <t>추정: = EPS(추정 구간은 일회성 미가정)
[yoy]</t>
      </text>
    </comment>
    <comment ref="AM31" authorId="0" shapeId="0">
      <text>
        <t>추정: = EPS(추정 구간은 일회성 미가정)
[yoy]</t>
      </text>
    </comment>
    <comment ref="AN31" authorId="0" shapeId="0">
      <text>
        <t>추정: = EPS(추정 구간은 일회성 미가정)
[yoy]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5240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5440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1.714285714</v>
      </c>
      <c r="AD38" s="24" t="n">
        <v>-0.495726496</v>
      </c>
      <c r="AE38" s="25" t="n"/>
      <c r="AF38" s="24" t="n">
        <v>-0.724</v>
      </c>
      <c r="AG38" s="24" t="n">
        <v>-0.88748019</v>
      </c>
      <c r="AH38" s="24" t="n">
        <v>0.06315789500000001</v>
      </c>
      <c r="AI38" s="24" t="n">
        <v>0.050847458</v>
      </c>
      <c r="AJ38" s="25" t="n"/>
      <c r="AK38" s="24" t="n">
        <v>0.072463768</v>
      </c>
      <c r="AL38" s="24" t="n">
        <v>0.07042253499999999</v>
      </c>
      <c r="AM38" s="24" t="n">
        <v>0.03960396</v>
      </c>
      <c r="AN38" s="24" t="n">
        <v>0.032258065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5240</v>
      </c>
      <c r="E42" s="2" t="inlineStr">
        <is>
          <t>원 — 네이버 정규장 종가(aik 확정종가 대조 · aik 5,480원)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639.1배가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</v>
      </c>
      <c r="E49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0.1901715392654144</v>
      </c>
      <c r="E50" s="2" t="inlineStr">
        <is>
          <t>연결 — 판관비 = 매출액 × 판관비율(역산, 재현 오차 ≤ 0.05억 · 모델 assumptions 0.1902)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0.0217382951702637</v>
      </c>
      <c r="E52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0.001467345107112027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  <c r="AK12" s="20">
        <f>IFERROR((AI25*변수!$D$52-AI23*변수!$D$53)/4,"")</f>
        <v/>
      </c>
      <c r="AL12" s="20">
        <f>IFERROR((AK25*변수!$D$52-AK23*변수!$D$53)/4,"")</f>
        <v/>
      </c>
      <c r="AM12" s="20">
        <f>IFERROR((AL25*변수!$D$52-AL23*변수!$D$53)/4,"")</f>
        <v/>
      </c>
      <c r="AN12" s="20">
        <f>IFERROR((AM25*변수!$D$52-AM23*변수!$D$53)/4,"")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>
        <v>-17.5</v>
      </c>
      <c r="F31" s="37" t="n"/>
      <c r="G31" s="18" t="n">
        <v>-14.3</v>
      </c>
      <c r="H31" s="18" t="n">
        <v>-35.7</v>
      </c>
      <c r="I31" s="18" t="n">
        <v>-32.7</v>
      </c>
      <c r="J31" s="18" t="n">
        <v>-24.9</v>
      </c>
      <c r="K31" s="37">
        <f>SUM(G31:J31)</f>
        <v/>
      </c>
      <c r="L31" s="18" t="n">
        <v>29</v>
      </c>
      <c r="M31" s="18" t="n">
        <v>-20.5</v>
      </c>
      <c r="N31" s="18" t="n">
        <v>-59</v>
      </c>
      <c r="O31" s="18" t="n">
        <v>-27.2</v>
      </c>
      <c r="P31" s="37">
        <f>SUM(L31:O31)</f>
        <v/>
      </c>
      <c r="Q31" s="18" t="n">
        <v>-20</v>
      </c>
      <c r="R31" s="18" t="n">
        <v>2.6</v>
      </c>
      <c r="S31" s="18" t="n">
        <v>-8</v>
      </c>
      <c r="T31" s="18" t="n">
        <v>-22.6</v>
      </c>
      <c r="U31" s="37">
        <f>SUM(Q31:T31)</f>
        <v/>
      </c>
      <c r="V31" s="18" t="n">
        <v>-20.4</v>
      </c>
      <c r="W31" s="18" t="n">
        <v>60.6</v>
      </c>
      <c r="X31" s="18" t="n">
        <v>-3.5</v>
      </c>
      <c r="Y31" s="18" t="n">
        <v>-23.4</v>
      </c>
      <c r="Z31" s="37">
        <f>SUM(V31:Y31)</f>
        <v/>
      </c>
      <c r="AA31" s="18" t="n">
        <v>-25</v>
      </c>
      <c r="AB31" s="39" t="n">
        <v>-63.1</v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IFERROR(변수!$D$42/(Y30+AA30+AB30+AC30),"")</f>
        <v/>
      </c>
      <c r="AD34" s="40">
        <f>IFERROR(변수!$D$42/(AA30+AB30+AC30+AD30),"")</f>
        <v/>
      </c>
      <c r="AE34" s="41">
        <f>AD34</f>
        <v/>
      </c>
      <c r="AF34" s="40">
        <f>IFERROR(변수!$D$42/(AB30+AC30+AD30+AF30),"")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IFERROR(변수!$D$42/AC32,"")</f>
        <v/>
      </c>
      <c r="AD35" s="40">
        <f>IFERROR(변수!$D$42/AD32,"")</f>
        <v/>
      </c>
      <c r="AE35" s="41">
        <f>AD35</f>
        <v/>
      </c>
      <c r="AF35" s="40">
        <f>IFERROR(변수!$D$42/AF32,"")</f>
        <v/>
      </c>
      <c r="AG35" s="40">
        <f>IFERROR(변수!$D$42/AG32,"")</f>
        <v/>
      </c>
      <c r="AH35" s="40">
        <f>IFERROR(변수!$D$42/AH32,"")</f>
        <v/>
      </c>
      <c r="AI35" s="40">
        <f>IFERROR(변수!$D$42/AI32,"")</f>
        <v/>
      </c>
      <c r="AJ35" s="41">
        <f>AI35</f>
        <v/>
      </c>
      <c r="AK35" s="40">
        <f>IFERROR(변수!$D$42/AK32,"")</f>
        <v/>
      </c>
      <c r="AL35" s="40">
        <f>IFERROR(변수!$D$42/AL32,"")</f>
        <v/>
      </c>
      <c r="AM35" s="40">
        <f>IFERROR(변수!$D$42/AM32,"")</f>
        <v/>
      </c>
      <c r="AN35" s="40">
        <f>IFERROR(변수!$D$42/AN32,"")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