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BS연결!$C$5:$AO$106</definedName>
    <definedName name="BS별도H">BS별도!$C$1:$AO$1</definedName>
    <definedName name="BS별도">BS별도!$C$5:$AO$96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(1+37.0%) — g=최근 4분기 합 YoY 37.0% 클립(−30~+50%), 연차별 절반 감쇠(가정)</t>
      </text>
    </comment>
    <comment ref="AD21" authorId="0" shapeId="0">
      <text>
        <t>모델값 역산(implied): v / 전년동기 − 1
전년동기 × (1+37.0%) — g=최근 4분기 합 YoY 37.0% 클립(−30~+50%), 연차별 절반 감쇠(가정)</t>
      </text>
    </comment>
    <comment ref="AF21" authorId="0" shapeId="0">
      <text>
        <t>모델값 역산(implied): v / 전년동기 − 1
전년동기 × (1+37.0%) — g=최근 4분기 합 YoY 37.0% 클립(−30~+50%), 연차별 절반 감쇠(가정)</t>
      </text>
    </comment>
    <comment ref="AG21" authorId="0" shapeId="0">
      <text>
        <t>모델값 역산(implied): v / 전년동기 − 1
전년동기 × (1+37.0%) — g=최근 4분기 합 YoY 37.0% 클립(−30~+50%), 연차별 절반 감쇠(가정)</t>
      </text>
    </comment>
    <comment ref="AH21" authorId="0" shapeId="0">
      <text>
        <t>모델값 역산(implied): v / 전년동기 − 1
전년동기 × (1+18.5%) — g=최근 4분기 합 YoY 37.0% 클립(−30~+50%), 연차별 절반 감쇠(가정)</t>
      </text>
    </comment>
    <comment ref="AI21" authorId="0" shapeId="0">
      <text>
        <t>모델값 역산(implied): v / 전년동기 − 1
전년동기 × (1+18.5%) — g=최근 4분기 합 YoY 37.0% 클립(−30~+50%), 연차별 절반 감쇠(가정)</t>
      </text>
    </comment>
    <comment ref="AK21" authorId="0" shapeId="0">
      <text>
        <t>모델값 역산(implied): v / 전년동기 − 1
전년동기 × (1+18.5%) — g=최근 4분기 합 YoY 37.0% 클립(−30~+50%), 연차별 절반 감쇠(가정)</t>
      </text>
    </comment>
    <comment ref="AL21" authorId="0" shapeId="0">
      <text>
        <t>모델값 역산(implied): v / 전년동기 − 1
전년동기 × (1+18.5%) — g=최근 4분기 합 YoY 37.0% 클립(−30~+50%), 연차별 절반 감쇠(가정)</t>
      </text>
    </comment>
    <comment ref="AM21" authorId="0" shapeId="0">
      <text>
        <t>모델값 역산(implied): v / 전년동기 − 1
전년동기 × (1+9.3%) — g=최근 4분기 합 YoY 37.0% 클립(−30~+50%), 연차별 절반 감쇠(가정)</t>
      </text>
    </comment>
    <comment ref="AN21" authorId="0" shapeId="0">
      <text>
        <t>모델값 역산(implied): v / 전년동기 − 1
전년동기 × (1+9.3%) — g=최근 4분기 합 YoY 37.0% 클립(−30~+50%), 연차별 절반 감쇠(가정)</t>
      </text>
    </comment>
    <comment ref="AC22" authorId="0" shapeId="0">
      <text>
        <t>3절 스칼라 '판관비율' 참조 — 숫자로 덮어쓰면 이 분기만 바뀐다
매출액 × 판관비율 5.93%(최근 4분기 중위)</t>
      </text>
    </comment>
    <comment ref="AD22" authorId="0" shapeId="0">
      <text>
        <t>3절 스칼라 '판관비율' 참조 — 숫자로 덮어쓰면 이 분기만 바뀐다
매출액 × 판관비율 5.93%(최근 4분기 중위)</t>
      </text>
    </comment>
    <comment ref="AF22" authorId="0" shapeId="0">
      <text>
        <t>3절 스칼라 '판관비율' 참조 — 숫자로 덮어쓰면 이 분기만 바뀐다
매출액 × 판관비율 5.93%(최근 4분기 중위)</t>
      </text>
    </comment>
    <comment ref="AG22" authorId="0" shapeId="0">
      <text>
        <t>3절 스칼라 '판관비율' 참조 — 숫자로 덮어쓰면 이 분기만 바뀐다
매출액 × 판관비율 5.93%(최근 4분기 중위)</t>
      </text>
    </comment>
    <comment ref="AH22" authorId="0" shapeId="0">
      <text>
        <t>3절 스칼라 '판관비율' 참조 — 숫자로 덮어쓰면 이 분기만 바뀐다
매출액 × 판관비율 5.93%(최근 4분기 중위)</t>
      </text>
    </comment>
    <comment ref="AI22" authorId="0" shapeId="0">
      <text>
        <t>3절 스칼라 '판관비율' 참조 — 숫자로 덮어쓰면 이 분기만 바뀐다
매출액 × 판관비율 5.93%(최근 4분기 중위)</t>
      </text>
    </comment>
    <comment ref="AK22" authorId="0" shapeId="0">
      <text>
        <t>3절 스칼라 '판관비율' 참조 — 숫자로 덮어쓰면 이 분기만 바뀐다
매출액 × 판관비율 5.93%(최근 4분기 중위)</t>
      </text>
    </comment>
    <comment ref="AL22" authorId="0" shapeId="0">
      <text>
        <t>3절 스칼라 '판관비율' 참조 — 숫자로 덮어쓰면 이 분기만 바뀐다
매출액 × 판관비율 5.93%(최근 4분기 중위)</t>
      </text>
    </comment>
    <comment ref="AM22" authorId="0" shapeId="0">
      <text>
        <t>3절 스칼라 '판관비율' 참조 — 숫자로 덮어쓰면 이 분기만 바뀐다
매출액 × 판관비율 5.93%(최근 4분기 중위)</t>
      </text>
    </comment>
    <comment ref="AN22" authorId="0" shapeId="0">
      <text>
        <t>3절 스칼라 '판관비율' 참조 — 숫자로 덮어쓰면 이 분기만 바뀐다
매출액 × 판관비율 5.93%(최근 4분기 중위)</t>
      </text>
    </comment>
    <comment ref="AC23" authorId="0" shapeId="0">
      <text>
        <t>모델값 역산(implied): v / 매출액
매출액 × OPM(최근 8분기 OPM 중위 18.1% 유지(클립 −20~40%))</t>
      </text>
    </comment>
    <comment ref="AD23" authorId="0" shapeId="0">
      <text>
        <t>모델값 역산(implied): v / 매출액
매출액 × OPM(최근 8분기 OPM 중위 18.1% 유지(클립 −20~40%))</t>
      </text>
    </comment>
    <comment ref="AF23" authorId="0" shapeId="0">
      <text>
        <t>모델값 역산(implied): v / 매출액
매출액 × OPM(최근 8분기 OPM 중위 18.1% 유지(클립 −20~40%))</t>
      </text>
    </comment>
    <comment ref="AG23" authorId="0" shapeId="0">
      <text>
        <t>모델값 역산(implied): v / 매출액
매출액 × OPM(최근 8분기 OPM 중위 18.1% 유지(클립 −20~40%))</t>
      </text>
    </comment>
    <comment ref="AH23" authorId="0" shapeId="0">
      <text>
        <t>모델값 역산(implied): v / 매출액
매출액 × OPM(최근 8분기 OPM 중위 18.1% 유지(클립 −20~40%))</t>
      </text>
    </comment>
    <comment ref="AI23" authorId="0" shapeId="0">
      <text>
        <t>모델값 역산(implied): v / 매출액
매출액 × OPM(최근 8분기 OPM 중위 18.1% 유지(클립 −20~40%))</t>
      </text>
    </comment>
    <comment ref="AK23" authorId="0" shapeId="0">
      <text>
        <t>모델값 역산(implied): v / 매출액
매출액 × OPM(최근 8분기 OPM 중위 18.1% 유지(클립 −20~40%))</t>
      </text>
    </comment>
    <comment ref="AL23" authorId="0" shapeId="0">
      <text>
        <t>모델값 역산(implied): v / 매출액
매출액 × OPM(최근 8분기 OPM 중위 18.1% 유지(클립 −20~40%))</t>
      </text>
    </comment>
    <comment ref="AM23" authorId="0" shapeId="0">
      <text>
        <t>모델값 역산(implied): v / 매출액
매출액 × OPM(최근 8분기 OPM 중위 18.1% 유지(클립 −20~40%))</t>
      </text>
    </comment>
    <comment ref="AN23" authorId="0" shapeId="0">
      <text>
        <t>모델값 역산(implied): v / 매출액
매출액 × OPM(최근 8분기 OPM 중위 18.1%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잔차 실측 2분기 &lt; 4 → 0</t>
      </text>
    </comment>
    <comment ref="AD26" authorId="0" shapeId="0">
      <text>
        <t>모델값 역산(implied): 모델 v 그대로
잔차 실측 2분기 &lt; 4 → 0</t>
      </text>
    </comment>
    <comment ref="AF26" authorId="0" shapeId="0">
      <text>
        <t>모델값 역산(implied): 모델 v 그대로
잔차 실측 2분기 &lt; 4 → 0</t>
      </text>
    </comment>
    <comment ref="AG26" authorId="0" shapeId="0">
      <text>
        <t>모델값 역산(implied): 모델 v 그대로
잔차 실측 2분기 &lt; 4 → 0</t>
      </text>
    </comment>
    <comment ref="AH26" authorId="0" shapeId="0">
      <text>
        <t>모델값 역산(implied): 모델 v 그대로
잔차 실측 2분기 &lt; 4 → 0</t>
      </text>
    </comment>
    <comment ref="AI26" authorId="0" shapeId="0">
      <text>
        <t>모델값 역산(implied): 모델 v 그대로
잔차 실측 2분기 &lt; 4 → 0</t>
      </text>
    </comment>
    <comment ref="AK26" authorId="0" shapeId="0">
      <text>
        <t>모델값 역산(implied): 모델 v 그대로
잔차 실측 2분기 &lt; 4 → 0</t>
      </text>
    </comment>
    <comment ref="AL26" authorId="0" shapeId="0">
      <text>
        <t>모델값 역산(implied): 모델 v 그대로
잔차 실측 2분기 &lt; 4 → 0</t>
      </text>
    </comment>
    <comment ref="AM26" authorId="0" shapeId="0">
      <text>
        <t>모델값 역산(implied): 모델 v 그대로
잔차 실측 2분기 &lt; 4 → 0</t>
      </text>
    </comment>
    <comment ref="AN26" authorId="0" shapeId="0">
      <text>
        <t>모델값 역산(implied): 모델 v 그대로
잔차 실측 2분기 &lt; 4 → 0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D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F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G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H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I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K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L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M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N28" authorId="0" shapeId="0">
      <text>
        <t>3절 스칼라 '세율' 참조 — 숫자로 덮어쓰면 이 분기만 바뀐다
max(세전, 0) × 세율 8.0%(최근 12분기 유효세율 -22.1% 가 5~27% 밖 → 클립 대신 최근 8분기 중 세전 &gt; 0 인 7분기(2024Q3~2026Q2)의 법인세/세전 중위 8.0%)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전분기(시트값) + 당기순이익(시트 수식값) − v
전분기 + 당기순이익 − 배당(Q2 지급 가정)</t>
      </text>
    </comment>
    <comment ref="AD32" authorId="0" shapeId="0">
      <text>
        <t>모델값 역산(implied): 전분기(시트값) + 당기순이익(시트 수식값) − v
전분기 + 당기순이익 − 배당(Q2 지급 가정)</t>
      </text>
    </comment>
    <comment ref="AF32" authorId="0" shapeId="0">
      <text>
        <t>모델값 역산(implied): 전분기(시트값) + 당기순이익(시트 수식값) − v
전분기 + 당기순이익 − 배당(Q2 지급 가정)</t>
      </text>
    </comment>
    <comment ref="AG32" authorId="0" shapeId="0">
      <text>
        <t>모델값 역산(implied): 전분기(시트값) + 당기순이익(시트 수식값) − v
전분기 + 당기순이익 − 배당(Q2 지급 가정)</t>
      </text>
    </comment>
    <comment ref="AH32" authorId="0" shapeId="0">
      <text>
        <t>모델값 역산(implied): 전분기(시트값) + 당기순이익(시트 수식값) − v
전분기 + 당기순이익 − 배당(Q2 지급 가정)</t>
      </text>
    </comment>
    <comment ref="AI32" authorId="0" shapeId="0">
      <text>
        <t>모델값 역산(implied): 전분기(시트값) + 당기순이익(시트 수식값) − v
전분기 + 당기순이익 − 배당(Q2 지급 가정)</t>
      </text>
    </comment>
    <comment ref="AK32" authorId="0" shapeId="0">
      <text>
        <t>모델값 역산(implied): 전분기(시트값) + 당기순이익(시트 수식값) − v
전분기 + 당기순이익 − 배당(Q2 지급 가정)</t>
      </text>
    </comment>
    <comment ref="AL32" authorId="0" shapeId="0">
      <text>
        <t>모델값 역산(implied): 전분기(시트값) + 당기순이익(시트 수식값) − v
전분기 + 당기순이익 − 배당(Q2 지급 가정)</t>
      </text>
    </comment>
    <comment ref="AM32" authorId="0" shapeId="0">
      <text>
        <t>모델값 역산(implied): 전분기(시트값) + 당기순이익(시트 수식값) − v
전분기 + 당기순이익 − 배당(Q2 지급 가정)</t>
      </text>
    </comment>
    <comment ref="AN32" authorId="0" shapeId="0">
      <text>
        <t>모델값 역산(implied): 전분기(시트값) + 당기순이익(시트 수식값) − v
전분기 + 당기순이익 − 배당(Q2 지급 가정)</t>
      </text>
    </comment>
    <comment ref="AC33" authorId="0" shapeId="0">
      <text>
        <t>모델값 역산(implied): 전분기(시트값) + 지배주주순이익(시트 수식값) − v
전분기 + 지배주주순이익 − 배당</t>
      </text>
    </comment>
    <comment ref="AD33" authorId="0" shapeId="0">
      <text>
        <t>모델값 역산(implied): 전분기(시트값) + 지배주주순이익(시트 수식값) − v
전분기 + 지배주주순이익 − 배당</t>
      </text>
    </comment>
    <comment ref="AF33" authorId="0" shapeId="0">
      <text>
        <t>모델값 역산(implied): 전분기(시트값) + 지배주주순이익(시트 수식값) − v
전분기 + 지배주주순이익 − 배당</t>
      </text>
    </comment>
    <comment ref="AG33" authorId="0" shapeId="0">
      <text>
        <t>모델값 역산(implied): 전분기(시트값) + 지배주주순이익(시트 수식값) − v
전분기 + 지배주주순이익 − 배당</t>
      </text>
    </comment>
    <comment ref="AH33" authorId="0" shapeId="0">
      <text>
        <t>모델값 역산(implied): 전분기(시트값) + 지배주주순이익(시트 수식값) − v
전분기 + 지배주주순이익 − 배당</t>
      </text>
    </comment>
    <comment ref="AI33" authorId="0" shapeId="0">
      <text>
        <t>모델값 역산(implied): 전분기(시트값) + 지배주주순이익(시트 수식값) − v
전분기 + 지배주주순이익 − 배당</t>
      </text>
    </comment>
    <comment ref="AK33" authorId="0" shapeId="0">
      <text>
        <t>모델값 역산(implied): 전분기(시트값) + 지배주주순이익(시트 수식값) − v
전분기 + 지배주주순이익 − 배당</t>
      </text>
    </comment>
    <comment ref="AL33" authorId="0" shapeId="0">
      <text>
        <t>모델값 역산(implied): 전분기(시트값) + 지배주주순이익(시트 수식값) − v
전분기 + 지배주주순이익 − 배당</t>
      </text>
    </comment>
    <comment ref="AM33" authorId="0" shapeId="0">
      <text>
        <t>모델값 역산(implied): 전분기(시트값) + 지배주주순이익(시트 수식값) − v
전분기 + 지배주주순이익 − 배당</t>
      </text>
    </comment>
    <comment ref="AN33" authorId="0" shapeId="0">
      <text>
        <t>모델값 역산(implied): 전분기(시트값) + 지배주주순이익(시트 수식값) − v
전분기 + 지배주주순이익 − 배당</t>
      </text>
    </comment>
    <comment ref="AC34" authorId="0" shapeId="0">
      <text>
        <t>모델값 역산(implied): v / 전분기 − 1
마지막 실적 유지(가정)</t>
      </text>
    </comment>
    <comment ref="AD34" authorId="0" shapeId="0">
      <text>
        <t>모델값 역산(implied): v / 전분기 − 1
마지막 실적 유지(가정)</t>
      </text>
    </comment>
    <comment ref="AF34" authorId="0" shapeId="0">
      <text>
        <t>모델값 역산(implied): v / 전분기 − 1
마지막 실적 유지(가정)</t>
      </text>
    </comment>
    <comment ref="AG34" authorId="0" shapeId="0">
      <text>
        <t>모델값 역산(implied): v / 전분기 − 1
마지막 실적 유지(가정)</t>
      </text>
    </comment>
    <comment ref="AH34" authorId="0" shapeId="0">
      <text>
        <t>모델값 역산(implied): v / 전분기 − 1
마지막 실적 유지(가정)</t>
      </text>
    </comment>
    <comment ref="AI34" authorId="0" shapeId="0">
      <text>
        <t>모델값 역산(implied): v / 전분기 − 1
마지막 실적 유지(가정)</t>
      </text>
    </comment>
    <comment ref="AK34" authorId="0" shapeId="0">
      <text>
        <t>모델값 역산(implied): v / 전분기 − 1
마지막 실적 유지(가정)</t>
      </text>
    </comment>
    <comment ref="AL34" authorId="0" shapeId="0">
      <text>
        <t>모델값 역산(implied): v / 전분기 − 1
마지막 실적 유지(가정)</t>
      </text>
    </comment>
    <comment ref="AM34" authorId="0" shapeId="0">
      <text>
        <t>모델값 역산(implied): v / 전분기 − 1
마지막 실적 유지(가정)</t>
      </text>
    </comment>
    <comment ref="AN34" authorId="0" shapeId="0">
      <text>
        <t>모델값 역산(implied): v / 전분기 − 1
마지막 실적 유지(가정)</t>
      </text>
    </comment>
    <comment ref="AC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D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F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G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H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I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K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L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M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N35" authorId="0" shapeId="0">
      <text>
        <t>모델값 역산(implied): v / 전분기 − 1
전분기 − FCF 근사[순이익 − 배당(감가상각비 없음 → CAPEX≈감가 가정, CAPEX 중위 47억은 행에만)] (운전자본 불변·총차입금 유지 가정 → 변동은 전부 현금)</t>
      </text>
    </comment>
    <comment ref="AC36" authorId="0" shapeId="0">
      <text>
        <t>모델값 역산(implied): v / 전분기 − 1
전분기 + FCF 근사 — 순차입금 롤과 같은 가정</t>
      </text>
    </comment>
    <comment ref="AD36" authorId="0" shapeId="0">
      <text>
        <t>모델값 역산(implied): v / 전분기 − 1
전분기 + FCF 근사 — 순차입금 롤과 같은 가정</t>
      </text>
    </comment>
    <comment ref="AF36" authorId="0" shapeId="0">
      <text>
        <t>모델값 역산(implied): v / 전분기 − 1
전분기 + FCF 근사 — 순차입금 롤과 같은 가정</t>
      </text>
    </comment>
    <comment ref="AG36" authorId="0" shapeId="0">
      <text>
        <t>모델값 역산(implied): v / 전분기 − 1
전분기 + FCF 근사 — 순차입금 롤과 같은 가정</t>
      </text>
    </comment>
    <comment ref="AH36" authorId="0" shapeId="0">
      <text>
        <t>모델값 역산(implied): v / 전분기 − 1
전분기 + FCF 근사 — 순차입금 롤과 같은 가정</t>
      </text>
    </comment>
    <comment ref="AI36" authorId="0" shapeId="0">
      <text>
        <t>모델값 역산(implied): v / 전분기 − 1
전분기 + FCF 근사 — 순차입금 롤과 같은 가정</t>
      </text>
    </comment>
    <comment ref="AK36" authorId="0" shapeId="0">
      <text>
        <t>모델값 역산(implied): v / 전분기 − 1
전분기 + FCF 근사 — 순차입금 롤과 같은 가정</t>
      </text>
    </comment>
    <comment ref="AL36" authorId="0" shapeId="0">
      <text>
        <t>모델값 역산(implied): v / 전분기 − 1
전분기 + FCF 근사 — 순차입금 롤과 같은 가정</t>
      </text>
    </comment>
    <comment ref="AM36" authorId="0" shapeId="0">
      <text>
        <t>모델값 역산(implied): v / 전분기 − 1
전분기 + FCF 근사 — 순차입금 롤과 같은 가정</t>
      </text>
    </comment>
    <comment ref="AN36" authorId="0" shapeId="0">
      <text>
        <t>모델값 역산(implied): v / 전분기 − 1
전분기 + FCF 근사 — 순차입금 롤과 같은 가정</t>
      </text>
    </comment>
    <comment ref="AC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40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v / 전분기 − 1
유통주식수 유지 — fin.shares.common_outstanding(2026Q2)</t>
      </text>
    </comment>
    <comment ref="AF40" authorId="0" shapeId="0">
      <text>
        <t>모델값 역산(implied): v / 전분기 − 1
유통주식수 유지 — fin.shares.common_outstanding(2026Q2)</t>
      </text>
    </comment>
    <comment ref="AG40" authorId="0" shapeId="0">
      <text>
        <t>모델값 역산(implied): v / 전분기 − 1
유통주식수 유지 — fin.shares.common_outstanding(2026Q2)</t>
      </text>
    </comment>
    <comment ref="AH40" authorId="0" shapeId="0">
      <text>
        <t>모델값 역산(implied): v / 전분기 − 1
유통주식수 유지 — fin.shares.common_outstanding(2026Q2)</t>
      </text>
    </comment>
    <comment ref="AI40" authorId="0" shapeId="0">
      <text>
        <t>모델값 역산(implied): v / 전분기 − 1
유통주식수 유지 — fin.shares.common_outstanding(2026Q2)</t>
      </text>
    </comment>
    <comment ref="AK40" authorId="0" shapeId="0">
      <text>
        <t>모델값 역산(implied): v / 전분기 − 1
유통주식수 유지 — fin.shares.common_outstanding(2026Q2)</t>
      </text>
    </comment>
    <comment ref="AL40" authorId="0" shapeId="0">
      <text>
        <t>모델값 역산(implied): v / 전분기 − 1
유통주식수 유지 — fin.shares.common_outstanding(2026Q2)</t>
      </text>
    </comment>
    <comment ref="AM40" authorId="0" shapeId="0">
      <text>
        <t>모델값 역산(implied): v / 전분기 − 1
유통주식수 유지 — fin.shares.common_outstanding(2026Q2)</t>
      </text>
    </comment>
    <comment ref="AN40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모델 v 그대로
직전 결산 DPS 0원 유지</t>
      </text>
    </comment>
    <comment ref="AI41" authorId="0" shapeId="0">
      <text>
        <t>모델값 역산(implied): 모델 v 그대로
직전 결산 DPS 0원 유지</t>
      </text>
    </comment>
    <comment ref="AN41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(1+37.0%) — g=최근 4분기 합 YoY 37.0% 클립(−30~+50%), 연차별 절반 감쇠(가정)
[yoy]</t>
      </text>
    </comment>
    <comment ref="AD5" authorId="0" shapeId="0">
      <text>
        <t>추정: 전년동기 × (1+37.0%) — g=최근 4분기 합 YoY 37.0% 클립(−30~+50%), 연차별 절반 감쇠(가정)
[yoy]</t>
      </text>
    </comment>
    <comment ref="AF5" authorId="0" shapeId="0">
      <text>
        <t>추정: 전년동기 × (1+37.0%) — g=최근 4분기 합 YoY 37.0% 클립(−30~+50%), 연차별 절반 감쇠(가정)
[yoy]</t>
      </text>
    </comment>
    <comment ref="AG5" authorId="0" shapeId="0">
      <text>
        <t>추정: 전년동기 × (1+37.0%) — g=최근 4분기 합 YoY 37.0% 클립(−30~+50%), 연차별 절반 감쇠(가정)
[yoy]</t>
      </text>
    </comment>
    <comment ref="AH5" authorId="0" shapeId="0">
      <text>
        <t>추정: 전년동기 × (1+18.5%) — g=최근 4분기 합 YoY 37.0% 클립(−30~+50%), 연차별 절반 감쇠(가정)
[yoy]</t>
      </text>
    </comment>
    <comment ref="AI5" authorId="0" shapeId="0">
      <text>
        <t>추정: 전년동기 × (1+18.5%) — g=최근 4분기 합 YoY 37.0% 클립(−30~+50%), 연차별 절반 감쇠(가정)
[yoy]</t>
      </text>
    </comment>
    <comment ref="AK5" authorId="0" shapeId="0">
      <text>
        <t>추정: 전년동기 × (1+18.5%) — g=최근 4분기 합 YoY 37.0% 클립(−30~+50%), 연차별 절반 감쇠(가정)
[yoy]</t>
      </text>
    </comment>
    <comment ref="AL5" authorId="0" shapeId="0">
      <text>
        <t>추정: 전년동기 × (1+18.5%) — g=최근 4분기 합 YoY 37.0% 클립(−30~+50%), 연차별 절반 감쇠(가정)
[yoy]</t>
      </text>
    </comment>
    <comment ref="AM5" authorId="0" shapeId="0">
      <text>
        <t>추정: 전년동기 × (1+9.3%) — g=최근 4분기 합 YoY 37.0% 클립(−30~+50%), 연차별 절반 감쇠(가정)
[yoy]</t>
      </text>
    </comment>
    <comment ref="AN5" authorId="0" shapeId="0">
      <text>
        <t>추정: 전년동기 × (1+9.3%) — g=최근 4분기 합 YoY 37.0%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5.93%(최근 4분기 중위)
[ratio]</t>
      </text>
    </comment>
    <comment ref="AD8" authorId="0" shapeId="0">
      <text>
        <t>추정: 매출액 × 판관비율 5.93%(최근 4분기 중위)
[ratio]</t>
      </text>
    </comment>
    <comment ref="AF8" authorId="0" shapeId="0">
      <text>
        <t>추정: 매출액 × 판관비율 5.93%(최근 4분기 중위)
[ratio]</t>
      </text>
    </comment>
    <comment ref="AG8" authorId="0" shapeId="0">
      <text>
        <t>추정: 매출액 × 판관비율 5.93%(최근 4분기 중위)
[ratio]</t>
      </text>
    </comment>
    <comment ref="AH8" authorId="0" shapeId="0">
      <text>
        <t>추정: 매출액 × 판관비율 5.93%(최근 4분기 중위)
[ratio]</t>
      </text>
    </comment>
    <comment ref="AI8" authorId="0" shapeId="0">
      <text>
        <t>추정: 매출액 × 판관비율 5.93%(최근 4분기 중위)
[ratio]</t>
      </text>
    </comment>
    <comment ref="AK8" authorId="0" shapeId="0">
      <text>
        <t>추정: 매출액 × 판관비율 5.93%(최근 4분기 중위)
[ratio]</t>
      </text>
    </comment>
    <comment ref="AL8" authorId="0" shapeId="0">
      <text>
        <t>추정: 매출액 × 판관비율 5.93%(최근 4분기 중위)
[ratio]</t>
      </text>
    </comment>
    <comment ref="AM8" authorId="0" shapeId="0">
      <text>
        <t>추정: 매출액 × 판관비율 5.93%(최근 4분기 중위)
[ratio]</t>
      </text>
    </comment>
    <comment ref="AN8" authorId="0" shapeId="0">
      <text>
        <t>추정: 매출액 × 판관비율 5.93%(최근 4분기 중위)
[ratio]</t>
      </text>
    </comment>
    <comment ref="AC9" authorId="0" shapeId="0">
      <text>
        <t>추정: 매출액 × OPM(최근 8분기 OPM 중위 18.1% 유지(클립 −20~40%))
[ratio]</t>
      </text>
    </comment>
    <comment ref="AD9" authorId="0" shapeId="0">
      <text>
        <t>추정: 매출액 × OPM(최근 8분기 OPM 중위 18.1% 유지(클립 −20~40%))
[ratio]</t>
      </text>
    </comment>
    <comment ref="AF9" authorId="0" shapeId="0">
      <text>
        <t>추정: 매출액 × OPM(최근 8분기 OPM 중위 18.1% 유지(클립 −20~40%))
[ratio]</t>
      </text>
    </comment>
    <comment ref="AG9" authorId="0" shapeId="0">
      <text>
        <t>추정: 매출액 × OPM(최근 8분기 OPM 중위 18.1% 유지(클립 −20~40%))
[ratio]</t>
      </text>
    </comment>
    <comment ref="AH9" authorId="0" shapeId="0">
      <text>
        <t>추정: 매출액 × OPM(최근 8분기 OPM 중위 18.1% 유지(클립 −20~40%))
[ratio]</t>
      </text>
    </comment>
    <comment ref="AI9" authorId="0" shapeId="0">
      <text>
        <t>추정: 매출액 × OPM(최근 8분기 OPM 중위 18.1% 유지(클립 −20~40%))
[ratio]</t>
      </text>
    </comment>
    <comment ref="AK9" authorId="0" shapeId="0">
      <text>
        <t>추정: 매출액 × OPM(최근 8분기 OPM 중위 18.1% 유지(클립 −20~40%))
[ratio]</t>
      </text>
    </comment>
    <comment ref="AL9" authorId="0" shapeId="0">
      <text>
        <t>추정: 매출액 × OPM(최근 8분기 OPM 중위 18.1% 유지(클립 −20~40%))
[ratio]</t>
      </text>
    </comment>
    <comment ref="AM9" authorId="0" shapeId="0">
      <text>
        <t>추정: 매출액 × OPM(최근 8분기 OPM 중위 18.1% 유지(클립 −20~40%))
[ratio]</t>
      </text>
    </comment>
    <comment ref="AN9" authorId="0" shapeId="0">
      <text>
        <t>추정: 매출액 × OPM(최근 8분기 OPM 중위 18.1% 유지(클립 −20~40%))
[ratio]</t>
      </text>
    </comment>
    <comment ref="AC10" authorId="0" shapeId="0">
      <text>
        <t>추정: 최근 8분기 OPM 중위 18.1% 유지(클립 −20~40%)
[divide]</t>
      </text>
    </comment>
    <comment ref="AD10" authorId="0" shapeId="0">
      <text>
        <t>추정: 최근 8분기 OPM 중위 18.1% 유지(클립 −20~40%)
[divide]</t>
      </text>
    </comment>
    <comment ref="AF10" authorId="0" shapeId="0">
      <text>
        <t>추정: 최근 8분기 OPM 중위 18.1% 유지(클립 −20~40%)
[divide]</t>
      </text>
    </comment>
    <comment ref="AG10" authorId="0" shapeId="0">
      <text>
        <t>추정: 최근 8분기 OPM 중위 18.1% 유지(클립 −20~40%)
[divide]</t>
      </text>
    </comment>
    <comment ref="AH10" authorId="0" shapeId="0">
      <text>
        <t>추정: 최근 8분기 OPM 중위 18.1% 유지(클립 −20~40%)
[divide]</t>
      </text>
    </comment>
    <comment ref="AI10" authorId="0" shapeId="0">
      <text>
        <t>추정: 최근 8분기 OPM 중위 18.1% 유지(클립 −20~40%)
[divide]</t>
      </text>
    </comment>
    <comment ref="AK10" authorId="0" shapeId="0">
      <text>
        <t>추정: 최근 8분기 OPM 중위 18.1% 유지(클립 −20~40%)
[divide]</t>
      </text>
    </comment>
    <comment ref="AL10" authorId="0" shapeId="0">
      <text>
        <t>추정: 최근 8분기 OPM 중위 18.1% 유지(클립 −20~40%)
[divide]</t>
      </text>
    </comment>
    <comment ref="AM10" authorId="0" shapeId="0">
      <text>
        <t>추정: 최근 8분기 OPM 중위 18.1% 유지(클립 −20~40%)
[divide]</t>
      </text>
    </comment>
    <comment ref="AN10" authorId="0" shapeId="0">
      <text>
        <t>추정: 최근 8분기 OPM 중위 18.1% 유지(클립 −20~40%)
[divide]</t>
      </text>
    </comment>
    <comment ref="AC11" authorId="0" shapeId="0">
      <text>
        <t>추정: 이자손익 + 외환손익 0 + 파생상품손익 0 + 기타금융손익 +0.00억(잔차 실측 2분기 &lt; 4 → 0) (항등식); 이자손익 = 이자발생자산 3478억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2분기 &lt; 4 → 0) (항등식); 이자손익 = 이자발생자산 3767억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2분기 &lt; 4 → 0) (항등식); 이자손익 = 이자발생자산 4064억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2분기 &lt; 4 → 0) (항등식); 이자손익 = 이자발생자산 4415억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2분기 &lt; 4 → 0) (항등식); 이자손익 = 이자발생자산 4759억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2분기 &lt; 4 → 0) (항등식); 이자손익 = 이자발생자산 5109억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2분기 &lt; 4 → 0) (항등식); 이자손익 = 이자발생자산 5469억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2분기 &lt; 4 → 0) (항등식); 이자손익 = 이자발생자산 5894억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2분기 &lt; 4 → 0) (항등식); 이자손익 = 이자발생자산 6309억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2분기 &lt; 4 → 0) (항등식); 이자손익 = 이자발생자산 6705억 × 5.21%(주석 이자수익 ÷ 평균 이자발생자산(2025Q3~2026Q2)) − 총차입금 362억 × 1.68%(주석 이자비용 ÷ 평균 총차입금(2025Q3~2026Q2)) (연율) ÷ 4; 환율 효과는 환관련손익 행 별도
[identity]</t>
      </text>
    </comment>
    <comment ref="AC12" authorId="0" shapeId="0">
      <text>
        <t>추정: 이자발생자산 3478억 × 5.21%(주석 이자수익 ÷ 평균 이자발생자산(2025Q3~2026Q2)) − 총차입금 362억 × 1.68%(주석 이자비용 ÷ 평균 총차입금(2025Q3~2026Q2)) (연율) ÷ 4
[interest]</t>
      </text>
    </comment>
    <comment ref="AD12" authorId="0" shapeId="0">
      <text>
        <t>추정: 이자발생자산 3767억 × 5.21%(주석 이자수익 ÷ 평균 이자발생자산(2025Q3~2026Q2)) − 총차입금 362억 × 1.68%(주석 이자비용 ÷ 평균 총차입금(2025Q3~2026Q2)) (연율) ÷ 4
[interest]</t>
      </text>
    </comment>
    <comment ref="AF12" authorId="0" shapeId="0">
      <text>
        <t>추정: 이자발생자산 4064억 × 5.21%(주석 이자수익 ÷ 평균 이자발생자산(2025Q3~2026Q2)) − 총차입금 362억 × 1.68%(주석 이자비용 ÷ 평균 총차입금(2025Q3~2026Q2)) (연율) ÷ 4
[interest]</t>
      </text>
    </comment>
    <comment ref="AG12" authorId="0" shapeId="0">
      <text>
        <t>추정: 이자발생자산 4415억 × 5.21%(주석 이자수익 ÷ 평균 이자발생자산(2025Q3~2026Q2)) − 총차입금 362억 × 1.68%(주석 이자비용 ÷ 평균 총차입금(2025Q3~2026Q2)) (연율) ÷ 4
[interest]</t>
      </text>
    </comment>
    <comment ref="AH12" authorId="0" shapeId="0">
      <text>
        <t>추정: 이자발생자산 4759억 × 5.21%(주석 이자수익 ÷ 평균 이자발생자산(2025Q3~2026Q2)) − 총차입금 362억 × 1.68%(주석 이자비용 ÷ 평균 총차입금(2025Q3~2026Q2)) (연율) ÷ 4
[interest]</t>
      </text>
    </comment>
    <comment ref="AI12" authorId="0" shapeId="0">
      <text>
        <t>추정: 이자발생자산 5109억 × 5.21%(주석 이자수익 ÷ 평균 이자발생자산(2025Q3~2026Q2)) − 총차입금 362억 × 1.68%(주석 이자비용 ÷ 평균 총차입금(2025Q3~2026Q2)) (연율) ÷ 4
[interest]</t>
      </text>
    </comment>
    <comment ref="AK12" authorId="0" shapeId="0">
      <text>
        <t>추정: 이자발생자산 5469억 × 5.21%(주석 이자수익 ÷ 평균 이자발생자산(2025Q3~2026Q2)) − 총차입금 362억 × 1.68%(주석 이자비용 ÷ 평균 총차입금(2025Q3~2026Q2)) (연율) ÷ 4
[interest]</t>
      </text>
    </comment>
    <comment ref="AL12" authorId="0" shapeId="0">
      <text>
        <t>추정: 이자발생자산 5894억 × 5.21%(주석 이자수익 ÷ 평균 이자발생자산(2025Q3~2026Q2)) − 총차입금 362억 × 1.68%(주석 이자비용 ÷ 평균 총차입금(2025Q3~2026Q2)) (연율) ÷ 4
[interest]</t>
      </text>
    </comment>
    <comment ref="AM12" authorId="0" shapeId="0">
      <text>
        <t>추정: 이자발생자산 6309억 × 5.21%(주석 이자수익 ÷ 평균 이자발생자산(2025Q3~2026Q2)) − 총차입금 362억 × 1.68%(주석 이자비용 ÷ 평균 총차입금(2025Q3~2026Q2)) (연율) ÷ 4
[interest]</t>
      </text>
    </comment>
    <comment ref="AN12" authorId="0" shapeId="0">
      <text>
        <t>추정: 이자발생자산 6705억 × 5.21%(주석 이자수익 ÷ 평균 이자발생자산(2025Q3~2026Q2)) − 총차입금 362억 × 1.68%(주석 이자비용 ÷ 평균 총차입금(2025Q3~2026Q2)) (연율) ÷ 4
[interest]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S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잔차 실측 2분기 &lt; 4 → 0
[abs]</t>
      </text>
    </comment>
    <comment ref="AD15" authorId="0" shapeId="0">
      <text>
        <t>추정: 잔차 실측 2분기 &lt; 4 → 0
[abs]</t>
      </text>
    </comment>
    <comment ref="AF15" authorId="0" shapeId="0">
      <text>
        <t>추정: 잔차 실측 2분기 &lt; 4 → 0
[abs]</t>
      </text>
    </comment>
    <comment ref="AG15" authorId="0" shapeId="0">
      <text>
        <t>추정: 잔차 실측 2분기 &lt; 4 → 0
[abs]</t>
      </text>
    </comment>
    <comment ref="AH15" authorId="0" shapeId="0">
      <text>
        <t>추정: 잔차 실측 2분기 &lt; 4 → 0
[abs]</t>
      </text>
    </comment>
    <comment ref="AI15" authorId="0" shapeId="0">
      <text>
        <t>추정: 잔차 실측 2분기 &lt; 4 → 0
[abs]</t>
      </text>
    </comment>
    <comment ref="AK15" authorId="0" shapeId="0">
      <text>
        <t>추정: 잔차 실측 2분기 &lt; 4 → 0
[abs]</t>
      </text>
    </comment>
    <comment ref="AL15" authorId="0" shapeId="0">
      <text>
        <t>추정: 잔차 실측 2분기 &lt; 4 → 0
[abs]</t>
      </text>
    </comment>
    <comment ref="AM15" authorId="0" shapeId="0">
      <text>
        <t>추정: 잔차 실측 2분기 &lt; 4 → 0
[abs]</t>
      </text>
    </comment>
    <comment ref="AN15" authorId="0" shapeId="0">
      <text>
        <t>추정: 잔차 실측 2분기 &lt; 4 → 0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D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F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G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H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I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K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L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M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N18" authorId="0" shapeId="0">
      <text>
        <t>추정: max(세전, 0) × 세율 8.0%(최근 12분기 유효세율 -22.1% 가 5~27% 밖 → 클립 대신 최근 8분기 중 세전 &gt; 0 인 7분기(2024Q3~2026Q2)의 법인세/세전 중위 8.0%)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47억은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4분기(2025Q3~2026Q2) CAPEX 중위 유지 — 순차입금 롤에 미반영(감가상각비 없음 → CAPEX≈감가 가정)
[yoy]</t>
      </text>
    </comment>
    <comment ref="AD30" authorId="0" shapeId="0">
      <text>
        <t>추정: 최근 4분기(2025Q3~2026Q2) CAPEX 중위 유지 — 순차입금 롤에 미반영(감가상각비 없음 → CAPEX≈감가 가정)
[yoy]</t>
      </text>
    </comment>
    <comment ref="AF30" authorId="0" shapeId="0">
      <text>
        <t>추정: 최근 4분기(2025Q3~2026Q2) CAPEX 중위 유지 — 순차입금 롤에 미반영(감가상각비 없음 → CAPEX≈감가 가정)
[yoy]</t>
      </text>
    </comment>
    <comment ref="AG30" authorId="0" shapeId="0">
      <text>
        <t>추정: 최근 4분기(2025Q3~2026Q2) CAPEX 중위 유지 — 순차입금 롤에 미반영(감가상각비 없음 → CAPEX≈감가 가정)
[yoy]</t>
      </text>
    </comment>
    <comment ref="AH30" authorId="0" shapeId="0">
      <text>
        <t>추정: 최근 4분기(2025Q3~2026Q2) CAPEX 중위 유지 — 순차입금 롤에 미반영(감가상각비 없음 → CAPEX≈감가 가정)
[yoy]</t>
      </text>
    </comment>
    <comment ref="AI30" authorId="0" shapeId="0">
      <text>
        <t>추정: 최근 4분기(2025Q3~2026Q2) CAPEX 중위 유지 — 순차입금 롤에 미반영(감가상각비 없음 → CAPEX≈감가 가정)
[yoy]</t>
      </text>
    </comment>
    <comment ref="AK30" authorId="0" shapeId="0">
      <text>
        <t>추정: 최근 4분기(2025Q3~2026Q2) CAPEX 중위 유지 — 순차입금 롤에 미반영(감가상각비 없음 → CAPEX≈감가 가정)
[yoy]</t>
      </text>
    </comment>
    <comment ref="AL30" authorId="0" shapeId="0">
      <text>
        <t>추정: 최근 4분기(2025Q3~2026Q2) CAPEX 중위 유지 — 순차입금 롤에 미반영(감가상각비 없음 → CAPEX≈감가 가정)
[yoy]</t>
      </text>
    </comment>
    <comment ref="AM30" authorId="0" shapeId="0">
      <text>
        <t>추정: 최근 4분기(2025Q3~2026Q2) CAPEX 중위 유지 — 순차입금 롤에 미반영(감가상각비 없음 → CAPEX≈감가 가정)
[yoy]</t>
      </text>
    </comment>
    <comment ref="AN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Y34" authorId="0" shapeId="0">
      <text>
        <t>조정EPS 산식(모델 추정, 일회성 여부·세효과 주석 미확인): 지배NI − 초과 비영업손익 734억 × (1 − 세율 8.1% [모델 세율(분기 유효세율이 0~35% 밖·세전 ≤ 0)]) × 지배 비중 1.0000 [그 분기 지배NI/NI] = 446억 ÷ 유통주식수 · 초과 = 비영업손익 750억 − 12분기 기준선 16억 · 보고 EPS 3,304원(EPS 행 불변) · 상수 674.95·1.0 는 모델 one_offs_detected 값(세전·법인세 셀을 바꿔도 재계산되지 않음)</t>
      </text>
    </comment>
    <comment ref="AC34" authorId="0" shapeId="0">
      <text>
        <t>추정: = EPS(추정 구간은 일회성 미가정)
[identity]</t>
      </text>
    </comment>
    <comment ref="AD34" authorId="0" shapeId="0">
      <text>
        <t>추정: = EPS(추정 구간은 일회성 미가정)
[identity]</t>
      </text>
    </comment>
    <comment ref="AF34" authorId="0" shapeId="0">
      <text>
        <t>추정: = EPS(추정 구간은 일회성 미가정)
[identity]</t>
      </text>
    </comment>
    <comment ref="AG34" authorId="0" shapeId="0">
      <text>
        <t>추정: = EPS(추정 구간은 일회성 미가정)
[identity]</t>
      </text>
    </comment>
    <comment ref="AH34" authorId="0" shapeId="0">
      <text>
        <t>추정: = EPS(추정 구간은 일회성 미가정)
[identity]</t>
      </text>
    </comment>
    <comment ref="AI34" authorId="0" shapeId="0">
      <text>
        <t>추정: = EPS(추정 구간은 일회성 미가정)
[identity]</t>
      </text>
    </comment>
    <comment ref="AK34" authorId="0" shapeId="0">
      <text>
        <t>추정: = EPS(추정 구간은 일회성 미가정)
[identity]</t>
      </text>
    </comment>
    <comment ref="AL34" authorId="0" shapeId="0">
      <text>
        <t>추정: = EPS(추정 구간은 일회성 미가정)
[identity]</t>
      </text>
    </comment>
    <comment ref="AM34" authorId="0" shapeId="0">
      <text>
        <t>추정: = EPS(추정 구간은 일회성 미가정)
[identity]</t>
      </text>
    </comment>
    <comment ref="AN34" authorId="0" shapeId="0">
      <text>
        <t>추정: = EPS(추정 구간은 일회성 미가정)
[identity]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0원 유지
[abs]</t>
      </text>
    </comment>
    <comment ref="AI36" authorId="0" shapeId="0">
      <text>
        <t>추정: 직전 결산 DPS 0원 유지
[abs]</t>
      </text>
    </comment>
    <comment ref="AN36" authorId="0" shapeId="0">
      <text>
        <t>추정: 직전 결산 DPS 0원 유지
[abs]</t>
      </text>
    </comment>
    <comment ref="AC37" authorId="0" shapeId="0">
      <text>
        <t>추정: 현재 종가 ÷ TTM EPS(추정 포함)
[valuation]</t>
      </text>
    </comment>
    <comment ref="AD37" authorId="0" shapeId="0">
      <text>
        <t>추정: 현재 종가 ÷ TTM EPS(추정 포함)
[valuation]</t>
      </text>
    </comment>
    <comment ref="AF37" authorId="0" shapeId="0">
      <text>
        <t>추정: 현재 종가 ÷ TTM EPS(추정 포함)
[valuation]</t>
      </text>
    </comment>
    <comment ref="AG37" authorId="0" shapeId="0">
      <text>
        <t>추정: 현재 종가 ÷ TTM EPS(추정 포함)
[valuation]</t>
      </text>
    </comment>
    <comment ref="AH37" authorId="0" shapeId="0">
      <text>
        <t>추정: 현재 종가 ÷ TTM EPS(추정 포함)
[valuation]</t>
      </text>
    </comment>
    <comment ref="AI37" authorId="0" shapeId="0">
      <text>
        <t>추정: 현재 종가 ÷ TTM EPS(추정 포함)
[valuation]</t>
      </text>
    </comment>
    <comment ref="AK37" authorId="0" shapeId="0">
      <text>
        <t>추정: 현재 종가 ÷ TTM EPS(추정 포함)
[valuation]</t>
      </text>
    </comment>
    <comment ref="AL37" authorId="0" shapeId="0">
      <text>
        <t>추정: 현재 종가 ÷ TTM EPS(추정 포함)
[valuation]</t>
      </text>
    </comment>
    <comment ref="AM37" authorId="0" shapeId="0">
      <text>
        <t>추정: 현재 종가 ÷ TTM EPS(추정 포함)
[valuation]</t>
      </text>
    </comment>
    <comment ref="AN37" authorId="0" shapeId="0">
      <text>
        <t>추정: 현재 종가 ÷ TTM EPS(추정 포함)
[valuation]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HD현대마린엔진(071970)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8.05% — 법인세 = MAX(세전,0) × 세율, 추정 전 분기 연결(Σ법인세/Σmax(세전,0) 역산, 재현 오차 ≤ 0.05억). 모델 가정 8.05% · 근거: 최근 12분기 유효세율 -22.1% 가 5~27% 밖 → 클립 대신 최근 8분기 중 세전 &gt; 0 인 7분기(2024Q3~2026Q2)의 법인세/세전 중위 8.0%</t>
        </is>
      </c>
    </row>
    <row r="23">
      <c r="A23" t="inlineStr">
        <is>
          <t>· 판관비율 5.93%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5.21% / 부채 1.68% — 이자손익 = (전분기 이자발생자산 × 자산이자율 − 전분기 총차입금 × 부채이자율)/4, 최소자승 역산(모델 assumptions [0.0521, 0.0168]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2025Q4 보고 3,304→조정 1,315원)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세율, 판관비율, 지배주주비중, 이자율 · 연결 안 된 가정(모델값·분기별 역산 그대로): 없음</t>
        </is>
      </c>
    </row>
    <row r="29">
      <c r="A29" t="inlineStr">
        <is>
          <t>· 밸류에이션 — PER 밴드 9.3/11.2/16.2배(hist_quarterly(분기 평균가 ÷ TTM EPS, 16분기, 25/50/75 백분위))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assets/models/071970.json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연동 OOS 기각 — 동결 2025Q2 이후 4분기 매출 WAPE 연동 24.9% &gt; 추세 12.9% × 1.10 (suppliers_mentions·시차 1·4분기 이동합·창 19, r=0.99 유의)): 전년동기 × (1+g) 추세 / 감가상각비가 face·CF 에 없음(주석 미파싱) → EBITDA·EV/EBITDA 미산출 / 일회성 의심 2025Q4: 비영업손익 750억(영업이익 279억의 3배, 12분기 중위 34억·기준선 16억) → 지배NI 1,121억·보고 EPS·FY2025 합계·TTM PER 에 그대로 포함 — 처분이익 등 일회성 여부는 주석 확인 전까지 미확정(12M fwd EPS 에는 미포함) · 조정EPS 1,314.7원(보고 3,304.4원; 초과 비영업손익 734억 × (1 − 세율 8.1%) × 지배 비중 1.00 = 675억 차감 — 추정, 조정EPS 행)</t>
        </is>
      </c>
    </row>
    <row r="35">
      <c r="A35" t="inlineStr">
        <is>
          <t>백테스트: {"freeze": "2025Q2", "horizon": 4, "revenue_wape_pct": 24.9, "op_wape_pct": 66.3, "n": 4, "note": "단일 회사 4분기 — 통계 아님", "driver_at_freeze": "customer_yard_revenue_weighted", "selection_oos_at_freeze": {"freeze": "2024Q2", "n": 4, "wape_link": 18.0, "wape_trend": 25.4,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971.04, "rev_act": 1091.69, "op_pred": 101.46, "op_act": 202.88}, {"q": "2025Q4", "rev_pred": 1043.01, "rev_act": 1109.76, "op_pred": 108.98, "op_act": 278.89}, {"q": "2026Q1", "rev_pred": 488.89, "rev_act": 1334.61, "op_pred": 51.08, "op_act": 325.64}, {"q": "2026Q2", "rev_pred": 1114.04, "rev_act": 1281.19, "op_pred": 116.4, "op_act": 312.86}]}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4740</v>
      </c>
      <c r="F15" s="9" t="n"/>
      <c r="G15" s="18" t="n">
        <v>4950</v>
      </c>
      <c r="H15" s="18" t="n">
        <v>4495</v>
      </c>
      <c r="I15" s="18" t="n">
        <v>3680</v>
      </c>
      <c r="J15" s="18" t="n">
        <v>7080</v>
      </c>
      <c r="K15" s="9" t="n"/>
      <c r="L15" s="18" t="n">
        <v>6060</v>
      </c>
      <c r="M15" s="18" t="n">
        <v>7310</v>
      </c>
      <c r="N15" s="18" t="n">
        <v>9490</v>
      </c>
      <c r="O15" s="18" t="n">
        <v>11700</v>
      </c>
      <c r="P15" s="9" t="n"/>
      <c r="Q15" s="18" t="n">
        <v>11560</v>
      </c>
      <c r="R15" s="18" t="n">
        <v>18510</v>
      </c>
      <c r="S15" s="18" t="n">
        <v>19070</v>
      </c>
      <c r="T15" s="18" t="n">
        <v>24450</v>
      </c>
      <c r="U15" s="9" t="n"/>
      <c r="V15" s="18" t="n">
        <v>26500</v>
      </c>
      <c r="W15" s="18" t="n">
        <v>50300</v>
      </c>
      <c r="X15" s="18" t="n">
        <v>82900</v>
      </c>
      <c r="Y15" s="18" t="n">
        <v>89500</v>
      </c>
      <c r="Z15" s="9" t="n"/>
      <c r="AA15" s="18" t="n">
        <v>68700</v>
      </c>
      <c r="AB15" s="19" t="n">
        <v>58600</v>
      </c>
      <c r="AC15" s="20" t="n">
        <v>48700</v>
      </c>
      <c r="AD15" s="20" t="n">
        <v>42900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6300</v>
      </c>
      <c r="F16" s="9" t="n"/>
      <c r="G16" s="18" t="n">
        <v>5600</v>
      </c>
      <c r="H16" s="18" t="n">
        <v>5710</v>
      </c>
      <c r="I16" s="18" t="n">
        <v>5250</v>
      </c>
      <c r="J16" s="18" t="n">
        <v>8260</v>
      </c>
      <c r="K16" s="9" t="n"/>
      <c r="L16" s="18" t="n">
        <v>7650</v>
      </c>
      <c r="M16" s="18" t="n">
        <v>7590</v>
      </c>
      <c r="N16" s="18" t="n">
        <v>14440</v>
      </c>
      <c r="O16" s="18" t="n">
        <v>12500</v>
      </c>
      <c r="P16" s="9" t="n"/>
      <c r="Q16" s="18" t="n">
        <v>13080</v>
      </c>
      <c r="R16" s="18" t="n">
        <v>19790</v>
      </c>
      <c r="S16" s="18" t="n">
        <v>24850</v>
      </c>
      <c r="T16" s="18" t="n">
        <v>25200</v>
      </c>
      <c r="U16" s="9" t="n"/>
      <c r="V16" s="18" t="n">
        <v>30950</v>
      </c>
      <c r="W16" s="18" t="n">
        <v>56800</v>
      </c>
      <c r="X16" s="18" t="n">
        <v>96200</v>
      </c>
      <c r="Y16" s="18" t="n">
        <v>106600</v>
      </c>
      <c r="Z16" s="9" t="n"/>
      <c r="AA16" s="18" t="n">
        <v>105000</v>
      </c>
      <c r="AB16" s="19" t="n">
        <v>118200</v>
      </c>
      <c r="AC16" s="20" t="n">
        <v>70000</v>
      </c>
      <c r="AD16" s="20" t="n">
        <v>49400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4015</v>
      </c>
      <c r="F17" s="9" t="n"/>
      <c r="G17" s="18" t="n">
        <v>4020</v>
      </c>
      <c r="H17" s="18" t="n">
        <v>3900</v>
      </c>
      <c r="I17" s="18" t="n">
        <v>3350</v>
      </c>
      <c r="J17" s="18" t="n">
        <v>3490</v>
      </c>
      <c r="K17" s="9" t="n"/>
      <c r="L17" s="18" t="n">
        <v>4975</v>
      </c>
      <c r="M17" s="18" t="n">
        <v>5000</v>
      </c>
      <c r="N17" s="18" t="n">
        <v>7130</v>
      </c>
      <c r="O17" s="18" t="n">
        <v>8890</v>
      </c>
      <c r="P17" s="9" t="n"/>
      <c r="Q17" s="18" t="n">
        <v>9600</v>
      </c>
      <c r="R17" s="18" t="n">
        <v>11320</v>
      </c>
      <c r="S17" s="18" t="n">
        <v>15660</v>
      </c>
      <c r="T17" s="18" t="n">
        <v>17000</v>
      </c>
      <c r="U17" s="9" t="n"/>
      <c r="V17" s="18" t="n">
        <v>23300</v>
      </c>
      <c r="W17" s="18" t="n">
        <v>24750</v>
      </c>
      <c r="X17" s="18" t="n">
        <v>41100</v>
      </c>
      <c r="Y17" s="18" t="n">
        <v>73600</v>
      </c>
      <c r="Z17" s="9" t="n"/>
      <c r="AA17" s="18" t="n">
        <v>68300</v>
      </c>
      <c r="AB17" s="19" t="n">
        <v>53900</v>
      </c>
      <c r="AC17" s="20" t="n">
        <v>46500</v>
      </c>
      <c r="AD17" s="20" t="n">
        <v>37400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4861.6</v>
      </c>
      <c r="F18" s="9" t="n"/>
      <c r="G18" s="18" t="n">
        <v>4757.7</v>
      </c>
      <c r="H18" s="18" t="n">
        <v>4809.8</v>
      </c>
      <c r="I18" s="18" t="n">
        <v>4403.6</v>
      </c>
      <c r="J18" s="18" t="n">
        <v>4730.3</v>
      </c>
      <c r="K18" s="9" t="n"/>
      <c r="L18" s="18" t="n">
        <v>6530.8</v>
      </c>
      <c r="M18" s="18" t="n">
        <v>5995.9</v>
      </c>
      <c r="N18" s="18" t="n">
        <v>10343.4</v>
      </c>
      <c r="O18" s="18" t="n">
        <v>10342.3</v>
      </c>
      <c r="P18" s="9" t="n"/>
      <c r="Q18" s="18" t="n">
        <v>11187.9</v>
      </c>
      <c r="R18" s="18" t="n">
        <v>15373.3</v>
      </c>
      <c r="S18" s="18" t="n">
        <v>20015</v>
      </c>
      <c r="T18" s="18" t="n">
        <v>20439.5</v>
      </c>
      <c r="U18" s="9" t="n"/>
      <c r="V18" s="18" t="n">
        <v>27253.4</v>
      </c>
      <c r="W18" s="18" t="n">
        <v>39749.2</v>
      </c>
      <c r="X18" s="18" t="n">
        <v>73127.7</v>
      </c>
      <c r="Y18" s="18" t="n">
        <v>87367.8</v>
      </c>
      <c r="Z18" s="9" t="n"/>
      <c r="AA18" s="18" t="n">
        <v>85481.39999999999</v>
      </c>
      <c r="AB18" s="19" t="n">
        <v>79344.3</v>
      </c>
      <c r="AC18" s="20" t="n">
        <v>54832.3</v>
      </c>
      <c r="AD18" s="20" t="n">
        <v>44525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0.370115858</v>
      </c>
      <c r="AD21" s="24" t="n">
        <v>0.370120506</v>
      </c>
      <c r="AE21" s="25" t="n"/>
      <c r="AF21" s="24" t="n">
        <v>0.37011582</v>
      </c>
      <c r="AG21" s="24" t="n">
        <v>0.370120265</v>
      </c>
      <c r="AH21" s="24" t="n">
        <v>0.185058901</v>
      </c>
      <c r="AI21" s="24" t="n">
        <v>0.185057547</v>
      </c>
      <c r="AJ21" s="25" t="n"/>
      <c r="AK21" s="24" t="n">
        <v>0.185062645</v>
      </c>
      <c r="AL21" s="24" t="n">
        <v>0.185058591</v>
      </c>
      <c r="AM21" s="24" t="n">
        <v>0.092528236</v>
      </c>
      <c r="AN21" s="24" t="n">
        <v>0.09252558399999999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$D$52</f>
        <v/>
      </c>
      <c r="AD22" s="26">
        <f>$D$52</f>
        <v/>
      </c>
      <c r="AE22" s="25">
        <f>IFERROR(subQ!AE8/subQ!AE5,"")</f>
        <v/>
      </c>
      <c r="AF22" s="26">
        <f>$D$52</f>
        <v/>
      </c>
      <c r="AG22" s="26">
        <f>$D$52</f>
        <v/>
      </c>
      <c r="AH22" s="26">
        <f>$D$52</f>
        <v/>
      </c>
      <c r="AI22" s="26">
        <f>$D$52</f>
        <v/>
      </c>
      <c r="AJ22" s="25">
        <f>IFERROR(subQ!AJ8/subQ!AJ5,"")</f>
        <v/>
      </c>
      <c r="AK22" s="26">
        <f>$D$52</f>
        <v/>
      </c>
      <c r="AL22" s="26">
        <f>$D$52</f>
        <v/>
      </c>
      <c r="AM22" s="26">
        <f>$D$52</f>
        <v/>
      </c>
      <c r="AN22" s="26">
        <f>$D$52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0.18090711</v>
      </c>
      <c r="AD23" s="24" t="n">
        <v>0.180907596</v>
      </c>
      <c r="AE23" s="25">
        <f>IFERROR(subQ!AE9/subQ!AE5,"")</f>
        <v/>
      </c>
      <c r="AF23" s="24" t="n">
        <v>0.180906391</v>
      </c>
      <c r="AG23" s="24" t="n">
        <v>0.180905668</v>
      </c>
      <c r="AH23" s="24" t="n">
        <v>0.180909881</v>
      </c>
      <c r="AI23" s="24" t="n">
        <v>0.180905499</v>
      </c>
      <c r="AJ23" s="25">
        <f>IFERROR(subQ!AJ9/subQ!AJ5,"")</f>
        <v/>
      </c>
      <c r="AK23" s="24" t="n">
        <v>0.180906981</v>
      </c>
      <c r="AL23" s="24" t="n">
        <v>0.180907011</v>
      </c>
      <c r="AM23" s="24" t="n">
        <v>0.180909349</v>
      </c>
      <c r="AN23" s="24" t="n">
        <v>0.180910292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$D$51</f>
        <v/>
      </c>
      <c r="AD28" s="26">
        <f>$D$51</f>
        <v/>
      </c>
      <c r="AE28" s="25">
        <f>IFERROR(subQ!AE18/subQ!AE17,"")</f>
        <v/>
      </c>
      <c r="AF28" s="26">
        <f>$D$51</f>
        <v/>
      </c>
      <c r="AG28" s="26">
        <f>$D$51</f>
        <v/>
      </c>
      <c r="AH28" s="26">
        <f>$D$51</f>
        <v/>
      </c>
      <c r="AI28" s="26">
        <f>$D$51</f>
        <v/>
      </c>
      <c r="AJ28" s="25">
        <f>IFERROR(subQ!AJ18/subQ!AJ17,"")</f>
        <v/>
      </c>
      <c r="AK28" s="26">
        <f>$D$51</f>
        <v/>
      </c>
      <c r="AL28" s="26">
        <f>$D$51</f>
        <v/>
      </c>
      <c r="AM28" s="26">
        <f>$D$51</f>
        <v/>
      </c>
      <c r="AN28" s="26">
        <f>$D$51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$D$53</f>
        <v/>
      </c>
      <c r="AD29" s="26">
        <f>$D$53</f>
        <v/>
      </c>
      <c r="AE29" s="25">
        <f>IFERROR(subQ!AE20/subQ!AE19,"")</f>
        <v/>
      </c>
      <c r="AF29" s="26">
        <f>$D$53</f>
        <v/>
      </c>
      <c r="AG29" s="26">
        <f>$D$53</f>
        <v/>
      </c>
      <c r="AH29" s="26">
        <f>$D$53</f>
        <v/>
      </c>
      <c r="AI29" s="26">
        <f>$D$53</f>
        <v/>
      </c>
      <c r="AJ29" s="25">
        <f>IFERROR(subQ!AJ20/subQ!AJ19,"")</f>
        <v/>
      </c>
      <c r="AK29" s="26">
        <f>$D$53</f>
        <v/>
      </c>
      <c r="AL29" s="26">
        <f>$D$53</f>
        <v/>
      </c>
      <c r="AM29" s="26">
        <f>$D$53</f>
        <v/>
      </c>
      <c r="AN29" s="26">
        <f>$D$53</f>
        <v/>
      </c>
      <c r="AO29" s="25">
        <f>IFERROR(subQ!AO20/subQ!AO19,"")</f>
        <v/>
      </c>
    </row>
    <row r="30">
      <c r="A30" s="12" t="inlineStr">
        <is>
          <t>drv:중단사업이익</t>
        </is>
      </c>
      <c r="B30" s="2" t="inlineStr">
        <is>
          <t>abs</t>
        </is>
      </c>
      <c r="C30" t="inlineStr">
        <is>
          <t>중단사업이익 (가정, 억원)</t>
        </is>
      </c>
      <c r="E30" s="27">
        <f>subQ!E21</f>
        <v/>
      </c>
      <c r="F30" s="28">
        <f>subQ!F21</f>
        <v/>
      </c>
      <c r="G30" s="27">
        <f>subQ!G21</f>
        <v/>
      </c>
      <c r="H30" s="27">
        <f>subQ!H21</f>
        <v/>
      </c>
      <c r="I30" s="27">
        <f>subQ!I21</f>
        <v/>
      </c>
      <c r="J30" s="27">
        <f>subQ!J21</f>
        <v/>
      </c>
      <c r="K30" s="28">
        <f>subQ!K21</f>
        <v/>
      </c>
      <c r="L30" s="27">
        <f>subQ!L21</f>
        <v/>
      </c>
      <c r="M30" s="27">
        <f>subQ!M21</f>
        <v/>
      </c>
      <c r="N30" s="27">
        <f>subQ!N21</f>
        <v/>
      </c>
      <c r="O30" s="27">
        <f>subQ!O21</f>
        <v/>
      </c>
      <c r="P30" s="28">
        <f>subQ!P21</f>
        <v/>
      </c>
      <c r="Q30" s="27">
        <f>subQ!Q21</f>
        <v/>
      </c>
      <c r="R30" s="27">
        <f>subQ!R21</f>
        <v/>
      </c>
      <c r="S30" s="27">
        <f>subQ!S21</f>
        <v/>
      </c>
      <c r="T30" s="27">
        <f>subQ!T21</f>
        <v/>
      </c>
      <c r="U30" s="28">
        <f>subQ!U21</f>
        <v/>
      </c>
      <c r="V30" s="27">
        <f>subQ!V21</f>
        <v/>
      </c>
      <c r="W30" s="27">
        <f>subQ!W21</f>
        <v/>
      </c>
      <c r="X30" s="27">
        <f>subQ!X21</f>
        <v/>
      </c>
      <c r="Y30" s="27">
        <f>subQ!Y21</f>
        <v/>
      </c>
      <c r="Z30" s="28">
        <f>subQ!Z21</f>
        <v/>
      </c>
      <c r="AA30" s="27">
        <f>subQ!AA21</f>
        <v/>
      </c>
      <c r="AB30" s="29">
        <f>subQ!AB21</f>
        <v/>
      </c>
      <c r="AC30" s="32" t="n"/>
      <c r="AD30" s="32" t="n"/>
      <c r="AE30" s="31">
        <f>subQ!AE21</f>
        <v/>
      </c>
      <c r="AF30" s="32" t="n"/>
      <c r="AG30" s="32" t="n"/>
      <c r="AH30" s="32" t="n"/>
      <c r="AI30" s="32" t="n"/>
      <c r="AJ30" s="31">
        <f>subQ!AJ21</f>
        <v/>
      </c>
      <c r="AK30" s="32" t="n"/>
      <c r="AL30" s="32" t="n"/>
      <c r="AM30" s="32" t="n"/>
      <c r="AN30" s="32" t="n"/>
      <c r="AO30" s="31">
        <f>subQ!AO21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2" t="n"/>
      <c r="G31" s="21">
        <f>IFERROR(subQ!G23/subQ!E23-1,"")</f>
        <v/>
      </c>
      <c r="H31" s="21">
        <f>IFERROR(subQ!H23/subQ!G23-1,"")</f>
        <v/>
      </c>
      <c r="I31" s="21">
        <f>IFERROR(subQ!I23/subQ!H23-1,"")</f>
        <v/>
      </c>
      <c r="J31" s="21">
        <f>IFERROR(subQ!J23/subQ!I23-1,"")</f>
        <v/>
      </c>
      <c r="K31" s="22" t="n"/>
      <c r="L31" s="21">
        <f>IFERROR(subQ!L23/subQ!J23-1,"")</f>
        <v/>
      </c>
      <c r="M31" s="21">
        <f>IFERROR(subQ!M23/subQ!L23-1,"")</f>
        <v/>
      </c>
      <c r="N31" s="21">
        <f>IFERROR(subQ!N23/subQ!M23-1,"")</f>
        <v/>
      </c>
      <c r="O31" s="21">
        <f>IFERROR(subQ!O23/subQ!N23-1,"")</f>
        <v/>
      </c>
      <c r="P31" s="22" t="n"/>
      <c r="Q31" s="21">
        <f>IFERROR(subQ!Q23/subQ!O23-1,"")</f>
        <v/>
      </c>
      <c r="R31" s="21">
        <f>IFERROR(subQ!R23/subQ!Q23-1,"")</f>
        <v/>
      </c>
      <c r="S31" s="21">
        <f>IFERROR(subQ!S23/subQ!R23-1,"")</f>
        <v/>
      </c>
      <c r="T31" s="21">
        <f>IFERROR(subQ!T23/subQ!S23-1,"")</f>
        <v/>
      </c>
      <c r="U31" s="22" t="n"/>
      <c r="V31" s="21">
        <f>IFERROR(subQ!V23/subQ!T23-1,"")</f>
        <v/>
      </c>
      <c r="W31" s="21">
        <f>IFERROR(subQ!W23/subQ!V23-1,"")</f>
        <v/>
      </c>
      <c r="X31" s="21">
        <f>IFERROR(subQ!X23/subQ!W23-1,"")</f>
        <v/>
      </c>
      <c r="Y31" s="21">
        <f>IFERROR(subQ!Y23/subQ!X23-1,"")</f>
        <v/>
      </c>
      <c r="Z31" s="22" t="n"/>
      <c r="AA31" s="21">
        <f>IFERROR(subQ!AA23/subQ!Y23-1,"")</f>
        <v/>
      </c>
      <c r="AB31" s="23">
        <f>IFERROR(subQ!AB23/subQ!AA23-1,"")</f>
        <v/>
      </c>
      <c r="AC31" s="24" t="n">
        <v>-7.31e-07</v>
      </c>
      <c r="AD31" s="24" t="n">
        <v>0</v>
      </c>
      <c r="AE31" s="25" t="n"/>
      <c r="AF31" s="24" t="n">
        <v>0</v>
      </c>
      <c r="AG31" s="24" t="n">
        <v>0</v>
      </c>
      <c r="AH31" s="24" t="n">
        <v>0</v>
      </c>
      <c r="AI31" s="24" t="n">
        <v>0</v>
      </c>
      <c r="AJ31" s="25" t="n"/>
      <c r="AK31" s="24" t="n">
        <v>0</v>
      </c>
      <c r="AL31" s="24" t="n">
        <v>0</v>
      </c>
      <c r="AM31" s="24" t="n">
        <v>0</v>
      </c>
      <c r="AN31" s="24" t="n">
        <v>0</v>
      </c>
      <c r="AO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8" t="n"/>
      <c r="G32" s="27">
        <f>IFERROR(subQ!E24+subQ!G19-subQ!G24,"")</f>
        <v/>
      </c>
      <c r="H32" s="27">
        <f>IFERROR(subQ!G24+subQ!H19-subQ!H24,"")</f>
        <v/>
      </c>
      <c r="I32" s="27">
        <f>IFERROR(subQ!H24+subQ!I19-subQ!I24,"")</f>
        <v/>
      </c>
      <c r="J32" s="27">
        <f>IFERROR(subQ!I24+subQ!J19-subQ!J24,"")</f>
        <v/>
      </c>
      <c r="K32" s="28" t="n"/>
      <c r="L32" s="27">
        <f>IFERROR(subQ!J24+subQ!L19-subQ!L24,"")</f>
        <v/>
      </c>
      <c r="M32" s="27">
        <f>IFERROR(subQ!L24+subQ!M19-subQ!M24,"")</f>
        <v/>
      </c>
      <c r="N32" s="27">
        <f>IFERROR(subQ!M24+subQ!N19-subQ!N24,"")</f>
        <v/>
      </c>
      <c r="O32" s="27">
        <f>IFERROR(subQ!N24+subQ!O19-subQ!O24,"")</f>
        <v/>
      </c>
      <c r="P32" s="28" t="n"/>
      <c r="Q32" s="27">
        <f>IFERROR(subQ!O24+subQ!Q19-subQ!Q24,"")</f>
        <v/>
      </c>
      <c r="R32" s="27">
        <f>IFERROR(subQ!Q24+subQ!R19-subQ!R24,"")</f>
        <v/>
      </c>
      <c r="S32" s="27">
        <f>IFERROR(subQ!R24+subQ!S19-subQ!S24,"")</f>
        <v/>
      </c>
      <c r="T32" s="27">
        <f>IFERROR(subQ!S24+subQ!T19-subQ!T24,"")</f>
        <v/>
      </c>
      <c r="U32" s="28" t="n"/>
      <c r="V32" s="27">
        <f>IFERROR(subQ!T24+subQ!V19-subQ!V24,"")</f>
        <v/>
      </c>
      <c r="W32" s="27">
        <f>IFERROR(subQ!V24+subQ!W19-subQ!W24,"")</f>
        <v/>
      </c>
      <c r="X32" s="27">
        <f>IFERROR(subQ!W24+subQ!X19-subQ!X24,"")</f>
        <v/>
      </c>
      <c r="Y32" s="27">
        <f>IFERROR(subQ!X24+subQ!Y19-subQ!Y24,"")</f>
        <v/>
      </c>
      <c r="Z32" s="28" t="n"/>
      <c r="AA32" s="27">
        <f>IFERROR(subQ!Y24+subQ!AA19-subQ!AA24,"")</f>
        <v/>
      </c>
      <c r="AB32" s="29">
        <f>IFERROR(subQ!AA24+subQ!AB19-subQ!AB24,"")</f>
        <v/>
      </c>
      <c r="AC32" s="30" t="n">
        <v>-0.004569675</v>
      </c>
      <c r="AD32" s="30" t="n">
        <v>0.004805506</v>
      </c>
      <c r="AE32" s="31" t="n"/>
      <c r="AF32" s="30" t="n">
        <v>-0.005078311</v>
      </c>
      <c r="AG32" s="30" t="n">
        <v>0.003924464</v>
      </c>
      <c r="AH32" s="30" t="n">
        <v>0.001262704</v>
      </c>
      <c r="AI32" s="30" t="n">
        <v>-0.004020417</v>
      </c>
      <c r="AJ32" s="31" t="n"/>
      <c r="AK32" s="30" t="n">
        <v>-0.000669049</v>
      </c>
      <c r="AL32" s="30" t="n">
        <v>0.002140816</v>
      </c>
      <c r="AM32" s="30" t="n">
        <v>0.002115417</v>
      </c>
      <c r="AN32" s="30" t="n">
        <v>0.006296367</v>
      </c>
      <c r="AO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8" t="n"/>
      <c r="G33" s="27">
        <f>IFERROR(subQ!E25+subQ!G20-subQ!G25,"")</f>
        <v/>
      </c>
      <c r="H33" s="27">
        <f>IFERROR(subQ!G25+subQ!H20-subQ!H25,"")</f>
        <v/>
      </c>
      <c r="I33" s="27">
        <f>IFERROR(subQ!H25+subQ!I20-subQ!I25,"")</f>
        <v/>
      </c>
      <c r="J33" s="27">
        <f>IFERROR(subQ!I25+subQ!J20-subQ!J25,"")</f>
        <v/>
      </c>
      <c r="K33" s="28" t="n"/>
      <c r="L33" s="27">
        <f>IFERROR(subQ!J25+subQ!L20-subQ!L25,"")</f>
        <v/>
      </c>
      <c r="M33" s="27">
        <f>IFERROR(subQ!L25+subQ!M20-subQ!M25,"")</f>
        <v/>
      </c>
      <c r="N33" s="27">
        <f>IFERROR(subQ!M25+subQ!N20-subQ!N25,"")</f>
        <v/>
      </c>
      <c r="O33" s="27">
        <f>IFERROR(subQ!N25+subQ!O20-subQ!O25,"")</f>
        <v/>
      </c>
      <c r="P33" s="28" t="n"/>
      <c r="Q33" s="27">
        <f>IFERROR(subQ!O25+subQ!Q20-subQ!Q25,"")</f>
        <v/>
      </c>
      <c r="R33" s="27">
        <f>IFERROR(subQ!Q25+subQ!R20-subQ!R25,"")</f>
        <v/>
      </c>
      <c r="S33" s="27">
        <f>IFERROR(subQ!R25+subQ!S20-subQ!S25,"")</f>
        <v/>
      </c>
      <c r="T33" s="27">
        <f>IFERROR(subQ!S25+subQ!T20-subQ!T25,"")</f>
        <v/>
      </c>
      <c r="U33" s="28" t="n"/>
      <c r="V33" s="27">
        <f>IFERROR(subQ!T25+subQ!V20-subQ!V25,"")</f>
        <v/>
      </c>
      <c r="W33" s="27">
        <f>IFERROR(subQ!V25+subQ!W20-subQ!W25,"")</f>
        <v/>
      </c>
      <c r="X33" s="27">
        <f>IFERROR(subQ!W25+subQ!X20-subQ!X25,"")</f>
        <v/>
      </c>
      <c r="Y33" s="27">
        <f>IFERROR(subQ!X25+subQ!Y20-subQ!Y25,"")</f>
        <v/>
      </c>
      <c r="Z33" s="28" t="n"/>
      <c r="AA33" s="27">
        <f>IFERROR(subQ!Y25+subQ!AA20-subQ!AA25,"")</f>
        <v/>
      </c>
      <c r="AB33" s="29">
        <f>IFERROR(subQ!AA25+subQ!AB20-subQ!AB25,"")</f>
        <v/>
      </c>
      <c r="AC33" s="30" t="n">
        <v>-0.004569675</v>
      </c>
      <c r="AD33" s="30" t="n">
        <v>0.004805506</v>
      </c>
      <c r="AE33" s="31" t="n"/>
      <c r="AF33" s="30" t="n">
        <v>-0.005078311</v>
      </c>
      <c r="AG33" s="30" t="n">
        <v>0.003924464</v>
      </c>
      <c r="AH33" s="30" t="n">
        <v>0.001262704</v>
      </c>
      <c r="AI33" s="30" t="n">
        <v>-0.004020417</v>
      </c>
      <c r="AJ33" s="31" t="n"/>
      <c r="AK33" s="30" t="n">
        <v>-0.000669049</v>
      </c>
      <c r="AL33" s="30" t="n">
        <v>0.002140816</v>
      </c>
      <c r="AM33" s="30" t="n">
        <v>0.002115417</v>
      </c>
      <c r="AN33" s="30" t="n">
        <v>0.006296367</v>
      </c>
      <c r="AO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24" t="n">
        <v>-1.3818e-05</v>
      </c>
      <c r="AD34" s="24" t="n">
        <v>0</v>
      </c>
      <c r="AE34" s="25" t="n"/>
      <c r="AF34" s="24" t="n">
        <v>0</v>
      </c>
      <c r="AG34" s="24" t="n">
        <v>0</v>
      </c>
      <c r="AH34" s="24" t="n">
        <v>0</v>
      </c>
      <c r="AI34" s="24" t="n">
        <v>0</v>
      </c>
      <c r="AJ34" s="25" t="n"/>
      <c r="AK34" s="24" t="n">
        <v>0</v>
      </c>
      <c r="AL34" s="24" t="n">
        <v>0</v>
      </c>
      <c r="AM34" s="24" t="n">
        <v>0</v>
      </c>
      <c r="AN34" s="24" t="n">
        <v>0</v>
      </c>
      <c r="AO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0.09504897299999999</v>
      </c>
      <c r="AD35" s="24" t="n">
        <v>0.08907844099999999</v>
      </c>
      <c r="AE35" s="25" t="n"/>
      <c r="AF35" s="24" t="n">
        <v>0.096897184</v>
      </c>
      <c r="AG35" s="24" t="n">
        <v>0.086339452</v>
      </c>
      <c r="AH35" s="24" t="n">
        <v>0.08108996</v>
      </c>
      <c r="AI35" s="24" t="n">
        <v>0.07695073299999999</v>
      </c>
      <c r="AJ35" s="25" t="n"/>
      <c r="AK35" s="24" t="n">
        <v>0.084376565</v>
      </c>
      <c r="AL35" s="24" t="n">
        <v>0.076099585</v>
      </c>
      <c r="AM35" s="24" t="n">
        <v>0.06749609199999999</v>
      </c>
      <c r="AN35" s="24" t="n">
        <v>0.064836409</v>
      </c>
      <c r="AO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0.08312151700000001</v>
      </c>
      <c r="AD36" s="24" t="n">
        <v>0.07875428700000001</v>
      </c>
      <c r="AE36" s="25" t="n"/>
      <c r="AF36" s="24" t="n">
        <v>0.086492086</v>
      </c>
      <c r="AG36" s="24" t="n">
        <v>0.077801659</v>
      </c>
      <c r="AH36" s="24" t="n">
        <v>0.073652248</v>
      </c>
      <c r="AI36" s="24" t="n">
        <v>0.070376858</v>
      </c>
      <c r="AJ36" s="25" t="n"/>
      <c r="AK36" s="24" t="n">
        <v>0.077642244</v>
      </c>
      <c r="AL36" s="24" t="n">
        <v>0.070463473</v>
      </c>
      <c r="AM36" s="24" t="n">
        <v>0.062826229</v>
      </c>
      <c r="AN36" s="24" t="n">
        <v>0.060617223</v>
      </c>
      <c r="AO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33" t="n"/>
      <c r="AD37" s="33" t="n"/>
      <c r="AE37" s="25" t="n"/>
      <c r="AF37" s="33" t="n"/>
      <c r="AG37" s="33" t="n"/>
      <c r="AH37" s="33" t="n"/>
      <c r="AI37" s="33" t="n"/>
      <c r="AJ37" s="25" t="n"/>
      <c r="AK37" s="33" t="n"/>
      <c r="AL37" s="33" t="n"/>
      <c r="AM37" s="33" t="n"/>
      <c r="AN37" s="33" t="n"/>
      <c r="AO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24" t="n">
        <v>1.64070868</v>
      </c>
      <c r="AD38" s="24" t="n">
        <v>-0.270482778</v>
      </c>
      <c r="AE38" s="25" t="n"/>
      <c r="AF38" s="24" t="n">
        <v>0.539131032</v>
      </c>
      <c r="AG38" s="24" t="n">
        <v>-0.259318743</v>
      </c>
      <c r="AH38" s="24" t="n">
        <v>0</v>
      </c>
      <c r="AI38" s="24" t="n">
        <v>0</v>
      </c>
      <c r="AJ38" s="25" t="n"/>
      <c r="AK38" s="24" t="n">
        <v>0</v>
      </c>
      <c r="AL38" s="24" t="n">
        <v>0</v>
      </c>
      <c r="AM38" s="24" t="n">
        <v>0</v>
      </c>
      <c r="AN38" s="24" t="n">
        <v>0</v>
      </c>
      <c r="AO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33" t="n"/>
      <c r="AD39" s="33" t="n"/>
      <c r="AE39" s="25" t="n"/>
      <c r="AF39" s="33" t="n"/>
      <c r="AG39" s="33" t="n"/>
      <c r="AH39" s="33" t="n"/>
      <c r="AI39" s="33" t="n"/>
      <c r="AJ39" s="25" t="n"/>
      <c r="AK39" s="33" t="n"/>
      <c r="AL39" s="33" t="n"/>
      <c r="AM39" s="33" t="n"/>
      <c r="AN39" s="33" t="n"/>
      <c r="AO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2" t="n"/>
      <c r="G40" s="21">
        <f>IFERROR(subQ!G32/subQ!E32-1,"")</f>
        <v/>
      </c>
      <c r="H40" s="21">
        <f>IFERROR(subQ!H32/subQ!G32-1,"")</f>
        <v/>
      </c>
      <c r="I40" s="21">
        <f>IFERROR(subQ!I32/subQ!H32-1,"")</f>
        <v/>
      </c>
      <c r="J40" s="21">
        <f>IFERROR(subQ!J32/subQ!I32-1,"")</f>
        <v/>
      </c>
      <c r="K40" s="22" t="n"/>
      <c r="L40" s="21">
        <f>IFERROR(subQ!L32/subQ!J32-1,"")</f>
        <v/>
      </c>
      <c r="M40" s="21">
        <f>IFERROR(subQ!M32/subQ!L32-1,"")</f>
        <v/>
      </c>
      <c r="N40" s="21">
        <f>IFERROR(subQ!N32/subQ!M32-1,"")</f>
        <v/>
      </c>
      <c r="O40" s="21">
        <f>IFERROR(subQ!O32/subQ!N32-1,"")</f>
        <v/>
      </c>
      <c r="P40" s="22" t="n"/>
      <c r="Q40" s="21">
        <f>IFERROR(subQ!Q32/subQ!O32-1,"")</f>
        <v/>
      </c>
      <c r="R40" s="21">
        <f>IFERROR(subQ!R32/subQ!Q32-1,"")</f>
        <v/>
      </c>
      <c r="S40" s="21">
        <f>IFERROR(subQ!S32/subQ!R32-1,"")</f>
        <v/>
      </c>
      <c r="T40" s="21">
        <f>IFERROR(subQ!T32/subQ!S32-1,"")</f>
        <v/>
      </c>
      <c r="U40" s="22" t="n"/>
      <c r="V40" s="21">
        <f>IFERROR(subQ!V32/subQ!T32-1,"")</f>
        <v/>
      </c>
      <c r="W40" s="21">
        <f>IFERROR(subQ!W32/subQ!V32-1,"")</f>
        <v/>
      </c>
      <c r="X40" s="21">
        <f>IFERROR(subQ!X32/subQ!W32-1,"")</f>
        <v/>
      </c>
      <c r="Y40" s="21">
        <f>IFERROR(subQ!Y32/subQ!X32-1,"")</f>
        <v/>
      </c>
      <c r="Z40" s="22" t="n"/>
      <c r="AA40" s="21">
        <f>IFERROR(subQ!AA32/subQ!Y32-1,"")</f>
        <v/>
      </c>
      <c r="AB40" s="23">
        <f>IFERROR(subQ!AB32/subQ!AA32-1,"")</f>
        <v/>
      </c>
      <c r="AC40" s="24" t="n">
        <v>0</v>
      </c>
      <c r="AD40" s="24" t="n">
        <v>0</v>
      </c>
      <c r="AE40" s="25" t="n"/>
      <c r="AF40" s="24" t="n">
        <v>0</v>
      </c>
      <c r="AG40" s="24" t="n">
        <v>0</v>
      </c>
      <c r="AH40" s="24" t="n">
        <v>0</v>
      </c>
      <c r="AI40" s="24" t="n">
        <v>0</v>
      </c>
      <c r="AJ40" s="25" t="n"/>
      <c r="AK40" s="24" t="n">
        <v>0</v>
      </c>
      <c r="AL40" s="24" t="n">
        <v>0</v>
      </c>
      <c r="AM40" s="24" t="n">
        <v>0</v>
      </c>
      <c r="AN40" s="24" t="n">
        <v>0</v>
      </c>
      <c r="AO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subQ!E36</f>
        <v/>
      </c>
      <c r="F41" s="28">
        <f>subQ!F36</f>
        <v/>
      </c>
      <c r="G41" s="27">
        <f>subQ!G36</f>
        <v/>
      </c>
      <c r="H41" s="27">
        <f>subQ!H36</f>
        <v/>
      </c>
      <c r="I41" s="27">
        <f>subQ!I36</f>
        <v/>
      </c>
      <c r="J41" s="27">
        <f>subQ!J36</f>
        <v/>
      </c>
      <c r="K41" s="28">
        <f>subQ!K36</f>
        <v/>
      </c>
      <c r="L41" s="27">
        <f>subQ!L36</f>
        <v/>
      </c>
      <c r="M41" s="27">
        <f>subQ!M36</f>
        <v/>
      </c>
      <c r="N41" s="27">
        <f>subQ!N36</f>
        <v/>
      </c>
      <c r="O41" s="27">
        <f>subQ!O36</f>
        <v/>
      </c>
      <c r="P41" s="28">
        <f>subQ!P36</f>
        <v/>
      </c>
      <c r="Q41" s="27">
        <f>subQ!Q36</f>
        <v/>
      </c>
      <c r="R41" s="27">
        <f>subQ!R36</f>
        <v/>
      </c>
      <c r="S41" s="27">
        <f>subQ!S36</f>
        <v/>
      </c>
      <c r="T41" s="27">
        <f>subQ!T36</f>
        <v/>
      </c>
      <c r="U41" s="28">
        <f>subQ!U36</f>
        <v/>
      </c>
      <c r="V41" s="27">
        <f>subQ!V36</f>
        <v/>
      </c>
      <c r="W41" s="27">
        <f>subQ!W36</f>
        <v/>
      </c>
      <c r="X41" s="27">
        <f>subQ!X36</f>
        <v/>
      </c>
      <c r="Y41" s="27">
        <f>subQ!Y36</f>
        <v/>
      </c>
      <c r="Z41" s="28">
        <f>subQ!Z36</f>
        <v/>
      </c>
      <c r="AA41" s="27">
        <f>subQ!AA36</f>
        <v/>
      </c>
      <c r="AB41" s="29">
        <f>subQ!AB36</f>
        <v/>
      </c>
      <c r="AC41" s="32" t="n"/>
      <c r="AD41" s="30" t="n">
        <v>0</v>
      </c>
      <c r="AE41" s="31">
        <f>subQ!AE36</f>
        <v/>
      </c>
      <c r="AF41" s="32" t="n"/>
      <c r="AG41" s="32" t="n"/>
      <c r="AH41" s="32" t="n"/>
      <c r="AI41" s="30" t="n">
        <v>0</v>
      </c>
      <c r="AJ41" s="31">
        <f>subQ!AJ36</f>
        <v/>
      </c>
      <c r="AK41" s="32" t="n"/>
      <c r="AL41" s="32" t="n"/>
      <c r="AM41" s="32" t="n"/>
      <c r="AN41" s="30" t="n">
        <v>0</v>
      </c>
      <c r="AO41" s="31">
        <f>subQ!AO36</f>
        <v/>
      </c>
    </row>
    <row r="42"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42900</v>
      </c>
      <c r="E44" s="2" t="inlineStr">
        <is>
          <t>원 — 네이버 정규장 종가(aik 확정종가 대조 · aik 40,550원)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20261014</t>
        </is>
      </c>
      <c r="E45" s="2" t="inlineStr">
        <is>
          <t>종가 기준일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9.300000000000001</v>
      </c>
      <c r="E47" s="2" t="inlineStr">
        <is>
          <t>PER 밴드 하단(배) — hist_quarterly(분기 평균가 ÷ TTM EPS, 16분기, 25/50/75 백분위)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11.2</v>
      </c>
      <c r="E48" s="2" t="inlineStr">
        <is>
          <t>PER 밴드 중단(배)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16.2</v>
      </c>
      <c r="E49" s="2" t="inlineStr">
        <is>
          <t>PER 밴드 상단(배)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0.08049720499330666</v>
      </c>
      <c r="E51" s="2" t="inlineStr">
        <is>
          <t>연결 — 법인세 = MAX(세전,0) × 세율(역산, 재현 오차 ≤ 0.05억 · 모델 assumptions 0.0805) · 최근 12분기 유효세율 -22.1% 가 5~27% 밖 → 클립 대신 최근 8분기 중 세전 &gt; 0 인 7분기(2024Q3~2026Q2)의 법인세/세전 중위 8.0%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0.05928745488891243</v>
      </c>
      <c r="E52" s="2" t="inlineStr">
        <is>
          <t>연결 — 판관비 = 매출액 × 판관비율(역산, 재현 오차 ≤ 0.05억 · 모델 assumptions 0.0593)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0.05214443690966394</v>
      </c>
      <c r="E54" s="2" t="inlineStr">
        <is>
          <t>연결 — 이자손익 = (전분기 이자발생자산 × 자산이자율 − 전분기 총차입금 × 부채이자율)/4(역산, 재현 오차 ≤ 0.05억 · 모델 assumptions 0.0521)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0.01681726185905281</v>
      </c>
      <c r="E55" s="2" t="inlineStr">
        <is>
          <t>연결 — 같은 수식의 부채 쪽(총차입금 행이 없으면 0)(역산, 재현 오차 ≤ 0.05억 · 모델 assumptions 0.0168)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>
        <v>0</v>
      </c>
      <c r="E56" s="2" t="inlineStr">
        <is>
          <t>배당성향(참고 — 모델은 직전 DPS 유지·Q2 지급 가정)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HD현대마린엔진(연)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182389.81</v>
      </c>
      <c r="F5" s="37" t="n">
        <v>182389.81</v>
      </c>
      <c r="G5" s="18" t="n">
        <v>156554.02</v>
      </c>
      <c r="H5" s="18" t="n">
        <v>191956.16</v>
      </c>
      <c r="I5" s="18" t="n">
        <v>202284.73</v>
      </c>
      <c r="J5" s="18" t="n">
        <v>165093.77</v>
      </c>
      <c r="K5" s="37" t="n">
        <v>165093.77</v>
      </c>
      <c r="L5" s="18" t="n">
        <v>178689.96</v>
      </c>
      <c r="M5" s="18" t="n">
        <v>184298.51</v>
      </c>
      <c r="N5" s="18" t="n">
        <v>174809.62</v>
      </c>
      <c r="O5" s="18" t="n">
        <v>196470.09</v>
      </c>
      <c r="P5" s="37" t="n">
        <v>196470.09</v>
      </c>
      <c r="Q5" s="18" t="n">
        <v>209563.45</v>
      </c>
      <c r="R5" s="18" t="n">
        <v>215608.92</v>
      </c>
      <c r="S5" s="18" t="n">
        <v>167804.41</v>
      </c>
      <c r="T5" s="18" t="n">
        <v>293886.55</v>
      </c>
      <c r="U5" s="37" t="n">
        <v>293886.55</v>
      </c>
      <c r="V5" s="18" t="n">
        <v>322848.21</v>
      </c>
      <c r="W5" s="18" t="n">
        <v>369410.1</v>
      </c>
      <c r="X5" s="18" t="n">
        <v>459245.34</v>
      </c>
      <c r="Y5" s="18" t="n">
        <v>516174.83</v>
      </c>
      <c r="Z5" s="37" t="n">
        <v>516174.83</v>
      </c>
      <c r="AA5" s="18" t="n">
        <v>574040.46</v>
      </c>
      <c r="AB5" s="19" t="n">
        <v>686228.8100000001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61113.8</v>
      </c>
      <c r="F6" s="37" t="n">
        <v>61113.8</v>
      </c>
      <c r="G6" s="18" t="n">
        <v>31964.13</v>
      </c>
      <c r="H6" s="18" t="n">
        <v>25612.26</v>
      </c>
      <c r="I6" s="18" t="n">
        <v>67222.28</v>
      </c>
      <c r="J6" s="18" t="n">
        <v>29656.42</v>
      </c>
      <c r="K6" s="37" t="n">
        <v>29656.42</v>
      </c>
      <c r="L6" s="18" t="n">
        <v>28092.68</v>
      </c>
      <c r="M6" s="18" t="n">
        <v>18959.69</v>
      </c>
      <c r="N6" s="18" t="n">
        <v>22866.94</v>
      </c>
      <c r="O6" s="18" t="n">
        <v>33895.6</v>
      </c>
      <c r="P6" s="37" t="n">
        <v>33895.6</v>
      </c>
      <c r="Q6" s="18" t="n">
        <v>27557.44</v>
      </c>
      <c r="R6" s="18" t="n">
        <v>46514.83</v>
      </c>
      <c r="S6" s="18" t="n">
        <v>14235.35</v>
      </c>
      <c r="T6" s="18" t="n">
        <v>59756.97</v>
      </c>
      <c r="U6" s="37" t="n">
        <v>59756.97</v>
      </c>
      <c r="V6" s="18" t="n">
        <v>89412.35000000001</v>
      </c>
      <c r="W6" s="18" t="n">
        <v>130897.67</v>
      </c>
      <c r="X6" s="18" t="n">
        <v>92859.86</v>
      </c>
      <c r="Y6" s="18" t="n">
        <v>94276.23</v>
      </c>
      <c r="Z6" s="37" t="n">
        <v>94276.23</v>
      </c>
      <c r="AA6" s="18" t="n">
        <v>195715.11</v>
      </c>
      <c r="AB6" s="19" t="n">
        <v>340339.76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10790.22</v>
      </c>
      <c r="F7" s="37" t="n">
        <v>10790.22</v>
      </c>
      <c r="G7" s="18" t="n">
        <v>15709.05</v>
      </c>
      <c r="H7" s="18" t="n">
        <v>17629.34</v>
      </c>
      <c r="I7" s="18" t="n">
        <v>15356.94</v>
      </c>
      <c r="J7" s="18" t="n">
        <v>23046.32</v>
      </c>
      <c r="K7" s="37" t="n">
        <v>23046.32</v>
      </c>
      <c r="P7" s="9" t="n"/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21979.81</v>
      </c>
      <c r="F8" s="37" t="n">
        <v>21979.81</v>
      </c>
      <c r="G8" s="18" t="n">
        <v>19801.05</v>
      </c>
      <c r="H8" s="18" t="n">
        <v>29384.38</v>
      </c>
      <c r="I8" s="18" t="n">
        <v>26082.5</v>
      </c>
      <c r="J8" s="18" t="n">
        <v>39506.91</v>
      </c>
      <c r="K8" s="37" t="n">
        <v>39506.91</v>
      </c>
      <c r="L8" s="18" t="n">
        <v>18772.5</v>
      </c>
      <c r="M8" s="18" t="n">
        <v>41638.26</v>
      </c>
      <c r="N8" s="18" t="n">
        <v>40453.39</v>
      </c>
      <c r="O8" s="18" t="n">
        <v>39245.01</v>
      </c>
      <c r="P8" s="37" t="n">
        <v>39245.01</v>
      </c>
      <c r="Q8" s="18" t="n">
        <v>44744.53</v>
      </c>
      <c r="R8" s="18" t="n">
        <v>27962.77</v>
      </c>
      <c r="S8" s="18" t="n">
        <v>32242.38</v>
      </c>
      <c r="T8" s="18" t="n">
        <v>28856.03</v>
      </c>
      <c r="U8" s="37" t="n">
        <v>28856.03</v>
      </c>
      <c r="V8" s="18" t="n">
        <v>33886.48</v>
      </c>
      <c r="W8" s="18" t="n">
        <v>46372.31</v>
      </c>
      <c r="X8" s="18" t="n">
        <v>114540.65</v>
      </c>
      <c r="Y8" s="18" t="n">
        <v>54411.09</v>
      </c>
      <c r="Z8" s="37" t="n">
        <v>54411.09</v>
      </c>
      <c r="AA8" s="18" t="n">
        <v>62731.56</v>
      </c>
      <c r="AB8" s="19" t="n">
        <v>72404.82000000001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재고자산</t>
        </is>
      </c>
      <c r="E9" s="18" t="n">
        <v>52868.82</v>
      </c>
      <c r="F9" s="37" t="n">
        <v>52868.82</v>
      </c>
      <c r="G9" s="18" t="n">
        <v>82111.12</v>
      </c>
      <c r="H9" s="18" t="n">
        <v>80234.21000000001</v>
      </c>
      <c r="I9" s="18" t="n">
        <v>87147.5</v>
      </c>
      <c r="J9" s="18" t="n">
        <v>70980.97</v>
      </c>
      <c r="K9" s="37" t="n">
        <v>70980.97</v>
      </c>
      <c r="L9" s="18" t="n">
        <v>103725.06</v>
      </c>
      <c r="M9" s="18" t="n">
        <v>97601.57000000001</v>
      </c>
      <c r="N9" s="18" t="n">
        <v>94321.63</v>
      </c>
      <c r="O9" s="18" t="n">
        <v>89074.96000000001</v>
      </c>
      <c r="P9" s="37" t="n">
        <v>89074.96000000001</v>
      </c>
      <c r="Q9" s="18" t="n">
        <v>96008.91</v>
      </c>
      <c r="R9" s="18" t="n">
        <v>88407.31</v>
      </c>
      <c r="S9" s="18" t="n">
        <v>85400.87</v>
      </c>
      <c r="T9" s="18" t="n">
        <v>86701.38</v>
      </c>
      <c r="U9" s="37" t="n">
        <v>86701.38</v>
      </c>
      <c r="V9" s="18" t="n">
        <v>90177.14</v>
      </c>
      <c r="W9" s="18" t="n">
        <v>92531.81</v>
      </c>
      <c r="X9" s="18" t="n">
        <v>95291.5</v>
      </c>
      <c r="Y9" s="18" t="n">
        <v>116969.83</v>
      </c>
      <c r="Z9" s="37" t="n">
        <v>116969.83</v>
      </c>
      <c r="AA9" s="18" t="n">
        <v>137488.25</v>
      </c>
      <c r="AB9" s="19" t="n">
        <v>179507.75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선급금</t>
        </is>
      </c>
      <c r="E10" s="18" t="n">
        <v>5067.21</v>
      </c>
      <c r="F10" s="37" t="n">
        <v>5067.21</v>
      </c>
      <c r="G10" s="18" t="n">
        <v>5629.58</v>
      </c>
      <c r="H10" s="18" t="n">
        <v>4689.48</v>
      </c>
      <c r="I10" s="18" t="n">
        <v>5894.87</v>
      </c>
      <c r="J10" s="18" t="n">
        <v>1259.78</v>
      </c>
      <c r="K10" s="37" t="n">
        <v>1259.78</v>
      </c>
      <c r="P10" s="9" t="n"/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선급금등</t>
        </is>
      </c>
      <c r="E11" s="18" t="n">
        <v>5067.21</v>
      </c>
      <c r="F11" s="37" t="n">
        <v>5067.21</v>
      </c>
      <c r="G11" s="18" t="n">
        <v>5629.58</v>
      </c>
      <c r="H11" s="18" t="n">
        <v>4689.48</v>
      </c>
      <c r="I11" s="18" t="n">
        <v>5894.87</v>
      </c>
      <c r="J11" s="18" t="n">
        <v>1259.78</v>
      </c>
      <c r="K11" s="37" t="n">
        <v>1259.78</v>
      </c>
      <c r="P11" s="9" t="n"/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5353.33</v>
      </c>
      <c r="F12" s="37" t="n">
        <v>5353.33</v>
      </c>
      <c r="G12" s="18" t="n">
        <v>5739.84</v>
      </c>
      <c r="H12" s="18" t="n">
        <v>5260.7</v>
      </c>
      <c r="I12" s="18" t="n">
        <v>6392.85</v>
      </c>
      <c r="J12" s="18" t="n">
        <v>1712.47</v>
      </c>
      <c r="K12" s="37" t="n">
        <v>1712.47</v>
      </c>
      <c r="L12" s="18" t="n">
        <v>2845.76</v>
      </c>
      <c r="M12" s="18" t="n">
        <v>3105.99</v>
      </c>
      <c r="N12" s="18" t="n">
        <v>2788.31</v>
      </c>
      <c r="O12" s="18" t="n">
        <v>925.75</v>
      </c>
      <c r="P12" s="37" t="n">
        <v>925.75</v>
      </c>
      <c r="Q12" s="18" t="n">
        <v>2179.26</v>
      </c>
      <c r="R12" s="18" t="n">
        <v>2657.37</v>
      </c>
      <c r="S12" s="18" t="n">
        <v>2873.97</v>
      </c>
      <c r="T12" s="18" t="n">
        <v>1142.16</v>
      </c>
      <c r="U12" s="37" t="n">
        <v>1142.16</v>
      </c>
      <c r="V12" s="18" t="n">
        <v>2217.64</v>
      </c>
      <c r="W12" s="18" t="n">
        <v>2288.84</v>
      </c>
      <c r="X12" s="18" t="n">
        <v>2424.81</v>
      </c>
      <c r="Y12" s="18" t="n">
        <v>2834.38</v>
      </c>
      <c r="Z12" s="37" t="n">
        <v>2834.38</v>
      </c>
      <c r="AA12" s="18" t="n">
        <v>3105.54</v>
      </c>
      <c r="AB12" s="19" t="n">
        <v>3975.26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당기법인세자산(선급법인세)</t>
        </is>
      </c>
      <c r="E13" s="18" t="n">
        <v>43.66</v>
      </c>
      <c r="F13" s="37" t="n">
        <v>43.66</v>
      </c>
      <c r="G13" s="18" t="n">
        <v>16.59</v>
      </c>
      <c r="H13" s="18" t="n">
        <v>28.92</v>
      </c>
      <c r="I13" s="18" t="n">
        <v>57.98</v>
      </c>
      <c r="J13" s="18" t="n">
        <v>78.68000000000001</v>
      </c>
      <c r="K13" s="37" t="n">
        <v>78.68000000000001</v>
      </c>
      <c r="P13" s="9" t="n"/>
      <c r="T13" s="18" t="n">
        <v>538.77</v>
      </c>
      <c r="U13" s="37" t="n">
        <v>538.77</v>
      </c>
      <c r="V13" s="18" t="n">
        <v>557.25</v>
      </c>
      <c r="W13" s="18" t="n">
        <v>11.03</v>
      </c>
      <c r="X13" s="18" t="n">
        <v>830.37</v>
      </c>
      <c r="Y13" s="18" t="n">
        <v>680.03</v>
      </c>
      <c r="Z13" s="37" t="n">
        <v>680.03</v>
      </c>
      <c r="AA13" s="18" t="n">
        <v>0</v>
      </c>
      <c r="AB13" s="19" t="n">
        <v>0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유동파생상품자산</t>
        </is>
      </c>
      <c r="E14" s="18" t="n">
        <v>6.96</v>
      </c>
      <c r="F14" s="37" t="n">
        <v>6.96</v>
      </c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단기금융자산</t>
        </is>
      </c>
      <c r="E15" s="18" t="n">
        <v>6.96</v>
      </c>
      <c r="F15" s="37" t="n">
        <v>6.96</v>
      </c>
      <c r="K15" s="9" t="n"/>
      <c r="P15" s="9" t="n"/>
      <c r="U15" s="9" t="n"/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매각예정비유동자산및처분자산</t>
        </is>
      </c>
      <c r="E16" s="18" t="n">
        <v>28400</v>
      </c>
      <c r="F16" s="37" t="n">
        <v>28400</v>
      </c>
      <c r="H16" s="18" t="n">
        <v>33781.66</v>
      </c>
      <c r="J16" s="18" t="n">
        <v>87</v>
      </c>
      <c r="K16" s="37" t="n">
        <v>87</v>
      </c>
      <c r="L16" s="18" t="n">
        <v>79</v>
      </c>
      <c r="M16" s="18" t="n">
        <v>79</v>
      </c>
      <c r="N16" s="18" t="n">
        <v>79</v>
      </c>
      <c r="O16" s="18" t="n">
        <v>0</v>
      </c>
      <c r="P16" s="37" t="n">
        <v>0</v>
      </c>
      <c r="R16" s="18" t="n">
        <v>120</v>
      </c>
      <c r="T16" s="18" t="n">
        <v>63000.19</v>
      </c>
      <c r="U16" s="37" t="n">
        <v>63000.19</v>
      </c>
      <c r="V16" s="18" t="n">
        <v>0</v>
      </c>
      <c r="W16" s="18" t="n">
        <v>0</v>
      </c>
      <c r="X16" s="18" t="n">
        <v>0</v>
      </c>
      <c r="Y16" s="18" t="n">
        <v>0</v>
      </c>
      <c r="Z16" s="37" t="n">
        <v>0</v>
      </c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248016.93</v>
      </c>
      <c r="F17" s="37" t="n">
        <v>248016.93</v>
      </c>
      <c r="G17" s="18" t="n">
        <v>252564.66</v>
      </c>
      <c r="H17" s="18" t="n">
        <v>211902.54</v>
      </c>
      <c r="I17" s="18" t="n">
        <v>217491.89</v>
      </c>
      <c r="J17" s="18" t="n">
        <v>251197.22</v>
      </c>
      <c r="K17" s="37" t="n">
        <v>251197.22</v>
      </c>
      <c r="L17" s="18" t="n">
        <v>252656.63</v>
      </c>
      <c r="M17" s="18" t="n">
        <v>253934.21</v>
      </c>
      <c r="N17" s="18" t="n">
        <v>254592.13</v>
      </c>
      <c r="O17" s="18" t="n">
        <v>257543.82</v>
      </c>
      <c r="P17" s="37" t="n">
        <v>257543.82</v>
      </c>
      <c r="Q17" s="18" t="n">
        <v>256944.24</v>
      </c>
      <c r="R17" s="18" t="n">
        <v>257224.92</v>
      </c>
      <c r="S17" s="18" t="n">
        <v>264908.99</v>
      </c>
      <c r="T17" s="18" t="n">
        <v>201076.42</v>
      </c>
      <c r="U17" s="37" t="n">
        <v>201076.42</v>
      </c>
      <c r="V17" s="18" t="n">
        <v>202879.12</v>
      </c>
      <c r="W17" s="18" t="n">
        <v>205599.99</v>
      </c>
      <c r="X17" s="18" t="n">
        <v>205762.06</v>
      </c>
      <c r="Y17" s="18" t="n">
        <v>298522.34</v>
      </c>
      <c r="Z17" s="37" t="n">
        <v>298522.34</v>
      </c>
      <c r="AA17" s="18" t="n">
        <v>299320.13</v>
      </c>
      <c r="AB17" s="19" t="n">
        <v>300987.06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장기금융자산</t>
        </is>
      </c>
      <c r="E18" s="18" t="n">
        <v>54</v>
      </c>
      <c r="F18" s="37" t="n">
        <v>54</v>
      </c>
      <c r="G18" s="18" t="n">
        <v>54</v>
      </c>
      <c r="H18" s="18" t="n">
        <v>54</v>
      </c>
      <c r="I18" s="18" t="n">
        <v>54</v>
      </c>
      <c r="J18" s="18" t="n">
        <v>54</v>
      </c>
      <c r="K18" s="37" t="n">
        <v>54</v>
      </c>
      <c r="L18" s="18" t="n">
        <v>1155.02</v>
      </c>
      <c r="M18" s="18" t="n">
        <v>2582.65</v>
      </c>
      <c r="N18" s="18" t="n">
        <v>2059.36</v>
      </c>
      <c r="O18" s="18" t="n">
        <v>1111.24</v>
      </c>
      <c r="P18" s="37" t="n">
        <v>1111.24</v>
      </c>
      <c r="Q18" s="18" t="n">
        <v>937.96</v>
      </c>
      <c r="R18" s="18" t="n">
        <v>1436.97</v>
      </c>
      <c r="S18" s="18" t="n">
        <v>8894.42</v>
      </c>
      <c r="T18" s="18" t="n">
        <v>7456.3</v>
      </c>
      <c r="U18" s="37" t="n">
        <v>7456.3</v>
      </c>
      <c r="V18" s="18" t="n">
        <v>7457.74</v>
      </c>
      <c r="W18" s="18" t="n">
        <v>7459.43</v>
      </c>
      <c r="X18" s="18" t="n">
        <v>7460.99</v>
      </c>
      <c r="Y18" s="18" t="n">
        <v>10551.77</v>
      </c>
      <c r="Z18" s="37" t="n">
        <v>10551.77</v>
      </c>
      <c r="AA18" s="18" t="n">
        <v>7486.34</v>
      </c>
      <c r="AB18" s="19" t="n">
        <v>7466.09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54</v>
      </c>
      <c r="F19" s="37" t="n">
        <v>54</v>
      </c>
      <c r="G19" s="18" t="n">
        <v>54</v>
      </c>
      <c r="H19" s="18" t="n">
        <v>54</v>
      </c>
      <c r="I19" s="18" t="n">
        <v>54</v>
      </c>
      <c r="J19" s="18" t="n">
        <v>448.97</v>
      </c>
      <c r="K19" s="37" t="n">
        <v>448.97</v>
      </c>
      <c r="L19" s="18" t="n">
        <v>1155.02</v>
      </c>
      <c r="M19" s="18" t="n">
        <v>2582.65</v>
      </c>
      <c r="N19" s="18" t="n">
        <v>2059.36</v>
      </c>
      <c r="O19" s="18" t="n">
        <v>1111.24</v>
      </c>
      <c r="P19" s="37" t="n">
        <v>1111.24</v>
      </c>
      <c r="Q19" s="18" t="n">
        <v>937.96</v>
      </c>
      <c r="R19" s="18" t="n">
        <v>1436.97</v>
      </c>
      <c r="S19" s="18" t="n">
        <v>8894.42</v>
      </c>
      <c r="T19" s="18" t="n">
        <v>7456.3</v>
      </c>
      <c r="U19" s="37" t="n">
        <v>7456.3</v>
      </c>
      <c r="V19" s="18" t="n">
        <v>7457.74</v>
      </c>
      <c r="W19" s="18" t="n">
        <v>7459.43</v>
      </c>
      <c r="X19" s="18" t="n">
        <v>7460.99</v>
      </c>
      <c r="Y19" s="18" t="n">
        <v>10551.77</v>
      </c>
      <c r="Z19" s="37" t="n">
        <v>10551.77</v>
      </c>
      <c r="AA19" s="18" t="n">
        <v>7486.34</v>
      </c>
      <c r="AB19" s="19" t="n">
        <v>7466.09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장기매출채권및기타채권</t>
        </is>
      </c>
      <c r="E20" s="18" t="n">
        <v>2387.27</v>
      </c>
      <c r="F20" s="37" t="n">
        <v>2387.27</v>
      </c>
      <c r="G20" s="18" t="n">
        <v>2268.57</v>
      </c>
      <c r="H20" s="18" t="n">
        <v>2337.74</v>
      </c>
      <c r="I20" s="18" t="n">
        <v>2330.91</v>
      </c>
      <c r="J20" s="18" t="n">
        <v>2274.31</v>
      </c>
      <c r="K20" s="37" t="n">
        <v>2274.31</v>
      </c>
      <c r="P20" s="9" t="n"/>
      <c r="U20" s="9" t="n"/>
      <c r="Y20" s="18" t="n">
        <v>2812.1</v>
      </c>
      <c r="Z20" s="37" t="n">
        <v>2812.1</v>
      </c>
      <c r="AA20" s="18" t="n">
        <v>2563.18</v>
      </c>
      <c r="AB20" s="19" t="n">
        <v>1812.53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유형자산</t>
        </is>
      </c>
      <c r="E21" s="18" t="n">
        <v>239141.45</v>
      </c>
      <c r="F21" s="37" t="n">
        <v>239141.45</v>
      </c>
      <c r="G21" s="18" t="n">
        <v>243252.82</v>
      </c>
      <c r="H21" s="18" t="n">
        <v>202378.68</v>
      </c>
      <c r="I21" s="18" t="n">
        <v>207282.72</v>
      </c>
      <c r="J21" s="18" t="n">
        <v>241806.46</v>
      </c>
      <c r="K21" s="37" t="n">
        <v>241806.46</v>
      </c>
      <c r="L21" s="18" t="n">
        <v>243619.73</v>
      </c>
      <c r="M21" s="18" t="n">
        <v>243556.79</v>
      </c>
      <c r="N21" s="18" t="n">
        <v>244781.13</v>
      </c>
      <c r="O21" s="18" t="n">
        <v>146404.06</v>
      </c>
      <c r="P21" s="37" t="n">
        <v>146404.06</v>
      </c>
      <c r="Q21" s="18" t="n">
        <v>146040.52</v>
      </c>
      <c r="R21" s="18" t="n">
        <v>145833.84</v>
      </c>
      <c r="S21" s="18" t="n">
        <v>146165.15</v>
      </c>
      <c r="T21" s="18" t="n">
        <v>151264.24</v>
      </c>
      <c r="U21" s="37" t="n">
        <v>151264.24</v>
      </c>
      <c r="V21" s="18" t="n">
        <v>153948.06</v>
      </c>
      <c r="W21" s="18" t="n">
        <v>156978.18</v>
      </c>
      <c r="X21" s="18" t="n">
        <v>158104.6</v>
      </c>
      <c r="Y21" s="18" t="n">
        <v>234026.08</v>
      </c>
      <c r="Z21" s="37" t="n">
        <v>234026.08</v>
      </c>
      <c r="AA21" s="18" t="n">
        <v>239290.91</v>
      </c>
      <c r="AB21" s="19" t="n">
        <v>242159.26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무형자산</t>
        </is>
      </c>
      <c r="E22" s="18" t="n">
        <v>3897.11</v>
      </c>
      <c r="F22" s="37" t="n">
        <v>3897.11</v>
      </c>
      <c r="G22" s="18" t="n">
        <v>4035.13</v>
      </c>
      <c r="H22" s="18" t="n">
        <v>4183.53</v>
      </c>
      <c r="I22" s="18" t="n">
        <v>4350.3</v>
      </c>
      <c r="J22" s="18" t="n">
        <v>4387.14</v>
      </c>
      <c r="K22" s="37" t="n">
        <v>4387.14</v>
      </c>
      <c r="L22" s="18" t="n">
        <v>4452.26</v>
      </c>
      <c r="M22" s="18" t="n">
        <v>4430.87</v>
      </c>
      <c r="N22" s="18" t="n">
        <v>4409.48</v>
      </c>
      <c r="O22" s="18" t="n">
        <v>417.53</v>
      </c>
      <c r="P22" s="37" t="n">
        <v>417.53</v>
      </c>
      <c r="Q22" s="18" t="n">
        <v>367.74</v>
      </c>
      <c r="R22" s="18" t="n">
        <v>385.21</v>
      </c>
      <c r="S22" s="18" t="n">
        <v>385.14</v>
      </c>
      <c r="T22" s="18" t="n">
        <v>741</v>
      </c>
      <c r="U22" s="37" t="n">
        <v>741</v>
      </c>
      <c r="V22" s="18" t="n">
        <v>730.01</v>
      </c>
      <c r="W22" s="18" t="n">
        <v>801.21</v>
      </c>
      <c r="X22" s="18" t="n">
        <v>1007.88</v>
      </c>
      <c r="Y22" s="18" t="n">
        <v>1259.98</v>
      </c>
      <c r="Z22" s="37" t="n">
        <v>1259.98</v>
      </c>
      <c r="AA22" s="18" t="n">
        <v>1322.13</v>
      </c>
      <c r="AB22" s="19" t="n">
        <v>2024.95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자산총계</t>
        </is>
      </c>
      <c r="E23" s="18" t="n">
        <v>430406.73</v>
      </c>
      <c r="F23" s="37" t="n">
        <v>430406.73</v>
      </c>
      <c r="G23" s="18" t="n">
        <v>409118.68</v>
      </c>
      <c r="H23" s="18" t="n">
        <v>403858.7</v>
      </c>
      <c r="I23" s="18" t="n">
        <v>419776.62</v>
      </c>
      <c r="J23" s="18" t="n">
        <v>416290.99</v>
      </c>
      <c r="K23" s="37" t="n">
        <v>416290.99</v>
      </c>
      <c r="L23" s="18" t="n">
        <v>431346.59</v>
      </c>
      <c r="M23" s="18" t="n">
        <v>438232.72</v>
      </c>
      <c r="N23" s="18" t="n">
        <v>429401.75</v>
      </c>
      <c r="O23" s="18" t="n">
        <v>454013.91</v>
      </c>
      <c r="P23" s="37" t="n">
        <v>454013.91</v>
      </c>
      <c r="Q23" s="18" t="n">
        <v>466507.69</v>
      </c>
      <c r="R23" s="18" t="n">
        <v>472833.84</v>
      </c>
      <c r="S23" s="18" t="n">
        <v>432713.4</v>
      </c>
      <c r="T23" s="18" t="n">
        <v>494962.96</v>
      </c>
      <c r="U23" s="37" t="n">
        <v>494962.96</v>
      </c>
      <c r="V23" s="18" t="n">
        <v>525727.33</v>
      </c>
      <c r="W23" s="18" t="n">
        <v>575010.09</v>
      </c>
      <c r="X23" s="18" t="n">
        <v>665007.4</v>
      </c>
      <c r="Y23" s="18" t="n">
        <v>814697.1800000001</v>
      </c>
      <c r="Z23" s="37" t="n">
        <v>814697.1800000001</v>
      </c>
      <c r="AA23" s="18" t="n">
        <v>873360.59</v>
      </c>
      <c r="AB23" s="19" t="n">
        <v>987215.88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유동부채</t>
        </is>
      </c>
      <c r="E24" s="18" t="n">
        <v>244851.2</v>
      </c>
      <c r="F24" s="37" t="n">
        <v>244851.2</v>
      </c>
      <c r="G24" s="18" t="n">
        <v>225452.23</v>
      </c>
      <c r="H24" s="18" t="n">
        <v>225373.38</v>
      </c>
      <c r="I24" s="18" t="n">
        <v>226822.81</v>
      </c>
      <c r="J24" s="18" t="n">
        <v>184789.56</v>
      </c>
      <c r="K24" s="37" t="n">
        <v>184789.56</v>
      </c>
      <c r="L24" s="18" t="n">
        <v>200268.77</v>
      </c>
      <c r="M24" s="18" t="n">
        <v>202112.32</v>
      </c>
      <c r="N24" s="18" t="n">
        <v>194973.75</v>
      </c>
      <c r="O24" s="18" t="n">
        <v>206642.83</v>
      </c>
      <c r="P24" s="37" t="n">
        <v>206642.83</v>
      </c>
      <c r="Q24" s="18" t="n">
        <v>214065.53</v>
      </c>
      <c r="R24" s="18" t="n">
        <v>212009.38</v>
      </c>
      <c r="S24" s="18" t="n">
        <v>114787.53</v>
      </c>
      <c r="T24" s="18" t="n">
        <v>180908.74</v>
      </c>
      <c r="U24" s="37" t="n">
        <v>180908.74</v>
      </c>
      <c r="V24" s="18" t="n">
        <v>194359.21</v>
      </c>
      <c r="W24" s="18" t="n">
        <v>215179.84</v>
      </c>
      <c r="X24" s="18" t="n">
        <v>286269.69</v>
      </c>
      <c r="Y24" s="18" t="n">
        <v>320140.95</v>
      </c>
      <c r="Z24" s="37" t="n">
        <v>320140.95</v>
      </c>
      <c r="AA24" s="18" t="n">
        <v>351349.44</v>
      </c>
      <c r="AB24" s="19" t="n">
        <v>437776.88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매입채무및기타채무</t>
        </is>
      </c>
      <c r="E25" s="18" t="n">
        <v>45375.65</v>
      </c>
      <c r="F25" s="37" t="n">
        <v>45375.65</v>
      </c>
      <c r="G25" s="18" t="n">
        <v>45624.57</v>
      </c>
      <c r="H25" s="18" t="n">
        <v>44814.02</v>
      </c>
      <c r="I25" s="18" t="n">
        <v>42010.87</v>
      </c>
      <c r="J25" s="18" t="n">
        <v>35636.66</v>
      </c>
      <c r="K25" s="37" t="n">
        <v>35636.66</v>
      </c>
      <c r="L25" s="18" t="n">
        <v>38467.27</v>
      </c>
      <c r="M25" s="18" t="n">
        <v>43355.14</v>
      </c>
      <c r="N25" s="18" t="n">
        <v>44575.07</v>
      </c>
      <c r="O25" s="18" t="n">
        <v>46490.9</v>
      </c>
      <c r="P25" s="37" t="n">
        <v>46490.9</v>
      </c>
      <c r="Q25" s="18" t="n">
        <v>40685.74</v>
      </c>
      <c r="R25" s="18" t="n">
        <v>44654.3</v>
      </c>
      <c r="S25" s="18" t="n">
        <v>43160.71</v>
      </c>
      <c r="T25" s="18" t="n">
        <v>50014.12</v>
      </c>
      <c r="U25" s="37" t="n">
        <v>50014.12</v>
      </c>
      <c r="V25" s="18" t="n">
        <v>48302.1</v>
      </c>
      <c r="W25" s="18" t="n">
        <v>53213.16</v>
      </c>
      <c r="X25" s="18" t="n">
        <v>47642.93</v>
      </c>
      <c r="Y25" s="18" t="n">
        <v>59699.85</v>
      </c>
      <c r="Z25" s="37" t="n">
        <v>59699.85</v>
      </c>
      <c r="AA25" s="18" t="n">
        <v>58524.62</v>
      </c>
      <c r="AB25" s="19" t="n">
        <v>67189.05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유동리스부채</t>
        </is>
      </c>
      <c r="E26" s="18" t="n">
        <v>1124.31</v>
      </c>
      <c r="F26" s="37" t="n">
        <v>1124.31</v>
      </c>
      <c r="G26" s="18" t="n">
        <v>2352.09</v>
      </c>
      <c r="H26" s="18" t="n">
        <v>1869.65</v>
      </c>
      <c r="I26" s="18" t="n">
        <v>938.72</v>
      </c>
      <c r="J26" s="18" t="n">
        <v>884.79</v>
      </c>
      <c r="K26" s="37" t="n">
        <v>884.79</v>
      </c>
      <c r="P26" s="9" t="n"/>
      <c r="U26" s="9" t="n"/>
      <c r="Z26" s="9" t="n"/>
      <c r="AB26" s="5" t="n"/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리스부채</t>
        </is>
      </c>
      <c r="E27" s="18" t="n">
        <v>1956.55</v>
      </c>
      <c r="F27" s="37" t="n">
        <v>1956.55</v>
      </c>
      <c r="G27" s="18" t="n">
        <v>2996.9</v>
      </c>
      <c r="H27" s="18" t="n">
        <v>2346</v>
      </c>
      <c r="I27" s="18" t="n">
        <v>3729.2</v>
      </c>
      <c r="J27" s="18" t="n">
        <v>3517.87</v>
      </c>
      <c r="K27" s="37" t="n">
        <v>3517.87</v>
      </c>
      <c r="P27" s="9" t="n"/>
      <c r="U27" s="9" t="n"/>
      <c r="Z27" s="9" t="n"/>
      <c r="AB27" s="5" t="n"/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단기금융부채</t>
        </is>
      </c>
      <c r="E28" s="18" t="n">
        <v>1128.58</v>
      </c>
      <c r="F28" s="37" t="n">
        <v>1128.58</v>
      </c>
      <c r="G28" s="18" t="n">
        <v>2445.88</v>
      </c>
      <c r="H28" s="18" t="n">
        <v>2482.48</v>
      </c>
      <c r="I28" s="18" t="n">
        <v>1734.47</v>
      </c>
      <c r="J28" s="18" t="n">
        <v>884.79</v>
      </c>
      <c r="K28" s="37" t="n">
        <v>884.79</v>
      </c>
      <c r="P28" s="9" t="n"/>
      <c r="U28" s="9" t="n"/>
      <c r="Z28" s="9" t="n"/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선수금</t>
        </is>
      </c>
      <c r="E29" s="18" t="n">
        <v>38382.87</v>
      </c>
      <c r="F29" s="37" t="n">
        <v>38382.87</v>
      </c>
      <c r="G29" s="18" t="n">
        <v>45086.17</v>
      </c>
      <c r="H29" s="18" t="n">
        <v>46417.41</v>
      </c>
      <c r="I29" s="18" t="n">
        <v>53515.97</v>
      </c>
      <c r="J29" s="18" t="n">
        <v>42838.41</v>
      </c>
      <c r="K29" s="37" t="n">
        <v>42838.41</v>
      </c>
      <c r="P29" s="9" t="n"/>
      <c r="U29" s="9" t="n"/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기타유동부채</t>
        </is>
      </c>
      <c r="E30" s="18" t="n">
        <v>41779.27</v>
      </c>
      <c r="F30" s="37" t="n">
        <v>41779.27</v>
      </c>
      <c r="G30" s="18" t="n">
        <v>47238.44</v>
      </c>
      <c r="H30" s="18" t="n">
        <v>50718.5</v>
      </c>
      <c r="I30" s="18" t="n">
        <v>53914.45</v>
      </c>
      <c r="J30" s="18" t="n">
        <v>43181.97</v>
      </c>
      <c r="K30" s="37" t="n">
        <v>43181.97</v>
      </c>
      <c r="L30" s="18" t="n">
        <v>55465.83</v>
      </c>
      <c r="M30" s="18" t="n">
        <v>52594.67</v>
      </c>
      <c r="N30" s="18" t="n">
        <v>51211.48</v>
      </c>
      <c r="O30" s="18" t="n">
        <v>59909.12</v>
      </c>
      <c r="P30" s="37" t="n">
        <v>59909.12</v>
      </c>
      <c r="Q30" s="18" t="n">
        <v>72215.7</v>
      </c>
      <c r="R30" s="18" t="n">
        <v>65723.82000000001</v>
      </c>
      <c r="S30" s="18" t="n">
        <v>59341.13</v>
      </c>
      <c r="T30" s="18" t="n">
        <v>110855.63</v>
      </c>
      <c r="U30" s="37" t="n">
        <v>110855.63</v>
      </c>
      <c r="V30" s="18" t="n">
        <v>126694.72</v>
      </c>
      <c r="W30" s="18" t="n">
        <v>148630.04</v>
      </c>
      <c r="X30" s="18" t="n">
        <v>225712.66</v>
      </c>
      <c r="Y30" s="18" t="n">
        <v>247064.05</v>
      </c>
      <c r="Z30" s="37" t="n">
        <v>247064.05</v>
      </c>
      <c r="AA30" s="18" t="n">
        <v>268981</v>
      </c>
      <c r="AB30" s="19" t="n">
        <v>339904.33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유동성장기부채</t>
        </is>
      </c>
      <c r="E31" s="18" t="n">
        <v>64970</v>
      </c>
      <c r="F31" s="37" t="n">
        <v>64970</v>
      </c>
      <c r="G31" s="18" t="n">
        <v>39000</v>
      </c>
      <c r="H31" s="18" t="n">
        <v>38000</v>
      </c>
      <c r="I31" s="18" t="n">
        <v>38000</v>
      </c>
      <c r="J31" s="18" t="n">
        <v>15600</v>
      </c>
      <c r="K31" s="37" t="n">
        <v>15600</v>
      </c>
      <c r="P31" s="9" t="n"/>
      <c r="U31" s="9" t="n"/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단기차입금</t>
        </is>
      </c>
      <c r="E32" s="18" t="n">
        <v>78390.03999999999</v>
      </c>
      <c r="F32" s="37" t="n">
        <v>78390.03999999999</v>
      </c>
      <c r="G32" s="18" t="n">
        <v>77971.78</v>
      </c>
      <c r="H32" s="18" t="n">
        <v>77714.96000000001</v>
      </c>
      <c r="I32" s="18" t="n">
        <v>81172.03999999999</v>
      </c>
      <c r="J32" s="18" t="n">
        <v>80976.88</v>
      </c>
      <c r="K32" s="37" t="n">
        <v>80976.88</v>
      </c>
      <c r="L32" s="18" t="n">
        <v>97873.19</v>
      </c>
      <c r="M32" s="18" t="n">
        <v>97600.42</v>
      </c>
      <c r="N32" s="18" t="n">
        <v>90483.41</v>
      </c>
      <c r="O32" s="18" t="n">
        <v>88725.00999999999</v>
      </c>
      <c r="P32" s="37" t="n">
        <v>88725.00999999999</v>
      </c>
      <c r="Q32" s="18" t="n">
        <v>89068.09</v>
      </c>
      <c r="R32" s="18" t="n">
        <v>91225.61</v>
      </c>
      <c r="S32" s="18" t="n">
        <v>2916.38</v>
      </c>
      <c r="T32" s="18" t="n">
        <v>10400.97</v>
      </c>
      <c r="U32" s="37" t="n">
        <v>10400.97</v>
      </c>
      <c r="V32" s="18" t="n">
        <v>7751.88</v>
      </c>
      <c r="W32" s="18" t="n">
        <v>1272.93</v>
      </c>
      <c r="X32" s="18" t="n">
        <v>1957.54</v>
      </c>
      <c r="Y32" s="18" t="n">
        <v>1713.05</v>
      </c>
      <c r="Z32" s="37" t="n">
        <v>1713.05</v>
      </c>
      <c r="AA32" s="18" t="n">
        <v>11426.35</v>
      </c>
      <c r="AB32" s="19" t="n">
        <v>17136.34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단기충당부채</t>
        </is>
      </c>
      <c r="E33" s="18" t="n">
        <v>13207.66</v>
      </c>
      <c r="F33" s="37" t="n">
        <v>13207.66</v>
      </c>
      <c r="G33" s="18" t="n">
        <v>13171.56</v>
      </c>
      <c r="H33" s="18" t="n">
        <v>11643.43</v>
      </c>
      <c r="I33" s="18" t="n">
        <v>9990.98</v>
      </c>
      <c r="J33" s="18" t="n">
        <v>8509.26</v>
      </c>
      <c r="K33" s="37" t="n">
        <v>8509.26</v>
      </c>
      <c r="L33" s="18" t="n">
        <v>8462.469999999999</v>
      </c>
      <c r="M33" s="18" t="n">
        <v>8537.01</v>
      </c>
      <c r="N33" s="18" t="n">
        <v>8703.790000000001</v>
      </c>
      <c r="O33" s="18" t="n">
        <v>11516.81</v>
      </c>
      <c r="P33" s="37" t="n">
        <v>11516.81</v>
      </c>
      <c r="Q33" s="18" t="n">
        <v>12094.83</v>
      </c>
      <c r="R33" s="18" t="n">
        <v>10208.7</v>
      </c>
      <c r="S33" s="18" t="n">
        <v>9055.440000000001</v>
      </c>
      <c r="T33" s="18" t="n">
        <v>9339.23</v>
      </c>
      <c r="U33" s="37" t="n">
        <v>9339.23</v>
      </c>
      <c r="V33" s="18" t="n">
        <v>9261.440000000001</v>
      </c>
      <c r="W33" s="18" t="n">
        <v>9144.639999999999</v>
      </c>
      <c r="X33" s="18" t="n">
        <v>10292.56</v>
      </c>
      <c r="Y33" s="18" t="n">
        <v>10616.14</v>
      </c>
      <c r="Z33" s="37" t="n">
        <v>10616.14</v>
      </c>
      <c r="AA33" s="18" t="n">
        <v>10153.11</v>
      </c>
      <c r="AB33" s="19" t="n">
        <v>9991.389999999999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단기파생상품부채</t>
        </is>
      </c>
      <c r="E34" s="18" t="n">
        <v>4.27</v>
      </c>
      <c r="F34" s="37" t="n">
        <v>4.27</v>
      </c>
      <c r="G34" s="18" t="n">
        <v>93.79000000000001</v>
      </c>
      <c r="H34" s="18" t="n">
        <v>612.83</v>
      </c>
      <c r="I34" s="18" t="n">
        <v>795.75</v>
      </c>
      <c r="K34" s="9" t="n"/>
      <c r="P34" s="9" t="n"/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비유동부채</t>
        </is>
      </c>
      <c r="E35" s="18" t="n">
        <v>31594.26</v>
      </c>
      <c r="F35" s="37" t="n">
        <v>31594.26</v>
      </c>
      <c r="G35" s="18" t="n">
        <v>31463.05</v>
      </c>
      <c r="H35" s="18" t="n">
        <v>31477.93</v>
      </c>
      <c r="I35" s="18" t="n">
        <v>33613.17</v>
      </c>
      <c r="J35" s="18" t="n">
        <v>39365.32</v>
      </c>
      <c r="K35" s="37" t="n">
        <v>39365.32</v>
      </c>
      <c r="L35" s="18" t="n">
        <v>39113.55</v>
      </c>
      <c r="M35" s="18" t="n">
        <v>38598.19</v>
      </c>
      <c r="N35" s="18" t="n">
        <v>38633.3</v>
      </c>
      <c r="O35" s="18" t="n">
        <v>21995.16</v>
      </c>
      <c r="P35" s="37" t="n">
        <v>21995.16</v>
      </c>
      <c r="Q35" s="18" t="n">
        <v>21784.53</v>
      </c>
      <c r="R35" s="18" t="n">
        <v>22506.09</v>
      </c>
      <c r="S35" s="18" t="n">
        <v>24835.82</v>
      </c>
      <c r="T35" s="18" t="n">
        <v>4679.64</v>
      </c>
      <c r="U35" s="37" t="n">
        <v>4679.64</v>
      </c>
      <c r="V35" s="18" t="n">
        <v>4566.17</v>
      </c>
      <c r="W35" s="18" t="n">
        <v>2671.77</v>
      </c>
      <c r="X35" s="18" t="n">
        <v>3071.12</v>
      </c>
      <c r="Y35" s="18" t="n">
        <v>5644.02</v>
      </c>
      <c r="Z35" s="37" t="n">
        <v>5644.02</v>
      </c>
      <c r="AA35" s="18" t="n">
        <v>22314.05</v>
      </c>
      <c r="AB35" s="19" t="n">
        <v>27396.46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비유동리스부채</t>
        </is>
      </c>
      <c r="E36" s="18" t="n">
        <v>832.24</v>
      </c>
      <c r="F36" s="37" t="n">
        <v>832.24</v>
      </c>
      <c r="G36" s="18" t="n">
        <v>644.8099999999999</v>
      </c>
      <c r="H36" s="18" t="n">
        <v>476.35</v>
      </c>
      <c r="I36" s="18" t="n">
        <v>2790.48</v>
      </c>
      <c r="J36" s="18" t="n">
        <v>2633.08</v>
      </c>
      <c r="K36" s="37" t="n">
        <v>2633.08</v>
      </c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832.24</v>
      </c>
      <c r="F37" s="37" t="n">
        <v>832.24</v>
      </c>
      <c r="G37" s="18" t="n">
        <v>644.8099999999999</v>
      </c>
      <c r="H37" s="18" t="n">
        <v>476.35</v>
      </c>
      <c r="I37" s="18" t="n">
        <v>2790.48</v>
      </c>
      <c r="J37" s="18" t="n">
        <v>2633.08</v>
      </c>
      <c r="K37" s="37" t="n">
        <v>2633.08</v>
      </c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장기매입채무및기타채무</t>
        </is>
      </c>
      <c r="E38" s="18" t="n">
        <v>1911.41</v>
      </c>
      <c r="F38" s="37" t="n">
        <v>1911.41</v>
      </c>
      <c r="G38" s="18" t="n">
        <v>1968.71</v>
      </c>
      <c r="H38" s="18" t="n">
        <v>2002.01</v>
      </c>
      <c r="I38" s="18" t="n">
        <v>1867.86</v>
      </c>
      <c r="J38" s="18" t="n">
        <v>2000.13</v>
      </c>
      <c r="K38" s="37" t="n">
        <v>2000.13</v>
      </c>
      <c r="L38" s="18" t="n">
        <v>1977.57</v>
      </c>
      <c r="M38" s="18" t="n">
        <v>1478.2</v>
      </c>
      <c r="N38" s="18" t="n">
        <v>1586.35</v>
      </c>
      <c r="O38" s="18" t="n">
        <v>782.1</v>
      </c>
      <c r="P38" s="37" t="n">
        <v>782.1</v>
      </c>
      <c r="Q38" s="18" t="n">
        <v>788.6</v>
      </c>
      <c r="R38" s="18" t="n">
        <v>798.6</v>
      </c>
      <c r="S38" s="18" t="n">
        <v>842.6799999999999</v>
      </c>
      <c r="T38" s="18" t="n">
        <v>874.35</v>
      </c>
      <c r="U38" s="37" t="n">
        <v>874.35</v>
      </c>
      <c r="V38" s="18" t="n">
        <v>898.21</v>
      </c>
      <c r="W38" s="18" t="n">
        <v>898.21</v>
      </c>
      <c r="X38" s="18" t="n">
        <v>898.21</v>
      </c>
      <c r="Y38" s="18" t="n">
        <v>3342.25</v>
      </c>
      <c r="Z38" s="37" t="n">
        <v>3342.25</v>
      </c>
      <c r="AA38" s="18" t="n">
        <v>5637.32</v>
      </c>
      <c r="AB38" s="19" t="n">
        <v>6623.26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장기충당부채</t>
        </is>
      </c>
      <c r="E39" s="18" t="n">
        <v>301.83</v>
      </c>
      <c r="F39" s="37" t="n">
        <v>301.83</v>
      </c>
      <c r="G39" s="18" t="n">
        <v>232.32</v>
      </c>
      <c r="H39" s="18" t="n">
        <v>327.34</v>
      </c>
      <c r="I39" s="18" t="n">
        <v>214.17</v>
      </c>
      <c r="J39" s="18" t="n">
        <v>128.97</v>
      </c>
      <c r="K39" s="37" t="n">
        <v>128.97</v>
      </c>
      <c r="L39" s="18" t="n">
        <v>80.65000000000001</v>
      </c>
      <c r="M39" s="18" t="n">
        <v>84.17</v>
      </c>
      <c r="N39" s="18" t="n">
        <v>107.37</v>
      </c>
      <c r="O39" s="18" t="n">
        <v>129.41</v>
      </c>
      <c r="P39" s="37" t="n">
        <v>129.41</v>
      </c>
      <c r="Q39" s="18" t="n">
        <v>118.02</v>
      </c>
      <c r="R39" s="18" t="n">
        <v>120.49</v>
      </c>
      <c r="S39" s="18" t="n">
        <v>198.69</v>
      </c>
      <c r="T39" s="18" t="n">
        <v>231.63</v>
      </c>
      <c r="U39" s="37" t="n">
        <v>231.63</v>
      </c>
      <c r="V39" s="18" t="n">
        <v>162.15</v>
      </c>
      <c r="W39" s="18" t="n">
        <v>161.16</v>
      </c>
      <c r="X39" s="18" t="n">
        <v>254.82</v>
      </c>
      <c r="Y39" s="18" t="n">
        <v>290.25</v>
      </c>
      <c r="Z39" s="37" t="n">
        <v>290.25</v>
      </c>
      <c r="AA39" s="18" t="n">
        <v>310.6</v>
      </c>
      <c r="AB39" s="19" t="n">
        <v>367.95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이연법인세부채</t>
        </is>
      </c>
      <c r="E40" s="18" t="n">
        <v>28537.75</v>
      </c>
      <c r="F40" s="37" t="n">
        <v>28537.75</v>
      </c>
      <c r="G40" s="18" t="n">
        <v>28537.75</v>
      </c>
      <c r="H40" s="18" t="n">
        <v>28537.75</v>
      </c>
      <c r="I40" s="18" t="n">
        <v>28537.75</v>
      </c>
      <c r="J40" s="18" t="n">
        <v>34514.52</v>
      </c>
      <c r="K40" s="37" t="n">
        <v>34514.52</v>
      </c>
      <c r="L40" s="18" t="n">
        <v>34350.15</v>
      </c>
      <c r="M40" s="18" t="n">
        <v>34303.76</v>
      </c>
      <c r="N40" s="18" t="n">
        <v>34303.76</v>
      </c>
      <c r="O40" s="18" t="n">
        <v>18197.62</v>
      </c>
      <c r="P40" s="37" t="n">
        <v>18197.62</v>
      </c>
      <c r="Q40" s="18" t="n">
        <v>18197.62</v>
      </c>
      <c r="R40" s="18" t="n">
        <v>19044.13</v>
      </c>
      <c r="S40" s="18" t="n">
        <v>19504.64</v>
      </c>
      <c r="T40" s="18" t="n">
        <v>234.74</v>
      </c>
      <c r="U40" s="37" t="n">
        <v>234.74</v>
      </c>
      <c r="V40" s="18" t="n">
        <v>234.74</v>
      </c>
      <c r="W40" s="18" t="n">
        <v>661.12</v>
      </c>
      <c r="X40" s="18" t="n">
        <v>661.12</v>
      </c>
      <c r="Y40" s="18" t="n">
        <v>661.12</v>
      </c>
      <c r="Z40" s="37" t="n">
        <v>661.12</v>
      </c>
      <c r="AA40" s="18" t="n">
        <v>661.12</v>
      </c>
      <c r="AB40" s="19" t="n">
        <v>661.12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확정급여부채</t>
        </is>
      </c>
      <c r="E41" s="18" t="n">
        <v>11.04</v>
      </c>
      <c r="F41" s="37" t="n">
        <v>11.04</v>
      </c>
      <c r="G41" s="18" t="n">
        <v>79.47</v>
      </c>
      <c r="H41" s="18" t="n">
        <v>134.48</v>
      </c>
      <c r="I41" s="18" t="n">
        <v>202.91</v>
      </c>
      <c r="J41" s="18" t="n">
        <v>88.62</v>
      </c>
      <c r="K41" s="37" t="n">
        <v>88.62</v>
      </c>
      <c r="L41" s="18" t="n">
        <v>110.98</v>
      </c>
      <c r="M41" s="18" t="n">
        <v>123.53</v>
      </c>
      <c r="N41" s="18" t="n">
        <v>145.88</v>
      </c>
      <c r="O41" s="18" t="n">
        <v>687.76</v>
      </c>
      <c r="P41" s="37" t="n">
        <v>687.76</v>
      </c>
      <c r="Q41" s="18" t="n">
        <v>663.64</v>
      </c>
      <c r="R41" s="18" t="n">
        <v>724.09</v>
      </c>
      <c r="S41" s="18" t="n">
        <v>2744.59</v>
      </c>
      <c r="T41" s="18" t="n">
        <v>2004.54</v>
      </c>
      <c r="U41" s="37" t="n">
        <v>2004.54</v>
      </c>
      <c r="V41" s="18" t="n">
        <v>2121.96</v>
      </c>
      <c r="W41" s="18" t="n">
        <v>2.18</v>
      </c>
      <c r="X41" s="18" t="n">
        <v>169.51</v>
      </c>
      <c r="Y41" s="18" t="n">
        <v>464.7</v>
      </c>
      <c r="Z41" s="37" t="n">
        <v>464.7</v>
      </c>
      <c r="AA41" s="18" t="n">
        <v>563.45</v>
      </c>
      <c r="AB41" s="19" t="n">
        <v>696.97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부채총계</t>
        </is>
      </c>
      <c r="E42" s="18" t="n">
        <v>276445.47</v>
      </c>
      <c r="F42" s="37" t="n">
        <v>276445.47</v>
      </c>
      <c r="G42" s="18" t="n">
        <v>256915.29</v>
      </c>
      <c r="H42" s="18" t="n">
        <v>256851.3</v>
      </c>
      <c r="I42" s="18" t="n">
        <v>260435.98</v>
      </c>
      <c r="J42" s="18" t="n">
        <v>224154.88</v>
      </c>
      <c r="K42" s="37" t="n">
        <v>224154.88</v>
      </c>
      <c r="L42" s="18" t="n">
        <v>239382.31</v>
      </c>
      <c r="M42" s="18" t="n">
        <v>240710.52</v>
      </c>
      <c r="N42" s="18" t="n">
        <v>233607.06</v>
      </c>
      <c r="O42" s="18" t="n">
        <v>228637.99</v>
      </c>
      <c r="P42" s="37" t="n">
        <v>228637.99</v>
      </c>
      <c r="Q42" s="18" t="n">
        <v>235850.06</v>
      </c>
      <c r="R42" s="18" t="n">
        <v>234515.47</v>
      </c>
      <c r="S42" s="18" t="n">
        <v>139623.35</v>
      </c>
      <c r="T42" s="18" t="n">
        <v>185588.38</v>
      </c>
      <c r="U42" s="37" t="n">
        <v>185588.38</v>
      </c>
      <c r="V42" s="18" t="n">
        <v>198925.38</v>
      </c>
      <c r="W42" s="18" t="n">
        <v>217851.61</v>
      </c>
      <c r="X42" s="18" t="n">
        <v>289340.8</v>
      </c>
      <c r="Y42" s="18" t="n">
        <v>325784.96</v>
      </c>
      <c r="Z42" s="37" t="n">
        <v>325784.96</v>
      </c>
      <c r="AA42" s="18" t="n">
        <v>373663.49</v>
      </c>
      <c r="AB42" s="19" t="n">
        <v>465173.34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지배주주지분</t>
        </is>
      </c>
      <c r="E43" s="18" t="n">
        <v>153961.26</v>
      </c>
      <c r="F43" s="37" t="n">
        <v>153961.26</v>
      </c>
      <c r="G43" s="18" t="n">
        <v>152203.39</v>
      </c>
      <c r="H43" s="18" t="n">
        <v>147007.39</v>
      </c>
      <c r="I43" s="18" t="n">
        <v>159340.64</v>
      </c>
      <c r="J43" s="18" t="n">
        <v>192136.11</v>
      </c>
      <c r="K43" s="37" t="n">
        <v>192136.11</v>
      </c>
      <c r="L43" s="18" t="n">
        <v>191964.27</v>
      </c>
      <c r="M43" s="18" t="n">
        <v>197522.2</v>
      </c>
      <c r="N43" s="18" t="n">
        <v>195794.69</v>
      </c>
      <c r="O43" s="18" t="n">
        <v>225375.92</v>
      </c>
      <c r="P43" s="37" t="n">
        <v>225375.92</v>
      </c>
      <c r="Q43" s="18" t="n">
        <v>230657.63</v>
      </c>
      <c r="R43" s="18" t="n">
        <v>238318.37</v>
      </c>
      <c r="S43" s="18" t="n">
        <v>293090.05</v>
      </c>
      <c r="T43" s="18" t="n">
        <v>309374.58</v>
      </c>
      <c r="U43" s="37" t="n">
        <v>309374.58</v>
      </c>
      <c r="V43" s="18" t="n">
        <v>326801.95</v>
      </c>
      <c r="W43" s="18" t="n">
        <v>357158.47</v>
      </c>
      <c r="X43" s="18" t="n">
        <v>375666.6</v>
      </c>
      <c r="Y43" s="18" t="n">
        <v>488912.21</v>
      </c>
      <c r="Z43" s="37" t="n">
        <v>488912.21</v>
      </c>
      <c r="AA43" s="18" t="n">
        <v>499697.1</v>
      </c>
      <c r="AB43" s="19" t="n">
        <v>522042.54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자본금</t>
        </is>
      </c>
      <c r="E44" s="18" t="n">
        <v>70914.94</v>
      </c>
      <c r="F44" s="37" t="n">
        <v>70914.94</v>
      </c>
      <c r="G44" s="18" t="n">
        <v>70914.94</v>
      </c>
      <c r="H44" s="18" t="n">
        <v>70914.94</v>
      </c>
      <c r="I44" s="18" t="n">
        <v>70914.94</v>
      </c>
      <c r="J44" s="18" t="n">
        <v>70952.60000000001</v>
      </c>
      <c r="K44" s="37" t="n">
        <v>70952.60000000001</v>
      </c>
      <c r="L44" s="18" t="n">
        <v>71381.67</v>
      </c>
      <c r="M44" s="18" t="n">
        <v>71381.67</v>
      </c>
      <c r="N44" s="18" t="n">
        <v>71381.67</v>
      </c>
      <c r="O44" s="18" t="n">
        <v>71381.67</v>
      </c>
      <c r="P44" s="37" t="n">
        <v>71381.67</v>
      </c>
      <c r="Q44" s="18" t="n">
        <v>71381.67</v>
      </c>
      <c r="R44" s="18" t="n">
        <v>71381.67</v>
      </c>
      <c r="S44" s="18" t="n">
        <v>84793.35000000001</v>
      </c>
      <c r="T44" s="18" t="n">
        <v>84803.74000000001</v>
      </c>
      <c r="U44" s="37" t="n">
        <v>84803.74000000001</v>
      </c>
      <c r="V44" s="18" t="n">
        <v>84803.74000000001</v>
      </c>
      <c r="W44" s="18" t="n">
        <v>84803.74000000001</v>
      </c>
      <c r="X44" s="18" t="n">
        <v>84803.74000000001</v>
      </c>
      <c r="Y44" s="18" t="n">
        <v>84803.74000000001</v>
      </c>
      <c r="Z44" s="37" t="n">
        <v>84803.74000000001</v>
      </c>
      <c r="AA44" s="18" t="n">
        <v>84803.74000000001</v>
      </c>
      <c r="AB44" s="19" t="n">
        <v>84803.74000000001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자본잉여금</t>
        </is>
      </c>
      <c r="E45" s="18" t="n">
        <v>343631.02</v>
      </c>
      <c r="F45" s="37" t="n">
        <v>343631.02</v>
      </c>
      <c r="G45" s="18" t="n">
        <v>338320.36</v>
      </c>
      <c r="H45" s="18" t="n">
        <v>338320.36</v>
      </c>
      <c r="I45" s="18" t="n">
        <v>338320.36</v>
      </c>
      <c r="J45" s="18" t="n">
        <v>338320.36</v>
      </c>
      <c r="K45" s="37" t="n">
        <v>338320.36</v>
      </c>
      <c r="L45" s="18" t="n">
        <v>338320.36</v>
      </c>
      <c r="M45" s="18" t="n">
        <v>338320.36</v>
      </c>
      <c r="N45" s="18" t="n">
        <v>338320.36</v>
      </c>
      <c r="O45" s="18" t="n">
        <v>338320.36</v>
      </c>
      <c r="P45" s="37" t="n">
        <v>338320.36</v>
      </c>
      <c r="Q45" s="18" t="n">
        <v>338320.36</v>
      </c>
      <c r="R45" s="18" t="n">
        <v>338320.36</v>
      </c>
      <c r="S45" s="18" t="n">
        <v>338320.36</v>
      </c>
      <c r="T45" s="18" t="n">
        <v>338320.36</v>
      </c>
      <c r="U45" s="37" t="n">
        <v>338320.36</v>
      </c>
      <c r="V45" s="18" t="n">
        <v>338320.36</v>
      </c>
      <c r="W45" s="18" t="n">
        <v>338320.36</v>
      </c>
      <c r="X45" s="18" t="n">
        <v>338320.36</v>
      </c>
      <c r="Y45" s="18" t="n">
        <v>338320.36</v>
      </c>
      <c r="Z45" s="37" t="n">
        <v>338320.36</v>
      </c>
      <c r="AA45" s="18" t="n">
        <v>338320.36</v>
      </c>
      <c r="AB45" s="19" t="n">
        <v>338320.36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기타자본</t>
        </is>
      </c>
      <c r="E46" s="18" t="n">
        <v>-307096.72</v>
      </c>
      <c r="F46" s="37" t="n">
        <v>-307096.72</v>
      </c>
      <c r="G46" s="18" t="n">
        <v>-307096.72</v>
      </c>
      <c r="H46" s="18" t="n">
        <v>-307096.72</v>
      </c>
      <c r="I46" s="18" t="n">
        <v>-307041.28</v>
      </c>
      <c r="J46" s="18" t="n">
        <v>-305864.13</v>
      </c>
      <c r="K46" s="37" t="n">
        <v>-305864.13</v>
      </c>
      <c r="L46" s="18" t="n">
        <v>-306294.2</v>
      </c>
      <c r="M46" s="18" t="n">
        <v>-306294.2</v>
      </c>
      <c r="N46" s="18" t="n">
        <v>-306294.2</v>
      </c>
      <c r="O46" s="18" t="n">
        <v>-306294.2</v>
      </c>
      <c r="P46" s="37" t="n">
        <v>-306294.2</v>
      </c>
      <c r="Q46" s="18" t="n">
        <v>-306294.2</v>
      </c>
      <c r="R46" s="18" t="n">
        <v>-306294.2</v>
      </c>
      <c r="S46" s="18" t="n">
        <v>-277570.83</v>
      </c>
      <c r="T46" s="18" t="n">
        <v>-277581.99</v>
      </c>
      <c r="U46" s="37" t="n">
        <v>-277581.99</v>
      </c>
      <c r="V46" s="18" t="n">
        <v>-277581.99</v>
      </c>
      <c r="W46" s="18" t="n">
        <v>-277581.99</v>
      </c>
      <c r="X46" s="18" t="n">
        <v>-277581.99</v>
      </c>
      <c r="Y46" s="18" t="n">
        <v>-277581.99</v>
      </c>
      <c r="Z46" s="37" t="n">
        <v>-277581.99</v>
      </c>
      <c r="AA46" s="18" t="n">
        <v>85.65000000000001</v>
      </c>
      <c r="AB46" s="19" t="n">
        <v>85.65000000000001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기타포괄이익누계액</t>
        </is>
      </c>
      <c r="E47" s="18" t="n">
        <v>54546.73</v>
      </c>
      <c r="F47" s="37" t="n">
        <v>54546.73</v>
      </c>
      <c r="G47" s="18" t="n">
        <v>48631.47</v>
      </c>
      <c r="H47" s="18" t="n">
        <v>42720.36</v>
      </c>
      <c r="I47" s="18" t="n">
        <v>35956.74</v>
      </c>
      <c r="J47" s="18" t="n">
        <v>64554.58</v>
      </c>
      <c r="K47" s="37" t="n">
        <v>64554.58</v>
      </c>
      <c r="L47" s="18" t="n">
        <v>64343.03</v>
      </c>
      <c r="M47" s="18" t="n">
        <v>64024.26</v>
      </c>
      <c r="N47" s="18" t="n">
        <v>62541.3</v>
      </c>
      <c r="O47" s="18" t="n">
        <v>66573.45</v>
      </c>
      <c r="P47" s="37" t="n">
        <v>66573.45</v>
      </c>
      <c r="Q47" s="18" t="n">
        <v>65149.66</v>
      </c>
      <c r="R47" s="18" t="n">
        <v>63427.19</v>
      </c>
      <c r="S47" s="18" t="n">
        <v>66551.84</v>
      </c>
      <c r="T47" s="18" t="n">
        <v>33532.96</v>
      </c>
      <c r="U47" s="37" t="n">
        <v>33532.96</v>
      </c>
      <c r="V47" s="18" t="n">
        <v>37096.96</v>
      </c>
      <c r="W47" s="18" t="n">
        <v>50398.34</v>
      </c>
      <c r="X47" s="18" t="n">
        <v>46318.46</v>
      </c>
      <c r="Y47" s="18" t="n">
        <v>47621.57</v>
      </c>
      <c r="Z47" s="37" t="n">
        <v>47621.57</v>
      </c>
      <c r="AA47" s="18" t="n">
        <v>30258.6</v>
      </c>
      <c r="AB47" s="19" t="n">
        <v>20730.65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이익잉여금</t>
        </is>
      </c>
      <c r="E48" s="18" t="n">
        <v>-8034.71</v>
      </c>
      <c r="F48" s="37" t="n">
        <v>-8034.71</v>
      </c>
      <c r="G48" s="18" t="n">
        <v>1433.34</v>
      </c>
      <c r="H48" s="18" t="n">
        <v>2148.45</v>
      </c>
      <c r="I48" s="18" t="n">
        <v>21189.87</v>
      </c>
      <c r="J48" s="18" t="n">
        <v>24172.69</v>
      </c>
      <c r="K48" s="37" t="n">
        <v>24172.69</v>
      </c>
      <c r="L48" s="18" t="n">
        <v>24213.4</v>
      </c>
      <c r="M48" s="18" t="n">
        <v>30090.1</v>
      </c>
      <c r="N48" s="18" t="n">
        <v>29845.56</v>
      </c>
      <c r="O48" s="18" t="n">
        <v>55394.62</v>
      </c>
      <c r="P48" s="37" t="n">
        <v>55394.62</v>
      </c>
      <c r="Q48" s="18" t="n">
        <v>62100.14</v>
      </c>
      <c r="R48" s="18" t="n">
        <v>71483.33</v>
      </c>
      <c r="S48" s="18" t="n">
        <v>80995.33</v>
      </c>
      <c r="T48" s="18" t="n">
        <v>130299.52</v>
      </c>
      <c r="U48" s="37" t="n">
        <v>130299.52</v>
      </c>
      <c r="V48" s="18" t="n">
        <v>144162.88</v>
      </c>
      <c r="W48" s="18" t="n">
        <v>161218.03</v>
      </c>
      <c r="X48" s="18" t="n">
        <v>183806.02</v>
      </c>
      <c r="Y48" s="18" t="n">
        <v>295748.53</v>
      </c>
      <c r="Z48" s="37" t="n">
        <v>295748.53</v>
      </c>
      <c r="AA48" s="18" t="n">
        <v>46228.75</v>
      </c>
      <c r="AB48" s="19" t="n">
        <v>78102.14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자본총계</t>
        </is>
      </c>
      <c r="E49" s="18" t="n">
        <v>153961.26</v>
      </c>
      <c r="F49" s="37" t="n">
        <v>153961.26</v>
      </c>
      <c r="G49" s="18" t="n">
        <v>152203.39</v>
      </c>
      <c r="H49" s="18" t="n">
        <v>147007.39</v>
      </c>
      <c r="I49" s="18" t="n">
        <v>159340.64</v>
      </c>
      <c r="J49" s="18" t="n">
        <v>192136.11</v>
      </c>
      <c r="K49" s="37" t="n">
        <v>192136.11</v>
      </c>
      <c r="L49" s="18" t="n">
        <v>191964.27</v>
      </c>
      <c r="M49" s="18" t="n">
        <v>197522.2</v>
      </c>
      <c r="N49" s="18" t="n">
        <v>195794.69</v>
      </c>
      <c r="O49" s="18" t="n">
        <v>225375.92</v>
      </c>
      <c r="P49" s="37" t="n">
        <v>225375.92</v>
      </c>
      <c r="Q49" s="18" t="n">
        <v>230657.63</v>
      </c>
      <c r="R49" s="18" t="n">
        <v>238318.37</v>
      </c>
      <c r="S49" s="18" t="n">
        <v>293090.05</v>
      </c>
      <c r="T49" s="18" t="n">
        <v>309374.58</v>
      </c>
      <c r="U49" s="37" t="n">
        <v>309374.58</v>
      </c>
      <c r="V49" s="18" t="n">
        <v>326801.95</v>
      </c>
      <c r="W49" s="18" t="n">
        <v>357158.47</v>
      </c>
      <c r="X49" s="18" t="n">
        <v>375666.6</v>
      </c>
      <c r="Y49" s="18" t="n">
        <v>488912.21</v>
      </c>
      <c r="Z49" s="37" t="n">
        <v>488912.21</v>
      </c>
      <c r="AA49" s="18" t="n">
        <v>499697.1</v>
      </c>
      <c r="AB49" s="19" t="n">
        <v>522042.54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부채와자본총계</t>
        </is>
      </c>
      <c r="E50" s="18" t="n">
        <v>430406.73</v>
      </c>
      <c r="F50" s="37" t="n">
        <v>430406.73</v>
      </c>
      <c r="G50" s="18" t="n">
        <v>409118.68</v>
      </c>
      <c r="H50" s="18" t="n">
        <v>403858.7</v>
      </c>
      <c r="I50" s="18" t="n">
        <v>419776.62</v>
      </c>
      <c r="J50" s="18" t="n">
        <v>416290.99</v>
      </c>
      <c r="K50" s="37" t="n">
        <v>416290.99</v>
      </c>
      <c r="L50" s="18" t="n">
        <v>431346.59</v>
      </c>
      <c r="M50" s="18" t="n">
        <v>438232.72</v>
      </c>
      <c r="N50" s="18" t="n">
        <v>429401.75</v>
      </c>
      <c r="O50" s="18" t="n">
        <v>454013.91</v>
      </c>
      <c r="P50" s="37" t="n">
        <v>454013.91</v>
      </c>
      <c r="Q50" s="18" t="n">
        <v>466507.69</v>
      </c>
      <c r="R50" s="18" t="n">
        <v>472833.84</v>
      </c>
      <c r="S50" s="18" t="n">
        <v>432713.4</v>
      </c>
      <c r="T50" s="18" t="n">
        <v>494962.96</v>
      </c>
      <c r="U50" s="37" t="n">
        <v>494962.96</v>
      </c>
      <c r="V50" s="18" t="n">
        <v>525727.33</v>
      </c>
      <c r="W50" s="18" t="n">
        <v>575010.09</v>
      </c>
      <c r="X50" s="18" t="n">
        <v>665007.4</v>
      </c>
      <c r="Y50" s="18" t="n">
        <v>814697.1800000001</v>
      </c>
      <c r="Z50" s="37" t="n">
        <v>814697.1800000001</v>
      </c>
      <c r="AA50" s="18" t="n">
        <v>873360.59</v>
      </c>
      <c r="AB50" s="19" t="n">
        <v>987215.88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143360.04</v>
      </c>
      <c r="F51" s="37" t="n">
        <v>143360.04</v>
      </c>
      <c r="G51" s="18" t="n">
        <v>116971.78</v>
      </c>
      <c r="H51" s="18" t="n">
        <v>115714.96</v>
      </c>
      <c r="I51" s="18" t="n">
        <v>119172.04</v>
      </c>
      <c r="J51" s="18" t="n">
        <v>96576.88</v>
      </c>
      <c r="K51" s="37" t="n">
        <v>96576.88</v>
      </c>
      <c r="L51" s="18" t="n">
        <v>97873.19</v>
      </c>
      <c r="M51" s="18" t="n">
        <v>100208.96</v>
      </c>
      <c r="N51" s="18" t="n">
        <v>92973.36</v>
      </c>
      <c r="O51" s="18" t="n">
        <v>90923.27</v>
      </c>
      <c r="P51" s="37" t="n">
        <v>90923.27</v>
      </c>
      <c r="Q51" s="18" t="n">
        <v>91084.74000000001</v>
      </c>
      <c r="R51" s="18" t="n">
        <v>93044.39</v>
      </c>
      <c r="S51" s="18" t="n">
        <v>4461.6</v>
      </c>
      <c r="T51" s="18" t="n">
        <v>11735.34</v>
      </c>
      <c r="U51" s="37" t="n">
        <v>11735.34</v>
      </c>
      <c r="V51" s="18" t="n">
        <v>8900.99</v>
      </c>
      <c r="W51" s="18" t="n">
        <v>2222.03</v>
      </c>
      <c r="X51" s="18" t="n">
        <v>3044.99</v>
      </c>
      <c r="Y51" s="18" t="n">
        <v>2598.75</v>
      </c>
      <c r="Z51" s="37" t="n">
        <v>2598.75</v>
      </c>
      <c r="AA51" s="18" t="n">
        <v>26567.9</v>
      </c>
      <c r="AB51" s="19" t="n">
        <v>36183.5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82239.28</v>
      </c>
      <c r="F52" s="37" t="n">
        <v>82239.28</v>
      </c>
      <c r="G52" s="18" t="n">
        <v>85007.64999999999</v>
      </c>
      <c r="H52" s="18" t="n">
        <v>90102.7</v>
      </c>
      <c r="I52" s="18" t="n">
        <v>51949.76</v>
      </c>
      <c r="J52" s="18" t="n">
        <v>66920.46000000001</v>
      </c>
      <c r="K52" s="37" t="n">
        <v>66920.46000000001</v>
      </c>
      <c r="L52" s="18" t="n">
        <v>69780.50999999999</v>
      </c>
      <c r="M52" s="18" t="n">
        <v>81249.27</v>
      </c>
      <c r="N52" s="18" t="n">
        <v>70106.42</v>
      </c>
      <c r="O52" s="18" t="n">
        <v>57027.67</v>
      </c>
      <c r="P52" s="37" t="n">
        <v>57027.67</v>
      </c>
      <c r="Q52" s="18" t="n">
        <v>63527.3</v>
      </c>
      <c r="R52" s="18" t="n">
        <v>46529.56</v>
      </c>
      <c r="S52" s="18" t="n">
        <v>-9773.75</v>
      </c>
      <c r="T52" s="18" t="n">
        <v>-48021.63</v>
      </c>
      <c r="U52" s="37" t="n">
        <v>-48021.63</v>
      </c>
      <c r="V52" s="18" t="n">
        <v>-80511.36</v>
      </c>
      <c r="W52" s="18" t="n">
        <v>-128675.64</v>
      </c>
      <c r="X52" s="18" t="n">
        <v>-89814.87</v>
      </c>
      <c r="Y52" s="18" t="n">
        <v>-91677.48</v>
      </c>
      <c r="Z52" s="37" t="n">
        <v>-91677.48</v>
      </c>
      <c r="AA52" s="18" t="n">
        <v>-169147.21</v>
      </c>
      <c r="AB52" s="19" t="n">
        <v>-304156.26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61174.76</v>
      </c>
      <c r="F53" s="37" t="n">
        <v>61174.76</v>
      </c>
      <c r="G53" s="18" t="n">
        <v>32018.13</v>
      </c>
      <c r="H53" s="18" t="n">
        <v>25666.26</v>
      </c>
      <c r="I53" s="18" t="n">
        <v>67276.28</v>
      </c>
      <c r="J53" s="18" t="n">
        <v>29710.42</v>
      </c>
      <c r="K53" s="37" t="n">
        <v>29710.42</v>
      </c>
      <c r="L53" s="18" t="n">
        <v>29247.7</v>
      </c>
      <c r="M53" s="18" t="n">
        <v>21542.34</v>
      </c>
      <c r="N53" s="18" t="n">
        <v>24926.3</v>
      </c>
      <c r="O53" s="18" t="n">
        <v>35006.84</v>
      </c>
      <c r="P53" s="37" t="n">
        <v>35006.84</v>
      </c>
      <c r="Q53" s="18" t="n">
        <v>28495.4</v>
      </c>
      <c r="R53" s="18" t="n">
        <v>47951.8</v>
      </c>
      <c r="S53" s="18" t="n">
        <v>23129.77</v>
      </c>
      <c r="T53" s="18" t="n">
        <v>67213.27</v>
      </c>
      <c r="U53" s="37" t="n">
        <v>67213.27</v>
      </c>
      <c r="V53" s="18" t="n">
        <v>96870.09</v>
      </c>
      <c r="W53" s="18" t="n">
        <v>138357.1</v>
      </c>
      <c r="X53" s="18" t="n">
        <v>100320.85</v>
      </c>
      <c r="Y53" s="18" t="n">
        <v>104828</v>
      </c>
      <c r="Z53" s="37" t="n">
        <v>104828</v>
      </c>
      <c r="AA53" s="18" t="n">
        <v>203201.45</v>
      </c>
      <c r="AB53" s="19" t="n">
        <v>347805.85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비유동파생상품자산</t>
        </is>
      </c>
      <c r="F54" s="9" t="n"/>
      <c r="J54" s="18" t="n">
        <v>394.97</v>
      </c>
      <c r="K54" s="37" t="n">
        <v>394.97</v>
      </c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기타비유동자산</t>
        </is>
      </c>
      <c r="F55" s="9" t="n"/>
      <c r="J55" s="18" t="n">
        <v>259.66</v>
      </c>
      <c r="K55" s="37" t="n">
        <v>259.66</v>
      </c>
      <c r="L55" s="18" t="n">
        <v>232.49</v>
      </c>
      <c r="M55" s="18" t="n">
        <v>197.41</v>
      </c>
      <c r="N55" s="18" t="n">
        <v>185.56</v>
      </c>
      <c r="O55" s="18" t="n">
        <v>0</v>
      </c>
      <c r="P55" s="37" t="n">
        <v>0</v>
      </c>
      <c r="U55" s="9" t="n"/>
      <c r="Y55" s="18" t="n">
        <v>3665.22</v>
      </c>
      <c r="Z55" s="37" t="n">
        <v>3665.22</v>
      </c>
      <c r="AA55" s="18" t="n">
        <v>5484.49</v>
      </c>
      <c r="AB55" s="19" t="n">
        <v>5954.26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단기금융부채(face)</t>
        </is>
      </c>
      <c r="F56" s="9" t="n"/>
      <c r="K56" s="9" t="n"/>
      <c r="L56" s="18" t="n">
        <v>97873.19</v>
      </c>
      <c r="M56" s="18" t="n">
        <v>97600.42</v>
      </c>
      <c r="N56" s="18" t="n">
        <v>90483.41</v>
      </c>
      <c r="O56" s="18" t="n">
        <v>88725.00999999999</v>
      </c>
      <c r="P56" s="37" t="n">
        <v>88725.00999999999</v>
      </c>
      <c r="Q56" s="18" t="n">
        <v>89068.09</v>
      </c>
      <c r="R56" s="18" t="n">
        <v>91225.61</v>
      </c>
      <c r="S56" s="18" t="n">
        <v>2916.38</v>
      </c>
      <c r="T56" s="18" t="n">
        <v>10400.97</v>
      </c>
      <c r="U56" s="37" t="n">
        <v>10400.97</v>
      </c>
      <c r="V56" s="18" t="n">
        <v>7751.88</v>
      </c>
      <c r="W56" s="18" t="n">
        <v>1272.93</v>
      </c>
      <c r="X56" s="18" t="n">
        <v>1957.54</v>
      </c>
      <c r="Y56" s="18" t="n">
        <v>1713.05</v>
      </c>
      <c r="Z56" s="37" t="n">
        <v>1713.05</v>
      </c>
      <c r="AA56" s="18" t="n">
        <v>11426.35</v>
      </c>
      <c r="AB56" s="19" t="n">
        <v>17136.34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당기법인세부채(미지급법인세)</t>
        </is>
      </c>
      <c r="F57" s="9" t="n"/>
      <c r="K57" s="9" t="n"/>
      <c r="M57" s="18" t="n">
        <v>25.09</v>
      </c>
      <c r="O57" s="18" t="n">
        <v>0.99</v>
      </c>
      <c r="P57" s="37" t="n">
        <v>0.99</v>
      </c>
      <c r="Q57" s="18" t="n">
        <v>1.17</v>
      </c>
      <c r="R57" s="18" t="n">
        <v>196.95</v>
      </c>
      <c r="S57" s="18" t="n">
        <v>313.86</v>
      </c>
      <c r="T57" s="18" t="n">
        <v>298.8</v>
      </c>
      <c r="U57" s="37" t="n">
        <v>298.8</v>
      </c>
      <c r="V57" s="18" t="n">
        <v>2349.07</v>
      </c>
      <c r="W57" s="18" t="n">
        <v>2919.07</v>
      </c>
      <c r="X57" s="18" t="n">
        <v>664</v>
      </c>
      <c r="Y57" s="18" t="n">
        <v>1047.86</v>
      </c>
      <c r="Z57" s="37" t="n">
        <v>1047.86</v>
      </c>
      <c r="AA57" s="18" t="n">
        <v>2264.36</v>
      </c>
      <c r="AB57" s="19" t="n">
        <v>3555.77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장기차입금</t>
        </is>
      </c>
      <c r="F58" s="9" t="n"/>
      <c r="K58" s="9" t="n"/>
      <c r="M58" s="18" t="n">
        <v>2608.54</v>
      </c>
      <c r="N58" s="18" t="n">
        <v>2489.95</v>
      </c>
      <c r="O58" s="18" t="n">
        <v>2198.26</v>
      </c>
      <c r="P58" s="37" t="n">
        <v>2198.26</v>
      </c>
      <c r="Q58" s="18" t="n">
        <v>2016.65</v>
      </c>
      <c r="R58" s="18" t="n">
        <v>1818.78</v>
      </c>
      <c r="S58" s="18" t="n">
        <v>1545.22</v>
      </c>
      <c r="T58" s="18" t="n">
        <v>1334.37</v>
      </c>
      <c r="U58" s="37" t="n">
        <v>1334.37</v>
      </c>
      <c r="V58" s="18" t="n">
        <v>1149.11</v>
      </c>
      <c r="W58" s="18" t="n">
        <v>949.1</v>
      </c>
      <c r="X58" s="18" t="n">
        <v>1087.45</v>
      </c>
      <c r="Y58" s="18" t="n">
        <v>885.7</v>
      </c>
      <c r="Z58" s="37" t="n">
        <v>885.7</v>
      </c>
      <c r="AA58" s="18" t="n">
        <v>15141.55</v>
      </c>
      <c r="AB58" s="19" t="n">
        <v>19047.16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장기금융부채(face)</t>
        </is>
      </c>
      <c r="F59" s="9" t="n"/>
      <c r="K59" s="9" t="n"/>
      <c r="M59" s="18" t="n">
        <v>2608.54</v>
      </c>
      <c r="N59" s="18" t="n">
        <v>2489.95</v>
      </c>
      <c r="O59" s="18" t="n">
        <v>2198.26</v>
      </c>
      <c r="P59" s="37" t="n">
        <v>2198.26</v>
      </c>
      <c r="Q59" s="18" t="n">
        <v>2016.65</v>
      </c>
      <c r="R59" s="18" t="n">
        <v>1818.78</v>
      </c>
      <c r="S59" s="18" t="n">
        <v>1545.22</v>
      </c>
      <c r="T59" s="18" t="n">
        <v>1334.37</v>
      </c>
      <c r="U59" s="37" t="n">
        <v>1334.37</v>
      </c>
      <c r="V59" s="18" t="n">
        <v>1149.11</v>
      </c>
      <c r="W59" s="18" t="n">
        <v>949.1</v>
      </c>
      <c r="X59" s="18" t="n">
        <v>1087.45</v>
      </c>
      <c r="Y59" s="18" t="n">
        <v>885.7</v>
      </c>
      <c r="Z59" s="37" t="n">
        <v>885.7</v>
      </c>
      <c r="AA59" s="18" t="n">
        <v>15141.55</v>
      </c>
      <c r="AB59" s="19" t="n">
        <v>19047.16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투자부동산</t>
        </is>
      </c>
      <c r="F60" s="9" t="n"/>
      <c r="K60" s="9" t="n"/>
      <c r="O60" s="18" t="n">
        <v>106753.4</v>
      </c>
      <c r="P60" s="37" t="n">
        <v>106753.4</v>
      </c>
      <c r="Q60" s="18" t="n">
        <v>106753.4</v>
      </c>
      <c r="R60" s="18" t="n">
        <v>106753.4</v>
      </c>
      <c r="S60" s="18" t="n">
        <v>106753.27</v>
      </c>
      <c r="U60" s="9" t="n"/>
      <c r="Y60" s="18" t="n">
        <v>0</v>
      </c>
      <c r="Z60" s="37" t="n">
        <v>0</v>
      </c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이연법인세자산</t>
        </is>
      </c>
      <c r="F61" s="9" t="n"/>
      <c r="K61" s="9" t="n"/>
      <c r="P61" s="9" t="n"/>
      <c r="T61" s="18" t="n">
        <v>38151.42</v>
      </c>
      <c r="U61" s="37" t="n">
        <v>38151.42</v>
      </c>
      <c r="V61" s="18" t="n">
        <v>37325.2</v>
      </c>
      <c r="W61" s="18" t="n">
        <v>37050.04</v>
      </c>
      <c r="X61" s="18" t="n">
        <v>35912.36</v>
      </c>
      <c r="Y61" s="18" t="n">
        <v>46207.18</v>
      </c>
      <c r="Z61" s="37" t="n">
        <v>46207.18</v>
      </c>
      <c r="AA61" s="18" t="n">
        <v>43173.09</v>
      </c>
      <c r="AB61" s="19" t="n">
        <v>41569.98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비지배주주지분</t>
        </is>
      </c>
      <c r="F62" s="9" t="n"/>
      <c r="K62" s="9" t="n"/>
      <c r="P62" s="9" t="n"/>
      <c r="U62" s="9" t="n"/>
      <c r="Y62" s="18" t="n">
        <v>0</v>
      </c>
      <c r="Z62" s="37" t="n">
        <v>0</v>
      </c>
      <c r="AA62" s="18" t="n">
        <v>0</v>
      </c>
      <c r="AB62" s="19" t="n">
        <v>0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매출액(수익)</t>
        </is>
      </c>
      <c r="E63" s="18" t="n">
        <v>46868.7</v>
      </c>
      <c r="F63" s="9" t="n"/>
      <c r="G63" s="18" t="n">
        <v>21708.88</v>
      </c>
      <c r="H63" s="18" t="n">
        <v>57382.22</v>
      </c>
      <c r="I63" s="18" t="n">
        <v>53010.37</v>
      </c>
      <c r="J63" s="18" t="n">
        <v>47226.67</v>
      </c>
      <c r="K63" s="37" t="n">
        <v>179328.14</v>
      </c>
      <c r="L63" s="18" t="n">
        <v>21201.85</v>
      </c>
      <c r="M63" s="18" t="n">
        <v>75591.33</v>
      </c>
      <c r="N63" s="18" t="n">
        <v>69355.95</v>
      </c>
      <c r="O63" s="18" t="n">
        <v>78871.67</v>
      </c>
      <c r="P63" s="37" t="n">
        <v>245020.8</v>
      </c>
      <c r="Q63" s="18" t="n">
        <v>61359.07</v>
      </c>
      <c r="R63" s="18" t="n">
        <v>85092.78999999999</v>
      </c>
      <c r="S63" s="18" t="n">
        <v>80788.2</v>
      </c>
      <c r="T63" s="18" t="n">
        <v>88553.92999999999</v>
      </c>
      <c r="U63" s="37" t="n">
        <v>315793.99</v>
      </c>
      <c r="V63" s="18" t="n">
        <v>83018.60000000001</v>
      </c>
      <c r="W63" s="18" t="n">
        <v>99233.11</v>
      </c>
      <c r="X63" s="18" t="n">
        <v>109168.87</v>
      </c>
      <c r="Y63" s="18" t="n">
        <v>110975.64</v>
      </c>
      <c r="Z63" s="37" t="n">
        <v>402396.22</v>
      </c>
      <c r="AA63" s="18" t="n">
        <v>133460.98</v>
      </c>
      <c r="AB63" s="19" t="n">
        <v>128119.41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매출원가</t>
        </is>
      </c>
      <c r="E64" s="18" t="n">
        <v>40221.04</v>
      </c>
      <c r="F64" s="9" t="n"/>
      <c r="G64" s="18" t="n">
        <v>18417.45</v>
      </c>
      <c r="H64" s="18" t="n">
        <v>53524.71</v>
      </c>
      <c r="I64" s="18" t="n">
        <v>44339.11</v>
      </c>
      <c r="J64" s="18" t="n">
        <v>33992.78</v>
      </c>
      <c r="K64" s="37" t="n">
        <v>150274.05</v>
      </c>
      <c r="L64" s="18" t="n">
        <v>16190.03</v>
      </c>
      <c r="M64" s="18" t="n">
        <v>64341.08</v>
      </c>
      <c r="N64" s="18" t="n">
        <v>56503.21</v>
      </c>
      <c r="O64" s="18" t="n">
        <v>65121.27</v>
      </c>
      <c r="P64" s="37" t="n">
        <v>202155.59</v>
      </c>
      <c r="Q64" s="18" t="n">
        <v>49990.79</v>
      </c>
      <c r="R64" s="18" t="n">
        <v>68599.98</v>
      </c>
      <c r="S64" s="18" t="n">
        <v>62414.63</v>
      </c>
      <c r="T64" s="18" t="n">
        <v>65188.12</v>
      </c>
      <c r="U64" s="37" t="n">
        <v>246193.52</v>
      </c>
      <c r="V64" s="18" t="n">
        <v>66622.27</v>
      </c>
      <c r="W64" s="18" t="n">
        <v>74669.38</v>
      </c>
      <c r="X64" s="18" t="n">
        <v>81769.52</v>
      </c>
      <c r="Y64" s="18" t="n">
        <v>76697.86</v>
      </c>
      <c r="Z64" s="37" t="n">
        <v>299759.03</v>
      </c>
      <c r="AA64" s="18" t="n">
        <v>92755.33</v>
      </c>
      <c r="AB64" s="19" t="n">
        <v>89526.58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매출총이익</t>
        </is>
      </c>
      <c r="E65" s="18" t="n">
        <v>6647.66</v>
      </c>
      <c r="F65" s="9" t="n"/>
      <c r="G65" s="18" t="n">
        <v>3291.43</v>
      </c>
      <c r="H65" s="18" t="n">
        <v>3857.51</v>
      </c>
      <c r="I65" s="18" t="n">
        <v>8671.26</v>
      </c>
      <c r="J65" s="18" t="n">
        <v>13233.9</v>
      </c>
      <c r="K65" s="37" t="n">
        <v>29054.1</v>
      </c>
      <c r="L65" s="18" t="n">
        <v>5011.82</v>
      </c>
      <c r="M65" s="18" t="n">
        <v>11250.25</v>
      </c>
      <c r="N65" s="18" t="n">
        <v>12852.74</v>
      </c>
      <c r="O65" s="18" t="n">
        <v>13750.4</v>
      </c>
      <c r="P65" s="37" t="n">
        <v>42865.21</v>
      </c>
      <c r="Q65" s="18" t="n">
        <v>11368.28</v>
      </c>
      <c r="R65" s="18" t="n">
        <v>16492.81</v>
      </c>
      <c r="S65" s="18" t="n">
        <v>18373.57</v>
      </c>
      <c r="T65" s="18" t="n">
        <v>23365.81</v>
      </c>
      <c r="U65" s="37" t="n">
        <v>69600.47</v>
      </c>
      <c r="V65" s="18" t="n">
        <v>16396.34</v>
      </c>
      <c r="W65" s="18" t="n">
        <v>24563.73</v>
      </c>
      <c r="X65" s="18" t="n">
        <v>27399.35</v>
      </c>
      <c r="Y65" s="18" t="n">
        <v>34277.8</v>
      </c>
      <c r="Z65" s="37" t="n">
        <v>102637.22</v>
      </c>
      <c r="AA65" s="18" t="n">
        <v>40705.65</v>
      </c>
      <c r="AB65" s="19" t="n">
        <v>38592.83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판관비</t>
        </is>
      </c>
      <c r="E66" s="18" t="n">
        <v>5344.25</v>
      </c>
      <c r="F66" s="9" t="n"/>
      <c r="G66" s="18" t="n">
        <v>4721.69</v>
      </c>
      <c r="H66" s="18" t="n">
        <v>3390.17</v>
      </c>
      <c r="I66" s="18" t="n">
        <v>4613.24</v>
      </c>
      <c r="J66" s="18" t="n">
        <v>4986.85</v>
      </c>
      <c r="K66" s="37" t="n">
        <v>17711.95</v>
      </c>
      <c r="L66" s="18" t="n">
        <v>4998.96</v>
      </c>
      <c r="M66" s="18" t="n">
        <v>5809.94</v>
      </c>
      <c r="N66" s="18" t="n">
        <v>6260.52</v>
      </c>
      <c r="O66" s="18" t="n">
        <v>7870.78</v>
      </c>
      <c r="P66" s="37" t="n">
        <v>24940.2</v>
      </c>
      <c r="Q66" s="18" t="n">
        <v>5121.06</v>
      </c>
      <c r="R66" s="18" t="n">
        <v>7488.43</v>
      </c>
      <c r="S66" s="18" t="n">
        <v>9566.280000000001</v>
      </c>
      <c r="T66" s="18" t="n">
        <v>14231.04</v>
      </c>
      <c r="U66" s="37" t="n">
        <v>36406.81</v>
      </c>
      <c r="V66" s="18" t="n">
        <v>6124.26</v>
      </c>
      <c r="W66" s="18" t="n">
        <v>7101.32</v>
      </c>
      <c r="X66" s="18" t="n">
        <v>7111.14</v>
      </c>
      <c r="Y66" s="18" t="n">
        <v>6388.89</v>
      </c>
      <c r="Z66" s="37" t="n">
        <v>26725.61</v>
      </c>
      <c r="AA66" s="18" t="n">
        <v>8141.94</v>
      </c>
      <c r="AB66" s="19" t="n">
        <v>7307.3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영업이익</t>
        </is>
      </c>
      <c r="E67" s="18" t="n">
        <v>1303.41</v>
      </c>
      <c r="F67" s="9" t="n"/>
      <c r="G67" s="18" t="n">
        <v>-1430.26</v>
      </c>
      <c r="H67" s="18" t="n">
        <v>467.34</v>
      </c>
      <c r="I67" s="18" t="n">
        <v>4058.02</v>
      </c>
      <c r="J67" s="18" t="n">
        <v>8247.049999999999</v>
      </c>
      <c r="K67" s="37" t="n">
        <v>11342.15</v>
      </c>
      <c r="L67" s="18" t="n">
        <v>12.86</v>
      </c>
      <c r="M67" s="18" t="n">
        <v>5440.31</v>
      </c>
      <c r="N67" s="18" t="n">
        <v>6592.22</v>
      </c>
      <c r="O67" s="18" t="n">
        <v>5879.61</v>
      </c>
      <c r="P67" s="37" t="n">
        <v>17925</v>
      </c>
      <c r="Q67" s="18" t="n">
        <v>6247.22</v>
      </c>
      <c r="R67" s="18" t="n">
        <v>9004.370000000001</v>
      </c>
      <c r="S67" s="18" t="n">
        <v>8807.290000000001</v>
      </c>
      <c r="T67" s="18" t="n">
        <v>9134.77</v>
      </c>
      <c r="U67" s="37" t="n">
        <v>33193.65</v>
      </c>
      <c r="V67" s="18" t="n">
        <v>10272.07</v>
      </c>
      <c r="W67" s="18" t="n">
        <v>17462.41</v>
      </c>
      <c r="X67" s="18" t="n">
        <v>20288.22</v>
      </c>
      <c r="Y67" s="18" t="n">
        <v>27888.89</v>
      </c>
      <c r="Z67" s="37" t="n">
        <v>75911.59</v>
      </c>
      <c r="AA67" s="18" t="n">
        <v>32563.71</v>
      </c>
      <c r="AB67" s="19" t="n">
        <v>31285.53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기타영업외수익</t>
        </is>
      </c>
      <c r="E68" s="18" t="n">
        <v>17439.43</v>
      </c>
      <c r="F68" s="9" t="n"/>
      <c r="G68" s="18" t="n">
        <v>772.1900000000001</v>
      </c>
      <c r="H68" s="18" t="n">
        <v>1641.19</v>
      </c>
      <c r="I68" s="18" t="n">
        <v>7288.07</v>
      </c>
      <c r="J68" s="18" t="n">
        <v>60.15</v>
      </c>
      <c r="K68" s="37" t="n">
        <v>9761.6</v>
      </c>
      <c r="L68" s="18" t="n">
        <v>698.3200000000001</v>
      </c>
      <c r="M68" s="18" t="n">
        <v>1352.81</v>
      </c>
      <c r="N68" s="18" t="n">
        <v>18.37</v>
      </c>
      <c r="O68" s="18" t="n">
        <v>5703.11</v>
      </c>
      <c r="P68" s="37" t="n">
        <v>7772.61</v>
      </c>
      <c r="Q68" s="18" t="n">
        <v>27.8</v>
      </c>
      <c r="R68" s="18" t="n">
        <v>378.54</v>
      </c>
      <c r="S68" s="18" t="n">
        <v>3284.21</v>
      </c>
      <c r="T68" s="18" t="n">
        <v>756.73</v>
      </c>
      <c r="U68" s="37" t="n">
        <v>4447.28</v>
      </c>
      <c r="V68" s="18" t="n">
        <v>6914.7</v>
      </c>
      <c r="W68" s="18" t="n">
        <v>15.66</v>
      </c>
      <c r="X68" s="18" t="n">
        <v>-27.49</v>
      </c>
      <c r="Y68" s="18" t="n">
        <v>71977.86</v>
      </c>
      <c r="Z68" s="37" t="n">
        <v>78880.73</v>
      </c>
      <c r="AA68" s="18" t="n">
        <v>529.42</v>
      </c>
      <c r="AB68" s="19" t="n">
        <v>328.76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기타영업외비용</t>
        </is>
      </c>
      <c r="E69" s="18" t="n">
        <v>4674.63</v>
      </c>
      <c r="F69" s="9" t="n"/>
      <c r="G69" s="18" t="n">
        <v>24.94</v>
      </c>
      <c r="H69" s="18" t="n">
        <v>2.95</v>
      </c>
      <c r="I69" s="18" t="n">
        <v>7.03</v>
      </c>
      <c r="J69" s="18" t="n">
        <v>-10.92</v>
      </c>
      <c r="K69" s="37" t="n">
        <v>24</v>
      </c>
      <c r="L69" s="18" t="n">
        <v>20.68</v>
      </c>
      <c r="M69" s="18" t="n">
        <v>342.86</v>
      </c>
      <c r="N69" s="18" t="n">
        <v>6312.88</v>
      </c>
      <c r="O69" s="18" t="n">
        <v>-264.41</v>
      </c>
      <c r="P69" s="37" t="n">
        <v>6412.01</v>
      </c>
      <c r="Q69" s="18" t="n">
        <v>234.94</v>
      </c>
      <c r="R69" s="18" t="n">
        <v>209.62</v>
      </c>
      <c r="S69" s="18" t="n">
        <v>36.88</v>
      </c>
      <c r="T69" s="18" t="n">
        <v>16222.91</v>
      </c>
      <c r="U69" s="37" t="n">
        <v>16704.35</v>
      </c>
      <c r="V69" s="18" t="n">
        <v>65.88</v>
      </c>
      <c r="W69" s="18" t="n">
        <v>746.5700000000001</v>
      </c>
      <c r="X69" s="18" t="n">
        <v>952.9400000000001</v>
      </c>
      <c r="Y69" s="18" t="n">
        <v>863.87</v>
      </c>
      <c r="Z69" s="37" t="n">
        <v>2629.26</v>
      </c>
      <c r="AA69" s="18" t="n">
        <v>6.94</v>
      </c>
      <c r="AB69" s="19" t="n">
        <v>400.75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금융수익</t>
        </is>
      </c>
      <c r="E70" s="18" t="n">
        <v>329.85</v>
      </c>
      <c r="F70" s="9" t="n"/>
      <c r="G70" s="18" t="n">
        <v>916.36</v>
      </c>
      <c r="H70" s="18" t="n">
        <v>2066.31</v>
      </c>
      <c r="I70" s="18" t="n">
        <v>3512.11</v>
      </c>
      <c r="J70" s="18" t="n">
        <v>-725.36</v>
      </c>
      <c r="K70" s="37" t="n">
        <v>5769.42</v>
      </c>
      <c r="L70" s="18" t="n">
        <v>2240.94</v>
      </c>
      <c r="M70" s="18" t="n">
        <v>1603.1</v>
      </c>
      <c r="N70" s="18" t="n">
        <v>1778.67</v>
      </c>
      <c r="O70" s="18" t="n">
        <v>657.3</v>
      </c>
      <c r="P70" s="37" t="n">
        <v>6280.01</v>
      </c>
      <c r="Q70" s="18" t="n">
        <v>2560</v>
      </c>
      <c r="R70" s="18" t="n">
        <v>3162.35</v>
      </c>
      <c r="S70" s="18" t="n">
        <v>591.24</v>
      </c>
      <c r="T70" s="18" t="n">
        <v>8427.01</v>
      </c>
      <c r="U70" s="37" t="n">
        <v>14740.6</v>
      </c>
      <c r="V70" s="18" t="n">
        <v>2569.55</v>
      </c>
      <c r="W70" s="18" t="n">
        <v>2968.91</v>
      </c>
      <c r="X70" s="18" t="n">
        <v>5037.39</v>
      </c>
      <c r="Y70" s="18" t="n">
        <v>6317.5</v>
      </c>
      <c r="Z70" s="37" t="n">
        <v>16893.35</v>
      </c>
      <c r="AA70" s="18" t="n">
        <v>10043.46</v>
      </c>
      <c r="AB70" s="19" t="n">
        <v>6951.96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금융비용</t>
        </is>
      </c>
      <c r="E71" s="18" t="n">
        <v>2482.24</v>
      </c>
      <c r="F71" s="9" t="n"/>
      <c r="G71" s="18" t="n">
        <v>1858.83</v>
      </c>
      <c r="H71" s="18" t="n">
        <v>1940.34</v>
      </c>
      <c r="I71" s="18" t="n">
        <v>2421.44</v>
      </c>
      <c r="J71" s="18" t="n">
        <v>4961.73</v>
      </c>
      <c r="K71" s="37" t="n">
        <v>11182.34</v>
      </c>
      <c r="L71" s="18" t="n">
        <v>3009.51</v>
      </c>
      <c r="M71" s="18" t="n">
        <v>2245.27</v>
      </c>
      <c r="N71" s="18" t="n">
        <v>2329.37</v>
      </c>
      <c r="O71" s="18" t="n">
        <v>3190.54</v>
      </c>
      <c r="P71" s="37" t="n">
        <v>10774.69</v>
      </c>
      <c r="Q71" s="18" t="n">
        <v>1751.89</v>
      </c>
      <c r="R71" s="18" t="n">
        <v>1769.58</v>
      </c>
      <c r="S71" s="18" t="n">
        <v>2301.12</v>
      </c>
      <c r="T71" s="18" t="n">
        <v>2152.71</v>
      </c>
      <c r="U71" s="37" t="n">
        <v>7975.3</v>
      </c>
      <c r="V71" s="18" t="n">
        <v>2879.96</v>
      </c>
      <c r="W71" s="18" t="n">
        <v>2522.9</v>
      </c>
      <c r="X71" s="18" t="n">
        <v>696.92</v>
      </c>
      <c r="Y71" s="18" t="n">
        <v>2465.32</v>
      </c>
      <c r="Z71" s="37" t="n">
        <v>8565.1</v>
      </c>
      <c r="AA71" s="18" t="n">
        <v>8291.93</v>
      </c>
      <c r="AB71" s="19" t="n">
        <v>2702.4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법인세비용차감전계속사업이익</t>
        </is>
      </c>
      <c r="E72" s="18" t="n">
        <v>11915.83</v>
      </c>
      <c r="F72" s="9" t="n"/>
      <c r="G72" s="18" t="n">
        <v>-1625.48</v>
      </c>
      <c r="H72" s="18" t="n">
        <v>2231.54</v>
      </c>
      <c r="I72" s="18" t="n">
        <v>12429.72</v>
      </c>
      <c r="J72" s="18" t="n">
        <v>2631.04</v>
      </c>
      <c r="K72" s="37" t="n">
        <v>15666.82</v>
      </c>
      <c r="L72" s="18" t="n">
        <v>-78.06999999999999</v>
      </c>
      <c r="M72" s="18" t="n">
        <v>5808.1</v>
      </c>
      <c r="N72" s="18" t="n">
        <v>-253</v>
      </c>
      <c r="O72" s="18" t="n">
        <v>9313.879999999999</v>
      </c>
      <c r="P72" s="37" t="n">
        <v>14790.91</v>
      </c>
      <c r="Q72" s="18" t="n">
        <v>6848.19</v>
      </c>
      <c r="R72" s="18" t="n">
        <v>10566.06</v>
      </c>
      <c r="S72" s="18" t="n">
        <v>10344.75</v>
      </c>
      <c r="T72" s="18" t="n">
        <v>-57.11</v>
      </c>
      <c r="U72" s="37" t="n">
        <v>27701.89</v>
      </c>
      <c r="V72" s="18" t="n">
        <v>16810.49</v>
      </c>
      <c r="W72" s="18" t="n">
        <v>17177.51</v>
      </c>
      <c r="X72" s="18" t="n">
        <v>23648.26</v>
      </c>
      <c r="Y72" s="18" t="n">
        <v>102855.07</v>
      </c>
      <c r="Z72" s="37" t="n">
        <v>160491.33</v>
      </c>
      <c r="AA72" s="18" t="n">
        <v>34837.71</v>
      </c>
      <c r="AB72" s="19" t="n">
        <v>35463.09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</t>
        </is>
      </c>
      <c r="E73" s="18" t="n">
        <v>2677.36</v>
      </c>
      <c r="F73" s="9" t="n"/>
      <c r="G73" s="18" t="n">
        <v>2.69</v>
      </c>
      <c r="H73" s="18" t="n">
        <v>1516.43</v>
      </c>
      <c r="J73" s="18" t="n">
        <v>-949.87</v>
      </c>
      <c r="K73" s="9" t="n"/>
      <c r="L73" s="18" t="n">
        <v>-95.38</v>
      </c>
      <c r="M73" s="18" t="n">
        <v>-21.14</v>
      </c>
      <c r="N73" s="18" t="n">
        <v>-8.460000000000001</v>
      </c>
      <c r="O73" s="18" t="n">
        <v>-16516.98</v>
      </c>
      <c r="P73" s="37" t="n">
        <v>-16641.96</v>
      </c>
      <c r="Q73" s="18" t="n">
        <v>1.95</v>
      </c>
      <c r="R73" s="18" t="n">
        <v>1182.01</v>
      </c>
      <c r="S73" s="18" t="n">
        <v>832.75</v>
      </c>
      <c r="T73" s="18" t="n">
        <v>-50231.49</v>
      </c>
      <c r="U73" s="37" t="n">
        <v>-48214.78</v>
      </c>
      <c r="V73" s="18" t="n">
        <v>2947.12</v>
      </c>
      <c r="W73" s="18" t="n">
        <v>618.62</v>
      </c>
      <c r="X73" s="18" t="n">
        <v>1060.26</v>
      </c>
      <c r="Y73" s="18" t="n">
        <v>-9236.32</v>
      </c>
      <c r="Z73" s="37" t="n">
        <v>-4610.32</v>
      </c>
      <c r="AA73" s="18" t="n">
        <v>6689.86</v>
      </c>
      <c r="AB73" s="19" t="n">
        <v>3589.7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계속사업이익</t>
        </is>
      </c>
      <c r="E74" s="18" t="n">
        <v>9238.459999999999</v>
      </c>
      <c r="F74" s="9" t="n"/>
      <c r="G74" s="18" t="n">
        <v>-1628.17</v>
      </c>
      <c r="H74" s="18" t="n">
        <v>715.11</v>
      </c>
      <c r="I74" s="18" t="n">
        <v>12429.72</v>
      </c>
      <c r="J74" s="18" t="n">
        <v>3580.9</v>
      </c>
      <c r="K74" s="37" t="n">
        <v>15097.56</v>
      </c>
      <c r="L74" s="18" t="n">
        <v>17.31</v>
      </c>
      <c r="M74" s="18" t="n">
        <v>5829.24</v>
      </c>
      <c r="N74" s="18" t="n">
        <v>-244.54</v>
      </c>
      <c r="O74" s="18" t="n">
        <v>25830.86</v>
      </c>
      <c r="P74" s="37" t="n">
        <v>31432.87</v>
      </c>
      <c r="Q74" s="18" t="n">
        <v>6846.24</v>
      </c>
      <c r="R74" s="18" t="n">
        <v>9384.059999999999</v>
      </c>
      <c r="S74" s="18" t="n">
        <v>9512</v>
      </c>
      <c r="T74" s="18" t="n">
        <v>50174.39</v>
      </c>
      <c r="U74" s="37" t="n">
        <v>75916.69</v>
      </c>
      <c r="V74" s="18" t="n">
        <v>13863.37</v>
      </c>
      <c r="W74" s="18" t="n">
        <v>16558.89</v>
      </c>
      <c r="X74" s="18" t="n">
        <v>22588</v>
      </c>
      <c r="Y74" s="18" t="n">
        <v>112091.38</v>
      </c>
      <c r="Z74" s="37" t="n">
        <v>165101.64</v>
      </c>
      <c r="AA74" s="18" t="n">
        <v>28147.85</v>
      </c>
      <c r="AB74" s="19" t="n">
        <v>31873.39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당기순이익</t>
        </is>
      </c>
      <c r="E75" s="18" t="n">
        <v>9238.459999999999</v>
      </c>
      <c r="F75" s="9" t="n"/>
      <c r="G75" s="18" t="n">
        <v>-1628.17</v>
      </c>
      <c r="H75" s="18" t="n">
        <v>715.11</v>
      </c>
      <c r="I75" s="18" t="n">
        <v>12429.72</v>
      </c>
      <c r="J75" s="18" t="n">
        <v>2627.27</v>
      </c>
      <c r="K75" s="37" t="n">
        <v>14143.93</v>
      </c>
      <c r="L75" s="18" t="n">
        <v>40.71</v>
      </c>
      <c r="M75" s="18" t="n">
        <v>5829.24</v>
      </c>
      <c r="N75" s="18" t="n">
        <v>-244.54</v>
      </c>
      <c r="O75" s="18" t="n">
        <v>26016.09</v>
      </c>
      <c r="P75" s="37" t="n">
        <v>31641.5</v>
      </c>
      <c r="Q75" s="18" t="n">
        <v>6705.51</v>
      </c>
      <c r="R75" s="18" t="n">
        <v>9383.200000000001</v>
      </c>
      <c r="S75" s="18" t="n">
        <v>9512</v>
      </c>
      <c r="T75" s="18" t="n">
        <v>50174.38</v>
      </c>
      <c r="U75" s="37" t="n">
        <v>75775.09</v>
      </c>
      <c r="V75" s="18" t="n">
        <v>13863.37</v>
      </c>
      <c r="W75" s="18" t="n">
        <v>16558.89</v>
      </c>
      <c r="X75" s="18" t="n">
        <v>22588</v>
      </c>
      <c r="Y75" s="18" t="n">
        <v>112091.38</v>
      </c>
      <c r="Z75" s="37" t="n">
        <v>165101.64</v>
      </c>
      <c r="AA75" s="18" t="n">
        <v>28147.85</v>
      </c>
      <c r="AB75" s="19" t="n">
        <v>31873.39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총포괄손익</t>
        </is>
      </c>
      <c r="E76" s="18" t="n">
        <v>12662.05</v>
      </c>
      <c r="F76" s="9" t="n"/>
      <c r="G76" s="18" t="n">
        <v>-1757.87</v>
      </c>
      <c r="H76" s="18" t="n">
        <v>-5196</v>
      </c>
      <c r="I76" s="18" t="n">
        <v>6901.37</v>
      </c>
      <c r="J76" s="18" t="n">
        <v>31580.66</v>
      </c>
      <c r="K76" s="37" t="n">
        <v>31528.16</v>
      </c>
      <c r="L76" s="18" t="n">
        <v>-170.84</v>
      </c>
      <c r="M76" s="18" t="n">
        <v>5557.93</v>
      </c>
      <c r="N76" s="18" t="n">
        <v>-1727.51</v>
      </c>
      <c r="O76" s="18" t="n">
        <v>29581.22</v>
      </c>
      <c r="P76" s="37" t="n">
        <v>33240.8</v>
      </c>
      <c r="Q76" s="18" t="n">
        <v>5281.71</v>
      </c>
      <c r="R76" s="18" t="n">
        <v>7660.73</v>
      </c>
      <c r="S76" s="18" t="n">
        <v>12663.8</v>
      </c>
      <c r="T76" s="18" t="n">
        <v>16258.15</v>
      </c>
      <c r="U76" s="37" t="n">
        <v>41864.39</v>
      </c>
      <c r="V76" s="18" t="n">
        <v>17427.37</v>
      </c>
      <c r="W76" s="18" t="n">
        <v>30356.52</v>
      </c>
      <c r="X76" s="18" t="n">
        <v>18508.12</v>
      </c>
      <c r="Y76" s="18" t="n">
        <v>113245.62</v>
      </c>
      <c r="Z76" s="37" t="n">
        <v>179537.63</v>
      </c>
      <c r="AA76" s="18" t="n">
        <v>10784.89</v>
      </c>
      <c r="AB76" s="19" t="n">
        <v>22345.44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금융손익</t>
        </is>
      </c>
      <c r="E77" s="18" t="n">
        <v>-2152.39</v>
      </c>
      <c r="F77" s="9" t="n"/>
      <c r="G77" s="18" t="n">
        <v>-942.47</v>
      </c>
      <c r="H77" s="18" t="n">
        <v>125.97</v>
      </c>
      <c r="I77" s="18" t="n">
        <v>1090.67</v>
      </c>
      <c r="J77" s="18" t="n">
        <v>-5687.09</v>
      </c>
      <c r="K77" s="37" t="n">
        <v>-5412.92</v>
      </c>
      <c r="L77" s="18" t="n">
        <v>-768.5700000000001</v>
      </c>
      <c r="M77" s="18" t="n">
        <v>-642.17</v>
      </c>
      <c r="N77" s="18" t="n">
        <v>-550.7</v>
      </c>
      <c r="O77" s="18" t="n">
        <v>-2533.24</v>
      </c>
      <c r="P77" s="37" t="n">
        <v>-4494.68</v>
      </c>
      <c r="Q77" s="18" t="n">
        <v>808.11</v>
      </c>
      <c r="R77" s="18" t="n">
        <v>1392.77</v>
      </c>
      <c r="S77" s="18" t="n">
        <v>-1709.88</v>
      </c>
      <c r="T77" s="18" t="n">
        <v>6274.3</v>
      </c>
      <c r="U77" s="37" t="n">
        <v>6765.3</v>
      </c>
      <c r="V77" s="18" t="n">
        <v>-310.41</v>
      </c>
      <c r="W77" s="18" t="n">
        <v>446.01</v>
      </c>
      <c r="X77" s="18" t="n">
        <v>4340.47</v>
      </c>
      <c r="Y77" s="18" t="n">
        <v>3852.18</v>
      </c>
      <c r="Z77" s="37" t="n">
        <v>8328.25</v>
      </c>
      <c r="AA77" s="18" t="n">
        <v>1751.53</v>
      </c>
      <c r="AB77" s="19" t="n">
        <v>4249.56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기타영업외손익</t>
        </is>
      </c>
      <c r="E78" s="18" t="n">
        <v>12764.8</v>
      </c>
      <c r="F78" s="9" t="n"/>
      <c r="G78" s="18" t="n">
        <v>747.25</v>
      </c>
      <c r="H78" s="18" t="n">
        <v>1638.24</v>
      </c>
      <c r="I78" s="18" t="n">
        <v>7281.04</v>
      </c>
      <c r="J78" s="18" t="n">
        <v>71.06999999999999</v>
      </c>
      <c r="K78" s="37" t="n">
        <v>9737.6</v>
      </c>
      <c r="L78" s="18" t="n">
        <v>677.64</v>
      </c>
      <c r="M78" s="18" t="n">
        <v>1009.95</v>
      </c>
      <c r="N78" s="18" t="n">
        <v>-6294.51</v>
      </c>
      <c r="O78" s="18" t="n">
        <v>5967.52</v>
      </c>
      <c r="P78" s="37" t="n">
        <v>1360.6</v>
      </c>
      <c r="Q78" s="18" t="n">
        <v>-207.14</v>
      </c>
      <c r="R78" s="18" t="n">
        <v>168.92</v>
      </c>
      <c r="S78" s="18" t="n">
        <v>3247.33</v>
      </c>
      <c r="T78" s="18" t="n">
        <v>-15466.18</v>
      </c>
      <c r="U78" s="37" t="n">
        <v>-12257.07</v>
      </c>
      <c r="V78" s="18" t="n">
        <v>6848.82</v>
      </c>
      <c r="W78" s="18" t="n">
        <v>-730.91</v>
      </c>
      <c r="X78" s="18" t="n">
        <v>-980.4299999999999</v>
      </c>
      <c r="Y78" s="18" t="n">
        <v>71113.99000000001</v>
      </c>
      <c r="Z78" s="37" t="n">
        <v>76251.47</v>
      </c>
      <c r="AA78" s="18" t="n">
        <v>522.48</v>
      </c>
      <c r="AB78" s="19" t="n">
        <v>-71.98999999999999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(지배주주지분)당기순이익</t>
        </is>
      </c>
      <c r="E79" s="18" t="n">
        <v>9238.459999999999</v>
      </c>
      <c r="F79" s="9" t="n"/>
      <c r="G79" s="18" t="n">
        <v>-1628.17</v>
      </c>
      <c r="H79" s="18" t="n">
        <v>715.11</v>
      </c>
      <c r="I79" s="18" t="n">
        <v>12429.72</v>
      </c>
      <c r="J79" s="18" t="n">
        <v>2627.27</v>
      </c>
      <c r="K79" s="37" t="n">
        <v>14143.93</v>
      </c>
      <c r="L79" s="18" t="n">
        <v>40.71</v>
      </c>
      <c r="M79" s="18" t="n">
        <v>5829.24</v>
      </c>
      <c r="N79" s="18" t="n">
        <v>-244.54</v>
      </c>
      <c r="O79" s="18" t="n">
        <v>26016.09</v>
      </c>
      <c r="P79" s="37" t="n">
        <v>31641.5</v>
      </c>
      <c r="Q79" s="18" t="n">
        <v>6705.51</v>
      </c>
      <c r="R79" s="18" t="n">
        <v>9383.200000000001</v>
      </c>
      <c r="S79" s="18" t="n">
        <v>9512</v>
      </c>
      <c r="T79" s="18" t="n">
        <v>50174.38</v>
      </c>
      <c r="U79" s="37" t="n">
        <v>75775.09</v>
      </c>
      <c r="V79" s="18" t="n">
        <v>13863.37</v>
      </c>
      <c r="W79" s="18" t="n">
        <v>16558.89</v>
      </c>
      <c r="X79" s="18" t="n">
        <v>22588</v>
      </c>
      <c r="Y79" s="18" t="n">
        <v>112091.38</v>
      </c>
      <c r="Z79" s="37" t="n">
        <v>165101.64</v>
      </c>
      <c r="AA79" s="18" t="n">
        <v>28147.85</v>
      </c>
      <c r="AB79" s="19" t="n">
        <v>31873.39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이자수익</t>
        </is>
      </c>
      <c r="F80" s="9" t="n"/>
      <c r="G80" s="18" t="n">
        <v>80.95999999999999</v>
      </c>
      <c r="H80" s="18" t="n">
        <v>274.5</v>
      </c>
      <c r="I80" s="18" t="n">
        <v>247.68</v>
      </c>
      <c r="J80" s="18" t="n">
        <v>268.55</v>
      </c>
      <c r="K80" s="37" t="n">
        <v>871.6900000000001</v>
      </c>
      <c r="L80" s="18" t="n">
        <v>380.23</v>
      </c>
      <c r="M80" s="18" t="n">
        <v>378.46</v>
      </c>
      <c r="N80" s="18" t="n">
        <v>367.48</v>
      </c>
      <c r="O80" s="18" t="n">
        <v>397.24</v>
      </c>
      <c r="P80" s="37" t="n">
        <v>1523.41</v>
      </c>
      <c r="Q80" s="18" t="n">
        <v>640.2</v>
      </c>
      <c r="R80" s="18" t="n">
        <v>785.34</v>
      </c>
      <c r="S80" s="18" t="n">
        <v>997.58</v>
      </c>
      <c r="T80" s="18" t="n">
        <v>4324.93</v>
      </c>
      <c r="U80" s="37" t="n">
        <v>6748.05</v>
      </c>
      <c r="V80" s="18" t="n">
        <v>1604.06</v>
      </c>
      <c r="W80" s="18" t="n">
        <v>1593.46</v>
      </c>
      <c r="X80" s="18" t="n">
        <v>1935.66</v>
      </c>
      <c r="Y80" s="18" t="n">
        <v>2360.25</v>
      </c>
      <c r="Z80" s="37" t="n">
        <v>7493.43</v>
      </c>
      <c r="AA80" s="18" t="n">
        <v>2584.6</v>
      </c>
      <c r="AB80" s="19" t="n">
        <v>2977.15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이자비용</t>
        </is>
      </c>
      <c r="F81" s="9" t="n"/>
      <c r="G81" s="18" t="n">
        <v>1595.58</v>
      </c>
      <c r="H81" s="18" t="n">
        <v>1509.14</v>
      </c>
      <c r="I81" s="18" t="n">
        <v>1767.97</v>
      </c>
      <c r="J81" s="18" t="n">
        <v>1606.84</v>
      </c>
      <c r="K81" s="37" t="n">
        <v>6479.53</v>
      </c>
      <c r="L81" s="18" t="n">
        <v>1545.15</v>
      </c>
      <c r="M81" s="18" t="n">
        <v>1561.96</v>
      </c>
      <c r="N81" s="18" t="n">
        <v>1369.38</v>
      </c>
      <c r="O81" s="18" t="n">
        <v>1281.98</v>
      </c>
      <c r="P81" s="37" t="n">
        <v>5758.47</v>
      </c>
      <c r="Q81" s="18" t="n">
        <v>1267.77</v>
      </c>
      <c r="R81" s="18" t="n">
        <v>1281.88</v>
      </c>
      <c r="S81" s="18" t="n">
        <v>688.27</v>
      </c>
      <c r="T81" s="18" t="n">
        <v>1103.98</v>
      </c>
      <c r="U81" s="37" t="n">
        <v>4341.9</v>
      </c>
      <c r="V81" s="18" t="n">
        <v>33.52</v>
      </c>
      <c r="W81" s="18" t="n">
        <v>30.71</v>
      </c>
      <c r="X81" s="18" t="n">
        <v>32.42</v>
      </c>
      <c r="Y81" s="18" t="n">
        <v>31.05</v>
      </c>
      <c r="Z81" s="37" t="n">
        <v>127.7</v>
      </c>
      <c r="AA81" s="18" t="n">
        <v>70.67</v>
      </c>
      <c r="AB81" s="19" t="n">
        <v>153.84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파생상품이익</t>
        </is>
      </c>
      <c r="F82" s="9" t="n"/>
      <c r="G82" s="18" t="n">
        <v>33.32</v>
      </c>
      <c r="H82" s="18" t="n">
        <v>15.75</v>
      </c>
      <c r="I82" s="18" t="n">
        <v>-25.29</v>
      </c>
      <c r="J82" s="18" t="n">
        <v>-6.13</v>
      </c>
      <c r="K82" s="37" t="n">
        <v>17.65</v>
      </c>
      <c r="L82" s="18" t="n">
        <v>27.99</v>
      </c>
      <c r="M82" s="18" t="n">
        <v>95.98999999999999</v>
      </c>
      <c r="N82" s="18" t="n">
        <v>-123.99</v>
      </c>
      <c r="P82" s="9" t="n"/>
      <c r="S82" s="18" t="n">
        <v>9.4</v>
      </c>
      <c r="U82" s="9" t="n"/>
      <c r="W82" s="18" t="n">
        <v>2362.87</v>
      </c>
      <c r="X82" s="18" t="n">
        <v>-306.41</v>
      </c>
      <c r="Y82" s="18" t="n">
        <v>11313.99</v>
      </c>
      <c r="Z82" s="9" t="n"/>
      <c r="AA82" s="18" t="n">
        <v>-17409.3</v>
      </c>
      <c r="AB82" s="19" t="n">
        <v>-9527.959999999999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이자손익</t>
        </is>
      </c>
      <c r="F83" s="9" t="n"/>
      <c r="G83" s="18" t="n">
        <v>-1514.62</v>
      </c>
      <c r="H83" s="18" t="n">
        <v>-1234.64</v>
      </c>
      <c r="I83" s="18" t="n">
        <v>-1520.29</v>
      </c>
      <c r="J83" s="18" t="n">
        <v>-1338.29</v>
      </c>
      <c r="K83" s="37" t="n">
        <v>-5607.84</v>
      </c>
      <c r="L83" s="18" t="n">
        <v>-1164.92</v>
      </c>
      <c r="M83" s="18" t="n">
        <v>-1183.5</v>
      </c>
      <c r="N83" s="18" t="n">
        <v>-1001.9</v>
      </c>
      <c r="O83" s="18" t="n">
        <v>-884.74</v>
      </c>
      <c r="P83" s="37" t="n">
        <v>-4235.06</v>
      </c>
      <c r="Q83" s="18" t="n">
        <v>-627.5700000000001</v>
      </c>
      <c r="R83" s="18" t="n">
        <v>-496.54</v>
      </c>
      <c r="S83" s="18" t="n">
        <v>309.31</v>
      </c>
      <c r="T83" s="18" t="n">
        <v>3220.95</v>
      </c>
      <c r="U83" s="37" t="n">
        <v>2406.15</v>
      </c>
      <c r="V83" s="18" t="n">
        <v>1570.54</v>
      </c>
      <c r="W83" s="18" t="n">
        <v>1562.75</v>
      </c>
      <c r="X83" s="18" t="n">
        <v>1903.24</v>
      </c>
      <c r="Y83" s="18" t="n">
        <v>2329.2</v>
      </c>
      <c r="Z83" s="37" t="n">
        <v>7365.73</v>
      </c>
      <c r="AA83" s="18" t="n">
        <v>2513.93</v>
      </c>
      <c r="AB83" s="19" t="n">
        <v>2823.31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중단사업이익</t>
        </is>
      </c>
      <c r="F84" s="9" t="n"/>
      <c r="J84" s="18" t="n">
        <v>-953.63</v>
      </c>
      <c r="K84" s="9" t="n"/>
      <c r="L84" s="18" t="n">
        <v>23.4</v>
      </c>
      <c r="M84" s="18" t="n">
        <v>0</v>
      </c>
      <c r="N84" s="18" t="n">
        <v>0</v>
      </c>
      <c r="O84" s="18" t="n">
        <v>185.23</v>
      </c>
      <c r="P84" s="37" t="n">
        <v>208.63</v>
      </c>
      <c r="Q84" s="18" t="n">
        <v>-140.73</v>
      </c>
      <c r="R84" s="18" t="n">
        <v>-0.86</v>
      </c>
      <c r="S84" s="18" t="n">
        <v>0</v>
      </c>
      <c r="T84" s="18" t="n">
        <v>0</v>
      </c>
      <c r="U84" s="37" t="n">
        <v>-141.59</v>
      </c>
      <c r="Y84" s="18" t="n">
        <v>0</v>
      </c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파생상품손실</t>
        </is>
      </c>
      <c r="F85" s="9" t="n"/>
      <c r="K85" s="9" t="n"/>
      <c r="L85" s="18" t="n">
        <v>3.02</v>
      </c>
      <c r="M85" s="18" t="n">
        <v>140.61</v>
      </c>
      <c r="N85" s="18" t="n">
        <v>245.96</v>
      </c>
      <c r="O85" s="18" t="n">
        <v>-311.99</v>
      </c>
      <c r="P85" s="37" t="n">
        <v>77.59999999999999</v>
      </c>
      <c r="Q85" s="18" t="n">
        <v>312.17</v>
      </c>
      <c r="R85" s="18" t="n">
        <v>-50.23</v>
      </c>
      <c r="S85" s="18" t="n">
        <v>-261.93</v>
      </c>
      <c r="U85" s="9" t="n"/>
      <c r="V85" s="18" t="n">
        <v>1503.96</v>
      </c>
      <c r="Z85" s="9" t="n"/>
      <c r="AA85" s="18" t="n">
        <v>4813.46</v>
      </c>
      <c r="AB85" s="19" t="n">
        <v>31.88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외환차익</t>
        </is>
      </c>
      <c r="F86" s="9" t="n"/>
      <c r="K86" s="9" t="n"/>
      <c r="P86" s="9" t="n"/>
      <c r="U86" s="9" t="n"/>
      <c r="W86" s="18" t="n">
        <v>673.16</v>
      </c>
      <c r="X86" s="18" t="n">
        <v>3250.44</v>
      </c>
      <c r="Y86" s="18" t="n">
        <v>3677.31</v>
      </c>
      <c r="Z86" s="9" t="n"/>
      <c r="AA86" s="18" t="n">
        <v>6533.76</v>
      </c>
      <c r="AB86" s="19" t="n">
        <v>3974.81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외환차손</t>
        </is>
      </c>
      <c r="F87" s="9" t="n"/>
      <c r="K87" s="9" t="n"/>
      <c r="P87" s="9" t="n"/>
      <c r="U87" s="9" t="n"/>
      <c r="W87" s="18" t="n">
        <v>3246.69</v>
      </c>
      <c r="X87" s="18" t="n">
        <v>1334.09</v>
      </c>
      <c r="Y87" s="18" t="n">
        <v>1817.49</v>
      </c>
      <c r="Z87" s="9" t="n"/>
      <c r="AA87" s="18" t="n">
        <v>3025.36</v>
      </c>
      <c r="AB87" s="19" t="n">
        <v>1853.97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외화환산손실</t>
        </is>
      </c>
      <c r="F88" s="9" t="n"/>
      <c r="K88" s="9" t="n"/>
      <c r="P88" s="9" t="n"/>
      <c r="U88" s="9" t="n"/>
      <c r="W88" s="18" t="n">
        <v>906.08</v>
      </c>
      <c r="X88" s="18" t="n">
        <v>-669.59</v>
      </c>
      <c r="Y88" s="18" t="n">
        <v>616.78</v>
      </c>
      <c r="Z88" s="9" t="n"/>
      <c r="AA88" s="18" t="n">
        <v>382.43</v>
      </c>
      <c r="AB88" s="19" t="n">
        <v>662.71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외화환산이익</t>
        </is>
      </c>
      <c r="F89" s="9" t="n"/>
      <c r="K89" s="9" t="n"/>
      <c r="P89" s="9" t="n"/>
      <c r="U89" s="9" t="n"/>
      <c r="X89" s="18" t="n">
        <v>157.71</v>
      </c>
      <c r="Y89" s="18" t="n">
        <v>-23.18</v>
      </c>
      <c r="Z89" s="9" t="n"/>
      <c r="AA89" s="18" t="n">
        <v>925.1</v>
      </c>
      <c r="AB89" s="19" t="n">
        <v>0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영업활동으로인한현금흐름</t>
        </is>
      </c>
      <c r="E90" s="18" t="n">
        <v>11206.18</v>
      </c>
      <c r="F90" s="9" t="n"/>
      <c r="G90" s="18" t="n">
        <v>-13219.11</v>
      </c>
      <c r="H90" s="18" t="n">
        <v>-2539.17</v>
      </c>
      <c r="I90" s="18" t="n">
        <v>4691.48</v>
      </c>
      <c r="J90" s="18" t="n">
        <v>-9364.360000000001</v>
      </c>
      <c r="K90" s="37" t="n">
        <v>-20431.16</v>
      </c>
      <c r="L90" s="18" t="n">
        <v>3447.57</v>
      </c>
      <c r="M90" s="18" t="n">
        <v>-6456.83</v>
      </c>
      <c r="N90" s="18" t="n">
        <v>7608.5</v>
      </c>
      <c r="O90" s="18" t="n">
        <v>31774.82</v>
      </c>
      <c r="P90" s="37" t="n">
        <v>36374.06</v>
      </c>
      <c r="Q90" s="18" t="n">
        <v>2027.83</v>
      </c>
      <c r="R90" s="18" t="n">
        <v>31264.96</v>
      </c>
      <c r="S90" s="18" t="n">
        <v>1021.58</v>
      </c>
      <c r="T90" s="18" t="n">
        <v>67122.2</v>
      </c>
      <c r="U90" s="37" t="n">
        <v>101436.57</v>
      </c>
      <c r="V90" s="18" t="n">
        <v>16512.52</v>
      </c>
      <c r="W90" s="18" t="n">
        <v>-70061.75</v>
      </c>
      <c r="X90" s="18" t="n">
        <v>131093.02</v>
      </c>
      <c r="Y90" s="18" t="n">
        <v>103058.03</v>
      </c>
      <c r="Z90" s="37" t="n">
        <v>180601.82</v>
      </c>
      <c r="AA90" s="18" t="n">
        <v>34757.24</v>
      </c>
      <c r="AB90" s="19" t="n">
        <v>65537.32000000001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법인세납부(CF)</t>
        </is>
      </c>
      <c r="E91" s="18" t="n">
        <v>0</v>
      </c>
      <c r="F91" s="9" t="n"/>
      <c r="G91" s="18" t="n">
        <v>-2.33</v>
      </c>
      <c r="H91" s="18" t="n">
        <v>33.57</v>
      </c>
      <c r="I91" s="18" t="n">
        <v>-0.12</v>
      </c>
      <c r="J91" s="18" t="n">
        <v>-0.36</v>
      </c>
      <c r="K91" s="37" t="n">
        <v>30.76</v>
      </c>
      <c r="L91" s="18" t="n">
        <v>-5.63</v>
      </c>
      <c r="M91" s="18" t="n">
        <v>74.15000000000001</v>
      </c>
      <c r="N91" s="18" t="n">
        <v>-16.65</v>
      </c>
      <c r="O91" s="18" t="n">
        <v>4.17</v>
      </c>
      <c r="P91" s="37" t="n">
        <v>56.04</v>
      </c>
      <c r="Q91" s="18" t="n">
        <v>0</v>
      </c>
      <c r="R91" s="18" t="n">
        <v>374.5</v>
      </c>
      <c r="S91" s="18" t="n">
        <v>-196.96</v>
      </c>
      <c r="T91" s="18" t="n">
        <v>-1.77</v>
      </c>
      <c r="U91" s="37" t="n">
        <v>175.77</v>
      </c>
      <c r="V91" s="18" t="n">
        <v>-89.88</v>
      </c>
      <c r="W91" s="18" t="n">
        <v>0.48</v>
      </c>
      <c r="X91" s="18" t="n">
        <v>-2832.46</v>
      </c>
      <c r="Y91" s="18" t="n">
        <v>-539.27</v>
      </c>
      <c r="Z91" s="37" t="n">
        <v>-3461.13</v>
      </c>
      <c r="AA91" s="18" t="n">
        <v>-669.98</v>
      </c>
      <c r="AB91" s="19" t="n">
        <v>-545.96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투자활동으로인한현금흐름</t>
        </is>
      </c>
      <c r="E92" s="18" t="n">
        <v>25662.75</v>
      </c>
      <c r="F92" s="9" t="n"/>
      <c r="G92" s="18" t="n">
        <v>19784.47</v>
      </c>
      <c r="H92" s="18" t="n">
        <v>-255.51</v>
      </c>
      <c r="I92" s="18" t="n">
        <v>35226.79</v>
      </c>
      <c r="J92" s="18" t="n">
        <v>-6669.38</v>
      </c>
      <c r="K92" s="37" t="n">
        <v>48086.37</v>
      </c>
      <c r="L92" s="18" t="n">
        <v>-3427.61</v>
      </c>
      <c r="M92" s="18" t="n">
        <v>1568.59</v>
      </c>
      <c r="N92" s="18" t="n">
        <v>7435.93</v>
      </c>
      <c r="O92" s="18" t="n">
        <v>-19063.26</v>
      </c>
      <c r="P92" s="37" t="n">
        <v>-13486.35</v>
      </c>
      <c r="Q92" s="18" t="n">
        <v>-5871.12</v>
      </c>
      <c r="R92" s="18" t="n">
        <v>-11540.7</v>
      </c>
      <c r="S92" s="18" t="n">
        <v>11146.62</v>
      </c>
      <c r="T92" s="18" t="n">
        <v>-17858.43</v>
      </c>
      <c r="U92" s="37" t="n">
        <v>-24123.63</v>
      </c>
      <c r="V92" s="18" t="n">
        <v>13441.99</v>
      </c>
      <c r="W92" s="18" t="n">
        <v>4711.28</v>
      </c>
      <c r="X92" s="18" t="n">
        <v>-61778.72</v>
      </c>
      <c r="Y92" s="18" t="n">
        <v>-101387.65</v>
      </c>
      <c r="Z92" s="37" t="n">
        <v>-145013.1</v>
      </c>
      <c r="AA92" s="18" t="n">
        <v>66951.05</v>
      </c>
      <c r="AB92" s="19" t="n">
        <v>79379.03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유형자산의증가</t>
        </is>
      </c>
      <c r="E93" s="18" t="n">
        <v>57.42</v>
      </c>
      <c r="F93" s="9" t="n"/>
      <c r="G93" s="18" t="n">
        <v>2811.43</v>
      </c>
      <c r="H93" s="18" t="n">
        <v>295.87</v>
      </c>
      <c r="I93" s="18" t="n">
        <v>3871.03</v>
      </c>
      <c r="J93" s="18" t="n">
        <v>2529.87</v>
      </c>
      <c r="K93" s="37" t="n">
        <v>9508.200000000001</v>
      </c>
      <c r="L93" s="18" t="n">
        <v>1982.57</v>
      </c>
      <c r="M93" s="18" t="n">
        <v>880.47</v>
      </c>
      <c r="N93" s="18" t="n">
        <v>1773.95</v>
      </c>
      <c r="O93" s="18" t="n">
        <v>748.45</v>
      </c>
      <c r="P93" s="37" t="n">
        <v>5385.44</v>
      </c>
      <c r="Q93" s="18" t="n">
        <v>422.92</v>
      </c>
      <c r="R93" s="18" t="n">
        <v>390.16</v>
      </c>
      <c r="S93" s="18" t="n">
        <v>1275.05</v>
      </c>
      <c r="T93" s="18" t="n">
        <v>5721.99</v>
      </c>
      <c r="U93" s="37" t="n">
        <v>7810.12</v>
      </c>
      <c r="V93" s="18" t="n">
        <v>3729.41</v>
      </c>
      <c r="W93" s="18" t="n">
        <v>1701.46</v>
      </c>
      <c r="X93" s="18" t="n">
        <v>1520.21</v>
      </c>
      <c r="Y93" s="18" t="n">
        <v>6141.6</v>
      </c>
      <c r="Z93" s="37" t="n">
        <v>13092.68</v>
      </c>
      <c r="AA93" s="18" t="n">
        <v>2940.67</v>
      </c>
      <c r="AB93" s="19" t="n">
        <v>5544.41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CAPEX</t>
        </is>
      </c>
      <c r="E94" s="18" t="n">
        <v>781.0599999999999</v>
      </c>
      <c r="F94" s="9" t="n"/>
      <c r="G94" s="18" t="n">
        <v>2964.4</v>
      </c>
      <c r="H94" s="18" t="n">
        <v>601.3099999999999</v>
      </c>
      <c r="I94" s="18" t="n">
        <v>4058.18</v>
      </c>
      <c r="J94" s="18" t="n">
        <v>2642.65</v>
      </c>
      <c r="K94" s="37" t="n">
        <v>10266.54</v>
      </c>
      <c r="L94" s="18" t="n">
        <v>2067.57</v>
      </c>
      <c r="M94" s="18" t="n">
        <v>880.47</v>
      </c>
      <c r="N94" s="18" t="n">
        <v>1773.95</v>
      </c>
      <c r="O94" s="18" t="n">
        <v>787.25</v>
      </c>
      <c r="P94" s="37" t="n">
        <v>5509.24</v>
      </c>
      <c r="Q94" s="18" t="n">
        <v>422.92</v>
      </c>
      <c r="R94" s="18" t="n">
        <v>430.16</v>
      </c>
      <c r="S94" s="18" t="n">
        <v>1292.95</v>
      </c>
      <c r="T94" s="18" t="n">
        <v>6104.24</v>
      </c>
      <c r="U94" s="37" t="n">
        <v>8250.27</v>
      </c>
      <c r="V94" s="18" t="n">
        <v>3756.86</v>
      </c>
      <c r="W94" s="18" t="n">
        <v>1812.97</v>
      </c>
      <c r="X94" s="18" t="n">
        <v>1781.34</v>
      </c>
      <c r="Y94" s="18" t="n">
        <v>6448.1</v>
      </c>
      <c r="Z94" s="37" t="n">
        <v>13799.27</v>
      </c>
      <c r="AA94" s="18" t="n">
        <v>3056.27</v>
      </c>
      <c r="AB94" s="19" t="n">
        <v>6350.91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무형자산의증가</t>
        </is>
      </c>
      <c r="E95" s="18" t="n">
        <v>723.64</v>
      </c>
      <c r="F95" s="9" t="n"/>
      <c r="G95" s="18" t="n">
        <v>152.97</v>
      </c>
      <c r="H95" s="18" t="n">
        <v>305.44</v>
      </c>
      <c r="I95" s="18" t="n">
        <v>187.15</v>
      </c>
      <c r="J95" s="18" t="n">
        <v>112.78</v>
      </c>
      <c r="K95" s="37" t="n">
        <v>758.34</v>
      </c>
      <c r="L95" s="18" t="n">
        <v>85</v>
      </c>
      <c r="M95" s="18" t="n">
        <v>0</v>
      </c>
      <c r="N95" s="18" t="n">
        <v>0</v>
      </c>
      <c r="O95" s="18" t="n">
        <v>38.8</v>
      </c>
      <c r="P95" s="37" t="n">
        <v>123.8</v>
      </c>
      <c r="Q95" s="18" t="n">
        <v>0</v>
      </c>
      <c r="R95" s="18" t="n">
        <v>40</v>
      </c>
      <c r="S95" s="18" t="n">
        <v>17.9</v>
      </c>
      <c r="T95" s="18" t="n">
        <v>382.25</v>
      </c>
      <c r="U95" s="37" t="n">
        <v>440.15</v>
      </c>
      <c r="V95" s="18" t="n">
        <v>27.45</v>
      </c>
      <c r="W95" s="18" t="n">
        <v>111.51</v>
      </c>
      <c r="X95" s="18" t="n">
        <v>261.13</v>
      </c>
      <c r="Y95" s="18" t="n">
        <v>306.5</v>
      </c>
      <c r="Z95" s="37" t="n">
        <v>706.59</v>
      </c>
      <c r="AA95" s="18" t="n">
        <v>115.6</v>
      </c>
      <c r="AB95" s="19" t="n">
        <v>806.5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무형자산의감소</t>
        </is>
      </c>
      <c r="E96" s="18" t="n">
        <v>763.9</v>
      </c>
      <c r="F96" s="9" t="n"/>
      <c r="I96" s="18" t="n">
        <v>0</v>
      </c>
      <c r="J96" s="18" t="n">
        <v>0</v>
      </c>
      <c r="K96" s="9" t="n"/>
      <c r="O96" s="18" t="n">
        <v>0.22</v>
      </c>
      <c r="P96" s="9" t="n"/>
      <c r="S96" s="18" t="n">
        <v>0</v>
      </c>
      <c r="T96" s="18" t="n">
        <v>0</v>
      </c>
      <c r="U96" s="9" t="n"/>
      <c r="Z96" s="9" t="n"/>
      <c r="AB96" s="5" t="n"/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재무활동으로인한현금흐름</t>
        </is>
      </c>
      <c r="E97" s="18" t="n">
        <v>-31391.76</v>
      </c>
      <c r="F97" s="9" t="n"/>
      <c r="G97" s="18" t="n">
        <v>-35715.93</v>
      </c>
      <c r="H97" s="18" t="n">
        <v>-3562.47</v>
      </c>
      <c r="I97" s="18" t="n">
        <v>1512.55</v>
      </c>
      <c r="J97" s="18" t="n">
        <v>-21244</v>
      </c>
      <c r="K97" s="37" t="n">
        <v>-59009.85</v>
      </c>
      <c r="L97" s="18" t="n">
        <v>-1626.27</v>
      </c>
      <c r="M97" s="18" t="n">
        <v>-4229.73</v>
      </c>
      <c r="N97" s="18" t="n">
        <v>-11243.64</v>
      </c>
      <c r="O97" s="18" t="n">
        <v>-1477.53</v>
      </c>
      <c r="P97" s="37" t="n">
        <v>-18577.17</v>
      </c>
      <c r="Q97" s="18" t="n">
        <v>-2546.71</v>
      </c>
      <c r="R97" s="18" t="n">
        <v>-748.78</v>
      </c>
      <c r="S97" s="18" t="n">
        <v>-44413.78</v>
      </c>
      <c r="T97" s="18" t="n">
        <v>-3678.25</v>
      </c>
      <c r="U97" s="37" t="n">
        <v>-51387.52</v>
      </c>
      <c r="V97" s="18" t="n">
        <v>-299.2</v>
      </c>
      <c r="W97" s="18" t="n">
        <v>-262.19</v>
      </c>
      <c r="X97" s="18" t="n">
        <v>-254.22</v>
      </c>
      <c r="Y97" s="18" t="n">
        <v>-255.06</v>
      </c>
      <c r="Z97" s="37" t="n">
        <v>-1070.67</v>
      </c>
      <c r="AA97" s="18" t="n">
        <v>-269.42</v>
      </c>
      <c r="AB97" s="19" t="n">
        <v>-291.69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사채의감소</t>
        </is>
      </c>
      <c r="E98" s="18" t="n">
        <v>28800</v>
      </c>
      <c r="F98" s="9" t="n"/>
      <c r="G98" s="18" t="n">
        <v>25970</v>
      </c>
      <c r="H98" s="18" t="n">
        <v>1000</v>
      </c>
      <c r="I98" s="18" t="n">
        <v>0</v>
      </c>
      <c r="J98" s="18" t="n">
        <v>21400</v>
      </c>
      <c r="K98" s="37" t="n">
        <v>48370</v>
      </c>
      <c r="N98" s="18" t="n">
        <v>4600</v>
      </c>
      <c r="O98" s="18" t="n">
        <v>0</v>
      </c>
      <c r="P98" s="9" t="n"/>
      <c r="U98" s="9" t="n"/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단기차입금의증가</t>
        </is>
      </c>
      <c r="E99" s="18" t="n">
        <v>474.95</v>
      </c>
      <c r="F99" s="9" t="n"/>
      <c r="I99" s="18" t="n">
        <v>69757.50999999999</v>
      </c>
      <c r="J99" s="18" t="n">
        <v>4279.62</v>
      </c>
      <c r="K99" s="9" t="n"/>
      <c r="L99" s="18" t="n">
        <v>911.05</v>
      </c>
      <c r="M99" s="18" t="n">
        <v>81546.83</v>
      </c>
      <c r="N99" s="18" t="n">
        <v>1625.03</v>
      </c>
      <c r="O99" s="18" t="n">
        <v>1292.67</v>
      </c>
      <c r="P99" s="37" t="n">
        <v>85375.58</v>
      </c>
      <c r="Q99" s="18" t="n">
        <v>564.34</v>
      </c>
      <c r="R99" s="18" t="n">
        <v>1747.97</v>
      </c>
      <c r="S99" s="18" t="n">
        <v>275.59</v>
      </c>
      <c r="U99" s="9" t="n"/>
      <c r="Z99" s="9" t="n"/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단기차입금의감소</t>
        </is>
      </c>
      <c r="E100" s="18" t="n">
        <v>424.69</v>
      </c>
      <c r="F100" s="9" t="n"/>
      <c r="G100" s="18" t="n">
        <v>426.12</v>
      </c>
      <c r="H100" s="18" t="n">
        <v>982.1</v>
      </c>
      <c r="I100" s="18" t="n">
        <v>66533.39999999999</v>
      </c>
      <c r="J100" s="18" t="n">
        <v>3698.02</v>
      </c>
      <c r="K100" s="37" t="n">
        <v>71639.64</v>
      </c>
      <c r="L100" s="18" t="n">
        <v>904.13</v>
      </c>
      <c r="M100" s="18" t="n">
        <v>71127.87</v>
      </c>
      <c r="N100" s="18" t="n">
        <v>5755.28</v>
      </c>
      <c r="O100" s="18" t="n">
        <v>1139.27</v>
      </c>
      <c r="P100" s="37" t="n">
        <v>78926.55</v>
      </c>
      <c r="Q100" s="18" t="n">
        <v>1524.92</v>
      </c>
      <c r="R100" s="18" t="n">
        <v>890.4</v>
      </c>
      <c r="S100" s="18" t="n">
        <v>85725.39999999999</v>
      </c>
      <c r="T100" s="18" t="n">
        <v>1815.85</v>
      </c>
      <c r="U100" s="37" t="n">
        <v>89956.57000000001</v>
      </c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이자지급(CF)</t>
        </is>
      </c>
      <c r="E101" s="18" t="n">
        <v>-1929.34</v>
      </c>
      <c r="F101" s="9" t="n"/>
      <c r="G101" s="18" t="n">
        <v>-8555.57</v>
      </c>
      <c r="H101" s="18" t="n">
        <v>-1001.15</v>
      </c>
      <c r="I101" s="18" t="n">
        <v>-1074.74</v>
      </c>
      <c r="J101" s="18" t="n">
        <v>-1112.96</v>
      </c>
      <c r="K101" s="37" t="n">
        <v>-11744.42</v>
      </c>
      <c r="L101" s="18" t="n">
        <v>-1259.34</v>
      </c>
      <c r="M101" s="18" t="n">
        <v>-3268.31</v>
      </c>
      <c r="N101" s="18" t="n">
        <v>-2145.07</v>
      </c>
      <c r="O101" s="18" t="n">
        <v>-1240.93</v>
      </c>
      <c r="P101" s="37" t="n">
        <v>-7913.65</v>
      </c>
      <c r="Q101" s="18" t="n">
        <v>-1221.78</v>
      </c>
      <c r="R101" s="18" t="n">
        <v>-1261.82</v>
      </c>
      <c r="S101" s="18" t="n">
        <v>-895.71</v>
      </c>
      <c r="T101" s="18" t="n">
        <v>-1533.68</v>
      </c>
      <c r="U101" s="37" t="n">
        <v>-4912.99</v>
      </c>
      <c r="V101" s="18" t="n">
        <v>-33.52</v>
      </c>
      <c r="W101" s="18" t="n">
        <v>-30.71</v>
      </c>
      <c r="X101" s="18" t="n">
        <v>-32.41</v>
      </c>
      <c r="Y101" s="18" t="n">
        <v>-31.05</v>
      </c>
      <c r="Z101" s="37" t="n">
        <v>-127.69</v>
      </c>
      <c r="AA101" s="18" t="n">
        <v>-70.67</v>
      </c>
      <c r="AB101" s="19" t="n">
        <v>-153.84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현금및현금성자산의증감</t>
        </is>
      </c>
      <c r="E102" s="18" t="n">
        <v>5474.11</v>
      </c>
      <c r="F102" s="9" t="n"/>
      <c r="G102" s="18" t="n">
        <v>-29149.67</v>
      </c>
      <c r="H102" s="18" t="n">
        <v>-6351.87</v>
      </c>
      <c r="I102" s="18" t="n">
        <v>41610.02</v>
      </c>
      <c r="J102" s="18" t="n">
        <v>-37565.86</v>
      </c>
      <c r="K102" s="37" t="n">
        <v>-31457.38</v>
      </c>
      <c r="L102" s="18" t="n">
        <v>-1563.74</v>
      </c>
      <c r="M102" s="18" t="n">
        <v>-9132.99</v>
      </c>
      <c r="N102" s="18" t="n">
        <v>3907.25</v>
      </c>
      <c r="O102" s="18" t="n">
        <v>11028.66</v>
      </c>
      <c r="P102" s="37" t="n">
        <v>4239.18</v>
      </c>
      <c r="Q102" s="18" t="n">
        <v>-6338.16</v>
      </c>
      <c r="R102" s="18" t="n">
        <v>18957.39</v>
      </c>
      <c r="S102" s="18" t="n">
        <v>-32279.48</v>
      </c>
      <c r="T102" s="18" t="n">
        <v>45521.62</v>
      </c>
      <c r="U102" s="37" t="n">
        <v>25861.37</v>
      </c>
      <c r="V102" s="18" t="n">
        <v>29655.38</v>
      </c>
      <c r="W102" s="18" t="n">
        <v>41485.32</v>
      </c>
      <c r="X102" s="18" t="n">
        <v>-38037.81</v>
      </c>
      <c r="Y102" s="18" t="n">
        <v>1416.37</v>
      </c>
      <c r="Z102" s="37" t="n">
        <v>34519.26</v>
      </c>
      <c r="AA102" s="18" t="n">
        <v>101438.88</v>
      </c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기말현금및현금성자산</t>
        </is>
      </c>
      <c r="E103" s="18" t="n">
        <v>5474.1</v>
      </c>
      <c r="F103" s="9" t="n"/>
      <c r="G103" s="18" t="n">
        <v>31964.13</v>
      </c>
      <c r="H103" s="18" t="n">
        <v>-6351.87</v>
      </c>
      <c r="I103" s="18" t="n">
        <v>41610.02</v>
      </c>
      <c r="J103" s="18" t="n">
        <v>-37565.86</v>
      </c>
      <c r="K103" s="37" t="n">
        <v>29656.42</v>
      </c>
      <c r="L103" s="18" t="n">
        <v>28092.68</v>
      </c>
      <c r="M103" s="18" t="n">
        <v>-9132.99</v>
      </c>
      <c r="N103" s="18" t="n">
        <v>3907.25</v>
      </c>
      <c r="O103" s="18" t="n">
        <v>11028.66</v>
      </c>
      <c r="P103" s="37" t="n">
        <v>33895.6</v>
      </c>
      <c r="Q103" s="18" t="n">
        <v>27557.44</v>
      </c>
      <c r="R103" s="18" t="n">
        <v>18957.39</v>
      </c>
      <c r="S103" s="18" t="n">
        <v>-32279.48</v>
      </c>
      <c r="T103" s="18" t="n">
        <v>45521.62</v>
      </c>
      <c r="U103" s="37" t="n">
        <v>59756.97</v>
      </c>
      <c r="V103" s="18" t="n">
        <v>89412.35000000001</v>
      </c>
      <c r="W103" s="18" t="n">
        <v>41485.32</v>
      </c>
      <c r="X103" s="18" t="n">
        <v>-38037.81</v>
      </c>
      <c r="Y103" s="18" t="n">
        <v>1416.37</v>
      </c>
      <c r="Z103" s="37" t="n">
        <v>94276.23</v>
      </c>
      <c r="AA103" s="18" t="n">
        <v>195715.11</v>
      </c>
      <c r="AB103" s="19" t="n">
        <v>144624.65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유형자산의감소</t>
        </is>
      </c>
      <c r="F104" s="9" t="n"/>
      <c r="G104" s="18" t="n">
        <v>452.52</v>
      </c>
      <c r="H104" s="18" t="n">
        <v>0</v>
      </c>
      <c r="I104" s="18" t="n">
        <v>555.98</v>
      </c>
      <c r="J104" s="18" t="n">
        <v>1712.89</v>
      </c>
      <c r="K104" s="37" t="n">
        <v>2721.39</v>
      </c>
      <c r="L104" s="18" t="n">
        <v>464.6</v>
      </c>
      <c r="M104" s="18" t="n">
        <v>1688.71</v>
      </c>
      <c r="N104" s="18" t="n">
        <v>5</v>
      </c>
      <c r="O104" s="18" t="n">
        <v>6.37</v>
      </c>
      <c r="P104" s="37" t="n">
        <v>2164.68</v>
      </c>
      <c r="Q104" s="18" t="n">
        <v>19.95</v>
      </c>
      <c r="R104" s="18" t="n">
        <v>0</v>
      </c>
      <c r="S104" s="18" t="n">
        <v>3054.29</v>
      </c>
      <c r="U104" s="9" t="n"/>
      <c r="V104" s="18" t="n">
        <v>6.62</v>
      </c>
      <c r="W104" s="18" t="n">
        <v>43.97</v>
      </c>
      <c r="X104" s="18" t="n">
        <v>1.54</v>
      </c>
      <c r="Y104" s="18" t="n">
        <v>5.22</v>
      </c>
      <c r="Z104" s="37" t="n">
        <v>57.35</v>
      </c>
      <c r="AA104" s="18" t="n">
        <v>11.56</v>
      </c>
      <c r="AB104" s="19" t="n">
        <v>15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리스부채의상환</t>
        </is>
      </c>
      <c r="F105" s="9" t="n"/>
      <c r="K105" s="9" t="n"/>
      <c r="L105" s="18" t="n">
        <v>362.54</v>
      </c>
      <c r="M105" s="18" t="n">
        <v>357.65</v>
      </c>
      <c r="P105" s="9" t="n"/>
      <c r="U105" s="9" t="n"/>
      <c r="Z105" s="9" t="n"/>
      <c r="AA105" s="18" t="n">
        <v>198.75</v>
      </c>
      <c r="AB105" s="19" t="n">
        <v>137.85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이자수취(CF)</t>
        </is>
      </c>
      <c r="F106" s="9" t="n"/>
      <c r="K106" s="9" t="n"/>
      <c r="O106" s="18" t="n">
        <v>315.42</v>
      </c>
      <c r="P106" s="9" t="n"/>
      <c r="Q106" s="18" t="n">
        <v>375.15</v>
      </c>
      <c r="R106" s="18" t="n">
        <v>612.4400000000001</v>
      </c>
      <c r="S106" s="18" t="n">
        <v>1172.98</v>
      </c>
      <c r="T106" s="18" t="n">
        <v>2406.24</v>
      </c>
      <c r="U106" s="37" t="n">
        <v>4566.81</v>
      </c>
      <c r="V106" s="18" t="n">
        <v>850.29</v>
      </c>
      <c r="W106" s="18" t="n">
        <v>1427.17</v>
      </c>
      <c r="X106" s="18" t="n">
        <v>1629.68</v>
      </c>
      <c r="Y106" s="18" t="n">
        <v>1289.75</v>
      </c>
      <c r="Z106" s="37" t="n">
        <v>5196.89</v>
      </c>
      <c r="AA106" s="18" t="n">
        <v>1962.58</v>
      </c>
      <c r="AB106" s="19" t="n">
        <v>3358.96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HD현대마린엔진(별)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164431.28</v>
      </c>
      <c r="F5" s="37" t="n">
        <v>164431.28</v>
      </c>
      <c r="G5" s="18" t="n">
        <v>134349.52</v>
      </c>
      <c r="H5" s="18" t="n">
        <v>174950.99</v>
      </c>
      <c r="I5" s="18" t="n">
        <v>190793.75</v>
      </c>
      <c r="J5" s="18" t="n">
        <v>157944.63</v>
      </c>
      <c r="K5" s="37" t="n">
        <v>157944.63</v>
      </c>
      <c r="L5" s="18" t="n">
        <v>175821.14</v>
      </c>
      <c r="M5" s="18" t="n">
        <v>194009.62</v>
      </c>
      <c r="N5" s="18" t="n">
        <v>191640.09</v>
      </c>
      <c r="O5" s="18" t="n">
        <v>211969.31</v>
      </c>
      <c r="P5" s="37" t="n">
        <v>211969.31</v>
      </c>
      <c r="Q5" s="18" t="n">
        <v>225160.56</v>
      </c>
      <c r="R5" s="18" t="n">
        <v>229153.68</v>
      </c>
      <c r="S5" s="18" t="n">
        <v>182481.6</v>
      </c>
      <c r="T5" s="18" t="n">
        <v>280824.64</v>
      </c>
      <c r="U5" s="37" t="n">
        <v>280824.64</v>
      </c>
      <c r="V5" s="18" t="n">
        <v>310554.99</v>
      </c>
      <c r="W5" s="18" t="n">
        <v>356051.77</v>
      </c>
      <c r="X5" s="18" t="n">
        <v>446187.42</v>
      </c>
      <c r="Y5" s="18" t="n">
        <v>504071.09</v>
      </c>
      <c r="Z5" s="37" t="n">
        <v>504071.09</v>
      </c>
      <c r="AA5" s="18" t="n">
        <v>562504.27</v>
      </c>
      <c r="AB5" s="19" t="n">
        <v>676216.9300000001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55471.44</v>
      </c>
      <c r="F6" s="37" t="n">
        <v>55471.44</v>
      </c>
      <c r="G6" s="18" t="n">
        <v>27816.88</v>
      </c>
      <c r="H6" s="18" t="n">
        <v>21888.67</v>
      </c>
      <c r="I6" s="18" t="n">
        <v>64749.63</v>
      </c>
      <c r="J6" s="18" t="n">
        <v>24340.01</v>
      </c>
      <c r="K6" s="37" t="n">
        <v>24340.01</v>
      </c>
      <c r="L6" s="18" t="n">
        <v>26516.47</v>
      </c>
      <c r="M6" s="18" t="n">
        <v>16993.56</v>
      </c>
      <c r="N6" s="18" t="n">
        <v>22407.03</v>
      </c>
      <c r="O6" s="18" t="n">
        <v>32962.44</v>
      </c>
      <c r="P6" s="37" t="n">
        <v>32962.44</v>
      </c>
      <c r="Q6" s="18" t="n">
        <v>26107.08</v>
      </c>
      <c r="R6" s="18" t="n">
        <v>44869.4</v>
      </c>
      <c r="S6" s="18" t="n">
        <v>12475.12</v>
      </c>
      <c r="T6" s="18" t="n">
        <v>57565.52</v>
      </c>
      <c r="U6" s="37" t="n">
        <v>57565.52</v>
      </c>
      <c r="V6" s="18" t="n">
        <v>85957.42</v>
      </c>
      <c r="W6" s="18" t="n">
        <v>128183.92</v>
      </c>
      <c r="X6" s="18" t="n">
        <v>88561.98</v>
      </c>
      <c r="Y6" s="18" t="n">
        <v>90348.37</v>
      </c>
      <c r="Z6" s="37" t="n">
        <v>90348.37</v>
      </c>
      <c r="AA6" s="18" t="n">
        <v>191452.88</v>
      </c>
      <c r="AB6" s="19" t="n">
        <v>336907.77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기타유동금융자산</t>
        </is>
      </c>
      <c r="E7" s="18" t="n">
        <v>10790.22</v>
      </c>
      <c r="F7" s="37" t="n">
        <v>10790.22</v>
      </c>
      <c r="G7" s="18" t="n">
        <v>15709.05</v>
      </c>
      <c r="H7" s="18" t="n">
        <v>17629.34</v>
      </c>
      <c r="I7" s="18" t="n">
        <v>15356.94</v>
      </c>
      <c r="J7" s="18" t="n">
        <v>23046.32</v>
      </c>
      <c r="K7" s="37" t="n">
        <v>23046.32</v>
      </c>
      <c r="P7" s="9" t="n"/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매출채권및기타채권</t>
        </is>
      </c>
      <c r="E8" s="18" t="n">
        <v>17782.55</v>
      </c>
      <c r="F8" s="37" t="n">
        <v>17782.55</v>
      </c>
      <c r="G8" s="18" t="n">
        <v>17942.89</v>
      </c>
      <c r="H8" s="18" t="n">
        <v>28953.42</v>
      </c>
      <c r="I8" s="18" t="n">
        <v>28332.61</v>
      </c>
      <c r="J8" s="18" t="n">
        <v>43260.06</v>
      </c>
      <c r="K8" s="37" t="n">
        <v>43260.06</v>
      </c>
      <c r="L8" s="18" t="n">
        <v>23131.87</v>
      </c>
      <c r="M8" s="18" t="n">
        <v>59925.22</v>
      </c>
      <c r="N8" s="18" t="n">
        <v>65473.15</v>
      </c>
      <c r="O8" s="18" t="n">
        <v>61147.22</v>
      </c>
      <c r="P8" s="37" t="n">
        <v>61147.22</v>
      </c>
      <c r="Q8" s="18" t="n">
        <v>68670.17999999999</v>
      </c>
      <c r="R8" s="18" t="n">
        <v>50453.84</v>
      </c>
      <c r="S8" s="18" t="n">
        <v>56285.24</v>
      </c>
      <c r="T8" s="18" t="n">
        <v>24449.11</v>
      </c>
      <c r="U8" s="37" t="n">
        <v>24449.11</v>
      </c>
      <c r="V8" s="18" t="n">
        <v>31245.41</v>
      </c>
      <c r="W8" s="18" t="n">
        <v>41778.16</v>
      </c>
      <c r="X8" s="18" t="n">
        <v>111653.8</v>
      </c>
      <c r="Y8" s="18" t="n">
        <v>53548.09</v>
      </c>
      <c r="Z8" s="37" t="n">
        <v>53548.09</v>
      </c>
      <c r="AA8" s="18" t="n">
        <v>60316.54</v>
      </c>
      <c r="AB8" s="19" t="n">
        <v>68553.89999999999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재고자산</t>
        </is>
      </c>
      <c r="E9" s="18" t="n">
        <v>44243.28</v>
      </c>
      <c r="F9" s="37" t="n">
        <v>44243.28</v>
      </c>
      <c r="G9" s="18" t="n">
        <v>64674.67</v>
      </c>
      <c r="H9" s="18" t="n">
        <v>67450.28999999999</v>
      </c>
      <c r="I9" s="18" t="n">
        <v>75942.64999999999</v>
      </c>
      <c r="J9" s="18" t="n">
        <v>65570.38</v>
      </c>
      <c r="K9" s="37" t="n">
        <v>65570.38</v>
      </c>
      <c r="L9" s="18" t="n">
        <v>98136.83</v>
      </c>
      <c r="M9" s="18" t="n">
        <v>91497.09</v>
      </c>
      <c r="N9" s="18" t="n">
        <v>87355.92999999999</v>
      </c>
      <c r="O9" s="18" t="n">
        <v>81457.06</v>
      </c>
      <c r="P9" s="37" t="n">
        <v>81457.06</v>
      </c>
      <c r="Q9" s="18" t="n">
        <v>87735.21000000001</v>
      </c>
      <c r="R9" s="18" t="n">
        <v>81003.37</v>
      </c>
      <c r="S9" s="18" t="n">
        <v>77695.63</v>
      </c>
      <c r="T9" s="18" t="n">
        <v>78214.00999999999</v>
      </c>
      <c r="U9" s="37" t="n">
        <v>78214.00999999999</v>
      </c>
      <c r="V9" s="18" t="n">
        <v>82004.78999999999</v>
      </c>
      <c r="W9" s="18" t="n">
        <v>83659.41</v>
      </c>
      <c r="X9" s="18" t="n">
        <v>86694.71000000001</v>
      </c>
      <c r="Y9" s="18" t="n">
        <v>106262.15</v>
      </c>
      <c r="Z9" s="37" t="n">
        <v>106262.15</v>
      </c>
      <c r="AA9" s="18" t="n">
        <v>128301.86</v>
      </c>
      <c r="AB9" s="19" t="n">
        <v>171839.79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선급금</t>
        </is>
      </c>
      <c r="E10" s="18" t="n">
        <v>4943.66</v>
      </c>
      <c r="F10" s="37" t="n">
        <v>4943.66</v>
      </c>
      <c r="G10" s="18" t="n">
        <v>5585.09</v>
      </c>
      <c r="H10" s="18" t="n">
        <v>4638.26</v>
      </c>
      <c r="I10" s="18" t="n">
        <v>5852.51</v>
      </c>
      <c r="J10" s="18" t="n">
        <v>1250.49</v>
      </c>
      <c r="K10" s="37" t="n">
        <v>1250.49</v>
      </c>
      <c r="P10" s="9" t="n"/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선급금등</t>
        </is>
      </c>
      <c r="E11" s="18" t="n">
        <v>4943.66</v>
      </c>
      <c r="F11" s="37" t="n">
        <v>4943.66</v>
      </c>
      <c r="G11" s="18" t="n">
        <v>5585.09</v>
      </c>
      <c r="H11" s="18" t="n">
        <v>4638.26</v>
      </c>
      <c r="I11" s="18" t="n">
        <v>5852.51</v>
      </c>
      <c r="J11" s="18" t="n">
        <v>1250.49</v>
      </c>
      <c r="K11" s="37" t="n">
        <v>1250.49</v>
      </c>
      <c r="P11" s="9" t="n"/>
      <c r="U11" s="9" t="n"/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5229.78</v>
      </c>
      <c r="F12" s="37" t="n">
        <v>5229.78</v>
      </c>
      <c r="G12" s="18" t="n">
        <v>5695.35</v>
      </c>
      <c r="H12" s="18" t="n">
        <v>5204.51</v>
      </c>
      <c r="I12" s="18" t="n">
        <v>6341.7</v>
      </c>
      <c r="J12" s="18" t="n">
        <v>1542.14</v>
      </c>
      <c r="K12" s="37" t="n">
        <v>1542.14</v>
      </c>
      <c r="L12" s="18" t="n">
        <v>2782</v>
      </c>
      <c r="M12" s="18" t="n">
        <v>3050.76</v>
      </c>
      <c r="N12" s="18" t="n">
        <v>2666.63</v>
      </c>
      <c r="O12" s="18" t="n">
        <v>3573.82</v>
      </c>
      <c r="P12" s="37" t="n">
        <v>3573.82</v>
      </c>
      <c r="Q12" s="18" t="n">
        <v>4074.78</v>
      </c>
      <c r="R12" s="18" t="n">
        <v>2760.43</v>
      </c>
      <c r="S12" s="18" t="n">
        <v>2973.78</v>
      </c>
      <c r="T12" s="18" t="n">
        <v>3177.32</v>
      </c>
      <c r="U12" s="37" t="n">
        <v>3177.32</v>
      </c>
      <c r="V12" s="18" t="n">
        <v>4204.13</v>
      </c>
      <c r="W12" s="18" t="n">
        <v>5121.85</v>
      </c>
      <c r="X12" s="18" t="n">
        <v>5159.85</v>
      </c>
      <c r="Y12" s="18" t="n">
        <v>6241.35</v>
      </c>
      <c r="Z12" s="37" t="n">
        <v>6241.35</v>
      </c>
      <c r="AA12" s="18" t="n">
        <v>7432.99</v>
      </c>
      <c r="AB12" s="19" t="n">
        <v>8914.24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당기법인세자산(선급법인세)</t>
        </is>
      </c>
      <c r="E13" s="18" t="n">
        <v>32.96</v>
      </c>
      <c r="F13" s="37" t="n">
        <v>32.96</v>
      </c>
      <c r="G13" s="18" t="n">
        <v>6.38</v>
      </c>
      <c r="H13" s="18" t="n">
        <v>18.41</v>
      </c>
      <c r="I13" s="18" t="n">
        <v>45.56</v>
      </c>
      <c r="J13" s="18" t="n">
        <v>73.70999999999999</v>
      </c>
      <c r="K13" s="37" t="n">
        <v>73.70999999999999</v>
      </c>
      <c r="P13" s="9" t="n"/>
      <c r="T13" s="18" t="n">
        <v>527.4400000000001</v>
      </c>
      <c r="U13" s="37" t="n">
        <v>527.4400000000001</v>
      </c>
      <c r="V13" s="18" t="n">
        <v>545.88</v>
      </c>
      <c r="X13" s="18" t="n">
        <v>818.9299999999999</v>
      </c>
      <c r="Y13" s="18" t="n">
        <v>667.84</v>
      </c>
      <c r="Z13" s="37" t="n">
        <v>667.84</v>
      </c>
      <c r="AA13" s="18" t="n">
        <v>0</v>
      </c>
      <c r="AB13" s="19" t="n">
        <v>0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유동파생상품자산</t>
        </is>
      </c>
      <c r="E14" s="18" t="n">
        <v>6.96</v>
      </c>
      <c r="F14" s="37" t="n">
        <v>6.96</v>
      </c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단기금융자산</t>
        </is>
      </c>
      <c r="E15" s="18" t="n">
        <v>6.96</v>
      </c>
      <c r="F15" s="37" t="n">
        <v>6.96</v>
      </c>
      <c r="K15" s="9" t="n"/>
      <c r="P15" s="9" t="n"/>
      <c r="U15" s="9" t="n"/>
      <c r="Z15" s="9" t="n"/>
      <c r="AB15" s="5" t="n"/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매각예정비유동자산및처분자산</t>
        </is>
      </c>
      <c r="E16" s="18" t="n">
        <v>28400</v>
      </c>
      <c r="F16" s="37" t="n">
        <v>28400</v>
      </c>
      <c r="H16" s="18" t="n">
        <v>33781.66</v>
      </c>
      <c r="J16" s="18" t="n">
        <v>87</v>
      </c>
      <c r="K16" s="37" t="n">
        <v>87</v>
      </c>
      <c r="L16" s="18" t="n">
        <v>79</v>
      </c>
      <c r="M16" s="18" t="n">
        <v>79</v>
      </c>
      <c r="N16" s="18" t="n">
        <v>79</v>
      </c>
      <c r="O16" s="18" t="n">
        <v>0</v>
      </c>
      <c r="P16" s="37" t="n">
        <v>0</v>
      </c>
      <c r="R16" s="18" t="n">
        <v>120</v>
      </c>
      <c r="T16" s="18" t="n">
        <v>63000.19</v>
      </c>
      <c r="U16" s="37" t="n">
        <v>63000.19</v>
      </c>
      <c r="Y16" s="18" t="n">
        <v>0</v>
      </c>
      <c r="Z16" s="37" t="n">
        <v>0</v>
      </c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비유동자산</t>
        </is>
      </c>
      <c r="E17" s="18" t="n">
        <v>231122.51</v>
      </c>
      <c r="F17" s="37" t="n">
        <v>231122.51</v>
      </c>
      <c r="G17" s="18" t="n">
        <v>234716.05</v>
      </c>
      <c r="H17" s="18" t="n">
        <v>194140.96</v>
      </c>
      <c r="I17" s="18" t="n">
        <v>200223.61</v>
      </c>
      <c r="J17" s="18" t="n">
        <v>234075.93</v>
      </c>
      <c r="K17" s="37" t="n">
        <v>234075.93</v>
      </c>
      <c r="L17" s="18" t="n">
        <v>232186.89</v>
      </c>
      <c r="M17" s="18" t="n">
        <v>233511.81</v>
      </c>
      <c r="N17" s="18" t="n">
        <v>233018.47</v>
      </c>
      <c r="O17" s="18" t="n">
        <v>233523.2</v>
      </c>
      <c r="P17" s="37" t="n">
        <v>233523.2</v>
      </c>
      <c r="Q17" s="18" t="n">
        <v>233012.97</v>
      </c>
      <c r="R17" s="18" t="n">
        <v>233353.42</v>
      </c>
      <c r="S17" s="18" t="n">
        <v>241028.35</v>
      </c>
      <c r="T17" s="18" t="n">
        <v>192836.68</v>
      </c>
      <c r="U17" s="37" t="n">
        <v>192836.68</v>
      </c>
      <c r="V17" s="18" t="n">
        <v>195062.84</v>
      </c>
      <c r="W17" s="18" t="n">
        <v>196175.89</v>
      </c>
      <c r="X17" s="18" t="n">
        <v>195264.52</v>
      </c>
      <c r="Y17" s="18" t="n">
        <v>279272.91</v>
      </c>
      <c r="Z17" s="37" t="n">
        <v>279272.91</v>
      </c>
      <c r="AA17" s="18" t="n">
        <v>280481.33</v>
      </c>
      <c r="AB17" s="19" t="n">
        <v>280606.18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장기금융자산</t>
        </is>
      </c>
      <c r="E18" s="18" t="n">
        <v>54</v>
      </c>
      <c r="F18" s="37" t="n">
        <v>54</v>
      </c>
      <c r="G18" s="18" t="n">
        <v>54</v>
      </c>
      <c r="H18" s="18" t="n">
        <v>54</v>
      </c>
      <c r="I18" s="18" t="n">
        <v>54</v>
      </c>
      <c r="J18" s="18" t="n">
        <v>54</v>
      </c>
      <c r="K18" s="37" t="n">
        <v>54</v>
      </c>
      <c r="L18" s="18" t="n">
        <v>1088.57</v>
      </c>
      <c r="M18" s="18" t="n">
        <v>2520.96</v>
      </c>
      <c r="N18" s="18" t="n">
        <v>1997.68</v>
      </c>
      <c r="O18" s="18" t="n">
        <v>1049.55</v>
      </c>
      <c r="P18" s="37" t="n">
        <v>1049.55</v>
      </c>
      <c r="Q18" s="18" t="n">
        <v>877.96</v>
      </c>
      <c r="R18" s="18" t="n">
        <v>1436.97</v>
      </c>
      <c r="S18" s="18" t="n">
        <v>8894.42</v>
      </c>
      <c r="T18" s="18" t="n">
        <v>7456.3</v>
      </c>
      <c r="U18" s="37" t="n">
        <v>7456.3</v>
      </c>
      <c r="V18" s="18" t="n">
        <v>7457.74</v>
      </c>
      <c r="W18" s="18" t="n">
        <v>7459.43</v>
      </c>
      <c r="X18" s="18" t="n">
        <v>7460.99</v>
      </c>
      <c r="Y18" s="18" t="n">
        <v>10551.77</v>
      </c>
      <c r="Z18" s="37" t="n">
        <v>10551.77</v>
      </c>
      <c r="AA18" s="18" t="n">
        <v>7486.34</v>
      </c>
      <c r="AB18" s="19" t="n">
        <v>7466.09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15964.29</v>
      </c>
      <c r="F19" s="37" t="n">
        <v>15964.29</v>
      </c>
      <c r="G19" s="18" t="n">
        <v>15964.29</v>
      </c>
      <c r="H19" s="18" t="n">
        <v>15964.29</v>
      </c>
      <c r="I19" s="18" t="n">
        <v>15964.29</v>
      </c>
      <c r="J19" s="18" t="n">
        <v>15964.29</v>
      </c>
      <c r="K19" s="37" t="n">
        <v>15964.29</v>
      </c>
      <c r="L19" s="18" t="n">
        <v>14791.32</v>
      </c>
      <c r="M19" s="18" t="n">
        <v>16223.71</v>
      </c>
      <c r="N19" s="18" t="n">
        <v>15700.43</v>
      </c>
      <c r="O19" s="18" t="n">
        <v>9577.41</v>
      </c>
      <c r="P19" s="37" t="n">
        <v>9577.41</v>
      </c>
      <c r="Q19" s="18" t="n">
        <v>9405.82</v>
      </c>
      <c r="R19" s="18" t="n">
        <v>9964.83</v>
      </c>
      <c r="S19" s="18" t="n">
        <v>17422.28</v>
      </c>
      <c r="T19" s="18" t="n">
        <v>15984.16</v>
      </c>
      <c r="U19" s="37" t="n">
        <v>15984.16</v>
      </c>
      <c r="V19" s="18" t="n">
        <v>15985.6</v>
      </c>
      <c r="W19" s="18" t="n">
        <v>15987.29</v>
      </c>
      <c r="X19" s="18" t="n">
        <v>15988.85</v>
      </c>
      <c r="Y19" s="18" t="n">
        <v>19079.63</v>
      </c>
      <c r="Z19" s="37" t="n">
        <v>19079.63</v>
      </c>
      <c r="AA19" s="18" t="n">
        <v>16014.2</v>
      </c>
      <c r="AB19" s="19" t="n">
        <v>15993.95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종속기업및관계기업투자</t>
        </is>
      </c>
      <c r="E20" s="18" t="n">
        <v>15910.29</v>
      </c>
      <c r="F20" s="37" t="n">
        <v>15910.29</v>
      </c>
      <c r="G20" s="18" t="n">
        <v>15910.29</v>
      </c>
      <c r="H20" s="18" t="n">
        <v>15910.29</v>
      </c>
      <c r="I20" s="18" t="n">
        <v>15910.29</v>
      </c>
      <c r="J20" s="18" t="n">
        <v>15910.29</v>
      </c>
      <c r="K20" s="37" t="n">
        <v>15910.29</v>
      </c>
      <c r="L20" s="18" t="n">
        <v>13702.75</v>
      </c>
      <c r="M20" s="18" t="n">
        <v>13702.75</v>
      </c>
      <c r="N20" s="18" t="n">
        <v>13702.75</v>
      </c>
      <c r="O20" s="18" t="n">
        <v>8527.860000000001</v>
      </c>
      <c r="P20" s="37" t="n">
        <v>8527.860000000001</v>
      </c>
      <c r="Q20" s="18" t="n">
        <v>8527.860000000001</v>
      </c>
      <c r="R20" s="18" t="n">
        <v>8527.860000000001</v>
      </c>
      <c r="S20" s="18" t="n">
        <v>8527.860000000001</v>
      </c>
      <c r="T20" s="18" t="n">
        <v>8527.860000000001</v>
      </c>
      <c r="U20" s="37" t="n">
        <v>8527.860000000001</v>
      </c>
      <c r="V20" s="18" t="n">
        <v>8527.860000000001</v>
      </c>
      <c r="W20" s="18" t="n">
        <v>8527.860000000001</v>
      </c>
      <c r="X20" s="18" t="n">
        <v>8527.860000000001</v>
      </c>
      <c r="Y20" s="18" t="n">
        <v>8527.860000000001</v>
      </c>
      <c r="Z20" s="37" t="n">
        <v>8527.860000000001</v>
      </c>
      <c r="AA20" s="18" t="n">
        <v>8527.860000000001</v>
      </c>
      <c r="AB20" s="19" t="n">
        <v>8527.860000000001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장기매출채권및기타채권</t>
        </is>
      </c>
      <c r="E21" s="18" t="n">
        <v>2387.27</v>
      </c>
      <c r="F21" s="37" t="n">
        <v>2387.27</v>
      </c>
      <c r="G21" s="18" t="n">
        <v>2268.57</v>
      </c>
      <c r="H21" s="18" t="n">
        <v>2337.74</v>
      </c>
      <c r="I21" s="18" t="n">
        <v>2330.91</v>
      </c>
      <c r="J21" s="18" t="n">
        <v>2274.31</v>
      </c>
      <c r="K21" s="37" t="n">
        <v>2274.31</v>
      </c>
      <c r="P21" s="9" t="n"/>
      <c r="U21" s="9" t="n"/>
      <c r="Y21" s="18" t="n">
        <v>23159.46</v>
      </c>
      <c r="Z21" s="37" t="n">
        <v>23159.46</v>
      </c>
      <c r="AA21" s="18" t="n">
        <v>23299.27</v>
      </c>
      <c r="AB21" s="19" t="n">
        <v>20056.14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유형자산</t>
        </is>
      </c>
      <c r="E22" s="18" t="n">
        <v>183886.67</v>
      </c>
      <c r="F22" s="37" t="n">
        <v>183886.67</v>
      </c>
      <c r="G22" s="18" t="n">
        <v>187128.29</v>
      </c>
      <c r="H22" s="18" t="n">
        <v>146652.51</v>
      </c>
      <c r="I22" s="18" t="n">
        <v>152222.72</v>
      </c>
      <c r="J22" s="18" t="n">
        <v>212926.09</v>
      </c>
      <c r="K22" s="37" t="n">
        <v>212926.09</v>
      </c>
      <c r="L22" s="18" t="n">
        <v>213588.42</v>
      </c>
      <c r="M22" s="18" t="n">
        <v>213558.86</v>
      </c>
      <c r="N22" s="18" t="n">
        <v>213627.05</v>
      </c>
      <c r="O22" s="18" t="n">
        <v>113960.28</v>
      </c>
      <c r="P22" s="37" t="n">
        <v>113960.28</v>
      </c>
      <c r="Q22" s="18" t="n">
        <v>113645.63</v>
      </c>
      <c r="R22" s="18" t="n">
        <v>113438.15</v>
      </c>
      <c r="S22" s="18" t="n">
        <v>113759.72</v>
      </c>
      <c r="T22" s="18" t="n">
        <v>117192.73</v>
      </c>
      <c r="U22" s="37" t="n">
        <v>117192.73</v>
      </c>
      <c r="V22" s="18" t="n">
        <v>119851.18</v>
      </c>
      <c r="W22" s="18" t="n">
        <v>120774.02</v>
      </c>
      <c r="X22" s="18" t="n">
        <v>121847.46</v>
      </c>
      <c r="Y22" s="18" t="n">
        <v>186202.24</v>
      </c>
      <c r="Z22" s="37" t="n">
        <v>186202.24</v>
      </c>
      <c r="AA22" s="18" t="n">
        <v>191627.88</v>
      </c>
      <c r="AB22" s="19" t="n">
        <v>194456.69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무형자산</t>
        </is>
      </c>
      <c r="E23" s="18" t="n">
        <v>291.97</v>
      </c>
      <c r="F23" s="37" t="n">
        <v>291.97</v>
      </c>
      <c r="G23" s="18" t="n">
        <v>387.53</v>
      </c>
      <c r="H23" s="18" t="n">
        <v>244.19</v>
      </c>
      <c r="I23" s="18" t="n">
        <v>275.91</v>
      </c>
      <c r="J23" s="18" t="n">
        <v>308.22</v>
      </c>
      <c r="K23" s="37" t="n">
        <v>308.22</v>
      </c>
      <c r="L23" s="18" t="n">
        <v>382.11</v>
      </c>
      <c r="M23" s="18" t="n">
        <v>369.49</v>
      </c>
      <c r="N23" s="18" t="n">
        <v>356.87</v>
      </c>
      <c r="O23" s="18" t="n">
        <v>381.74</v>
      </c>
      <c r="P23" s="37" t="n">
        <v>381.74</v>
      </c>
      <c r="Q23" s="18" t="n">
        <v>366.41</v>
      </c>
      <c r="R23" s="18" t="n">
        <v>384.05</v>
      </c>
      <c r="S23" s="18" t="n">
        <v>384.15</v>
      </c>
      <c r="T23" s="18" t="n">
        <v>699.88</v>
      </c>
      <c r="U23" s="37" t="n">
        <v>699.88</v>
      </c>
      <c r="V23" s="18" t="n">
        <v>691.11</v>
      </c>
      <c r="W23" s="18" t="n">
        <v>744.89</v>
      </c>
      <c r="X23" s="18" t="n">
        <v>954.78</v>
      </c>
      <c r="Y23" s="18" t="n">
        <v>1210.02</v>
      </c>
      <c r="Z23" s="37" t="n">
        <v>1210.02</v>
      </c>
      <c r="AA23" s="18" t="n">
        <v>1275.26</v>
      </c>
      <c r="AB23" s="19" t="n">
        <v>1981.18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투자부동산</t>
        </is>
      </c>
      <c r="E24" s="18" t="n">
        <v>26029.08</v>
      </c>
      <c r="F24" s="37" t="n">
        <v>26029.08</v>
      </c>
      <c r="G24" s="18" t="n">
        <v>26029.08</v>
      </c>
      <c r="H24" s="18" t="n">
        <v>26029.08</v>
      </c>
      <c r="I24" s="18" t="n">
        <v>26029.08</v>
      </c>
      <c r="K24" s="9" t="n"/>
      <c r="O24" s="18" t="n">
        <v>106753.4</v>
      </c>
      <c r="P24" s="37" t="n">
        <v>106753.4</v>
      </c>
      <c r="Q24" s="18" t="n">
        <v>106753.4</v>
      </c>
      <c r="R24" s="18" t="n">
        <v>106753.4</v>
      </c>
      <c r="S24" s="18" t="n">
        <v>106753.27</v>
      </c>
      <c r="U24" s="9" t="n"/>
      <c r="Y24" s="18" t="n">
        <v>0</v>
      </c>
      <c r="Z24" s="37" t="n">
        <v>0</v>
      </c>
      <c r="AB24" s="5" t="n"/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기타비유동자산</t>
        </is>
      </c>
      <c r="E25" s="18" t="n">
        <v>119.94</v>
      </c>
      <c r="F25" s="37" t="n">
        <v>119.94</v>
      </c>
      <c r="G25" s="18" t="n">
        <v>75.87</v>
      </c>
      <c r="H25" s="18" t="n">
        <v>45.21</v>
      </c>
      <c r="I25" s="18" t="n">
        <v>1.13</v>
      </c>
      <c r="J25" s="18" t="n">
        <v>259.66</v>
      </c>
      <c r="K25" s="37" t="n">
        <v>259.66</v>
      </c>
      <c r="L25" s="18" t="n">
        <v>232.49</v>
      </c>
      <c r="M25" s="18" t="n">
        <v>197.41</v>
      </c>
      <c r="N25" s="18" t="n">
        <v>185.56</v>
      </c>
      <c r="O25" s="18" t="n">
        <v>0</v>
      </c>
      <c r="P25" s="37" t="n">
        <v>0</v>
      </c>
      <c r="U25" s="9" t="n"/>
      <c r="W25" s="18" t="n">
        <v>56.33</v>
      </c>
      <c r="Y25" s="18" t="n">
        <v>3665.22</v>
      </c>
      <c r="Z25" s="37" t="n">
        <v>3665.22</v>
      </c>
      <c r="AA25" s="18" t="n">
        <v>5484.49</v>
      </c>
      <c r="AB25" s="19" t="n">
        <v>5954.26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395553.79</v>
      </c>
      <c r="F26" s="37" t="n">
        <v>395553.79</v>
      </c>
      <c r="G26" s="18" t="n">
        <v>369065.57</v>
      </c>
      <c r="H26" s="18" t="n">
        <v>369091.95</v>
      </c>
      <c r="I26" s="18" t="n">
        <v>391017.35</v>
      </c>
      <c r="J26" s="18" t="n">
        <v>392020.56</v>
      </c>
      <c r="K26" s="37" t="n">
        <v>392020.56</v>
      </c>
      <c r="L26" s="18" t="n">
        <v>408008.03</v>
      </c>
      <c r="M26" s="18" t="n">
        <v>427521.42</v>
      </c>
      <c r="N26" s="18" t="n">
        <v>424658.56</v>
      </c>
      <c r="O26" s="18" t="n">
        <v>445492.51</v>
      </c>
      <c r="P26" s="37" t="n">
        <v>445492.51</v>
      </c>
      <c r="Q26" s="18" t="n">
        <v>458173.52</v>
      </c>
      <c r="R26" s="18" t="n">
        <v>462507.1</v>
      </c>
      <c r="S26" s="18" t="n">
        <v>423509.95</v>
      </c>
      <c r="T26" s="18" t="n">
        <v>473661.32</v>
      </c>
      <c r="U26" s="37" t="n">
        <v>473661.32</v>
      </c>
      <c r="V26" s="18" t="n">
        <v>505617.84</v>
      </c>
      <c r="W26" s="18" t="n">
        <v>552227.66</v>
      </c>
      <c r="X26" s="18" t="n">
        <v>641451.9300000001</v>
      </c>
      <c r="Y26" s="18" t="n">
        <v>783344</v>
      </c>
      <c r="Z26" s="37" t="n">
        <v>783344</v>
      </c>
      <c r="AA26" s="18" t="n">
        <v>842985.6</v>
      </c>
      <c r="AB26" s="19" t="n">
        <v>956823.11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214737.52</v>
      </c>
      <c r="F27" s="37" t="n">
        <v>214737.52</v>
      </c>
      <c r="G27" s="18" t="n">
        <v>189119.96</v>
      </c>
      <c r="H27" s="18" t="n">
        <v>192835.31</v>
      </c>
      <c r="I27" s="18" t="n">
        <v>200814.5</v>
      </c>
      <c r="J27" s="18" t="n">
        <v>163838.81</v>
      </c>
      <c r="K27" s="37" t="n">
        <v>163838.81</v>
      </c>
      <c r="L27" s="18" t="n">
        <v>180435.78</v>
      </c>
      <c r="M27" s="18" t="n">
        <v>194624.05</v>
      </c>
      <c r="N27" s="18" t="n">
        <v>193163.97</v>
      </c>
      <c r="O27" s="18" t="n">
        <v>202934.79</v>
      </c>
      <c r="P27" s="37" t="n">
        <v>202934.79</v>
      </c>
      <c r="Q27" s="18" t="n">
        <v>210906.94</v>
      </c>
      <c r="R27" s="18" t="n">
        <v>207249.5</v>
      </c>
      <c r="S27" s="18" t="n">
        <v>111533.76</v>
      </c>
      <c r="T27" s="18" t="n">
        <v>176640.57</v>
      </c>
      <c r="U27" s="37" t="n">
        <v>176640.57</v>
      </c>
      <c r="V27" s="18" t="n">
        <v>191457.8</v>
      </c>
      <c r="W27" s="18" t="n">
        <v>211991.8</v>
      </c>
      <c r="X27" s="18" t="n">
        <v>283686.91</v>
      </c>
      <c r="Y27" s="18" t="n">
        <v>315200.09</v>
      </c>
      <c r="Z27" s="37" t="n">
        <v>315200.09</v>
      </c>
      <c r="AA27" s="18" t="n">
        <v>348199.68</v>
      </c>
      <c r="AB27" s="19" t="n">
        <v>434483.63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매입채무및기타채무</t>
        </is>
      </c>
      <c r="E28" s="18" t="n">
        <v>40197.32</v>
      </c>
      <c r="F28" s="37" t="n">
        <v>40197.32</v>
      </c>
      <c r="G28" s="18" t="n">
        <v>39669.72</v>
      </c>
      <c r="H28" s="18" t="n">
        <v>38391.17</v>
      </c>
      <c r="I28" s="18" t="n">
        <v>40195.17</v>
      </c>
      <c r="J28" s="18" t="n">
        <v>31010.06</v>
      </c>
      <c r="K28" s="37" t="n">
        <v>31010.06</v>
      </c>
      <c r="L28" s="18" t="n">
        <v>34502.56</v>
      </c>
      <c r="M28" s="18" t="n">
        <v>41050.09</v>
      </c>
      <c r="N28" s="18" t="n">
        <v>43038.68</v>
      </c>
      <c r="O28" s="18" t="n">
        <v>43163.71</v>
      </c>
      <c r="P28" s="37" t="n">
        <v>43163.71</v>
      </c>
      <c r="Q28" s="18" t="n">
        <v>37739.12</v>
      </c>
      <c r="R28" s="18" t="n">
        <v>40420.26</v>
      </c>
      <c r="S28" s="18" t="n">
        <v>40439.06</v>
      </c>
      <c r="T28" s="18" t="n">
        <v>46460.34</v>
      </c>
      <c r="U28" s="37" t="n">
        <v>46460.34</v>
      </c>
      <c r="V28" s="18" t="n">
        <v>46016.71</v>
      </c>
      <c r="W28" s="18" t="n">
        <v>50534.27</v>
      </c>
      <c r="X28" s="18" t="n">
        <v>45565.59</v>
      </c>
      <c r="Y28" s="18" t="n">
        <v>55731.05</v>
      </c>
      <c r="Z28" s="37" t="n">
        <v>55731.05</v>
      </c>
      <c r="AA28" s="18" t="n">
        <v>56136.29</v>
      </c>
      <c r="AB28" s="19" t="n">
        <v>65470.52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831.79</v>
      </c>
      <c r="F29" s="37" t="n">
        <v>831.79</v>
      </c>
      <c r="G29" s="18" t="n">
        <v>1160.46</v>
      </c>
      <c r="H29" s="18" t="n">
        <v>1049.41</v>
      </c>
      <c r="I29" s="18" t="n">
        <v>826.48</v>
      </c>
      <c r="J29" s="18" t="n">
        <v>764.9</v>
      </c>
      <c r="K29" s="37" t="n">
        <v>764.9</v>
      </c>
      <c r="P29" s="9" t="n"/>
      <c r="U29" s="9" t="n"/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1508.34</v>
      </c>
      <c r="F30" s="37" t="n">
        <v>1508.34</v>
      </c>
      <c r="G30" s="18" t="n">
        <v>1670.63</v>
      </c>
      <c r="H30" s="18" t="n">
        <v>1411.6</v>
      </c>
      <c r="I30" s="18" t="n">
        <v>3465.48</v>
      </c>
      <c r="J30" s="18" t="n">
        <v>3271.06</v>
      </c>
      <c r="K30" s="37" t="n">
        <v>3271.06</v>
      </c>
      <c r="P30" s="9" t="n"/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단기금융부채</t>
        </is>
      </c>
      <c r="E31" s="18" t="n">
        <v>836.0599999999999</v>
      </c>
      <c r="F31" s="37" t="n">
        <v>836.0599999999999</v>
      </c>
      <c r="G31" s="18" t="n">
        <v>1254.25</v>
      </c>
      <c r="H31" s="18" t="n">
        <v>1662.24</v>
      </c>
      <c r="I31" s="18" t="n">
        <v>1622.23</v>
      </c>
      <c r="J31" s="18" t="n">
        <v>764.9</v>
      </c>
      <c r="K31" s="37" t="n">
        <v>764.9</v>
      </c>
      <c r="P31" s="9" t="n"/>
      <c r="U31" s="9" t="n"/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선수금</t>
        </is>
      </c>
      <c r="E32" s="18" t="n">
        <v>34921.76</v>
      </c>
      <c r="F32" s="37" t="n">
        <v>34921.76</v>
      </c>
      <c r="G32" s="18" t="n">
        <v>36996.22</v>
      </c>
      <c r="H32" s="18" t="n">
        <v>41327.27</v>
      </c>
      <c r="I32" s="18" t="n">
        <v>49685.54</v>
      </c>
      <c r="J32" s="18" t="n">
        <v>42375.39</v>
      </c>
      <c r="K32" s="37" t="n">
        <v>42375.39</v>
      </c>
      <c r="P32" s="9" t="n"/>
      <c r="U32" s="9" t="n"/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기타유동부채</t>
        </is>
      </c>
      <c r="E33" s="18" t="n">
        <v>38136.43</v>
      </c>
      <c r="F33" s="37" t="n">
        <v>38136.43</v>
      </c>
      <c r="G33" s="18" t="n">
        <v>39052.64</v>
      </c>
      <c r="H33" s="18" t="n">
        <v>45423.51</v>
      </c>
      <c r="I33" s="18" t="n">
        <v>49834.08</v>
      </c>
      <c r="J33" s="18" t="n">
        <v>42577.71</v>
      </c>
      <c r="K33" s="37" t="n">
        <v>42577.71</v>
      </c>
      <c r="L33" s="18" t="n">
        <v>55319.72</v>
      </c>
      <c r="M33" s="18" t="n">
        <v>52155.35</v>
      </c>
      <c r="N33" s="18" t="n">
        <v>51039.53</v>
      </c>
      <c r="O33" s="18" t="n">
        <v>59612.98</v>
      </c>
      <c r="P33" s="37" t="n">
        <v>59612.98</v>
      </c>
      <c r="Q33" s="18" t="n">
        <v>72073.33</v>
      </c>
      <c r="R33" s="18" t="n">
        <v>65447.89</v>
      </c>
      <c r="S33" s="18" t="n">
        <v>59130.17</v>
      </c>
      <c r="T33" s="18" t="n">
        <v>110424.36</v>
      </c>
      <c r="U33" s="37" t="n">
        <v>110424.36</v>
      </c>
      <c r="V33" s="18" t="n">
        <v>126430.57</v>
      </c>
      <c r="W33" s="18" t="n">
        <v>148608.61</v>
      </c>
      <c r="X33" s="18" t="n">
        <v>225693.61</v>
      </c>
      <c r="Y33" s="18" t="n">
        <v>246946.53</v>
      </c>
      <c r="Z33" s="37" t="n">
        <v>246946.53</v>
      </c>
      <c r="AA33" s="18" t="n">
        <v>268964.42</v>
      </c>
      <c r="AB33" s="19" t="n">
        <v>339849.53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유동성장기부채</t>
        </is>
      </c>
      <c r="E34" s="18" t="n">
        <v>43970</v>
      </c>
      <c r="F34" s="37" t="n">
        <v>43970</v>
      </c>
      <c r="G34" s="18" t="n">
        <v>18000</v>
      </c>
      <c r="H34" s="18" t="n">
        <v>18000</v>
      </c>
      <c r="I34" s="18" t="n">
        <v>18000</v>
      </c>
      <c r="K34" s="9" t="n"/>
      <c r="P34" s="9" t="n"/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단기차입금</t>
        </is>
      </c>
      <c r="E35" s="18" t="n">
        <v>78390.03999999999</v>
      </c>
      <c r="F35" s="37" t="n">
        <v>78390.03999999999</v>
      </c>
      <c r="G35" s="18" t="n">
        <v>77971.78</v>
      </c>
      <c r="H35" s="18" t="n">
        <v>77714.96000000001</v>
      </c>
      <c r="I35" s="18" t="n">
        <v>81172.03999999999</v>
      </c>
      <c r="J35" s="18" t="n">
        <v>80976.88</v>
      </c>
      <c r="K35" s="37" t="n">
        <v>80976.88</v>
      </c>
      <c r="L35" s="18" t="n">
        <v>82151.02</v>
      </c>
      <c r="M35" s="18" t="n">
        <v>92881.60000000001</v>
      </c>
      <c r="N35" s="18" t="n">
        <v>90381.95</v>
      </c>
      <c r="O35" s="18" t="n">
        <v>88641.28999999999</v>
      </c>
      <c r="P35" s="37" t="n">
        <v>88641.28999999999</v>
      </c>
      <c r="Q35" s="18" t="n">
        <v>89034.60000000001</v>
      </c>
      <c r="R35" s="18" t="n">
        <v>91191.71000000001</v>
      </c>
      <c r="S35" s="18" t="n">
        <v>2890.8</v>
      </c>
      <c r="T35" s="18" t="n">
        <v>10383.82</v>
      </c>
      <c r="U35" s="37" t="n">
        <v>10383.82</v>
      </c>
      <c r="V35" s="18" t="n">
        <v>7743.25</v>
      </c>
      <c r="W35" s="18" t="n">
        <v>1272.93</v>
      </c>
      <c r="X35" s="18" t="n">
        <v>1928.94</v>
      </c>
      <c r="Y35" s="18" t="n">
        <v>1683.94</v>
      </c>
      <c r="Z35" s="37" t="n">
        <v>1683.94</v>
      </c>
      <c r="AA35" s="18" t="n">
        <v>11395.45</v>
      </c>
      <c r="AB35" s="19" t="n">
        <v>17104.86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단기충당부채</t>
        </is>
      </c>
      <c r="E36" s="18" t="n">
        <v>13207.66</v>
      </c>
      <c r="F36" s="37" t="n">
        <v>13207.66</v>
      </c>
      <c r="G36" s="18" t="n">
        <v>13171.56</v>
      </c>
      <c r="H36" s="18" t="n">
        <v>11643.43</v>
      </c>
      <c r="I36" s="18" t="n">
        <v>9990.98</v>
      </c>
      <c r="J36" s="18" t="n">
        <v>8509.26</v>
      </c>
      <c r="K36" s="37" t="n">
        <v>8509.26</v>
      </c>
      <c r="L36" s="18" t="n">
        <v>8462.469999999999</v>
      </c>
      <c r="M36" s="18" t="n">
        <v>8537.01</v>
      </c>
      <c r="N36" s="18" t="n">
        <v>8703.790000000001</v>
      </c>
      <c r="O36" s="18" t="n">
        <v>11516.81</v>
      </c>
      <c r="P36" s="37" t="n">
        <v>11516.81</v>
      </c>
      <c r="Q36" s="18" t="n">
        <v>12059.89</v>
      </c>
      <c r="R36" s="18" t="n">
        <v>10138.83</v>
      </c>
      <c r="S36" s="18" t="n">
        <v>9055.440000000001</v>
      </c>
      <c r="T36" s="18" t="n">
        <v>9339.23</v>
      </c>
      <c r="U36" s="37" t="n">
        <v>9339.23</v>
      </c>
      <c r="V36" s="18" t="n">
        <v>9261.440000000001</v>
      </c>
      <c r="W36" s="18" t="n">
        <v>9144.639999999999</v>
      </c>
      <c r="X36" s="18" t="n">
        <v>10292.56</v>
      </c>
      <c r="Y36" s="18" t="n">
        <v>10616.14</v>
      </c>
      <c r="Z36" s="37" t="n">
        <v>10616.14</v>
      </c>
      <c r="AA36" s="18" t="n">
        <v>10153.11</v>
      </c>
      <c r="AB36" s="19" t="n">
        <v>9991.389999999999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단기파생상품부채</t>
        </is>
      </c>
      <c r="E37" s="18" t="n">
        <v>4.27</v>
      </c>
      <c r="F37" s="37" t="n">
        <v>4.27</v>
      </c>
      <c r="G37" s="18" t="n">
        <v>93.79000000000001</v>
      </c>
      <c r="H37" s="18" t="n">
        <v>612.83</v>
      </c>
      <c r="I37" s="18" t="n">
        <v>795.75</v>
      </c>
      <c r="K37" s="9" t="n"/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비유동부채</t>
        </is>
      </c>
      <c r="E38" s="18" t="n">
        <v>30665.52</v>
      </c>
      <c r="F38" s="37" t="n">
        <v>30665.52</v>
      </c>
      <c r="G38" s="18" t="n">
        <v>30472.7</v>
      </c>
      <c r="H38" s="18" t="n">
        <v>30376.64</v>
      </c>
      <c r="I38" s="18" t="n">
        <v>32370.46</v>
      </c>
      <c r="J38" s="18" t="n">
        <v>38252.87</v>
      </c>
      <c r="K38" s="37" t="n">
        <v>38252.87</v>
      </c>
      <c r="L38" s="18" t="n">
        <v>38010.15</v>
      </c>
      <c r="M38" s="18" t="n">
        <v>37516.24</v>
      </c>
      <c r="N38" s="18" t="n">
        <v>37540.5</v>
      </c>
      <c r="O38" s="18" t="n">
        <v>21390.3</v>
      </c>
      <c r="P38" s="37" t="n">
        <v>21390.3</v>
      </c>
      <c r="Q38" s="18" t="n">
        <v>21281.3</v>
      </c>
      <c r="R38" s="18" t="n">
        <v>21982.93</v>
      </c>
      <c r="S38" s="18" t="n">
        <v>24281.05</v>
      </c>
      <c r="T38" s="18" t="n">
        <v>3856.26</v>
      </c>
      <c r="U38" s="37" t="n">
        <v>3856.26</v>
      </c>
      <c r="V38" s="18" t="n">
        <v>3706.9</v>
      </c>
      <c r="W38" s="18" t="n">
        <v>2007.52</v>
      </c>
      <c r="X38" s="18" t="n">
        <v>2243.39</v>
      </c>
      <c r="Y38" s="18" t="n">
        <v>4675.26</v>
      </c>
      <c r="Z38" s="37" t="n">
        <v>4675.26</v>
      </c>
      <c r="AA38" s="18" t="n">
        <v>21314.24</v>
      </c>
      <c r="AB38" s="19" t="n">
        <v>26371.57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비유동리스부채</t>
        </is>
      </c>
      <c r="E39" s="18" t="n">
        <v>676.55</v>
      </c>
      <c r="F39" s="37" t="n">
        <v>676.55</v>
      </c>
      <c r="G39" s="18" t="n">
        <v>510.17</v>
      </c>
      <c r="H39" s="18" t="n">
        <v>362.19</v>
      </c>
      <c r="I39" s="18" t="n">
        <v>2639</v>
      </c>
      <c r="J39" s="18" t="n">
        <v>2506.16</v>
      </c>
      <c r="K39" s="37" t="n">
        <v>2506.16</v>
      </c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장기금융부채</t>
        </is>
      </c>
      <c r="E40" s="18" t="n">
        <v>676.55</v>
      </c>
      <c r="F40" s="37" t="n">
        <v>676.55</v>
      </c>
      <c r="G40" s="18" t="n">
        <v>510.17</v>
      </c>
      <c r="H40" s="18" t="n">
        <v>362.19</v>
      </c>
      <c r="I40" s="18" t="n">
        <v>2639</v>
      </c>
      <c r="J40" s="18" t="n">
        <v>2506.16</v>
      </c>
      <c r="K40" s="37" t="n">
        <v>2506.16</v>
      </c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장기매입채무및기타채무</t>
        </is>
      </c>
      <c r="E41" s="18" t="n">
        <v>1146.34</v>
      </c>
      <c r="F41" s="37" t="n">
        <v>1146.34</v>
      </c>
      <c r="G41" s="18" t="n">
        <v>1189.41</v>
      </c>
      <c r="H41" s="18" t="n">
        <v>1146.3</v>
      </c>
      <c r="I41" s="18" t="n">
        <v>976.48</v>
      </c>
      <c r="J41" s="18" t="n">
        <v>1100.17</v>
      </c>
      <c r="K41" s="37" t="n">
        <v>1100.17</v>
      </c>
      <c r="L41" s="18" t="n">
        <v>1077.61</v>
      </c>
      <c r="M41" s="18" t="n">
        <v>578.24</v>
      </c>
      <c r="N41" s="18" t="n">
        <v>686.38</v>
      </c>
      <c r="O41" s="18" t="n">
        <v>782.1</v>
      </c>
      <c r="P41" s="37" t="n">
        <v>782.1</v>
      </c>
      <c r="Q41" s="18" t="n">
        <v>788.6</v>
      </c>
      <c r="R41" s="18" t="n">
        <v>798.6</v>
      </c>
      <c r="S41" s="18" t="n">
        <v>842.6799999999999</v>
      </c>
      <c r="T41" s="18" t="n">
        <v>874.35</v>
      </c>
      <c r="U41" s="37" t="n">
        <v>874.35</v>
      </c>
      <c r="V41" s="18" t="n">
        <v>897.26</v>
      </c>
      <c r="W41" s="18" t="n">
        <v>897.26</v>
      </c>
      <c r="X41" s="18" t="n">
        <v>897.26</v>
      </c>
      <c r="Y41" s="18" t="n">
        <v>3341.29</v>
      </c>
      <c r="Z41" s="37" t="n">
        <v>3341.29</v>
      </c>
      <c r="AA41" s="18" t="n">
        <v>5633.65</v>
      </c>
      <c r="AB41" s="19" t="n">
        <v>6619.59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장기충당부채</t>
        </is>
      </c>
      <c r="E42" s="18" t="n">
        <v>301.83</v>
      </c>
      <c r="F42" s="37" t="n">
        <v>301.83</v>
      </c>
      <c r="G42" s="18" t="n">
        <v>232.32</v>
      </c>
      <c r="H42" s="18" t="n">
        <v>327.34</v>
      </c>
      <c r="I42" s="18" t="n">
        <v>214.17</v>
      </c>
      <c r="J42" s="18" t="n">
        <v>128.97</v>
      </c>
      <c r="K42" s="37" t="n">
        <v>128.97</v>
      </c>
      <c r="L42" s="18" t="n">
        <v>80.65000000000001</v>
      </c>
      <c r="M42" s="18" t="n">
        <v>84.17</v>
      </c>
      <c r="N42" s="18" t="n">
        <v>107.37</v>
      </c>
      <c r="O42" s="18" t="n">
        <v>129.41</v>
      </c>
      <c r="P42" s="37" t="n">
        <v>129.41</v>
      </c>
      <c r="Q42" s="18" t="n">
        <v>118.02</v>
      </c>
      <c r="R42" s="18" t="n">
        <v>120.49</v>
      </c>
      <c r="S42" s="18" t="n">
        <v>198.69</v>
      </c>
      <c r="T42" s="18" t="n">
        <v>231.63</v>
      </c>
      <c r="U42" s="37" t="n">
        <v>231.63</v>
      </c>
      <c r="V42" s="18" t="n">
        <v>162.15</v>
      </c>
      <c r="W42" s="18" t="n">
        <v>161.16</v>
      </c>
      <c r="X42" s="18" t="n">
        <v>254.82</v>
      </c>
      <c r="Y42" s="18" t="n">
        <v>290.25</v>
      </c>
      <c r="Z42" s="37" t="n">
        <v>290.25</v>
      </c>
      <c r="AA42" s="18" t="n">
        <v>310.6</v>
      </c>
      <c r="AB42" s="19" t="n">
        <v>367.95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이연법인세부채</t>
        </is>
      </c>
      <c r="E43" s="18" t="n">
        <v>28540.81</v>
      </c>
      <c r="F43" s="37" t="n">
        <v>28540.81</v>
      </c>
      <c r="G43" s="18" t="n">
        <v>28540.81</v>
      </c>
      <c r="H43" s="18" t="n">
        <v>28540.81</v>
      </c>
      <c r="I43" s="18" t="n">
        <v>28540.81</v>
      </c>
      <c r="J43" s="18" t="n">
        <v>34517.57</v>
      </c>
      <c r="K43" s="37" t="n">
        <v>34517.57</v>
      </c>
      <c r="L43" s="18" t="n">
        <v>34353.2</v>
      </c>
      <c r="M43" s="18" t="n">
        <v>34306.81</v>
      </c>
      <c r="N43" s="18" t="n">
        <v>34306.81</v>
      </c>
      <c r="O43" s="18" t="n">
        <v>17965.94</v>
      </c>
      <c r="P43" s="37" t="n">
        <v>17965.94</v>
      </c>
      <c r="Q43" s="18" t="n">
        <v>17965.94</v>
      </c>
      <c r="R43" s="18" t="n">
        <v>18812.45</v>
      </c>
      <c r="S43" s="18" t="n">
        <v>19269.9</v>
      </c>
      <c r="U43" s="9" t="n"/>
      <c r="Y43" s="18" t="n">
        <v>0</v>
      </c>
      <c r="Z43" s="37" t="n">
        <v>0</v>
      </c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부채총계</t>
        </is>
      </c>
      <c r="E44" s="18" t="n">
        <v>245403.04</v>
      </c>
      <c r="F44" s="37" t="n">
        <v>245403.04</v>
      </c>
      <c r="G44" s="18" t="n">
        <v>219592.65</v>
      </c>
      <c r="H44" s="18" t="n">
        <v>223211.95</v>
      </c>
      <c r="I44" s="18" t="n">
        <v>233184.96</v>
      </c>
      <c r="J44" s="18" t="n">
        <v>202091.68</v>
      </c>
      <c r="K44" s="37" t="n">
        <v>202091.68</v>
      </c>
      <c r="L44" s="18" t="n">
        <v>218445.93</v>
      </c>
      <c r="M44" s="18" t="n">
        <v>232140.29</v>
      </c>
      <c r="N44" s="18" t="n">
        <v>230704.47</v>
      </c>
      <c r="O44" s="18" t="n">
        <v>224325.09</v>
      </c>
      <c r="P44" s="37" t="n">
        <v>224325.09</v>
      </c>
      <c r="Q44" s="18" t="n">
        <v>232188.24</v>
      </c>
      <c r="R44" s="18" t="n">
        <v>229232.43</v>
      </c>
      <c r="S44" s="18" t="n">
        <v>135814.81</v>
      </c>
      <c r="T44" s="18" t="n">
        <v>180496.83</v>
      </c>
      <c r="U44" s="37" t="n">
        <v>180496.83</v>
      </c>
      <c r="V44" s="18" t="n">
        <v>195164.7</v>
      </c>
      <c r="W44" s="18" t="n">
        <v>213999.32</v>
      </c>
      <c r="X44" s="18" t="n">
        <v>285930.3</v>
      </c>
      <c r="Y44" s="18" t="n">
        <v>319875.35</v>
      </c>
      <c r="Z44" s="37" t="n">
        <v>319875.35</v>
      </c>
      <c r="AA44" s="18" t="n">
        <v>369513.92</v>
      </c>
      <c r="AB44" s="19" t="n">
        <v>460855.2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70914.94</v>
      </c>
      <c r="F45" s="37" t="n">
        <v>70914.94</v>
      </c>
      <c r="G45" s="18" t="n">
        <v>70914.94</v>
      </c>
      <c r="H45" s="18" t="n">
        <v>70914.94</v>
      </c>
      <c r="I45" s="18" t="n">
        <v>70914.94</v>
      </c>
      <c r="J45" s="18" t="n">
        <v>70952.60000000001</v>
      </c>
      <c r="K45" s="37" t="n">
        <v>70952.60000000001</v>
      </c>
      <c r="L45" s="18" t="n">
        <v>71381.67</v>
      </c>
      <c r="M45" s="18" t="n">
        <v>71381.67</v>
      </c>
      <c r="N45" s="18" t="n">
        <v>71381.67</v>
      </c>
      <c r="O45" s="18" t="n">
        <v>71381.67</v>
      </c>
      <c r="P45" s="37" t="n">
        <v>71381.67</v>
      </c>
      <c r="Q45" s="18" t="n">
        <v>71381.67</v>
      </c>
      <c r="R45" s="18" t="n">
        <v>71381.67</v>
      </c>
      <c r="S45" s="18" t="n">
        <v>84793.35000000001</v>
      </c>
      <c r="T45" s="18" t="n">
        <v>84803.74000000001</v>
      </c>
      <c r="U45" s="37" t="n">
        <v>84803.74000000001</v>
      </c>
      <c r="V45" s="18" t="n">
        <v>84803.74000000001</v>
      </c>
      <c r="W45" s="18" t="n">
        <v>84803.74000000001</v>
      </c>
      <c r="X45" s="18" t="n">
        <v>84803.74000000001</v>
      </c>
      <c r="Y45" s="18" t="n">
        <v>84803.74000000001</v>
      </c>
      <c r="Z45" s="37" t="n">
        <v>84803.74000000001</v>
      </c>
      <c r="AA45" s="18" t="n">
        <v>84803.74000000001</v>
      </c>
      <c r="AB45" s="19" t="n">
        <v>84803.74000000001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자본잉여금</t>
        </is>
      </c>
      <c r="E46" s="18" t="n">
        <v>346717.65</v>
      </c>
      <c r="F46" s="37" t="n">
        <v>346717.65</v>
      </c>
      <c r="G46" s="18" t="n">
        <v>341407</v>
      </c>
      <c r="H46" s="18" t="n">
        <v>341407</v>
      </c>
      <c r="I46" s="18" t="n">
        <v>341407</v>
      </c>
      <c r="J46" s="18" t="n">
        <v>341407</v>
      </c>
      <c r="K46" s="37" t="n">
        <v>341407</v>
      </c>
      <c r="L46" s="18" t="n">
        <v>341407</v>
      </c>
      <c r="M46" s="18" t="n">
        <v>341407</v>
      </c>
      <c r="N46" s="18" t="n">
        <v>341407</v>
      </c>
      <c r="O46" s="18" t="n">
        <v>341407</v>
      </c>
      <c r="P46" s="37" t="n">
        <v>341407</v>
      </c>
      <c r="Q46" s="18" t="n">
        <v>341407</v>
      </c>
      <c r="R46" s="18" t="n">
        <v>341407</v>
      </c>
      <c r="S46" s="18" t="n">
        <v>341407</v>
      </c>
      <c r="T46" s="18" t="n">
        <v>341407</v>
      </c>
      <c r="U46" s="37" t="n">
        <v>341407</v>
      </c>
      <c r="V46" s="18" t="n">
        <v>341407</v>
      </c>
      <c r="W46" s="18" t="n">
        <v>341407</v>
      </c>
      <c r="X46" s="18" t="n">
        <v>341407</v>
      </c>
      <c r="Y46" s="18" t="n">
        <v>341407</v>
      </c>
      <c r="Z46" s="37" t="n">
        <v>341407</v>
      </c>
      <c r="AA46" s="18" t="n">
        <v>341407</v>
      </c>
      <c r="AB46" s="19" t="n">
        <v>341407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기타자본</t>
        </is>
      </c>
      <c r="E47" s="18" t="n">
        <v>-307096.72</v>
      </c>
      <c r="F47" s="37" t="n">
        <v>-307096.72</v>
      </c>
      <c r="G47" s="18" t="n">
        <v>-307096.72</v>
      </c>
      <c r="H47" s="18" t="n">
        <v>-307096.72</v>
      </c>
      <c r="I47" s="18" t="n">
        <v>-307041.28</v>
      </c>
      <c r="J47" s="18" t="n">
        <v>-305864.13</v>
      </c>
      <c r="K47" s="37" t="n">
        <v>-305864.13</v>
      </c>
      <c r="L47" s="18" t="n">
        <v>-306294.2</v>
      </c>
      <c r="M47" s="18" t="n">
        <v>-306294.2</v>
      </c>
      <c r="N47" s="18" t="n">
        <v>-306294.2</v>
      </c>
      <c r="O47" s="18" t="n">
        <v>-306294.2</v>
      </c>
      <c r="P47" s="37" t="n">
        <v>-306294.2</v>
      </c>
      <c r="Q47" s="18" t="n">
        <v>-306294.2</v>
      </c>
      <c r="R47" s="18" t="n">
        <v>-306294.2</v>
      </c>
      <c r="S47" s="18" t="n">
        <v>-277570.83</v>
      </c>
      <c r="T47" s="18" t="n">
        <v>-277581.99</v>
      </c>
      <c r="U47" s="37" t="n">
        <v>-277581.99</v>
      </c>
      <c r="V47" s="18" t="n">
        <v>-277581.99</v>
      </c>
      <c r="W47" s="18" t="n">
        <v>-277581.99</v>
      </c>
      <c r="X47" s="18" t="n">
        <v>-277581.99</v>
      </c>
      <c r="Y47" s="18" t="n">
        <v>-277581.99</v>
      </c>
      <c r="Z47" s="37" t="n">
        <v>-277581.99</v>
      </c>
      <c r="AA47" s="18" t="n">
        <v>85.65000000000001</v>
      </c>
      <c r="AB47" s="19" t="n">
        <v>85.65000000000001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기타포괄이익누계액</t>
        </is>
      </c>
      <c r="E48" s="18" t="n">
        <v>44925.53</v>
      </c>
      <c r="F48" s="37" t="n">
        <v>44925.53</v>
      </c>
      <c r="G48" s="18" t="n">
        <v>39010.18</v>
      </c>
      <c r="H48" s="18" t="n">
        <v>33098.96</v>
      </c>
      <c r="I48" s="18" t="n">
        <v>26335.03</v>
      </c>
      <c r="J48" s="18" t="n">
        <v>54933.33</v>
      </c>
      <c r="K48" s="37" t="n">
        <v>54933.33</v>
      </c>
      <c r="L48" s="18" t="n">
        <v>54721.61</v>
      </c>
      <c r="M48" s="18" t="n">
        <v>54403.11</v>
      </c>
      <c r="N48" s="18" t="n">
        <v>52920.04</v>
      </c>
      <c r="O48" s="18" t="n">
        <v>56063.91</v>
      </c>
      <c r="P48" s="37" t="n">
        <v>56063.91</v>
      </c>
      <c r="Q48" s="18" t="n">
        <v>54640.02</v>
      </c>
      <c r="R48" s="18" t="n">
        <v>52917.37</v>
      </c>
      <c r="S48" s="18" t="n">
        <v>56068.67</v>
      </c>
      <c r="T48" s="18" t="n">
        <v>23049.61</v>
      </c>
      <c r="U48" s="37" t="n">
        <v>23049.61</v>
      </c>
      <c r="V48" s="18" t="n">
        <v>26613.58</v>
      </c>
      <c r="W48" s="18" t="n">
        <v>38301.43</v>
      </c>
      <c r="X48" s="18" t="n">
        <v>34221.32</v>
      </c>
      <c r="Y48" s="18" t="n">
        <v>35524</v>
      </c>
      <c r="Z48" s="37" t="n">
        <v>35524</v>
      </c>
      <c r="AA48" s="18" t="n">
        <v>18114.7</v>
      </c>
      <c r="AB48" s="19" t="n">
        <v>8586.74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이익잉여금</t>
        </is>
      </c>
      <c r="E49" s="18" t="n">
        <v>-5310.66</v>
      </c>
      <c r="F49" s="37" t="n">
        <v>-5310.66</v>
      </c>
      <c r="G49" s="18" t="n">
        <v>5237.51</v>
      </c>
      <c r="H49" s="18" t="n">
        <v>7555.82</v>
      </c>
      <c r="I49" s="18" t="n">
        <v>26216.71</v>
      </c>
      <c r="J49" s="18" t="n">
        <v>28500.08</v>
      </c>
      <c r="K49" s="37" t="n">
        <v>28500.08</v>
      </c>
      <c r="L49" s="18" t="n">
        <v>28346.01</v>
      </c>
      <c r="M49" s="18" t="n">
        <v>34483.55</v>
      </c>
      <c r="N49" s="18" t="n">
        <v>34539.59</v>
      </c>
      <c r="O49" s="18" t="n">
        <v>58609.04</v>
      </c>
      <c r="P49" s="37" t="n">
        <v>58609.04</v>
      </c>
      <c r="Q49" s="18" t="n">
        <v>64850.79</v>
      </c>
      <c r="R49" s="18" t="n">
        <v>73862.83</v>
      </c>
      <c r="S49" s="18" t="n">
        <v>82996.96000000001</v>
      </c>
      <c r="T49" s="18" t="n">
        <v>121486.14</v>
      </c>
      <c r="U49" s="37" t="n">
        <v>121486.14</v>
      </c>
      <c r="V49" s="18" t="n">
        <v>135210.81</v>
      </c>
      <c r="W49" s="18" t="n">
        <v>151298.16</v>
      </c>
      <c r="X49" s="18" t="n">
        <v>172744.57</v>
      </c>
      <c r="Y49" s="18" t="n">
        <v>279315.91</v>
      </c>
      <c r="Z49" s="37" t="n">
        <v>279315.91</v>
      </c>
      <c r="AA49" s="18" t="n">
        <v>29060.59</v>
      </c>
      <c r="AB49" s="19" t="n">
        <v>61084.78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자본총계</t>
        </is>
      </c>
      <c r="E50" s="18" t="n">
        <v>150150.75</v>
      </c>
      <c r="F50" s="37" t="n">
        <v>150150.75</v>
      </c>
      <c r="G50" s="18" t="n">
        <v>149472.92</v>
      </c>
      <c r="H50" s="18" t="n">
        <v>145879.99</v>
      </c>
      <c r="I50" s="18" t="n">
        <v>157832.4</v>
      </c>
      <c r="J50" s="18" t="n">
        <v>189928.88</v>
      </c>
      <c r="K50" s="37" t="n">
        <v>189928.88</v>
      </c>
      <c r="L50" s="18" t="n">
        <v>189562.09</v>
      </c>
      <c r="M50" s="18" t="n">
        <v>195381.13</v>
      </c>
      <c r="N50" s="18" t="n">
        <v>193954.09</v>
      </c>
      <c r="O50" s="18" t="n">
        <v>221167.43</v>
      </c>
      <c r="P50" s="37" t="n">
        <v>221167.43</v>
      </c>
      <c r="Q50" s="18" t="n">
        <v>225985.29</v>
      </c>
      <c r="R50" s="18" t="n">
        <v>233274.67</v>
      </c>
      <c r="S50" s="18" t="n">
        <v>287695.14</v>
      </c>
      <c r="T50" s="18" t="n">
        <v>293164.49</v>
      </c>
      <c r="U50" s="37" t="n">
        <v>293164.49</v>
      </c>
      <c r="V50" s="18" t="n">
        <v>310453.14</v>
      </c>
      <c r="W50" s="18" t="n">
        <v>338228.34</v>
      </c>
      <c r="X50" s="18" t="n">
        <v>355594.63</v>
      </c>
      <c r="Y50" s="18" t="n">
        <v>463468.65</v>
      </c>
      <c r="Z50" s="37" t="n">
        <v>463468.65</v>
      </c>
      <c r="AA50" s="18" t="n">
        <v>473471.67</v>
      </c>
      <c r="AB50" s="19" t="n">
        <v>495967.91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부채와자본총계</t>
        </is>
      </c>
      <c r="E51" s="18" t="n">
        <v>395553.79</v>
      </c>
      <c r="F51" s="37" t="n">
        <v>395553.79</v>
      </c>
      <c r="G51" s="18" t="n">
        <v>369065.57</v>
      </c>
      <c r="H51" s="18" t="n">
        <v>369091.95</v>
      </c>
      <c r="I51" s="18" t="n">
        <v>391017.35</v>
      </c>
      <c r="J51" s="18" t="n">
        <v>392020.56</v>
      </c>
      <c r="K51" s="37" t="n">
        <v>392020.56</v>
      </c>
      <c r="L51" s="18" t="n">
        <v>408008.03</v>
      </c>
      <c r="M51" s="18" t="n">
        <v>427521.42</v>
      </c>
      <c r="N51" s="18" t="n">
        <v>424658.56</v>
      </c>
      <c r="O51" s="18" t="n">
        <v>445492.51</v>
      </c>
      <c r="P51" s="37" t="n">
        <v>445492.51</v>
      </c>
      <c r="Q51" s="18" t="n">
        <v>458173.52</v>
      </c>
      <c r="R51" s="18" t="n">
        <v>462507.1</v>
      </c>
      <c r="S51" s="18" t="n">
        <v>423509.95</v>
      </c>
      <c r="T51" s="18" t="n">
        <v>473661.32</v>
      </c>
      <c r="U51" s="37" t="n">
        <v>473661.32</v>
      </c>
      <c r="V51" s="18" t="n">
        <v>505617.84</v>
      </c>
      <c r="W51" s="18" t="n">
        <v>552227.66</v>
      </c>
      <c r="X51" s="18" t="n">
        <v>641524.9300000001</v>
      </c>
      <c r="Y51" s="18" t="n">
        <v>783344</v>
      </c>
      <c r="Z51" s="37" t="n">
        <v>783344</v>
      </c>
      <c r="AA51" s="18" t="n">
        <v>842985.6</v>
      </c>
      <c r="AB51" s="19" t="n">
        <v>956823.11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지배주주지분</t>
        </is>
      </c>
      <c r="E52" s="18" t="n">
        <v>150150.75</v>
      </c>
      <c r="F52" s="37" t="n">
        <v>150150.75</v>
      </c>
      <c r="G52" s="18" t="n">
        <v>149472.92</v>
      </c>
      <c r="H52" s="18" t="n">
        <v>145879.99</v>
      </c>
      <c r="I52" s="18" t="n">
        <v>157832.4</v>
      </c>
      <c r="J52" s="18" t="n">
        <v>189928.88</v>
      </c>
      <c r="K52" s="37" t="n">
        <v>189928.88</v>
      </c>
      <c r="L52" s="18" t="n">
        <v>189562.09</v>
      </c>
      <c r="M52" s="18" t="n">
        <v>195381.13</v>
      </c>
      <c r="N52" s="18" t="n">
        <v>193954.09</v>
      </c>
      <c r="O52" s="18" t="n">
        <v>221167.43</v>
      </c>
      <c r="P52" s="37" t="n">
        <v>221167.43</v>
      </c>
      <c r="Q52" s="18" t="n">
        <v>225985.29</v>
      </c>
      <c r="R52" s="18" t="n">
        <v>233274.67</v>
      </c>
      <c r="S52" s="18" t="n">
        <v>287695.14</v>
      </c>
      <c r="T52" s="18" t="n">
        <v>293164.49</v>
      </c>
      <c r="U52" s="37" t="n">
        <v>293164.49</v>
      </c>
      <c r="V52" s="18" t="n">
        <v>310453.14</v>
      </c>
      <c r="W52" s="18" t="n">
        <v>338228.34</v>
      </c>
      <c r="X52" s="18" t="n">
        <v>355594.63</v>
      </c>
      <c r="Y52" s="18" t="n">
        <v>463468.65</v>
      </c>
      <c r="Z52" s="37" t="n">
        <v>463468.65</v>
      </c>
      <c r="AA52" s="18" t="n">
        <v>473471.67</v>
      </c>
      <c r="AB52" s="19" t="n">
        <v>495967.91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122360.04</v>
      </c>
      <c r="F53" s="37" t="n">
        <v>122360.04</v>
      </c>
      <c r="G53" s="18" t="n">
        <v>95971.78</v>
      </c>
      <c r="H53" s="18" t="n">
        <v>95714.96000000001</v>
      </c>
      <c r="I53" s="18" t="n">
        <v>99172.03999999999</v>
      </c>
      <c r="J53" s="18" t="n">
        <v>80976.88</v>
      </c>
      <c r="K53" s="37" t="n">
        <v>80976.88</v>
      </c>
      <c r="L53" s="18" t="n">
        <v>82151.02</v>
      </c>
      <c r="M53" s="18" t="n">
        <v>95428.62</v>
      </c>
      <c r="N53" s="18" t="n">
        <v>92821.88</v>
      </c>
      <c r="O53" s="18" t="n">
        <v>90801.21000000001</v>
      </c>
      <c r="P53" s="37" t="n">
        <v>90801.21000000001</v>
      </c>
      <c r="Q53" s="18" t="n">
        <v>91042.62</v>
      </c>
      <c r="R53" s="18" t="n">
        <v>93010.49000000001</v>
      </c>
      <c r="S53" s="18" t="n">
        <v>4436.02</v>
      </c>
      <c r="T53" s="18" t="n">
        <v>11718.19</v>
      </c>
      <c r="U53" s="37" t="n">
        <v>11718.19</v>
      </c>
      <c r="V53" s="18" t="n">
        <v>8892.360000000001</v>
      </c>
      <c r="W53" s="18" t="n">
        <v>2222.03</v>
      </c>
      <c r="X53" s="18" t="n">
        <v>2944.18</v>
      </c>
      <c r="Y53" s="18" t="n">
        <v>2504.91</v>
      </c>
      <c r="Z53" s="37" t="n">
        <v>2504.91</v>
      </c>
      <c r="AA53" s="18" t="n">
        <v>26477.11</v>
      </c>
      <c r="AB53" s="19" t="n">
        <v>36100.22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66881.64</v>
      </c>
      <c r="F54" s="37" t="n">
        <v>66881.64</v>
      </c>
      <c r="G54" s="18" t="n">
        <v>68154.89999999999</v>
      </c>
      <c r="H54" s="18" t="n">
        <v>73826.28999999999</v>
      </c>
      <c r="I54" s="18" t="n">
        <v>34422.41</v>
      </c>
      <c r="J54" s="18" t="n">
        <v>56636.87</v>
      </c>
      <c r="K54" s="37" t="n">
        <v>56636.87</v>
      </c>
      <c r="L54" s="18" t="n">
        <v>55634.55</v>
      </c>
      <c r="M54" s="18" t="n">
        <v>78435.06</v>
      </c>
      <c r="N54" s="18" t="n">
        <v>70414.85000000001</v>
      </c>
      <c r="O54" s="18" t="n">
        <v>57838.77</v>
      </c>
      <c r="P54" s="37" t="n">
        <v>57838.77</v>
      </c>
      <c r="Q54" s="18" t="n">
        <v>64935.54</v>
      </c>
      <c r="R54" s="18" t="n">
        <v>48141.09</v>
      </c>
      <c r="S54" s="18" t="n">
        <v>-8039.1</v>
      </c>
      <c r="T54" s="18" t="n">
        <v>-45847.33</v>
      </c>
      <c r="U54" s="37" t="n">
        <v>-45847.33</v>
      </c>
      <c r="V54" s="18" t="n">
        <v>-77065.06</v>
      </c>
      <c r="W54" s="18" t="n">
        <v>-125961.89</v>
      </c>
      <c r="X54" s="18" t="n">
        <v>-85617.8</v>
      </c>
      <c r="Y54" s="18" t="n">
        <v>-87843.46000000001</v>
      </c>
      <c r="Z54" s="37" t="n">
        <v>-87843.46000000001</v>
      </c>
      <c r="AA54" s="18" t="n">
        <v>-164975.77</v>
      </c>
      <c r="AB54" s="19" t="n">
        <v>-300807.55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55532.4</v>
      </c>
      <c r="F55" s="37" t="n">
        <v>55532.4</v>
      </c>
      <c r="G55" s="18" t="n">
        <v>27870.88</v>
      </c>
      <c r="H55" s="18" t="n">
        <v>21942.67</v>
      </c>
      <c r="I55" s="18" t="n">
        <v>64803.63</v>
      </c>
      <c r="J55" s="18" t="n">
        <v>24394.01</v>
      </c>
      <c r="K55" s="37" t="n">
        <v>24394.01</v>
      </c>
      <c r="L55" s="18" t="n">
        <v>27605.04</v>
      </c>
      <c r="M55" s="18" t="n">
        <v>19514.52</v>
      </c>
      <c r="N55" s="18" t="n">
        <v>24404.71</v>
      </c>
      <c r="O55" s="18" t="n">
        <v>34011.99</v>
      </c>
      <c r="P55" s="37" t="n">
        <v>34011.99</v>
      </c>
      <c r="Q55" s="18" t="n">
        <v>26985.04</v>
      </c>
      <c r="R55" s="18" t="n">
        <v>46306.37</v>
      </c>
      <c r="S55" s="18" t="n">
        <v>21369.54</v>
      </c>
      <c r="T55" s="18" t="n">
        <v>65021.82</v>
      </c>
      <c r="U55" s="37" t="n">
        <v>65021.82</v>
      </c>
      <c r="V55" s="18" t="n">
        <v>93415.16</v>
      </c>
      <c r="W55" s="18" t="n">
        <v>135643.35</v>
      </c>
      <c r="X55" s="18" t="n">
        <v>96022.97</v>
      </c>
      <c r="Y55" s="18" t="n">
        <v>100900.14</v>
      </c>
      <c r="Z55" s="37" t="n">
        <v>100900.14</v>
      </c>
      <c r="AA55" s="18" t="n">
        <v>198939.22</v>
      </c>
      <c r="AB55" s="19" t="n">
        <v>344373.86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단기금융부채(face)</t>
        </is>
      </c>
      <c r="F56" s="9" t="n"/>
      <c r="K56" s="9" t="n"/>
      <c r="L56" s="18" t="n">
        <v>82151.02</v>
      </c>
      <c r="M56" s="18" t="n">
        <v>92881.60000000001</v>
      </c>
      <c r="N56" s="18" t="n">
        <v>90381.95</v>
      </c>
      <c r="O56" s="18" t="n">
        <v>88641.28999999999</v>
      </c>
      <c r="P56" s="37" t="n">
        <v>88641.28999999999</v>
      </c>
      <c r="Q56" s="18" t="n">
        <v>89034.60000000001</v>
      </c>
      <c r="R56" s="18" t="n">
        <v>91191.71000000001</v>
      </c>
      <c r="S56" s="18" t="n">
        <v>2890.8</v>
      </c>
      <c r="T56" s="18" t="n">
        <v>10383.82</v>
      </c>
      <c r="U56" s="37" t="n">
        <v>10383.82</v>
      </c>
      <c r="V56" s="18" t="n">
        <v>7743.25</v>
      </c>
      <c r="W56" s="18" t="n">
        <v>1272.93</v>
      </c>
      <c r="X56" s="18" t="n">
        <v>1928.94</v>
      </c>
      <c r="Y56" s="18" t="n">
        <v>1683.94</v>
      </c>
      <c r="Z56" s="37" t="n">
        <v>1683.94</v>
      </c>
      <c r="AA56" s="18" t="n">
        <v>11395.45</v>
      </c>
      <c r="AB56" s="19" t="n">
        <v>17104.86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장기차입금</t>
        </is>
      </c>
      <c r="F57" s="9" t="n"/>
      <c r="K57" s="9" t="n"/>
      <c r="M57" s="18" t="n">
        <v>2547.02</v>
      </c>
      <c r="N57" s="18" t="n">
        <v>2439.93</v>
      </c>
      <c r="O57" s="18" t="n">
        <v>2159.92</v>
      </c>
      <c r="P57" s="37" t="n">
        <v>2159.92</v>
      </c>
      <c r="Q57" s="18" t="n">
        <v>2008.02</v>
      </c>
      <c r="R57" s="18" t="n">
        <v>1818.78</v>
      </c>
      <c r="S57" s="18" t="n">
        <v>1545.22</v>
      </c>
      <c r="T57" s="18" t="n">
        <v>1334.37</v>
      </c>
      <c r="U57" s="37" t="n">
        <v>1334.37</v>
      </c>
      <c r="V57" s="18" t="n">
        <v>1149.11</v>
      </c>
      <c r="W57" s="18" t="n">
        <v>949.1</v>
      </c>
      <c r="X57" s="18" t="n">
        <v>1015.24</v>
      </c>
      <c r="Y57" s="18" t="n">
        <v>820.97</v>
      </c>
      <c r="Z57" s="37" t="n">
        <v>820.97</v>
      </c>
      <c r="AA57" s="18" t="n">
        <v>15081.66</v>
      </c>
      <c r="AB57" s="19" t="n">
        <v>18995.36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장기금융부채(face)</t>
        </is>
      </c>
      <c r="F58" s="9" t="n"/>
      <c r="K58" s="9" t="n"/>
      <c r="M58" s="18" t="n">
        <v>2547.02</v>
      </c>
      <c r="N58" s="18" t="n">
        <v>2439.93</v>
      </c>
      <c r="O58" s="18" t="n">
        <v>2159.92</v>
      </c>
      <c r="P58" s="37" t="n">
        <v>2159.92</v>
      </c>
      <c r="Q58" s="18" t="n">
        <v>2008.02</v>
      </c>
      <c r="R58" s="18" t="n">
        <v>1818.78</v>
      </c>
      <c r="S58" s="18" t="n">
        <v>1545.22</v>
      </c>
      <c r="T58" s="18" t="n">
        <v>1334.37</v>
      </c>
      <c r="U58" s="37" t="n">
        <v>1334.37</v>
      </c>
      <c r="V58" s="18" t="n">
        <v>1149.11</v>
      </c>
      <c r="W58" s="18" t="n">
        <v>949.1</v>
      </c>
      <c r="X58" s="18" t="n">
        <v>1015.24</v>
      </c>
      <c r="Y58" s="18" t="n">
        <v>820.97</v>
      </c>
      <c r="Z58" s="37" t="n">
        <v>820.97</v>
      </c>
      <c r="AA58" s="18" t="n">
        <v>15081.66</v>
      </c>
      <c r="AB58" s="19" t="n">
        <v>18995.36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확정급여부채</t>
        </is>
      </c>
      <c r="F59" s="9" t="n"/>
      <c r="K59" s="9" t="n"/>
      <c r="O59" s="18" t="n">
        <v>352.92</v>
      </c>
      <c r="P59" s="37" t="n">
        <v>352.92</v>
      </c>
      <c r="Q59" s="18" t="n">
        <v>400.72</v>
      </c>
      <c r="R59" s="18" t="n">
        <v>432.61</v>
      </c>
      <c r="S59" s="18" t="n">
        <v>2424.56</v>
      </c>
      <c r="T59" s="18" t="n">
        <v>1415.9</v>
      </c>
      <c r="U59" s="37" t="n">
        <v>1415.9</v>
      </c>
      <c r="V59" s="18" t="n">
        <v>1498.38</v>
      </c>
      <c r="X59" s="18" t="n">
        <v>76.06999999999999</v>
      </c>
      <c r="Y59" s="18" t="n">
        <v>222.75</v>
      </c>
      <c r="Z59" s="37" t="n">
        <v>222.75</v>
      </c>
      <c r="AA59" s="18" t="n">
        <v>288.32</v>
      </c>
      <c r="AB59" s="19" t="n">
        <v>388.67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당기법인세부채(미지급법인세)</t>
        </is>
      </c>
      <c r="F60" s="9" t="n"/>
      <c r="K60" s="9" t="n"/>
      <c r="P60" s="9" t="n"/>
      <c r="R60" s="18" t="n">
        <v>50.81</v>
      </c>
      <c r="S60" s="18" t="n">
        <v>18.27</v>
      </c>
      <c r="T60" s="18" t="n">
        <v>32.83</v>
      </c>
      <c r="U60" s="37" t="n">
        <v>32.83</v>
      </c>
      <c r="V60" s="18" t="n">
        <v>2005.82</v>
      </c>
      <c r="W60" s="18" t="n">
        <v>2431.35</v>
      </c>
      <c r="X60" s="18" t="n">
        <v>206.22</v>
      </c>
      <c r="Y60" s="18" t="n">
        <v>222.42</v>
      </c>
      <c r="Z60" s="37" t="n">
        <v>222.42</v>
      </c>
      <c r="AA60" s="18" t="n">
        <v>1550.41</v>
      </c>
      <c r="AB60" s="19" t="n">
        <v>2067.34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이연법인세자산</t>
        </is>
      </c>
      <c r="F61" s="9" t="n"/>
      <c r="K61" s="9" t="n"/>
      <c r="P61" s="9" t="n"/>
      <c r="T61" s="18" t="n">
        <v>38151.42</v>
      </c>
      <c r="U61" s="37" t="n">
        <v>38151.42</v>
      </c>
      <c r="V61" s="18" t="n">
        <v>37325.2</v>
      </c>
      <c r="W61" s="18" t="n">
        <v>37050.04</v>
      </c>
      <c r="X61" s="18" t="n">
        <v>35865.69</v>
      </c>
      <c r="Y61" s="18" t="n">
        <v>45956.34</v>
      </c>
      <c r="Z61" s="37" t="n">
        <v>45956.34</v>
      </c>
      <c r="AA61" s="18" t="n">
        <v>42780.23</v>
      </c>
      <c r="AB61" s="19" t="n">
        <v>42163.97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매출액(수익)</t>
        </is>
      </c>
      <c r="E62" s="18" t="n">
        <v>36741.61</v>
      </c>
      <c r="F62" s="9" t="n"/>
      <c r="G62" s="18" t="n">
        <v>20490.83</v>
      </c>
      <c r="H62" s="18" t="n">
        <v>44432</v>
      </c>
      <c r="I62" s="18" t="n">
        <v>42568.93</v>
      </c>
      <c r="J62" s="18" t="n">
        <v>67424.53999999999</v>
      </c>
      <c r="K62" s="37" t="n">
        <v>174916.3</v>
      </c>
      <c r="L62" s="18" t="n">
        <v>18030.35</v>
      </c>
      <c r="M62" s="18" t="n">
        <v>73984.62</v>
      </c>
      <c r="N62" s="18" t="n">
        <v>67636.99000000001</v>
      </c>
      <c r="O62" s="18" t="n">
        <v>76082.86</v>
      </c>
      <c r="P62" s="37" t="n">
        <v>235734.82</v>
      </c>
      <c r="Q62" s="18" t="n">
        <v>56260.59</v>
      </c>
      <c r="R62" s="18" t="n">
        <v>81408.25999999999</v>
      </c>
      <c r="S62" s="18" t="n">
        <v>75658.46000000001</v>
      </c>
      <c r="T62" s="18" t="n">
        <v>82496.72</v>
      </c>
      <c r="U62" s="37" t="n">
        <v>295824.03</v>
      </c>
      <c r="V62" s="18" t="n">
        <v>78525.56</v>
      </c>
      <c r="W62" s="18" t="n">
        <v>93074.94</v>
      </c>
      <c r="X62" s="18" t="n">
        <v>103002.98</v>
      </c>
      <c r="Y62" s="18" t="n">
        <v>105244.38</v>
      </c>
      <c r="Z62" s="37" t="n">
        <v>379847.86</v>
      </c>
      <c r="AA62" s="18" t="n">
        <v>127259.83</v>
      </c>
      <c r="AB62" s="19" t="n">
        <v>122274.49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매출원가</t>
        </is>
      </c>
      <c r="E63" s="18" t="n">
        <v>30215.13</v>
      </c>
      <c r="F63" s="9" t="n"/>
      <c r="G63" s="18" t="n">
        <v>17095.34</v>
      </c>
      <c r="H63" s="18" t="n">
        <v>39660</v>
      </c>
      <c r="I63" s="18" t="n">
        <v>35030.1</v>
      </c>
      <c r="J63" s="18" t="n">
        <v>55988.39</v>
      </c>
      <c r="K63" s="37" t="n">
        <v>147773.83</v>
      </c>
      <c r="L63" s="18" t="n">
        <v>14730.69</v>
      </c>
      <c r="M63" s="18" t="n">
        <v>63266.44</v>
      </c>
      <c r="N63" s="18" t="n">
        <v>55231.52</v>
      </c>
      <c r="O63" s="18" t="n">
        <v>62572.36</v>
      </c>
      <c r="P63" s="37" t="n">
        <v>195801.01</v>
      </c>
      <c r="Q63" s="18" t="n">
        <v>45945.07</v>
      </c>
      <c r="R63" s="18" t="n">
        <v>65894.66</v>
      </c>
      <c r="S63" s="18" t="n">
        <v>58533.22</v>
      </c>
      <c r="T63" s="18" t="n">
        <v>60644.5</v>
      </c>
      <c r="U63" s="37" t="n">
        <v>231017.45</v>
      </c>
      <c r="V63" s="18" t="n">
        <v>63286.24</v>
      </c>
      <c r="W63" s="18" t="n">
        <v>70612.78999999999</v>
      </c>
      <c r="X63" s="18" t="n">
        <v>78039.77</v>
      </c>
      <c r="Y63" s="18" t="n">
        <v>73286.17</v>
      </c>
      <c r="Z63" s="37" t="n">
        <v>285224.97</v>
      </c>
      <c r="AA63" s="18" t="n">
        <v>88906.45</v>
      </c>
      <c r="AB63" s="19" t="n">
        <v>85877.32000000001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매출총이익</t>
        </is>
      </c>
      <c r="E64" s="18" t="n">
        <v>6526.47</v>
      </c>
      <c r="F64" s="9" t="n"/>
      <c r="G64" s="18" t="n">
        <v>3395.49</v>
      </c>
      <c r="H64" s="18" t="n">
        <v>4772</v>
      </c>
      <c r="I64" s="18" t="n">
        <v>7538.84</v>
      </c>
      <c r="J64" s="18" t="n">
        <v>11436.15</v>
      </c>
      <c r="K64" s="37" t="n">
        <v>27142.48</v>
      </c>
      <c r="L64" s="18" t="n">
        <v>3299.66</v>
      </c>
      <c r="M64" s="18" t="n">
        <v>10718.17</v>
      </c>
      <c r="N64" s="18" t="n">
        <v>12405.48</v>
      </c>
      <c r="O64" s="18" t="n">
        <v>13510.5</v>
      </c>
      <c r="P64" s="37" t="n">
        <v>39933.81</v>
      </c>
      <c r="Q64" s="18" t="n">
        <v>10315.53</v>
      </c>
      <c r="R64" s="18" t="n">
        <v>15513.59</v>
      </c>
      <c r="S64" s="18" t="n">
        <v>17125.24</v>
      </c>
      <c r="T64" s="18" t="n">
        <v>21852.23</v>
      </c>
      <c r="U64" s="37" t="n">
        <v>64806.59</v>
      </c>
      <c r="V64" s="18" t="n">
        <v>15239.32</v>
      </c>
      <c r="W64" s="18" t="n">
        <v>22462.15</v>
      </c>
      <c r="X64" s="18" t="n">
        <v>24963.2</v>
      </c>
      <c r="Y64" s="18" t="n">
        <v>31958.21</v>
      </c>
      <c r="Z64" s="37" t="n">
        <v>94622.88</v>
      </c>
      <c r="AA64" s="18" t="n">
        <v>38353.38</v>
      </c>
      <c r="AB64" s="19" t="n">
        <v>36397.16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판관비</t>
        </is>
      </c>
      <c r="E65" s="18" t="n">
        <v>4019.15</v>
      </c>
      <c r="F65" s="9" t="n"/>
      <c r="G65" s="18" t="n">
        <v>4084.98</v>
      </c>
      <c r="H65" s="18" t="n">
        <v>3009.74</v>
      </c>
      <c r="I65" s="18" t="n">
        <v>4042.32</v>
      </c>
      <c r="J65" s="18" t="n">
        <v>5144.28</v>
      </c>
      <c r="K65" s="37" t="n">
        <v>16281.32</v>
      </c>
      <c r="L65" s="18" t="n">
        <v>4508.03</v>
      </c>
      <c r="M65" s="18" t="n">
        <v>5371.3</v>
      </c>
      <c r="N65" s="18" t="n">
        <v>5870.01</v>
      </c>
      <c r="O65" s="18" t="n">
        <v>7626.15</v>
      </c>
      <c r="P65" s="37" t="n">
        <v>23375.49</v>
      </c>
      <c r="Q65" s="18" t="n">
        <v>5013.71</v>
      </c>
      <c r="R65" s="18" t="n">
        <v>7385.57</v>
      </c>
      <c r="S65" s="18" t="n">
        <v>9337.58</v>
      </c>
      <c r="T65" s="18" t="n">
        <v>14121.84</v>
      </c>
      <c r="U65" s="37" t="n">
        <v>35858.7</v>
      </c>
      <c r="V65" s="18" t="n">
        <v>6017.87</v>
      </c>
      <c r="W65" s="18" t="n">
        <v>7007.54</v>
      </c>
      <c r="X65" s="18" t="n">
        <v>6952.05</v>
      </c>
      <c r="Y65" s="18" t="n">
        <v>6193.6</v>
      </c>
      <c r="Z65" s="37" t="n">
        <v>26171.06</v>
      </c>
      <c r="AA65" s="18" t="n">
        <v>7818.79</v>
      </c>
      <c r="AB65" s="19" t="n">
        <v>7189.32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영업이익</t>
        </is>
      </c>
      <c r="E66" s="18" t="n">
        <v>2507.32</v>
      </c>
      <c r="F66" s="9" t="n"/>
      <c r="G66" s="18" t="n">
        <v>-689.49</v>
      </c>
      <c r="H66" s="18" t="n">
        <v>1762.26</v>
      </c>
      <c r="I66" s="18" t="n">
        <v>3496.52</v>
      </c>
      <c r="J66" s="18" t="n">
        <v>6291.87</v>
      </c>
      <c r="K66" s="37" t="n">
        <v>10861.16</v>
      </c>
      <c r="L66" s="18" t="n">
        <v>-1208.37</v>
      </c>
      <c r="M66" s="18" t="n">
        <v>5346.88</v>
      </c>
      <c r="N66" s="18" t="n">
        <v>6535.47</v>
      </c>
      <c r="O66" s="18" t="n">
        <v>5884.35</v>
      </c>
      <c r="P66" s="37" t="n">
        <v>16558.33</v>
      </c>
      <c r="Q66" s="18" t="n">
        <v>5301.82</v>
      </c>
      <c r="R66" s="18" t="n">
        <v>8128.02</v>
      </c>
      <c r="S66" s="18" t="n">
        <v>7787.66</v>
      </c>
      <c r="T66" s="18" t="n">
        <v>7730.39</v>
      </c>
      <c r="U66" s="37" t="n">
        <v>28947.89</v>
      </c>
      <c r="V66" s="18" t="n">
        <v>9221.459999999999</v>
      </c>
      <c r="W66" s="18" t="n">
        <v>15454.61</v>
      </c>
      <c r="X66" s="18" t="n">
        <v>18011.15</v>
      </c>
      <c r="Y66" s="18" t="n">
        <v>25764.62</v>
      </c>
      <c r="Z66" s="37" t="n">
        <v>68451.84</v>
      </c>
      <c r="AA66" s="18" t="n">
        <v>30534.58</v>
      </c>
      <c r="AB66" s="19" t="n">
        <v>29207.85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기타영업외수익</t>
        </is>
      </c>
      <c r="E67" s="18" t="n">
        <v>17354.39</v>
      </c>
      <c r="F67" s="9" t="n"/>
      <c r="G67" s="18" t="n">
        <v>775.41</v>
      </c>
      <c r="H67" s="18" t="n">
        <v>1628.74</v>
      </c>
      <c r="I67" s="18" t="n">
        <v>7167.35</v>
      </c>
      <c r="J67" s="18" t="n">
        <v>191.79</v>
      </c>
      <c r="K67" s="37" t="n">
        <v>9763.290000000001</v>
      </c>
      <c r="L67" s="18" t="n">
        <v>1459.3</v>
      </c>
      <c r="M67" s="18" t="n">
        <v>1352.64</v>
      </c>
      <c r="N67" s="18" t="n">
        <v>18.3</v>
      </c>
      <c r="O67" s="18" t="n">
        <v>5888.8</v>
      </c>
      <c r="P67" s="37" t="n">
        <v>8719.040000000001</v>
      </c>
      <c r="Q67" s="18" t="n">
        <v>27.52</v>
      </c>
      <c r="R67" s="18" t="n">
        <v>378.53</v>
      </c>
      <c r="S67" s="18" t="n">
        <v>3253.4</v>
      </c>
      <c r="T67" s="18" t="n">
        <v>755.16</v>
      </c>
      <c r="U67" s="37" t="n">
        <v>4414.61</v>
      </c>
      <c r="V67" s="18" t="n">
        <v>6914.69</v>
      </c>
      <c r="W67" s="18" t="n">
        <v>14.72</v>
      </c>
      <c r="X67" s="18" t="n">
        <v>-27.5</v>
      </c>
      <c r="Y67" s="18" t="n">
        <v>61942.22</v>
      </c>
      <c r="Z67" s="37" t="n">
        <v>68844.13</v>
      </c>
      <c r="AA67" s="18" t="n">
        <v>513.89</v>
      </c>
      <c r="AB67" s="19" t="n">
        <v>328.75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기타영업외비용</t>
        </is>
      </c>
      <c r="E68" s="18" t="n">
        <v>8725.23</v>
      </c>
      <c r="F68" s="9" t="n"/>
      <c r="G68" s="18" t="n">
        <v>20.96</v>
      </c>
      <c r="H68" s="18" t="n">
        <v>0.01</v>
      </c>
      <c r="I68" s="18" t="n">
        <v>0</v>
      </c>
      <c r="J68" s="18" t="n">
        <v>0.58</v>
      </c>
      <c r="K68" s="37" t="n">
        <v>21.55</v>
      </c>
      <c r="L68" s="18" t="n">
        <v>20.53</v>
      </c>
      <c r="M68" s="18" t="n">
        <v>342.86</v>
      </c>
      <c r="N68" s="18" t="n">
        <v>6312.85</v>
      </c>
      <c r="O68" s="18" t="n">
        <v>1791.65</v>
      </c>
      <c r="P68" s="37" t="n">
        <v>8467.889999999999</v>
      </c>
      <c r="Q68" s="18" t="n">
        <v>262.21</v>
      </c>
      <c r="R68" s="18" t="n">
        <v>209.62</v>
      </c>
      <c r="S68" s="18" t="n">
        <v>36.88</v>
      </c>
      <c r="T68" s="18" t="n">
        <v>16222.82</v>
      </c>
      <c r="U68" s="37" t="n">
        <v>16731.53</v>
      </c>
      <c r="V68" s="18" t="n">
        <v>65.88</v>
      </c>
      <c r="W68" s="18" t="n">
        <v>746.5700000000001</v>
      </c>
      <c r="X68" s="18" t="n">
        <v>952.9400000000001</v>
      </c>
      <c r="Y68" s="18" t="n">
        <v>863.86</v>
      </c>
      <c r="Z68" s="37" t="n">
        <v>2629.25</v>
      </c>
      <c r="AA68" s="18" t="n">
        <v>0</v>
      </c>
      <c r="AB68" s="19" t="n">
        <v>400.75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금융수익</t>
        </is>
      </c>
      <c r="E69" s="18" t="n">
        <v>326.82</v>
      </c>
      <c r="F69" s="9" t="n"/>
      <c r="G69" s="18" t="n">
        <v>911.62</v>
      </c>
      <c r="H69" s="18" t="n">
        <v>2046.8</v>
      </c>
      <c r="I69" s="18" t="n">
        <v>3486.5</v>
      </c>
      <c r="J69" s="18" t="n">
        <v>-714.76</v>
      </c>
      <c r="K69" s="37" t="n">
        <v>5730.16</v>
      </c>
      <c r="L69" s="18" t="n">
        <v>2282.91</v>
      </c>
      <c r="M69" s="18" t="n">
        <v>1694.36</v>
      </c>
      <c r="N69" s="18" t="n">
        <v>2089.85</v>
      </c>
      <c r="O69" s="18" t="n">
        <v>1080.79</v>
      </c>
      <c r="P69" s="37" t="n">
        <v>7147.91</v>
      </c>
      <c r="Q69" s="18" t="n">
        <v>2925.93</v>
      </c>
      <c r="R69" s="18" t="n">
        <v>3522.4</v>
      </c>
      <c r="S69" s="18" t="n">
        <v>965.6799999999999</v>
      </c>
      <c r="T69" s="18" t="n">
        <v>8806.34</v>
      </c>
      <c r="U69" s="37" t="n">
        <v>16220.35</v>
      </c>
      <c r="V69" s="18" t="n">
        <v>3312.13</v>
      </c>
      <c r="W69" s="18" t="n">
        <v>3721.98</v>
      </c>
      <c r="X69" s="18" t="n">
        <v>5808.04</v>
      </c>
      <c r="Y69" s="18" t="n">
        <v>12807.57</v>
      </c>
      <c r="Z69" s="37" t="n">
        <v>25649.72</v>
      </c>
      <c r="AA69" s="18" t="n">
        <v>10734.09</v>
      </c>
      <c r="AB69" s="19" t="n">
        <v>7413.19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금융비용</t>
        </is>
      </c>
      <c r="E70" s="18" t="n">
        <v>2152.77</v>
      </c>
      <c r="F70" s="9" t="n"/>
      <c r="G70" s="18" t="n">
        <v>1524.62</v>
      </c>
      <c r="H70" s="18" t="n">
        <v>1603.05</v>
      </c>
      <c r="I70" s="18" t="n">
        <v>2101.17</v>
      </c>
      <c r="J70" s="18" t="n">
        <v>4657.37</v>
      </c>
      <c r="K70" s="37" t="n">
        <v>9886.209999999999</v>
      </c>
      <c r="L70" s="18" t="n">
        <v>2762.76</v>
      </c>
      <c r="M70" s="18" t="n">
        <v>2007.34</v>
      </c>
      <c r="N70" s="18" t="n">
        <v>2274.73</v>
      </c>
      <c r="O70" s="18" t="n">
        <v>3204.8</v>
      </c>
      <c r="P70" s="37" t="n">
        <v>10249.63</v>
      </c>
      <c r="Q70" s="18" t="n">
        <v>1751.31</v>
      </c>
      <c r="R70" s="18" t="n">
        <v>1769.1</v>
      </c>
      <c r="S70" s="18" t="n">
        <v>2300.74</v>
      </c>
      <c r="T70" s="18" t="n">
        <v>12124.87</v>
      </c>
      <c r="U70" s="37" t="n">
        <v>17946.02</v>
      </c>
      <c r="V70" s="18" t="n">
        <v>2879.79</v>
      </c>
      <c r="W70" s="18" t="n">
        <v>2522.83</v>
      </c>
      <c r="X70" s="18" t="n">
        <v>695.0599999999999</v>
      </c>
      <c r="Y70" s="18" t="n">
        <v>2463.58</v>
      </c>
      <c r="Z70" s="37" t="n">
        <v>8561.26</v>
      </c>
      <c r="AA70" s="18" t="n">
        <v>8243.82</v>
      </c>
      <c r="AB70" s="19" t="n">
        <v>2700.76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법인세비용차감전계속사업이익</t>
        </is>
      </c>
      <c r="E71" s="18" t="n">
        <v>9310.540000000001</v>
      </c>
      <c r="F71" s="9" t="n"/>
      <c r="G71" s="18" t="n">
        <v>-548.04</v>
      </c>
      <c r="H71" s="18" t="n">
        <v>3834.73</v>
      </c>
      <c r="I71" s="18" t="n">
        <v>12049.19</v>
      </c>
      <c r="J71" s="18" t="n">
        <v>1110.95</v>
      </c>
      <c r="K71" s="37" t="n">
        <v>16446.83</v>
      </c>
      <c r="L71" s="18" t="n">
        <v>-249.45</v>
      </c>
      <c r="M71" s="18" t="n">
        <v>6043.69</v>
      </c>
      <c r="N71" s="18" t="n">
        <v>56.04</v>
      </c>
      <c r="O71" s="18" t="n">
        <v>7857.51</v>
      </c>
      <c r="P71" s="37" t="n">
        <v>13707.79</v>
      </c>
      <c r="Q71" s="18" t="n">
        <v>6241.75</v>
      </c>
      <c r="R71" s="18" t="n">
        <v>10050.23</v>
      </c>
      <c r="S71" s="18" t="n">
        <v>9669.110000000001</v>
      </c>
      <c r="T71" s="18" t="n">
        <v>-11055.8</v>
      </c>
      <c r="U71" s="37" t="n">
        <v>14905.29</v>
      </c>
      <c r="V71" s="18" t="n">
        <v>16502.61</v>
      </c>
      <c r="W71" s="18" t="n">
        <v>15921.9</v>
      </c>
      <c r="X71" s="18" t="n">
        <v>22143.69</v>
      </c>
      <c r="Y71" s="18" t="n">
        <v>97186.96000000001</v>
      </c>
      <c r="Z71" s="37" t="n">
        <v>151755.16</v>
      </c>
      <c r="AA71" s="18" t="n">
        <v>33538.74</v>
      </c>
      <c r="AB71" s="19" t="n">
        <v>33848.28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계속사업이익</t>
        </is>
      </c>
      <c r="E72" s="18" t="n">
        <v>5899.31</v>
      </c>
      <c r="F72" s="9" t="n"/>
      <c r="G72" s="18" t="n">
        <v>-548.04</v>
      </c>
      <c r="H72" s="18" t="n">
        <v>2318.3</v>
      </c>
      <c r="I72" s="18" t="n">
        <v>12049.19</v>
      </c>
      <c r="J72" s="18" t="n">
        <v>2038.25</v>
      </c>
      <c r="K72" s="37" t="n">
        <v>15857.7</v>
      </c>
      <c r="L72" s="18" t="n">
        <v>-154.07</v>
      </c>
      <c r="M72" s="18" t="n">
        <v>6090.08</v>
      </c>
      <c r="N72" s="18" t="n">
        <v>56.04</v>
      </c>
      <c r="O72" s="18" t="n">
        <v>24404.7</v>
      </c>
      <c r="P72" s="37" t="n">
        <v>30396.75</v>
      </c>
      <c r="Q72" s="18" t="n">
        <v>6241.75</v>
      </c>
      <c r="R72" s="18" t="n">
        <v>9012.040000000001</v>
      </c>
      <c r="S72" s="18" t="n">
        <v>9134.129999999999</v>
      </c>
      <c r="T72" s="18" t="n">
        <v>39191.34</v>
      </c>
      <c r="U72" s="37" t="n">
        <v>63579.26</v>
      </c>
      <c r="V72" s="18" t="n">
        <v>13724.67</v>
      </c>
      <c r="W72" s="18" t="n">
        <v>15591.1</v>
      </c>
      <c r="X72" s="18" t="n">
        <v>21446.4</v>
      </c>
      <c r="Y72" s="18" t="n">
        <v>106616.51</v>
      </c>
      <c r="Z72" s="37" t="n">
        <v>157378.68</v>
      </c>
      <c r="AA72" s="18" t="n">
        <v>27412.32</v>
      </c>
      <c r="AB72" s="19" t="n">
        <v>32024.19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당기순이익</t>
        </is>
      </c>
      <c r="E73" s="18" t="n">
        <v>5899.31</v>
      </c>
      <c r="F73" s="9" t="n"/>
      <c r="G73" s="18" t="n">
        <v>-548.04</v>
      </c>
      <c r="H73" s="18" t="n">
        <v>2318.3</v>
      </c>
      <c r="I73" s="18" t="n">
        <v>12049.19</v>
      </c>
      <c r="J73" s="18" t="n">
        <v>2038.25</v>
      </c>
      <c r="K73" s="37" t="n">
        <v>15857.7</v>
      </c>
      <c r="L73" s="18" t="n">
        <v>-154.07</v>
      </c>
      <c r="M73" s="18" t="n">
        <v>6090.08</v>
      </c>
      <c r="N73" s="18" t="n">
        <v>56.04</v>
      </c>
      <c r="O73" s="18" t="n">
        <v>24404.7</v>
      </c>
      <c r="P73" s="37" t="n">
        <v>30396.75</v>
      </c>
      <c r="Q73" s="18" t="n">
        <v>6241.75</v>
      </c>
      <c r="R73" s="18" t="n">
        <v>9012.040000000001</v>
      </c>
      <c r="S73" s="18" t="n">
        <v>9134.129999999999</v>
      </c>
      <c r="T73" s="18" t="n">
        <v>39191.34</v>
      </c>
      <c r="U73" s="37" t="n">
        <v>63579.26</v>
      </c>
      <c r="V73" s="18" t="n">
        <v>13724.67</v>
      </c>
      <c r="W73" s="18" t="n">
        <v>15591.1</v>
      </c>
      <c r="X73" s="18" t="n">
        <v>21446.4</v>
      </c>
      <c r="Y73" s="18" t="n">
        <v>106616.51</v>
      </c>
      <c r="Z73" s="37" t="n">
        <v>157378.68</v>
      </c>
      <c r="AA73" s="18" t="n">
        <v>27412.32</v>
      </c>
      <c r="AB73" s="19" t="n">
        <v>32024.19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총포괄손익</t>
        </is>
      </c>
      <c r="E74" s="18" t="n">
        <v>9362.620000000001</v>
      </c>
      <c r="F74" s="9" t="n"/>
      <c r="G74" s="18" t="n">
        <v>-677.84</v>
      </c>
      <c r="H74" s="18" t="n">
        <v>-3592.92</v>
      </c>
      <c r="I74" s="18" t="n">
        <v>11896.97</v>
      </c>
      <c r="J74" s="18" t="n">
        <v>30881.67</v>
      </c>
      <c r="K74" s="37" t="n">
        <v>38507.88</v>
      </c>
      <c r="L74" s="18" t="n">
        <v>-365.79</v>
      </c>
      <c r="M74" s="18" t="n">
        <v>5819.04</v>
      </c>
      <c r="N74" s="18" t="n">
        <v>-1427.04</v>
      </c>
      <c r="O74" s="18" t="n">
        <v>27213.33</v>
      </c>
      <c r="P74" s="37" t="n">
        <v>31239.54</v>
      </c>
      <c r="Q74" s="18" t="n">
        <v>4817.86</v>
      </c>
      <c r="R74" s="18" t="n">
        <v>7289.38</v>
      </c>
      <c r="S74" s="18" t="n">
        <v>12285.43</v>
      </c>
      <c r="T74" s="18" t="n">
        <v>5470.12</v>
      </c>
      <c r="U74" s="37" t="n">
        <v>29862.79</v>
      </c>
      <c r="V74" s="18" t="n">
        <v>17288.65</v>
      </c>
      <c r="W74" s="18" t="n">
        <v>27775.2</v>
      </c>
      <c r="X74" s="18" t="n">
        <v>17366.29</v>
      </c>
      <c r="Y74" s="18" t="n">
        <v>107874.02</v>
      </c>
      <c r="Z74" s="37" t="n">
        <v>170304.16</v>
      </c>
      <c r="AA74" s="18" t="n">
        <v>10003.02</v>
      </c>
      <c r="AB74" s="19" t="n">
        <v>22496.23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금융손익</t>
        </is>
      </c>
      <c r="E75" s="18" t="n">
        <v>-1825.95</v>
      </c>
      <c r="F75" s="9" t="n"/>
      <c r="G75" s="18" t="n">
        <v>-613</v>
      </c>
      <c r="H75" s="18" t="n">
        <v>443.75</v>
      </c>
      <c r="I75" s="18" t="n">
        <v>1385.33</v>
      </c>
      <c r="J75" s="18" t="n">
        <v>-5372.13</v>
      </c>
      <c r="K75" s="37" t="n">
        <v>-4156.05</v>
      </c>
      <c r="L75" s="18" t="n">
        <v>-479.85</v>
      </c>
      <c r="M75" s="18" t="n">
        <v>-312.98</v>
      </c>
      <c r="N75" s="18" t="n">
        <v>-184.88</v>
      </c>
      <c r="O75" s="18" t="n">
        <v>-2124.01</v>
      </c>
      <c r="P75" s="37" t="n">
        <v>-3101.72</v>
      </c>
      <c r="Q75" s="18" t="n">
        <v>1174.62</v>
      </c>
      <c r="R75" s="18" t="n">
        <v>1753.3</v>
      </c>
      <c r="S75" s="18" t="n">
        <v>-1335.06</v>
      </c>
      <c r="T75" s="18" t="n">
        <v>-3318.53</v>
      </c>
      <c r="U75" s="37" t="n">
        <v>-1725.67</v>
      </c>
      <c r="V75" s="18" t="n">
        <v>432.34</v>
      </c>
      <c r="W75" s="18" t="n">
        <v>1199.15</v>
      </c>
      <c r="X75" s="18" t="n">
        <v>5112.98</v>
      </c>
      <c r="Y75" s="18" t="n">
        <v>10343.99</v>
      </c>
      <c r="Z75" s="37" t="n">
        <v>17088.46</v>
      </c>
      <c r="AA75" s="18" t="n">
        <v>2490.27</v>
      </c>
      <c r="AB75" s="19" t="n">
        <v>4712.43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기타영업외손익</t>
        </is>
      </c>
      <c r="E76" s="18" t="n">
        <v>8629.16</v>
      </c>
      <c r="F76" s="9" t="n"/>
      <c r="G76" s="18" t="n">
        <v>754.45</v>
      </c>
      <c r="H76" s="18" t="n">
        <v>1628.73</v>
      </c>
      <c r="I76" s="18" t="n">
        <v>7167.35</v>
      </c>
      <c r="J76" s="18" t="n">
        <v>191.21</v>
      </c>
      <c r="K76" s="37" t="n">
        <v>9741.74</v>
      </c>
      <c r="L76" s="18" t="n">
        <v>1438.77</v>
      </c>
      <c r="M76" s="18" t="n">
        <v>1009.78</v>
      </c>
      <c r="N76" s="18" t="n">
        <v>-6294.55</v>
      </c>
      <c r="O76" s="18" t="n">
        <v>4097.15</v>
      </c>
      <c r="P76" s="37" t="n">
        <v>251.15</v>
      </c>
      <c r="Q76" s="18" t="n">
        <v>-234.69</v>
      </c>
      <c r="R76" s="18" t="n">
        <v>168.91</v>
      </c>
      <c r="S76" s="18" t="n">
        <v>3216.52</v>
      </c>
      <c r="T76" s="18" t="n">
        <v>-15467.66</v>
      </c>
      <c r="U76" s="37" t="n">
        <v>-12316.92</v>
      </c>
      <c r="V76" s="18" t="n">
        <v>6848.81</v>
      </c>
      <c r="W76" s="18" t="n">
        <v>-731.85</v>
      </c>
      <c r="X76" s="18" t="n">
        <v>-980.4400000000001</v>
      </c>
      <c r="Y76" s="18" t="n">
        <v>61078.36</v>
      </c>
      <c r="Z76" s="37" t="n">
        <v>66214.88</v>
      </c>
      <c r="AA76" s="18" t="n">
        <v>513.89</v>
      </c>
      <c r="AB76" s="19" t="n">
        <v>-72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(지배주주지분)당기순이익</t>
        </is>
      </c>
      <c r="E77" s="18" t="n">
        <v>5899.31</v>
      </c>
      <c r="F77" s="9" t="n"/>
      <c r="G77" s="18" t="n">
        <v>-548.04</v>
      </c>
      <c r="H77" s="18" t="n">
        <v>2318.3</v>
      </c>
      <c r="I77" s="18" t="n">
        <v>12049.19</v>
      </c>
      <c r="J77" s="18" t="n">
        <v>2038.25</v>
      </c>
      <c r="K77" s="37" t="n">
        <v>15857.7</v>
      </c>
      <c r="L77" s="18" t="n">
        <v>-154.07</v>
      </c>
      <c r="M77" s="18" t="n">
        <v>6090.08</v>
      </c>
      <c r="N77" s="18" t="n">
        <v>56.04</v>
      </c>
      <c r="O77" s="18" t="n">
        <v>24404.7</v>
      </c>
      <c r="P77" s="37" t="n">
        <v>30396.75</v>
      </c>
      <c r="Q77" s="18" t="n">
        <v>6241.75</v>
      </c>
      <c r="R77" s="18" t="n">
        <v>9012.040000000001</v>
      </c>
      <c r="S77" s="18" t="n">
        <v>9134.129999999999</v>
      </c>
      <c r="T77" s="18" t="n">
        <v>39191.34</v>
      </c>
      <c r="U77" s="37" t="n">
        <v>63579.26</v>
      </c>
      <c r="V77" s="18" t="n">
        <v>13724.67</v>
      </c>
      <c r="W77" s="18" t="n">
        <v>15591.1</v>
      </c>
      <c r="X77" s="18" t="n">
        <v>21446.4</v>
      </c>
      <c r="Y77" s="18" t="n">
        <v>106616.51</v>
      </c>
      <c r="Z77" s="37" t="n">
        <v>157378.68</v>
      </c>
      <c r="AA77" s="18" t="n">
        <v>27412.32</v>
      </c>
      <c r="AB77" s="19" t="n">
        <v>32024.19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파생상품이익</t>
        </is>
      </c>
      <c r="F78" s="9" t="n"/>
      <c r="G78" s="18" t="n">
        <v>-129.8</v>
      </c>
      <c r="H78" s="18" t="n">
        <v>-534.78</v>
      </c>
      <c r="I78" s="18" t="n">
        <v>-152.22</v>
      </c>
      <c r="J78" s="18" t="n">
        <v>1244.58</v>
      </c>
      <c r="K78" s="37" t="n">
        <v>427.78</v>
      </c>
      <c r="L78" s="18" t="n">
        <v>-280.71</v>
      </c>
      <c r="M78" s="18" t="n">
        <v>-271.04</v>
      </c>
      <c r="P78" s="9" t="n"/>
      <c r="U78" s="9" t="n"/>
      <c r="Z78" s="9" t="n"/>
      <c r="AA78" s="18" t="n">
        <v>-17409.3</v>
      </c>
      <c r="AB78" s="19" t="n">
        <v>-9527.959999999999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법인세비용</t>
        </is>
      </c>
      <c r="F79" s="9" t="n"/>
      <c r="H79" s="18" t="n">
        <v>1516.43</v>
      </c>
      <c r="J79" s="18" t="n">
        <v>-927.3</v>
      </c>
      <c r="K79" s="9" t="n"/>
      <c r="L79" s="18" t="n">
        <v>-95.38</v>
      </c>
      <c r="M79" s="18" t="n">
        <v>-46.39</v>
      </c>
      <c r="N79" s="18" t="n">
        <v>0</v>
      </c>
      <c r="O79" s="18" t="n">
        <v>-16547.19</v>
      </c>
      <c r="P79" s="37" t="n">
        <v>-16688.96</v>
      </c>
      <c r="R79" s="18" t="n">
        <v>1038.19</v>
      </c>
      <c r="S79" s="18" t="n">
        <v>534.99</v>
      </c>
      <c r="T79" s="18" t="n">
        <v>-50247.14</v>
      </c>
      <c r="U79" s="9" t="n"/>
      <c r="V79" s="18" t="n">
        <v>2777.94</v>
      </c>
      <c r="W79" s="18" t="n">
        <v>330.8</v>
      </c>
      <c r="X79" s="18" t="n">
        <v>697.29</v>
      </c>
      <c r="Y79" s="18" t="n">
        <v>-9429.559999999999</v>
      </c>
      <c r="Z79" s="37" t="n">
        <v>-5623.53</v>
      </c>
      <c r="AA79" s="18" t="n">
        <v>6126.42</v>
      </c>
      <c r="AB79" s="19" t="n">
        <v>1824.08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13499.48</v>
      </c>
      <c r="F80" s="9" t="n"/>
      <c r="G80" s="18" t="n">
        <v>-12193.48</v>
      </c>
      <c r="H80" s="18" t="n">
        <v>-3908.94</v>
      </c>
      <c r="I80" s="18" t="n">
        <v>5518.48</v>
      </c>
      <c r="J80" s="18" t="n">
        <v>-7973.96</v>
      </c>
      <c r="K80" s="37" t="n">
        <v>-18557.9</v>
      </c>
      <c r="L80" s="18" t="n">
        <v>3831.81</v>
      </c>
      <c r="M80" s="18" t="n">
        <v>-7414.44</v>
      </c>
      <c r="N80" s="18" t="n">
        <v>9152.15</v>
      </c>
      <c r="O80" s="18" t="n">
        <v>30778.14</v>
      </c>
      <c r="P80" s="37" t="n">
        <v>36347.66</v>
      </c>
      <c r="Q80" s="18" t="n">
        <v>1550.82</v>
      </c>
      <c r="R80" s="18" t="n">
        <v>31611.3</v>
      </c>
      <c r="S80" s="18" t="n">
        <v>2439.75</v>
      </c>
      <c r="T80" s="18" t="n">
        <v>63430.22</v>
      </c>
      <c r="U80" s="37" t="n">
        <v>99032.09</v>
      </c>
      <c r="V80" s="18" t="n">
        <v>15130.83</v>
      </c>
      <c r="W80" s="18" t="n">
        <v>37596.66</v>
      </c>
      <c r="X80" s="18" t="n">
        <v>22370.83</v>
      </c>
      <c r="Y80" s="18" t="n">
        <v>99468.48</v>
      </c>
      <c r="Z80" s="37" t="n">
        <v>174566.8</v>
      </c>
      <c r="AA80" s="18" t="n">
        <v>33502.23</v>
      </c>
      <c r="AB80" s="19" t="n">
        <v>60297.22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법인세납부(CF)</t>
        </is>
      </c>
      <c r="E81" s="18" t="n">
        <v>0</v>
      </c>
      <c r="F81" s="9" t="n"/>
      <c r="I81" s="18" t="n">
        <v>0</v>
      </c>
      <c r="J81" s="18" t="n">
        <v>0</v>
      </c>
      <c r="K81" s="9" t="n"/>
      <c r="N81" s="18" t="n">
        <v>0</v>
      </c>
      <c r="O81" s="18" t="n">
        <v>-147.42</v>
      </c>
      <c r="P81" s="9" t="n"/>
      <c r="S81" s="18" t="n">
        <v>-50.82</v>
      </c>
      <c r="T81" s="18" t="n">
        <v>0</v>
      </c>
      <c r="U81" s="9" t="n"/>
      <c r="X81" s="18" t="n">
        <v>-2392.88</v>
      </c>
      <c r="Y81" s="18" t="n">
        <v>-536.36</v>
      </c>
      <c r="Z81" s="9" t="n"/>
      <c r="AA81" s="18" t="n">
        <v>146.96</v>
      </c>
      <c r="AB81" s="19" t="n">
        <v>-541.6799999999999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투자활동으로인한현금흐름</t>
        </is>
      </c>
      <c r="E82" s="18" t="n">
        <v>25268.3</v>
      </c>
      <c r="F82" s="9" t="n"/>
      <c r="G82" s="18" t="n">
        <v>19840.7</v>
      </c>
      <c r="H82" s="18" t="n">
        <v>38.85</v>
      </c>
      <c r="I82" s="18" t="n">
        <v>35269.3</v>
      </c>
      <c r="J82" s="18" t="n">
        <v>-13903.76</v>
      </c>
      <c r="K82" s="37" t="n">
        <v>41245.09</v>
      </c>
      <c r="L82" s="18" t="n">
        <v>-97.87</v>
      </c>
      <c r="M82" s="18" t="n">
        <v>-10882.41</v>
      </c>
      <c r="N82" s="18" t="n">
        <v>1889.61</v>
      </c>
      <c r="O82" s="18" t="n">
        <v>-18595.87</v>
      </c>
      <c r="P82" s="37" t="n">
        <v>-27686.54</v>
      </c>
      <c r="Q82" s="18" t="n">
        <v>-5940.56</v>
      </c>
      <c r="R82" s="18" t="n">
        <v>-12090.33</v>
      </c>
      <c r="S82" s="18" t="n">
        <v>9600.6</v>
      </c>
      <c r="T82" s="18" t="n">
        <v>-16102.09</v>
      </c>
      <c r="U82" s="37" t="n">
        <v>-24532.38</v>
      </c>
      <c r="V82" s="18" t="n">
        <v>13551.57</v>
      </c>
      <c r="W82" s="18" t="n">
        <v>4883.32</v>
      </c>
      <c r="X82" s="18" t="n">
        <v>-61747.23</v>
      </c>
      <c r="Y82" s="18" t="n">
        <v>-97435.74000000001</v>
      </c>
      <c r="Z82" s="37" t="n">
        <v>-140748.08</v>
      </c>
      <c r="AA82" s="18" t="n">
        <v>67862.53999999999</v>
      </c>
      <c r="AB82" s="19" t="n">
        <v>85440.21000000001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유형자산의증가</t>
        </is>
      </c>
      <c r="E83" s="18" t="n">
        <v>225.75</v>
      </c>
      <c r="F83" s="9" t="n"/>
      <c r="G83" s="18" t="n">
        <v>2809.21</v>
      </c>
      <c r="H83" s="18" t="n">
        <v>295.87</v>
      </c>
      <c r="I83" s="18" t="n">
        <v>3871.03</v>
      </c>
      <c r="J83" s="18" t="n">
        <v>2529.87</v>
      </c>
      <c r="K83" s="37" t="n">
        <v>9505.98</v>
      </c>
      <c r="L83" s="18" t="n">
        <v>801.6</v>
      </c>
      <c r="M83" s="18" t="n">
        <v>876.29</v>
      </c>
      <c r="N83" s="18" t="n">
        <v>588.9400000000001</v>
      </c>
      <c r="O83" s="18" t="n">
        <v>549.59</v>
      </c>
      <c r="P83" s="37" t="n">
        <v>2816.42</v>
      </c>
      <c r="Q83" s="18" t="n">
        <v>394.27</v>
      </c>
      <c r="R83" s="18" t="n">
        <v>375.67</v>
      </c>
      <c r="S83" s="18" t="n">
        <v>1251.04</v>
      </c>
      <c r="T83" s="18" t="n">
        <v>4016.66</v>
      </c>
      <c r="U83" s="37" t="n">
        <v>6037.64</v>
      </c>
      <c r="V83" s="18" t="n">
        <v>3619</v>
      </c>
      <c r="W83" s="18" t="n">
        <v>1548.56</v>
      </c>
      <c r="X83" s="18" t="n">
        <v>1487.89</v>
      </c>
      <c r="Y83" s="18" t="n">
        <v>4512.86</v>
      </c>
      <c r="Z83" s="37" t="n">
        <v>11168.31</v>
      </c>
      <c r="AA83" s="18" t="n">
        <v>2023.49</v>
      </c>
      <c r="AB83" s="19" t="n">
        <v>4482.81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CAPEX</t>
        </is>
      </c>
      <c r="E84" s="18" t="n">
        <v>628.33</v>
      </c>
      <c r="F84" s="9" t="n"/>
      <c r="G84" s="18" t="n">
        <v>2906.09</v>
      </c>
      <c r="H84" s="18" t="n">
        <v>295.87</v>
      </c>
      <c r="I84" s="18" t="n">
        <v>3909.43</v>
      </c>
      <c r="J84" s="18" t="n">
        <v>2625.07</v>
      </c>
      <c r="K84" s="37" t="n">
        <v>9736.459999999999</v>
      </c>
      <c r="L84" s="18" t="n">
        <v>886.6</v>
      </c>
      <c r="M84" s="18" t="n">
        <v>876.29</v>
      </c>
      <c r="N84" s="18" t="n">
        <v>588.9400000000001</v>
      </c>
      <c r="O84" s="18" t="n">
        <v>588.39</v>
      </c>
      <c r="P84" s="37" t="n">
        <v>2940.22</v>
      </c>
      <c r="Q84" s="18" t="n">
        <v>935.27</v>
      </c>
      <c r="R84" s="18" t="n">
        <v>415.67</v>
      </c>
      <c r="S84" s="18" t="n">
        <v>1268.94</v>
      </c>
      <c r="T84" s="18" t="n">
        <v>4357.91</v>
      </c>
      <c r="U84" s="37" t="n">
        <v>6977.79</v>
      </c>
      <c r="V84" s="18" t="n">
        <v>3646.45</v>
      </c>
      <c r="W84" s="18" t="n">
        <v>1640.09</v>
      </c>
      <c r="X84" s="18" t="n">
        <v>1749.02</v>
      </c>
      <c r="Y84" s="18" t="n">
        <v>4819.36</v>
      </c>
      <c r="Z84" s="37" t="n">
        <v>11854.92</v>
      </c>
      <c r="AA84" s="18" t="n">
        <v>2139.09</v>
      </c>
      <c r="AB84" s="19" t="n">
        <v>5289.31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무형자산의증가</t>
        </is>
      </c>
      <c r="E85" s="18" t="n">
        <v>402.58</v>
      </c>
      <c r="F85" s="9" t="n"/>
      <c r="G85" s="18" t="n">
        <v>96.88</v>
      </c>
      <c r="H85" s="18" t="n">
        <v>0</v>
      </c>
      <c r="I85" s="18" t="n">
        <v>38.4</v>
      </c>
      <c r="J85" s="18" t="n">
        <v>95.2</v>
      </c>
      <c r="K85" s="37" t="n">
        <v>230.48</v>
      </c>
      <c r="L85" s="18" t="n">
        <v>85</v>
      </c>
      <c r="M85" s="18" t="n">
        <v>0</v>
      </c>
      <c r="N85" s="18" t="n">
        <v>0</v>
      </c>
      <c r="O85" s="18" t="n">
        <v>38.8</v>
      </c>
      <c r="P85" s="37" t="n">
        <v>123.8</v>
      </c>
      <c r="Q85" s="18" t="n">
        <v>541</v>
      </c>
      <c r="R85" s="18" t="n">
        <v>40</v>
      </c>
      <c r="S85" s="18" t="n">
        <v>17.9</v>
      </c>
      <c r="T85" s="18" t="n">
        <v>341.25</v>
      </c>
      <c r="U85" s="37" t="n">
        <v>940.15</v>
      </c>
      <c r="V85" s="18" t="n">
        <v>27.45</v>
      </c>
      <c r="W85" s="18" t="n">
        <v>91.53</v>
      </c>
      <c r="X85" s="18" t="n">
        <v>261.13</v>
      </c>
      <c r="Y85" s="18" t="n">
        <v>306.5</v>
      </c>
      <c r="Z85" s="37" t="n">
        <v>686.61</v>
      </c>
      <c r="AA85" s="18" t="n">
        <v>115.6</v>
      </c>
      <c r="AB85" s="19" t="n">
        <v>806.5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무형자산의감소</t>
        </is>
      </c>
      <c r="E86" s="18" t="n">
        <v>13.04</v>
      </c>
      <c r="F86" s="9" t="n"/>
      <c r="I86" s="18" t="n">
        <v>0</v>
      </c>
      <c r="J86" s="18" t="n">
        <v>0</v>
      </c>
      <c r="K86" s="9" t="n"/>
      <c r="O86" s="18" t="n">
        <v>0</v>
      </c>
      <c r="P86" s="9" t="n"/>
      <c r="S86" s="18" t="n">
        <v>0</v>
      </c>
      <c r="T86" s="18" t="n">
        <v>0</v>
      </c>
      <c r="U86" s="9" t="n"/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재무활동으로인한현금흐름</t>
        </is>
      </c>
      <c r="E87" s="18" t="n">
        <v>-31041.38</v>
      </c>
      <c r="F87" s="9" t="n"/>
      <c r="G87" s="18" t="n">
        <v>-35301.78</v>
      </c>
      <c r="H87" s="18" t="n">
        <v>-2058.12</v>
      </c>
      <c r="I87" s="18" t="n">
        <v>1903.96</v>
      </c>
      <c r="J87" s="18" t="n">
        <v>-18276.9</v>
      </c>
      <c r="K87" s="37" t="n">
        <v>-53732.84</v>
      </c>
      <c r="L87" s="18" t="n">
        <v>-1592.78</v>
      </c>
      <c r="M87" s="18" t="n">
        <v>8781.450000000001</v>
      </c>
      <c r="N87" s="18" t="n">
        <v>-5734.49</v>
      </c>
      <c r="O87" s="18" t="n">
        <v>-1421.84</v>
      </c>
      <c r="P87" s="37" t="n">
        <v>32.34</v>
      </c>
      <c r="Q87" s="18" t="n">
        <v>-2517.25</v>
      </c>
      <c r="R87" s="18" t="n">
        <v>-740.08</v>
      </c>
      <c r="S87" s="18" t="n">
        <v>-44399.52</v>
      </c>
      <c r="T87" s="18" t="n">
        <v>-2173.38</v>
      </c>
      <c r="U87" s="37" t="n">
        <v>-49830.23</v>
      </c>
      <c r="V87" s="18" t="n">
        <v>-290.5</v>
      </c>
      <c r="W87" s="18" t="n">
        <v>-253.49</v>
      </c>
      <c r="X87" s="18" t="n">
        <v>-245.52</v>
      </c>
      <c r="Y87" s="18" t="n">
        <v>-246.36</v>
      </c>
      <c r="Z87" s="37" t="n">
        <v>-1035.87</v>
      </c>
      <c r="AA87" s="18" t="n">
        <v>-260.27</v>
      </c>
      <c r="AB87" s="19" t="n">
        <v>-282.54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사채의감소</t>
        </is>
      </c>
      <c r="E88" s="18" t="n">
        <v>28800</v>
      </c>
      <c r="F88" s="9" t="n"/>
      <c r="G88" s="18" t="n">
        <v>25970</v>
      </c>
      <c r="H88" s="18" t="n">
        <v>0</v>
      </c>
      <c r="I88" s="18" t="n">
        <v>0</v>
      </c>
      <c r="J88" s="18" t="n">
        <v>18000</v>
      </c>
      <c r="K88" s="37" t="n">
        <v>43970</v>
      </c>
      <c r="O88" s="18" t="n">
        <v>0</v>
      </c>
      <c r="P88" s="9" t="n"/>
      <c r="U88" s="9" t="n"/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단기차입금의증가</t>
        </is>
      </c>
      <c r="E89" s="18" t="n">
        <v>274.95</v>
      </c>
      <c r="F89" s="9" t="n"/>
      <c r="I89" s="18" t="n">
        <v>69857.50999999999</v>
      </c>
      <c r="J89" s="18" t="n">
        <v>4179.62</v>
      </c>
      <c r="K89" s="9" t="n"/>
      <c r="L89" s="18" t="n">
        <v>911.05</v>
      </c>
      <c r="M89" s="18" t="n">
        <v>81546.83</v>
      </c>
      <c r="N89" s="18" t="n">
        <v>1625.03</v>
      </c>
      <c r="O89" s="18" t="n">
        <v>1292.67</v>
      </c>
      <c r="P89" s="37" t="n">
        <v>85375.58</v>
      </c>
      <c r="Q89" s="18" t="n">
        <v>564.34</v>
      </c>
      <c r="R89" s="18" t="n">
        <v>1747.97</v>
      </c>
      <c r="S89" s="18" t="n">
        <v>275.59</v>
      </c>
      <c r="U89" s="9" t="n"/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단기차입금의감소</t>
        </is>
      </c>
      <c r="E90" s="18" t="n">
        <v>224.69</v>
      </c>
      <c r="F90" s="9" t="n"/>
      <c r="G90" s="18" t="n">
        <v>426.12</v>
      </c>
      <c r="H90" s="18" t="n">
        <v>982.1</v>
      </c>
      <c r="I90" s="18" t="n">
        <v>66533.39999999999</v>
      </c>
      <c r="J90" s="18" t="n">
        <v>3598.02</v>
      </c>
      <c r="K90" s="37" t="n">
        <v>71539.64</v>
      </c>
      <c r="L90" s="18" t="n">
        <v>904.13</v>
      </c>
      <c r="M90" s="18" t="n">
        <v>71127.87</v>
      </c>
      <c r="N90" s="18" t="n">
        <v>5755.28</v>
      </c>
      <c r="O90" s="18" t="n">
        <v>1139.27</v>
      </c>
      <c r="P90" s="37" t="n">
        <v>78926.55</v>
      </c>
      <c r="Q90" s="18" t="n">
        <v>1524.92</v>
      </c>
      <c r="R90" s="18" t="n">
        <v>890.4</v>
      </c>
      <c r="S90" s="18" t="n">
        <v>85725.39999999999</v>
      </c>
      <c r="T90" s="18" t="n">
        <v>1815.85</v>
      </c>
      <c r="U90" s="37" t="n">
        <v>89956.57000000001</v>
      </c>
      <c r="Z90" s="9" t="n"/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이자지급(CF)</t>
        </is>
      </c>
      <c r="E91" s="18" t="n">
        <v>-1938.6</v>
      </c>
      <c r="F91" s="9" t="n"/>
      <c r="G91" s="18" t="n">
        <v>-8555.57</v>
      </c>
      <c r="H91" s="18" t="n">
        <v>-908.11</v>
      </c>
      <c r="I91" s="18" t="n">
        <v>-1074.73</v>
      </c>
      <c r="J91" s="18" t="n">
        <v>-560.8099999999999</v>
      </c>
      <c r="K91" s="37" t="n">
        <v>-11099.22</v>
      </c>
      <c r="L91" s="18" t="n">
        <v>-1259.34</v>
      </c>
      <c r="M91" s="18" t="n">
        <v>-1290.11</v>
      </c>
      <c r="N91" s="18" t="n">
        <v>-1267.93</v>
      </c>
      <c r="O91" s="18" t="n">
        <v>-1217.22</v>
      </c>
      <c r="P91" s="37" t="n">
        <v>-5034.6</v>
      </c>
      <c r="Q91" s="18" t="n">
        <v>-1221.78</v>
      </c>
      <c r="R91" s="18" t="n">
        <v>-1261.82</v>
      </c>
      <c r="S91" s="18" t="n">
        <v>-894.27</v>
      </c>
      <c r="T91" s="18" t="n">
        <v>-31.67</v>
      </c>
      <c r="U91" s="37" t="n">
        <v>-3409.54</v>
      </c>
      <c r="V91" s="18" t="n">
        <v>-33.35</v>
      </c>
      <c r="W91" s="18" t="n">
        <v>-30.63</v>
      </c>
      <c r="X91" s="18" t="n">
        <v>-30.56</v>
      </c>
      <c r="Y91" s="18" t="n">
        <v>-29.31</v>
      </c>
      <c r="Z91" s="37" t="n">
        <v>-123.85</v>
      </c>
      <c r="AA91" s="18" t="n">
        <v>-68.89</v>
      </c>
      <c r="AB91" s="19" t="n">
        <v>-152.21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현금및현금성자산의증감</t>
        </is>
      </c>
      <c r="E92" s="18" t="n">
        <v>7726.41</v>
      </c>
      <c r="F92" s="9" t="n"/>
      <c r="G92" s="18" t="n">
        <v>-27654.56</v>
      </c>
      <c r="H92" s="18" t="n">
        <v>-5928.21</v>
      </c>
      <c r="I92" s="18" t="n">
        <v>42860.95</v>
      </c>
      <c r="J92" s="18" t="n">
        <v>-40409.61</v>
      </c>
      <c r="K92" s="37" t="n">
        <v>-31131.43</v>
      </c>
      <c r="L92" s="18" t="n">
        <v>2176.47</v>
      </c>
      <c r="M92" s="18" t="n">
        <v>-9522.92</v>
      </c>
      <c r="N92" s="18" t="n">
        <v>5413.47</v>
      </c>
      <c r="O92" s="18" t="n">
        <v>10555.41</v>
      </c>
      <c r="P92" s="37" t="n">
        <v>8622.43</v>
      </c>
      <c r="Q92" s="18" t="n">
        <v>-6855.36</v>
      </c>
      <c r="R92" s="18" t="n">
        <v>18762.32</v>
      </c>
      <c r="S92" s="18" t="n">
        <v>-32394.28</v>
      </c>
      <c r="T92" s="18" t="n">
        <v>45090.4</v>
      </c>
      <c r="U92" s="37" t="n">
        <v>24603.08</v>
      </c>
      <c r="V92" s="18" t="n">
        <v>28391.91</v>
      </c>
      <c r="W92" s="18" t="n">
        <v>42226.49</v>
      </c>
      <c r="X92" s="18" t="n">
        <v>-39621.93</v>
      </c>
      <c r="Y92" s="18" t="n">
        <v>1786.39</v>
      </c>
      <c r="Z92" s="37" t="n">
        <v>32782.86</v>
      </c>
      <c r="AA92" s="18" t="n">
        <v>101104.51</v>
      </c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기말현금및현금성자산</t>
        </is>
      </c>
      <c r="E93" s="18" t="n">
        <v>7726.41</v>
      </c>
      <c r="F93" s="9" t="n"/>
      <c r="G93" s="18" t="n">
        <v>27816.88</v>
      </c>
      <c r="H93" s="18" t="n">
        <v>-5928.21</v>
      </c>
      <c r="I93" s="18" t="n">
        <v>42860.96</v>
      </c>
      <c r="J93" s="18" t="n">
        <v>-40409.62</v>
      </c>
      <c r="K93" s="37" t="n">
        <v>24340.01</v>
      </c>
      <c r="L93" s="18" t="n">
        <v>26516.47</v>
      </c>
      <c r="M93" s="18" t="n">
        <v>-9522.91</v>
      </c>
      <c r="N93" s="18" t="n">
        <v>5413.47</v>
      </c>
      <c r="O93" s="18" t="n">
        <v>10555.41</v>
      </c>
      <c r="P93" s="37" t="n">
        <v>32962.44</v>
      </c>
      <c r="Q93" s="18" t="n">
        <v>26107.08</v>
      </c>
      <c r="R93" s="18" t="n">
        <v>18762.32</v>
      </c>
      <c r="S93" s="18" t="n">
        <v>-32394.28</v>
      </c>
      <c r="T93" s="18" t="n">
        <v>45090.4</v>
      </c>
      <c r="U93" s="37" t="n">
        <v>57565.52</v>
      </c>
      <c r="V93" s="18" t="n">
        <v>85957.42</v>
      </c>
      <c r="W93" s="18" t="n">
        <v>42226.5</v>
      </c>
      <c r="X93" s="18" t="n">
        <v>-39621.94</v>
      </c>
      <c r="Y93" s="18" t="n">
        <v>1786.39</v>
      </c>
      <c r="Z93" s="37" t="n">
        <v>90348.37</v>
      </c>
      <c r="AA93" s="18" t="n">
        <v>191452.88</v>
      </c>
      <c r="AB93" s="19" t="n">
        <v>145454.89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유형자산의감소</t>
        </is>
      </c>
      <c r="F94" s="9" t="n"/>
      <c r="G94" s="18" t="n">
        <v>452.52</v>
      </c>
      <c r="H94" s="18" t="n">
        <v>0</v>
      </c>
      <c r="I94" s="18" t="n">
        <v>555.98</v>
      </c>
      <c r="J94" s="18" t="n">
        <v>1712.89</v>
      </c>
      <c r="K94" s="37" t="n">
        <v>2721.39</v>
      </c>
      <c r="L94" s="18" t="n">
        <v>464.6</v>
      </c>
      <c r="M94" s="18" t="n">
        <v>1688.71</v>
      </c>
      <c r="N94" s="18" t="n">
        <v>5</v>
      </c>
      <c r="O94" s="18" t="n">
        <v>6.37</v>
      </c>
      <c r="P94" s="37" t="n">
        <v>2164.68</v>
      </c>
      <c r="Q94" s="18" t="n">
        <v>0</v>
      </c>
      <c r="U94" s="9" t="n"/>
      <c r="V94" s="18" t="n">
        <v>6.62</v>
      </c>
      <c r="W94" s="18" t="n">
        <v>43.97</v>
      </c>
      <c r="X94" s="18" t="n">
        <v>1.54</v>
      </c>
      <c r="Y94" s="18" t="n">
        <v>5.22</v>
      </c>
      <c r="Z94" s="37" t="n">
        <v>57.35</v>
      </c>
      <c r="AA94" s="18" t="n">
        <v>0</v>
      </c>
      <c r="AB94" s="19" t="n">
        <v>15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리스부채의상환</t>
        </is>
      </c>
      <c r="F95" s="9" t="n"/>
      <c r="K95" s="9" t="n"/>
      <c r="L95" s="18" t="n">
        <v>329.05</v>
      </c>
      <c r="M95" s="18" t="n">
        <v>324.66</v>
      </c>
      <c r="P95" s="9" t="n"/>
      <c r="U95" s="9" t="n"/>
      <c r="Z95" s="9" t="n"/>
      <c r="AA95" s="18" t="n">
        <v>191.38</v>
      </c>
      <c r="AB95" s="19" t="n">
        <v>130.33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이자수취(CF)</t>
        </is>
      </c>
      <c r="F96" s="9" t="n"/>
      <c r="K96" s="9" t="n"/>
      <c r="O96" s="18" t="n">
        <v>1187.75</v>
      </c>
      <c r="P96" s="9" t="n"/>
      <c r="Q96" s="18" t="n">
        <v>385.97</v>
      </c>
      <c r="R96" s="18" t="n">
        <v>607.5599999999999</v>
      </c>
      <c r="S96" s="18" t="n">
        <v>1159.77</v>
      </c>
      <c r="T96" s="18" t="n">
        <v>2400.6</v>
      </c>
      <c r="U96" s="37" t="n">
        <v>4553.9</v>
      </c>
      <c r="V96" s="18" t="n">
        <v>837.17</v>
      </c>
      <c r="W96" s="18" t="n">
        <v>1409.65</v>
      </c>
      <c r="X96" s="18" t="n">
        <v>1614.55</v>
      </c>
      <c r="Y96" s="18" t="n">
        <v>2509.56</v>
      </c>
      <c r="Z96" s="37" t="n">
        <v>6370.93</v>
      </c>
      <c r="AA96" s="18" t="n">
        <v>1938.19</v>
      </c>
      <c r="AB96" s="19" t="n">
        <v>3444.57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SUM(Q12:T12)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IFERROR((AB28*변수!$D$54-AB26*변수!$D$55)/4,"")</f>
        <v/>
      </c>
      <c r="AD12" s="20">
        <f>IFERROR((AC28*변수!$D$54-AC26*변수!$D$55)/4,"")</f>
        <v/>
      </c>
      <c r="AE12" s="38">
        <f>SUM(AA12:AD12)</f>
        <v/>
      </c>
      <c r="AF12" s="20">
        <f>IFERROR((AD28*변수!$D$54-AD26*변수!$D$55)/4,"")</f>
        <v/>
      </c>
      <c r="AG12" s="20">
        <f>IFERROR((AF28*변수!$D$54-AF26*변수!$D$55)/4,"")</f>
        <v/>
      </c>
      <c r="AH12" s="20">
        <f>IFERROR((AG28*변수!$D$54-AG26*변수!$D$55)/4,"")</f>
        <v/>
      </c>
      <c r="AI12" s="20">
        <f>IFERROR((AH28*변수!$D$54-AH26*변수!$D$55)/4,"")</f>
        <v/>
      </c>
      <c r="AJ12" s="38">
        <f>SUM(AF12:AI12)</f>
        <v/>
      </c>
      <c r="AK12" s="20">
        <f>IFERROR((AI28*변수!$D$54-AI26*변수!$D$55)/4,"")</f>
        <v/>
      </c>
      <c r="AL12" s="20">
        <f>IFERROR((AK28*변수!$D$54-AK26*변수!$D$55)/4,"")</f>
        <v/>
      </c>
      <c r="AM12" s="20">
        <f>IFERROR((AL28*변수!$D$54-AL26*변수!$D$55)/4,"")</f>
        <v/>
      </c>
      <c r="AN12" s="20">
        <f>IFERROR((AM28*변수!$D$54-AM26*변수!$D$55)/4,"")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 t="n"/>
      <c r="W13" s="18" t="n"/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 t="n"/>
      <c r="P14" s="37">
        <f>SUM(L14:O14)</f>
        <v/>
      </c>
      <c r="Q14" s="18" t="n"/>
      <c r="R14" s="18" t="n"/>
      <c r="S14" s="18">
        <f>IFERROR((VLOOKUP("파생상품이익",BS연결,MATCH(S$1,BS연결H,0),0)-VLOOKUP("파생상품손실",BS연결,MATCH(S$1,BS연결H,0),0))/100,"")</f>
        <v/>
      </c>
      <c r="T14" s="18" t="n"/>
      <c r="U14" s="37">
        <f>SUM(Q14:T14)</f>
        <v/>
      </c>
      <c r="V14" s="18" t="n"/>
      <c r="W14" s="18" t="n"/>
      <c r="X14" s="18" t="n"/>
      <c r="Y14" s="18" t="n"/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SUM(G17:J17)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 t="n"/>
      <c r="J18" s="18">
        <f>IFERROR(VLOOKUP($D18,BS연결,MATCH(J$1,BS연결H,0),0)/100,"")</f>
        <v/>
      </c>
      <c r="K18" s="37">
        <f>SUM(G18:J18)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중단사업이익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중단사업이익</t>
        </is>
      </c>
      <c r="E21" s="18" t="n"/>
      <c r="F21" s="37" t="n"/>
      <c r="G21" s="18" t="n"/>
      <c r="H21" s="18" t="n"/>
      <c r="I21" s="18" t="n"/>
      <c r="J21" s="18">
        <f>IFERROR(VLOOKUP($D21,BS연결,MATCH(J$1,BS연결H,0),0)/100,"")</f>
        <v/>
      </c>
      <c r="K21" s="37">
        <f>SUM(G21:J21)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 t="n"/>
      <c r="W21" s="18" t="n"/>
      <c r="X21" s="18" t="n"/>
      <c r="Y21" s="18">
        <f>IFERROR(VLOOKUP($D21,BS연결,MATCH(Y$1,BS연결H,0),0)/100,"")</f>
        <v/>
      </c>
      <c r="Z21" s="37">
        <f>SUM(V21:Y21)</f>
        <v/>
      </c>
      <c r="AA21" s="18" t="n"/>
      <c r="AB21" s="19" t="n"/>
      <c r="AC21" s="20" t="n"/>
      <c r="AD21" s="20" t="n"/>
      <c r="AE21" s="38">
        <f>SUM(AA21:AD21)</f>
        <v/>
      </c>
      <c r="AF21" s="20" t="n"/>
      <c r="AG21" s="20" t="n"/>
      <c r="AH21" s="20" t="n"/>
      <c r="AI21" s="20" t="n"/>
      <c r="AJ21" s="38">
        <f>SUM(AF21:AI21)</f>
        <v/>
      </c>
      <c r="AK21" s="20" t="n"/>
      <c r="AL21" s="20" t="n"/>
      <c r="AM21" s="20" t="n"/>
      <c r="AN21" s="20" t="n"/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IFERROR(AB23*(1+변수!AC31),"")</f>
        <v/>
      </c>
      <c r="AD23" s="20">
        <f>IFERROR(AC23*(1+변수!AD31),"")</f>
        <v/>
      </c>
      <c r="AE23" s="38">
        <f>AD23</f>
        <v/>
      </c>
      <c r="AF23" s="20">
        <f>IFERROR(AD23*(1+변수!AF31),"")</f>
        <v/>
      </c>
      <c r="AG23" s="20">
        <f>IFERROR(AF23*(1+변수!AG31),"")</f>
        <v/>
      </c>
      <c r="AH23" s="20">
        <f>IFERROR(AG23*(1+변수!AH31),"")</f>
        <v/>
      </c>
      <c r="AI23" s="20">
        <f>IFERROR(AH23*(1+변수!AI31),"")</f>
        <v/>
      </c>
      <c r="AJ23" s="38">
        <f>AI23</f>
        <v/>
      </c>
      <c r="AK23" s="20">
        <f>IFERROR(AI23*(1+변수!AK31),"")</f>
        <v/>
      </c>
      <c r="AL23" s="20">
        <f>IFERROR(AK23*(1+변수!AL31),"")</f>
        <v/>
      </c>
      <c r="AM23" s="20">
        <f>IFERROR(AL23*(1+변수!AM31),"")</f>
        <v/>
      </c>
      <c r="AN23" s="20">
        <f>IFERROR(AM23*(1+변수!AN31),"")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IFERROR(AB24+AC19-변수!AC32,"")</f>
        <v/>
      </c>
      <c r="AD24" s="20">
        <f>IFERROR(AC24+AD19-변수!AD32,"")</f>
        <v/>
      </c>
      <c r="AE24" s="38">
        <f>AD24</f>
        <v/>
      </c>
      <c r="AF24" s="20">
        <f>IFERROR(AD24+AF19-변수!AF32,"")</f>
        <v/>
      </c>
      <c r="AG24" s="20">
        <f>IFERROR(AF24+AG19-변수!AG32,"")</f>
        <v/>
      </c>
      <c r="AH24" s="20">
        <f>IFERROR(AG24+AH19-변수!AH32,"")</f>
        <v/>
      </c>
      <c r="AI24" s="20">
        <f>IFERROR(AH24+AI19-변수!AI32,"")</f>
        <v/>
      </c>
      <c r="AJ24" s="38">
        <f>AI24</f>
        <v/>
      </c>
      <c r="AK24" s="20">
        <f>IFERROR(AI24+AK19-변수!AK32,"")</f>
        <v/>
      </c>
      <c r="AL24" s="20">
        <f>IFERROR(AK24+AL19-변수!AL32,"")</f>
        <v/>
      </c>
      <c r="AM24" s="20">
        <f>IFERROR(AL24+AM19-변수!AM32,"")</f>
        <v/>
      </c>
      <c r="AN24" s="20">
        <f>IFERROR(AM24+AN19-변수!AN32,"")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IFERROR(AB25+AC20-변수!AC33,"")</f>
        <v/>
      </c>
      <c r="AD25" s="20">
        <f>IFERROR(AC25+AD20-변수!AD33,"")</f>
        <v/>
      </c>
      <c r="AE25" s="38">
        <f>AD25</f>
        <v/>
      </c>
      <c r="AF25" s="20">
        <f>IFERROR(AD25+AF20-변수!AF33,"")</f>
        <v/>
      </c>
      <c r="AG25" s="20">
        <f>IFERROR(AF25+AG20-변수!AG33,"")</f>
        <v/>
      </c>
      <c r="AH25" s="20">
        <f>IFERROR(AG25+AH20-변수!AH33,"")</f>
        <v/>
      </c>
      <c r="AI25" s="20">
        <f>IFERROR(AH25+AI20-변수!AI33,"")</f>
        <v/>
      </c>
      <c r="AJ25" s="38">
        <f>AI25</f>
        <v/>
      </c>
      <c r="AK25" s="20">
        <f>IFERROR(AI25+AK20-변수!AK33,"")</f>
        <v/>
      </c>
      <c r="AL25" s="20">
        <f>IFERROR(AK25+AL20-변수!AL33,"")</f>
        <v/>
      </c>
      <c r="AM25" s="20">
        <f>IFERROR(AL25+AM20-변수!AM33,"")</f>
        <v/>
      </c>
      <c r="AN25" s="20">
        <f>IFERROR(AM25+AN20-변수!AN33,"")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  <c r="AK26" s="20">
        <f>IFERROR(AI26*(1+변수!AK34),"")</f>
        <v/>
      </c>
      <c r="AL26" s="20">
        <f>IFERROR(AK26*(1+변수!AL34),"")</f>
        <v/>
      </c>
      <c r="AM26" s="20">
        <f>IFERROR(AL26*(1+변수!AM34),"")</f>
        <v/>
      </c>
      <c r="AN26" s="20">
        <f>IFERROR(AM26*(1+변수!AN34),"")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IFERROR(X30*(1+변수!AC38),"")</f>
        <v/>
      </c>
      <c r="AD30" s="20">
        <f>IFERROR(Y30*(1+변수!AD38),"")</f>
        <v/>
      </c>
      <c r="AE30" s="38">
        <f>SUM(AA30:AD30)</f>
        <v/>
      </c>
      <c r="AF30" s="20">
        <f>IFERROR(AA30*(1+변수!AF38),"")</f>
        <v/>
      </c>
      <c r="AG30" s="20">
        <f>IFERROR(AB30*(1+변수!AG38),"")</f>
        <v/>
      </c>
      <c r="AH30" s="20">
        <f>IFERROR(AC30*(1+변수!AH38),"")</f>
        <v/>
      </c>
      <c r="AI30" s="20">
        <f>IFERROR(AD30*(1+변수!AI38),"")</f>
        <v/>
      </c>
      <c r="AJ30" s="38">
        <f>SUM(AF30:AI30)</f>
        <v/>
      </c>
      <c r="AK30" s="20">
        <f>IFERROR(AF30*(1+변수!AK38),"")</f>
        <v/>
      </c>
      <c r="AL30" s="20">
        <f>IFERROR(AG30*(1+변수!AL38),"")</f>
        <v/>
      </c>
      <c r="AM30" s="20">
        <f>IFERROR(AH30*(1+변수!AM38),"")</f>
        <v/>
      </c>
      <c r="AN30" s="20">
        <f>IFERROR(AI30*(1+변수!AN38),"")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28.366</v>
      </c>
      <c r="F32" s="28">
        <f>E32</f>
        <v/>
      </c>
      <c r="G32" s="27" t="n">
        <v>28.366</v>
      </c>
      <c r="H32" s="27" t="n">
        <v>28.366</v>
      </c>
      <c r="I32" s="27" t="n">
        <v>28.366</v>
      </c>
      <c r="J32" s="27" t="n">
        <v>28.381</v>
      </c>
      <c r="K32" s="28">
        <f>J32</f>
        <v/>
      </c>
      <c r="L32" s="27" t="n">
        <v>28.553</v>
      </c>
      <c r="M32" s="27" t="n">
        <v>28.553</v>
      </c>
      <c r="N32" s="27" t="n">
        <v>28.553</v>
      </c>
      <c r="O32" s="27" t="n">
        <v>28.553</v>
      </c>
      <c r="P32" s="28">
        <f>O32</f>
        <v/>
      </c>
      <c r="Q32" s="27" t="n">
        <v>28.553</v>
      </c>
      <c r="R32" s="27" t="n">
        <v>28.553</v>
      </c>
      <c r="S32" s="27" t="n">
        <v>33.917</v>
      </c>
      <c r="T32" s="27" t="n">
        <v>33.921</v>
      </c>
      <c r="U32" s="28">
        <f>T32</f>
        <v/>
      </c>
      <c r="V32" s="27" t="n">
        <v>33.921</v>
      </c>
      <c r="W32" s="27" t="n">
        <v>33.921</v>
      </c>
      <c r="X32" s="27" t="n">
        <v>33.921</v>
      </c>
      <c r="Y32" s="27" t="n">
        <v>33.921</v>
      </c>
      <c r="Z32" s="28">
        <f>Y32</f>
        <v/>
      </c>
      <c r="AA32" s="27" t="n">
        <v>33.921</v>
      </c>
      <c r="AB32" s="29" t="n">
        <v>33.921</v>
      </c>
      <c r="AC32" s="32">
        <f>IFERROR(AB32*(1+변수!AC40),"")</f>
        <v/>
      </c>
      <c r="AD32" s="32">
        <f>IFERROR(AC32*(1+변수!AD40),"")</f>
        <v/>
      </c>
      <c r="AE32" s="31">
        <f>AD32</f>
        <v/>
      </c>
      <c r="AF32" s="32">
        <f>IFERROR(AD32*(1+변수!AF40),"")</f>
        <v/>
      </c>
      <c r="AG32" s="32">
        <f>IFERROR(AF32*(1+변수!AG40),"")</f>
        <v/>
      </c>
      <c r="AH32" s="32">
        <f>IFERROR(AG32*(1+변수!AH40),"")</f>
        <v/>
      </c>
      <c r="AI32" s="32">
        <f>IFERROR(AH32*(1+변수!AI40),"")</f>
        <v/>
      </c>
      <c r="AJ32" s="31">
        <f>AI32</f>
        <v/>
      </c>
      <c r="AK32" s="32">
        <f>IFERROR(AI32*(1+변수!AK40),"")</f>
        <v/>
      </c>
      <c r="AL32" s="32">
        <f>IFERROR(AK32*(1+변수!AL40),"")</f>
        <v/>
      </c>
      <c r="AM32" s="32">
        <f>IFERROR(AL32*(1+변수!AM40),"")</f>
        <v/>
      </c>
      <c r="AN32" s="32">
        <f>IFERROR(AM32*(1+변수!AN40),"")</f>
        <v/>
      </c>
      <c r="AO32" s="31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IFERROR(E20*100/E32,"")</f>
        <v/>
      </c>
      <c r="F33" s="37" t="n"/>
      <c r="G33" s="18">
        <f>IFERROR(G20*100/G32,"")</f>
        <v/>
      </c>
      <c r="H33" s="18">
        <f>IFERROR(H20*100/H32,"")</f>
        <v/>
      </c>
      <c r="I33" s="18">
        <f>IFERROR(I20*100/I32,"")</f>
        <v/>
      </c>
      <c r="J33" s="18">
        <f>IFERROR(J20*100/J32,"")</f>
        <v/>
      </c>
      <c r="K33" s="37">
        <f>SUM(G33:J33)</f>
        <v/>
      </c>
      <c r="L33" s="18">
        <f>IFERROR(L20*100/L32,"")</f>
        <v/>
      </c>
      <c r="M33" s="18">
        <f>IFERROR(M20*100/M32,"")</f>
        <v/>
      </c>
      <c r="N33" s="18">
        <f>IFERROR(N20*100/N32,"")</f>
        <v/>
      </c>
      <c r="O33" s="18">
        <f>IFERROR(O20*100/O32,"")</f>
        <v/>
      </c>
      <c r="P33" s="37">
        <f>SUM(L33:O33)</f>
        <v/>
      </c>
      <c r="Q33" s="18">
        <f>IFERROR(Q20*100/Q32,"")</f>
        <v/>
      </c>
      <c r="R33" s="18">
        <f>IFERROR(R20*100/R32,"")</f>
        <v/>
      </c>
      <c r="S33" s="18">
        <f>IFERROR(S20*100/S32,"")</f>
        <v/>
      </c>
      <c r="T33" s="18">
        <f>IFERROR(T20*100/T32,"")</f>
        <v/>
      </c>
      <c r="U33" s="37">
        <f>SUM(Q33:T33)</f>
        <v/>
      </c>
      <c r="V33" s="18">
        <f>IFERROR(V20*100/V32,"")</f>
        <v/>
      </c>
      <c r="W33" s="18">
        <f>IFERROR(W20*100/W32,"")</f>
        <v/>
      </c>
      <c r="X33" s="18">
        <f>IFERROR(X20*100/X32,"")</f>
        <v/>
      </c>
      <c r="Y33" s="18">
        <f>IFERROR(Y20*100/Y32,"")</f>
        <v/>
      </c>
      <c r="Z33" s="37">
        <f>SUM(V33:Y33)</f>
        <v/>
      </c>
      <c r="AA33" s="18">
        <f>IFERROR(AA20*100/AA32,"")</f>
        <v/>
      </c>
      <c r="AB33" s="19">
        <f>IFERROR(AB20*100/AB32,"")</f>
        <v/>
      </c>
      <c r="AC33" s="20">
        <f>IFERROR(AC20*100/AC32,"")</f>
        <v/>
      </c>
      <c r="AD33" s="20">
        <f>IFERROR(AD20*100/AD32,"")</f>
        <v/>
      </c>
      <c r="AE33" s="38">
        <f>SUM(AA33:AD33)</f>
        <v/>
      </c>
      <c r="AF33" s="20">
        <f>IFERROR(AF20*100/AF32,"")</f>
        <v/>
      </c>
      <c r="AG33" s="20">
        <f>IFERROR(AG20*100/AG32,"")</f>
        <v/>
      </c>
      <c r="AH33" s="20">
        <f>IFERROR(AH20*100/AH32,"")</f>
        <v/>
      </c>
      <c r="AI33" s="20">
        <f>IFERROR(AI20*100/AI32,"")</f>
        <v/>
      </c>
      <c r="AJ33" s="38">
        <f>SUM(AF33:AI33)</f>
        <v/>
      </c>
      <c r="AK33" s="20">
        <f>IFERROR(AK20*100/AK32,"")</f>
        <v/>
      </c>
      <c r="AL33" s="20">
        <f>IFERROR(AL20*100/AL32,"")</f>
        <v/>
      </c>
      <c r="AM33" s="20">
        <f>IFERROR(AM20*100/AM32,"")</f>
        <v/>
      </c>
      <c r="AN33" s="20">
        <f>IFERROR(AN20*100/AN32,"")</f>
        <v/>
      </c>
      <c r="AO33" s="38">
        <f>SUM(AK33:AN33)</f>
        <v/>
      </c>
    </row>
    <row r="34">
      <c r="A34" s="12" t="inlineStr">
        <is>
          <t>조정EPS</t>
        </is>
      </c>
      <c r="B34" t="inlineStr">
        <is>
          <t>주당</t>
        </is>
      </c>
      <c r="C34" t="inlineStr">
        <is>
          <t>원</t>
        </is>
      </c>
      <c r="D34" t="inlineStr">
        <is>
          <t>조정 EPS(일회성 의심 분기의 초과 비영업손익 세후 차감 — 모델 추정)</t>
        </is>
      </c>
      <c r="E34" s="18">
        <f>IFERROR(E33,"")</f>
        <v/>
      </c>
      <c r="F34" s="37" t="n"/>
      <c r="G34" s="18">
        <f>IFERROR(G33,"")</f>
        <v/>
      </c>
      <c r="H34" s="18">
        <f>IFERROR(H33,"")</f>
        <v/>
      </c>
      <c r="I34" s="18">
        <f>IFERROR(I33,"")</f>
        <v/>
      </c>
      <c r="J34" s="18">
        <f>IFERROR(J33,"")</f>
        <v/>
      </c>
      <c r="K34" s="37">
        <f>SUM(G34:J34)</f>
        <v/>
      </c>
      <c r="L34" s="18">
        <f>IFERROR(L33,"")</f>
        <v/>
      </c>
      <c r="M34" s="18">
        <f>IFERROR(M33,"")</f>
        <v/>
      </c>
      <c r="N34" s="18">
        <f>IFERROR(N33,"")</f>
        <v/>
      </c>
      <c r="O34" s="18">
        <f>IFERROR(O33,"")</f>
        <v/>
      </c>
      <c r="P34" s="37">
        <f>SUM(L34:O34)</f>
        <v/>
      </c>
      <c r="Q34" s="18">
        <f>IFERROR(Q33,"")</f>
        <v/>
      </c>
      <c r="R34" s="18">
        <f>IFERROR(R33,"")</f>
        <v/>
      </c>
      <c r="S34" s="18">
        <f>IFERROR(S33,"")</f>
        <v/>
      </c>
      <c r="T34" s="18">
        <f>IFERROR(T33,"")</f>
        <v/>
      </c>
      <c r="U34" s="37">
        <f>SUM(Q34:T34)</f>
        <v/>
      </c>
      <c r="V34" s="18">
        <f>IFERROR(V33,"")</f>
        <v/>
      </c>
      <c r="W34" s="18">
        <f>IFERROR(W33,"")</f>
        <v/>
      </c>
      <c r="X34" s="18">
        <f>IFERROR(X33,"")</f>
        <v/>
      </c>
      <c r="Y34" s="20">
        <f>IFERROR((Y20-(674.95)*(1.0))*100/Y32,"")</f>
        <v/>
      </c>
      <c r="Z34" s="37">
        <f>SUM(V34:Y34)</f>
        <v/>
      </c>
      <c r="AA34" s="18">
        <f>IFERROR(AA33,"")</f>
        <v/>
      </c>
      <c r="AB34" s="19">
        <f>IFERROR(AB33,"")</f>
        <v/>
      </c>
      <c r="AC34" s="20">
        <f>IFERROR(AC33,"")</f>
        <v/>
      </c>
      <c r="AD34" s="20">
        <f>IFERROR(AD33,"")</f>
        <v/>
      </c>
      <c r="AE34" s="38">
        <f>SUM(AA34:AD34)</f>
        <v/>
      </c>
      <c r="AF34" s="20">
        <f>IFERROR(AF33,"")</f>
        <v/>
      </c>
      <c r="AG34" s="20">
        <f>IFERROR(AG33,"")</f>
        <v/>
      </c>
      <c r="AH34" s="20">
        <f>IFERROR(AH33,"")</f>
        <v/>
      </c>
      <c r="AI34" s="20">
        <f>IFERROR(AI33,"")</f>
        <v/>
      </c>
      <c r="AJ34" s="38">
        <f>SUM(AF34:AI34)</f>
        <v/>
      </c>
      <c r="AK34" s="20">
        <f>IFERROR(AK33,"")</f>
        <v/>
      </c>
      <c r="AL34" s="20">
        <f>IFERROR(AL33,"")</f>
        <v/>
      </c>
      <c r="AM34" s="20">
        <f>IFERROR(AM33,"")</f>
        <v/>
      </c>
      <c r="AN34" s="20">
        <f>IFERROR(AN33,"")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IFERROR(E25*100/E32,"")</f>
        <v/>
      </c>
      <c r="F35" s="37">
        <f>E35</f>
        <v/>
      </c>
      <c r="G35" s="18">
        <f>IFERROR(G25*100/G32,"")</f>
        <v/>
      </c>
      <c r="H35" s="18">
        <f>IFERROR(H25*100/H32,"")</f>
        <v/>
      </c>
      <c r="I35" s="18">
        <f>IFERROR(I25*100/I32,"")</f>
        <v/>
      </c>
      <c r="J35" s="18">
        <f>IFERROR(J25*100/J32,"")</f>
        <v/>
      </c>
      <c r="K35" s="37">
        <f>J35</f>
        <v/>
      </c>
      <c r="L35" s="18">
        <f>IFERROR(L25*100/L32,"")</f>
        <v/>
      </c>
      <c r="M35" s="18">
        <f>IFERROR(M25*100/M32,"")</f>
        <v/>
      </c>
      <c r="N35" s="18">
        <f>IFERROR(N25*100/N32,"")</f>
        <v/>
      </c>
      <c r="O35" s="18">
        <f>IFERROR(O25*100/O32,"")</f>
        <v/>
      </c>
      <c r="P35" s="37">
        <f>O35</f>
        <v/>
      </c>
      <c r="Q35" s="18">
        <f>IFERROR(Q25*100/Q32,"")</f>
        <v/>
      </c>
      <c r="R35" s="18">
        <f>IFERROR(R25*100/R32,"")</f>
        <v/>
      </c>
      <c r="S35" s="18">
        <f>IFERROR(S25*100/S32,"")</f>
        <v/>
      </c>
      <c r="T35" s="18">
        <f>IFERROR(T25*100/T32,"")</f>
        <v/>
      </c>
      <c r="U35" s="37">
        <f>T35</f>
        <v/>
      </c>
      <c r="V35" s="18">
        <f>IFERROR(V25*100/V32,"")</f>
        <v/>
      </c>
      <c r="W35" s="18">
        <f>IFERROR(W25*100/W32,"")</f>
        <v/>
      </c>
      <c r="X35" s="18">
        <f>IFERROR(X25*100/X32,"")</f>
        <v/>
      </c>
      <c r="Y35" s="18">
        <f>IFERROR(Y25*100/Y32,"")</f>
        <v/>
      </c>
      <c r="Z35" s="37">
        <f>Y35</f>
        <v/>
      </c>
      <c r="AA35" s="18">
        <f>IFERROR(AA25*100/AA32,"")</f>
        <v/>
      </c>
      <c r="AB35" s="19">
        <f>IFERROR(AB25*100/AB32,"")</f>
        <v/>
      </c>
      <c r="AC35" s="20">
        <f>IFERROR(AC25*100/AC32,"")</f>
        <v/>
      </c>
      <c r="AD35" s="20">
        <f>IFERROR(AD25*100/AD32,"")</f>
        <v/>
      </c>
      <c r="AE35" s="38">
        <f>AD35</f>
        <v/>
      </c>
      <c r="AF35" s="20">
        <f>IFERROR(AF25*100/AF32,"")</f>
        <v/>
      </c>
      <c r="AG35" s="20">
        <f>IFERROR(AG25*100/AG32,"")</f>
        <v/>
      </c>
      <c r="AH35" s="20">
        <f>IFERROR(AH25*100/AH32,"")</f>
        <v/>
      </c>
      <c r="AI35" s="20">
        <f>IFERROR(AI25*100/AI32,"")</f>
        <v/>
      </c>
      <c r="AJ35" s="38">
        <f>AI35</f>
        <v/>
      </c>
      <c r="AK35" s="20">
        <f>IFERROR(AK25*100/AK32,"")</f>
        <v/>
      </c>
      <c r="AL35" s="20">
        <f>IFERROR(AL25*100/AL32,"")</f>
        <v/>
      </c>
      <c r="AM35" s="20">
        <f>IFERROR(AM25*100/AM32,"")</f>
        <v/>
      </c>
      <c r="AN35" s="20">
        <f>IFERROR(AN25*100/AN32,"")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0</v>
      </c>
      <c r="F36" s="37" t="n">
        <v>0</v>
      </c>
      <c r="G36" s="18" t="n"/>
      <c r="H36" s="18" t="n"/>
      <c r="I36" s="18" t="n"/>
      <c r="J36" s="18" t="n">
        <v>0</v>
      </c>
      <c r="K36" s="37">
        <f>SUM(G36:J36)</f>
        <v/>
      </c>
      <c r="L36" s="18" t="n"/>
      <c r="M36" s="18" t="n"/>
      <c r="N36" s="18" t="n"/>
      <c r="O36" s="18" t="n">
        <v>0</v>
      </c>
      <c r="P36" s="37">
        <f>SUM(L36:O36)</f>
        <v/>
      </c>
      <c r="Q36" s="18" t="n"/>
      <c r="R36" s="18" t="n"/>
      <c r="S36" s="18" t="n"/>
      <c r="T36" s="18" t="n">
        <v>0</v>
      </c>
      <c r="U36" s="37">
        <f>SUM(Q36:T36)</f>
        <v/>
      </c>
      <c r="V36" s="18" t="n"/>
      <c r="W36" s="18" t="n"/>
      <c r="X36" s="18" t="n"/>
      <c r="Y36" s="18" t="n">
        <v>0</v>
      </c>
      <c r="Z36" s="37">
        <f>SUM(V36:Y36)</f>
        <v/>
      </c>
      <c r="AA36" s="18" t="n"/>
      <c r="AB36" s="19" t="n"/>
      <c r="AC36" s="20" t="n"/>
      <c r="AD36" s="20">
        <f>변수!AD41</f>
        <v/>
      </c>
      <c r="AE36" s="38">
        <f>SUM(AA36:AD36)</f>
        <v/>
      </c>
      <c r="AF36" s="20" t="n"/>
      <c r="AG36" s="20" t="n"/>
      <c r="AH36" s="20" t="n"/>
      <c r="AI36" s="20">
        <f>변수!AI41</f>
        <v/>
      </c>
      <c r="AJ36" s="38">
        <f>SUM(AF36:AI36)</f>
        <v/>
      </c>
      <c r="AK36" s="20" t="n"/>
      <c r="AL36" s="20" t="n"/>
      <c r="AM36" s="20" t="n"/>
      <c r="AN36" s="20">
        <f>변수!AN41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>
        <f>IFERROR(변수!I18/(E33+G33+H33+I33),"")</f>
        <v/>
      </c>
      <c r="J37" s="13">
        <f>IFERROR(변수!J18/(G33+H33+I33+J33),"")</f>
        <v/>
      </c>
      <c r="K37" s="14">
        <f>J37</f>
        <v/>
      </c>
      <c r="L37" s="13">
        <f>IFERROR(변수!L18/(H33+I33+J33+L33),"")</f>
        <v/>
      </c>
      <c r="M37" s="13">
        <f>IFERROR(변수!M18/(I33+J33+L33+M33),"")</f>
        <v/>
      </c>
      <c r="N37" s="13">
        <f>IFERROR(변수!N18/(J33+L33+M33+N33),"")</f>
        <v/>
      </c>
      <c r="O37" s="13">
        <f>IFERROR(변수!O18/(L33+M33+N33+O33),"")</f>
        <v/>
      </c>
      <c r="P37" s="14">
        <f>O37</f>
        <v/>
      </c>
      <c r="Q37" s="13">
        <f>IFERROR(변수!Q18/(M33+N33+O33+Q33),"")</f>
        <v/>
      </c>
      <c r="R37" s="13">
        <f>IFERROR(변수!R18/(N33+O33+Q33+R33),"")</f>
        <v/>
      </c>
      <c r="S37" s="13">
        <f>IFERROR(변수!S18/(O33+Q33+R33+S33),"")</f>
        <v/>
      </c>
      <c r="T37" s="13">
        <f>IFERROR(변수!T18/(Q33+R33+S33+T33),"")</f>
        <v/>
      </c>
      <c r="U37" s="14">
        <f>T37</f>
        <v/>
      </c>
      <c r="V37" s="13">
        <f>IFERROR(변수!V18/(R33+S33+T33+V33),"")</f>
        <v/>
      </c>
      <c r="W37" s="13">
        <f>IFERROR(변수!W18/(S33+T33+V33+W33),"")</f>
        <v/>
      </c>
      <c r="X37" s="13">
        <f>IFERROR(변수!X18/(T33+V33+W33+X33),"")</f>
        <v/>
      </c>
      <c r="Y37" s="13">
        <f>IFERROR(변수!Y18/(V33+W33+X33+Y33),"")</f>
        <v/>
      </c>
      <c r="Z37" s="14">
        <f>Y37</f>
        <v/>
      </c>
      <c r="AA37" s="13">
        <f>IFERROR(변수!AA18/(W33+X33+Y33+AA33),"")</f>
        <v/>
      </c>
      <c r="AB37" s="15">
        <f>IFERROR(변수!AB18/(X33+Y33+AA33+AB33),"")</f>
        <v/>
      </c>
      <c r="AC37" s="39">
        <f>IFERROR(변수!$D$44/(Y33+AA33+AB33+AC33),"")</f>
        <v/>
      </c>
      <c r="AD37" s="39">
        <f>IFERROR(변수!$D$44/(AA33+AB33+AC33+AD33),"")</f>
        <v/>
      </c>
      <c r="AE37" s="40">
        <f>AD37</f>
        <v/>
      </c>
      <c r="AF37" s="39">
        <f>IFERROR(변수!$D$44/(AB33+AC33+AD33+AF33),"")</f>
        <v/>
      </c>
      <c r="AG37" s="39">
        <f>IFERROR(변수!$D$44/(AC33+AD33+AF33+AG33),"")</f>
        <v/>
      </c>
      <c r="AH37" s="39">
        <f>IFERROR(변수!$D$44/(AD33+AF33+AG33+AH33),"")</f>
        <v/>
      </c>
      <c r="AI37" s="39">
        <f>IFERROR(변수!$D$44/(AF33+AG33+AH33+AI33),"")</f>
        <v/>
      </c>
      <c r="AJ37" s="40">
        <f>AI37</f>
        <v/>
      </c>
      <c r="AK37" s="39">
        <f>IFERROR(변수!$D$44/(AG33+AH33+AI33+AK33),"")</f>
        <v/>
      </c>
      <c r="AL37" s="39">
        <f>IFERROR(변수!$D$44/(AH33+AI33+AK33+AL33),"")</f>
        <v/>
      </c>
      <c r="AM37" s="39">
        <f>IFERROR(변수!$D$44/(AI33+AK33+AL33+AM33),"")</f>
        <v/>
      </c>
      <c r="AN37" s="39">
        <f>IFERROR(변수!$D$44/(AK33+AL33+AM33+AN33),"")</f>
        <v/>
      </c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>
        <f>IFERROR(변수!S18/S35,"")</f>
        <v/>
      </c>
      <c r="T38" s="13">
        <f>IFERROR(변수!T18/T35,"")</f>
        <v/>
      </c>
      <c r="U38" s="14">
        <f>T38</f>
        <v/>
      </c>
      <c r="V38" s="13">
        <f>IFERROR(변수!V18/V35,"")</f>
        <v/>
      </c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IFERROR(변수!$D$44/AC35,"")</f>
        <v/>
      </c>
      <c r="AD38" s="39">
        <f>IFERROR(변수!$D$44/AD35,"")</f>
        <v/>
      </c>
      <c r="AE38" s="40">
        <f>AD38</f>
        <v/>
      </c>
      <c r="AF38" s="39">
        <f>IFERROR(변수!$D$44/AF35,"")</f>
        <v/>
      </c>
      <c r="AG38" s="39">
        <f>IFERROR(변수!$D$44/AG35,"")</f>
        <v/>
      </c>
      <c r="AH38" s="39">
        <f>IFERROR(변수!$D$44/AH35,"")</f>
        <v/>
      </c>
      <c r="AI38" s="39">
        <f>IFERROR(변수!$D$44/AI35,"")</f>
        <v/>
      </c>
      <c r="AJ38" s="40">
        <f>AI38</f>
        <v/>
      </c>
      <c r="AK38" s="39">
        <f>IFERROR(변수!$D$44/AK35,"")</f>
        <v/>
      </c>
      <c r="AL38" s="39">
        <f>IFERROR(변수!$D$44/AL35,"")</f>
        <v/>
      </c>
      <c r="AM38" s="39">
        <f>IFERROR(변수!$D$44/AM35,"")</f>
        <v/>
      </c>
      <c r="AN38" s="39">
        <f>IFERROR(변수!$D$44/AN35,"")</f>
        <v/>
      </c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468.69</v>
      </c>
      <c r="F39" s="37" t="n"/>
      <c r="G39" s="18" t="n">
        <v>217.09</v>
      </c>
      <c r="H39" s="18" t="n">
        <v>573.8200000000001</v>
      </c>
      <c r="I39" s="18" t="n">
        <v>530.1</v>
      </c>
      <c r="J39" s="18" t="n">
        <v>472.27</v>
      </c>
      <c r="K39" s="37">
        <f>SUM(G39:J39)</f>
        <v/>
      </c>
      <c r="L39" s="18" t="n">
        <v>212.02</v>
      </c>
      <c r="M39" s="18" t="n">
        <v>755.91</v>
      </c>
      <c r="N39" s="18" t="n">
        <v>693.5599999999999</v>
      </c>
      <c r="O39" s="18" t="n">
        <v>788.72</v>
      </c>
      <c r="P39" s="37">
        <f>SUM(L39:O39)</f>
        <v/>
      </c>
      <c r="Q39" s="18" t="n">
        <v>613.59</v>
      </c>
      <c r="R39" s="18" t="n">
        <v>850.9299999999999</v>
      </c>
      <c r="S39" s="18" t="n">
        <v>807.88</v>
      </c>
      <c r="T39" s="18" t="n">
        <v>885.54</v>
      </c>
      <c r="U39" s="37">
        <f>SUM(Q39:T39)</f>
        <v/>
      </c>
      <c r="V39" s="18" t="n">
        <v>830.1900000000001</v>
      </c>
      <c r="W39" s="18" t="n">
        <v>992.33</v>
      </c>
      <c r="X39" s="18" t="n">
        <v>1091.69</v>
      </c>
      <c r="Y39" s="18" t="n">
        <v>1109.76</v>
      </c>
      <c r="Z39" s="37">
        <f>SUM(V39:Y39)</f>
        <v/>
      </c>
      <c r="AA39" s="18" t="n">
        <v>1334.61</v>
      </c>
      <c r="AB39" s="19" t="n">
        <v>1281.19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13.03</v>
      </c>
      <c r="F40" s="37" t="n"/>
      <c r="G40" s="18" t="n">
        <v>-14.3</v>
      </c>
      <c r="H40" s="18" t="n">
        <v>4.67</v>
      </c>
      <c r="I40" s="18" t="n">
        <v>40.58</v>
      </c>
      <c r="J40" s="18" t="n">
        <v>82.47</v>
      </c>
      <c r="K40" s="37">
        <f>SUM(G40:J40)</f>
        <v/>
      </c>
      <c r="L40" s="18" t="n">
        <v>0.13</v>
      </c>
      <c r="M40" s="18" t="n">
        <v>54.4</v>
      </c>
      <c r="N40" s="18" t="n">
        <v>65.92</v>
      </c>
      <c r="O40" s="18" t="n">
        <v>58.8</v>
      </c>
      <c r="P40" s="37">
        <f>SUM(L40:O40)</f>
        <v/>
      </c>
      <c r="Q40" s="18" t="n">
        <v>62.47</v>
      </c>
      <c r="R40" s="18" t="n">
        <v>90.04000000000001</v>
      </c>
      <c r="S40" s="18" t="n">
        <v>88.06999999999999</v>
      </c>
      <c r="T40" s="18" t="n">
        <v>91.34999999999999</v>
      </c>
      <c r="U40" s="37">
        <f>SUM(Q40:T40)</f>
        <v/>
      </c>
      <c r="V40" s="18" t="n">
        <v>102.72</v>
      </c>
      <c r="W40" s="18" t="n">
        <v>174.62</v>
      </c>
      <c r="X40" s="18" t="n">
        <v>202.88</v>
      </c>
      <c r="Y40" s="18" t="n">
        <v>278.89</v>
      </c>
      <c r="Z40" s="37">
        <f>SUM(V40:Y40)</f>
        <v/>
      </c>
      <c r="AA40" s="18" t="n">
        <v>325.64</v>
      </c>
      <c r="AB40" s="19" t="n">
        <v>312.86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IFERROR(E20/E5,"")</f>
        <v/>
      </c>
      <c r="F42" s="22">
        <f>IFERROR(F20/F5,"")</f>
        <v/>
      </c>
      <c r="G42" s="21">
        <f>IFERROR(G20/G5,"")</f>
        <v/>
      </c>
      <c r="H42" s="21">
        <f>IFERROR(H20/H5,"")</f>
        <v/>
      </c>
      <c r="I42" s="21">
        <f>IFERROR(I20/I5,"")</f>
        <v/>
      </c>
      <c r="J42" s="21">
        <f>IFERROR(J20/J5,"")</f>
        <v/>
      </c>
      <c r="K42" s="22">
        <f>IFERROR(K20/K5,"")</f>
        <v/>
      </c>
      <c r="L42" s="21">
        <f>IFERROR(L20/L5,"")</f>
        <v/>
      </c>
      <c r="M42" s="21">
        <f>IFERROR(M20/M5,"")</f>
        <v/>
      </c>
      <c r="N42" s="21">
        <f>IFERROR(N20/N5,"")</f>
        <v/>
      </c>
      <c r="O42" s="21">
        <f>IFERROR(O20/O5,"")</f>
        <v/>
      </c>
      <c r="P42" s="22">
        <f>IFERROR(P20/P5,"")</f>
        <v/>
      </c>
      <c r="Q42" s="21">
        <f>IFERROR(Q20/Q5,"")</f>
        <v/>
      </c>
      <c r="R42" s="21">
        <f>IFERROR(R20/R5,"")</f>
        <v/>
      </c>
      <c r="S42" s="21">
        <f>IFERROR(S20/S5,"")</f>
        <v/>
      </c>
      <c r="T42" s="21">
        <f>IFERROR(T20/T5,"")</f>
        <v/>
      </c>
      <c r="U42" s="22">
        <f>IFERROR(U20/U5,"")</f>
        <v/>
      </c>
      <c r="V42" s="21">
        <f>IFERROR(V20/V5,"")</f>
        <v/>
      </c>
      <c r="W42" s="21">
        <f>IFERROR(W20/W5,"")</f>
        <v/>
      </c>
      <c r="X42" s="21">
        <f>IFERROR(X20/X5,"")</f>
        <v/>
      </c>
      <c r="Y42" s="21">
        <f>IFERROR(Y20/Y5,"")</f>
        <v/>
      </c>
      <c r="Z42" s="22">
        <f>IFERROR(Z20/Z5,"")</f>
        <v/>
      </c>
      <c r="AA42" s="21">
        <f>IFERROR(AA20/AA5,"")</f>
        <v/>
      </c>
      <c r="AB42" s="23">
        <f>IFERROR(AB20/AB5,"")</f>
        <v/>
      </c>
      <c r="AC42" s="33">
        <f>IFERROR(AC20/AC5,"")</f>
        <v/>
      </c>
      <c r="AD42" s="33">
        <f>IFERROR(AD20/AD5,"")</f>
        <v/>
      </c>
      <c r="AE42" s="25">
        <f>IFERROR(AE20/AE5,"")</f>
        <v/>
      </c>
      <c r="AF42" s="33">
        <f>IFERROR(AF20/AF5,"")</f>
        <v/>
      </c>
      <c r="AG42" s="33">
        <f>IFERROR(AG20/AG5,"")</f>
        <v/>
      </c>
      <c r="AH42" s="33">
        <f>IFERROR(AH20/AH5,"")</f>
        <v/>
      </c>
      <c r="AI42" s="33">
        <f>IFERROR(AI20/AI5,"")</f>
        <v/>
      </c>
      <c r="AJ42" s="25">
        <f>IFERROR(AJ20/AJ5,"")</f>
        <v/>
      </c>
      <c r="AK42" s="33">
        <f>IFERROR(AK20/AK5,"")</f>
        <v/>
      </c>
      <c r="AL42" s="33">
        <f>IFERROR(AL20/AL5,"")</f>
        <v/>
      </c>
      <c r="AM42" s="33">
        <f>IFERROR(AM20/AM5,"")</f>
        <v/>
      </c>
      <c r="AN42" s="33">
        <f>IFERROR(AN20/AN5,"")</f>
        <v/>
      </c>
      <c r="AO42" s="25">
        <f>IFERROR(AO20/AO5,"")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3">
        <f>IFERROR(AC6/AC5,"")</f>
        <v/>
      </c>
      <c r="AD43" s="33">
        <f>IFERROR(AD6/AD5,"")</f>
        <v/>
      </c>
      <c r="AE43" s="25">
        <f>IFERROR(AE6/AE5,"")</f>
        <v/>
      </c>
      <c r="AF43" s="33">
        <f>IFERROR(AF6/AF5,"")</f>
        <v/>
      </c>
      <c r="AG43" s="33">
        <f>IFERROR(AG6/AG5,"")</f>
        <v/>
      </c>
      <c r="AH43" s="33">
        <f>IFERROR(AH6/AH5,"")</f>
        <v/>
      </c>
      <c r="AI43" s="33">
        <f>IFERROR(AI6/AI5,"")</f>
        <v/>
      </c>
      <c r="AJ43" s="25">
        <f>IFERROR(AJ6/AJ5,"")</f>
        <v/>
      </c>
      <c r="AK43" s="33">
        <f>IFERROR(AK6/AK5,"")</f>
        <v/>
      </c>
      <c r="AL43" s="33">
        <f>IFERROR(AL6/AL5,"")</f>
        <v/>
      </c>
      <c r="AM43" s="33">
        <f>IFERROR(AM6/AM5,"")</f>
        <v/>
      </c>
      <c r="AN43" s="33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3">
        <f>IFERROR(AC8/AC5,"")</f>
        <v/>
      </c>
      <c r="AD44" s="33">
        <f>IFERROR(AD8/AD5,"")</f>
        <v/>
      </c>
      <c r="AE44" s="25">
        <f>IFERROR(AE8/AE5,"")</f>
        <v/>
      </c>
      <c r="AF44" s="33">
        <f>IFERROR(AF8/AF5,"")</f>
        <v/>
      </c>
      <c r="AG44" s="33">
        <f>IFERROR(AG8/AG5,"")</f>
        <v/>
      </c>
      <c r="AH44" s="33">
        <f>IFERROR(AH8/AH5,"")</f>
        <v/>
      </c>
      <c r="AI44" s="33">
        <f>IFERROR(AI8/AI5,"")</f>
        <v/>
      </c>
      <c r="AJ44" s="25">
        <f>IFERROR(AJ8/AJ5,"")</f>
        <v/>
      </c>
      <c r="AK44" s="33">
        <f>IFERROR(AK8/AK5,"")</f>
        <v/>
      </c>
      <c r="AL44" s="33">
        <f>IFERROR(AL8/AL5,"")</f>
        <v/>
      </c>
      <c r="AM44" s="33">
        <f>IFERROR(AM8/AM5,"")</f>
        <v/>
      </c>
      <c r="AN44" s="33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27">
        <f>IFERROR(VLOOKUP($A32,subQ,MATCH(I$1,SUBQH,0),0),"")</f>
        <v/>
      </c>
      <c r="J32" s="27">
        <f>IFERROR(VLOOKUP($A32,subQ,MATCH(J$1,SUBQH,0),0),"")</f>
        <v/>
      </c>
      <c r="K32" s="27">
        <f>IFERROR(VLOOKUP($A32,subQ,MATCH(K$1,SUBQH,0),0),"")</f>
        <v/>
      </c>
      <c r="L32" s="27">
        <f>IFERROR(VLOOKUP($A32,subQ,MATCH(L$1,SUBQH,0),0),"")</f>
        <v/>
      </c>
      <c r="M32" s="27">
        <f>IFERROR(VLOOKUP($A32,subQ,MATCH(M$1,SUBQH,0),0),"")</f>
        <v/>
      </c>
      <c r="N32" s="27">
        <f>IFERROR(VLOOKUP($A32,subQ,MATCH(N$1,SUBQH,0),0),"")</f>
        <v/>
      </c>
      <c r="O32" s="27">
        <f>IFERROR(VLOOKUP($A32,subQ,MATCH(O$1,SUBQH,0),0),"")</f>
        <v/>
      </c>
      <c r="P32" s="27">
        <f>IFERROR(VLOOKUP($A32,subQ,MATCH(P$1,SUBQH,0),0),"")</f>
        <v/>
      </c>
      <c r="Q32" s="27">
        <f>IFERROR(VLOOKUP($A32,subQ,MATCH(Q$1,SUBQH,0),0),"")</f>
        <v/>
      </c>
      <c r="R32" s="27">
        <f>IFERROR(VLOOKUP($A32,subQ,MATCH(R$1,SUBQH,0),0),"")</f>
        <v/>
      </c>
      <c r="S32" s="27">
        <f>IFERROR(VLOOKUP($A32,subQ,MATCH(S$1,SUBQH,0),0),"")</f>
        <v/>
      </c>
      <c r="T32" s="27">
        <f>IFERROR(VLOOKUP($A32,subQ,MATCH(T$1,SUBQH,0),0),"")</f>
        <v/>
      </c>
      <c r="U32" s="27">
        <f>IFERROR(VLOOKUP($A32,subQ,MATCH(U$1,SUBQH,0),0),"")</f>
        <v/>
      </c>
      <c r="V32" s="27">
        <f>IFERROR(VLOOKUP($A32,subQ,MATCH(V$1,SUBQH,0),0),"")</f>
        <v/>
      </c>
      <c r="W32" s="47">
        <f>IFERROR(VLOOKUP($A32,subQ,MATCH(W$1,SUBQH,0),0),"")</f>
        <v/>
      </c>
      <c r="X32" s="32">
        <f>IFERROR(VLOOKUP($A32,subQ,MATCH(X$1,SUBQH,0),0),"")</f>
        <v/>
      </c>
      <c r="Y32" s="32">
        <f>IFERROR(VLOOKUP($A32,subQ,MATCH(Y$1,SUBQH,0),0),"")</f>
        <v/>
      </c>
      <c r="Z32" s="32">
        <f>IFERROR(VLOOKUP($A32,subQ,MATCH(Z$1,SUBQH,0),0),"")</f>
        <v/>
      </c>
      <c r="AA32" s="32">
        <f>IFERROR(VLOOKUP($A32,subQ,MATCH(AA$1,SUBQH,0),0),"")</f>
        <v/>
      </c>
      <c r="AB32" s="32">
        <f>IFERROR(VLOOKUP($A32,subQ,MATCH(AB$1,SUBQH,0),0),"")</f>
        <v/>
      </c>
      <c r="AC32" s="32">
        <f>IFERROR(VLOOKUP($A32,subQ,MATCH(AC$1,SUBQH,0),0),"")</f>
        <v/>
      </c>
      <c r="AD32" s="32">
        <f>IFERROR(VLOOKUP($A32,subQ,MATCH(AD$1,SUBQH,0),0),"")</f>
        <v/>
      </c>
      <c r="AE32" s="32">
        <f>IFERROR(VLOOKUP($A32,subQ,MATCH(AE$1,SUBQH,0),0),"")</f>
        <v/>
      </c>
      <c r="AF32" s="32">
        <f>IFERROR(VLOOKUP($A32,subQ,MATCH(AF$1,SUBQH,0),0),"")</f>
        <v/>
      </c>
      <c r="AG32" s="32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조정EPS</t>
        </is>
      </c>
      <c r="D34" t="inlineStr">
        <is>
          <t>조정 EPS(일회성 의심 분기의 초과 비영업손익 세후 차감 — 모델 추정)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3">
        <f>IFERROR(VLOOKUP($A41,subQ,MATCH(X$1,SUBQH,0),0),"")</f>
        <v/>
      </c>
      <c r="Y41" s="33">
        <f>IFERROR(VLOOKUP($A41,subQ,MATCH(Y$1,SUBQH,0),0),"")</f>
        <v/>
      </c>
      <c r="Z41" s="33">
        <f>IFERROR(VLOOKUP($A41,subQ,MATCH(Z$1,SUBQH,0),0),"")</f>
        <v/>
      </c>
      <c r="AA41" s="33">
        <f>IFERROR(VLOOKUP($A41,subQ,MATCH(AA$1,SUBQH,0),0),"")</f>
        <v/>
      </c>
      <c r="AB41" s="33">
        <f>IFERROR(VLOOKUP($A41,subQ,MATCH(AB$1,SUBQH,0),0),"")</f>
        <v/>
      </c>
      <c r="AC41" s="33">
        <f>IFERROR(VLOOKUP($A41,subQ,MATCH(AC$1,SUBQH,0),0),"")</f>
        <v/>
      </c>
      <c r="AD41" s="33">
        <f>IFERROR(VLOOKUP($A41,subQ,MATCH(AD$1,SUBQH,0),0),"")</f>
        <v/>
      </c>
      <c r="AE41" s="33">
        <f>IFERROR(VLOOKUP($A41,subQ,MATCH(AE$1,SUBQH,0),0),"")</f>
        <v/>
      </c>
      <c r="AF41" s="33">
        <f>IFERROR(VLOOKUP($A41,subQ,MATCH(AF$1,SUBQH,0),0),"")</f>
        <v/>
      </c>
      <c r="AG41" s="33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3">
        <f>IFERROR(X5/T5-1,"")</f>
        <v/>
      </c>
      <c r="Y42" s="33">
        <f>IFERROR(Y5/U5-1,"")</f>
        <v/>
      </c>
      <c r="Z42" s="33">
        <f>IFERROR(Z5/V5-1,"")</f>
        <v/>
      </c>
      <c r="AA42" s="33">
        <f>IFERROR(AA5/W5-1,"")</f>
        <v/>
      </c>
      <c r="AB42" s="33">
        <f>IFERROR(AB5/X5-1,"")</f>
        <v/>
      </c>
      <c r="AC42" s="33">
        <f>IFERROR(AC5/Y5-1,"")</f>
        <v/>
      </c>
      <c r="AD42" s="33">
        <f>IFERROR(AD5/Z5-1,"")</f>
        <v/>
      </c>
      <c r="AE42" s="33">
        <f>IFERROR(AE5/AA5-1,"")</f>
        <v/>
      </c>
      <c r="AF42" s="33">
        <f>IFERROR(AF5/AB5-1,"")</f>
        <v/>
      </c>
      <c r="AG42" s="33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3">
        <f>IFERROR(X9/T9-1,"")</f>
        <v/>
      </c>
      <c r="Y43" s="33">
        <f>IFERROR(Y9/U9-1,"")</f>
        <v/>
      </c>
      <c r="Z43" s="33">
        <f>IFERROR(Z9/V9-1,"")</f>
        <v/>
      </c>
      <c r="AA43" s="33">
        <f>IFERROR(AA9/W9-1,"")</f>
        <v/>
      </c>
      <c r="AB43" s="33">
        <f>IFERROR(AB9/X9-1,"")</f>
        <v/>
      </c>
      <c r="AC43" s="33">
        <f>IFERROR(AC9/Y9-1,"")</f>
        <v/>
      </c>
      <c r="AD43" s="33">
        <f>IFERROR(AD9/Z9-1,"")</f>
        <v/>
      </c>
      <c r="AE43" s="33">
        <f>IFERROR(AE9/AA9-1,"")</f>
        <v/>
      </c>
      <c r="AF43" s="33">
        <f>IFERROR(AF9/AB9-1,"")</f>
        <v/>
      </c>
      <c r="AG43" s="33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IFERROR(I20/E20-1,"")</f>
        <v/>
      </c>
      <c r="J44" s="21">
        <f>IFERROR(J20/F20-1,"")</f>
        <v/>
      </c>
      <c r="K44" s="21">
        <f>IFERROR(K20/G20-1,"")</f>
        <v/>
      </c>
      <c r="L44" s="21">
        <f>IFERROR(L20/H20-1,"")</f>
        <v/>
      </c>
      <c r="M44" s="21">
        <f>IFERROR(M20/I20-1,"")</f>
        <v/>
      </c>
      <c r="N44" s="21">
        <f>IFERROR(N20/J20-1,"")</f>
        <v/>
      </c>
      <c r="O44" s="21">
        <f>IFERROR(O20/K20-1,"")</f>
        <v/>
      </c>
      <c r="P44" s="21">
        <f>IFERROR(P20/L20-1,"")</f>
        <v/>
      </c>
      <c r="Q44" s="21">
        <f>IFERROR(Q20/M20-1,"")</f>
        <v/>
      </c>
      <c r="R44" s="21">
        <f>IFERROR(R20/N20-1,"")</f>
        <v/>
      </c>
      <c r="S44" s="21">
        <f>IFERROR(S20/O20-1,"")</f>
        <v/>
      </c>
      <c r="T44" s="21">
        <f>IFERROR(T20/P20-1,"")</f>
        <v/>
      </c>
      <c r="U44" s="21">
        <f>IFERROR(U20/Q20-1,"")</f>
        <v/>
      </c>
      <c r="V44" s="21">
        <f>IFERROR(V20/R20-1,"")</f>
        <v/>
      </c>
      <c r="W44" s="46">
        <f>IFERROR(W20/S20-1,"")</f>
        <v/>
      </c>
      <c r="X44" s="33">
        <f>IFERROR(X20/T20-1,"")</f>
        <v/>
      </c>
      <c r="Y44" s="33">
        <f>IFERROR(Y20/U20-1,"")</f>
        <v/>
      </c>
      <c r="Z44" s="33">
        <f>IFERROR(Z20/V20-1,"")</f>
        <v/>
      </c>
      <c r="AA44" s="33">
        <f>IFERROR(AA20/W20-1,"")</f>
        <v/>
      </c>
      <c r="AB44" s="33">
        <f>IFERROR(AB20/X20-1,"")</f>
        <v/>
      </c>
      <c r="AC44" s="33">
        <f>IFERROR(AC20/Y20-1,"")</f>
        <v/>
      </c>
      <c r="AD44" s="33">
        <f>IFERROR(AD20/Z20-1,"")</f>
        <v/>
      </c>
      <c r="AE44" s="33">
        <f>IFERROR(AE20/AA20-1,"")</f>
        <v/>
      </c>
      <c r="AF44" s="33">
        <f>IFERROR(AF20/AB20-1,"")</f>
        <v/>
      </c>
      <c r="AG44" s="33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변수!D44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27">
        <f>IFERROR(VLOOKUP($A32,subQ,MATCH(H$1,SUBQH,0),0),"")</f>
        <v/>
      </c>
      <c r="I32" s="47">
        <f>IFERROR(VLOOKUP($A32,subQ,MATCH(I$1,SUBQH,0),0),"")</f>
        <v/>
      </c>
      <c r="J32" s="32">
        <f>IFERROR(VLOOKUP($A32,subQ,MATCH(J$1,SUBQH,0),0),"")</f>
        <v/>
      </c>
      <c r="K32" s="32">
        <f>IFERROR(VLOOKUP($A32,subQ,MATCH(K$1,SUBQH,0),0),"")</f>
        <v/>
      </c>
      <c r="L32" s="32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조정EPS</t>
        </is>
      </c>
      <c r="D34" t="inlineStr">
        <is>
          <t>조정 EPS(일회성 의심 분기의 초과 비영업손익 세후 차감 — 모델 추정)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3">
        <f>IFERROR(VLOOKUP($A41,subQ,MATCH(J$1,SUBQH,0),0),"")</f>
        <v/>
      </c>
      <c r="K41" s="33">
        <f>IFERROR(VLOOKUP($A41,subQ,MATCH(K$1,SUBQH,0),0),"")</f>
        <v/>
      </c>
      <c r="L41" s="33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3">
        <f>IFERROR(J5/I5-1,"")</f>
        <v/>
      </c>
      <c r="K42" s="33">
        <f>IFERROR(K5/J5-1,"")</f>
        <v/>
      </c>
      <c r="L42" s="33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3">
        <f>IFERROR(J9/I9-1,"")</f>
        <v/>
      </c>
      <c r="K43" s="33">
        <f>IFERROR(K9/J9-1,"")</f>
        <v/>
      </c>
      <c r="L43" s="33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IFERROR(F20/E20-1,"")</f>
        <v/>
      </c>
      <c r="G44" s="21">
        <f>IFERROR(G20/F20-1,"")</f>
        <v/>
      </c>
      <c r="H44" s="21">
        <f>IFERROR(H20/G20-1,"")</f>
        <v/>
      </c>
      <c r="I44" s="46">
        <f>IFERROR(I20/H20-1,"")</f>
        <v/>
      </c>
      <c r="J44" s="33">
        <f>IFERROR(J20/I20-1,"")</f>
        <v/>
      </c>
      <c r="K44" s="33">
        <f>IFERROR(K20/J20-1,"")</f>
        <v/>
      </c>
      <c r="L44" s="33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3775.8</v>
      </c>
    </row>
    <row r="30">
      <c r="C30" s="2" t="inlineStr">
        <is>
          <t>bps_latest</t>
        </is>
      </c>
      <c r="D30" t="n">
        <v>15389.7</v>
      </c>
    </row>
    <row r="31">
      <c r="C31" s="2" t="inlineStr">
        <is>
          <t>per_now</t>
        </is>
      </c>
      <c r="D31" t="n">
        <v>11.36</v>
      </c>
    </row>
    <row r="32">
      <c r="C32" s="2" t="inlineStr">
        <is>
          <t>pbr_now</t>
        </is>
      </c>
      <c r="D32" t="n">
        <v>2.79</v>
      </c>
    </row>
    <row r="33">
      <c r="C33" s="2" t="inlineStr">
        <is>
          <t>roe_fwd</t>
        </is>
      </c>
      <c r="D33" t="n">
        <v>0.2453</v>
      </c>
    </row>
    <row r="34">
      <c r="C34" s="2" t="inlineStr">
        <is>
          <t>fair_pbr</t>
        </is>
      </c>
      <c r="D34" t="n">
        <v>2.73</v>
      </c>
    </row>
    <row r="35">
      <c r="C35" s="2" t="inlineStr">
        <is>
          <t>fair_value_pbr</t>
        </is>
      </c>
      <c r="D35" t="n">
        <v>42000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