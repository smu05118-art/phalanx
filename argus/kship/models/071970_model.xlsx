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3절 스칼라 '판관비율' 참조 — 숫자로 덮어쓰면 이 분기만 바뀐다
매출액 × 판관비율 5.93%(최근 4분기 중위)</t>
      </text>
    </comment>
    <comment ref="AD22" authorId="0" shapeId="0">
      <text>
        <t>3절 스칼라 '판관비율' 참조 — 숫자로 덮어쓰면 이 분기만 바뀐다
매출액 × 판관비율 5.93%(최근 4분기 중위)</t>
      </text>
    </comment>
    <comment ref="AF22" authorId="0" shapeId="0">
      <text>
        <t>3절 스칼라 '판관비율' 참조 — 숫자로 덮어쓰면 이 분기만 바뀐다
매출액 × 판관비율 5.93%(최근 4분기 중위)</t>
      </text>
    </comment>
    <comment ref="AG22" authorId="0" shapeId="0">
      <text>
        <t>3절 스칼라 '판관비율' 참조 — 숫자로 덮어쓰면 이 분기만 바뀐다
매출액 × 판관비율 5.93%(최근 4분기 중위)</t>
      </text>
    </comment>
    <comment ref="AH22" authorId="0" shapeId="0">
      <text>
        <t>3절 스칼라 '판관비율' 참조 — 숫자로 덮어쓰면 이 분기만 바뀐다
매출액 × 판관비율 5.93%(최근 4분기 중위)</t>
      </text>
    </comment>
    <comment ref="AI22" authorId="0" shapeId="0">
      <text>
        <t>3절 스칼라 '판관비율' 참조 — 숫자로 덮어쓰면 이 분기만 바뀐다
매출액 × 판관비율 5.93%(최근 4분기 중위)</t>
      </text>
    </comment>
    <comment ref="AK22" authorId="0" shapeId="0">
      <text>
        <t>3절 스칼라 '판관비율' 참조 — 숫자로 덮어쓰면 이 분기만 바뀐다
매출액 × 판관비율 5.93%(최근 4분기 중위)</t>
      </text>
    </comment>
    <comment ref="AL22" authorId="0" shapeId="0">
      <text>
        <t>3절 스칼라 '판관비율' 참조 — 숫자로 덮어쓰면 이 분기만 바뀐다
매출액 × 판관비율 5.93%(최근 4분기 중위)</t>
      </text>
    </comment>
    <comment ref="AM22" authorId="0" shapeId="0">
      <text>
        <t>3절 스칼라 '판관비율' 참조 — 숫자로 덮어쓰면 이 분기만 바뀐다
매출액 × 판관비율 5.93%(최근 4분기 중위)</t>
      </text>
    </comment>
    <comment ref="AN22" authorId="0" shapeId="0">
      <text>
        <t>3절 스칼라 '판관비율' 참조 — 숫자로 덮어쓰면 이 분기만 바뀐다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D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F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G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H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I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K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L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M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N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v / 전년동기 − 1
= EPS(추정 구간은 일회성 미가정)</t>
      </text>
    </comment>
    <comment ref="AF41" authorId="0" shapeId="0">
      <text>
        <t>모델값 역산(implied): v / 전년동기 − 1
= EPS(추정 구간은 일회성 미가정)</t>
      </text>
    </comment>
    <comment ref="AG41" authorId="0" shapeId="0">
      <text>
        <t>모델값 역산(implied): v / 전년동기 − 1
= EPS(추정 구간은 일회성 미가정)</t>
      </text>
    </comment>
    <comment ref="AH41" authorId="0" shapeId="0">
      <text>
        <t>모델값 역산(implied): v / 전년동기 − 1
= EPS(추정 구간은 일회성 미가정)</t>
      </text>
    </comment>
    <comment ref="AI41" authorId="0" shapeId="0">
      <text>
        <t>모델값 역산(implied): v / 전년동기 − 1
= EPS(추정 구간은 일회성 미가정)</t>
      </text>
    </comment>
    <comment ref="AK41" authorId="0" shapeId="0">
      <text>
        <t>모델값 역산(implied): v / 전년동기 − 1
= EPS(추정 구간은 일회성 미가정)</t>
      </text>
    </comment>
    <comment ref="AL41" authorId="0" shapeId="0">
      <text>
        <t>모델값 역산(implied): v / 전년동기 − 1
= EPS(추정 구간은 일회성 미가정)</t>
      </text>
    </comment>
    <comment ref="AM41" authorId="0" shapeId="0">
      <text>
        <t>모델값 역산(implied): v / 전년동기 − 1
= EPS(추정 구간은 일회성 미가정)</t>
      </text>
    </comment>
    <comment ref="AN41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AC10" authorId="0" shapeId="0">
      <text>
        <t>추정: 최근 8분기 OPM 중위 18.1% 유지(클립 −20~40%)
[divide]</t>
      </text>
    </comment>
    <comment ref="AD10" authorId="0" shapeId="0">
      <text>
        <t>추정: 최근 8분기 OPM 중위 18.1% 유지(클립 −20~40%)
[divide]</t>
      </text>
    </comment>
    <comment ref="AF10" authorId="0" shapeId="0">
      <text>
        <t>추정: 최근 8분기 OPM 중위 18.1% 유지(클립 −20~40%)
[divide]</t>
      </text>
    </comment>
    <comment ref="AG10" authorId="0" shapeId="0">
      <text>
        <t>추정: 최근 8분기 OPM 중위 18.1% 유지(클립 −20~40%)
[divide]</t>
      </text>
    </comment>
    <comment ref="AH10" authorId="0" shapeId="0">
      <text>
        <t>추정: 최근 8분기 OPM 중위 18.1% 유지(클립 −20~40%)
[divide]</t>
      </text>
    </comment>
    <comment ref="AI10" authorId="0" shapeId="0">
      <text>
        <t>추정: 최근 8분기 OPM 중위 18.1% 유지(클립 −20~40%)
[divide]</t>
      </text>
    </comment>
    <comment ref="AK10" authorId="0" shapeId="0">
      <text>
        <t>추정: 최근 8분기 OPM 중위 18.1% 유지(클립 −20~40%)
[divide]</t>
      </text>
    </comment>
    <comment ref="AL10" authorId="0" shapeId="0">
      <text>
        <t>추정: 최근 8분기 OPM 중위 18.1% 유지(클립 −20~40%)
[divide]</t>
      </text>
    </comment>
    <comment ref="AM10" authorId="0" shapeId="0">
      <text>
        <t>추정: 최근 8분기 OPM 중위 18.1% 유지(클립 −20~40%)
[divide]</t>
      </text>
    </comment>
    <comment ref="AN10" authorId="0" shapeId="0">
      <text>
        <t>추정: 최근 8분기 OPM 중위 18.1%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C12" authorId="0" shapeId="0">
      <text>
        <t>추정: 이자발생자산 3478억 × 5.21%(주석 이자수익 ÷ 평균 이자발생자산(2025Q3~2026Q2)) − 총차입금 362억 × 1.68%(주석 이자비용 ÷ 평균 총차입금(2025Q3~2026Q2)) (연율) ÷ 4
[interest]</t>
      </text>
    </comment>
    <comment ref="AD12" authorId="0" shapeId="0">
      <text>
        <t>추정: 이자발생자산 3767억 × 5.21%(주석 이자수익 ÷ 평균 이자발생자산(2025Q3~2026Q2)) − 총차입금 362억 × 1.68%(주석 이자비용 ÷ 평균 총차입금(2025Q3~2026Q2)) (연율) ÷ 4
[interest]</t>
      </text>
    </comment>
    <comment ref="AF12" authorId="0" shapeId="0">
      <text>
        <t>추정: 이자발생자산 4064억 × 5.21%(주석 이자수익 ÷ 평균 이자발생자산(2025Q3~2026Q2)) − 총차입금 362억 × 1.68%(주석 이자비용 ÷ 평균 총차입금(2025Q3~2026Q2)) (연율) ÷ 4
[interest]</t>
      </text>
    </comment>
    <comment ref="AG12" authorId="0" shapeId="0">
      <text>
        <t>추정: 이자발생자산 4415억 × 5.21%(주석 이자수익 ÷ 평균 이자발생자산(2025Q3~2026Q2)) − 총차입금 362억 × 1.68%(주석 이자비용 ÷ 평균 총차입금(2025Q3~2026Q2)) (연율) ÷ 4
[interest]</t>
      </text>
    </comment>
    <comment ref="AH12" authorId="0" shapeId="0">
      <text>
        <t>추정: 이자발생자산 4759억 × 5.21%(주석 이자수익 ÷ 평균 이자발생자산(2025Q3~2026Q2)) − 총차입금 362억 × 1.68%(주석 이자비용 ÷ 평균 총차입금(2025Q3~2026Q2)) (연율) ÷ 4
[interest]</t>
      </text>
    </comment>
    <comment ref="AI12" authorId="0" shapeId="0">
      <text>
        <t>추정: 이자발생자산 5109억 × 5.21%(주석 이자수익 ÷ 평균 이자발생자산(2025Q3~2026Q2)) − 총차입금 362억 × 1.68%(주석 이자비용 ÷ 평균 총차입금(2025Q3~2026Q2)) (연율) ÷ 4
[interest]</t>
      </text>
    </comment>
    <comment ref="AK12" authorId="0" shapeId="0">
      <text>
        <t>추정: 이자발생자산 5469억 × 5.21%(주석 이자수익 ÷ 평균 이자발생자산(2025Q3~2026Q2)) − 총차입금 362억 × 1.68%(주석 이자비용 ÷ 평균 총차입금(2025Q3~2026Q2)) (연율) ÷ 4
[interest]</t>
      </text>
    </comment>
    <comment ref="AL12" authorId="0" shapeId="0">
      <text>
        <t>추정: 이자발생자산 5894억 × 5.21%(주석 이자수익 ÷ 평균 이자발생자산(2025Q3~2026Q2)) − 총차입금 362억 × 1.68%(주석 이자비용 ÷ 평균 총차입금(2025Q3~2026Q2)) (연율) ÷ 4
[interest]</t>
      </text>
    </comment>
    <comment ref="AM12" authorId="0" shapeId="0">
      <text>
        <t>추정: 이자발생자산 6309억 × 5.21%(주석 이자수익 ÷ 평균 이자발생자산(2025Q3~2026Q2)) − 총차입금 362억 × 1.68%(주석 이자비용 ÷ 평균 총차입금(2025Q3~2026Q2)) (연율) ÷ 4
[interest]</t>
      </text>
    </comment>
    <comment ref="AN12" authorId="0" shapeId="0">
      <text>
        <t>추정: 이자발생자산 6705억 × 5.21%(주석 이자수익 ÷ 평균 이자발생자산(2025Q3~2026Q2)) − 총차입금 362억 × 1.68%(주석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D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F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G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H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I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K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L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M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N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실측(계정 매핑 없음(파생·부문·시세 행) — 모델값 직접) — = EPS(일회성 의심 없음)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추정(실적 구간 갭필): 지배NI 1121억 − (비영업손익 750억 − 12분기 기준선 16억) × (1 − 8.0%, 모델 세율(분기 유효세율이 0~35% 밖·세전 ≤ 0)) × 지배 비중 1.00(그 분기 지배NI/NI) = 446억 ÷ 유통주식수 — 일회성 여부·세효과는 주석 미확인(모델 추정); 보고 EPS 3,304.4원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8.05% — 법인세 = MAX(세전,0) × 세율, 추정 전 분기 연결(Σ법인세/Σmax(세전,0) 역산, 재현 오차 ≤ 0.05억). 모델 가정 8.05% · 근거: 최근 12분기 유효세율 -22.1% 가 5~27% 밖 → 클립 대신 최근 8분기 중 세전 &gt; 0 인 7분기(2024Q3~2026Q2)의 법인세/세전 중위 8.0%</t>
        </is>
      </c>
    </row>
    <row r="23">
      <c r="A23" t="inlineStr">
        <is>
          <t>· 판관비율 5.93%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5.21% / 부채 1.68% — 이자손익 = (전분기 이자발생자산 × 자산이자율 − 전분기 총차입금 × 부채이자율)/4, 최소자승 역산(모델 assumptions [0.0521, 0.0168]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9.3/11.2/16.2배(hist_quarterly(분기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assets/models/071970.json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24.9% &gt; 추세 12.9% × 1.10 (suppliers_mentions·시차 1·4분기 이동합·창 19, r=0.99 유의)): 전년동기 × (1+g) 추세 / 감가상각비가 face·CF 에 없음(주석 미파싱) → EBITDA·EV/EBITDA 미산출 / 일회성 의심 2025Q4: 비영업손익 750억(영업이익 279억의 3배, 12분기 중위 34억·기준선 16억) → 지배NI 1,121억·보고 EPS·FY2025 합계·TTM PER 에 그대로 포함 — 처분이익 등 일회성 여부는 주석 확인 전까지 미확정(12M fwd EPS 에는 미포함) · 조정EPS 1,314.7원(보고 3,304.4원; 초과 비영업손익 734억 × (1 − 세율 8.1%) × 지배 비중 1.00 = 675억 차감 — 추정, 조정EPS 행)</t>
        </is>
      </c>
    </row>
    <row r="34">
      <c r="A34" t="inlineStr">
        <is>
          <t>백테스트: {"freeze": "2025Q2", "horizon": 4, "revenue_wape_pct": 24.9, "op_wape_pct": 66.3, "n": 4, "note": "단일 회사 4분기 — 통계 아님", "driver_at_freeze": "customer_yard_revenue_weighted", "selection_oos_at_freeze": {"freeze": "2024Q2", "n": 4, "wape_link": 18.0, "wape_trend": 25.4,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971.04, "rev_act": 1091.69, "op_pred": 101.46, "op_act": 202.88}, {"q": "2025Q4", "rev_pred": 1043.01, "rev_act": 1109.76, "op_pred": 108.98, "op_act": 278.89}, {"q": "2026Q1", "rev_pred": 488.89, "rev_act": 1334.61, "op_pred": 51.08, "op_act": 325.64}, {"q": "2026Q2", "rev_pred": 1114.04, "rev_act": 1281.19, "op_pred": 116.4,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26500</v>
      </c>
      <c r="W15" s="18" t="n">
        <v>50300</v>
      </c>
      <c r="X15" s="18" t="n">
        <v>82900</v>
      </c>
      <c r="Y15" s="18" t="n">
        <v>89500</v>
      </c>
      <c r="Z15" s="9" t="n"/>
      <c r="AA15" s="18" t="n">
        <v>68700</v>
      </c>
      <c r="AB15" s="19" t="n">
        <v>58600</v>
      </c>
      <c r="AC15" s="20" t="n">
        <v>48700</v>
      </c>
      <c r="AD15" s="20" t="n">
        <v>42850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105000</v>
      </c>
      <c r="AB16" s="19" t="n">
        <v>118200</v>
      </c>
      <c r="AC16" s="20" t="n">
        <v>70000</v>
      </c>
      <c r="AD16" s="20" t="n">
        <v>49400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24750</v>
      </c>
      <c r="X17" s="18" t="n">
        <v>41100</v>
      </c>
      <c r="Y17" s="18" t="n">
        <v>73600</v>
      </c>
      <c r="Z17" s="9" t="n"/>
      <c r="AA17" s="18" t="n">
        <v>68300</v>
      </c>
      <c r="AB17" s="19" t="n">
        <v>53900</v>
      </c>
      <c r="AC17" s="20" t="n">
        <v>46500</v>
      </c>
      <c r="AD17" s="20" t="n">
        <v>42550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27253.4</v>
      </c>
      <c r="W18" s="18" t="n">
        <v>39749.2</v>
      </c>
      <c r="X18" s="18" t="n">
        <v>73127.7</v>
      </c>
      <c r="Y18" s="18" t="n">
        <v>87367.8</v>
      </c>
      <c r="Z18" s="9" t="n"/>
      <c r="AA18" s="18" t="n">
        <v>85481.39999999999</v>
      </c>
      <c r="AB18" s="19" t="n">
        <v>79344.3</v>
      </c>
      <c r="AC18" s="20" t="n">
        <v>54832.3</v>
      </c>
      <c r="AD18" s="20" t="n">
        <v>46560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0.370115858</v>
      </c>
      <c r="AD21" s="24" t="n">
        <v>0.370120506</v>
      </c>
      <c r="AE21" s="25" t="n"/>
      <c r="AF21" s="24" t="n">
        <v>0.37011582</v>
      </c>
      <c r="AG21" s="24" t="n">
        <v>0.370120265</v>
      </c>
      <c r="AH21" s="24" t="n">
        <v>0.185058901</v>
      </c>
      <c r="AI21" s="24" t="n">
        <v>0.185057547</v>
      </c>
      <c r="AJ21" s="25" t="n"/>
      <c r="AK21" s="24" t="n">
        <v>0.185062645</v>
      </c>
      <c r="AL21" s="24" t="n">
        <v>0.185058591</v>
      </c>
      <c r="AM21" s="24" t="n">
        <v>0.092528236</v>
      </c>
      <c r="AN21" s="24" t="n">
        <v>0.09252558399999999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0.18090711</v>
      </c>
      <c r="AD23" s="24" t="n">
        <v>0.180907596</v>
      </c>
      <c r="AE23" s="25">
        <f>IFERROR(subQ!AE9/subQ!AE5,"")</f>
        <v/>
      </c>
      <c r="AF23" s="24" t="n">
        <v>0.180906391</v>
      </c>
      <c r="AG23" s="24" t="n">
        <v>0.180905668</v>
      </c>
      <c r="AH23" s="24" t="n">
        <v>0.180909881</v>
      </c>
      <c r="AI23" s="24" t="n">
        <v>0.180905499</v>
      </c>
      <c r="AJ23" s="25">
        <f>IFERROR(subQ!AJ9/subQ!AJ5,"")</f>
        <v/>
      </c>
      <c r="AK23" s="24" t="n">
        <v>0.180906981</v>
      </c>
      <c r="AL23" s="24" t="n">
        <v>0.180907011</v>
      </c>
      <c r="AM23" s="24" t="n">
        <v>0.180909349</v>
      </c>
      <c r="AN23" s="24" t="n">
        <v>0.180910292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$D$52</f>
        <v/>
      </c>
      <c r="AD28" s="26">
        <f>$D$52</f>
        <v/>
      </c>
      <c r="AE28" s="25">
        <f>IFERROR(subQ!AE18/subQ!AE17,"")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IFERROR(subQ!AJ18/subQ!AJ17,"")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$D$54</f>
        <v/>
      </c>
      <c r="AD29" s="26">
        <f>$D$54</f>
        <v/>
      </c>
      <c r="AE29" s="25">
        <f>IFERROR(subQ!AE20/subQ!AE19,"")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IFERROR(subQ!AJ20/subQ!AJ19,"")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-7.31e-07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-0.004569675</v>
      </c>
      <c r="AD32" s="30" t="n">
        <v>0.004805506</v>
      </c>
      <c r="AE32" s="31" t="n"/>
      <c r="AF32" s="30" t="n">
        <v>-0.005078311</v>
      </c>
      <c r="AG32" s="30" t="n">
        <v>0.003924464</v>
      </c>
      <c r="AH32" s="30" t="n">
        <v>0.001262704</v>
      </c>
      <c r="AI32" s="30" t="n">
        <v>-0.004020417</v>
      </c>
      <c r="AJ32" s="31" t="n"/>
      <c r="AK32" s="30" t="n">
        <v>-0.000669049</v>
      </c>
      <c r="AL32" s="30" t="n">
        <v>0.002140816</v>
      </c>
      <c r="AM32" s="30" t="n">
        <v>0.002115417</v>
      </c>
      <c r="AN32" s="30" t="n">
        <v>0.006296367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-0.004569675</v>
      </c>
      <c r="AD33" s="30" t="n">
        <v>0.004805506</v>
      </c>
      <c r="AE33" s="31" t="n"/>
      <c r="AF33" s="30" t="n">
        <v>-0.005078311</v>
      </c>
      <c r="AG33" s="30" t="n">
        <v>0.003924464</v>
      </c>
      <c r="AH33" s="30" t="n">
        <v>0.001262704</v>
      </c>
      <c r="AI33" s="30" t="n">
        <v>-0.004020417</v>
      </c>
      <c r="AJ33" s="31" t="n"/>
      <c r="AK33" s="30" t="n">
        <v>-0.000669049</v>
      </c>
      <c r="AL33" s="30" t="n">
        <v>0.002140816</v>
      </c>
      <c r="AM33" s="30" t="n">
        <v>0.002115417</v>
      </c>
      <c r="AN33" s="30" t="n">
        <v>0.006296367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-1.3818e-05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0.09504897299999999</v>
      </c>
      <c r="AD35" s="24" t="n">
        <v>0.08907844099999999</v>
      </c>
      <c r="AE35" s="25" t="n"/>
      <c r="AF35" s="24" t="n">
        <v>0.096897184</v>
      </c>
      <c r="AG35" s="24" t="n">
        <v>0.086339452</v>
      </c>
      <c r="AH35" s="24" t="n">
        <v>0.08108996</v>
      </c>
      <c r="AI35" s="24" t="n">
        <v>0.07695073299999999</v>
      </c>
      <c r="AJ35" s="25" t="n"/>
      <c r="AK35" s="24" t="n">
        <v>0.084376565</v>
      </c>
      <c r="AL35" s="24" t="n">
        <v>0.076099585</v>
      </c>
      <c r="AM35" s="24" t="n">
        <v>0.06749609199999999</v>
      </c>
      <c r="AN35" s="24" t="n">
        <v>0.064836409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0.08312151700000001</v>
      </c>
      <c r="AD36" s="24" t="n">
        <v>0.07875428700000001</v>
      </c>
      <c r="AE36" s="25" t="n"/>
      <c r="AF36" s="24" t="n">
        <v>0.086492086</v>
      </c>
      <c r="AG36" s="24" t="n">
        <v>0.077801659</v>
      </c>
      <c r="AH36" s="24" t="n">
        <v>0.073652248</v>
      </c>
      <c r="AI36" s="24" t="n">
        <v>0.070376858</v>
      </c>
      <c r="AJ36" s="25" t="n"/>
      <c r="AK36" s="24" t="n">
        <v>0.077642244</v>
      </c>
      <c r="AL36" s="24" t="n">
        <v>0.070463473</v>
      </c>
      <c r="AM36" s="24" t="n">
        <v>0.062826229</v>
      </c>
      <c r="AN36" s="24" t="n">
        <v>0.060617223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1.64070868</v>
      </c>
      <c r="AD38" s="24" t="n">
        <v>-0.270482778</v>
      </c>
      <c r="AE38" s="25" t="n"/>
      <c r="AF38" s="24" t="n">
        <v>0.539131032</v>
      </c>
      <c r="AG38" s="24" t="n">
        <v>-0.259318743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drv:조정EPS</t>
        </is>
      </c>
      <c r="B41" s="2" t="inlineStr">
        <is>
          <t>yoy</t>
        </is>
      </c>
      <c r="C41" t="inlineStr">
        <is>
          <t>조정EPS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24" t="n">
        <v>0.27992191</v>
      </c>
      <c r="AD41" s="24" t="n">
        <v>-0.334753176</v>
      </c>
      <c r="AE41" s="25" t="n"/>
      <c r="AF41" s="24" t="n">
        <v>0.248734635</v>
      </c>
      <c r="AG41" s="24" t="n">
        <v>0.077799063</v>
      </c>
      <c r="AH41" s="24" t="n">
        <v>0.212366538</v>
      </c>
      <c r="AI41" s="24" t="n">
        <v>0.211982621</v>
      </c>
      <c r="AJ41" s="25" t="n"/>
      <c r="AK41" s="24" t="n">
        <v>0.208067941</v>
      </c>
      <c r="AL41" s="24" t="n">
        <v>0.208847635</v>
      </c>
      <c r="AM41" s="24" t="n">
        <v>0.13084293</v>
      </c>
      <c r="AN41" s="24" t="n">
        <v>0.130377358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42850</v>
      </c>
      <c r="E45" s="2" t="inlineStr">
        <is>
          <t>원 — 네이버 정규장 종가(aik 확정종가 대조 · aik 47,100원)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9.300000000000001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11.2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16.2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0.08049720499330666</v>
      </c>
      <c r="E52" s="2" t="inlineStr">
        <is>
          <t>연결 — 법인세 = MAX(세전,0) × 세율(역산, 재현 오차 ≤ 0.05억 · 모델 assumptions 0.0805) · 최근 12분기 유효세율 -22.1% 가 5~27% 밖 → 클립 대신 최근 8분기 중 세전 &gt; 0 인 7분기(2024Q3~2026Q2)의 법인세/세전 중위 8.0%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0.05928745488891243</v>
      </c>
      <c r="E53" s="2" t="inlineStr">
        <is>
          <t>연결 — 판관비 = 매출액 × 판관비율(역산, 재현 오차 ≤ 0.05억 · 모델 assumptions 0.0593)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0.05214443690966394</v>
      </c>
      <c r="E55" s="2" t="inlineStr">
        <is>
          <t>연결 — 이자손익 = (전분기 이자발생자산 × 자산이자율 − 전분기 총차입금 × 부채이자율)/4(역산, 재현 오차 ≤ 0.05억 · 모델 assumptions 0.0521)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0.01681726185905281</v>
      </c>
      <c r="E56" s="2" t="inlineStr">
        <is>
          <t>연결 — 같은 수식의 부채 쪽(총차입금 행이 없으면 0)(역산, 재현 오차 ≤ 0.05억 · 모델 assumptions 0.0168)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7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7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7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7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7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7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7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7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7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7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7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7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7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7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7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7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7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7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7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7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7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7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7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7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7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7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7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7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7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7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7" t="n">
        <v>78.68000000000001</v>
      </c>
      <c r="P13" s="9" t="n"/>
      <c r="T13" s="18" t="n">
        <v>538.77</v>
      </c>
      <c r="U13" s="37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7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7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7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7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7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7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7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7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7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7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7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7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7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7" t="n">
        <v>2274.31</v>
      </c>
      <c r="P20" s="9" t="n"/>
      <c r="U20" s="9" t="n"/>
      <c r="Y20" s="18" t="n">
        <v>2812.1</v>
      </c>
      <c r="Z20" s="37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7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7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7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7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7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7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7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7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7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7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7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7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7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7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7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7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7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7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7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7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7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7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7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7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7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7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7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7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7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7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7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7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7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7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7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7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7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7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64970</v>
      </c>
      <c r="F31" s="37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7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7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7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7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7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7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7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7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7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7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7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7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7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7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7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7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7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7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7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7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7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7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7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7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7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7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7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7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7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7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7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7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7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7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7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7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7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7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7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7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7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7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7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7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7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7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7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7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7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7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7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7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7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7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7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7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7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7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7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7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7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7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7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7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7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7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7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7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7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7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7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7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7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7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7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7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7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7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7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7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7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7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7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7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7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7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7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7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7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7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7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7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7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7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7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7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7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7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7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7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7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7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7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7" t="n">
        <v>0</v>
      </c>
      <c r="U55" s="9" t="n"/>
      <c r="Y55" s="18" t="n">
        <v>3665.22</v>
      </c>
      <c r="Z55" s="37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7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7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7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7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7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7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7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7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7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7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7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7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7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7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7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7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7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7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7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7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7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7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7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7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7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7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7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7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7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7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7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7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7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7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7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7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7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7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7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7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7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7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7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7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7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7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7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7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7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7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7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7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7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7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7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7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7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7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7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7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7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7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7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7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7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7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7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7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7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7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7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7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7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7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7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7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7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7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7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7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80.95999999999999</v>
      </c>
      <c r="H80" s="18" t="n">
        <v>274.5</v>
      </c>
      <c r="I80" s="18" t="n">
        <v>247.68</v>
      </c>
      <c r="J80" s="18" t="n">
        <v>268.55</v>
      </c>
      <c r="K80" s="37" t="n">
        <v>871.6900000000001</v>
      </c>
      <c r="L80" s="18" t="n">
        <v>380.23</v>
      </c>
      <c r="M80" s="18" t="n">
        <v>378.46</v>
      </c>
      <c r="N80" s="18" t="n">
        <v>367.48</v>
      </c>
      <c r="O80" s="18" t="n">
        <v>397.24</v>
      </c>
      <c r="P80" s="37" t="n">
        <v>1523.41</v>
      </c>
      <c r="Q80" s="18" t="n">
        <v>640.2</v>
      </c>
      <c r="R80" s="18" t="n">
        <v>785.34</v>
      </c>
      <c r="S80" s="18" t="n">
        <v>997.58</v>
      </c>
      <c r="T80" s="18" t="n">
        <v>4324.93</v>
      </c>
      <c r="U80" s="37" t="n">
        <v>6748.05</v>
      </c>
      <c r="V80" s="18" t="n">
        <v>1604.06</v>
      </c>
      <c r="W80" s="18" t="n">
        <v>1593.46</v>
      </c>
      <c r="X80" s="18" t="n">
        <v>1935.66</v>
      </c>
      <c r="Y80" s="18" t="n">
        <v>2360.25</v>
      </c>
      <c r="Z80" s="37" t="n">
        <v>7493.43</v>
      </c>
      <c r="AA80" s="18" t="n">
        <v>2584.6</v>
      </c>
      <c r="AB80" s="19" t="n">
        <v>2977.15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1595.58</v>
      </c>
      <c r="H81" s="18" t="n">
        <v>1509.14</v>
      </c>
      <c r="I81" s="18" t="n">
        <v>1767.97</v>
      </c>
      <c r="J81" s="18" t="n">
        <v>1606.84</v>
      </c>
      <c r="K81" s="37" t="n">
        <v>6479.53</v>
      </c>
      <c r="L81" s="18" t="n">
        <v>1545.15</v>
      </c>
      <c r="M81" s="18" t="n">
        <v>1561.96</v>
      </c>
      <c r="N81" s="18" t="n">
        <v>1369.38</v>
      </c>
      <c r="O81" s="18" t="n">
        <v>1281.98</v>
      </c>
      <c r="P81" s="37" t="n">
        <v>5758.47</v>
      </c>
      <c r="Q81" s="18" t="n">
        <v>1267.77</v>
      </c>
      <c r="R81" s="18" t="n">
        <v>1281.88</v>
      </c>
      <c r="S81" s="18" t="n">
        <v>688.27</v>
      </c>
      <c r="T81" s="18" t="n">
        <v>1103.98</v>
      </c>
      <c r="U81" s="37" t="n">
        <v>4341.9</v>
      </c>
      <c r="V81" s="18" t="n">
        <v>33.52</v>
      </c>
      <c r="W81" s="18" t="n">
        <v>30.71</v>
      </c>
      <c r="X81" s="18" t="n">
        <v>32.42</v>
      </c>
      <c r="Y81" s="18" t="n">
        <v>31.05</v>
      </c>
      <c r="Z81" s="37" t="n">
        <v>127.7</v>
      </c>
      <c r="AA81" s="18" t="n">
        <v>70.67</v>
      </c>
      <c r="AB81" s="19" t="n">
        <v>153.84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G82" s="18" t="n">
        <v>33.32</v>
      </c>
      <c r="H82" s="18" t="n">
        <v>15.75</v>
      </c>
      <c r="I82" s="18" t="n">
        <v>-25.29</v>
      </c>
      <c r="J82" s="18" t="n">
        <v>-6.13</v>
      </c>
      <c r="K82" s="37" t="n">
        <v>17.65</v>
      </c>
      <c r="L82" s="18" t="n">
        <v>27.99</v>
      </c>
      <c r="M82" s="18" t="n">
        <v>95.98999999999999</v>
      </c>
      <c r="N82" s="18" t="n">
        <v>-123.99</v>
      </c>
      <c r="P82" s="9" t="n"/>
      <c r="S82" s="18" t="n">
        <v>9.4</v>
      </c>
      <c r="U82" s="9" t="n"/>
      <c r="W82" s="18" t="n">
        <v>2362.87</v>
      </c>
      <c r="X82" s="18" t="n">
        <v>-306.41</v>
      </c>
      <c r="Y82" s="18" t="n">
        <v>11313.99</v>
      </c>
      <c r="Z82" s="9" t="n"/>
      <c r="AA82" s="18" t="n">
        <v>-17409.3</v>
      </c>
      <c r="AB82" s="19" t="n">
        <v>-9527.959999999999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-1514.62</v>
      </c>
      <c r="H83" s="18" t="n">
        <v>-1234.64</v>
      </c>
      <c r="I83" s="18" t="n">
        <v>-1520.29</v>
      </c>
      <c r="J83" s="18" t="n">
        <v>-1338.29</v>
      </c>
      <c r="K83" s="37" t="n">
        <v>-5607.84</v>
      </c>
      <c r="L83" s="18" t="n">
        <v>-1164.92</v>
      </c>
      <c r="M83" s="18" t="n">
        <v>-1183.5</v>
      </c>
      <c r="N83" s="18" t="n">
        <v>-1001.9</v>
      </c>
      <c r="O83" s="18" t="n">
        <v>-884.74</v>
      </c>
      <c r="P83" s="37" t="n">
        <v>-4235.06</v>
      </c>
      <c r="Q83" s="18" t="n">
        <v>-627.5700000000001</v>
      </c>
      <c r="R83" s="18" t="n">
        <v>-496.54</v>
      </c>
      <c r="S83" s="18" t="n">
        <v>309.31</v>
      </c>
      <c r="T83" s="18" t="n">
        <v>3220.95</v>
      </c>
      <c r="U83" s="37" t="n">
        <v>2406.15</v>
      </c>
      <c r="V83" s="18" t="n">
        <v>1570.54</v>
      </c>
      <c r="W83" s="18" t="n">
        <v>1562.75</v>
      </c>
      <c r="X83" s="18" t="n">
        <v>1903.24</v>
      </c>
      <c r="Y83" s="18" t="n">
        <v>2329.2</v>
      </c>
      <c r="Z83" s="37" t="n">
        <v>7365.73</v>
      </c>
      <c r="AA83" s="18" t="n">
        <v>2513.93</v>
      </c>
      <c r="AB83" s="19" t="n">
        <v>2823.31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F84" s="9" t="n"/>
      <c r="J84" s="18" t="n">
        <v>-953.63</v>
      </c>
      <c r="K84" s="9" t="n"/>
      <c r="L84" s="18" t="n">
        <v>23.4</v>
      </c>
      <c r="M84" s="18" t="n">
        <v>0</v>
      </c>
      <c r="N84" s="18" t="n">
        <v>0</v>
      </c>
      <c r="O84" s="18" t="n">
        <v>185.23</v>
      </c>
      <c r="P84" s="37" t="n">
        <v>208.63</v>
      </c>
      <c r="Q84" s="18" t="n">
        <v>-140.73</v>
      </c>
      <c r="R84" s="18" t="n">
        <v>-0.86</v>
      </c>
      <c r="S84" s="18" t="n">
        <v>0</v>
      </c>
      <c r="T84" s="18" t="n">
        <v>0</v>
      </c>
      <c r="U84" s="37" t="n">
        <v>-141.59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L85" s="18" t="n">
        <v>3.02</v>
      </c>
      <c r="M85" s="18" t="n">
        <v>140.61</v>
      </c>
      <c r="N85" s="18" t="n">
        <v>245.96</v>
      </c>
      <c r="O85" s="18" t="n">
        <v>-311.99</v>
      </c>
      <c r="P85" s="37" t="n">
        <v>77.59999999999999</v>
      </c>
      <c r="Q85" s="18" t="n">
        <v>312.17</v>
      </c>
      <c r="R85" s="18" t="n">
        <v>-50.23</v>
      </c>
      <c r="S85" s="18" t="n">
        <v>-261.93</v>
      </c>
      <c r="U85" s="9" t="n"/>
      <c r="V85" s="18" t="n">
        <v>1503.96</v>
      </c>
      <c r="Z85" s="9" t="n"/>
      <c r="AA85" s="18" t="n">
        <v>4813.46</v>
      </c>
      <c r="AB85" s="19" t="n">
        <v>31.88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K86" s="9" t="n"/>
      <c r="P86" s="9" t="n"/>
      <c r="U86" s="9" t="n"/>
      <c r="W86" s="18" t="n">
        <v>673.16</v>
      </c>
      <c r="X86" s="18" t="n">
        <v>3250.44</v>
      </c>
      <c r="Y86" s="18" t="n">
        <v>3677.31</v>
      </c>
      <c r="Z86" s="9" t="n"/>
      <c r="AA86" s="18" t="n">
        <v>6533.76</v>
      </c>
      <c r="AB86" s="19" t="n">
        <v>3974.81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외환차손</t>
        </is>
      </c>
      <c r="F87" s="9" t="n"/>
      <c r="K87" s="9" t="n"/>
      <c r="P87" s="9" t="n"/>
      <c r="U87" s="9" t="n"/>
      <c r="W87" s="18" t="n">
        <v>3246.69</v>
      </c>
      <c r="X87" s="18" t="n">
        <v>1334.09</v>
      </c>
      <c r="Y87" s="18" t="n">
        <v>1817.49</v>
      </c>
      <c r="Z87" s="9" t="n"/>
      <c r="AA87" s="18" t="n">
        <v>3025.36</v>
      </c>
      <c r="AB87" s="19" t="n">
        <v>1853.97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K88" s="9" t="n"/>
      <c r="P88" s="9" t="n"/>
      <c r="U88" s="9" t="n"/>
      <c r="W88" s="18" t="n">
        <v>906.08</v>
      </c>
      <c r="X88" s="18" t="n">
        <v>-669.59</v>
      </c>
      <c r="Y88" s="18" t="n">
        <v>616.78</v>
      </c>
      <c r="Z88" s="9" t="n"/>
      <c r="AA88" s="18" t="n">
        <v>382.43</v>
      </c>
      <c r="AB88" s="19" t="n">
        <v>662.71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U89" s="9" t="n"/>
      <c r="X89" s="18" t="n">
        <v>157.71</v>
      </c>
      <c r="Y89" s="18" t="n">
        <v>-23.18</v>
      </c>
      <c r="Z89" s="9" t="n"/>
      <c r="AA89" s="18" t="n">
        <v>925.1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11206.18</v>
      </c>
      <c r="F90" s="9" t="n"/>
      <c r="G90" s="18" t="n">
        <v>-13219.11</v>
      </c>
      <c r="H90" s="18" t="n">
        <v>-2539.17</v>
      </c>
      <c r="I90" s="18" t="n">
        <v>4691.48</v>
      </c>
      <c r="J90" s="18" t="n">
        <v>-9364.360000000001</v>
      </c>
      <c r="K90" s="37" t="n">
        <v>-20431.16</v>
      </c>
      <c r="L90" s="18" t="n">
        <v>3447.57</v>
      </c>
      <c r="M90" s="18" t="n">
        <v>-6456.83</v>
      </c>
      <c r="N90" s="18" t="n">
        <v>7608.5</v>
      </c>
      <c r="O90" s="18" t="n">
        <v>31774.82</v>
      </c>
      <c r="P90" s="37" t="n">
        <v>36374.06</v>
      </c>
      <c r="Q90" s="18" t="n">
        <v>2027.83</v>
      </c>
      <c r="R90" s="18" t="n">
        <v>31264.96</v>
      </c>
      <c r="S90" s="18" t="n">
        <v>1021.58</v>
      </c>
      <c r="T90" s="18" t="n">
        <v>67122.2</v>
      </c>
      <c r="U90" s="37" t="n">
        <v>101436.57</v>
      </c>
      <c r="V90" s="18" t="n">
        <v>16512.52</v>
      </c>
      <c r="W90" s="18" t="n">
        <v>-70061.75</v>
      </c>
      <c r="X90" s="18" t="n">
        <v>131093.02</v>
      </c>
      <c r="Y90" s="18" t="n">
        <v>103058.03</v>
      </c>
      <c r="Z90" s="37" t="n">
        <v>180601.82</v>
      </c>
      <c r="AA90" s="18" t="n">
        <v>34757.24</v>
      </c>
      <c r="AB90" s="19" t="n">
        <v>65537.32000000001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0</v>
      </c>
      <c r="F91" s="9" t="n"/>
      <c r="G91" s="18" t="n">
        <v>-2.33</v>
      </c>
      <c r="H91" s="18" t="n">
        <v>33.57</v>
      </c>
      <c r="I91" s="18" t="n">
        <v>-0.12</v>
      </c>
      <c r="J91" s="18" t="n">
        <v>-0.36</v>
      </c>
      <c r="K91" s="37" t="n">
        <v>30.76</v>
      </c>
      <c r="L91" s="18" t="n">
        <v>-5.63</v>
      </c>
      <c r="M91" s="18" t="n">
        <v>74.15000000000001</v>
      </c>
      <c r="N91" s="18" t="n">
        <v>-16.65</v>
      </c>
      <c r="O91" s="18" t="n">
        <v>4.17</v>
      </c>
      <c r="P91" s="37" t="n">
        <v>56.04</v>
      </c>
      <c r="Q91" s="18" t="n">
        <v>0</v>
      </c>
      <c r="R91" s="18" t="n">
        <v>374.5</v>
      </c>
      <c r="S91" s="18" t="n">
        <v>-196.96</v>
      </c>
      <c r="T91" s="18" t="n">
        <v>-1.77</v>
      </c>
      <c r="U91" s="37" t="n">
        <v>175.77</v>
      </c>
      <c r="V91" s="18" t="n">
        <v>-89.88</v>
      </c>
      <c r="W91" s="18" t="n">
        <v>0.48</v>
      </c>
      <c r="X91" s="18" t="n">
        <v>-2832.46</v>
      </c>
      <c r="Y91" s="18" t="n">
        <v>-539.27</v>
      </c>
      <c r="Z91" s="37" t="n">
        <v>-3461.13</v>
      </c>
      <c r="AA91" s="18" t="n">
        <v>-669.98</v>
      </c>
      <c r="AB91" s="19" t="n">
        <v>-545.96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25662.75</v>
      </c>
      <c r="F92" s="9" t="n"/>
      <c r="G92" s="18" t="n">
        <v>19784.47</v>
      </c>
      <c r="H92" s="18" t="n">
        <v>-255.51</v>
      </c>
      <c r="I92" s="18" t="n">
        <v>35226.79</v>
      </c>
      <c r="J92" s="18" t="n">
        <v>-6669.38</v>
      </c>
      <c r="K92" s="37" t="n">
        <v>48086.37</v>
      </c>
      <c r="L92" s="18" t="n">
        <v>-3427.61</v>
      </c>
      <c r="M92" s="18" t="n">
        <v>1568.59</v>
      </c>
      <c r="N92" s="18" t="n">
        <v>7435.93</v>
      </c>
      <c r="O92" s="18" t="n">
        <v>-19063.26</v>
      </c>
      <c r="P92" s="37" t="n">
        <v>-13486.35</v>
      </c>
      <c r="Q92" s="18" t="n">
        <v>-5871.12</v>
      </c>
      <c r="R92" s="18" t="n">
        <v>-11540.7</v>
      </c>
      <c r="S92" s="18" t="n">
        <v>11146.62</v>
      </c>
      <c r="T92" s="18" t="n">
        <v>-17858.43</v>
      </c>
      <c r="U92" s="37" t="n">
        <v>-24123.63</v>
      </c>
      <c r="V92" s="18" t="n">
        <v>13441.99</v>
      </c>
      <c r="W92" s="18" t="n">
        <v>4711.28</v>
      </c>
      <c r="X92" s="18" t="n">
        <v>-61778.72</v>
      </c>
      <c r="Y92" s="18" t="n">
        <v>-101387.65</v>
      </c>
      <c r="Z92" s="37" t="n">
        <v>-145013.1</v>
      </c>
      <c r="AA92" s="18" t="n">
        <v>66951.05</v>
      </c>
      <c r="AB92" s="19" t="n">
        <v>79379.03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57.42</v>
      </c>
      <c r="F93" s="9" t="n"/>
      <c r="G93" s="18" t="n">
        <v>2811.43</v>
      </c>
      <c r="H93" s="18" t="n">
        <v>295.87</v>
      </c>
      <c r="I93" s="18" t="n">
        <v>3871.03</v>
      </c>
      <c r="J93" s="18" t="n">
        <v>2529.87</v>
      </c>
      <c r="K93" s="37" t="n">
        <v>9508.200000000001</v>
      </c>
      <c r="L93" s="18" t="n">
        <v>1982.57</v>
      </c>
      <c r="M93" s="18" t="n">
        <v>880.47</v>
      </c>
      <c r="N93" s="18" t="n">
        <v>1773.95</v>
      </c>
      <c r="O93" s="18" t="n">
        <v>748.45</v>
      </c>
      <c r="P93" s="37" t="n">
        <v>5385.44</v>
      </c>
      <c r="Q93" s="18" t="n">
        <v>422.92</v>
      </c>
      <c r="R93" s="18" t="n">
        <v>390.16</v>
      </c>
      <c r="S93" s="18" t="n">
        <v>1275.05</v>
      </c>
      <c r="T93" s="18" t="n">
        <v>5721.99</v>
      </c>
      <c r="U93" s="37" t="n">
        <v>7810.12</v>
      </c>
      <c r="V93" s="18" t="n">
        <v>3729.41</v>
      </c>
      <c r="W93" s="18" t="n">
        <v>1701.46</v>
      </c>
      <c r="X93" s="18" t="n">
        <v>1520.21</v>
      </c>
      <c r="Y93" s="18" t="n">
        <v>6141.6</v>
      </c>
      <c r="Z93" s="37" t="n">
        <v>13092.68</v>
      </c>
      <c r="AA93" s="18" t="n">
        <v>2940.67</v>
      </c>
      <c r="AB93" s="19" t="n">
        <v>5544.41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781.0599999999999</v>
      </c>
      <c r="F94" s="9" t="n"/>
      <c r="G94" s="18" t="n">
        <v>2964.4</v>
      </c>
      <c r="H94" s="18" t="n">
        <v>601.3099999999999</v>
      </c>
      <c r="I94" s="18" t="n">
        <v>4058.18</v>
      </c>
      <c r="J94" s="18" t="n">
        <v>2642.65</v>
      </c>
      <c r="K94" s="37" t="n">
        <v>10266.54</v>
      </c>
      <c r="L94" s="18" t="n">
        <v>2067.57</v>
      </c>
      <c r="M94" s="18" t="n">
        <v>880.47</v>
      </c>
      <c r="N94" s="18" t="n">
        <v>1773.95</v>
      </c>
      <c r="O94" s="18" t="n">
        <v>787.25</v>
      </c>
      <c r="P94" s="37" t="n">
        <v>5509.24</v>
      </c>
      <c r="Q94" s="18" t="n">
        <v>422.92</v>
      </c>
      <c r="R94" s="18" t="n">
        <v>430.16</v>
      </c>
      <c r="S94" s="18" t="n">
        <v>1292.95</v>
      </c>
      <c r="T94" s="18" t="n">
        <v>6104.24</v>
      </c>
      <c r="U94" s="37" t="n">
        <v>8250.27</v>
      </c>
      <c r="V94" s="18" t="n">
        <v>3756.86</v>
      </c>
      <c r="W94" s="18" t="n">
        <v>1812.97</v>
      </c>
      <c r="X94" s="18" t="n">
        <v>1781.34</v>
      </c>
      <c r="Y94" s="18" t="n">
        <v>6448.1</v>
      </c>
      <c r="Z94" s="37" t="n">
        <v>13799.27</v>
      </c>
      <c r="AA94" s="18" t="n">
        <v>3056.27</v>
      </c>
      <c r="AB94" s="19" t="n">
        <v>6350.91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723.64</v>
      </c>
      <c r="F95" s="9" t="n"/>
      <c r="G95" s="18" t="n">
        <v>152.97</v>
      </c>
      <c r="H95" s="18" t="n">
        <v>305.44</v>
      </c>
      <c r="I95" s="18" t="n">
        <v>187.15</v>
      </c>
      <c r="J95" s="18" t="n">
        <v>112.78</v>
      </c>
      <c r="K95" s="37" t="n">
        <v>758.34</v>
      </c>
      <c r="L95" s="18" t="n">
        <v>85</v>
      </c>
      <c r="M95" s="18" t="n">
        <v>0</v>
      </c>
      <c r="N95" s="18" t="n">
        <v>0</v>
      </c>
      <c r="O95" s="18" t="n">
        <v>38.8</v>
      </c>
      <c r="P95" s="37" t="n">
        <v>123.8</v>
      </c>
      <c r="Q95" s="18" t="n">
        <v>0</v>
      </c>
      <c r="R95" s="18" t="n">
        <v>40</v>
      </c>
      <c r="S95" s="18" t="n">
        <v>17.9</v>
      </c>
      <c r="T95" s="18" t="n">
        <v>382.25</v>
      </c>
      <c r="U95" s="37" t="n">
        <v>440.15</v>
      </c>
      <c r="V95" s="18" t="n">
        <v>27.45</v>
      </c>
      <c r="W95" s="18" t="n">
        <v>111.51</v>
      </c>
      <c r="X95" s="18" t="n">
        <v>261.13</v>
      </c>
      <c r="Y95" s="18" t="n">
        <v>306.5</v>
      </c>
      <c r="Z95" s="37" t="n">
        <v>706.59</v>
      </c>
      <c r="AA95" s="18" t="n">
        <v>115.6</v>
      </c>
      <c r="AB95" s="19" t="n">
        <v>806.5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763.9</v>
      </c>
      <c r="F96" s="9" t="n"/>
      <c r="I96" s="18" t="n">
        <v>0</v>
      </c>
      <c r="J96" s="18" t="n">
        <v>0</v>
      </c>
      <c r="K96" s="9" t="n"/>
      <c r="O96" s="18" t="n">
        <v>0.22</v>
      </c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-31391.76</v>
      </c>
      <c r="F97" s="9" t="n"/>
      <c r="G97" s="18" t="n">
        <v>-35715.93</v>
      </c>
      <c r="H97" s="18" t="n">
        <v>-3562.47</v>
      </c>
      <c r="I97" s="18" t="n">
        <v>1512.55</v>
      </c>
      <c r="J97" s="18" t="n">
        <v>-21244</v>
      </c>
      <c r="K97" s="37" t="n">
        <v>-59009.85</v>
      </c>
      <c r="L97" s="18" t="n">
        <v>-1626.27</v>
      </c>
      <c r="M97" s="18" t="n">
        <v>-4229.73</v>
      </c>
      <c r="N97" s="18" t="n">
        <v>-11243.64</v>
      </c>
      <c r="O97" s="18" t="n">
        <v>-1477.53</v>
      </c>
      <c r="P97" s="37" t="n">
        <v>-18577.17</v>
      </c>
      <c r="Q97" s="18" t="n">
        <v>-2546.71</v>
      </c>
      <c r="R97" s="18" t="n">
        <v>-748.78</v>
      </c>
      <c r="S97" s="18" t="n">
        <v>-44413.78</v>
      </c>
      <c r="T97" s="18" t="n">
        <v>-3678.25</v>
      </c>
      <c r="U97" s="37" t="n">
        <v>-51387.52</v>
      </c>
      <c r="V97" s="18" t="n">
        <v>-299.2</v>
      </c>
      <c r="W97" s="18" t="n">
        <v>-262.19</v>
      </c>
      <c r="X97" s="18" t="n">
        <v>-254.22</v>
      </c>
      <c r="Y97" s="18" t="n">
        <v>-255.06</v>
      </c>
      <c r="Z97" s="37" t="n">
        <v>-1070.67</v>
      </c>
      <c r="AA97" s="18" t="n">
        <v>-269.42</v>
      </c>
      <c r="AB97" s="19" t="n">
        <v>-291.69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28800</v>
      </c>
      <c r="F98" s="9" t="n"/>
      <c r="G98" s="18" t="n">
        <v>25970</v>
      </c>
      <c r="H98" s="18" t="n">
        <v>1000</v>
      </c>
      <c r="I98" s="18" t="n">
        <v>0</v>
      </c>
      <c r="J98" s="18" t="n">
        <v>21400</v>
      </c>
      <c r="K98" s="37" t="n">
        <v>48370</v>
      </c>
      <c r="N98" s="18" t="n">
        <v>4600</v>
      </c>
      <c r="O98" s="18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474.95</v>
      </c>
      <c r="F99" s="9" t="n"/>
      <c r="I99" s="18" t="n">
        <v>69757.50999999999</v>
      </c>
      <c r="J99" s="18" t="n">
        <v>4279.62</v>
      </c>
      <c r="K99" s="9" t="n"/>
      <c r="L99" s="18" t="n">
        <v>911.05</v>
      </c>
      <c r="M99" s="18" t="n">
        <v>81546.83</v>
      </c>
      <c r="N99" s="18" t="n">
        <v>1625.03</v>
      </c>
      <c r="O99" s="18" t="n">
        <v>1292.67</v>
      </c>
      <c r="P99" s="37" t="n">
        <v>85375.58</v>
      </c>
      <c r="Q99" s="18" t="n">
        <v>564.34</v>
      </c>
      <c r="R99" s="18" t="n">
        <v>1747.97</v>
      </c>
      <c r="S99" s="18" t="n">
        <v>275.59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424.69</v>
      </c>
      <c r="F100" s="9" t="n"/>
      <c r="G100" s="18" t="n">
        <v>426.12</v>
      </c>
      <c r="H100" s="18" t="n">
        <v>982.1</v>
      </c>
      <c r="I100" s="18" t="n">
        <v>66533.39999999999</v>
      </c>
      <c r="J100" s="18" t="n">
        <v>3698.02</v>
      </c>
      <c r="K100" s="37" t="n">
        <v>71639.64</v>
      </c>
      <c r="L100" s="18" t="n">
        <v>904.13</v>
      </c>
      <c r="M100" s="18" t="n">
        <v>71127.87</v>
      </c>
      <c r="N100" s="18" t="n">
        <v>5755.28</v>
      </c>
      <c r="O100" s="18" t="n">
        <v>1139.27</v>
      </c>
      <c r="P100" s="37" t="n">
        <v>78926.55</v>
      </c>
      <c r="Q100" s="18" t="n">
        <v>1524.92</v>
      </c>
      <c r="R100" s="18" t="n">
        <v>890.4</v>
      </c>
      <c r="S100" s="18" t="n">
        <v>85725.39999999999</v>
      </c>
      <c r="T100" s="18" t="n">
        <v>1815.85</v>
      </c>
      <c r="U100" s="37" t="n">
        <v>89956.57000000001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-1929.34</v>
      </c>
      <c r="F101" s="9" t="n"/>
      <c r="G101" s="18" t="n">
        <v>-8555.57</v>
      </c>
      <c r="H101" s="18" t="n">
        <v>-1001.15</v>
      </c>
      <c r="I101" s="18" t="n">
        <v>-1074.74</v>
      </c>
      <c r="J101" s="18" t="n">
        <v>-1112.96</v>
      </c>
      <c r="K101" s="37" t="n">
        <v>-11744.42</v>
      </c>
      <c r="L101" s="18" t="n">
        <v>-1259.34</v>
      </c>
      <c r="M101" s="18" t="n">
        <v>-3268.31</v>
      </c>
      <c r="N101" s="18" t="n">
        <v>-2145.07</v>
      </c>
      <c r="O101" s="18" t="n">
        <v>-1240.93</v>
      </c>
      <c r="P101" s="37" t="n">
        <v>-7913.65</v>
      </c>
      <c r="Q101" s="18" t="n">
        <v>-1221.78</v>
      </c>
      <c r="R101" s="18" t="n">
        <v>-1261.82</v>
      </c>
      <c r="S101" s="18" t="n">
        <v>-895.71</v>
      </c>
      <c r="T101" s="18" t="n">
        <v>-1533.68</v>
      </c>
      <c r="U101" s="37" t="n">
        <v>-4912.99</v>
      </c>
      <c r="V101" s="18" t="n">
        <v>-33.52</v>
      </c>
      <c r="W101" s="18" t="n">
        <v>-30.71</v>
      </c>
      <c r="X101" s="18" t="n">
        <v>-32.41</v>
      </c>
      <c r="Y101" s="18" t="n">
        <v>-31.05</v>
      </c>
      <c r="Z101" s="37" t="n">
        <v>-127.69</v>
      </c>
      <c r="AA101" s="18" t="n">
        <v>-70.67</v>
      </c>
      <c r="AB101" s="19" t="n">
        <v>-153.84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5474.11</v>
      </c>
      <c r="F102" s="9" t="n"/>
      <c r="G102" s="18" t="n">
        <v>-29149.67</v>
      </c>
      <c r="H102" s="18" t="n">
        <v>-6351.87</v>
      </c>
      <c r="I102" s="18" t="n">
        <v>41610.02</v>
      </c>
      <c r="J102" s="18" t="n">
        <v>-37565.86</v>
      </c>
      <c r="K102" s="37" t="n">
        <v>-31457.38</v>
      </c>
      <c r="L102" s="18" t="n">
        <v>-1563.74</v>
      </c>
      <c r="M102" s="18" t="n">
        <v>-9132.99</v>
      </c>
      <c r="N102" s="18" t="n">
        <v>3907.25</v>
      </c>
      <c r="O102" s="18" t="n">
        <v>11028.66</v>
      </c>
      <c r="P102" s="37" t="n">
        <v>4239.18</v>
      </c>
      <c r="Q102" s="18" t="n">
        <v>-6338.16</v>
      </c>
      <c r="R102" s="18" t="n">
        <v>18957.39</v>
      </c>
      <c r="S102" s="18" t="n">
        <v>-32279.48</v>
      </c>
      <c r="T102" s="18" t="n">
        <v>45521.62</v>
      </c>
      <c r="U102" s="37" t="n">
        <v>25861.37</v>
      </c>
      <c r="V102" s="18" t="n">
        <v>29655.38</v>
      </c>
      <c r="W102" s="18" t="n">
        <v>41485.32</v>
      </c>
      <c r="X102" s="18" t="n">
        <v>-38037.81</v>
      </c>
      <c r="Y102" s="18" t="n">
        <v>1416.37</v>
      </c>
      <c r="Z102" s="37" t="n">
        <v>34519.26</v>
      </c>
      <c r="AA102" s="18" t="n">
        <v>101438.88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5474.1</v>
      </c>
      <c r="F103" s="9" t="n"/>
      <c r="G103" s="18" t="n">
        <v>31964.13</v>
      </c>
      <c r="H103" s="18" t="n">
        <v>-6351.87</v>
      </c>
      <c r="I103" s="18" t="n">
        <v>41610.02</v>
      </c>
      <c r="J103" s="18" t="n">
        <v>-37565.86</v>
      </c>
      <c r="K103" s="37" t="n">
        <v>29656.42</v>
      </c>
      <c r="L103" s="18" t="n">
        <v>28092.68</v>
      </c>
      <c r="M103" s="18" t="n">
        <v>-9132.99</v>
      </c>
      <c r="N103" s="18" t="n">
        <v>3907.25</v>
      </c>
      <c r="O103" s="18" t="n">
        <v>11028.66</v>
      </c>
      <c r="P103" s="37" t="n">
        <v>33895.6</v>
      </c>
      <c r="Q103" s="18" t="n">
        <v>27557.44</v>
      </c>
      <c r="R103" s="18" t="n">
        <v>18957.39</v>
      </c>
      <c r="S103" s="18" t="n">
        <v>-32279.48</v>
      </c>
      <c r="T103" s="18" t="n">
        <v>45521.62</v>
      </c>
      <c r="U103" s="37" t="n">
        <v>59756.97</v>
      </c>
      <c r="V103" s="18" t="n">
        <v>89412.35000000001</v>
      </c>
      <c r="W103" s="18" t="n">
        <v>41485.32</v>
      </c>
      <c r="X103" s="18" t="n">
        <v>-38037.81</v>
      </c>
      <c r="Y103" s="18" t="n">
        <v>1416.37</v>
      </c>
      <c r="Z103" s="37" t="n">
        <v>94276.23</v>
      </c>
      <c r="AA103" s="18" t="n">
        <v>195715.11</v>
      </c>
      <c r="AB103" s="19" t="n">
        <v>144624.65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452.52</v>
      </c>
      <c r="H104" s="18" t="n">
        <v>0</v>
      </c>
      <c r="I104" s="18" t="n">
        <v>555.98</v>
      </c>
      <c r="J104" s="18" t="n">
        <v>1712.89</v>
      </c>
      <c r="K104" s="37" t="n">
        <v>2721.39</v>
      </c>
      <c r="L104" s="18" t="n">
        <v>464.6</v>
      </c>
      <c r="M104" s="18" t="n">
        <v>1688.71</v>
      </c>
      <c r="N104" s="18" t="n">
        <v>5</v>
      </c>
      <c r="O104" s="18" t="n">
        <v>6.37</v>
      </c>
      <c r="P104" s="37" t="n">
        <v>2164.68</v>
      </c>
      <c r="Q104" s="18" t="n">
        <v>19.95</v>
      </c>
      <c r="R104" s="18" t="n">
        <v>0</v>
      </c>
      <c r="S104" s="18" t="n">
        <v>3054.29</v>
      </c>
      <c r="U104" s="9" t="n"/>
      <c r="V104" s="18" t="n">
        <v>6.62</v>
      </c>
      <c r="W104" s="18" t="n">
        <v>43.97</v>
      </c>
      <c r="X104" s="18" t="n">
        <v>1.54</v>
      </c>
      <c r="Y104" s="18" t="n">
        <v>5.22</v>
      </c>
      <c r="Z104" s="37" t="n">
        <v>57.35</v>
      </c>
      <c r="AA104" s="18" t="n">
        <v>11.56</v>
      </c>
      <c r="AB104" s="19" t="n">
        <v>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K105" s="9" t="n"/>
      <c r="L105" s="18" t="n">
        <v>362.54</v>
      </c>
      <c r="M105" s="18" t="n">
        <v>357.65</v>
      </c>
      <c r="P105" s="9" t="n"/>
      <c r="U105" s="9" t="n"/>
      <c r="Z105" s="9" t="n"/>
      <c r="AA105" s="18" t="n">
        <v>198.75</v>
      </c>
      <c r="AB105" s="19" t="n">
        <v>137.85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315.42</v>
      </c>
      <c r="P106" s="9" t="n"/>
      <c r="Q106" s="18" t="n">
        <v>375.15</v>
      </c>
      <c r="R106" s="18" t="n">
        <v>612.4400000000001</v>
      </c>
      <c r="S106" s="18" t="n">
        <v>1172.98</v>
      </c>
      <c r="T106" s="18" t="n">
        <v>2406.24</v>
      </c>
      <c r="U106" s="37" t="n">
        <v>4566.81</v>
      </c>
      <c r="V106" s="18" t="n">
        <v>850.29</v>
      </c>
      <c r="W106" s="18" t="n">
        <v>1427.17</v>
      </c>
      <c r="X106" s="18" t="n">
        <v>1629.68</v>
      </c>
      <c r="Y106" s="18" t="n">
        <v>1289.75</v>
      </c>
      <c r="Z106" s="37" t="n">
        <v>5196.89</v>
      </c>
      <c r="AA106" s="18" t="n">
        <v>1962.58</v>
      </c>
      <c r="AB106" s="19" t="n">
        <v>3358.96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7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7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7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7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7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7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7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7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7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7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7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7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7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7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7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7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7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7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7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7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7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7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7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7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7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7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7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7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7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7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7" t="n">
        <v>73.70999999999999</v>
      </c>
      <c r="P13" s="9" t="n"/>
      <c r="T13" s="18" t="n">
        <v>527.4400000000001</v>
      </c>
      <c r="U13" s="37" t="n">
        <v>527.4400000000001</v>
      </c>
      <c r="V13" s="18" t="n">
        <v>545.88</v>
      </c>
      <c r="X13" s="18" t="n">
        <v>818.9299999999999</v>
      </c>
      <c r="Y13" s="18" t="n">
        <v>667.84</v>
      </c>
      <c r="Z13" s="37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7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7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7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7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7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7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7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7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7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7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7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7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7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7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7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7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7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7" t="n">
        <v>2274.31</v>
      </c>
      <c r="P21" s="9" t="n"/>
      <c r="U21" s="9" t="n"/>
      <c r="Y21" s="18" t="n">
        <v>23159.46</v>
      </c>
      <c r="Z21" s="37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7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7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7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7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7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7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7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7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7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7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7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7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7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7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7" t="n">
        <v>0</v>
      </c>
      <c r="U25" s="9" t="n"/>
      <c r="W25" s="18" t="n">
        <v>56.33</v>
      </c>
      <c r="Y25" s="18" t="n">
        <v>3665.22</v>
      </c>
      <c r="Z25" s="37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7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7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7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7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7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7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7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7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7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7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7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7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7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7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7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7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7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7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7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7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7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7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7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7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7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7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7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7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43970</v>
      </c>
      <c r="F34" s="37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7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7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7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7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7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7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7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7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7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7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7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7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7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7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7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7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7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7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7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7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7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7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7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7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7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7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7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7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7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7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7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7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7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7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7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7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7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7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7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7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7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7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7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7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7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7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7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7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7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7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7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7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7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7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7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7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7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7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7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7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7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7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7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7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7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7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7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7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7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7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7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7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7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7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7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7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7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7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7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7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7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7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7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7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7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7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7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7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7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7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7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7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7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7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7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7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7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7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7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7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7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7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7" t="n">
        <v>1415.9</v>
      </c>
      <c r="V59" s="18" t="n">
        <v>1498.38</v>
      </c>
      <c r="X59" s="18" t="n">
        <v>76.06999999999999</v>
      </c>
      <c r="Y59" s="18" t="n">
        <v>222.75</v>
      </c>
      <c r="Z59" s="37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7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7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7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7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7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7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7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7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7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7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7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7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7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7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7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7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7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7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7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7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7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7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7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7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7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7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7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7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7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7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7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7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7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7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7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7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7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7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7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7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7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7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7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7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7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7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7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7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7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7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7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7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7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7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7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7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7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7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7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7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7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7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7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7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7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7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7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7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7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7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7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7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7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7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7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7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7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7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7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7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7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7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7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7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7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7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7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7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7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7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7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7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7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7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7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7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7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7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7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7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7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7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7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7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7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7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7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7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7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7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7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7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7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7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7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7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IFERROR((AB28*변수!$D$55-AB26*변수!$D$56)/4,"")</f>
        <v/>
      </c>
      <c r="AD12" s="20">
        <f>IFERROR((AC28*변수!$D$55-AC26*변수!$D$56)/4,"")</f>
        <v/>
      </c>
      <c r="AE12" s="38">
        <f>SUM(AA12:AD12)</f>
        <v/>
      </c>
      <c r="AF12" s="20">
        <f>IFERROR((AD28*변수!$D$55-AD26*변수!$D$56)/4,"")</f>
        <v/>
      </c>
      <c r="AG12" s="20">
        <f>IFERROR((AF28*변수!$D$55-AF26*변수!$D$56)/4,"")</f>
        <v/>
      </c>
      <c r="AH12" s="20">
        <f>IFERROR((AG28*변수!$D$55-AG26*변수!$D$56)/4,"")</f>
        <v/>
      </c>
      <c r="AI12" s="20">
        <f>IFERROR((AH28*변수!$D$55-AH26*변수!$D$56)/4,"")</f>
        <v/>
      </c>
      <c r="AJ12" s="38">
        <f>SUM(AF12:AI12)</f>
        <v/>
      </c>
      <c r="AK12" s="20">
        <f>IFERROR((AI28*변수!$D$55-AI26*변수!$D$56)/4,"")</f>
        <v/>
      </c>
      <c r="AL12" s="20">
        <f>IFERROR((AK28*변수!$D$55-AK26*변수!$D$56)/4,"")</f>
        <v/>
      </c>
      <c r="AM12" s="20">
        <f>IFERROR((AL28*변수!$D$55-AL26*변수!$D$56)/4,"")</f>
        <v/>
      </c>
      <c r="AN12" s="20">
        <f>IFERROR((AM28*변수!$D$55-AM26*변수!$D$56)/4,"")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 t="n"/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 t="n"/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>
        <f>IFERROR(VLOOKUP($D21,BS연결,MATCH(Y$1,BS연결H,0),0)/100,"")</f>
        <v/>
      </c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28.366</v>
      </c>
      <c r="F32" s="28">
        <f>E32</f>
        <v/>
      </c>
      <c r="G32" s="27" t="n">
        <v>28.366</v>
      </c>
      <c r="H32" s="27" t="n">
        <v>28.366</v>
      </c>
      <c r="I32" s="27" t="n">
        <v>28.366</v>
      </c>
      <c r="J32" s="27" t="n">
        <v>28.381</v>
      </c>
      <c r="K32" s="28">
        <f>J32</f>
        <v/>
      </c>
      <c r="L32" s="27" t="n">
        <v>28.553</v>
      </c>
      <c r="M32" s="27" t="n">
        <v>28.553</v>
      </c>
      <c r="N32" s="27" t="n">
        <v>28.553</v>
      </c>
      <c r="O32" s="27" t="n">
        <v>28.553</v>
      </c>
      <c r="P32" s="28">
        <f>O32</f>
        <v/>
      </c>
      <c r="Q32" s="27" t="n">
        <v>28.553</v>
      </c>
      <c r="R32" s="27" t="n">
        <v>28.553</v>
      </c>
      <c r="S32" s="27" t="n">
        <v>33.917</v>
      </c>
      <c r="T32" s="27" t="n">
        <v>33.921</v>
      </c>
      <c r="U32" s="28">
        <f>T32</f>
        <v/>
      </c>
      <c r="V32" s="27" t="n">
        <v>33.921</v>
      </c>
      <c r="W32" s="27" t="n">
        <v>33.921</v>
      </c>
      <c r="X32" s="27" t="n">
        <v>33.921</v>
      </c>
      <c r="Y32" s="27" t="n">
        <v>33.921</v>
      </c>
      <c r="Z32" s="28">
        <f>Y32</f>
        <v/>
      </c>
      <c r="AA32" s="27" t="n">
        <v>33.921</v>
      </c>
      <c r="AB32" s="29" t="n">
        <v>33.921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325.7</v>
      </c>
      <c r="F34" s="37" t="n"/>
      <c r="G34" s="18" t="n">
        <v>-57.4</v>
      </c>
      <c r="H34" s="18" t="n">
        <v>25.2</v>
      </c>
      <c r="I34" s="18" t="n">
        <v>438.2</v>
      </c>
      <c r="J34" s="18" t="n">
        <v>92.59999999999999</v>
      </c>
      <c r="K34" s="37">
        <f>SUM(G34:J34)</f>
        <v/>
      </c>
      <c r="L34" s="18" t="n">
        <v>1.4</v>
      </c>
      <c r="M34" s="18" t="n">
        <v>204.2</v>
      </c>
      <c r="N34" s="18" t="n">
        <v>-8.6</v>
      </c>
      <c r="O34" s="18" t="n">
        <v>911.2</v>
      </c>
      <c r="P34" s="37">
        <f>SUM(L34:O34)</f>
        <v/>
      </c>
      <c r="Q34" s="18" t="n">
        <v>234.8</v>
      </c>
      <c r="R34" s="18" t="n">
        <v>328.6</v>
      </c>
      <c r="S34" s="18" t="n">
        <v>280.4</v>
      </c>
      <c r="T34" s="18" t="n">
        <v>1479.1</v>
      </c>
      <c r="U34" s="37">
        <f>SUM(Q34:T34)</f>
        <v/>
      </c>
      <c r="V34" s="18" t="n">
        <v>408.7</v>
      </c>
      <c r="W34" s="18" t="n">
        <v>488.2</v>
      </c>
      <c r="X34" s="18" t="n">
        <v>665.9</v>
      </c>
      <c r="Y34" s="20" t="n">
        <v>1314.7</v>
      </c>
      <c r="Z34" s="37">
        <f>SUM(V34:Y34)</f>
        <v/>
      </c>
      <c r="AA34" s="18" t="n">
        <v>829.8</v>
      </c>
      <c r="AB34" s="19" t="n">
        <v>939.6</v>
      </c>
      <c r="AC34" s="20">
        <f>IFERROR(X34*(1+변수!AC41),"")</f>
        <v/>
      </c>
      <c r="AD34" s="20">
        <f>IFERROR(Y34*(1+변수!AD41),"")</f>
        <v/>
      </c>
      <c r="AE34" s="38">
        <f>SUM(AA34:AD34)</f>
        <v/>
      </c>
      <c r="AF34" s="20">
        <f>IFERROR(AA34*(1+변수!AF41),"")</f>
        <v/>
      </c>
      <c r="AG34" s="20">
        <f>IFERROR(AB34*(1+변수!AG41),"")</f>
        <v/>
      </c>
      <c r="AH34" s="20">
        <f>IFERROR(AC34*(1+변수!AH41),"")</f>
        <v/>
      </c>
      <c r="AI34" s="20">
        <f>IFERROR(AD34*(1+변수!AI41),"")</f>
        <v/>
      </c>
      <c r="AJ34" s="38">
        <f>SUM(AF34:AI34)</f>
        <v/>
      </c>
      <c r="AK34" s="20">
        <f>IFERROR(AF34*(1+변수!AK41),"")</f>
        <v/>
      </c>
      <c r="AL34" s="20">
        <f>IFERROR(AG34*(1+변수!AL41),"")</f>
        <v/>
      </c>
      <c r="AM34" s="20">
        <f>IFERROR(AH34*(1+변수!AM41),"")</f>
        <v/>
      </c>
      <c r="AN34" s="20">
        <f>IFERROR(AI34*(1+변수!AN41),"")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>
        <f>IFERROR(변수!V18/(R33+S33+T33+V33),"")</f>
        <v/>
      </c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>
        <f>IFERROR(변수!AB18/(X33+Y33+AA33+AB33),"")</f>
        <v/>
      </c>
      <c r="AC37" s="39">
        <f>IFERROR(변수!$D$45/(Y33+AA33+AB33+AC33),"")</f>
        <v/>
      </c>
      <c r="AD37" s="39">
        <f>IFERROR(변수!$D$45/(AA33+AB33+AC33+AD33),"")</f>
        <v/>
      </c>
      <c r="AE37" s="40">
        <f>AD37</f>
        <v/>
      </c>
      <c r="AF37" s="39">
        <f>IFERROR(변수!$D$45/(AB33+AC33+AD33+AF33),"")</f>
        <v/>
      </c>
      <c r="AG37" s="39">
        <f>IFERROR(변수!$D$45/(AC33+AD33+AF33+AG33),"")</f>
        <v/>
      </c>
      <c r="AH37" s="39">
        <f>IFERROR(변수!$D$45/(AD33+AF33+AG33+AH33),"")</f>
        <v/>
      </c>
      <c r="AI37" s="39">
        <f>IFERROR(변수!$D$45/(AF33+AG33+AH33+AI33),"")</f>
        <v/>
      </c>
      <c r="AJ37" s="40">
        <f>AI37</f>
        <v/>
      </c>
      <c r="AK37" s="39">
        <f>IFERROR(변수!$D$45/(AG33+AH33+AI33+AK33),"")</f>
        <v/>
      </c>
      <c r="AL37" s="39">
        <f>IFERROR(변수!$D$45/(AH33+AI33+AK33+AL33),"")</f>
        <v/>
      </c>
      <c r="AM37" s="39">
        <f>IFERROR(변수!$D$45/(AI33+AK33+AL33+AM33),"")</f>
        <v/>
      </c>
      <c r="AN37" s="39">
        <f>IFERROR(변수!$D$45/(AK33+AL33+AM33+AN33),"")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468.69</v>
      </c>
      <c r="F39" s="37" t="n"/>
      <c r="G39" s="18" t="n">
        <v>217.09</v>
      </c>
      <c r="H39" s="18" t="n">
        <v>573.8200000000001</v>
      </c>
      <c r="I39" s="18" t="n">
        <v>530.1</v>
      </c>
      <c r="J39" s="18" t="n">
        <v>472.27</v>
      </c>
      <c r="K39" s="37">
        <f>SUM(G39:J39)</f>
        <v/>
      </c>
      <c r="L39" s="18" t="n">
        <v>212.02</v>
      </c>
      <c r="M39" s="18" t="n">
        <v>755.91</v>
      </c>
      <c r="N39" s="18" t="n">
        <v>693.5599999999999</v>
      </c>
      <c r="O39" s="18" t="n">
        <v>788.72</v>
      </c>
      <c r="P39" s="37">
        <f>SUM(L39:O39)</f>
        <v/>
      </c>
      <c r="Q39" s="18" t="n">
        <v>613.59</v>
      </c>
      <c r="R39" s="18" t="n">
        <v>850.9299999999999</v>
      </c>
      <c r="S39" s="18" t="n">
        <v>807.88</v>
      </c>
      <c r="T39" s="18" t="n">
        <v>885.54</v>
      </c>
      <c r="U39" s="37">
        <f>SUM(Q39:T39)</f>
        <v/>
      </c>
      <c r="V39" s="18" t="n">
        <v>830.1900000000001</v>
      </c>
      <c r="W39" s="18" t="n">
        <v>992.33</v>
      </c>
      <c r="X39" s="18" t="n">
        <v>1091.69</v>
      </c>
      <c r="Y39" s="18" t="n">
        <v>1109.76</v>
      </c>
      <c r="Z39" s="37">
        <f>SUM(V39:Y39)</f>
        <v/>
      </c>
      <c r="AA39" s="18" t="n">
        <v>1334.61</v>
      </c>
      <c r="AB39" s="19" t="n">
        <v>1281.19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13.03</v>
      </c>
      <c r="F40" s="37" t="n"/>
      <c r="G40" s="18" t="n">
        <v>-14.3</v>
      </c>
      <c r="H40" s="18" t="n">
        <v>4.67</v>
      </c>
      <c r="I40" s="18" t="n">
        <v>40.58</v>
      </c>
      <c r="J40" s="18" t="n">
        <v>82.47</v>
      </c>
      <c r="K40" s="37">
        <f>SUM(G40:J40)</f>
        <v/>
      </c>
      <c r="L40" s="18" t="n">
        <v>0.13</v>
      </c>
      <c r="M40" s="18" t="n">
        <v>54.4</v>
      </c>
      <c r="N40" s="18" t="n">
        <v>65.92</v>
      </c>
      <c r="O40" s="18" t="n">
        <v>58.8</v>
      </c>
      <c r="P40" s="37">
        <f>SUM(L40:O40)</f>
        <v/>
      </c>
      <c r="Q40" s="18" t="n">
        <v>62.47</v>
      </c>
      <c r="R40" s="18" t="n">
        <v>90.04000000000001</v>
      </c>
      <c r="S40" s="18" t="n">
        <v>88.06999999999999</v>
      </c>
      <c r="T40" s="18" t="n">
        <v>91.34999999999999</v>
      </c>
      <c r="U40" s="37">
        <f>SUM(Q40:T40)</f>
        <v/>
      </c>
      <c r="V40" s="18" t="n">
        <v>102.72</v>
      </c>
      <c r="W40" s="18" t="n">
        <v>174.62</v>
      </c>
      <c r="X40" s="18" t="n">
        <v>202.88</v>
      </c>
      <c r="Y40" s="18" t="n">
        <v>278.89</v>
      </c>
      <c r="Z40" s="37">
        <f>SUM(V40:Y40)</f>
        <v/>
      </c>
      <c r="AA40" s="18" t="n">
        <v>325.64</v>
      </c>
      <c r="AB40" s="19" t="n">
        <v>312.86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3">
        <f>IFERROR(AC20/AC5,"")</f>
        <v/>
      </c>
      <c r="AD42" s="33">
        <f>IFERROR(AD20/AD5,"")</f>
        <v/>
      </c>
      <c r="AE42" s="25">
        <f>IFERROR(AE20/AE5,"")</f>
        <v/>
      </c>
      <c r="AF42" s="33">
        <f>IFERROR(AF20/AF5,"")</f>
        <v/>
      </c>
      <c r="AG42" s="33">
        <f>IFERROR(AG20/AG5,"")</f>
        <v/>
      </c>
      <c r="AH42" s="33">
        <f>IFERROR(AH20/AH5,"")</f>
        <v/>
      </c>
      <c r="AI42" s="33">
        <f>IFERROR(AI20/AI5,"")</f>
        <v/>
      </c>
      <c r="AJ42" s="25">
        <f>IFERROR(AJ20/AJ5,"")</f>
        <v/>
      </c>
      <c r="AK42" s="33">
        <f>IFERROR(AK20/AK5,"")</f>
        <v/>
      </c>
      <c r="AL42" s="33">
        <f>IFERROR(AL20/AL5,"")</f>
        <v/>
      </c>
      <c r="AM42" s="33">
        <f>IFERROR(AM20/AM5,"")</f>
        <v/>
      </c>
      <c r="AN42" s="33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3">
        <f>IFERROR(X20/T20-1,"")</f>
        <v/>
      </c>
      <c r="Y44" s="33">
        <f>IFERROR(Y20/U20-1,"")</f>
        <v/>
      </c>
      <c r="Z44" s="33">
        <f>IFERROR(Z20/V20-1,"")</f>
        <v/>
      </c>
      <c r="AA44" s="33">
        <f>IFERROR(AA20/W20-1,"")</f>
        <v/>
      </c>
      <c r="AB44" s="33">
        <f>IFERROR(AB20/X20-1,"")</f>
        <v/>
      </c>
      <c r="AC44" s="33">
        <f>IFERROR(AC20/Y20-1,"")</f>
        <v/>
      </c>
      <c r="AD44" s="33">
        <f>IFERROR(AD20/Z20-1,"")</f>
        <v/>
      </c>
      <c r="AE44" s="33">
        <f>IFERROR(AE20/AA20-1,"")</f>
        <v/>
      </c>
      <c r="AF44" s="33">
        <f>IFERROR(AF20/AB20-1,"")</f>
        <v/>
      </c>
      <c r="AG44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3">
        <f>IFERROR(J20/I20-1,"")</f>
        <v/>
      </c>
      <c r="K44" s="33">
        <f>IFERROR(K20/J20-1,"")</f>
        <v/>
      </c>
      <c r="L44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3775.8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11.35</v>
      </c>
    </row>
    <row r="32">
      <c r="C32" s="2" t="inlineStr">
        <is>
          <t>pbr_now</t>
        </is>
      </c>
      <c r="D32" t="n">
        <v>2.78</v>
      </c>
    </row>
    <row r="33">
      <c r="C33" s="2" t="inlineStr">
        <is>
          <t>roe_fwd</t>
        </is>
      </c>
      <c r="D33" t="n">
        <v>0.2453</v>
      </c>
    </row>
    <row r="34">
      <c r="C34" s="2" t="inlineStr">
        <is>
          <t>fair_pbr</t>
        </is>
      </c>
      <c r="D34" t="n">
        <v>2.73</v>
      </c>
    </row>
    <row r="35">
      <c r="C35" s="2" t="inlineStr">
        <is>
          <t>fair_value_pbr</t>
        </is>
      </c>
      <c r="D35" t="n">
        <v>42000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