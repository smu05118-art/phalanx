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255830억 × 비례계수 0.0194 × 계절비중 Q3 0.270(계절비중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이동합(t−0) 267918억 × 비례계수 0.0194 × 계절비중 Q4 0.293(계절비중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이동합(t−0) 275771억 × 비례계수 0.0194 × 계절비중 Q1 0.162(계절비중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이동합(t−0) 278191억 × 비례계수 0.0194 × 계절비중 Q2 0.275(계절비중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이동합(t−0) 276892억 × 비례계수 0.0194 × 계절비중 Q3 0.270(계절비중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이동합(t−0) 274512억 × 비례계수 0.0194 × 계절비중 Q4 0.293(계절비중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이동합(t−0) 271292억 × 비례계수 0.0194 × 계절비중 Q1 0.162(계절비중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이동합(t−0) 267395억 × 비례계수 0.0194 × 계절비중 Q2 0.275(계절비중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이동합(t−0) 263015억 × 비례계수 0.0194 × 계절비중 Q3 0.270(계절비중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이동합(t−0) 257212억 × 비례계수 0.0194 × 계절비중 Q4 0.293(계절비중 — 최근 3개 연도(2026, 2025, 2024) 분기/연간 비중 평균; 격자 lag0~4×창8/12/19×수준·YoY·4Q합 중 최대 r=1.00, n=8, 창 8)</t>
      </text>
    </comment>
    <comment ref="AC22" authorId="0" shapeId="0">
      <text>
        <t>모델값 역산(implied): v / 매출액
매출액 × 판관비율 5.93%(최근 4분기 중위)</t>
      </text>
    </comment>
    <comment ref="AD22" authorId="0" shapeId="0">
      <text>
        <t>모델값 역산(implied): v / 매출액
매출액 × 판관비율 5.93%(최근 4분기 중위)</t>
      </text>
    </comment>
    <comment ref="AF22" authorId="0" shapeId="0">
      <text>
        <t>모델값 역산(implied): v / 매출액
매출액 × 판관비율 5.93%(최근 4분기 중위)</t>
      </text>
    </comment>
    <comment ref="AG22" authorId="0" shapeId="0">
      <text>
        <t>모델값 역산(implied): v / 매출액
매출액 × 판관비율 5.93%(최근 4분기 중위)</t>
      </text>
    </comment>
    <comment ref="AH22" authorId="0" shapeId="0">
      <text>
        <t>모델값 역산(implied): v / 매출액
매출액 × 판관비율 5.93%(최근 4분기 중위)</t>
      </text>
    </comment>
    <comment ref="AI22" authorId="0" shapeId="0">
      <text>
        <t>모델값 역산(implied): v / 매출액
매출액 × 판관비율 5.93%(최근 4분기 중위)</t>
      </text>
    </comment>
    <comment ref="AK22" authorId="0" shapeId="0">
      <text>
        <t>모델값 역산(implied): v / 매출액
매출액 × 판관비율 5.93%(최근 4분기 중위)</t>
      </text>
    </comment>
    <comment ref="AL22" authorId="0" shapeId="0">
      <text>
        <t>모델값 역산(implied): v / 매출액
매출액 × 판관비율 5.93%(최근 4분기 중위)</t>
      </text>
    </comment>
    <comment ref="AM22" authorId="0" shapeId="0">
      <text>
        <t>모델값 역산(implied): v / 매출액
매출액 × 판관비율 5.93%(최근 4분기 중위)</t>
      </text>
    </comment>
    <comment ref="AN22" authorId="0" shapeId="0">
      <text>
        <t>모델값 역산(implied): v / 매출액
매출액 × 판관비율 5.93%(최근 4분기 중위)</t>
      </text>
    </comment>
    <comment ref="AC23" authorId="0" shapeId="0">
      <text>
        <t>모델값 역산(implied): v / 매출액
매출액 × OPM(최근 8분기 OPM 중위 18.1% 유지)</t>
      </text>
    </comment>
    <comment ref="AD23" authorId="0" shapeId="0">
      <text>
        <t>모델값 역산(implied): v / 매출액
매출액 × OPM(최근 8분기 OPM 중위 18.1% 유지)</t>
      </text>
    </comment>
    <comment ref="AF23" authorId="0" shapeId="0">
      <text>
        <t>모델값 역산(implied): v / 매출액
매출액 × OPM(최근 8분기 OPM 중위 18.1% 유지)</t>
      </text>
    </comment>
    <comment ref="AG23" authorId="0" shapeId="0">
      <text>
        <t>모델값 역산(implied): v / 매출액
매출액 × OPM(최근 8분기 OPM 중위 18.1% 유지)</t>
      </text>
    </comment>
    <comment ref="AH23" authorId="0" shapeId="0">
      <text>
        <t>모델값 역산(implied): v / 매출액
매출액 × OPM(최근 8분기 OPM 중위 18.1% 유지)</t>
      </text>
    </comment>
    <comment ref="AI23" authorId="0" shapeId="0">
      <text>
        <t>모델값 역산(implied): v / 매출액
매출액 × OPM(최근 8분기 OPM 중위 18.1% 유지)</t>
      </text>
    </comment>
    <comment ref="AK23" authorId="0" shapeId="0">
      <text>
        <t>모델값 역산(implied): v / 매출액
매출액 × OPM(최근 8분기 OPM 중위 18.1% 유지)</t>
      </text>
    </comment>
    <comment ref="AL23" authorId="0" shapeId="0">
      <text>
        <t>모델값 역산(implied): v / 매출액
매출액 × OPM(최근 8분기 OPM 중위 18.1% 유지)</t>
      </text>
    </comment>
    <comment ref="AM23" authorId="0" shapeId="0">
      <text>
        <t>모델값 역산(implied): v / 매출액
매출액 × OPM(최근 8분기 OPM 중위 18.1% 유지)</t>
      </text>
    </comment>
    <comment ref="AN23" authorId="0" shapeId="0">
      <text>
        <t>모델값 역산(implied): v / 매출액
매출액 × OPM(최근 8분기 OPM 중위 18.1% 유지)</t>
      </text>
    </comment>
    <comment ref="AC24" authorId="0" shapeId="0">
      <text>
        <t>모델값 역산(implied): v / 전년동기 − 1
최근 8분기 OPM 중위 18.1% 유지</t>
      </text>
    </comment>
    <comment ref="AD24" authorId="0" shapeId="0">
      <text>
        <t>모델값 역산(implied): v / 전년동기 − 1
최근 8분기 OPM 중위 18.1% 유지</t>
      </text>
    </comment>
    <comment ref="AF24" authorId="0" shapeId="0">
      <text>
        <t>모델값 역산(implied): v / 전년동기 − 1
최근 8분기 OPM 중위 18.1% 유지</t>
      </text>
    </comment>
    <comment ref="AG24" authorId="0" shapeId="0">
      <text>
        <t>모델값 역산(implied): v / 전년동기 − 1
최근 8분기 OPM 중위 18.1% 유지</t>
      </text>
    </comment>
    <comment ref="AH24" authorId="0" shapeId="0">
      <text>
        <t>모델값 역산(implied): v / 전년동기 − 1
최근 8분기 OPM 중위 18.1% 유지</t>
      </text>
    </comment>
    <comment ref="AI24" authorId="0" shapeId="0">
      <text>
        <t>모델값 역산(implied): v / 전년동기 − 1
최근 8분기 OPM 중위 18.1% 유지</t>
      </text>
    </comment>
    <comment ref="AK24" authorId="0" shapeId="0">
      <text>
        <t>모델값 역산(implied): v / 전년동기 − 1
최근 8분기 OPM 중위 18.1% 유지</t>
      </text>
    </comment>
    <comment ref="AL24" authorId="0" shapeId="0">
      <text>
        <t>모델값 역산(implied): v / 전년동기 − 1
최근 8분기 OPM 중위 18.1% 유지</t>
      </text>
    </comment>
    <comment ref="AM24" authorId="0" shapeId="0">
      <text>
        <t>모델값 역산(implied): v / 전년동기 − 1
최근 8분기 OPM 중위 18.1% 유지</t>
      </text>
    </comment>
    <comment ref="AN24" authorId="0" shapeId="0">
      <text>
        <t>모델값 역산(implied): v / 전년동기 − 1
최근 8분기 OPM 중위 18.1% 유지</t>
      </text>
    </comment>
    <comment ref="AC25" authorId="0" shapeId="0">
      <text>
        <t>모델값 역산(implied): 모델 v 그대로
이자손익 = 이자발생자산 3478억 × 4.36% − 총차입금 362억 × 1.68% (연율, CF 실측) ÷ 4; 환·평가손익 0 가정</t>
      </text>
    </comment>
    <comment ref="AD25" authorId="0" shapeId="0">
      <text>
        <t>모델값 역산(implied): 모델 v 그대로
이자손익 = 이자발생자산 3743억 × 4.36% − 총차입금 362억 × 1.68% (연율, CF 실측) ÷ 4; 환·평가손익 0 가정</t>
      </text>
    </comment>
    <comment ref="AF25" authorId="0" shapeId="0">
      <text>
        <t>모델값 역산(implied): 모델 v 그대로
이자손익 = 이자발생자산 4042억 × 4.36% − 총차입금 362억 × 1.68% (연율, CF 실측) ÷ 4; 환·평가손익 0 가정</t>
      </text>
    </comment>
    <comment ref="AG25" authorId="0" shapeId="0">
      <text>
        <t>모델값 역산(implied): 모델 v 그대로
이자손익 = 이자발생자산 4231억 × 4.36% − 총차입금 362억 × 1.68% (연율, CF 실측) ÷ 4; 환·평가손익 0 가정</t>
      </text>
    </comment>
    <comment ref="AH25" authorId="0" shapeId="0">
      <text>
        <t>모델값 역산(implied): 모델 v 그대로
이자손익 = 이자발생자산 4529억 × 4.36% − 총차입금 362억 × 1.68% (연율, CF 실측) ÷ 4; 환·평가손익 0 가정</t>
      </text>
    </comment>
    <comment ref="AI25" authorId="0" shapeId="0">
      <text>
        <t>모델값 역산(implied): 모델 v 그대로
이자손익 = 이자발생자산 4824억 × 4.36% − 총차입금 362억 × 1.68% (연율, CF 실측) ÷ 4; 환·평가손익 0 가정</t>
      </text>
    </comment>
    <comment ref="AK25" authorId="0" shapeId="0">
      <text>
        <t>모델값 역산(implied): 모델 v 그대로
이자손익 = 이자발생자산 5140억 × 4.36% − 총차입금 362억 × 1.68% (연율, CF 실측) ÷ 4; 환·평가손익 0 가정</t>
      </text>
    </comment>
    <comment ref="AL25" authorId="0" shapeId="0">
      <text>
        <t>모델값 역산(implied): 모델 v 그대로
이자손익 = 이자발생자산 5339억 × 4.36% − 총차입금 362억 × 1.68% (연율, CF 실측) ÷ 4; 환·평가손익 0 가정</t>
      </text>
    </comment>
    <comment ref="AM25" authorId="0" shapeId="0">
      <text>
        <t>모델값 역산(implied): 모델 v 그대로
이자손익 = 이자발생자산 5637억 × 4.36% − 총차입금 362억 × 1.68% (연율, CF 실측) ÷ 4; 환·평가손익 0 가정</t>
      </text>
    </comment>
    <comment ref="AN25" authorId="0" shapeId="0">
      <text>
        <t>모델값 역산(implied): 모델 v 그대로
이자손익 = 이자발생자산 5931억 × 4.36% − 총차입금 362억 × 1.68%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-22.1% → 5~27% 클립)</t>
      </text>
    </comment>
    <comment ref="AD27" authorId="0" shapeId="0">
      <text>
        <t>모델값 역산(implied): v / 세전이익
max(세전, 0) × 세율 5.0%(최근 12분기 유효세율 -22.1% → 5~27% 클립)</t>
      </text>
    </comment>
    <comment ref="AF27" authorId="0" shapeId="0">
      <text>
        <t>모델값 역산(implied): v / 세전이익
max(세전, 0) × 세율 5.0%(최근 12분기 유효세율 -22.1% → 5~27% 클립)</t>
      </text>
    </comment>
    <comment ref="AG27" authorId="0" shapeId="0">
      <text>
        <t>모델값 역산(implied): v / 세전이익
max(세전, 0) × 세율 5.0%(최근 12분기 유효세율 -22.1% → 5~27% 클립)</t>
      </text>
    </comment>
    <comment ref="AH27" authorId="0" shapeId="0">
      <text>
        <t>모델값 역산(implied): v / 세전이익
max(세전, 0) × 세율 5.0%(최근 12분기 유효세율 -22.1% → 5~27% 클립)</t>
      </text>
    </comment>
    <comment ref="AI27" authorId="0" shapeId="0">
      <text>
        <t>모델값 역산(implied): v / 세전이익
max(세전, 0) × 세율 5.0%(최근 12분기 유효세율 -22.1% → 5~27% 클립)</t>
      </text>
    </comment>
    <comment ref="AK27" authorId="0" shapeId="0">
      <text>
        <t>모델값 역산(implied): v / 세전이익
max(세전, 0) × 세율 5.0%(최근 12분기 유효세율 -22.1% → 5~27% 클립)</t>
      </text>
    </comment>
    <comment ref="AL27" authorId="0" shapeId="0">
      <text>
        <t>모델값 역산(implied): v / 세전이익
max(세전, 0) × 세율 5.0%(최근 12분기 유효세율 -22.1% → 5~27% 클립)</t>
      </text>
    </comment>
    <comment ref="AM27" authorId="0" shapeId="0">
      <text>
        <t>모델값 역산(implied): v / 세전이익
max(세전, 0) × 세율 5.0%(최근 12분기 유효세율 -22.1% → 5~27% 클립)</t>
      </text>
    </comment>
    <comment ref="AN27" authorId="0" shapeId="0">
      <text>
        <t>모델값 역산(implied): v / 세전이익
max(세전, 0) × 세율 5.0%(최근 12분기 유효세율 -22.1%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255830억 × 비례계수 0.0194 × 계절비중 Q3 0.270(계절비중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이동합(t−0) 267918억 × 비례계수 0.0194 × 계절비중 Q4 0.293(계절비중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이동합(t−0) 275771억 × 비례계수 0.0194 × 계절비중 Q1 0.162(계절비중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이동합(t−0) 278191억 × 비례계수 0.0194 × 계절비중 Q2 0.275(계절비중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이동합(t−0) 276892억 × 비례계수 0.0194 × 계절비중 Q3 0.270(계절비중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이동합(t−0) 274512억 × 비례계수 0.0194 × 계절비중 Q4 0.293(계절비중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이동합(t−0) 271292억 × 비례계수 0.0194 × 계절비중 Q1 0.162(계절비중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이동합(t−0) 267395억 × 비례계수 0.0194 × 계절비중 Q2 0.275(계절비중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이동합(t−0) 263015억 × 비례계수 0.0194 × 계절비중 Q3 0.270(계절비중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이동합(t−0) 257212억 × 비례계수 0.0194 × 계절비중 Q4 0.293(계절비중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유지)
[ratio]</t>
      </text>
    </comment>
    <comment ref="AD9" authorId="0" shapeId="0">
      <text>
        <t>추정: 매출액 × OPM(최근 8분기 OPM 중위 18.1% 유지)
[ratio]</t>
      </text>
    </comment>
    <comment ref="AF9" authorId="0" shapeId="0">
      <text>
        <t>추정: 매출액 × OPM(최근 8분기 OPM 중위 18.1% 유지)
[ratio]</t>
      </text>
    </comment>
    <comment ref="AG9" authorId="0" shapeId="0">
      <text>
        <t>추정: 매출액 × OPM(최근 8분기 OPM 중위 18.1% 유지)
[ratio]</t>
      </text>
    </comment>
    <comment ref="AH9" authorId="0" shapeId="0">
      <text>
        <t>추정: 매출액 × OPM(최근 8분기 OPM 중위 18.1% 유지)
[ratio]</t>
      </text>
    </comment>
    <comment ref="AI9" authorId="0" shapeId="0">
      <text>
        <t>추정: 매출액 × OPM(최근 8분기 OPM 중위 18.1% 유지)
[ratio]</t>
      </text>
    </comment>
    <comment ref="AK9" authorId="0" shapeId="0">
      <text>
        <t>추정: 매출액 × OPM(최근 8분기 OPM 중위 18.1% 유지)
[ratio]</t>
      </text>
    </comment>
    <comment ref="AL9" authorId="0" shapeId="0">
      <text>
        <t>추정: 매출액 × OPM(최근 8분기 OPM 중위 18.1% 유지)
[ratio]</t>
      </text>
    </comment>
    <comment ref="AM9" authorId="0" shapeId="0">
      <text>
        <t>추정: 매출액 × OPM(최근 8분기 OPM 중위 18.1% 유지)
[ratio]</t>
      </text>
    </comment>
    <comment ref="AN9" authorId="0" shapeId="0">
      <text>
        <t>추정: 매출액 × OPM(최근 8분기 OPM 중위 18.1%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18.1% 유지
[yoy]</t>
      </text>
    </comment>
    <comment ref="AD10" authorId="0" shapeId="0">
      <text>
        <t>추정: 최근 8분기 OPM 중위 18.1% 유지
[yoy]</t>
      </text>
    </comment>
    <comment ref="AF10" authorId="0" shapeId="0">
      <text>
        <t>추정: 최근 8분기 OPM 중위 18.1% 유지
[yoy]</t>
      </text>
    </comment>
    <comment ref="AG10" authorId="0" shapeId="0">
      <text>
        <t>추정: 최근 8분기 OPM 중위 18.1% 유지
[yoy]</t>
      </text>
    </comment>
    <comment ref="AH10" authorId="0" shapeId="0">
      <text>
        <t>추정: 최근 8분기 OPM 중위 18.1% 유지
[yoy]</t>
      </text>
    </comment>
    <comment ref="AI10" authorId="0" shapeId="0">
      <text>
        <t>추정: 최근 8분기 OPM 중위 18.1% 유지
[yoy]</t>
      </text>
    </comment>
    <comment ref="AK10" authorId="0" shapeId="0">
      <text>
        <t>추정: 최근 8분기 OPM 중위 18.1% 유지
[yoy]</t>
      </text>
    </comment>
    <comment ref="AL10" authorId="0" shapeId="0">
      <text>
        <t>추정: 최근 8분기 OPM 중위 18.1% 유지
[yoy]</t>
      </text>
    </comment>
    <comment ref="AM10" authorId="0" shapeId="0">
      <text>
        <t>추정: 최근 8분기 OPM 중위 18.1% 유지
[yoy]</t>
      </text>
    </comment>
    <comment ref="AN10" authorId="0" shapeId="0">
      <text>
        <t>추정: 최근 8분기 OPM 중위 18.1% 유지
[yoy]</t>
      </text>
    </comment>
    <comment ref="AC11" authorId="0" shapeId="0">
      <text>
        <t>추정: 이자손익 = 이자발생자산 3478억 × 4.36% − 총차입금 362억 × 1.68% (연율, CF 실측) ÷ 4; 환·평가손익 0 가정
[abs]</t>
      </text>
    </comment>
    <comment ref="AD11" authorId="0" shapeId="0">
      <text>
        <t>추정: 이자손익 = 이자발생자산 3743억 × 4.36% − 총차입금 362억 × 1.68% (연율, CF 실측) ÷ 4; 환·평가손익 0 가정
[abs]</t>
      </text>
    </comment>
    <comment ref="AF11" authorId="0" shapeId="0">
      <text>
        <t>추정: 이자손익 = 이자발생자산 4042억 × 4.36% − 총차입금 362억 × 1.68% (연율, CF 실측) ÷ 4; 환·평가손익 0 가정
[abs]</t>
      </text>
    </comment>
    <comment ref="AG11" authorId="0" shapeId="0">
      <text>
        <t>추정: 이자손익 = 이자발생자산 4231억 × 4.36% − 총차입금 362억 × 1.68% (연율, CF 실측) ÷ 4; 환·평가손익 0 가정
[abs]</t>
      </text>
    </comment>
    <comment ref="AH11" authorId="0" shapeId="0">
      <text>
        <t>추정: 이자손익 = 이자발생자산 4529억 × 4.36% − 총차입금 362억 × 1.68% (연율, CF 실측) ÷ 4; 환·평가손익 0 가정
[abs]</t>
      </text>
    </comment>
    <comment ref="AI11" authorId="0" shapeId="0">
      <text>
        <t>추정: 이자손익 = 이자발생자산 4824억 × 4.36% − 총차입금 362억 × 1.68% (연율, CF 실측) ÷ 4; 환·평가손익 0 가정
[abs]</t>
      </text>
    </comment>
    <comment ref="AK11" authorId="0" shapeId="0">
      <text>
        <t>추정: 이자손익 = 이자발생자산 5140억 × 4.36% − 총차입금 362억 × 1.68% (연율, CF 실측) ÷ 4; 환·평가손익 0 가정
[abs]</t>
      </text>
    </comment>
    <comment ref="AL11" authorId="0" shapeId="0">
      <text>
        <t>추정: 이자손익 = 이자발생자산 5339억 × 4.36% − 총차입금 362억 × 1.68% (연율, CF 실측) ÷ 4; 환·평가손익 0 가정
[abs]</t>
      </text>
    </comment>
    <comment ref="AM11" authorId="0" shapeId="0">
      <text>
        <t>추정: 이자손익 = 이자발생자산 5637억 × 4.36% − 총차입금 362억 × 1.68% (연율, CF 실측) ÷ 4; 환·평가손익 0 가정
[abs]</t>
      </text>
    </comment>
    <comment ref="AN11" authorId="0" shapeId="0">
      <text>
        <t>추정: 이자손익 = 이자발생자산 5931억 × 4.36% − 총차입금 362억 × 1.68%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-22.1% → 5~27% 클립)
[ratio]</t>
      </text>
    </comment>
    <comment ref="AD14" authorId="0" shapeId="0">
      <text>
        <t>추정: max(세전, 0) × 세율 5.0%(최근 12분기 유효세율 -22.1% → 5~27% 클립)
[ratio]</t>
      </text>
    </comment>
    <comment ref="AF14" authorId="0" shapeId="0">
      <text>
        <t>추정: max(세전, 0) × 세율 5.0%(최근 12분기 유효세율 -22.1% → 5~27% 클립)
[ratio]</t>
      </text>
    </comment>
    <comment ref="AG14" authorId="0" shapeId="0">
      <text>
        <t>추정: max(세전, 0) × 세율 5.0%(최근 12분기 유효세율 -22.1% → 5~27% 클립)
[ratio]</t>
      </text>
    </comment>
    <comment ref="AH14" authorId="0" shapeId="0">
      <text>
        <t>추정: max(세전, 0) × 세율 5.0%(최근 12분기 유효세율 -22.1% → 5~27% 클립)
[ratio]</t>
      </text>
    </comment>
    <comment ref="AI14" authorId="0" shapeId="0">
      <text>
        <t>추정: max(세전, 0) × 세율 5.0%(최근 12분기 유효세율 -22.1% → 5~27% 클립)
[ratio]</t>
      </text>
    </comment>
    <comment ref="AK14" authorId="0" shapeId="0">
      <text>
        <t>추정: max(세전, 0) × 세율 5.0%(최근 12분기 유효세율 -22.1% → 5~27% 클립)
[ratio]</t>
      </text>
    </comment>
    <comment ref="AL14" authorId="0" shapeId="0">
      <text>
        <t>추정: max(세전, 0) × 세율 5.0%(최근 12분기 유효세율 -22.1% → 5~27% 클립)
[ratio]</t>
      </text>
    </comment>
    <comment ref="AM14" authorId="0" shapeId="0">
      <text>
        <t>추정: max(세전, 0) × 세율 5.0%(최근 12분기 유효세율 -22.1% → 5~27% 클립)
[ratio]</t>
      </text>
    </comment>
    <comment ref="AN14" authorId="0" shapeId="0">
      <text>
        <t>추정: max(세전, 0) × 세율 5.0%(최근 12분기 유효세율 -22.1%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J17" authorId="0" shapeId="0">
      <text>
        <t>실측(계정 매핑 없음 — 모델값 직접) — fin.cons.is.중단사업이익</t>
      </text>
    </comment>
    <comment ref="L17" authorId="0" shapeId="0">
      <text>
        <t>실측(계정 매핑 없음 — 모델값 직접) — fin.cons.is.중단사업이익</t>
      </text>
    </comment>
    <comment ref="M17" authorId="0" shapeId="0">
      <text>
        <t>실측(계정 매핑 없음 — 모델값 직접) — fin.cons.is.중단사업이익</t>
      </text>
    </comment>
    <comment ref="N17" authorId="0" shapeId="0">
      <text>
        <t>실측(계정 매핑 없음 — 모델값 직접) — fin.cons.is.중단사업이익</t>
      </text>
    </comment>
    <comment ref="O17" authorId="0" shapeId="0">
      <text>
        <t>실측(계정 매핑 없음 — 모델값 직접) — fin.cons.is.중단사업이익</t>
      </text>
    </comment>
    <comment ref="Q17" authorId="0" shapeId="0">
      <text>
        <t>실측(계정 매핑 없음 — 모델값 직접) — fin.cons.is.중단사업이익</t>
      </text>
    </comment>
    <comment ref="R17" authorId="0" shapeId="0">
      <text>
        <t>실측(계정 매핑 없음 — 모델값 직접) — fin.cons.is.중단사업이익</t>
      </text>
    </comment>
    <comment ref="S17" authorId="0" shapeId="0">
      <text>
        <t>실측(계정 매핑 없음 — 모델값 직접) — fin.cons.is.중단사업이익</t>
      </text>
    </comment>
    <comment ref="T17" authorId="0" shapeId="0">
      <text>
        <t>실측(계정 매핑 없음 — 모델값 직접) — fin.cons.is.중단사업이익</t>
      </text>
    </comment>
    <comment ref="Y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assets/models/071970.json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2025Q4: 비영업손익 750억(영업이익 279억의 3배, 12분기 중위 34억) → 지배NI 1,121억·EPS·FY2025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25.2, "op_wape_pct": 66.4,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962.04, "rev_act": 1091.69, "op_pred": 100.52, "op_act": 202.88}, {"q": "2025Q4", "rev_pred": 1039.09, "rev_act": 1109.76, "op_pred": 108.57, "op_act": 278.89}, {"q": "2026Q1", "rev_pred": 487.33, "rev_act": 1334.61, "op_pred": 50.92, "op_act": 325.64}, {"q": "2026Q2", "rev_pred": 1112.99, "rev_act": 1281.19, "op_pred": 116.29,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26400</v>
      </c>
      <c r="W15" s="18" t="n">
        <v>50300</v>
      </c>
      <c r="X15" s="18" t="n">
        <v>83700</v>
      </c>
      <c r="Y15" s="18" t="n">
        <v>89600</v>
      </c>
      <c r="Z15" s="9" t="n"/>
      <c r="AA15" s="18" t="n">
        <v>68400</v>
      </c>
      <c r="AB15" s="19" t="n">
        <v>59700</v>
      </c>
      <c r="AC15" s="20" t="n">
        <v>48750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106600</v>
      </c>
      <c r="AB16" s="19" t="n">
        <v>118200</v>
      </c>
      <c r="AC16" s="20" t="n">
        <v>70400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24600</v>
      </c>
      <c r="X17" s="18" t="n">
        <v>41100</v>
      </c>
      <c r="Y17" s="18" t="n">
        <v>73600</v>
      </c>
      <c r="Z17" s="9" t="n"/>
      <c r="AA17" s="18" t="n">
        <v>68200</v>
      </c>
      <c r="AB17" s="19" t="n">
        <v>53800</v>
      </c>
      <c r="AC17" s="20" t="n">
        <v>46150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27251.7</v>
      </c>
      <c r="W18" s="18" t="n">
        <v>39788.3</v>
      </c>
      <c r="X18" s="18" t="n">
        <v>73225.39999999999</v>
      </c>
      <c r="Y18" s="18" t="n">
        <v>87520.3</v>
      </c>
      <c r="Z18" s="9" t="n"/>
      <c r="AA18" s="18" t="n">
        <v>85674.60000000001</v>
      </c>
      <c r="AB18" s="19" t="n">
        <v>79595.10000000001</v>
      </c>
      <c r="AC18" s="20" t="n">
        <v>54879.8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0.227768</v>
      </c>
      <c r="AD21" s="24" t="n">
        <v>0.370877</v>
      </c>
      <c r="AE21" s="25" t="n"/>
      <c r="AF21" s="24" t="n">
        <v>-0.349076</v>
      </c>
      <c r="AG21" s="24" t="n">
        <v>0.157811</v>
      </c>
      <c r="AH21" s="24" t="n">
        <v>0.08233</v>
      </c>
      <c r="AI21" s="24" t="n">
        <v>0.024616</v>
      </c>
      <c r="AJ21" s="25" t="n"/>
      <c r="AK21" s="24" t="n">
        <v>-0.016242</v>
      </c>
      <c r="AL21" s="24" t="n">
        <v>-0.03881</v>
      </c>
      <c r="AM21" s="24" t="n">
        <v>-0.050114</v>
      </c>
      <c r="AN21" s="24" t="n">
        <v>-0.063023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0.059291</v>
      </c>
      <c r="AD22" s="24" t="n">
        <v>0.05929</v>
      </c>
      <c r="AE22" s="25">
        <f>IFERROR(subQ!AE8/subQ!AE5,"")</f>
        <v/>
      </c>
      <c r="AF22" s="24" t="n">
        <v>0.059293</v>
      </c>
      <c r="AG22" s="24" t="n">
        <v>0.05929</v>
      </c>
      <c r="AH22" s="24" t="n">
        <v>0.059289</v>
      </c>
      <c r="AI22" s="24" t="n">
        <v>0.05929</v>
      </c>
      <c r="AJ22" s="25">
        <f>IFERROR(subQ!AJ8/subQ!AJ5,"")</f>
        <v/>
      </c>
      <c r="AK22" s="24" t="n">
        <v>0.05929</v>
      </c>
      <c r="AL22" s="24" t="n">
        <v>0.059286</v>
      </c>
      <c r="AM22" s="24" t="n">
        <v>0.059289</v>
      </c>
      <c r="AN22" s="24" t="n">
        <v>0.059286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0.180909</v>
      </c>
      <c r="AD23" s="24" t="n">
        <v>0.180906</v>
      </c>
      <c r="AE23" s="25">
        <f>IFERROR(subQ!AE9/subQ!AE5,"")</f>
        <v/>
      </c>
      <c r="AF23" s="24" t="n">
        <v>0.180908</v>
      </c>
      <c r="AG23" s="24" t="n">
        <v>0.180911</v>
      </c>
      <c r="AH23" s="24" t="n">
        <v>0.180907</v>
      </c>
      <c r="AI23" s="24" t="n">
        <v>0.18091</v>
      </c>
      <c r="AJ23" s="25">
        <f>IFERROR(subQ!AJ9/subQ!AJ5,"")</f>
        <v/>
      </c>
      <c r="AK23" s="24" t="n">
        <v>0.180911</v>
      </c>
      <c r="AL23" s="24" t="n">
        <v>0.180908</v>
      </c>
      <c r="AM23" s="24" t="n">
        <v>0.180908</v>
      </c>
      <c r="AN23" s="24" t="n">
        <v>0.180904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-0.026372</v>
      </c>
      <c r="AD24" s="24" t="n">
        <v>-0.280143</v>
      </c>
      <c r="AE24" s="25" t="n"/>
      <c r="AF24" s="24" t="n">
        <v>-0.258607</v>
      </c>
      <c r="AG24" s="24" t="n">
        <v>-0.259214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36.38</v>
      </c>
      <c r="AD25" s="29" t="n">
        <v>39.27</v>
      </c>
      <c r="AE25" s="30">
        <f>subQ!AE11</f>
        <v/>
      </c>
      <c r="AF25" s="29" t="n">
        <v>42.53</v>
      </c>
      <c r="AG25" s="29" t="n">
        <v>44.59</v>
      </c>
      <c r="AH25" s="29" t="n">
        <v>47.83</v>
      </c>
      <c r="AI25" s="29" t="n">
        <v>51.05</v>
      </c>
      <c r="AJ25" s="30">
        <f>subQ!AJ11</f>
        <v/>
      </c>
      <c r="AK25" s="29" t="n">
        <v>54.49</v>
      </c>
      <c r="AL25" s="29" t="n">
        <v>56.66</v>
      </c>
      <c r="AM25" s="29" t="n">
        <v>59.92</v>
      </c>
      <c r="AN25" s="29" t="n">
        <v>63.12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0.049989</v>
      </c>
      <c r="AD27" s="24" t="n">
        <v>0.049986</v>
      </c>
      <c r="AE27" s="25">
        <f>IFERROR(subQ!AE14/subQ!AE13,"")</f>
        <v/>
      </c>
      <c r="AF27" s="24" t="n">
        <v>0.049977</v>
      </c>
      <c r="AG27" s="24" t="n">
        <v>0.050008</v>
      </c>
      <c r="AH27" s="24" t="n">
        <v>0.049989</v>
      </c>
      <c r="AI27" s="24" t="n">
        <v>0.049994</v>
      </c>
      <c r="AJ27" s="25">
        <f>IFERROR(subQ!AJ14/subQ!AJ13,"")</f>
        <v/>
      </c>
      <c r="AK27" s="24" t="n">
        <v>0.050024</v>
      </c>
      <c r="AL27" s="24" t="n">
        <v>0.05</v>
      </c>
      <c r="AM27" s="24" t="n">
        <v>0.05</v>
      </c>
      <c r="AN27" s="24" t="n">
        <v>0.050009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0.0054</v>
      </c>
      <c r="AD31" s="29" t="n">
        <v>0</v>
      </c>
      <c r="AE31" s="30" t="n"/>
      <c r="AF31" s="29" t="n">
        <v>-0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-0.01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0.0054</v>
      </c>
      <c r="AD32" s="29" t="n">
        <v>0</v>
      </c>
      <c r="AE32" s="30" t="n"/>
      <c r="AF32" s="29" t="n">
        <v>-0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-0.01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-1.4e-05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0.087099</v>
      </c>
      <c r="AD34" s="24" t="n">
        <v>0.09035899999999999</v>
      </c>
      <c r="AE34" s="25" t="n"/>
      <c r="AF34" s="24" t="n">
        <v>0.052618</v>
      </c>
      <c r="AG34" s="24" t="n">
        <v>0.07834099999999999</v>
      </c>
      <c r="AH34" s="24" t="n">
        <v>0.072029</v>
      </c>
      <c r="AI34" s="24" t="n">
        <v>0.07212</v>
      </c>
      <c r="AJ34" s="25" t="n"/>
      <c r="AK34" s="24" t="n">
        <v>0.042235</v>
      </c>
      <c r="AL34" s="24" t="n">
        <v>0.060968</v>
      </c>
      <c r="AM34" s="24" t="n">
        <v>0.056478</v>
      </c>
      <c r="AN34" s="24" t="n">
        <v>0.056597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0.076169</v>
      </c>
      <c r="AD35" s="24" t="n">
        <v>0.079819</v>
      </c>
      <c r="AE35" s="25" t="n"/>
      <c r="AF35" s="24" t="n">
        <v>0.046938</v>
      </c>
      <c r="AG35" s="24" t="n">
        <v>0.07026</v>
      </c>
      <c r="AH35" s="24" t="n">
        <v>0.065086</v>
      </c>
      <c r="AI35" s="24" t="n">
        <v>0.065593</v>
      </c>
      <c r="AJ35" s="25" t="n"/>
      <c r="AK35" s="24" t="n">
        <v>0.038647</v>
      </c>
      <c r="AL35" s="24" t="n">
        <v>0.055983</v>
      </c>
      <c r="AM35" s="24" t="n">
        <v>0.052107</v>
      </c>
      <c r="AN35" s="24" t="n">
        <v>0.05243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-0.662235</v>
      </c>
      <c r="AD41" s="24" t="n">
        <v>-0.228587</v>
      </c>
      <c r="AE41" s="25" t="n"/>
      <c r="AF41" s="24" t="n">
        <v>-0.07037</v>
      </c>
      <c r="AG41" s="24" t="n">
        <v>0.108147</v>
      </c>
      <c r="AH41" s="24" t="n">
        <v>0.837638</v>
      </c>
      <c r="AI41" s="24" t="n">
        <v>0.059841</v>
      </c>
      <c r="AJ41" s="25" t="n"/>
      <c r="AK41" s="24" t="n">
        <v>-0.031873</v>
      </c>
      <c r="AL41" s="24" t="n">
        <v>-0.0527</v>
      </c>
      <c r="AM41" s="24" t="n">
        <v>-0.024096</v>
      </c>
      <c r="AN41" s="24" t="n">
        <v>-0.003401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-0.555219</v>
      </c>
      <c r="AD42" s="24" t="n">
        <v>-0.540362</v>
      </c>
      <c r="AE42" s="25" t="n"/>
      <c r="AF42" s="24" t="n">
        <v>-0.5360819999999999</v>
      </c>
      <c r="AG42" s="24" t="n">
        <v>-0.502901</v>
      </c>
      <c r="AH42" s="24" t="n">
        <v>-0.163265</v>
      </c>
      <c r="AI42" s="24" t="n">
        <v>-0.157706</v>
      </c>
      <c r="AJ42" s="25" t="n"/>
      <c r="AK42" s="24" t="n">
        <v>-0.155556</v>
      </c>
      <c r="AL42" s="24" t="n">
        <v>-0.14786</v>
      </c>
      <c r="AM42" s="24" t="n">
        <v>-0.146341</v>
      </c>
      <c r="AN42" s="24" t="n">
        <v>-0.140426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0.180909</v>
      </c>
      <c r="AD44" s="24" t="n">
        <v>0.180906</v>
      </c>
      <c r="AE44" s="25">
        <f>IFERROR(subQ!AE35/subQ!AE34,"")</f>
        <v/>
      </c>
      <c r="AF44" s="24" t="n">
        <v>0.180908</v>
      </c>
      <c r="AG44" s="24" t="n">
        <v>0.180911</v>
      </c>
      <c r="AH44" s="24" t="n">
        <v>0.180907</v>
      </c>
      <c r="AI44" s="24" t="n">
        <v>0.18091</v>
      </c>
      <c r="AJ44" s="25">
        <f>IFERROR(subQ!AJ35/subQ!AJ34,"")</f>
        <v/>
      </c>
      <c r="AK44" s="24" t="n">
        <v>0.180911</v>
      </c>
      <c r="AL44" s="24" t="n">
        <v>0.180908</v>
      </c>
      <c r="AM44" s="24" t="n">
        <v>0.180908</v>
      </c>
      <c r="AN44" s="24" t="n">
        <v>0.180904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47600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9.300000000000001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11.2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16.2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0.0593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4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4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4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4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4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4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4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4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4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4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4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4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4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4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4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4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4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4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4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4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4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4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4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4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4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4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4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4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4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4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4" t="n">
        <v>78.68000000000001</v>
      </c>
      <c r="P13" s="9" t="n"/>
      <c r="T13" s="18" t="n">
        <v>538.77</v>
      </c>
      <c r="U13" s="34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4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4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4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4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4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4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4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4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4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4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4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4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4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4" t="n">
        <v>2274.31</v>
      </c>
      <c r="P20" s="9" t="n"/>
      <c r="U20" s="9" t="n"/>
      <c r="Y20" s="18" t="n">
        <v>2812.1</v>
      </c>
      <c r="Z20" s="34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4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4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4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4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4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4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4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4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4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4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4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4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4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4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4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4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4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4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4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4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4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4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4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4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4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4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4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4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4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4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4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4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4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4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4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4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4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4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단기사채</t>
        </is>
      </c>
      <c r="E31" s="18" t="n">
        <v>64970</v>
      </c>
      <c r="F31" s="34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4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4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4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4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4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4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4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4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4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4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4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4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4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4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4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4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4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4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4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4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4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4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4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4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4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4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4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4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4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4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4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4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4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4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4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4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4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4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4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4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4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4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4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4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4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4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4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4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4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4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4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4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4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4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4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4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4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4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4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4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4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4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4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4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4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4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4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4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4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4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4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4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4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4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4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4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4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4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4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4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4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4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4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4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4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4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4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4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4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4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4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4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4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4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4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4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4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4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4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4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4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4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4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4" t="n">
        <v>0</v>
      </c>
      <c r="U55" s="9" t="n"/>
      <c r="Y55" s="18" t="n">
        <v>3665.22</v>
      </c>
      <c r="Z55" s="34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4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4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4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4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4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4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4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4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4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4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4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4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4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4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4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4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4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4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4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4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4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4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4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4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4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4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4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4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4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4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4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4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4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4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4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4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4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4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4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4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4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4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4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4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4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4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4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4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4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4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4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4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4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4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4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4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4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4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4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4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4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4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4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4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4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4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4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4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4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4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4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4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4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4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4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4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4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4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4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4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4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J80" s="18" t="n">
        <v>-953.63</v>
      </c>
      <c r="K80" s="9" t="n"/>
      <c r="L80" s="18" t="n">
        <v>23.4</v>
      </c>
      <c r="M80" s="18" t="n">
        <v>0</v>
      </c>
      <c r="N80" s="18" t="n">
        <v>0</v>
      </c>
      <c r="O80" s="18" t="n">
        <v>185.23</v>
      </c>
      <c r="P80" s="34" t="n">
        <v>208.63</v>
      </c>
      <c r="Q80" s="18" t="n">
        <v>-140.73</v>
      </c>
      <c r="R80" s="18" t="n">
        <v>-0.86</v>
      </c>
      <c r="S80" s="18" t="n">
        <v>0</v>
      </c>
      <c r="T80" s="18" t="n">
        <v>0</v>
      </c>
      <c r="U80" s="34" t="n">
        <v>-141.59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파생상품이익</t>
        </is>
      </c>
      <c r="F81" s="9" t="n"/>
      <c r="K81" s="9" t="n"/>
      <c r="P81" s="9" t="n"/>
      <c r="U81" s="9" t="n"/>
      <c r="Z81" s="9" t="n"/>
      <c r="AA81" s="18" t="n">
        <v>-17409.3</v>
      </c>
      <c r="AB81" s="19" t="n">
        <v>-9527.959999999999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11206.18</v>
      </c>
      <c r="F82" s="9" t="n"/>
      <c r="G82" s="18" t="n">
        <v>-13219.11</v>
      </c>
      <c r="H82" s="18" t="n">
        <v>-2539.17</v>
      </c>
      <c r="I82" s="18" t="n">
        <v>4691.48</v>
      </c>
      <c r="J82" s="18" t="n">
        <v>-9364.360000000001</v>
      </c>
      <c r="K82" s="34" t="n">
        <v>-20431.16</v>
      </c>
      <c r="L82" s="18" t="n">
        <v>3447.57</v>
      </c>
      <c r="M82" s="18" t="n">
        <v>-6456.83</v>
      </c>
      <c r="N82" s="18" t="n">
        <v>7608.5</v>
      </c>
      <c r="O82" s="18" t="n">
        <v>31774.82</v>
      </c>
      <c r="P82" s="34" t="n">
        <v>36374.06</v>
      </c>
      <c r="Q82" s="18" t="n">
        <v>2027.83</v>
      </c>
      <c r="R82" s="18" t="n">
        <v>31264.96</v>
      </c>
      <c r="S82" s="18" t="n">
        <v>1021.58</v>
      </c>
      <c r="T82" s="18" t="n">
        <v>67122.2</v>
      </c>
      <c r="U82" s="34" t="n">
        <v>101436.57</v>
      </c>
      <c r="V82" s="18" t="n">
        <v>16512.52</v>
      </c>
      <c r="W82" s="18" t="n">
        <v>-70061.75</v>
      </c>
      <c r="X82" s="18" t="n">
        <v>131093.02</v>
      </c>
      <c r="Y82" s="18" t="n">
        <v>103058.03</v>
      </c>
      <c r="Z82" s="34" t="n">
        <v>180601.82</v>
      </c>
      <c r="AA82" s="18" t="n">
        <v>34757.24</v>
      </c>
      <c r="AB82" s="19" t="n">
        <v>65537.32000000001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0</v>
      </c>
      <c r="F83" s="9" t="n"/>
      <c r="G83" s="18" t="n">
        <v>-2.33</v>
      </c>
      <c r="H83" s="18" t="n">
        <v>33.57</v>
      </c>
      <c r="I83" s="18" t="n">
        <v>-0.12</v>
      </c>
      <c r="J83" s="18" t="n">
        <v>-0.36</v>
      </c>
      <c r="K83" s="34" t="n">
        <v>30.76</v>
      </c>
      <c r="L83" s="18" t="n">
        <v>-5.63</v>
      </c>
      <c r="M83" s="18" t="n">
        <v>74.15000000000001</v>
      </c>
      <c r="N83" s="18" t="n">
        <v>-16.65</v>
      </c>
      <c r="O83" s="18" t="n">
        <v>4.17</v>
      </c>
      <c r="P83" s="34" t="n">
        <v>56.04</v>
      </c>
      <c r="Q83" s="18" t="n">
        <v>0</v>
      </c>
      <c r="R83" s="18" t="n">
        <v>374.5</v>
      </c>
      <c r="S83" s="18" t="n">
        <v>-196.96</v>
      </c>
      <c r="T83" s="18" t="n">
        <v>-1.77</v>
      </c>
      <c r="U83" s="34" t="n">
        <v>175.77</v>
      </c>
      <c r="V83" s="18" t="n">
        <v>-89.88</v>
      </c>
      <c r="W83" s="18" t="n">
        <v>0.48</v>
      </c>
      <c r="X83" s="18" t="n">
        <v>-2832.46</v>
      </c>
      <c r="Y83" s="18" t="n">
        <v>-539.27</v>
      </c>
      <c r="Z83" s="34" t="n">
        <v>-3461.13</v>
      </c>
      <c r="AA83" s="18" t="n">
        <v>-669.98</v>
      </c>
      <c r="AB83" s="19" t="n">
        <v>-545.96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25662.75</v>
      </c>
      <c r="F84" s="9" t="n"/>
      <c r="G84" s="18" t="n">
        <v>19784.47</v>
      </c>
      <c r="H84" s="18" t="n">
        <v>-255.51</v>
      </c>
      <c r="I84" s="18" t="n">
        <v>35226.79</v>
      </c>
      <c r="J84" s="18" t="n">
        <v>-6669.38</v>
      </c>
      <c r="K84" s="34" t="n">
        <v>48086.37</v>
      </c>
      <c r="L84" s="18" t="n">
        <v>-3427.61</v>
      </c>
      <c r="M84" s="18" t="n">
        <v>1568.59</v>
      </c>
      <c r="N84" s="18" t="n">
        <v>7435.93</v>
      </c>
      <c r="O84" s="18" t="n">
        <v>-19063.26</v>
      </c>
      <c r="P84" s="34" t="n">
        <v>-13486.35</v>
      </c>
      <c r="Q84" s="18" t="n">
        <v>-5871.12</v>
      </c>
      <c r="R84" s="18" t="n">
        <v>-11540.7</v>
      </c>
      <c r="S84" s="18" t="n">
        <v>11146.62</v>
      </c>
      <c r="T84" s="18" t="n">
        <v>-17858.43</v>
      </c>
      <c r="U84" s="34" t="n">
        <v>-24123.63</v>
      </c>
      <c r="V84" s="18" t="n">
        <v>13441.99</v>
      </c>
      <c r="W84" s="18" t="n">
        <v>4711.28</v>
      </c>
      <c r="X84" s="18" t="n">
        <v>-61778.72</v>
      </c>
      <c r="Y84" s="18" t="n">
        <v>-101387.65</v>
      </c>
      <c r="Z84" s="34" t="n">
        <v>-145013.1</v>
      </c>
      <c r="AA84" s="18" t="n">
        <v>66951.05</v>
      </c>
      <c r="AB84" s="19" t="n">
        <v>79379.03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57.42</v>
      </c>
      <c r="F85" s="9" t="n"/>
      <c r="G85" s="18" t="n">
        <v>2811.43</v>
      </c>
      <c r="H85" s="18" t="n">
        <v>295.87</v>
      </c>
      <c r="I85" s="18" t="n">
        <v>3871.03</v>
      </c>
      <c r="J85" s="18" t="n">
        <v>2529.87</v>
      </c>
      <c r="K85" s="34" t="n">
        <v>9508.200000000001</v>
      </c>
      <c r="L85" s="18" t="n">
        <v>1982.57</v>
      </c>
      <c r="M85" s="18" t="n">
        <v>880.47</v>
      </c>
      <c r="N85" s="18" t="n">
        <v>1773.95</v>
      </c>
      <c r="O85" s="18" t="n">
        <v>748.45</v>
      </c>
      <c r="P85" s="34" t="n">
        <v>5385.44</v>
      </c>
      <c r="Q85" s="18" t="n">
        <v>422.92</v>
      </c>
      <c r="R85" s="18" t="n">
        <v>390.16</v>
      </c>
      <c r="S85" s="18" t="n">
        <v>1275.05</v>
      </c>
      <c r="T85" s="18" t="n">
        <v>5721.99</v>
      </c>
      <c r="U85" s="34" t="n">
        <v>7810.12</v>
      </c>
      <c r="V85" s="18" t="n">
        <v>3729.41</v>
      </c>
      <c r="W85" s="18" t="n">
        <v>1701.46</v>
      </c>
      <c r="X85" s="18" t="n">
        <v>1520.21</v>
      </c>
      <c r="Y85" s="18" t="n">
        <v>6141.6</v>
      </c>
      <c r="Z85" s="34" t="n">
        <v>13092.68</v>
      </c>
      <c r="AA85" s="18" t="n">
        <v>2940.67</v>
      </c>
      <c r="AB85" s="19" t="n">
        <v>5544.41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781.0599999999999</v>
      </c>
      <c r="F86" s="9" t="n"/>
      <c r="G86" s="18" t="n">
        <v>2964.4</v>
      </c>
      <c r="H86" s="18" t="n">
        <v>601.3099999999999</v>
      </c>
      <c r="I86" s="18" t="n">
        <v>4058.18</v>
      </c>
      <c r="J86" s="18" t="n">
        <v>2642.65</v>
      </c>
      <c r="K86" s="34" t="n">
        <v>10266.54</v>
      </c>
      <c r="L86" s="18" t="n">
        <v>2067.57</v>
      </c>
      <c r="M86" s="18" t="n">
        <v>880.47</v>
      </c>
      <c r="N86" s="18" t="n">
        <v>1773.95</v>
      </c>
      <c r="O86" s="18" t="n">
        <v>787.25</v>
      </c>
      <c r="P86" s="34" t="n">
        <v>5509.24</v>
      </c>
      <c r="Q86" s="18" t="n">
        <v>422.92</v>
      </c>
      <c r="R86" s="18" t="n">
        <v>430.16</v>
      </c>
      <c r="S86" s="18" t="n">
        <v>1292.95</v>
      </c>
      <c r="T86" s="18" t="n">
        <v>6104.24</v>
      </c>
      <c r="U86" s="34" t="n">
        <v>8250.27</v>
      </c>
      <c r="V86" s="18" t="n">
        <v>3756.86</v>
      </c>
      <c r="W86" s="18" t="n">
        <v>1812.97</v>
      </c>
      <c r="X86" s="18" t="n">
        <v>1781.34</v>
      </c>
      <c r="Y86" s="18" t="n">
        <v>6448.1</v>
      </c>
      <c r="Z86" s="34" t="n">
        <v>13799.27</v>
      </c>
      <c r="AA86" s="18" t="n">
        <v>3056.27</v>
      </c>
      <c r="AB86" s="19" t="n">
        <v>6350.91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723.64</v>
      </c>
      <c r="F87" s="9" t="n"/>
      <c r="G87" s="18" t="n">
        <v>152.97</v>
      </c>
      <c r="H87" s="18" t="n">
        <v>305.44</v>
      </c>
      <c r="I87" s="18" t="n">
        <v>187.15</v>
      </c>
      <c r="J87" s="18" t="n">
        <v>112.78</v>
      </c>
      <c r="K87" s="34" t="n">
        <v>758.34</v>
      </c>
      <c r="L87" s="18" t="n">
        <v>85</v>
      </c>
      <c r="M87" s="18" t="n">
        <v>0</v>
      </c>
      <c r="N87" s="18" t="n">
        <v>0</v>
      </c>
      <c r="O87" s="18" t="n">
        <v>38.8</v>
      </c>
      <c r="P87" s="34" t="n">
        <v>123.8</v>
      </c>
      <c r="Q87" s="18" t="n">
        <v>0</v>
      </c>
      <c r="R87" s="18" t="n">
        <v>40</v>
      </c>
      <c r="S87" s="18" t="n">
        <v>17.9</v>
      </c>
      <c r="T87" s="18" t="n">
        <v>382.25</v>
      </c>
      <c r="U87" s="34" t="n">
        <v>440.15</v>
      </c>
      <c r="V87" s="18" t="n">
        <v>27.45</v>
      </c>
      <c r="W87" s="18" t="n">
        <v>111.51</v>
      </c>
      <c r="X87" s="18" t="n">
        <v>261.13</v>
      </c>
      <c r="Y87" s="18" t="n">
        <v>306.5</v>
      </c>
      <c r="Z87" s="34" t="n">
        <v>706.59</v>
      </c>
      <c r="AA87" s="18" t="n">
        <v>115.6</v>
      </c>
      <c r="AB87" s="19" t="n">
        <v>806.5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763.9</v>
      </c>
      <c r="F88" s="9" t="n"/>
      <c r="I88" s="18" t="n">
        <v>0</v>
      </c>
      <c r="J88" s="18" t="n">
        <v>0</v>
      </c>
      <c r="K88" s="9" t="n"/>
      <c r="O88" s="18" t="n">
        <v>0.22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-31391.76</v>
      </c>
      <c r="F89" s="9" t="n"/>
      <c r="G89" s="18" t="n">
        <v>-35715.93</v>
      </c>
      <c r="H89" s="18" t="n">
        <v>-3562.47</v>
      </c>
      <c r="I89" s="18" t="n">
        <v>1512.55</v>
      </c>
      <c r="J89" s="18" t="n">
        <v>-21244</v>
      </c>
      <c r="K89" s="34" t="n">
        <v>-59009.85</v>
      </c>
      <c r="L89" s="18" t="n">
        <v>-1626.27</v>
      </c>
      <c r="M89" s="18" t="n">
        <v>-4229.73</v>
      </c>
      <c r="N89" s="18" t="n">
        <v>-11243.64</v>
      </c>
      <c r="O89" s="18" t="n">
        <v>-1477.53</v>
      </c>
      <c r="P89" s="34" t="n">
        <v>-18577.17</v>
      </c>
      <c r="Q89" s="18" t="n">
        <v>-2546.71</v>
      </c>
      <c r="R89" s="18" t="n">
        <v>-748.78</v>
      </c>
      <c r="S89" s="18" t="n">
        <v>-44413.78</v>
      </c>
      <c r="T89" s="18" t="n">
        <v>-3678.25</v>
      </c>
      <c r="U89" s="34" t="n">
        <v>-51387.52</v>
      </c>
      <c r="V89" s="18" t="n">
        <v>-299.2</v>
      </c>
      <c r="W89" s="18" t="n">
        <v>-262.19</v>
      </c>
      <c r="X89" s="18" t="n">
        <v>-254.22</v>
      </c>
      <c r="Y89" s="18" t="n">
        <v>-255.06</v>
      </c>
      <c r="Z89" s="34" t="n">
        <v>-1070.67</v>
      </c>
      <c r="AA89" s="18" t="n">
        <v>-269.42</v>
      </c>
      <c r="AB89" s="19" t="n">
        <v>-291.69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사채의감소</t>
        </is>
      </c>
      <c r="E90" s="18" t="n">
        <v>28800</v>
      </c>
      <c r="F90" s="9" t="n"/>
      <c r="G90" s="18" t="n">
        <v>25970</v>
      </c>
      <c r="H90" s="18" t="n">
        <v>1000</v>
      </c>
      <c r="I90" s="18" t="n">
        <v>0</v>
      </c>
      <c r="J90" s="18" t="n">
        <v>21400</v>
      </c>
      <c r="K90" s="34" t="n">
        <v>48370</v>
      </c>
      <c r="N90" s="18" t="n">
        <v>4600</v>
      </c>
      <c r="O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474.95</v>
      </c>
      <c r="F91" s="9" t="n"/>
      <c r="I91" s="18" t="n">
        <v>69757.50999999999</v>
      </c>
      <c r="J91" s="18" t="n">
        <v>4279.62</v>
      </c>
      <c r="K91" s="9" t="n"/>
      <c r="L91" s="18" t="n">
        <v>911.05</v>
      </c>
      <c r="M91" s="18" t="n">
        <v>81546.83</v>
      </c>
      <c r="N91" s="18" t="n">
        <v>1625.03</v>
      </c>
      <c r="O91" s="18" t="n">
        <v>1292.67</v>
      </c>
      <c r="P91" s="34" t="n">
        <v>85375.58</v>
      </c>
      <c r="Q91" s="18" t="n">
        <v>564.34</v>
      </c>
      <c r="R91" s="18" t="n">
        <v>1747.97</v>
      </c>
      <c r="S91" s="18" t="n">
        <v>275.59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424.69</v>
      </c>
      <c r="F92" s="9" t="n"/>
      <c r="G92" s="18" t="n">
        <v>426.12</v>
      </c>
      <c r="H92" s="18" t="n">
        <v>982.1</v>
      </c>
      <c r="I92" s="18" t="n">
        <v>66533.39999999999</v>
      </c>
      <c r="J92" s="18" t="n">
        <v>3698.02</v>
      </c>
      <c r="K92" s="34" t="n">
        <v>71639.64</v>
      </c>
      <c r="L92" s="18" t="n">
        <v>904.13</v>
      </c>
      <c r="M92" s="18" t="n">
        <v>71127.87</v>
      </c>
      <c r="N92" s="18" t="n">
        <v>5755.28</v>
      </c>
      <c r="O92" s="18" t="n">
        <v>1139.27</v>
      </c>
      <c r="P92" s="34" t="n">
        <v>78926.55</v>
      </c>
      <c r="Q92" s="18" t="n">
        <v>1524.92</v>
      </c>
      <c r="R92" s="18" t="n">
        <v>890.4</v>
      </c>
      <c r="S92" s="18" t="n">
        <v>85725.39999999999</v>
      </c>
      <c r="T92" s="18" t="n">
        <v>1815.85</v>
      </c>
      <c r="U92" s="34" t="n">
        <v>89956.57000000001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E93" s="18" t="n">
        <v>-1929.34</v>
      </c>
      <c r="F93" s="9" t="n"/>
      <c r="G93" s="18" t="n">
        <v>-8555.57</v>
      </c>
      <c r="H93" s="18" t="n">
        <v>-1001.15</v>
      </c>
      <c r="I93" s="18" t="n">
        <v>-1074.74</v>
      </c>
      <c r="J93" s="18" t="n">
        <v>-1112.96</v>
      </c>
      <c r="K93" s="34" t="n">
        <v>-11744.42</v>
      </c>
      <c r="L93" s="18" t="n">
        <v>-1259.34</v>
      </c>
      <c r="M93" s="18" t="n">
        <v>-3268.31</v>
      </c>
      <c r="N93" s="18" t="n">
        <v>-2145.07</v>
      </c>
      <c r="O93" s="18" t="n">
        <v>-1240.93</v>
      </c>
      <c r="P93" s="34" t="n">
        <v>-7913.65</v>
      </c>
      <c r="Q93" s="18" t="n">
        <v>-1221.78</v>
      </c>
      <c r="R93" s="18" t="n">
        <v>-1261.82</v>
      </c>
      <c r="S93" s="18" t="n">
        <v>-895.71</v>
      </c>
      <c r="T93" s="18" t="n">
        <v>-1533.68</v>
      </c>
      <c r="U93" s="34" t="n">
        <v>-4912.99</v>
      </c>
      <c r="V93" s="18" t="n">
        <v>-33.52</v>
      </c>
      <c r="W93" s="18" t="n">
        <v>-30.71</v>
      </c>
      <c r="X93" s="18" t="n">
        <v>-32.41</v>
      </c>
      <c r="Y93" s="18" t="n">
        <v>-31.05</v>
      </c>
      <c r="Z93" s="34" t="n">
        <v>-127.69</v>
      </c>
      <c r="AA93" s="18" t="n">
        <v>-70.67</v>
      </c>
      <c r="AB93" s="19" t="n">
        <v>-153.84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5474.11</v>
      </c>
      <c r="F94" s="9" t="n"/>
      <c r="G94" s="18" t="n">
        <v>-29149.67</v>
      </c>
      <c r="H94" s="18" t="n">
        <v>-6351.87</v>
      </c>
      <c r="I94" s="18" t="n">
        <v>41610.02</v>
      </c>
      <c r="J94" s="18" t="n">
        <v>-37565.86</v>
      </c>
      <c r="K94" s="34" t="n">
        <v>-31457.38</v>
      </c>
      <c r="L94" s="18" t="n">
        <v>-1563.74</v>
      </c>
      <c r="M94" s="18" t="n">
        <v>-9132.99</v>
      </c>
      <c r="N94" s="18" t="n">
        <v>3907.25</v>
      </c>
      <c r="O94" s="18" t="n">
        <v>11028.66</v>
      </c>
      <c r="P94" s="34" t="n">
        <v>4239.18</v>
      </c>
      <c r="Q94" s="18" t="n">
        <v>-6338.16</v>
      </c>
      <c r="R94" s="18" t="n">
        <v>18957.39</v>
      </c>
      <c r="S94" s="18" t="n">
        <v>-32279.48</v>
      </c>
      <c r="T94" s="18" t="n">
        <v>45521.62</v>
      </c>
      <c r="U94" s="34" t="n">
        <v>25861.37</v>
      </c>
      <c r="V94" s="18" t="n">
        <v>29655.38</v>
      </c>
      <c r="W94" s="18" t="n">
        <v>41485.32</v>
      </c>
      <c r="X94" s="18" t="n">
        <v>-38037.81</v>
      </c>
      <c r="Y94" s="18" t="n">
        <v>1416.37</v>
      </c>
      <c r="Z94" s="34" t="n">
        <v>34519.26</v>
      </c>
      <c r="AA94" s="18" t="n">
        <v>101438.88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5474.1</v>
      </c>
      <c r="F95" s="9" t="n"/>
      <c r="G95" s="18" t="n">
        <v>31964.13</v>
      </c>
      <c r="H95" s="18" t="n">
        <v>-6351.87</v>
      </c>
      <c r="I95" s="18" t="n">
        <v>41610.02</v>
      </c>
      <c r="J95" s="18" t="n">
        <v>-37565.86</v>
      </c>
      <c r="K95" s="34" t="n">
        <v>29656.42</v>
      </c>
      <c r="L95" s="18" t="n">
        <v>28092.68</v>
      </c>
      <c r="M95" s="18" t="n">
        <v>-9132.99</v>
      </c>
      <c r="N95" s="18" t="n">
        <v>3907.25</v>
      </c>
      <c r="O95" s="18" t="n">
        <v>11028.66</v>
      </c>
      <c r="P95" s="34" t="n">
        <v>33895.6</v>
      </c>
      <c r="Q95" s="18" t="n">
        <v>27557.44</v>
      </c>
      <c r="R95" s="18" t="n">
        <v>18957.39</v>
      </c>
      <c r="S95" s="18" t="n">
        <v>-32279.48</v>
      </c>
      <c r="T95" s="18" t="n">
        <v>45521.62</v>
      </c>
      <c r="U95" s="34" t="n">
        <v>59756.97</v>
      </c>
      <c r="V95" s="18" t="n">
        <v>89412.35000000001</v>
      </c>
      <c r="W95" s="18" t="n">
        <v>41485.32</v>
      </c>
      <c r="X95" s="18" t="n">
        <v>-38037.81</v>
      </c>
      <c r="Y95" s="18" t="n">
        <v>1416.37</v>
      </c>
      <c r="Z95" s="34" t="n">
        <v>94276.23</v>
      </c>
      <c r="AA95" s="18" t="n">
        <v>195715.11</v>
      </c>
      <c r="AB95" s="19" t="n">
        <v>144624.65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F96" s="9" t="n"/>
      <c r="G96" s="18" t="n">
        <v>452.52</v>
      </c>
      <c r="H96" s="18" t="n">
        <v>0</v>
      </c>
      <c r="I96" s="18" t="n">
        <v>555.98</v>
      </c>
      <c r="J96" s="18" t="n">
        <v>1712.89</v>
      </c>
      <c r="K96" s="34" t="n">
        <v>2721.39</v>
      </c>
      <c r="L96" s="18" t="n">
        <v>464.6</v>
      </c>
      <c r="M96" s="18" t="n">
        <v>1688.71</v>
      </c>
      <c r="N96" s="18" t="n">
        <v>5</v>
      </c>
      <c r="O96" s="18" t="n">
        <v>6.37</v>
      </c>
      <c r="P96" s="34" t="n">
        <v>2164.68</v>
      </c>
      <c r="Q96" s="18" t="n">
        <v>19.95</v>
      </c>
      <c r="R96" s="18" t="n">
        <v>0</v>
      </c>
      <c r="S96" s="18" t="n">
        <v>3054.29</v>
      </c>
      <c r="U96" s="9" t="n"/>
      <c r="V96" s="18" t="n">
        <v>6.62</v>
      </c>
      <c r="W96" s="18" t="n">
        <v>43.97</v>
      </c>
      <c r="X96" s="18" t="n">
        <v>1.54</v>
      </c>
      <c r="Y96" s="18" t="n">
        <v>5.22</v>
      </c>
      <c r="Z96" s="34" t="n">
        <v>57.35</v>
      </c>
      <c r="AA96" s="18" t="n">
        <v>11.56</v>
      </c>
      <c r="AB96" s="19" t="n">
        <v>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K97" s="9" t="n"/>
      <c r="L97" s="18" t="n">
        <v>362.54</v>
      </c>
      <c r="M97" s="18" t="n">
        <v>357.65</v>
      </c>
      <c r="P97" s="9" t="n"/>
      <c r="U97" s="9" t="n"/>
      <c r="Z97" s="9" t="n"/>
      <c r="AA97" s="18" t="n">
        <v>198.75</v>
      </c>
      <c r="AB97" s="19" t="n">
        <v>137.85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O98" s="18" t="n">
        <v>315.42</v>
      </c>
      <c r="P98" s="9" t="n"/>
      <c r="Q98" s="18" t="n">
        <v>375.15</v>
      </c>
      <c r="R98" s="18" t="n">
        <v>612.4400000000001</v>
      </c>
      <c r="S98" s="18" t="n">
        <v>1172.98</v>
      </c>
      <c r="T98" s="18" t="n">
        <v>2406.24</v>
      </c>
      <c r="U98" s="34" t="n">
        <v>4566.81</v>
      </c>
      <c r="V98" s="18" t="n">
        <v>850.29</v>
      </c>
      <c r="W98" s="18" t="n">
        <v>1427.17</v>
      </c>
      <c r="X98" s="18" t="n">
        <v>1629.68</v>
      </c>
      <c r="Y98" s="18" t="n">
        <v>1289.75</v>
      </c>
      <c r="Z98" s="34" t="n">
        <v>5196.89</v>
      </c>
      <c r="AA98" s="18" t="n">
        <v>1962.58</v>
      </c>
      <c r="AB98" s="19" t="n">
        <v>3358.96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4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4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4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4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4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4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4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4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4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4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4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4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4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4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4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4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4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4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4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4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4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4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4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4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4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4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4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4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4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4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4" t="n">
        <v>73.70999999999999</v>
      </c>
      <c r="P13" s="9" t="n"/>
      <c r="T13" s="18" t="n">
        <v>527.4400000000001</v>
      </c>
      <c r="U13" s="34" t="n">
        <v>527.4400000000001</v>
      </c>
      <c r="V13" s="18" t="n">
        <v>545.88</v>
      </c>
      <c r="X13" s="18" t="n">
        <v>818.9299999999999</v>
      </c>
      <c r="Y13" s="18" t="n">
        <v>667.84</v>
      </c>
      <c r="Z13" s="34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4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4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4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4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4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4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4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4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4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4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4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4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4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4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4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4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4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4" t="n">
        <v>2274.31</v>
      </c>
      <c r="P21" s="9" t="n"/>
      <c r="U21" s="9" t="n"/>
      <c r="Y21" s="18" t="n">
        <v>23159.46</v>
      </c>
      <c r="Z21" s="34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4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4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4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4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4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4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4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4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4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4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4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4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4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4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4" t="n">
        <v>0</v>
      </c>
      <c r="U25" s="9" t="n"/>
      <c r="W25" s="18" t="n">
        <v>56.33</v>
      </c>
      <c r="Y25" s="18" t="n">
        <v>3665.22</v>
      </c>
      <c r="Z25" s="34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4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4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4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4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4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4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4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4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4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4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4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4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4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4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4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4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4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4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4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4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4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4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4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4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4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4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4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4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단기사채</t>
        </is>
      </c>
      <c r="E34" s="18" t="n">
        <v>43970</v>
      </c>
      <c r="F34" s="34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4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4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4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4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4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4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4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4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4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4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4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4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4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4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4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4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4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4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4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4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4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4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4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4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4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4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4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4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4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4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4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4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4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4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4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4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4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4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4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4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4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4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4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4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4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4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4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4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4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4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4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4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4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4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4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4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4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4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4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4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4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4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4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4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4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4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4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4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4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4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4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4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4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4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4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4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4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4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4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4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4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4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4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4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4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4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4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4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4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4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4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4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4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4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4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4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4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4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4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4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4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4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4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4" t="n">
        <v>1415.9</v>
      </c>
      <c r="V59" s="18" t="n">
        <v>1498.38</v>
      </c>
      <c r="X59" s="18" t="n">
        <v>76.06999999999999</v>
      </c>
      <c r="Y59" s="18" t="n">
        <v>222.75</v>
      </c>
      <c r="Z59" s="34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4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4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4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4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4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4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4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4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4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4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4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4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4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4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4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4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4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4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4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4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4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4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4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4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4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4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4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4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4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4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4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4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4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4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4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4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4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4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4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4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4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4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4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4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4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4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4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4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4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4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4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4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4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4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4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4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4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4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4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4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4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4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4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4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4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4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4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4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4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4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4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4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4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4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4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4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4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4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4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4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4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4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4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4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4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4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4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4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4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4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4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4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4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4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4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4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4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4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4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4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4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4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4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4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4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4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4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4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4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4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4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4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4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4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4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4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0.0278</v>
      </c>
      <c r="F10" s="34" t="n"/>
      <c r="G10" s="18" t="n">
        <v>-0.0659</v>
      </c>
      <c r="H10" s="18" t="n">
        <v>0.0081</v>
      </c>
      <c r="I10" s="18" t="n">
        <v>0.0766</v>
      </c>
      <c r="J10" s="18" t="n">
        <v>0.1746</v>
      </c>
      <c r="K10" s="34">
        <f>SUM(G10:J10)</f>
        <v/>
      </c>
      <c r="L10" s="18" t="n">
        <v>0.0005999999999999999</v>
      </c>
      <c r="M10" s="18" t="n">
        <v>0.07199999999999999</v>
      </c>
      <c r="N10" s="18" t="n">
        <v>0.095</v>
      </c>
      <c r="O10" s="18" t="n">
        <v>0.0745</v>
      </c>
      <c r="P10" s="34">
        <f>SUM(L10:O10)</f>
        <v/>
      </c>
      <c r="Q10" s="18" t="n">
        <v>0.1018</v>
      </c>
      <c r="R10" s="18" t="n">
        <v>0.1058</v>
      </c>
      <c r="S10" s="18" t="n">
        <v>0.109</v>
      </c>
      <c r="T10" s="18" t="n">
        <v>0.1032</v>
      </c>
      <c r="U10" s="34">
        <f>SUM(Q10:T10)</f>
        <v/>
      </c>
      <c r="V10" s="18" t="n">
        <v>0.1237</v>
      </c>
      <c r="W10" s="18" t="n">
        <v>0.176</v>
      </c>
      <c r="X10" s="18" t="n">
        <v>0.1858</v>
      </c>
      <c r="Y10" s="18" t="n">
        <v>0.2513</v>
      </c>
      <c r="Z10" s="34">
        <f>SUM(V10:Y10)</f>
        <v/>
      </c>
      <c r="AA10" s="18" t="n">
        <v>0.244</v>
      </c>
      <c r="AB10" s="19" t="n">
        <v>0.2442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 t="n"/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/>
      <c r="F17" s="34" t="n"/>
      <c r="G17" s="18" t="n"/>
      <c r="H17" s="18" t="n"/>
      <c r="I17" s="18" t="n"/>
      <c r="J17" s="18" t="n">
        <v>-9.539999999999999</v>
      </c>
      <c r="K17" s="34">
        <f>SUM(G17:J17)</f>
        <v/>
      </c>
      <c r="L17" s="18" t="n">
        <v>0.23</v>
      </c>
      <c r="M17" s="18" t="n">
        <v>0</v>
      </c>
      <c r="N17" s="18" t="n">
        <v>0</v>
      </c>
      <c r="O17" s="18" t="n">
        <v>1.85</v>
      </c>
      <c r="P17" s="34">
        <f>SUM(L17:O17)</f>
        <v/>
      </c>
      <c r="Q17" s="18" t="n">
        <v>-1.41</v>
      </c>
      <c r="R17" s="18" t="n">
        <v>-0.01</v>
      </c>
      <c r="S17" s="18" t="n">
        <v>0</v>
      </c>
      <c r="T17" s="18" t="n">
        <v>0</v>
      </c>
      <c r="U17" s="34">
        <f>SUM(Q17:T17)</f>
        <v/>
      </c>
      <c r="V17" s="18" t="n"/>
      <c r="W17" s="18" t="n"/>
      <c r="X17" s="18" t="n"/>
      <c r="Y17" s="18" t="n">
        <v>0</v>
      </c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112.06</v>
      </c>
      <c r="F27" s="34" t="n"/>
      <c r="G27" s="18" t="n">
        <v>-132.19</v>
      </c>
      <c r="H27" s="18" t="n">
        <v>-25.39</v>
      </c>
      <c r="I27" s="18" t="n">
        <v>46.91</v>
      </c>
      <c r="J27" s="18" t="n">
        <v>-93.64</v>
      </c>
      <c r="K27" s="34">
        <f>SUM(G27:J27)</f>
        <v/>
      </c>
      <c r="L27" s="18" t="n">
        <v>34.48</v>
      </c>
      <c r="M27" s="18" t="n">
        <v>-64.56999999999999</v>
      </c>
      <c r="N27" s="18" t="n">
        <v>76.08</v>
      </c>
      <c r="O27" s="18" t="n">
        <v>317.75</v>
      </c>
      <c r="P27" s="34">
        <f>SUM(L27:O27)</f>
        <v/>
      </c>
      <c r="Q27" s="18" t="n">
        <v>20.28</v>
      </c>
      <c r="R27" s="18" t="n">
        <v>312.65</v>
      </c>
      <c r="S27" s="18" t="n">
        <v>10.22</v>
      </c>
      <c r="T27" s="18" t="n">
        <v>671.22</v>
      </c>
      <c r="U27" s="34">
        <f>SUM(Q27:T27)</f>
        <v/>
      </c>
      <c r="V27" s="18" t="n">
        <v>165.13</v>
      </c>
      <c r="W27" s="18" t="n">
        <v>-700.62</v>
      </c>
      <c r="X27" s="18" t="n">
        <v>1310.93</v>
      </c>
      <c r="Y27" s="18" t="n">
        <v>1030.58</v>
      </c>
      <c r="Z27" s="34">
        <f>SUM(V27:Y27)</f>
        <v/>
      </c>
      <c r="AA27" s="18" t="n">
        <v>347.57</v>
      </c>
      <c r="AB27" s="19" t="n">
        <v>655.37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28.366</v>
      </c>
      <c r="F28" s="27">
        <f>E28</f>
        <v/>
      </c>
      <c r="G28" s="26" t="n">
        <v>28.366</v>
      </c>
      <c r="H28" s="26" t="n">
        <v>28.366</v>
      </c>
      <c r="I28" s="26" t="n">
        <v>28.366</v>
      </c>
      <c r="J28" s="26" t="n">
        <v>28.381</v>
      </c>
      <c r="K28" s="27">
        <f>J28</f>
        <v/>
      </c>
      <c r="L28" s="26" t="n">
        <v>28.553</v>
      </c>
      <c r="M28" s="26" t="n">
        <v>28.553</v>
      </c>
      <c r="N28" s="26" t="n">
        <v>28.553</v>
      </c>
      <c r="O28" s="26" t="n">
        <v>28.553</v>
      </c>
      <c r="P28" s="27">
        <f>O28</f>
        <v/>
      </c>
      <c r="Q28" s="26" t="n">
        <v>28.553</v>
      </c>
      <c r="R28" s="26" t="n">
        <v>28.553</v>
      </c>
      <c r="S28" s="26" t="n">
        <v>33.917</v>
      </c>
      <c r="T28" s="26" t="n">
        <v>33.921</v>
      </c>
      <c r="U28" s="27">
        <f>T28</f>
        <v/>
      </c>
      <c r="V28" s="26" t="n">
        <v>33.921</v>
      </c>
      <c r="W28" s="26" t="n">
        <v>33.921</v>
      </c>
      <c r="X28" s="26" t="n">
        <v>33.921</v>
      </c>
      <c r="Y28" s="26" t="n">
        <v>33.921</v>
      </c>
      <c r="Z28" s="27">
        <f>Y28</f>
        <v/>
      </c>
      <c r="AA28" s="26" t="n">
        <v>33.921</v>
      </c>
      <c r="AB28" s="28" t="n">
        <v>33.921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6.02</v>
      </c>
      <c r="J32" s="18" t="n">
        <v>9.49</v>
      </c>
      <c r="K32" s="34">
        <f>SUM(G32:J32)</f>
        <v/>
      </c>
      <c r="L32" s="18" t="n">
        <v>11.72</v>
      </c>
      <c r="M32" s="18" t="n">
        <v>8.140000000000001</v>
      </c>
      <c r="N32" s="18" t="n">
        <v>35.72</v>
      </c>
      <c r="O32" s="18" t="n">
        <v>9.33</v>
      </c>
      <c r="P32" s="34">
        <f>SUM(L32:O32)</f>
        <v/>
      </c>
      <c r="Q32" s="18" t="n">
        <v>8.34</v>
      </c>
      <c r="R32" s="18" t="n">
        <v>10.49</v>
      </c>
      <c r="S32" s="18" t="n">
        <v>11.4</v>
      </c>
      <c r="T32" s="18" t="n">
        <v>8.800000000000001</v>
      </c>
      <c r="U32" s="34">
        <f>SUM(Q32:T32)</f>
        <v/>
      </c>
      <c r="V32" s="18" t="n">
        <v>10.91</v>
      </c>
      <c r="W32" s="18" t="n">
        <v>14.98</v>
      </c>
      <c r="X32" s="18" t="n">
        <v>24.07</v>
      </c>
      <c r="Y32" s="18" t="n">
        <v>17.98</v>
      </c>
      <c r="Z32" s="34">
        <f>SUM(V32:Y32)</f>
        <v/>
      </c>
      <c r="AA32" s="18" t="n">
        <v>16.2</v>
      </c>
      <c r="AB32" s="19" t="n">
        <v>13.87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0.9</v>
      </c>
      <c r="F33" s="34" t="n">
        <v>0.87</v>
      </c>
      <c r="G33" s="18" t="n">
        <v>0.89</v>
      </c>
      <c r="H33" s="18" t="n">
        <v>0.93</v>
      </c>
      <c r="I33" s="18" t="n">
        <v>0.78</v>
      </c>
      <c r="J33" s="18" t="n">
        <v>0.7</v>
      </c>
      <c r="K33" s="34">
        <f>SUM(G33:J33)</f>
        <v/>
      </c>
      <c r="L33" s="18" t="n">
        <v>0.97</v>
      </c>
      <c r="M33" s="18" t="n">
        <v>0.87</v>
      </c>
      <c r="N33" s="18" t="n">
        <v>1.51</v>
      </c>
      <c r="O33" s="18" t="n">
        <v>1.31</v>
      </c>
      <c r="P33" s="34">
        <f>SUM(L33:O33)</f>
        <v/>
      </c>
      <c r="Q33" s="18" t="n">
        <v>1.38</v>
      </c>
      <c r="R33" s="18" t="n">
        <v>1.84</v>
      </c>
      <c r="S33" s="18" t="n">
        <v>2.32</v>
      </c>
      <c r="T33" s="18" t="n">
        <v>2.24</v>
      </c>
      <c r="U33" s="34">
        <f>SUM(Q33:T33)</f>
        <v/>
      </c>
      <c r="V33" s="18" t="n">
        <v>2.83</v>
      </c>
      <c r="W33" s="18" t="n">
        <v>3.78</v>
      </c>
      <c r="X33" s="18" t="n">
        <v>6.61</v>
      </c>
      <c r="Y33" s="18" t="n">
        <v>6.07</v>
      </c>
      <c r="Z33" s="34">
        <f>SUM(V33:Y33)</f>
        <v/>
      </c>
      <c r="AA33" s="18" t="n">
        <v>5.82</v>
      </c>
      <c r="AB33" s="19" t="n">
        <v>5.17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468.69</v>
      </c>
      <c r="F34" s="34" t="n"/>
      <c r="G34" s="18" t="n">
        <v>217.09</v>
      </c>
      <c r="H34" s="18" t="n">
        <v>573.8200000000001</v>
      </c>
      <c r="I34" s="18" t="n">
        <v>530.1</v>
      </c>
      <c r="J34" s="18" t="n">
        <v>472.27</v>
      </c>
      <c r="K34" s="34">
        <f>SUM(G34:J34)</f>
        <v/>
      </c>
      <c r="L34" s="18" t="n">
        <v>212.02</v>
      </c>
      <c r="M34" s="18" t="n">
        <v>755.91</v>
      </c>
      <c r="N34" s="18" t="n">
        <v>693.5599999999999</v>
      </c>
      <c r="O34" s="18" t="n">
        <v>788.72</v>
      </c>
      <c r="P34" s="34">
        <f>SUM(L34:O34)</f>
        <v/>
      </c>
      <c r="Q34" s="18" t="n">
        <v>613.59</v>
      </c>
      <c r="R34" s="18" t="n">
        <v>850.9299999999999</v>
      </c>
      <c r="S34" s="18" t="n">
        <v>807.88</v>
      </c>
      <c r="T34" s="18" t="n">
        <v>885.54</v>
      </c>
      <c r="U34" s="34">
        <f>SUM(Q34:T34)</f>
        <v/>
      </c>
      <c r="V34" s="18" t="n">
        <v>830.1900000000001</v>
      </c>
      <c r="W34" s="18" t="n">
        <v>992.33</v>
      </c>
      <c r="X34" s="18" t="n">
        <v>1091.69</v>
      </c>
      <c r="Y34" s="18" t="n">
        <v>1109.76</v>
      </c>
      <c r="Z34" s="34">
        <f>SUM(V34:Y34)</f>
        <v/>
      </c>
      <c r="AA34" s="18" t="n">
        <v>1334.61</v>
      </c>
      <c r="AB34" s="19" t="n">
        <v>1281.19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13.03</v>
      </c>
      <c r="F35" s="34" t="n"/>
      <c r="G35" s="18" t="n">
        <v>-14.3</v>
      </c>
      <c r="H35" s="18" t="n">
        <v>4.67</v>
      </c>
      <c r="I35" s="18" t="n">
        <v>40.58</v>
      </c>
      <c r="J35" s="18" t="n">
        <v>82.47</v>
      </c>
      <c r="K35" s="34">
        <f>SUM(G35:J35)</f>
        <v/>
      </c>
      <c r="L35" s="18" t="n">
        <v>0.13</v>
      </c>
      <c r="M35" s="18" t="n">
        <v>54.4</v>
      </c>
      <c r="N35" s="18" t="n">
        <v>65.92</v>
      </c>
      <c r="O35" s="18" t="n">
        <v>58.8</v>
      </c>
      <c r="P35" s="34">
        <f>SUM(L35:O35)</f>
        <v/>
      </c>
      <c r="Q35" s="18" t="n">
        <v>62.47</v>
      </c>
      <c r="R35" s="18" t="n">
        <v>90.04000000000001</v>
      </c>
      <c r="S35" s="18" t="n">
        <v>88.06999999999999</v>
      </c>
      <c r="T35" s="18" t="n">
        <v>91.34999999999999</v>
      </c>
      <c r="U35" s="34">
        <f>SUM(Q35:T35)</f>
        <v/>
      </c>
      <c r="V35" s="18" t="n">
        <v>102.72</v>
      </c>
      <c r="W35" s="18" t="n">
        <v>174.62</v>
      </c>
      <c r="X35" s="18" t="n">
        <v>202.88</v>
      </c>
      <c r="Y35" s="18" t="n">
        <v>278.89</v>
      </c>
      <c r="Z35" s="34">
        <f>SUM(V35:Y35)</f>
        <v/>
      </c>
      <c r="AA35" s="18" t="n">
        <v>325.64</v>
      </c>
      <c r="AB35" s="19" t="n">
        <v>312.86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2">
        <f>IFERROR(F16/F5,"")</f>
        <v/>
      </c>
      <c r="G38" s="21">
        <f>IFERROR(G16/G5,"")</f>
        <v/>
      </c>
      <c r="H38" s="21">
        <f>IFERROR(H16/H5,"")</f>
        <v/>
      </c>
      <c r="I38" s="21">
        <f>IFERROR(I16/I5,"")</f>
        <v/>
      </c>
      <c r="J38" s="21">
        <f>IFERROR(J16/J5,"")</f>
        <v/>
      </c>
      <c r="K38" s="22">
        <f>IFERROR(K16/K5,"")</f>
        <v/>
      </c>
      <c r="L38" s="21">
        <f>IFERROR(L16/L5,"")</f>
        <v/>
      </c>
      <c r="M38" s="21">
        <f>IFERROR(M16/M5,"")</f>
        <v/>
      </c>
      <c r="N38" s="21">
        <f>IFERROR(N16/N5,"")</f>
        <v/>
      </c>
      <c r="O38" s="21">
        <f>IFERROR(O16/O5,"")</f>
        <v/>
      </c>
      <c r="P38" s="22">
        <f>IFERROR(P16/P5,"")</f>
        <v/>
      </c>
      <c r="Q38" s="21">
        <f>IFERROR(Q16/Q5,"")</f>
        <v/>
      </c>
      <c r="R38" s="21">
        <f>IFERROR(R16/R5,"")</f>
        <v/>
      </c>
      <c r="S38" s="21">
        <f>IFERROR(S16/S5,"")</f>
        <v/>
      </c>
      <c r="T38" s="21">
        <f>IFERROR(T16/T5,"")</f>
        <v/>
      </c>
      <c r="U38" s="22">
        <f>IFERROR(U16/U5,"")</f>
        <v/>
      </c>
      <c r="V38" s="21">
        <f>IFERROR(V16/V5,"")</f>
        <v/>
      </c>
      <c r="W38" s="21">
        <f>IFERROR(W16/W5,"")</f>
        <v/>
      </c>
      <c r="X38" s="21">
        <f>IFERROR(X16/X5,"")</f>
        <v/>
      </c>
      <c r="Y38" s="21">
        <f>IFERROR(Y16/Y5,"")</f>
        <v/>
      </c>
      <c r="Z38" s="22">
        <f>IFERROR(Z16/Z5,"")</f>
        <v/>
      </c>
      <c r="AA38" s="21">
        <f>IFERROR(AA16/AA5,"")</f>
        <v/>
      </c>
      <c r="AB38" s="23">
        <f>IFERROR(AB16/AB5,"")</f>
        <v/>
      </c>
      <c r="AC38" s="31">
        <f>IFERROR(AC16/AC5,"")</f>
        <v/>
      </c>
      <c r="AD38" s="31">
        <f>IFERROR(AD16/AD5,"")</f>
        <v/>
      </c>
      <c r="AE38" s="25">
        <f>IFERROR(AE16/AE5,"")</f>
        <v/>
      </c>
      <c r="AF38" s="31">
        <f>IFERROR(AF16/AF5,"")</f>
        <v/>
      </c>
      <c r="AG38" s="31">
        <f>IFERROR(AG16/AG5,"")</f>
        <v/>
      </c>
      <c r="AH38" s="31">
        <f>IFERROR(AH16/AH5,"")</f>
        <v/>
      </c>
      <c r="AI38" s="31">
        <f>IFERROR(AI16/AI5,"")</f>
        <v/>
      </c>
      <c r="AJ38" s="25">
        <f>IFERROR(AJ16/AJ5,"")</f>
        <v/>
      </c>
      <c r="AK38" s="31">
        <f>IFERROR(AK16/AK5,"")</f>
        <v/>
      </c>
      <c r="AL38" s="31">
        <f>IFERROR(AL16/AL5,"")</f>
        <v/>
      </c>
      <c r="AM38" s="31">
        <f>IFERROR(AM16/AM5,"")</f>
        <v/>
      </c>
      <c r="AN38" s="31">
        <f>IFERROR(AN16/AN5,"")</f>
        <v/>
      </c>
      <c r="AO38" s="25">
        <f>IFERROR(AO16/AO5,"")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IFERROR(I16/E16-1,"")</f>
        <v/>
      </c>
      <c r="J40" s="21">
        <f>IFERROR(J16/F16-1,"")</f>
        <v/>
      </c>
      <c r="K40" s="21">
        <f>IFERROR(K16/G16-1,"")</f>
        <v/>
      </c>
      <c r="L40" s="21">
        <f>IFERROR(L16/H16-1,"")</f>
        <v/>
      </c>
      <c r="M40" s="21">
        <f>IFERROR(M16/I16-1,"")</f>
        <v/>
      </c>
      <c r="N40" s="21">
        <f>IFERROR(N16/J16-1,"")</f>
        <v/>
      </c>
      <c r="O40" s="21">
        <f>IFERROR(O16/K16-1,"")</f>
        <v/>
      </c>
      <c r="P40" s="21">
        <f>IFERROR(P16/L16-1,"")</f>
        <v/>
      </c>
      <c r="Q40" s="21">
        <f>IFERROR(Q16/M16-1,"")</f>
        <v/>
      </c>
      <c r="R40" s="21">
        <f>IFERROR(R16/N16-1,"")</f>
        <v/>
      </c>
      <c r="S40" s="21">
        <f>IFERROR(S16/O16-1,"")</f>
        <v/>
      </c>
      <c r="T40" s="21">
        <f>IFERROR(T16/P16-1,"")</f>
        <v/>
      </c>
      <c r="U40" s="21">
        <f>IFERROR(U16/Q16-1,"")</f>
        <v/>
      </c>
      <c r="V40" s="21">
        <f>IFERROR(V16/R16-1,"")</f>
        <v/>
      </c>
      <c r="W40" s="42">
        <f>IFERROR(W16/S16-1,"")</f>
        <v/>
      </c>
      <c r="X40" s="31">
        <f>IFERROR(X16/T16-1,"")</f>
        <v/>
      </c>
      <c r="Y40" s="31">
        <f>IFERROR(Y16/U16-1,"")</f>
        <v/>
      </c>
      <c r="Z40" s="31">
        <f>IFERROR(Z16/V16-1,"")</f>
        <v/>
      </c>
      <c r="AA40" s="31">
        <f>IFERROR(AA16/W16-1,"")</f>
        <v/>
      </c>
      <c r="AB40" s="31">
        <f>IFERROR(AB16/X16-1,"")</f>
        <v/>
      </c>
      <c r="AC40" s="31">
        <f>IFERROR(AC16/Y16-1,"")</f>
        <v/>
      </c>
      <c r="AD40" s="31">
        <f>IFERROR(AD16/Z16-1,"")</f>
        <v/>
      </c>
      <c r="AE40" s="31">
        <f>IFERROR(AE16/AA16-1,"")</f>
        <v/>
      </c>
      <c r="AF40" s="31">
        <f>IFERROR(AF16/AB16-1,"")</f>
        <v/>
      </c>
      <c r="AG40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IFERROR(F16/E16-1,"")</f>
        <v/>
      </c>
      <c r="G40" s="21">
        <f>IFERROR(G16/F16-1,"")</f>
        <v/>
      </c>
      <c r="H40" s="21">
        <f>IFERROR(H16/G16-1,"")</f>
        <v/>
      </c>
      <c r="I40" s="42">
        <f>IFERROR(I16/H16-1,"")</f>
        <v/>
      </c>
      <c r="J40" s="31">
        <f>IFERROR(J16/I16-1,"")</f>
        <v/>
      </c>
      <c r="K40" s="31">
        <f>IFERROR(K16/J16-1,"")</f>
        <v/>
      </c>
      <c r="L40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3097.4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15.37</v>
      </c>
    </row>
    <row r="32">
      <c r="C32" s="2" t="inlineStr">
        <is>
          <t>pbr_now</t>
        </is>
      </c>
      <c r="D32" t="n">
        <v>3.09</v>
      </c>
    </row>
    <row r="33">
      <c r="C33" s="2" t="inlineStr">
        <is>
          <t>roe_fwd</t>
        </is>
      </c>
      <c r="D33" t="n">
        <v>0.2013</v>
      </c>
    </row>
    <row r="34">
      <c r="C34" s="2" t="inlineStr">
        <is>
          <t>fair_pbr</t>
        </is>
      </c>
      <c r="D34" t="n">
        <v>2.24</v>
      </c>
    </row>
    <row r="35">
      <c r="C35" s="2" t="inlineStr">
        <is>
          <t>fair_value_pbr</t>
        </is>
      </c>
      <c r="D35" t="n">
        <v>34500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