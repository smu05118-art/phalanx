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1121억 − (비영업손익 750억 − 12분기 기준선 16억) × (1 − 8.0%, 모델 세율(분기 유효세율이 0~35% 밖·세전 ≤ 0)) × 지배 비중 1.00(그 분기 지배NI/NI) = 446억 ÷ 유통주식수 — 일회성 여부·세효과는 주석 미확인(모델 추정); 보고 EPS 3,304.4원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4">
      <c r="A34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49050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47400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48725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0.27992191</v>
      </c>
      <c r="AD41" s="24" t="n">
        <v>-0.334753176</v>
      </c>
      <c r="AE41" s="25" t="n"/>
      <c r="AF41" s="24" t="n">
        <v>0.248734635</v>
      </c>
      <c r="AG41" s="24" t="n">
        <v>0.077799063</v>
      </c>
      <c r="AH41" s="24" t="n">
        <v>0.212366538</v>
      </c>
      <c r="AI41" s="24" t="n">
        <v>0.211982621</v>
      </c>
      <c r="AJ41" s="25" t="n"/>
      <c r="AK41" s="24" t="n">
        <v>0.208067941</v>
      </c>
      <c r="AL41" s="24" t="n">
        <v>0.208847635</v>
      </c>
      <c r="AM41" s="24" t="n">
        <v>0.13084293</v>
      </c>
      <c r="AN41" s="24" t="n">
        <v>0.130377358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49050</v>
      </c>
      <c r="E45" s="2" t="inlineStr">
        <is>
          <t>원 — 네이버 정규장 종가(aik 확정종가 대조 · aik 48,200원)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9.300000000000001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11.2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16.2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0.08049720499330666</v>
      </c>
      <c r="E52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0.05928745488891241</v>
      </c>
      <c r="E53" s="2" t="inlineStr">
        <is>
          <t>연결 — 판관비 = 매출액 × 판관비율(역산, 재현 오차 ≤ 0.05억 · 모델 assumptions 0.0593)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0.05214443690966399</v>
      </c>
      <c r="E55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0.01681726185905052</v>
      </c>
      <c r="E56" s="2" t="inlineStr">
        <is>
          <t>연결 — 같은 수식의 부채 쪽(총차입금 행이 없으면 0)(역산, 재현 오차 ≤ 0.05억 · 모델 assumptions 0.0168)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325.7</v>
      </c>
      <c r="F34" s="37" t="n"/>
      <c r="G34" s="18" t="n">
        <v>-57.4</v>
      </c>
      <c r="H34" s="18" t="n">
        <v>25.2</v>
      </c>
      <c r="I34" s="18" t="n">
        <v>438.2</v>
      </c>
      <c r="J34" s="18" t="n">
        <v>92.59999999999999</v>
      </c>
      <c r="K34" s="37">
        <f>SUM(G34:J34)</f>
        <v/>
      </c>
      <c r="L34" s="18" t="n">
        <v>1.4</v>
      </c>
      <c r="M34" s="18" t="n">
        <v>204.2</v>
      </c>
      <c r="N34" s="18" t="n">
        <v>-8.6</v>
      </c>
      <c r="O34" s="18" t="n">
        <v>911.2</v>
      </c>
      <c r="P34" s="37">
        <f>SUM(L34:O34)</f>
        <v/>
      </c>
      <c r="Q34" s="18" t="n">
        <v>234.8</v>
      </c>
      <c r="R34" s="18" t="n">
        <v>328.6</v>
      </c>
      <c r="S34" s="18" t="n">
        <v>280.4</v>
      </c>
      <c r="T34" s="18" t="n">
        <v>1479.1</v>
      </c>
      <c r="U34" s="37">
        <f>SUM(Q34:T34)</f>
        <v/>
      </c>
      <c r="V34" s="18" t="n">
        <v>408.7</v>
      </c>
      <c r="W34" s="18" t="n">
        <v>488.2</v>
      </c>
      <c r="X34" s="18" t="n">
        <v>665.9</v>
      </c>
      <c r="Y34" s="20" t="n">
        <v>1314.7</v>
      </c>
      <c r="Z34" s="37">
        <f>SUM(V34:Y34)</f>
        <v/>
      </c>
      <c r="AA34" s="18" t="n">
        <v>829.8</v>
      </c>
      <c r="AB34" s="19" t="n">
        <v>939.6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IFERROR(변수!$D$45/(Y33+AA33+AB33+AC33),"")</f>
        <v/>
      </c>
      <c r="AD37" s="39">
        <f>IFERROR(변수!$D$45/(AA33+AB33+AC33+AD33),"")</f>
        <v/>
      </c>
      <c r="AE37" s="40">
        <f>AD37</f>
        <v/>
      </c>
      <c r="AF37" s="39">
        <f>IFERROR(변수!$D$45/(AB33+AC33+AD33+AF33),"")</f>
        <v/>
      </c>
      <c r="AG37" s="39">
        <f>IFERROR(변수!$D$45/(AC33+AD33+AF33+AG33),"")</f>
        <v/>
      </c>
      <c r="AH37" s="39">
        <f>IFERROR(변수!$D$45/(AD33+AF33+AG33+AH33),"")</f>
        <v/>
      </c>
      <c r="AI37" s="39">
        <f>IFERROR(변수!$D$45/(AF33+AG33+AH33+AI33),"")</f>
        <v/>
      </c>
      <c r="AJ37" s="40">
        <f>AI37</f>
        <v/>
      </c>
      <c r="AK37" s="39">
        <f>IFERROR(변수!$D$45/(AG33+AH33+AI33+AK33),"")</f>
        <v/>
      </c>
      <c r="AL37" s="39">
        <f>IFERROR(변수!$D$45/(AH33+AI33+AK33+AL33),"")</f>
        <v/>
      </c>
      <c r="AM37" s="39">
        <f>IFERROR(변수!$D$45/(AI33+AK33+AL33+AM33),"")</f>
        <v/>
      </c>
      <c r="AN37" s="39">
        <f>IFERROR(변수!$D$45/(AK33+AL33+AM33+AN33),"")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12.99</v>
      </c>
    </row>
    <row r="32">
      <c r="C32" s="2" t="inlineStr">
        <is>
          <t>pbr_now</t>
        </is>
      </c>
      <c r="D32" t="n">
        <v>3.19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