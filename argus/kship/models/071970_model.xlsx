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모델값 역산(implied): v / 매출액
매출액 × 판관비율 5.93%(최근 4분기 중위)</t>
      </text>
    </comment>
    <comment ref="AD22" authorId="0" shapeId="0">
      <text>
        <t>모델값 역산(implied): v / 매출액
매출액 × 판관비율 5.93%(최근 4분기 중위)</t>
      </text>
    </comment>
    <comment ref="AF22" authorId="0" shapeId="0">
      <text>
        <t>모델값 역산(implied): v / 매출액
매출액 × 판관비율 5.93%(최근 4분기 중위)</t>
      </text>
    </comment>
    <comment ref="AG22" authorId="0" shapeId="0">
      <text>
        <t>모델값 역산(implied): v / 매출액
매출액 × 판관비율 5.93%(최근 4분기 중위)</t>
      </text>
    </comment>
    <comment ref="AH22" authorId="0" shapeId="0">
      <text>
        <t>모델값 역산(implied): v / 매출액
매출액 × 판관비율 5.93%(최근 4분기 중위)</t>
      </text>
    </comment>
    <comment ref="AI22" authorId="0" shapeId="0">
      <text>
        <t>모델값 역산(implied): v / 매출액
매출액 × 판관비율 5.93%(최근 4분기 중위)</t>
      </text>
    </comment>
    <comment ref="AK22" authorId="0" shapeId="0">
      <text>
        <t>모델값 역산(implied): v / 매출액
매출액 × 판관비율 5.93%(최근 4분기 중위)</t>
      </text>
    </comment>
    <comment ref="AL22" authorId="0" shapeId="0">
      <text>
        <t>모델값 역산(implied): v / 매출액
매출액 × 판관비율 5.93%(최근 4분기 중위)</t>
      </text>
    </comment>
    <comment ref="AM22" authorId="0" shapeId="0">
      <text>
        <t>모델값 역산(implied): v / 매출액
매출액 × 판관비율 5.93%(최근 4분기 중위)</t>
      </text>
    </comment>
    <comment ref="AN22" authorId="0" shapeId="0">
      <text>
        <t>모델값 역산(implied): v / 매출액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v / 전년동기 − 1
최근 8분기 OPM 중위 18.1% 유지(클립 −20~40%)</t>
      </text>
    </comment>
    <comment ref="AD24" authorId="0" shapeId="0">
      <text>
        <t>모델값 역산(implied): v / 전년동기 − 1
최근 8분기 OPM 중위 18.1% 유지(클립 −20~40%)</t>
      </text>
    </comment>
    <comment ref="AF24" authorId="0" shapeId="0">
      <text>
        <t>모델값 역산(implied): v / 전년동기 − 1
최근 8분기 OPM 중위 18.1% 유지(클립 −20~40%)</t>
      </text>
    </comment>
    <comment ref="AG24" authorId="0" shapeId="0">
      <text>
        <t>모델값 역산(implied): v / 전년동기 − 1
최근 8분기 OPM 중위 18.1% 유지(클립 −20~40%)</t>
      </text>
    </comment>
    <comment ref="AH24" authorId="0" shapeId="0">
      <text>
        <t>모델값 역산(implied): v / 전년동기 − 1
최근 8분기 OPM 중위 18.1% 유지(클립 −20~40%)</t>
      </text>
    </comment>
    <comment ref="AI24" authorId="0" shapeId="0">
      <text>
        <t>모델값 역산(implied): v / 전년동기 − 1
최근 8분기 OPM 중위 18.1% 유지(클립 −20~40%)</t>
      </text>
    </comment>
    <comment ref="AK24" authorId="0" shapeId="0">
      <text>
        <t>모델값 역산(implied): v / 전년동기 − 1
최근 8분기 OPM 중위 18.1% 유지(클립 −20~40%)</t>
      </text>
    </comment>
    <comment ref="AL24" authorId="0" shapeId="0">
      <text>
        <t>모델값 역산(implied): v / 전년동기 − 1
최근 8분기 OPM 중위 18.1% 유지(클립 −20~40%)</t>
      </text>
    </comment>
    <comment ref="AM24" authorId="0" shapeId="0">
      <text>
        <t>모델값 역산(implied): v / 전년동기 − 1
최근 8분기 OPM 중위 18.1% 유지(클립 −20~40%)</t>
      </text>
    </comment>
    <comment ref="AN24" authorId="0" shapeId="0">
      <text>
        <t>모델값 역산(implied): v / 전년동기 − 1
최근 8분기 OPM 중위 18.1% 유지(클립 −20~40%)</t>
      </text>
    </comment>
    <comment ref="AC25" authorId="0" shapeId="0">
      <text>
        <t>모델값 역산(implied): 모델 v 그대로
이자손익 = 이자발생자산 3478억 × 4.36% − 총차입금 362억 × 1.68% (연율, CF 실측) ÷ 4; 환·평가손익 0 가정</t>
      </text>
    </comment>
    <comment ref="AD25" authorId="0" shapeId="0">
      <text>
        <t>모델값 역산(implied): 모델 v 그대로
이자손익 = 이자발생자산 3770억 × 4.36% − 총차입금 362억 × 1.68% (연율, CF 실측) ÷ 4; 환·평가손익 0 가정</t>
      </text>
    </comment>
    <comment ref="AF25" authorId="0" shapeId="0">
      <text>
        <t>모델값 역산(implied): 모델 v 그대로
이자손익 = 이자발생자산 4069억 × 4.36% − 총차입금 362억 × 1.68% (연율, CF 실측) ÷ 4; 환·평가손익 0 가정</t>
      </text>
    </comment>
    <comment ref="AG25" authorId="0" shapeId="0">
      <text>
        <t>모델값 역산(implied): 모델 v 그대로
이자손익 = 이자발생자산 4424억 × 4.36% − 총차입금 362억 × 1.68% (연율, CF 실측) ÷ 4; 환·평가손익 0 가정</t>
      </text>
    </comment>
    <comment ref="AH25" authorId="0" shapeId="0">
      <text>
        <t>모델값 역산(implied): 모델 v 그대로
이자손익 = 이자발생자산 4770억 × 4.36% − 총차입금 362억 × 1.68% (연율, CF 실측) ÷ 4; 환·평가손익 0 가정</t>
      </text>
    </comment>
    <comment ref="AI25" authorId="0" shapeId="0">
      <text>
        <t>모델값 역산(implied): 모델 v 그대로
이자손익 = 이자발생자산 5122억 × 4.36% − 총차입금 362억 × 1.68% (연율, CF 실측) ÷ 4; 환·평가손익 0 가정</t>
      </text>
    </comment>
    <comment ref="AK25" authorId="0" shapeId="0">
      <text>
        <t>모델값 역산(implied): 모델 v 그대로
이자손익 = 이자발생자산 5483억 × 4.36% − 총차입금 362억 × 1.68% (연율, CF 실측) ÷ 4; 환·평가손익 0 가정</t>
      </text>
    </comment>
    <comment ref="AL25" authorId="0" shapeId="0">
      <text>
        <t>모델값 역산(implied): 모델 v 그대로
이자손익 = 이자발생자산 5911억 × 4.36% − 총차입금 362억 × 1.68% (연율, CF 실측) ÷ 4; 환·평가손익 0 가정</t>
      </text>
    </comment>
    <comment ref="AM25" authorId="0" shapeId="0">
      <text>
        <t>모델값 역산(implied): 모델 v 그대로
이자손익 = 이자발생자산 6328억 × 4.36% − 총차입금 362억 × 1.68% (연율, CF 실측) ÷ 4; 환·평가손익 0 가정</t>
      </text>
    </comment>
    <comment ref="AN25" authorId="0" shapeId="0">
      <text>
        <t>모델값 역산(implied): 모델 v 그대로
이자손익 = 이자발생자산 6725억 × 4.36% − 총차입금 362억 × 1.68%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-22.1% → 5~27% 클립)</t>
      </text>
    </comment>
    <comment ref="AD27" authorId="0" shapeId="0">
      <text>
        <t>모델값 역산(implied): v / 세전이익
max(세전, 0) × 세율 5.0%(최근 12분기 유효세율 -22.1% → 5~27% 클립)</t>
      </text>
    </comment>
    <comment ref="AF27" authorId="0" shapeId="0">
      <text>
        <t>모델값 역산(implied): v / 세전이익
max(세전, 0) × 세율 5.0%(최근 12분기 유효세율 -22.1% → 5~27% 클립)</t>
      </text>
    </comment>
    <comment ref="AG27" authorId="0" shapeId="0">
      <text>
        <t>모델값 역산(implied): v / 세전이익
max(세전, 0) × 세율 5.0%(최근 12분기 유효세율 -22.1% → 5~27% 클립)</t>
      </text>
    </comment>
    <comment ref="AH27" authorId="0" shapeId="0">
      <text>
        <t>모델값 역산(implied): v / 세전이익
max(세전, 0) × 세율 5.0%(최근 12분기 유효세율 -22.1% → 5~27% 클립)</t>
      </text>
    </comment>
    <comment ref="AI27" authorId="0" shapeId="0">
      <text>
        <t>모델값 역산(implied): v / 세전이익
max(세전, 0) × 세율 5.0%(최근 12분기 유효세율 -22.1% → 5~27% 클립)</t>
      </text>
    </comment>
    <comment ref="AK27" authorId="0" shapeId="0">
      <text>
        <t>모델값 역산(implied): v / 세전이익
max(세전, 0) × 세율 5.0%(최근 12분기 유효세율 -22.1% → 5~27% 클립)</t>
      </text>
    </comment>
    <comment ref="AL27" authorId="0" shapeId="0">
      <text>
        <t>모델값 역산(implied): v / 세전이익
max(세전, 0) × 세율 5.0%(최근 12분기 유효세율 -22.1% → 5~27% 클립)</t>
      </text>
    </comment>
    <comment ref="AM27" authorId="0" shapeId="0">
      <text>
        <t>모델값 역산(implied): v / 세전이익
max(세전, 0) × 세율 5.0%(최근 12분기 유효세율 -22.1% → 5~27% 클립)</t>
      </text>
    </comment>
    <comment ref="AN27" authorId="0" shapeId="0">
      <text>
        <t>모델값 역산(implied): v / 세전이익
max(세전, 0) × 세율 5.0%(최근 12분기 유효세율 -22.1%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18.1% 유지(클립 −20~40%)
[yoy]</t>
      </text>
    </comment>
    <comment ref="AD10" authorId="0" shapeId="0">
      <text>
        <t>추정: 최근 8분기 OPM 중위 18.1% 유지(클립 −20~40%)
[yoy]</t>
      </text>
    </comment>
    <comment ref="AF10" authorId="0" shapeId="0">
      <text>
        <t>추정: 최근 8분기 OPM 중위 18.1% 유지(클립 −20~40%)
[yoy]</t>
      </text>
    </comment>
    <comment ref="AG10" authorId="0" shapeId="0">
      <text>
        <t>추정: 최근 8분기 OPM 중위 18.1% 유지(클립 −20~40%)
[yoy]</t>
      </text>
    </comment>
    <comment ref="AH10" authorId="0" shapeId="0">
      <text>
        <t>추정: 최근 8분기 OPM 중위 18.1% 유지(클립 −20~40%)
[yoy]</t>
      </text>
    </comment>
    <comment ref="AI10" authorId="0" shapeId="0">
      <text>
        <t>추정: 최근 8분기 OPM 중위 18.1% 유지(클립 −20~40%)
[yoy]</t>
      </text>
    </comment>
    <comment ref="AK10" authorId="0" shapeId="0">
      <text>
        <t>추정: 최근 8분기 OPM 중위 18.1% 유지(클립 −20~40%)
[yoy]</t>
      </text>
    </comment>
    <comment ref="AL10" authorId="0" shapeId="0">
      <text>
        <t>추정: 최근 8분기 OPM 중위 18.1% 유지(클립 −20~40%)
[yoy]</t>
      </text>
    </comment>
    <comment ref="AM10" authorId="0" shapeId="0">
      <text>
        <t>추정: 최근 8분기 OPM 중위 18.1% 유지(클립 −20~40%)
[yoy]</t>
      </text>
    </comment>
    <comment ref="AN10" authorId="0" shapeId="0">
      <text>
        <t>추정: 최근 8분기 OPM 중위 18.1% 유지(클립 −20~40%)
[yoy]</t>
      </text>
    </comment>
    <comment ref="AC11" authorId="0" shapeId="0">
      <text>
        <t>추정: 이자손익 = 이자발생자산 3478억 × 4.36% − 총차입금 362억 × 1.68% (연율, CF 실측) ÷ 4; 환·평가손익 0 가정
[abs]</t>
      </text>
    </comment>
    <comment ref="AD11" authorId="0" shapeId="0">
      <text>
        <t>추정: 이자손익 = 이자발생자산 3770억 × 4.36% − 총차입금 362억 × 1.68% (연율, CF 실측) ÷ 4; 환·평가손익 0 가정
[abs]</t>
      </text>
    </comment>
    <comment ref="AF11" authorId="0" shapeId="0">
      <text>
        <t>추정: 이자손익 = 이자발생자산 4069억 × 4.36% − 총차입금 362억 × 1.68% (연율, CF 실측) ÷ 4; 환·평가손익 0 가정
[abs]</t>
      </text>
    </comment>
    <comment ref="AG11" authorId="0" shapeId="0">
      <text>
        <t>추정: 이자손익 = 이자발생자산 4424억 × 4.36% − 총차입금 362억 × 1.68% (연율, CF 실측) ÷ 4; 환·평가손익 0 가정
[abs]</t>
      </text>
    </comment>
    <comment ref="AH11" authorId="0" shapeId="0">
      <text>
        <t>추정: 이자손익 = 이자발생자산 4770억 × 4.36% − 총차입금 362억 × 1.68% (연율, CF 실측) ÷ 4; 환·평가손익 0 가정
[abs]</t>
      </text>
    </comment>
    <comment ref="AI11" authorId="0" shapeId="0">
      <text>
        <t>추정: 이자손익 = 이자발생자산 5122억 × 4.36% − 총차입금 362억 × 1.68% (연율, CF 실측) ÷ 4; 환·평가손익 0 가정
[abs]</t>
      </text>
    </comment>
    <comment ref="AK11" authorId="0" shapeId="0">
      <text>
        <t>추정: 이자손익 = 이자발생자산 5483억 × 4.36% − 총차입금 362억 × 1.68% (연율, CF 실측) ÷ 4; 환·평가손익 0 가정
[abs]</t>
      </text>
    </comment>
    <comment ref="AL11" authorId="0" shapeId="0">
      <text>
        <t>추정: 이자손익 = 이자발생자산 5911억 × 4.36% − 총차입금 362억 × 1.68% (연율, CF 실측) ÷ 4; 환·평가손익 0 가정
[abs]</t>
      </text>
    </comment>
    <comment ref="AM11" authorId="0" shapeId="0">
      <text>
        <t>추정: 이자손익 = 이자발생자산 6328억 × 4.36% − 총차입금 362억 × 1.68% (연율, CF 실측) ÷ 4; 환·평가손익 0 가정
[abs]</t>
      </text>
    </comment>
    <comment ref="AN11" authorId="0" shapeId="0">
      <text>
        <t>추정: 이자손익 = 이자발생자산 6725억 × 4.36% − 총차입금 362억 × 1.68%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-22.1% → 5~27% 클립)
[ratio]</t>
      </text>
    </comment>
    <comment ref="AD14" authorId="0" shapeId="0">
      <text>
        <t>추정: max(세전, 0) × 세율 5.0%(최근 12분기 유효세율 -22.1% → 5~27% 클립)
[ratio]</t>
      </text>
    </comment>
    <comment ref="AF14" authorId="0" shapeId="0">
      <text>
        <t>추정: max(세전, 0) × 세율 5.0%(최근 12분기 유효세율 -22.1% → 5~27% 클립)
[ratio]</t>
      </text>
    </comment>
    <comment ref="AG14" authorId="0" shapeId="0">
      <text>
        <t>추정: max(세전, 0) × 세율 5.0%(최근 12분기 유효세율 -22.1% → 5~27% 클립)
[ratio]</t>
      </text>
    </comment>
    <comment ref="AH14" authorId="0" shapeId="0">
      <text>
        <t>추정: max(세전, 0) × 세율 5.0%(최근 12분기 유효세율 -22.1% → 5~27% 클립)
[ratio]</t>
      </text>
    </comment>
    <comment ref="AI14" authorId="0" shapeId="0">
      <text>
        <t>추정: max(세전, 0) × 세율 5.0%(최근 12분기 유효세율 -22.1% → 5~27% 클립)
[ratio]</t>
      </text>
    </comment>
    <comment ref="AK14" authorId="0" shapeId="0">
      <text>
        <t>추정: max(세전, 0) × 세율 5.0%(최근 12분기 유효세율 -22.1% → 5~27% 클립)
[ratio]</t>
      </text>
    </comment>
    <comment ref="AL14" authorId="0" shapeId="0">
      <text>
        <t>추정: max(세전, 0) × 세율 5.0%(최근 12분기 유효세율 -22.1% → 5~27% 클립)
[ratio]</t>
      </text>
    </comment>
    <comment ref="AM14" authorId="0" shapeId="0">
      <text>
        <t>추정: max(세전, 0) × 세율 5.0%(최근 12분기 유효세율 -22.1% → 5~27% 클립)
[ratio]</t>
      </text>
    </comment>
    <comment ref="AN14" authorId="0" shapeId="0">
      <text>
        <t>추정: max(세전, 0) × 세율 5.0%(최근 12분기 유효세율 -22.1%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J17" authorId="0" shapeId="0">
      <text>
        <t>실측(계정 매핑 없음 — 모델값 직접) — fin.cons.is.중단사업이익</t>
      </text>
    </comment>
    <comment ref="L17" authorId="0" shapeId="0">
      <text>
        <t>실측(계정 매핑 없음 — 모델값 직접) — fin.cons.is.중단사업이익</t>
      </text>
    </comment>
    <comment ref="M17" authorId="0" shapeId="0">
      <text>
        <t>실측(계정 매핑 없음 — 모델값 직접) — fin.cons.is.중단사업이익</t>
      </text>
    </comment>
    <comment ref="N17" authorId="0" shapeId="0">
      <text>
        <t>실측(계정 매핑 없음 — 모델값 직접) — fin.cons.is.중단사업이익</t>
      </text>
    </comment>
    <comment ref="O17" authorId="0" shapeId="0">
      <text>
        <t>실측(계정 매핑 없음 — 모델값 직접) — fin.cons.is.중단사업이익</t>
      </text>
    </comment>
    <comment ref="Q17" authorId="0" shapeId="0">
      <text>
        <t>실측(계정 매핑 없음 — 모델값 직접) — fin.cons.is.중단사업이익</t>
      </text>
    </comment>
    <comment ref="R17" authorId="0" shapeId="0">
      <text>
        <t>실측(계정 매핑 없음 — 모델값 직접) — fin.cons.is.중단사업이익</t>
      </text>
    </comment>
    <comment ref="S17" authorId="0" shapeId="0">
      <text>
        <t>실측(계정 매핑 없음 — 모델값 직접) — fin.cons.is.중단사업이익</t>
      </text>
    </comment>
    <comment ref="T17" authorId="0" shapeId="0">
      <text>
        <t>실측(계정 매핑 없음 — 모델값 직접) — fin.cons.is.중단사업이익</t>
      </text>
    </comment>
    <comment ref="Y17" authorId="0" shapeId="0">
      <text>
        <t>실측(계정 매핑 없음 — 모델값 직접) — fin.cons.is.중단사업이익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assets/models/071970.json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25.2% &gt; 추세 12.9% × 1.10 (suppliers_mentions·시차 0·4분기 이동합·창 8, r=1.00 유의)): 전년동기 × (1+g) 추세 / 감가상각비가 face·CF 에 없음(주석 미파싱) → EBITDA·EV/EBITDA 미산출 / 일회성 의심 2025Q4: 비영업손익 750억(영업이익 279억의 3배, 12분기 중위 34억) → 지배NI 1,121억·EPS·FY2025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25.2, "op_wape_pct": 66.4, "n": 4, "note": "단일 회사 4분기 — 통계 아님", "driver_at_freeze": "customer_yard_revenue_weighted", "selection_oos_at_freeze": {"freeze": "2024Q2", "n": 4, "wape_link": 15.8, "wape_trend": 25.4,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962.04, "rev_act": 1091.69, "op_pred": 100.52, "op_act": 202.88}, {"q": "2025Q4", "rev_pred": 1039.09, "rev_act": 1109.76, "op_pred": 108.57, "op_act": 278.89}, {"q": "2026Q1", "rev_pred": 487.33, "rev_act": 1334.61, "op_pred": 50.92, "op_act": 325.64}, {"q": "2026Q2", "rev_pred": 1112.99, "rev_act": 1281.19, "op_pred": 116.29,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26400</v>
      </c>
      <c r="W15" s="18" t="n">
        <v>50300</v>
      </c>
      <c r="X15" s="18" t="n">
        <v>83700</v>
      </c>
      <c r="Y15" s="18" t="n">
        <v>89600</v>
      </c>
      <c r="Z15" s="9" t="n"/>
      <c r="AA15" s="18" t="n">
        <v>68400</v>
      </c>
      <c r="AB15" s="19" t="n">
        <v>59700</v>
      </c>
      <c r="AC15" s="20" t="n">
        <v>48750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106600</v>
      </c>
      <c r="AB16" s="19" t="n">
        <v>118200</v>
      </c>
      <c r="AC16" s="20" t="n">
        <v>70400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24600</v>
      </c>
      <c r="X17" s="18" t="n">
        <v>41100</v>
      </c>
      <c r="Y17" s="18" t="n">
        <v>73600</v>
      </c>
      <c r="Z17" s="9" t="n"/>
      <c r="AA17" s="18" t="n">
        <v>68200</v>
      </c>
      <c r="AB17" s="19" t="n">
        <v>53800</v>
      </c>
      <c r="AC17" s="20" t="n">
        <v>46150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27251.7</v>
      </c>
      <c r="W18" s="18" t="n">
        <v>39788.3</v>
      </c>
      <c r="X18" s="18" t="n">
        <v>73225.39999999999</v>
      </c>
      <c r="Y18" s="18" t="n">
        <v>87520.3</v>
      </c>
      <c r="Z18" s="9" t="n"/>
      <c r="AA18" s="18" t="n">
        <v>85674.60000000001</v>
      </c>
      <c r="AB18" s="19" t="n">
        <v>79595.10000000001</v>
      </c>
      <c r="AC18" s="20" t="n">
        <v>54879.8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0.370116</v>
      </c>
      <c r="AD21" s="24" t="n">
        <v>0.370121</v>
      </c>
      <c r="AE21" s="25" t="n"/>
      <c r="AF21" s="24" t="n">
        <v>0.370116</v>
      </c>
      <c r="AG21" s="24" t="n">
        <v>0.37012</v>
      </c>
      <c r="AH21" s="24" t="n">
        <v>0.185059</v>
      </c>
      <c r="AI21" s="24" t="n">
        <v>0.185058</v>
      </c>
      <c r="AJ21" s="25" t="n"/>
      <c r="AK21" s="24" t="n">
        <v>0.185063</v>
      </c>
      <c r="AL21" s="24" t="n">
        <v>0.185059</v>
      </c>
      <c r="AM21" s="24" t="n">
        <v>0.092528</v>
      </c>
      <c r="AN21" s="24" t="n">
        <v>0.092526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0.059288</v>
      </c>
      <c r="AD22" s="24" t="n">
        <v>0.05929</v>
      </c>
      <c r="AE22" s="25">
        <f>IFERROR(subQ!AE8/subQ!AE5,"")</f>
        <v/>
      </c>
      <c r="AF22" s="24" t="n">
        <v>0.059287</v>
      </c>
      <c r="AG22" s="24" t="n">
        <v>0.059286</v>
      </c>
      <c r="AH22" s="24" t="n">
        <v>0.059288</v>
      </c>
      <c r="AI22" s="24" t="n">
        <v>0.059288</v>
      </c>
      <c r="AJ22" s="25">
        <f>IFERROR(subQ!AJ8/subQ!AJ5,"")</f>
        <v/>
      </c>
      <c r="AK22" s="24" t="n">
        <v>0.05929</v>
      </c>
      <c r="AL22" s="24" t="n">
        <v>0.059286</v>
      </c>
      <c r="AM22" s="24" t="n">
        <v>0.059286</v>
      </c>
      <c r="AN22" s="24" t="n">
        <v>0.059286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</v>
      </c>
      <c r="AD23" s="24" t="n">
        <v>0.180908</v>
      </c>
      <c r="AE23" s="25">
        <f>IFERROR(subQ!AE9/subQ!AE5,"")</f>
        <v/>
      </c>
      <c r="AF23" s="24" t="n">
        <v>0.180906</v>
      </c>
      <c r="AG23" s="24" t="n">
        <v>0.180906</v>
      </c>
      <c r="AH23" s="24" t="n">
        <v>0.18091</v>
      </c>
      <c r="AI23" s="24" t="n">
        <v>0.180905</v>
      </c>
      <c r="AJ23" s="25">
        <f>IFERROR(subQ!AJ9/subQ!AJ5,"")</f>
        <v/>
      </c>
      <c r="AK23" s="24" t="n">
        <v>0.180907</v>
      </c>
      <c r="AL23" s="24" t="n">
        <v>0.180907</v>
      </c>
      <c r="AM23" s="24" t="n">
        <v>0.180909</v>
      </c>
      <c r="AN23" s="24" t="n">
        <v>0.18091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-0.026372</v>
      </c>
      <c r="AD24" s="24" t="n">
        <v>-0.280143</v>
      </c>
      <c r="AE24" s="25" t="n"/>
      <c r="AF24" s="24" t="n">
        <v>-0.258607</v>
      </c>
      <c r="AG24" s="24" t="n">
        <v>-0.259214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36.38</v>
      </c>
      <c r="AD25" s="29" t="n">
        <v>39.56</v>
      </c>
      <c r="AE25" s="30">
        <f>subQ!AE11</f>
        <v/>
      </c>
      <c r="AF25" s="29" t="n">
        <v>42.82</v>
      </c>
      <c r="AG25" s="29" t="n">
        <v>46.69</v>
      </c>
      <c r="AH25" s="29" t="n">
        <v>50.46</v>
      </c>
      <c r="AI25" s="29" t="n">
        <v>54.3</v>
      </c>
      <c r="AJ25" s="30">
        <f>subQ!AJ11</f>
        <v/>
      </c>
      <c r="AK25" s="29" t="n">
        <v>58.24</v>
      </c>
      <c r="AL25" s="29" t="n">
        <v>62.9</v>
      </c>
      <c r="AM25" s="29" t="n">
        <v>67.45</v>
      </c>
      <c r="AN25" s="29" t="n">
        <v>71.77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0.050005</v>
      </c>
      <c r="AD27" s="24" t="n">
        <v>0.049995</v>
      </c>
      <c r="AE27" s="25">
        <f>IFERROR(subQ!AE14/subQ!AE13,"")</f>
        <v/>
      </c>
      <c r="AF27" s="24" t="n">
        <v>0.049997</v>
      </c>
      <c r="AG27" s="24" t="n">
        <v>0.049993</v>
      </c>
      <c r="AH27" s="24" t="n">
        <v>0.050011</v>
      </c>
      <c r="AI27" s="24" t="n">
        <v>0.049991</v>
      </c>
      <c r="AJ27" s="25">
        <f>IFERROR(subQ!AJ14/subQ!AJ13,"")</f>
        <v/>
      </c>
      <c r="AK27" s="24" t="n">
        <v>0.049993</v>
      </c>
      <c r="AL27" s="24" t="n">
        <v>0.049997</v>
      </c>
      <c r="AM27" s="24" t="n">
        <v>0.050002</v>
      </c>
      <c r="AN27" s="24" t="n">
        <v>0.050011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-1e-06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IFERROR(subQ!E20+subQ!G15-subQ!G20,"")</f>
        <v/>
      </c>
      <c r="H31" s="26">
        <f>IFERROR(subQ!G20+subQ!H15-subQ!H20,"")</f>
        <v/>
      </c>
      <c r="I31" s="26">
        <f>IFERROR(subQ!H20+subQ!I15-subQ!I20,"")</f>
        <v/>
      </c>
      <c r="J31" s="26">
        <f>IFERROR(subQ!I20+subQ!J15-subQ!J20,"")</f>
        <v/>
      </c>
      <c r="K31" s="27" t="n"/>
      <c r="L31" s="26">
        <f>IFERROR(subQ!J20+subQ!L15-subQ!L20,"")</f>
        <v/>
      </c>
      <c r="M31" s="26">
        <f>IFERROR(subQ!L20+subQ!M15-subQ!M20,"")</f>
        <v/>
      </c>
      <c r="N31" s="26">
        <f>IFERROR(subQ!M20+subQ!N15-subQ!N20,"")</f>
        <v/>
      </c>
      <c r="O31" s="26">
        <f>IFERROR(subQ!N20+subQ!O15-subQ!O20,"")</f>
        <v/>
      </c>
      <c r="P31" s="27" t="n"/>
      <c r="Q31" s="26">
        <f>IFERROR(subQ!O20+subQ!Q15-subQ!Q20,"")</f>
        <v/>
      </c>
      <c r="R31" s="26">
        <f>IFERROR(subQ!Q20+subQ!R15-subQ!R20,"")</f>
        <v/>
      </c>
      <c r="S31" s="26">
        <f>IFERROR(subQ!R20+subQ!S15-subQ!S20,"")</f>
        <v/>
      </c>
      <c r="T31" s="26">
        <f>IFERROR(subQ!S20+subQ!T15-subQ!T20,"")</f>
        <v/>
      </c>
      <c r="U31" s="27" t="n"/>
      <c r="V31" s="26">
        <f>IFERROR(subQ!T20+subQ!V15-subQ!V20,"")</f>
        <v/>
      </c>
      <c r="W31" s="26">
        <f>IFERROR(subQ!V20+subQ!W15-subQ!W20,"")</f>
        <v/>
      </c>
      <c r="X31" s="26">
        <f>IFERROR(subQ!W20+subQ!X15-subQ!X20,"")</f>
        <v/>
      </c>
      <c r="Y31" s="26">
        <f>IFERROR(subQ!X20+subQ!Y15-subQ!Y20,"")</f>
        <v/>
      </c>
      <c r="Z31" s="27" t="n"/>
      <c r="AA31" s="26">
        <f>IFERROR(subQ!Y20+subQ!AA15-subQ!AA20,"")</f>
        <v/>
      </c>
      <c r="AB31" s="28">
        <f>IFERROR(subQ!AA20+subQ!AB15-subQ!AB20,"")</f>
        <v/>
      </c>
      <c r="AC31" s="29" t="n">
        <v>0.0054</v>
      </c>
      <c r="AD31" s="29" t="n">
        <v>0</v>
      </c>
      <c r="AE31" s="30" t="n"/>
      <c r="AF31" s="29" t="n">
        <v>-0</v>
      </c>
      <c r="AG31" s="29" t="n">
        <v>0</v>
      </c>
      <c r="AH31" s="29" t="n">
        <v>0</v>
      </c>
      <c r="AI31" s="29" t="n">
        <v>0</v>
      </c>
      <c r="AJ31" s="30" t="n"/>
      <c r="AK31" s="29" t="n">
        <v>0.01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0.0054</v>
      </c>
      <c r="AD32" s="29" t="n">
        <v>0</v>
      </c>
      <c r="AE32" s="30" t="n"/>
      <c r="AF32" s="29" t="n">
        <v>-0</v>
      </c>
      <c r="AG32" s="29" t="n">
        <v>0</v>
      </c>
      <c r="AH32" s="29" t="n">
        <v>0</v>
      </c>
      <c r="AI32" s="29" t="n">
        <v>0</v>
      </c>
      <c r="AJ32" s="30" t="n"/>
      <c r="AK32" s="29" t="n">
        <v>0.01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-1.4e-05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0.09588099999999999</v>
      </c>
      <c r="AD34" s="24" t="n">
        <v>0.089674</v>
      </c>
      <c r="AE34" s="25" t="n"/>
      <c r="AF34" s="24" t="n">
        <v>0.097723</v>
      </c>
      <c r="AG34" s="24" t="n">
        <v>0.08678900000000001</v>
      </c>
      <c r="AH34" s="24" t="n">
        <v>0.08136699999999999</v>
      </c>
      <c r="AI34" s="24" t="n">
        <v>0.0771</v>
      </c>
      <c r="AJ34" s="25" t="n"/>
      <c r="AK34" s="24" t="n">
        <v>0.084755</v>
      </c>
      <c r="AL34" s="24" t="n">
        <v>0.076219</v>
      </c>
      <c r="AM34" s="24" t="n">
        <v>0.06736200000000001</v>
      </c>
      <c r="AN34" s="24" t="n">
        <v>0.06464200000000001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0.083846</v>
      </c>
      <c r="AD35" s="24" t="n">
        <v>0.079291</v>
      </c>
      <c r="AE35" s="25" t="n"/>
      <c r="AF35" s="24" t="n">
        <v>0.087239</v>
      </c>
      <c r="AG35" s="24" t="n">
        <v>0.078227</v>
      </c>
      <c r="AH35" s="24" t="n">
        <v>0.073921</v>
      </c>
      <c r="AI35" s="24" t="n">
        <v>0.07052899999999999</v>
      </c>
      <c r="AJ35" s="25" t="n"/>
      <c r="AK35" s="24" t="n">
        <v>0.07800799999999999</v>
      </c>
      <c r="AL35" s="24" t="n">
        <v>0.070589</v>
      </c>
      <c r="AM35" s="24" t="n">
        <v>0.06271699999999999</v>
      </c>
      <c r="AN35" s="24" t="n">
        <v>0.060445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-0.666805</v>
      </c>
      <c r="AD41" s="24" t="n">
        <v>-0.245829</v>
      </c>
      <c r="AE41" s="25" t="n"/>
      <c r="AF41" s="24" t="n">
        <v>-0.211728</v>
      </c>
      <c r="AG41" s="24" t="n">
        <v>-0.098774</v>
      </c>
      <c r="AH41" s="24" t="n">
        <v>0.488778</v>
      </c>
      <c r="AI41" s="24" t="n">
        <v>-0.158555</v>
      </c>
      <c r="AJ41" s="25" t="n"/>
      <c r="AK41" s="24" t="n">
        <v>-0.150352</v>
      </c>
      <c r="AL41" s="24" t="n">
        <v>-0.1712</v>
      </c>
      <c r="AM41" s="24" t="n">
        <v>-0.156616</v>
      </c>
      <c r="AN41" s="24" t="n">
        <v>-0.141104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-0.556732</v>
      </c>
      <c r="AD42" s="24" t="n">
        <v>-0.54201</v>
      </c>
      <c r="AE42" s="25" t="n"/>
      <c r="AF42" s="24" t="n">
        <v>-0.549828</v>
      </c>
      <c r="AG42" s="24" t="n">
        <v>-0.520309</v>
      </c>
      <c r="AH42" s="24" t="n">
        <v>-0.197952</v>
      </c>
      <c r="AI42" s="24" t="n">
        <v>-0.197842</v>
      </c>
      <c r="AJ42" s="25" t="n"/>
      <c r="AK42" s="24" t="n">
        <v>-0.194656</v>
      </c>
      <c r="AL42" s="24" t="n">
        <v>-0.193548</v>
      </c>
      <c r="AM42" s="24" t="n">
        <v>-0.187234</v>
      </c>
      <c r="AN42" s="24" t="n">
        <v>-0.183857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0.180907</v>
      </c>
      <c r="AD44" s="24" t="n">
        <v>0.180908</v>
      </c>
      <c r="AE44" s="25">
        <f>IFERROR(subQ!AE35/subQ!AE34,"")</f>
        <v/>
      </c>
      <c r="AF44" s="24" t="n">
        <v>0.180906</v>
      </c>
      <c r="AG44" s="24" t="n">
        <v>0.180906</v>
      </c>
      <c r="AH44" s="24" t="n">
        <v>0.18091</v>
      </c>
      <c r="AI44" s="24" t="n">
        <v>0.180905</v>
      </c>
      <c r="AJ44" s="25">
        <f>IFERROR(subQ!AJ35/subQ!AJ34,"")</f>
        <v/>
      </c>
      <c r="AK44" s="24" t="n">
        <v>0.180907</v>
      </c>
      <c r="AL44" s="24" t="n">
        <v>0.180907</v>
      </c>
      <c r="AM44" s="24" t="n">
        <v>0.180909</v>
      </c>
      <c r="AN44" s="24" t="n">
        <v>0.18091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47600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9.300000000000001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11.2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16.2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0.0593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4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4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4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4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4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4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4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4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4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4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4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4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4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4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4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4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4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4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4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4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4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4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4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4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4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4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4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4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4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4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4" t="n">
        <v>78.68000000000001</v>
      </c>
      <c r="P13" s="9" t="n"/>
      <c r="T13" s="18" t="n">
        <v>538.77</v>
      </c>
      <c r="U13" s="34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4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4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4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4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4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4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4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4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4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4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4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4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4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4" t="n">
        <v>2274.31</v>
      </c>
      <c r="P20" s="9" t="n"/>
      <c r="U20" s="9" t="n"/>
      <c r="Y20" s="18" t="n">
        <v>2812.1</v>
      </c>
      <c r="Z20" s="34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4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4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4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4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4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4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4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4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4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4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4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4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4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4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4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4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4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4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4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4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4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4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4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4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4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4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4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4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4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4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4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4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4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4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4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4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4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4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단기사채</t>
        </is>
      </c>
      <c r="E31" s="18" t="n">
        <v>64970</v>
      </c>
      <c r="F31" s="34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4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4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4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4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4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4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4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4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4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4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4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4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4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4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4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4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4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4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4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4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4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4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4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4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4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4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4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4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4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4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4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4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4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4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4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4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4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4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4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4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4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4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4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4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4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4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4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4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4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4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4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4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4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4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4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4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4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4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4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4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4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4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4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4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4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4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4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4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4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4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4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4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4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4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4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4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4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4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4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4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4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4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4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4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4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4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4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4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4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4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4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4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4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4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4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4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4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4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4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4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4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4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4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4" t="n">
        <v>0</v>
      </c>
      <c r="U55" s="9" t="n"/>
      <c r="Y55" s="18" t="n">
        <v>3665.22</v>
      </c>
      <c r="Z55" s="34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4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4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4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4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4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4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4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4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4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4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4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4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4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4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4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4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4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4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4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4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4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4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4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4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4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4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4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4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4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4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4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4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4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4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4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4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4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4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4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4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4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4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4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4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4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4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4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4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4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4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4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4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4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4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4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4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4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4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4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4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4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4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4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4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4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4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4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4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4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4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4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4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4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4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4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4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4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4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4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4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4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4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4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4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J80" s="18" t="n">
        <v>-953.63</v>
      </c>
      <c r="K80" s="9" t="n"/>
      <c r="L80" s="18" t="n">
        <v>23.4</v>
      </c>
      <c r="M80" s="18" t="n">
        <v>0</v>
      </c>
      <c r="N80" s="18" t="n">
        <v>0</v>
      </c>
      <c r="O80" s="18" t="n">
        <v>185.23</v>
      </c>
      <c r="P80" s="34" t="n">
        <v>208.63</v>
      </c>
      <c r="Q80" s="18" t="n">
        <v>-140.73</v>
      </c>
      <c r="R80" s="18" t="n">
        <v>-0.86</v>
      </c>
      <c r="S80" s="18" t="n">
        <v>0</v>
      </c>
      <c r="T80" s="18" t="n">
        <v>0</v>
      </c>
      <c r="U80" s="34" t="n">
        <v>-141.59</v>
      </c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파생상품이익</t>
        </is>
      </c>
      <c r="F81" s="9" t="n"/>
      <c r="K81" s="9" t="n"/>
      <c r="P81" s="9" t="n"/>
      <c r="U81" s="9" t="n"/>
      <c r="Z81" s="9" t="n"/>
      <c r="AA81" s="18" t="n">
        <v>-17409.3</v>
      </c>
      <c r="AB81" s="19" t="n">
        <v>-9527.959999999999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U82" s="9" t="n"/>
      <c r="Z82" s="9" t="n"/>
      <c r="AA82" s="18" t="n">
        <v>2584.6</v>
      </c>
      <c r="AB82" s="19" t="n">
        <v>2977.15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U83" s="9" t="n"/>
      <c r="Z83" s="9" t="n"/>
      <c r="AA83" s="18" t="n">
        <v>70.67</v>
      </c>
      <c r="AB83" s="19" t="n">
        <v>153.84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U84" s="9" t="n"/>
      <c r="Z84" s="9" t="n"/>
      <c r="AA84" s="18" t="n">
        <v>6533.76</v>
      </c>
      <c r="AB84" s="19" t="n">
        <v>3974.81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U85" s="9" t="n"/>
      <c r="Z85" s="9" t="n"/>
      <c r="AA85" s="18" t="n">
        <v>3025.36</v>
      </c>
      <c r="AB85" s="19" t="n">
        <v>1853.97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U86" s="9" t="n"/>
      <c r="Z86" s="9" t="n"/>
      <c r="AA86" s="18" t="n">
        <v>925.1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U87" s="9" t="n"/>
      <c r="Z87" s="9" t="n"/>
      <c r="AA87" s="18" t="n">
        <v>382.43</v>
      </c>
      <c r="AB87" s="19" t="n">
        <v>662.71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U88" s="9" t="n"/>
      <c r="Z88" s="9" t="n"/>
      <c r="AA88" s="18" t="n">
        <v>4813.46</v>
      </c>
      <c r="AB88" s="19" t="n">
        <v>31.88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K89" s="9" t="n"/>
      <c r="P89" s="9" t="n"/>
      <c r="U89" s="9" t="n"/>
      <c r="Z89" s="9" t="n"/>
      <c r="AA89" s="18" t="n">
        <v>2513.93</v>
      </c>
      <c r="AB89" s="19" t="n">
        <v>2823.31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4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4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4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4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4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4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4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4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4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4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4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4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4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4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4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4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4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4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4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4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4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4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4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4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4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4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4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4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4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4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4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4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4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4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4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4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4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4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4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4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4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4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4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4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4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4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4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4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4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4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4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4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4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4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4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4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4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4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4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4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4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4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4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4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4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4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4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4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4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4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4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4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4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4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4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4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4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4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4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4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4" t="n">
        <v>73.70999999999999</v>
      </c>
      <c r="P13" s="9" t="n"/>
      <c r="T13" s="18" t="n">
        <v>527.4400000000001</v>
      </c>
      <c r="U13" s="34" t="n">
        <v>527.4400000000001</v>
      </c>
      <c r="V13" s="18" t="n">
        <v>545.88</v>
      </c>
      <c r="X13" s="18" t="n">
        <v>818.9299999999999</v>
      </c>
      <c r="Y13" s="18" t="n">
        <v>667.84</v>
      </c>
      <c r="Z13" s="34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4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4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4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4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4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4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4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4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4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4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4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4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4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4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4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4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4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4" t="n">
        <v>2274.31</v>
      </c>
      <c r="P21" s="9" t="n"/>
      <c r="U21" s="9" t="n"/>
      <c r="Y21" s="18" t="n">
        <v>23159.46</v>
      </c>
      <c r="Z21" s="34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4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4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4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4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4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4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4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4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4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4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4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4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4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4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4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4" t="n">
        <v>0</v>
      </c>
      <c r="U25" s="9" t="n"/>
      <c r="W25" s="18" t="n">
        <v>56.33</v>
      </c>
      <c r="Y25" s="18" t="n">
        <v>3665.22</v>
      </c>
      <c r="Z25" s="34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4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4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4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4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4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4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4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4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4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4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4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4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4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4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4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4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4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4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4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4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4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4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4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4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4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4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4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4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단기사채</t>
        </is>
      </c>
      <c r="E34" s="18" t="n">
        <v>43970</v>
      </c>
      <c r="F34" s="34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4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4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4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4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4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4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4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4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4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4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4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4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4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4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4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4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4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4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4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4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4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4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4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4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4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4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4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4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4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4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4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4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4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4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4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4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4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4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4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4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4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4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4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4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4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4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4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4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4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4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4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4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4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4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4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4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4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4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4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4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4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4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4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4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4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4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4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4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4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4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4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4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4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4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4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4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4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4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4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4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4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4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4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4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4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4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4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4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4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4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4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4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4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4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4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4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4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4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4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4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4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4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4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4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4" t="n">
        <v>1415.9</v>
      </c>
      <c r="V59" s="18" t="n">
        <v>1498.38</v>
      </c>
      <c r="X59" s="18" t="n">
        <v>76.06999999999999</v>
      </c>
      <c r="Y59" s="18" t="n">
        <v>222.75</v>
      </c>
      <c r="Z59" s="34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4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4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4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4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4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4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4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4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4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4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4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4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4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4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4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4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4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4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4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4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4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4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4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4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4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4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4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4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4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4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4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4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4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4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4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4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4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4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4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4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4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4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4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4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4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4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4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4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4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4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4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4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4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4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4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4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4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4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4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4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4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4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4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4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4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4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4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4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4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4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4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4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4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4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4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4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4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4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4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4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4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4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4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4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4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4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4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4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4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4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4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4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4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4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4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4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4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4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4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4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4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4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4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4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4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4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4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4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4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4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4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4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4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4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4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4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4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0.0278</v>
      </c>
      <c r="F10" s="34" t="n"/>
      <c r="G10" s="18" t="n">
        <v>-0.0659</v>
      </c>
      <c r="H10" s="18" t="n">
        <v>0.0081</v>
      </c>
      <c r="I10" s="18" t="n">
        <v>0.0766</v>
      </c>
      <c r="J10" s="18" t="n">
        <v>0.1746</v>
      </c>
      <c r="K10" s="34">
        <f>SUM(G10:J10)</f>
        <v/>
      </c>
      <c r="L10" s="18" t="n">
        <v>0.0005999999999999999</v>
      </c>
      <c r="M10" s="18" t="n">
        <v>0.07199999999999999</v>
      </c>
      <c r="N10" s="18" t="n">
        <v>0.095</v>
      </c>
      <c r="O10" s="18" t="n">
        <v>0.0745</v>
      </c>
      <c r="P10" s="34">
        <f>SUM(L10:O10)</f>
        <v/>
      </c>
      <c r="Q10" s="18" t="n">
        <v>0.1018</v>
      </c>
      <c r="R10" s="18" t="n">
        <v>0.1058</v>
      </c>
      <c r="S10" s="18" t="n">
        <v>0.109</v>
      </c>
      <c r="T10" s="18" t="n">
        <v>0.1032</v>
      </c>
      <c r="U10" s="34">
        <f>SUM(Q10:T10)</f>
        <v/>
      </c>
      <c r="V10" s="18" t="n">
        <v>0.1237</v>
      </c>
      <c r="W10" s="18" t="n">
        <v>0.176</v>
      </c>
      <c r="X10" s="18" t="n">
        <v>0.1858</v>
      </c>
      <c r="Y10" s="18" t="n">
        <v>0.2513</v>
      </c>
      <c r="Z10" s="34">
        <f>SUM(V10:Y10)</f>
        <v/>
      </c>
      <c r="AA10" s="18" t="n">
        <v>0.244</v>
      </c>
      <c r="AB10" s="19" t="n">
        <v>0.2442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 t="n"/>
      <c r="J14" s="18">
        <f>IFERROR(VLOOKUP($D14,BS연결,MATCH(J$1,BS연결H,0),0)/100,"")</f>
        <v/>
      </c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/>
      <c r="F17" s="34" t="n"/>
      <c r="G17" s="18" t="n"/>
      <c r="H17" s="18" t="n"/>
      <c r="I17" s="18" t="n"/>
      <c r="J17" s="18" t="n">
        <v>-9.539999999999999</v>
      </c>
      <c r="K17" s="34">
        <f>SUM(G17:J17)</f>
        <v/>
      </c>
      <c r="L17" s="18" t="n">
        <v>0.23</v>
      </c>
      <c r="M17" s="18" t="n">
        <v>0</v>
      </c>
      <c r="N17" s="18" t="n">
        <v>0</v>
      </c>
      <c r="O17" s="18" t="n">
        <v>1.85</v>
      </c>
      <c r="P17" s="34">
        <f>SUM(L17:O17)</f>
        <v/>
      </c>
      <c r="Q17" s="18" t="n">
        <v>-1.41</v>
      </c>
      <c r="R17" s="18" t="n">
        <v>-0.01</v>
      </c>
      <c r="S17" s="18" t="n">
        <v>0</v>
      </c>
      <c r="T17" s="18" t="n">
        <v>0</v>
      </c>
      <c r="U17" s="34">
        <f>SUM(Q17:T17)</f>
        <v/>
      </c>
      <c r="V17" s="18" t="n"/>
      <c r="W17" s="18" t="n"/>
      <c r="X17" s="18" t="n"/>
      <c r="Y17" s="18" t="n">
        <v>0</v>
      </c>
      <c r="Z17" s="34">
        <f>SUM(V17:Y17)</f>
        <v/>
      </c>
      <c r="AA17" s="18" t="n"/>
      <c r="AB17" s="19" t="n"/>
      <c r="AC17" s="20" t="n"/>
      <c r="AD17" s="20" t="n"/>
      <c r="AE17" s="35">
        <f>SUM(AA17:AD17)</f>
        <v/>
      </c>
      <c r="AF17" s="20" t="n"/>
      <c r="AG17" s="20" t="n"/>
      <c r="AH17" s="20" t="n"/>
      <c r="AI17" s="20" t="n"/>
      <c r="AJ17" s="35">
        <f>SUM(AF17:AI17)</f>
        <v/>
      </c>
      <c r="AK17" s="20" t="n"/>
      <c r="AL17" s="20" t="n"/>
      <c r="AM17" s="20" t="n"/>
      <c r="AN17" s="20" t="n"/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IFERROR(AB20+AC15-변수!AC31,"")</f>
        <v/>
      </c>
      <c r="AD20" s="20">
        <f>IFERROR(AC20+AD15-변수!AD31,"")</f>
        <v/>
      </c>
      <c r="AE20" s="35">
        <f>AD20</f>
        <v/>
      </c>
      <c r="AF20" s="20">
        <f>IFERROR(AD20+AF15-변수!AF31,"")</f>
        <v/>
      </c>
      <c r="AG20" s="20">
        <f>IFERROR(AF20+AG15-변수!AG31,"")</f>
        <v/>
      </c>
      <c r="AH20" s="20">
        <f>IFERROR(AG20+AH15-변수!AH31,"")</f>
        <v/>
      </c>
      <c r="AI20" s="20">
        <f>IFERROR(AH20+AI15-변수!AI31,"")</f>
        <v/>
      </c>
      <c r="AJ20" s="35">
        <f>AI20</f>
        <v/>
      </c>
      <c r="AK20" s="20">
        <f>IFERROR(AI20+AK15-변수!AK31,"")</f>
        <v/>
      </c>
      <c r="AL20" s="20">
        <f>IFERROR(AK20+AL15-변수!AL31,"")</f>
        <v/>
      </c>
      <c r="AM20" s="20">
        <f>IFERROR(AL20+AM15-변수!AM31,"")</f>
        <v/>
      </c>
      <c r="AN20" s="20">
        <f>IFERROR(AM20+AN15-변수!AN31,"")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112.06</v>
      </c>
      <c r="F27" s="34" t="n"/>
      <c r="G27" s="18" t="n">
        <v>-132.19</v>
      </c>
      <c r="H27" s="18" t="n">
        <v>-25.39</v>
      </c>
      <c r="I27" s="18" t="n">
        <v>46.91</v>
      </c>
      <c r="J27" s="18" t="n">
        <v>-93.64</v>
      </c>
      <c r="K27" s="34">
        <f>SUM(G27:J27)</f>
        <v/>
      </c>
      <c r="L27" s="18" t="n">
        <v>34.48</v>
      </c>
      <c r="M27" s="18" t="n">
        <v>-64.56999999999999</v>
      </c>
      <c r="N27" s="18" t="n">
        <v>76.08</v>
      </c>
      <c r="O27" s="18" t="n">
        <v>317.75</v>
      </c>
      <c r="P27" s="34">
        <f>SUM(L27:O27)</f>
        <v/>
      </c>
      <c r="Q27" s="18" t="n">
        <v>20.28</v>
      </c>
      <c r="R27" s="18" t="n">
        <v>312.65</v>
      </c>
      <c r="S27" s="18" t="n">
        <v>10.22</v>
      </c>
      <c r="T27" s="18" t="n">
        <v>671.22</v>
      </c>
      <c r="U27" s="34">
        <f>SUM(Q27:T27)</f>
        <v/>
      </c>
      <c r="V27" s="18" t="n">
        <v>165.13</v>
      </c>
      <c r="W27" s="18" t="n">
        <v>-700.62</v>
      </c>
      <c r="X27" s="18" t="n">
        <v>1310.93</v>
      </c>
      <c r="Y27" s="18" t="n">
        <v>1030.58</v>
      </c>
      <c r="Z27" s="34">
        <f>SUM(V27:Y27)</f>
        <v/>
      </c>
      <c r="AA27" s="18" t="n">
        <v>347.57</v>
      </c>
      <c r="AB27" s="19" t="n">
        <v>655.37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28.366</v>
      </c>
      <c r="F28" s="27">
        <f>E28</f>
        <v/>
      </c>
      <c r="G28" s="26" t="n">
        <v>28.366</v>
      </c>
      <c r="H28" s="26" t="n">
        <v>28.366</v>
      </c>
      <c r="I28" s="26" t="n">
        <v>28.366</v>
      </c>
      <c r="J28" s="26" t="n">
        <v>28.381</v>
      </c>
      <c r="K28" s="27">
        <f>J28</f>
        <v/>
      </c>
      <c r="L28" s="26" t="n">
        <v>28.553</v>
      </c>
      <c r="M28" s="26" t="n">
        <v>28.553</v>
      </c>
      <c r="N28" s="26" t="n">
        <v>28.553</v>
      </c>
      <c r="O28" s="26" t="n">
        <v>28.553</v>
      </c>
      <c r="P28" s="27">
        <f>O28</f>
        <v/>
      </c>
      <c r="Q28" s="26" t="n">
        <v>28.553</v>
      </c>
      <c r="R28" s="26" t="n">
        <v>28.553</v>
      </c>
      <c r="S28" s="26" t="n">
        <v>33.917</v>
      </c>
      <c r="T28" s="26" t="n">
        <v>33.921</v>
      </c>
      <c r="U28" s="27">
        <f>T28</f>
        <v/>
      </c>
      <c r="V28" s="26" t="n">
        <v>33.921</v>
      </c>
      <c r="W28" s="26" t="n">
        <v>33.921</v>
      </c>
      <c r="X28" s="26" t="n">
        <v>33.921</v>
      </c>
      <c r="Y28" s="26" t="n">
        <v>33.921</v>
      </c>
      <c r="Z28" s="27">
        <f>Y28</f>
        <v/>
      </c>
      <c r="AA28" s="26" t="n">
        <v>33.921</v>
      </c>
      <c r="AB28" s="28" t="n">
        <v>33.921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34" t="n"/>
      <c r="G29" s="18">
        <f>IFERROR(G16*100/G28,"")</f>
        <v/>
      </c>
      <c r="H29" s="18">
        <f>IFERROR(H16*100/H28,"")</f>
        <v/>
      </c>
      <c r="I29" s="18">
        <f>IFERROR(I16*100/I28,"")</f>
        <v/>
      </c>
      <c r="J29" s="18">
        <f>IFERROR(J16*100/J28,"")</f>
        <v/>
      </c>
      <c r="K29" s="34">
        <f>SUM(G29:J29)</f>
        <v/>
      </c>
      <c r="L29" s="18">
        <f>IFERROR(L16*100/L28,"")</f>
        <v/>
      </c>
      <c r="M29" s="18">
        <f>IFERROR(M16*100/M28,"")</f>
        <v/>
      </c>
      <c r="N29" s="18">
        <f>IFERROR(N16*100/N28,"")</f>
        <v/>
      </c>
      <c r="O29" s="18">
        <f>IFERROR(O16*100/O28,"")</f>
        <v/>
      </c>
      <c r="P29" s="34">
        <f>SUM(L29:O29)</f>
        <v/>
      </c>
      <c r="Q29" s="18">
        <f>IFERROR(Q16*100/Q28,"")</f>
        <v/>
      </c>
      <c r="R29" s="18">
        <f>IFERROR(R16*100/R28,"")</f>
        <v/>
      </c>
      <c r="S29" s="18">
        <f>IFERROR(S16*100/S28,"")</f>
        <v/>
      </c>
      <c r="T29" s="18">
        <f>IFERROR(T16*100/T28,"")</f>
        <v/>
      </c>
      <c r="U29" s="34">
        <f>SUM(Q29:T29)</f>
        <v/>
      </c>
      <c r="V29" s="18">
        <f>IFERROR(V16*100/V28,"")</f>
        <v/>
      </c>
      <c r="W29" s="18">
        <f>IFERROR(W16*100/W28,"")</f>
        <v/>
      </c>
      <c r="X29" s="18">
        <f>IFERROR(X16*100/X28,"")</f>
        <v/>
      </c>
      <c r="Y29" s="18">
        <f>IFERROR(Y16*100/Y28,"")</f>
        <v/>
      </c>
      <c r="Z29" s="34">
        <f>SUM(V29:Y29)</f>
        <v/>
      </c>
      <c r="AA29" s="18">
        <f>IFERROR(AA16*100/AA28,"")</f>
        <v/>
      </c>
      <c r="AB29" s="19">
        <f>IFERROR(AB16*100/AB28,"")</f>
        <v/>
      </c>
      <c r="AC29" s="20">
        <f>IFERROR(AC16*100/AC28,"")</f>
        <v/>
      </c>
      <c r="AD29" s="20">
        <f>IFERROR(AD16*100/AD28,"")</f>
        <v/>
      </c>
      <c r="AE29" s="35">
        <f>SUM(AA29:AD29)</f>
        <v/>
      </c>
      <c r="AF29" s="20">
        <f>IFERROR(AF16*100/AF28,"")</f>
        <v/>
      </c>
      <c r="AG29" s="20">
        <f>IFERROR(AG16*100/AG28,"")</f>
        <v/>
      </c>
      <c r="AH29" s="20">
        <f>IFERROR(AH16*100/AH28,"")</f>
        <v/>
      </c>
      <c r="AI29" s="20">
        <f>IFERROR(AI16*100/AI28,"")</f>
        <v/>
      </c>
      <c r="AJ29" s="35">
        <f>SUM(AF29:AI29)</f>
        <v/>
      </c>
      <c r="AK29" s="20">
        <f>IFERROR(AK16*100/AK28,"")</f>
        <v/>
      </c>
      <c r="AL29" s="20">
        <f>IFERROR(AL16*100/AL28,"")</f>
        <v/>
      </c>
      <c r="AM29" s="20">
        <f>IFERROR(AM16*100/AM28,"")</f>
        <v/>
      </c>
      <c r="AN29" s="20">
        <f>IFERROR(AN16*100/AN28,"")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6.02</v>
      </c>
      <c r="J32" s="18" t="n">
        <v>9.49</v>
      </c>
      <c r="K32" s="34">
        <f>SUM(G32:J32)</f>
        <v/>
      </c>
      <c r="L32" s="18" t="n">
        <v>11.72</v>
      </c>
      <c r="M32" s="18" t="n">
        <v>8.140000000000001</v>
      </c>
      <c r="N32" s="18" t="n">
        <v>35.72</v>
      </c>
      <c r="O32" s="18" t="n">
        <v>9.33</v>
      </c>
      <c r="P32" s="34">
        <f>SUM(L32:O32)</f>
        <v/>
      </c>
      <c r="Q32" s="18" t="n">
        <v>8.34</v>
      </c>
      <c r="R32" s="18" t="n">
        <v>10.49</v>
      </c>
      <c r="S32" s="18" t="n">
        <v>11.4</v>
      </c>
      <c r="T32" s="18" t="n">
        <v>8.800000000000001</v>
      </c>
      <c r="U32" s="34">
        <f>SUM(Q32:T32)</f>
        <v/>
      </c>
      <c r="V32" s="18" t="n">
        <v>10.91</v>
      </c>
      <c r="W32" s="18" t="n">
        <v>14.98</v>
      </c>
      <c r="X32" s="18" t="n">
        <v>24.07</v>
      </c>
      <c r="Y32" s="18" t="n">
        <v>17.98</v>
      </c>
      <c r="Z32" s="34">
        <f>SUM(V32:Y32)</f>
        <v/>
      </c>
      <c r="AA32" s="18" t="n">
        <v>16.2</v>
      </c>
      <c r="AB32" s="19" t="n">
        <v>13.87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0.9</v>
      </c>
      <c r="F33" s="34" t="n">
        <v>0.87</v>
      </c>
      <c r="G33" s="18" t="n">
        <v>0.89</v>
      </c>
      <c r="H33" s="18" t="n">
        <v>0.93</v>
      </c>
      <c r="I33" s="18" t="n">
        <v>0.78</v>
      </c>
      <c r="J33" s="18" t="n">
        <v>0.7</v>
      </c>
      <c r="K33" s="34">
        <f>SUM(G33:J33)</f>
        <v/>
      </c>
      <c r="L33" s="18" t="n">
        <v>0.97</v>
      </c>
      <c r="M33" s="18" t="n">
        <v>0.87</v>
      </c>
      <c r="N33" s="18" t="n">
        <v>1.51</v>
      </c>
      <c r="O33" s="18" t="n">
        <v>1.31</v>
      </c>
      <c r="P33" s="34">
        <f>SUM(L33:O33)</f>
        <v/>
      </c>
      <c r="Q33" s="18" t="n">
        <v>1.38</v>
      </c>
      <c r="R33" s="18" t="n">
        <v>1.84</v>
      </c>
      <c r="S33" s="18" t="n">
        <v>2.32</v>
      </c>
      <c r="T33" s="18" t="n">
        <v>2.24</v>
      </c>
      <c r="U33" s="34">
        <f>SUM(Q33:T33)</f>
        <v/>
      </c>
      <c r="V33" s="18" t="n">
        <v>2.83</v>
      </c>
      <c r="W33" s="18" t="n">
        <v>3.78</v>
      </c>
      <c r="X33" s="18" t="n">
        <v>6.61</v>
      </c>
      <c r="Y33" s="18" t="n">
        <v>6.07</v>
      </c>
      <c r="Z33" s="34">
        <f>SUM(V33:Y33)</f>
        <v/>
      </c>
      <c r="AA33" s="18" t="n">
        <v>5.82</v>
      </c>
      <c r="AB33" s="19" t="n">
        <v>5.17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468.69</v>
      </c>
      <c r="F34" s="34" t="n"/>
      <c r="G34" s="18" t="n">
        <v>217.09</v>
      </c>
      <c r="H34" s="18" t="n">
        <v>573.8200000000001</v>
      </c>
      <c r="I34" s="18" t="n">
        <v>530.1</v>
      </c>
      <c r="J34" s="18" t="n">
        <v>472.27</v>
      </c>
      <c r="K34" s="34">
        <f>SUM(G34:J34)</f>
        <v/>
      </c>
      <c r="L34" s="18" t="n">
        <v>212.02</v>
      </c>
      <c r="M34" s="18" t="n">
        <v>755.91</v>
      </c>
      <c r="N34" s="18" t="n">
        <v>693.5599999999999</v>
      </c>
      <c r="O34" s="18" t="n">
        <v>788.72</v>
      </c>
      <c r="P34" s="34">
        <f>SUM(L34:O34)</f>
        <v/>
      </c>
      <c r="Q34" s="18" t="n">
        <v>613.59</v>
      </c>
      <c r="R34" s="18" t="n">
        <v>850.9299999999999</v>
      </c>
      <c r="S34" s="18" t="n">
        <v>807.88</v>
      </c>
      <c r="T34" s="18" t="n">
        <v>885.54</v>
      </c>
      <c r="U34" s="34">
        <f>SUM(Q34:T34)</f>
        <v/>
      </c>
      <c r="V34" s="18" t="n">
        <v>830.1900000000001</v>
      </c>
      <c r="W34" s="18" t="n">
        <v>992.33</v>
      </c>
      <c r="X34" s="18" t="n">
        <v>1091.69</v>
      </c>
      <c r="Y34" s="18" t="n">
        <v>1109.76</v>
      </c>
      <c r="Z34" s="34">
        <f>SUM(V34:Y34)</f>
        <v/>
      </c>
      <c r="AA34" s="18" t="n">
        <v>1334.61</v>
      </c>
      <c r="AB34" s="19" t="n">
        <v>1281.19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13.03</v>
      </c>
      <c r="F35" s="34" t="n"/>
      <c r="G35" s="18" t="n">
        <v>-14.3</v>
      </c>
      <c r="H35" s="18" t="n">
        <v>4.67</v>
      </c>
      <c r="I35" s="18" t="n">
        <v>40.58</v>
      </c>
      <c r="J35" s="18" t="n">
        <v>82.47</v>
      </c>
      <c r="K35" s="34">
        <f>SUM(G35:J35)</f>
        <v/>
      </c>
      <c r="L35" s="18" t="n">
        <v>0.13</v>
      </c>
      <c r="M35" s="18" t="n">
        <v>54.4</v>
      </c>
      <c r="N35" s="18" t="n">
        <v>65.92</v>
      </c>
      <c r="O35" s="18" t="n">
        <v>58.8</v>
      </c>
      <c r="P35" s="34">
        <f>SUM(L35:O35)</f>
        <v/>
      </c>
      <c r="Q35" s="18" t="n">
        <v>62.47</v>
      </c>
      <c r="R35" s="18" t="n">
        <v>90.04000000000001</v>
      </c>
      <c r="S35" s="18" t="n">
        <v>88.06999999999999</v>
      </c>
      <c r="T35" s="18" t="n">
        <v>91.34999999999999</v>
      </c>
      <c r="U35" s="34">
        <f>SUM(Q35:T35)</f>
        <v/>
      </c>
      <c r="V35" s="18" t="n">
        <v>102.72</v>
      </c>
      <c r="W35" s="18" t="n">
        <v>174.62</v>
      </c>
      <c r="X35" s="18" t="n">
        <v>202.88</v>
      </c>
      <c r="Y35" s="18" t="n">
        <v>278.89</v>
      </c>
      <c r="Z35" s="34">
        <f>SUM(V35:Y35)</f>
        <v/>
      </c>
      <c r="AA35" s="18" t="n">
        <v>325.64</v>
      </c>
      <c r="AB35" s="19" t="n">
        <v>312.86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IFERROR(E16/E5,"")</f>
        <v/>
      </c>
      <c r="F38" s="22">
        <f>IFERROR(F16/F5,"")</f>
        <v/>
      </c>
      <c r="G38" s="21">
        <f>IFERROR(G16/G5,"")</f>
        <v/>
      </c>
      <c r="H38" s="21">
        <f>IFERROR(H16/H5,"")</f>
        <v/>
      </c>
      <c r="I38" s="21">
        <f>IFERROR(I16/I5,"")</f>
        <v/>
      </c>
      <c r="J38" s="21">
        <f>IFERROR(J16/J5,"")</f>
        <v/>
      </c>
      <c r="K38" s="22">
        <f>IFERROR(K16/K5,"")</f>
        <v/>
      </c>
      <c r="L38" s="21">
        <f>IFERROR(L16/L5,"")</f>
        <v/>
      </c>
      <c r="M38" s="21">
        <f>IFERROR(M16/M5,"")</f>
        <v/>
      </c>
      <c r="N38" s="21">
        <f>IFERROR(N16/N5,"")</f>
        <v/>
      </c>
      <c r="O38" s="21">
        <f>IFERROR(O16/O5,"")</f>
        <v/>
      </c>
      <c r="P38" s="22">
        <f>IFERROR(P16/P5,"")</f>
        <v/>
      </c>
      <c r="Q38" s="21">
        <f>IFERROR(Q16/Q5,"")</f>
        <v/>
      </c>
      <c r="R38" s="21">
        <f>IFERROR(R16/R5,"")</f>
        <v/>
      </c>
      <c r="S38" s="21">
        <f>IFERROR(S16/S5,"")</f>
        <v/>
      </c>
      <c r="T38" s="21">
        <f>IFERROR(T16/T5,"")</f>
        <v/>
      </c>
      <c r="U38" s="22">
        <f>IFERROR(U16/U5,"")</f>
        <v/>
      </c>
      <c r="V38" s="21">
        <f>IFERROR(V16/V5,"")</f>
        <v/>
      </c>
      <c r="W38" s="21">
        <f>IFERROR(W16/W5,"")</f>
        <v/>
      </c>
      <c r="X38" s="21">
        <f>IFERROR(X16/X5,"")</f>
        <v/>
      </c>
      <c r="Y38" s="21">
        <f>IFERROR(Y16/Y5,"")</f>
        <v/>
      </c>
      <c r="Z38" s="22">
        <f>IFERROR(Z16/Z5,"")</f>
        <v/>
      </c>
      <c r="AA38" s="21">
        <f>IFERROR(AA16/AA5,"")</f>
        <v/>
      </c>
      <c r="AB38" s="23">
        <f>IFERROR(AB16/AB5,"")</f>
        <v/>
      </c>
      <c r="AC38" s="31">
        <f>IFERROR(AC16/AC5,"")</f>
        <v/>
      </c>
      <c r="AD38" s="31">
        <f>IFERROR(AD16/AD5,"")</f>
        <v/>
      </c>
      <c r="AE38" s="25">
        <f>IFERROR(AE16/AE5,"")</f>
        <v/>
      </c>
      <c r="AF38" s="31">
        <f>IFERROR(AF16/AF5,"")</f>
        <v/>
      </c>
      <c r="AG38" s="31">
        <f>IFERROR(AG16/AG5,"")</f>
        <v/>
      </c>
      <c r="AH38" s="31">
        <f>IFERROR(AH16/AH5,"")</f>
        <v/>
      </c>
      <c r="AI38" s="31">
        <f>IFERROR(AI16/AI5,"")</f>
        <v/>
      </c>
      <c r="AJ38" s="25">
        <f>IFERROR(AJ16/AJ5,"")</f>
        <v/>
      </c>
      <c r="AK38" s="31">
        <f>IFERROR(AK16/AK5,"")</f>
        <v/>
      </c>
      <c r="AL38" s="31">
        <f>IFERROR(AL16/AL5,"")</f>
        <v/>
      </c>
      <c r="AM38" s="31">
        <f>IFERROR(AM16/AM5,"")</f>
        <v/>
      </c>
      <c r="AN38" s="31">
        <f>IFERROR(AN16/AN5,"")</f>
        <v/>
      </c>
      <c r="AO38" s="25">
        <f>IFERROR(AO16/AO5,"")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IFERROR(I16/E16-1,"")</f>
        <v/>
      </c>
      <c r="J40" s="21">
        <f>IFERROR(J16/F16-1,"")</f>
        <v/>
      </c>
      <c r="K40" s="21">
        <f>IFERROR(K16/G16-1,"")</f>
        <v/>
      </c>
      <c r="L40" s="21">
        <f>IFERROR(L16/H16-1,"")</f>
        <v/>
      </c>
      <c r="M40" s="21">
        <f>IFERROR(M16/I16-1,"")</f>
        <v/>
      </c>
      <c r="N40" s="21">
        <f>IFERROR(N16/J16-1,"")</f>
        <v/>
      </c>
      <c r="O40" s="21">
        <f>IFERROR(O16/K16-1,"")</f>
        <v/>
      </c>
      <c r="P40" s="21">
        <f>IFERROR(P16/L16-1,"")</f>
        <v/>
      </c>
      <c r="Q40" s="21">
        <f>IFERROR(Q16/M16-1,"")</f>
        <v/>
      </c>
      <c r="R40" s="21">
        <f>IFERROR(R16/N16-1,"")</f>
        <v/>
      </c>
      <c r="S40" s="21">
        <f>IFERROR(S16/O16-1,"")</f>
        <v/>
      </c>
      <c r="T40" s="21">
        <f>IFERROR(T16/P16-1,"")</f>
        <v/>
      </c>
      <c r="U40" s="21">
        <f>IFERROR(U16/Q16-1,"")</f>
        <v/>
      </c>
      <c r="V40" s="21">
        <f>IFERROR(V16/R16-1,"")</f>
        <v/>
      </c>
      <c r="W40" s="42">
        <f>IFERROR(W16/S16-1,"")</f>
        <v/>
      </c>
      <c r="X40" s="31">
        <f>IFERROR(X16/T16-1,"")</f>
        <v/>
      </c>
      <c r="Y40" s="31">
        <f>IFERROR(Y16/U16-1,"")</f>
        <v/>
      </c>
      <c r="Z40" s="31">
        <f>IFERROR(Z16/V16-1,"")</f>
        <v/>
      </c>
      <c r="AA40" s="31">
        <f>IFERROR(AA16/W16-1,"")</f>
        <v/>
      </c>
      <c r="AB40" s="31">
        <f>IFERROR(AB16/X16-1,"")</f>
        <v/>
      </c>
      <c r="AC40" s="31">
        <f>IFERROR(AC16/Y16-1,"")</f>
        <v/>
      </c>
      <c r="AD40" s="31">
        <f>IFERROR(AD16/Z16-1,"")</f>
        <v/>
      </c>
      <c r="AE40" s="31">
        <f>IFERROR(AE16/AA16-1,"")</f>
        <v/>
      </c>
      <c r="AF40" s="31">
        <f>IFERROR(AF16/AB16-1,"")</f>
        <v/>
      </c>
      <c r="AG40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IFERROR(F16/E16-1,"")</f>
        <v/>
      </c>
      <c r="G40" s="21">
        <f>IFERROR(G16/F16-1,"")</f>
        <v/>
      </c>
      <c r="H40" s="21">
        <f>IFERROR(H16/G16-1,"")</f>
        <v/>
      </c>
      <c r="I40" s="42">
        <f>IFERROR(I16/H16-1,"")</f>
        <v/>
      </c>
      <c r="J40" s="31">
        <f>IFERROR(J16/I16-1,"")</f>
        <v/>
      </c>
      <c r="K40" s="31">
        <f>IFERROR(K16/J16-1,"")</f>
        <v/>
      </c>
      <c r="L40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3807.4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12.5</v>
      </c>
    </row>
    <row r="32">
      <c r="C32" s="2" t="inlineStr">
        <is>
          <t>pbr_now</t>
        </is>
      </c>
      <c r="D32" t="n">
        <v>3.09</v>
      </c>
    </row>
    <row r="33">
      <c r="C33" s="2" t="inlineStr">
        <is>
          <t>roe_fwd</t>
        </is>
      </c>
      <c r="D33" t="n">
        <v>0.2474</v>
      </c>
    </row>
    <row r="34">
      <c r="C34" s="2" t="inlineStr">
        <is>
          <t>fair_pbr</t>
        </is>
      </c>
      <c r="D34" t="n">
        <v>2.75</v>
      </c>
    </row>
    <row r="35">
      <c r="C35" s="2" t="inlineStr">
        <is>
          <t>fair_value_pbr</t>
        </is>
      </c>
      <c r="D35" t="n">
        <v>42300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