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4" borderId="0" pivotButton="0" quotePrefix="0" xfId="0"/>
    <xf numFmtId="164" fontId="1" fillId="4" borderId="0" pivotButton="0" quotePrefix="0" xfId="0"/>
    <xf numFmtId="164" fontId="0" fillId="3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  <xf numFmtId="4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forward(flat_last_end) — 가정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forward(flat_last_end) — 가정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forward(flat_last_end) — 가정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forward(flat_last_end) — 가정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forward(flat_last_end) — 가정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forward(flat_last_end) — 가정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F15" authorId="0" shapeId="0">
      <text>
        <t>분기 진행 중(partial) — aikstockdata/토스 일봉</t>
      </text>
    </comment>
    <comment ref="F16" authorId="0" shapeId="0">
      <text>
        <t>분기 진행 중(partial) — aikstockdata/토스 일봉</t>
      </text>
    </comment>
    <comment ref="F17" authorId="0" shapeId="0">
      <text>
        <t>분기 진행 중(partial) — aikstockdata/토스 일봉</t>
      </text>
    </comment>
    <comment ref="F18" authorId="0" shapeId="0">
      <text>
        <t>분기 진행 중(partial) — aikstockdata/토스 일봉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모델값 역산(implied): v / 매출액
매출액 × 판관비율 70.85%(최근 1분기 중위)</t>
      </text>
    </comment>
    <comment ref="G22" authorId="0" shapeId="0">
      <text>
        <t>모델값 역산(implied): v / 매출액
매출액 × 판관비율 70.85%(최근 1분기 중위)</t>
      </text>
    </comment>
    <comment ref="I22" authorId="0" shapeId="0">
      <text>
        <t>모델값 역산(implied): v / 매출액
매출액 × 판관비율 70.85%(최근 1분기 중위)</t>
      </text>
    </comment>
    <comment ref="J22" authorId="0" shapeId="0">
      <text>
        <t>모델값 역산(implied): v / 매출액
매출액 × 판관비율 70.85%(최근 1분기 중위)</t>
      </text>
    </comment>
    <comment ref="K22" authorId="0" shapeId="0">
      <text>
        <t>모델값 역산(implied): v / 매출액
매출액 × 판관비율 70.85%(최근 1분기 중위)</t>
      </text>
    </comment>
    <comment ref="L22" authorId="0" shapeId="0">
      <text>
        <t>모델값 역산(implied): v / 매출액
매출액 × 판관비율 70.85%(최근 1분기 중위)</t>
      </text>
    </comment>
    <comment ref="N22" authorId="0" shapeId="0">
      <text>
        <t>모델값 역산(implied): v / 매출액
매출액 × 판관비율 70.85%(최근 1분기 중위)</t>
      </text>
    </comment>
    <comment ref="O22" authorId="0" shapeId="0">
      <text>
        <t>모델값 역산(implied): v / 매출액
매출액 × 판관비율 70.85%(최근 1분기 중위)</t>
      </text>
    </comment>
    <comment ref="P22" authorId="0" shapeId="0">
      <text>
        <t>모델값 역산(implied): v / 매출액
매출액 × 판관비율 70.85%(최근 1분기 중위)</t>
      </text>
    </comment>
    <comment ref="Q22" authorId="0" shapeId="0">
      <text>
        <t>모델값 역산(implied): v / 매출액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J24" authorId="0" shapeId="0">
      <text>
        <t>모델값 역산(implied): v / 전년동기 − 1
최근 1분기 OPM 중위 -20.0% 유지(클립 −20~40%)</t>
      </text>
    </comment>
    <comment ref="K24" authorId="0" shapeId="0">
      <text>
        <t>모델값 역산(implied): v / 전년동기 − 1
최근 1분기 OPM 중위 -20.0% 유지(클립 −20~40%)</t>
      </text>
    </comment>
    <comment ref="L24" authorId="0" shapeId="0">
      <text>
        <t>모델값 역산(implied): v / 전년동기 − 1
최근 1분기 OPM 중위 -20.0% 유지(클립 −20~40%)</t>
      </text>
    </comment>
    <comment ref="N24" authorId="0" shapeId="0">
      <text>
        <t>모델값 역산(implied): v / 전년동기 − 1
최근 1분기 OPM 중위 -20.0% 유지(클립 −20~40%)</t>
      </text>
    </comment>
    <comment ref="O24" authorId="0" shapeId="0">
      <text>
        <t>모델값 역산(implied): v / 전년동기 − 1
최근 1분기 OPM 중위 -20.0% 유지(클립 −20~40%)</t>
      </text>
    </comment>
    <comment ref="P24" authorId="0" shapeId="0">
      <text>
        <t>모델값 역산(implied): v / 전년동기 − 1
최근 1분기 OPM 중위 -20.0% 유지(클립 −20~40%)</t>
      </text>
    </comment>
    <comment ref="Q24" authorId="0" shapeId="0">
      <text>
        <t>모델값 역산(implied): v / 전년동기 − 1
최근 1분기 OPM 중위 -20.0% 유지(클립 −20~40%)</t>
      </text>
    </comment>
    <comment ref="F25" authorId="0" shapeId="0">
      <text>
        <t>모델값 역산(implied): 모델 v 그대로
이자 주석·CF 없음 → 최근 4분기 금융손익 중위 유지</t>
      </text>
    </comment>
    <comment ref="G25" authorId="0" shapeId="0">
      <text>
        <t>모델값 역산(implied): 모델 v 그대로
이자 주석·CF 없음 → 최근 4분기 금융손익 중위 유지</t>
      </text>
    </comment>
    <comment ref="I25" authorId="0" shapeId="0">
      <text>
        <t>모델값 역산(implied): 모델 v 그대로
이자 주석·CF 없음 → 최근 4분기 금융손익 중위 유지</t>
      </text>
    </comment>
    <comment ref="J25" authorId="0" shapeId="0">
      <text>
        <t>모델값 역산(implied): 모델 v 그대로
이자 주석·CF 없음 → 최근 4분기 금융손익 중위 유지</t>
      </text>
    </comment>
    <comment ref="K25" authorId="0" shapeId="0">
      <text>
        <t>모델값 역산(implied): 모델 v 그대로
이자 주석·CF 없음 → 최근 4분기 금융손익 중위 유지</t>
      </text>
    </comment>
    <comment ref="L25" authorId="0" shapeId="0">
      <text>
        <t>모델값 역산(implied): 모델 v 그대로
이자 주석·CF 없음 → 최근 4분기 금융손익 중위 유지</t>
      </text>
    </comment>
    <comment ref="N25" authorId="0" shapeId="0">
      <text>
        <t>모델값 역산(implied): 모델 v 그대로
이자 주석·CF 없음 → 최근 4분기 금융손익 중위 유지</t>
      </text>
    </comment>
    <comment ref="O25" authorId="0" shapeId="0">
      <text>
        <t>모델값 역산(implied): 모델 v 그대로
이자 주석·CF 없음 → 최근 4분기 금융손익 중위 유지</t>
      </text>
    </comment>
    <comment ref="P25" authorId="0" shapeId="0">
      <text>
        <t>모델값 역산(implied): 모델 v 그대로
이자 주석·CF 없음 → 최근 4분기 금융손익 중위 유지</t>
      </text>
    </comment>
    <comment ref="Q25" authorId="0" shapeId="0">
      <text>
        <t>모델값 역산(implied): 모델 v 그대로
이자 주석·CF 없음 → 최근 4분기 금융손익 중위 유지</t>
      </text>
    </comment>
    <comment ref="F28" authorId="0" shapeId="0">
      <text>
        <t>모델값 역산(implied): 모델 v 그대로
일회성 미가정 → 0</t>
      </text>
    </comment>
    <comment ref="G28" authorId="0" shapeId="0">
      <text>
        <t>모델값 역산(implied): 모델 v 그대로
일회성 미가정 → 0</t>
      </text>
    </comment>
    <comment ref="I28" authorId="0" shapeId="0">
      <text>
        <t>모델값 역산(implied): 모델 v 그대로
일회성 미가정 → 0</t>
      </text>
    </comment>
    <comment ref="J28" authorId="0" shapeId="0">
      <text>
        <t>모델값 역산(implied): 모델 v 그대로
일회성 미가정 → 0</t>
      </text>
    </comment>
    <comment ref="K28" authorId="0" shapeId="0">
      <text>
        <t>모델값 역산(implied): 모델 v 그대로
일회성 미가정 → 0</t>
      </text>
    </comment>
    <comment ref="L28" authorId="0" shapeId="0">
      <text>
        <t>모델값 역산(implied): 모델 v 그대로
일회성 미가정 → 0</t>
      </text>
    </comment>
    <comment ref="N28" authorId="0" shapeId="0">
      <text>
        <t>모델값 역산(implied): 모델 v 그대로
일회성 미가정 → 0</t>
      </text>
    </comment>
    <comment ref="O28" authorId="0" shapeId="0">
      <text>
        <t>모델값 역산(implied): 모델 v 그대로
일회성 미가정 → 0</t>
      </text>
    </comment>
    <comment ref="P28" authorId="0" shapeId="0">
      <text>
        <t>모델값 역산(implied): 모델 v 그대로
일회성 미가정 → 0</t>
      </text>
    </comment>
    <comment ref="Q28" authorId="0" shapeId="0">
      <text>
        <t>모델값 역산(implied): 모델 v 그대로
일회성 미가정 → 0</t>
      </text>
    </comment>
    <comment ref="F29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9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9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9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9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9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9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9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9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9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30" authorId="0" shapeId="0">
      <text>
        <t>모델값 역산(implied): v / 당기순이익
당기순이익 × (1 − 비지배 비중 0.0%, 최근 8분기 실측)</t>
      </text>
    </comment>
    <comment ref="G30" authorId="0" shapeId="0">
      <text>
        <t>모델값 역산(implied): v / 당기순이익
당기순이익 × (1 − 비지배 비중 0.0%, 최근 8분기 실측)</t>
      </text>
    </comment>
    <comment ref="I30" authorId="0" shapeId="0">
      <text>
        <t>모델값 역산(implied): v / 당기순이익
당기순이익 × (1 − 비지배 비중 0.0%, 최근 8분기 실측)</t>
      </text>
    </comment>
    <comment ref="J30" authorId="0" shapeId="0">
      <text>
        <t>모델값 역산(implied): v / 당기순이익
당기순이익 × (1 − 비지배 비중 0.0%, 최근 8분기 실측)</t>
      </text>
    </comment>
    <comment ref="K30" authorId="0" shapeId="0">
      <text>
        <t>모델값 역산(implied): v / 당기순이익
당기순이익 × (1 − 비지배 비중 0.0%, 최근 8분기 실측)</t>
      </text>
    </comment>
    <comment ref="L30" authorId="0" shapeId="0">
      <text>
        <t>모델값 역산(implied): v / 당기순이익
당기순이익 × (1 − 비지배 비중 0.0%, 최근 8분기 실측)</t>
      </text>
    </comment>
    <comment ref="N30" authorId="0" shapeId="0">
      <text>
        <t>모델값 역산(implied): v / 당기순이익
당기순이익 × (1 − 비지배 비중 0.0%, 최근 8분기 실측)</t>
      </text>
    </comment>
    <comment ref="O30" authorId="0" shapeId="0">
      <text>
        <t>모델값 역산(implied): v / 당기순이익
당기순이익 × (1 − 비지배 비중 0.0%, 최근 8분기 실측)</t>
      </text>
    </comment>
    <comment ref="P30" authorId="0" shapeId="0">
      <text>
        <t>모델값 역산(implied): v / 당기순이익
당기순이익 × (1 − 비지배 비중 0.0%, 최근 8분기 실측)</t>
      </text>
    </comment>
    <comment ref="Q30" authorId="0" shapeId="0">
      <text>
        <t>모델값 역산(implied): v / 당기순이익
당기순이익 × (1 − 비지배 비중 0.0%, 최근 8분기 실측)</t>
      </text>
    </comment>
    <comment ref="F31" authorId="0" shapeId="0">
      <text>
        <t>모델값 역산(implied): v / 전분기 − 1
마지막 실적 유지(가정)</t>
      </text>
    </comment>
    <comment ref="G31" authorId="0" shapeId="0">
      <text>
        <t>모델값 역산(implied): v / 전분기 − 1
마지막 실적 유지(가정)</t>
      </text>
    </comment>
    <comment ref="I31" authorId="0" shapeId="0">
      <text>
        <t>모델값 역산(implied): v / 전분기 − 1
마지막 실적 유지(가정)</t>
      </text>
    </comment>
    <comment ref="J31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마지막 실적 유지(가정)</t>
      </text>
    </comment>
    <comment ref="L31" authorId="0" shapeId="0">
      <text>
        <t>모델값 역산(implied): v / 전분기 − 1
마지막 실적 유지(가정)</t>
      </text>
    </comment>
    <comment ref="N31" authorId="0" shapeId="0">
      <text>
        <t>모델값 역산(implied): v / 전분기 − 1
마지막 실적 유지(가정)</t>
      </text>
    </comment>
    <comment ref="O31" authorId="0" shapeId="0">
      <text>
        <t>모델값 역산(implied): v / 전분기 − 1
마지막 실적 유지(가정)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F32" authorId="0" shapeId="0">
      <text>
        <t>모델값 역산(implied): 전분기 + 당기순이익 − v
전분기 + 당기순이익 − 배당(Q2 지급 가정)</t>
      </text>
    </comment>
    <comment ref="G32" authorId="0" shapeId="0">
      <text>
        <t>모델값 역산(implied): 전분기 + 당기순이익 − v
전분기 + 당기순이익 − 배당(Q2 지급 가정)</t>
      </text>
    </comment>
    <comment ref="I32" authorId="0" shapeId="0">
      <text>
        <t>모델값 역산(implied): 전분기 + 당기순이익 − v
전분기 + 당기순이익 − 배당(Q2 지급 가정)</t>
      </text>
    </comment>
    <comment ref="J32" authorId="0" shapeId="0">
      <text>
        <t>모델값 역산(implied): 전분기 + 당기순이익 − v
전분기 + 당기순이익 − 배당(Q2 지급 가정)</t>
      </text>
    </comment>
    <comment ref="K32" authorId="0" shapeId="0">
      <text>
        <t>모델값 역산(implied): 전분기 + 당기순이익 − v
전분기 + 당기순이익 − 배당(Q2 지급 가정)</t>
      </text>
    </comment>
    <comment ref="L32" authorId="0" shapeId="0">
      <text>
        <t>모델값 역산(implied): 전분기 + 당기순이익 − v
전분기 + 당기순이익 − 배당(Q2 지급 가정)</t>
      </text>
    </comment>
    <comment ref="N32" authorId="0" shapeId="0">
      <text>
        <t>모델값 역산(implied): 전분기 + 당기순이익 − v
전분기 + 당기순이익 − 배당(Q2 지급 가정)</t>
      </text>
    </comment>
    <comment ref="O32" authorId="0" shapeId="0">
      <text>
        <t>모델값 역산(implied): 전분기 + 당기순이익 − v
전분기 + 당기순이익 − 배당(Q2 지급 가정)</t>
      </text>
    </comment>
    <comment ref="P32" authorId="0" shapeId="0">
      <text>
        <t>모델값 역산(implied): 전분기 + 당기순이익 − v
전분기 + 당기순이익 − 배당(Q2 지급 가정)</t>
      </text>
    </comment>
    <comment ref="Q32" authorId="0" shapeId="0">
      <text>
        <t>모델값 역산(implied): 전분기 + 당기순이익 − v
전분기 + 당기순이익 − 배당(Q2 지급 가정)</t>
      </text>
    </comment>
    <comment ref="F33" authorId="0" shapeId="0">
      <text>
        <t>모델값 역산(implied): 전분기 + 지배주주순이익 − v
전분기 + 지배주주순이익 − 배당</t>
      </text>
    </comment>
    <comment ref="G33" authorId="0" shapeId="0">
      <text>
        <t>모델값 역산(implied): 전분기 + 지배주주순이익 − v
전분기 + 지배주주순이익 − 배당</t>
      </text>
    </comment>
    <comment ref="I33" authorId="0" shapeId="0">
      <text>
        <t>모델값 역산(implied): 전분기 + 지배주주순이익 − v
전분기 + 지배주주순이익 − 배당</t>
      </text>
    </comment>
    <comment ref="J33" authorId="0" shapeId="0">
      <text>
        <t>모델값 역산(implied): 전분기 + 지배주주순이익 − v
전분기 + 지배주주순이익 − 배당</t>
      </text>
    </comment>
    <comment ref="K33" authorId="0" shapeId="0">
      <text>
        <t>모델값 역산(implied): 전분기 + 지배주주순이익 − v
전분기 + 지배주주순이익 − 배당</t>
      </text>
    </comment>
    <comment ref="L33" authorId="0" shapeId="0">
      <text>
        <t>모델값 역산(implied): 전분기 + 지배주주순이익 − v
전분기 + 지배주주순이익 − 배당</t>
      </text>
    </comment>
    <comment ref="N33" authorId="0" shapeId="0">
      <text>
        <t>모델값 역산(implied): 전분기 + 지배주주순이익 − v
전분기 + 지배주주순이익 − 배당</t>
      </text>
    </comment>
    <comment ref="O33" authorId="0" shapeId="0">
      <text>
        <t>모델값 역산(implied): 전분기 + 지배주주순이익 − v
전분기 + 지배주주순이익 − 배당</t>
      </text>
    </comment>
    <comment ref="P33" authorId="0" shapeId="0">
      <text>
        <t>모델값 역산(implied): 전분기 + 지배주주순이익 − v
전분기 + 지배주주순이익 − 배당</t>
      </text>
    </comment>
    <comment ref="Q33" authorId="0" shapeId="0">
      <text>
        <t>모델값 역산(implied): 전분기 + 지배주주순이익 − v
전분기 + 지배주주순이익 − 배당</t>
      </text>
    </comment>
    <comment ref="F34" authorId="0" shapeId="0">
      <text>
        <t>모델값 역산(implied): v / 전분기 − 1
마지막 실적 유지(가정)</t>
      </text>
    </comment>
    <comment ref="G34" authorId="0" shapeId="0">
      <text>
        <t>모델값 역산(implied): v / 전분기 − 1
마지막 실적 유지(가정)</t>
      </text>
    </comment>
    <comment ref="I34" authorId="0" shapeId="0">
      <text>
        <t>모델값 역산(implied): v / 전분기 − 1
마지막 실적 유지(가정)</t>
      </text>
    </comment>
    <comment ref="J34" authorId="0" shapeId="0">
      <text>
        <t>모델값 역산(implied): v / 전분기 − 1
마지막 실적 유지(가정)</t>
      </text>
    </comment>
    <comment ref="K34" authorId="0" shapeId="0">
      <text>
        <t>모델값 역산(implied): v / 전분기 − 1
마지막 실적 유지(가정)</t>
      </text>
    </comment>
    <comment ref="L34" authorId="0" shapeId="0">
      <text>
        <t>모델값 역산(implied): v / 전분기 − 1
마지막 실적 유지(가정)</t>
      </text>
    </comment>
    <comment ref="N34" authorId="0" shapeId="0">
      <text>
        <t>모델값 역산(implied): v / 전분기 − 1
마지막 실적 유지(가정)</t>
      </text>
    </comment>
    <comment ref="O34" authorId="0" shapeId="0">
      <text>
        <t>모델값 역산(implied): v / 전분기 − 1
마지막 실적 유지(가정)</t>
      </text>
    </comment>
    <comment ref="P34" authorId="0" shapeId="0">
      <text>
        <t>모델값 역산(implied): v / 전분기 − 1
마지막 실적 유지(가정)</t>
      </text>
    </comment>
    <comment ref="Q34" authorId="0" shapeId="0">
      <text>
        <t>모델값 역산(implied): v / 전분기 − 1
마지막 실적 유지(가정)</t>
      </text>
    </comment>
    <comment ref="F35" authorId="0" shapeId="0">
      <text>
        <t>모델값 역산(implied): v / 전분기 − 1
전분기 − (순이익 − 배당): 순이익 = 순현금 증가 가정(CAPEX≈감가, 운전자본 불변)</t>
      </text>
    </comment>
    <comment ref="G35" authorId="0" shapeId="0">
      <text>
        <t>모델값 역산(implied): v / 전분기 − 1
전분기 − (순이익 − 배당): 순이익 = 순현금 증가 가정(CAPEX≈감가, 운전자본 불변)</t>
      </text>
    </comment>
    <comment ref="I35" authorId="0" shapeId="0">
      <text>
        <t>모델값 역산(implied): v / 전분기 − 1
전분기 − (순이익 − 배당): 순이익 = 순현금 증가 가정(CAPEX≈감가, 운전자본 불변)</t>
      </text>
    </comment>
    <comment ref="J35" authorId="0" shapeId="0">
      <text>
        <t>모델값 역산(implied): v / 전분기 − 1
전분기 − (순이익 − 배당): 순이익 = 순현금 증가 가정(CAPEX≈감가, 운전자본 불변)</t>
      </text>
    </comment>
    <comment ref="K35" authorId="0" shapeId="0">
      <text>
        <t>모델값 역산(implied): v / 전분기 − 1
전분기 − (순이익 − 배당): 순이익 = 순현금 증가 가정(CAPEX≈감가, 운전자본 불변)</t>
      </text>
    </comment>
    <comment ref="L35" authorId="0" shapeId="0">
      <text>
        <t>모델값 역산(implied): v / 전분기 − 1
전분기 − (순이익 − 배당): 순이익 = 순현금 증가 가정(CAPEX≈감가, 운전자본 불변)</t>
      </text>
    </comment>
    <comment ref="N35" authorId="0" shapeId="0">
      <text>
        <t>모델값 역산(implied): v / 전분기 − 1
전분기 − (순이익 − 배당): 순이익 = 순현금 증가 가정(CAPEX≈감가, 운전자본 불변)</t>
      </text>
    </comment>
    <comment ref="O35" authorId="0" shapeId="0">
      <text>
        <t>모델값 역산(implied): v / 전분기 − 1
전분기 − (순이익 − 배당): 순이익 = 순현금 증가 가정(CAPEX≈감가, 운전자본 불변)</t>
      </text>
    </comment>
    <comment ref="P35" authorId="0" shapeId="0">
      <text>
        <t>모델값 역산(implied): v / 전분기 − 1
전분기 − (순이익 − 배당): 순이익 = 순현금 증가 가정(CAPEX≈감가, 운전자본 불변)</t>
      </text>
    </comment>
    <comment ref="Q35" authorId="0" shapeId="0">
      <text>
        <t>모델값 역산(implied): v / 전분기 − 1
전분기 − (순이익 − 배당): 순이익 = 순현금 증가 가정(CAPEX≈감가, 운전자본 불변)</t>
      </text>
    </comment>
    <comment ref="F36" authorId="0" shapeId="0">
      <text>
        <t>모델값 역산(implied): v / 전분기 − 1
전분기 + (순이익 − 배당) — 순차입금 롤과 같은 가정</t>
      </text>
    </comment>
    <comment ref="G36" authorId="0" shapeId="0">
      <text>
        <t>모델값 역산(implied): v / 전분기 − 1
전분기 + (순이익 − 배당) — 순차입금 롤과 같은 가정</t>
      </text>
    </comment>
    <comment ref="I36" authorId="0" shapeId="0">
      <text>
        <t>모델값 역산(implied): v / 전분기 − 1
전분기 + (순이익 − 배당) — 순차입금 롤과 같은 가정</t>
      </text>
    </comment>
    <comment ref="J36" authorId="0" shapeId="0">
      <text>
        <t>모델값 역산(implied): v / 전분기 − 1
전분기 + (순이익 − 배당) — 순차입금 롤과 같은 가정</t>
      </text>
    </comment>
    <comment ref="K36" authorId="0" shapeId="0">
      <text>
        <t>모델값 역산(implied): v / 전분기 − 1
전분기 + (순이익 − 배당) — 순차입금 롤과 같은 가정</t>
      </text>
    </comment>
    <comment ref="L36" authorId="0" shapeId="0">
      <text>
        <t>모델값 역산(implied): v / 전분기 − 1
전분기 + (순이익 − 배당) — 순차입금 롤과 같은 가정</t>
      </text>
    </comment>
    <comment ref="N36" authorId="0" shapeId="0">
      <text>
        <t>모델값 역산(implied): v / 전분기 − 1
전분기 + (순이익 − 배당) — 순차입금 롤과 같은 가정</t>
      </text>
    </comment>
    <comment ref="O36" authorId="0" shapeId="0">
      <text>
        <t>모델값 역산(implied): v / 전분기 − 1
전분기 + (순이익 − 배당) — 순차입금 롤과 같은 가정</t>
      </text>
    </comment>
    <comment ref="P36" authorId="0" shapeId="0">
      <text>
        <t>모델값 역산(implied): v / 전분기 − 1
전분기 + (순이익 − 배당) — 순차입금 롤과 같은 가정</t>
      </text>
    </comment>
    <comment ref="Q36" authorId="0" shapeId="0">
      <text>
        <t>모델값 역산(implied): v / 전분기 − 1
전분기 + (순이익 − 배당) — 순차입금 롤과 같은 가정</t>
      </text>
    </comment>
    <comment ref="F38" authorId="0" shapeId="0">
      <text>
        <t>모델값 역산(implied): v / 전분기 − 1
유통주식수 유지 — fin.shares.common_outstanding(2026Q2)</t>
      </text>
    </comment>
    <comment ref="G38" authorId="0" shapeId="0">
      <text>
        <t>모델값 역산(implied): v / 전분기 − 1
유통주식수 유지 — fin.shares.common_outstanding(2026Q2)</t>
      </text>
    </comment>
    <comment ref="I38" authorId="0" shapeId="0">
      <text>
        <t>모델값 역산(implied): v / 전분기 − 1
유통주식수 유지 — fin.shares.common_outstanding(2026Q2)</t>
      </text>
    </comment>
    <comment ref="J38" authorId="0" shapeId="0">
      <text>
        <t>모델값 역산(implied): v / 전분기 − 1
유통주식수 유지 — fin.shares.common_outstanding(2026Q2)</t>
      </text>
    </comment>
    <comment ref="K38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v / 전분기 − 1
유통주식수 유지 — fin.shares.common_outstanding(2026Q2)</t>
      </text>
    </comment>
    <comment ref="N38" authorId="0" shapeId="0">
      <text>
        <t>모델값 역산(implied): v / 전분기 − 1
유통주식수 유지 — fin.shares.common_outstanding(2026Q2)</t>
      </text>
    </comment>
    <comment ref="O38" authorId="0" shapeId="0">
      <text>
        <t>모델값 역산(implied): v / 전분기 − 1
유통주식수 유지 — fin.shares.common_outstanding(2026Q2)</t>
      </text>
    </comment>
    <comment ref="P38" authorId="0" shapeId="0">
      <text>
        <t>모델값 역산(implied): v / 전분기 − 1
유통주식수 유지 — fin.shares.common_outstanding(2026Q2)</t>
      </text>
    </comment>
    <comment ref="Q38" authorId="0" shapeId="0">
      <text>
        <t>모델값 역산(implied): v / 전분기 − 1
유통주식수 유지 — fin.shares.common_outstanding(2026Q2)</t>
      </text>
    </comment>
    <comment ref="K40" authorId="0" shapeId="0">
      <text>
        <t>모델값 역산(implied): v / 전년동기 − 1
현재 종가 ÷ BPS(추정 포함)</t>
      </text>
    </comment>
    <comment ref="L40" authorId="0" shapeId="0">
      <text>
        <t>모델값 역산(implied): v / 전년동기 − 1
현재 종가 ÷ BPS(추정 포함)</t>
      </text>
    </comment>
    <comment ref="N40" authorId="0" shapeId="0">
      <text>
        <t>모델값 역산(implied): v / 전년동기 − 1
현재 종가 ÷ BPS(추정 포함)</t>
      </text>
    </comment>
    <comment ref="O40" authorId="0" shapeId="0">
      <text>
        <t>모델값 역산(implied): v / 전년동기 − 1
현재 종가 ÷ BPS(추정 포함)</t>
      </text>
    </comment>
    <comment ref="P40" authorId="0" shapeId="0">
      <text>
        <t>모델값 역산(implied): v / 전년동기 − 1
현재 종가 ÷ BPS(추정 포함)</t>
      </text>
    </comment>
    <comment ref="Q40" authorId="0" shapeId="0">
      <text>
        <t>모델값 역산(implied): v / 전년동기 − 1
현재 종가 ÷ BPS(추정 포함)</t>
      </text>
    </comment>
    <comment ref="F41" authorId="0" shapeId="0">
      <text>
        <t>모델값 역산(implied): v / 매출액
= 매출액 추정(부문 미분리)</t>
      </text>
    </comment>
    <comment ref="G41" authorId="0" shapeId="0">
      <text>
        <t>모델값 역산(implied): v / 매출액
= 매출액 추정(부문 미분리)</t>
      </text>
    </comment>
    <comment ref="I41" authorId="0" shapeId="0">
      <text>
        <t>모델값 역산(implied): v / 매출액
= 매출액 추정(부문 미분리)</t>
      </text>
    </comment>
    <comment ref="J41" authorId="0" shapeId="0">
      <text>
        <t>모델값 역산(implied): v / 매출액
= 매출액 추정(부문 미분리)</t>
      </text>
    </comment>
    <comment ref="K41" authorId="0" shapeId="0">
      <text>
        <t>모델값 역산(implied): v / 매출액
= 매출액 추정(부문 미분리)</t>
      </text>
    </comment>
    <comment ref="L41" authorId="0" shapeId="0">
      <text>
        <t>모델값 역산(implied): v / 매출액
= 매출액 추정(부문 미분리)</t>
      </text>
    </comment>
    <comment ref="N41" authorId="0" shapeId="0">
      <text>
        <t>모델값 역산(implied): v / 매출액
= 매출액 추정(부문 미분리)</t>
      </text>
    </comment>
    <comment ref="O41" authorId="0" shapeId="0">
      <text>
        <t>모델값 역산(implied): v / 매출액
= 매출액 추정(부문 미분리)</t>
      </text>
    </comment>
    <comment ref="P41" authorId="0" shapeId="0">
      <text>
        <t>모델값 역산(implied): v / 매출액
= 매출액 추정(부문 미분리)</t>
      </text>
    </comment>
    <comment ref="Q41" authorId="0" shapeId="0">
      <text>
        <t>모델값 역산(implied): v / 매출액
= 매출액 추정(부문 미분리)</t>
      </text>
    </comment>
    <comment ref="F42" authorId="0" shapeId="0">
      <text>
        <t>모델값 역산(implied): v / 매출전사
= 매출액 × OPM(부문 미분리)</t>
      </text>
    </comment>
    <comment ref="G42" authorId="0" shapeId="0">
      <text>
        <t>모델값 역산(implied): v / 매출전사
= 매출액 × OPM(부문 미분리)</t>
      </text>
    </comment>
    <comment ref="I42" authorId="0" shapeId="0">
      <text>
        <t>모델값 역산(implied): v / 매출전사
= 매출액 × OPM(부문 미분리)</t>
      </text>
    </comment>
    <comment ref="J42" authorId="0" shapeId="0">
      <text>
        <t>모델값 역산(implied): v / 매출전사
= 매출액 × OPM(부문 미분리)</t>
      </text>
    </comment>
    <comment ref="K42" authorId="0" shapeId="0">
      <text>
        <t>모델값 역산(implied): v / 매출전사
= 매출액 × OPM(부문 미분리)</t>
      </text>
    </comment>
    <comment ref="L42" authorId="0" shapeId="0">
      <text>
        <t>모델값 역산(implied): v / 매출전사
= 매출액 × OPM(부문 미분리)</t>
      </text>
    </comment>
    <comment ref="N42" authorId="0" shapeId="0">
      <text>
        <t>모델값 역산(implied): v / 매출전사
= 매출액 × OPM(부문 미분리)</t>
      </text>
    </comment>
    <comment ref="O42" authorId="0" shapeId="0">
      <text>
        <t>모델값 역산(implied): v / 매출전사
= 매출액 × OPM(부문 미분리)</t>
      </text>
    </comment>
    <comment ref="P42" authorId="0" shapeId="0">
      <text>
        <t>모델값 역산(implied): v / 매출전사
= 매출액 × OPM(부문 미분리)</t>
      </text>
    </comment>
    <comment ref="Q42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추정(가정 셀 참조 불가 — 기준값 없음, 모델값 직접): 최근 4분기 평균(전년동기 없음) × (1+0.0%) — g=최근 4분기 합 YoY 0.0% 클립(−30~+50%), 연차별 절반 감쇠(가정)</t>
      </text>
    </comment>
    <comment ref="G5" authorId="0" shapeId="0">
      <text>
        <t>추정(가정 셀 참조 불가 — 기준값 없음, 모델값 직접): 최근 4분기 평균(전년동기 없음) × (1+0.0%) — g=최근 4분기 합 YoY 0.0% 클립(−30~+50%), 연차별 절반 감쇠(가정)</t>
      </text>
    </comment>
    <comment ref="I5" authorId="0" shapeId="0">
      <text>
        <t>추정(가정 셀 참조 불가 — 기준값 없음, 모델값 직접): 최근 4분기 평균(전년동기 없음) × (1+0.0%) — g=최근 4분기 합 YoY 0.0% 클립(−30~+50%), 연차별 절반 감쇠(가정)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F10" authorId="0" shapeId="0">
      <text>
        <t>추정(가정 셀 참조 불가 — 기준값 없음, 모델값 직접): 최근 1분기 OPM 중위 -20.0% 유지(클립 −20~40%)</t>
      </text>
    </comment>
    <comment ref="G10" authorId="0" shapeId="0">
      <text>
        <t>추정(가정 셀 참조 불가 — 기준값 없음, 모델값 직접): 최근 1분기 OPM 중위 -20.0% 유지(클립 −20~40%)</t>
      </text>
    </comment>
    <comment ref="I10" authorId="0" shapeId="0">
      <text>
        <t>추정(가정 셀 참조 불가 — 기준값 없음, 모델값 직접): 최근 1분기 OPM 중위 -20.0% 유지(클립 −20~40%)</t>
      </text>
    </comment>
    <comment ref="J10" authorId="0" shapeId="0">
      <text>
        <t>추정: 최근 1분기 OPM 중위 -20.0% 유지(클립 −20~40%)
[yoy]</t>
      </text>
    </comment>
    <comment ref="K10" authorId="0" shapeId="0">
      <text>
        <t>추정: 최근 1분기 OPM 중위 -20.0% 유지(클립 −20~40%)
[yoy]</t>
      </text>
    </comment>
    <comment ref="L10" authorId="0" shapeId="0">
      <text>
        <t>추정: 최근 1분기 OPM 중위 -20.0% 유지(클립 −20~40%)
[yoy]</t>
      </text>
    </comment>
    <comment ref="N10" authorId="0" shapeId="0">
      <text>
        <t>추정: 최근 1분기 OPM 중위 -20.0% 유지(클립 −20~40%)
[yoy]</t>
      </text>
    </comment>
    <comment ref="O10" authorId="0" shapeId="0">
      <text>
        <t>추정: 최근 1분기 OPM 중위 -20.0% 유지(클립 −20~40%)
[yoy]</t>
      </text>
    </comment>
    <comment ref="P10" authorId="0" shapeId="0">
      <text>
        <t>추정: 최근 1분기 OPM 중위 -20.0% 유지(클립 −20~40%)
[yoy]</t>
      </text>
    </comment>
    <comment ref="Q10" authorId="0" shapeId="0">
      <text>
        <t>추정: 최근 1분기 OPM 중위 -20.0% 유지(클립 −20~40%)
[yoy]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실측(계정 매핑 없음 — 모델값 직접) — fin.sep.is.외환차익 − fin.sep.is.외환차손 + fin.sep.is.외화환산이익 − fin.sep.is.외화환산손실(음수 저장 → 부호 반전)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(순이익 − 배당): 순이익 = 순현금 증가 가정(CAPEX≈감가, 운전자본 불변)
[qoq]</t>
      </text>
    </comment>
    <comment ref="G24" authorId="0" shapeId="0">
      <text>
        <t>추정: 전분기 − (순이익 − 배당): 순이익 = 순현금 증가 가정(CAPEX≈감가, 운전자본 불변)
[qoq]</t>
      </text>
    </comment>
    <comment ref="I24" authorId="0" shapeId="0">
      <text>
        <t>추정: 전분기 − (순이익 − 배당): 순이익 = 순현금 증가 가정(CAPEX≈감가, 운전자본 불변)
[qoq]</t>
      </text>
    </comment>
    <comment ref="J24" authorId="0" shapeId="0">
      <text>
        <t>추정: 전분기 − (순이익 − 배당): 순이익 = 순현금 증가 가정(CAPEX≈감가, 운전자본 불변)
[qoq]</t>
      </text>
    </comment>
    <comment ref="K24" authorId="0" shapeId="0">
      <text>
        <t>추정: 전분기 − (순이익 − 배당): 순이익 = 순현금 증가 가정(CAPEX≈감가, 운전자본 불변)
[qoq]</t>
      </text>
    </comment>
    <comment ref="L24" authorId="0" shapeId="0">
      <text>
        <t>추정: 전분기 − (순이익 − 배당): 순이익 = 순현금 증가 가정(CAPEX≈감가, 운전자본 불변)
[qoq]</t>
      </text>
    </comment>
    <comment ref="N24" authorId="0" shapeId="0">
      <text>
        <t>추정: 전분기 − (순이익 − 배당): 순이익 = 순현금 증가 가정(CAPEX≈감가, 운전자본 불변)
[qoq]</t>
      </text>
    </comment>
    <comment ref="O24" authorId="0" shapeId="0">
      <text>
        <t>추정: 전분기 − (순이익 − 배당): 순이익 = 순현금 증가 가정(CAPEX≈감가, 운전자본 불변)
[qoq]</t>
      </text>
    </comment>
    <comment ref="P24" authorId="0" shapeId="0">
      <text>
        <t>추정: 전분기 − (순이익 − 배당): 순이익 = 순현금 증가 가정(CAPEX≈감가, 운전자본 불변)
[qoq]</t>
      </text>
    </comment>
    <comment ref="Q24" authorId="0" shapeId="0">
      <text>
        <t>추정: 전분기 − (순이익 − 배당): 순이익 = 순현금 증가 가정(CAPEX≈감가, 운전자본 불변)
[qoq]</t>
      </text>
    </comment>
    <comment ref="F25" authorId="0" shapeId="0">
      <text>
        <t>추정: 전분기 + (순이익 − 배당) — 순차입금 롤과 같은 가정
[qoq]</t>
      </text>
    </comment>
    <comment ref="G25" authorId="0" shapeId="0">
      <text>
        <t>추정: 전분기 + (순이익 − 배당) — 순차입금 롤과 같은 가정
[qoq]</t>
      </text>
    </comment>
    <comment ref="I25" authorId="0" shapeId="0">
      <text>
        <t>추정: 전분기 + (순이익 − 배당) — 순차입금 롤과 같은 가정
[qoq]</t>
      </text>
    </comment>
    <comment ref="J25" authorId="0" shapeId="0">
      <text>
        <t>추정: 전분기 + (순이익 − 배당) — 순차입금 롤과 같은 가정
[qoq]</t>
      </text>
    </comment>
    <comment ref="K25" authorId="0" shapeId="0">
      <text>
        <t>추정: 전분기 + (순이익 − 배당) — 순차입금 롤과 같은 가정
[qoq]</t>
      </text>
    </comment>
    <comment ref="L25" authorId="0" shapeId="0">
      <text>
        <t>추정: 전분기 + (순이익 − 배당) — 순차입금 롤과 같은 가정
[qoq]</t>
      </text>
    </comment>
    <comment ref="N25" authorId="0" shapeId="0">
      <text>
        <t>추정: 전분기 + (순이익 − 배당) — 순차입금 롤과 같은 가정
[qoq]</t>
      </text>
    </comment>
    <comment ref="O25" authorId="0" shapeId="0">
      <text>
        <t>추정: 전분기 + (순이익 − 배당) — 순차입금 롤과 같은 가정
[qoq]</t>
      </text>
    </comment>
    <comment ref="P25" authorId="0" shapeId="0">
      <text>
        <t>추정: 전분기 + (순이익 − 배당) — 순차입금 롤과 같은 가정
[qoq]</t>
      </text>
    </comment>
    <comment ref="Q25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fin.shares.common_outstanding</t>
      </text>
    </comment>
    <comment ref="F27" authorId="0" shapeId="0">
      <text>
        <t>추정: 유통주식수 유지 — fin.shares.common_outstanding(2026Q2)
[qoq]</t>
      </text>
    </comment>
    <comment ref="G27" authorId="0" shapeId="0">
      <text>
        <t>추정: 유통주식수 유지 — fin.shares.common_outstanding(2026Q2)
[qoq]</t>
      </text>
    </comment>
    <comment ref="I27" authorId="0" shapeId="0">
      <text>
        <t>추정: 유통주식수 유지 — fin.shares.common_outstanding(2026Q2)
[qoq]</t>
      </text>
    </comment>
    <comment ref="J27" authorId="0" shapeId="0">
      <text>
        <t>추정: 유통주식수 유지 — fin.shares.common_outstanding(2026Q2)
[qoq]</t>
      </text>
    </comment>
    <comment ref="K27" authorId="0" shapeId="0">
      <text>
        <t>추정: 유통주식수 유지 — fin.shares.common_outstanding(2026Q2)
[qoq]</t>
      </text>
    </comment>
    <comment ref="L27" authorId="0" shapeId="0">
      <text>
        <t>추정: 유통주식수 유지 — fin.shares.common_outstanding(2026Q2)
[qoq]</t>
      </text>
    </comment>
    <comment ref="N27" authorId="0" shapeId="0">
      <text>
        <t>추정: 유통주식수 유지 — fin.shares.common_outstanding(2026Q2)
[qoq]</t>
      </text>
    </comment>
    <comment ref="O27" authorId="0" shapeId="0">
      <text>
        <t>추정: 유통주식수 유지 — fin.shares.common_outstanding(2026Q2)
[qoq]</t>
      </text>
    </comment>
    <comment ref="P27" authorId="0" shapeId="0">
      <text>
        <t>추정: 유통주식수 유지 — fin.shares.common_outstanding(2026Q2)
[qoq]</t>
      </text>
    </comment>
    <comment ref="Q27" authorId="0" shapeId="0">
      <text>
        <t>추정: 유통주식수 유지 — fin.shares.common_outstanding(2026Q2)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추정(가정 셀 참조 불가 — 기준값 없음, 모델값 직접): 직전 결산 DPS 0원 유지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추정(가정 셀 참조 불가 — 기준값 없음, 모델값 직접): 직전 결산 DPS 0원 유지</t>
      </text>
    </comment>
    <comment ref="Q30" authorId="0" shapeId="0">
      <text>
        <t>추정(가정 셀 참조 불가 — 기준값 없음, 모델값 직접): 직전 결산 DPS 0원 유지</t>
      </text>
    </comment>
    <comment ref="F31" authorId="0" shapeId="0">
      <text>
        <t>추정(가정 셀 참조 불가 — 기준값 없음, 모델값 직접): 현재 종가 ÷ BPS(추정 포함)</t>
      </text>
    </comment>
    <comment ref="G31" authorId="0" shapeId="0">
      <text>
        <t>추정(가정 셀 참조 불가 — 기준값 없음, 모델값 직접): 현재 종가 ÷ BPS(추정 포함)</t>
      </text>
    </comment>
    <comment ref="H31" authorId="0" shapeId="0">
      <text>
        <t>연간(estimate) — 분기 미완 연도, 모델 a 값 직접</t>
      </text>
    </comment>
    <comment ref="I31" authorId="0" shapeId="0">
      <text>
        <t>추정(가정 셀 참조 불가 — 기준값 없음, 모델값 직접): 현재 종가 ÷ BPS(추정 포함)</t>
      </text>
    </comment>
    <comment ref="J31" authorId="0" shapeId="0">
      <text>
        <t>추정(가정 셀 참조 불가 — 기준값 없음, 모델값 직접): 현재 종가 ÷ BPS(추정 포함)</t>
      </text>
    </comment>
    <comment ref="K31" authorId="0" shapeId="0">
      <text>
        <t>추정: 현재 종가 ÷ BPS(추정 포함)
[yoy]</t>
      </text>
    </comment>
    <comment ref="L31" authorId="0" shapeId="0">
      <text>
        <t>추정: 현재 종가 ÷ BPS(추정 포함)
[yoy]</t>
      </text>
    </comment>
    <comment ref="N31" authorId="0" shapeId="0">
      <text>
        <t>추정: 현재 종가 ÷ BPS(추정 포함)
[yoy]</t>
      </text>
    </comment>
    <comment ref="O31" authorId="0" shapeId="0">
      <text>
        <t>추정: 현재 종가 ÷ BPS(추정 포함)
[yoy]</t>
      </text>
    </comment>
    <comment ref="P31" authorId="0" shapeId="0">
      <text>
        <t>추정: 현재 종가 ÷ BPS(추정 포함)
[yoy]</t>
      </text>
    </comment>
    <comment ref="Q31" authorId="0" shapeId="0">
      <text>
        <t>추정: 현재 종가 ÷ BPS(추정 포함)
[yoy]</t>
      </text>
    </comment>
    <comment ref="E32" authorId="0" shapeId="0">
      <text>
        <t>실측(계정 매핑 없음 — 모델값 직접) — = 매출액(부문 미분리)</t>
      </text>
    </comment>
    <comment ref="F32" authorId="0" shapeId="0">
      <text>
        <t>추정: = 매출액 추정(부문 미분리)
[ratio]</t>
      </text>
    </comment>
    <comment ref="G32" authorId="0" shapeId="0">
      <text>
        <t>추정: = 매출액 추정(부문 미분리)
[ratio]</t>
      </text>
    </comment>
    <comment ref="I32" authorId="0" shapeId="0">
      <text>
        <t>추정: = 매출액 추정(부문 미분리)
[ratio]</t>
      </text>
    </comment>
    <comment ref="J32" authorId="0" shapeId="0">
      <text>
        <t>추정: = 매출액 추정(부문 미분리)
[ratio]</t>
      </text>
    </comment>
    <comment ref="K32" authorId="0" shapeId="0">
      <text>
        <t>추정: = 매출액 추정(부문 미분리)
[ratio]</t>
      </text>
    </comment>
    <comment ref="L32" authorId="0" shapeId="0">
      <text>
        <t>추정: = 매출액 추정(부문 미분리)
[ratio]</t>
      </text>
    </comment>
    <comment ref="N32" authorId="0" shapeId="0">
      <text>
        <t>추정: = 매출액 추정(부문 미분리)
[ratio]</t>
      </text>
    </comment>
    <comment ref="O32" authorId="0" shapeId="0">
      <text>
        <t>추정: = 매출액 추정(부문 미분리)
[ratio]</t>
      </text>
    </comment>
    <comment ref="P32" authorId="0" shapeId="0">
      <text>
        <t>추정: = 매출액 추정(부문 미분리)
[ratio]</t>
      </text>
    </comment>
    <comment ref="Q32" authorId="0" shapeId="0">
      <text>
        <t>추정: = 매출액 추정(부문 미분리)
[ratio]</t>
      </text>
    </comment>
    <comment ref="E33" authorId="0" shapeId="0">
      <text>
        <t>실측(계정 매핑 없음 — 모델값 직접) — = 영업이익(부문 미분리)</t>
      </text>
    </comment>
    <comment ref="F33" authorId="0" shapeId="0">
      <text>
        <t>추정: = 매출액 × OPM(부문 미분리)
[ratio]</t>
      </text>
    </comment>
    <comment ref="G33" authorId="0" shapeId="0">
      <text>
        <t>추정: = 매출액 × OPM(부문 미분리)
[ratio]</t>
      </text>
    </comment>
    <comment ref="I33" authorId="0" shapeId="0">
      <text>
        <t>추정: = 매출액 × OPM(부문 미분리)
[ratio]</t>
      </text>
    </comment>
    <comment ref="J33" authorId="0" shapeId="0">
      <text>
        <t>추정: = 매출액 × OPM(부문 미분리)
[ratio]</t>
      </text>
    </comment>
    <comment ref="K33" authorId="0" shapeId="0">
      <text>
        <t>추정: = 매출액 × OPM(부문 미분리)
[ratio]</t>
      </text>
    </comment>
    <comment ref="L33" authorId="0" shapeId="0">
      <text>
        <t>추정: = 매출액 × OPM(부문 미분리)
[ratio]</t>
      </text>
    </comment>
    <comment ref="N33" authorId="0" shapeId="0">
      <text>
        <t>추정: = 매출액 × OPM(부문 미분리)
[ratio]</t>
      </text>
    </comment>
    <comment ref="O33" authorId="0" shapeId="0">
      <text>
        <t>추정: = 매출액 × OPM(부문 미분리)
[ratio]</t>
      </text>
    </comment>
    <comment ref="P33" authorId="0" shapeId="0">
      <text>
        <t>추정: = 매출액 × OPM(부문 미분리)
[ratio]</t>
      </text>
    </comment>
    <comment ref="Q33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assets/models/487400.json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fin 주석 비용 계정을 음수로 저장(0 아닌 분기 과반) → 금융손익 세부 계산에서 부호 반전: 외화환산손실 — kship_fin 부호 규약 확인 필요 /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1355.4</v>
      </c>
      <c r="H6" s="14" t="n">
        <v>1461.31</v>
      </c>
      <c r="I6" s="13" t="n">
        <v>1355.4</v>
      </c>
      <c r="J6" s="13" t="n">
        <v>1355.4</v>
      </c>
      <c r="K6" s="13" t="n">
        <v>1355.4</v>
      </c>
      <c r="L6" s="13" t="n">
        <v>1355.4</v>
      </c>
      <c r="M6" s="10" t="n"/>
      <c r="N6" s="13" t="n">
        <v>1355.4</v>
      </c>
      <c r="O6" s="13" t="n">
        <v>1355.4</v>
      </c>
      <c r="P6" s="13" t="n">
        <v>1355.4</v>
      </c>
      <c r="Q6" s="13" t="n">
        <v>1355.4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1355.4</v>
      </c>
      <c r="H7" s="14" t="n">
        <v>1355.4</v>
      </c>
      <c r="I7" s="13" t="n">
        <v>1355.4</v>
      </c>
      <c r="J7" s="13" t="n">
        <v>1355.4</v>
      </c>
      <c r="K7" s="13" t="n">
        <v>1355.4</v>
      </c>
      <c r="L7" s="13" t="n">
        <v>1355.4</v>
      </c>
      <c r="M7" s="10" t="n"/>
      <c r="N7" s="13" t="n">
        <v>1355.4</v>
      </c>
      <c r="O7" s="13" t="n">
        <v>1355.4</v>
      </c>
      <c r="P7" s="13" t="n">
        <v>1355.4</v>
      </c>
      <c r="Q7" s="13" t="n">
        <v>1355.4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863.3099999999999</v>
      </c>
      <c r="H8" s="14" t="n">
        <v>921.71</v>
      </c>
      <c r="I8" s="13" t="n">
        <v>863.3099999999999</v>
      </c>
      <c r="J8" s="13" t="n">
        <v>863.3099999999999</v>
      </c>
      <c r="K8" s="13" t="n">
        <v>863.3099999999999</v>
      </c>
      <c r="L8" s="13" t="n">
        <v>863.3099999999999</v>
      </c>
      <c r="M8" s="10" t="n"/>
      <c r="N8" s="13" t="n">
        <v>863.3099999999999</v>
      </c>
      <c r="O8" s="13" t="n">
        <v>863.3099999999999</v>
      </c>
      <c r="P8" s="13" t="n">
        <v>863.3099999999999</v>
      </c>
      <c r="Q8" s="13" t="n">
        <v>863.3099999999999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863.3099999999999</v>
      </c>
      <c r="H9" s="14" t="n">
        <v>863.3099999999999</v>
      </c>
      <c r="I9" s="13" t="n">
        <v>863.3099999999999</v>
      </c>
      <c r="J9" s="13" t="n">
        <v>863.3099999999999</v>
      </c>
      <c r="K9" s="13" t="n">
        <v>863.3099999999999</v>
      </c>
      <c r="L9" s="13" t="n">
        <v>863.3099999999999</v>
      </c>
      <c r="M9" s="10" t="n"/>
      <c r="N9" s="13" t="n">
        <v>863.3099999999999</v>
      </c>
      <c r="O9" s="13" t="n">
        <v>863.3099999999999</v>
      </c>
      <c r="P9" s="13" t="n">
        <v>863.3099999999999</v>
      </c>
      <c r="Q9" s="13" t="n">
        <v>863.3099999999999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1539.06</v>
      </c>
      <c r="H10" s="14" t="n">
        <v>1696.56</v>
      </c>
      <c r="I10" s="13" t="n">
        <v>1539.06</v>
      </c>
      <c r="J10" s="13" t="n">
        <v>1539.06</v>
      </c>
      <c r="K10" s="13" t="n">
        <v>1539.06</v>
      </c>
      <c r="L10" s="13" t="n">
        <v>1539.06</v>
      </c>
      <c r="M10" s="10" t="n"/>
      <c r="N10" s="13" t="n">
        <v>1539.06</v>
      </c>
      <c r="O10" s="13" t="n">
        <v>1539.06</v>
      </c>
      <c r="P10" s="13" t="n">
        <v>1539.06</v>
      </c>
      <c r="Q10" s="13" t="n">
        <v>1539.06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1539.06</v>
      </c>
      <c r="H11" s="14" t="n">
        <v>1539.06</v>
      </c>
      <c r="I11" s="13" t="n">
        <v>1539.06</v>
      </c>
      <c r="J11" s="13" t="n">
        <v>1539.06</v>
      </c>
      <c r="K11" s="13" t="n">
        <v>1539.06</v>
      </c>
      <c r="L11" s="13" t="n">
        <v>1539.06</v>
      </c>
      <c r="M11" s="10" t="n"/>
      <c r="N11" s="13" t="n">
        <v>1539.06</v>
      </c>
      <c r="O11" s="13" t="n">
        <v>1539.06</v>
      </c>
      <c r="P11" s="13" t="n">
        <v>1539.06</v>
      </c>
      <c r="Q11" s="13" t="n">
        <v>1539.06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202.16</v>
      </c>
      <c r="H12" s="14" t="n">
        <v>214.23</v>
      </c>
      <c r="I12" s="13" t="n">
        <v>202.16</v>
      </c>
      <c r="J12" s="13" t="n">
        <v>202.16</v>
      </c>
      <c r="K12" s="13" t="n">
        <v>202.16</v>
      </c>
      <c r="L12" s="13" t="n">
        <v>202.16</v>
      </c>
      <c r="M12" s="10" t="n"/>
      <c r="N12" s="13" t="n">
        <v>202.16</v>
      </c>
      <c r="O12" s="13" t="n">
        <v>202.16</v>
      </c>
      <c r="P12" s="13" t="n">
        <v>202.16</v>
      </c>
      <c r="Q12" s="13" t="n">
        <v>202.16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202.16</v>
      </c>
      <c r="H13" s="14" t="n">
        <v>202.16</v>
      </c>
      <c r="I13" s="13" t="n">
        <v>202.16</v>
      </c>
      <c r="J13" s="13" t="n">
        <v>202.16</v>
      </c>
      <c r="K13" s="13" t="n">
        <v>202.16</v>
      </c>
      <c r="L13" s="13" t="n">
        <v>202.16</v>
      </c>
      <c r="M13" s="10" t="n"/>
      <c r="N13" s="13" t="n">
        <v>202.16</v>
      </c>
      <c r="O13" s="13" t="n">
        <v>202.16</v>
      </c>
      <c r="P13" s="13" t="n">
        <v>202.16</v>
      </c>
      <c r="Q13" s="13" t="n">
        <v>202.16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/>
      <c r="G21" s="17" t="n"/>
      <c r="H21" s="18" t="n"/>
      <c r="I21" s="17" t="n"/>
      <c r="J21" s="19" t="n">
        <v>-7.1e-05</v>
      </c>
      <c r="K21" s="19" t="n">
        <v>0</v>
      </c>
      <c r="L21" s="19" t="n">
        <v>0</v>
      </c>
      <c r="M21" s="18" t="n"/>
      <c r="N21" s="19" t="n">
        <v>0</v>
      </c>
      <c r="O21" s="19" t="n">
        <v>0</v>
      </c>
      <c r="P21" s="19" t="n">
        <v>0</v>
      </c>
      <c r="Q21" s="19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 t="n">
        <v>0.708564</v>
      </c>
      <c r="G22" s="19" t="n">
        <v>0.708564</v>
      </c>
      <c r="H22" s="18">
        <f>IFERROR(subQ!H8/subQ!H5,"")</f>
        <v/>
      </c>
      <c r="I22" s="19" t="n">
        <v>0.708564</v>
      </c>
      <c r="J22" s="19" t="n">
        <v>0.708564</v>
      </c>
      <c r="K22" s="19" t="n">
        <v>0.708564</v>
      </c>
      <c r="L22" s="19" t="n">
        <v>0.708564</v>
      </c>
      <c r="M22" s="18">
        <f>IFERROR(subQ!M8/subQ!M5,"")</f>
        <v/>
      </c>
      <c r="N22" s="19" t="n">
        <v>0.708564</v>
      </c>
      <c r="O22" s="19" t="n">
        <v>0.708564</v>
      </c>
      <c r="P22" s="19" t="n">
        <v>0.708564</v>
      </c>
      <c r="Q22" s="19" t="n">
        <v>0.708564</v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9" t="n">
        <v>-0.2</v>
      </c>
      <c r="G23" s="19" t="n">
        <v>-0.2</v>
      </c>
      <c r="H23" s="18">
        <f>IFERROR(subQ!H9/subQ!H5,"")</f>
        <v/>
      </c>
      <c r="I23" s="19" t="n">
        <v>-0.2</v>
      </c>
      <c r="J23" s="19" t="n">
        <v>-0.2</v>
      </c>
      <c r="K23" s="19" t="n">
        <v>-0.2</v>
      </c>
      <c r="L23" s="19" t="n">
        <v>-0.2</v>
      </c>
      <c r="M23" s="18">
        <f>IFERROR(subQ!M9/subQ!M5,"")</f>
        <v/>
      </c>
      <c r="N23" s="19" t="n">
        <v>-0.2</v>
      </c>
      <c r="O23" s="19" t="n">
        <v>-0.2</v>
      </c>
      <c r="P23" s="19" t="n">
        <v>-0.2</v>
      </c>
      <c r="Q23" s="19" t="n">
        <v>-0.2</v>
      </c>
      <c r="R23" s="18">
        <f>IFERROR(subQ!R9/subQ!R5,"")</f>
        <v/>
      </c>
    </row>
    <row r="24">
      <c r="A24" s="11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16" t="n"/>
      <c r="F24" s="17" t="n"/>
      <c r="G24" s="17" t="n"/>
      <c r="H24" s="18" t="n"/>
      <c r="I24" s="17" t="n"/>
      <c r="J24" s="19" t="n">
        <v>-0.485464</v>
      </c>
      <c r="K24" s="19" t="n">
        <v>0</v>
      </c>
      <c r="L24" s="19" t="n">
        <v>0</v>
      </c>
      <c r="M24" s="18" t="n"/>
      <c r="N24" s="19" t="n">
        <v>0</v>
      </c>
      <c r="O24" s="19" t="n">
        <v>0</v>
      </c>
      <c r="P24" s="19" t="n">
        <v>0</v>
      </c>
      <c r="Q24" s="19" t="n">
        <v>0</v>
      </c>
      <c r="R24" s="18" t="n"/>
    </row>
    <row r="25">
      <c r="A25" s="11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0">
        <f>subQ!E11</f>
        <v/>
      </c>
      <c r="F25" s="21" t="n">
        <v>-0.67</v>
      </c>
      <c r="G25" s="21" t="n">
        <v>-0.67</v>
      </c>
      <c r="H25" s="22">
        <f>subQ!H11</f>
        <v/>
      </c>
      <c r="I25" s="21" t="n">
        <v>-0.67</v>
      </c>
      <c r="J25" s="21" t="n">
        <v>-0.67</v>
      </c>
      <c r="K25" s="21" t="n">
        <v>-0.67</v>
      </c>
      <c r="L25" s="21" t="n">
        <v>-0.67</v>
      </c>
      <c r="M25" s="22">
        <f>subQ!M11</f>
        <v/>
      </c>
      <c r="N25" s="21" t="n">
        <v>-0.67</v>
      </c>
      <c r="O25" s="21" t="n">
        <v>-0.67</v>
      </c>
      <c r="P25" s="21" t="n">
        <v>-0.67</v>
      </c>
      <c r="Q25" s="21" t="n">
        <v>-0.67</v>
      </c>
      <c r="R25" s="22">
        <f>subQ!R11</f>
        <v/>
      </c>
    </row>
    <row r="26">
      <c r="A26" s="11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0">
        <f>subQ!E12</f>
        <v/>
      </c>
      <c r="F26" s="23" t="n"/>
      <c r="G26" s="23" t="n"/>
      <c r="H26" s="22">
        <f>subQ!H12</f>
        <v/>
      </c>
      <c r="I26" s="23" t="n"/>
      <c r="J26" s="23" t="n"/>
      <c r="K26" s="23" t="n"/>
      <c r="L26" s="23" t="n"/>
      <c r="M26" s="22">
        <f>subQ!M12</f>
        <v/>
      </c>
      <c r="N26" s="23" t="n"/>
      <c r="O26" s="23" t="n"/>
      <c r="P26" s="23" t="n"/>
      <c r="Q26" s="23" t="n"/>
      <c r="R26" s="22">
        <f>subQ!R12</f>
        <v/>
      </c>
    </row>
    <row r="27">
      <c r="A27" s="11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16" t="n"/>
      <c r="F27" s="17" t="n"/>
      <c r="G27" s="17" t="n"/>
      <c r="H27" s="18" t="n"/>
      <c r="I27" s="17" t="n"/>
      <c r="J27" s="17" t="n"/>
      <c r="K27" s="17" t="n"/>
      <c r="L27" s="17" t="n"/>
      <c r="M27" s="18" t="n"/>
      <c r="N27" s="17" t="n"/>
      <c r="O27" s="17" t="n"/>
      <c r="P27" s="17" t="n"/>
      <c r="Q27" s="17" t="n"/>
      <c r="R27" s="18" t="n"/>
    </row>
    <row r="28">
      <c r="A28" s="11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0">
        <f>subQ!E14</f>
        <v/>
      </c>
      <c r="F28" s="21" t="n">
        <v>0</v>
      </c>
      <c r="G28" s="21" t="n">
        <v>0</v>
      </c>
      <c r="H28" s="22">
        <f>subQ!H14</f>
        <v/>
      </c>
      <c r="I28" s="21" t="n">
        <v>0</v>
      </c>
      <c r="J28" s="21" t="n">
        <v>0</v>
      </c>
      <c r="K28" s="21" t="n">
        <v>0</v>
      </c>
      <c r="L28" s="21" t="n">
        <v>0</v>
      </c>
      <c r="M28" s="22">
        <f>subQ!M14</f>
        <v/>
      </c>
      <c r="N28" s="21" t="n">
        <v>0</v>
      </c>
      <c r="O28" s="21" t="n">
        <v>0</v>
      </c>
      <c r="P28" s="21" t="n">
        <v>0</v>
      </c>
      <c r="Q28" s="21" t="n">
        <v>0</v>
      </c>
      <c r="R28" s="22">
        <f>subQ!R14</f>
        <v/>
      </c>
    </row>
    <row r="29">
      <c r="A29" s="11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6">
        <f>IFERROR(subQ!E16/subQ!E15,"")</f>
        <v/>
      </c>
      <c r="F29" s="19" t="n">
        <v>-0</v>
      </c>
      <c r="G29" s="19" t="n">
        <v>-0</v>
      </c>
      <c r="H29" s="18">
        <f>IFERROR(subQ!H16/subQ!H15,"")</f>
        <v/>
      </c>
      <c r="I29" s="19" t="n">
        <v>-0</v>
      </c>
      <c r="J29" s="19" t="n">
        <v>-0</v>
      </c>
      <c r="K29" s="19" t="n">
        <v>-0</v>
      </c>
      <c r="L29" s="19" t="n">
        <v>-0</v>
      </c>
      <c r="M29" s="18">
        <f>IFERROR(subQ!M16/subQ!M15,"")</f>
        <v/>
      </c>
      <c r="N29" s="19" t="n">
        <v>-0</v>
      </c>
      <c r="O29" s="19" t="n">
        <v>-0</v>
      </c>
      <c r="P29" s="19" t="n">
        <v>-0</v>
      </c>
      <c r="Q29" s="19" t="n">
        <v>-0</v>
      </c>
      <c r="R29" s="18">
        <f>IFERROR(subQ!R16/subQ!R15,"")</f>
        <v/>
      </c>
    </row>
    <row r="30">
      <c r="A30" s="11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6">
        <f>IFERROR(subQ!E18/subQ!E17,"")</f>
        <v/>
      </c>
      <c r="F30" s="19" t="n">
        <v>1</v>
      </c>
      <c r="G30" s="19" t="n">
        <v>1</v>
      </c>
      <c r="H30" s="18">
        <f>IFERROR(subQ!H18/subQ!H17,"")</f>
        <v/>
      </c>
      <c r="I30" s="19" t="n">
        <v>1</v>
      </c>
      <c r="J30" s="19" t="n">
        <v>1</v>
      </c>
      <c r="K30" s="19" t="n">
        <v>1</v>
      </c>
      <c r="L30" s="19" t="n">
        <v>1</v>
      </c>
      <c r="M30" s="18">
        <f>IFERROR(subQ!M18/subQ!M17,"")</f>
        <v/>
      </c>
      <c r="N30" s="19" t="n">
        <v>1</v>
      </c>
      <c r="O30" s="19" t="n">
        <v>1</v>
      </c>
      <c r="P30" s="19" t="n">
        <v>1</v>
      </c>
      <c r="Q30" s="19" t="n">
        <v>1</v>
      </c>
      <c r="R30" s="18">
        <f>IFERROR(subQ!R18/subQ!R17,"")</f>
        <v/>
      </c>
    </row>
    <row r="31">
      <c r="A31" s="11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6" t="n"/>
      <c r="F31" s="19" t="n">
        <v>-2.4e-05</v>
      </c>
      <c r="G31" s="19" t="n">
        <v>0</v>
      </c>
      <c r="H31" s="18" t="n"/>
      <c r="I31" s="19" t="n">
        <v>0</v>
      </c>
      <c r="J31" s="19" t="n">
        <v>0</v>
      </c>
      <c r="K31" s="19" t="n">
        <v>0</v>
      </c>
      <c r="L31" s="19" t="n">
        <v>0</v>
      </c>
      <c r="M31" s="18" t="n"/>
      <c r="N31" s="19" t="n">
        <v>0</v>
      </c>
      <c r="O31" s="19" t="n">
        <v>0</v>
      </c>
      <c r="P31" s="19" t="n">
        <v>0</v>
      </c>
      <c r="Q31" s="19" t="n">
        <v>0</v>
      </c>
      <c r="R31" s="18" t="n"/>
    </row>
    <row r="32">
      <c r="A32" s="11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0" t="n"/>
      <c r="F32" s="21" t="n">
        <v>-0.0052</v>
      </c>
      <c r="G32" s="21" t="n">
        <v>0</v>
      </c>
      <c r="H32" s="22" t="n"/>
      <c r="I32" s="21" t="n">
        <v>-0.01</v>
      </c>
      <c r="J32" s="21" t="n">
        <v>-0</v>
      </c>
      <c r="K32" s="21" t="n">
        <v>-0.01</v>
      </c>
      <c r="L32" s="21" t="n">
        <v>0</v>
      </c>
      <c r="M32" s="22" t="n"/>
      <c r="N32" s="21" t="n">
        <v>0</v>
      </c>
      <c r="O32" s="21" t="n">
        <v>-0.01</v>
      </c>
      <c r="P32" s="21" t="n">
        <v>0</v>
      </c>
      <c r="Q32" s="21" t="n">
        <v>-0.01</v>
      </c>
      <c r="R32" s="22" t="n"/>
    </row>
    <row r="33">
      <c r="A33" s="11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0" t="n"/>
      <c r="F33" s="21" t="n">
        <v>-0.0052</v>
      </c>
      <c r="G33" s="21" t="n">
        <v>0</v>
      </c>
      <c r="H33" s="22" t="n"/>
      <c r="I33" s="21" t="n">
        <v>-0.01</v>
      </c>
      <c r="J33" s="21" t="n">
        <v>-0</v>
      </c>
      <c r="K33" s="21" t="n">
        <v>-0.01</v>
      </c>
      <c r="L33" s="21" t="n">
        <v>0</v>
      </c>
      <c r="M33" s="22" t="n"/>
      <c r="N33" s="21" t="n">
        <v>0</v>
      </c>
      <c r="O33" s="21" t="n">
        <v>-0.01</v>
      </c>
      <c r="P33" s="21" t="n">
        <v>0</v>
      </c>
      <c r="Q33" s="21" t="n">
        <v>-0.01</v>
      </c>
      <c r="R33" s="22" t="n"/>
    </row>
    <row r="34">
      <c r="A34" s="11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6" t="n"/>
      <c r="F34" s="19" t="n">
        <v>0</v>
      </c>
      <c r="G34" s="19" t="n">
        <v>0</v>
      </c>
      <c r="H34" s="18" t="n"/>
      <c r="I34" s="19" t="n">
        <v>0</v>
      </c>
      <c r="J34" s="19" t="n">
        <v>0</v>
      </c>
      <c r="K34" s="19" t="n">
        <v>0</v>
      </c>
      <c r="L34" s="19" t="n">
        <v>0</v>
      </c>
      <c r="M34" s="18" t="n"/>
      <c r="N34" s="19" t="n">
        <v>0</v>
      </c>
      <c r="O34" s="19" t="n">
        <v>0</v>
      </c>
      <c r="P34" s="19" t="n">
        <v>0</v>
      </c>
      <c r="Q34" s="19" t="n">
        <v>0</v>
      </c>
      <c r="R34" s="18" t="n"/>
    </row>
    <row r="35">
      <c r="A35" s="11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6" t="n"/>
      <c r="F35" s="19" t="n">
        <v>-0.236401</v>
      </c>
      <c r="G35" s="19" t="n">
        <v>-0.309711</v>
      </c>
      <c r="H35" s="18" t="n"/>
      <c r="I35" s="19" t="n">
        <v>-0.448126</v>
      </c>
      <c r="J35" s="19" t="n">
        <v>-0.812992</v>
      </c>
      <c r="K35" s="19" t="n">
        <v>-4.342105</v>
      </c>
      <c r="L35" s="19" t="n">
        <v>1.300787</v>
      </c>
      <c r="M35" s="18" t="n"/>
      <c r="N35" s="19" t="n">
        <v>0.564682</v>
      </c>
      <c r="O35" s="19" t="n">
        <v>0.36133</v>
      </c>
      <c r="P35" s="19" t="n">
        <v>0.265424</v>
      </c>
      <c r="Q35" s="19" t="n">
        <v>0.209497</v>
      </c>
      <c r="R35" s="18" t="n"/>
    </row>
    <row r="36">
      <c r="A36" s="11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6" t="n"/>
      <c r="F36" s="19" t="n">
        <v>-0.07031800000000001</v>
      </c>
      <c r="G36" s="19" t="n">
        <v>-0.07571700000000001</v>
      </c>
      <c r="H36" s="18" t="n"/>
      <c r="I36" s="19" t="n">
        <v>-0.08192000000000001</v>
      </c>
      <c r="J36" s="19" t="n">
        <v>-0.08912200000000001</v>
      </c>
      <c r="K36" s="19" t="n">
        <v>-0.09796000000000001</v>
      </c>
      <c r="L36" s="19" t="n">
        <v>-0.108467</v>
      </c>
      <c r="M36" s="18" t="n"/>
      <c r="N36" s="19" t="n">
        <v>-0.121811</v>
      </c>
      <c r="O36" s="19" t="n">
        <v>-0.138707</v>
      </c>
      <c r="P36" s="19" t="n">
        <v>-0.16085</v>
      </c>
      <c r="Q36" s="19" t="n">
        <v>-0.191914</v>
      </c>
      <c r="R36" s="18" t="n"/>
    </row>
    <row r="37">
      <c r="A37" s="11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6" t="n"/>
      <c r="F37" s="17" t="n"/>
      <c r="G37" s="17" t="n"/>
      <c r="H37" s="18" t="n"/>
      <c r="I37" s="17" t="n"/>
      <c r="J37" s="17" t="n"/>
      <c r="K37" s="17" t="n"/>
      <c r="L37" s="17" t="n"/>
      <c r="M37" s="18" t="n"/>
      <c r="N37" s="17" t="n"/>
      <c r="O37" s="17" t="n"/>
      <c r="P37" s="17" t="n"/>
      <c r="Q37" s="17" t="n"/>
      <c r="R37" s="18" t="n"/>
    </row>
    <row r="38">
      <c r="A38" s="11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16" t="n"/>
      <c r="F38" s="19" t="n">
        <v>0</v>
      </c>
      <c r="G38" s="19" t="n">
        <v>0</v>
      </c>
      <c r="H38" s="18" t="n"/>
      <c r="I38" s="19" t="n">
        <v>0</v>
      </c>
      <c r="J38" s="19" t="n">
        <v>0</v>
      </c>
      <c r="K38" s="19" t="n">
        <v>0</v>
      </c>
      <c r="L38" s="19" t="n">
        <v>0</v>
      </c>
      <c r="M38" s="18" t="n"/>
      <c r="N38" s="19" t="n">
        <v>0</v>
      </c>
      <c r="O38" s="19" t="n">
        <v>0</v>
      </c>
      <c r="P38" s="19" t="n">
        <v>0</v>
      </c>
      <c r="Q38" s="19" t="n">
        <v>0</v>
      </c>
      <c r="R38" s="18" t="n"/>
    </row>
    <row r="39">
      <c r="A39" s="11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16" t="n"/>
      <c r="F39" s="17" t="n"/>
      <c r="G39" s="17" t="n"/>
      <c r="H39" s="18" t="n"/>
      <c r="I39" s="17" t="n"/>
      <c r="J39" s="17" t="n"/>
      <c r="K39" s="17" t="n"/>
      <c r="L39" s="17" t="n"/>
      <c r="M39" s="18" t="n"/>
      <c r="N39" s="17" t="n"/>
      <c r="O39" s="17" t="n"/>
      <c r="P39" s="17" t="n"/>
      <c r="Q39" s="17" t="n"/>
      <c r="R39" s="18" t="n"/>
    </row>
    <row r="40">
      <c r="A40" s="11" t="inlineStr">
        <is>
          <t>drv:PBR</t>
        </is>
      </c>
      <c r="B40" s="2" t="inlineStr">
        <is>
          <t>yoy</t>
        </is>
      </c>
      <c r="C40" t="inlineStr">
        <is>
          <t>PBR YoY</t>
        </is>
      </c>
      <c r="E40" s="16" t="n"/>
      <c r="F40" s="17" t="n"/>
      <c r="G40" s="17" t="n"/>
      <c r="H40" s="18" t="n"/>
      <c r="I40" s="17" t="n"/>
      <c r="J40" s="17" t="n"/>
      <c r="K40" s="19" t="n">
        <v>0.540541</v>
      </c>
      <c r="L40" s="19" t="n">
        <v>0.626645</v>
      </c>
      <c r="M40" s="18" t="n"/>
      <c r="N40" s="19" t="n">
        <v>0.742942</v>
      </c>
      <c r="O40" s="19" t="n">
        <v>0.912351</v>
      </c>
      <c r="P40" s="19" t="n">
        <v>1.181287</v>
      </c>
      <c r="Q40" s="19" t="n">
        <v>1.674419</v>
      </c>
      <c r="R40" s="18" t="n"/>
    </row>
    <row r="41">
      <c r="A41" s="11" t="inlineStr">
        <is>
          <t>drv:매출전사</t>
        </is>
      </c>
      <c r="B41" s="2" t="inlineStr">
        <is>
          <t>ratio</t>
        </is>
      </c>
      <c r="C41" t="inlineStr">
        <is>
          <t>매출전사 비중(/매출액)</t>
        </is>
      </c>
      <c r="E41" s="16">
        <f>IFERROR(subQ!E32/subQ!E5,"")</f>
        <v/>
      </c>
      <c r="F41" s="19" t="n">
        <v>1</v>
      </c>
      <c r="G41" s="19" t="n">
        <v>1</v>
      </c>
      <c r="H41" s="18">
        <f>IFERROR(subQ!H32/subQ!H5,"")</f>
        <v/>
      </c>
      <c r="I41" s="19" t="n">
        <v>1</v>
      </c>
      <c r="J41" s="19" t="n">
        <v>1</v>
      </c>
      <c r="K41" s="19" t="n">
        <v>1</v>
      </c>
      <c r="L41" s="19" t="n">
        <v>1</v>
      </c>
      <c r="M41" s="18">
        <f>IFERROR(subQ!M32/subQ!M5,"")</f>
        <v/>
      </c>
      <c r="N41" s="19" t="n">
        <v>1</v>
      </c>
      <c r="O41" s="19" t="n">
        <v>1</v>
      </c>
      <c r="P41" s="19" t="n">
        <v>1</v>
      </c>
      <c r="Q41" s="19" t="n">
        <v>1</v>
      </c>
      <c r="R41" s="18">
        <f>IFERROR(subQ!R32/subQ!R5,"")</f>
        <v/>
      </c>
    </row>
    <row r="42">
      <c r="A42" s="11" t="inlineStr">
        <is>
          <t>drv:OP전사</t>
        </is>
      </c>
      <c r="B42" s="2" t="inlineStr">
        <is>
          <t>ratio</t>
        </is>
      </c>
      <c r="C42" t="inlineStr">
        <is>
          <t>OP전사 마진(/매출전사)</t>
        </is>
      </c>
      <c r="E42" s="16">
        <f>IFERROR(subQ!E33/subQ!E32,"")</f>
        <v/>
      </c>
      <c r="F42" s="19" t="n">
        <v>-0.2</v>
      </c>
      <c r="G42" s="19" t="n">
        <v>-0.2</v>
      </c>
      <c r="H42" s="18">
        <f>IFERROR(subQ!H33/subQ!H32,"")</f>
        <v/>
      </c>
      <c r="I42" s="19" t="n">
        <v>-0.2</v>
      </c>
      <c r="J42" s="19" t="n">
        <v>-0.2</v>
      </c>
      <c r="K42" s="19" t="n">
        <v>-0.2</v>
      </c>
      <c r="L42" s="19" t="n">
        <v>-0.2</v>
      </c>
      <c r="M42" s="18">
        <f>IFERROR(subQ!M33/subQ!M32,"")</f>
        <v/>
      </c>
      <c r="N42" s="19" t="n">
        <v>-0.2</v>
      </c>
      <c r="O42" s="19" t="n">
        <v>-0.2</v>
      </c>
      <c r="P42" s="19" t="n">
        <v>-0.2</v>
      </c>
      <c r="Q42" s="19" t="n">
        <v>-0.2</v>
      </c>
      <c r="R42" s="18">
        <f>IFERROR(subQ!R33/subQ!R32,"")</f>
        <v/>
      </c>
    </row>
    <row r="43">
      <c r="E43" s="5" t="n"/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B44" s="1" t="inlineStr">
        <is>
          <t>3. 밸류에이션·스칼라</t>
        </is>
      </c>
      <c r="E44" s="5" t="n"/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sc:종가</t>
        </is>
      </c>
      <c r="C45" t="inlineStr">
        <is>
          <t>종가</t>
        </is>
      </c>
      <c r="D45" s="24" t="n">
        <v>6700</v>
      </c>
      <c r="E45" s="6" t="inlineStr">
        <is>
          <t>원 — aikstockdata(금융위 T+1)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sc:기준일</t>
        </is>
      </c>
      <c r="C46" t="inlineStr">
        <is>
          <t>기준일</t>
        </is>
      </c>
      <c r="D46" s="25" t="inlineStr">
        <is>
          <t>20260929</t>
        </is>
      </c>
      <c r="E46" s="6" t="inlineStr">
        <is>
          <t>종가 기준일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sc:COE</t>
        </is>
      </c>
      <c r="C47" t="inlineStr">
        <is>
          <t>COE</t>
        </is>
      </c>
      <c r="D47" s="19" t="n">
        <v>0.09</v>
      </c>
      <c r="E47" s="6" t="inlineStr">
        <is>
          <t>자기자본비용(가정)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sc:PER_lo</t>
        </is>
      </c>
      <c r="C48" t="inlineStr">
        <is>
          <t>PER_lo</t>
        </is>
      </c>
      <c r="D48" s="21" t="n">
        <v>10</v>
      </c>
      <c r="E48" s="6" t="inlineStr">
        <is>
          <t>PER 밴드 하단(배) — sector_default(레퍼런스 TP_PE PB 예시 10/15/20배; 과거 양(+)EPS 분기 0개 &lt; 4)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sc:PER_mid</t>
        </is>
      </c>
      <c r="C49" t="inlineStr">
        <is>
          <t>PER_mid</t>
        </is>
      </c>
      <c r="D49" s="21" t="n">
        <v>15</v>
      </c>
      <c r="E49" s="6" t="inlineStr">
        <is>
          <t>PER 밴드 중단(배)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sc:PER_hi</t>
        </is>
      </c>
      <c r="C50" t="inlineStr">
        <is>
          <t>PER_hi</t>
        </is>
      </c>
      <c r="D50" s="21" t="n">
        <v>20</v>
      </c>
      <c r="E50" s="6" t="inlineStr">
        <is>
          <t>PER 밴드 상단(배)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sc:EPS_Y1가중</t>
        </is>
      </c>
      <c r="C51" t="inlineStr">
        <is>
          <t>EPS_Y1가중</t>
        </is>
      </c>
      <c r="D51" s="19" t="n">
        <v>0.5</v>
      </c>
      <c r="E51" s="6" t="inlineStr">
        <is>
          <t>12M fwd EPS = FY(last_actual연도)E × w + FY+1E × (1−w) — 기준 분기 2Q 이면 0.5(가정)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sc:세율</t>
        </is>
      </c>
      <c r="C52" t="inlineStr">
        <is>
          <t>세율</t>
        </is>
      </c>
      <c r="D52" s="19" t="n">
        <v>0.22</v>
      </c>
      <c r="E52" s="6" t="inlineStr">
        <is>
          <t>법인세율 가정(참고 — 추정 수식은 드라이버 행 참조)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sc:판관비율</t>
        </is>
      </c>
      <c r="C53" t="inlineStr">
        <is>
          <t>판관비율</t>
        </is>
      </c>
      <c r="D53" s="19" t="n">
        <v>0.7085</v>
      </c>
      <c r="E53" s="6" t="inlineStr">
        <is>
          <t>판관비율 가정(참고)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sc:배당성향</t>
        </is>
      </c>
      <c r="C54" t="inlineStr">
        <is>
          <t>배당성향</t>
        </is>
      </c>
      <c r="D54" s="19" t="n"/>
      <c r="E54" s="6" t="inlineStr">
        <is>
          <t>배당성향 가정(참고)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sc:외화순노출_백만$</t>
        </is>
      </c>
      <c r="C55" t="inlineStr">
        <is>
          <t>외화순노출_백만$</t>
        </is>
      </c>
      <c r="D55" s="21" t="n"/>
      <c r="E55" s="6" t="inlineStr">
        <is>
          <t>외화 순노출 × Δ기말환율 (외화 시트 방식)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26-10-02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26-10-02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6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6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6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6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6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6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6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6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6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6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6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6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6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6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유동리스부채</t>
        </is>
      </c>
      <c r="E19" s="26" t="n">
        <v>135.84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리스부채</t>
        </is>
      </c>
      <c r="E20" s="26" t="n">
        <v>265.91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단기금융부채</t>
        </is>
      </c>
      <c r="E21" s="26" t="n">
        <v>135.84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단기충당부채</t>
        </is>
      </c>
      <c r="E22" s="26" t="n">
        <v>118.66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비유동부채</t>
        </is>
      </c>
      <c r="E23" s="26" t="n">
        <v>2109.17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장기매입채무및기타채무</t>
        </is>
      </c>
      <c r="E24" s="26" t="n">
        <v>22.22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비유동리스부채</t>
        </is>
      </c>
      <c r="E25" s="26" t="n">
        <v>130.07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장기금융부채</t>
        </is>
      </c>
      <c r="E26" s="26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기타비유동부채</t>
        </is>
      </c>
      <c r="E27" s="26" t="n">
        <v>52.61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확정급여부채</t>
        </is>
      </c>
      <c r="E28" s="26" t="n">
        <v>1904.27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부채총계</t>
        </is>
      </c>
      <c r="E29" s="26" t="n">
        <v>18095.43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자본금</t>
        </is>
      </c>
      <c r="E30" s="26" t="n">
        <v>778.89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기타자본</t>
        </is>
      </c>
      <c r="E31" s="26" t="n">
        <v>11312.75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기타포괄이익누계액</t>
        </is>
      </c>
      <c r="E32" s="26" t="n">
        <v>-591.73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이익잉여금</t>
        </is>
      </c>
      <c r="E33" s="26" t="n">
        <v>-1271.43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자본총계</t>
        </is>
      </c>
      <c r="E34" s="26" t="n">
        <v>10228.48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부채와자본총계</t>
        </is>
      </c>
      <c r="E35" s="26" t="n">
        <v>28323.91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지배주주지분</t>
        </is>
      </c>
      <c r="E36" s="26" t="n">
        <v>10228.48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이자발생자산</t>
        </is>
      </c>
      <c r="E37" s="26" t="n">
        <v>11734.12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단기차입금</t>
        </is>
      </c>
      <c r="E38" s="26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총차입금</t>
        </is>
      </c>
      <c r="E39" s="26" t="n">
        <v>7998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순차입금</t>
        </is>
      </c>
      <c r="E40" s="26" t="n">
        <v>-3492.67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6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6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6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6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6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6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6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6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6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6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6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6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6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6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6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6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6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6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6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6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6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6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6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6">
        <f>IFERROR(VLOOKUP($D5,BS별도,MATCH(E$1,BS별도H,0),0)/100,"")</f>
        <v/>
      </c>
      <c r="F5" s="15" t="n">
        <v>37.95</v>
      </c>
      <c r="G5" s="15" t="n">
        <v>37.95</v>
      </c>
      <c r="H5" s="27" t="n"/>
      <c r="I5" s="15" t="n">
        <v>37.95</v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7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7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6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7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7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7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6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7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7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7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6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7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7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7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6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7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7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7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6" t="n">
        <v>-0.3887</v>
      </c>
      <c r="F10" s="15" t="n">
        <v>-0.2</v>
      </c>
      <c r="G10" s="15" t="n">
        <v>-0.2</v>
      </c>
      <c r="H10" s="27" t="n"/>
      <c r="I10" s="15" t="n">
        <v>-0.2</v>
      </c>
      <c r="J10" s="15">
        <f>IFERROR(E10*(1+변수!J24),"")</f>
        <v/>
      </c>
      <c r="K10" s="15">
        <f>IFERROR(F10*(1+변수!K24),"")</f>
        <v/>
      </c>
      <c r="L10" s="15">
        <f>IFERROR(G10*(1+변수!L24),"")</f>
        <v/>
      </c>
      <c r="M10" s="27">
        <f>SUM(I10:L10)</f>
        <v/>
      </c>
      <c r="N10" s="15">
        <f>IFERROR(I10*(1+변수!N24),"")</f>
        <v/>
      </c>
      <c r="O10" s="15">
        <f>IFERROR(J10*(1+변수!O24),"")</f>
        <v/>
      </c>
      <c r="P10" s="15">
        <f>IFERROR(K10*(1+변수!P24),"")</f>
        <v/>
      </c>
      <c r="Q10" s="15">
        <f>IFERROR(L10*(1+변수!Q24),"")</f>
        <v/>
      </c>
      <c r="R10" s="27">
        <f>SUM(N10:Q10)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6">
        <f>IFERROR(VLOOKUP($D11,BS별도,MATCH(E$1,BS별도H,0),0)/100,"")</f>
        <v/>
      </c>
      <c r="F11" s="15">
        <f>변수!F25</f>
        <v/>
      </c>
      <c r="G11" s="15">
        <f>변수!G25</f>
        <v/>
      </c>
      <c r="H11" s="27" t="n"/>
      <c r="I11" s="15">
        <f>변수!I25</f>
        <v/>
      </c>
      <c r="J11" s="15">
        <f>변수!J25</f>
        <v/>
      </c>
      <c r="K11" s="15">
        <f>변수!K25</f>
        <v/>
      </c>
      <c r="L11" s="15">
        <f>변수!L25</f>
        <v/>
      </c>
      <c r="M11" s="27">
        <f>SUM(I11:L11)</f>
        <v/>
      </c>
      <c r="N11" s="15">
        <f>변수!N25</f>
        <v/>
      </c>
      <c r="O11" s="15">
        <f>변수!O25</f>
        <v/>
      </c>
      <c r="P11" s="15">
        <f>변수!P25</f>
        <v/>
      </c>
      <c r="Q11" s="15">
        <f>변수!Q25</f>
        <v/>
      </c>
      <c r="R11" s="27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6">
        <f>IFERROR(VLOOKUP($D12,BS별도,MATCH(E$1,BS별도H,0),0)/100,"")</f>
        <v/>
      </c>
      <c r="F12" s="15" t="n"/>
      <c r="G12" s="15" t="n"/>
      <c r="H12" s="27" t="n"/>
      <c r="I12" s="15" t="n"/>
      <c r="J12" s="15" t="n"/>
      <c r="K12" s="15" t="n"/>
      <c r="L12" s="15" t="n"/>
      <c r="M12" s="27">
        <f>SUM(I12:L12)</f>
        <v/>
      </c>
      <c r="N12" s="15" t="n"/>
      <c r="O12" s="15" t="n"/>
      <c r="P12" s="15" t="n"/>
      <c r="Q12" s="15" t="n"/>
      <c r="R12" s="27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6" t="n">
        <v>-0.05</v>
      </c>
      <c r="F13" s="15" t="n"/>
      <c r="G13" s="15" t="n"/>
      <c r="H13" s="27" t="n"/>
      <c r="I13" s="15" t="n"/>
      <c r="J13" s="15" t="n"/>
      <c r="K13" s="15" t="n"/>
      <c r="L13" s="15" t="n"/>
      <c r="M13" s="27">
        <f>SUM(I13:L13)</f>
        <v/>
      </c>
      <c r="N13" s="15" t="n"/>
      <c r="O13" s="15" t="n"/>
      <c r="P13" s="15" t="n"/>
      <c r="Q13" s="15" t="n"/>
      <c r="R13" s="27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6">
        <f>IFERROR(VLOOKUP($D14,BS별도,MATCH(E$1,BS별도H,0),0)/100,"")</f>
        <v/>
      </c>
      <c r="F14" s="15">
        <f>변수!F28</f>
        <v/>
      </c>
      <c r="G14" s="15">
        <f>변수!G28</f>
        <v/>
      </c>
      <c r="H14" s="27" t="n"/>
      <c r="I14" s="15">
        <f>변수!I28</f>
        <v/>
      </c>
      <c r="J14" s="15">
        <f>변수!J28</f>
        <v/>
      </c>
      <c r="K14" s="15">
        <f>변수!K28</f>
        <v/>
      </c>
      <c r="L14" s="15">
        <f>변수!L28</f>
        <v/>
      </c>
      <c r="M14" s="27">
        <f>SUM(I14:L14)</f>
        <v/>
      </c>
      <c r="N14" s="15">
        <f>변수!N28</f>
        <v/>
      </c>
      <c r="O14" s="15">
        <f>변수!O28</f>
        <v/>
      </c>
      <c r="P14" s="15">
        <f>변수!P28</f>
        <v/>
      </c>
      <c r="Q14" s="15">
        <f>변수!Q28</f>
        <v/>
      </c>
      <c r="R14" s="27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6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7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7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7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6" t="n"/>
      <c r="F16" s="15">
        <f>IFERROR(F15*변수!F29,"")</f>
        <v/>
      </c>
      <c r="G16" s="15">
        <f>IFERROR(G15*변수!G29,"")</f>
        <v/>
      </c>
      <c r="H16" s="27" t="n"/>
      <c r="I16" s="15">
        <f>IFERROR(I15*변수!I29,"")</f>
        <v/>
      </c>
      <c r="J16" s="15">
        <f>IFERROR(J15*변수!J29,"")</f>
        <v/>
      </c>
      <c r="K16" s="15">
        <f>IFERROR(K15*변수!K29,"")</f>
        <v/>
      </c>
      <c r="L16" s="15">
        <f>IFERROR(L15*변수!L29,"")</f>
        <v/>
      </c>
      <c r="M16" s="27">
        <f>SUM(I16:L16)</f>
        <v/>
      </c>
      <c r="N16" s="15">
        <f>IFERROR(N15*변수!N29,"")</f>
        <v/>
      </c>
      <c r="O16" s="15">
        <f>IFERROR(O15*변수!O29,"")</f>
        <v/>
      </c>
      <c r="P16" s="15">
        <f>IFERROR(P15*변수!P29,"")</f>
        <v/>
      </c>
      <c r="Q16" s="15">
        <f>IFERROR(Q15*변수!Q29,"")</f>
        <v/>
      </c>
      <c r="R16" s="27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6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7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7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7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6">
        <f>IFERROR(VLOOKUP($D18,BS별도,MATCH(E$1,BS별도H,0),0)/100,"")</f>
        <v/>
      </c>
      <c r="F18" s="15">
        <f>IFERROR(F17*변수!F30,"")</f>
        <v/>
      </c>
      <c r="G18" s="15">
        <f>IFERROR(G17*변수!G30,"")</f>
        <v/>
      </c>
      <c r="H18" s="27" t="n"/>
      <c r="I18" s="15">
        <f>IFERROR(I17*변수!I30,"")</f>
        <v/>
      </c>
      <c r="J18" s="15">
        <f>IFERROR(J17*변수!J30,"")</f>
        <v/>
      </c>
      <c r="K18" s="15">
        <f>IFERROR(K17*변수!K30,"")</f>
        <v/>
      </c>
      <c r="L18" s="15">
        <f>IFERROR(L17*변수!L30,"")</f>
        <v/>
      </c>
      <c r="M18" s="27">
        <f>SUM(I18:L18)</f>
        <v/>
      </c>
      <c r="N18" s="15">
        <f>IFERROR(N17*변수!N30,"")</f>
        <v/>
      </c>
      <c r="O18" s="15">
        <f>IFERROR(O17*변수!O30,"")</f>
        <v/>
      </c>
      <c r="P18" s="15">
        <f>IFERROR(P17*변수!P30,"")</f>
        <v/>
      </c>
      <c r="Q18" s="15">
        <f>IFERROR(Q17*변수!Q30,"")</f>
        <v/>
      </c>
      <c r="R18" s="27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6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7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7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7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6">
        <f>IFERROR(VLOOKUP($D20,BS별도,MATCH(E$1,BS별도H,0),0)/100,"")</f>
        <v/>
      </c>
      <c r="F20" s="15">
        <f>IFERROR(E20*(1+변수!F31),"")</f>
        <v/>
      </c>
      <c r="G20" s="15">
        <f>IFERROR(F20*(1+변수!G31),"")</f>
        <v/>
      </c>
      <c r="H20" s="27">
        <f>G20</f>
        <v/>
      </c>
      <c r="I20" s="15">
        <f>IFERROR(G20*(1+변수!I31),"")</f>
        <v/>
      </c>
      <c r="J20" s="15">
        <f>IFERROR(I20*(1+변수!J31),"")</f>
        <v/>
      </c>
      <c r="K20" s="15">
        <f>IFERROR(J20*(1+변수!K31),"")</f>
        <v/>
      </c>
      <c r="L20" s="15">
        <f>IFERROR(K20*(1+변수!L31),"")</f>
        <v/>
      </c>
      <c r="M20" s="27">
        <f>L20</f>
        <v/>
      </c>
      <c r="N20" s="15">
        <f>IFERROR(L20*(1+변수!N31),"")</f>
        <v/>
      </c>
      <c r="O20" s="15">
        <f>IFERROR(N20*(1+변수!O31),"")</f>
        <v/>
      </c>
      <c r="P20" s="15">
        <f>IFERROR(O20*(1+변수!P31),"")</f>
        <v/>
      </c>
      <c r="Q20" s="15">
        <f>IFERROR(P20*(1+변수!Q31),"")</f>
        <v/>
      </c>
      <c r="R20" s="27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6">
        <f>IFERROR(VLOOKUP($D21,BS별도,MATCH(E$1,BS별도H,0),0)/100,"")</f>
        <v/>
      </c>
      <c r="F21" s="15">
        <f>IFERROR(E21+F17-변수!F32,"")</f>
        <v/>
      </c>
      <c r="G21" s="15">
        <f>IFERROR(F21+G17-변수!G32,"")</f>
        <v/>
      </c>
      <c r="H21" s="27">
        <f>G21</f>
        <v/>
      </c>
      <c r="I21" s="15">
        <f>IFERROR(G21+I17-변수!I32,"")</f>
        <v/>
      </c>
      <c r="J21" s="15">
        <f>IFERROR(I21+J17-변수!J32,"")</f>
        <v/>
      </c>
      <c r="K21" s="15">
        <f>IFERROR(J21+K17-변수!K32,"")</f>
        <v/>
      </c>
      <c r="L21" s="15">
        <f>IFERROR(K21+L17-변수!L32,"")</f>
        <v/>
      </c>
      <c r="M21" s="27">
        <f>L21</f>
        <v/>
      </c>
      <c r="N21" s="15">
        <f>IFERROR(L21+N17-변수!N32,"")</f>
        <v/>
      </c>
      <c r="O21" s="15">
        <f>IFERROR(N21+O17-변수!O32,"")</f>
        <v/>
      </c>
      <c r="P21" s="15">
        <f>IFERROR(O21+P17-변수!P32,"")</f>
        <v/>
      </c>
      <c r="Q21" s="15">
        <f>IFERROR(P21+Q17-변수!Q32,"")</f>
        <v/>
      </c>
      <c r="R21" s="27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6">
        <f>IFERROR(VLOOKUP($D22,BS별도,MATCH(E$1,BS별도H,0),0)/100,"")</f>
        <v/>
      </c>
      <c r="F22" s="15">
        <f>IFERROR(E22+F18-변수!F33,"")</f>
        <v/>
      </c>
      <c r="G22" s="15">
        <f>IFERROR(F22+G18-변수!G33,"")</f>
        <v/>
      </c>
      <c r="H22" s="27">
        <f>G22</f>
        <v/>
      </c>
      <c r="I22" s="15">
        <f>IFERROR(G22+I18-변수!I33,"")</f>
        <v/>
      </c>
      <c r="J22" s="15">
        <f>IFERROR(I22+J18-변수!J33,"")</f>
        <v/>
      </c>
      <c r="K22" s="15">
        <f>IFERROR(J22+K18-변수!K33,"")</f>
        <v/>
      </c>
      <c r="L22" s="15">
        <f>IFERROR(K22+L18-변수!L33,"")</f>
        <v/>
      </c>
      <c r="M22" s="27">
        <f>L22</f>
        <v/>
      </c>
      <c r="N22" s="15">
        <f>IFERROR(L22+N18-변수!N33,"")</f>
        <v/>
      </c>
      <c r="O22" s="15">
        <f>IFERROR(N22+O18-변수!O33,"")</f>
        <v/>
      </c>
      <c r="P22" s="15">
        <f>IFERROR(O22+P18-변수!P33,"")</f>
        <v/>
      </c>
      <c r="Q22" s="15">
        <f>IFERROR(P22+Q18-변수!Q33,"")</f>
        <v/>
      </c>
      <c r="R22" s="27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6">
        <f>IFERROR(VLOOKUP($D23,BS별도,MATCH(E$1,BS별도H,0),0)/100,"")</f>
        <v/>
      </c>
      <c r="F23" s="15">
        <f>IFERROR(E23*(1+변수!F34),"")</f>
        <v/>
      </c>
      <c r="G23" s="15">
        <f>IFERROR(F23*(1+변수!G34),"")</f>
        <v/>
      </c>
      <c r="H23" s="27">
        <f>G23</f>
        <v/>
      </c>
      <c r="I23" s="15">
        <f>IFERROR(G23*(1+변수!I34),"")</f>
        <v/>
      </c>
      <c r="J23" s="15">
        <f>IFERROR(I23*(1+변수!J34),"")</f>
        <v/>
      </c>
      <c r="K23" s="15">
        <f>IFERROR(J23*(1+변수!K34),"")</f>
        <v/>
      </c>
      <c r="L23" s="15">
        <f>IFERROR(K23*(1+변수!L34),"")</f>
        <v/>
      </c>
      <c r="M23" s="27">
        <f>L23</f>
        <v/>
      </c>
      <c r="N23" s="15">
        <f>IFERROR(L23*(1+변수!N34),"")</f>
        <v/>
      </c>
      <c r="O23" s="15">
        <f>IFERROR(N23*(1+변수!O34),"")</f>
        <v/>
      </c>
      <c r="P23" s="15">
        <f>IFERROR(O23*(1+변수!P34),"")</f>
        <v/>
      </c>
      <c r="Q23" s="15">
        <f>IFERROR(P23*(1+변수!Q34),"")</f>
        <v/>
      </c>
      <c r="R23" s="27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6">
        <f>IFERROR(VLOOKUP($D24,BS별도,MATCH(E$1,BS별도H,0),0)/100,"")</f>
        <v/>
      </c>
      <c r="F24" s="15">
        <f>IFERROR(E24*(1+변수!F35),"")</f>
        <v/>
      </c>
      <c r="G24" s="15">
        <f>IFERROR(F24*(1+변수!G35),"")</f>
        <v/>
      </c>
      <c r="H24" s="27">
        <f>G24</f>
        <v/>
      </c>
      <c r="I24" s="15">
        <f>IFERROR(G24*(1+변수!I35),"")</f>
        <v/>
      </c>
      <c r="J24" s="15">
        <f>IFERROR(I24*(1+변수!J35),"")</f>
        <v/>
      </c>
      <c r="K24" s="15">
        <f>IFERROR(J24*(1+변수!K35),"")</f>
        <v/>
      </c>
      <c r="L24" s="15">
        <f>IFERROR(K24*(1+변수!L35),"")</f>
        <v/>
      </c>
      <c r="M24" s="27">
        <f>L24</f>
        <v/>
      </c>
      <c r="N24" s="15">
        <f>IFERROR(L24*(1+변수!N35),"")</f>
        <v/>
      </c>
      <c r="O24" s="15">
        <f>IFERROR(N24*(1+변수!O35),"")</f>
        <v/>
      </c>
      <c r="P24" s="15">
        <f>IFERROR(O24*(1+변수!P35),"")</f>
        <v/>
      </c>
      <c r="Q24" s="15">
        <f>IFERROR(P24*(1+변수!Q35),"")</f>
        <v/>
      </c>
      <c r="R24" s="27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6">
        <f>IFERROR(VLOOKUP($D25,BS별도,MATCH(E$1,BS별도H,0),0)/100,"")</f>
        <v/>
      </c>
      <c r="F25" s="15">
        <f>IFERROR(E25*(1+변수!F36),"")</f>
        <v/>
      </c>
      <c r="G25" s="15">
        <f>IFERROR(F25*(1+변수!G36),"")</f>
        <v/>
      </c>
      <c r="H25" s="27">
        <f>G25</f>
        <v/>
      </c>
      <c r="I25" s="15">
        <f>IFERROR(G25*(1+변수!I36),"")</f>
        <v/>
      </c>
      <c r="J25" s="15">
        <f>IFERROR(I25*(1+변수!J36),"")</f>
        <v/>
      </c>
      <c r="K25" s="15">
        <f>IFERROR(J25*(1+변수!K36),"")</f>
        <v/>
      </c>
      <c r="L25" s="15">
        <f>IFERROR(K25*(1+변수!L36),"")</f>
        <v/>
      </c>
      <c r="M25" s="27">
        <f>L25</f>
        <v/>
      </c>
      <c r="N25" s="15">
        <f>IFERROR(L25*(1+변수!N36),"")</f>
        <v/>
      </c>
      <c r="O25" s="15">
        <f>IFERROR(N25*(1+변수!O36),"")</f>
        <v/>
      </c>
      <c r="P25" s="15">
        <f>IFERROR(O25*(1+변수!P36),"")</f>
        <v/>
      </c>
      <c r="Q25" s="15">
        <f>IFERROR(P25*(1+변수!Q36),"")</f>
        <v/>
      </c>
      <c r="R25" s="27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6">
        <f>IFERROR(VLOOKUP($D26,BS별도,MATCH(E$1,BS별도H,0),0)/100,"")</f>
        <v/>
      </c>
      <c r="F26" s="15" t="n"/>
      <c r="G26" s="15" t="n"/>
      <c r="H26" s="27">
        <f>G26</f>
        <v/>
      </c>
      <c r="I26" s="15" t="n"/>
      <c r="J26" s="15" t="n"/>
      <c r="K26" s="15" t="n"/>
      <c r="L26" s="15" t="n"/>
      <c r="M26" s="27">
        <f>L26</f>
        <v/>
      </c>
      <c r="N26" s="15" t="n"/>
      <c r="O26" s="15" t="n"/>
      <c r="P26" s="15" t="n"/>
      <c r="Q26" s="15" t="n"/>
      <c r="R26" s="27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IFERROR(E27*(1+변수!F38),"")</f>
        <v/>
      </c>
      <c r="G27" s="23">
        <f>IFERROR(F27*(1+변수!G38),"")</f>
        <v/>
      </c>
      <c r="H27" s="22">
        <f>G27</f>
        <v/>
      </c>
      <c r="I27" s="23">
        <f>IFERROR(G27*(1+변수!I38),"")</f>
        <v/>
      </c>
      <c r="J27" s="23">
        <f>IFERROR(I27*(1+변수!J38),"")</f>
        <v/>
      </c>
      <c r="K27" s="23">
        <f>IFERROR(J27*(1+변수!K38),"")</f>
        <v/>
      </c>
      <c r="L27" s="23">
        <f>IFERROR(K27*(1+변수!L38),"")</f>
        <v/>
      </c>
      <c r="M27" s="22">
        <f>L27</f>
        <v/>
      </c>
      <c r="N27" s="23">
        <f>IFERROR(L27*(1+변수!N38),"")</f>
        <v/>
      </c>
      <c r="O27" s="23">
        <f>IFERROR(N27*(1+변수!O38),"")</f>
        <v/>
      </c>
      <c r="P27" s="23">
        <f>IFERROR(O27*(1+변수!P38),"")</f>
        <v/>
      </c>
      <c r="Q27" s="23">
        <f>IFERROR(P27*(1+변수!Q38),"")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6">
        <f>IFERROR(E18*100/E27,"")</f>
        <v/>
      </c>
      <c r="F28" s="15">
        <f>IFERROR(F18*100/F27,"")</f>
        <v/>
      </c>
      <c r="G28" s="15">
        <f>IFERROR(G18*100/G27,"")</f>
        <v/>
      </c>
      <c r="H28" s="27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7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7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6">
        <f>IFERROR(E22*100/E27,"")</f>
        <v/>
      </c>
      <c r="F29" s="15">
        <f>IFERROR(F22*100/F27,"")</f>
        <v/>
      </c>
      <c r="G29" s="15">
        <f>IFERROR(G22*100/G27,"")</f>
        <v/>
      </c>
      <c r="H29" s="27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7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7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6" t="n"/>
      <c r="F30" s="15" t="n"/>
      <c r="G30" s="15" t="n">
        <v>0</v>
      </c>
      <c r="H30" s="27" t="n">
        <v>0</v>
      </c>
      <c r="I30" s="15" t="n"/>
      <c r="J30" s="15" t="n"/>
      <c r="K30" s="15" t="n"/>
      <c r="L30" s="15" t="n">
        <v>0</v>
      </c>
      <c r="M30" s="27">
        <f>SUM(I30:L30)</f>
        <v/>
      </c>
      <c r="N30" s="15" t="n"/>
      <c r="O30" s="15" t="n"/>
      <c r="P30" s="15" t="n"/>
      <c r="Q30" s="15" t="n">
        <v>0</v>
      </c>
      <c r="R30" s="27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26" t="n"/>
      <c r="F31" s="15" t="n">
        <v>5.55</v>
      </c>
      <c r="G31" s="15" t="n">
        <v>6.08</v>
      </c>
      <c r="H31" s="27" t="n">
        <v>6.08</v>
      </c>
      <c r="I31" s="15" t="n">
        <v>6.73</v>
      </c>
      <c r="J31" s="15" t="n">
        <v>7.53</v>
      </c>
      <c r="K31" s="15">
        <f>IFERROR(F31*(1+변수!K40),"")</f>
        <v/>
      </c>
      <c r="L31" s="15">
        <f>IFERROR(G31*(1+변수!L40),"")</f>
        <v/>
      </c>
      <c r="M31" s="27">
        <f>SUM(I31:L31)</f>
        <v/>
      </c>
      <c r="N31" s="15">
        <f>IFERROR(I31*(1+변수!N40),"")</f>
        <v/>
      </c>
      <c r="O31" s="15">
        <f>IFERROR(J31*(1+변수!O40),"")</f>
        <v/>
      </c>
      <c r="P31" s="15">
        <f>IFERROR(K31*(1+변수!P40),"")</f>
        <v/>
      </c>
      <c r="Q31" s="15">
        <f>IFERROR(L31*(1+변수!Q40),"")</f>
        <v/>
      </c>
      <c r="R31" s="27">
        <f>SUM(N31:Q31)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6" t="n">
        <v>37.95</v>
      </c>
      <c r="F32" s="15">
        <f>IFERROR(F5*변수!F41,"")</f>
        <v/>
      </c>
      <c r="G32" s="15">
        <f>IFERROR(G5*변수!G41,"")</f>
        <v/>
      </c>
      <c r="H32" s="27" t="n"/>
      <c r="I32" s="15">
        <f>IFERROR(I5*변수!I41,"")</f>
        <v/>
      </c>
      <c r="J32" s="15">
        <f>IFERROR(J5*변수!J41,"")</f>
        <v/>
      </c>
      <c r="K32" s="15">
        <f>IFERROR(K5*변수!K41,"")</f>
        <v/>
      </c>
      <c r="L32" s="15">
        <f>IFERROR(L5*변수!L41,"")</f>
        <v/>
      </c>
      <c r="M32" s="27">
        <f>SUM(I32:L32)</f>
        <v/>
      </c>
      <c r="N32" s="15">
        <f>IFERROR(N5*변수!N41,"")</f>
        <v/>
      </c>
      <c r="O32" s="15">
        <f>IFERROR(O5*변수!O41,"")</f>
        <v/>
      </c>
      <c r="P32" s="15">
        <f>IFERROR(P5*변수!P41,"")</f>
        <v/>
      </c>
      <c r="Q32" s="15">
        <f>IFERROR(Q5*변수!Q41,"")</f>
        <v/>
      </c>
      <c r="R32" s="27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6" t="n">
        <v>-14.75</v>
      </c>
      <c r="F33" s="15">
        <f>IFERROR(F32*변수!F42,"")</f>
        <v/>
      </c>
      <c r="G33" s="15">
        <f>IFERROR(G32*변수!G42,"")</f>
        <v/>
      </c>
      <c r="H33" s="27" t="n"/>
      <c r="I33" s="15">
        <f>IFERROR(I32*변수!I42,"")</f>
        <v/>
      </c>
      <c r="J33" s="15">
        <f>IFERROR(J32*변수!J42,"")</f>
        <v/>
      </c>
      <c r="K33" s="15">
        <f>IFERROR(K32*변수!K42,"")</f>
        <v/>
      </c>
      <c r="L33" s="15">
        <f>IFERROR(L32*변수!L42,"")</f>
        <v/>
      </c>
      <c r="M33" s="27">
        <f>SUM(I33:L33)</f>
        <v/>
      </c>
      <c r="N33" s="15">
        <f>IFERROR(N32*변수!N42,"")</f>
        <v/>
      </c>
      <c r="O33" s="15">
        <f>IFERROR(O32*변수!O42,"")</f>
        <v/>
      </c>
      <c r="P33" s="15">
        <f>IFERROR(P32*변수!P42,"")</f>
        <v/>
      </c>
      <c r="Q33" s="15">
        <f>IFERROR(Q32*변수!Q42,"")</f>
        <v/>
      </c>
      <c r="R33" s="27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OPM</t>
        </is>
      </c>
      <c r="C35" t="inlineStr">
        <is>
          <t>%</t>
        </is>
      </c>
      <c r="D35" t="inlineStr">
        <is>
          <t>영업이익 / 매출액</t>
        </is>
      </c>
      <c r="E35" s="16">
        <f>IFERROR(E9/E5,"")</f>
        <v/>
      </c>
      <c r="F35" s="17">
        <f>IFERROR(F9/F5,"")</f>
        <v/>
      </c>
      <c r="G35" s="17">
        <f>IFERROR(G9/G5,"")</f>
        <v/>
      </c>
      <c r="H35" s="18">
        <f>IFERROR(H9/H5,"")</f>
        <v/>
      </c>
      <c r="I35" s="17">
        <f>IFERROR(I9/I5,"")</f>
        <v/>
      </c>
      <c r="J35" s="17">
        <f>IFERROR(J9/J5,"")</f>
        <v/>
      </c>
      <c r="K35" s="17">
        <f>IFERROR(K9/K5,"")</f>
        <v/>
      </c>
      <c r="L35" s="17">
        <f>IFERROR(L9/L5,"")</f>
        <v/>
      </c>
      <c r="M35" s="18">
        <f>IFERROR(M9/M5,"")</f>
        <v/>
      </c>
      <c r="N35" s="17">
        <f>IFERROR(N9/N5,"")</f>
        <v/>
      </c>
      <c r="O35" s="17">
        <f>IFERROR(O9/O5,"")</f>
        <v/>
      </c>
      <c r="P35" s="17">
        <f>IFERROR(P9/P5,"")</f>
        <v/>
      </c>
      <c r="Q35" s="17">
        <f>IFERROR(Q9/Q5,"")</f>
        <v/>
      </c>
      <c r="R35" s="18">
        <f>IFERROR(R9/R5,"")</f>
        <v/>
      </c>
    </row>
    <row r="36">
      <c r="A36" s="11" t="inlineStr">
        <is>
          <t>NPM</t>
        </is>
      </c>
      <c r="C36" t="inlineStr">
        <is>
          <t>%</t>
        </is>
      </c>
      <c r="D36" t="inlineStr">
        <is>
          <t>지배주주순이익 / 매출액</t>
        </is>
      </c>
      <c r="E36" s="16">
        <f>IFERROR(E18/E5,"")</f>
        <v/>
      </c>
      <c r="F36" s="17">
        <f>IFERROR(F18/F5,"")</f>
        <v/>
      </c>
      <c r="G36" s="17">
        <f>IFERROR(G18/G5,"")</f>
        <v/>
      </c>
      <c r="H36" s="18">
        <f>IFERROR(H18/H5,"")</f>
        <v/>
      </c>
      <c r="I36" s="17">
        <f>IFERROR(I18/I5,"")</f>
        <v/>
      </c>
      <c r="J36" s="17">
        <f>IFERROR(J18/J5,"")</f>
        <v/>
      </c>
      <c r="K36" s="17">
        <f>IFERROR(K18/K5,"")</f>
        <v/>
      </c>
      <c r="L36" s="17">
        <f>IFERROR(L18/L5,"")</f>
        <v/>
      </c>
      <c r="M36" s="18">
        <f>IFERROR(M18/M5,"")</f>
        <v/>
      </c>
      <c r="N36" s="17">
        <f>IFERROR(N18/N5,"")</f>
        <v/>
      </c>
      <c r="O36" s="17">
        <f>IFERROR(O18/O5,"")</f>
        <v/>
      </c>
      <c r="P36" s="17">
        <f>IFERROR(P18/P5,"")</f>
        <v/>
      </c>
      <c r="Q36" s="17">
        <f>IFERROR(Q18/Q5,"")</f>
        <v/>
      </c>
      <c r="R36" s="18">
        <f>IFERROR(R18/R5,"")</f>
        <v/>
      </c>
    </row>
    <row r="37">
      <c r="A37" s="11" t="inlineStr">
        <is>
          <t>매출원가율</t>
        </is>
      </c>
      <c r="C37" t="inlineStr">
        <is>
          <t>%</t>
        </is>
      </c>
      <c r="D37" t="inlineStr">
        <is>
          <t>매출원가 / 매출액</t>
        </is>
      </c>
      <c r="E37" s="16">
        <f>IFERROR(E6/E5,"")</f>
        <v/>
      </c>
      <c r="F37" s="17">
        <f>IFERROR(F6/F5,"")</f>
        <v/>
      </c>
      <c r="G37" s="17">
        <f>IFERROR(G6/G5,"")</f>
        <v/>
      </c>
      <c r="H37" s="18">
        <f>IFERROR(H6/H5,"")</f>
        <v/>
      </c>
      <c r="I37" s="17">
        <f>IFERROR(I6/I5,"")</f>
        <v/>
      </c>
      <c r="J37" s="17">
        <f>IFERROR(J6/J5,"")</f>
        <v/>
      </c>
      <c r="K37" s="17">
        <f>IFERROR(K6/K5,"")</f>
        <v/>
      </c>
      <c r="L37" s="17">
        <f>IFERROR(L6/L5,"")</f>
        <v/>
      </c>
      <c r="M37" s="18">
        <f>IFERROR(M6/M5,"")</f>
        <v/>
      </c>
      <c r="N37" s="17">
        <f>IFERROR(N6/N5,"")</f>
        <v/>
      </c>
      <c r="O37" s="17">
        <f>IFERROR(O6/O5,"")</f>
        <v/>
      </c>
      <c r="P37" s="17">
        <f>IFERROR(P6/P5,"")</f>
        <v/>
      </c>
      <c r="Q37" s="17">
        <f>IFERROR(Q6/Q5,"")</f>
        <v/>
      </c>
      <c r="R37" s="18">
        <f>IFERROR(R6/R5,"")</f>
        <v/>
      </c>
    </row>
    <row r="38">
      <c r="A38" s="11" t="inlineStr">
        <is>
          <t>판관비율</t>
        </is>
      </c>
      <c r="C38" t="inlineStr">
        <is>
          <t>%</t>
        </is>
      </c>
      <c r="D38" t="inlineStr">
        <is>
          <t>판관비 / 매출액</t>
        </is>
      </c>
      <c r="E38" s="16">
        <f>IFERROR(E8/E5,"")</f>
        <v/>
      </c>
      <c r="F38" s="17">
        <f>IFERROR(F8/F5,"")</f>
        <v/>
      </c>
      <c r="G38" s="17">
        <f>IFERROR(G8/G5,"")</f>
        <v/>
      </c>
      <c r="H38" s="18">
        <f>IFERROR(H8/H5,"")</f>
        <v/>
      </c>
      <c r="I38" s="17">
        <f>IFERROR(I8/I5,"")</f>
        <v/>
      </c>
      <c r="J38" s="17">
        <f>IFERROR(J8/J5,"")</f>
        <v/>
      </c>
      <c r="K38" s="17">
        <f>IFERROR(K8/K5,"")</f>
        <v/>
      </c>
      <c r="L38" s="17">
        <f>IFERROR(L8/L5,"")</f>
        <v/>
      </c>
      <c r="M38" s="18">
        <f>IFERROR(M8/M5,"")</f>
        <v/>
      </c>
      <c r="N38" s="17">
        <f>IFERROR(N8/N5,"")</f>
        <v/>
      </c>
      <c r="O38" s="17">
        <f>IFERROR(O8/O5,"")</f>
        <v/>
      </c>
      <c r="P38" s="17">
        <f>IFERROR(P8/P5,"")</f>
        <v/>
      </c>
      <c r="Q38" s="17">
        <f>IFERROR(Q8/Q5,"")</f>
        <v/>
      </c>
      <c r="R38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28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29">
        <f>변수!D45</f>
        <v/>
      </c>
      <c r="E2" s="30" t="n"/>
    </row>
    <row r="3">
      <c r="C3" t="inlineStr">
        <is>
          <t>기준일:</t>
        </is>
      </c>
      <c r="D3" t="inlineStr">
        <is>
          <t>20260929</t>
        </is>
      </c>
      <c r="E3" s="31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2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3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3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3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3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3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4">
        <f>IFERROR(VLOOKUP($A10,subQ,MATCH(E$1,SUBQH,0),0),"")</f>
        <v/>
      </c>
      <c r="F10" s="17">
        <f>IFERROR(VLOOKUP($A10,subQ,MATCH(F$1,SUBQH,0),0),"")</f>
        <v/>
      </c>
      <c r="G10" s="17">
        <f>IFERROR(VLOOKUP($A10,subQ,MATCH(G$1,SUBQH,0),0),"")</f>
        <v/>
      </c>
      <c r="H10" s="17">
        <f>IFERROR(VLOOKUP($A10,subQ,MATCH(H$1,SUBQH,0),0),"")</f>
        <v/>
      </c>
      <c r="I10" s="17">
        <f>IFERROR(VLOOKUP($A10,subQ,MATCH(I$1,SUBQH,0),0),"")</f>
        <v/>
      </c>
      <c r="J10" s="17">
        <f>IFERROR(VLOOKUP($A10,subQ,MATCH(J$1,SUBQH,0),0),"")</f>
        <v/>
      </c>
      <c r="K10" s="17">
        <f>IFERROR(VLOOKUP($A10,subQ,MATCH(K$1,SUBQH,0),0),"")</f>
        <v/>
      </c>
      <c r="L10" s="17">
        <f>IFERROR(VLOOKUP($A10,subQ,MATCH(L$1,SUBQH,0),0),"")</f>
        <v/>
      </c>
      <c r="M10" s="17">
        <f>IFERROR(VLOOKUP($A10,subQ,MATCH(M$1,SUBQH,0),0),"")</f>
        <v/>
      </c>
      <c r="N10" s="17">
        <f>IFERROR(VLOOKUP($A10,subQ,MATCH(N$1,SUBQH,0),0),"")</f>
        <v/>
      </c>
      <c r="O10" s="17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3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3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3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3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3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3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3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3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3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3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3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3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3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3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3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3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5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3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3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3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3">
        <f>IFERROR(VLOOKUP($A31,subQ,MATCH(E$1,SUBQH,0),0),"")</f>
        <v/>
      </c>
      <c r="F31" s="15">
        <f>IFERROR(VLOOKUP($A31,subQ,MATCH(F$1,SUBQH,0),0),"")</f>
        <v/>
      </c>
      <c r="G31" s="15">
        <f>IFERROR(VLOOKUP($A31,subQ,MATCH(G$1,SUBQH,0),0),"")</f>
        <v/>
      </c>
      <c r="H31" s="15">
        <f>IFERROR(VLOOKUP($A31,subQ,MATCH(H$1,SUBQH,0),0),"")</f>
        <v/>
      </c>
      <c r="I31" s="15">
        <f>IFERROR(VLOOKUP($A31,subQ,MATCH(I$1,SUBQH,0),0),"")</f>
        <v/>
      </c>
      <c r="J31" s="15">
        <f>IFERROR(VLOOKUP($A31,subQ,MATCH(J$1,SUBQH,0),0),"")</f>
        <v/>
      </c>
      <c r="K31" s="15">
        <f>IFERROR(VLOOKUP($A31,subQ,MATCH(K$1,SUBQH,0),0),"")</f>
        <v/>
      </c>
      <c r="L31" s="15">
        <f>IFERROR(VLOOKUP($A31,subQ,MATCH(L$1,SUBQH,0),0),"")</f>
        <v/>
      </c>
      <c r="M31" s="15">
        <f>IFERROR(VLOOKUP($A31,subQ,MATCH(M$1,SUBQH,0),0),"")</f>
        <v/>
      </c>
      <c r="N31" s="15">
        <f>IFERROR(VLOOKUP($A31,subQ,MATCH(N$1,SUBQH,0),0),"")</f>
        <v/>
      </c>
      <c r="O31" s="15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3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3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OPM</t>
        </is>
      </c>
      <c r="D34" t="inlineStr">
        <is>
          <t>영업이익률</t>
        </is>
      </c>
      <c r="E34" s="34">
        <f>IFERROR(VLOOKUP($A34,subQ,MATCH(E$1,SUBQH,0),0),"")</f>
        <v/>
      </c>
      <c r="F34" s="17">
        <f>IFERROR(VLOOKUP($A34,subQ,MATCH(F$1,SUBQH,0),0),"")</f>
        <v/>
      </c>
      <c r="G34" s="17">
        <f>IFERROR(VLOOKUP($A34,subQ,MATCH(G$1,SUBQH,0),0),"")</f>
        <v/>
      </c>
      <c r="H34" s="17">
        <f>IFERROR(VLOOKUP($A34,subQ,MATCH(H$1,SUBQH,0),0),"")</f>
        <v/>
      </c>
      <c r="I34" s="17">
        <f>IFERROR(VLOOKUP($A34,subQ,MATCH(I$1,SUBQH,0),0),"")</f>
        <v/>
      </c>
      <c r="J34" s="17">
        <f>IFERROR(VLOOKUP($A34,subQ,MATCH(J$1,SUBQH,0),0),"")</f>
        <v/>
      </c>
      <c r="K34" s="17">
        <f>IFERROR(VLOOKUP($A34,subQ,MATCH(K$1,SUBQH,0),0),"")</f>
        <v/>
      </c>
      <c r="L34" s="17">
        <f>IFERROR(VLOOKUP($A34,subQ,MATCH(L$1,SUBQH,0),0),"")</f>
        <v/>
      </c>
      <c r="M34" s="17">
        <f>IFERROR(VLOOKUP($A34,subQ,MATCH(M$1,SUBQH,0),0),"")</f>
        <v/>
      </c>
      <c r="N34" s="17">
        <f>IFERROR(VLOOKUP($A34,subQ,MATCH(N$1,SUBQH,0),0),"")</f>
        <v/>
      </c>
      <c r="O34" s="17">
        <f>IFERROR(VLOOKUP($A34,subQ,MATCH(O$1,SUBQH,0),0),"")</f>
        <v/>
      </c>
    </row>
    <row r="35">
      <c r="A35" s="11" t="inlineStr">
        <is>
          <t>NPM</t>
        </is>
      </c>
      <c r="D35" t="inlineStr">
        <is>
          <t>NPM</t>
        </is>
      </c>
      <c r="E35" s="34">
        <f>IFERROR(VLOOKUP($A35,subQ,MATCH(E$1,SUBQH,0),0),"")</f>
        <v/>
      </c>
      <c r="F35" s="17">
        <f>IFERROR(VLOOKUP($A35,subQ,MATCH(F$1,SUBQH,0),0),"")</f>
        <v/>
      </c>
      <c r="G35" s="17">
        <f>IFERROR(VLOOKUP($A35,subQ,MATCH(G$1,SUBQH,0),0),"")</f>
        <v/>
      </c>
      <c r="H35" s="17">
        <f>IFERROR(VLOOKUP($A35,subQ,MATCH(H$1,SUBQH,0),0),"")</f>
        <v/>
      </c>
      <c r="I35" s="17">
        <f>IFERROR(VLOOKUP($A35,subQ,MATCH(I$1,SUBQH,0),0),"")</f>
        <v/>
      </c>
      <c r="J35" s="17">
        <f>IFERROR(VLOOKUP($A35,subQ,MATCH(J$1,SUBQH,0),0),"")</f>
        <v/>
      </c>
      <c r="K35" s="17">
        <f>IFERROR(VLOOKUP($A35,subQ,MATCH(K$1,SUBQH,0),0),"")</f>
        <v/>
      </c>
      <c r="L35" s="17">
        <f>IFERROR(VLOOKUP($A35,subQ,MATCH(L$1,SUBQH,0),0),"")</f>
        <v/>
      </c>
      <c r="M35" s="17">
        <f>IFERROR(VLOOKUP($A35,subQ,MATCH(M$1,SUBQH,0),0),"")</f>
        <v/>
      </c>
      <c r="N35" s="17">
        <f>IFERROR(VLOOKUP($A35,subQ,MATCH(N$1,SUBQH,0),0),"")</f>
        <v/>
      </c>
      <c r="O35" s="17">
        <f>IFERROR(VLOOKUP($A35,subQ,MATCH(O$1,SUBQH,0),0),"")</f>
        <v/>
      </c>
    </row>
    <row r="36">
      <c r="A36" s="11" t="inlineStr">
        <is>
          <t>매출액 YoY</t>
        </is>
      </c>
      <c r="D36" t="inlineStr">
        <is>
          <t>매출액 YoY</t>
        </is>
      </c>
      <c r="E36" s="30" t="n"/>
      <c r="F36" s="9" t="n"/>
      <c r="G36" s="9" t="n"/>
      <c r="H36" s="9" t="n"/>
      <c r="I36" s="17">
        <f>IFERROR(I5/E5-1,"")</f>
        <v/>
      </c>
      <c r="J36" s="17">
        <f>IFERROR(J5/F5-1,"")</f>
        <v/>
      </c>
      <c r="K36" s="17">
        <f>IFERROR(K5/G5-1,"")</f>
        <v/>
      </c>
      <c r="L36" s="17">
        <f>IFERROR(L5/H5-1,"")</f>
        <v/>
      </c>
      <c r="M36" s="17">
        <f>IFERROR(M5/I5-1,"")</f>
        <v/>
      </c>
      <c r="N36" s="17">
        <f>IFERROR(N5/J5-1,"")</f>
        <v/>
      </c>
      <c r="O36" s="17">
        <f>IFERROR(O5/K5-1,"")</f>
        <v/>
      </c>
    </row>
    <row r="37">
      <c r="A37" s="11" t="inlineStr">
        <is>
          <t>영업이익 YoY</t>
        </is>
      </c>
      <c r="D37" t="inlineStr">
        <is>
          <t>영업이익 YoY</t>
        </is>
      </c>
      <c r="E37" s="30" t="n"/>
      <c r="F37" s="9" t="n"/>
      <c r="G37" s="9" t="n"/>
      <c r="H37" s="9" t="n"/>
      <c r="I37" s="17">
        <f>IFERROR(I9/E9-1,"")</f>
        <v/>
      </c>
      <c r="J37" s="17">
        <f>IFERROR(J9/F9-1,"")</f>
        <v/>
      </c>
      <c r="K37" s="17">
        <f>IFERROR(K9/G9-1,"")</f>
        <v/>
      </c>
      <c r="L37" s="17">
        <f>IFERROR(L9/H9-1,"")</f>
        <v/>
      </c>
      <c r="M37" s="17">
        <f>IFERROR(M9/I9-1,"")</f>
        <v/>
      </c>
      <c r="N37" s="17">
        <f>IFERROR(N9/J9-1,"")</f>
        <v/>
      </c>
      <c r="O37" s="17">
        <f>IFERROR(O9/K9-1,"")</f>
        <v/>
      </c>
    </row>
    <row r="38">
      <c r="A38" s="11" t="inlineStr">
        <is>
          <t>지배주주순이익 YoY</t>
        </is>
      </c>
      <c r="D38" t="inlineStr">
        <is>
          <t>지배주주순이익 YoY</t>
        </is>
      </c>
      <c r="E38" s="30" t="n"/>
      <c r="F38" s="9" t="n"/>
      <c r="G38" s="9" t="n"/>
      <c r="H38" s="9" t="n"/>
      <c r="I38" s="17">
        <f>IFERROR(I18/E18-1,"")</f>
        <v/>
      </c>
      <c r="J38" s="17">
        <f>IFERROR(J18/F18-1,"")</f>
        <v/>
      </c>
      <c r="K38" s="17">
        <f>IFERROR(K18/G18-1,"")</f>
        <v/>
      </c>
      <c r="L38" s="17">
        <f>IFERROR(L18/H18-1,"")</f>
        <v/>
      </c>
      <c r="M38" s="17">
        <f>IFERROR(M18/I18-1,"")</f>
        <v/>
      </c>
      <c r="N38" s="17">
        <f>IFERROR(N18/J18-1,"")</f>
        <v/>
      </c>
      <c r="O38" s="17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29">
        <f>변수!D45</f>
        <v/>
      </c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17">
        <f>IFERROR(VLOOKUP($A10,subQ,MATCH(E$1,SUBQH,0),0),"")</f>
        <v/>
      </c>
      <c r="F10" s="17">
        <f>IFERROR(VLOOKUP($A10,subQ,MATCH(F$1,SUBQH,0),0),"")</f>
        <v/>
      </c>
      <c r="G10" s="17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15">
        <f>IFERROR(VLOOKUP($A31,subQ,MATCH(E$1,SUBQH,0),0),"")</f>
        <v/>
      </c>
      <c r="F31" s="15">
        <f>IFERROR(VLOOKUP($A31,subQ,MATCH(F$1,SUBQH,0),0),"")</f>
        <v/>
      </c>
      <c r="G31" s="15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OPM</t>
        </is>
      </c>
      <c r="D34" t="inlineStr">
        <is>
          <t>영업이익률</t>
        </is>
      </c>
      <c r="E34" s="17">
        <f>IFERROR(VLOOKUP($A34,subQ,MATCH(E$1,SUBQH,0),0),"")</f>
        <v/>
      </c>
      <c r="F34" s="17">
        <f>IFERROR(VLOOKUP($A34,subQ,MATCH(F$1,SUBQH,0),0),"")</f>
        <v/>
      </c>
      <c r="G34" s="17">
        <f>IFERROR(VLOOKUP($A34,subQ,MATCH(G$1,SUBQH,0),0),"")</f>
        <v/>
      </c>
    </row>
    <row r="35">
      <c r="A35" s="11" t="inlineStr">
        <is>
          <t>NPM</t>
        </is>
      </c>
      <c r="D35" t="inlineStr">
        <is>
          <t>NPM</t>
        </is>
      </c>
      <c r="E35" s="17">
        <f>IFERROR(VLOOKUP($A35,subQ,MATCH(E$1,SUBQH,0),0),"")</f>
        <v/>
      </c>
      <c r="F35" s="17">
        <f>IFERROR(VLOOKUP($A35,subQ,MATCH(F$1,SUBQH,0),0),"")</f>
        <v/>
      </c>
      <c r="G35" s="17">
        <f>IFERROR(VLOOKUP($A35,subQ,MATCH(G$1,SUBQH,0),0),"")</f>
        <v/>
      </c>
    </row>
    <row r="36">
      <c r="A36" s="11" t="inlineStr">
        <is>
          <t>매출액 YoY</t>
        </is>
      </c>
      <c r="D36" t="inlineStr">
        <is>
          <t>매출액 YoY</t>
        </is>
      </c>
      <c r="E36" s="9" t="n"/>
      <c r="F36" s="17">
        <f>IFERROR(F5/E5-1,"")</f>
        <v/>
      </c>
      <c r="G36" s="17">
        <f>IFERROR(G5/F5-1,"")</f>
        <v/>
      </c>
    </row>
    <row r="37">
      <c r="A37" s="11" t="inlineStr">
        <is>
          <t>영업이익 YoY</t>
        </is>
      </c>
      <c r="D37" t="inlineStr">
        <is>
          <t>영업이익 YoY</t>
        </is>
      </c>
      <c r="E37" s="9" t="n"/>
      <c r="F37" s="17">
        <f>IFERROR(F9/E9-1,"")</f>
        <v/>
      </c>
      <c r="G37" s="17">
        <f>IFERROR(G9/F9-1,"")</f>
        <v/>
      </c>
    </row>
    <row r="38">
      <c r="A38" s="11" t="inlineStr">
        <is>
          <t>지배주주순이익 YoY</t>
        </is>
      </c>
      <c r="D38" t="inlineStr">
        <is>
          <t>지배주주순이익 YoY</t>
        </is>
      </c>
      <c r="E38" s="9" t="n"/>
      <c r="F38" s="17">
        <f>IFERROR(F18/E18-1,"")</f>
        <v/>
      </c>
      <c r="G38" s="17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29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36" t="n">
        <v>2026</v>
      </c>
      <c r="E5" s="36" t="n">
        <v>2027</v>
      </c>
      <c r="F5" s="36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29">
        <f>IFERROR(VLOOKUP("EPS",subQ,MATCH(D$5,SUBQH,0),0),"")</f>
        <v/>
      </c>
      <c r="E7" s="29">
        <f>IFERROR(VLOOKUP("EPS",subQ,MATCH(E$5,SUBQH,0),0),"")</f>
        <v/>
      </c>
      <c r="F7" s="29">
        <f>IFERROR(VLOOKUP("EPS",subQ,MATCH(F$5,SUBQH,0),0),"")</f>
        <v/>
      </c>
    </row>
    <row r="8">
      <c r="C8" t="inlineStr">
        <is>
          <t>BPS(원)</t>
        </is>
      </c>
      <c r="D8" s="29">
        <f>IFERROR(VLOOKUP("BPS",subQ,MATCH(D$5,SUBQH,0),0),"")</f>
        <v/>
      </c>
      <c r="E8" s="29">
        <f>IFERROR(VLOOKUP("BPS",subQ,MATCH(E$5,SUBQH,0),0),"")</f>
        <v/>
      </c>
      <c r="F8" s="29">
        <f>IFERROR(VLOOKUP("BPS",subQ,MATCH(F$5,SUBQH,0),0),"")</f>
        <v/>
      </c>
    </row>
    <row r="9">
      <c r="C9" t="inlineStr">
        <is>
          <t>지배주주순이익(억원)</t>
        </is>
      </c>
      <c r="D9" s="29">
        <f>IFERROR(VLOOKUP("지배주주순이익",subQ,MATCH(D$5,SUBQH,0),0),"")</f>
        <v/>
      </c>
      <c r="E9" s="29">
        <f>IFERROR(VLOOKUP("지배주주순이익",subQ,MATCH(E$5,SUBQH,0),0),"")</f>
        <v/>
      </c>
      <c r="F9" s="29">
        <f>IFERROR(VLOOKUP("지배주주순이익",subQ,MATCH(F$5,SUBQH,0),0),"")</f>
        <v/>
      </c>
    </row>
    <row r="10">
      <c r="C10" t="inlineStr">
        <is>
          <t>영업이익(억원)</t>
        </is>
      </c>
      <c r="D10" s="29">
        <f>IFERROR(VLOOKUP("영업이익",subQ,MATCH(D$5,SUBQH,0),0),"")</f>
        <v/>
      </c>
      <c r="E10" s="29">
        <f>IFERROR(VLOOKUP("영업이익",subQ,MATCH(E$5,SUBQH,0),0),"")</f>
        <v/>
      </c>
      <c r="F10" s="29">
        <f>IFERROR(VLOOKUP("영업이익",subQ,MATCH(F$5,SUBQH,0),0),"")</f>
        <v/>
      </c>
    </row>
    <row r="11">
      <c r="C11" t="inlineStr">
        <is>
          <t>ROE(EPS/기초BPS)</t>
        </is>
      </c>
      <c r="E11" s="37">
        <f>IFERROR(E7/D8,"")</f>
        <v/>
      </c>
      <c r="F11" s="37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29">
        <f>IFERROR(D7*변수!D51+E7*(1-변수!D51),"")</f>
        <v/>
      </c>
    </row>
    <row r="15">
      <c r="C15" t="inlineStr">
        <is>
          <t>적정가치 @PER_lo</t>
        </is>
      </c>
      <c r="D15" s="38">
        <f>변수!D48</f>
        <v/>
      </c>
      <c r="E15" s="29">
        <f>IFERROR(ROUND($D$14*D15,-2),"")</f>
        <v/>
      </c>
      <c r="F15" s="37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38">
        <f>변수!D49</f>
        <v/>
      </c>
      <c r="E16" s="29">
        <f>IFERROR(ROUND($D$14*D16,-2),"")</f>
        <v/>
      </c>
      <c r="F16" s="37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38">
        <f>변수!D50</f>
        <v/>
      </c>
      <c r="E17" s="29">
        <f>IFERROR(ROUND($D$14*D17,-2),"")</f>
        <v/>
      </c>
      <c r="F17" s="37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38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29">
        <f>IFERROR(VLOOKUP("BPS",subQ,MATCH("2Q26",SUBQH,0),0),"")</f>
        <v/>
      </c>
    </row>
    <row r="22">
      <c r="C22" t="inlineStr">
        <is>
          <t>ROE fwd(12M fwd EPS / BPS)</t>
        </is>
      </c>
      <c r="D22" s="37">
        <f>IFERROR($D$14/$D$21,"")</f>
        <v/>
      </c>
    </row>
    <row r="23">
      <c r="C23" t="inlineStr">
        <is>
          <t>COE</t>
        </is>
      </c>
      <c r="D23" s="37">
        <f>변수!D47</f>
        <v/>
      </c>
    </row>
    <row r="24">
      <c r="C24" t="inlineStr">
        <is>
          <t>적정 PBR = ROE/COE</t>
        </is>
      </c>
      <c r="D24" s="39">
        <f>IFERROR(D22/D23,"")</f>
        <v/>
      </c>
    </row>
    <row r="25">
      <c r="C25" t="inlineStr">
        <is>
          <t>적정가치(PBR) = BPS × 적정PBR</t>
        </is>
      </c>
      <c r="D25" s="29">
        <f>IFERROR(ROUND(D21*D24,-2),"")</f>
        <v/>
      </c>
      <c r="E25" s="37">
        <f>IFERROR(D25/$C$1-1,"")</f>
        <v/>
      </c>
    </row>
    <row r="26">
      <c r="C26" t="inlineStr">
        <is>
          <t>현재 PBR(종가/BPS)</t>
        </is>
      </c>
      <c r="D26" s="39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-424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5.1</v>
      </c>
    </row>
    <row r="33">
      <c r="C33" s="2" t="inlineStr">
        <is>
          <t>roe_fwd</t>
        </is>
      </c>
      <c r="D33" t="n">
        <v>-0.3229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39">
        <f>IFERROR(VLOOKUP($D5,환율,MATCH(E$1,변수H,0),0),"")</f>
        <v/>
      </c>
      <c r="F5" s="40">
        <f>IFERROR(VLOOKUP($D5,환율,MATCH(F$1,변수H,0),0),"")</f>
        <v/>
      </c>
      <c r="G5" s="40">
        <f>IFERROR(VLOOKUP($D5,환율,MATCH(G$1,변수H,0),0),"")</f>
        <v/>
      </c>
      <c r="H5" s="40">
        <f>IFERROR(VLOOKUP($D5,환율,MATCH(H$1,변수H,0),0),"")</f>
        <v/>
      </c>
      <c r="I5" s="40">
        <f>IFERROR(VLOOKUP($D5,환율,MATCH(I$1,변수H,0),0),"")</f>
        <v/>
      </c>
      <c r="J5" s="40">
        <f>IFERROR(VLOOKUP($D5,환율,MATCH(J$1,변수H,0),0),"")</f>
        <v/>
      </c>
      <c r="K5" s="40">
        <f>IFERROR(VLOOKUP($D5,환율,MATCH(K$1,변수H,0),0),"")</f>
        <v/>
      </c>
      <c r="L5" s="40">
        <f>IFERROR(VLOOKUP($D5,환율,MATCH(L$1,변수H,0),0),"")</f>
        <v/>
      </c>
      <c r="M5" s="40">
        <f>IFERROR(VLOOKUP($D5,환율,MATCH(M$1,변수H,0),0),"")</f>
        <v/>
      </c>
      <c r="N5" s="40">
        <f>IFERROR(VLOOKUP($D5,환율,MATCH(N$1,변수H,0),0),"")</f>
        <v/>
      </c>
      <c r="O5" s="40">
        <f>IFERROR(VLOOKUP($D5,환율,MATCH(O$1,변수H,0),0),"")</f>
        <v/>
      </c>
    </row>
    <row r="6">
      <c r="A6" s="11" t="inlineStr">
        <is>
          <t>원/달러(평균) QoQ</t>
        </is>
      </c>
      <c r="F6" s="17">
        <f>IFERROR(F5/E5-1,"")</f>
        <v/>
      </c>
      <c r="G6" s="17">
        <f>IFERROR(G5/F5-1,"")</f>
        <v/>
      </c>
      <c r="H6" s="17">
        <f>IFERROR(H5/G5-1,"")</f>
        <v/>
      </c>
      <c r="I6" s="17">
        <f>IFERROR(I5/H5-1,"")</f>
        <v/>
      </c>
      <c r="J6" s="17">
        <f>IFERROR(J5/I5-1,"")</f>
        <v/>
      </c>
      <c r="K6" s="17">
        <f>IFERROR(K5/J5-1,"")</f>
        <v/>
      </c>
      <c r="L6" s="17">
        <f>IFERROR(L5/K5-1,"")</f>
        <v/>
      </c>
      <c r="M6" s="17">
        <f>IFERROR(M5/L5-1,"")</f>
        <v/>
      </c>
      <c r="N6" s="17">
        <f>IFERROR(N5/M5-1,"")</f>
        <v/>
      </c>
      <c r="O6" s="17">
        <f>IFERROR(O5/N5-1,"")</f>
        <v/>
      </c>
    </row>
    <row r="7">
      <c r="D7" t="inlineStr">
        <is>
          <t xml:space="preserve"> 원/달러(기말)</t>
        </is>
      </c>
      <c r="E7" s="39">
        <f>IFERROR(VLOOKUP($D7,환율,MATCH(E$1,변수H,0),0),"")</f>
        <v/>
      </c>
      <c r="F7" s="40">
        <f>IFERROR(VLOOKUP($D7,환율,MATCH(F$1,변수H,0),0),"")</f>
        <v/>
      </c>
      <c r="G7" s="40">
        <f>IFERROR(VLOOKUP($D7,환율,MATCH(G$1,변수H,0),0),"")</f>
        <v/>
      </c>
      <c r="H7" s="40">
        <f>IFERROR(VLOOKUP($D7,환율,MATCH(H$1,변수H,0),0),"")</f>
        <v/>
      </c>
      <c r="I7" s="40">
        <f>IFERROR(VLOOKUP($D7,환율,MATCH(I$1,변수H,0),0),"")</f>
        <v/>
      </c>
      <c r="J7" s="40">
        <f>IFERROR(VLOOKUP($D7,환율,MATCH(J$1,변수H,0),0),"")</f>
        <v/>
      </c>
      <c r="K7" s="40">
        <f>IFERROR(VLOOKUP($D7,환율,MATCH(K$1,변수H,0),0),"")</f>
        <v/>
      </c>
      <c r="L7" s="40">
        <f>IFERROR(VLOOKUP($D7,환율,MATCH(L$1,변수H,0),0),"")</f>
        <v/>
      </c>
      <c r="M7" s="40">
        <f>IFERROR(VLOOKUP($D7,환율,MATCH(M$1,변수H,0),0),"")</f>
        <v/>
      </c>
      <c r="N7" s="40">
        <f>IFERROR(VLOOKUP($D7,환율,MATCH(N$1,변수H,0),0),"")</f>
        <v/>
      </c>
      <c r="O7" s="40">
        <f>IFERROR(VLOOKUP($D7,환율,MATCH(O$1,변수H,0),0),"")</f>
        <v/>
      </c>
    </row>
    <row r="8">
      <c r="A8" s="11" t="inlineStr">
        <is>
          <t>원/달러(기말) QoQ</t>
        </is>
      </c>
      <c r="F8" s="17">
        <f>IFERROR(F7/E7-1,"")</f>
        <v/>
      </c>
      <c r="G8" s="17">
        <f>IFERROR(G7/F7-1,"")</f>
        <v/>
      </c>
      <c r="H8" s="17">
        <f>IFERROR(H7/G7-1,"")</f>
        <v/>
      </c>
      <c r="I8" s="17">
        <f>IFERROR(I7/H7-1,"")</f>
        <v/>
      </c>
      <c r="J8" s="17">
        <f>IFERROR(J7/I7-1,"")</f>
        <v/>
      </c>
      <c r="K8" s="17">
        <f>IFERROR(K7/J7-1,"")</f>
        <v/>
      </c>
      <c r="L8" s="17">
        <f>IFERROR(L7/K7-1,"")</f>
        <v/>
      </c>
      <c r="M8" s="17">
        <f>IFERROR(M7/L7-1,"")</f>
        <v/>
      </c>
      <c r="N8" s="17">
        <f>IFERROR(N7/M7-1,"")</f>
        <v/>
      </c>
      <c r="O8" s="17">
        <f>IFERROR(O7/N7-1,"")</f>
        <v/>
      </c>
    </row>
    <row r="9">
      <c r="D9" t="inlineStr">
        <is>
          <t xml:space="preserve"> W/Euro(평균)</t>
        </is>
      </c>
      <c r="E9" s="39">
        <f>IFERROR(VLOOKUP($D9,환율,MATCH(E$1,변수H,0),0),"")</f>
        <v/>
      </c>
      <c r="F9" s="40">
        <f>IFERROR(VLOOKUP($D9,환율,MATCH(F$1,변수H,0),0),"")</f>
        <v/>
      </c>
      <c r="G9" s="40">
        <f>IFERROR(VLOOKUP($D9,환율,MATCH(G$1,변수H,0),0),"")</f>
        <v/>
      </c>
      <c r="H9" s="40">
        <f>IFERROR(VLOOKUP($D9,환율,MATCH(H$1,변수H,0),0),"")</f>
        <v/>
      </c>
      <c r="I9" s="40">
        <f>IFERROR(VLOOKUP($D9,환율,MATCH(I$1,변수H,0),0),"")</f>
        <v/>
      </c>
      <c r="J9" s="40">
        <f>IFERROR(VLOOKUP($D9,환율,MATCH(J$1,변수H,0),0),"")</f>
        <v/>
      </c>
      <c r="K9" s="40">
        <f>IFERROR(VLOOKUP($D9,환율,MATCH(K$1,변수H,0),0),"")</f>
        <v/>
      </c>
      <c r="L9" s="40">
        <f>IFERROR(VLOOKUP($D9,환율,MATCH(L$1,변수H,0),0),"")</f>
        <v/>
      </c>
      <c r="M9" s="40">
        <f>IFERROR(VLOOKUP($D9,환율,MATCH(M$1,변수H,0),0),"")</f>
        <v/>
      </c>
      <c r="N9" s="40">
        <f>IFERROR(VLOOKUP($D9,환율,MATCH(N$1,변수H,0),0),"")</f>
        <v/>
      </c>
      <c r="O9" s="40">
        <f>IFERROR(VLOOKUP($D9,환율,MATCH(O$1,변수H,0),0),"")</f>
        <v/>
      </c>
    </row>
    <row r="10">
      <c r="A10" s="11" t="inlineStr">
        <is>
          <t>W/Euro(평균) QoQ</t>
        </is>
      </c>
      <c r="F10" s="17">
        <f>IFERROR(F9/E9-1,"")</f>
        <v/>
      </c>
      <c r="G10" s="17">
        <f>IFERROR(G9/F9-1,"")</f>
        <v/>
      </c>
      <c r="H10" s="17">
        <f>IFERROR(H9/G9-1,"")</f>
        <v/>
      </c>
      <c r="I10" s="17">
        <f>IFERROR(I9/H9-1,"")</f>
        <v/>
      </c>
      <c r="J10" s="17">
        <f>IFERROR(J9/I9-1,"")</f>
        <v/>
      </c>
      <c r="K10" s="17">
        <f>IFERROR(K9/J9-1,"")</f>
        <v/>
      </c>
      <c r="L10" s="17">
        <f>IFERROR(L9/K9-1,"")</f>
        <v/>
      </c>
      <c r="M10" s="17">
        <f>IFERROR(M9/L9-1,"")</f>
        <v/>
      </c>
      <c r="N10" s="17">
        <f>IFERROR(N9/M9-1,"")</f>
        <v/>
      </c>
      <c r="O10" s="17">
        <f>IFERROR(O9/N9-1,"")</f>
        <v/>
      </c>
    </row>
    <row r="11">
      <c r="D11" t="inlineStr">
        <is>
          <t xml:space="preserve"> W/Euro(기말)</t>
        </is>
      </c>
      <c r="E11" s="39">
        <f>IFERROR(VLOOKUP($D11,환율,MATCH(E$1,변수H,0),0),"")</f>
        <v/>
      </c>
      <c r="F11" s="40">
        <f>IFERROR(VLOOKUP($D11,환율,MATCH(F$1,변수H,0),0),"")</f>
        <v/>
      </c>
      <c r="G11" s="40">
        <f>IFERROR(VLOOKUP($D11,환율,MATCH(G$1,변수H,0),0),"")</f>
        <v/>
      </c>
      <c r="H11" s="40">
        <f>IFERROR(VLOOKUP($D11,환율,MATCH(H$1,변수H,0),0),"")</f>
        <v/>
      </c>
      <c r="I11" s="40">
        <f>IFERROR(VLOOKUP($D11,환율,MATCH(I$1,변수H,0),0),"")</f>
        <v/>
      </c>
      <c r="J11" s="40">
        <f>IFERROR(VLOOKUP($D11,환율,MATCH(J$1,변수H,0),0),"")</f>
        <v/>
      </c>
      <c r="K11" s="40">
        <f>IFERROR(VLOOKUP($D11,환율,MATCH(K$1,변수H,0),0),"")</f>
        <v/>
      </c>
      <c r="L11" s="40">
        <f>IFERROR(VLOOKUP($D11,환율,MATCH(L$1,변수H,0),0),"")</f>
        <v/>
      </c>
      <c r="M11" s="40">
        <f>IFERROR(VLOOKUP($D11,환율,MATCH(M$1,변수H,0),0),"")</f>
        <v/>
      </c>
      <c r="N11" s="40">
        <f>IFERROR(VLOOKUP($D11,환율,MATCH(N$1,변수H,0),0),"")</f>
        <v/>
      </c>
      <c r="O11" s="40">
        <f>IFERROR(VLOOKUP($D11,환율,MATCH(O$1,변수H,0),0),"")</f>
        <v/>
      </c>
    </row>
    <row r="12">
      <c r="A12" s="11" t="inlineStr">
        <is>
          <t>W/Euro(기말) QoQ</t>
        </is>
      </c>
      <c r="F12" s="17">
        <f>IFERROR(F11/E11-1,"")</f>
        <v/>
      </c>
      <c r="G12" s="17">
        <f>IFERROR(G11/F11-1,"")</f>
        <v/>
      </c>
      <c r="H12" s="17">
        <f>IFERROR(H11/G11-1,"")</f>
        <v/>
      </c>
      <c r="I12" s="17">
        <f>IFERROR(I11/H11-1,"")</f>
        <v/>
      </c>
      <c r="J12" s="17">
        <f>IFERROR(J11/I11-1,"")</f>
        <v/>
      </c>
      <c r="K12" s="17">
        <f>IFERROR(K11/J11-1,"")</f>
        <v/>
      </c>
      <c r="L12" s="17">
        <f>IFERROR(L11/K11-1,"")</f>
        <v/>
      </c>
      <c r="M12" s="17">
        <f>IFERROR(M11/L11-1,"")</f>
        <v/>
      </c>
      <c r="N12" s="17">
        <f>IFERROR(N11/M11-1,"")</f>
        <v/>
      </c>
      <c r="O12" s="17">
        <f>IFERROR(O11/N11-1,"")</f>
        <v/>
      </c>
    </row>
    <row r="13">
      <c r="D13" t="inlineStr">
        <is>
          <t xml:space="preserve"> 원/100Y(기말)</t>
        </is>
      </c>
      <c r="E13" s="39">
        <f>IFERROR(VLOOKUP($D13,환율,MATCH(E$1,변수H,0),0),"")</f>
        <v/>
      </c>
      <c r="F13" s="40">
        <f>IFERROR(VLOOKUP($D13,환율,MATCH(F$1,변수H,0),0),"")</f>
        <v/>
      </c>
      <c r="G13" s="40">
        <f>IFERROR(VLOOKUP($D13,환율,MATCH(G$1,변수H,0),0),"")</f>
        <v/>
      </c>
      <c r="H13" s="40">
        <f>IFERROR(VLOOKUP($D13,환율,MATCH(H$1,변수H,0),0),"")</f>
        <v/>
      </c>
      <c r="I13" s="40">
        <f>IFERROR(VLOOKUP($D13,환율,MATCH(I$1,변수H,0),0),"")</f>
        <v/>
      </c>
      <c r="J13" s="40">
        <f>IFERROR(VLOOKUP($D13,환율,MATCH(J$1,변수H,0),0),"")</f>
        <v/>
      </c>
      <c r="K13" s="40">
        <f>IFERROR(VLOOKUP($D13,환율,MATCH(K$1,변수H,0),0),"")</f>
        <v/>
      </c>
      <c r="L13" s="40">
        <f>IFERROR(VLOOKUP($D13,환율,MATCH(L$1,변수H,0),0),"")</f>
        <v/>
      </c>
      <c r="M13" s="40">
        <f>IFERROR(VLOOKUP($D13,환율,MATCH(M$1,변수H,0),0),"")</f>
        <v/>
      </c>
      <c r="N13" s="40">
        <f>IFERROR(VLOOKUP($D13,환율,MATCH(N$1,변수H,0),0),"")</f>
        <v/>
      </c>
      <c r="O13" s="40">
        <f>IFERROR(VLOOKUP($D13,환율,MATCH(O$1,변수H,0),0),"")</f>
        <v/>
      </c>
    </row>
    <row r="14">
      <c r="A14" s="11" t="inlineStr">
        <is>
          <t>원/100Y(기말) QoQ</t>
        </is>
      </c>
      <c r="F14" s="17">
        <f>IFERROR(F13/E13-1,"")</f>
        <v/>
      </c>
      <c r="G14" s="17">
        <f>IFERROR(G13/F13-1,"")</f>
        <v/>
      </c>
      <c r="H14" s="17">
        <f>IFERROR(H13/G13-1,"")</f>
        <v/>
      </c>
      <c r="I14" s="17">
        <f>IFERROR(I13/H13-1,"")</f>
        <v/>
      </c>
      <c r="J14" s="17">
        <f>IFERROR(J13/I13-1,"")</f>
        <v/>
      </c>
      <c r="K14" s="17">
        <f>IFERROR(K13/J13-1,"")</f>
        <v/>
      </c>
      <c r="L14" s="17">
        <f>IFERROR(L13/K13-1,"")</f>
        <v/>
      </c>
      <c r="M14" s="17">
        <f>IFERROR(M13/L13-1,"")</f>
        <v/>
      </c>
      <c r="N14" s="17">
        <f>IFERROR(N13/M13-1,"")</f>
        <v/>
      </c>
      <c r="O14" s="17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38">
        <f>변수!D55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