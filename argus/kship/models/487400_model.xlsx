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변수!$C$1:$R$1</definedName>
    <definedName name="환율">변수!$C$6:$R$13</definedName>
    <definedName name="BS연결H">BS연결!$C$1:$R$1</definedName>
    <definedName name="BS연결">BS연결!$C$5:$R$5</definedName>
    <definedName name="BS별도H">BS별도!$C$1:$R$1</definedName>
    <definedName name="BS별도">BS별도!$C$5:$R$63</definedName>
    <definedName name="SUBQH">subQ!$A$1:$R$1</definedName>
    <definedName name="subQ">subQ!$A$5:$R$37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6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4" borderId="0" pivotButton="0" quotePrefix="0" xfId="0"/>
    <xf numFmtId="0" fontId="1" fillId="4" borderId="0" pivotButton="0" quotePrefix="0" xfId="0"/>
    <xf numFmtId="0" fontId="4" fillId="0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4" borderId="0" pivotButton="0" quotePrefix="0" xfId="0"/>
    <xf numFmtId="164" fontId="0" fillId="5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4" borderId="0" pivotButton="0" quotePrefix="0" xfId="0"/>
    <xf numFmtId="165" fontId="0" fillId="4" borderId="0" pivotButton="0" quotePrefix="0" xfId="0"/>
    <xf numFmtId="164" fontId="0" fillId="4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0" fillId="0" borderId="1" pivotButton="0" quotePrefix="0" xfId="0"/>
    <xf numFmtId="3" fontId="1" fillId="4" borderId="0" pivotButton="0" quotePrefix="0" xfId="0"/>
    <xf numFmtId="4" fontId="0" fillId="4" borderId="0" pivotButton="0" quotePrefix="0" xfId="0"/>
    <xf numFmtId="4" fontId="1" fillId="4" borderId="0" pivotButton="0" quotePrefix="0" xfId="0"/>
    <xf numFmtId="0" fontId="3" fillId="2" borderId="2" applyAlignment="1" pivotButton="0" quotePrefix="0" xfId="0">
      <alignment horizontal="center"/>
    </xf>
    <xf numFmtId="3" fontId="0" fillId="0" borderId="0" pivotButton="0" quotePrefix="0" xfId="0"/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F6" authorId="0" shapeId="0">
      <text>
        <t>모델 assumptions.fx — 가정 — 마지막 ECB 관측치를 2028Q4 까지 평평하게 둔다. 선도환율·컨센서스 아님.</t>
      </text>
    </comment>
    <comment ref="G6" authorId="0" shapeId="0">
      <text>
        <t>모델 assumptions.fx — 가정 — 마지막 ECB 관측치를 2028Q4 까지 평평하게 둔다. 선도환율·컨센서스 아님.</t>
      </text>
    </comment>
    <comment ref="I6" authorId="0" shapeId="0">
      <text>
        <t>모델 assumptions.fx — 가정 — 마지막 ECB 관측치를 2028Q4 까지 평평하게 둔다. 선도환율·컨센서스 아님.</t>
      </text>
    </comment>
    <comment ref="J6" authorId="0" shapeId="0">
      <text>
        <t>모델 assumptions.fx — 가정 — 마지막 ECB 관측치를 2028Q4 까지 평평하게 둔다. 선도환율·컨센서스 아님.</t>
      </text>
    </comment>
    <comment ref="K6" authorId="0" shapeId="0">
      <text>
        <t>모델 assumptions.fx — 가정 — 마지막 ECB 관측치를 2028Q4 까지 평평하게 둔다. 선도환율·컨센서스 아님.</t>
      </text>
    </comment>
    <comment ref="L6" authorId="0" shapeId="0">
      <text>
        <t>모델 assumptions.fx — 가정 — 마지막 ECB 관측치를 2028Q4 까지 평평하게 둔다. 선도환율·컨센서스 아님.</t>
      </text>
    </comment>
    <comment ref="N6" authorId="0" shapeId="0">
      <text>
        <t>모델 assumptions.fx — 가정 — 마지막 ECB 관측치를 2028Q4 까지 평평하게 둔다. 선도환율·컨센서스 아님.</t>
      </text>
    </comment>
    <comment ref="O6" authorId="0" shapeId="0">
      <text>
        <t>모델 assumptions.fx — 가정 — 마지막 ECB 관측치를 2028Q4 까지 평평하게 둔다. 선도환율·컨센서스 아님.</t>
      </text>
    </comment>
    <comment ref="P6" authorId="0" shapeId="0">
      <text>
        <t>모델 assumptions.fx — 가정 — 마지막 ECB 관측치를 2028Q4 까지 평평하게 둔다. 선도환율·컨센서스 아님.</t>
      </text>
    </comment>
    <comment ref="Q6" authorId="0" shapeId="0">
      <text>
        <t>모델 assumptions.fx — 가정 — 마지막 ECB 관측치를 2028Q4 까지 평평하게 둔다. 선도환율·컨센서스 아님.</t>
      </text>
    </comment>
    <comment ref="F7" authorId="0" shapeId="0">
      <text>
        <t>모델 assumptions.fx — 가정 — 마지막 ECB 관측치를 2028Q4 까지 평평하게 둔다. 선도환율·컨센서스 아님.</t>
      </text>
    </comment>
    <comment ref="G7" authorId="0" shapeId="0">
      <text>
        <t>모델 assumptions.fx — 가정 — 마지막 ECB 관측치를 2028Q4 까지 평평하게 둔다. 선도환율·컨센서스 아님.</t>
      </text>
    </comment>
    <comment ref="I7" authorId="0" shapeId="0">
      <text>
        <t>모델 assumptions.fx — 가정 — 마지막 ECB 관측치를 2028Q4 까지 평평하게 둔다. 선도환율·컨센서스 아님.</t>
      </text>
    </comment>
    <comment ref="J7" authorId="0" shapeId="0">
      <text>
        <t>모델 assumptions.fx — 가정 — 마지막 ECB 관측치를 2028Q4 까지 평평하게 둔다. 선도환율·컨센서스 아님.</t>
      </text>
    </comment>
    <comment ref="K7" authorId="0" shapeId="0">
      <text>
        <t>모델 assumptions.fx — 가정 — 마지막 ECB 관측치를 2028Q4 까지 평평하게 둔다. 선도환율·컨센서스 아님.</t>
      </text>
    </comment>
    <comment ref="L7" authorId="0" shapeId="0">
      <text>
        <t>모델 assumptions.fx — 가정 — 마지막 ECB 관측치를 2028Q4 까지 평평하게 둔다. 선도환율·컨센서스 아님.</t>
      </text>
    </comment>
    <comment ref="N7" authorId="0" shapeId="0">
      <text>
        <t>모델 assumptions.fx — 가정 — 마지막 ECB 관측치를 2028Q4 까지 평평하게 둔다. 선도환율·컨센서스 아님.</t>
      </text>
    </comment>
    <comment ref="O7" authorId="0" shapeId="0">
      <text>
        <t>모델 assumptions.fx — 가정 — 마지막 ECB 관측치를 2028Q4 까지 평평하게 둔다. 선도환율·컨센서스 아님.</t>
      </text>
    </comment>
    <comment ref="P7" authorId="0" shapeId="0">
      <text>
        <t>모델 assumptions.fx — 가정 — 마지막 ECB 관측치를 2028Q4 까지 평평하게 둔다. 선도환율·컨센서스 아님.</t>
      </text>
    </comment>
    <comment ref="Q7" authorId="0" shapeId="0">
      <text>
        <t>모델 assumptions.fx — 가정 — 마지막 ECB 관측치를 2028Q4 까지 평평하게 둔다. 선도환율·컨센서스 아님.</t>
      </text>
    </comment>
    <comment ref="G8" authorId="0" shapeId="0">
      <text>
        <t>fx.json quarters(partial — 분기 진행 중 실측 평균)</t>
      </text>
    </comment>
    <comment ref="I8" authorId="0" shapeId="0">
      <text>
        <t>fx.json forward(flat_last_end) — 가정</t>
      </text>
    </comment>
    <comment ref="J8" authorId="0" shapeId="0">
      <text>
        <t>fx.json forward(flat_last_end) — 가정</t>
      </text>
    </comment>
    <comment ref="K8" authorId="0" shapeId="0">
      <text>
        <t>fx.json forward(flat_last_end) — 가정</t>
      </text>
    </comment>
    <comment ref="L8" authorId="0" shapeId="0">
      <text>
        <t>fx.json forward(flat_last_end) — 가정</t>
      </text>
    </comment>
    <comment ref="N8" authorId="0" shapeId="0">
      <text>
        <t>fx.json forward(flat_last_end) — 가정</t>
      </text>
    </comment>
    <comment ref="O8" authorId="0" shapeId="0">
      <text>
        <t>fx.json forward(flat_last_end) — 가정</t>
      </text>
    </comment>
    <comment ref="P8" authorId="0" shapeId="0">
      <text>
        <t>fx.json forward(flat_last_end) — 가정</t>
      </text>
    </comment>
    <comment ref="Q8" authorId="0" shapeId="0">
      <text>
        <t>fx.json forward(flat_last_end) — 가정</t>
      </text>
    </comment>
    <comment ref="G9" authorId="0" shapeId="0">
      <text>
        <t>fx.json quarters(partial — 분기 진행 중 실측 평균)</t>
      </text>
    </comment>
    <comment ref="I9" authorId="0" shapeId="0">
      <text>
        <t>fx.json forward(flat_last_end) — 가정</t>
      </text>
    </comment>
    <comment ref="J9" authorId="0" shapeId="0">
      <text>
        <t>fx.json forward(flat_last_end) — 가정</t>
      </text>
    </comment>
    <comment ref="K9" authorId="0" shapeId="0">
      <text>
        <t>fx.json forward(flat_last_end) — 가정</t>
      </text>
    </comment>
    <comment ref="L9" authorId="0" shapeId="0">
      <text>
        <t>fx.json forward(flat_last_end) — 가정</t>
      </text>
    </comment>
    <comment ref="N9" authorId="0" shapeId="0">
      <text>
        <t>fx.json forward(flat_last_end) — 가정</t>
      </text>
    </comment>
    <comment ref="O9" authorId="0" shapeId="0">
      <text>
        <t>fx.json forward(flat_last_end) — 가정</t>
      </text>
    </comment>
    <comment ref="P9" authorId="0" shapeId="0">
      <text>
        <t>fx.json forward(flat_last_end) — 가정</t>
      </text>
    </comment>
    <comment ref="Q9" authorId="0" shapeId="0">
      <text>
        <t>fx.json forward(flat_last_end) — 가정</t>
      </text>
    </comment>
    <comment ref="G10" authorId="0" shapeId="0">
      <text>
        <t>fx.json quarters(partial — 분기 진행 중 실측 평균)</t>
      </text>
    </comment>
    <comment ref="I10" authorId="0" shapeId="0">
      <text>
        <t>fx.json forward(flat_last_end) — 가정</t>
      </text>
    </comment>
    <comment ref="J10" authorId="0" shapeId="0">
      <text>
        <t>fx.json forward(flat_last_end) — 가정</t>
      </text>
    </comment>
    <comment ref="K10" authorId="0" shapeId="0">
      <text>
        <t>fx.json forward(flat_last_end) — 가정</t>
      </text>
    </comment>
    <comment ref="L10" authorId="0" shapeId="0">
      <text>
        <t>fx.json forward(flat_last_end) — 가정</t>
      </text>
    </comment>
    <comment ref="N10" authorId="0" shapeId="0">
      <text>
        <t>fx.json forward(flat_last_end) — 가정</t>
      </text>
    </comment>
    <comment ref="O10" authorId="0" shapeId="0">
      <text>
        <t>fx.json forward(flat_last_end) — 가정</t>
      </text>
    </comment>
    <comment ref="P10" authorId="0" shapeId="0">
      <text>
        <t>fx.json forward(flat_last_end) — 가정</t>
      </text>
    </comment>
    <comment ref="Q10" authorId="0" shapeId="0">
      <text>
        <t>fx.json forward(flat_last_end) — 가정</t>
      </text>
    </comment>
    <comment ref="G11" authorId="0" shapeId="0">
      <text>
        <t>fx.json quarters(partial — 분기 진행 중 실측 평균)</t>
      </text>
    </comment>
    <comment ref="I11" authorId="0" shapeId="0">
      <text>
        <t>fx.json forward(flat_last_end) — 가정</t>
      </text>
    </comment>
    <comment ref="J11" authorId="0" shapeId="0">
      <text>
        <t>fx.json forward(flat_last_end) — 가정</t>
      </text>
    </comment>
    <comment ref="K11" authorId="0" shapeId="0">
      <text>
        <t>fx.json forward(flat_last_end) — 가정</t>
      </text>
    </comment>
    <comment ref="L11" authorId="0" shapeId="0">
      <text>
        <t>fx.json forward(flat_last_end) — 가정</t>
      </text>
    </comment>
    <comment ref="N11" authorId="0" shapeId="0">
      <text>
        <t>fx.json forward(flat_last_end) — 가정</t>
      </text>
    </comment>
    <comment ref="O11" authorId="0" shapeId="0">
      <text>
        <t>fx.json forward(flat_last_end) — 가정</t>
      </text>
    </comment>
    <comment ref="P11" authorId="0" shapeId="0">
      <text>
        <t>fx.json forward(flat_last_end) — 가정</t>
      </text>
    </comment>
    <comment ref="Q11" authorId="0" shapeId="0">
      <text>
        <t>fx.json forward(flat_last_end) — 가정</t>
      </text>
    </comment>
    <comment ref="G12" authorId="0" shapeId="0">
      <text>
        <t>fx.json quarters(partial — 분기 진행 중 실측 평균)</t>
      </text>
    </comment>
    <comment ref="I12" authorId="0" shapeId="0">
      <text>
        <t>fx.json forward(flat_last_end) — 가정</t>
      </text>
    </comment>
    <comment ref="J12" authorId="0" shapeId="0">
      <text>
        <t>fx.json forward(flat_last_end) — 가정</t>
      </text>
    </comment>
    <comment ref="K12" authorId="0" shapeId="0">
      <text>
        <t>fx.json forward(flat_last_end) — 가정</t>
      </text>
    </comment>
    <comment ref="L12" authorId="0" shapeId="0">
      <text>
        <t>fx.json forward(flat_last_end) — 가정</t>
      </text>
    </comment>
    <comment ref="N12" authorId="0" shapeId="0">
      <text>
        <t>fx.json forward(flat_last_end) — 가정</t>
      </text>
    </comment>
    <comment ref="O12" authorId="0" shapeId="0">
      <text>
        <t>fx.json forward(flat_last_end) — 가정</t>
      </text>
    </comment>
    <comment ref="P12" authorId="0" shapeId="0">
      <text>
        <t>fx.json forward(flat_last_end) — 가정</t>
      </text>
    </comment>
    <comment ref="Q12" authorId="0" shapeId="0">
      <text>
        <t>fx.json forward(flat_last_end) — 가정</t>
      </text>
    </comment>
    <comment ref="G13" authorId="0" shapeId="0">
      <text>
        <t>fx.json quarters(partial — 분기 진행 중 실측 평균)</t>
      </text>
    </comment>
    <comment ref="I13" authorId="0" shapeId="0">
      <text>
        <t>fx.json forward(flat_last_end) — 가정</t>
      </text>
    </comment>
    <comment ref="J13" authorId="0" shapeId="0">
      <text>
        <t>fx.json forward(flat_last_end) — 가정</t>
      </text>
    </comment>
    <comment ref="K13" authorId="0" shapeId="0">
      <text>
        <t>fx.json forward(flat_last_end) — 가정</t>
      </text>
    </comment>
    <comment ref="L13" authorId="0" shapeId="0">
      <text>
        <t>fx.json forward(flat_last_end) — 가정</t>
      </text>
    </comment>
    <comment ref="N13" authorId="0" shapeId="0">
      <text>
        <t>fx.json forward(flat_last_end) — 가정</t>
      </text>
    </comment>
    <comment ref="O13" authorId="0" shapeId="0">
      <text>
        <t>fx.json forward(flat_last_end) — 가정</t>
      </text>
    </comment>
    <comment ref="P13" authorId="0" shapeId="0">
      <text>
        <t>fx.json forward(flat_last_end) — 가정</t>
      </text>
    </comment>
    <comment ref="Q13" authorId="0" shapeId="0">
      <text>
        <t>fx.json forward(flat_last_end) — 가정</t>
      </text>
    </comment>
    <comment ref="G15" authorId="0" shapeId="0">
      <text>
        <t>분기 진행 중(partial) — aikstockdata/토스 일봉</t>
      </text>
    </comment>
    <comment ref="G16" authorId="0" shapeId="0">
      <text>
        <t>분기 진행 중(partial) — aikstockdata/토스 일봉</t>
      </text>
    </comment>
    <comment ref="G17" authorId="0" shapeId="0">
      <text>
        <t>분기 진행 중(partial) — aikstockdata/토스 일봉</t>
      </text>
    </comment>
    <comment ref="G18" authorId="0" shapeId="0">
      <text>
        <t>분기 진행 중(partial) — aikstockdata/토스 일봉</t>
      </text>
    </comment>
    <comment ref="F21" authorId="0" shapeId="0">
      <text>
        <t>모델값 역산(implied): v / 전분기 − 1 (전년동기 없음 → 전분기 대비)
최근 4분기 평균(전년동기 없음) × (1+0.0%) — g=최근 4분기 합 YoY 0.0% 클립(−30~+50%), 연차별 절반 감쇠(가정)</t>
      </text>
    </comment>
    <comment ref="G21" authorId="0" shapeId="0">
      <text>
        <t>모델값 역산(implied): v / 전분기 − 1 (전년동기 없음 → 전분기 대비)
최근 4분기 평균(전년동기 없음) × (1+0.0%) — g=최근 4분기 합 YoY 0.0% 클립(−30~+50%), 연차별 절반 감쇠(가정)</t>
      </text>
    </comment>
    <comment ref="I21" authorId="0" shapeId="0">
      <text>
        <t>모델값 역산(implied): v / 전분기 − 1 (전년동기 없음 → 전분기 대비)
최근 4분기 평균(전년동기 없음) × (1+0.0%) — g=최근 4분기 합 YoY 0.0% 클립(−30~+50%), 연차별 절반 감쇠(가정)</t>
      </text>
    </comment>
    <comment ref="J21" authorId="0" shapeId="0">
      <text>
        <t>모델값 역산(implied): v / 전년동기 − 1
전년동기 × (1+0.0%) — g=최근 4분기 합 YoY 0.0% 클립(−30~+50%), 연차별 절반 감쇠(가정)</t>
      </text>
    </comment>
    <comment ref="K21" authorId="0" shapeId="0">
      <text>
        <t>모델값 역산(implied): v / 전년동기 − 1
전년동기 × (1+0.0%) — g=최근 4분기 합 YoY 0.0% 클립(−30~+50%), 연차별 절반 감쇠(가정)</t>
      </text>
    </comment>
    <comment ref="L21" authorId="0" shapeId="0">
      <text>
        <t>모델값 역산(implied): v / 전년동기 − 1
전년동기 × (1+0.0%) — g=최근 4분기 합 YoY 0.0% 클립(−30~+50%), 연차별 절반 감쇠(가정)</t>
      </text>
    </comment>
    <comment ref="N21" authorId="0" shapeId="0">
      <text>
        <t>모델값 역산(implied): v / 전년동기 − 1
전년동기 × (1+0.0%) — g=최근 4분기 합 YoY 0.0% 클립(−30~+50%), 연차별 절반 감쇠(가정)</t>
      </text>
    </comment>
    <comment ref="O21" authorId="0" shapeId="0">
      <text>
        <t>모델값 역산(implied): v / 전년동기 − 1
전년동기 × (1+0.0%) — g=최근 4분기 합 YoY 0.0% 클립(−30~+50%), 연차별 절반 감쇠(가정)</t>
      </text>
    </comment>
    <comment ref="P21" authorId="0" shapeId="0">
      <text>
        <t>모델값 역산(implied): v / 전년동기 − 1
전년동기 × (1+0.0%) — g=최근 4분기 합 YoY 0.0% 클립(−30~+50%), 연차별 절반 감쇠(가정)</t>
      </text>
    </comment>
    <comment ref="Q21" authorId="0" shapeId="0">
      <text>
        <t>모델값 역산(implied): v / 전년동기 − 1
전년동기 × (1+0.0%) — g=최근 4분기 합 YoY 0.0% 클립(−30~+50%), 연차별 절반 감쇠(가정)</t>
      </text>
    </comment>
    <comment ref="F22" authorId="0" shapeId="0">
      <text>
        <t>3절 스칼라 '판관비율' 참조 — 숫자로 덮어쓰면 이 분기만 바뀐다
매출액 × 판관비율 70.85%(최근 1분기 중위)</t>
      </text>
    </comment>
    <comment ref="G22" authorId="0" shapeId="0">
      <text>
        <t>3절 스칼라 '판관비율' 참조 — 숫자로 덮어쓰면 이 분기만 바뀐다
매출액 × 판관비율 70.85%(최근 1분기 중위)</t>
      </text>
    </comment>
    <comment ref="I22" authorId="0" shapeId="0">
      <text>
        <t>3절 스칼라 '판관비율' 참조 — 숫자로 덮어쓰면 이 분기만 바뀐다
매출액 × 판관비율 70.85%(최근 1분기 중위)</t>
      </text>
    </comment>
    <comment ref="J22" authorId="0" shapeId="0">
      <text>
        <t>3절 스칼라 '판관비율' 참조 — 숫자로 덮어쓰면 이 분기만 바뀐다
매출액 × 판관비율 70.85%(최근 1분기 중위)</t>
      </text>
    </comment>
    <comment ref="K22" authorId="0" shapeId="0">
      <text>
        <t>3절 스칼라 '판관비율' 참조 — 숫자로 덮어쓰면 이 분기만 바뀐다
매출액 × 판관비율 70.85%(최근 1분기 중위)</t>
      </text>
    </comment>
    <comment ref="L22" authorId="0" shapeId="0">
      <text>
        <t>3절 스칼라 '판관비율' 참조 — 숫자로 덮어쓰면 이 분기만 바뀐다
매출액 × 판관비율 70.85%(최근 1분기 중위)</t>
      </text>
    </comment>
    <comment ref="N22" authorId="0" shapeId="0">
      <text>
        <t>3절 스칼라 '판관비율' 참조 — 숫자로 덮어쓰면 이 분기만 바뀐다
매출액 × 판관비율 70.85%(최근 1분기 중위)</t>
      </text>
    </comment>
    <comment ref="O22" authorId="0" shapeId="0">
      <text>
        <t>3절 스칼라 '판관비율' 참조 — 숫자로 덮어쓰면 이 분기만 바뀐다
매출액 × 판관비율 70.85%(최근 1분기 중위)</t>
      </text>
    </comment>
    <comment ref="P22" authorId="0" shapeId="0">
      <text>
        <t>3절 스칼라 '판관비율' 참조 — 숫자로 덮어쓰면 이 분기만 바뀐다
매출액 × 판관비율 70.85%(최근 1분기 중위)</t>
      </text>
    </comment>
    <comment ref="Q22" authorId="0" shapeId="0">
      <text>
        <t>3절 스칼라 '판관비율' 참조 — 숫자로 덮어쓰면 이 분기만 바뀐다
매출액 × 판관비율 70.85%(최근 1분기 중위)</t>
      </text>
    </comment>
    <comment ref="F23" authorId="0" shapeId="0">
      <text>
        <t>모델값 역산(implied): v / 매출액
매출액 × OPM(최근 1분기 OPM 중위 -20.0% 유지(클립 −20~40%))</t>
      </text>
    </comment>
    <comment ref="G23" authorId="0" shapeId="0">
      <text>
        <t>모델값 역산(implied): v / 매출액
매출액 × OPM(최근 1분기 OPM 중위 -20.0% 유지(클립 −20~40%))</t>
      </text>
    </comment>
    <comment ref="I23" authorId="0" shapeId="0">
      <text>
        <t>모델값 역산(implied): v / 매출액
매출액 × OPM(최근 1분기 OPM 중위 -20.0% 유지(클립 −20~40%))</t>
      </text>
    </comment>
    <comment ref="J23" authorId="0" shapeId="0">
      <text>
        <t>모델값 역산(implied): v / 매출액
매출액 × OPM(최근 1분기 OPM 중위 -20.0% 유지(클립 −20~40%))</t>
      </text>
    </comment>
    <comment ref="K23" authorId="0" shapeId="0">
      <text>
        <t>모델값 역산(implied): v / 매출액
매출액 × OPM(최근 1분기 OPM 중위 -20.0% 유지(클립 −20~40%))</t>
      </text>
    </comment>
    <comment ref="L23" authorId="0" shapeId="0">
      <text>
        <t>모델값 역산(implied): v / 매출액
매출액 × OPM(최근 1분기 OPM 중위 -20.0% 유지(클립 −20~40%))</t>
      </text>
    </comment>
    <comment ref="N23" authorId="0" shapeId="0">
      <text>
        <t>모델값 역산(implied): v / 매출액
매출액 × OPM(최근 1분기 OPM 중위 -20.0% 유지(클립 −20~40%))</t>
      </text>
    </comment>
    <comment ref="O23" authorId="0" shapeId="0">
      <text>
        <t>모델값 역산(implied): v / 매출액
매출액 × OPM(최근 1분기 OPM 중위 -20.0% 유지(클립 −20~40%))</t>
      </text>
    </comment>
    <comment ref="P23" authorId="0" shapeId="0">
      <text>
        <t>모델값 역산(implied): v / 매출액
매출액 × OPM(최근 1분기 OPM 중위 -20.0% 유지(클립 −20~40%))</t>
      </text>
    </comment>
    <comment ref="Q23" authorId="0" shapeId="0">
      <text>
        <t>모델값 역산(implied): v / 매출액
매출액 × OPM(최근 1분기 OPM 중위 -20.0% 유지(클립 −20~40%))</t>
      </text>
    </comment>
    <comment ref="F24" authorId="0" shapeId="0">
      <text>
        <t>모델값 역산(implied): 모델 v 그대로
이자 주석·CF 없음 → 최근 4분기 금융손익 중위 유지</t>
      </text>
    </comment>
    <comment ref="G24" authorId="0" shapeId="0">
      <text>
        <t>모델값 역산(implied): 모델 v 그대로
이자 주석·CF 없음 → 최근 4분기 금융손익 중위 유지</t>
      </text>
    </comment>
    <comment ref="I24" authorId="0" shapeId="0">
      <text>
        <t>모델값 역산(implied): 모델 v 그대로
이자 주석·CF 없음 → 최근 4분기 금융손익 중위 유지</t>
      </text>
    </comment>
    <comment ref="J24" authorId="0" shapeId="0">
      <text>
        <t>모델값 역산(implied): 모델 v 그대로
이자 주석·CF 없음 → 최근 4분기 금융손익 중위 유지</t>
      </text>
    </comment>
    <comment ref="K24" authorId="0" shapeId="0">
      <text>
        <t>모델값 역산(implied): 모델 v 그대로
이자 주석·CF 없음 → 최근 4분기 금융손익 중위 유지</t>
      </text>
    </comment>
    <comment ref="L24" authorId="0" shapeId="0">
      <text>
        <t>모델값 역산(implied): 모델 v 그대로
이자 주석·CF 없음 → 최근 4분기 금융손익 중위 유지</t>
      </text>
    </comment>
    <comment ref="N24" authorId="0" shapeId="0">
      <text>
        <t>모델값 역산(implied): 모델 v 그대로
이자 주석·CF 없음 → 최근 4분기 금융손익 중위 유지</t>
      </text>
    </comment>
    <comment ref="O24" authorId="0" shapeId="0">
      <text>
        <t>모델값 역산(implied): 모델 v 그대로
이자 주석·CF 없음 → 최근 4분기 금융손익 중위 유지</t>
      </text>
    </comment>
    <comment ref="P24" authorId="0" shapeId="0">
      <text>
        <t>모델값 역산(implied): 모델 v 그대로
이자 주석·CF 없음 → 최근 4분기 금융손익 중위 유지</t>
      </text>
    </comment>
    <comment ref="Q24" authorId="0" shapeId="0">
      <text>
        <t>모델값 역산(implied): 모델 v 그대로
이자 주석·CF 없음 → 최근 4분기 금융손익 중위 유지</t>
      </text>
    </comment>
    <comment ref="F27" authorId="0" shapeId="0">
      <text>
        <t>모델값 역산(implied): 모델 v 그대로
일회성 미가정 → 0</t>
      </text>
    </comment>
    <comment ref="G27" authorId="0" shapeId="0">
      <text>
        <t>모델값 역산(implied): 모델 v 그대로
일회성 미가정 → 0</t>
      </text>
    </comment>
    <comment ref="I27" authorId="0" shapeId="0">
      <text>
        <t>모델값 역산(implied): 모델 v 그대로
일회성 미가정 → 0</t>
      </text>
    </comment>
    <comment ref="J27" authorId="0" shapeId="0">
      <text>
        <t>모델값 역산(implied): 모델 v 그대로
일회성 미가정 → 0</t>
      </text>
    </comment>
    <comment ref="K27" authorId="0" shapeId="0">
      <text>
        <t>모델값 역산(implied): 모델 v 그대로
일회성 미가정 → 0</t>
      </text>
    </comment>
    <comment ref="L27" authorId="0" shapeId="0">
      <text>
        <t>모델값 역산(implied): 모델 v 그대로
일회성 미가정 → 0</t>
      </text>
    </comment>
    <comment ref="N27" authorId="0" shapeId="0">
      <text>
        <t>모델값 역산(implied): 모델 v 그대로
일회성 미가정 → 0</t>
      </text>
    </comment>
    <comment ref="O27" authorId="0" shapeId="0">
      <text>
        <t>모델값 역산(implied): 모델 v 그대로
일회성 미가정 → 0</t>
      </text>
    </comment>
    <comment ref="P27" authorId="0" shapeId="0">
      <text>
        <t>모델값 역산(implied): 모델 v 그대로
일회성 미가정 → 0</t>
      </text>
    </comment>
    <comment ref="Q27" authorId="0" shapeId="0">
      <text>
        <t>모델값 역산(implied): 모델 v 그대로
일회성 미가정 → 0</t>
      </text>
    </comment>
    <comment ref="F28" authorId="0" shapeId="0">
      <text>
        <t>모델값 역산(implied): v / 세전이익
max(세전, 0) × 세율 22.0%(최근 1분기 세전 합 ≤ 0; 최근 8분기에 세전 &gt; 0 분기 없음 → 법정세율 근사 22% 가정)</t>
      </text>
    </comment>
    <comment ref="G28" authorId="0" shapeId="0">
      <text>
        <t>모델값 역산(implied): v / 세전이익
max(세전, 0) × 세율 22.0%(최근 1분기 세전 합 ≤ 0; 최근 8분기에 세전 &gt; 0 분기 없음 → 법정세율 근사 22% 가정)</t>
      </text>
    </comment>
    <comment ref="I28" authorId="0" shapeId="0">
      <text>
        <t>모델값 역산(implied): v / 세전이익
max(세전, 0) × 세율 22.0%(최근 1분기 세전 합 ≤ 0; 최근 8분기에 세전 &gt; 0 분기 없음 → 법정세율 근사 22% 가정)</t>
      </text>
    </comment>
    <comment ref="J28" authorId="0" shapeId="0">
      <text>
        <t>모델값 역산(implied): v / 세전이익
max(세전, 0) × 세율 22.0%(최근 1분기 세전 합 ≤ 0; 최근 8분기에 세전 &gt; 0 분기 없음 → 법정세율 근사 22% 가정)</t>
      </text>
    </comment>
    <comment ref="K28" authorId="0" shapeId="0">
      <text>
        <t>모델값 역산(implied): v / 세전이익
max(세전, 0) × 세율 22.0%(최근 1분기 세전 합 ≤ 0; 최근 8분기에 세전 &gt; 0 분기 없음 → 법정세율 근사 22% 가정)</t>
      </text>
    </comment>
    <comment ref="L28" authorId="0" shapeId="0">
      <text>
        <t>모델값 역산(implied): v / 세전이익
max(세전, 0) × 세율 22.0%(최근 1분기 세전 합 ≤ 0; 최근 8분기에 세전 &gt; 0 분기 없음 → 법정세율 근사 22% 가정)</t>
      </text>
    </comment>
    <comment ref="N28" authorId="0" shapeId="0">
      <text>
        <t>모델값 역산(implied): v / 세전이익
max(세전, 0) × 세율 22.0%(최근 1분기 세전 합 ≤ 0; 최근 8분기에 세전 &gt; 0 분기 없음 → 법정세율 근사 22% 가정)</t>
      </text>
    </comment>
    <comment ref="O28" authorId="0" shapeId="0">
      <text>
        <t>모델값 역산(implied): v / 세전이익
max(세전, 0) × 세율 22.0%(최근 1분기 세전 합 ≤ 0; 최근 8분기에 세전 &gt; 0 분기 없음 → 법정세율 근사 22% 가정)</t>
      </text>
    </comment>
    <comment ref="P28" authorId="0" shapeId="0">
      <text>
        <t>모델값 역산(implied): v / 세전이익
max(세전, 0) × 세율 22.0%(최근 1분기 세전 합 ≤ 0; 최근 8분기에 세전 &gt; 0 분기 없음 → 법정세율 근사 22% 가정)</t>
      </text>
    </comment>
    <comment ref="Q28" authorId="0" shapeId="0">
      <text>
        <t>모델값 역산(implied): v / 세전이익
max(세전, 0) × 세율 22.0%(최근 1분기 세전 합 ≤ 0; 최근 8분기에 세전 &gt; 0 분기 없음 → 법정세율 근사 22% 가정)</t>
      </text>
    </comment>
    <comment ref="F29" authorId="0" shapeId="0">
      <text>
        <t>3절 스칼라 '지배주주비중' 참조 — 숫자로 덮어쓰면 이 분기만 바뀐다
당기순이익 × (1 − 비지배 비중 0.0%, 최근 8분기 실측)</t>
      </text>
    </comment>
    <comment ref="G29" authorId="0" shapeId="0">
      <text>
        <t>3절 스칼라 '지배주주비중' 참조 — 숫자로 덮어쓰면 이 분기만 바뀐다
당기순이익 × (1 − 비지배 비중 0.0%, 최근 8분기 실측)</t>
      </text>
    </comment>
    <comment ref="I29" authorId="0" shapeId="0">
      <text>
        <t>3절 스칼라 '지배주주비중' 참조 — 숫자로 덮어쓰면 이 분기만 바뀐다
당기순이익 × (1 − 비지배 비중 0.0%, 최근 8분기 실측)</t>
      </text>
    </comment>
    <comment ref="J29" authorId="0" shapeId="0">
      <text>
        <t>3절 스칼라 '지배주주비중' 참조 — 숫자로 덮어쓰면 이 분기만 바뀐다
당기순이익 × (1 − 비지배 비중 0.0%, 최근 8분기 실측)</t>
      </text>
    </comment>
    <comment ref="K29" authorId="0" shapeId="0">
      <text>
        <t>3절 스칼라 '지배주주비중' 참조 — 숫자로 덮어쓰면 이 분기만 바뀐다
당기순이익 × (1 − 비지배 비중 0.0%, 최근 8분기 실측)</t>
      </text>
    </comment>
    <comment ref="L29" authorId="0" shapeId="0">
      <text>
        <t>3절 스칼라 '지배주주비중' 참조 — 숫자로 덮어쓰면 이 분기만 바뀐다
당기순이익 × (1 − 비지배 비중 0.0%, 최근 8분기 실측)</t>
      </text>
    </comment>
    <comment ref="N29" authorId="0" shapeId="0">
      <text>
        <t>3절 스칼라 '지배주주비중' 참조 — 숫자로 덮어쓰면 이 분기만 바뀐다
당기순이익 × (1 − 비지배 비중 0.0%, 최근 8분기 실측)</t>
      </text>
    </comment>
    <comment ref="O29" authorId="0" shapeId="0">
      <text>
        <t>3절 스칼라 '지배주주비중' 참조 — 숫자로 덮어쓰면 이 분기만 바뀐다
당기순이익 × (1 − 비지배 비중 0.0%, 최근 8분기 실측)</t>
      </text>
    </comment>
    <comment ref="P29" authorId="0" shapeId="0">
      <text>
        <t>3절 스칼라 '지배주주비중' 참조 — 숫자로 덮어쓰면 이 분기만 바뀐다
당기순이익 × (1 − 비지배 비중 0.0%, 최근 8분기 실측)</t>
      </text>
    </comment>
    <comment ref="Q29" authorId="0" shapeId="0">
      <text>
        <t>3절 스칼라 '지배주주비중' 참조 — 숫자로 덮어쓰면 이 분기만 바뀐다
당기순이익 × (1 − 비지배 비중 0.0%, 최근 8분기 실측)</t>
      </text>
    </comment>
    <comment ref="F30" authorId="0" shapeId="0">
      <text>
        <t>모델값 역산(implied): v / 전분기 − 1
마지막 실적 유지(가정)</t>
      </text>
    </comment>
    <comment ref="G30" authorId="0" shapeId="0">
      <text>
        <t>모델값 역산(implied): v / 전분기 − 1
마지막 실적 유지(가정)</t>
      </text>
    </comment>
    <comment ref="I30" authorId="0" shapeId="0">
      <text>
        <t>모델값 역산(implied): v / 전분기 − 1
마지막 실적 유지(가정)</t>
      </text>
    </comment>
    <comment ref="J30" authorId="0" shapeId="0">
      <text>
        <t>모델값 역산(implied): v / 전분기 − 1
마지막 실적 유지(가정)</t>
      </text>
    </comment>
    <comment ref="K30" authorId="0" shapeId="0">
      <text>
        <t>모델값 역산(implied): v / 전분기 − 1
마지막 실적 유지(가정)</t>
      </text>
    </comment>
    <comment ref="L30" authorId="0" shapeId="0">
      <text>
        <t>모델값 역산(implied): v / 전분기 − 1
마지막 실적 유지(가정)</t>
      </text>
    </comment>
    <comment ref="N30" authorId="0" shapeId="0">
      <text>
        <t>모델값 역산(implied): v / 전분기 − 1
마지막 실적 유지(가정)</t>
      </text>
    </comment>
    <comment ref="O30" authorId="0" shapeId="0">
      <text>
        <t>모델값 역산(implied): v / 전분기 − 1
마지막 실적 유지(가정)</t>
      </text>
    </comment>
    <comment ref="P30" authorId="0" shapeId="0">
      <text>
        <t>모델값 역산(implied): v / 전분기 − 1
마지막 실적 유지(가정)</t>
      </text>
    </comment>
    <comment ref="Q30" authorId="0" shapeId="0">
      <text>
        <t>모델값 역산(implied): v / 전분기 − 1
마지막 실적 유지(가정)</t>
      </text>
    </comment>
    <comment ref="F31" authorId="0" shapeId="0">
      <text>
        <t>모델값 역산(implied): 전분기(시트값) + 당기순이익(시트 수식값) − v
전분기 + 당기순이익 − 배당(Q2 지급 가정)</t>
      </text>
    </comment>
    <comment ref="G31" authorId="0" shapeId="0">
      <text>
        <t>모델값 역산(implied): 전분기(시트값) + 당기순이익(시트 수식값) − v
전분기 + 당기순이익 − 배당(Q2 지급 가정)</t>
      </text>
    </comment>
    <comment ref="I31" authorId="0" shapeId="0">
      <text>
        <t>모델값 역산(implied): 전분기(시트값) + 당기순이익(시트 수식값) − v
전분기 + 당기순이익 − 배당(Q2 지급 가정)</t>
      </text>
    </comment>
    <comment ref="J31" authorId="0" shapeId="0">
      <text>
        <t>모델값 역산(implied): 전분기(시트값) + 당기순이익(시트 수식값) − v
전분기 + 당기순이익 − 배당(Q2 지급 가정)</t>
      </text>
    </comment>
    <comment ref="K31" authorId="0" shapeId="0">
      <text>
        <t>모델값 역산(implied): 전분기(시트값) + 당기순이익(시트 수식값) − v
전분기 + 당기순이익 − 배당(Q2 지급 가정)</t>
      </text>
    </comment>
    <comment ref="L31" authorId="0" shapeId="0">
      <text>
        <t>모델값 역산(implied): 전분기(시트값) + 당기순이익(시트 수식값) − v
전분기 + 당기순이익 − 배당(Q2 지급 가정)</t>
      </text>
    </comment>
    <comment ref="N31" authorId="0" shapeId="0">
      <text>
        <t>모델값 역산(implied): 전분기(시트값) + 당기순이익(시트 수식값) − v
전분기 + 당기순이익 − 배당(Q2 지급 가정)</t>
      </text>
    </comment>
    <comment ref="O31" authorId="0" shapeId="0">
      <text>
        <t>모델값 역산(implied): 전분기(시트값) + 당기순이익(시트 수식값) − v
전분기 + 당기순이익 − 배당(Q2 지급 가정)</t>
      </text>
    </comment>
    <comment ref="P31" authorId="0" shapeId="0">
      <text>
        <t>모델값 역산(implied): 전분기(시트값) + 당기순이익(시트 수식값) − v
전분기 + 당기순이익 − 배당(Q2 지급 가정)</t>
      </text>
    </comment>
    <comment ref="Q31" authorId="0" shapeId="0">
      <text>
        <t>모델값 역산(implied): 전분기(시트값) + 당기순이익(시트 수식값) − v
전분기 + 당기순이익 − 배당(Q2 지급 가정)</t>
      </text>
    </comment>
    <comment ref="F32" authorId="0" shapeId="0">
      <text>
        <t>모델값 역산(implied): 전분기(시트값) + 지배주주순이익(시트 수식값) − v
전분기 + 지배주주순이익 − 배당</t>
      </text>
    </comment>
    <comment ref="G32" authorId="0" shapeId="0">
      <text>
        <t>모델값 역산(implied): 전분기(시트값) + 지배주주순이익(시트 수식값) − v
전분기 + 지배주주순이익 − 배당</t>
      </text>
    </comment>
    <comment ref="I32" authorId="0" shapeId="0">
      <text>
        <t>모델값 역산(implied): 전분기(시트값) + 지배주주순이익(시트 수식값) − v
전분기 + 지배주주순이익 − 배당</t>
      </text>
    </comment>
    <comment ref="J32" authorId="0" shapeId="0">
      <text>
        <t>모델값 역산(implied): 전분기(시트값) + 지배주주순이익(시트 수식값) − v
전분기 + 지배주주순이익 − 배당</t>
      </text>
    </comment>
    <comment ref="K32" authorId="0" shapeId="0">
      <text>
        <t>모델값 역산(implied): 전분기(시트값) + 지배주주순이익(시트 수식값) − v
전분기 + 지배주주순이익 − 배당</t>
      </text>
    </comment>
    <comment ref="L32" authorId="0" shapeId="0">
      <text>
        <t>모델값 역산(implied): 전분기(시트값) + 지배주주순이익(시트 수식값) − v
전분기 + 지배주주순이익 − 배당</t>
      </text>
    </comment>
    <comment ref="N32" authorId="0" shapeId="0">
      <text>
        <t>모델값 역산(implied): 전분기(시트값) + 지배주주순이익(시트 수식값) − v
전분기 + 지배주주순이익 − 배당</t>
      </text>
    </comment>
    <comment ref="O32" authorId="0" shapeId="0">
      <text>
        <t>모델값 역산(implied): 전분기(시트값) + 지배주주순이익(시트 수식값) − v
전분기 + 지배주주순이익 − 배당</t>
      </text>
    </comment>
    <comment ref="P32" authorId="0" shapeId="0">
      <text>
        <t>모델값 역산(implied): 전분기(시트값) + 지배주주순이익(시트 수식값) − v
전분기 + 지배주주순이익 − 배당</t>
      </text>
    </comment>
    <comment ref="Q32" authorId="0" shapeId="0">
      <text>
        <t>모델값 역산(implied): 전분기(시트값) + 지배주주순이익(시트 수식값) − v
전분기 + 지배주주순이익 − 배당</t>
      </text>
    </comment>
    <comment ref="F33" authorId="0" shapeId="0">
      <text>
        <t>모델값 역산(implied): v / 전분기 − 1
마지막 실적 유지(가정)</t>
      </text>
    </comment>
    <comment ref="G33" authorId="0" shapeId="0">
      <text>
        <t>모델값 역산(implied): v / 전분기 − 1
마지막 실적 유지(가정)</t>
      </text>
    </comment>
    <comment ref="I33" authorId="0" shapeId="0">
      <text>
        <t>모델값 역산(implied): v / 전분기 − 1
마지막 실적 유지(가정)</t>
      </text>
    </comment>
    <comment ref="J33" authorId="0" shapeId="0">
      <text>
        <t>모델값 역산(implied): v / 전분기 − 1
마지막 실적 유지(가정)</t>
      </text>
    </comment>
    <comment ref="K33" authorId="0" shapeId="0">
      <text>
        <t>모델값 역산(implied): v / 전분기 − 1
마지막 실적 유지(가정)</t>
      </text>
    </comment>
    <comment ref="L33" authorId="0" shapeId="0">
      <text>
        <t>모델값 역산(implied): v / 전분기 − 1
마지막 실적 유지(가정)</t>
      </text>
    </comment>
    <comment ref="N33" authorId="0" shapeId="0">
      <text>
        <t>모델값 역산(implied): v / 전분기 − 1
마지막 실적 유지(가정)</t>
      </text>
    </comment>
    <comment ref="O33" authorId="0" shapeId="0">
      <text>
        <t>모델값 역산(implied): v / 전분기 − 1
마지막 실적 유지(가정)</t>
      </text>
    </comment>
    <comment ref="P33" authorId="0" shapeId="0">
      <text>
        <t>모델값 역산(implied): v / 전분기 − 1
마지막 실적 유지(가정)</t>
      </text>
    </comment>
    <comment ref="Q33" authorId="0" shapeId="0">
      <text>
        <t>모델값 역산(implied): v / 전분기 − 1
마지막 실적 유지(가정)</t>
      </text>
    </comment>
    <comment ref="F34" authorId="0" shapeId="0">
      <text>
        <t>모델값 역산(implied): v / 전분기 − 1
전분기 − FCF 근사[순이익 − 배당(감가상각비 없음 → CAPEX≈감가 가정)] (운전자본 불변·총차입금 유지 가정 → 변동은 전부 현금)</t>
      </text>
    </comment>
    <comment ref="G34" authorId="0" shapeId="0">
      <text>
        <t>모델값 역산(implied): v / 전분기 − 1
전분기 − FCF 근사[순이익 − 배당(감가상각비 없음 → CAPEX≈감가 가정)] (운전자본 불변·총차입금 유지 가정 → 변동은 전부 현금)</t>
      </text>
    </comment>
    <comment ref="I34" authorId="0" shapeId="0">
      <text>
        <t>모델값 역산(implied): v / 전분기 − 1
전분기 − FCF 근사[순이익 − 배당(감가상각비 없음 → CAPEX≈감가 가정)] (운전자본 불변·총차입금 유지 가정 → 변동은 전부 현금)</t>
      </text>
    </comment>
    <comment ref="J34" authorId="0" shapeId="0">
      <text>
        <t>모델값 역산(implied): v / 전분기 − 1
전분기 − FCF 근사[순이익 − 배당(감가상각비 없음 → CAPEX≈감가 가정)] (운전자본 불변·총차입금 유지 가정 → 변동은 전부 현금)</t>
      </text>
    </comment>
    <comment ref="K34" authorId="0" shapeId="0">
      <text>
        <t>모델값 역산(implied): v / 전분기 − 1
전분기 − FCF 근사[순이익 − 배당(감가상각비 없음 → CAPEX≈감가 가정)] (운전자본 불변·총차입금 유지 가정 → 변동은 전부 현금)</t>
      </text>
    </comment>
    <comment ref="L34" authorId="0" shapeId="0">
      <text>
        <t>모델값 역산(implied): v / 전분기 − 1
전분기 − FCF 근사[순이익 − 배당(감가상각비 없음 → CAPEX≈감가 가정)] (운전자본 불변·총차입금 유지 가정 → 변동은 전부 현금)</t>
      </text>
    </comment>
    <comment ref="N34" authorId="0" shapeId="0">
      <text>
        <t>모델값 역산(implied): v / 전분기 − 1
전분기 − FCF 근사[순이익 − 배당(감가상각비 없음 → CAPEX≈감가 가정)] (운전자본 불변·총차입금 유지 가정 → 변동은 전부 현금)</t>
      </text>
    </comment>
    <comment ref="O34" authorId="0" shapeId="0">
      <text>
        <t>모델값 역산(implied): v / 전분기 − 1
전분기 − FCF 근사[순이익 − 배당(감가상각비 없음 → CAPEX≈감가 가정)] (운전자본 불변·총차입금 유지 가정 → 변동은 전부 현금)</t>
      </text>
    </comment>
    <comment ref="P34" authorId="0" shapeId="0">
      <text>
        <t>모델값 역산(implied): v / 전분기 − 1
전분기 − FCF 근사[순이익 − 배당(감가상각비 없음 → CAPEX≈감가 가정)] (운전자본 불변·총차입금 유지 가정 → 변동은 전부 현금)</t>
      </text>
    </comment>
    <comment ref="Q34" authorId="0" shapeId="0">
      <text>
        <t>모델값 역산(implied): v / 전분기 − 1
전분기 − FCF 근사[순이익 − 배당(감가상각비 없음 → CAPEX≈감가 가정)] (운전자본 불변·총차입금 유지 가정 → 변동은 전부 현금)</t>
      </text>
    </comment>
    <comment ref="F35" authorId="0" shapeId="0">
      <text>
        <t>모델값 역산(implied): v / 전분기 − 1
전분기 + FCF 근사 — 순차입금 롤과 같은 가정</t>
      </text>
    </comment>
    <comment ref="G35" authorId="0" shapeId="0">
      <text>
        <t>모델값 역산(implied): v / 전분기 − 1
전분기 + FCF 근사 — 순차입금 롤과 같은 가정</t>
      </text>
    </comment>
    <comment ref="I35" authorId="0" shapeId="0">
      <text>
        <t>모델값 역산(implied): v / 전분기 − 1
전분기 + FCF 근사 — 순차입금 롤과 같은 가정</t>
      </text>
    </comment>
    <comment ref="J35" authorId="0" shapeId="0">
      <text>
        <t>모델값 역산(implied): v / 전분기 − 1
전분기 + FCF 근사 — 순차입금 롤과 같은 가정</t>
      </text>
    </comment>
    <comment ref="K35" authorId="0" shapeId="0">
      <text>
        <t>모델값 역산(implied): v / 전분기 − 1
전분기 + FCF 근사 — 순차입금 롤과 같은 가정</t>
      </text>
    </comment>
    <comment ref="L35" authorId="0" shapeId="0">
      <text>
        <t>모델값 역산(implied): v / 전분기 − 1
전분기 + FCF 근사 — 순차입금 롤과 같은 가정</t>
      </text>
    </comment>
    <comment ref="N35" authorId="0" shapeId="0">
      <text>
        <t>모델값 역산(implied): v / 전분기 − 1
전분기 + FCF 근사 — 순차입금 롤과 같은 가정</t>
      </text>
    </comment>
    <comment ref="O35" authorId="0" shapeId="0">
      <text>
        <t>모델값 역산(implied): v / 전분기 − 1
전분기 + FCF 근사 — 순차입금 롤과 같은 가정</t>
      </text>
    </comment>
    <comment ref="P35" authorId="0" shapeId="0">
      <text>
        <t>모델값 역산(implied): v / 전분기 − 1
전분기 + FCF 근사 — 순차입금 롤과 같은 가정</t>
      </text>
    </comment>
    <comment ref="Q35" authorId="0" shapeId="0">
      <text>
        <t>모델값 역산(implied): v / 전분기 − 1
전분기 + FCF 근사 — 순차입금 롤과 같은 가정</t>
      </text>
    </comment>
    <comment ref="F37" authorId="0" shapeId="0">
      <text>
        <t>모델값 역산(implied): v / 전분기 − 1
유통주식수 유지 — prices.json shares_outstanding(aik 상장 10,260,882 = fin 2026Q2 보통주 발행 7,788,882 + 신주 2,472,000 — 분기말 후 증자/상장, 비율 1.3174 비정수) − 자기주식 0</t>
      </text>
    </comment>
    <comment ref="G37" authorId="0" shapeId="0">
      <text>
        <t>모델값 역산(implied): v / 전분기 − 1
유통주식수 유지 — prices.json shares_outstanding(aik 상장 10,260,882 = fin 2026Q2 보통주 발행 7,788,882 + 신주 2,472,000 — 분기말 후 증자/상장, 비율 1.3174 비정수) − 자기주식 0</t>
      </text>
    </comment>
    <comment ref="I37" authorId="0" shapeId="0">
      <text>
        <t>모델값 역산(implied): v / 전분기 − 1
유통주식수 유지 — prices.json shares_outstanding(aik 상장 10,260,882 = fin 2026Q2 보통주 발행 7,788,882 + 신주 2,472,000 — 분기말 후 증자/상장, 비율 1.3174 비정수) − 자기주식 0</t>
      </text>
    </comment>
    <comment ref="J37" authorId="0" shapeId="0">
      <text>
        <t>모델값 역산(implied): v / 전분기 − 1
유통주식수 유지 — prices.json shares_outstanding(aik 상장 10,260,882 = fin 2026Q2 보통주 발행 7,788,882 + 신주 2,472,000 — 분기말 후 증자/상장, 비율 1.3174 비정수) − 자기주식 0</t>
      </text>
    </comment>
    <comment ref="K37" authorId="0" shapeId="0">
      <text>
        <t>모델값 역산(implied): v / 전분기 − 1
유통주식수 유지 — prices.json shares_outstanding(aik 상장 10,260,882 = fin 2026Q2 보통주 발행 7,788,882 + 신주 2,472,000 — 분기말 후 증자/상장, 비율 1.3174 비정수) − 자기주식 0</t>
      </text>
    </comment>
    <comment ref="L37" authorId="0" shapeId="0">
      <text>
        <t>모델값 역산(implied): v / 전분기 − 1
유통주식수 유지 — prices.json shares_outstanding(aik 상장 10,260,882 = fin 2026Q2 보통주 발행 7,788,882 + 신주 2,472,000 — 분기말 후 증자/상장, 비율 1.3174 비정수) − 자기주식 0</t>
      </text>
    </comment>
    <comment ref="N37" authorId="0" shapeId="0">
      <text>
        <t>모델값 역산(implied): v / 전분기 − 1
유통주식수 유지 — prices.json shares_outstanding(aik 상장 10,260,882 = fin 2026Q2 보통주 발행 7,788,882 + 신주 2,472,000 — 분기말 후 증자/상장, 비율 1.3174 비정수) − 자기주식 0</t>
      </text>
    </comment>
    <comment ref="O37" authorId="0" shapeId="0">
      <text>
        <t>모델값 역산(implied): v / 전분기 − 1
유통주식수 유지 — prices.json shares_outstanding(aik 상장 10,260,882 = fin 2026Q2 보통주 발행 7,788,882 + 신주 2,472,000 — 분기말 후 증자/상장, 비율 1.3174 비정수) − 자기주식 0</t>
      </text>
    </comment>
    <comment ref="P37" authorId="0" shapeId="0">
      <text>
        <t>모델값 역산(implied): v / 전분기 − 1
유통주식수 유지 — prices.json shares_outstanding(aik 상장 10,260,882 = fin 2026Q2 보통주 발행 7,788,882 + 신주 2,472,000 — 분기말 후 증자/상장, 비율 1.3174 비정수) − 자기주식 0</t>
      </text>
    </comment>
    <comment ref="Q37" authorId="0" shapeId="0">
      <text>
        <t>모델값 역산(implied): v / 전분기 − 1
유통주식수 유지 — prices.json shares_outstanding(aik 상장 10,260,882 = fin 2026Q2 보통주 발행 7,788,882 + 신주 2,472,000 — 분기말 후 증자/상장, 비율 1.3174 비정수) − 자기주식 0</t>
      </text>
    </comment>
    <comment ref="G38" authorId="0" shapeId="0">
      <text>
        <t>모델값 역산(implied): 모델 v 그대로
직전 결산 DPS 0원 유지</t>
      </text>
    </comment>
    <comment ref="L38" authorId="0" shapeId="0">
      <text>
        <t>모델값 역산(implied): 모델 v 그대로
직전 결산 DPS 0원 유지</t>
      </text>
    </comment>
    <comment ref="Q38" authorId="0" shapeId="0">
      <text>
        <t>모델값 역산(implied): 모델 v 그대로
직전 결산 DPS 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F5" authorId="0" shapeId="0">
      <text>
        <t>추정: 최근 4분기 평균(전년동기 없음) × (1+0.0%) — g=최근 4분기 합 YoY 0.0% 클립(−30~+50%), 연차별 절반 감쇠(가정)
[yoy]</t>
      </text>
    </comment>
    <comment ref="G5" authorId="0" shapeId="0">
      <text>
        <t>추정: 최근 4분기 평균(전년동기 없음) × (1+0.0%) — g=최근 4분기 합 YoY 0.0% 클립(−30~+50%), 연차별 절반 감쇠(가정)
[yoy]</t>
      </text>
    </comment>
    <comment ref="I5" authorId="0" shapeId="0">
      <text>
        <t>추정: 최근 4분기 평균(전년동기 없음) × (1+0.0%) — g=최근 4분기 합 YoY 0.0% 클립(−30~+50%), 연차별 절반 감쇠(가정)
[yoy]</t>
      </text>
    </comment>
    <comment ref="J5" authorId="0" shapeId="0">
      <text>
        <t>추정: 전년동기 × (1+0.0%) — g=최근 4분기 합 YoY 0.0% 클립(−30~+50%), 연차별 절반 감쇠(가정)
[yoy]</t>
      </text>
    </comment>
    <comment ref="K5" authorId="0" shapeId="0">
      <text>
        <t>추정: 전년동기 × (1+0.0%) — g=최근 4분기 합 YoY 0.0% 클립(−30~+50%), 연차별 절반 감쇠(가정)
[yoy]</t>
      </text>
    </comment>
    <comment ref="L5" authorId="0" shapeId="0">
      <text>
        <t>추정: 전년동기 × (1+0.0%) — g=최근 4분기 합 YoY 0.0% 클립(−30~+50%), 연차별 절반 감쇠(가정)
[yoy]</t>
      </text>
    </comment>
    <comment ref="N5" authorId="0" shapeId="0">
      <text>
        <t>추정: 전년동기 × (1+0.0%) — g=최근 4분기 합 YoY 0.0% 클립(−30~+50%), 연차별 절반 감쇠(가정)
[yoy]</t>
      </text>
    </comment>
    <comment ref="O5" authorId="0" shapeId="0">
      <text>
        <t>추정: 전년동기 × (1+0.0%) — g=최근 4분기 합 YoY 0.0% 클립(−30~+50%), 연차별 절반 감쇠(가정)
[yoy]</t>
      </text>
    </comment>
    <comment ref="P5" authorId="0" shapeId="0">
      <text>
        <t>추정: 전년동기 × (1+0.0%) — g=최근 4분기 합 YoY 0.0% 클립(−30~+50%), 연차별 절반 감쇠(가정)
[yoy]</t>
      </text>
    </comment>
    <comment ref="Q5" authorId="0" shapeId="0">
      <text>
        <t>추정: 전년동기 × (1+0.0%) — g=최근 4분기 합 YoY 0.0% 클립(−30~+50%), 연차별 절반 감쇠(가정)
[yoy]</t>
      </text>
    </comment>
    <comment ref="F6" authorId="0" shapeId="0">
      <text>
        <t>추정: 매출액 − 매출총이익(항등식)
[identity]</t>
      </text>
    </comment>
    <comment ref="G6" authorId="0" shapeId="0">
      <text>
        <t>추정: 매출액 − 매출총이익(항등식)
[identity]</t>
      </text>
    </comment>
    <comment ref="I6" authorId="0" shapeId="0">
      <text>
        <t>추정: 매출액 − 매출총이익(항등식)
[identity]</t>
      </text>
    </comment>
    <comment ref="J6" authorId="0" shapeId="0">
      <text>
        <t>추정: 매출액 − 매출총이익(항등식)
[identity]</t>
      </text>
    </comment>
    <comment ref="K6" authorId="0" shapeId="0">
      <text>
        <t>추정: 매출액 − 매출총이익(항등식)
[identity]</t>
      </text>
    </comment>
    <comment ref="L6" authorId="0" shapeId="0">
      <text>
        <t>추정: 매출액 − 매출총이익(항등식)
[identity]</t>
      </text>
    </comment>
    <comment ref="N6" authorId="0" shapeId="0">
      <text>
        <t>추정: 매출액 − 매출총이익(항등식)
[identity]</t>
      </text>
    </comment>
    <comment ref="O6" authorId="0" shapeId="0">
      <text>
        <t>추정: 매출액 − 매출총이익(항등식)
[identity]</t>
      </text>
    </comment>
    <comment ref="P6" authorId="0" shapeId="0">
      <text>
        <t>추정: 매출액 − 매출총이익(항등식)
[identity]</t>
      </text>
    </comment>
    <comment ref="Q6" authorId="0" shapeId="0">
      <text>
        <t>추정: 매출액 − 매출총이익(항등식)
[identity]</t>
      </text>
    </comment>
    <comment ref="F7" authorId="0" shapeId="0">
      <text>
        <t>추정: 영업이익 + 판관비 − 기타영업손익(항등식)
[identity]</t>
      </text>
    </comment>
    <comment ref="G7" authorId="0" shapeId="0">
      <text>
        <t>추정: 영업이익 + 판관비 − 기타영업손익(항등식)
[identity]</t>
      </text>
    </comment>
    <comment ref="I7" authorId="0" shapeId="0">
      <text>
        <t>추정: 영업이익 + 판관비 − 기타영업손익(항등식)
[identity]</t>
      </text>
    </comment>
    <comment ref="J7" authorId="0" shapeId="0">
      <text>
        <t>추정: 영업이익 + 판관비 − 기타영업손익(항등식)
[identity]</t>
      </text>
    </comment>
    <comment ref="K7" authorId="0" shapeId="0">
      <text>
        <t>추정: 영업이익 + 판관비 − 기타영업손익(항등식)
[identity]</t>
      </text>
    </comment>
    <comment ref="L7" authorId="0" shapeId="0">
      <text>
        <t>추정: 영업이익 + 판관비 − 기타영업손익(항등식)
[identity]</t>
      </text>
    </comment>
    <comment ref="N7" authorId="0" shapeId="0">
      <text>
        <t>추정: 영업이익 + 판관비 − 기타영업손익(항등식)
[identity]</t>
      </text>
    </comment>
    <comment ref="O7" authorId="0" shapeId="0">
      <text>
        <t>추정: 영업이익 + 판관비 − 기타영업손익(항등식)
[identity]</t>
      </text>
    </comment>
    <comment ref="P7" authorId="0" shapeId="0">
      <text>
        <t>추정: 영업이익 + 판관비 − 기타영업손익(항등식)
[identity]</t>
      </text>
    </comment>
    <comment ref="Q7" authorId="0" shapeId="0">
      <text>
        <t>추정: 영업이익 + 판관비 − 기타영업손익(항등식)
[identity]</t>
      </text>
    </comment>
    <comment ref="F8" authorId="0" shapeId="0">
      <text>
        <t>추정: 매출액 × 판관비율 70.85%(최근 1분기 중위)
[ratio]</t>
      </text>
    </comment>
    <comment ref="G8" authorId="0" shapeId="0">
      <text>
        <t>추정: 매출액 × 판관비율 70.85%(최근 1분기 중위)
[ratio]</t>
      </text>
    </comment>
    <comment ref="I8" authorId="0" shapeId="0">
      <text>
        <t>추정: 매출액 × 판관비율 70.85%(최근 1분기 중위)
[ratio]</t>
      </text>
    </comment>
    <comment ref="J8" authorId="0" shapeId="0">
      <text>
        <t>추정: 매출액 × 판관비율 70.85%(최근 1분기 중위)
[ratio]</t>
      </text>
    </comment>
    <comment ref="K8" authorId="0" shapeId="0">
      <text>
        <t>추정: 매출액 × 판관비율 70.85%(최근 1분기 중위)
[ratio]</t>
      </text>
    </comment>
    <comment ref="L8" authorId="0" shapeId="0">
      <text>
        <t>추정: 매출액 × 판관비율 70.85%(최근 1분기 중위)
[ratio]</t>
      </text>
    </comment>
    <comment ref="N8" authorId="0" shapeId="0">
      <text>
        <t>추정: 매출액 × 판관비율 70.85%(최근 1분기 중위)
[ratio]</t>
      </text>
    </comment>
    <comment ref="O8" authorId="0" shapeId="0">
      <text>
        <t>추정: 매출액 × 판관비율 70.85%(최근 1분기 중위)
[ratio]</t>
      </text>
    </comment>
    <comment ref="P8" authorId="0" shapeId="0">
      <text>
        <t>추정: 매출액 × 판관비율 70.85%(최근 1분기 중위)
[ratio]</t>
      </text>
    </comment>
    <comment ref="Q8" authorId="0" shapeId="0">
      <text>
        <t>추정: 매출액 × 판관비율 70.85%(최근 1분기 중위)
[ratio]</t>
      </text>
    </comment>
    <comment ref="F9" authorId="0" shapeId="0">
      <text>
        <t>추정: 매출액 × OPM(최근 1분기 OPM 중위 -20.0% 유지(클립 −20~40%))
[ratio]</t>
      </text>
    </comment>
    <comment ref="G9" authorId="0" shapeId="0">
      <text>
        <t>추정: 매출액 × OPM(최근 1분기 OPM 중위 -20.0% 유지(클립 −20~40%))
[ratio]</t>
      </text>
    </comment>
    <comment ref="I9" authorId="0" shapeId="0">
      <text>
        <t>추정: 매출액 × OPM(최근 1분기 OPM 중위 -20.0% 유지(클립 −20~40%))
[ratio]</t>
      </text>
    </comment>
    <comment ref="J9" authorId="0" shapeId="0">
      <text>
        <t>추정: 매출액 × OPM(최근 1분기 OPM 중위 -20.0% 유지(클립 −20~40%))
[ratio]</t>
      </text>
    </comment>
    <comment ref="K9" authorId="0" shapeId="0">
      <text>
        <t>추정: 매출액 × OPM(최근 1분기 OPM 중위 -20.0% 유지(클립 −20~40%))
[ratio]</t>
      </text>
    </comment>
    <comment ref="L9" authorId="0" shapeId="0">
      <text>
        <t>추정: 매출액 × OPM(최근 1분기 OPM 중위 -20.0% 유지(클립 −20~40%))
[ratio]</t>
      </text>
    </comment>
    <comment ref="N9" authorId="0" shapeId="0">
      <text>
        <t>추정: 매출액 × OPM(최근 1분기 OPM 중위 -20.0% 유지(클립 −20~40%))
[ratio]</t>
      </text>
    </comment>
    <comment ref="O9" authorId="0" shapeId="0">
      <text>
        <t>추정: 매출액 × OPM(최근 1분기 OPM 중위 -20.0% 유지(클립 −20~40%))
[ratio]</t>
      </text>
    </comment>
    <comment ref="P9" authorId="0" shapeId="0">
      <text>
        <t>추정: 매출액 × OPM(최근 1분기 OPM 중위 -20.0% 유지(클립 −20~40%))
[ratio]</t>
      </text>
    </comment>
    <comment ref="Q9" authorId="0" shapeId="0">
      <text>
        <t>추정: 매출액 × OPM(최근 1분기 OPM 중위 -20.0% 유지(클립 −20~40%))
[ratio]</t>
      </text>
    </comment>
    <comment ref="F10" authorId="0" shapeId="0">
      <text>
        <t>추정: 최근 1분기 OPM 중위 -20.0% 유지(클립 −20~40%)
[divide]</t>
      </text>
    </comment>
    <comment ref="G10" authorId="0" shapeId="0">
      <text>
        <t>추정: 최근 1분기 OPM 중위 -20.0% 유지(클립 −20~40%)
[divide]</t>
      </text>
    </comment>
    <comment ref="I10" authorId="0" shapeId="0">
      <text>
        <t>추정: 최근 1분기 OPM 중위 -20.0% 유지(클립 −20~40%)
[divide]</t>
      </text>
    </comment>
    <comment ref="J10" authorId="0" shapeId="0">
      <text>
        <t>추정: 최근 1분기 OPM 중위 -20.0% 유지(클립 −20~40%)
[divide]</t>
      </text>
    </comment>
    <comment ref="K10" authorId="0" shapeId="0">
      <text>
        <t>추정: 최근 1분기 OPM 중위 -20.0% 유지(클립 −20~40%)
[divide]</t>
      </text>
    </comment>
    <comment ref="L10" authorId="0" shapeId="0">
      <text>
        <t>추정: 최근 1분기 OPM 중위 -20.0% 유지(클립 −20~40%)
[divide]</t>
      </text>
    </comment>
    <comment ref="N10" authorId="0" shapeId="0">
      <text>
        <t>추정: 최근 1분기 OPM 중위 -20.0% 유지(클립 −20~40%)
[divide]</t>
      </text>
    </comment>
    <comment ref="O10" authorId="0" shapeId="0">
      <text>
        <t>추정: 최근 1분기 OPM 중위 -20.0% 유지(클립 −20~40%)
[divide]</t>
      </text>
    </comment>
    <comment ref="P10" authorId="0" shapeId="0">
      <text>
        <t>추정: 최근 1분기 OPM 중위 -20.0% 유지(클립 −20~40%)
[divide]</t>
      </text>
    </comment>
    <comment ref="Q10" authorId="0" shapeId="0">
      <text>
        <t>추정: 최근 1분기 OPM 중위 -20.0% 유지(클립 −20~40%)
[divide]</t>
      </text>
    </comment>
    <comment ref="F11" authorId="0" shapeId="0">
      <text>
        <t>추정: 이자 주석·CF 없음 → 최근 4분기 금융손익 중위 유지
[abs]</t>
      </text>
    </comment>
    <comment ref="G11" authorId="0" shapeId="0">
      <text>
        <t>추정: 이자 주석·CF 없음 → 최근 4분기 금융손익 중위 유지
[abs]</t>
      </text>
    </comment>
    <comment ref="I11" authorId="0" shapeId="0">
      <text>
        <t>추정: 이자 주석·CF 없음 → 최근 4분기 금융손익 중위 유지
[abs]</t>
      </text>
    </comment>
    <comment ref="J11" authorId="0" shapeId="0">
      <text>
        <t>추정: 이자 주석·CF 없음 → 최근 4분기 금융손익 중위 유지
[abs]</t>
      </text>
    </comment>
    <comment ref="K11" authorId="0" shapeId="0">
      <text>
        <t>추정: 이자 주석·CF 없음 → 최근 4분기 금융손익 중위 유지
[abs]</t>
      </text>
    </comment>
    <comment ref="L11" authorId="0" shapeId="0">
      <text>
        <t>추정: 이자 주석·CF 없음 → 최근 4분기 금융손익 중위 유지
[abs]</t>
      </text>
    </comment>
    <comment ref="N11" authorId="0" shapeId="0">
      <text>
        <t>추정: 이자 주석·CF 없음 → 최근 4분기 금융손익 중위 유지
[abs]</t>
      </text>
    </comment>
    <comment ref="O11" authorId="0" shapeId="0">
      <text>
        <t>추정: 이자 주석·CF 없음 → 최근 4분기 금융손익 중위 유지
[abs]</t>
      </text>
    </comment>
    <comment ref="P11" authorId="0" shapeId="0">
      <text>
        <t>추정: 이자 주석·CF 없음 → 최근 4분기 금융손익 중위 유지
[abs]</t>
      </text>
    </comment>
    <comment ref="Q11" authorId="0" shapeId="0">
      <text>
        <t>추정: 이자 주석·CF 없음 → 최근 4분기 금융손익 중위 유지
[abs]</t>
      </text>
    </comment>
    <comment ref="E13" authorId="0" shapeId="0">
      <text>
        <t>BS 계정 합·차: +외환차익 -외환차손 +외화환산이익 -외화환산손실</t>
      </text>
    </comment>
    <comment ref="F14" authorId="0" shapeId="0">
      <text>
        <t>추정: 일회성 미가정 → 0
[abs]</t>
      </text>
    </comment>
    <comment ref="G14" authorId="0" shapeId="0">
      <text>
        <t>추정: 일회성 미가정 → 0
[abs]</t>
      </text>
    </comment>
    <comment ref="I14" authorId="0" shapeId="0">
      <text>
        <t>추정: 일회성 미가정 → 0
[abs]</t>
      </text>
    </comment>
    <comment ref="J14" authorId="0" shapeId="0">
      <text>
        <t>추정: 일회성 미가정 → 0
[abs]</t>
      </text>
    </comment>
    <comment ref="K14" authorId="0" shapeId="0">
      <text>
        <t>추정: 일회성 미가정 → 0
[abs]</t>
      </text>
    </comment>
    <comment ref="L14" authorId="0" shapeId="0">
      <text>
        <t>추정: 일회성 미가정 → 0
[abs]</t>
      </text>
    </comment>
    <comment ref="N14" authorId="0" shapeId="0">
      <text>
        <t>추정: 일회성 미가정 → 0
[abs]</t>
      </text>
    </comment>
    <comment ref="O14" authorId="0" shapeId="0">
      <text>
        <t>추정: 일회성 미가정 → 0
[abs]</t>
      </text>
    </comment>
    <comment ref="P14" authorId="0" shapeId="0">
      <text>
        <t>추정: 일회성 미가정 → 0
[abs]</t>
      </text>
    </comment>
    <comment ref="Q14" authorId="0" shapeId="0">
      <text>
        <t>추정: 일회성 미가정 → 0
[abs]</t>
      </text>
    </comment>
    <comment ref="F15" authorId="0" shapeId="0">
      <text>
        <t>추정: 영업이익 + 금융손익 + 기타영업외 + 지분법 + 환관련(항등식)
[identity]</t>
      </text>
    </comment>
    <comment ref="G15" authorId="0" shapeId="0">
      <text>
        <t>추정: 영업이익 + 금융손익 + 기타영업외 + 지분법 + 환관련(항등식)
[identity]</t>
      </text>
    </comment>
    <comment ref="I15" authorId="0" shapeId="0">
      <text>
        <t>추정: 영업이익 + 금융손익 + 기타영업외 + 지분법 + 환관련(항등식)
[identity]</t>
      </text>
    </comment>
    <comment ref="J15" authorId="0" shapeId="0">
      <text>
        <t>추정: 영업이익 + 금융손익 + 기타영업외 + 지분법 + 환관련(항등식)
[identity]</t>
      </text>
    </comment>
    <comment ref="K15" authorId="0" shapeId="0">
      <text>
        <t>추정: 영업이익 + 금융손익 + 기타영업외 + 지분법 + 환관련(항등식)
[identity]</t>
      </text>
    </comment>
    <comment ref="L15" authorId="0" shapeId="0">
      <text>
        <t>추정: 영업이익 + 금융손익 + 기타영업외 + 지분법 + 환관련(항등식)
[identity]</t>
      </text>
    </comment>
    <comment ref="N15" authorId="0" shapeId="0">
      <text>
        <t>추정: 영업이익 + 금융손익 + 기타영업외 + 지분법 + 환관련(항등식)
[identity]</t>
      </text>
    </comment>
    <comment ref="O15" authorId="0" shapeId="0">
      <text>
        <t>추정: 영업이익 + 금융손익 + 기타영업외 + 지분법 + 환관련(항등식)
[identity]</t>
      </text>
    </comment>
    <comment ref="P15" authorId="0" shapeId="0">
      <text>
        <t>추정: 영업이익 + 금융손익 + 기타영업외 + 지분법 + 환관련(항등식)
[identity]</t>
      </text>
    </comment>
    <comment ref="Q15" authorId="0" shapeId="0">
      <text>
        <t>추정: 영업이익 + 금융손익 + 기타영업외 + 지분법 + 환관련(항등식)
[identity]</t>
      </text>
    </comment>
    <comment ref="F16" authorId="0" shapeId="0">
      <text>
        <t>추정: max(세전, 0) × 세율 22.0%(최근 1분기 세전 합 ≤ 0; 최근 8분기에 세전 &gt; 0 분기 없음 → 법정세율 근사 22% 가정)
[ratio]</t>
      </text>
    </comment>
    <comment ref="G16" authorId="0" shapeId="0">
      <text>
        <t>추정: max(세전, 0) × 세율 22.0%(최근 1분기 세전 합 ≤ 0; 최근 8분기에 세전 &gt; 0 분기 없음 → 법정세율 근사 22% 가정)
[ratio]</t>
      </text>
    </comment>
    <comment ref="I16" authorId="0" shapeId="0">
      <text>
        <t>추정: max(세전, 0) × 세율 22.0%(최근 1분기 세전 합 ≤ 0; 최근 8분기에 세전 &gt; 0 분기 없음 → 법정세율 근사 22% 가정)
[ratio]</t>
      </text>
    </comment>
    <comment ref="J16" authorId="0" shapeId="0">
      <text>
        <t>추정: max(세전, 0) × 세율 22.0%(최근 1분기 세전 합 ≤ 0; 최근 8분기에 세전 &gt; 0 분기 없음 → 법정세율 근사 22% 가정)
[ratio]</t>
      </text>
    </comment>
    <comment ref="K16" authorId="0" shapeId="0">
      <text>
        <t>추정: max(세전, 0) × 세율 22.0%(최근 1분기 세전 합 ≤ 0; 최근 8분기에 세전 &gt; 0 분기 없음 → 법정세율 근사 22% 가정)
[ratio]</t>
      </text>
    </comment>
    <comment ref="L16" authorId="0" shapeId="0">
      <text>
        <t>추정: max(세전, 0) × 세율 22.0%(최근 1분기 세전 합 ≤ 0; 최근 8분기에 세전 &gt; 0 분기 없음 → 법정세율 근사 22% 가정)
[ratio]</t>
      </text>
    </comment>
    <comment ref="N16" authorId="0" shapeId="0">
      <text>
        <t>추정: max(세전, 0) × 세율 22.0%(최근 1분기 세전 합 ≤ 0; 최근 8분기에 세전 &gt; 0 분기 없음 → 법정세율 근사 22% 가정)
[ratio]</t>
      </text>
    </comment>
    <comment ref="O16" authorId="0" shapeId="0">
      <text>
        <t>추정: max(세전, 0) × 세율 22.0%(최근 1분기 세전 합 ≤ 0; 최근 8분기에 세전 &gt; 0 분기 없음 → 법정세율 근사 22% 가정)
[ratio]</t>
      </text>
    </comment>
    <comment ref="P16" authorId="0" shapeId="0">
      <text>
        <t>추정: max(세전, 0) × 세율 22.0%(최근 1분기 세전 합 ≤ 0; 최근 8분기에 세전 &gt; 0 분기 없음 → 법정세율 근사 22% 가정)
[ratio]</t>
      </text>
    </comment>
    <comment ref="Q16" authorId="0" shapeId="0">
      <text>
        <t>추정: max(세전, 0) × 세율 22.0%(최근 1분기 세전 합 ≤ 0; 최근 8분기에 세전 &gt; 0 분기 없음 → 법정세율 근사 22% 가정)
[ratio]</t>
      </text>
    </comment>
    <comment ref="F17" authorId="0" shapeId="0">
      <text>
        <t>추정: 세전이익 − 법인세비용(항등식)
[identity]</t>
      </text>
    </comment>
    <comment ref="G17" authorId="0" shapeId="0">
      <text>
        <t>추정: 세전이익 − 법인세비용(항등식)
[identity]</t>
      </text>
    </comment>
    <comment ref="I17" authorId="0" shapeId="0">
      <text>
        <t>추정: 세전이익 − 법인세비용(항등식)
[identity]</t>
      </text>
    </comment>
    <comment ref="J17" authorId="0" shapeId="0">
      <text>
        <t>추정: 세전이익 − 법인세비용(항등식)
[identity]</t>
      </text>
    </comment>
    <comment ref="K17" authorId="0" shapeId="0">
      <text>
        <t>추정: 세전이익 − 법인세비용(항등식)
[identity]</t>
      </text>
    </comment>
    <comment ref="L17" authorId="0" shapeId="0">
      <text>
        <t>추정: 세전이익 − 법인세비용(항등식)
[identity]</t>
      </text>
    </comment>
    <comment ref="N17" authorId="0" shapeId="0">
      <text>
        <t>추정: 세전이익 − 법인세비용(항등식)
[identity]</t>
      </text>
    </comment>
    <comment ref="O17" authorId="0" shapeId="0">
      <text>
        <t>추정: 세전이익 − 법인세비용(항등식)
[identity]</t>
      </text>
    </comment>
    <comment ref="P17" authorId="0" shapeId="0">
      <text>
        <t>추정: 세전이익 − 법인세비용(항등식)
[identity]</t>
      </text>
    </comment>
    <comment ref="Q17" authorId="0" shapeId="0">
      <text>
        <t>추정: 세전이익 − 법인세비용(항등식)
[identity]</t>
      </text>
    </comment>
    <comment ref="F18" authorId="0" shapeId="0">
      <text>
        <t>추정: 당기순이익 × (1 − 비지배 비중 0.0%, 최근 8분기 실측)
[ratio]</t>
      </text>
    </comment>
    <comment ref="G18" authorId="0" shapeId="0">
      <text>
        <t>추정: 당기순이익 × (1 − 비지배 비중 0.0%, 최근 8분기 실측)
[ratio]</t>
      </text>
    </comment>
    <comment ref="I18" authorId="0" shapeId="0">
      <text>
        <t>추정: 당기순이익 × (1 − 비지배 비중 0.0%, 최근 8분기 실측)
[ratio]</t>
      </text>
    </comment>
    <comment ref="J18" authorId="0" shapeId="0">
      <text>
        <t>추정: 당기순이익 × (1 − 비지배 비중 0.0%, 최근 8분기 실측)
[ratio]</t>
      </text>
    </comment>
    <comment ref="K18" authorId="0" shapeId="0">
      <text>
        <t>추정: 당기순이익 × (1 − 비지배 비중 0.0%, 최근 8분기 실측)
[ratio]</t>
      </text>
    </comment>
    <comment ref="L18" authorId="0" shapeId="0">
      <text>
        <t>추정: 당기순이익 × (1 − 비지배 비중 0.0%, 최근 8분기 실측)
[ratio]</t>
      </text>
    </comment>
    <comment ref="N18" authorId="0" shapeId="0">
      <text>
        <t>추정: 당기순이익 × (1 − 비지배 비중 0.0%, 최근 8분기 실측)
[ratio]</t>
      </text>
    </comment>
    <comment ref="O18" authorId="0" shapeId="0">
      <text>
        <t>추정: 당기순이익 × (1 − 비지배 비중 0.0%, 최근 8분기 실측)
[ratio]</t>
      </text>
    </comment>
    <comment ref="P18" authorId="0" shapeId="0">
      <text>
        <t>추정: 당기순이익 × (1 − 비지배 비중 0.0%, 최근 8분기 실측)
[ratio]</t>
      </text>
    </comment>
    <comment ref="Q18" authorId="0" shapeId="0">
      <text>
        <t>추정: 당기순이익 × (1 − 비지배 비중 0.0%, 최근 8분기 실측)
[ratio]</t>
      </text>
    </comment>
    <comment ref="F19" authorId="0" shapeId="0">
      <text>
        <t>추정: 부채총계 + 자본총계(항등식)
[identity]</t>
      </text>
    </comment>
    <comment ref="G19" authorId="0" shapeId="0">
      <text>
        <t>추정: 부채총계 + 자본총계(항등식)
[identity]</t>
      </text>
    </comment>
    <comment ref="I19" authorId="0" shapeId="0">
      <text>
        <t>추정: 부채총계 + 자본총계(항등식)
[identity]</t>
      </text>
    </comment>
    <comment ref="J19" authorId="0" shapeId="0">
      <text>
        <t>추정: 부채총계 + 자본총계(항등식)
[identity]</t>
      </text>
    </comment>
    <comment ref="K19" authorId="0" shapeId="0">
      <text>
        <t>추정: 부채총계 + 자본총계(항등식)
[identity]</t>
      </text>
    </comment>
    <comment ref="L19" authorId="0" shapeId="0">
      <text>
        <t>추정: 부채총계 + 자본총계(항등식)
[identity]</t>
      </text>
    </comment>
    <comment ref="N19" authorId="0" shapeId="0">
      <text>
        <t>추정: 부채총계 + 자본총계(항등식)
[identity]</t>
      </text>
    </comment>
    <comment ref="O19" authorId="0" shapeId="0">
      <text>
        <t>추정: 부채총계 + 자본총계(항등식)
[identity]</t>
      </text>
    </comment>
    <comment ref="P19" authorId="0" shapeId="0">
      <text>
        <t>추정: 부채총계 + 자본총계(항등식)
[identity]</t>
      </text>
    </comment>
    <comment ref="Q19" authorId="0" shapeId="0">
      <text>
        <t>추정: 부채총계 + 자본총계(항등식)
[identity]</t>
      </text>
    </comment>
    <comment ref="F20" authorId="0" shapeId="0">
      <text>
        <t>추정: 마지막 실적 유지(가정)
[qoq]</t>
      </text>
    </comment>
    <comment ref="G20" authorId="0" shapeId="0">
      <text>
        <t>추정: 마지막 실적 유지(가정)
[qoq]</t>
      </text>
    </comment>
    <comment ref="I20" authorId="0" shapeId="0">
      <text>
        <t>추정: 마지막 실적 유지(가정)
[qoq]</t>
      </text>
    </comment>
    <comment ref="J20" authorId="0" shapeId="0">
      <text>
        <t>추정: 마지막 실적 유지(가정)
[qoq]</t>
      </text>
    </comment>
    <comment ref="K20" authorId="0" shapeId="0">
      <text>
        <t>추정: 마지막 실적 유지(가정)
[qoq]</t>
      </text>
    </comment>
    <comment ref="L20" authorId="0" shapeId="0">
      <text>
        <t>추정: 마지막 실적 유지(가정)
[qoq]</t>
      </text>
    </comment>
    <comment ref="N20" authorId="0" shapeId="0">
      <text>
        <t>추정: 마지막 실적 유지(가정)
[qoq]</t>
      </text>
    </comment>
    <comment ref="O20" authorId="0" shapeId="0">
      <text>
        <t>추정: 마지막 실적 유지(가정)
[qoq]</t>
      </text>
    </comment>
    <comment ref="P20" authorId="0" shapeId="0">
      <text>
        <t>추정: 마지막 실적 유지(가정)
[qoq]</t>
      </text>
    </comment>
    <comment ref="Q20" authorId="0" shapeId="0">
      <text>
        <t>추정: 마지막 실적 유지(가정)
[qoq]</t>
      </text>
    </comment>
    <comment ref="F21" authorId="0" shapeId="0">
      <text>
        <t>추정: 전분기 + 당기순이익 − 배당(Q2 지급 가정)
[roll]</t>
      </text>
    </comment>
    <comment ref="G21" authorId="0" shapeId="0">
      <text>
        <t>추정: 전분기 + 당기순이익 − 배당(Q2 지급 가정)
[roll]</t>
      </text>
    </comment>
    <comment ref="I21" authorId="0" shapeId="0">
      <text>
        <t>추정: 전분기 + 당기순이익 − 배당(Q2 지급 가정)
[roll]</t>
      </text>
    </comment>
    <comment ref="J21" authorId="0" shapeId="0">
      <text>
        <t>추정: 전분기 + 당기순이익 − 배당(Q2 지급 가정)
[roll]</t>
      </text>
    </comment>
    <comment ref="K21" authorId="0" shapeId="0">
      <text>
        <t>추정: 전분기 + 당기순이익 − 배당(Q2 지급 가정)
[roll]</t>
      </text>
    </comment>
    <comment ref="L21" authorId="0" shapeId="0">
      <text>
        <t>추정: 전분기 + 당기순이익 − 배당(Q2 지급 가정)
[roll]</t>
      </text>
    </comment>
    <comment ref="N21" authorId="0" shapeId="0">
      <text>
        <t>추정: 전분기 + 당기순이익 − 배당(Q2 지급 가정)
[roll]</t>
      </text>
    </comment>
    <comment ref="O21" authorId="0" shapeId="0">
      <text>
        <t>추정: 전분기 + 당기순이익 − 배당(Q2 지급 가정)
[roll]</t>
      </text>
    </comment>
    <comment ref="P21" authorId="0" shapeId="0">
      <text>
        <t>추정: 전분기 + 당기순이익 − 배당(Q2 지급 가정)
[roll]</t>
      </text>
    </comment>
    <comment ref="Q21" authorId="0" shapeId="0">
      <text>
        <t>추정: 전분기 + 당기순이익 − 배당(Q2 지급 가정)
[roll]</t>
      </text>
    </comment>
    <comment ref="F22" authorId="0" shapeId="0">
      <text>
        <t>추정: 전분기 + 지배주주순이익 − 배당
[roll]</t>
      </text>
    </comment>
    <comment ref="G22" authorId="0" shapeId="0">
      <text>
        <t>추정: 전분기 + 지배주주순이익 − 배당
[roll]</t>
      </text>
    </comment>
    <comment ref="I22" authorId="0" shapeId="0">
      <text>
        <t>추정: 전분기 + 지배주주순이익 − 배당
[roll]</t>
      </text>
    </comment>
    <comment ref="J22" authorId="0" shapeId="0">
      <text>
        <t>추정: 전분기 + 지배주주순이익 − 배당
[roll]</t>
      </text>
    </comment>
    <comment ref="K22" authorId="0" shapeId="0">
      <text>
        <t>추정: 전분기 + 지배주주순이익 − 배당
[roll]</t>
      </text>
    </comment>
    <comment ref="L22" authorId="0" shapeId="0">
      <text>
        <t>추정: 전분기 + 지배주주순이익 − 배당
[roll]</t>
      </text>
    </comment>
    <comment ref="N22" authorId="0" shapeId="0">
      <text>
        <t>추정: 전분기 + 지배주주순이익 − 배당
[roll]</t>
      </text>
    </comment>
    <comment ref="O22" authorId="0" shapeId="0">
      <text>
        <t>추정: 전분기 + 지배주주순이익 − 배당
[roll]</t>
      </text>
    </comment>
    <comment ref="P22" authorId="0" shapeId="0">
      <text>
        <t>추정: 전분기 + 지배주주순이익 − 배당
[roll]</t>
      </text>
    </comment>
    <comment ref="Q22" authorId="0" shapeId="0">
      <text>
        <t>추정: 전분기 + 지배주주순이익 − 배당
[roll]</t>
      </text>
    </comment>
    <comment ref="F23" authorId="0" shapeId="0">
      <text>
        <t>추정: 마지막 실적 유지(가정)
[qoq]</t>
      </text>
    </comment>
    <comment ref="G23" authorId="0" shapeId="0">
      <text>
        <t>추정: 마지막 실적 유지(가정)
[qoq]</t>
      </text>
    </comment>
    <comment ref="I23" authorId="0" shapeId="0">
      <text>
        <t>추정: 마지막 실적 유지(가정)
[qoq]</t>
      </text>
    </comment>
    <comment ref="J23" authorId="0" shapeId="0">
      <text>
        <t>추정: 마지막 실적 유지(가정)
[qoq]</t>
      </text>
    </comment>
    <comment ref="K23" authorId="0" shapeId="0">
      <text>
        <t>추정: 마지막 실적 유지(가정)
[qoq]</t>
      </text>
    </comment>
    <comment ref="L23" authorId="0" shapeId="0">
      <text>
        <t>추정: 마지막 실적 유지(가정)
[qoq]</t>
      </text>
    </comment>
    <comment ref="N23" authorId="0" shapeId="0">
      <text>
        <t>추정: 마지막 실적 유지(가정)
[qoq]</t>
      </text>
    </comment>
    <comment ref="O23" authorId="0" shapeId="0">
      <text>
        <t>추정: 마지막 실적 유지(가정)
[qoq]</t>
      </text>
    </comment>
    <comment ref="P23" authorId="0" shapeId="0">
      <text>
        <t>추정: 마지막 실적 유지(가정)
[qoq]</t>
      </text>
    </comment>
    <comment ref="Q23" authorId="0" shapeId="0">
      <text>
        <t>추정: 마지막 실적 유지(가정)
[qoq]</t>
      </text>
    </comment>
    <comment ref="F24" authorId="0" shapeId="0">
      <text>
        <t>추정: 전분기 − FCF 근사[순이익 − 배당(감가상각비 없음 → CAPEX≈감가 가정)] (운전자본 불변·총차입금 유지 가정 → 변동은 전부 현금)
[qoq]</t>
      </text>
    </comment>
    <comment ref="G24" authorId="0" shapeId="0">
      <text>
        <t>추정: 전분기 − FCF 근사[순이익 − 배당(감가상각비 없음 → CAPEX≈감가 가정)] (운전자본 불변·총차입금 유지 가정 → 변동은 전부 현금)
[qoq]</t>
      </text>
    </comment>
    <comment ref="I24" authorId="0" shapeId="0">
      <text>
        <t>추정: 전분기 − FCF 근사[순이익 − 배당(감가상각비 없음 → CAPEX≈감가 가정)] (운전자본 불변·총차입금 유지 가정 → 변동은 전부 현금)
[qoq]</t>
      </text>
    </comment>
    <comment ref="J24" authorId="0" shapeId="0">
      <text>
        <t>추정: 전분기 − FCF 근사[순이익 − 배당(감가상각비 없음 → CAPEX≈감가 가정)] (운전자본 불변·총차입금 유지 가정 → 변동은 전부 현금)
[qoq]</t>
      </text>
    </comment>
    <comment ref="K24" authorId="0" shapeId="0">
      <text>
        <t>추정: 전분기 − FCF 근사[순이익 − 배당(감가상각비 없음 → CAPEX≈감가 가정)] (운전자본 불변·총차입금 유지 가정 → 변동은 전부 현금)
[qoq]</t>
      </text>
    </comment>
    <comment ref="L24" authorId="0" shapeId="0">
      <text>
        <t>추정: 전분기 − FCF 근사[순이익 − 배당(감가상각비 없음 → CAPEX≈감가 가정)] (운전자본 불변·총차입금 유지 가정 → 변동은 전부 현금)
[qoq]</t>
      </text>
    </comment>
    <comment ref="N24" authorId="0" shapeId="0">
      <text>
        <t>추정: 전분기 − FCF 근사[순이익 − 배당(감가상각비 없음 → CAPEX≈감가 가정)] (운전자본 불변·총차입금 유지 가정 → 변동은 전부 현금)
[qoq]</t>
      </text>
    </comment>
    <comment ref="O24" authorId="0" shapeId="0">
      <text>
        <t>추정: 전분기 − FCF 근사[순이익 − 배당(감가상각비 없음 → CAPEX≈감가 가정)] (운전자본 불변·총차입금 유지 가정 → 변동은 전부 현금)
[qoq]</t>
      </text>
    </comment>
    <comment ref="P24" authorId="0" shapeId="0">
      <text>
        <t>추정: 전분기 − FCF 근사[순이익 − 배당(감가상각비 없음 → CAPEX≈감가 가정)] (운전자본 불변·총차입금 유지 가정 → 변동은 전부 현금)
[qoq]</t>
      </text>
    </comment>
    <comment ref="Q24" authorId="0" shapeId="0">
      <text>
        <t>추정: 전분기 − FCF 근사[순이익 − 배당(감가상각비 없음 → CAPEX≈감가 가정)] (운전자본 불변·총차입금 유지 가정 → 변동은 전부 현금)
[qoq]</t>
      </text>
    </comment>
    <comment ref="F25" authorId="0" shapeId="0">
      <text>
        <t>추정: 전분기 + FCF 근사 — 순차입금 롤과 같은 가정
[qoq]</t>
      </text>
    </comment>
    <comment ref="G25" authorId="0" shapeId="0">
      <text>
        <t>추정: 전분기 + FCF 근사 — 순차입금 롤과 같은 가정
[qoq]</t>
      </text>
    </comment>
    <comment ref="I25" authorId="0" shapeId="0">
      <text>
        <t>추정: 전분기 + FCF 근사 — 순차입금 롤과 같은 가정
[qoq]</t>
      </text>
    </comment>
    <comment ref="J25" authorId="0" shapeId="0">
      <text>
        <t>추정: 전분기 + FCF 근사 — 순차입금 롤과 같은 가정
[qoq]</t>
      </text>
    </comment>
    <comment ref="K25" authorId="0" shapeId="0">
      <text>
        <t>추정: 전분기 + FCF 근사 — 순차입금 롤과 같은 가정
[qoq]</t>
      </text>
    </comment>
    <comment ref="L25" authorId="0" shapeId="0">
      <text>
        <t>추정: 전분기 + FCF 근사 — 순차입금 롤과 같은 가정
[qoq]</t>
      </text>
    </comment>
    <comment ref="N25" authorId="0" shapeId="0">
      <text>
        <t>추정: 전분기 + FCF 근사 — 순차입금 롤과 같은 가정
[qoq]</t>
      </text>
    </comment>
    <comment ref="O25" authorId="0" shapeId="0">
      <text>
        <t>추정: 전분기 + FCF 근사 — 순차입금 롤과 같은 가정
[qoq]</t>
      </text>
    </comment>
    <comment ref="P25" authorId="0" shapeId="0">
      <text>
        <t>추정: 전분기 + FCF 근사 — 순차입금 롤과 같은 가정
[qoq]</t>
      </text>
    </comment>
    <comment ref="Q25" authorId="0" shapeId="0">
      <text>
        <t>추정: 전분기 + FCF 근사 — 순차입금 롤과 같은 가정
[qoq]</t>
      </text>
    </comment>
    <comment ref="E27" authorId="0" shapeId="0">
      <text>
        <t>실측(계정 매핑 없음(파생·부문·시세 행) — 모델값 직접) — fin.shares.common_outstanding</t>
      </text>
    </comment>
    <comment ref="F27" authorId="0" shapeId="0">
      <text>
        <t>추정: 유통주식수 유지 — prices.json shares_outstanding(aik 상장 10,260,882 = fin 2026Q2 보통주 발행 7,788,882 + 신주 2,472,000 — 분기말 후 증자/상장, 비율 1.3174 비정수) − 자기주식 0
[qoq]</t>
      </text>
    </comment>
    <comment ref="G27" authorId="0" shapeId="0">
      <text>
        <t>추정: 유통주식수 유지 — prices.json shares_outstanding(aik 상장 10,260,882 = fin 2026Q2 보통주 발행 7,788,882 + 신주 2,472,000 — 분기말 후 증자/상장, 비율 1.3174 비정수) − 자기주식 0
[qoq]</t>
      </text>
    </comment>
    <comment ref="I27" authorId="0" shapeId="0">
      <text>
        <t>추정: 유통주식수 유지 — prices.json shares_outstanding(aik 상장 10,260,882 = fin 2026Q2 보통주 발행 7,788,882 + 신주 2,472,000 — 분기말 후 증자/상장, 비율 1.3174 비정수) − 자기주식 0
[qoq]</t>
      </text>
    </comment>
    <comment ref="J27" authorId="0" shapeId="0">
      <text>
        <t>추정: 유통주식수 유지 — prices.json shares_outstanding(aik 상장 10,260,882 = fin 2026Q2 보통주 발행 7,788,882 + 신주 2,472,000 — 분기말 후 증자/상장, 비율 1.3174 비정수) − 자기주식 0
[qoq]</t>
      </text>
    </comment>
    <comment ref="K27" authorId="0" shapeId="0">
      <text>
        <t>추정: 유통주식수 유지 — prices.json shares_outstanding(aik 상장 10,260,882 = fin 2026Q2 보통주 발행 7,788,882 + 신주 2,472,000 — 분기말 후 증자/상장, 비율 1.3174 비정수) − 자기주식 0
[qoq]</t>
      </text>
    </comment>
    <comment ref="L27" authorId="0" shapeId="0">
      <text>
        <t>추정: 유통주식수 유지 — prices.json shares_outstanding(aik 상장 10,260,882 = fin 2026Q2 보통주 발행 7,788,882 + 신주 2,472,000 — 분기말 후 증자/상장, 비율 1.3174 비정수) − 자기주식 0
[qoq]</t>
      </text>
    </comment>
    <comment ref="N27" authorId="0" shapeId="0">
      <text>
        <t>추정: 유통주식수 유지 — prices.json shares_outstanding(aik 상장 10,260,882 = fin 2026Q2 보통주 발행 7,788,882 + 신주 2,472,000 — 분기말 후 증자/상장, 비율 1.3174 비정수) − 자기주식 0
[qoq]</t>
      </text>
    </comment>
    <comment ref="O27" authorId="0" shapeId="0">
      <text>
        <t>추정: 유통주식수 유지 — prices.json shares_outstanding(aik 상장 10,260,882 = fin 2026Q2 보통주 발행 7,788,882 + 신주 2,472,000 — 분기말 후 증자/상장, 비율 1.3174 비정수) − 자기주식 0
[qoq]</t>
      </text>
    </comment>
    <comment ref="P27" authorId="0" shapeId="0">
      <text>
        <t>추정: 유통주식수 유지 — prices.json shares_outstanding(aik 상장 10,260,882 = fin 2026Q2 보통주 발행 7,788,882 + 신주 2,472,000 — 분기말 후 증자/상장, 비율 1.3174 비정수) − 자기주식 0
[qoq]</t>
      </text>
    </comment>
    <comment ref="Q27" authorId="0" shapeId="0">
      <text>
        <t>추정: 유통주식수 유지 — prices.json shares_outstanding(aik 상장 10,260,882 = fin 2026Q2 보통주 발행 7,788,882 + 신주 2,472,000 — 분기말 후 증자/상장, 비율 1.3174 비정수) − 자기주식 0
[qoq]</t>
      </text>
    </comment>
    <comment ref="F28" authorId="0" shapeId="0">
      <text>
        <t>추정: 지배주주순이익 ÷ 유통주식수
[per_share]</t>
      </text>
    </comment>
    <comment ref="G28" authorId="0" shapeId="0">
      <text>
        <t>추정: 지배주주순이익 ÷ 유통주식수
[per_share]</t>
      </text>
    </comment>
    <comment ref="I28" authorId="0" shapeId="0">
      <text>
        <t>추정: 지배주주순이익 ÷ 유통주식수
[per_share]</t>
      </text>
    </comment>
    <comment ref="J28" authorId="0" shapeId="0">
      <text>
        <t>추정: 지배주주순이익 ÷ 유통주식수
[per_share]</t>
      </text>
    </comment>
    <comment ref="K28" authorId="0" shapeId="0">
      <text>
        <t>추정: 지배주주순이익 ÷ 유통주식수
[per_share]</t>
      </text>
    </comment>
    <comment ref="L28" authorId="0" shapeId="0">
      <text>
        <t>추정: 지배주주순이익 ÷ 유통주식수
[per_share]</t>
      </text>
    </comment>
    <comment ref="N28" authorId="0" shapeId="0">
      <text>
        <t>추정: 지배주주순이익 ÷ 유통주식수
[per_share]</t>
      </text>
    </comment>
    <comment ref="O28" authorId="0" shapeId="0">
      <text>
        <t>추정: 지배주주순이익 ÷ 유통주식수
[per_share]</t>
      </text>
    </comment>
    <comment ref="P28" authorId="0" shapeId="0">
      <text>
        <t>추정: 지배주주순이익 ÷ 유통주식수
[per_share]</t>
      </text>
    </comment>
    <comment ref="Q28" authorId="0" shapeId="0">
      <text>
        <t>추정: 지배주주순이익 ÷ 유통주식수
[per_share]</t>
      </text>
    </comment>
    <comment ref="F29" authorId="0" shapeId="0">
      <text>
        <t>추정: 지배주주지분 ÷ 유통주식수
[per_share]</t>
      </text>
    </comment>
    <comment ref="G29" authorId="0" shapeId="0">
      <text>
        <t>추정: 지배주주지분 ÷ 유통주식수
[per_share]</t>
      </text>
    </comment>
    <comment ref="I29" authorId="0" shapeId="0">
      <text>
        <t>추정: 지배주주지분 ÷ 유통주식수
[per_share]</t>
      </text>
    </comment>
    <comment ref="J29" authorId="0" shapeId="0">
      <text>
        <t>추정: 지배주주지분 ÷ 유통주식수
[per_share]</t>
      </text>
    </comment>
    <comment ref="K29" authorId="0" shapeId="0">
      <text>
        <t>추정: 지배주주지분 ÷ 유통주식수
[per_share]</t>
      </text>
    </comment>
    <comment ref="L29" authorId="0" shapeId="0">
      <text>
        <t>추정: 지배주주지분 ÷ 유통주식수
[per_share]</t>
      </text>
    </comment>
    <comment ref="N29" authorId="0" shapeId="0">
      <text>
        <t>추정: 지배주주지분 ÷ 유통주식수
[per_share]</t>
      </text>
    </comment>
    <comment ref="O29" authorId="0" shapeId="0">
      <text>
        <t>추정: 지배주주지분 ÷ 유통주식수
[per_share]</t>
      </text>
    </comment>
    <comment ref="P29" authorId="0" shapeId="0">
      <text>
        <t>추정: 지배주주지분 ÷ 유통주식수
[per_share]</t>
      </text>
    </comment>
    <comment ref="Q29" authorId="0" shapeId="0">
      <text>
        <t>추정: 지배주주지분 ÷ 유통주식수
[per_share]</t>
      </text>
    </comment>
    <comment ref="G30" authorId="0" shapeId="0">
      <text>
        <t>추정: 직전 결산 DPS 0원 유지
[abs]</t>
      </text>
    </comment>
    <comment ref="H30" authorId="0" shapeId="0">
      <text>
        <t>연간(estimate) — 분기 미완 연도, 모델 a 값 직접</t>
      </text>
    </comment>
    <comment ref="L30" authorId="0" shapeId="0">
      <text>
        <t>추정: 직전 결산 DPS 0원 유지
[abs]</t>
      </text>
    </comment>
    <comment ref="Q30" authorId="0" shapeId="0">
      <text>
        <t>추정: 직전 결산 DPS 0원 유지
[abs]</t>
      </text>
    </comment>
    <comment ref="F31" authorId="0" shapeId="0">
      <text>
        <t>추정: 현재 종가 ÷ BPS(추정 포함)
[valuation]</t>
      </text>
    </comment>
    <comment ref="G31" authorId="0" shapeId="0">
      <text>
        <t>추정: 현재 종가 ÷ BPS(추정 포함)
[valuation]</t>
      </text>
    </comment>
    <comment ref="I31" authorId="0" shapeId="0">
      <text>
        <t>추정: 현재 종가 ÷ BPS(추정 포함)
[valuation]</t>
      </text>
    </comment>
    <comment ref="J31" authorId="0" shapeId="0">
      <text>
        <t>추정: 현재 종가 ÷ BPS(추정 포함)
[valuation]</t>
      </text>
    </comment>
    <comment ref="K31" authorId="0" shapeId="0">
      <text>
        <t>추정: 현재 종가 ÷ BPS(추정 포함)
[valuation]</t>
      </text>
    </comment>
    <comment ref="L31" authorId="0" shapeId="0">
      <text>
        <t>추정: 현재 종가 ÷ BPS(추정 포함)
[valuation]</t>
      </text>
    </comment>
    <comment ref="N31" authorId="0" shapeId="0">
      <text>
        <t>추정: 현재 종가 ÷ BPS(추정 포함)
[valuation]</t>
      </text>
    </comment>
    <comment ref="O31" authorId="0" shapeId="0">
      <text>
        <t>추정: 현재 종가 ÷ BPS(추정 포함)
[valuation]</t>
      </text>
    </comment>
    <comment ref="P31" authorId="0" shapeId="0">
      <text>
        <t>추정: 현재 종가 ÷ BPS(추정 포함)
[valuation]</t>
      </text>
    </comment>
    <comment ref="Q31" authorId="0" shapeId="0">
      <text>
        <t>추정: 현재 종가 ÷ BPS(추정 포함)
[valuation]</t>
      </text>
    </comment>
    <comment ref="E32" authorId="0" shapeId="0">
      <text>
        <t>실측(계정 매핑 없음(파생·부문·시세 행) — 모델값 직접) — = 매출액(부문 미분리)</t>
      </text>
    </comment>
    <comment ref="F32" authorId="0" shapeId="0">
      <text>
        <t>추정: = 매출액 추정(부문 미분리)
[identity]</t>
      </text>
    </comment>
    <comment ref="G32" authorId="0" shapeId="0">
      <text>
        <t>추정: = 매출액 추정(부문 미분리)
[identity]</t>
      </text>
    </comment>
    <comment ref="I32" authorId="0" shapeId="0">
      <text>
        <t>추정: = 매출액 추정(부문 미분리)
[identity]</t>
      </text>
    </comment>
    <comment ref="J32" authorId="0" shapeId="0">
      <text>
        <t>추정: = 매출액 추정(부문 미분리)
[identity]</t>
      </text>
    </comment>
    <comment ref="K32" authorId="0" shapeId="0">
      <text>
        <t>추정: = 매출액 추정(부문 미분리)
[identity]</t>
      </text>
    </comment>
    <comment ref="L32" authorId="0" shapeId="0">
      <text>
        <t>추정: = 매출액 추정(부문 미분리)
[identity]</t>
      </text>
    </comment>
    <comment ref="N32" authorId="0" shapeId="0">
      <text>
        <t>추정: = 매출액 추정(부문 미분리)
[identity]</t>
      </text>
    </comment>
    <comment ref="O32" authorId="0" shapeId="0">
      <text>
        <t>추정: = 매출액 추정(부문 미분리)
[identity]</t>
      </text>
    </comment>
    <comment ref="P32" authorId="0" shapeId="0">
      <text>
        <t>추정: = 매출액 추정(부문 미분리)
[identity]</t>
      </text>
    </comment>
    <comment ref="Q32" authorId="0" shapeId="0">
      <text>
        <t>추정: = 매출액 추정(부문 미분리)
[identity]</t>
      </text>
    </comment>
    <comment ref="E33" authorId="0" shapeId="0">
      <text>
        <t>실측(계정 매핑 없음(파생·부문·시세 행) — 모델값 직접) — = 영업이익(부문 미분리)</t>
      </text>
    </comment>
    <comment ref="F33" authorId="0" shapeId="0">
      <text>
        <t>추정: = 매출액 × OPM(부문 미분리)
[identity]</t>
      </text>
    </comment>
    <comment ref="G33" authorId="0" shapeId="0">
      <text>
        <t>추정: = 매출액 × OPM(부문 미분리)
[identity]</t>
      </text>
    </comment>
    <comment ref="I33" authorId="0" shapeId="0">
      <text>
        <t>추정: = 매출액 × OPM(부문 미분리)
[identity]</t>
      </text>
    </comment>
    <comment ref="J33" authorId="0" shapeId="0">
      <text>
        <t>추정: = 매출액 × OPM(부문 미분리)
[identity]</t>
      </text>
    </comment>
    <comment ref="K33" authorId="0" shapeId="0">
      <text>
        <t>추정: = 매출액 × OPM(부문 미분리)
[identity]</t>
      </text>
    </comment>
    <comment ref="L33" authorId="0" shapeId="0">
      <text>
        <t>추정: = 매출액 × OPM(부문 미분리)
[identity]</t>
      </text>
    </comment>
    <comment ref="N33" authorId="0" shapeId="0">
      <text>
        <t>추정: = 매출액 × OPM(부문 미분리)
[identity]</t>
      </text>
    </comment>
    <comment ref="O33" authorId="0" shapeId="0">
      <text>
        <t>추정: = 매출액 × OPM(부문 미분리)
[identity]</t>
      </text>
    </comment>
    <comment ref="P33" authorId="0" shapeId="0">
      <text>
        <t>추정: = 매출액 × OPM(부문 미분리)
[identity]</t>
      </text>
    </comment>
    <comment ref="Q33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케이앤에스아이앤씨(487400) 실적 모델 — ARGUS 한국조선</t>
        </is>
      </c>
    </row>
    <row r="2">
      <c r="A2" t="inlineStr">
        <is>
          <t>기준 분기 2026Q2 · 마지막 실적 2026Q2 · 생성 2026-10-26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22.00% — 연결 안 됨(MAX(세전,0)×단일 세율로 재현 불가(지주 자회사 합산 등) → 분기별 역산) — 드라이버 행 분기별 역산값 사용</t>
        </is>
      </c>
    </row>
    <row r="23">
      <c r="A23" t="inlineStr">
        <is>
          <t>· 판관비율 70.86%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— / 부채 — — 연결 안 됨(추정 이자손익 없음)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판관비율, 지배주주비중 · 연결 안 된 가정(모델값·분기별 역산 그대로): 세율(MAX(세전,0)×단일 세율로 재현 불가(지주 자회사 합산 등) → 분기별 역산), 이자율(추정 이자손익 없음)</t>
        </is>
      </c>
    </row>
    <row r="28">
      <c r="A28" t="inlineStr">
        <is>
          <t>· 밸류에이션 — PER 밴드 10.0/15.0/20.0배(sector_default(레퍼런스 TP_PE PB 예시 10/15/20배; 과거 양(+)EPS 분기 0개 &lt; 4))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assets/models/487400.json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매출 드라이버 폴백(고객 조선사 연결 없음(suppliers.json)): 전년동기 × (1+g) 추세 / 분기말 후 증자/상장: aik 상장주식수 10,260,882 − fin 2026Q2 보통주 발행 7,788,882 = 신주 2,472,000(비율 1.3174; aik−fin 산술, 공시 미확인) → 추정 분기만 신주식수 10,260,882, 실적 EPS·BPS 불변(IAS 33 공정가치 발행 미환산), 납입자본은 BS 롤에 미반영(공모가·납입액 미확인) → 추정 BPS 과소 / 감가상각비가 face·CF 에 없음(주석 미파싱) → EBITDA·EV/EBITDA 미산출</t>
        </is>
      </c>
    </row>
    <row r="34">
      <c r="A34" t="inlineStr">
        <is>
          <t>백테스트: {"freeze": "2025Q2", "horizon": 4, "revenue_wape_pct": null, "op_wape_pct": null, "n": 0, "note": "freeze 2025Q2 이후 실적 분기 없음 → 백테스트 없음"}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C1" s="2" t="inlineStr">
        <is>
          <t>이름: 변수H</t>
        </is>
      </c>
      <c r="E1" s="3" t="inlineStr">
        <is>
          <t>2Q26</t>
        </is>
      </c>
      <c r="F1" s="4" t="inlineStr">
        <is>
          <t>3Q26</t>
        </is>
      </c>
      <c r="G1" s="4" t="inlineStr">
        <is>
          <t>4Q26</t>
        </is>
      </c>
      <c r="H1" s="4" t="n">
        <v>2026</v>
      </c>
      <c r="I1" s="4" t="inlineStr">
        <is>
          <t>1Q27</t>
        </is>
      </c>
      <c r="J1" s="4" t="inlineStr">
        <is>
          <t>2Q27</t>
        </is>
      </c>
      <c r="K1" s="4" t="inlineStr">
        <is>
          <t>3Q27</t>
        </is>
      </c>
      <c r="L1" s="4" t="inlineStr">
        <is>
          <t>4Q27</t>
        </is>
      </c>
      <c r="M1" s="4" t="n">
        <v>2027</v>
      </c>
      <c r="N1" s="4" t="inlineStr">
        <is>
          <t>1Q28</t>
        </is>
      </c>
      <c r="O1" s="4" t="inlineStr">
        <is>
          <t>2Q28</t>
        </is>
      </c>
      <c r="P1" s="4" t="inlineStr">
        <is>
          <t>3Q28</t>
        </is>
      </c>
      <c r="Q1" s="4" t="inlineStr">
        <is>
          <t>4Q28</t>
        </is>
      </c>
      <c r="R1" s="4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E2" s="5" t="n"/>
    </row>
    <row r="3">
      <c r="E3" s="6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</row>
    <row r="4">
      <c r="E4" s="7" t="inlineStr">
        <is>
          <t>2026.06</t>
        </is>
      </c>
      <c r="F4" s="8" t="inlineStr">
        <is>
          <t>2026.09</t>
        </is>
      </c>
      <c r="G4" s="8" t="inlineStr">
        <is>
          <t>2026.12</t>
        </is>
      </c>
      <c r="H4" s="8" t="inlineStr">
        <is>
          <t>2026.12A</t>
        </is>
      </c>
      <c r="I4" s="8" t="inlineStr">
        <is>
          <t>2027.03</t>
        </is>
      </c>
      <c r="J4" s="8" t="inlineStr">
        <is>
          <t>2027.06</t>
        </is>
      </c>
      <c r="K4" s="8" t="inlineStr">
        <is>
          <t>2027.09</t>
        </is>
      </c>
      <c r="L4" s="8" t="inlineStr">
        <is>
          <t>2027.12</t>
        </is>
      </c>
      <c r="M4" s="8" t="inlineStr">
        <is>
          <t>2027.12A</t>
        </is>
      </c>
      <c r="N4" s="8" t="inlineStr">
        <is>
          <t>2028.03</t>
        </is>
      </c>
      <c r="O4" s="8" t="inlineStr">
        <is>
          <t>2028.06</t>
        </is>
      </c>
      <c r="P4" s="8" t="inlineStr">
        <is>
          <t>2028.09</t>
        </is>
      </c>
      <c r="Q4" s="8" t="inlineStr">
        <is>
          <t>2028.12</t>
        </is>
      </c>
      <c r="R4" s="8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E5" s="5" t="n"/>
      <c r="F5" s="9" t="n"/>
      <c r="G5" s="9" t="n"/>
      <c r="H5" s="10" t="n"/>
      <c r="I5" s="9" t="n"/>
      <c r="J5" s="9" t="n"/>
      <c r="K5" s="9" t="n"/>
      <c r="L5" s="9" t="n"/>
      <c r="M5" s="10" t="n"/>
      <c r="N5" s="9" t="n"/>
      <c r="O5" s="9" t="n"/>
      <c r="P5" s="9" t="n"/>
      <c r="Q5" s="9" t="n"/>
      <c r="R5" s="10" t="n"/>
    </row>
    <row r="6">
      <c r="A6" s="11" t="inlineStr">
        <is>
          <t>USDKRW_avg</t>
        </is>
      </c>
      <c r="C6" t="inlineStr">
        <is>
          <t xml:space="preserve"> 원/달러(평균)</t>
        </is>
      </c>
      <c r="E6" s="12" t="n">
        <v>1501.75</v>
      </c>
      <c r="F6" s="13" t="n">
        <v>1418.75</v>
      </c>
      <c r="G6" s="13" t="n">
        <v>1337.49</v>
      </c>
      <c r="H6" s="14" t="n">
        <v>1451.19</v>
      </c>
      <c r="I6" s="13" t="n">
        <v>1324.45</v>
      </c>
      <c r="J6" s="13" t="n">
        <v>1324.45</v>
      </c>
      <c r="K6" s="13" t="n">
        <v>1324.45</v>
      </c>
      <c r="L6" s="13" t="n">
        <v>1324.45</v>
      </c>
      <c r="M6" s="10" t="n"/>
      <c r="N6" s="13" t="n">
        <v>1324.45</v>
      </c>
      <c r="O6" s="13" t="n">
        <v>1324.45</v>
      </c>
      <c r="P6" s="13" t="n">
        <v>1324.45</v>
      </c>
      <c r="Q6" s="13" t="n">
        <v>1324.45</v>
      </c>
      <c r="R6" s="10" t="n"/>
    </row>
    <row r="7">
      <c r="A7" s="11" t="inlineStr">
        <is>
          <t>USDKRW_end</t>
        </is>
      </c>
      <c r="C7" t="inlineStr">
        <is>
          <t xml:space="preserve"> 원/달러(기말)</t>
        </is>
      </c>
      <c r="E7" s="12" t="n">
        <v>1550.89</v>
      </c>
      <c r="F7" s="13" t="n">
        <v>1355.4</v>
      </c>
      <c r="G7" s="13" t="n">
        <v>1324.45</v>
      </c>
      <c r="H7" s="14" t="n">
        <v>1324.45</v>
      </c>
      <c r="I7" s="13" t="n">
        <v>1324.45</v>
      </c>
      <c r="J7" s="13" t="n">
        <v>1324.45</v>
      </c>
      <c r="K7" s="13" t="n">
        <v>1324.45</v>
      </c>
      <c r="L7" s="13" t="n">
        <v>1324.45</v>
      </c>
      <c r="M7" s="10" t="n"/>
      <c r="N7" s="13" t="n">
        <v>1324.45</v>
      </c>
      <c r="O7" s="13" t="n">
        <v>1324.45</v>
      </c>
      <c r="P7" s="13" t="n">
        <v>1324.45</v>
      </c>
      <c r="Q7" s="13" t="n">
        <v>1324.45</v>
      </c>
      <c r="R7" s="10" t="n"/>
    </row>
    <row r="8">
      <c r="A8" s="11" t="inlineStr">
        <is>
          <t>JPY100KRW_avg</t>
        </is>
      </c>
      <c r="C8" t="inlineStr">
        <is>
          <t xml:space="preserve"> 원/100Y(평균)</t>
        </is>
      </c>
      <c r="E8" s="12" t="n">
        <v>942.16</v>
      </c>
      <c r="F8" s="13" t="n">
        <v>890.41</v>
      </c>
      <c r="G8" s="13" t="n">
        <v>846.51</v>
      </c>
      <c r="H8" s="14" t="n">
        <v>915.5700000000001</v>
      </c>
      <c r="I8" s="13" t="n">
        <v>844.67</v>
      </c>
      <c r="J8" s="13" t="n">
        <v>844.67</v>
      </c>
      <c r="K8" s="13" t="n">
        <v>844.67</v>
      </c>
      <c r="L8" s="13" t="n">
        <v>844.67</v>
      </c>
      <c r="M8" s="10" t="n"/>
      <c r="N8" s="13" t="n">
        <v>844.67</v>
      </c>
      <c r="O8" s="13" t="n">
        <v>844.67</v>
      </c>
      <c r="P8" s="13" t="n">
        <v>844.67</v>
      </c>
      <c r="Q8" s="13" t="n">
        <v>844.67</v>
      </c>
      <c r="R8" s="10" t="n"/>
    </row>
    <row r="9">
      <c r="A9" s="11" t="inlineStr">
        <is>
          <t>JPY100KRW_end</t>
        </is>
      </c>
      <c r="C9" t="inlineStr">
        <is>
          <t xml:space="preserve"> 원/100Y(기말)</t>
        </is>
      </c>
      <c r="E9" s="12" t="n">
        <v>954.75</v>
      </c>
      <c r="F9" s="13" t="n">
        <v>863.3099999999999</v>
      </c>
      <c r="G9" s="13" t="n">
        <v>844.67</v>
      </c>
      <c r="H9" s="14" t="n">
        <v>844.67</v>
      </c>
      <c r="I9" s="13" t="n">
        <v>844.67</v>
      </c>
      <c r="J9" s="13" t="n">
        <v>844.67</v>
      </c>
      <c r="K9" s="13" t="n">
        <v>844.67</v>
      </c>
      <c r="L9" s="13" t="n">
        <v>844.67</v>
      </c>
      <c r="M9" s="10" t="n"/>
      <c r="N9" s="13" t="n">
        <v>844.67</v>
      </c>
      <c r="O9" s="13" t="n">
        <v>844.67</v>
      </c>
      <c r="P9" s="13" t="n">
        <v>844.67</v>
      </c>
      <c r="Q9" s="13" t="n">
        <v>844.67</v>
      </c>
      <c r="R9" s="10" t="n"/>
    </row>
    <row r="10">
      <c r="A10" s="11" t="inlineStr">
        <is>
          <t>EURKRW_avg</t>
        </is>
      </c>
      <c r="C10" t="inlineStr">
        <is>
          <t xml:space="preserve"> W/Euro(평균)</t>
        </is>
      </c>
      <c r="E10" s="12" t="n">
        <v>1746.09</v>
      </c>
      <c r="F10" s="13" t="n">
        <v>1631.97</v>
      </c>
      <c r="G10" s="13" t="n">
        <v>1500.06</v>
      </c>
      <c r="H10" s="14" t="n">
        <v>1680.5</v>
      </c>
      <c r="I10" s="13" t="n">
        <v>1482.45</v>
      </c>
      <c r="J10" s="13" t="n">
        <v>1482.45</v>
      </c>
      <c r="K10" s="13" t="n">
        <v>1482.45</v>
      </c>
      <c r="L10" s="13" t="n">
        <v>1482.45</v>
      </c>
      <c r="M10" s="10" t="n"/>
      <c r="N10" s="13" t="n">
        <v>1482.45</v>
      </c>
      <c r="O10" s="13" t="n">
        <v>1482.45</v>
      </c>
      <c r="P10" s="13" t="n">
        <v>1482.45</v>
      </c>
      <c r="Q10" s="13" t="n">
        <v>1482.45</v>
      </c>
      <c r="R10" s="10" t="n"/>
    </row>
    <row r="11">
      <c r="A11" s="11" t="inlineStr">
        <is>
          <t>EURKRW_end</t>
        </is>
      </c>
      <c r="C11" t="inlineStr">
        <is>
          <t xml:space="preserve"> W/Euro(기말)</t>
        </is>
      </c>
      <c r="E11" s="12" t="n">
        <v>1767.09</v>
      </c>
      <c r="F11" s="13" t="n">
        <v>1539.06</v>
      </c>
      <c r="G11" s="13" t="n">
        <v>1482.45</v>
      </c>
      <c r="H11" s="14" t="n">
        <v>1482.45</v>
      </c>
      <c r="I11" s="13" t="n">
        <v>1482.45</v>
      </c>
      <c r="J11" s="13" t="n">
        <v>1482.45</v>
      </c>
      <c r="K11" s="13" t="n">
        <v>1482.45</v>
      </c>
      <c r="L11" s="13" t="n">
        <v>1482.45</v>
      </c>
      <c r="M11" s="10" t="n"/>
      <c r="N11" s="13" t="n">
        <v>1482.45</v>
      </c>
      <c r="O11" s="13" t="n">
        <v>1482.45</v>
      </c>
      <c r="P11" s="13" t="n">
        <v>1482.45</v>
      </c>
      <c r="Q11" s="13" t="n">
        <v>1482.45</v>
      </c>
      <c r="R11" s="10" t="n"/>
    </row>
    <row r="12">
      <c r="A12" s="11" t="inlineStr">
        <is>
          <t>CNYKRW_avg</t>
        </is>
      </c>
      <c r="C12" t="inlineStr">
        <is>
          <t xml:space="preserve"> 원/중국원(평균)</t>
        </is>
      </c>
      <c r="E12" s="12" t="n">
        <v>220.8</v>
      </c>
      <c r="F12" s="13" t="n">
        <v>210.43</v>
      </c>
      <c r="G12" s="13" t="n">
        <v>199.88</v>
      </c>
      <c r="H12" s="14" t="n">
        <v>213.06</v>
      </c>
      <c r="I12" s="13" t="n">
        <v>198.56</v>
      </c>
      <c r="J12" s="13" t="n">
        <v>198.56</v>
      </c>
      <c r="K12" s="13" t="n">
        <v>198.56</v>
      </c>
      <c r="L12" s="13" t="n">
        <v>198.56</v>
      </c>
      <c r="M12" s="10" t="n"/>
      <c r="N12" s="13" t="n">
        <v>198.56</v>
      </c>
      <c r="O12" s="13" t="n">
        <v>198.56</v>
      </c>
      <c r="P12" s="13" t="n">
        <v>198.56</v>
      </c>
      <c r="Q12" s="13" t="n">
        <v>198.56</v>
      </c>
      <c r="R12" s="10" t="n"/>
    </row>
    <row r="13">
      <c r="A13" s="11" t="inlineStr">
        <is>
          <t>CNYKRW_end</t>
        </is>
      </c>
      <c r="C13" t="inlineStr">
        <is>
          <t xml:space="preserve"> 원/중국원(기말)</t>
        </is>
      </c>
      <c r="E13" s="12" t="n">
        <v>228.56</v>
      </c>
      <c r="F13" s="13" t="n">
        <v>202.16</v>
      </c>
      <c r="G13" s="13" t="n">
        <v>198.56</v>
      </c>
      <c r="H13" s="14" t="n">
        <v>198.56</v>
      </c>
      <c r="I13" s="13" t="n">
        <v>198.56</v>
      </c>
      <c r="J13" s="13" t="n">
        <v>198.56</v>
      </c>
      <c r="K13" s="13" t="n">
        <v>198.56</v>
      </c>
      <c r="L13" s="13" t="n">
        <v>198.56</v>
      </c>
      <c r="M13" s="10" t="n"/>
      <c r="N13" s="13" t="n">
        <v>198.56</v>
      </c>
      <c r="O13" s="13" t="n">
        <v>198.56</v>
      </c>
      <c r="P13" s="13" t="n">
        <v>198.56</v>
      </c>
      <c r="Q13" s="13" t="n">
        <v>198.56</v>
      </c>
      <c r="R13" s="10" t="n"/>
    </row>
    <row r="14">
      <c r="B14" s="1" t="inlineStr">
        <is>
          <t>1b. 종가</t>
        </is>
      </c>
      <c r="E14" s="5" t="n"/>
      <c r="F14" s="9" t="n"/>
      <c r="G14" s="9" t="n"/>
      <c r="H14" s="10" t="n"/>
      <c r="I14" s="9" t="n"/>
      <c r="J14" s="9" t="n"/>
      <c r="K14" s="9" t="n"/>
      <c r="L14" s="9" t="n"/>
      <c r="M14" s="10" t="n"/>
      <c r="N14" s="9" t="n"/>
      <c r="O14" s="9" t="n"/>
      <c r="P14" s="9" t="n"/>
      <c r="Q14" s="9" t="n"/>
      <c r="R14" s="10" t="n"/>
    </row>
    <row r="15">
      <c r="A15" s="11" t="inlineStr">
        <is>
          <t>price_close_end</t>
        </is>
      </c>
      <c r="C15" t="inlineStr">
        <is>
          <t>종가(기말)</t>
        </is>
      </c>
      <c r="E15" s="5" t="n"/>
      <c r="F15" s="15" t="n">
        <v>6510</v>
      </c>
      <c r="G15" s="15" t="n">
        <v>4200</v>
      </c>
      <c r="H15" s="10" t="n"/>
      <c r="I15" s="9" t="n"/>
      <c r="J15" s="9" t="n"/>
      <c r="K15" s="9" t="n"/>
      <c r="L15" s="9" t="n"/>
      <c r="M15" s="10" t="n"/>
      <c r="N15" s="9" t="n"/>
      <c r="O15" s="9" t="n"/>
      <c r="P15" s="9" t="n"/>
      <c r="Q15" s="9" t="n"/>
      <c r="R15" s="10" t="n"/>
    </row>
    <row r="16">
      <c r="A16" s="11" t="inlineStr">
        <is>
          <t>price_high</t>
        </is>
      </c>
      <c r="C16" t="inlineStr">
        <is>
          <t>종가(최고)</t>
        </is>
      </c>
      <c r="E16" s="5" t="n"/>
      <c r="F16" s="15" t="n">
        <v>24600</v>
      </c>
      <c r="G16" s="15" t="n">
        <v>6840</v>
      </c>
      <c r="H16" s="10" t="n"/>
      <c r="I16" s="9" t="n"/>
      <c r="J16" s="9" t="n"/>
      <c r="K16" s="9" t="n"/>
      <c r="L16" s="9" t="n"/>
      <c r="M16" s="10" t="n"/>
      <c r="N16" s="9" t="n"/>
      <c r="O16" s="9" t="n"/>
      <c r="P16" s="9" t="n"/>
      <c r="Q16" s="9" t="n"/>
      <c r="R16" s="10" t="n"/>
    </row>
    <row r="17">
      <c r="A17" s="11" t="inlineStr">
        <is>
          <t>price_low</t>
        </is>
      </c>
      <c r="C17" t="inlineStr">
        <is>
          <t>종가(최저)</t>
        </is>
      </c>
      <c r="E17" s="5" t="n"/>
      <c r="F17" s="15" t="n">
        <v>6450</v>
      </c>
      <c r="G17" s="15" t="n">
        <v>4165</v>
      </c>
      <c r="H17" s="10" t="n"/>
      <c r="I17" s="9" t="n"/>
      <c r="J17" s="9" t="n"/>
      <c r="K17" s="9" t="n"/>
      <c r="L17" s="9" t="n"/>
      <c r="M17" s="10" t="n"/>
      <c r="N17" s="9" t="n"/>
      <c r="O17" s="9" t="n"/>
      <c r="P17" s="9" t="n"/>
      <c r="Q17" s="9" t="n"/>
      <c r="R17" s="10" t="n"/>
    </row>
    <row r="18">
      <c r="A18" s="11" t="inlineStr">
        <is>
          <t>price_avg</t>
        </is>
      </c>
      <c r="C18" t="inlineStr">
        <is>
          <t>종가(평균)</t>
        </is>
      </c>
      <c r="E18" s="5" t="n"/>
      <c r="F18" s="15" t="n">
        <v>8729.1</v>
      </c>
      <c r="G18" s="15" t="n">
        <v>5254.4</v>
      </c>
      <c r="H18" s="10" t="n"/>
      <c r="I18" s="9" t="n"/>
      <c r="J18" s="9" t="n"/>
      <c r="K18" s="9" t="n"/>
      <c r="L18" s="9" t="n"/>
      <c r="M18" s="10" t="n"/>
      <c r="N18" s="9" t="n"/>
      <c r="O18" s="9" t="n"/>
      <c r="P18" s="9" t="n"/>
      <c r="Q18" s="9" t="n"/>
      <c r="R18" s="10" t="n"/>
    </row>
    <row r="19">
      <c r="E19" s="5" t="n"/>
      <c r="F19" s="9" t="n"/>
      <c r="G19" s="9" t="n"/>
      <c r="H19" s="10" t="n"/>
      <c r="I19" s="9" t="n"/>
      <c r="J19" s="9" t="n"/>
      <c r="K19" s="9" t="n"/>
      <c r="L19" s="9" t="n"/>
      <c r="M19" s="10" t="n"/>
      <c r="N19" s="9" t="n"/>
      <c r="O19" s="9" t="n"/>
      <c r="P19" s="9" t="n"/>
      <c r="Q19" s="9" t="n"/>
      <c r="R19" s="10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E20" s="5" t="n"/>
      <c r="F20" s="9" t="n"/>
      <c r="G20" s="9" t="n"/>
      <c r="H20" s="10" t="n"/>
      <c r="I20" s="9" t="n"/>
      <c r="J20" s="9" t="n"/>
      <c r="K20" s="9" t="n"/>
      <c r="L20" s="9" t="n"/>
      <c r="M20" s="10" t="n"/>
      <c r="N20" s="9" t="n"/>
      <c r="O20" s="9" t="n"/>
      <c r="P20" s="9" t="n"/>
      <c r="Q20" s="9" t="n"/>
      <c r="R20" s="10" t="n"/>
    </row>
    <row r="21">
      <c r="A21" s="11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16" t="n"/>
      <c r="F21" s="17" t="n">
        <v>-7.1141e-05</v>
      </c>
      <c r="G21" s="17" t="n">
        <v>0</v>
      </c>
      <c r="H21" s="18" t="n"/>
      <c r="I21" s="17" t="n">
        <v>0</v>
      </c>
      <c r="J21" s="17" t="n">
        <v>-7.1141e-05</v>
      </c>
      <c r="K21" s="17" t="n">
        <v>0</v>
      </c>
      <c r="L21" s="17" t="n">
        <v>0</v>
      </c>
      <c r="M21" s="18" t="n"/>
      <c r="N21" s="17" t="n">
        <v>0</v>
      </c>
      <c r="O21" s="17" t="n">
        <v>0</v>
      </c>
      <c r="P21" s="17" t="n">
        <v>0</v>
      </c>
      <c r="Q21" s="17" t="n">
        <v>0</v>
      </c>
      <c r="R21" s="18" t="n"/>
    </row>
    <row r="22">
      <c r="A22" s="11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16">
        <f>IFERROR(subQ!E8/subQ!E5,"")</f>
        <v/>
      </c>
      <c r="F22" s="19">
        <f>$D$49</f>
        <v/>
      </c>
      <c r="G22" s="19">
        <f>$D$49</f>
        <v/>
      </c>
      <c r="H22" s="18">
        <f>IFERROR(subQ!H8/subQ!H5,"")</f>
        <v/>
      </c>
      <c r="I22" s="19">
        <f>$D$49</f>
        <v/>
      </c>
      <c r="J22" s="19">
        <f>$D$49</f>
        <v/>
      </c>
      <c r="K22" s="19">
        <f>$D$49</f>
        <v/>
      </c>
      <c r="L22" s="19">
        <f>$D$49</f>
        <v/>
      </c>
      <c r="M22" s="18">
        <f>IFERROR(subQ!M8/subQ!M5,"")</f>
        <v/>
      </c>
      <c r="N22" s="19">
        <f>$D$49</f>
        <v/>
      </c>
      <c r="O22" s="19">
        <f>$D$49</f>
        <v/>
      </c>
      <c r="P22" s="19">
        <f>$D$49</f>
        <v/>
      </c>
      <c r="Q22" s="19">
        <f>$D$49</f>
        <v/>
      </c>
      <c r="R22" s="18">
        <f>IFERROR(subQ!R8/subQ!R5,"")</f>
        <v/>
      </c>
    </row>
    <row r="23">
      <c r="A23" s="11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16">
        <f>IFERROR(subQ!E9/subQ!E5,"")</f>
        <v/>
      </c>
      <c r="F23" s="17" t="n">
        <v>-0.2</v>
      </c>
      <c r="G23" s="17" t="n">
        <v>-0.2</v>
      </c>
      <c r="H23" s="18">
        <f>IFERROR(subQ!H9/subQ!H5,"")</f>
        <v/>
      </c>
      <c r="I23" s="17" t="n">
        <v>-0.2</v>
      </c>
      <c r="J23" s="17" t="n">
        <v>-0.2</v>
      </c>
      <c r="K23" s="17" t="n">
        <v>-0.2</v>
      </c>
      <c r="L23" s="17" t="n">
        <v>-0.2</v>
      </c>
      <c r="M23" s="18">
        <f>IFERROR(subQ!M9/subQ!M5,"")</f>
        <v/>
      </c>
      <c r="N23" s="17" t="n">
        <v>-0.2</v>
      </c>
      <c r="O23" s="17" t="n">
        <v>-0.2</v>
      </c>
      <c r="P23" s="17" t="n">
        <v>-0.2</v>
      </c>
      <c r="Q23" s="17" t="n">
        <v>-0.2</v>
      </c>
      <c r="R23" s="18">
        <f>IFERROR(subQ!R9/subQ!R5,"")</f>
        <v/>
      </c>
    </row>
    <row r="24">
      <c r="A24" s="11" t="inlineStr">
        <is>
          <t>drv:금융손익</t>
        </is>
      </c>
      <c r="B24" s="2" t="inlineStr">
        <is>
          <t>abs</t>
        </is>
      </c>
      <c r="C24" t="inlineStr">
        <is>
          <t>금융손익 (가정, 억원)</t>
        </is>
      </c>
      <c r="E24" s="20">
        <f>subQ!E11</f>
        <v/>
      </c>
      <c r="F24" s="21" t="n">
        <v>-0.67</v>
      </c>
      <c r="G24" s="21" t="n">
        <v>-0.67</v>
      </c>
      <c r="H24" s="22">
        <f>subQ!H11</f>
        <v/>
      </c>
      <c r="I24" s="21" t="n">
        <v>-0.67</v>
      </c>
      <c r="J24" s="21" t="n">
        <v>-0.67</v>
      </c>
      <c r="K24" s="21" t="n">
        <v>-0.67</v>
      </c>
      <c r="L24" s="21" t="n">
        <v>-0.67</v>
      </c>
      <c r="M24" s="22">
        <f>subQ!M11</f>
        <v/>
      </c>
      <c r="N24" s="21" t="n">
        <v>-0.67</v>
      </c>
      <c r="O24" s="21" t="n">
        <v>-0.67</v>
      </c>
      <c r="P24" s="21" t="n">
        <v>-0.67</v>
      </c>
      <c r="Q24" s="21" t="n">
        <v>-0.67</v>
      </c>
      <c r="R24" s="22">
        <f>subQ!R11</f>
        <v/>
      </c>
    </row>
    <row r="25">
      <c r="A25" s="11" t="inlineStr">
        <is>
          <t>drv:이자손익</t>
        </is>
      </c>
      <c r="B25" s="2" t="inlineStr">
        <is>
          <t>abs</t>
        </is>
      </c>
      <c r="C25" t="inlineStr">
        <is>
          <t>이자손익 (가정, 억원)</t>
        </is>
      </c>
      <c r="E25" s="20">
        <f>subQ!E12</f>
        <v/>
      </c>
      <c r="F25" s="23" t="n"/>
      <c r="G25" s="23" t="n"/>
      <c r="H25" s="22">
        <f>subQ!H12</f>
        <v/>
      </c>
      <c r="I25" s="23" t="n"/>
      <c r="J25" s="23" t="n"/>
      <c r="K25" s="23" t="n"/>
      <c r="L25" s="23" t="n"/>
      <c r="M25" s="22">
        <f>subQ!M12</f>
        <v/>
      </c>
      <c r="N25" s="23" t="n"/>
      <c r="O25" s="23" t="n"/>
      <c r="P25" s="23" t="n"/>
      <c r="Q25" s="23" t="n"/>
      <c r="R25" s="22">
        <f>subQ!R12</f>
        <v/>
      </c>
    </row>
    <row r="26">
      <c r="A26" s="11" t="inlineStr">
        <is>
          <t>drv:외환손익</t>
        </is>
      </c>
      <c r="B26" s="2" t="inlineStr">
        <is>
          <t>abs</t>
        </is>
      </c>
      <c r="C26" t="inlineStr">
        <is>
          <t>외환손익 (가정, 억원)</t>
        </is>
      </c>
      <c r="E26" s="20">
        <f>subQ!E13</f>
        <v/>
      </c>
      <c r="F26" s="23" t="n"/>
      <c r="G26" s="23" t="n"/>
      <c r="H26" s="22">
        <f>subQ!H13</f>
        <v/>
      </c>
      <c r="I26" s="23" t="n"/>
      <c r="J26" s="23" t="n"/>
      <c r="K26" s="23" t="n"/>
      <c r="L26" s="23" t="n"/>
      <c r="M26" s="22">
        <f>subQ!M13</f>
        <v/>
      </c>
      <c r="N26" s="23" t="n"/>
      <c r="O26" s="23" t="n"/>
      <c r="P26" s="23" t="n"/>
      <c r="Q26" s="23" t="n"/>
      <c r="R26" s="22">
        <f>subQ!R13</f>
        <v/>
      </c>
    </row>
    <row r="27">
      <c r="A27" s="11" t="inlineStr">
        <is>
          <t>drv:기타영업외손익</t>
        </is>
      </c>
      <c r="B27" s="2" t="inlineStr">
        <is>
          <t>abs</t>
        </is>
      </c>
      <c r="C27" t="inlineStr">
        <is>
          <t>기타영업외손익 (가정, 억원)</t>
        </is>
      </c>
      <c r="E27" s="20">
        <f>subQ!E14</f>
        <v/>
      </c>
      <c r="F27" s="21" t="n">
        <v>0</v>
      </c>
      <c r="G27" s="21" t="n">
        <v>0</v>
      </c>
      <c r="H27" s="22">
        <f>subQ!H14</f>
        <v/>
      </c>
      <c r="I27" s="21" t="n">
        <v>0</v>
      </c>
      <c r="J27" s="21" t="n">
        <v>0</v>
      </c>
      <c r="K27" s="21" t="n">
        <v>0</v>
      </c>
      <c r="L27" s="21" t="n">
        <v>0</v>
      </c>
      <c r="M27" s="22">
        <f>subQ!M14</f>
        <v/>
      </c>
      <c r="N27" s="21" t="n">
        <v>0</v>
      </c>
      <c r="O27" s="21" t="n">
        <v>0</v>
      </c>
      <c r="P27" s="21" t="n">
        <v>0</v>
      </c>
      <c r="Q27" s="21" t="n">
        <v>0</v>
      </c>
      <c r="R27" s="22">
        <f>subQ!R14</f>
        <v/>
      </c>
    </row>
    <row r="28">
      <c r="A28" s="11" t="inlineStr">
        <is>
          <t>drv:법인세비용</t>
        </is>
      </c>
      <c r="B28" s="2" t="inlineStr">
        <is>
          <t>ratio</t>
        </is>
      </c>
      <c r="C28" t="inlineStr">
        <is>
          <t>법인세율(/세전)</t>
        </is>
      </c>
      <c r="E28" s="16">
        <f>IFERROR(subQ!E16/subQ!E15,"")</f>
        <v/>
      </c>
      <c r="F28" s="17" t="n">
        <v>-0</v>
      </c>
      <c r="G28" s="17" t="n">
        <v>-0</v>
      </c>
      <c r="H28" s="18">
        <f>IFERROR(subQ!H16/subQ!H15,"")</f>
        <v/>
      </c>
      <c r="I28" s="17" t="n">
        <v>-0</v>
      </c>
      <c r="J28" s="17" t="n">
        <v>-0</v>
      </c>
      <c r="K28" s="17" t="n">
        <v>-0</v>
      </c>
      <c r="L28" s="17" t="n">
        <v>-0</v>
      </c>
      <c r="M28" s="18">
        <f>IFERROR(subQ!M16/subQ!M15,"")</f>
        <v/>
      </c>
      <c r="N28" s="17" t="n">
        <v>-0</v>
      </c>
      <c r="O28" s="17" t="n">
        <v>-0</v>
      </c>
      <c r="P28" s="17" t="n">
        <v>-0</v>
      </c>
      <c r="Q28" s="17" t="n">
        <v>-0</v>
      </c>
      <c r="R28" s="18">
        <f>IFERROR(subQ!R16/subQ!R15,"")</f>
        <v/>
      </c>
    </row>
    <row r="29">
      <c r="A29" s="11" t="inlineStr">
        <is>
          <t>drv:지배주주순이익</t>
        </is>
      </c>
      <c r="B29" s="2" t="inlineStr">
        <is>
          <t>ratio</t>
        </is>
      </c>
      <c r="C29" t="inlineStr">
        <is>
          <t>지배주주 비중(/당기순이익)</t>
        </is>
      </c>
      <c r="E29" s="16">
        <f>IFERROR(subQ!E18/subQ!E17,"")</f>
        <v/>
      </c>
      <c r="F29" s="19">
        <f>$D$50</f>
        <v/>
      </c>
      <c r="G29" s="19">
        <f>$D$50</f>
        <v/>
      </c>
      <c r="H29" s="18">
        <f>IFERROR(subQ!H18/subQ!H17,"")</f>
        <v/>
      </c>
      <c r="I29" s="19">
        <f>$D$50</f>
        <v/>
      </c>
      <c r="J29" s="19">
        <f>$D$50</f>
        <v/>
      </c>
      <c r="K29" s="19">
        <f>$D$50</f>
        <v/>
      </c>
      <c r="L29" s="19">
        <f>$D$50</f>
        <v/>
      </c>
      <c r="M29" s="18">
        <f>IFERROR(subQ!M18/subQ!M17,"")</f>
        <v/>
      </c>
      <c r="N29" s="19">
        <f>$D$50</f>
        <v/>
      </c>
      <c r="O29" s="19">
        <f>$D$50</f>
        <v/>
      </c>
      <c r="P29" s="19">
        <f>$D$50</f>
        <v/>
      </c>
      <c r="Q29" s="19">
        <f>$D$50</f>
        <v/>
      </c>
      <c r="R29" s="18">
        <f>IFERROR(subQ!R18/subQ!R17,"")</f>
        <v/>
      </c>
    </row>
    <row r="30">
      <c r="A30" s="11" t="inlineStr">
        <is>
          <t>drv:부채총계</t>
        </is>
      </c>
      <c r="B30" s="2" t="inlineStr">
        <is>
          <t>qoq</t>
        </is>
      </c>
      <c r="C30" t="inlineStr">
        <is>
          <t>부채총계 QoQ</t>
        </is>
      </c>
      <c r="E30" s="16" t="n"/>
      <c r="F30" s="17" t="n">
        <v>-2.3763e-05</v>
      </c>
      <c r="G30" s="17" t="n">
        <v>0</v>
      </c>
      <c r="H30" s="18" t="n"/>
      <c r="I30" s="17" t="n">
        <v>0</v>
      </c>
      <c r="J30" s="17" t="n">
        <v>0</v>
      </c>
      <c r="K30" s="17" t="n">
        <v>0</v>
      </c>
      <c r="L30" s="17" t="n">
        <v>0</v>
      </c>
      <c r="M30" s="18" t="n"/>
      <c r="N30" s="17" t="n">
        <v>0</v>
      </c>
      <c r="O30" s="17" t="n">
        <v>0</v>
      </c>
      <c r="P30" s="17" t="n">
        <v>0</v>
      </c>
      <c r="Q30" s="17" t="n">
        <v>0</v>
      </c>
      <c r="R30" s="18" t="n"/>
    </row>
    <row r="31">
      <c r="A31" s="11" t="inlineStr">
        <is>
          <t>drv:자본총계</t>
        </is>
      </c>
      <c r="B31" s="2" t="inlineStr">
        <is>
          <t>roll</t>
        </is>
      </c>
      <c r="C31" t="inlineStr">
        <is>
          <t>자본총계 기타변동(배당 등, 억원)</t>
        </is>
      </c>
      <c r="E31" s="20" t="n"/>
      <c r="F31" s="21" t="n">
        <v>-0.005200001</v>
      </c>
      <c r="G31" s="21" t="n">
        <v>-2e-09</v>
      </c>
      <c r="H31" s="22" t="n"/>
      <c r="I31" s="21" t="n">
        <v>-0.010000001</v>
      </c>
      <c r="J31" s="21" t="n">
        <v>-2e-09</v>
      </c>
      <c r="K31" s="21" t="n">
        <v>-0.010000001</v>
      </c>
      <c r="L31" s="21" t="n">
        <v>-1e-09</v>
      </c>
      <c r="M31" s="22" t="n"/>
      <c r="N31" s="21" t="n">
        <v>-2e-09</v>
      </c>
      <c r="O31" s="21" t="n">
        <v>-0.010000001</v>
      </c>
      <c r="P31" s="21" t="n">
        <v>-2e-09</v>
      </c>
      <c r="Q31" s="21" t="n">
        <v>-0.010000001</v>
      </c>
      <c r="R31" s="22" t="n"/>
    </row>
    <row r="32">
      <c r="A32" s="11" t="inlineStr">
        <is>
          <t>drv:지배주주지분</t>
        </is>
      </c>
      <c r="B32" s="2" t="inlineStr">
        <is>
          <t>roll</t>
        </is>
      </c>
      <c r="C32" t="inlineStr">
        <is>
          <t>지배주주지분 기타변동(배당 등, 억원)</t>
        </is>
      </c>
      <c r="E32" s="20" t="n"/>
      <c r="F32" s="21" t="n">
        <v>-0.005200001</v>
      </c>
      <c r="G32" s="21" t="n">
        <v>-2e-09</v>
      </c>
      <c r="H32" s="22" t="n"/>
      <c r="I32" s="21" t="n">
        <v>-0.010000001</v>
      </c>
      <c r="J32" s="21" t="n">
        <v>-2e-09</v>
      </c>
      <c r="K32" s="21" t="n">
        <v>-0.010000001</v>
      </c>
      <c r="L32" s="21" t="n">
        <v>-1e-09</v>
      </c>
      <c r="M32" s="22" t="n"/>
      <c r="N32" s="21" t="n">
        <v>-2e-09</v>
      </c>
      <c r="O32" s="21" t="n">
        <v>-0.010000001</v>
      </c>
      <c r="P32" s="21" t="n">
        <v>-2e-09</v>
      </c>
      <c r="Q32" s="21" t="n">
        <v>-0.010000001</v>
      </c>
      <c r="R32" s="22" t="n"/>
    </row>
    <row r="33">
      <c r="A33" s="11" t="inlineStr">
        <is>
          <t>drv:총차입금</t>
        </is>
      </c>
      <c r="B33" s="2" t="inlineStr">
        <is>
          <t>qoq</t>
        </is>
      </c>
      <c r="C33" t="inlineStr">
        <is>
          <t>총차입금 QoQ</t>
        </is>
      </c>
      <c r="E33" s="16" t="n"/>
      <c r="F33" s="17" t="n">
        <v>0</v>
      </c>
      <c r="G33" s="17" t="n">
        <v>0</v>
      </c>
      <c r="H33" s="18" t="n"/>
      <c r="I33" s="17" t="n">
        <v>0</v>
      </c>
      <c r="J33" s="17" t="n">
        <v>0</v>
      </c>
      <c r="K33" s="17" t="n">
        <v>0</v>
      </c>
      <c r="L33" s="17" t="n">
        <v>0</v>
      </c>
      <c r="M33" s="18" t="n"/>
      <c r="N33" s="17" t="n">
        <v>0</v>
      </c>
      <c r="O33" s="17" t="n">
        <v>0</v>
      </c>
      <c r="P33" s="17" t="n">
        <v>0</v>
      </c>
      <c r="Q33" s="17" t="n">
        <v>0</v>
      </c>
      <c r="R33" s="18" t="n"/>
    </row>
    <row r="34">
      <c r="A34" s="11" t="inlineStr">
        <is>
          <t>drv:순차입금</t>
        </is>
      </c>
      <c r="B34" s="2" t="inlineStr">
        <is>
          <t>qoq</t>
        </is>
      </c>
      <c r="C34" t="inlineStr">
        <is>
          <t>순차입금 QoQ</t>
        </is>
      </c>
      <c r="E34" s="16" t="n"/>
      <c r="F34" s="17" t="n">
        <v>-0.236400805</v>
      </c>
      <c r="G34" s="17" t="n">
        <v>-0.309711286</v>
      </c>
      <c r="H34" s="18" t="n"/>
      <c r="I34" s="17" t="n">
        <v>-0.448126018</v>
      </c>
      <c r="J34" s="17" t="n">
        <v>-0.812992126</v>
      </c>
      <c r="K34" s="17" t="n">
        <v>-4.342105263</v>
      </c>
      <c r="L34" s="17" t="n">
        <v>1.300787402</v>
      </c>
      <c r="M34" s="18" t="n"/>
      <c r="N34" s="17" t="n">
        <v>0.564681725</v>
      </c>
      <c r="O34" s="17" t="n">
        <v>0.361329834</v>
      </c>
      <c r="P34" s="17" t="n">
        <v>0.265424165</v>
      </c>
      <c r="Q34" s="17" t="n">
        <v>0.209497207</v>
      </c>
      <c r="R34" s="18" t="n"/>
    </row>
    <row r="35">
      <c r="A35" s="11" t="inlineStr">
        <is>
          <t>drv:이자발생자산</t>
        </is>
      </c>
      <c r="B35" s="2" t="inlineStr">
        <is>
          <t>qoq</t>
        </is>
      </c>
      <c r="C35" t="inlineStr">
        <is>
          <t>이자발생자산 QoQ</t>
        </is>
      </c>
      <c r="E35" s="16" t="n"/>
      <c r="F35" s="17" t="n">
        <v>-0.070318013</v>
      </c>
      <c r="G35" s="17" t="n">
        <v>-0.075717298</v>
      </c>
      <c r="H35" s="18" t="n"/>
      <c r="I35" s="17" t="n">
        <v>-0.081920063</v>
      </c>
      <c r="J35" s="17" t="n">
        <v>-0.089121746</v>
      </c>
      <c r="K35" s="17" t="n">
        <v>-0.09796015199999999</v>
      </c>
      <c r="L35" s="17" t="n">
        <v>-0.108467</v>
      </c>
      <c r="M35" s="18" t="n"/>
      <c r="N35" s="17" t="n">
        <v>-0.121810942</v>
      </c>
      <c r="O35" s="17" t="n">
        <v>-0.138706969</v>
      </c>
      <c r="P35" s="17" t="n">
        <v>-0.160850068</v>
      </c>
      <c r="Q35" s="17" t="n">
        <v>-0.191914498</v>
      </c>
      <c r="R35" s="18" t="n"/>
    </row>
    <row r="36">
      <c r="A36" s="11" t="inlineStr">
        <is>
          <t>drv:현금및현금성자산</t>
        </is>
      </c>
      <c r="B36" s="2" t="inlineStr">
        <is>
          <t>qoq</t>
        </is>
      </c>
      <c r="C36" t="inlineStr">
        <is>
          <t>현금및현금성자산 QoQ</t>
        </is>
      </c>
      <c r="E36" s="16" t="n"/>
      <c r="F36" s="24" t="n"/>
      <c r="G36" s="24" t="n"/>
      <c r="H36" s="18" t="n"/>
      <c r="I36" s="24" t="n"/>
      <c r="J36" s="24" t="n"/>
      <c r="K36" s="24" t="n"/>
      <c r="L36" s="24" t="n"/>
      <c r="M36" s="18" t="n"/>
      <c r="N36" s="24" t="n"/>
      <c r="O36" s="24" t="n"/>
      <c r="P36" s="24" t="n"/>
      <c r="Q36" s="24" t="n"/>
      <c r="R36" s="18" t="n"/>
    </row>
    <row r="37">
      <c r="A37" s="11" t="inlineStr">
        <is>
          <t>drv:주식수</t>
        </is>
      </c>
      <c r="B37" s="2" t="inlineStr">
        <is>
          <t>qoq</t>
        </is>
      </c>
      <c r="C37" t="inlineStr">
        <is>
          <t>주식수 QoQ</t>
        </is>
      </c>
      <c r="E37" s="16" t="n"/>
      <c r="F37" s="17" t="n">
        <v>0.317355501</v>
      </c>
      <c r="G37" s="17" t="n">
        <v>0</v>
      </c>
      <c r="H37" s="18" t="n"/>
      <c r="I37" s="17" t="n">
        <v>0</v>
      </c>
      <c r="J37" s="17" t="n">
        <v>0</v>
      </c>
      <c r="K37" s="17" t="n">
        <v>0</v>
      </c>
      <c r="L37" s="17" t="n">
        <v>0</v>
      </c>
      <c r="M37" s="18" t="n"/>
      <c r="N37" s="17" t="n">
        <v>0</v>
      </c>
      <c r="O37" s="17" t="n">
        <v>0</v>
      </c>
      <c r="P37" s="17" t="n">
        <v>0</v>
      </c>
      <c r="Q37" s="17" t="n">
        <v>0</v>
      </c>
      <c r="R37" s="18" t="n"/>
    </row>
    <row r="38">
      <c r="A38" s="11" t="inlineStr">
        <is>
          <t>drv:DPS</t>
        </is>
      </c>
      <c r="B38" s="2" t="inlineStr">
        <is>
          <t>abs</t>
        </is>
      </c>
      <c r="C38" t="inlineStr">
        <is>
          <t>DPS (가정, 원)</t>
        </is>
      </c>
      <c r="E38" s="20">
        <f>subQ!E30</f>
        <v/>
      </c>
      <c r="F38" s="23" t="n"/>
      <c r="G38" s="21" t="n">
        <v>0</v>
      </c>
      <c r="H38" s="22">
        <f>subQ!H30</f>
        <v/>
      </c>
      <c r="I38" s="23" t="n"/>
      <c r="J38" s="23" t="n"/>
      <c r="K38" s="23" t="n"/>
      <c r="L38" s="21" t="n">
        <v>0</v>
      </c>
      <c r="M38" s="22">
        <f>subQ!M30</f>
        <v/>
      </c>
      <c r="N38" s="23" t="n"/>
      <c r="O38" s="23" t="n"/>
      <c r="P38" s="23" t="n"/>
      <c r="Q38" s="21" t="n">
        <v>0</v>
      </c>
      <c r="R38" s="22">
        <f>subQ!R30</f>
        <v/>
      </c>
    </row>
    <row r="39">
      <c r="E39" s="5" t="n"/>
      <c r="F39" s="9" t="n"/>
      <c r="G39" s="9" t="n"/>
      <c r="H39" s="10" t="n"/>
      <c r="I39" s="9" t="n"/>
      <c r="J39" s="9" t="n"/>
      <c r="K39" s="9" t="n"/>
      <c r="L39" s="9" t="n"/>
      <c r="M39" s="10" t="n"/>
      <c r="N39" s="9" t="n"/>
      <c r="O39" s="9" t="n"/>
      <c r="P39" s="9" t="n"/>
      <c r="Q39" s="9" t="n"/>
      <c r="R39" s="10" t="n"/>
    </row>
    <row r="40">
      <c r="B40" s="1" t="inlineStr">
        <is>
          <t>3. 밸류에이션·스칼라</t>
        </is>
      </c>
      <c r="C40" s="2" t="inlineStr">
        <is>
          <t>노란 셀 = 가정. '연결' 표시는 추정 전 분기 수식이 이 셀을 참조한다는 뜻</t>
        </is>
      </c>
      <c r="E40" s="5" t="n"/>
      <c r="F40" s="9" t="n"/>
      <c r="G40" s="9" t="n"/>
      <c r="H40" s="10" t="n"/>
      <c r="I40" s="9" t="n"/>
      <c r="J40" s="9" t="n"/>
      <c r="K40" s="9" t="n"/>
      <c r="L40" s="9" t="n"/>
      <c r="M40" s="10" t="n"/>
      <c r="N40" s="9" t="n"/>
      <c r="O40" s="9" t="n"/>
      <c r="P40" s="9" t="n"/>
      <c r="Q40" s="9" t="n"/>
      <c r="R40" s="10" t="n"/>
    </row>
    <row r="41">
      <c r="A41" s="11" t="inlineStr">
        <is>
          <t>sc:종가</t>
        </is>
      </c>
      <c r="C41" t="inlineStr">
        <is>
          <t>종가</t>
        </is>
      </c>
      <c r="D41" s="25" t="n">
        <v>4200</v>
      </c>
      <c r="E41" s="6" t="inlineStr">
        <is>
          <t>원 — 네이버 정규장 종가(aik 확정종가 대조 · aik 4,495원)</t>
        </is>
      </c>
      <c r="F41" s="9" t="n"/>
      <c r="G41" s="9" t="n"/>
      <c r="H41" s="10" t="n"/>
      <c r="I41" s="9" t="n"/>
      <c r="J41" s="9" t="n"/>
      <c r="K41" s="9" t="n"/>
      <c r="L41" s="9" t="n"/>
      <c r="M41" s="10" t="n"/>
      <c r="N41" s="9" t="n"/>
      <c r="O41" s="9" t="n"/>
      <c r="P41" s="9" t="n"/>
      <c r="Q41" s="9" t="n"/>
      <c r="R41" s="10" t="n"/>
    </row>
    <row r="42">
      <c r="A42" s="11" t="inlineStr">
        <is>
          <t>sc:기준일</t>
        </is>
      </c>
      <c r="C42" t="inlineStr">
        <is>
          <t>기준일</t>
        </is>
      </c>
      <c r="D42" s="26" t="inlineStr">
        <is>
          <t>20261026</t>
        </is>
      </c>
      <c r="E42" s="6" t="inlineStr">
        <is>
          <t>종가 기준일</t>
        </is>
      </c>
      <c r="F42" s="9" t="n"/>
      <c r="G42" s="9" t="n"/>
      <c r="H42" s="10" t="n"/>
      <c r="I42" s="9" t="n"/>
      <c r="J42" s="9" t="n"/>
      <c r="K42" s="9" t="n"/>
      <c r="L42" s="9" t="n"/>
      <c r="M42" s="10" t="n"/>
      <c r="N42" s="9" t="n"/>
      <c r="O42" s="9" t="n"/>
      <c r="P42" s="9" t="n"/>
      <c r="Q42" s="9" t="n"/>
      <c r="R42" s="10" t="n"/>
    </row>
    <row r="43">
      <c r="A43" s="11" t="inlineStr">
        <is>
          <t>sc:COE</t>
        </is>
      </c>
      <c r="C43" t="inlineStr">
        <is>
          <t>COE</t>
        </is>
      </c>
      <c r="D43" s="17" t="n">
        <v>0.09</v>
      </c>
      <c r="E43" s="6" t="inlineStr">
        <is>
          <t>자기자본비용(가정) — TP 적정 PBR = ROE/COE</t>
        </is>
      </c>
      <c r="F43" s="9" t="n"/>
      <c r="G43" s="9" t="n"/>
      <c r="H43" s="10" t="n"/>
      <c r="I43" s="9" t="n"/>
      <c r="J43" s="9" t="n"/>
      <c r="K43" s="9" t="n"/>
      <c r="L43" s="9" t="n"/>
      <c r="M43" s="10" t="n"/>
      <c r="N43" s="9" t="n"/>
      <c r="O43" s="9" t="n"/>
      <c r="P43" s="9" t="n"/>
      <c r="Q43" s="9" t="n"/>
      <c r="R43" s="10" t="n"/>
    </row>
    <row r="44">
      <c r="A44" s="11" t="inlineStr">
        <is>
          <t>sc:PER_lo</t>
        </is>
      </c>
      <c r="C44" t="inlineStr">
        <is>
          <t>PER_lo</t>
        </is>
      </c>
      <c r="D44" s="21" t="n">
        <v>10</v>
      </c>
      <c r="E44" s="6" t="inlineStr">
        <is>
          <t>PER 밴드 하단(배) — sector_default(레퍼런스 TP_PE PB 예시 10/15/20배; 과거 양(+)EPS 분기 0개 &lt; 4)</t>
        </is>
      </c>
      <c r="F44" s="9" t="n"/>
      <c r="G44" s="9" t="n"/>
      <c r="H44" s="10" t="n"/>
      <c r="I44" s="9" t="n"/>
      <c r="J44" s="9" t="n"/>
      <c r="K44" s="9" t="n"/>
      <c r="L44" s="9" t="n"/>
      <c r="M44" s="10" t="n"/>
      <c r="N44" s="9" t="n"/>
      <c r="O44" s="9" t="n"/>
      <c r="P44" s="9" t="n"/>
      <c r="Q44" s="9" t="n"/>
      <c r="R44" s="10" t="n"/>
    </row>
    <row r="45">
      <c r="A45" s="11" t="inlineStr">
        <is>
          <t>sc:PER_mid</t>
        </is>
      </c>
      <c r="C45" t="inlineStr">
        <is>
          <t>PER_mid</t>
        </is>
      </c>
      <c r="D45" s="21" t="n">
        <v>15</v>
      </c>
      <c r="E45" s="6" t="inlineStr">
        <is>
          <t>PER 밴드 중단(배)</t>
        </is>
      </c>
      <c r="F45" s="9" t="n"/>
      <c r="G45" s="9" t="n"/>
      <c r="H45" s="10" t="n"/>
      <c r="I45" s="9" t="n"/>
      <c r="J45" s="9" t="n"/>
      <c r="K45" s="9" t="n"/>
      <c r="L45" s="9" t="n"/>
      <c r="M45" s="10" t="n"/>
      <c r="N45" s="9" t="n"/>
      <c r="O45" s="9" t="n"/>
      <c r="P45" s="9" t="n"/>
      <c r="Q45" s="9" t="n"/>
      <c r="R45" s="10" t="n"/>
    </row>
    <row r="46">
      <c r="A46" s="11" t="inlineStr">
        <is>
          <t>sc:PER_hi</t>
        </is>
      </c>
      <c r="C46" t="inlineStr">
        <is>
          <t>PER_hi</t>
        </is>
      </c>
      <c r="D46" s="21" t="n">
        <v>20</v>
      </c>
      <c r="E46" s="6" t="inlineStr">
        <is>
          <t>PER 밴드 상단(배)</t>
        </is>
      </c>
      <c r="F46" s="9" t="n"/>
      <c r="G46" s="9" t="n"/>
      <c r="H46" s="10" t="n"/>
      <c r="I46" s="9" t="n"/>
      <c r="J46" s="9" t="n"/>
      <c r="K46" s="9" t="n"/>
      <c r="L46" s="9" t="n"/>
      <c r="M46" s="10" t="n"/>
      <c r="N46" s="9" t="n"/>
      <c r="O46" s="9" t="n"/>
      <c r="P46" s="9" t="n"/>
      <c r="Q46" s="9" t="n"/>
      <c r="R46" s="10" t="n"/>
    </row>
    <row r="47">
      <c r="A47" s="11" t="inlineStr">
        <is>
          <t>sc:EPS_Y1가중</t>
        </is>
      </c>
      <c r="C47" t="inlineStr">
        <is>
          <t>EPS_Y1가중</t>
        </is>
      </c>
      <c r="D47" s="17" t="n">
        <v>0.5</v>
      </c>
      <c r="E47" s="6" t="inlineStr">
        <is>
          <t>12M fwd EPS = FY(last_actual연도)E × w + FY+1E × (1−w) — 기준 분기 2Q 이면 0.5(가정)</t>
        </is>
      </c>
      <c r="F47" s="9" t="n"/>
      <c r="G47" s="9" t="n"/>
      <c r="H47" s="10" t="n"/>
      <c r="I47" s="9" t="n"/>
      <c r="J47" s="9" t="n"/>
      <c r="K47" s="9" t="n"/>
      <c r="L47" s="9" t="n"/>
      <c r="M47" s="10" t="n"/>
      <c r="N47" s="9" t="n"/>
      <c r="O47" s="9" t="n"/>
      <c r="P47" s="9" t="n"/>
      <c r="Q47" s="9" t="n"/>
      <c r="R47" s="10" t="n"/>
    </row>
    <row r="48">
      <c r="A48" s="11" t="inlineStr">
        <is>
          <t>sc:세율</t>
        </is>
      </c>
      <c r="C48" t="inlineStr">
        <is>
          <t>세율</t>
        </is>
      </c>
      <c r="D48" s="27" t="n">
        <v>0.22</v>
      </c>
      <c r="E48" s="6" t="inlineStr">
        <is>
          <t>참고(연결 안 됨: MAX(세전,0)×단일 세율로 재현 불가(지주 자회사 합산 등) → 분기별 역산) — 모델 assumptions 값 · 최근 1분기 세전 합 ≤ 0; 최근 8분기에 세전 &gt; 0 분기 없음 → 법정세율 근사 22% 가정</t>
        </is>
      </c>
      <c r="F48" s="9" t="n"/>
      <c r="G48" s="9" t="n"/>
      <c r="H48" s="10" t="n"/>
      <c r="I48" s="9" t="n"/>
      <c r="J48" s="9" t="n"/>
      <c r="K48" s="9" t="n"/>
      <c r="L48" s="9" t="n"/>
      <c r="M48" s="10" t="n"/>
      <c r="N48" s="9" t="n"/>
      <c r="O48" s="9" t="n"/>
      <c r="P48" s="9" t="n"/>
      <c r="Q48" s="9" t="n"/>
      <c r="R48" s="10" t="n"/>
    </row>
    <row r="49">
      <c r="A49" s="11" t="inlineStr">
        <is>
          <t>sc:판관비율</t>
        </is>
      </c>
      <c r="C49" t="inlineStr">
        <is>
          <t>판관비율</t>
        </is>
      </c>
      <c r="D49" s="27" t="n">
        <v>0.7085638998682476</v>
      </c>
      <c r="E49" s="6" t="inlineStr">
        <is>
          <t>연결 — 판관비 = 매출액 × 판관비율(역산, 재현 오차 ≤ 0.05억 · 모델 assumptions 0.7085)</t>
        </is>
      </c>
      <c r="F49" s="9" t="n"/>
      <c r="G49" s="9" t="n"/>
      <c r="H49" s="10" t="n"/>
      <c r="I49" s="9" t="n"/>
      <c r="J49" s="9" t="n"/>
      <c r="K49" s="9" t="n"/>
      <c r="L49" s="9" t="n"/>
      <c r="M49" s="10" t="n"/>
      <c r="N49" s="9" t="n"/>
      <c r="O49" s="9" t="n"/>
      <c r="P49" s="9" t="n"/>
      <c r="Q49" s="9" t="n"/>
      <c r="R49" s="10" t="n"/>
    </row>
    <row r="50">
      <c r="A50" s="11" t="inlineStr">
        <is>
          <t>sc:지배주주비중</t>
        </is>
      </c>
      <c r="C50" t="inlineStr">
        <is>
          <t>지배주주비중</t>
        </is>
      </c>
      <c r="D50" s="27" t="n">
        <v>1</v>
      </c>
      <c r="E50" s="6" t="inlineStr">
        <is>
          <t>연결 — 지배주주순이익 = 당기순이익 × 비중(역산, 재현 오차 ≤ 0.05억)</t>
        </is>
      </c>
      <c r="F50" s="9" t="n"/>
      <c r="G50" s="9" t="n"/>
      <c r="H50" s="10" t="n"/>
      <c r="I50" s="9" t="n"/>
      <c r="J50" s="9" t="n"/>
      <c r="K50" s="9" t="n"/>
      <c r="L50" s="9" t="n"/>
      <c r="M50" s="10" t="n"/>
      <c r="N50" s="9" t="n"/>
      <c r="O50" s="9" t="n"/>
      <c r="P50" s="9" t="n"/>
      <c r="Q50" s="9" t="n"/>
      <c r="R50" s="10" t="n"/>
    </row>
    <row r="51">
      <c r="A51" s="11" t="inlineStr">
        <is>
          <t>sc:이자율_자산</t>
        </is>
      </c>
      <c r="C51" t="inlineStr">
        <is>
          <t>이자율_자산</t>
        </is>
      </c>
      <c r="D51" s="27" t="n"/>
      <c r="E51" s="6" t="inlineStr">
        <is>
          <t>참고(연결 안 됨: 추정 이자손익 없음) — 모델 assumptions 값</t>
        </is>
      </c>
      <c r="F51" s="9" t="n"/>
      <c r="G51" s="9" t="n"/>
      <c r="H51" s="10" t="n"/>
      <c r="I51" s="9" t="n"/>
      <c r="J51" s="9" t="n"/>
      <c r="K51" s="9" t="n"/>
      <c r="L51" s="9" t="n"/>
      <c r="M51" s="10" t="n"/>
      <c r="N51" s="9" t="n"/>
      <c r="O51" s="9" t="n"/>
      <c r="P51" s="9" t="n"/>
      <c r="Q51" s="9" t="n"/>
      <c r="R51" s="10" t="n"/>
    </row>
    <row r="52">
      <c r="A52" s="11" t="inlineStr">
        <is>
          <t>sc:이자율_부채</t>
        </is>
      </c>
      <c r="C52" t="inlineStr">
        <is>
          <t>이자율_부채</t>
        </is>
      </c>
      <c r="D52" s="27" t="n"/>
      <c r="E52" s="6" t="inlineStr">
        <is>
          <t>참고(연결 안 됨: 추정 이자손익 없음) — 모델 assumptions 값</t>
        </is>
      </c>
      <c r="F52" s="9" t="n"/>
      <c r="G52" s="9" t="n"/>
      <c r="H52" s="10" t="n"/>
      <c r="I52" s="9" t="n"/>
      <c r="J52" s="9" t="n"/>
      <c r="K52" s="9" t="n"/>
      <c r="L52" s="9" t="n"/>
      <c r="M52" s="10" t="n"/>
      <c r="N52" s="9" t="n"/>
      <c r="O52" s="9" t="n"/>
      <c r="P52" s="9" t="n"/>
      <c r="Q52" s="9" t="n"/>
      <c r="R52" s="10" t="n"/>
    </row>
    <row r="53">
      <c r="A53" s="11" t="inlineStr">
        <is>
          <t>sc:배당성향</t>
        </is>
      </c>
      <c r="C53" t="inlineStr">
        <is>
          <t>배당성향</t>
        </is>
      </c>
      <c r="D53" s="17" t="n"/>
      <c r="E53" s="6" t="inlineStr">
        <is>
          <t>배당성향(참고 — 모델은 직전 DPS 유지·Q2 지급 가정)</t>
        </is>
      </c>
      <c r="F53" s="9" t="n"/>
      <c r="G53" s="9" t="n"/>
      <c r="H53" s="10" t="n"/>
      <c r="I53" s="9" t="n"/>
      <c r="J53" s="9" t="n"/>
      <c r="K53" s="9" t="n"/>
      <c r="L53" s="9" t="n"/>
      <c r="M53" s="10" t="n"/>
      <c r="N53" s="9" t="n"/>
      <c r="O53" s="9" t="n"/>
      <c r="P53" s="9" t="n"/>
      <c r="Q53" s="9" t="n"/>
      <c r="R53" s="10" t="n"/>
    </row>
    <row r="54">
      <c r="A54" s="11" t="inlineStr">
        <is>
          <t>sc:외화순노출_백만$</t>
        </is>
      </c>
      <c r="C54" t="inlineStr">
        <is>
          <t>외화순노출_백만$</t>
        </is>
      </c>
      <c r="D54" s="21" t="n"/>
      <c r="E54" s="6" t="inlineStr">
        <is>
          <t>외화 순노출 × Δ기말환율 (외화 시트 방식) — 외화 순노출 미공시(face) → 0 + 표기</t>
        </is>
      </c>
      <c r="F54" s="9" t="n"/>
      <c r="G54" s="9" t="n"/>
      <c r="H54" s="10" t="n"/>
      <c r="I54" s="9" t="n"/>
      <c r="J54" s="9" t="n"/>
      <c r="K54" s="9" t="n"/>
      <c r="L54" s="9" t="n"/>
      <c r="M54" s="10" t="n"/>
      <c r="N54" s="9" t="n"/>
      <c r="O54" s="9" t="n"/>
      <c r="P54" s="9" t="n"/>
      <c r="Q54" s="9" t="n"/>
      <c r="R54" s="10" t="n"/>
    </row>
    <row r="55">
      <c r="A55" s="11" t="inlineStr">
        <is>
          <t>sc:헤지비율</t>
        </is>
      </c>
      <c r="C55" t="inlineStr">
        <is>
          <t>헤지비율</t>
        </is>
      </c>
      <c r="D55" s="17" t="n"/>
      <c r="E55" s="6" t="inlineStr">
        <is>
          <t>sls 없음</t>
        </is>
      </c>
      <c r="F55" s="9" t="n"/>
      <c r="G55" s="9" t="n"/>
      <c r="H55" s="10" t="n"/>
      <c r="I55" s="9" t="n"/>
      <c r="J55" s="9" t="n"/>
      <c r="K55" s="9" t="n"/>
      <c r="L55" s="9" t="n"/>
      <c r="M55" s="10" t="n"/>
      <c r="N55" s="9" t="n"/>
      <c r="O55" s="9" t="n"/>
      <c r="P55" s="9" t="n"/>
      <c r="Q55" s="9" t="n"/>
      <c r="R55" s="10" t="n"/>
    </row>
    <row r="56">
      <c r="A56" s="11" t="inlineStr">
        <is>
          <t>sc:헤지환율_약정</t>
        </is>
      </c>
      <c r="C56" t="inlineStr">
        <is>
          <t>헤지환율_약정</t>
        </is>
      </c>
      <c r="D56" s="13" t="n"/>
      <c r="E56" s="6" t="inlineStr">
        <is>
          <t>sls 없음</t>
        </is>
      </c>
      <c r="F56" s="9" t="n"/>
      <c r="G56" s="9" t="n"/>
      <c r="H56" s="10" t="n"/>
      <c r="I56" s="9" t="n"/>
      <c r="J56" s="9" t="n"/>
      <c r="K56" s="9" t="n"/>
      <c r="L56" s="9" t="n"/>
      <c r="M56" s="10" t="n"/>
      <c r="N56" s="9" t="n"/>
      <c r="O56" s="9" t="n"/>
      <c r="P56" s="9" t="n"/>
      <c r="Q56" s="9" t="n"/>
      <c r="R56" s="10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R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2Q26</t>
        </is>
      </c>
      <c r="F1" s="4" t="inlineStr">
        <is>
          <t>3Q26</t>
        </is>
      </c>
      <c r="G1" s="4" t="inlineStr">
        <is>
          <t>4Q26</t>
        </is>
      </c>
      <c r="H1" s="4" t="n">
        <v>2026</v>
      </c>
      <c r="I1" s="4" t="inlineStr">
        <is>
          <t>1Q27</t>
        </is>
      </c>
      <c r="J1" s="4" t="inlineStr">
        <is>
          <t>2Q27</t>
        </is>
      </c>
      <c r="K1" s="4" t="inlineStr">
        <is>
          <t>3Q27</t>
        </is>
      </c>
      <c r="L1" s="4" t="inlineStr">
        <is>
          <t>4Q27</t>
        </is>
      </c>
      <c r="M1" s="4" t="n">
        <v>2027</v>
      </c>
      <c r="N1" s="4" t="inlineStr">
        <is>
          <t>1Q28</t>
        </is>
      </c>
      <c r="O1" s="4" t="inlineStr">
        <is>
          <t>2Q28</t>
        </is>
      </c>
      <c r="P1" s="4" t="inlineStr">
        <is>
          <t>3Q28</t>
        </is>
      </c>
      <c r="Q1" s="4" t="inlineStr">
        <is>
          <t>4Q28</t>
        </is>
      </c>
      <c r="R1" s="4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E2" s="5" t="n"/>
    </row>
    <row r="3">
      <c r="B3" t="inlineStr">
        <is>
          <t>케이앤에스아이앤씨(연)</t>
        </is>
      </c>
      <c r="C3" s="2" t="inlineStr">
        <is>
          <t>UPDATE: 26-10-26</t>
        </is>
      </c>
      <c r="E3" s="6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2026.06</t>
        </is>
      </c>
      <c r="F4" s="8" t="inlineStr">
        <is>
          <t>2026.09</t>
        </is>
      </c>
      <c r="G4" s="8" t="inlineStr">
        <is>
          <t>2026.12</t>
        </is>
      </c>
      <c r="H4" s="8" t="inlineStr">
        <is>
          <t>2026.12A</t>
        </is>
      </c>
      <c r="I4" s="8" t="inlineStr">
        <is>
          <t>2027.03</t>
        </is>
      </c>
      <c r="J4" s="8" t="inlineStr">
        <is>
          <t>2027.06</t>
        </is>
      </c>
      <c r="K4" s="8" t="inlineStr">
        <is>
          <t>2027.09</t>
        </is>
      </c>
      <c r="L4" s="8" t="inlineStr">
        <is>
          <t>2027.12</t>
        </is>
      </c>
      <c r="M4" s="8" t="inlineStr">
        <is>
          <t>2027.12A</t>
        </is>
      </c>
      <c r="N4" s="8" t="inlineStr">
        <is>
          <t>2028.03</t>
        </is>
      </c>
      <c r="O4" s="8" t="inlineStr">
        <is>
          <t>2028.06</t>
        </is>
      </c>
      <c r="P4" s="8" t="inlineStr">
        <is>
          <t>2028.09</t>
        </is>
      </c>
      <c r="Q4" s="8" t="inlineStr">
        <is>
          <t>2028.12</t>
        </is>
      </c>
      <c r="R4" s="8" t="inlineStr">
        <is>
          <t>2028.12A</t>
        </is>
      </c>
    </row>
    <row r="5">
      <c r="E5" s="5" t="n"/>
      <c r="F5" s="9" t="n"/>
      <c r="G5" s="9" t="n"/>
      <c r="H5" s="10" t="n"/>
      <c r="I5" s="9" t="n"/>
      <c r="J5" s="9" t="n"/>
      <c r="K5" s="9" t="n"/>
      <c r="L5" s="9" t="n"/>
      <c r="M5" s="10" t="n"/>
      <c r="N5" s="9" t="n"/>
      <c r="O5" s="9" t="n"/>
      <c r="P5" s="9" t="n"/>
      <c r="Q5" s="9" t="n"/>
      <c r="R5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2Q26</t>
        </is>
      </c>
      <c r="F1" s="4" t="inlineStr">
        <is>
          <t>3Q26</t>
        </is>
      </c>
      <c r="G1" s="4" t="inlineStr">
        <is>
          <t>4Q26</t>
        </is>
      </c>
      <c r="H1" s="4" t="n">
        <v>2026</v>
      </c>
      <c r="I1" s="4" t="inlineStr">
        <is>
          <t>1Q27</t>
        </is>
      </c>
      <c r="J1" s="4" t="inlineStr">
        <is>
          <t>2Q27</t>
        </is>
      </c>
      <c r="K1" s="4" t="inlineStr">
        <is>
          <t>3Q27</t>
        </is>
      </c>
      <c r="L1" s="4" t="inlineStr">
        <is>
          <t>4Q27</t>
        </is>
      </c>
      <c r="M1" s="4" t="n">
        <v>2027</v>
      </c>
      <c r="N1" s="4" t="inlineStr">
        <is>
          <t>1Q28</t>
        </is>
      </c>
      <c r="O1" s="4" t="inlineStr">
        <is>
          <t>2Q28</t>
        </is>
      </c>
      <c r="P1" s="4" t="inlineStr">
        <is>
          <t>3Q28</t>
        </is>
      </c>
      <c r="Q1" s="4" t="inlineStr">
        <is>
          <t>4Q28</t>
        </is>
      </c>
      <c r="R1" s="4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E2" s="5" t="n"/>
    </row>
    <row r="3">
      <c r="B3" t="inlineStr">
        <is>
          <t>케이앤에스아이앤씨(별)</t>
        </is>
      </c>
      <c r="C3" s="2" t="inlineStr">
        <is>
          <t>UPDATE: 26-10-26</t>
        </is>
      </c>
      <c r="E3" s="6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2026.06</t>
        </is>
      </c>
      <c r="F4" s="8" t="inlineStr">
        <is>
          <t>2026.09</t>
        </is>
      </c>
      <c r="G4" s="8" t="inlineStr">
        <is>
          <t>2026.12</t>
        </is>
      </c>
      <c r="H4" s="8" t="inlineStr">
        <is>
          <t>2026.12A</t>
        </is>
      </c>
      <c r="I4" s="8" t="inlineStr">
        <is>
          <t>2027.03</t>
        </is>
      </c>
      <c r="J4" s="8" t="inlineStr">
        <is>
          <t>2027.06</t>
        </is>
      </c>
      <c r="K4" s="8" t="inlineStr">
        <is>
          <t>2027.09</t>
        </is>
      </c>
      <c r="L4" s="8" t="inlineStr">
        <is>
          <t>2027.12</t>
        </is>
      </c>
      <c r="M4" s="8" t="inlineStr">
        <is>
          <t>2027.12A</t>
        </is>
      </c>
      <c r="N4" s="8" t="inlineStr">
        <is>
          <t>2028.03</t>
        </is>
      </c>
      <c r="O4" s="8" t="inlineStr">
        <is>
          <t>2028.06</t>
        </is>
      </c>
      <c r="P4" s="8" t="inlineStr">
        <is>
          <t>2028.09</t>
        </is>
      </c>
      <c r="Q4" s="8" t="inlineStr">
        <is>
          <t>2028.12</t>
        </is>
      </c>
      <c r="R4" s="8" t="inlineStr">
        <is>
          <t>2028.12A</t>
        </is>
      </c>
    </row>
    <row r="5">
      <c r="A5" t="n">
        <v>1</v>
      </c>
      <c r="C5" t="inlineStr">
        <is>
          <t>유동자산</t>
        </is>
      </c>
      <c r="E5" s="28" t="n">
        <v>20261.86</v>
      </c>
      <c r="F5" s="9" t="n"/>
      <c r="G5" s="9" t="n"/>
      <c r="H5" s="10" t="n"/>
      <c r="I5" s="9" t="n"/>
      <c r="J5" s="9" t="n"/>
      <c r="K5" s="9" t="n"/>
      <c r="L5" s="9" t="n"/>
      <c r="M5" s="10" t="n"/>
      <c r="N5" s="9" t="n"/>
      <c r="O5" s="9" t="n"/>
      <c r="P5" s="9" t="n"/>
      <c r="Q5" s="9" t="n"/>
      <c r="R5" s="10" t="n"/>
    </row>
    <row r="6">
      <c r="A6" t="n">
        <v>1</v>
      </c>
      <c r="C6" t="inlineStr">
        <is>
          <t>현금및현금성자산</t>
        </is>
      </c>
      <c r="E6" s="28" t="n">
        <v>11490.67</v>
      </c>
      <c r="F6" s="9" t="n"/>
      <c r="G6" s="9" t="n"/>
      <c r="H6" s="10" t="n"/>
      <c r="I6" s="9" t="n"/>
      <c r="J6" s="9" t="n"/>
      <c r="K6" s="9" t="n"/>
      <c r="L6" s="9" t="n"/>
      <c r="M6" s="10" t="n"/>
      <c r="N6" s="9" t="n"/>
      <c r="O6" s="9" t="n"/>
      <c r="P6" s="9" t="n"/>
      <c r="Q6" s="9" t="n"/>
      <c r="R6" s="10" t="n"/>
    </row>
    <row r="7">
      <c r="A7" t="n">
        <v>1</v>
      </c>
      <c r="C7" t="inlineStr">
        <is>
          <t>매출채권및기타채권</t>
        </is>
      </c>
      <c r="E7" s="28" t="n">
        <v>1057.1</v>
      </c>
      <c r="F7" s="9" t="n"/>
      <c r="G7" s="9" t="n"/>
      <c r="H7" s="10" t="n"/>
      <c r="I7" s="9" t="n"/>
      <c r="J7" s="9" t="n"/>
      <c r="K7" s="9" t="n"/>
      <c r="L7" s="9" t="n"/>
      <c r="M7" s="10" t="n"/>
      <c r="N7" s="9" t="n"/>
      <c r="O7" s="9" t="n"/>
      <c r="P7" s="9" t="n"/>
      <c r="Q7" s="9" t="n"/>
      <c r="R7" s="10" t="n"/>
    </row>
    <row r="8">
      <c r="A8" t="n">
        <v>1</v>
      </c>
      <c r="C8" t="inlineStr">
        <is>
          <t>기타유동자산</t>
        </is>
      </c>
      <c r="E8" s="28" t="n">
        <v>347.53</v>
      </c>
      <c r="F8" s="9" t="n"/>
      <c r="G8" s="9" t="n"/>
      <c r="H8" s="10" t="n"/>
      <c r="I8" s="9" t="n"/>
      <c r="J8" s="9" t="n"/>
      <c r="K8" s="9" t="n"/>
      <c r="L8" s="9" t="n"/>
      <c r="M8" s="10" t="n"/>
      <c r="N8" s="9" t="n"/>
      <c r="O8" s="9" t="n"/>
      <c r="P8" s="9" t="n"/>
      <c r="Q8" s="9" t="n"/>
      <c r="R8" s="10" t="n"/>
    </row>
    <row r="9">
      <c r="A9" t="n">
        <v>1</v>
      </c>
      <c r="C9" t="inlineStr">
        <is>
          <t>재고자산</t>
        </is>
      </c>
      <c r="E9" s="28" t="n">
        <v>7358.62</v>
      </c>
      <c r="F9" s="9" t="n"/>
      <c r="G9" s="9" t="n"/>
      <c r="H9" s="10" t="n"/>
      <c r="I9" s="9" t="n"/>
      <c r="J9" s="9" t="n"/>
      <c r="K9" s="9" t="n"/>
      <c r="L9" s="9" t="n"/>
      <c r="M9" s="10" t="n"/>
      <c r="N9" s="9" t="n"/>
      <c r="O9" s="9" t="n"/>
      <c r="P9" s="9" t="n"/>
      <c r="Q9" s="9" t="n"/>
      <c r="R9" s="10" t="n"/>
    </row>
    <row r="10">
      <c r="A10" t="n">
        <v>1</v>
      </c>
      <c r="C10" t="inlineStr">
        <is>
          <t>비유동자산</t>
        </is>
      </c>
      <c r="E10" s="28" t="n">
        <v>8062.05</v>
      </c>
      <c r="F10" s="9" t="n"/>
      <c r="G10" s="9" t="n"/>
      <c r="H10" s="10" t="n"/>
      <c r="I10" s="9" t="n"/>
      <c r="J10" s="9" t="n"/>
      <c r="K10" s="9" t="n"/>
      <c r="L10" s="9" t="n"/>
      <c r="M10" s="10" t="n"/>
      <c r="N10" s="9" t="n"/>
      <c r="O10" s="9" t="n"/>
      <c r="P10" s="9" t="n"/>
      <c r="Q10" s="9" t="n"/>
      <c r="R10" s="10" t="n"/>
    </row>
    <row r="11">
      <c r="A11" t="n">
        <v>1</v>
      </c>
      <c r="C11" t="inlineStr">
        <is>
          <t>장기금융자산</t>
        </is>
      </c>
      <c r="E11" s="28" t="n">
        <v>243.45</v>
      </c>
      <c r="F11" s="9" t="n"/>
      <c r="G11" s="9" t="n"/>
      <c r="H11" s="10" t="n"/>
      <c r="I11" s="9" t="n"/>
      <c r="J11" s="9" t="n"/>
      <c r="K11" s="9" t="n"/>
      <c r="L11" s="9" t="n"/>
      <c r="M11" s="10" t="n"/>
      <c r="N11" s="9" t="n"/>
      <c r="O11" s="9" t="n"/>
      <c r="P11" s="9" t="n"/>
      <c r="Q11" s="9" t="n"/>
      <c r="R11" s="10" t="n"/>
    </row>
    <row r="12">
      <c r="A12" t="n">
        <v>1</v>
      </c>
      <c r="C12" t="inlineStr">
        <is>
          <t>투자자산</t>
        </is>
      </c>
      <c r="E12" s="28" t="n">
        <v>243.45</v>
      </c>
      <c r="F12" s="9" t="n"/>
      <c r="G12" s="9" t="n"/>
      <c r="H12" s="10" t="n"/>
      <c r="I12" s="9" t="n"/>
      <c r="J12" s="9" t="n"/>
      <c r="K12" s="9" t="n"/>
      <c r="L12" s="9" t="n"/>
      <c r="M12" s="10" t="n"/>
      <c r="N12" s="9" t="n"/>
      <c r="O12" s="9" t="n"/>
      <c r="P12" s="9" t="n"/>
      <c r="Q12" s="9" t="n"/>
      <c r="R12" s="10" t="n"/>
    </row>
    <row r="13">
      <c r="A13" t="n">
        <v>1</v>
      </c>
      <c r="C13" t="inlineStr">
        <is>
          <t>유형자산</t>
        </is>
      </c>
      <c r="E13" s="28" t="n">
        <v>7086.2</v>
      </c>
      <c r="F13" s="9" t="n"/>
      <c r="G13" s="9" t="n"/>
      <c r="H13" s="10" t="n"/>
      <c r="I13" s="9" t="n"/>
      <c r="J13" s="9" t="n"/>
      <c r="K13" s="9" t="n"/>
      <c r="L13" s="9" t="n"/>
      <c r="M13" s="10" t="n"/>
      <c r="N13" s="9" t="n"/>
      <c r="O13" s="9" t="n"/>
      <c r="P13" s="9" t="n"/>
      <c r="Q13" s="9" t="n"/>
      <c r="R13" s="10" t="n"/>
    </row>
    <row r="14">
      <c r="A14" t="n">
        <v>1</v>
      </c>
      <c r="C14" t="inlineStr">
        <is>
          <t>무형자산</t>
        </is>
      </c>
      <c r="E14" s="28" t="n">
        <v>732.4</v>
      </c>
      <c r="F14" s="9" t="n"/>
      <c r="G14" s="9" t="n"/>
      <c r="H14" s="10" t="n"/>
      <c r="I14" s="9" t="n"/>
      <c r="J14" s="9" t="n"/>
      <c r="K14" s="9" t="n"/>
      <c r="L14" s="9" t="n"/>
      <c r="M14" s="10" t="n"/>
      <c r="N14" s="9" t="n"/>
      <c r="O14" s="9" t="n"/>
      <c r="P14" s="9" t="n"/>
      <c r="Q14" s="9" t="n"/>
      <c r="R14" s="10" t="n"/>
    </row>
    <row r="15">
      <c r="A15" t="n">
        <v>1</v>
      </c>
      <c r="C15" t="inlineStr">
        <is>
          <t>자산총계</t>
        </is>
      </c>
      <c r="E15" s="28" t="n">
        <v>28323.91</v>
      </c>
      <c r="F15" s="9" t="n"/>
      <c r="G15" s="9" t="n"/>
      <c r="H15" s="10" t="n"/>
      <c r="I15" s="9" t="n"/>
      <c r="J15" s="9" t="n"/>
      <c r="K15" s="9" t="n"/>
      <c r="L15" s="9" t="n"/>
      <c r="M15" s="10" t="n"/>
      <c r="N15" s="9" t="n"/>
      <c r="O15" s="9" t="n"/>
      <c r="P15" s="9" t="n"/>
      <c r="Q15" s="9" t="n"/>
      <c r="R15" s="10" t="n"/>
    </row>
    <row r="16">
      <c r="A16" t="n">
        <v>1</v>
      </c>
      <c r="C16" t="inlineStr">
        <is>
          <t>유동부채</t>
        </is>
      </c>
      <c r="E16" s="28" t="n">
        <v>15986.26</v>
      </c>
      <c r="F16" s="9" t="n"/>
      <c r="G16" s="9" t="n"/>
      <c r="H16" s="10" t="n"/>
      <c r="I16" s="9" t="n"/>
      <c r="J16" s="9" t="n"/>
      <c r="K16" s="9" t="n"/>
      <c r="L16" s="9" t="n"/>
      <c r="M16" s="10" t="n"/>
      <c r="N16" s="9" t="n"/>
      <c r="O16" s="9" t="n"/>
      <c r="P16" s="9" t="n"/>
      <c r="Q16" s="9" t="n"/>
      <c r="R16" s="10" t="n"/>
    </row>
    <row r="17">
      <c r="A17" t="n">
        <v>1</v>
      </c>
      <c r="C17" t="inlineStr">
        <is>
          <t>매입채무및기타채무</t>
        </is>
      </c>
      <c r="E17" s="28" t="n">
        <v>2643.39</v>
      </c>
      <c r="F17" s="9" t="n"/>
      <c r="G17" s="9" t="n"/>
      <c r="H17" s="10" t="n"/>
      <c r="I17" s="9" t="n"/>
      <c r="J17" s="9" t="n"/>
      <c r="K17" s="9" t="n"/>
      <c r="L17" s="9" t="n"/>
      <c r="M17" s="10" t="n"/>
      <c r="N17" s="9" t="n"/>
      <c r="O17" s="9" t="n"/>
      <c r="P17" s="9" t="n"/>
      <c r="Q17" s="9" t="n"/>
      <c r="R17" s="10" t="n"/>
    </row>
    <row r="18">
      <c r="A18" t="n">
        <v>1</v>
      </c>
      <c r="C18" t="inlineStr">
        <is>
          <t>기타유동부채</t>
        </is>
      </c>
      <c r="E18" s="28" t="n">
        <v>5090.37</v>
      </c>
      <c r="F18" s="9" t="n"/>
      <c r="G18" s="9" t="n"/>
      <c r="H18" s="10" t="n"/>
      <c r="I18" s="9" t="n"/>
      <c r="J18" s="9" t="n"/>
      <c r="K18" s="9" t="n"/>
      <c r="L18" s="9" t="n"/>
      <c r="M18" s="10" t="n"/>
      <c r="N18" s="9" t="n"/>
      <c r="O18" s="9" t="n"/>
      <c r="P18" s="9" t="n"/>
      <c r="Q18" s="9" t="n"/>
      <c r="R18" s="10" t="n"/>
    </row>
    <row r="19">
      <c r="A19" t="n">
        <v>1</v>
      </c>
      <c r="C19" t="inlineStr">
        <is>
          <t>단기차입금</t>
        </is>
      </c>
      <c r="E19" s="28" t="n">
        <v>7998</v>
      </c>
      <c r="F19" s="9" t="n"/>
      <c r="G19" s="9" t="n"/>
      <c r="H19" s="10" t="n"/>
      <c r="I19" s="9" t="n"/>
      <c r="J19" s="9" t="n"/>
      <c r="K19" s="9" t="n"/>
      <c r="L19" s="9" t="n"/>
      <c r="M19" s="10" t="n"/>
      <c r="N19" s="9" t="n"/>
      <c r="O19" s="9" t="n"/>
      <c r="P19" s="9" t="n"/>
      <c r="Q19" s="9" t="n"/>
      <c r="R19" s="10" t="n"/>
    </row>
    <row r="20">
      <c r="A20" t="n">
        <v>1</v>
      </c>
      <c r="C20" t="inlineStr">
        <is>
          <t>유동리스부채</t>
        </is>
      </c>
      <c r="E20" s="28" t="n">
        <v>135.84</v>
      </c>
      <c r="F20" s="9" t="n"/>
      <c r="G20" s="9" t="n"/>
      <c r="H20" s="10" t="n"/>
      <c r="I20" s="9" t="n"/>
      <c r="J20" s="9" t="n"/>
      <c r="K20" s="9" t="n"/>
      <c r="L20" s="9" t="n"/>
      <c r="M20" s="10" t="n"/>
      <c r="N20" s="9" t="n"/>
      <c r="O20" s="9" t="n"/>
      <c r="P20" s="9" t="n"/>
      <c r="Q20" s="9" t="n"/>
      <c r="R20" s="10" t="n"/>
    </row>
    <row r="21">
      <c r="A21" t="n">
        <v>1</v>
      </c>
      <c r="C21" t="inlineStr">
        <is>
          <t>리스부채</t>
        </is>
      </c>
      <c r="E21" s="28" t="n">
        <v>265.91</v>
      </c>
      <c r="F21" s="9" t="n"/>
      <c r="G21" s="9" t="n"/>
      <c r="H21" s="10" t="n"/>
      <c r="I21" s="9" t="n"/>
      <c r="J21" s="9" t="n"/>
      <c r="K21" s="9" t="n"/>
      <c r="L21" s="9" t="n"/>
      <c r="M21" s="10" t="n"/>
      <c r="N21" s="9" t="n"/>
      <c r="O21" s="9" t="n"/>
      <c r="P21" s="9" t="n"/>
      <c r="Q21" s="9" t="n"/>
      <c r="R21" s="10" t="n"/>
    </row>
    <row r="22">
      <c r="A22" t="n">
        <v>1</v>
      </c>
      <c r="C22" t="inlineStr">
        <is>
          <t>단기금융부채</t>
        </is>
      </c>
      <c r="E22" s="28" t="n">
        <v>135.84</v>
      </c>
      <c r="F22" s="9" t="n"/>
      <c r="G22" s="9" t="n"/>
      <c r="H22" s="10" t="n"/>
      <c r="I22" s="9" t="n"/>
      <c r="J22" s="9" t="n"/>
      <c r="K22" s="9" t="n"/>
      <c r="L22" s="9" t="n"/>
      <c r="M22" s="10" t="n"/>
      <c r="N22" s="9" t="n"/>
      <c r="O22" s="9" t="n"/>
      <c r="P22" s="9" t="n"/>
      <c r="Q22" s="9" t="n"/>
      <c r="R22" s="10" t="n"/>
    </row>
    <row r="23">
      <c r="A23" t="n">
        <v>1</v>
      </c>
      <c r="C23" t="inlineStr">
        <is>
          <t>단기충당부채</t>
        </is>
      </c>
      <c r="E23" s="28" t="n">
        <v>118.66</v>
      </c>
      <c r="F23" s="9" t="n"/>
      <c r="G23" s="9" t="n"/>
      <c r="H23" s="10" t="n"/>
      <c r="I23" s="9" t="n"/>
      <c r="J23" s="9" t="n"/>
      <c r="K23" s="9" t="n"/>
      <c r="L23" s="9" t="n"/>
      <c r="M23" s="10" t="n"/>
      <c r="N23" s="9" t="n"/>
      <c r="O23" s="9" t="n"/>
      <c r="P23" s="9" t="n"/>
      <c r="Q23" s="9" t="n"/>
      <c r="R23" s="10" t="n"/>
    </row>
    <row r="24">
      <c r="A24" t="n">
        <v>1</v>
      </c>
      <c r="C24" t="inlineStr">
        <is>
          <t>비유동부채</t>
        </is>
      </c>
      <c r="E24" s="28" t="n">
        <v>2109.17</v>
      </c>
      <c r="F24" s="9" t="n"/>
      <c r="G24" s="9" t="n"/>
      <c r="H24" s="10" t="n"/>
      <c r="I24" s="9" t="n"/>
      <c r="J24" s="9" t="n"/>
      <c r="K24" s="9" t="n"/>
      <c r="L24" s="9" t="n"/>
      <c r="M24" s="10" t="n"/>
      <c r="N24" s="9" t="n"/>
      <c r="O24" s="9" t="n"/>
      <c r="P24" s="9" t="n"/>
      <c r="Q24" s="9" t="n"/>
      <c r="R24" s="10" t="n"/>
    </row>
    <row r="25">
      <c r="A25" t="n">
        <v>1</v>
      </c>
      <c r="C25" t="inlineStr">
        <is>
          <t>장기매입채무및기타채무</t>
        </is>
      </c>
      <c r="E25" s="28" t="n">
        <v>22.22</v>
      </c>
      <c r="F25" s="9" t="n"/>
      <c r="G25" s="9" t="n"/>
      <c r="H25" s="10" t="n"/>
      <c r="I25" s="9" t="n"/>
      <c r="J25" s="9" t="n"/>
      <c r="K25" s="9" t="n"/>
      <c r="L25" s="9" t="n"/>
      <c r="M25" s="10" t="n"/>
      <c r="N25" s="9" t="n"/>
      <c r="O25" s="9" t="n"/>
      <c r="P25" s="9" t="n"/>
      <c r="Q25" s="9" t="n"/>
      <c r="R25" s="10" t="n"/>
    </row>
    <row r="26">
      <c r="A26" t="n">
        <v>1</v>
      </c>
      <c r="C26" t="inlineStr">
        <is>
          <t>비유동리스부채</t>
        </is>
      </c>
      <c r="E26" s="28" t="n">
        <v>130.07</v>
      </c>
      <c r="F26" s="9" t="n"/>
      <c r="G26" s="9" t="n"/>
      <c r="H26" s="10" t="n"/>
      <c r="I26" s="9" t="n"/>
      <c r="J26" s="9" t="n"/>
      <c r="K26" s="9" t="n"/>
      <c r="L26" s="9" t="n"/>
      <c r="M26" s="10" t="n"/>
      <c r="N26" s="9" t="n"/>
      <c r="O26" s="9" t="n"/>
      <c r="P26" s="9" t="n"/>
      <c r="Q26" s="9" t="n"/>
      <c r="R26" s="10" t="n"/>
    </row>
    <row r="27">
      <c r="A27" t="n">
        <v>1</v>
      </c>
      <c r="C27" t="inlineStr">
        <is>
          <t>장기금융부채</t>
        </is>
      </c>
      <c r="E27" s="28" t="n">
        <v>130.07</v>
      </c>
      <c r="F27" s="9" t="n"/>
      <c r="G27" s="9" t="n"/>
      <c r="H27" s="10" t="n"/>
      <c r="I27" s="9" t="n"/>
      <c r="J27" s="9" t="n"/>
      <c r="K27" s="9" t="n"/>
      <c r="L27" s="9" t="n"/>
      <c r="M27" s="10" t="n"/>
      <c r="N27" s="9" t="n"/>
      <c r="O27" s="9" t="n"/>
      <c r="P27" s="9" t="n"/>
      <c r="Q27" s="9" t="n"/>
      <c r="R27" s="10" t="n"/>
    </row>
    <row r="28">
      <c r="A28" t="n">
        <v>1</v>
      </c>
      <c r="C28" t="inlineStr">
        <is>
          <t>기타비유동부채</t>
        </is>
      </c>
      <c r="E28" s="28" t="n">
        <v>52.61</v>
      </c>
      <c r="F28" s="9" t="n"/>
      <c r="G28" s="9" t="n"/>
      <c r="H28" s="10" t="n"/>
      <c r="I28" s="9" t="n"/>
      <c r="J28" s="9" t="n"/>
      <c r="K28" s="9" t="n"/>
      <c r="L28" s="9" t="n"/>
      <c r="M28" s="10" t="n"/>
      <c r="N28" s="9" t="n"/>
      <c r="O28" s="9" t="n"/>
      <c r="P28" s="9" t="n"/>
      <c r="Q28" s="9" t="n"/>
      <c r="R28" s="10" t="n"/>
    </row>
    <row r="29">
      <c r="A29" t="n">
        <v>1</v>
      </c>
      <c r="C29" t="inlineStr">
        <is>
          <t>확정급여부채</t>
        </is>
      </c>
      <c r="E29" s="28" t="n">
        <v>1904.27</v>
      </c>
      <c r="F29" s="9" t="n"/>
      <c r="G29" s="9" t="n"/>
      <c r="H29" s="10" t="n"/>
      <c r="I29" s="9" t="n"/>
      <c r="J29" s="9" t="n"/>
      <c r="K29" s="9" t="n"/>
      <c r="L29" s="9" t="n"/>
      <c r="M29" s="10" t="n"/>
      <c r="N29" s="9" t="n"/>
      <c r="O29" s="9" t="n"/>
      <c r="P29" s="9" t="n"/>
      <c r="Q29" s="9" t="n"/>
      <c r="R29" s="10" t="n"/>
    </row>
    <row r="30">
      <c r="A30" t="n">
        <v>1</v>
      </c>
      <c r="C30" t="inlineStr">
        <is>
          <t>부채총계</t>
        </is>
      </c>
      <c r="E30" s="28" t="n">
        <v>18095.43</v>
      </c>
      <c r="F30" s="9" t="n"/>
      <c r="G30" s="9" t="n"/>
      <c r="H30" s="10" t="n"/>
      <c r="I30" s="9" t="n"/>
      <c r="J30" s="9" t="n"/>
      <c r="K30" s="9" t="n"/>
      <c r="L30" s="9" t="n"/>
      <c r="M30" s="10" t="n"/>
      <c r="N30" s="9" t="n"/>
      <c r="O30" s="9" t="n"/>
      <c r="P30" s="9" t="n"/>
      <c r="Q30" s="9" t="n"/>
      <c r="R30" s="10" t="n"/>
    </row>
    <row r="31">
      <c r="A31" t="n">
        <v>1</v>
      </c>
      <c r="C31" t="inlineStr">
        <is>
          <t>자본금</t>
        </is>
      </c>
      <c r="E31" s="28" t="n">
        <v>778.89</v>
      </c>
      <c r="F31" s="9" t="n"/>
      <c r="G31" s="9" t="n"/>
      <c r="H31" s="10" t="n"/>
      <c r="I31" s="9" t="n"/>
      <c r="J31" s="9" t="n"/>
      <c r="K31" s="9" t="n"/>
      <c r="L31" s="9" t="n"/>
      <c r="M31" s="10" t="n"/>
      <c r="N31" s="9" t="n"/>
      <c r="O31" s="9" t="n"/>
      <c r="P31" s="9" t="n"/>
      <c r="Q31" s="9" t="n"/>
      <c r="R31" s="10" t="n"/>
    </row>
    <row r="32">
      <c r="A32" t="n">
        <v>1</v>
      </c>
      <c r="C32" t="inlineStr">
        <is>
          <t>기타자본</t>
        </is>
      </c>
      <c r="E32" s="28" t="n">
        <v>11312.75</v>
      </c>
      <c r="F32" s="9" t="n"/>
      <c r="G32" s="9" t="n"/>
      <c r="H32" s="10" t="n"/>
      <c r="I32" s="9" t="n"/>
      <c r="J32" s="9" t="n"/>
      <c r="K32" s="9" t="n"/>
      <c r="L32" s="9" t="n"/>
      <c r="M32" s="10" t="n"/>
      <c r="N32" s="9" t="n"/>
      <c r="O32" s="9" t="n"/>
      <c r="P32" s="9" t="n"/>
      <c r="Q32" s="9" t="n"/>
      <c r="R32" s="10" t="n"/>
    </row>
    <row r="33">
      <c r="A33" t="n">
        <v>1</v>
      </c>
      <c r="C33" t="inlineStr">
        <is>
          <t>기타포괄이익누계액</t>
        </is>
      </c>
      <c r="E33" s="28" t="n">
        <v>-591.73</v>
      </c>
      <c r="F33" s="9" t="n"/>
      <c r="G33" s="9" t="n"/>
      <c r="H33" s="10" t="n"/>
      <c r="I33" s="9" t="n"/>
      <c r="J33" s="9" t="n"/>
      <c r="K33" s="9" t="n"/>
      <c r="L33" s="9" t="n"/>
      <c r="M33" s="10" t="n"/>
      <c r="N33" s="9" t="n"/>
      <c r="O33" s="9" t="n"/>
      <c r="P33" s="9" t="n"/>
      <c r="Q33" s="9" t="n"/>
      <c r="R33" s="10" t="n"/>
    </row>
    <row r="34">
      <c r="A34" t="n">
        <v>1</v>
      </c>
      <c r="C34" t="inlineStr">
        <is>
          <t>이익잉여금</t>
        </is>
      </c>
      <c r="E34" s="28" t="n">
        <v>-1271.43</v>
      </c>
      <c r="F34" s="9" t="n"/>
      <c r="G34" s="9" t="n"/>
      <c r="H34" s="10" t="n"/>
      <c r="I34" s="9" t="n"/>
      <c r="J34" s="9" t="n"/>
      <c r="K34" s="9" t="n"/>
      <c r="L34" s="9" t="n"/>
      <c r="M34" s="10" t="n"/>
      <c r="N34" s="9" t="n"/>
      <c r="O34" s="9" t="n"/>
      <c r="P34" s="9" t="n"/>
      <c r="Q34" s="9" t="n"/>
      <c r="R34" s="10" t="n"/>
    </row>
    <row r="35">
      <c r="A35" t="n">
        <v>1</v>
      </c>
      <c r="C35" t="inlineStr">
        <is>
          <t>자본총계</t>
        </is>
      </c>
      <c r="E35" s="28" t="n">
        <v>10228.48</v>
      </c>
      <c r="F35" s="9" t="n"/>
      <c r="G35" s="9" t="n"/>
      <c r="H35" s="10" t="n"/>
      <c r="I35" s="9" t="n"/>
      <c r="J35" s="9" t="n"/>
      <c r="K35" s="9" t="n"/>
      <c r="L35" s="9" t="n"/>
      <c r="M35" s="10" t="n"/>
      <c r="N35" s="9" t="n"/>
      <c r="O35" s="9" t="n"/>
      <c r="P35" s="9" t="n"/>
      <c r="Q35" s="9" t="n"/>
      <c r="R35" s="10" t="n"/>
    </row>
    <row r="36">
      <c r="A36" t="n">
        <v>1</v>
      </c>
      <c r="C36" t="inlineStr">
        <is>
          <t>부채와자본총계</t>
        </is>
      </c>
      <c r="E36" s="28" t="n">
        <v>28323.91</v>
      </c>
      <c r="F36" s="9" t="n"/>
      <c r="G36" s="9" t="n"/>
      <c r="H36" s="10" t="n"/>
      <c r="I36" s="9" t="n"/>
      <c r="J36" s="9" t="n"/>
      <c r="K36" s="9" t="n"/>
      <c r="L36" s="9" t="n"/>
      <c r="M36" s="10" t="n"/>
      <c r="N36" s="9" t="n"/>
      <c r="O36" s="9" t="n"/>
      <c r="P36" s="9" t="n"/>
      <c r="Q36" s="9" t="n"/>
      <c r="R36" s="10" t="n"/>
    </row>
    <row r="37">
      <c r="A37" t="n">
        <v>1</v>
      </c>
      <c r="C37" t="inlineStr">
        <is>
          <t>지배주주지분</t>
        </is>
      </c>
      <c r="E37" s="28" t="n">
        <v>10228.48</v>
      </c>
      <c r="F37" s="9" t="n"/>
      <c r="G37" s="9" t="n"/>
      <c r="H37" s="10" t="n"/>
      <c r="I37" s="9" t="n"/>
      <c r="J37" s="9" t="n"/>
      <c r="K37" s="9" t="n"/>
      <c r="L37" s="9" t="n"/>
      <c r="M37" s="10" t="n"/>
      <c r="N37" s="9" t="n"/>
      <c r="O37" s="9" t="n"/>
      <c r="P37" s="9" t="n"/>
      <c r="Q37" s="9" t="n"/>
      <c r="R37" s="10" t="n"/>
    </row>
    <row r="38">
      <c r="A38" t="n">
        <v>1</v>
      </c>
      <c r="C38" t="inlineStr">
        <is>
          <t>총차입금</t>
        </is>
      </c>
      <c r="E38" s="28" t="n">
        <v>7998</v>
      </c>
      <c r="F38" s="9" t="n"/>
      <c r="G38" s="9" t="n"/>
      <c r="H38" s="10" t="n"/>
      <c r="I38" s="9" t="n"/>
      <c r="J38" s="9" t="n"/>
      <c r="K38" s="9" t="n"/>
      <c r="L38" s="9" t="n"/>
      <c r="M38" s="10" t="n"/>
      <c r="N38" s="9" t="n"/>
      <c r="O38" s="9" t="n"/>
      <c r="P38" s="9" t="n"/>
      <c r="Q38" s="9" t="n"/>
      <c r="R38" s="10" t="n"/>
    </row>
    <row r="39">
      <c r="A39" t="n">
        <v>1</v>
      </c>
      <c r="C39" t="inlineStr">
        <is>
          <t>순차입금</t>
        </is>
      </c>
      <c r="E39" s="28" t="n">
        <v>-3492.67</v>
      </c>
      <c r="F39" s="9" t="n"/>
      <c r="G39" s="9" t="n"/>
      <c r="H39" s="10" t="n"/>
      <c r="I39" s="9" t="n"/>
      <c r="J39" s="9" t="n"/>
      <c r="K39" s="9" t="n"/>
      <c r="L39" s="9" t="n"/>
      <c r="M39" s="10" t="n"/>
      <c r="N39" s="9" t="n"/>
      <c r="O39" s="9" t="n"/>
      <c r="P39" s="9" t="n"/>
      <c r="Q39" s="9" t="n"/>
      <c r="R39" s="10" t="n"/>
    </row>
    <row r="40">
      <c r="A40" t="n">
        <v>1</v>
      </c>
      <c r="C40" t="inlineStr">
        <is>
          <t>이자발생자산</t>
        </is>
      </c>
      <c r="E40" s="28" t="n">
        <v>11734.12</v>
      </c>
      <c r="F40" s="9" t="n"/>
      <c r="G40" s="9" t="n"/>
      <c r="H40" s="10" t="n"/>
      <c r="I40" s="9" t="n"/>
      <c r="J40" s="9" t="n"/>
      <c r="K40" s="9" t="n"/>
      <c r="L40" s="9" t="n"/>
      <c r="M40" s="10" t="n"/>
      <c r="N40" s="9" t="n"/>
      <c r="O40" s="9" t="n"/>
      <c r="P40" s="9" t="n"/>
      <c r="Q40" s="9" t="n"/>
      <c r="R40" s="10" t="n"/>
    </row>
    <row r="41">
      <c r="A41" t="n">
        <v>1</v>
      </c>
      <c r="C41" t="inlineStr">
        <is>
          <t>매출액(수익)</t>
        </is>
      </c>
      <c r="E41" s="28" t="n">
        <v>3795.27</v>
      </c>
      <c r="F41" s="9" t="n"/>
      <c r="G41" s="9" t="n"/>
      <c r="H41" s="10" t="n"/>
      <c r="I41" s="9" t="n"/>
      <c r="J41" s="9" t="n"/>
      <c r="K41" s="9" t="n"/>
      <c r="L41" s="9" t="n"/>
      <c r="M41" s="10" t="n"/>
      <c r="N41" s="9" t="n"/>
      <c r="O41" s="9" t="n"/>
      <c r="P41" s="9" t="n"/>
      <c r="Q41" s="9" t="n"/>
      <c r="R41" s="10" t="n"/>
    </row>
    <row r="42">
      <c r="A42" t="n">
        <v>1</v>
      </c>
      <c r="C42" t="inlineStr">
        <is>
          <t>매출원가</t>
        </is>
      </c>
      <c r="E42" s="28" t="n">
        <v>2581.45</v>
      </c>
      <c r="F42" s="9" t="n"/>
      <c r="G42" s="9" t="n"/>
      <c r="H42" s="10" t="n"/>
      <c r="I42" s="9" t="n"/>
      <c r="J42" s="9" t="n"/>
      <c r="K42" s="9" t="n"/>
      <c r="L42" s="9" t="n"/>
      <c r="M42" s="10" t="n"/>
      <c r="N42" s="9" t="n"/>
      <c r="O42" s="9" t="n"/>
      <c r="P42" s="9" t="n"/>
      <c r="Q42" s="9" t="n"/>
      <c r="R42" s="10" t="n"/>
    </row>
    <row r="43">
      <c r="A43" t="n">
        <v>1</v>
      </c>
      <c r="C43" t="inlineStr">
        <is>
          <t>매출총이익</t>
        </is>
      </c>
      <c r="E43" s="28" t="n">
        <v>1213.82</v>
      </c>
      <c r="F43" s="9" t="n"/>
      <c r="G43" s="9" t="n"/>
      <c r="H43" s="10" t="n"/>
      <c r="I43" s="9" t="n"/>
      <c r="J43" s="9" t="n"/>
      <c r="K43" s="9" t="n"/>
      <c r="L43" s="9" t="n"/>
      <c r="M43" s="10" t="n"/>
      <c r="N43" s="9" t="n"/>
      <c r="O43" s="9" t="n"/>
      <c r="P43" s="9" t="n"/>
      <c r="Q43" s="9" t="n"/>
      <c r="R43" s="10" t="n"/>
    </row>
    <row r="44">
      <c r="A44" t="n">
        <v>1</v>
      </c>
      <c r="C44" t="inlineStr">
        <is>
          <t>판관비</t>
        </is>
      </c>
      <c r="E44" s="28" t="n">
        <v>2689.08</v>
      </c>
      <c r="F44" s="9" t="n"/>
      <c r="G44" s="9" t="n"/>
      <c r="H44" s="10" t="n"/>
      <c r="I44" s="9" t="n"/>
      <c r="J44" s="9" t="n"/>
      <c r="K44" s="9" t="n"/>
      <c r="L44" s="9" t="n"/>
      <c r="M44" s="10" t="n"/>
      <c r="N44" s="9" t="n"/>
      <c r="O44" s="9" t="n"/>
      <c r="P44" s="9" t="n"/>
      <c r="Q44" s="9" t="n"/>
      <c r="R44" s="10" t="n"/>
    </row>
    <row r="45">
      <c r="A45" t="n">
        <v>1</v>
      </c>
      <c r="C45" t="inlineStr">
        <is>
          <t>영업이익</t>
        </is>
      </c>
      <c r="E45" s="28" t="n">
        <v>-1475.26</v>
      </c>
      <c r="F45" s="9" t="n"/>
      <c r="G45" s="9" t="n"/>
      <c r="H45" s="10" t="n"/>
      <c r="I45" s="9" t="n"/>
      <c r="J45" s="9" t="n"/>
      <c r="K45" s="9" t="n"/>
      <c r="L45" s="9" t="n"/>
      <c r="M45" s="10" t="n"/>
      <c r="N45" s="9" t="n"/>
      <c r="O45" s="9" t="n"/>
      <c r="P45" s="9" t="n"/>
      <c r="Q45" s="9" t="n"/>
      <c r="R45" s="10" t="n"/>
    </row>
    <row r="46">
      <c r="A46" t="n">
        <v>1</v>
      </c>
      <c r="C46" t="inlineStr">
        <is>
          <t>금융수익</t>
        </is>
      </c>
      <c r="E46" s="28" t="n">
        <v>48.83</v>
      </c>
      <c r="F46" s="9" t="n"/>
      <c r="G46" s="9" t="n"/>
      <c r="H46" s="10" t="n"/>
      <c r="I46" s="9" t="n"/>
      <c r="J46" s="9" t="n"/>
      <c r="K46" s="9" t="n"/>
      <c r="L46" s="9" t="n"/>
      <c r="M46" s="10" t="n"/>
      <c r="N46" s="9" t="n"/>
      <c r="O46" s="9" t="n"/>
      <c r="P46" s="9" t="n"/>
      <c r="Q46" s="9" t="n"/>
      <c r="R46" s="10" t="n"/>
    </row>
    <row r="47">
      <c r="A47" t="n">
        <v>1</v>
      </c>
      <c r="C47" t="inlineStr">
        <is>
          <t>금융비용</t>
        </is>
      </c>
      <c r="E47" s="28" t="n">
        <v>115.37</v>
      </c>
      <c r="F47" s="9" t="n"/>
      <c r="G47" s="9" t="n"/>
      <c r="H47" s="10" t="n"/>
      <c r="I47" s="9" t="n"/>
      <c r="J47" s="9" t="n"/>
      <c r="K47" s="9" t="n"/>
      <c r="L47" s="9" t="n"/>
      <c r="M47" s="10" t="n"/>
      <c r="N47" s="9" t="n"/>
      <c r="O47" s="9" t="n"/>
      <c r="P47" s="9" t="n"/>
      <c r="Q47" s="9" t="n"/>
      <c r="R47" s="10" t="n"/>
    </row>
    <row r="48">
      <c r="A48" t="n">
        <v>1</v>
      </c>
      <c r="C48" t="inlineStr">
        <is>
          <t>기타영업외수익</t>
        </is>
      </c>
      <c r="E48" s="28" t="n">
        <v>5.37</v>
      </c>
      <c r="F48" s="9" t="n"/>
      <c r="G48" s="9" t="n"/>
      <c r="H48" s="10" t="n"/>
      <c r="I48" s="9" t="n"/>
      <c r="J48" s="9" t="n"/>
      <c r="K48" s="9" t="n"/>
      <c r="L48" s="9" t="n"/>
      <c r="M48" s="10" t="n"/>
      <c r="N48" s="9" t="n"/>
      <c r="O48" s="9" t="n"/>
      <c r="P48" s="9" t="n"/>
      <c r="Q48" s="9" t="n"/>
      <c r="R48" s="10" t="n"/>
    </row>
    <row r="49">
      <c r="A49" t="n">
        <v>1</v>
      </c>
      <c r="C49" t="inlineStr">
        <is>
          <t>기타영업외비용</t>
        </is>
      </c>
      <c r="E49" s="28" t="n">
        <v>0</v>
      </c>
      <c r="F49" s="9" t="n"/>
      <c r="G49" s="9" t="n"/>
      <c r="H49" s="10" t="n"/>
      <c r="I49" s="9" t="n"/>
      <c r="J49" s="9" t="n"/>
      <c r="K49" s="9" t="n"/>
      <c r="L49" s="9" t="n"/>
      <c r="M49" s="10" t="n"/>
      <c r="N49" s="9" t="n"/>
      <c r="O49" s="9" t="n"/>
      <c r="P49" s="9" t="n"/>
      <c r="Q49" s="9" t="n"/>
      <c r="R49" s="10" t="n"/>
    </row>
    <row r="50">
      <c r="A50" t="n">
        <v>1</v>
      </c>
      <c r="C50" t="inlineStr">
        <is>
          <t>법인세비용차감전계속사업이익</t>
        </is>
      </c>
      <c r="E50" s="28" t="n">
        <v>-1536.42</v>
      </c>
      <c r="F50" s="9" t="n"/>
      <c r="G50" s="9" t="n"/>
      <c r="H50" s="10" t="n"/>
      <c r="I50" s="9" t="n"/>
      <c r="J50" s="9" t="n"/>
      <c r="K50" s="9" t="n"/>
      <c r="L50" s="9" t="n"/>
      <c r="M50" s="10" t="n"/>
      <c r="N50" s="9" t="n"/>
      <c r="O50" s="9" t="n"/>
      <c r="P50" s="9" t="n"/>
      <c r="Q50" s="9" t="n"/>
      <c r="R50" s="10" t="n"/>
    </row>
    <row r="51">
      <c r="A51" t="n">
        <v>1</v>
      </c>
      <c r="C51" t="inlineStr">
        <is>
          <t>당기순이익</t>
        </is>
      </c>
      <c r="E51" s="28" t="n">
        <v>-1536.42</v>
      </c>
      <c r="F51" s="9" t="n"/>
      <c r="G51" s="9" t="n"/>
      <c r="H51" s="10" t="n"/>
      <c r="I51" s="9" t="n"/>
      <c r="J51" s="9" t="n"/>
      <c r="K51" s="9" t="n"/>
      <c r="L51" s="9" t="n"/>
      <c r="M51" s="10" t="n"/>
      <c r="N51" s="9" t="n"/>
      <c r="O51" s="9" t="n"/>
      <c r="P51" s="9" t="n"/>
      <c r="Q51" s="9" t="n"/>
      <c r="R51" s="10" t="n"/>
    </row>
    <row r="52">
      <c r="A52" t="n">
        <v>1</v>
      </c>
      <c r="C52" t="inlineStr">
        <is>
          <t>총포괄손익</t>
        </is>
      </c>
      <c r="E52" s="28" t="n">
        <v>-1664.96</v>
      </c>
      <c r="F52" s="9" t="n"/>
      <c r="G52" s="9" t="n"/>
      <c r="H52" s="10" t="n"/>
      <c r="I52" s="9" t="n"/>
      <c r="J52" s="9" t="n"/>
      <c r="K52" s="9" t="n"/>
      <c r="L52" s="9" t="n"/>
      <c r="M52" s="10" t="n"/>
      <c r="N52" s="9" t="n"/>
      <c r="O52" s="9" t="n"/>
      <c r="P52" s="9" t="n"/>
      <c r="Q52" s="9" t="n"/>
      <c r="R52" s="10" t="n"/>
    </row>
    <row r="53">
      <c r="A53" t="n">
        <v>1</v>
      </c>
      <c r="C53" t="inlineStr">
        <is>
          <t>금융손익</t>
        </is>
      </c>
      <c r="E53" s="28" t="n">
        <v>-66.54000000000001</v>
      </c>
      <c r="F53" s="9" t="n"/>
      <c r="G53" s="9" t="n"/>
      <c r="H53" s="10" t="n"/>
      <c r="I53" s="9" t="n"/>
      <c r="J53" s="9" t="n"/>
      <c r="K53" s="9" t="n"/>
      <c r="L53" s="9" t="n"/>
      <c r="M53" s="10" t="n"/>
      <c r="N53" s="9" t="n"/>
      <c r="O53" s="9" t="n"/>
      <c r="P53" s="9" t="n"/>
      <c r="Q53" s="9" t="n"/>
      <c r="R53" s="10" t="n"/>
    </row>
    <row r="54">
      <c r="A54" t="n">
        <v>1</v>
      </c>
      <c r="C54" t="inlineStr">
        <is>
          <t>기타영업외손익</t>
        </is>
      </c>
      <c r="E54" s="28" t="n">
        <v>5.37</v>
      </c>
      <c r="F54" s="9" t="n"/>
      <c r="G54" s="9" t="n"/>
      <c r="H54" s="10" t="n"/>
      <c r="I54" s="9" t="n"/>
      <c r="J54" s="9" t="n"/>
      <c r="K54" s="9" t="n"/>
      <c r="L54" s="9" t="n"/>
      <c r="M54" s="10" t="n"/>
      <c r="N54" s="9" t="n"/>
      <c r="O54" s="9" t="n"/>
      <c r="P54" s="9" t="n"/>
      <c r="Q54" s="9" t="n"/>
      <c r="R54" s="10" t="n"/>
    </row>
    <row r="55">
      <c r="A55" t="n">
        <v>1</v>
      </c>
      <c r="C55" t="inlineStr">
        <is>
          <t>(지배주주지분)당기순이익</t>
        </is>
      </c>
      <c r="E55" s="28" t="n">
        <v>-1536.42</v>
      </c>
      <c r="F55" s="9" t="n"/>
      <c r="G55" s="9" t="n"/>
      <c r="H55" s="10" t="n"/>
      <c r="I55" s="9" t="n"/>
      <c r="J55" s="9" t="n"/>
      <c r="K55" s="9" t="n"/>
      <c r="L55" s="9" t="n"/>
      <c r="M55" s="10" t="n"/>
      <c r="N55" s="9" t="n"/>
      <c r="O55" s="9" t="n"/>
      <c r="P55" s="9" t="n"/>
      <c r="Q55" s="9" t="n"/>
      <c r="R55" s="10" t="n"/>
    </row>
    <row r="56">
      <c r="A56" t="n">
        <v>1</v>
      </c>
      <c r="C56" t="inlineStr">
        <is>
          <t>계속사업이익</t>
        </is>
      </c>
      <c r="E56" s="28" t="n">
        <v>-1536.42</v>
      </c>
      <c r="F56" s="9" t="n"/>
      <c r="G56" s="9" t="n"/>
      <c r="H56" s="10" t="n"/>
      <c r="I56" s="9" t="n"/>
      <c r="J56" s="9" t="n"/>
      <c r="K56" s="9" t="n"/>
      <c r="L56" s="9" t="n"/>
      <c r="M56" s="10" t="n"/>
      <c r="N56" s="9" t="n"/>
      <c r="O56" s="9" t="n"/>
      <c r="P56" s="9" t="n"/>
      <c r="Q56" s="9" t="n"/>
      <c r="R56" s="10" t="n"/>
    </row>
    <row r="57">
      <c r="A57" t="n">
        <v>1</v>
      </c>
      <c r="C57" t="inlineStr">
        <is>
          <t>이자수익</t>
        </is>
      </c>
      <c r="E57" s="28" t="n">
        <v>23.84</v>
      </c>
      <c r="F57" s="9" t="n"/>
      <c r="G57" s="9" t="n"/>
      <c r="H57" s="10" t="n"/>
      <c r="I57" s="9" t="n"/>
      <c r="J57" s="9" t="n"/>
      <c r="K57" s="9" t="n"/>
      <c r="L57" s="9" t="n"/>
      <c r="M57" s="10" t="n"/>
      <c r="N57" s="9" t="n"/>
      <c r="O57" s="9" t="n"/>
      <c r="P57" s="9" t="n"/>
      <c r="Q57" s="9" t="n"/>
      <c r="R57" s="10" t="n"/>
    </row>
    <row r="58">
      <c r="A58" t="n">
        <v>1</v>
      </c>
      <c r="C58" t="inlineStr">
        <is>
          <t>이자비용</t>
        </is>
      </c>
      <c r="E58" s="28" t="n">
        <v>87.06</v>
      </c>
      <c r="F58" s="9" t="n"/>
      <c r="G58" s="9" t="n"/>
      <c r="H58" s="10" t="n"/>
      <c r="I58" s="9" t="n"/>
      <c r="J58" s="9" t="n"/>
      <c r="K58" s="9" t="n"/>
      <c r="L58" s="9" t="n"/>
      <c r="M58" s="10" t="n"/>
      <c r="N58" s="9" t="n"/>
      <c r="O58" s="9" t="n"/>
      <c r="P58" s="9" t="n"/>
      <c r="Q58" s="9" t="n"/>
      <c r="R58" s="10" t="n"/>
    </row>
    <row r="59">
      <c r="A59" t="n">
        <v>1</v>
      </c>
      <c r="C59" t="inlineStr">
        <is>
          <t>외환차익</t>
        </is>
      </c>
      <c r="E59" s="28" t="n">
        <v>25.4</v>
      </c>
      <c r="F59" s="9" t="n"/>
      <c r="G59" s="9" t="n"/>
      <c r="H59" s="10" t="n"/>
      <c r="I59" s="9" t="n"/>
      <c r="J59" s="9" t="n"/>
      <c r="K59" s="9" t="n"/>
      <c r="L59" s="9" t="n"/>
      <c r="M59" s="10" t="n"/>
      <c r="N59" s="9" t="n"/>
      <c r="O59" s="9" t="n"/>
      <c r="P59" s="9" t="n"/>
      <c r="Q59" s="9" t="n"/>
      <c r="R59" s="10" t="n"/>
    </row>
    <row r="60">
      <c r="A60" t="n">
        <v>1</v>
      </c>
      <c r="C60" t="inlineStr">
        <is>
          <t>외환차손</t>
        </is>
      </c>
      <c r="E60" s="28" t="n">
        <v>29.26</v>
      </c>
      <c r="F60" s="9" t="n"/>
      <c r="G60" s="9" t="n"/>
      <c r="H60" s="10" t="n"/>
      <c r="I60" s="9" t="n"/>
      <c r="J60" s="9" t="n"/>
      <c r="K60" s="9" t="n"/>
      <c r="L60" s="9" t="n"/>
      <c r="M60" s="10" t="n"/>
      <c r="N60" s="9" t="n"/>
      <c r="O60" s="9" t="n"/>
      <c r="P60" s="9" t="n"/>
      <c r="Q60" s="9" t="n"/>
      <c r="R60" s="10" t="n"/>
    </row>
    <row r="61">
      <c r="A61" t="n">
        <v>1</v>
      </c>
      <c r="C61" t="inlineStr">
        <is>
          <t>외화환산이익</t>
        </is>
      </c>
      <c r="E61" s="28" t="n">
        <v>-0.45</v>
      </c>
      <c r="F61" s="9" t="n"/>
      <c r="G61" s="9" t="n"/>
      <c r="H61" s="10" t="n"/>
      <c r="I61" s="9" t="n"/>
      <c r="J61" s="9" t="n"/>
      <c r="K61" s="9" t="n"/>
      <c r="L61" s="9" t="n"/>
      <c r="M61" s="10" t="n"/>
      <c r="N61" s="9" t="n"/>
      <c r="O61" s="9" t="n"/>
      <c r="P61" s="9" t="n"/>
      <c r="Q61" s="9" t="n"/>
      <c r="R61" s="10" t="n"/>
    </row>
    <row r="62">
      <c r="A62" t="n">
        <v>1</v>
      </c>
      <c r="C62" t="inlineStr">
        <is>
          <t>외화환산손실</t>
        </is>
      </c>
      <c r="E62" s="28" t="n">
        <v>-0.95</v>
      </c>
      <c r="F62" s="9" t="n"/>
      <c r="G62" s="9" t="n"/>
      <c r="H62" s="10" t="n"/>
      <c r="I62" s="9" t="n"/>
      <c r="J62" s="9" t="n"/>
      <c r="K62" s="9" t="n"/>
      <c r="L62" s="9" t="n"/>
      <c r="M62" s="10" t="n"/>
      <c r="N62" s="9" t="n"/>
      <c r="O62" s="9" t="n"/>
      <c r="P62" s="9" t="n"/>
      <c r="Q62" s="9" t="n"/>
      <c r="R62" s="10" t="n"/>
    </row>
    <row r="63">
      <c r="A63" t="n">
        <v>1</v>
      </c>
      <c r="C63" t="inlineStr">
        <is>
          <t>이자손익</t>
        </is>
      </c>
      <c r="E63" s="28" t="n">
        <v>-63.22</v>
      </c>
      <c r="F63" s="9" t="n"/>
      <c r="G63" s="9" t="n"/>
      <c r="H63" s="10" t="n"/>
      <c r="I63" s="9" t="n"/>
      <c r="J63" s="9" t="n"/>
      <c r="K63" s="9" t="n"/>
      <c r="L63" s="9" t="n"/>
      <c r="M63" s="10" t="n"/>
      <c r="N63" s="9" t="n"/>
      <c r="O63" s="9" t="n"/>
      <c r="P63" s="9" t="n"/>
      <c r="Q63" s="9" t="n"/>
      <c r="R63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2Q26</t>
        </is>
      </c>
      <c r="F1" s="4" t="inlineStr">
        <is>
          <t>3Q26</t>
        </is>
      </c>
      <c r="G1" s="4" t="inlineStr">
        <is>
          <t>4Q26</t>
        </is>
      </c>
      <c r="H1" s="4" t="n">
        <v>2026</v>
      </c>
      <c r="I1" s="4" t="inlineStr">
        <is>
          <t>1Q27</t>
        </is>
      </c>
      <c r="J1" s="4" t="inlineStr">
        <is>
          <t>2Q27</t>
        </is>
      </c>
      <c r="K1" s="4" t="inlineStr">
        <is>
          <t>3Q27</t>
        </is>
      </c>
      <c r="L1" s="4" t="inlineStr">
        <is>
          <t>4Q27</t>
        </is>
      </c>
      <c r="M1" s="4" t="n">
        <v>2027</v>
      </c>
      <c r="N1" s="4" t="inlineStr">
        <is>
          <t>1Q28</t>
        </is>
      </c>
      <c r="O1" s="4" t="inlineStr">
        <is>
          <t>2Q28</t>
        </is>
      </c>
      <c r="P1" s="4" t="inlineStr">
        <is>
          <t>3Q28</t>
        </is>
      </c>
      <c r="Q1" s="4" t="inlineStr">
        <is>
          <t>4Q28</t>
        </is>
      </c>
      <c r="R1" s="4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E2" s="5" t="n"/>
    </row>
    <row r="3">
      <c r="E3" s="6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</row>
    <row r="4">
      <c r="E4" s="7" t="inlineStr">
        <is>
          <t>2026.06</t>
        </is>
      </c>
      <c r="F4" s="8" t="inlineStr">
        <is>
          <t>2026.09</t>
        </is>
      </c>
      <c r="G4" s="8" t="inlineStr">
        <is>
          <t>2026.12</t>
        </is>
      </c>
      <c r="H4" s="8" t="inlineStr">
        <is>
          <t>2026.12A</t>
        </is>
      </c>
      <c r="I4" s="8" t="inlineStr">
        <is>
          <t>2027.03</t>
        </is>
      </c>
      <c r="J4" s="8" t="inlineStr">
        <is>
          <t>2027.06</t>
        </is>
      </c>
      <c r="K4" s="8" t="inlineStr">
        <is>
          <t>2027.09</t>
        </is>
      </c>
      <c r="L4" s="8" t="inlineStr">
        <is>
          <t>2027.12</t>
        </is>
      </c>
      <c r="M4" s="8" t="inlineStr">
        <is>
          <t>2027.12A</t>
        </is>
      </c>
      <c r="N4" s="8" t="inlineStr">
        <is>
          <t>2028.03</t>
        </is>
      </c>
      <c r="O4" s="8" t="inlineStr">
        <is>
          <t>2028.06</t>
        </is>
      </c>
      <c r="P4" s="8" t="inlineStr">
        <is>
          <t>2028.09</t>
        </is>
      </c>
      <c r="Q4" s="8" t="inlineStr">
        <is>
          <t>2028.12</t>
        </is>
      </c>
      <c r="R4" s="8" t="inlineStr">
        <is>
          <t>2028.12A</t>
        </is>
      </c>
    </row>
    <row r="5">
      <c r="A5" s="11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28">
        <f>IFERROR(VLOOKUP($D5,BS별도,MATCH(E$1,BS별도H,0),0)/100,"")</f>
        <v/>
      </c>
      <c r="F5" s="15">
        <f>IFERROR(E5*(1+변수!F21),"")</f>
        <v/>
      </c>
      <c r="G5" s="15">
        <f>IFERROR(F5*(1+변수!G21),"")</f>
        <v/>
      </c>
      <c r="H5" s="29" t="n"/>
      <c r="I5" s="15">
        <f>IFERROR(G5*(1+변수!I21),"")</f>
        <v/>
      </c>
      <c r="J5" s="15">
        <f>IFERROR(E5*(1+변수!J21),"")</f>
        <v/>
      </c>
      <c r="K5" s="15">
        <f>IFERROR(F5*(1+변수!K21),"")</f>
        <v/>
      </c>
      <c r="L5" s="15">
        <f>IFERROR(G5*(1+변수!L21),"")</f>
        <v/>
      </c>
      <c r="M5" s="29">
        <f>SUM(I5:L5)</f>
        <v/>
      </c>
      <c r="N5" s="15">
        <f>IFERROR(I5*(1+변수!N21),"")</f>
        <v/>
      </c>
      <c r="O5" s="15">
        <f>IFERROR(J5*(1+변수!O21),"")</f>
        <v/>
      </c>
      <c r="P5" s="15">
        <f>IFERROR(K5*(1+변수!P21),"")</f>
        <v/>
      </c>
      <c r="Q5" s="15">
        <f>IFERROR(L5*(1+변수!Q21),"")</f>
        <v/>
      </c>
      <c r="R5" s="29">
        <f>SUM(N5:Q5)</f>
        <v/>
      </c>
    </row>
    <row r="6">
      <c r="A6" s="11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28">
        <f>IFERROR(VLOOKUP($D6,BS별도,MATCH(E$1,BS별도H,0),0)/100,"")</f>
        <v/>
      </c>
      <c r="F6" s="15">
        <f>IFERROR(F5-F7,"")</f>
        <v/>
      </c>
      <c r="G6" s="15">
        <f>IFERROR(G5-G7,"")</f>
        <v/>
      </c>
      <c r="H6" s="29" t="n"/>
      <c r="I6" s="15">
        <f>IFERROR(I5-I7,"")</f>
        <v/>
      </c>
      <c r="J6" s="15">
        <f>IFERROR(J5-J7,"")</f>
        <v/>
      </c>
      <c r="K6" s="15">
        <f>IFERROR(K5-K7,"")</f>
        <v/>
      </c>
      <c r="L6" s="15">
        <f>IFERROR(L5-L7,"")</f>
        <v/>
      </c>
      <c r="M6" s="29">
        <f>SUM(I6:L6)</f>
        <v/>
      </c>
      <c r="N6" s="15">
        <f>IFERROR(N5-N7,"")</f>
        <v/>
      </c>
      <c r="O6" s="15">
        <f>IFERROR(O5-O7,"")</f>
        <v/>
      </c>
      <c r="P6" s="15">
        <f>IFERROR(P5-P7,"")</f>
        <v/>
      </c>
      <c r="Q6" s="15">
        <f>IFERROR(Q5-Q7,"")</f>
        <v/>
      </c>
      <c r="R6" s="29">
        <f>SUM(N6:Q6)</f>
        <v/>
      </c>
    </row>
    <row r="7">
      <c r="A7" s="11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28">
        <f>IFERROR(VLOOKUP($D7,BS별도,MATCH(E$1,BS별도H,0),0)/100,"")</f>
        <v/>
      </c>
      <c r="F7" s="15">
        <f>IFERROR(F9+F8,"")</f>
        <v/>
      </c>
      <c r="G7" s="15">
        <f>IFERROR(G9+G8,"")</f>
        <v/>
      </c>
      <c r="H7" s="29" t="n"/>
      <c r="I7" s="15">
        <f>IFERROR(I9+I8,"")</f>
        <v/>
      </c>
      <c r="J7" s="15">
        <f>IFERROR(J9+J8,"")</f>
        <v/>
      </c>
      <c r="K7" s="15">
        <f>IFERROR(K9+K8,"")</f>
        <v/>
      </c>
      <c r="L7" s="15">
        <f>IFERROR(L9+L8,"")</f>
        <v/>
      </c>
      <c r="M7" s="29">
        <f>SUM(I7:L7)</f>
        <v/>
      </c>
      <c r="N7" s="15">
        <f>IFERROR(N9+N8,"")</f>
        <v/>
      </c>
      <c r="O7" s="15">
        <f>IFERROR(O9+O8,"")</f>
        <v/>
      </c>
      <c r="P7" s="15">
        <f>IFERROR(P9+P8,"")</f>
        <v/>
      </c>
      <c r="Q7" s="15">
        <f>IFERROR(Q9+Q8,"")</f>
        <v/>
      </c>
      <c r="R7" s="29">
        <f>SUM(N7:Q7)</f>
        <v/>
      </c>
    </row>
    <row r="8">
      <c r="A8" s="11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28">
        <f>IFERROR(VLOOKUP($D8,BS별도,MATCH(E$1,BS별도H,0),0)/100,"")</f>
        <v/>
      </c>
      <c r="F8" s="15">
        <f>IFERROR(F5*변수!F22,"")</f>
        <v/>
      </c>
      <c r="G8" s="15">
        <f>IFERROR(G5*변수!G22,"")</f>
        <v/>
      </c>
      <c r="H8" s="29" t="n"/>
      <c r="I8" s="15">
        <f>IFERROR(I5*변수!I22,"")</f>
        <v/>
      </c>
      <c r="J8" s="15">
        <f>IFERROR(J5*변수!J22,"")</f>
        <v/>
      </c>
      <c r="K8" s="15">
        <f>IFERROR(K5*변수!K22,"")</f>
        <v/>
      </c>
      <c r="L8" s="15">
        <f>IFERROR(L5*변수!L22,"")</f>
        <v/>
      </c>
      <c r="M8" s="29">
        <f>SUM(I8:L8)</f>
        <v/>
      </c>
      <c r="N8" s="15">
        <f>IFERROR(N5*변수!N22,"")</f>
        <v/>
      </c>
      <c r="O8" s="15">
        <f>IFERROR(O5*변수!O22,"")</f>
        <v/>
      </c>
      <c r="P8" s="15">
        <f>IFERROR(P5*변수!P22,"")</f>
        <v/>
      </c>
      <c r="Q8" s="15">
        <f>IFERROR(Q5*변수!Q22,"")</f>
        <v/>
      </c>
      <c r="R8" s="29">
        <f>SUM(N8:Q8)</f>
        <v/>
      </c>
    </row>
    <row r="9">
      <c r="A9" s="11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28">
        <f>IFERROR(VLOOKUP($D9,BS별도,MATCH(E$1,BS별도H,0),0)/100,"")</f>
        <v/>
      </c>
      <c r="F9" s="15">
        <f>IFERROR(F5*변수!F23,"")</f>
        <v/>
      </c>
      <c r="G9" s="15">
        <f>IFERROR(G5*변수!G23,"")</f>
        <v/>
      </c>
      <c r="H9" s="29" t="n"/>
      <c r="I9" s="15">
        <f>IFERROR(I5*변수!I23,"")</f>
        <v/>
      </c>
      <c r="J9" s="15">
        <f>IFERROR(J5*변수!J23,"")</f>
        <v/>
      </c>
      <c r="K9" s="15">
        <f>IFERROR(K5*변수!K23,"")</f>
        <v/>
      </c>
      <c r="L9" s="15">
        <f>IFERROR(L5*변수!L23,"")</f>
        <v/>
      </c>
      <c r="M9" s="29">
        <f>SUM(I9:L9)</f>
        <v/>
      </c>
      <c r="N9" s="15">
        <f>IFERROR(N5*변수!N23,"")</f>
        <v/>
      </c>
      <c r="O9" s="15">
        <f>IFERROR(O5*변수!O23,"")</f>
        <v/>
      </c>
      <c r="P9" s="15">
        <f>IFERROR(P5*변수!P23,"")</f>
        <v/>
      </c>
      <c r="Q9" s="15">
        <f>IFERROR(Q5*변수!Q23,"")</f>
        <v/>
      </c>
      <c r="R9" s="29">
        <f>SUM(N9:Q9)</f>
        <v/>
      </c>
    </row>
    <row r="10">
      <c r="A10" s="11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16">
        <f>IFERROR(E9/E5,"")</f>
        <v/>
      </c>
      <c r="F10" s="24">
        <f>IFERROR(F9/F5,"")</f>
        <v/>
      </c>
      <c r="G10" s="24">
        <f>IFERROR(G9/G5,"")</f>
        <v/>
      </c>
      <c r="H10" s="18" t="n"/>
      <c r="I10" s="24">
        <f>IFERROR(I9/I5,"")</f>
        <v/>
      </c>
      <c r="J10" s="24">
        <f>IFERROR(J9/J5,"")</f>
        <v/>
      </c>
      <c r="K10" s="24">
        <f>IFERROR(K9/K5,"")</f>
        <v/>
      </c>
      <c r="L10" s="24">
        <f>IFERROR(L9/L5,"")</f>
        <v/>
      </c>
      <c r="M10" s="18">
        <f>IFERROR(M9/M5,"")</f>
        <v/>
      </c>
      <c r="N10" s="24">
        <f>IFERROR(N9/N5,"")</f>
        <v/>
      </c>
      <c r="O10" s="24">
        <f>IFERROR(O9/O5,"")</f>
        <v/>
      </c>
      <c r="P10" s="24">
        <f>IFERROR(P9/P5,"")</f>
        <v/>
      </c>
      <c r="Q10" s="24">
        <f>IFERROR(Q9/Q5,"")</f>
        <v/>
      </c>
      <c r="R10" s="18">
        <f>IFERROR(R9/R5,"")</f>
        <v/>
      </c>
    </row>
    <row r="11">
      <c r="A11" s="11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28">
        <f>IFERROR(VLOOKUP($D11,BS별도,MATCH(E$1,BS별도H,0),0)/100,"")</f>
        <v/>
      </c>
      <c r="F11" s="15">
        <f>변수!F24</f>
        <v/>
      </c>
      <c r="G11" s="15">
        <f>변수!G24</f>
        <v/>
      </c>
      <c r="H11" s="29" t="n"/>
      <c r="I11" s="15">
        <f>변수!I24</f>
        <v/>
      </c>
      <c r="J11" s="15">
        <f>변수!J24</f>
        <v/>
      </c>
      <c r="K11" s="15">
        <f>변수!K24</f>
        <v/>
      </c>
      <c r="L11" s="15">
        <f>변수!L24</f>
        <v/>
      </c>
      <c r="M11" s="29">
        <f>SUM(I11:L11)</f>
        <v/>
      </c>
      <c r="N11" s="15">
        <f>변수!N24</f>
        <v/>
      </c>
      <c r="O11" s="15">
        <f>변수!O24</f>
        <v/>
      </c>
      <c r="P11" s="15">
        <f>변수!P24</f>
        <v/>
      </c>
      <c r="Q11" s="15">
        <f>변수!Q24</f>
        <v/>
      </c>
      <c r="R11" s="29">
        <f>SUM(N11:Q11)</f>
        <v/>
      </c>
    </row>
    <row r="12">
      <c r="A12" s="11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28">
        <f>IFERROR(VLOOKUP($D12,BS별도,MATCH(E$1,BS별도H,0),0)/100,"")</f>
        <v/>
      </c>
      <c r="F12" s="15" t="n"/>
      <c r="G12" s="15" t="n"/>
      <c r="H12" s="29" t="n"/>
      <c r="I12" s="15" t="n"/>
      <c r="J12" s="15" t="n"/>
      <c r="K12" s="15" t="n"/>
      <c r="L12" s="15" t="n"/>
      <c r="M12" s="29">
        <f>SUM(I12:L12)</f>
        <v/>
      </c>
      <c r="N12" s="15" t="n"/>
      <c r="O12" s="15" t="n"/>
      <c r="P12" s="15" t="n"/>
      <c r="Q12" s="15" t="n"/>
      <c r="R12" s="29">
        <f>SUM(N12:Q12)</f>
        <v/>
      </c>
    </row>
    <row r="13">
      <c r="A13" s="11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28">
        <f>IFERROR((VLOOKUP("외환차익",BS별도,MATCH(E$1,BS별도H,0),0)-VLOOKUP("외환차손",BS별도,MATCH(E$1,BS별도H,0),0)+VLOOKUP("외화환산이익",BS별도,MATCH(E$1,BS별도H,0),0)-VLOOKUP("외화환산손실",BS별도,MATCH(E$1,BS별도H,0),0))/100,"")</f>
        <v/>
      </c>
      <c r="F13" s="15" t="n"/>
      <c r="G13" s="15" t="n"/>
      <c r="H13" s="29" t="n"/>
      <c r="I13" s="15" t="n"/>
      <c r="J13" s="15" t="n"/>
      <c r="K13" s="15" t="n"/>
      <c r="L13" s="15" t="n"/>
      <c r="M13" s="29">
        <f>SUM(I13:L13)</f>
        <v/>
      </c>
      <c r="N13" s="15" t="n"/>
      <c r="O13" s="15" t="n"/>
      <c r="P13" s="15" t="n"/>
      <c r="Q13" s="15" t="n"/>
      <c r="R13" s="29">
        <f>SUM(N13:Q13)</f>
        <v/>
      </c>
    </row>
    <row r="14">
      <c r="A14" s="11" t="inlineStr">
        <is>
          <t>기타영업외손익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기타영업외손익</t>
        </is>
      </c>
      <c r="E14" s="28">
        <f>IFERROR(VLOOKUP($D14,BS별도,MATCH(E$1,BS별도H,0),0)/100,"")</f>
        <v/>
      </c>
      <c r="F14" s="15">
        <f>변수!F27</f>
        <v/>
      </c>
      <c r="G14" s="15">
        <f>변수!G27</f>
        <v/>
      </c>
      <c r="H14" s="29" t="n"/>
      <c r="I14" s="15">
        <f>변수!I27</f>
        <v/>
      </c>
      <c r="J14" s="15">
        <f>변수!J27</f>
        <v/>
      </c>
      <c r="K14" s="15">
        <f>변수!K27</f>
        <v/>
      </c>
      <c r="L14" s="15">
        <f>변수!L27</f>
        <v/>
      </c>
      <c r="M14" s="29">
        <f>SUM(I14:L14)</f>
        <v/>
      </c>
      <c r="N14" s="15">
        <f>변수!N27</f>
        <v/>
      </c>
      <c r="O14" s="15">
        <f>변수!O27</f>
        <v/>
      </c>
      <c r="P14" s="15">
        <f>변수!P27</f>
        <v/>
      </c>
      <c r="Q14" s="15">
        <f>변수!Q27</f>
        <v/>
      </c>
      <c r="R14" s="29">
        <f>SUM(N14:Q14)</f>
        <v/>
      </c>
    </row>
    <row r="15">
      <c r="A15" s="11" t="inlineStr">
        <is>
          <t>세전이익</t>
        </is>
      </c>
      <c r="B15" t="inlineStr">
        <is>
          <t>손익</t>
        </is>
      </c>
      <c r="C15" t="inlineStr">
        <is>
          <t>억원</t>
        </is>
      </c>
      <c r="D15" t="inlineStr">
        <is>
          <t>법인세비용차감전계속사업이익</t>
        </is>
      </c>
      <c r="E15" s="28">
        <f>IFERROR(VLOOKUP($D15,BS별도,MATCH(E$1,BS별도H,0),0)/100,"")</f>
        <v/>
      </c>
      <c r="F15" s="15">
        <f>IFERROR(F9+F11+F14,"")</f>
        <v/>
      </c>
      <c r="G15" s="15">
        <f>IFERROR(G9+G11+G14,"")</f>
        <v/>
      </c>
      <c r="H15" s="29" t="n"/>
      <c r="I15" s="15">
        <f>IFERROR(I9+I11+I14,"")</f>
        <v/>
      </c>
      <c r="J15" s="15">
        <f>IFERROR(J9+J11+J14,"")</f>
        <v/>
      </c>
      <c r="K15" s="15">
        <f>IFERROR(K9+K11+K14,"")</f>
        <v/>
      </c>
      <c r="L15" s="15">
        <f>IFERROR(L9+L11+L14,"")</f>
        <v/>
      </c>
      <c r="M15" s="29">
        <f>SUM(I15:L15)</f>
        <v/>
      </c>
      <c r="N15" s="15">
        <f>IFERROR(N9+N11+N14,"")</f>
        <v/>
      </c>
      <c r="O15" s="15">
        <f>IFERROR(O9+O11+O14,"")</f>
        <v/>
      </c>
      <c r="P15" s="15">
        <f>IFERROR(P9+P11+P14,"")</f>
        <v/>
      </c>
      <c r="Q15" s="15">
        <f>IFERROR(Q9+Q11+Q14,"")</f>
        <v/>
      </c>
      <c r="R15" s="29">
        <f>SUM(N15:Q15)</f>
        <v/>
      </c>
    </row>
    <row r="16">
      <c r="A16" s="11" t="inlineStr">
        <is>
          <t>법인세비용</t>
        </is>
      </c>
      <c r="B16" t="inlineStr">
        <is>
          <t>손익</t>
        </is>
      </c>
      <c r="C16" t="inlineStr">
        <is>
          <t>억원</t>
        </is>
      </c>
      <c r="D16" t="inlineStr">
        <is>
          <t>법인세비용</t>
        </is>
      </c>
      <c r="E16" s="28" t="n"/>
      <c r="F16" s="15">
        <f>IFERROR(F15*변수!F28,"")</f>
        <v/>
      </c>
      <c r="G16" s="15">
        <f>IFERROR(G15*변수!G28,"")</f>
        <v/>
      </c>
      <c r="H16" s="29" t="n"/>
      <c r="I16" s="15">
        <f>IFERROR(I15*변수!I28,"")</f>
        <v/>
      </c>
      <c r="J16" s="15">
        <f>IFERROR(J15*변수!J28,"")</f>
        <v/>
      </c>
      <c r="K16" s="15">
        <f>IFERROR(K15*변수!K28,"")</f>
        <v/>
      </c>
      <c r="L16" s="15">
        <f>IFERROR(L15*변수!L28,"")</f>
        <v/>
      </c>
      <c r="M16" s="29">
        <f>SUM(I16:L16)</f>
        <v/>
      </c>
      <c r="N16" s="15">
        <f>IFERROR(N15*변수!N28,"")</f>
        <v/>
      </c>
      <c r="O16" s="15">
        <f>IFERROR(O15*변수!O28,"")</f>
        <v/>
      </c>
      <c r="P16" s="15">
        <f>IFERROR(P15*변수!P28,"")</f>
        <v/>
      </c>
      <c r="Q16" s="15">
        <f>IFERROR(Q15*변수!Q28,"")</f>
        <v/>
      </c>
      <c r="R16" s="29">
        <f>SUM(N16:Q16)</f>
        <v/>
      </c>
    </row>
    <row r="17">
      <c r="A17" s="11" t="inlineStr">
        <is>
          <t>당기순이익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당기순이익</t>
        </is>
      </c>
      <c r="E17" s="28">
        <f>IFERROR(VLOOKUP($D17,BS별도,MATCH(E$1,BS별도H,0),0)/100,"")</f>
        <v/>
      </c>
      <c r="F17" s="15">
        <f>IFERROR(F15-F16,"")</f>
        <v/>
      </c>
      <c r="G17" s="15">
        <f>IFERROR(G15-G16,"")</f>
        <v/>
      </c>
      <c r="H17" s="29" t="n"/>
      <c r="I17" s="15">
        <f>IFERROR(I15-I16,"")</f>
        <v/>
      </c>
      <c r="J17" s="15">
        <f>IFERROR(J15-J16,"")</f>
        <v/>
      </c>
      <c r="K17" s="15">
        <f>IFERROR(K15-K16,"")</f>
        <v/>
      </c>
      <c r="L17" s="15">
        <f>IFERROR(L15-L16,"")</f>
        <v/>
      </c>
      <c r="M17" s="29">
        <f>SUM(I17:L17)</f>
        <v/>
      </c>
      <c r="N17" s="15">
        <f>IFERROR(N15-N16,"")</f>
        <v/>
      </c>
      <c r="O17" s="15">
        <f>IFERROR(O15-O16,"")</f>
        <v/>
      </c>
      <c r="P17" s="15">
        <f>IFERROR(P15-P16,"")</f>
        <v/>
      </c>
      <c r="Q17" s="15">
        <f>IFERROR(Q15-Q16,"")</f>
        <v/>
      </c>
      <c r="R17" s="29">
        <f>SUM(N17:Q17)</f>
        <v/>
      </c>
    </row>
    <row r="18">
      <c r="A18" s="11" t="inlineStr">
        <is>
          <t>지배주주순이익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(지배주주지분)당기순이익</t>
        </is>
      </c>
      <c r="E18" s="28">
        <f>IFERROR(VLOOKUP($D18,BS별도,MATCH(E$1,BS별도H,0),0)/100,"")</f>
        <v/>
      </c>
      <c r="F18" s="15">
        <f>IFERROR(F17*변수!F29,"")</f>
        <v/>
      </c>
      <c r="G18" s="15">
        <f>IFERROR(G17*변수!G29,"")</f>
        <v/>
      </c>
      <c r="H18" s="29" t="n"/>
      <c r="I18" s="15">
        <f>IFERROR(I17*변수!I29,"")</f>
        <v/>
      </c>
      <c r="J18" s="15">
        <f>IFERROR(J17*변수!J29,"")</f>
        <v/>
      </c>
      <c r="K18" s="15">
        <f>IFERROR(K17*변수!K29,"")</f>
        <v/>
      </c>
      <c r="L18" s="15">
        <f>IFERROR(L17*변수!L29,"")</f>
        <v/>
      </c>
      <c r="M18" s="29">
        <f>SUM(I18:L18)</f>
        <v/>
      </c>
      <c r="N18" s="15">
        <f>IFERROR(N17*변수!N29,"")</f>
        <v/>
      </c>
      <c r="O18" s="15">
        <f>IFERROR(O17*변수!O29,"")</f>
        <v/>
      </c>
      <c r="P18" s="15">
        <f>IFERROR(P17*변수!P29,"")</f>
        <v/>
      </c>
      <c r="Q18" s="15">
        <f>IFERROR(Q17*변수!Q29,"")</f>
        <v/>
      </c>
      <c r="R18" s="29">
        <f>SUM(N18:Q18)</f>
        <v/>
      </c>
    </row>
    <row r="19">
      <c r="A19" s="11" t="inlineStr">
        <is>
          <t>자산총계</t>
        </is>
      </c>
      <c r="B19" t="inlineStr">
        <is>
          <t>재무상태</t>
        </is>
      </c>
      <c r="C19" t="inlineStr">
        <is>
          <t>억원</t>
        </is>
      </c>
      <c r="D19" t="inlineStr">
        <is>
          <t>자산총계</t>
        </is>
      </c>
      <c r="E19" s="28">
        <f>IFERROR(VLOOKUP($D19,BS별도,MATCH(E$1,BS별도H,0),0)/100,"")</f>
        <v/>
      </c>
      <c r="F19" s="15">
        <f>IFERROR(F20+F21,"")</f>
        <v/>
      </c>
      <c r="G19" s="15">
        <f>IFERROR(G20+G21,"")</f>
        <v/>
      </c>
      <c r="H19" s="29">
        <f>G19</f>
        <v/>
      </c>
      <c r="I19" s="15">
        <f>IFERROR(I20+I21,"")</f>
        <v/>
      </c>
      <c r="J19" s="15">
        <f>IFERROR(J20+J21,"")</f>
        <v/>
      </c>
      <c r="K19" s="15">
        <f>IFERROR(K20+K21,"")</f>
        <v/>
      </c>
      <c r="L19" s="15">
        <f>IFERROR(L20+L21,"")</f>
        <v/>
      </c>
      <c r="M19" s="29">
        <f>L19</f>
        <v/>
      </c>
      <c r="N19" s="15">
        <f>IFERROR(N20+N21,"")</f>
        <v/>
      </c>
      <c r="O19" s="15">
        <f>IFERROR(O20+O21,"")</f>
        <v/>
      </c>
      <c r="P19" s="15">
        <f>IFERROR(P20+P21,"")</f>
        <v/>
      </c>
      <c r="Q19" s="15">
        <f>IFERROR(Q20+Q21,"")</f>
        <v/>
      </c>
      <c r="R19" s="29">
        <f>Q19</f>
        <v/>
      </c>
    </row>
    <row r="20">
      <c r="A20" s="11" t="inlineStr">
        <is>
          <t>부채총계</t>
        </is>
      </c>
      <c r="B20" t="inlineStr">
        <is>
          <t>재무상태</t>
        </is>
      </c>
      <c r="C20" t="inlineStr">
        <is>
          <t>억원</t>
        </is>
      </c>
      <c r="D20" t="inlineStr">
        <is>
          <t>부채총계</t>
        </is>
      </c>
      <c r="E20" s="28">
        <f>IFERROR(VLOOKUP($D20,BS별도,MATCH(E$1,BS별도H,0),0)/100,"")</f>
        <v/>
      </c>
      <c r="F20" s="15">
        <f>IFERROR(E20*(1+변수!F30),"")</f>
        <v/>
      </c>
      <c r="G20" s="15">
        <f>IFERROR(F20*(1+변수!G30),"")</f>
        <v/>
      </c>
      <c r="H20" s="29">
        <f>G20</f>
        <v/>
      </c>
      <c r="I20" s="15">
        <f>IFERROR(G20*(1+변수!I30),"")</f>
        <v/>
      </c>
      <c r="J20" s="15">
        <f>IFERROR(I20*(1+변수!J30),"")</f>
        <v/>
      </c>
      <c r="K20" s="15">
        <f>IFERROR(J20*(1+변수!K30),"")</f>
        <v/>
      </c>
      <c r="L20" s="15">
        <f>IFERROR(K20*(1+변수!L30),"")</f>
        <v/>
      </c>
      <c r="M20" s="29">
        <f>L20</f>
        <v/>
      </c>
      <c r="N20" s="15">
        <f>IFERROR(L20*(1+변수!N30),"")</f>
        <v/>
      </c>
      <c r="O20" s="15">
        <f>IFERROR(N20*(1+변수!O30),"")</f>
        <v/>
      </c>
      <c r="P20" s="15">
        <f>IFERROR(O20*(1+변수!P30),"")</f>
        <v/>
      </c>
      <c r="Q20" s="15">
        <f>IFERROR(P20*(1+변수!Q30),"")</f>
        <v/>
      </c>
      <c r="R20" s="29">
        <f>Q20</f>
        <v/>
      </c>
    </row>
    <row r="21">
      <c r="A21" s="11" t="inlineStr">
        <is>
          <t>자본총계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자본총계</t>
        </is>
      </c>
      <c r="E21" s="28">
        <f>IFERROR(VLOOKUP($D21,BS별도,MATCH(E$1,BS별도H,0),0)/100,"")</f>
        <v/>
      </c>
      <c r="F21" s="15">
        <f>IFERROR(E21+F17-변수!F31,"")</f>
        <v/>
      </c>
      <c r="G21" s="15">
        <f>IFERROR(F21+G17-변수!G31,"")</f>
        <v/>
      </c>
      <c r="H21" s="29">
        <f>G21</f>
        <v/>
      </c>
      <c r="I21" s="15">
        <f>IFERROR(G21+I17-변수!I31,"")</f>
        <v/>
      </c>
      <c r="J21" s="15">
        <f>IFERROR(I21+J17-변수!J31,"")</f>
        <v/>
      </c>
      <c r="K21" s="15">
        <f>IFERROR(J21+K17-변수!K31,"")</f>
        <v/>
      </c>
      <c r="L21" s="15">
        <f>IFERROR(K21+L17-변수!L31,"")</f>
        <v/>
      </c>
      <c r="M21" s="29">
        <f>L21</f>
        <v/>
      </c>
      <c r="N21" s="15">
        <f>IFERROR(L21+N17-변수!N31,"")</f>
        <v/>
      </c>
      <c r="O21" s="15">
        <f>IFERROR(N21+O17-변수!O31,"")</f>
        <v/>
      </c>
      <c r="P21" s="15">
        <f>IFERROR(O21+P17-변수!P31,"")</f>
        <v/>
      </c>
      <c r="Q21" s="15">
        <f>IFERROR(P21+Q17-변수!Q31,"")</f>
        <v/>
      </c>
      <c r="R21" s="29">
        <f>Q21</f>
        <v/>
      </c>
    </row>
    <row r="22">
      <c r="A22" s="11" t="inlineStr">
        <is>
          <t>지배주주지분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지배주주지분</t>
        </is>
      </c>
      <c r="E22" s="28">
        <f>IFERROR(VLOOKUP($D22,BS별도,MATCH(E$1,BS별도H,0),0)/100,"")</f>
        <v/>
      </c>
      <c r="F22" s="15">
        <f>IFERROR(E22+F18-변수!F32,"")</f>
        <v/>
      </c>
      <c r="G22" s="15">
        <f>IFERROR(F22+G18-변수!G32,"")</f>
        <v/>
      </c>
      <c r="H22" s="29">
        <f>G22</f>
        <v/>
      </c>
      <c r="I22" s="15">
        <f>IFERROR(G22+I18-변수!I32,"")</f>
        <v/>
      </c>
      <c r="J22" s="15">
        <f>IFERROR(I22+J18-변수!J32,"")</f>
        <v/>
      </c>
      <c r="K22" s="15">
        <f>IFERROR(J22+K18-변수!K32,"")</f>
        <v/>
      </c>
      <c r="L22" s="15">
        <f>IFERROR(K22+L18-변수!L32,"")</f>
        <v/>
      </c>
      <c r="M22" s="29">
        <f>L22</f>
        <v/>
      </c>
      <c r="N22" s="15">
        <f>IFERROR(L22+N18-변수!N32,"")</f>
        <v/>
      </c>
      <c r="O22" s="15">
        <f>IFERROR(N22+O18-변수!O32,"")</f>
        <v/>
      </c>
      <c r="P22" s="15">
        <f>IFERROR(O22+P18-변수!P32,"")</f>
        <v/>
      </c>
      <c r="Q22" s="15">
        <f>IFERROR(P22+Q18-변수!Q32,"")</f>
        <v/>
      </c>
      <c r="R22" s="29">
        <f>Q22</f>
        <v/>
      </c>
    </row>
    <row r="23">
      <c r="A23" s="11" t="inlineStr">
        <is>
          <t>총차입금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총차입금</t>
        </is>
      </c>
      <c r="E23" s="28">
        <f>IFERROR(VLOOKUP($D23,BS별도,MATCH(E$1,BS별도H,0),0)/100,"")</f>
        <v/>
      </c>
      <c r="F23" s="15">
        <f>IFERROR(E23*(1+변수!F33),"")</f>
        <v/>
      </c>
      <c r="G23" s="15">
        <f>IFERROR(F23*(1+변수!G33),"")</f>
        <v/>
      </c>
      <c r="H23" s="29">
        <f>G23</f>
        <v/>
      </c>
      <c r="I23" s="15">
        <f>IFERROR(G23*(1+변수!I33),"")</f>
        <v/>
      </c>
      <c r="J23" s="15">
        <f>IFERROR(I23*(1+변수!J33),"")</f>
        <v/>
      </c>
      <c r="K23" s="15">
        <f>IFERROR(J23*(1+변수!K33),"")</f>
        <v/>
      </c>
      <c r="L23" s="15">
        <f>IFERROR(K23*(1+변수!L33),"")</f>
        <v/>
      </c>
      <c r="M23" s="29">
        <f>L23</f>
        <v/>
      </c>
      <c r="N23" s="15">
        <f>IFERROR(L23*(1+변수!N33),"")</f>
        <v/>
      </c>
      <c r="O23" s="15">
        <f>IFERROR(N23*(1+변수!O33),"")</f>
        <v/>
      </c>
      <c r="P23" s="15">
        <f>IFERROR(O23*(1+변수!P33),"")</f>
        <v/>
      </c>
      <c r="Q23" s="15">
        <f>IFERROR(P23*(1+변수!Q33),"")</f>
        <v/>
      </c>
      <c r="R23" s="29">
        <f>Q23</f>
        <v/>
      </c>
    </row>
    <row r="24">
      <c r="A24" s="11" t="inlineStr">
        <is>
          <t>순차입금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순차입금</t>
        </is>
      </c>
      <c r="E24" s="28">
        <f>IFERROR(VLOOKUP($D24,BS별도,MATCH(E$1,BS별도H,0),0)/100,"")</f>
        <v/>
      </c>
      <c r="F24" s="15">
        <f>IFERROR(E24*(1+변수!F34),"")</f>
        <v/>
      </c>
      <c r="G24" s="15">
        <f>IFERROR(F24*(1+변수!G34),"")</f>
        <v/>
      </c>
      <c r="H24" s="29">
        <f>G24</f>
        <v/>
      </c>
      <c r="I24" s="15">
        <f>IFERROR(G24*(1+변수!I34),"")</f>
        <v/>
      </c>
      <c r="J24" s="15">
        <f>IFERROR(I24*(1+변수!J34),"")</f>
        <v/>
      </c>
      <c r="K24" s="15">
        <f>IFERROR(J24*(1+변수!K34),"")</f>
        <v/>
      </c>
      <c r="L24" s="15">
        <f>IFERROR(K24*(1+변수!L34),"")</f>
        <v/>
      </c>
      <c r="M24" s="29">
        <f>L24</f>
        <v/>
      </c>
      <c r="N24" s="15">
        <f>IFERROR(L24*(1+변수!N34),"")</f>
        <v/>
      </c>
      <c r="O24" s="15">
        <f>IFERROR(N24*(1+변수!O34),"")</f>
        <v/>
      </c>
      <c r="P24" s="15">
        <f>IFERROR(O24*(1+변수!P34),"")</f>
        <v/>
      </c>
      <c r="Q24" s="15">
        <f>IFERROR(P24*(1+변수!Q34),"")</f>
        <v/>
      </c>
      <c r="R24" s="29">
        <f>Q24</f>
        <v/>
      </c>
    </row>
    <row r="25">
      <c r="A25" s="11" t="inlineStr">
        <is>
          <t>이자발생자산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이자발생자산</t>
        </is>
      </c>
      <c r="E25" s="28">
        <f>IFERROR(VLOOKUP($D25,BS별도,MATCH(E$1,BS별도H,0),0)/100,"")</f>
        <v/>
      </c>
      <c r="F25" s="15">
        <f>IFERROR(E25*(1+변수!F35),"")</f>
        <v/>
      </c>
      <c r="G25" s="15">
        <f>IFERROR(F25*(1+변수!G35),"")</f>
        <v/>
      </c>
      <c r="H25" s="29">
        <f>G25</f>
        <v/>
      </c>
      <c r="I25" s="15">
        <f>IFERROR(G25*(1+변수!I35),"")</f>
        <v/>
      </c>
      <c r="J25" s="15">
        <f>IFERROR(I25*(1+변수!J35),"")</f>
        <v/>
      </c>
      <c r="K25" s="15">
        <f>IFERROR(J25*(1+변수!K35),"")</f>
        <v/>
      </c>
      <c r="L25" s="15">
        <f>IFERROR(K25*(1+변수!L35),"")</f>
        <v/>
      </c>
      <c r="M25" s="29">
        <f>L25</f>
        <v/>
      </c>
      <c r="N25" s="15">
        <f>IFERROR(L25*(1+변수!N35),"")</f>
        <v/>
      </c>
      <c r="O25" s="15">
        <f>IFERROR(N25*(1+변수!O35),"")</f>
        <v/>
      </c>
      <c r="P25" s="15">
        <f>IFERROR(O25*(1+변수!P35),"")</f>
        <v/>
      </c>
      <c r="Q25" s="15">
        <f>IFERROR(P25*(1+변수!Q35),"")</f>
        <v/>
      </c>
      <c r="R25" s="29">
        <f>Q25</f>
        <v/>
      </c>
    </row>
    <row r="26">
      <c r="A26" s="11" t="inlineStr">
        <is>
          <t>현금및현금성자산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현금및현금성자산</t>
        </is>
      </c>
      <c r="E26" s="28">
        <f>IFERROR(VLOOKUP($D26,BS별도,MATCH(E$1,BS별도H,0),0)/100,"")</f>
        <v/>
      </c>
      <c r="F26" s="15" t="n"/>
      <c r="G26" s="15" t="n"/>
      <c r="H26" s="29">
        <f>G26</f>
        <v/>
      </c>
      <c r="I26" s="15" t="n"/>
      <c r="J26" s="15" t="n"/>
      <c r="K26" s="15" t="n"/>
      <c r="L26" s="15" t="n"/>
      <c r="M26" s="29">
        <f>L26</f>
        <v/>
      </c>
      <c r="N26" s="15" t="n"/>
      <c r="O26" s="15" t="n"/>
      <c r="P26" s="15" t="n"/>
      <c r="Q26" s="15" t="n"/>
      <c r="R26" s="29">
        <f>Q26</f>
        <v/>
      </c>
    </row>
    <row r="27">
      <c r="A27" s="11" t="inlineStr">
        <is>
          <t>주식수</t>
        </is>
      </c>
      <c r="B27" t="inlineStr">
        <is>
          <t>주당</t>
        </is>
      </c>
      <c r="C27" t="inlineStr">
        <is>
          <t>백만주</t>
        </is>
      </c>
      <c r="D27" t="inlineStr">
        <is>
          <t>유통주식수</t>
        </is>
      </c>
      <c r="E27" s="20" t="n">
        <v>7.789</v>
      </c>
      <c r="F27" s="23">
        <f>IFERROR(E27*(1+변수!F37),"")</f>
        <v/>
      </c>
      <c r="G27" s="23">
        <f>IFERROR(F27*(1+변수!G37),"")</f>
        <v/>
      </c>
      <c r="H27" s="22">
        <f>G27</f>
        <v/>
      </c>
      <c r="I27" s="23">
        <f>IFERROR(G27*(1+변수!I37),"")</f>
        <v/>
      </c>
      <c r="J27" s="23">
        <f>IFERROR(I27*(1+변수!J37),"")</f>
        <v/>
      </c>
      <c r="K27" s="23">
        <f>IFERROR(J27*(1+변수!K37),"")</f>
        <v/>
      </c>
      <c r="L27" s="23">
        <f>IFERROR(K27*(1+변수!L37),"")</f>
        <v/>
      </c>
      <c r="M27" s="22">
        <f>L27</f>
        <v/>
      </c>
      <c r="N27" s="23">
        <f>IFERROR(L27*(1+변수!N37),"")</f>
        <v/>
      </c>
      <c r="O27" s="23">
        <f>IFERROR(N27*(1+변수!O37),"")</f>
        <v/>
      </c>
      <c r="P27" s="23">
        <f>IFERROR(O27*(1+변수!P37),"")</f>
        <v/>
      </c>
      <c r="Q27" s="23">
        <f>IFERROR(P27*(1+변수!Q37),"")</f>
        <v/>
      </c>
      <c r="R27" s="22">
        <f>Q27</f>
        <v/>
      </c>
    </row>
    <row r="28">
      <c r="A28" s="11" t="inlineStr">
        <is>
          <t>EPS</t>
        </is>
      </c>
      <c r="B28" t="inlineStr">
        <is>
          <t>주당</t>
        </is>
      </c>
      <c r="C28" t="inlineStr">
        <is>
          <t>원</t>
        </is>
      </c>
      <c r="D28" t="inlineStr">
        <is>
          <t>EPS</t>
        </is>
      </c>
      <c r="E28" s="28">
        <f>IFERROR(E18*100/E27,"")</f>
        <v/>
      </c>
      <c r="F28" s="15">
        <f>IFERROR(F18*100/F27,"")</f>
        <v/>
      </c>
      <c r="G28" s="15">
        <f>IFERROR(G18*100/G27,"")</f>
        <v/>
      </c>
      <c r="H28" s="29" t="n"/>
      <c r="I28" s="15">
        <f>IFERROR(I18*100/I27,"")</f>
        <v/>
      </c>
      <c r="J28" s="15">
        <f>IFERROR(J18*100/J27,"")</f>
        <v/>
      </c>
      <c r="K28" s="15">
        <f>IFERROR(K18*100/K27,"")</f>
        <v/>
      </c>
      <c r="L28" s="15">
        <f>IFERROR(L18*100/L27,"")</f>
        <v/>
      </c>
      <c r="M28" s="29">
        <f>SUM(I28:L28)</f>
        <v/>
      </c>
      <c r="N28" s="15">
        <f>IFERROR(N18*100/N27,"")</f>
        <v/>
      </c>
      <c r="O28" s="15">
        <f>IFERROR(O18*100/O27,"")</f>
        <v/>
      </c>
      <c r="P28" s="15">
        <f>IFERROR(P18*100/P27,"")</f>
        <v/>
      </c>
      <c r="Q28" s="15">
        <f>IFERROR(Q18*100/Q27,"")</f>
        <v/>
      </c>
      <c r="R28" s="29">
        <f>SUM(N28:Q28)</f>
        <v/>
      </c>
    </row>
    <row r="29">
      <c r="A29" s="11" t="inlineStr">
        <is>
          <t>BPS</t>
        </is>
      </c>
      <c r="B29" t="inlineStr">
        <is>
          <t>주당</t>
        </is>
      </c>
      <c r="C29" t="inlineStr">
        <is>
          <t>원</t>
        </is>
      </c>
      <c r="D29" t="inlineStr">
        <is>
          <t>BPS</t>
        </is>
      </c>
      <c r="E29" s="28">
        <f>IFERROR(E22*100/E27,"")</f>
        <v/>
      </c>
      <c r="F29" s="15">
        <f>IFERROR(F22*100/F27,"")</f>
        <v/>
      </c>
      <c r="G29" s="15">
        <f>IFERROR(G22*100/G27,"")</f>
        <v/>
      </c>
      <c r="H29" s="29">
        <f>G29</f>
        <v/>
      </c>
      <c r="I29" s="15">
        <f>IFERROR(I22*100/I27,"")</f>
        <v/>
      </c>
      <c r="J29" s="15">
        <f>IFERROR(J22*100/J27,"")</f>
        <v/>
      </c>
      <c r="K29" s="15">
        <f>IFERROR(K22*100/K27,"")</f>
        <v/>
      </c>
      <c r="L29" s="15">
        <f>IFERROR(L22*100/L27,"")</f>
        <v/>
      </c>
      <c r="M29" s="29">
        <f>L29</f>
        <v/>
      </c>
      <c r="N29" s="15">
        <f>IFERROR(N22*100/N27,"")</f>
        <v/>
      </c>
      <c r="O29" s="15">
        <f>IFERROR(O22*100/O27,"")</f>
        <v/>
      </c>
      <c r="P29" s="15">
        <f>IFERROR(P22*100/P27,"")</f>
        <v/>
      </c>
      <c r="Q29" s="15">
        <f>IFERROR(Q22*100/Q27,"")</f>
        <v/>
      </c>
      <c r="R29" s="29">
        <f>Q29</f>
        <v/>
      </c>
    </row>
    <row r="30">
      <c r="A30" s="11" t="inlineStr">
        <is>
          <t>DPS</t>
        </is>
      </c>
      <c r="B30" t="inlineStr">
        <is>
          <t>주당</t>
        </is>
      </c>
      <c r="C30" t="inlineStr">
        <is>
          <t>원</t>
        </is>
      </c>
      <c r="D30" t="inlineStr">
        <is>
          <t>DPS(보통주)</t>
        </is>
      </c>
      <c r="E30" s="28" t="n"/>
      <c r="F30" s="15" t="n"/>
      <c r="G30" s="15">
        <f>변수!G38</f>
        <v/>
      </c>
      <c r="H30" s="29" t="n">
        <v>0</v>
      </c>
      <c r="I30" s="15" t="n"/>
      <c r="J30" s="15" t="n"/>
      <c r="K30" s="15" t="n"/>
      <c r="L30" s="15">
        <f>변수!L38</f>
        <v/>
      </c>
      <c r="M30" s="29">
        <f>SUM(I30:L30)</f>
        <v/>
      </c>
      <c r="N30" s="15" t="n"/>
      <c r="O30" s="15" t="n"/>
      <c r="P30" s="15" t="n"/>
      <c r="Q30" s="15">
        <f>변수!Q38</f>
        <v/>
      </c>
      <c r="R30" s="29">
        <f>SUM(N30:Q30)</f>
        <v/>
      </c>
    </row>
    <row r="31">
      <c r="A31" s="11" t="inlineStr">
        <is>
          <t>PBR</t>
        </is>
      </c>
      <c r="B31" t="inlineStr">
        <is>
          <t>주당</t>
        </is>
      </c>
      <c r="C31" t="inlineStr">
        <is>
          <t>배</t>
        </is>
      </c>
      <c r="D31" t="inlineStr">
        <is>
          <t>PBR</t>
        </is>
      </c>
      <c r="E31" s="12" t="n"/>
      <c r="F31" s="30">
        <f>IFERROR(변수!$D$41/F29,"")</f>
        <v/>
      </c>
      <c r="G31" s="30">
        <f>IFERROR(변수!$D$41/G29,"")</f>
        <v/>
      </c>
      <c r="H31" s="31">
        <f>G31</f>
        <v/>
      </c>
      <c r="I31" s="30">
        <f>IFERROR(변수!$D$41/I29,"")</f>
        <v/>
      </c>
      <c r="J31" s="30">
        <f>IFERROR(변수!$D$41/J29,"")</f>
        <v/>
      </c>
      <c r="K31" s="30">
        <f>IFERROR(변수!$D$41/K29,"")</f>
        <v/>
      </c>
      <c r="L31" s="30">
        <f>IFERROR(변수!$D$41/L29,"")</f>
        <v/>
      </c>
      <c r="M31" s="31">
        <f>L31</f>
        <v/>
      </c>
      <c r="N31" s="30">
        <f>IFERROR(변수!$D$41/N29,"")</f>
        <v/>
      </c>
      <c r="O31" s="30">
        <f>IFERROR(변수!$D$41/O29,"")</f>
        <v/>
      </c>
      <c r="P31" s="30">
        <f>IFERROR(변수!$D$41/P29,"")</f>
        <v/>
      </c>
      <c r="Q31" s="30">
        <f>IFERROR(변수!$D$41/Q29,"")</f>
        <v/>
      </c>
      <c r="R31" s="31">
        <f>Q31</f>
        <v/>
      </c>
    </row>
    <row r="32">
      <c r="A32" s="11" t="inlineStr">
        <is>
          <t>매출전사</t>
        </is>
      </c>
      <c r="B32" t="inlineStr">
        <is>
          <t>사업부</t>
        </is>
      </c>
      <c r="C32" t="inlineStr">
        <is>
          <t>억원</t>
        </is>
      </c>
      <c r="D32" t="inlineStr">
        <is>
          <t>매출 전사(부문 미분리)</t>
        </is>
      </c>
      <c r="E32" s="28" t="n">
        <v>37.95</v>
      </c>
      <c r="F32" s="15">
        <f>IFERROR(F5,"")</f>
        <v/>
      </c>
      <c r="G32" s="15">
        <f>IFERROR(G5,"")</f>
        <v/>
      </c>
      <c r="H32" s="29" t="n"/>
      <c r="I32" s="15">
        <f>IFERROR(I5,"")</f>
        <v/>
      </c>
      <c r="J32" s="15">
        <f>IFERROR(J5,"")</f>
        <v/>
      </c>
      <c r="K32" s="15">
        <f>IFERROR(K5,"")</f>
        <v/>
      </c>
      <c r="L32" s="15">
        <f>IFERROR(L5,"")</f>
        <v/>
      </c>
      <c r="M32" s="29">
        <f>SUM(I32:L32)</f>
        <v/>
      </c>
      <c r="N32" s="15">
        <f>IFERROR(N5,"")</f>
        <v/>
      </c>
      <c r="O32" s="15">
        <f>IFERROR(O5,"")</f>
        <v/>
      </c>
      <c r="P32" s="15">
        <f>IFERROR(P5,"")</f>
        <v/>
      </c>
      <c r="Q32" s="15">
        <f>IFERROR(Q5,"")</f>
        <v/>
      </c>
      <c r="R32" s="29">
        <f>SUM(N32:Q32)</f>
        <v/>
      </c>
    </row>
    <row r="33">
      <c r="A33" s="11" t="inlineStr">
        <is>
          <t>OP전사</t>
        </is>
      </c>
      <c r="B33" t="inlineStr">
        <is>
          <t>사업부</t>
        </is>
      </c>
      <c r="C33" t="inlineStr">
        <is>
          <t>억원</t>
        </is>
      </c>
      <c r="D33" t="inlineStr">
        <is>
          <t>OP 전사(부문 미분리)</t>
        </is>
      </c>
      <c r="E33" s="28" t="n">
        <v>-14.75</v>
      </c>
      <c r="F33" s="15">
        <f>IFERROR(F9,"")</f>
        <v/>
      </c>
      <c r="G33" s="15">
        <f>IFERROR(G9,"")</f>
        <v/>
      </c>
      <c r="H33" s="29" t="n"/>
      <c r="I33" s="15">
        <f>IFERROR(I9,"")</f>
        <v/>
      </c>
      <c r="J33" s="15">
        <f>IFERROR(J9,"")</f>
        <v/>
      </c>
      <c r="K33" s="15">
        <f>IFERROR(K9,"")</f>
        <v/>
      </c>
      <c r="L33" s="15">
        <f>IFERROR(L9,"")</f>
        <v/>
      </c>
      <c r="M33" s="29">
        <f>SUM(I33:L33)</f>
        <v/>
      </c>
      <c r="N33" s="15">
        <f>IFERROR(N9,"")</f>
        <v/>
      </c>
      <c r="O33" s="15">
        <f>IFERROR(O9,"")</f>
        <v/>
      </c>
      <c r="P33" s="15">
        <f>IFERROR(P9,"")</f>
        <v/>
      </c>
      <c r="Q33" s="15">
        <f>IFERROR(Q9,"")</f>
        <v/>
      </c>
      <c r="R33" s="29">
        <f>SUM(N33:Q33)</f>
        <v/>
      </c>
    </row>
    <row r="34">
      <c r="B34" s="2" t="inlineStr">
        <is>
          <t>비율(참고)</t>
        </is>
      </c>
      <c r="E34" s="5" t="n"/>
      <c r="F34" s="9" t="n"/>
      <c r="G34" s="9" t="n"/>
      <c r="H34" s="10" t="n"/>
      <c r="I34" s="9" t="n"/>
      <c r="J34" s="9" t="n"/>
      <c r="K34" s="9" t="n"/>
      <c r="L34" s="9" t="n"/>
      <c r="M34" s="10" t="n"/>
      <c r="N34" s="9" t="n"/>
      <c r="O34" s="9" t="n"/>
      <c r="P34" s="9" t="n"/>
      <c r="Q34" s="9" t="n"/>
      <c r="R34" s="10" t="n"/>
    </row>
    <row r="35">
      <c r="A35" s="11" t="inlineStr">
        <is>
          <t>NPM</t>
        </is>
      </c>
      <c r="C35" t="inlineStr">
        <is>
          <t>%</t>
        </is>
      </c>
      <c r="D35" t="inlineStr">
        <is>
          <t>지배주주순이익 / 매출액</t>
        </is>
      </c>
      <c r="E35" s="16">
        <f>IFERROR(E18/E5,"")</f>
        <v/>
      </c>
      <c r="F35" s="24">
        <f>IFERROR(F18/F5,"")</f>
        <v/>
      </c>
      <c r="G35" s="24">
        <f>IFERROR(G18/G5,"")</f>
        <v/>
      </c>
      <c r="H35" s="18">
        <f>IFERROR(H18/H5,"")</f>
        <v/>
      </c>
      <c r="I35" s="24">
        <f>IFERROR(I18/I5,"")</f>
        <v/>
      </c>
      <c r="J35" s="24">
        <f>IFERROR(J18/J5,"")</f>
        <v/>
      </c>
      <c r="K35" s="24">
        <f>IFERROR(K18/K5,"")</f>
        <v/>
      </c>
      <c r="L35" s="24">
        <f>IFERROR(L18/L5,"")</f>
        <v/>
      </c>
      <c r="M35" s="18">
        <f>IFERROR(M18/M5,"")</f>
        <v/>
      </c>
      <c r="N35" s="24">
        <f>IFERROR(N18/N5,"")</f>
        <v/>
      </c>
      <c r="O35" s="24">
        <f>IFERROR(O18/O5,"")</f>
        <v/>
      </c>
      <c r="P35" s="24">
        <f>IFERROR(P18/P5,"")</f>
        <v/>
      </c>
      <c r="Q35" s="24">
        <f>IFERROR(Q18/Q5,"")</f>
        <v/>
      </c>
      <c r="R35" s="18">
        <f>IFERROR(R18/R5,"")</f>
        <v/>
      </c>
    </row>
    <row r="36">
      <c r="A36" s="11" t="inlineStr">
        <is>
          <t>매출원가율</t>
        </is>
      </c>
      <c r="C36" t="inlineStr">
        <is>
          <t>%</t>
        </is>
      </c>
      <c r="D36" t="inlineStr">
        <is>
          <t>매출원가 / 매출액</t>
        </is>
      </c>
      <c r="E36" s="16">
        <f>IFERROR(E6/E5,"")</f>
        <v/>
      </c>
      <c r="F36" s="24">
        <f>IFERROR(F6/F5,"")</f>
        <v/>
      </c>
      <c r="G36" s="24">
        <f>IFERROR(G6/G5,"")</f>
        <v/>
      </c>
      <c r="H36" s="18">
        <f>IFERROR(H6/H5,"")</f>
        <v/>
      </c>
      <c r="I36" s="24">
        <f>IFERROR(I6/I5,"")</f>
        <v/>
      </c>
      <c r="J36" s="24">
        <f>IFERROR(J6/J5,"")</f>
        <v/>
      </c>
      <c r="K36" s="24">
        <f>IFERROR(K6/K5,"")</f>
        <v/>
      </c>
      <c r="L36" s="24">
        <f>IFERROR(L6/L5,"")</f>
        <v/>
      </c>
      <c r="M36" s="18">
        <f>IFERROR(M6/M5,"")</f>
        <v/>
      </c>
      <c r="N36" s="24">
        <f>IFERROR(N6/N5,"")</f>
        <v/>
      </c>
      <c r="O36" s="24">
        <f>IFERROR(O6/O5,"")</f>
        <v/>
      </c>
      <c r="P36" s="24">
        <f>IFERROR(P6/P5,"")</f>
        <v/>
      </c>
      <c r="Q36" s="24">
        <f>IFERROR(Q6/Q5,"")</f>
        <v/>
      </c>
      <c r="R36" s="18">
        <f>IFERROR(R6/R5,"")</f>
        <v/>
      </c>
    </row>
    <row r="37">
      <c r="A37" s="11" t="inlineStr">
        <is>
          <t>판관비율</t>
        </is>
      </c>
      <c r="C37" t="inlineStr">
        <is>
          <t>%</t>
        </is>
      </c>
      <c r="D37" t="inlineStr">
        <is>
          <t>판관비 / 매출액</t>
        </is>
      </c>
      <c r="E37" s="16">
        <f>IFERROR(E8/E5,"")</f>
        <v/>
      </c>
      <c r="F37" s="24">
        <f>IFERROR(F8/F5,"")</f>
        <v/>
      </c>
      <c r="G37" s="24">
        <f>IFERROR(G8/G5,"")</f>
        <v/>
      </c>
      <c r="H37" s="18">
        <f>IFERROR(H8/H5,"")</f>
        <v/>
      </c>
      <c r="I37" s="24">
        <f>IFERROR(I8/I5,"")</f>
        <v/>
      </c>
      <c r="J37" s="24">
        <f>IFERROR(J8/J5,"")</f>
        <v/>
      </c>
      <c r="K37" s="24">
        <f>IFERROR(K8/K5,"")</f>
        <v/>
      </c>
      <c r="L37" s="24">
        <f>IFERROR(L8/L5,"")</f>
        <v/>
      </c>
      <c r="M37" s="18">
        <f>IFERROR(M8/M5,"")</f>
        <v/>
      </c>
      <c r="N37" s="24">
        <f>IFERROR(N8/N5,"")</f>
        <v/>
      </c>
      <c r="O37" s="24">
        <f>IFERROR(O8/O5,"")</f>
        <v/>
      </c>
      <c r="P37" s="24">
        <f>IFERROR(P8/P5,"")</f>
        <v/>
      </c>
      <c r="Q37" s="24">
        <f>IFERROR(Q8/Q5,"")</f>
        <v/>
      </c>
      <c r="R37" s="18">
        <f>IFERROR(R8/R5,"")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C1" s="2" t="inlineStr">
        <is>
          <t>이름: 분기H — subQ 를 이름으로 VLOOKUP(억원)</t>
        </is>
      </c>
      <c r="E1" s="32" t="inlineStr">
        <is>
          <t>2Q26</t>
        </is>
      </c>
      <c r="F1" s="4" t="inlineStr">
        <is>
          <t>3Q26</t>
        </is>
      </c>
      <c r="G1" s="4" t="inlineStr">
        <is>
          <t>4Q26</t>
        </is>
      </c>
      <c r="H1" s="4" t="inlineStr">
        <is>
          <t>1Q27</t>
        </is>
      </c>
      <c r="I1" s="4" t="inlineStr">
        <is>
          <t>2Q27</t>
        </is>
      </c>
      <c r="J1" s="4" t="inlineStr">
        <is>
          <t>3Q27</t>
        </is>
      </c>
      <c r="K1" s="4" t="inlineStr">
        <is>
          <t>4Q27</t>
        </is>
      </c>
      <c r="L1" s="4" t="inlineStr">
        <is>
          <t>1Q28</t>
        </is>
      </c>
      <c r="M1" s="4" t="inlineStr">
        <is>
          <t>2Q28</t>
        </is>
      </c>
      <c r="N1" s="4" t="inlineStr">
        <is>
          <t>3Q28</t>
        </is>
      </c>
      <c r="O1" s="4" t="inlineStr">
        <is>
          <t>4Q28</t>
        </is>
      </c>
    </row>
    <row r="2">
      <c r="C2" t="inlineStr">
        <is>
          <t>종가:</t>
        </is>
      </c>
      <c r="D2" s="33">
        <f>변수!D41</f>
        <v/>
      </c>
      <c r="E2" s="34" t="n"/>
    </row>
    <row r="3">
      <c r="C3" t="inlineStr">
        <is>
          <t>기준일:</t>
        </is>
      </c>
      <c r="D3" t="inlineStr">
        <is>
          <t>20261026</t>
        </is>
      </c>
      <c r="E3" s="35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</row>
    <row r="4">
      <c r="E4" s="36" t="inlineStr">
        <is>
          <t>2026.06</t>
        </is>
      </c>
      <c r="F4" s="8" t="inlineStr">
        <is>
          <t>2026.09</t>
        </is>
      </c>
      <c r="G4" s="8" t="inlineStr">
        <is>
          <t>2026.12</t>
        </is>
      </c>
      <c r="H4" s="8" t="inlineStr">
        <is>
          <t>2027.03</t>
        </is>
      </c>
      <c r="I4" s="8" t="inlineStr">
        <is>
          <t>2027.06</t>
        </is>
      </c>
      <c r="J4" s="8" t="inlineStr">
        <is>
          <t>2027.09</t>
        </is>
      </c>
      <c r="K4" s="8" t="inlineStr">
        <is>
          <t>2027.12</t>
        </is>
      </c>
      <c r="L4" s="8" t="inlineStr">
        <is>
          <t>2028.03</t>
        </is>
      </c>
      <c r="M4" s="8" t="inlineStr">
        <is>
          <t>2028.06</t>
        </is>
      </c>
      <c r="N4" s="8" t="inlineStr">
        <is>
          <t>2028.09</t>
        </is>
      </c>
      <c r="O4" s="8" t="inlineStr">
        <is>
          <t>2028.12</t>
        </is>
      </c>
    </row>
    <row r="5">
      <c r="A5" s="11" t="inlineStr">
        <is>
          <t>매출액</t>
        </is>
      </c>
      <c r="D5" t="inlineStr">
        <is>
          <t>매출액</t>
        </is>
      </c>
      <c r="E5" s="37">
        <f>IFERROR(VLOOKUP($A5,subQ,MATCH(E$1,SUBQH,0),0),"")</f>
        <v/>
      </c>
      <c r="F5" s="15">
        <f>IFERROR(VLOOKUP($A5,subQ,MATCH(F$1,SUBQH,0),0),"")</f>
        <v/>
      </c>
      <c r="G5" s="15">
        <f>IFERROR(VLOOKUP($A5,subQ,MATCH(G$1,SUBQH,0),0),"")</f>
        <v/>
      </c>
      <c r="H5" s="15">
        <f>IFERROR(VLOOKUP($A5,subQ,MATCH(H$1,SUBQH,0),0),"")</f>
        <v/>
      </c>
      <c r="I5" s="15">
        <f>IFERROR(VLOOKUP($A5,subQ,MATCH(I$1,SUBQH,0),0),"")</f>
        <v/>
      </c>
      <c r="J5" s="15">
        <f>IFERROR(VLOOKUP($A5,subQ,MATCH(J$1,SUBQH,0),0),"")</f>
        <v/>
      </c>
      <c r="K5" s="15">
        <f>IFERROR(VLOOKUP($A5,subQ,MATCH(K$1,SUBQH,0),0),"")</f>
        <v/>
      </c>
      <c r="L5" s="15">
        <f>IFERROR(VLOOKUP($A5,subQ,MATCH(L$1,SUBQH,0),0),"")</f>
        <v/>
      </c>
      <c r="M5" s="15">
        <f>IFERROR(VLOOKUP($A5,subQ,MATCH(M$1,SUBQH,0),0),"")</f>
        <v/>
      </c>
      <c r="N5" s="15">
        <f>IFERROR(VLOOKUP($A5,subQ,MATCH(N$1,SUBQH,0),0),"")</f>
        <v/>
      </c>
      <c r="O5" s="15">
        <f>IFERROR(VLOOKUP($A5,subQ,MATCH(O$1,SUBQH,0),0),"")</f>
        <v/>
      </c>
    </row>
    <row r="6">
      <c r="A6" s="11" t="inlineStr">
        <is>
          <t>매출원가</t>
        </is>
      </c>
      <c r="D6" t="inlineStr">
        <is>
          <t>매출원가</t>
        </is>
      </c>
      <c r="E6" s="37">
        <f>IFERROR(VLOOKUP($A6,subQ,MATCH(E$1,SUBQH,0),0),"")</f>
        <v/>
      </c>
      <c r="F6" s="15">
        <f>IFERROR(VLOOKUP($A6,subQ,MATCH(F$1,SUBQH,0),0),"")</f>
        <v/>
      </c>
      <c r="G6" s="15">
        <f>IFERROR(VLOOKUP($A6,subQ,MATCH(G$1,SUBQH,0),0),"")</f>
        <v/>
      </c>
      <c r="H6" s="15">
        <f>IFERROR(VLOOKUP($A6,subQ,MATCH(H$1,SUBQH,0),0),"")</f>
        <v/>
      </c>
      <c r="I6" s="15">
        <f>IFERROR(VLOOKUP($A6,subQ,MATCH(I$1,SUBQH,0),0),"")</f>
        <v/>
      </c>
      <c r="J6" s="15">
        <f>IFERROR(VLOOKUP($A6,subQ,MATCH(J$1,SUBQH,0),0),"")</f>
        <v/>
      </c>
      <c r="K6" s="15">
        <f>IFERROR(VLOOKUP($A6,subQ,MATCH(K$1,SUBQH,0),0),"")</f>
        <v/>
      </c>
      <c r="L6" s="15">
        <f>IFERROR(VLOOKUP($A6,subQ,MATCH(L$1,SUBQH,0),0),"")</f>
        <v/>
      </c>
      <c r="M6" s="15">
        <f>IFERROR(VLOOKUP($A6,subQ,MATCH(M$1,SUBQH,0),0),"")</f>
        <v/>
      </c>
      <c r="N6" s="15">
        <f>IFERROR(VLOOKUP($A6,subQ,MATCH(N$1,SUBQH,0),0),"")</f>
        <v/>
      </c>
      <c r="O6" s="15">
        <f>IFERROR(VLOOKUP($A6,subQ,MATCH(O$1,SUBQH,0),0),"")</f>
        <v/>
      </c>
    </row>
    <row r="7">
      <c r="A7" s="11" t="inlineStr">
        <is>
          <t>매출총이익</t>
        </is>
      </c>
      <c r="D7" t="inlineStr">
        <is>
          <t>매출총이익</t>
        </is>
      </c>
      <c r="E7" s="37">
        <f>IFERROR(VLOOKUP($A7,subQ,MATCH(E$1,SUBQH,0),0),"")</f>
        <v/>
      </c>
      <c r="F7" s="15">
        <f>IFERROR(VLOOKUP($A7,subQ,MATCH(F$1,SUBQH,0),0),"")</f>
        <v/>
      </c>
      <c r="G7" s="15">
        <f>IFERROR(VLOOKUP($A7,subQ,MATCH(G$1,SUBQH,0),0),"")</f>
        <v/>
      </c>
      <c r="H7" s="15">
        <f>IFERROR(VLOOKUP($A7,subQ,MATCH(H$1,SUBQH,0),0),"")</f>
        <v/>
      </c>
      <c r="I7" s="15">
        <f>IFERROR(VLOOKUP($A7,subQ,MATCH(I$1,SUBQH,0),0),"")</f>
        <v/>
      </c>
      <c r="J7" s="15">
        <f>IFERROR(VLOOKUP($A7,subQ,MATCH(J$1,SUBQH,0),0),"")</f>
        <v/>
      </c>
      <c r="K7" s="15">
        <f>IFERROR(VLOOKUP($A7,subQ,MATCH(K$1,SUBQH,0),0),"")</f>
        <v/>
      </c>
      <c r="L7" s="15">
        <f>IFERROR(VLOOKUP($A7,subQ,MATCH(L$1,SUBQH,0),0),"")</f>
        <v/>
      </c>
      <c r="M7" s="15">
        <f>IFERROR(VLOOKUP($A7,subQ,MATCH(M$1,SUBQH,0),0),"")</f>
        <v/>
      </c>
      <c r="N7" s="15">
        <f>IFERROR(VLOOKUP($A7,subQ,MATCH(N$1,SUBQH,0),0),"")</f>
        <v/>
      </c>
      <c r="O7" s="15">
        <f>IFERROR(VLOOKUP($A7,subQ,MATCH(O$1,SUBQH,0),0),"")</f>
        <v/>
      </c>
    </row>
    <row r="8">
      <c r="A8" s="11" t="inlineStr">
        <is>
          <t>판관비</t>
        </is>
      </c>
      <c r="D8" t="inlineStr">
        <is>
          <t>판매비와관리비</t>
        </is>
      </c>
      <c r="E8" s="37">
        <f>IFERROR(VLOOKUP($A8,subQ,MATCH(E$1,SUBQH,0),0),"")</f>
        <v/>
      </c>
      <c r="F8" s="15">
        <f>IFERROR(VLOOKUP($A8,subQ,MATCH(F$1,SUBQH,0),0),"")</f>
        <v/>
      </c>
      <c r="G8" s="15">
        <f>IFERROR(VLOOKUP($A8,subQ,MATCH(G$1,SUBQH,0),0),"")</f>
        <v/>
      </c>
      <c r="H8" s="15">
        <f>IFERROR(VLOOKUP($A8,subQ,MATCH(H$1,SUBQH,0),0),"")</f>
        <v/>
      </c>
      <c r="I8" s="15">
        <f>IFERROR(VLOOKUP($A8,subQ,MATCH(I$1,SUBQH,0),0),"")</f>
        <v/>
      </c>
      <c r="J8" s="15">
        <f>IFERROR(VLOOKUP($A8,subQ,MATCH(J$1,SUBQH,0),0),"")</f>
        <v/>
      </c>
      <c r="K8" s="15">
        <f>IFERROR(VLOOKUP($A8,subQ,MATCH(K$1,SUBQH,0),0),"")</f>
        <v/>
      </c>
      <c r="L8" s="15">
        <f>IFERROR(VLOOKUP($A8,subQ,MATCH(L$1,SUBQH,0),0),"")</f>
        <v/>
      </c>
      <c r="M8" s="15">
        <f>IFERROR(VLOOKUP($A8,subQ,MATCH(M$1,SUBQH,0),0),"")</f>
        <v/>
      </c>
      <c r="N8" s="15">
        <f>IFERROR(VLOOKUP($A8,subQ,MATCH(N$1,SUBQH,0),0),"")</f>
        <v/>
      </c>
      <c r="O8" s="15">
        <f>IFERROR(VLOOKUP($A8,subQ,MATCH(O$1,SUBQH,0),0),"")</f>
        <v/>
      </c>
    </row>
    <row r="9">
      <c r="A9" s="11" t="inlineStr">
        <is>
          <t>영업이익</t>
        </is>
      </c>
      <c r="D9" t="inlineStr">
        <is>
          <t>영업이익</t>
        </is>
      </c>
      <c r="E9" s="37">
        <f>IFERROR(VLOOKUP($A9,subQ,MATCH(E$1,SUBQH,0),0),"")</f>
        <v/>
      </c>
      <c r="F9" s="15">
        <f>IFERROR(VLOOKUP($A9,subQ,MATCH(F$1,SUBQH,0),0),"")</f>
        <v/>
      </c>
      <c r="G9" s="15">
        <f>IFERROR(VLOOKUP($A9,subQ,MATCH(G$1,SUBQH,0),0),"")</f>
        <v/>
      </c>
      <c r="H9" s="15">
        <f>IFERROR(VLOOKUP($A9,subQ,MATCH(H$1,SUBQH,0),0),"")</f>
        <v/>
      </c>
      <c r="I9" s="15">
        <f>IFERROR(VLOOKUP($A9,subQ,MATCH(I$1,SUBQH,0),0),"")</f>
        <v/>
      </c>
      <c r="J9" s="15">
        <f>IFERROR(VLOOKUP($A9,subQ,MATCH(J$1,SUBQH,0),0),"")</f>
        <v/>
      </c>
      <c r="K9" s="15">
        <f>IFERROR(VLOOKUP($A9,subQ,MATCH(K$1,SUBQH,0),0),"")</f>
        <v/>
      </c>
      <c r="L9" s="15">
        <f>IFERROR(VLOOKUP($A9,subQ,MATCH(L$1,SUBQH,0),0),"")</f>
        <v/>
      </c>
      <c r="M9" s="15">
        <f>IFERROR(VLOOKUP($A9,subQ,MATCH(M$1,SUBQH,0),0),"")</f>
        <v/>
      </c>
      <c r="N9" s="15">
        <f>IFERROR(VLOOKUP($A9,subQ,MATCH(N$1,SUBQH,0),0),"")</f>
        <v/>
      </c>
      <c r="O9" s="15">
        <f>IFERROR(VLOOKUP($A9,subQ,MATCH(O$1,SUBQH,0),0),"")</f>
        <v/>
      </c>
    </row>
    <row r="10">
      <c r="A10" s="11" t="inlineStr">
        <is>
          <t>OPM</t>
        </is>
      </c>
      <c r="D10" t="inlineStr">
        <is>
          <t>영업이익률</t>
        </is>
      </c>
      <c r="E10" s="38">
        <f>IFERROR(VLOOKUP($A10,subQ,MATCH(E$1,SUBQH,0),0),"")</f>
        <v/>
      </c>
      <c r="F10" s="24">
        <f>IFERROR(VLOOKUP($A10,subQ,MATCH(F$1,SUBQH,0),0),"")</f>
        <v/>
      </c>
      <c r="G10" s="24">
        <f>IFERROR(VLOOKUP($A10,subQ,MATCH(G$1,SUBQH,0),0),"")</f>
        <v/>
      </c>
      <c r="H10" s="24">
        <f>IFERROR(VLOOKUP($A10,subQ,MATCH(H$1,SUBQH,0),0),"")</f>
        <v/>
      </c>
      <c r="I10" s="24">
        <f>IFERROR(VLOOKUP($A10,subQ,MATCH(I$1,SUBQH,0),0),"")</f>
        <v/>
      </c>
      <c r="J10" s="24">
        <f>IFERROR(VLOOKUP($A10,subQ,MATCH(J$1,SUBQH,0),0),"")</f>
        <v/>
      </c>
      <c r="K10" s="24">
        <f>IFERROR(VLOOKUP($A10,subQ,MATCH(K$1,SUBQH,0),0),"")</f>
        <v/>
      </c>
      <c r="L10" s="24">
        <f>IFERROR(VLOOKUP($A10,subQ,MATCH(L$1,SUBQH,0),0),"")</f>
        <v/>
      </c>
      <c r="M10" s="24">
        <f>IFERROR(VLOOKUP($A10,subQ,MATCH(M$1,SUBQH,0),0),"")</f>
        <v/>
      </c>
      <c r="N10" s="24">
        <f>IFERROR(VLOOKUP($A10,subQ,MATCH(N$1,SUBQH,0),0),"")</f>
        <v/>
      </c>
      <c r="O10" s="24">
        <f>IFERROR(VLOOKUP($A10,subQ,MATCH(O$1,SUBQH,0),0),"")</f>
        <v/>
      </c>
    </row>
    <row r="11">
      <c r="A11" s="11" t="inlineStr">
        <is>
          <t>금융손익</t>
        </is>
      </c>
      <c r="D11" t="inlineStr">
        <is>
          <t>금융손익(이자·환 포함)</t>
        </is>
      </c>
      <c r="E11" s="37">
        <f>IFERROR(VLOOKUP($A11,subQ,MATCH(E$1,SUBQH,0),0),"")</f>
        <v/>
      </c>
      <c r="F11" s="15">
        <f>IFERROR(VLOOKUP($A11,subQ,MATCH(F$1,SUBQH,0),0),"")</f>
        <v/>
      </c>
      <c r="G11" s="15">
        <f>IFERROR(VLOOKUP($A11,subQ,MATCH(G$1,SUBQH,0),0),"")</f>
        <v/>
      </c>
      <c r="H11" s="15">
        <f>IFERROR(VLOOKUP($A11,subQ,MATCH(H$1,SUBQH,0),0),"")</f>
        <v/>
      </c>
      <c r="I11" s="15">
        <f>IFERROR(VLOOKUP($A11,subQ,MATCH(I$1,SUBQH,0),0),"")</f>
        <v/>
      </c>
      <c r="J11" s="15">
        <f>IFERROR(VLOOKUP($A11,subQ,MATCH(J$1,SUBQH,0),0),"")</f>
        <v/>
      </c>
      <c r="K11" s="15">
        <f>IFERROR(VLOOKUP($A11,subQ,MATCH(K$1,SUBQH,0),0),"")</f>
        <v/>
      </c>
      <c r="L11" s="15">
        <f>IFERROR(VLOOKUP($A11,subQ,MATCH(L$1,SUBQH,0),0),"")</f>
        <v/>
      </c>
      <c r="M11" s="15">
        <f>IFERROR(VLOOKUP($A11,subQ,MATCH(M$1,SUBQH,0),0),"")</f>
        <v/>
      </c>
      <c r="N11" s="15">
        <f>IFERROR(VLOOKUP($A11,subQ,MATCH(N$1,SUBQH,0),0),"")</f>
        <v/>
      </c>
      <c r="O11" s="15">
        <f>IFERROR(VLOOKUP($A11,subQ,MATCH(O$1,SUBQH,0),0),"")</f>
        <v/>
      </c>
    </row>
    <row r="12">
      <c r="A12" s="11" t="inlineStr">
        <is>
          <t>이자손익</t>
        </is>
      </c>
      <c r="D12" t="inlineStr">
        <is>
          <t>이자손익(이자수익 − 이자비용)</t>
        </is>
      </c>
      <c r="E12" s="37">
        <f>IFERROR(VLOOKUP($A12,subQ,MATCH(E$1,SUBQH,0),0),"")</f>
        <v/>
      </c>
      <c r="F12" s="15">
        <f>IFERROR(VLOOKUP($A12,subQ,MATCH(F$1,SUBQH,0),0),"")</f>
        <v/>
      </c>
      <c r="G12" s="15">
        <f>IFERROR(VLOOKUP($A12,subQ,MATCH(G$1,SUBQH,0),0),"")</f>
        <v/>
      </c>
      <c r="H12" s="15">
        <f>IFERROR(VLOOKUP($A12,subQ,MATCH(H$1,SUBQH,0),0),"")</f>
        <v/>
      </c>
      <c r="I12" s="15">
        <f>IFERROR(VLOOKUP($A12,subQ,MATCH(I$1,SUBQH,0),0),"")</f>
        <v/>
      </c>
      <c r="J12" s="15">
        <f>IFERROR(VLOOKUP($A12,subQ,MATCH(J$1,SUBQH,0),0),"")</f>
        <v/>
      </c>
      <c r="K12" s="15">
        <f>IFERROR(VLOOKUP($A12,subQ,MATCH(K$1,SUBQH,0),0),"")</f>
        <v/>
      </c>
      <c r="L12" s="15">
        <f>IFERROR(VLOOKUP($A12,subQ,MATCH(L$1,SUBQH,0),0),"")</f>
        <v/>
      </c>
      <c r="M12" s="15">
        <f>IFERROR(VLOOKUP($A12,subQ,MATCH(M$1,SUBQH,0),0),"")</f>
        <v/>
      </c>
      <c r="N12" s="15">
        <f>IFERROR(VLOOKUP($A12,subQ,MATCH(N$1,SUBQH,0),0),"")</f>
        <v/>
      </c>
      <c r="O12" s="15">
        <f>IFERROR(VLOOKUP($A12,subQ,MATCH(O$1,SUBQH,0),0),"")</f>
        <v/>
      </c>
    </row>
    <row r="13">
      <c r="A13" s="11" t="inlineStr">
        <is>
          <t>외환손익</t>
        </is>
      </c>
      <c r="D13" t="inlineStr">
        <is>
          <t>외환손익(실적만; 추정 환효과는 환관련손익)</t>
        </is>
      </c>
      <c r="E13" s="37">
        <f>IFERROR(VLOOKUP($A13,subQ,MATCH(E$1,SUBQH,0),0),"")</f>
        <v/>
      </c>
      <c r="F13" s="15">
        <f>IFERROR(VLOOKUP($A13,subQ,MATCH(F$1,SUBQH,0),0),"")</f>
        <v/>
      </c>
      <c r="G13" s="15">
        <f>IFERROR(VLOOKUP($A13,subQ,MATCH(G$1,SUBQH,0),0),"")</f>
        <v/>
      </c>
      <c r="H13" s="15">
        <f>IFERROR(VLOOKUP($A13,subQ,MATCH(H$1,SUBQH,0),0),"")</f>
        <v/>
      </c>
      <c r="I13" s="15">
        <f>IFERROR(VLOOKUP($A13,subQ,MATCH(I$1,SUBQH,0),0),"")</f>
        <v/>
      </c>
      <c r="J13" s="15">
        <f>IFERROR(VLOOKUP($A13,subQ,MATCH(J$1,SUBQH,0),0),"")</f>
        <v/>
      </c>
      <c r="K13" s="15">
        <f>IFERROR(VLOOKUP($A13,subQ,MATCH(K$1,SUBQH,0),0),"")</f>
        <v/>
      </c>
      <c r="L13" s="15">
        <f>IFERROR(VLOOKUP($A13,subQ,MATCH(L$1,SUBQH,0),0),"")</f>
        <v/>
      </c>
      <c r="M13" s="15">
        <f>IFERROR(VLOOKUP($A13,subQ,MATCH(M$1,SUBQH,0),0),"")</f>
        <v/>
      </c>
      <c r="N13" s="15">
        <f>IFERROR(VLOOKUP($A13,subQ,MATCH(N$1,SUBQH,0),0),"")</f>
        <v/>
      </c>
      <c r="O13" s="15">
        <f>IFERROR(VLOOKUP($A13,subQ,MATCH(O$1,SUBQH,0),0),"")</f>
        <v/>
      </c>
    </row>
    <row r="14">
      <c r="A14" s="11" t="inlineStr">
        <is>
          <t>기타영업외손익</t>
        </is>
      </c>
      <c r="D14" t="inlineStr">
        <is>
          <t>기타영업외손익</t>
        </is>
      </c>
      <c r="E14" s="37">
        <f>IFERROR(VLOOKUP($A14,subQ,MATCH(E$1,SUBQH,0),0),"")</f>
        <v/>
      </c>
      <c r="F14" s="15">
        <f>IFERROR(VLOOKUP($A14,subQ,MATCH(F$1,SUBQH,0),0),"")</f>
        <v/>
      </c>
      <c r="G14" s="15">
        <f>IFERROR(VLOOKUP($A14,subQ,MATCH(G$1,SUBQH,0),0),"")</f>
        <v/>
      </c>
      <c r="H14" s="15">
        <f>IFERROR(VLOOKUP($A14,subQ,MATCH(H$1,SUBQH,0),0),"")</f>
        <v/>
      </c>
      <c r="I14" s="15">
        <f>IFERROR(VLOOKUP($A14,subQ,MATCH(I$1,SUBQH,0),0),"")</f>
        <v/>
      </c>
      <c r="J14" s="15">
        <f>IFERROR(VLOOKUP($A14,subQ,MATCH(J$1,SUBQH,0),0),"")</f>
        <v/>
      </c>
      <c r="K14" s="15">
        <f>IFERROR(VLOOKUP($A14,subQ,MATCH(K$1,SUBQH,0),0),"")</f>
        <v/>
      </c>
      <c r="L14" s="15">
        <f>IFERROR(VLOOKUP($A14,subQ,MATCH(L$1,SUBQH,0),0),"")</f>
        <v/>
      </c>
      <c r="M14" s="15">
        <f>IFERROR(VLOOKUP($A14,subQ,MATCH(M$1,SUBQH,0),0),"")</f>
        <v/>
      </c>
      <c r="N14" s="15">
        <f>IFERROR(VLOOKUP($A14,subQ,MATCH(N$1,SUBQH,0),0),"")</f>
        <v/>
      </c>
      <c r="O14" s="15">
        <f>IFERROR(VLOOKUP($A14,subQ,MATCH(O$1,SUBQH,0),0),"")</f>
        <v/>
      </c>
    </row>
    <row r="15">
      <c r="A15" s="11" t="inlineStr">
        <is>
          <t>세전이익</t>
        </is>
      </c>
      <c r="D15" t="inlineStr">
        <is>
          <t>법인세비용차감전이익</t>
        </is>
      </c>
      <c r="E15" s="37">
        <f>IFERROR(VLOOKUP($A15,subQ,MATCH(E$1,SUBQH,0),0),"")</f>
        <v/>
      </c>
      <c r="F15" s="15">
        <f>IFERROR(VLOOKUP($A15,subQ,MATCH(F$1,SUBQH,0),0),"")</f>
        <v/>
      </c>
      <c r="G15" s="15">
        <f>IFERROR(VLOOKUP($A15,subQ,MATCH(G$1,SUBQH,0),0),"")</f>
        <v/>
      </c>
      <c r="H15" s="15">
        <f>IFERROR(VLOOKUP($A15,subQ,MATCH(H$1,SUBQH,0),0),"")</f>
        <v/>
      </c>
      <c r="I15" s="15">
        <f>IFERROR(VLOOKUP($A15,subQ,MATCH(I$1,SUBQH,0),0),"")</f>
        <v/>
      </c>
      <c r="J15" s="15">
        <f>IFERROR(VLOOKUP($A15,subQ,MATCH(J$1,SUBQH,0),0),"")</f>
        <v/>
      </c>
      <c r="K15" s="15">
        <f>IFERROR(VLOOKUP($A15,subQ,MATCH(K$1,SUBQH,0),0),"")</f>
        <v/>
      </c>
      <c r="L15" s="15">
        <f>IFERROR(VLOOKUP($A15,subQ,MATCH(L$1,SUBQH,0),0),"")</f>
        <v/>
      </c>
      <c r="M15" s="15">
        <f>IFERROR(VLOOKUP($A15,subQ,MATCH(M$1,SUBQH,0),0),"")</f>
        <v/>
      </c>
      <c r="N15" s="15">
        <f>IFERROR(VLOOKUP($A15,subQ,MATCH(N$1,SUBQH,0),0),"")</f>
        <v/>
      </c>
      <c r="O15" s="15">
        <f>IFERROR(VLOOKUP($A15,subQ,MATCH(O$1,SUBQH,0),0),"")</f>
        <v/>
      </c>
    </row>
    <row r="16">
      <c r="A16" s="11" t="inlineStr">
        <is>
          <t>법인세비용</t>
        </is>
      </c>
      <c r="D16" t="inlineStr">
        <is>
          <t>법인세비용</t>
        </is>
      </c>
      <c r="E16" s="37">
        <f>IFERROR(VLOOKUP($A16,subQ,MATCH(E$1,SUBQH,0),0),"")</f>
        <v/>
      </c>
      <c r="F16" s="15">
        <f>IFERROR(VLOOKUP($A16,subQ,MATCH(F$1,SUBQH,0),0),"")</f>
        <v/>
      </c>
      <c r="G16" s="15">
        <f>IFERROR(VLOOKUP($A16,subQ,MATCH(G$1,SUBQH,0),0),"")</f>
        <v/>
      </c>
      <c r="H16" s="15">
        <f>IFERROR(VLOOKUP($A16,subQ,MATCH(H$1,SUBQH,0),0),"")</f>
        <v/>
      </c>
      <c r="I16" s="15">
        <f>IFERROR(VLOOKUP($A16,subQ,MATCH(I$1,SUBQH,0),0),"")</f>
        <v/>
      </c>
      <c r="J16" s="15">
        <f>IFERROR(VLOOKUP($A16,subQ,MATCH(J$1,SUBQH,0),0),"")</f>
        <v/>
      </c>
      <c r="K16" s="15">
        <f>IFERROR(VLOOKUP($A16,subQ,MATCH(K$1,SUBQH,0),0),"")</f>
        <v/>
      </c>
      <c r="L16" s="15">
        <f>IFERROR(VLOOKUP($A16,subQ,MATCH(L$1,SUBQH,0),0),"")</f>
        <v/>
      </c>
      <c r="M16" s="15">
        <f>IFERROR(VLOOKUP($A16,subQ,MATCH(M$1,SUBQH,0),0),"")</f>
        <v/>
      </c>
      <c r="N16" s="15">
        <f>IFERROR(VLOOKUP($A16,subQ,MATCH(N$1,SUBQH,0),0),"")</f>
        <v/>
      </c>
      <c r="O16" s="15">
        <f>IFERROR(VLOOKUP($A16,subQ,MATCH(O$1,SUBQH,0),0),"")</f>
        <v/>
      </c>
    </row>
    <row r="17">
      <c r="A17" s="11" t="inlineStr">
        <is>
          <t>당기순이익</t>
        </is>
      </c>
      <c r="D17" t="inlineStr">
        <is>
          <t>당기순이익</t>
        </is>
      </c>
      <c r="E17" s="37">
        <f>IFERROR(VLOOKUP($A17,subQ,MATCH(E$1,SUBQH,0),0),"")</f>
        <v/>
      </c>
      <c r="F17" s="15">
        <f>IFERROR(VLOOKUP($A17,subQ,MATCH(F$1,SUBQH,0),0),"")</f>
        <v/>
      </c>
      <c r="G17" s="15">
        <f>IFERROR(VLOOKUP($A17,subQ,MATCH(G$1,SUBQH,0),0),"")</f>
        <v/>
      </c>
      <c r="H17" s="15">
        <f>IFERROR(VLOOKUP($A17,subQ,MATCH(H$1,SUBQH,0),0),"")</f>
        <v/>
      </c>
      <c r="I17" s="15">
        <f>IFERROR(VLOOKUP($A17,subQ,MATCH(I$1,SUBQH,0),0),"")</f>
        <v/>
      </c>
      <c r="J17" s="15">
        <f>IFERROR(VLOOKUP($A17,subQ,MATCH(J$1,SUBQH,0),0),"")</f>
        <v/>
      </c>
      <c r="K17" s="15">
        <f>IFERROR(VLOOKUP($A17,subQ,MATCH(K$1,SUBQH,0),0),"")</f>
        <v/>
      </c>
      <c r="L17" s="15">
        <f>IFERROR(VLOOKUP($A17,subQ,MATCH(L$1,SUBQH,0),0),"")</f>
        <v/>
      </c>
      <c r="M17" s="15">
        <f>IFERROR(VLOOKUP($A17,subQ,MATCH(M$1,SUBQH,0),0),"")</f>
        <v/>
      </c>
      <c r="N17" s="15">
        <f>IFERROR(VLOOKUP($A17,subQ,MATCH(N$1,SUBQH,0),0),"")</f>
        <v/>
      </c>
      <c r="O17" s="15">
        <f>IFERROR(VLOOKUP($A17,subQ,MATCH(O$1,SUBQH,0),0),"")</f>
        <v/>
      </c>
    </row>
    <row r="18">
      <c r="A18" s="11" t="inlineStr">
        <is>
          <t>지배주주순이익</t>
        </is>
      </c>
      <c r="D18" t="inlineStr">
        <is>
          <t>지배주주순이익</t>
        </is>
      </c>
      <c r="E18" s="37">
        <f>IFERROR(VLOOKUP($A18,subQ,MATCH(E$1,SUBQH,0),0),"")</f>
        <v/>
      </c>
      <c r="F18" s="15">
        <f>IFERROR(VLOOKUP($A18,subQ,MATCH(F$1,SUBQH,0),0),"")</f>
        <v/>
      </c>
      <c r="G18" s="15">
        <f>IFERROR(VLOOKUP($A18,subQ,MATCH(G$1,SUBQH,0),0),"")</f>
        <v/>
      </c>
      <c r="H18" s="15">
        <f>IFERROR(VLOOKUP($A18,subQ,MATCH(H$1,SUBQH,0),0),"")</f>
        <v/>
      </c>
      <c r="I18" s="15">
        <f>IFERROR(VLOOKUP($A18,subQ,MATCH(I$1,SUBQH,0),0),"")</f>
        <v/>
      </c>
      <c r="J18" s="15">
        <f>IFERROR(VLOOKUP($A18,subQ,MATCH(J$1,SUBQH,0),0),"")</f>
        <v/>
      </c>
      <c r="K18" s="15">
        <f>IFERROR(VLOOKUP($A18,subQ,MATCH(K$1,SUBQH,0),0),"")</f>
        <v/>
      </c>
      <c r="L18" s="15">
        <f>IFERROR(VLOOKUP($A18,subQ,MATCH(L$1,SUBQH,0),0),"")</f>
        <v/>
      </c>
      <c r="M18" s="15">
        <f>IFERROR(VLOOKUP($A18,subQ,MATCH(M$1,SUBQH,0),0),"")</f>
        <v/>
      </c>
      <c r="N18" s="15">
        <f>IFERROR(VLOOKUP($A18,subQ,MATCH(N$1,SUBQH,0),0),"")</f>
        <v/>
      </c>
      <c r="O18" s="15">
        <f>IFERROR(VLOOKUP($A18,subQ,MATCH(O$1,SUBQH,0),0),"")</f>
        <v/>
      </c>
    </row>
    <row r="19">
      <c r="A19" s="11" t="inlineStr">
        <is>
          <t>자산총계</t>
        </is>
      </c>
      <c r="D19" t="inlineStr">
        <is>
          <t>자산총계</t>
        </is>
      </c>
      <c r="E19" s="37">
        <f>IFERROR(VLOOKUP($A19,subQ,MATCH(E$1,SUBQH,0),0),"")</f>
        <v/>
      </c>
      <c r="F19" s="15">
        <f>IFERROR(VLOOKUP($A19,subQ,MATCH(F$1,SUBQH,0),0),"")</f>
        <v/>
      </c>
      <c r="G19" s="15">
        <f>IFERROR(VLOOKUP($A19,subQ,MATCH(G$1,SUBQH,0),0),"")</f>
        <v/>
      </c>
      <c r="H19" s="15">
        <f>IFERROR(VLOOKUP($A19,subQ,MATCH(H$1,SUBQH,0),0),"")</f>
        <v/>
      </c>
      <c r="I19" s="15">
        <f>IFERROR(VLOOKUP($A19,subQ,MATCH(I$1,SUBQH,0),0),"")</f>
        <v/>
      </c>
      <c r="J19" s="15">
        <f>IFERROR(VLOOKUP($A19,subQ,MATCH(J$1,SUBQH,0),0),"")</f>
        <v/>
      </c>
      <c r="K19" s="15">
        <f>IFERROR(VLOOKUP($A19,subQ,MATCH(K$1,SUBQH,0),0),"")</f>
        <v/>
      </c>
      <c r="L19" s="15">
        <f>IFERROR(VLOOKUP($A19,subQ,MATCH(L$1,SUBQH,0),0),"")</f>
        <v/>
      </c>
      <c r="M19" s="15">
        <f>IFERROR(VLOOKUP($A19,subQ,MATCH(M$1,SUBQH,0),0),"")</f>
        <v/>
      </c>
      <c r="N19" s="15">
        <f>IFERROR(VLOOKUP($A19,subQ,MATCH(N$1,SUBQH,0),0),"")</f>
        <v/>
      </c>
      <c r="O19" s="15">
        <f>IFERROR(VLOOKUP($A19,subQ,MATCH(O$1,SUBQH,0),0),"")</f>
        <v/>
      </c>
    </row>
    <row r="20">
      <c r="A20" s="11" t="inlineStr">
        <is>
          <t>부채총계</t>
        </is>
      </c>
      <c r="D20" t="inlineStr">
        <is>
          <t>부채총계</t>
        </is>
      </c>
      <c r="E20" s="37">
        <f>IFERROR(VLOOKUP($A20,subQ,MATCH(E$1,SUBQH,0),0),"")</f>
        <v/>
      </c>
      <c r="F20" s="15">
        <f>IFERROR(VLOOKUP($A20,subQ,MATCH(F$1,SUBQH,0),0),"")</f>
        <v/>
      </c>
      <c r="G20" s="15">
        <f>IFERROR(VLOOKUP($A20,subQ,MATCH(G$1,SUBQH,0),0),"")</f>
        <v/>
      </c>
      <c r="H20" s="15">
        <f>IFERROR(VLOOKUP($A20,subQ,MATCH(H$1,SUBQH,0),0),"")</f>
        <v/>
      </c>
      <c r="I20" s="15">
        <f>IFERROR(VLOOKUP($A20,subQ,MATCH(I$1,SUBQH,0),0),"")</f>
        <v/>
      </c>
      <c r="J20" s="15">
        <f>IFERROR(VLOOKUP($A20,subQ,MATCH(J$1,SUBQH,0),0),"")</f>
        <v/>
      </c>
      <c r="K20" s="15">
        <f>IFERROR(VLOOKUP($A20,subQ,MATCH(K$1,SUBQH,0),0),"")</f>
        <v/>
      </c>
      <c r="L20" s="15">
        <f>IFERROR(VLOOKUP($A20,subQ,MATCH(L$1,SUBQH,0),0),"")</f>
        <v/>
      </c>
      <c r="M20" s="15">
        <f>IFERROR(VLOOKUP($A20,subQ,MATCH(M$1,SUBQH,0),0),"")</f>
        <v/>
      </c>
      <c r="N20" s="15">
        <f>IFERROR(VLOOKUP($A20,subQ,MATCH(N$1,SUBQH,0),0),"")</f>
        <v/>
      </c>
      <c r="O20" s="15">
        <f>IFERROR(VLOOKUP($A20,subQ,MATCH(O$1,SUBQH,0),0),"")</f>
        <v/>
      </c>
    </row>
    <row r="21">
      <c r="A21" s="11" t="inlineStr">
        <is>
          <t>자본총계</t>
        </is>
      </c>
      <c r="D21" t="inlineStr">
        <is>
          <t>자본총계</t>
        </is>
      </c>
      <c r="E21" s="37">
        <f>IFERROR(VLOOKUP($A21,subQ,MATCH(E$1,SUBQH,0),0),"")</f>
        <v/>
      </c>
      <c r="F21" s="15">
        <f>IFERROR(VLOOKUP($A21,subQ,MATCH(F$1,SUBQH,0),0),"")</f>
        <v/>
      </c>
      <c r="G21" s="15">
        <f>IFERROR(VLOOKUP($A21,subQ,MATCH(G$1,SUBQH,0),0),"")</f>
        <v/>
      </c>
      <c r="H21" s="15">
        <f>IFERROR(VLOOKUP($A21,subQ,MATCH(H$1,SUBQH,0),0),"")</f>
        <v/>
      </c>
      <c r="I21" s="15">
        <f>IFERROR(VLOOKUP($A21,subQ,MATCH(I$1,SUBQH,0),0),"")</f>
        <v/>
      </c>
      <c r="J21" s="15">
        <f>IFERROR(VLOOKUP($A21,subQ,MATCH(J$1,SUBQH,0),0),"")</f>
        <v/>
      </c>
      <c r="K21" s="15">
        <f>IFERROR(VLOOKUP($A21,subQ,MATCH(K$1,SUBQH,0),0),"")</f>
        <v/>
      </c>
      <c r="L21" s="15">
        <f>IFERROR(VLOOKUP($A21,subQ,MATCH(L$1,SUBQH,0),0),"")</f>
        <v/>
      </c>
      <c r="M21" s="15">
        <f>IFERROR(VLOOKUP($A21,subQ,MATCH(M$1,SUBQH,0),0),"")</f>
        <v/>
      </c>
      <c r="N21" s="15">
        <f>IFERROR(VLOOKUP($A21,subQ,MATCH(N$1,SUBQH,0),0),"")</f>
        <v/>
      </c>
      <c r="O21" s="15">
        <f>IFERROR(VLOOKUP($A21,subQ,MATCH(O$1,SUBQH,0),0),"")</f>
        <v/>
      </c>
    </row>
    <row r="22">
      <c r="A22" s="11" t="inlineStr">
        <is>
          <t>지배주주지분</t>
        </is>
      </c>
      <c r="D22" t="inlineStr">
        <is>
          <t>지배주주지분</t>
        </is>
      </c>
      <c r="E22" s="37">
        <f>IFERROR(VLOOKUP($A22,subQ,MATCH(E$1,SUBQH,0),0),"")</f>
        <v/>
      </c>
      <c r="F22" s="15">
        <f>IFERROR(VLOOKUP($A22,subQ,MATCH(F$1,SUBQH,0),0),"")</f>
        <v/>
      </c>
      <c r="G22" s="15">
        <f>IFERROR(VLOOKUP($A22,subQ,MATCH(G$1,SUBQH,0),0),"")</f>
        <v/>
      </c>
      <c r="H22" s="15">
        <f>IFERROR(VLOOKUP($A22,subQ,MATCH(H$1,SUBQH,0),0),"")</f>
        <v/>
      </c>
      <c r="I22" s="15">
        <f>IFERROR(VLOOKUP($A22,subQ,MATCH(I$1,SUBQH,0),0),"")</f>
        <v/>
      </c>
      <c r="J22" s="15">
        <f>IFERROR(VLOOKUP($A22,subQ,MATCH(J$1,SUBQH,0),0),"")</f>
        <v/>
      </c>
      <c r="K22" s="15">
        <f>IFERROR(VLOOKUP($A22,subQ,MATCH(K$1,SUBQH,0),0),"")</f>
        <v/>
      </c>
      <c r="L22" s="15">
        <f>IFERROR(VLOOKUP($A22,subQ,MATCH(L$1,SUBQH,0),0),"")</f>
        <v/>
      </c>
      <c r="M22" s="15">
        <f>IFERROR(VLOOKUP($A22,subQ,MATCH(M$1,SUBQH,0),0),"")</f>
        <v/>
      </c>
      <c r="N22" s="15">
        <f>IFERROR(VLOOKUP($A22,subQ,MATCH(N$1,SUBQH,0),0),"")</f>
        <v/>
      </c>
      <c r="O22" s="15">
        <f>IFERROR(VLOOKUP($A22,subQ,MATCH(O$1,SUBQH,0),0),"")</f>
        <v/>
      </c>
    </row>
    <row r="23">
      <c r="A23" s="11" t="inlineStr">
        <is>
          <t>총차입금</t>
        </is>
      </c>
      <c r="D23" t="inlineStr">
        <is>
          <t>총차입금</t>
        </is>
      </c>
      <c r="E23" s="37">
        <f>IFERROR(VLOOKUP($A23,subQ,MATCH(E$1,SUBQH,0),0),"")</f>
        <v/>
      </c>
      <c r="F23" s="15">
        <f>IFERROR(VLOOKUP($A23,subQ,MATCH(F$1,SUBQH,0),0),"")</f>
        <v/>
      </c>
      <c r="G23" s="15">
        <f>IFERROR(VLOOKUP($A23,subQ,MATCH(G$1,SUBQH,0),0),"")</f>
        <v/>
      </c>
      <c r="H23" s="15">
        <f>IFERROR(VLOOKUP($A23,subQ,MATCH(H$1,SUBQH,0),0),"")</f>
        <v/>
      </c>
      <c r="I23" s="15">
        <f>IFERROR(VLOOKUP($A23,subQ,MATCH(I$1,SUBQH,0),0),"")</f>
        <v/>
      </c>
      <c r="J23" s="15">
        <f>IFERROR(VLOOKUP($A23,subQ,MATCH(J$1,SUBQH,0),0),"")</f>
        <v/>
      </c>
      <c r="K23" s="15">
        <f>IFERROR(VLOOKUP($A23,subQ,MATCH(K$1,SUBQH,0),0),"")</f>
        <v/>
      </c>
      <c r="L23" s="15">
        <f>IFERROR(VLOOKUP($A23,subQ,MATCH(L$1,SUBQH,0),0),"")</f>
        <v/>
      </c>
      <c r="M23" s="15">
        <f>IFERROR(VLOOKUP($A23,subQ,MATCH(M$1,SUBQH,0),0),"")</f>
        <v/>
      </c>
      <c r="N23" s="15">
        <f>IFERROR(VLOOKUP($A23,subQ,MATCH(N$1,SUBQH,0),0),"")</f>
        <v/>
      </c>
      <c r="O23" s="15">
        <f>IFERROR(VLOOKUP($A23,subQ,MATCH(O$1,SUBQH,0),0),"")</f>
        <v/>
      </c>
    </row>
    <row r="24">
      <c r="A24" s="11" t="inlineStr">
        <is>
          <t>순차입금</t>
        </is>
      </c>
      <c r="D24" t="inlineStr">
        <is>
          <t>순차입금</t>
        </is>
      </c>
      <c r="E24" s="37">
        <f>IFERROR(VLOOKUP($A24,subQ,MATCH(E$1,SUBQH,0),0),"")</f>
        <v/>
      </c>
      <c r="F24" s="15">
        <f>IFERROR(VLOOKUP($A24,subQ,MATCH(F$1,SUBQH,0),0),"")</f>
        <v/>
      </c>
      <c r="G24" s="15">
        <f>IFERROR(VLOOKUP($A24,subQ,MATCH(G$1,SUBQH,0),0),"")</f>
        <v/>
      </c>
      <c r="H24" s="15">
        <f>IFERROR(VLOOKUP($A24,subQ,MATCH(H$1,SUBQH,0),0),"")</f>
        <v/>
      </c>
      <c r="I24" s="15">
        <f>IFERROR(VLOOKUP($A24,subQ,MATCH(I$1,SUBQH,0),0),"")</f>
        <v/>
      </c>
      <c r="J24" s="15">
        <f>IFERROR(VLOOKUP($A24,subQ,MATCH(J$1,SUBQH,0),0),"")</f>
        <v/>
      </c>
      <c r="K24" s="15">
        <f>IFERROR(VLOOKUP($A24,subQ,MATCH(K$1,SUBQH,0),0),"")</f>
        <v/>
      </c>
      <c r="L24" s="15">
        <f>IFERROR(VLOOKUP($A24,subQ,MATCH(L$1,SUBQH,0),0),"")</f>
        <v/>
      </c>
      <c r="M24" s="15">
        <f>IFERROR(VLOOKUP($A24,subQ,MATCH(M$1,SUBQH,0),0),"")</f>
        <v/>
      </c>
      <c r="N24" s="15">
        <f>IFERROR(VLOOKUP($A24,subQ,MATCH(N$1,SUBQH,0),0),"")</f>
        <v/>
      </c>
      <c r="O24" s="15">
        <f>IFERROR(VLOOKUP($A24,subQ,MATCH(O$1,SUBQH,0),0),"")</f>
        <v/>
      </c>
    </row>
    <row r="25">
      <c r="A25" s="11" t="inlineStr">
        <is>
          <t>이자발생자산</t>
        </is>
      </c>
      <c r="D25" t="inlineStr">
        <is>
          <t>이자발생자산</t>
        </is>
      </c>
      <c r="E25" s="37">
        <f>IFERROR(VLOOKUP($A25,subQ,MATCH(E$1,SUBQH,0),0),"")</f>
        <v/>
      </c>
      <c r="F25" s="15">
        <f>IFERROR(VLOOKUP($A25,subQ,MATCH(F$1,SUBQH,0),0),"")</f>
        <v/>
      </c>
      <c r="G25" s="15">
        <f>IFERROR(VLOOKUP($A25,subQ,MATCH(G$1,SUBQH,0),0),"")</f>
        <v/>
      </c>
      <c r="H25" s="15">
        <f>IFERROR(VLOOKUP($A25,subQ,MATCH(H$1,SUBQH,0),0),"")</f>
        <v/>
      </c>
      <c r="I25" s="15">
        <f>IFERROR(VLOOKUP($A25,subQ,MATCH(I$1,SUBQH,0),0),"")</f>
        <v/>
      </c>
      <c r="J25" s="15">
        <f>IFERROR(VLOOKUP($A25,subQ,MATCH(J$1,SUBQH,0),0),"")</f>
        <v/>
      </c>
      <c r="K25" s="15">
        <f>IFERROR(VLOOKUP($A25,subQ,MATCH(K$1,SUBQH,0),0),"")</f>
        <v/>
      </c>
      <c r="L25" s="15">
        <f>IFERROR(VLOOKUP($A25,subQ,MATCH(L$1,SUBQH,0),0),"")</f>
        <v/>
      </c>
      <c r="M25" s="15">
        <f>IFERROR(VLOOKUP($A25,subQ,MATCH(M$1,SUBQH,0),0),"")</f>
        <v/>
      </c>
      <c r="N25" s="15">
        <f>IFERROR(VLOOKUP($A25,subQ,MATCH(N$1,SUBQH,0),0),"")</f>
        <v/>
      </c>
      <c r="O25" s="15">
        <f>IFERROR(VLOOKUP($A25,subQ,MATCH(O$1,SUBQH,0),0),"")</f>
        <v/>
      </c>
    </row>
    <row r="26">
      <c r="A26" s="11" t="inlineStr">
        <is>
          <t>현금및현금성자산</t>
        </is>
      </c>
      <c r="D26" t="inlineStr">
        <is>
          <t>현금및현금성자산</t>
        </is>
      </c>
      <c r="E26" s="37">
        <f>IFERROR(VLOOKUP($A26,subQ,MATCH(E$1,SUBQH,0),0),"")</f>
        <v/>
      </c>
      <c r="F26" s="15">
        <f>IFERROR(VLOOKUP($A26,subQ,MATCH(F$1,SUBQH,0),0),"")</f>
        <v/>
      </c>
      <c r="G26" s="15">
        <f>IFERROR(VLOOKUP($A26,subQ,MATCH(G$1,SUBQH,0),0),"")</f>
        <v/>
      </c>
      <c r="H26" s="15">
        <f>IFERROR(VLOOKUP($A26,subQ,MATCH(H$1,SUBQH,0),0),"")</f>
        <v/>
      </c>
      <c r="I26" s="15">
        <f>IFERROR(VLOOKUP($A26,subQ,MATCH(I$1,SUBQH,0),0),"")</f>
        <v/>
      </c>
      <c r="J26" s="15">
        <f>IFERROR(VLOOKUP($A26,subQ,MATCH(J$1,SUBQH,0),0),"")</f>
        <v/>
      </c>
      <c r="K26" s="15">
        <f>IFERROR(VLOOKUP($A26,subQ,MATCH(K$1,SUBQH,0),0),"")</f>
        <v/>
      </c>
      <c r="L26" s="15">
        <f>IFERROR(VLOOKUP($A26,subQ,MATCH(L$1,SUBQH,0),0),"")</f>
        <v/>
      </c>
      <c r="M26" s="15">
        <f>IFERROR(VLOOKUP($A26,subQ,MATCH(M$1,SUBQH,0),0),"")</f>
        <v/>
      </c>
      <c r="N26" s="15">
        <f>IFERROR(VLOOKUP($A26,subQ,MATCH(N$1,SUBQH,0),0),"")</f>
        <v/>
      </c>
      <c r="O26" s="15">
        <f>IFERROR(VLOOKUP($A26,subQ,MATCH(O$1,SUBQH,0),0),"")</f>
        <v/>
      </c>
    </row>
    <row r="27">
      <c r="A27" s="11" t="inlineStr">
        <is>
          <t>주식수</t>
        </is>
      </c>
      <c r="D27" t="inlineStr">
        <is>
          <t>유통주식수</t>
        </is>
      </c>
      <c r="E27" s="39">
        <f>IFERROR(VLOOKUP($A27,subQ,MATCH(E$1,SUBQH,0),0),"")</f>
        <v/>
      </c>
      <c r="F27" s="23">
        <f>IFERROR(VLOOKUP($A27,subQ,MATCH(F$1,SUBQH,0),0),"")</f>
        <v/>
      </c>
      <c r="G27" s="23">
        <f>IFERROR(VLOOKUP($A27,subQ,MATCH(G$1,SUBQH,0),0),"")</f>
        <v/>
      </c>
      <c r="H27" s="23">
        <f>IFERROR(VLOOKUP($A27,subQ,MATCH(H$1,SUBQH,0),0),"")</f>
        <v/>
      </c>
      <c r="I27" s="23">
        <f>IFERROR(VLOOKUP($A27,subQ,MATCH(I$1,SUBQH,0),0),"")</f>
        <v/>
      </c>
      <c r="J27" s="23">
        <f>IFERROR(VLOOKUP($A27,subQ,MATCH(J$1,SUBQH,0),0),"")</f>
        <v/>
      </c>
      <c r="K27" s="23">
        <f>IFERROR(VLOOKUP($A27,subQ,MATCH(K$1,SUBQH,0),0),"")</f>
        <v/>
      </c>
      <c r="L27" s="23">
        <f>IFERROR(VLOOKUP($A27,subQ,MATCH(L$1,SUBQH,0),0),"")</f>
        <v/>
      </c>
      <c r="M27" s="23">
        <f>IFERROR(VLOOKUP($A27,subQ,MATCH(M$1,SUBQH,0),0),"")</f>
        <v/>
      </c>
      <c r="N27" s="23">
        <f>IFERROR(VLOOKUP($A27,subQ,MATCH(N$1,SUBQH,0),0),"")</f>
        <v/>
      </c>
      <c r="O27" s="23">
        <f>IFERROR(VLOOKUP($A27,subQ,MATCH(O$1,SUBQH,0),0),"")</f>
        <v/>
      </c>
    </row>
    <row r="28">
      <c r="A28" s="11" t="inlineStr">
        <is>
          <t>EPS</t>
        </is>
      </c>
      <c r="D28" t="inlineStr">
        <is>
          <t>EPS</t>
        </is>
      </c>
      <c r="E28" s="37">
        <f>IFERROR(VLOOKUP($A28,subQ,MATCH(E$1,SUBQH,0),0),"")</f>
        <v/>
      </c>
      <c r="F28" s="15">
        <f>IFERROR(VLOOKUP($A28,subQ,MATCH(F$1,SUBQH,0),0),"")</f>
        <v/>
      </c>
      <c r="G28" s="15">
        <f>IFERROR(VLOOKUP($A28,subQ,MATCH(G$1,SUBQH,0),0),"")</f>
        <v/>
      </c>
      <c r="H28" s="15">
        <f>IFERROR(VLOOKUP($A28,subQ,MATCH(H$1,SUBQH,0),0),"")</f>
        <v/>
      </c>
      <c r="I28" s="15">
        <f>IFERROR(VLOOKUP($A28,subQ,MATCH(I$1,SUBQH,0),0),"")</f>
        <v/>
      </c>
      <c r="J28" s="15">
        <f>IFERROR(VLOOKUP($A28,subQ,MATCH(J$1,SUBQH,0),0),"")</f>
        <v/>
      </c>
      <c r="K28" s="15">
        <f>IFERROR(VLOOKUP($A28,subQ,MATCH(K$1,SUBQH,0),0),"")</f>
        <v/>
      </c>
      <c r="L28" s="15">
        <f>IFERROR(VLOOKUP($A28,subQ,MATCH(L$1,SUBQH,0),0),"")</f>
        <v/>
      </c>
      <c r="M28" s="15">
        <f>IFERROR(VLOOKUP($A28,subQ,MATCH(M$1,SUBQH,0),0),"")</f>
        <v/>
      </c>
      <c r="N28" s="15">
        <f>IFERROR(VLOOKUP($A28,subQ,MATCH(N$1,SUBQH,0),0),"")</f>
        <v/>
      </c>
      <c r="O28" s="15">
        <f>IFERROR(VLOOKUP($A28,subQ,MATCH(O$1,SUBQH,0),0),"")</f>
        <v/>
      </c>
    </row>
    <row r="29">
      <c r="A29" s="11" t="inlineStr">
        <is>
          <t>BPS</t>
        </is>
      </c>
      <c r="D29" t="inlineStr">
        <is>
          <t>BPS</t>
        </is>
      </c>
      <c r="E29" s="37">
        <f>IFERROR(VLOOKUP($A29,subQ,MATCH(E$1,SUBQH,0),0),"")</f>
        <v/>
      </c>
      <c r="F29" s="15">
        <f>IFERROR(VLOOKUP($A29,subQ,MATCH(F$1,SUBQH,0),0),"")</f>
        <v/>
      </c>
      <c r="G29" s="15">
        <f>IFERROR(VLOOKUP($A29,subQ,MATCH(G$1,SUBQH,0),0),"")</f>
        <v/>
      </c>
      <c r="H29" s="15">
        <f>IFERROR(VLOOKUP($A29,subQ,MATCH(H$1,SUBQH,0),0),"")</f>
        <v/>
      </c>
      <c r="I29" s="15">
        <f>IFERROR(VLOOKUP($A29,subQ,MATCH(I$1,SUBQH,0),0),"")</f>
        <v/>
      </c>
      <c r="J29" s="15">
        <f>IFERROR(VLOOKUP($A29,subQ,MATCH(J$1,SUBQH,0),0),"")</f>
        <v/>
      </c>
      <c r="K29" s="15">
        <f>IFERROR(VLOOKUP($A29,subQ,MATCH(K$1,SUBQH,0),0),"")</f>
        <v/>
      </c>
      <c r="L29" s="15">
        <f>IFERROR(VLOOKUP($A29,subQ,MATCH(L$1,SUBQH,0),0),"")</f>
        <v/>
      </c>
      <c r="M29" s="15">
        <f>IFERROR(VLOOKUP($A29,subQ,MATCH(M$1,SUBQH,0),0),"")</f>
        <v/>
      </c>
      <c r="N29" s="15">
        <f>IFERROR(VLOOKUP($A29,subQ,MATCH(N$1,SUBQH,0),0),"")</f>
        <v/>
      </c>
      <c r="O29" s="15">
        <f>IFERROR(VLOOKUP($A29,subQ,MATCH(O$1,SUBQH,0),0),"")</f>
        <v/>
      </c>
    </row>
    <row r="30">
      <c r="A30" s="11" t="inlineStr">
        <is>
          <t>DPS</t>
        </is>
      </c>
      <c r="D30" t="inlineStr">
        <is>
          <t>DPS(보통주)</t>
        </is>
      </c>
      <c r="E30" s="37">
        <f>IFERROR(VLOOKUP($A30,subQ,MATCH(E$1,SUBQH,0),0),"")</f>
        <v/>
      </c>
      <c r="F30" s="15">
        <f>IFERROR(VLOOKUP($A30,subQ,MATCH(F$1,SUBQH,0),0),"")</f>
        <v/>
      </c>
      <c r="G30" s="15">
        <f>IFERROR(VLOOKUP($A30,subQ,MATCH(G$1,SUBQH,0),0),"")</f>
        <v/>
      </c>
      <c r="H30" s="15">
        <f>IFERROR(VLOOKUP($A30,subQ,MATCH(H$1,SUBQH,0),0),"")</f>
        <v/>
      </c>
      <c r="I30" s="15">
        <f>IFERROR(VLOOKUP($A30,subQ,MATCH(I$1,SUBQH,0),0),"")</f>
        <v/>
      </c>
      <c r="J30" s="15">
        <f>IFERROR(VLOOKUP($A30,subQ,MATCH(J$1,SUBQH,0),0),"")</f>
        <v/>
      </c>
      <c r="K30" s="15">
        <f>IFERROR(VLOOKUP($A30,subQ,MATCH(K$1,SUBQH,0),0),"")</f>
        <v/>
      </c>
      <c r="L30" s="15">
        <f>IFERROR(VLOOKUP($A30,subQ,MATCH(L$1,SUBQH,0),0),"")</f>
        <v/>
      </c>
      <c r="M30" s="15">
        <f>IFERROR(VLOOKUP($A30,subQ,MATCH(M$1,SUBQH,0),0),"")</f>
        <v/>
      </c>
      <c r="N30" s="15">
        <f>IFERROR(VLOOKUP($A30,subQ,MATCH(N$1,SUBQH,0),0),"")</f>
        <v/>
      </c>
      <c r="O30" s="15">
        <f>IFERROR(VLOOKUP($A30,subQ,MATCH(O$1,SUBQH,0),0),"")</f>
        <v/>
      </c>
    </row>
    <row r="31">
      <c r="A31" s="11" t="inlineStr">
        <is>
          <t>PBR</t>
        </is>
      </c>
      <c r="D31" t="inlineStr">
        <is>
          <t>PBR</t>
        </is>
      </c>
      <c r="E31" s="40">
        <f>IFERROR(VLOOKUP($A31,subQ,MATCH(E$1,SUBQH,0),0),"")</f>
        <v/>
      </c>
      <c r="F31" s="30">
        <f>IFERROR(VLOOKUP($A31,subQ,MATCH(F$1,SUBQH,0),0),"")</f>
        <v/>
      </c>
      <c r="G31" s="30">
        <f>IFERROR(VLOOKUP($A31,subQ,MATCH(G$1,SUBQH,0),0),"")</f>
        <v/>
      </c>
      <c r="H31" s="30">
        <f>IFERROR(VLOOKUP($A31,subQ,MATCH(H$1,SUBQH,0),0),"")</f>
        <v/>
      </c>
      <c r="I31" s="30">
        <f>IFERROR(VLOOKUP($A31,subQ,MATCH(I$1,SUBQH,0),0),"")</f>
        <v/>
      </c>
      <c r="J31" s="30">
        <f>IFERROR(VLOOKUP($A31,subQ,MATCH(J$1,SUBQH,0),0),"")</f>
        <v/>
      </c>
      <c r="K31" s="30">
        <f>IFERROR(VLOOKUP($A31,subQ,MATCH(K$1,SUBQH,0),0),"")</f>
        <v/>
      </c>
      <c r="L31" s="30">
        <f>IFERROR(VLOOKUP($A31,subQ,MATCH(L$1,SUBQH,0),0),"")</f>
        <v/>
      </c>
      <c r="M31" s="30">
        <f>IFERROR(VLOOKUP($A31,subQ,MATCH(M$1,SUBQH,0),0),"")</f>
        <v/>
      </c>
      <c r="N31" s="30">
        <f>IFERROR(VLOOKUP($A31,subQ,MATCH(N$1,SUBQH,0),0),"")</f>
        <v/>
      </c>
      <c r="O31" s="30">
        <f>IFERROR(VLOOKUP($A31,subQ,MATCH(O$1,SUBQH,0),0),"")</f>
        <v/>
      </c>
    </row>
    <row r="32">
      <c r="A32" s="11" t="inlineStr">
        <is>
          <t>매출전사</t>
        </is>
      </c>
      <c r="D32" t="inlineStr">
        <is>
          <t>매출 전사(부문 미분리)</t>
        </is>
      </c>
      <c r="E32" s="37">
        <f>IFERROR(VLOOKUP($A32,subQ,MATCH(E$1,SUBQH,0),0),"")</f>
        <v/>
      </c>
      <c r="F32" s="15">
        <f>IFERROR(VLOOKUP($A32,subQ,MATCH(F$1,SUBQH,0),0),"")</f>
        <v/>
      </c>
      <c r="G32" s="15">
        <f>IFERROR(VLOOKUP($A32,subQ,MATCH(G$1,SUBQH,0),0),"")</f>
        <v/>
      </c>
      <c r="H32" s="15">
        <f>IFERROR(VLOOKUP($A32,subQ,MATCH(H$1,SUBQH,0),0),"")</f>
        <v/>
      </c>
      <c r="I32" s="15">
        <f>IFERROR(VLOOKUP($A32,subQ,MATCH(I$1,SUBQH,0),0),"")</f>
        <v/>
      </c>
      <c r="J32" s="15">
        <f>IFERROR(VLOOKUP($A32,subQ,MATCH(J$1,SUBQH,0),0),"")</f>
        <v/>
      </c>
      <c r="K32" s="15">
        <f>IFERROR(VLOOKUP($A32,subQ,MATCH(K$1,SUBQH,0),0),"")</f>
        <v/>
      </c>
      <c r="L32" s="15">
        <f>IFERROR(VLOOKUP($A32,subQ,MATCH(L$1,SUBQH,0),0),"")</f>
        <v/>
      </c>
      <c r="M32" s="15">
        <f>IFERROR(VLOOKUP($A32,subQ,MATCH(M$1,SUBQH,0),0),"")</f>
        <v/>
      </c>
      <c r="N32" s="15">
        <f>IFERROR(VLOOKUP($A32,subQ,MATCH(N$1,SUBQH,0),0),"")</f>
        <v/>
      </c>
      <c r="O32" s="15">
        <f>IFERROR(VLOOKUP($A32,subQ,MATCH(O$1,SUBQH,0),0),"")</f>
        <v/>
      </c>
    </row>
    <row r="33">
      <c r="A33" s="11" t="inlineStr">
        <is>
          <t>OP전사</t>
        </is>
      </c>
      <c r="D33" t="inlineStr">
        <is>
          <t>OP 전사(부문 미분리)</t>
        </is>
      </c>
      <c r="E33" s="37">
        <f>IFERROR(VLOOKUP($A33,subQ,MATCH(E$1,SUBQH,0),0),"")</f>
        <v/>
      </c>
      <c r="F33" s="15">
        <f>IFERROR(VLOOKUP($A33,subQ,MATCH(F$1,SUBQH,0),0),"")</f>
        <v/>
      </c>
      <c r="G33" s="15">
        <f>IFERROR(VLOOKUP($A33,subQ,MATCH(G$1,SUBQH,0),0),"")</f>
        <v/>
      </c>
      <c r="H33" s="15">
        <f>IFERROR(VLOOKUP($A33,subQ,MATCH(H$1,SUBQH,0),0),"")</f>
        <v/>
      </c>
      <c r="I33" s="15">
        <f>IFERROR(VLOOKUP($A33,subQ,MATCH(I$1,SUBQH,0),0),"")</f>
        <v/>
      </c>
      <c r="J33" s="15">
        <f>IFERROR(VLOOKUP($A33,subQ,MATCH(J$1,SUBQH,0),0),"")</f>
        <v/>
      </c>
      <c r="K33" s="15">
        <f>IFERROR(VLOOKUP($A33,subQ,MATCH(K$1,SUBQH,0),0),"")</f>
        <v/>
      </c>
      <c r="L33" s="15">
        <f>IFERROR(VLOOKUP($A33,subQ,MATCH(L$1,SUBQH,0),0),"")</f>
        <v/>
      </c>
      <c r="M33" s="15">
        <f>IFERROR(VLOOKUP($A33,subQ,MATCH(M$1,SUBQH,0),0),"")</f>
        <v/>
      </c>
      <c r="N33" s="15">
        <f>IFERROR(VLOOKUP($A33,subQ,MATCH(N$1,SUBQH,0),0),"")</f>
        <v/>
      </c>
      <c r="O33" s="15">
        <f>IFERROR(VLOOKUP($A33,subQ,MATCH(O$1,SUBQH,0),0),"")</f>
        <v/>
      </c>
    </row>
    <row r="34">
      <c r="A34" s="11" t="inlineStr">
        <is>
          <t>NPM</t>
        </is>
      </c>
      <c r="D34" t="inlineStr">
        <is>
          <t>NPM</t>
        </is>
      </c>
      <c r="E34" s="38">
        <f>IFERROR(VLOOKUP($A34,subQ,MATCH(E$1,SUBQH,0),0),"")</f>
        <v/>
      </c>
      <c r="F34" s="24">
        <f>IFERROR(VLOOKUP($A34,subQ,MATCH(F$1,SUBQH,0),0),"")</f>
        <v/>
      </c>
      <c r="G34" s="24">
        <f>IFERROR(VLOOKUP($A34,subQ,MATCH(G$1,SUBQH,0),0),"")</f>
        <v/>
      </c>
      <c r="H34" s="24">
        <f>IFERROR(VLOOKUP($A34,subQ,MATCH(H$1,SUBQH,0),0),"")</f>
        <v/>
      </c>
      <c r="I34" s="24">
        <f>IFERROR(VLOOKUP($A34,subQ,MATCH(I$1,SUBQH,0),0),"")</f>
        <v/>
      </c>
      <c r="J34" s="24">
        <f>IFERROR(VLOOKUP($A34,subQ,MATCH(J$1,SUBQH,0),0),"")</f>
        <v/>
      </c>
      <c r="K34" s="24">
        <f>IFERROR(VLOOKUP($A34,subQ,MATCH(K$1,SUBQH,0),0),"")</f>
        <v/>
      </c>
      <c r="L34" s="24">
        <f>IFERROR(VLOOKUP($A34,subQ,MATCH(L$1,SUBQH,0),0),"")</f>
        <v/>
      </c>
      <c r="M34" s="24">
        <f>IFERROR(VLOOKUP($A34,subQ,MATCH(M$1,SUBQH,0),0),"")</f>
        <v/>
      </c>
      <c r="N34" s="24">
        <f>IFERROR(VLOOKUP($A34,subQ,MATCH(N$1,SUBQH,0),0),"")</f>
        <v/>
      </c>
      <c r="O34" s="24">
        <f>IFERROR(VLOOKUP($A34,subQ,MATCH(O$1,SUBQH,0),0),"")</f>
        <v/>
      </c>
    </row>
    <row r="35">
      <c r="A35" s="11" t="inlineStr">
        <is>
          <t>매출액 YoY</t>
        </is>
      </c>
      <c r="D35" t="inlineStr">
        <is>
          <t>매출액 YoY</t>
        </is>
      </c>
      <c r="E35" s="34" t="n"/>
      <c r="F35" s="9" t="n"/>
      <c r="G35" s="9" t="n"/>
      <c r="H35" s="9" t="n"/>
      <c r="I35" s="24">
        <f>IFERROR(I5/E5-1,"")</f>
        <v/>
      </c>
      <c r="J35" s="24">
        <f>IFERROR(J5/F5-1,"")</f>
        <v/>
      </c>
      <c r="K35" s="24">
        <f>IFERROR(K5/G5-1,"")</f>
        <v/>
      </c>
      <c r="L35" s="24">
        <f>IFERROR(L5/H5-1,"")</f>
        <v/>
      </c>
      <c r="M35" s="24">
        <f>IFERROR(M5/I5-1,"")</f>
        <v/>
      </c>
      <c r="N35" s="24">
        <f>IFERROR(N5/J5-1,"")</f>
        <v/>
      </c>
      <c r="O35" s="24">
        <f>IFERROR(O5/K5-1,"")</f>
        <v/>
      </c>
    </row>
    <row r="36">
      <c r="A36" s="11" t="inlineStr">
        <is>
          <t>영업이익 YoY</t>
        </is>
      </c>
      <c r="D36" t="inlineStr">
        <is>
          <t>영업이익 YoY</t>
        </is>
      </c>
      <c r="E36" s="34" t="n"/>
      <c r="F36" s="9" t="n"/>
      <c r="G36" s="9" t="n"/>
      <c r="H36" s="9" t="n"/>
      <c r="I36" s="24">
        <f>IFERROR(I9/E9-1,"")</f>
        <v/>
      </c>
      <c r="J36" s="24">
        <f>IFERROR(J9/F9-1,"")</f>
        <v/>
      </c>
      <c r="K36" s="24">
        <f>IFERROR(K9/G9-1,"")</f>
        <v/>
      </c>
      <c r="L36" s="24">
        <f>IFERROR(L9/H9-1,"")</f>
        <v/>
      </c>
      <c r="M36" s="24">
        <f>IFERROR(M9/I9-1,"")</f>
        <v/>
      </c>
      <c r="N36" s="24">
        <f>IFERROR(N9/J9-1,"")</f>
        <v/>
      </c>
      <c r="O36" s="24">
        <f>IFERROR(O9/K9-1,"")</f>
        <v/>
      </c>
    </row>
    <row r="37">
      <c r="A37" s="11" t="inlineStr">
        <is>
          <t>지배주주순이익 YoY</t>
        </is>
      </c>
      <c r="D37" t="inlineStr">
        <is>
          <t>지배주주순이익 YoY</t>
        </is>
      </c>
      <c r="E37" s="34" t="n"/>
      <c r="F37" s="9" t="n"/>
      <c r="G37" s="9" t="n"/>
      <c r="H37" s="9" t="n"/>
      <c r="I37" s="24">
        <f>IFERROR(I18/E18-1,"")</f>
        <v/>
      </c>
      <c r="J37" s="24">
        <f>IFERROR(J18/F18-1,"")</f>
        <v/>
      </c>
      <c r="K37" s="24">
        <f>IFERROR(K18/G18-1,"")</f>
        <v/>
      </c>
      <c r="L37" s="24">
        <f>IFERROR(L18/H18-1,"")</f>
        <v/>
      </c>
      <c r="M37" s="24">
        <f>IFERROR(M18/I18-1,"")</f>
        <v/>
      </c>
      <c r="N37" s="24">
        <f>IFERROR(N18/J18-1,"")</f>
        <v/>
      </c>
      <c r="O37" s="24">
        <f>IFERROR(O18/K18-1,"")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</cols>
  <sheetData>
    <row r="1">
      <c r="C1" s="2" t="inlineStr">
        <is>
          <t>이름: 연간예상H — subQ 를 이름으로 VLOOKUP(억원)</t>
        </is>
      </c>
      <c r="E1" s="4" t="n">
        <v>2026</v>
      </c>
      <c r="F1" s="4" t="n">
        <v>2027</v>
      </c>
      <c r="G1" s="4" t="n">
        <v>2028</v>
      </c>
    </row>
    <row r="2">
      <c r="C2" t="inlineStr">
        <is>
          <t>종가:</t>
        </is>
      </c>
      <c r="D2" s="33">
        <f>변수!D41</f>
        <v/>
      </c>
    </row>
    <row r="3">
      <c r="C3" t="inlineStr">
        <is>
          <t>기준일:</t>
        </is>
      </c>
      <c r="D3" t="inlineStr">
        <is>
          <t>20261026</t>
        </is>
      </c>
      <c r="E3" s="2" t="n">
        <v>1</v>
      </c>
      <c r="F3" s="2" t="n">
        <v>2</v>
      </c>
      <c r="G3" s="2" t="n">
        <v>3</v>
      </c>
    </row>
    <row r="4">
      <c r="E4" s="8" t="inlineStr">
        <is>
          <t>2026.12A</t>
        </is>
      </c>
      <c r="F4" s="8" t="inlineStr">
        <is>
          <t>2027.12A</t>
        </is>
      </c>
      <c r="G4" s="8" t="inlineStr">
        <is>
          <t>2028.12A</t>
        </is>
      </c>
    </row>
    <row r="5">
      <c r="A5" s="11" t="inlineStr">
        <is>
          <t>매출액</t>
        </is>
      </c>
      <c r="D5" t="inlineStr">
        <is>
          <t>매출액</t>
        </is>
      </c>
      <c r="E5" s="15">
        <f>IFERROR(VLOOKUP($A5,subQ,MATCH(E$1,SUBQH,0),0),"")</f>
        <v/>
      </c>
      <c r="F5" s="15">
        <f>IFERROR(VLOOKUP($A5,subQ,MATCH(F$1,SUBQH,0),0),"")</f>
        <v/>
      </c>
      <c r="G5" s="15">
        <f>IFERROR(VLOOKUP($A5,subQ,MATCH(G$1,SUBQH,0),0),"")</f>
        <v/>
      </c>
    </row>
    <row r="6">
      <c r="A6" s="11" t="inlineStr">
        <is>
          <t>매출원가</t>
        </is>
      </c>
      <c r="D6" t="inlineStr">
        <is>
          <t>매출원가</t>
        </is>
      </c>
      <c r="E6" s="15">
        <f>IFERROR(VLOOKUP($A6,subQ,MATCH(E$1,SUBQH,0),0),"")</f>
        <v/>
      </c>
      <c r="F6" s="15">
        <f>IFERROR(VLOOKUP($A6,subQ,MATCH(F$1,SUBQH,0),0),"")</f>
        <v/>
      </c>
      <c r="G6" s="15">
        <f>IFERROR(VLOOKUP($A6,subQ,MATCH(G$1,SUBQH,0),0),"")</f>
        <v/>
      </c>
    </row>
    <row r="7">
      <c r="A7" s="11" t="inlineStr">
        <is>
          <t>매출총이익</t>
        </is>
      </c>
      <c r="D7" t="inlineStr">
        <is>
          <t>매출총이익</t>
        </is>
      </c>
      <c r="E7" s="15">
        <f>IFERROR(VLOOKUP($A7,subQ,MATCH(E$1,SUBQH,0),0),"")</f>
        <v/>
      </c>
      <c r="F7" s="15">
        <f>IFERROR(VLOOKUP($A7,subQ,MATCH(F$1,SUBQH,0),0),"")</f>
        <v/>
      </c>
      <c r="G7" s="15">
        <f>IFERROR(VLOOKUP($A7,subQ,MATCH(G$1,SUBQH,0),0),"")</f>
        <v/>
      </c>
    </row>
    <row r="8">
      <c r="A8" s="11" t="inlineStr">
        <is>
          <t>판관비</t>
        </is>
      </c>
      <c r="D8" t="inlineStr">
        <is>
          <t>판매비와관리비</t>
        </is>
      </c>
      <c r="E8" s="15">
        <f>IFERROR(VLOOKUP($A8,subQ,MATCH(E$1,SUBQH,0),0),"")</f>
        <v/>
      </c>
      <c r="F8" s="15">
        <f>IFERROR(VLOOKUP($A8,subQ,MATCH(F$1,SUBQH,0),0),"")</f>
        <v/>
      </c>
      <c r="G8" s="15">
        <f>IFERROR(VLOOKUP($A8,subQ,MATCH(G$1,SUBQH,0),0),"")</f>
        <v/>
      </c>
    </row>
    <row r="9">
      <c r="A9" s="11" t="inlineStr">
        <is>
          <t>영업이익</t>
        </is>
      </c>
      <c r="D9" t="inlineStr">
        <is>
          <t>영업이익</t>
        </is>
      </c>
      <c r="E9" s="15">
        <f>IFERROR(VLOOKUP($A9,subQ,MATCH(E$1,SUBQH,0),0),"")</f>
        <v/>
      </c>
      <c r="F9" s="15">
        <f>IFERROR(VLOOKUP($A9,subQ,MATCH(F$1,SUBQH,0),0),"")</f>
        <v/>
      </c>
      <c r="G9" s="15">
        <f>IFERROR(VLOOKUP($A9,subQ,MATCH(G$1,SUBQH,0),0),"")</f>
        <v/>
      </c>
    </row>
    <row r="10">
      <c r="A10" s="11" t="inlineStr">
        <is>
          <t>OPM</t>
        </is>
      </c>
      <c r="D10" t="inlineStr">
        <is>
          <t>영업이익률</t>
        </is>
      </c>
      <c r="E10" s="24">
        <f>IFERROR(VLOOKUP($A10,subQ,MATCH(E$1,SUBQH,0),0),"")</f>
        <v/>
      </c>
      <c r="F10" s="24">
        <f>IFERROR(VLOOKUP($A10,subQ,MATCH(F$1,SUBQH,0),0),"")</f>
        <v/>
      </c>
      <c r="G10" s="24">
        <f>IFERROR(VLOOKUP($A10,subQ,MATCH(G$1,SUBQH,0),0),"")</f>
        <v/>
      </c>
    </row>
    <row r="11">
      <c r="A11" s="11" t="inlineStr">
        <is>
          <t>금융손익</t>
        </is>
      </c>
      <c r="D11" t="inlineStr">
        <is>
          <t>금융손익(이자·환 포함)</t>
        </is>
      </c>
      <c r="E11" s="15">
        <f>IFERROR(VLOOKUP($A11,subQ,MATCH(E$1,SUBQH,0),0),"")</f>
        <v/>
      </c>
      <c r="F11" s="15">
        <f>IFERROR(VLOOKUP($A11,subQ,MATCH(F$1,SUBQH,0),0),"")</f>
        <v/>
      </c>
      <c r="G11" s="15">
        <f>IFERROR(VLOOKUP($A11,subQ,MATCH(G$1,SUBQH,0),0),"")</f>
        <v/>
      </c>
    </row>
    <row r="12">
      <c r="A12" s="11" t="inlineStr">
        <is>
          <t>이자손익</t>
        </is>
      </c>
      <c r="D12" t="inlineStr">
        <is>
          <t>이자손익(이자수익 − 이자비용)</t>
        </is>
      </c>
      <c r="E12" s="15">
        <f>IFERROR(VLOOKUP($A12,subQ,MATCH(E$1,SUBQH,0),0),"")</f>
        <v/>
      </c>
      <c r="F12" s="15">
        <f>IFERROR(VLOOKUP($A12,subQ,MATCH(F$1,SUBQH,0),0),"")</f>
        <v/>
      </c>
      <c r="G12" s="15">
        <f>IFERROR(VLOOKUP($A12,subQ,MATCH(G$1,SUBQH,0),0),"")</f>
        <v/>
      </c>
    </row>
    <row r="13">
      <c r="A13" s="11" t="inlineStr">
        <is>
          <t>외환손익</t>
        </is>
      </c>
      <c r="D13" t="inlineStr">
        <is>
          <t>외환손익(실적만; 추정 환효과는 환관련손익)</t>
        </is>
      </c>
      <c r="E13" s="15">
        <f>IFERROR(VLOOKUP($A13,subQ,MATCH(E$1,SUBQH,0),0),"")</f>
        <v/>
      </c>
      <c r="F13" s="15">
        <f>IFERROR(VLOOKUP($A13,subQ,MATCH(F$1,SUBQH,0),0),"")</f>
        <v/>
      </c>
      <c r="G13" s="15">
        <f>IFERROR(VLOOKUP($A13,subQ,MATCH(G$1,SUBQH,0),0),"")</f>
        <v/>
      </c>
    </row>
    <row r="14">
      <c r="A14" s="11" t="inlineStr">
        <is>
          <t>기타영업외손익</t>
        </is>
      </c>
      <c r="D14" t="inlineStr">
        <is>
          <t>기타영업외손익</t>
        </is>
      </c>
      <c r="E14" s="15">
        <f>IFERROR(VLOOKUP($A14,subQ,MATCH(E$1,SUBQH,0),0),"")</f>
        <v/>
      </c>
      <c r="F14" s="15">
        <f>IFERROR(VLOOKUP($A14,subQ,MATCH(F$1,SUBQH,0),0),"")</f>
        <v/>
      </c>
      <c r="G14" s="15">
        <f>IFERROR(VLOOKUP($A14,subQ,MATCH(G$1,SUBQH,0),0),"")</f>
        <v/>
      </c>
    </row>
    <row r="15">
      <c r="A15" s="11" t="inlineStr">
        <is>
          <t>세전이익</t>
        </is>
      </c>
      <c r="D15" t="inlineStr">
        <is>
          <t>법인세비용차감전이익</t>
        </is>
      </c>
      <c r="E15" s="15">
        <f>IFERROR(VLOOKUP($A15,subQ,MATCH(E$1,SUBQH,0),0),"")</f>
        <v/>
      </c>
      <c r="F15" s="15">
        <f>IFERROR(VLOOKUP($A15,subQ,MATCH(F$1,SUBQH,0),0),"")</f>
        <v/>
      </c>
      <c r="G15" s="15">
        <f>IFERROR(VLOOKUP($A15,subQ,MATCH(G$1,SUBQH,0),0),"")</f>
        <v/>
      </c>
    </row>
    <row r="16">
      <c r="A16" s="11" t="inlineStr">
        <is>
          <t>법인세비용</t>
        </is>
      </c>
      <c r="D16" t="inlineStr">
        <is>
          <t>법인세비용</t>
        </is>
      </c>
      <c r="E16" s="15">
        <f>IFERROR(VLOOKUP($A16,subQ,MATCH(E$1,SUBQH,0),0),"")</f>
        <v/>
      </c>
      <c r="F16" s="15">
        <f>IFERROR(VLOOKUP($A16,subQ,MATCH(F$1,SUBQH,0),0),"")</f>
        <v/>
      </c>
      <c r="G16" s="15">
        <f>IFERROR(VLOOKUP($A16,subQ,MATCH(G$1,SUBQH,0),0),"")</f>
        <v/>
      </c>
    </row>
    <row r="17">
      <c r="A17" s="11" t="inlineStr">
        <is>
          <t>당기순이익</t>
        </is>
      </c>
      <c r="D17" t="inlineStr">
        <is>
          <t>당기순이익</t>
        </is>
      </c>
      <c r="E17" s="15">
        <f>IFERROR(VLOOKUP($A17,subQ,MATCH(E$1,SUBQH,0),0),"")</f>
        <v/>
      </c>
      <c r="F17" s="15">
        <f>IFERROR(VLOOKUP($A17,subQ,MATCH(F$1,SUBQH,0),0),"")</f>
        <v/>
      </c>
      <c r="G17" s="15">
        <f>IFERROR(VLOOKUP($A17,subQ,MATCH(G$1,SUBQH,0),0),"")</f>
        <v/>
      </c>
    </row>
    <row r="18">
      <c r="A18" s="11" t="inlineStr">
        <is>
          <t>지배주주순이익</t>
        </is>
      </c>
      <c r="D18" t="inlineStr">
        <is>
          <t>지배주주순이익</t>
        </is>
      </c>
      <c r="E18" s="15">
        <f>IFERROR(VLOOKUP($A18,subQ,MATCH(E$1,SUBQH,0),0),"")</f>
        <v/>
      </c>
      <c r="F18" s="15">
        <f>IFERROR(VLOOKUP($A18,subQ,MATCH(F$1,SUBQH,0),0),"")</f>
        <v/>
      </c>
      <c r="G18" s="15">
        <f>IFERROR(VLOOKUP($A18,subQ,MATCH(G$1,SUBQH,0),0),"")</f>
        <v/>
      </c>
    </row>
    <row r="19">
      <c r="A19" s="11" t="inlineStr">
        <is>
          <t>자산총계</t>
        </is>
      </c>
      <c r="D19" t="inlineStr">
        <is>
          <t>자산총계</t>
        </is>
      </c>
      <c r="E19" s="15">
        <f>IFERROR(VLOOKUP($A19,subQ,MATCH(E$1,SUBQH,0),0),"")</f>
        <v/>
      </c>
      <c r="F19" s="15">
        <f>IFERROR(VLOOKUP($A19,subQ,MATCH(F$1,SUBQH,0),0),"")</f>
        <v/>
      </c>
      <c r="G19" s="15">
        <f>IFERROR(VLOOKUP($A19,subQ,MATCH(G$1,SUBQH,0),0),"")</f>
        <v/>
      </c>
    </row>
    <row r="20">
      <c r="A20" s="11" t="inlineStr">
        <is>
          <t>부채총계</t>
        </is>
      </c>
      <c r="D20" t="inlineStr">
        <is>
          <t>부채총계</t>
        </is>
      </c>
      <c r="E20" s="15">
        <f>IFERROR(VLOOKUP($A20,subQ,MATCH(E$1,SUBQH,0),0),"")</f>
        <v/>
      </c>
      <c r="F20" s="15">
        <f>IFERROR(VLOOKUP($A20,subQ,MATCH(F$1,SUBQH,0),0),"")</f>
        <v/>
      </c>
      <c r="G20" s="15">
        <f>IFERROR(VLOOKUP($A20,subQ,MATCH(G$1,SUBQH,0),0),"")</f>
        <v/>
      </c>
    </row>
    <row r="21">
      <c r="A21" s="11" t="inlineStr">
        <is>
          <t>자본총계</t>
        </is>
      </c>
      <c r="D21" t="inlineStr">
        <is>
          <t>자본총계</t>
        </is>
      </c>
      <c r="E21" s="15">
        <f>IFERROR(VLOOKUP($A21,subQ,MATCH(E$1,SUBQH,0),0),"")</f>
        <v/>
      </c>
      <c r="F21" s="15">
        <f>IFERROR(VLOOKUP($A21,subQ,MATCH(F$1,SUBQH,0),0),"")</f>
        <v/>
      </c>
      <c r="G21" s="15">
        <f>IFERROR(VLOOKUP($A21,subQ,MATCH(G$1,SUBQH,0),0),"")</f>
        <v/>
      </c>
    </row>
    <row r="22">
      <c r="A22" s="11" t="inlineStr">
        <is>
          <t>지배주주지분</t>
        </is>
      </c>
      <c r="D22" t="inlineStr">
        <is>
          <t>지배주주지분</t>
        </is>
      </c>
      <c r="E22" s="15">
        <f>IFERROR(VLOOKUP($A22,subQ,MATCH(E$1,SUBQH,0),0),"")</f>
        <v/>
      </c>
      <c r="F22" s="15">
        <f>IFERROR(VLOOKUP($A22,subQ,MATCH(F$1,SUBQH,0),0),"")</f>
        <v/>
      </c>
      <c r="G22" s="15">
        <f>IFERROR(VLOOKUP($A22,subQ,MATCH(G$1,SUBQH,0),0),"")</f>
        <v/>
      </c>
    </row>
    <row r="23">
      <c r="A23" s="11" t="inlineStr">
        <is>
          <t>총차입금</t>
        </is>
      </c>
      <c r="D23" t="inlineStr">
        <is>
          <t>총차입금</t>
        </is>
      </c>
      <c r="E23" s="15">
        <f>IFERROR(VLOOKUP($A23,subQ,MATCH(E$1,SUBQH,0),0),"")</f>
        <v/>
      </c>
      <c r="F23" s="15">
        <f>IFERROR(VLOOKUP($A23,subQ,MATCH(F$1,SUBQH,0),0),"")</f>
        <v/>
      </c>
      <c r="G23" s="15">
        <f>IFERROR(VLOOKUP($A23,subQ,MATCH(G$1,SUBQH,0),0),"")</f>
        <v/>
      </c>
    </row>
    <row r="24">
      <c r="A24" s="11" t="inlineStr">
        <is>
          <t>순차입금</t>
        </is>
      </c>
      <c r="D24" t="inlineStr">
        <is>
          <t>순차입금</t>
        </is>
      </c>
      <c r="E24" s="15">
        <f>IFERROR(VLOOKUP($A24,subQ,MATCH(E$1,SUBQH,0),0),"")</f>
        <v/>
      </c>
      <c r="F24" s="15">
        <f>IFERROR(VLOOKUP($A24,subQ,MATCH(F$1,SUBQH,0),0),"")</f>
        <v/>
      </c>
      <c r="G24" s="15">
        <f>IFERROR(VLOOKUP($A24,subQ,MATCH(G$1,SUBQH,0),0),"")</f>
        <v/>
      </c>
    </row>
    <row r="25">
      <c r="A25" s="11" t="inlineStr">
        <is>
          <t>이자발생자산</t>
        </is>
      </c>
      <c r="D25" t="inlineStr">
        <is>
          <t>이자발생자산</t>
        </is>
      </c>
      <c r="E25" s="15">
        <f>IFERROR(VLOOKUP($A25,subQ,MATCH(E$1,SUBQH,0),0),"")</f>
        <v/>
      </c>
      <c r="F25" s="15">
        <f>IFERROR(VLOOKUP($A25,subQ,MATCH(F$1,SUBQH,0),0),"")</f>
        <v/>
      </c>
      <c r="G25" s="15">
        <f>IFERROR(VLOOKUP($A25,subQ,MATCH(G$1,SUBQH,0),0),"")</f>
        <v/>
      </c>
    </row>
    <row r="26">
      <c r="A26" s="11" t="inlineStr">
        <is>
          <t>현금및현금성자산</t>
        </is>
      </c>
      <c r="D26" t="inlineStr">
        <is>
          <t>현금및현금성자산</t>
        </is>
      </c>
      <c r="E26" s="15">
        <f>IFERROR(VLOOKUP($A26,subQ,MATCH(E$1,SUBQH,0),0),"")</f>
        <v/>
      </c>
      <c r="F26" s="15">
        <f>IFERROR(VLOOKUP($A26,subQ,MATCH(F$1,SUBQH,0),0),"")</f>
        <v/>
      </c>
      <c r="G26" s="15">
        <f>IFERROR(VLOOKUP($A26,subQ,MATCH(G$1,SUBQH,0),0),"")</f>
        <v/>
      </c>
    </row>
    <row r="27">
      <c r="A27" s="11" t="inlineStr">
        <is>
          <t>주식수</t>
        </is>
      </c>
      <c r="D27" t="inlineStr">
        <is>
          <t>유통주식수</t>
        </is>
      </c>
      <c r="E27" s="23">
        <f>IFERROR(VLOOKUP($A27,subQ,MATCH(E$1,SUBQH,0),0),"")</f>
        <v/>
      </c>
      <c r="F27" s="23">
        <f>IFERROR(VLOOKUP($A27,subQ,MATCH(F$1,SUBQH,0),0),"")</f>
        <v/>
      </c>
      <c r="G27" s="23">
        <f>IFERROR(VLOOKUP($A27,subQ,MATCH(G$1,SUBQH,0),0),"")</f>
        <v/>
      </c>
    </row>
    <row r="28">
      <c r="A28" s="11" t="inlineStr">
        <is>
          <t>EPS</t>
        </is>
      </c>
      <c r="D28" t="inlineStr">
        <is>
          <t>EPS</t>
        </is>
      </c>
      <c r="E28" s="15">
        <f>IFERROR(VLOOKUP($A28,subQ,MATCH(E$1,SUBQH,0),0),"")</f>
        <v/>
      </c>
      <c r="F28" s="15">
        <f>IFERROR(VLOOKUP($A28,subQ,MATCH(F$1,SUBQH,0),0),"")</f>
        <v/>
      </c>
      <c r="G28" s="15">
        <f>IFERROR(VLOOKUP($A28,subQ,MATCH(G$1,SUBQH,0),0),"")</f>
        <v/>
      </c>
    </row>
    <row r="29">
      <c r="A29" s="11" t="inlineStr">
        <is>
          <t>BPS</t>
        </is>
      </c>
      <c r="D29" t="inlineStr">
        <is>
          <t>BPS</t>
        </is>
      </c>
      <c r="E29" s="15">
        <f>IFERROR(VLOOKUP($A29,subQ,MATCH(E$1,SUBQH,0),0),"")</f>
        <v/>
      </c>
      <c r="F29" s="15">
        <f>IFERROR(VLOOKUP($A29,subQ,MATCH(F$1,SUBQH,0),0),"")</f>
        <v/>
      </c>
      <c r="G29" s="15">
        <f>IFERROR(VLOOKUP($A29,subQ,MATCH(G$1,SUBQH,0),0),"")</f>
        <v/>
      </c>
    </row>
    <row r="30">
      <c r="A30" s="11" t="inlineStr">
        <is>
          <t>DPS</t>
        </is>
      </c>
      <c r="D30" t="inlineStr">
        <is>
          <t>DPS(보통주)</t>
        </is>
      </c>
      <c r="E30" s="15">
        <f>IFERROR(VLOOKUP($A30,subQ,MATCH(E$1,SUBQH,0),0),"")</f>
        <v/>
      </c>
      <c r="F30" s="15">
        <f>IFERROR(VLOOKUP($A30,subQ,MATCH(F$1,SUBQH,0),0),"")</f>
        <v/>
      </c>
      <c r="G30" s="15">
        <f>IFERROR(VLOOKUP($A30,subQ,MATCH(G$1,SUBQH,0),0),"")</f>
        <v/>
      </c>
    </row>
    <row r="31">
      <c r="A31" s="11" t="inlineStr">
        <is>
          <t>PBR</t>
        </is>
      </c>
      <c r="D31" t="inlineStr">
        <is>
          <t>PBR</t>
        </is>
      </c>
      <c r="E31" s="30">
        <f>IFERROR(VLOOKUP($A31,subQ,MATCH(E$1,SUBQH,0),0),"")</f>
        <v/>
      </c>
      <c r="F31" s="30">
        <f>IFERROR(VLOOKUP($A31,subQ,MATCH(F$1,SUBQH,0),0),"")</f>
        <v/>
      </c>
      <c r="G31" s="30">
        <f>IFERROR(VLOOKUP($A31,subQ,MATCH(G$1,SUBQH,0),0),"")</f>
        <v/>
      </c>
    </row>
    <row r="32">
      <c r="A32" s="11" t="inlineStr">
        <is>
          <t>매출전사</t>
        </is>
      </c>
      <c r="D32" t="inlineStr">
        <is>
          <t>매출 전사(부문 미분리)</t>
        </is>
      </c>
      <c r="E32" s="15">
        <f>IFERROR(VLOOKUP($A32,subQ,MATCH(E$1,SUBQH,0),0),"")</f>
        <v/>
      </c>
      <c r="F32" s="15">
        <f>IFERROR(VLOOKUP($A32,subQ,MATCH(F$1,SUBQH,0),0),"")</f>
        <v/>
      </c>
      <c r="G32" s="15">
        <f>IFERROR(VLOOKUP($A32,subQ,MATCH(G$1,SUBQH,0),0),"")</f>
        <v/>
      </c>
    </row>
    <row r="33">
      <c r="A33" s="11" t="inlineStr">
        <is>
          <t>OP전사</t>
        </is>
      </c>
      <c r="D33" t="inlineStr">
        <is>
          <t>OP 전사(부문 미분리)</t>
        </is>
      </c>
      <c r="E33" s="15">
        <f>IFERROR(VLOOKUP($A33,subQ,MATCH(E$1,SUBQH,0),0),"")</f>
        <v/>
      </c>
      <c r="F33" s="15">
        <f>IFERROR(VLOOKUP($A33,subQ,MATCH(F$1,SUBQH,0),0),"")</f>
        <v/>
      </c>
      <c r="G33" s="15">
        <f>IFERROR(VLOOKUP($A33,subQ,MATCH(G$1,SUBQH,0),0),"")</f>
        <v/>
      </c>
    </row>
    <row r="34">
      <c r="A34" s="11" t="inlineStr">
        <is>
          <t>NPM</t>
        </is>
      </c>
      <c r="D34" t="inlineStr">
        <is>
          <t>NPM</t>
        </is>
      </c>
      <c r="E34" s="24">
        <f>IFERROR(VLOOKUP($A34,subQ,MATCH(E$1,SUBQH,0),0),"")</f>
        <v/>
      </c>
      <c r="F34" s="24">
        <f>IFERROR(VLOOKUP($A34,subQ,MATCH(F$1,SUBQH,0),0),"")</f>
        <v/>
      </c>
      <c r="G34" s="24">
        <f>IFERROR(VLOOKUP($A34,subQ,MATCH(G$1,SUBQH,0),0),"")</f>
        <v/>
      </c>
    </row>
    <row r="35">
      <c r="A35" s="11" t="inlineStr">
        <is>
          <t>매출액 YoY</t>
        </is>
      </c>
      <c r="D35" t="inlineStr">
        <is>
          <t>매출액 YoY</t>
        </is>
      </c>
      <c r="E35" s="9" t="n"/>
      <c r="F35" s="24">
        <f>IFERROR(F5/E5-1,"")</f>
        <v/>
      </c>
      <c r="G35" s="24">
        <f>IFERROR(G5/F5-1,"")</f>
        <v/>
      </c>
    </row>
    <row r="36">
      <c r="A36" s="11" t="inlineStr">
        <is>
          <t>영업이익 YoY</t>
        </is>
      </c>
      <c r="D36" t="inlineStr">
        <is>
          <t>영업이익 YoY</t>
        </is>
      </c>
      <c r="E36" s="9" t="n"/>
      <c r="F36" s="24">
        <f>IFERROR(F9/E9-1,"")</f>
        <v/>
      </c>
      <c r="G36" s="24">
        <f>IFERROR(G9/F9-1,"")</f>
        <v/>
      </c>
    </row>
    <row r="37">
      <c r="A37" s="11" t="inlineStr">
        <is>
          <t>지배주주순이익 YoY</t>
        </is>
      </c>
      <c r="D37" t="inlineStr">
        <is>
          <t>지배주주순이익 YoY</t>
        </is>
      </c>
      <c r="E37" s="9" t="n"/>
      <c r="F37" s="24">
        <f>IFERROR(F18/E18-1,"")</f>
        <v/>
      </c>
      <c r="G37" s="24">
        <f>IFERROR(G18/F18-1,"")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33">
        <f>변수!D41</f>
        <v/>
      </c>
    </row>
    <row r="2">
      <c r="B2" s="1" t="inlineStr">
        <is>
          <t>기준일</t>
        </is>
      </c>
      <c r="C2">
        <f>변수!D42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1" t="n">
        <v>2026</v>
      </c>
      <c r="E5" s="41" t="n">
        <v>2027</v>
      </c>
      <c r="F5" s="41" t="n">
        <v>2028</v>
      </c>
    </row>
    <row r="6">
      <c r="D6" s="2" t="inlineStr">
        <is>
          <t>E</t>
        </is>
      </c>
      <c r="E6" s="2" t="inlineStr">
        <is>
          <t>E</t>
        </is>
      </c>
      <c r="F6" s="2" t="inlineStr">
        <is>
          <t>E</t>
        </is>
      </c>
    </row>
    <row r="7">
      <c r="C7" t="inlineStr">
        <is>
          <t>EPS(원)</t>
        </is>
      </c>
      <c r="D7" s="33">
        <f>IFERROR(VLOOKUP("EPS",subQ,MATCH(D$5,SUBQH,0),0),"")</f>
        <v/>
      </c>
      <c r="E7" s="33">
        <f>IFERROR(VLOOKUP("EPS",subQ,MATCH(E$5,SUBQH,0),0),"")</f>
        <v/>
      </c>
      <c r="F7" s="33">
        <f>IFERROR(VLOOKUP("EPS",subQ,MATCH(F$5,SUBQH,0),0),"")</f>
        <v/>
      </c>
    </row>
    <row r="8">
      <c r="C8" t="inlineStr">
        <is>
          <t>BPS(원)</t>
        </is>
      </c>
      <c r="D8" s="33">
        <f>IFERROR(VLOOKUP("BPS",subQ,MATCH(D$5,SUBQH,0),0),"")</f>
        <v/>
      </c>
      <c r="E8" s="33">
        <f>IFERROR(VLOOKUP("BPS",subQ,MATCH(E$5,SUBQH,0),0),"")</f>
        <v/>
      </c>
      <c r="F8" s="33">
        <f>IFERROR(VLOOKUP("BPS",subQ,MATCH(F$5,SUBQH,0),0),"")</f>
        <v/>
      </c>
    </row>
    <row r="9">
      <c r="C9" t="inlineStr">
        <is>
          <t>지배주주순이익(억원)</t>
        </is>
      </c>
      <c r="D9" s="33">
        <f>IFERROR(VLOOKUP("지배주주순이익",subQ,MATCH(D$5,SUBQH,0),0),"")</f>
        <v/>
      </c>
      <c r="E9" s="33">
        <f>IFERROR(VLOOKUP("지배주주순이익",subQ,MATCH(E$5,SUBQH,0),0),"")</f>
        <v/>
      </c>
      <c r="F9" s="33">
        <f>IFERROR(VLOOKUP("지배주주순이익",subQ,MATCH(F$5,SUBQH,0),0),"")</f>
        <v/>
      </c>
    </row>
    <row r="10">
      <c r="C10" t="inlineStr">
        <is>
          <t>영업이익(억원)</t>
        </is>
      </c>
      <c r="D10" s="33">
        <f>IFERROR(VLOOKUP("영업이익",subQ,MATCH(D$5,SUBQH,0),0),"")</f>
        <v/>
      </c>
      <c r="E10" s="33">
        <f>IFERROR(VLOOKUP("영업이익",subQ,MATCH(E$5,SUBQH,0),0),"")</f>
        <v/>
      </c>
      <c r="F10" s="33">
        <f>IFERROR(VLOOKUP("영업이익",subQ,MATCH(F$5,SUBQH,0),0),"")</f>
        <v/>
      </c>
    </row>
    <row r="11">
      <c r="C11" t="inlineStr">
        <is>
          <t>ROE(EPS/기초BPS)</t>
        </is>
      </c>
      <c r="E11" s="42">
        <f>IFERROR(E7/D8,"")</f>
        <v/>
      </c>
      <c r="F11" s="42">
        <f>IFERROR(F7/E8,"")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33">
        <f>IFERROR(D7*변수!D47+E7*(1-변수!D47),"")</f>
        <v/>
      </c>
    </row>
    <row r="15">
      <c r="C15" t="inlineStr">
        <is>
          <t>적정가치 @PER_lo</t>
        </is>
      </c>
      <c r="D15" s="43">
        <f>변수!D44</f>
        <v/>
      </c>
      <c r="E15" s="33">
        <f>IFERROR(ROUND($D$14*D15,-2),"")</f>
        <v/>
      </c>
      <c r="F15" s="42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43">
        <f>변수!D45</f>
        <v/>
      </c>
      <c r="E16" s="33">
        <f>IFERROR(ROUND($D$14*D16,-2),"")</f>
        <v/>
      </c>
      <c r="F16" s="42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43">
        <f>변수!D46</f>
        <v/>
      </c>
      <c r="E17" s="33">
        <f>IFERROR(ROUND($D$14*D17,-2),"")</f>
        <v/>
      </c>
      <c r="F17" s="42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43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33">
        <f>IFERROR(VLOOKUP("BPS",subQ,MATCH("2Q26",SUBQH,0),0),"")</f>
        <v/>
      </c>
    </row>
    <row r="22">
      <c r="C22" t="inlineStr">
        <is>
          <t>ROE fwd(12M fwd EPS / BPS)</t>
        </is>
      </c>
      <c r="D22" s="42">
        <f>IFERROR($D$14/$D$21,"")</f>
        <v/>
      </c>
    </row>
    <row r="23">
      <c r="C23" t="inlineStr">
        <is>
          <t>COE</t>
        </is>
      </c>
      <c r="D23" s="42">
        <f>변수!D43</f>
        <v/>
      </c>
    </row>
    <row r="24">
      <c r="C24" t="inlineStr">
        <is>
          <t>적정 PBR = ROE/COE</t>
        </is>
      </c>
      <c r="D24" s="44">
        <f>IFERROR(D22/D23,"")</f>
        <v/>
      </c>
    </row>
    <row r="25">
      <c r="C25" t="inlineStr">
        <is>
          <t>적정가치(PBR) = BPS × 적정PBR</t>
        </is>
      </c>
      <c r="D25" s="33">
        <f>IFERROR(ROUND(D21*D24,-2),"")</f>
        <v/>
      </c>
      <c r="E25" s="42">
        <f>IFERROR(D25/$C$1-1,"")</f>
        <v/>
      </c>
    </row>
    <row r="26">
      <c r="C26" t="inlineStr">
        <is>
          <t>현재 PBR(종가/BPS)</t>
        </is>
      </c>
      <c r="D26" s="44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-322</v>
      </c>
    </row>
    <row r="30">
      <c r="C30" s="2" t="inlineStr">
        <is>
          <t>bps_latest</t>
        </is>
      </c>
      <c r="D30" t="n">
        <v>1313.2</v>
      </c>
    </row>
    <row r="31">
      <c r="C31" s="2" t="inlineStr">
        <is>
          <t>per_now</t>
        </is>
      </c>
    </row>
    <row r="32">
      <c r="C32" s="2" t="inlineStr">
        <is>
          <t>pbr_now</t>
        </is>
      </c>
      <c r="D32" t="n">
        <v>3.2</v>
      </c>
    </row>
    <row r="33">
      <c r="C33" s="2" t="inlineStr">
        <is>
          <t>roe_fwd</t>
        </is>
      </c>
      <c r="D33" t="n">
        <v>-0.2452</v>
      </c>
    </row>
    <row r="34">
      <c r="C34" s="2" t="inlineStr">
        <is>
          <t>fair_pbr</t>
        </is>
      </c>
    </row>
    <row r="35">
      <c r="C35" s="2" t="inlineStr">
        <is>
          <t>fair_value_pbr</t>
        </is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C1" s="2" t="inlineStr">
        <is>
          <t>이름: 외화QH — 환율 QoQ · 외화 순노출 × Δ기말환율</t>
        </is>
      </c>
      <c r="E1" s="4" t="inlineStr">
        <is>
          <t>2Q26</t>
        </is>
      </c>
      <c r="F1" s="4" t="inlineStr">
        <is>
          <t>3Q26</t>
        </is>
      </c>
      <c r="G1" s="4" t="inlineStr">
        <is>
          <t>4Q26</t>
        </is>
      </c>
      <c r="H1" s="4" t="inlineStr">
        <is>
          <t>1Q27</t>
        </is>
      </c>
      <c r="I1" s="4" t="inlineStr">
        <is>
          <t>2Q27</t>
        </is>
      </c>
      <c r="J1" s="4" t="inlineStr">
        <is>
          <t>3Q27</t>
        </is>
      </c>
      <c r="K1" s="4" t="inlineStr">
        <is>
          <t>4Q27</t>
        </is>
      </c>
      <c r="L1" s="4" t="inlineStr">
        <is>
          <t>1Q28</t>
        </is>
      </c>
      <c r="M1" s="4" t="inlineStr">
        <is>
          <t>2Q28</t>
        </is>
      </c>
      <c r="N1" s="4" t="inlineStr">
        <is>
          <t>3Q28</t>
        </is>
      </c>
      <c r="O1" s="4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</row>
    <row r="4">
      <c r="E4" s="8" t="inlineStr">
        <is>
          <t>2026.06</t>
        </is>
      </c>
      <c r="F4" s="8" t="inlineStr">
        <is>
          <t>2026.09</t>
        </is>
      </c>
      <c r="G4" s="8" t="inlineStr">
        <is>
          <t>2026.12</t>
        </is>
      </c>
      <c r="H4" s="8" t="inlineStr">
        <is>
          <t>2027.03</t>
        </is>
      </c>
      <c r="I4" s="8" t="inlineStr">
        <is>
          <t>2027.06</t>
        </is>
      </c>
      <c r="J4" s="8" t="inlineStr">
        <is>
          <t>2027.09</t>
        </is>
      </c>
      <c r="K4" s="8" t="inlineStr">
        <is>
          <t>2027.12</t>
        </is>
      </c>
      <c r="L4" s="8" t="inlineStr">
        <is>
          <t>2028.03</t>
        </is>
      </c>
      <c r="M4" s="8" t="inlineStr">
        <is>
          <t>2028.06</t>
        </is>
      </c>
      <c r="N4" s="8" t="inlineStr">
        <is>
          <t>2028.09</t>
        </is>
      </c>
      <c r="O4" s="8" t="inlineStr">
        <is>
          <t>2028.12</t>
        </is>
      </c>
    </row>
    <row r="5">
      <c r="D5" t="inlineStr">
        <is>
          <t xml:space="preserve"> 원/달러(평균)</t>
        </is>
      </c>
      <c r="E5" s="44">
        <f>IFERROR(VLOOKUP($D5,환율,MATCH(E$1,변수H,0),0),"")</f>
        <v/>
      </c>
      <c r="F5" s="30">
        <f>IFERROR(VLOOKUP($D5,환율,MATCH(F$1,변수H,0),0),"")</f>
        <v/>
      </c>
      <c r="G5" s="30">
        <f>IFERROR(VLOOKUP($D5,환율,MATCH(G$1,변수H,0),0),"")</f>
        <v/>
      </c>
      <c r="H5" s="30">
        <f>IFERROR(VLOOKUP($D5,환율,MATCH(H$1,변수H,0),0),"")</f>
        <v/>
      </c>
      <c r="I5" s="30">
        <f>IFERROR(VLOOKUP($D5,환율,MATCH(I$1,변수H,0),0),"")</f>
        <v/>
      </c>
      <c r="J5" s="30">
        <f>IFERROR(VLOOKUP($D5,환율,MATCH(J$1,변수H,0),0),"")</f>
        <v/>
      </c>
      <c r="K5" s="30">
        <f>IFERROR(VLOOKUP($D5,환율,MATCH(K$1,변수H,0),0),"")</f>
        <v/>
      </c>
      <c r="L5" s="30">
        <f>IFERROR(VLOOKUP($D5,환율,MATCH(L$1,변수H,0),0),"")</f>
        <v/>
      </c>
      <c r="M5" s="30">
        <f>IFERROR(VLOOKUP($D5,환율,MATCH(M$1,변수H,0),0),"")</f>
        <v/>
      </c>
      <c r="N5" s="30">
        <f>IFERROR(VLOOKUP($D5,환율,MATCH(N$1,변수H,0),0),"")</f>
        <v/>
      </c>
      <c r="O5" s="30">
        <f>IFERROR(VLOOKUP($D5,환율,MATCH(O$1,변수H,0),0),"")</f>
        <v/>
      </c>
    </row>
    <row r="6">
      <c r="A6" s="11" t="inlineStr">
        <is>
          <t>원/달러(평균) QoQ</t>
        </is>
      </c>
      <c r="F6" s="24">
        <f>IFERROR(F5/E5-1,"")</f>
        <v/>
      </c>
      <c r="G6" s="24">
        <f>IFERROR(G5/F5-1,"")</f>
        <v/>
      </c>
      <c r="H6" s="24">
        <f>IFERROR(H5/G5-1,"")</f>
        <v/>
      </c>
      <c r="I6" s="24">
        <f>IFERROR(I5/H5-1,"")</f>
        <v/>
      </c>
      <c r="J6" s="24">
        <f>IFERROR(J5/I5-1,"")</f>
        <v/>
      </c>
      <c r="K6" s="24">
        <f>IFERROR(K5/J5-1,"")</f>
        <v/>
      </c>
      <c r="L6" s="24">
        <f>IFERROR(L5/K5-1,"")</f>
        <v/>
      </c>
      <c r="M6" s="24">
        <f>IFERROR(M5/L5-1,"")</f>
        <v/>
      </c>
      <c r="N6" s="24">
        <f>IFERROR(N5/M5-1,"")</f>
        <v/>
      </c>
      <c r="O6" s="24">
        <f>IFERROR(O5/N5-1,"")</f>
        <v/>
      </c>
    </row>
    <row r="7">
      <c r="D7" t="inlineStr">
        <is>
          <t xml:space="preserve"> 원/달러(기말)</t>
        </is>
      </c>
      <c r="E7" s="44">
        <f>IFERROR(VLOOKUP($D7,환율,MATCH(E$1,변수H,0),0),"")</f>
        <v/>
      </c>
      <c r="F7" s="30">
        <f>IFERROR(VLOOKUP($D7,환율,MATCH(F$1,변수H,0),0),"")</f>
        <v/>
      </c>
      <c r="G7" s="30">
        <f>IFERROR(VLOOKUP($D7,환율,MATCH(G$1,변수H,0),0),"")</f>
        <v/>
      </c>
      <c r="H7" s="30">
        <f>IFERROR(VLOOKUP($D7,환율,MATCH(H$1,변수H,0),0),"")</f>
        <v/>
      </c>
      <c r="I7" s="30">
        <f>IFERROR(VLOOKUP($D7,환율,MATCH(I$1,변수H,0),0),"")</f>
        <v/>
      </c>
      <c r="J7" s="30">
        <f>IFERROR(VLOOKUP($D7,환율,MATCH(J$1,변수H,0),0),"")</f>
        <v/>
      </c>
      <c r="K7" s="30">
        <f>IFERROR(VLOOKUP($D7,환율,MATCH(K$1,변수H,0),0),"")</f>
        <v/>
      </c>
      <c r="L7" s="30">
        <f>IFERROR(VLOOKUP($D7,환율,MATCH(L$1,변수H,0),0),"")</f>
        <v/>
      </c>
      <c r="M7" s="30">
        <f>IFERROR(VLOOKUP($D7,환율,MATCH(M$1,변수H,0),0),"")</f>
        <v/>
      </c>
      <c r="N7" s="30">
        <f>IFERROR(VLOOKUP($D7,환율,MATCH(N$1,변수H,0),0),"")</f>
        <v/>
      </c>
      <c r="O7" s="30">
        <f>IFERROR(VLOOKUP($D7,환율,MATCH(O$1,변수H,0),0),"")</f>
        <v/>
      </c>
    </row>
    <row r="8">
      <c r="A8" s="11" t="inlineStr">
        <is>
          <t>원/달러(기말) QoQ</t>
        </is>
      </c>
      <c r="F8" s="24">
        <f>IFERROR(F7/E7-1,"")</f>
        <v/>
      </c>
      <c r="G8" s="24">
        <f>IFERROR(G7/F7-1,"")</f>
        <v/>
      </c>
      <c r="H8" s="24">
        <f>IFERROR(H7/G7-1,"")</f>
        <v/>
      </c>
      <c r="I8" s="24">
        <f>IFERROR(I7/H7-1,"")</f>
        <v/>
      </c>
      <c r="J8" s="24">
        <f>IFERROR(J7/I7-1,"")</f>
        <v/>
      </c>
      <c r="K8" s="24">
        <f>IFERROR(K7/J7-1,"")</f>
        <v/>
      </c>
      <c r="L8" s="24">
        <f>IFERROR(L7/K7-1,"")</f>
        <v/>
      </c>
      <c r="M8" s="24">
        <f>IFERROR(M7/L7-1,"")</f>
        <v/>
      </c>
      <c r="N8" s="24">
        <f>IFERROR(N7/M7-1,"")</f>
        <v/>
      </c>
      <c r="O8" s="24">
        <f>IFERROR(O7/N7-1,"")</f>
        <v/>
      </c>
    </row>
    <row r="9">
      <c r="D9" t="inlineStr">
        <is>
          <t xml:space="preserve"> W/Euro(평균)</t>
        </is>
      </c>
      <c r="E9" s="44">
        <f>IFERROR(VLOOKUP($D9,환율,MATCH(E$1,변수H,0),0),"")</f>
        <v/>
      </c>
      <c r="F9" s="30">
        <f>IFERROR(VLOOKUP($D9,환율,MATCH(F$1,변수H,0),0),"")</f>
        <v/>
      </c>
      <c r="G9" s="30">
        <f>IFERROR(VLOOKUP($D9,환율,MATCH(G$1,변수H,0),0),"")</f>
        <v/>
      </c>
      <c r="H9" s="30">
        <f>IFERROR(VLOOKUP($D9,환율,MATCH(H$1,변수H,0),0),"")</f>
        <v/>
      </c>
      <c r="I9" s="30">
        <f>IFERROR(VLOOKUP($D9,환율,MATCH(I$1,변수H,0),0),"")</f>
        <v/>
      </c>
      <c r="J9" s="30">
        <f>IFERROR(VLOOKUP($D9,환율,MATCH(J$1,변수H,0),0),"")</f>
        <v/>
      </c>
      <c r="K9" s="30">
        <f>IFERROR(VLOOKUP($D9,환율,MATCH(K$1,변수H,0),0),"")</f>
        <v/>
      </c>
      <c r="L9" s="30">
        <f>IFERROR(VLOOKUP($D9,환율,MATCH(L$1,변수H,0),0),"")</f>
        <v/>
      </c>
      <c r="M9" s="30">
        <f>IFERROR(VLOOKUP($D9,환율,MATCH(M$1,변수H,0),0),"")</f>
        <v/>
      </c>
      <c r="N9" s="30">
        <f>IFERROR(VLOOKUP($D9,환율,MATCH(N$1,변수H,0),0),"")</f>
        <v/>
      </c>
      <c r="O9" s="30">
        <f>IFERROR(VLOOKUP($D9,환율,MATCH(O$1,변수H,0),0),"")</f>
        <v/>
      </c>
    </row>
    <row r="10">
      <c r="A10" s="11" t="inlineStr">
        <is>
          <t>W/Euro(평균) QoQ</t>
        </is>
      </c>
      <c r="F10" s="24">
        <f>IFERROR(F9/E9-1,"")</f>
        <v/>
      </c>
      <c r="G10" s="24">
        <f>IFERROR(G9/F9-1,"")</f>
        <v/>
      </c>
      <c r="H10" s="24">
        <f>IFERROR(H9/G9-1,"")</f>
        <v/>
      </c>
      <c r="I10" s="24">
        <f>IFERROR(I9/H9-1,"")</f>
        <v/>
      </c>
      <c r="J10" s="24">
        <f>IFERROR(J9/I9-1,"")</f>
        <v/>
      </c>
      <c r="K10" s="24">
        <f>IFERROR(K9/J9-1,"")</f>
        <v/>
      </c>
      <c r="L10" s="24">
        <f>IFERROR(L9/K9-1,"")</f>
        <v/>
      </c>
      <c r="M10" s="24">
        <f>IFERROR(M9/L9-1,"")</f>
        <v/>
      </c>
      <c r="N10" s="24">
        <f>IFERROR(N9/M9-1,"")</f>
        <v/>
      </c>
      <c r="O10" s="24">
        <f>IFERROR(O9/N9-1,"")</f>
        <v/>
      </c>
    </row>
    <row r="11">
      <c r="D11" t="inlineStr">
        <is>
          <t xml:space="preserve"> W/Euro(기말)</t>
        </is>
      </c>
      <c r="E11" s="44">
        <f>IFERROR(VLOOKUP($D11,환율,MATCH(E$1,변수H,0),0),"")</f>
        <v/>
      </c>
      <c r="F11" s="30">
        <f>IFERROR(VLOOKUP($D11,환율,MATCH(F$1,변수H,0),0),"")</f>
        <v/>
      </c>
      <c r="G11" s="30">
        <f>IFERROR(VLOOKUP($D11,환율,MATCH(G$1,변수H,0),0),"")</f>
        <v/>
      </c>
      <c r="H11" s="30">
        <f>IFERROR(VLOOKUP($D11,환율,MATCH(H$1,변수H,0),0),"")</f>
        <v/>
      </c>
      <c r="I11" s="30">
        <f>IFERROR(VLOOKUP($D11,환율,MATCH(I$1,변수H,0),0),"")</f>
        <v/>
      </c>
      <c r="J11" s="30">
        <f>IFERROR(VLOOKUP($D11,환율,MATCH(J$1,변수H,0),0),"")</f>
        <v/>
      </c>
      <c r="K11" s="30">
        <f>IFERROR(VLOOKUP($D11,환율,MATCH(K$1,변수H,0),0),"")</f>
        <v/>
      </c>
      <c r="L11" s="30">
        <f>IFERROR(VLOOKUP($D11,환율,MATCH(L$1,변수H,0),0),"")</f>
        <v/>
      </c>
      <c r="M11" s="30">
        <f>IFERROR(VLOOKUP($D11,환율,MATCH(M$1,변수H,0),0),"")</f>
        <v/>
      </c>
      <c r="N11" s="30">
        <f>IFERROR(VLOOKUP($D11,환율,MATCH(N$1,변수H,0),0),"")</f>
        <v/>
      </c>
      <c r="O11" s="30">
        <f>IFERROR(VLOOKUP($D11,환율,MATCH(O$1,변수H,0),0),"")</f>
        <v/>
      </c>
    </row>
    <row r="12">
      <c r="A12" s="11" t="inlineStr">
        <is>
          <t>W/Euro(기말) QoQ</t>
        </is>
      </c>
      <c r="F12" s="24">
        <f>IFERROR(F11/E11-1,"")</f>
        <v/>
      </c>
      <c r="G12" s="24">
        <f>IFERROR(G11/F11-1,"")</f>
        <v/>
      </c>
      <c r="H12" s="24">
        <f>IFERROR(H11/G11-1,"")</f>
        <v/>
      </c>
      <c r="I12" s="24">
        <f>IFERROR(I11/H11-1,"")</f>
        <v/>
      </c>
      <c r="J12" s="24">
        <f>IFERROR(J11/I11-1,"")</f>
        <v/>
      </c>
      <c r="K12" s="24">
        <f>IFERROR(K11/J11-1,"")</f>
        <v/>
      </c>
      <c r="L12" s="24">
        <f>IFERROR(L11/K11-1,"")</f>
        <v/>
      </c>
      <c r="M12" s="24">
        <f>IFERROR(M11/L11-1,"")</f>
        <v/>
      </c>
      <c r="N12" s="24">
        <f>IFERROR(N11/M11-1,"")</f>
        <v/>
      </c>
      <c r="O12" s="24">
        <f>IFERROR(O11/N11-1,"")</f>
        <v/>
      </c>
    </row>
    <row r="13">
      <c r="D13" t="inlineStr">
        <is>
          <t xml:space="preserve"> 원/100Y(기말)</t>
        </is>
      </c>
      <c r="E13" s="44">
        <f>IFERROR(VLOOKUP($D13,환율,MATCH(E$1,변수H,0),0),"")</f>
        <v/>
      </c>
      <c r="F13" s="30">
        <f>IFERROR(VLOOKUP($D13,환율,MATCH(F$1,변수H,0),0),"")</f>
        <v/>
      </c>
      <c r="G13" s="30">
        <f>IFERROR(VLOOKUP($D13,환율,MATCH(G$1,변수H,0),0),"")</f>
        <v/>
      </c>
      <c r="H13" s="30">
        <f>IFERROR(VLOOKUP($D13,환율,MATCH(H$1,변수H,0),0),"")</f>
        <v/>
      </c>
      <c r="I13" s="30">
        <f>IFERROR(VLOOKUP($D13,환율,MATCH(I$1,변수H,0),0),"")</f>
        <v/>
      </c>
      <c r="J13" s="30">
        <f>IFERROR(VLOOKUP($D13,환율,MATCH(J$1,변수H,0),0),"")</f>
        <v/>
      </c>
      <c r="K13" s="30">
        <f>IFERROR(VLOOKUP($D13,환율,MATCH(K$1,변수H,0),0),"")</f>
        <v/>
      </c>
      <c r="L13" s="30">
        <f>IFERROR(VLOOKUP($D13,환율,MATCH(L$1,변수H,0),0),"")</f>
        <v/>
      </c>
      <c r="M13" s="30">
        <f>IFERROR(VLOOKUP($D13,환율,MATCH(M$1,변수H,0),0),"")</f>
        <v/>
      </c>
      <c r="N13" s="30">
        <f>IFERROR(VLOOKUP($D13,환율,MATCH(N$1,변수H,0),0),"")</f>
        <v/>
      </c>
      <c r="O13" s="30">
        <f>IFERROR(VLOOKUP($D13,환율,MATCH(O$1,변수H,0),0),"")</f>
        <v/>
      </c>
    </row>
    <row r="14">
      <c r="A14" s="11" t="inlineStr">
        <is>
          <t>원/100Y(기말) QoQ</t>
        </is>
      </c>
      <c r="F14" s="24">
        <f>IFERROR(F13/E13-1,"")</f>
        <v/>
      </c>
      <c r="G14" s="24">
        <f>IFERROR(G13/F13-1,"")</f>
        <v/>
      </c>
      <c r="H14" s="24">
        <f>IFERROR(H13/G13-1,"")</f>
        <v/>
      </c>
      <c r="I14" s="24">
        <f>IFERROR(I13/H13-1,"")</f>
        <v/>
      </c>
      <c r="J14" s="24">
        <f>IFERROR(J13/I13-1,"")</f>
        <v/>
      </c>
      <c r="K14" s="24">
        <f>IFERROR(K13/J13-1,"")</f>
        <v/>
      </c>
      <c r="L14" s="24">
        <f>IFERROR(L13/K13-1,"")</f>
        <v/>
      </c>
      <c r="M14" s="24">
        <f>IFERROR(M13/L13-1,"")</f>
        <v/>
      </c>
      <c r="N14" s="24">
        <f>IFERROR(N13/M13-1,"")</f>
        <v/>
      </c>
      <c r="O14" s="24">
        <f>IFERROR(O13/N13-1,"")</f>
        <v/>
      </c>
    </row>
    <row r="15"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</row>
    <row r="16">
      <c r="A16" s="11" t="inlineStr">
        <is>
          <t>외화순노출</t>
        </is>
      </c>
      <c r="C16" t="inlineStr">
        <is>
          <t>외화 순노출(백만$)</t>
        </is>
      </c>
      <c r="D16" s="43">
        <f>변수!D54</f>
        <v/>
      </c>
      <c r="E16" s="2" t="inlineStr">
        <is>
          <t>외화 순노출 × Δ기말환율 (외화 시트 방식)</t>
        </is>
      </c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</row>
    <row r="17">
      <c r="A17" s="11" t="inlineStr">
        <is>
          <t>환관련손익추정</t>
        </is>
      </c>
      <c r="C17" t="inlineStr">
        <is>
          <t>환관련손익 추정(억원) = 순노출 × Δ원/달러(기말) / 100</t>
        </is>
      </c>
      <c r="F17" s="15">
        <f>IFERROR($D$16*(F7-E7)/100,"")</f>
        <v/>
      </c>
      <c r="G17" s="15">
        <f>IFERROR($D$16*(G7-F7)/100,"")</f>
        <v/>
      </c>
      <c r="H17" s="15">
        <f>IFERROR($D$16*(H7-G7)/100,"")</f>
        <v/>
      </c>
      <c r="I17" s="15">
        <f>IFERROR($D$16*(I7-H7)/100,"")</f>
        <v/>
      </c>
      <c r="J17" s="15">
        <f>IFERROR($D$16*(J7-I7)/100,"")</f>
        <v/>
      </c>
      <c r="K17" s="15">
        <f>IFERROR($D$16*(K7-J7)/100,"")</f>
        <v/>
      </c>
      <c r="L17" s="15">
        <f>IFERROR($D$16*(L7-K7)/100,"")</f>
        <v/>
      </c>
      <c r="M17" s="15">
        <f>IFERROR($D$16*(M7-L7)/100,"")</f>
        <v/>
      </c>
      <c r="N17" s="15">
        <f>IFERROR($D$16*(N7-M7)/100,"")</f>
        <v/>
      </c>
      <c r="O17" s="15">
        <f>IFERROR($D$16*(O7-N7)/100,"")</f>
        <v/>
      </c>
    </row>
    <row r="18">
      <c r="A18" s="11" t="inlineStr">
        <is>
          <t>fx_pnl.by_q</t>
        </is>
      </c>
      <c r="C18" t="inlineStr">
        <is>
          <t>모델 fx_pnl.by_q(억원, 참고)</t>
        </is>
      </c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</row>
    <row r="19">
      <c r="C19" s="2" t="inlineStr">
        <is>
          <t>외화 순노출 미공시(face) → 0 + 표기</t>
        </is>
      </c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2026-10-26T00:00:00Z</dcterms:created>
  <dcterms:modified xsi:type="dcterms:W3CDTF">2026-10-26T00:00:00Z</dcterms:modified>
</cp:coreProperties>
</file>