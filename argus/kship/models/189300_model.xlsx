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BS연결!$C$5:$AO$100</definedName>
    <definedName name="BS별도H">BS별도!$C$1:$AO$1</definedName>
    <definedName name="BS별도">BS별도!$C$5:$AO$95</definedName>
    <definedName name="SUBQH">subQ!$A$1:$AO$1</definedName>
    <definedName name="subQ">subQ!$A$5:$AO$39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(1+41.2%) — g=최근 4분기 합 YoY 41.2% 클립(−30~+50%), 연차별 절반 감쇠(가정)</t>
      </text>
    </comment>
    <comment ref="AD21" authorId="0" shapeId="0">
      <text>
        <t>모델값 역산(implied): v / 전년동기 − 1
전년동기 × (1+41.2%) — g=최근 4분기 합 YoY 41.2% 클립(−30~+50%), 연차별 절반 감쇠(가정)</t>
      </text>
    </comment>
    <comment ref="AF21" authorId="0" shapeId="0">
      <text>
        <t>모델값 역산(implied): v / 전년동기 − 1
전년동기 × (1+41.2%) — g=최근 4분기 합 YoY 41.2% 클립(−30~+50%), 연차별 절반 감쇠(가정)</t>
      </text>
    </comment>
    <comment ref="AG21" authorId="0" shapeId="0">
      <text>
        <t>모델값 역산(implied): v / 전년동기 − 1
전년동기 × (1+41.2%) — g=최근 4분기 합 YoY 41.2% 클립(−30~+50%), 연차별 절반 감쇠(가정)</t>
      </text>
    </comment>
    <comment ref="AH21" authorId="0" shapeId="0">
      <text>
        <t>모델값 역산(implied): v / 전년동기 − 1
전년동기 × (1+20.6%) — g=최근 4분기 합 YoY 41.2% 클립(−30~+50%), 연차별 절반 감쇠(가정)</t>
      </text>
    </comment>
    <comment ref="AI21" authorId="0" shapeId="0">
      <text>
        <t>모델값 역산(implied): v / 전년동기 − 1
전년동기 × (1+20.6%) — g=최근 4분기 합 YoY 41.2% 클립(−30~+50%), 연차별 절반 감쇠(가정)</t>
      </text>
    </comment>
    <comment ref="AK21" authorId="0" shapeId="0">
      <text>
        <t>모델값 역산(implied): v / 전년동기 − 1
전년동기 × (1+20.6%) — g=최근 4분기 합 YoY 41.2% 클립(−30~+50%), 연차별 절반 감쇠(가정)</t>
      </text>
    </comment>
    <comment ref="AL21" authorId="0" shapeId="0">
      <text>
        <t>모델값 역산(implied): v / 전년동기 − 1
전년동기 × (1+20.6%) — g=최근 4분기 합 YoY 41.2% 클립(−30~+50%), 연차별 절반 감쇠(가정)</t>
      </text>
    </comment>
    <comment ref="AM21" authorId="0" shapeId="0">
      <text>
        <t>모델값 역산(implied): v / 전년동기 − 1
전년동기 × (1+10.3%) — g=최근 4분기 합 YoY 41.2% 클립(−30~+50%), 연차별 절반 감쇠(가정)</t>
      </text>
    </comment>
    <comment ref="AN21" authorId="0" shapeId="0">
      <text>
        <t>모델값 역산(implied): v / 전년동기 − 1
전년동기 × (1+10.3%) — g=최근 4분기 합 YoY 41.2% 클립(−30~+50%), 연차별 절반 감쇠(가정)</t>
      </text>
    </comment>
    <comment ref="AC22" authorId="0" shapeId="0">
      <text>
        <t>3절 스칼라 '판관비율' 참조 — 숫자로 덮어쓰면 이 분기만 바뀐다
매출액 × 판관비율 35.33%(최근 4분기 중위)</t>
      </text>
    </comment>
    <comment ref="AD22" authorId="0" shapeId="0">
      <text>
        <t>3절 스칼라 '판관비율' 참조 — 숫자로 덮어쓰면 이 분기만 바뀐다
매출액 × 판관비율 35.33%(최근 4분기 중위)</t>
      </text>
    </comment>
    <comment ref="AF22" authorId="0" shapeId="0">
      <text>
        <t>3절 스칼라 '판관비율' 참조 — 숫자로 덮어쓰면 이 분기만 바뀐다
매출액 × 판관비율 35.33%(최근 4분기 중위)</t>
      </text>
    </comment>
    <comment ref="AG22" authorId="0" shapeId="0">
      <text>
        <t>3절 스칼라 '판관비율' 참조 — 숫자로 덮어쓰면 이 분기만 바뀐다
매출액 × 판관비율 35.33%(최근 4분기 중위)</t>
      </text>
    </comment>
    <comment ref="AH22" authorId="0" shapeId="0">
      <text>
        <t>3절 스칼라 '판관비율' 참조 — 숫자로 덮어쓰면 이 분기만 바뀐다
매출액 × 판관비율 35.33%(최근 4분기 중위)</t>
      </text>
    </comment>
    <comment ref="AI22" authorId="0" shapeId="0">
      <text>
        <t>3절 스칼라 '판관비율' 참조 — 숫자로 덮어쓰면 이 분기만 바뀐다
매출액 × 판관비율 35.33%(최근 4분기 중위)</t>
      </text>
    </comment>
    <comment ref="AK22" authorId="0" shapeId="0">
      <text>
        <t>3절 스칼라 '판관비율' 참조 — 숫자로 덮어쓰면 이 분기만 바뀐다
매출액 × 판관비율 35.33%(최근 4분기 중위)</t>
      </text>
    </comment>
    <comment ref="AL22" authorId="0" shapeId="0">
      <text>
        <t>3절 스칼라 '판관비율' 참조 — 숫자로 덮어쓰면 이 분기만 바뀐다
매출액 × 판관비율 35.33%(최근 4분기 중위)</t>
      </text>
    </comment>
    <comment ref="AM22" authorId="0" shapeId="0">
      <text>
        <t>3절 스칼라 '판관비율' 참조 — 숫자로 덮어쓰면 이 분기만 바뀐다
매출액 × 판관비율 35.33%(최근 4분기 중위)</t>
      </text>
    </comment>
    <comment ref="AN22" authorId="0" shapeId="0">
      <text>
        <t>3절 스칼라 '판관비율' 참조 — 숫자로 덮어쓰면 이 분기만 바뀐다
매출액 × 판관비율 35.33%(최근 4분기 중위)</t>
      </text>
    </comment>
    <comment ref="AC23" authorId="0" shapeId="0">
      <text>
        <t>모델값 역산(implied): v / 매출액
매출액 × OPM(최근 8분기 OPM 중위 1.6% 유지(클립 −20~40%))</t>
      </text>
    </comment>
    <comment ref="AD23" authorId="0" shapeId="0">
      <text>
        <t>모델값 역산(implied): v / 매출액
매출액 × OPM(최근 8분기 OPM 중위 1.6% 유지(클립 −20~40%))</t>
      </text>
    </comment>
    <comment ref="AF23" authorId="0" shapeId="0">
      <text>
        <t>모델값 역산(implied): v / 매출액
매출액 × OPM(최근 8분기 OPM 중위 1.6% 유지(클립 −20~40%))</t>
      </text>
    </comment>
    <comment ref="AG23" authorId="0" shapeId="0">
      <text>
        <t>모델값 역산(implied): v / 매출액
매출액 × OPM(최근 8분기 OPM 중위 1.6% 유지(클립 −20~40%))</t>
      </text>
    </comment>
    <comment ref="AH23" authorId="0" shapeId="0">
      <text>
        <t>모델값 역산(implied): v / 매출액
매출액 × OPM(최근 8분기 OPM 중위 1.6% 유지(클립 −20~40%))</t>
      </text>
    </comment>
    <comment ref="AI23" authorId="0" shapeId="0">
      <text>
        <t>모델값 역산(implied): v / 매출액
매출액 × OPM(최근 8분기 OPM 중위 1.6% 유지(클립 −20~40%))</t>
      </text>
    </comment>
    <comment ref="AK23" authorId="0" shapeId="0">
      <text>
        <t>모델값 역산(implied): v / 매출액
매출액 × OPM(최근 8분기 OPM 중위 1.6% 유지(클립 −20~40%))</t>
      </text>
    </comment>
    <comment ref="AL23" authorId="0" shapeId="0">
      <text>
        <t>모델값 역산(implied): v / 매출액
매출액 × OPM(최근 8분기 OPM 중위 1.6% 유지(클립 −20~40%))</t>
      </text>
    </comment>
    <comment ref="AM23" authorId="0" shapeId="0">
      <text>
        <t>모델값 역산(implied): v / 매출액
매출액 × OPM(최근 8분기 OPM 중위 1.6% 유지(클립 −20~40%))</t>
      </text>
    </comment>
    <comment ref="AN23" authorId="0" shapeId="0">
      <text>
        <t>모델값 역산(implied): v / 매출액
매출액 × OPM(최근 8분기 OPM 중위 1.6% 유지(클립 −20~40%))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3절 스칼라 '세율' 참조 — 숫자로 덮어쓰면 이 분기만 바뀐다
max(세전, 0) × 세율 9.2%(최근 12분기 유효세율 9.2%(5~27% 안 — 그대로))</t>
      </text>
    </comment>
    <comment ref="AD25" authorId="0" shapeId="0">
      <text>
        <t>3절 스칼라 '세율' 참조 — 숫자로 덮어쓰면 이 분기만 바뀐다
max(세전, 0) × 세율 9.2%(최근 12분기 유효세율 9.2%(5~27% 안 — 그대로))</t>
      </text>
    </comment>
    <comment ref="AF25" authorId="0" shapeId="0">
      <text>
        <t>3절 스칼라 '세율' 참조 — 숫자로 덮어쓰면 이 분기만 바뀐다
max(세전, 0) × 세율 9.2%(최근 12분기 유효세율 9.2%(5~27% 안 — 그대로))</t>
      </text>
    </comment>
    <comment ref="AG25" authorId="0" shapeId="0">
      <text>
        <t>3절 스칼라 '세율' 참조 — 숫자로 덮어쓰면 이 분기만 바뀐다
max(세전, 0) × 세율 9.2%(최근 12분기 유효세율 9.2%(5~27% 안 — 그대로))</t>
      </text>
    </comment>
    <comment ref="AH25" authorId="0" shapeId="0">
      <text>
        <t>3절 스칼라 '세율' 참조 — 숫자로 덮어쓰면 이 분기만 바뀐다
max(세전, 0) × 세율 9.2%(최근 12분기 유효세율 9.2%(5~27% 안 — 그대로))</t>
      </text>
    </comment>
    <comment ref="AI25" authorId="0" shapeId="0">
      <text>
        <t>3절 스칼라 '세율' 참조 — 숫자로 덮어쓰면 이 분기만 바뀐다
max(세전, 0) × 세율 9.2%(최근 12분기 유효세율 9.2%(5~27% 안 — 그대로))</t>
      </text>
    </comment>
    <comment ref="AK25" authorId="0" shapeId="0">
      <text>
        <t>3절 스칼라 '세율' 참조 — 숫자로 덮어쓰면 이 분기만 바뀐다
max(세전, 0) × 세율 9.2%(최근 12분기 유효세율 9.2%(5~27% 안 — 그대로))</t>
      </text>
    </comment>
    <comment ref="AL25" authorId="0" shapeId="0">
      <text>
        <t>3절 스칼라 '세율' 참조 — 숫자로 덮어쓰면 이 분기만 바뀐다
max(세전, 0) × 세율 9.2%(최근 12분기 유효세율 9.2%(5~27% 안 — 그대로))</t>
      </text>
    </comment>
    <comment ref="AM25" authorId="0" shapeId="0">
      <text>
        <t>3절 스칼라 '세율' 참조 — 숫자로 덮어쓰면 이 분기만 바뀐다
max(세전, 0) × 세율 9.2%(최근 12분기 유효세율 9.2%(5~27% 안 — 그대로))</t>
      </text>
    </comment>
    <comment ref="AN25" authorId="0" shapeId="0">
      <text>
        <t>3절 스칼라 '세율' 참조 — 숫자로 덮어쓰면 이 분기만 바뀐다
max(세전, 0) × 세율 9.2%(최근 12분기 유효세율 9.2%(5~27% 안 — 그대로))</t>
      </text>
    </comment>
    <comment ref="AC26" authorId="0" shapeId="0">
      <text>
        <t>3절 스칼라 '지배주주비중' 참조 — 숫자로 덮어쓰면 이 분기만 바뀐다
당기순이익 × (1 − 비지배 비중 0.0%, 최근 8분기 실측)</t>
      </text>
    </comment>
    <comment ref="AD26" authorId="0" shapeId="0">
      <text>
        <t>3절 스칼라 '지배주주비중' 참조 — 숫자로 덮어쓰면 이 분기만 바뀐다
당기순이익 × (1 − 비지배 비중 0.0%, 최근 8분기 실측)</t>
      </text>
    </comment>
    <comment ref="AF26" authorId="0" shapeId="0">
      <text>
        <t>3절 스칼라 '지배주주비중' 참조 — 숫자로 덮어쓰면 이 분기만 바뀐다
당기순이익 × (1 − 비지배 비중 0.0%, 최근 8분기 실측)</t>
      </text>
    </comment>
    <comment ref="AG26" authorId="0" shapeId="0">
      <text>
        <t>3절 스칼라 '지배주주비중' 참조 — 숫자로 덮어쓰면 이 분기만 바뀐다
당기순이익 × (1 − 비지배 비중 0.0%, 최근 8분기 실측)</t>
      </text>
    </comment>
    <comment ref="AH26" authorId="0" shapeId="0">
      <text>
        <t>3절 스칼라 '지배주주비중' 참조 — 숫자로 덮어쓰면 이 분기만 바뀐다
당기순이익 × (1 − 비지배 비중 0.0%, 최근 8분기 실측)</t>
      </text>
    </comment>
    <comment ref="AI26" authorId="0" shapeId="0">
      <text>
        <t>3절 스칼라 '지배주주비중' 참조 — 숫자로 덮어쓰면 이 분기만 바뀐다
당기순이익 × (1 − 비지배 비중 0.0%, 최근 8분기 실측)</t>
      </text>
    </comment>
    <comment ref="AK26" authorId="0" shapeId="0">
      <text>
        <t>3절 스칼라 '지배주주비중' 참조 — 숫자로 덮어쓰면 이 분기만 바뀐다
당기순이익 × (1 − 비지배 비중 0.0%, 최근 8분기 실측)</t>
      </text>
    </comment>
    <comment ref="AL26" authorId="0" shapeId="0">
      <text>
        <t>3절 스칼라 '지배주주비중' 참조 — 숫자로 덮어쓰면 이 분기만 바뀐다
당기순이익 × (1 − 비지배 비중 0.0%, 최근 8분기 실측)</t>
      </text>
    </comment>
    <comment ref="AM26" authorId="0" shapeId="0">
      <text>
        <t>3절 스칼라 '지배주주비중' 참조 — 숫자로 덮어쓰면 이 분기만 바뀐다
당기순이익 × (1 − 비지배 비중 0.0%, 최근 8분기 실측)</t>
      </text>
    </comment>
    <comment ref="AN26" authorId="0" shapeId="0">
      <text>
        <t>3절 스칼라 '지배주주비중' 참조 — 숫자로 덮어쓰면 이 분기만 바뀐다
당기순이익 × (1 − 비지배 비중 0.0%, 최근 8분기 실측)</t>
      </text>
    </comment>
    <comment ref="AC27" authorId="0" shapeId="0">
      <text>
        <t>모델값 역산(implied): v / 전분기 − 1
마지막 실적 유지(가정)</t>
      </text>
    </comment>
    <comment ref="AD27" authorId="0" shapeId="0">
      <text>
        <t>모델값 역산(implied): v / 전분기 − 1
마지막 실적 유지(가정)</t>
      </text>
    </comment>
    <comment ref="AF27" authorId="0" shapeId="0">
      <text>
        <t>모델값 역산(implied): v / 전분기 − 1
마지막 실적 유지(가정)</t>
      </text>
    </comment>
    <comment ref="AG27" authorId="0" shapeId="0">
      <text>
        <t>모델값 역산(implied): v / 전분기 − 1
마지막 실적 유지(가정)</t>
      </text>
    </comment>
    <comment ref="AH27" authorId="0" shapeId="0">
      <text>
        <t>모델값 역산(implied): v / 전분기 − 1
마지막 실적 유지(가정)</t>
      </text>
    </comment>
    <comment ref="AI27" authorId="0" shapeId="0">
      <text>
        <t>모델값 역산(implied): v / 전분기 − 1
마지막 실적 유지(가정)</t>
      </text>
    </comment>
    <comment ref="AK27" authorId="0" shapeId="0">
      <text>
        <t>모델값 역산(implied): v / 전분기 − 1
마지막 실적 유지(가정)</t>
      </text>
    </comment>
    <comment ref="AL27" authorId="0" shapeId="0">
      <text>
        <t>모델값 역산(implied): v / 전분기 − 1
마지막 실적 유지(가정)</t>
      </text>
    </comment>
    <comment ref="AM27" authorId="0" shapeId="0">
      <text>
        <t>모델값 역산(implied): v / 전분기 − 1
마지막 실적 유지(가정)</t>
      </text>
    </comment>
    <comment ref="AN27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지배주주순이익(시트 수식값) − v
전분기 + 지배주주순이익 − 배당</t>
      </text>
    </comment>
    <comment ref="AD29" authorId="0" shapeId="0">
      <text>
        <t>모델값 역산(implied): 전분기(시트값) + 지배주주순이익(시트 수식값) − v
전분기 + 지배주주순이익 − 배당</t>
      </text>
    </comment>
    <comment ref="AF29" authorId="0" shapeId="0">
      <text>
        <t>모델값 역산(implied): 전분기(시트값) + 지배주주순이익(시트 수식값) − v
전분기 + 지배주주순이익 − 배당</t>
      </text>
    </comment>
    <comment ref="AG29" authorId="0" shapeId="0">
      <text>
        <t>모델값 역산(implied): 전분기(시트값) + 지배주주순이익(시트 수식값) − v
전분기 + 지배주주순이익 − 배당</t>
      </text>
    </comment>
    <comment ref="AH29" authorId="0" shapeId="0">
      <text>
        <t>모델값 역산(implied): 전분기(시트값) + 지배주주순이익(시트 수식값) − v
전분기 + 지배주주순이익 − 배당</t>
      </text>
    </comment>
    <comment ref="AI29" authorId="0" shapeId="0">
      <text>
        <t>모델값 역산(implied): 전분기(시트값) + 지배주주순이익(시트 수식값) − v
전분기 + 지배주주순이익 − 배당</t>
      </text>
    </comment>
    <comment ref="AK29" authorId="0" shapeId="0">
      <text>
        <t>모델값 역산(implied): 전분기(시트값) + 지배주주순이익(시트 수식값) − v
전분기 + 지배주주순이익 − 배당</t>
      </text>
    </comment>
    <comment ref="AL29" authorId="0" shapeId="0">
      <text>
        <t>모델값 역산(implied): 전분기(시트값) + 지배주주순이익(시트 수식값) − v
전분기 + 지배주주순이익 − 배당</t>
      </text>
    </comment>
    <comment ref="AM29" authorId="0" shapeId="0">
      <text>
        <t>모델값 역산(implied): 전분기(시트값) + 지배주주순이익(시트 수식값) − v
전분기 + 지배주주순이익 − 배당</t>
      </text>
    </comment>
    <comment ref="AN29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D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F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G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H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I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K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L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M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N31" authorId="0" shapeId="0">
      <text>
        <t>모델값 역산(implied): v / 전분기 − 1
전분기 − FCF 근사[순이익 − 배당(감가상각비 없음 → CAPEX≈감가 가정, CAPEX 중위 116억은 행에만)] (운전자본 불변·총차입금 유지 가정 → 변동은 전부 현금)</t>
      </text>
    </comment>
    <comment ref="AC32" authorId="0" shapeId="0">
      <text>
        <t>모델값 역산(implied): v / 전분기 − 1
전분기 + FCF 근사 — 순차입금 롤과 같은 가정</t>
      </text>
    </comment>
    <comment ref="AD32" authorId="0" shapeId="0">
      <text>
        <t>모델값 역산(implied): v / 전분기 − 1
전분기 + FCF 근사 — 순차입금 롤과 같은 가정</t>
      </text>
    </comment>
    <comment ref="AF32" authorId="0" shapeId="0">
      <text>
        <t>모델값 역산(implied): v / 전분기 − 1
전분기 + FCF 근사 — 순차입금 롤과 같은 가정</t>
      </text>
    </comment>
    <comment ref="AG32" authorId="0" shapeId="0">
      <text>
        <t>모델값 역산(implied): v / 전분기 − 1
전분기 + FCF 근사 — 순차입금 롤과 같은 가정</t>
      </text>
    </comment>
    <comment ref="AH32" authorId="0" shapeId="0">
      <text>
        <t>모델값 역산(implied): v / 전분기 − 1
전분기 + FCF 근사 — 순차입금 롤과 같은 가정</t>
      </text>
    </comment>
    <comment ref="AI32" authorId="0" shapeId="0">
      <text>
        <t>모델값 역산(implied): v / 전분기 − 1
전분기 + FCF 근사 — 순차입금 롤과 같은 가정</t>
      </text>
    </comment>
    <comment ref="AK32" authorId="0" shapeId="0">
      <text>
        <t>모델값 역산(implied): v / 전분기 − 1
전분기 + FCF 근사 — 순차입금 롤과 같은 가정</t>
      </text>
    </comment>
    <comment ref="AL32" authorId="0" shapeId="0">
      <text>
        <t>모델값 역산(implied): v / 전분기 − 1
전분기 + FCF 근사 — 순차입금 롤과 같은 가정</t>
      </text>
    </comment>
    <comment ref="AM32" authorId="0" shapeId="0">
      <text>
        <t>모델값 역산(implied): v / 전분기 − 1
전분기 + FCF 근사 — 순차입금 롤과 같은 가정</t>
      </text>
    </comment>
    <comment ref="AN32" authorId="0" shapeId="0">
      <text>
        <t>모델값 역산(implied): v / 전분기 − 1
전분기 + FCF 근사 — 순차입금 롤과 같은 가정</t>
      </text>
    </comment>
    <comment ref="AC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6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v / 전분기 − 1
유통주식수 유지 — fin.shares.common_outstanding(2026Q2)</t>
      </text>
    </comment>
    <comment ref="AF36" authorId="0" shapeId="0">
      <text>
        <t>모델값 역산(implied): v / 전분기 − 1
유통주식수 유지 — fin.shares.common_outstanding(2026Q2)</t>
      </text>
    </comment>
    <comment ref="AG36" authorId="0" shapeId="0">
      <text>
        <t>모델값 역산(implied): v / 전분기 − 1
유통주식수 유지 — fin.shares.common_outstanding(2026Q2)</t>
      </text>
    </comment>
    <comment ref="AH36" authorId="0" shapeId="0">
      <text>
        <t>모델값 역산(implied): v / 전분기 − 1
유통주식수 유지 — fin.shares.common_outstanding(2026Q2)</t>
      </text>
    </comment>
    <comment ref="AI36" authorId="0" shapeId="0">
      <text>
        <t>모델값 역산(implied): v / 전분기 − 1
유통주식수 유지 — fin.shares.common_outstanding(2026Q2)</t>
      </text>
    </comment>
    <comment ref="AK36" authorId="0" shapeId="0">
      <text>
        <t>모델값 역산(implied): v / 전분기 − 1
유통주식수 유지 — fin.shares.common_outstanding(2026Q2)</t>
      </text>
    </comment>
    <comment ref="AL36" authorId="0" shapeId="0">
      <text>
        <t>모델값 역산(implied): v / 전분기 − 1
유통주식수 유지 — fin.shares.common_outstanding(2026Q2)</t>
      </text>
    </comment>
    <comment ref="AM36" authorId="0" shapeId="0">
      <text>
        <t>모델값 역산(implied): v / 전분기 − 1
유통주식수 유지 — fin.shares.common_outstanding(2026Q2)</t>
      </text>
    </comment>
    <comment ref="AN36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모델 v 그대로
직전 결산 DPS 200원 유지</t>
      </text>
    </comment>
    <comment ref="AI37" authorId="0" shapeId="0">
      <text>
        <t>모델값 역산(implied): 모델 v 그대로
직전 결산 DPS 200원 유지</t>
      </text>
    </comment>
    <comment ref="AN37" authorId="0" shapeId="0">
      <text>
        <t>모델값 역산(implied): 모델 v 그대로
직전 결산 DPS 200원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(1+41.2%) — g=최근 4분기 합 YoY 41.2% 클립(−30~+50%), 연차별 절반 감쇠(가정)
[yoy]</t>
      </text>
    </comment>
    <comment ref="AD5" authorId="0" shapeId="0">
      <text>
        <t>추정: 전년동기 × (1+41.2%) — g=최근 4분기 합 YoY 41.2% 클립(−30~+50%), 연차별 절반 감쇠(가정)
[yoy]</t>
      </text>
    </comment>
    <comment ref="AF5" authorId="0" shapeId="0">
      <text>
        <t>추정: 전년동기 × (1+41.2%) — g=최근 4분기 합 YoY 41.2% 클립(−30~+50%), 연차별 절반 감쇠(가정)
[yoy]</t>
      </text>
    </comment>
    <comment ref="AG5" authorId="0" shapeId="0">
      <text>
        <t>추정: 전년동기 × (1+41.2%) — g=최근 4분기 합 YoY 41.2% 클립(−30~+50%), 연차별 절반 감쇠(가정)
[yoy]</t>
      </text>
    </comment>
    <comment ref="AH5" authorId="0" shapeId="0">
      <text>
        <t>추정: 전년동기 × (1+20.6%) — g=최근 4분기 합 YoY 41.2% 클립(−30~+50%), 연차별 절반 감쇠(가정)
[yoy]</t>
      </text>
    </comment>
    <comment ref="AI5" authorId="0" shapeId="0">
      <text>
        <t>추정: 전년동기 × (1+20.6%) — g=최근 4분기 합 YoY 41.2% 클립(−30~+50%), 연차별 절반 감쇠(가정)
[yoy]</t>
      </text>
    </comment>
    <comment ref="AK5" authorId="0" shapeId="0">
      <text>
        <t>추정: 전년동기 × (1+20.6%) — g=최근 4분기 합 YoY 41.2% 클립(−30~+50%), 연차별 절반 감쇠(가정)
[yoy]</t>
      </text>
    </comment>
    <comment ref="AL5" authorId="0" shapeId="0">
      <text>
        <t>추정: 전년동기 × (1+20.6%) — g=최근 4분기 합 YoY 41.2% 클립(−30~+50%), 연차별 절반 감쇠(가정)
[yoy]</t>
      </text>
    </comment>
    <comment ref="AM5" authorId="0" shapeId="0">
      <text>
        <t>추정: 전년동기 × (1+10.3%) — g=최근 4분기 합 YoY 41.2% 클립(−30~+50%), 연차별 절반 감쇠(가정)
[yoy]</t>
      </text>
    </comment>
    <comment ref="AN5" authorId="0" shapeId="0">
      <text>
        <t>추정: 전년동기 × (1+10.3%) — g=최근 4분기 합 YoY 41.2%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35.33%(최근 4분기 중위)
[ratio]</t>
      </text>
    </comment>
    <comment ref="AD8" authorId="0" shapeId="0">
      <text>
        <t>추정: 매출액 × 판관비율 35.33%(최근 4분기 중위)
[ratio]</t>
      </text>
    </comment>
    <comment ref="AF8" authorId="0" shapeId="0">
      <text>
        <t>추정: 매출액 × 판관비율 35.33%(최근 4분기 중위)
[ratio]</t>
      </text>
    </comment>
    <comment ref="AG8" authorId="0" shapeId="0">
      <text>
        <t>추정: 매출액 × 판관비율 35.33%(최근 4분기 중위)
[ratio]</t>
      </text>
    </comment>
    <comment ref="AH8" authorId="0" shapeId="0">
      <text>
        <t>추정: 매출액 × 판관비율 35.33%(최근 4분기 중위)
[ratio]</t>
      </text>
    </comment>
    <comment ref="AI8" authorId="0" shapeId="0">
      <text>
        <t>추정: 매출액 × 판관비율 35.33%(최근 4분기 중위)
[ratio]</t>
      </text>
    </comment>
    <comment ref="AK8" authorId="0" shapeId="0">
      <text>
        <t>추정: 매출액 × 판관비율 35.33%(최근 4분기 중위)
[ratio]</t>
      </text>
    </comment>
    <comment ref="AL8" authorId="0" shapeId="0">
      <text>
        <t>추정: 매출액 × 판관비율 35.33%(최근 4분기 중위)
[ratio]</t>
      </text>
    </comment>
    <comment ref="AM8" authorId="0" shapeId="0">
      <text>
        <t>추정: 매출액 × 판관비율 35.33%(최근 4분기 중위)
[ratio]</t>
      </text>
    </comment>
    <comment ref="AN8" authorId="0" shapeId="0">
      <text>
        <t>추정: 매출액 × 판관비율 35.33%(최근 4분기 중위)
[ratio]</t>
      </text>
    </comment>
    <comment ref="AC9" authorId="0" shapeId="0">
      <text>
        <t>추정: 매출액 × OPM(최근 8분기 OPM 중위 1.6% 유지(클립 −20~40%))
[ratio]</t>
      </text>
    </comment>
    <comment ref="AD9" authorId="0" shapeId="0">
      <text>
        <t>추정: 매출액 × OPM(최근 8분기 OPM 중위 1.6% 유지(클립 −20~40%))
[ratio]</t>
      </text>
    </comment>
    <comment ref="AF9" authorId="0" shapeId="0">
      <text>
        <t>추정: 매출액 × OPM(최근 8분기 OPM 중위 1.6% 유지(클립 −20~40%))
[ratio]</t>
      </text>
    </comment>
    <comment ref="AG9" authorId="0" shapeId="0">
      <text>
        <t>추정: 매출액 × OPM(최근 8분기 OPM 중위 1.6% 유지(클립 −20~40%))
[ratio]</t>
      </text>
    </comment>
    <comment ref="AH9" authorId="0" shapeId="0">
      <text>
        <t>추정: 매출액 × OPM(최근 8분기 OPM 중위 1.6% 유지(클립 −20~40%))
[ratio]</t>
      </text>
    </comment>
    <comment ref="AI9" authorId="0" shapeId="0">
      <text>
        <t>추정: 매출액 × OPM(최근 8분기 OPM 중위 1.6% 유지(클립 −20~40%))
[ratio]</t>
      </text>
    </comment>
    <comment ref="AK9" authorId="0" shapeId="0">
      <text>
        <t>추정: 매출액 × OPM(최근 8분기 OPM 중위 1.6% 유지(클립 −20~40%))
[ratio]</t>
      </text>
    </comment>
    <comment ref="AL9" authorId="0" shapeId="0">
      <text>
        <t>추정: 매출액 × OPM(최근 8분기 OPM 중위 1.6% 유지(클립 −20~40%))
[ratio]</t>
      </text>
    </comment>
    <comment ref="AM9" authorId="0" shapeId="0">
      <text>
        <t>추정: 매출액 × OPM(최근 8분기 OPM 중위 1.6% 유지(클립 −20~40%))
[ratio]</t>
      </text>
    </comment>
    <comment ref="AN9" authorId="0" shapeId="0">
      <text>
        <t>추정: 매출액 × OPM(최근 8분기 OPM 중위 1.6% 유지(클립 −20~40%))
[ratio]</t>
      </text>
    </comment>
    <comment ref="AC10" authorId="0" shapeId="0">
      <text>
        <t>추정: 최근 8분기 OPM 중위 1.6% 유지(클립 −20~40%)
[divide]</t>
      </text>
    </comment>
    <comment ref="AD10" authorId="0" shapeId="0">
      <text>
        <t>추정: 최근 8분기 OPM 중위 1.6% 유지(클립 −20~40%)
[divide]</t>
      </text>
    </comment>
    <comment ref="AF10" authorId="0" shapeId="0">
      <text>
        <t>추정: 최근 8분기 OPM 중위 1.6% 유지(클립 −20~40%)
[divide]</t>
      </text>
    </comment>
    <comment ref="AG10" authorId="0" shapeId="0">
      <text>
        <t>추정: 최근 8분기 OPM 중위 1.6% 유지(클립 −20~40%)
[divide]</t>
      </text>
    </comment>
    <comment ref="AH10" authorId="0" shapeId="0">
      <text>
        <t>추정: 최근 8분기 OPM 중위 1.6% 유지(클립 −20~40%)
[divide]</t>
      </text>
    </comment>
    <comment ref="AI10" authorId="0" shapeId="0">
      <text>
        <t>추정: 최근 8분기 OPM 중위 1.6% 유지(클립 −20~40%)
[divide]</t>
      </text>
    </comment>
    <comment ref="AK10" authorId="0" shapeId="0">
      <text>
        <t>추정: 최근 8분기 OPM 중위 1.6% 유지(클립 −20~40%)
[divide]</t>
      </text>
    </comment>
    <comment ref="AL10" authorId="0" shapeId="0">
      <text>
        <t>추정: 최근 8분기 OPM 중위 1.6% 유지(클립 −20~40%)
[divide]</t>
      </text>
    </comment>
    <comment ref="AM10" authorId="0" shapeId="0">
      <text>
        <t>추정: 최근 8분기 OPM 중위 1.6% 유지(클립 −20~40%)
[divide]</t>
      </text>
    </comment>
    <comment ref="AN10" authorId="0" shapeId="0">
      <text>
        <t>추정: 최근 8분기 OPM 중위 1.6%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784억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789억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803억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805억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793억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801억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820억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825억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817억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827억 × 1.26%(주석 이자수익 ÷ 평균 이자발생자산(2025Q2~2026Q2)) − 총차입금 1435억 × 4.33%(주석 이자비용 ÷ 평균 총차입금(2025Q2~2026Q2)) (연율) ÷ 4; 환율 효과는 환관련손익 행 별도
[identity]</t>
      </text>
    </comment>
    <comment ref="AC12" authorId="0" shapeId="0">
      <text>
        <t>추정: 이자발생자산 784억 × 1.26%(주석 이자수익 ÷ 평균 이자발생자산(2025Q2~2026Q2)) − 총차입금 1435억 × 4.33%(주석 이자비용 ÷ 평균 총차입금(2025Q2~2026Q2)) (연율) ÷ 4
[interest]</t>
      </text>
    </comment>
    <comment ref="AD12" authorId="0" shapeId="0">
      <text>
        <t>추정: 이자발생자산 789억 × 1.26%(주석 이자수익 ÷ 평균 이자발생자산(2025Q2~2026Q2)) − 총차입금 1435억 × 4.33%(주석 이자비용 ÷ 평균 총차입금(2025Q2~2026Q2)) (연율) ÷ 4
[interest]</t>
      </text>
    </comment>
    <comment ref="AF12" authorId="0" shapeId="0">
      <text>
        <t>추정: 이자발생자산 803억 × 1.26%(주석 이자수익 ÷ 평균 이자발생자산(2025Q2~2026Q2)) − 총차입금 1435억 × 4.33%(주석 이자비용 ÷ 평균 총차입금(2025Q2~2026Q2)) (연율) ÷ 4
[interest]</t>
      </text>
    </comment>
    <comment ref="AG12" authorId="0" shapeId="0">
      <text>
        <t>추정: 이자발생자산 805억 × 1.26%(주석 이자수익 ÷ 평균 이자발생자산(2025Q2~2026Q2)) − 총차입금 1435억 × 4.33%(주석 이자비용 ÷ 평균 총차입금(2025Q2~2026Q2)) (연율) ÷ 4
[interest]</t>
      </text>
    </comment>
    <comment ref="AH12" authorId="0" shapeId="0">
      <text>
        <t>추정: 이자발생자산 793억 × 1.26%(주석 이자수익 ÷ 평균 이자발생자산(2025Q2~2026Q2)) − 총차입금 1435억 × 4.33%(주석 이자비용 ÷ 평균 총차입금(2025Q2~2026Q2)) (연율) ÷ 4
[interest]</t>
      </text>
    </comment>
    <comment ref="AI12" authorId="0" shapeId="0">
      <text>
        <t>추정: 이자발생자산 801억 × 1.26%(주석 이자수익 ÷ 평균 이자발생자산(2025Q2~2026Q2)) − 총차입금 1435억 × 4.33%(주석 이자비용 ÷ 평균 총차입금(2025Q2~2026Q2)) (연율) ÷ 4
[interest]</t>
      </text>
    </comment>
    <comment ref="AK12" authorId="0" shapeId="0">
      <text>
        <t>추정: 이자발생자산 820억 × 1.26%(주석 이자수익 ÷ 평균 이자발생자산(2025Q2~2026Q2)) − 총차입금 1435억 × 4.33%(주석 이자비용 ÷ 평균 총차입금(2025Q2~2026Q2)) (연율) ÷ 4
[interest]</t>
      </text>
    </comment>
    <comment ref="AL12" authorId="0" shapeId="0">
      <text>
        <t>추정: 이자발생자산 825억 × 1.26%(주석 이자수익 ÷ 평균 이자발생자산(2025Q2~2026Q2)) − 총차입금 1435억 × 4.33%(주석 이자비용 ÷ 평균 총차입금(2025Q2~2026Q2)) (연율) ÷ 4
[interest]</t>
      </text>
    </comment>
    <comment ref="AM12" authorId="0" shapeId="0">
      <text>
        <t>추정: 이자발생자산 817억 × 1.26%(주석 이자수익 ÷ 평균 이자발생자산(2025Q2~2026Q2)) − 총차입금 1435억 × 4.33%(주석 이자비용 ÷ 평균 총차입금(2025Q2~2026Q2)) (연율) ÷ 4
[interest]</t>
      </text>
    </comment>
    <comment ref="AN12" authorId="0" shapeId="0">
      <text>
        <t>추정: 이자발생자산 827억 × 1.26%(주석 이자수익 ÷ 평균 이자발생자산(2025Q2~2026Q2)) − 총차입금 1435억 × 4.33%(주석 이자비용 ÷ 평균 총차입금(2025Q2~2026Q2))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영업이익 + 금융손익 + 기타영업외 + 지분법 + 환관련(항등식)
[identity]</t>
      </text>
    </comment>
    <comment ref="AD14" authorId="0" shapeId="0">
      <text>
        <t>추정: 영업이익 + 금융손익 + 기타영업외 + 지분법 + 환관련(항등식)
[identity]</t>
      </text>
    </comment>
    <comment ref="AF14" authorId="0" shapeId="0">
      <text>
        <t>추정: 영업이익 + 금융손익 + 기타영업외 + 지분법 + 환관련(항등식)
[identity]</t>
      </text>
    </comment>
    <comment ref="AG14" authorId="0" shapeId="0">
      <text>
        <t>추정: 영업이익 + 금융손익 + 기타영업외 + 지분법 + 환관련(항등식)
[identity]</t>
      </text>
    </comment>
    <comment ref="AH14" authorId="0" shapeId="0">
      <text>
        <t>추정: 영업이익 + 금융손익 + 기타영업외 + 지분법 + 환관련(항등식)
[identity]</t>
      </text>
    </comment>
    <comment ref="AI14" authorId="0" shapeId="0">
      <text>
        <t>추정: 영업이익 + 금융손익 + 기타영업외 + 지분법 + 환관련(항등식)
[identity]</t>
      </text>
    </comment>
    <comment ref="AK14" authorId="0" shapeId="0">
      <text>
        <t>추정: 영업이익 + 금융손익 + 기타영업외 + 지분법 + 환관련(항등식)
[identity]</t>
      </text>
    </comment>
    <comment ref="AL14" authorId="0" shapeId="0">
      <text>
        <t>추정: 영업이익 + 금융손익 + 기타영업외 + 지분법 + 환관련(항등식)
[identity]</t>
      </text>
    </comment>
    <comment ref="AM14" authorId="0" shapeId="0">
      <text>
        <t>추정: 영업이익 + 금융손익 + 기타영업외 + 지분법 + 환관련(항등식)
[identity]</t>
      </text>
    </comment>
    <comment ref="AN14" authorId="0" shapeId="0">
      <text>
        <t>추정: 영업이익 + 금융손익 + 기타영업외 + 지분법 + 환관련(항등식)
[identity]</t>
      </text>
    </comment>
    <comment ref="AC15" authorId="0" shapeId="0">
      <text>
        <t>추정: max(세전, 0) × 세율 9.2%(최근 12분기 유효세율 9.2%(5~27% 안 — 그대로))
[tax]</t>
      </text>
    </comment>
    <comment ref="AD15" authorId="0" shapeId="0">
      <text>
        <t>추정: max(세전, 0) × 세율 9.2%(최근 12분기 유효세율 9.2%(5~27% 안 — 그대로))
[tax]</t>
      </text>
    </comment>
    <comment ref="AF15" authorId="0" shapeId="0">
      <text>
        <t>추정: max(세전, 0) × 세율 9.2%(최근 12분기 유효세율 9.2%(5~27% 안 — 그대로))
[tax]</t>
      </text>
    </comment>
    <comment ref="AG15" authorId="0" shapeId="0">
      <text>
        <t>추정: max(세전, 0) × 세율 9.2%(최근 12분기 유효세율 9.2%(5~27% 안 — 그대로))
[tax]</t>
      </text>
    </comment>
    <comment ref="AH15" authorId="0" shapeId="0">
      <text>
        <t>추정: max(세전, 0) × 세율 9.2%(최근 12분기 유효세율 9.2%(5~27% 안 — 그대로))
[tax]</t>
      </text>
    </comment>
    <comment ref="AI15" authorId="0" shapeId="0">
      <text>
        <t>추정: max(세전, 0) × 세율 9.2%(최근 12분기 유효세율 9.2%(5~27% 안 — 그대로))
[tax]</t>
      </text>
    </comment>
    <comment ref="AK15" authorId="0" shapeId="0">
      <text>
        <t>추정: max(세전, 0) × 세율 9.2%(최근 12분기 유효세율 9.2%(5~27% 안 — 그대로))
[tax]</t>
      </text>
    </comment>
    <comment ref="AL15" authorId="0" shapeId="0">
      <text>
        <t>추정: max(세전, 0) × 세율 9.2%(최근 12분기 유효세율 9.2%(5~27% 안 — 그대로))
[tax]</t>
      </text>
    </comment>
    <comment ref="AM15" authorId="0" shapeId="0">
      <text>
        <t>추정: max(세전, 0) × 세율 9.2%(최근 12분기 유효세율 9.2%(5~27% 안 — 그대로))
[tax]</t>
      </text>
    </comment>
    <comment ref="AN15" authorId="0" shapeId="0">
      <text>
        <t>추정: max(세전, 0) × 세율 9.2%(최근 12분기 유효세율 9.2%(5~27% 안 — 그대로))
[tax]</t>
      </text>
    </comment>
    <comment ref="AC16" authorId="0" shapeId="0">
      <text>
        <t>추정: 세전이익 − 법인세비용(항등식)
[identity]</t>
      </text>
    </comment>
    <comment ref="AD16" authorId="0" shapeId="0">
      <text>
        <t>추정: 세전이익 − 법인세비용(항등식)
[identity]</t>
      </text>
    </comment>
    <comment ref="AF16" authorId="0" shapeId="0">
      <text>
        <t>추정: 세전이익 − 법인세비용(항등식)
[identity]</t>
      </text>
    </comment>
    <comment ref="AG16" authorId="0" shapeId="0">
      <text>
        <t>추정: 세전이익 − 법인세비용(항등식)
[identity]</t>
      </text>
    </comment>
    <comment ref="AH16" authorId="0" shapeId="0">
      <text>
        <t>추정: 세전이익 − 법인세비용(항등식)
[identity]</t>
      </text>
    </comment>
    <comment ref="AI16" authorId="0" shapeId="0">
      <text>
        <t>추정: 세전이익 − 법인세비용(항등식)
[identity]</t>
      </text>
    </comment>
    <comment ref="AK16" authorId="0" shapeId="0">
      <text>
        <t>추정: 세전이익 − 법인세비용(항등식)
[identity]</t>
      </text>
    </comment>
    <comment ref="AL16" authorId="0" shapeId="0">
      <text>
        <t>추정: 세전이익 − 법인세비용(항등식)
[identity]</t>
      </text>
    </comment>
    <comment ref="AM16" authorId="0" shapeId="0">
      <text>
        <t>추정: 세전이익 − 법인세비용(항등식)
[identity]</t>
      </text>
    </comment>
    <comment ref="AN16" authorId="0" shapeId="0">
      <text>
        <t>추정: 세전이익 − 법인세비용(항등식)
[identity]</t>
      </text>
    </comment>
    <comment ref="AC17" authorId="0" shapeId="0">
      <text>
        <t>추정: 당기순이익 × (1 − 비지배 비중 0.0%, 최근 8분기 실측)
[ratio]</t>
      </text>
    </comment>
    <comment ref="AD17" authorId="0" shapeId="0">
      <text>
        <t>추정: 당기순이익 × (1 − 비지배 비중 0.0%, 최근 8분기 실측)
[ratio]</t>
      </text>
    </comment>
    <comment ref="AF17" authorId="0" shapeId="0">
      <text>
        <t>추정: 당기순이익 × (1 − 비지배 비중 0.0%, 최근 8분기 실측)
[ratio]</t>
      </text>
    </comment>
    <comment ref="AG17" authorId="0" shapeId="0">
      <text>
        <t>추정: 당기순이익 × (1 − 비지배 비중 0.0%, 최근 8분기 실측)
[ratio]</t>
      </text>
    </comment>
    <comment ref="AH17" authorId="0" shapeId="0">
      <text>
        <t>추정: 당기순이익 × (1 − 비지배 비중 0.0%, 최근 8분기 실측)
[ratio]</t>
      </text>
    </comment>
    <comment ref="AI17" authorId="0" shapeId="0">
      <text>
        <t>추정: 당기순이익 × (1 − 비지배 비중 0.0%, 최근 8분기 실측)
[ratio]</t>
      </text>
    </comment>
    <comment ref="AK17" authorId="0" shapeId="0">
      <text>
        <t>추정: 당기순이익 × (1 − 비지배 비중 0.0%, 최근 8분기 실측)
[ratio]</t>
      </text>
    </comment>
    <comment ref="AL17" authorId="0" shapeId="0">
      <text>
        <t>추정: 당기순이익 × (1 − 비지배 비중 0.0%, 최근 8분기 실측)
[ratio]</t>
      </text>
    </comment>
    <comment ref="AM17" authorId="0" shapeId="0">
      <text>
        <t>추정: 당기순이익 × (1 − 비지배 비중 0.0%, 최근 8분기 실측)
[ratio]</t>
      </text>
    </comment>
    <comment ref="AN17" authorId="0" shapeId="0">
      <text>
        <t>추정: 당기순이익 × (1 − 비지배 비중 0.0%, 최근 8분기 실측)
[ratio]</t>
      </text>
    </comment>
    <comment ref="AC19" authorId="0" shapeId="0">
      <text>
        <t>추정: 마지막 실적 유지(가정)
[qoq]</t>
      </text>
    </comment>
    <comment ref="AD19" authorId="0" shapeId="0">
      <text>
        <t>추정: 마지막 실적 유지(가정)
[qoq]</t>
      </text>
    </comment>
    <comment ref="AF19" authorId="0" shapeId="0">
      <text>
        <t>추정: 마지막 실적 유지(가정)
[qoq]</t>
      </text>
    </comment>
    <comment ref="AG19" authorId="0" shapeId="0">
      <text>
        <t>추정: 마지막 실적 유지(가정)
[qoq]</t>
      </text>
    </comment>
    <comment ref="AH19" authorId="0" shapeId="0">
      <text>
        <t>추정: 마지막 실적 유지(가정)
[qoq]</t>
      </text>
    </comment>
    <comment ref="AI19" authorId="0" shapeId="0">
      <text>
        <t>추정: 마지막 실적 유지(가정)
[qoq]</t>
      </text>
    </comment>
    <comment ref="AK19" authorId="0" shapeId="0">
      <text>
        <t>추정: 마지막 실적 유지(가정)
[qoq]</t>
      </text>
    </comment>
    <comment ref="AL19" authorId="0" shapeId="0">
      <text>
        <t>추정: 마지막 실적 유지(가정)
[qoq]</t>
      </text>
    </comment>
    <comment ref="AM19" authorId="0" shapeId="0">
      <text>
        <t>추정: 마지막 실적 유지(가정)
[qoq]</t>
      </text>
    </comment>
    <comment ref="AN19" authorId="0" shapeId="0">
      <text>
        <t>추정: 마지막 실적 유지(가정)
[qoq]</t>
      </text>
    </comment>
    <comment ref="AC21" authorId="0" shapeId="0">
      <text>
        <t>추정: 전분기 + 지배주주순이익 − 배당
[roll]</t>
      </text>
    </comment>
    <comment ref="AD21" authorId="0" shapeId="0">
      <text>
        <t>추정: 전분기 + 지배주주순이익 − 배당
[roll]</t>
      </text>
    </comment>
    <comment ref="AF21" authorId="0" shapeId="0">
      <text>
        <t>추정: 전분기 + 지배주주순이익 − 배당
[roll]</t>
      </text>
    </comment>
    <comment ref="AG21" authorId="0" shapeId="0">
      <text>
        <t>추정: 전분기 + 지배주주순이익 − 배당
[roll]</t>
      </text>
    </comment>
    <comment ref="AH21" authorId="0" shapeId="0">
      <text>
        <t>추정: 전분기 + 지배주주순이익 − 배당
[roll]</t>
      </text>
    </comment>
    <comment ref="AI21" authorId="0" shapeId="0">
      <text>
        <t>추정: 전분기 + 지배주주순이익 − 배당
[roll]</t>
      </text>
    </comment>
    <comment ref="AK21" authorId="0" shapeId="0">
      <text>
        <t>추정: 전분기 + 지배주주순이익 − 배당
[roll]</t>
      </text>
    </comment>
    <comment ref="AL21" authorId="0" shapeId="0">
      <text>
        <t>추정: 전분기 + 지배주주순이익 − 배당
[roll]</t>
      </text>
    </comment>
    <comment ref="AM21" authorId="0" shapeId="0">
      <text>
        <t>추정: 전분기 + 지배주주순이익 − 배당
[roll]</t>
      </text>
    </comment>
    <comment ref="AN21" authorId="0" shapeId="0">
      <text>
        <t>추정: 전분기 + 지배주주순이익 − 배당
[roll]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D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F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G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H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I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K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L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M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N23" authorId="0" shapeId="0">
      <text>
        <t>추정: 전분기 − FCF 근사[순이익 − 배당(감가상각비 없음 → CAPEX≈감가 가정, CAPEX 중위 116억은 행에만)] (운전자본 불변·총차입금 유지 가정 → 변동은 전부 현금)
[qoq]</t>
      </text>
    </comment>
    <comment ref="AC24" authorId="0" shapeId="0">
      <text>
        <t>추정: 전분기 + FCF 근사 — 순차입금 롤과 같은 가정
[qoq]</t>
      </text>
    </comment>
    <comment ref="AD24" authorId="0" shapeId="0">
      <text>
        <t>추정: 전분기 + FCF 근사 — 순차입금 롤과 같은 가정
[qoq]</t>
      </text>
    </comment>
    <comment ref="AF24" authorId="0" shapeId="0">
      <text>
        <t>추정: 전분기 + FCF 근사 — 순차입금 롤과 같은 가정
[qoq]</t>
      </text>
    </comment>
    <comment ref="AG24" authorId="0" shapeId="0">
      <text>
        <t>추정: 전분기 + FCF 근사 — 순차입금 롤과 같은 가정
[qoq]</t>
      </text>
    </comment>
    <comment ref="AH24" authorId="0" shapeId="0">
      <text>
        <t>추정: 전분기 + FCF 근사 — 순차입금 롤과 같은 가정
[qoq]</t>
      </text>
    </comment>
    <comment ref="AI24" authorId="0" shapeId="0">
      <text>
        <t>추정: 전분기 + FCF 근사 — 순차입금 롤과 같은 가정
[qoq]</t>
      </text>
    </comment>
    <comment ref="AK24" authorId="0" shapeId="0">
      <text>
        <t>추정: 전분기 + FCF 근사 — 순차입금 롤과 같은 가정
[qoq]</t>
      </text>
    </comment>
    <comment ref="AL24" authorId="0" shapeId="0">
      <text>
        <t>추정: 전분기 + FCF 근사 — 순차입금 롤과 같은 가정
[qoq]</t>
      </text>
    </comment>
    <comment ref="AM24" authorId="0" shapeId="0">
      <text>
        <t>추정: 전분기 + FCF 근사 — 순차입금 롤과 같은 가정
[qoq]</t>
      </text>
    </comment>
    <comment ref="AN24" authorId="0" shapeId="0">
      <text>
        <t>추정: 전분기 + FCF 근사 — 순차입금 롤과 같은 가정
[qoq]</t>
      </text>
    </comment>
    <comment ref="AC26" authorId="0" shapeId="0">
      <text>
        <t>추정: 최근 4분기(2025Q3~2026Q2) CAPEX 중위 유지 — 순차입금 롤에 미반영(감가상각비 없음 → CAPEX≈감가 가정)
[yoy]</t>
      </text>
    </comment>
    <comment ref="AD26" authorId="0" shapeId="0">
      <text>
        <t>추정: 최근 4분기(2025Q3~2026Q2) CAPEX 중위 유지 — 순차입금 롤에 미반영(감가상각비 없음 → CAPEX≈감가 가정)
[yoy]</t>
      </text>
    </comment>
    <comment ref="AF26" authorId="0" shapeId="0">
      <text>
        <t>추정: 최근 4분기(2025Q3~2026Q2) CAPEX 중위 유지 — 순차입금 롤에 미반영(감가상각비 없음 → CAPEX≈감가 가정)
[yoy]</t>
      </text>
    </comment>
    <comment ref="AG26" authorId="0" shapeId="0">
      <text>
        <t>추정: 최근 4분기(2025Q3~2026Q2) CAPEX 중위 유지 — 순차입금 롤에 미반영(감가상각비 없음 → CAPEX≈감가 가정)
[yoy]</t>
      </text>
    </comment>
    <comment ref="AH26" authorId="0" shapeId="0">
      <text>
        <t>추정: 최근 4분기(2025Q3~2026Q2) CAPEX 중위 유지 — 순차입금 롤에 미반영(감가상각비 없음 → CAPEX≈감가 가정)
[yoy]</t>
      </text>
    </comment>
    <comment ref="AI26" authorId="0" shapeId="0">
      <text>
        <t>추정: 최근 4분기(2025Q3~2026Q2) CAPEX 중위 유지 — 순차입금 롤에 미반영(감가상각비 없음 → CAPEX≈감가 가정)
[yoy]</t>
      </text>
    </comment>
    <comment ref="AK26" authorId="0" shapeId="0">
      <text>
        <t>추정: 최근 4분기(2025Q3~2026Q2) CAPEX 중위 유지 — 순차입금 롤에 미반영(감가상각비 없음 → CAPEX≈감가 가정)
[yoy]</t>
      </text>
    </comment>
    <comment ref="AL26" authorId="0" shapeId="0">
      <text>
        <t>추정: 최근 4분기(2025Q3~2026Q2) CAPEX 중위 유지 — 순차입금 롤에 미반영(감가상각비 없음 → CAPEX≈감가 가정)
[yoy]</t>
      </text>
    </comment>
    <comment ref="AM26" authorId="0" shapeId="0">
      <text>
        <t>추정: 최근 4분기(2025Q3~2026Q2) CAPEX 중위 유지 — 순차입금 롤에 미반영(감가상각비 없음 → CAPEX≈감가 가정)
[yoy]</t>
      </text>
    </comment>
    <comment ref="AN26" authorId="0" shapeId="0">
      <text>
        <t>추정: 최근 4분기(2025Q3~2026Q2) CAPEX 중위 유지 — 순차입금 롤에 미반영(감가상각비 없음 → CAPEX≈감가 가정)
[yoy]</t>
      </text>
    </comment>
    <comment ref="E28" authorId="0" shapeId="0">
      <text>
        <t>실측(계정 매핑 없음(파생·부문·시세 행) — 모델값 직접) — fin.shares.common_outstanding</t>
      </text>
    </comment>
    <comment ref="G28" authorId="0" shapeId="0">
      <text>
        <t>실측(계정 매핑 없음(파생·부문·시세 행) — 모델값 직접) — fin.shares.common_outstanding</t>
      </text>
    </comment>
    <comment ref="H28" authorId="0" shapeId="0">
      <text>
        <t>실측(계정 매핑 없음(파생·부문·시세 행) — 모델값 직접) — fin.shares.common_outstanding</t>
      </text>
    </comment>
    <comment ref="I28" authorId="0" shapeId="0">
      <text>
        <t>실측(계정 매핑 없음(파생·부문·시세 행) — 모델값 직접) — fin.shares.common_outstanding</t>
      </text>
    </comment>
    <comment ref="J28" authorId="0" shapeId="0">
      <text>
        <t>실측(계정 매핑 없음(파생·부문·시세 행) — 모델값 직접) — fin.shares.common_outstanding</t>
      </text>
    </comment>
    <comment ref="L28" authorId="0" shapeId="0">
      <text>
        <t>실측(계정 매핑 없음(파생·부문·시세 행) — 모델값 직접) — fin.shares.common_outstanding</t>
      </text>
    </comment>
    <comment ref="M28" authorId="0" shapeId="0">
      <text>
        <t>실측(계정 매핑 없음(파생·부문·시세 행) — 모델값 직접) — fin.shares.common_outstanding</t>
      </text>
    </comment>
    <comment ref="N28" authorId="0" shapeId="0">
      <text>
        <t>실측(계정 매핑 없음(파생·부문·시세 행) — 모델값 직접) — fin.shares.common_outstanding</t>
      </text>
    </comment>
    <comment ref="O28" authorId="0" shapeId="0">
      <text>
        <t>실측(계정 매핑 없음(파생·부문·시세 행) — 모델값 직접) — fin.shares.common_outstanding</t>
      </text>
    </comment>
    <comment ref="Q28" authorId="0" shapeId="0">
      <text>
        <t>실측(계정 매핑 없음(파생·부문·시세 행) — 모델값 직접) — fin.shares.common_outstanding</t>
      </text>
    </comment>
    <comment ref="R28" authorId="0" shapeId="0">
      <text>
        <t>실측(계정 매핑 없음(파생·부문·시세 행) — 모델값 직접) — fin.shares.common_outstanding</t>
      </text>
    </comment>
    <comment ref="S28" authorId="0" shapeId="0">
      <text>
        <t>실측(계정 매핑 없음(파생·부문·시세 행) — 모델값 직접) — fin.shares.common_outstanding</t>
      </text>
    </comment>
    <comment ref="T28" authorId="0" shapeId="0">
      <text>
        <t>실측(계정 매핑 없음(파생·부문·시세 행) — 모델값 직접) — fin.shares.common_outstanding</t>
      </text>
    </comment>
    <comment ref="V28" authorId="0" shapeId="0">
      <text>
        <t>실측(계정 매핑 없음(파생·부문·시세 행) — 모델값 직접) — fin.shares.common_outstanding</t>
      </text>
    </comment>
    <comment ref="W28" authorId="0" shapeId="0">
      <text>
        <t>실측(계정 매핑 없음(파생·부문·시세 행) — 모델값 직접) — fin.shares.common_outstanding</t>
      </text>
    </comment>
    <comment ref="X28" authorId="0" shapeId="0">
      <text>
        <t>실측(계정 매핑 없음(파생·부문·시세 행) — 모델값 직접) — fin.shares.common_outstanding</t>
      </text>
    </comment>
    <comment ref="Y28" authorId="0" shapeId="0">
      <text>
        <t>실측(계정 매핑 없음(파생·부문·시세 행) — 모델값 직접) — fin.shares.common_outstanding</t>
      </text>
    </comment>
    <comment ref="AA28" authorId="0" shapeId="0">
      <text>
        <t>실측(계정 매핑 없음(파생·부문·시세 행) — 모델값 직접) — fin.shares.common_outstanding</t>
      </text>
    </comment>
    <comment ref="AB28" authorId="0" shapeId="0">
      <text>
        <t>실측(계정 매핑 없음(파생·부문·시세 행) — 모델값 직접) — fin.shares.common_outstanding</t>
      </text>
    </comment>
    <comment ref="AC28" authorId="0" shapeId="0">
      <text>
        <t>추정: 유통주식수 유지 — fin.shares.common_outstanding(2026Q2)
[qoq]</t>
      </text>
    </comment>
    <comment ref="AD28" authorId="0" shapeId="0">
      <text>
        <t>추정: 유통주식수 유지 — fin.shares.common_outstanding(2026Q2)
[qoq]</t>
      </text>
    </comment>
    <comment ref="AF28" authorId="0" shapeId="0">
      <text>
        <t>추정: 유통주식수 유지 — fin.shares.common_outstanding(2026Q2)
[qoq]</t>
      </text>
    </comment>
    <comment ref="AG28" authorId="0" shapeId="0">
      <text>
        <t>추정: 유통주식수 유지 — fin.shares.common_outstanding(2026Q2)
[qoq]</t>
      </text>
    </comment>
    <comment ref="AH28" authorId="0" shapeId="0">
      <text>
        <t>추정: 유통주식수 유지 — fin.shares.common_outstanding(2026Q2)
[qoq]</t>
      </text>
    </comment>
    <comment ref="AI28" authorId="0" shapeId="0">
      <text>
        <t>추정: 유통주식수 유지 — fin.shares.common_outstanding(2026Q2)
[qoq]</t>
      </text>
    </comment>
    <comment ref="AK28" authorId="0" shapeId="0">
      <text>
        <t>추정: 유통주식수 유지 — fin.shares.common_outstanding(2026Q2)
[qoq]</t>
      </text>
    </comment>
    <comment ref="AL28" authorId="0" shapeId="0">
      <text>
        <t>추정: 유통주식수 유지 — fin.shares.common_outstanding(2026Q2)
[qoq]</t>
      </text>
    </comment>
    <comment ref="AM28" authorId="0" shapeId="0">
      <text>
        <t>추정: 유통주식수 유지 — fin.shares.common_outstanding(2026Q2)
[qoq]</t>
      </text>
    </comment>
    <comment ref="AN28" authorId="0" shapeId="0">
      <text>
        <t>추정: 유통주식수 유지 — fin.shares.common_outstanding(2026Q2)
[qoq]</t>
      </text>
    </comment>
    <comment ref="AC29" authorId="0" shapeId="0">
      <text>
        <t>추정: 지배주주순이익 ÷ 유통주식수
[per_share]</t>
      </text>
    </comment>
    <comment ref="AD29" authorId="0" shapeId="0">
      <text>
        <t>추정: 지배주주순이익 ÷ 유통주식수
[per_share]</t>
      </text>
    </comment>
    <comment ref="AF29" authorId="0" shapeId="0">
      <text>
        <t>추정: 지배주주순이익 ÷ 유통주식수
[per_share]</t>
      </text>
    </comment>
    <comment ref="AG29" authorId="0" shapeId="0">
      <text>
        <t>추정: 지배주주순이익 ÷ 유통주식수
[per_share]</t>
      </text>
    </comment>
    <comment ref="AH29" authorId="0" shapeId="0">
      <text>
        <t>추정: 지배주주순이익 ÷ 유통주식수
[per_share]</t>
      </text>
    </comment>
    <comment ref="AI29" authorId="0" shapeId="0">
      <text>
        <t>추정: 지배주주순이익 ÷ 유통주식수
[per_share]</t>
      </text>
    </comment>
    <comment ref="AK29" authorId="0" shapeId="0">
      <text>
        <t>추정: 지배주주순이익 ÷ 유통주식수
[per_share]</t>
      </text>
    </comment>
    <comment ref="AL29" authorId="0" shapeId="0">
      <text>
        <t>추정: 지배주주순이익 ÷ 유통주식수
[per_share]</t>
      </text>
    </comment>
    <comment ref="AM29" authorId="0" shapeId="0">
      <text>
        <t>추정: 지배주주순이익 ÷ 유통주식수
[per_share]</t>
      </text>
    </comment>
    <comment ref="AN29" authorId="0" shapeId="0">
      <text>
        <t>추정: 지배주주순이익 ÷ 유통주식수
[per_share]</t>
      </text>
    </comment>
    <comment ref="AC30" authorId="0" shapeId="0">
      <text>
        <t>추정: 지배주주지분 ÷ 유통주식수
[per_share]</t>
      </text>
    </comment>
    <comment ref="AD30" authorId="0" shapeId="0">
      <text>
        <t>추정: 지배주주지분 ÷ 유통주식수
[per_share]</t>
      </text>
    </comment>
    <comment ref="AF30" authorId="0" shapeId="0">
      <text>
        <t>추정: 지배주주지분 ÷ 유통주식수
[per_share]</t>
      </text>
    </comment>
    <comment ref="AG30" authorId="0" shapeId="0">
      <text>
        <t>추정: 지배주주지분 ÷ 유통주식수
[per_share]</t>
      </text>
    </comment>
    <comment ref="AH30" authorId="0" shapeId="0">
      <text>
        <t>추정: 지배주주지분 ÷ 유통주식수
[per_share]</t>
      </text>
    </comment>
    <comment ref="AI30" authorId="0" shapeId="0">
      <text>
        <t>추정: 지배주주지분 ÷ 유통주식수
[per_share]</t>
      </text>
    </comment>
    <comment ref="AK30" authorId="0" shapeId="0">
      <text>
        <t>추정: 지배주주지분 ÷ 유통주식수
[per_share]</t>
      </text>
    </comment>
    <comment ref="AL30" authorId="0" shapeId="0">
      <text>
        <t>추정: 지배주주지분 ÷ 유통주식수
[per_share]</t>
      </text>
    </comment>
    <comment ref="AM30" authorId="0" shapeId="0">
      <text>
        <t>추정: 지배주주지분 ÷ 유통주식수
[per_share]</t>
      </text>
    </comment>
    <comment ref="AN30" authorId="0" shapeId="0">
      <text>
        <t>추정: 지배주주지분 ÷ 유통주식수
[per_share]</t>
      </text>
    </comment>
    <comment ref="E31" authorId="0" shapeId="0">
      <text>
        <t>실측(계정 매핑 없음(파생·부문·시세 행) — 모델값 직접) — fin.dividend.dps_common(연간, Q4 에 표기)</t>
      </text>
    </comment>
    <comment ref="F31" authorId="0" shapeId="0">
      <text>
        <t>연간(actual) — 분기 미완 연도, 모델 a 값 직접</t>
      </text>
    </comment>
    <comment ref="J31" authorId="0" shapeId="0">
      <text>
        <t>실측(계정 매핑 없음(파생·부문·시세 행) — 모델값 직접) — fin.dividend.dps_common(연간, Q4 에 표기)</t>
      </text>
    </comment>
    <comment ref="O31" authorId="0" shapeId="0">
      <text>
        <t>실측(계정 매핑 없음(파생·부문·시세 행) — 모델값 직접) — fin.dividend.dps_common(연간, Q4 에 표기)</t>
      </text>
    </comment>
    <comment ref="T31" authorId="0" shapeId="0">
      <text>
        <t>실측(계정 매핑 없음(파생·부문·시세 행) — 모델값 직접) — fin.dividend.dps_common(연간, Q4 에 표기)</t>
      </text>
    </comment>
    <comment ref="Y31" authorId="0" shapeId="0">
      <text>
        <t>실측(계정 매핑 없음(파생·부문·시세 행) — 모델값 직접) — fin.dividend.dps_common(연간, Q4 에 표기)</t>
      </text>
    </comment>
    <comment ref="AD31" authorId="0" shapeId="0">
      <text>
        <t>추정: 직전 결산 DPS 200원 유지
[abs]</t>
      </text>
    </comment>
    <comment ref="AI31" authorId="0" shapeId="0">
      <text>
        <t>추정: 직전 결산 DPS 200원 유지
[abs]</t>
      </text>
    </comment>
    <comment ref="AN31" authorId="0" shapeId="0">
      <text>
        <t>추정: 직전 결산 DPS 200원 유지
[abs]</t>
      </text>
    </comment>
    <comment ref="AC32" authorId="0" shapeId="0">
      <text>
        <t>추정: 현재 종가 ÷ TTM EPS(추정 포함)
[valuation]</t>
      </text>
    </comment>
    <comment ref="AD32" authorId="0" shapeId="0">
      <text>
        <t>추정: 현재 종가 ÷ TTM EPS(추정 포함)
[valuation]</t>
      </text>
    </comment>
    <comment ref="AF32" authorId="0" shapeId="0">
      <text>
        <t>추정: 현재 종가 ÷ TTM EPS(추정 포함)
[valuation]</t>
      </text>
    </comment>
    <comment ref="AG32" authorId="0" shapeId="0">
      <text>
        <t>추정: 현재 종가 ÷ TTM EPS(추정 포함)
[valuation]</t>
      </text>
    </comment>
    <comment ref="AH32" authorId="0" shapeId="0">
      <text>
        <t>추정: 현재 종가 ÷ TTM EPS(추정 포함)
[valuation]</t>
      </text>
    </comment>
    <comment ref="AI32" authorId="0" shapeId="0">
      <text>
        <t>추정: 현재 종가 ÷ TTM EPS(추정 포함)
[valuation]</t>
      </text>
    </comment>
    <comment ref="AK32" authorId="0" shapeId="0">
      <text>
        <t>추정: 현재 종가 ÷ TTM EPS(추정 포함)
[valuation]</t>
      </text>
    </comment>
    <comment ref="AL32" authorId="0" shapeId="0">
      <text>
        <t>추정: 현재 종가 ÷ TTM EPS(추정 포함)
[valuation]</t>
      </text>
    </comment>
    <comment ref="AM32" authorId="0" shapeId="0">
      <text>
        <t>추정: 현재 종가 ÷ TTM EPS(추정 포함)
[valuation]</t>
      </text>
    </comment>
    <comment ref="AN32" authorId="0" shapeId="0">
      <text>
        <t>추정: 현재 종가 ÷ TTM EPS(추정 포함)
[valuation]</t>
      </text>
    </comment>
    <comment ref="AC33" authorId="0" shapeId="0">
      <text>
        <t>추정: 현재 종가 ÷ BPS(추정 포함)
[valuation]</t>
      </text>
    </comment>
    <comment ref="AD33" authorId="0" shapeId="0">
      <text>
        <t>추정: 현재 종가 ÷ BPS(추정 포함)
[valuation]</t>
      </text>
    </comment>
    <comment ref="AF33" authorId="0" shapeId="0">
      <text>
        <t>추정: 현재 종가 ÷ BPS(추정 포함)
[valuation]</t>
      </text>
    </comment>
    <comment ref="AG33" authorId="0" shapeId="0">
      <text>
        <t>추정: 현재 종가 ÷ BPS(추정 포함)
[valuation]</t>
      </text>
    </comment>
    <comment ref="AH33" authorId="0" shapeId="0">
      <text>
        <t>추정: 현재 종가 ÷ BPS(추정 포함)
[valuation]</t>
      </text>
    </comment>
    <comment ref="AI33" authorId="0" shapeId="0">
      <text>
        <t>추정: 현재 종가 ÷ BPS(추정 포함)
[valuation]</t>
      </text>
    </comment>
    <comment ref="AK33" authorId="0" shapeId="0">
      <text>
        <t>추정: 현재 종가 ÷ BPS(추정 포함)
[valuation]</t>
      </text>
    </comment>
    <comment ref="AL33" authorId="0" shapeId="0">
      <text>
        <t>추정: 현재 종가 ÷ BPS(추정 포함)
[valuation]</t>
      </text>
    </comment>
    <comment ref="AM33" authorId="0" shapeId="0">
      <text>
        <t>추정: 현재 종가 ÷ BPS(추정 포함)
[valuation]</t>
      </text>
    </comment>
    <comment ref="AN33" authorId="0" shapeId="0">
      <text>
        <t>추정: 현재 종가 ÷ BPS(추정 포함)
[valuation]</t>
      </text>
    </comment>
    <comment ref="E34" authorId="0" shapeId="0">
      <text>
        <t>실측(계정 매핑 없음(파생·부문·시세 행) — 모델값 직접) — = 매출액(부문 미분리)</t>
      </text>
    </comment>
    <comment ref="G34" authorId="0" shapeId="0">
      <text>
        <t>실측(계정 매핑 없음(파생·부문·시세 행) — 모델값 직접) — = 매출액(부문 미분리)</t>
      </text>
    </comment>
    <comment ref="H34" authorId="0" shapeId="0">
      <text>
        <t>실측(계정 매핑 없음(파생·부문·시세 행) — 모델값 직접) — = 매출액(부문 미분리)</t>
      </text>
    </comment>
    <comment ref="I34" authorId="0" shapeId="0">
      <text>
        <t>실측(계정 매핑 없음(파생·부문·시세 행) — 모델값 직접) — = 매출액(부문 미분리)</t>
      </text>
    </comment>
    <comment ref="J34" authorId="0" shapeId="0">
      <text>
        <t>실측(계정 매핑 없음(파생·부문·시세 행) — 모델값 직접) — = 매출액(부문 미분리)</t>
      </text>
    </comment>
    <comment ref="L34" authorId="0" shapeId="0">
      <text>
        <t>실측(계정 매핑 없음(파생·부문·시세 행) — 모델값 직접) — = 매출액(부문 미분리)</t>
      </text>
    </comment>
    <comment ref="M34" authorId="0" shapeId="0">
      <text>
        <t>실측(계정 매핑 없음(파생·부문·시세 행) — 모델값 직접) — = 매출액(부문 미분리)</t>
      </text>
    </comment>
    <comment ref="N34" authorId="0" shapeId="0">
      <text>
        <t>실측(계정 매핑 없음(파생·부문·시세 행) — 모델값 직접) — = 매출액(부문 미분리)</t>
      </text>
    </comment>
    <comment ref="O34" authorId="0" shapeId="0">
      <text>
        <t>실측(계정 매핑 없음(파생·부문·시세 행) — 모델값 직접) — = 매출액(부문 미분리)</t>
      </text>
    </comment>
    <comment ref="Q34" authorId="0" shapeId="0">
      <text>
        <t>실측(계정 매핑 없음(파생·부문·시세 행) — 모델값 직접) — = 매출액(부문 미분리)</t>
      </text>
    </comment>
    <comment ref="R34" authorId="0" shapeId="0">
      <text>
        <t>실측(계정 매핑 없음(파생·부문·시세 행) — 모델값 직접) — = 매출액(부문 미분리)</t>
      </text>
    </comment>
    <comment ref="S34" authorId="0" shapeId="0">
      <text>
        <t>실측(계정 매핑 없음(파생·부문·시세 행) — 모델값 직접) — = 매출액(부문 미분리)</t>
      </text>
    </comment>
    <comment ref="T34" authorId="0" shapeId="0">
      <text>
        <t>실측(계정 매핑 없음(파생·부문·시세 행) — 모델값 직접) — = 매출액(부문 미분리)</t>
      </text>
    </comment>
    <comment ref="V34" authorId="0" shapeId="0">
      <text>
        <t>실측(계정 매핑 없음(파생·부문·시세 행) — 모델값 직접) — = 매출액(부문 미분리)</t>
      </text>
    </comment>
    <comment ref="W34" authorId="0" shapeId="0">
      <text>
        <t>실측(계정 매핑 없음(파생·부문·시세 행) — 모델값 직접) — = 매출액(부문 미분리)</t>
      </text>
    </comment>
    <comment ref="X34" authorId="0" shapeId="0">
      <text>
        <t>실측(계정 매핑 없음(파생·부문·시세 행) — 모델값 직접) — = 매출액(부문 미분리)</t>
      </text>
    </comment>
    <comment ref="Y34" authorId="0" shapeId="0">
      <text>
        <t>실측(계정 매핑 없음(파생·부문·시세 행) — 모델값 직접) — = 매출액(부문 미분리)</t>
      </text>
    </comment>
    <comment ref="AA34" authorId="0" shapeId="0">
      <text>
        <t>실측(계정 매핑 없음(파생·부문·시세 행) — 모델값 직접) — = 매출액(부문 미분리)</t>
      </text>
    </comment>
    <comment ref="AB34" authorId="0" shapeId="0">
      <text>
        <t>실측(계정 매핑 없음(파생·부문·시세 행) — 모델값 직접) — = 매출액(부문 미분리)</t>
      </text>
    </comment>
    <comment ref="AC34" authorId="0" shapeId="0">
      <text>
        <t>추정: = 매출액 추정(부문 미분리)
[identity]</t>
      </text>
    </comment>
    <comment ref="AD34" authorId="0" shapeId="0">
      <text>
        <t>추정: = 매출액 추정(부문 미분리)
[identity]</t>
      </text>
    </comment>
    <comment ref="AF34" authorId="0" shapeId="0">
      <text>
        <t>추정: = 매출액 추정(부문 미분리)
[identity]</t>
      </text>
    </comment>
    <comment ref="AG34" authorId="0" shapeId="0">
      <text>
        <t>추정: = 매출액 추정(부문 미분리)
[identity]</t>
      </text>
    </comment>
    <comment ref="AH34" authorId="0" shapeId="0">
      <text>
        <t>추정: = 매출액 추정(부문 미분리)
[identity]</t>
      </text>
    </comment>
    <comment ref="AI34" authorId="0" shapeId="0">
      <text>
        <t>추정: = 매출액 추정(부문 미분리)
[identity]</t>
      </text>
    </comment>
    <comment ref="AK34" authorId="0" shapeId="0">
      <text>
        <t>추정: = 매출액 추정(부문 미분리)
[identity]</t>
      </text>
    </comment>
    <comment ref="AL34" authorId="0" shapeId="0">
      <text>
        <t>추정: = 매출액 추정(부문 미분리)
[identity]</t>
      </text>
    </comment>
    <comment ref="AM34" authorId="0" shapeId="0">
      <text>
        <t>추정: = 매출액 추정(부문 미분리)
[identity]</t>
      </text>
    </comment>
    <comment ref="AN34" authorId="0" shapeId="0">
      <text>
        <t>추정: = 매출액 추정(부문 미분리)
[identity]</t>
      </text>
    </comment>
    <comment ref="E35" authorId="0" shapeId="0">
      <text>
        <t>실측(계정 매핑 없음(파생·부문·시세 행) — 모델값 직접) — = 영업이익(부문 미분리)</t>
      </text>
    </comment>
    <comment ref="G35" authorId="0" shapeId="0">
      <text>
        <t>실측(계정 매핑 없음(파생·부문·시세 행) — 모델값 직접) — = 영업이익(부문 미분리)</t>
      </text>
    </comment>
    <comment ref="H35" authorId="0" shapeId="0">
      <text>
        <t>실측(계정 매핑 없음(파생·부문·시세 행) — 모델값 직접) — = 영업이익(부문 미분리)</t>
      </text>
    </comment>
    <comment ref="I35" authorId="0" shapeId="0">
      <text>
        <t>실측(계정 매핑 없음(파생·부문·시세 행) — 모델값 직접) — = 영업이익(부문 미분리)</t>
      </text>
    </comment>
    <comment ref="J35" authorId="0" shapeId="0">
      <text>
        <t>실측(계정 매핑 없음(파생·부문·시세 행) — 모델값 직접) — = 영업이익(부문 미분리)</t>
      </text>
    </comment>
    <comment ref="L35" authorId="0" shapeId="0">
      <text>
        <t>실측(계정 매핑 없음(파생·부문·시세 행) — 모델값 직접) — = 영업이익(부문 미분리)</t>
      </text>
    </comment>
    <comment ref="M35" authorId="0" shapeId="0">
      <text>
        <t>실측(계정 매핑 없음(파생·부문·시세 행) — 모델값 직접) — = 영업이익(부문 미분리)</t>
      </text>
    </comment>
    <comment ref="N35" authorId="0" shapeId="0">
      <text>
        <t>실측(계정 매핑 없음(파생·부문·시세 행) — 모델값 직접) — = 영업이익(부문 미분리)</t>
      </text>
    </comment>
    <comment ref="O35" authorId="0" shapeId="0">
      <text>
        <t>실측(계정 매핑 없음(파생·부문·시세 행) — 모델값 직접) — = 영업이익(부문 미분리)</t>
      </text>
    </comment>
    <comment ref="Q35" authorId="0" shapeId="0">
      <text>
        <t>실측(계정 매핑 없음(파생·부문·시세 행) — 모델값 직접) — = 영업이익(부문 미분리)</t>
      </text>
    </comment>
    <comment ref="R35" authorId="0" shapeId="0">
      <text>
        <t>실측(계정 매핑 없음(파생·부문·시세 행) — 모델값 직접) — = 영업이익(부문 미분리)</t>
      </text>
    </comment>
    <comment ref="S35" authorId="0" shapeId="0">
      <text>
        <t>실측(계정 매핑 없음(파생·부문·시세 행) — 모델값 직접) — = 영업이익(부문 미분리)</t>
      </text>
    </comment>
    <comment ref="T35" authorId="0" shapeId="0">
      <text>
        <t>실측(계정 매핑 없음(파생·부문·시세 행) — 모델값 직접) — = 영업이익(부문 미분리)</t>
      </text>
    </comment>
    <comment ref="V35" authorId="0" shapeId="0">
      <text>
        <t>실측(계정 매핑 없음(파생·부문·시세 행) — 모델값 직접) — = 영업이익(부문 미분리)</t>
      </text>
    </comment>
    <comment ref="W35" authorId="0" shapeId="0">
      <text>
        <t>실측(계정 매핑 없음(파생·부문·시세 행) — 모델값 직접) — = 영업이익(부문 미분리)</t>
      </text>
    </comment>
    <comment ref="X35" authorId="0" shapeId="0">
      <text>
        <t>실측(계정 매핑 없음(파생·부문·시세 행) — 모델값 직접) — = 영업이익(부문 미분리)</t>
      </text>
    </comment>
    <comment ref="Y35" authorId="0" shapeId="0">
      <text>
        <t>실측(계정 매핑 없음(파생·부문·시세 행) — 모델값 직접) — = 영업이익(부문 미분리)</t>
      </text>
    </comment>
    <comment ref="AA35" authorId="0" shapeId="0">
      <text>
        <t>실측(계정 매핑 없음(파생·부문·시세 행) — 모델값 직접) — = 영업이익(부문 미분리)</t>
      </text>
    </comment>
    <comment ref="AB35" authorId="0" shapeId="0">
      <text>
        <t>실측(계정 매핑 없음(파생·부문·시세 행) — 모델값 직접) — = 영업이익(부문 미분리)</t>
      </text>
    </comment>
    <comment ref="AC35" authorId="0" shapeId="0">
      <text>
        <t>추정: = 매출액 × OPM(부문 미분리)
[identity]</t>
      </text>
    </comment>
    <comment ref="AD35" authorId="0" shapeId="0">
      <text>
        <t>추정: = 매출액 × OPM(부문 미분리)
[identity]</t>
      </text>
    </comment>
    <comment ref="AF35" authorId="0" shapeId="0">
      <text>
        <t>추정: = 매출액 × OPM(부문 미분리)
[identity]</t>
      </text>
    </comment>
    <comment ref="AG35" authorId="0" shapeId="0">
      <text>
        <t>추정: = 매출액 × OPM(부문 미분리)
[identity]</t>
      </text>
    </comment>
    <comment ref="AH35" authorId="0" shapeId="0">
      <text>
        <t>추정: = 매출액 × OPM(부문 미분리)
[identity]</t>
      </text>
    </comment>
    <comment ref="AI35" authorId="0" shapeId="0">
      <text>
        <t>추정: = 매출액 × OPM(부문 미분리)
[identity]</t>
      </text>
    </comment>
    <comment ref="AK35" authorId="0" shapeId="0">
      <text>
        <t>추정: = 매출액 × OPM(부문 미분리)
[identity]</t>
      </text>
    </comment>
    <comment ref="AL35" authorId="0" shapeId="0">
      <text>
        <t>추정: = 매출액 × OPM(부문 미분리)
[identity]</t>
      </text>
    </comment>
    <comment ref="AM35" authorId="0" shapeId="0">
      <text>
        <t>추정: = 매출액 × OPM(부문 미분리)
[identity]</t>
      </text>
    </comment>
    <comment ref="AN35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인텔리안테크(189300)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9.22% — 법인세 = MAX(세전,0) × 세율, 추정 전 분기 연결(Σ법인세/Σmax(세전,0) 역산, 재현 오차 ≤ 0.05억). 모델 가정 9.22% · 근거: 최근 12분기 유효세율 9.2%(5~27% 안 — 그대로)</t>
        </is>
      </c>
    </row>
    <row r="23">
      <c r="A23" t="inlineStr">
        <is>
          <t>· 판관비율 35.33%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1.29% / 부채 4.34% — 이자손익 = (전분기 이자발생자산 × 자산이자율 − 전분기 총차입금 × 부채이자율)/4, 최소자승 역산(모델 assumptions [0.0126, 0.0433]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48.9배가 3~40 밖(턴어라운드 왜곡)))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assets/models/189300.json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 / 금융손익 실적→추정 단절: 최근 4분기 실적 -31/+32/+51/-34(중위 +1억) → 추정 2026Q3 -13억(차 -14억, -1788%)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32.8, "op_wape_pct": 137.5,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591.46, "rev_act": 772.26, "op_pred": -27.24, "op_act": 23.73}, {"q": "2025Q4", "rev_pred": 730.41, "rev_act": 1243.15, "op_pred": -33.64, "op_act": 198.56}, {"q": "2026Q1", "rev_pred": 411.16, "rev_act": 647.24, "op_pred": -18.93, "op_act": 5.93}, {"q": "2026Q2", "rev_pred": 708.83, "rev_act": 972.46, "op_pred": -32.64, "op_act": 71.36}]}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89064</v>
      </c>
      <c r="F15" s="9" t="n"/>
      <c r="G15" s="18" t="n">
        <v>85772</v>
      </c>
      <c r="H15" s="18" t="n">
        <v>57988</v>
      </c>
      <c r="I15" s="18" t="n">
        <v>53051</v>
      </c>
      <c r="J15" s="18" t="n">
        <v>65830</v>
      </c>
      <c r="K15" s="9" t="n"/>
      <c r="L15" s="18" t="n">
        <v>90613</v>
      </c>
      <c r="M15" s="18" t="n">
        <v>73400</v>
      </c>
      <c r="N15" s="18" t="n">
        <v>82100</v>
      </c>
      <c r="O15" s="18" t="n">
        <v>72500</v>
      </c>
      <c r="P15" s="9" t="n"/>
      <c r="Q15" s="18" t="n">
        <v>59000</v>
      </c>
      <c r="R15" s="18" t="n">
        <v>58900</v>
      </c>
      <c r="S15" s="18" t="n">
        <v>55000</v>
      </c>
      <c r="T15" s="18" t="n">
        <v>37500</v>
      </c>
      <c r="U15" s="9" t="n"/>
      <c r="V15" s="18" t="n">
        <v>34850</v>
      </c>
      <c r="W15" s="18" t="n">
        <v>50100</v>
      </c>
      <c r="X15" s="18" t="n">
        <v>47150</v>
      </c>
      <c r="Y15" s="18" t="n">
        <v>59500</v>
      </c>
      <c r="Z15" s="9" t="n"/>
      <c r="AA15" s="18" t="n">
        <v>110900</v>
      </c>
      <c r="AB15" s="19" t="n">
        <v>77700</v>
      </c>
      <c r="AC15" s="20" t="n">
        <v>66500</v>
      </c>
      <c r="AD15" s="20" t="n">
        <v>63800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90031</v>
      </c>
      <c r="F16" s="9" t="n"/>
      <c r="G16" s="18" t="n">
        <v>92742</v>
      </c>
      <c r="H16" s="18" t="n">
        <v>87902</v>
      </c>
      <c r="I16" s="18" t="n">
        <v>72993</v>
      </c>
      <c r="J16" s="18" t="n">
        <v>74639</v>
      </c>
      <c r="K16" s="9" t="n"/>
      <c r="L16" s="18" t="n">
        <v>96324</v>
      </c>
      <c r="M16" s="18" t="n">
        <v>92742</v>
      </c>
      <c r="N16" s="18" t="n">
        <v>92000</v>
      </c>
      <c r="O16" s="18" t="n">
        <v>86700</v>
      </c>
      <c r="P16" s="9" t="n"/>
      <c r="Q16" s="18" t="n">
        <v>82400</v>
      </c>
      <c r="R16" s="18" t="n">
        <v>69500</v>
      </c>
      <c r="S16" s="18" t="n">
        <v>60500</v>
      </c>
      <c r="T16" s="18" t="n">
        <v>57400</v>
      </c>
      <c r="U16" s="9" t="n"/>
      <c r="V16" s="18" t="n">
        <v>46400</v>
      </c>
      <c r="W16" s="18" t="n">
        <v>54000</v>
      </c>
      <c r="X16" s="18" t="n">
        <v>54900</v>
      </c>
      <c r="Y16" s="18" t="n">
        <v>64600</v>
      </c>
      <c r="Z16" s="9" t="n"/>
      <c r="AA16" s="18" t="n">
        <v>149400</v>
      </c>
      <c r="AB16" s="19" t="n">
        <v>180200</v>
      </c>
      <c r="AC16" s="20" t="n">
        <v>81400</v>
      </c>
      <c r="AD16" s="20" t="n">
        <v>77300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64280</v>
      </c>
      <c r="F17" s="9" t="n"/>
      <c r="G17" s="18" t="n">
        <v>69992</v>
      </c>
      <c r="H17" s="18" t="n">
        <v>53244</v>
      </c>
      <c r="I17" s="18" t="n">
        <v>51308</v>
      </c>
      <c r="J17" s="18" t="n">
        <v>53728</v>
      </c>
      <c r="K17" s="9" t="n"/>
      <c r="L17" s="18" t="n">
        <v>59634</v>
      </c>
      <c r="M17" s="18" t="n">
        <v>63409</v>
      </c>
      <c r="N17" s="18" t="n">
        <v>67400</v>
      </c>
      <c r="O17" s="18" t="n">
        <v>66400</v>
      </c>
      <c r="P17" s="9" t="n"/>
      <c r="Q17" s="18" t="n">
        <v>52300</v>
      </c>
      <c r="R17" s="18" t="n">
        <v>53600</v>
      </c>
      <c r="S17" s="18" t="n">
        <v>43000</v>
      </c>
      <c r="T17" s="18" t="n">
        <v>33500</v>
      </c>
      <c r="U17" s="9" t="n"/>
      <c r="V17" s="18" t="n">
        <v>33350</v>
      </c>
      <c r="W17" s="18" t="n">
        <v>30800</v>
      </c>
      <c r="X17" s="18" t="n">
        <v>43400</v>
      </c>
      <c r="Y17" s="18" t="n">
        <v>39000</v>
      </c>
      <c r="Z17" s="9" t="n"/>
      <c r="AA17" s="18" t="n">
        <v>59400</v>
      </c>
      <c r="AB17" s="19" t="n">
        <v>67700</v>
      </c>
      <c r="AC17" s="20" t="n">
        <v>48100</v>
      </c>
      <c r="AD17" s="20" t="n">
        <v>62900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74710.10000000001</v>
      </c>
      <c r="F18" s="9" t="n"/>
      <c r="G18" s="18" t="n">
        <v>79783.39999999999</v>
      </c>
      <c r="H18" s="18" t="n">
        <v>76683.3</v>
      </c>
      <c r="I18" s="18" t="n">
        <v>64300.9</v>
      </c>
      <c r="J18" s="18" t="n">
        <v>64056</v>
      </c>
      <c r="K18" s="9" t="n"/>
      <c r="L18" s="18" t="n">
        <v>74957.89999999999</v>
      </c>
      <c r="M18" s="18" t="n">
        <v>73942.8</v>
      </c>
      <c r="N18" s="18" t="n">
        <v>78641.89999999999</v>
      </c>
      <c r="O18" s="18" t="n">
        <v>74175</v>
      </c>
      <c r="P18" s="9" t="n"/>
      <c r="Q18" s="18" t="n">
        <v>61383.6</v>
      </c>
      <c r="R18" s="18" t="n">
        <v>60596.7</v>
      </c>
      <c r="S18" s="18" t="n">
        <v>53920.2</v>
      </c>
      <c r="T18" s="18" t="n">
        <v>45203.3</v>
      </c>
      <c r="U18" s="9" t="n"/>
      <c r="V18" s="18" t="n">
        <v>38918.1</v>
      </c>
      <c r="W18" s="18" t="n">
        <v>42007.5</v>
      </c>
      <c r="X18" s="18" t="n">
        <v>48463.1</v>
      </c>
      <c r="Y18" s="18" t="n">
        <v>46804.2</v>
      </c>
      <c r="Z18" s="9" t="n"/>
      <c r="AA18" s="18" t="n">
        <v>105422</v>
      </c>
      <c r="AB18" s="19" t="n">
        <v>124445.9</v>
      </c>
      <c r="AC18" s="20" t="n">
        <v>66313.7</v>
      </c>
      <c r="AD18" s="20" t="n">
        <v>69920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0.411925029</v>
      </c>
      <c r="AD21" s="24" t="n">
        <v>0.411924603</v>
      </c>
      <c r="AE21" s="25" t="n"/>
      <c r="AF21" s="24" t="n">
        <v>0.41192768</v>
      </c>
      <c r="AG21" s="24" t="n">
        <v>0.411921784</v>
      </c>
      <c r="AH21" s="24" t="n">
        <v>0.205955722</v>
      </c>
      <c r="AI21" s="24" t="n">
        <v>0.205960438</v>
      </c>
      <c r="AJ21" s="25" t="n"/>
      <c r="AK21" s="24" t="n">
        <v>0.205952837</v>
      </c>
      <c r="AL21" s="24" t="n">
        <v>0.20595904</v>
      </c>
      <c r="AM21" s="24" t="n">
        <v>0.102984904</v>
      </c>
      <c r="AN21" s="24" t="n">
        <v>0.102978623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$D$48</f>
        <v/>
      </c>
      <c r="AD22" s="26">
        <f>$D$48</f>
        <v/>
      </c>
      <c r="AE22" s="25">
        <f>IFERROR(subQ!AE8/subQ!AE5,"")</f>
        <v/>
      </c>
      <c r="AF22" s="26">
        <f>$D$48</f>
        <v/>
      </c>
      <c r="AG22" s="26">
        <f>$D$48</f>
        <v/>
      </c>
      <c r="AH22" s="26">
        <f>$D$48</f>
        <v/>
      </c>
      <c r="AI22" s="26">
        <f>$D$48</f>
        <v/>
      </c>
      <c r="AJ22" s="25">
        <f>IFERROR(subQ!AJ8/subQ!AJ5,"")</f>
        <v/>
      </c>
      <c r="AK22" s="26">
        <f>$D$48</f>
        <v/>
      </c>
      <c r="AL22" s="26">
        <f>$D$48</f>
        <v/>
      </c>
      <c r="AM22" s="26">
        <f>$D$48</f>
        <v/>
      </c>
      <c r="AN22" s="26">
        <f>$D$48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0.016379611</v>
      </c>
      <c r="AD23" s="24" t="n">
        <v>0.016379526</v>
      </c>
      <c r="AE23" s="25">
        <f>IFERROR(subQ!AE9/subQ!AE5,"")</f>
        <v/>
      </c>
      <c r="AF23" s="24" t="n">
        <v>0.016381244</v>
      </c>
      <c r="AG23" s="24" t="n">
        <v>0.016379712</v>
      </c>
      <c r="AH23" s="24" t="n">
        <v>0.016380851</v>
      </c>
      <c r="AI23" s="24" t="n">
        <v>0.016378883</v>
      </c>
      <c r="AJ23" s="25">
        <f>IFERROR(subQ!AJ9/subQ!AJ5,"")</f>
        <v/>
      </c>
      <c r="AK23" s="24" t="n">
        <v>0.016378419</v>
      </c>
      <c r="AL23" s="24" t="n">
        <v>0.016378493</v>
      </c>
      <c r="AM23" s="24" t="n">
        <v>0.016382027</v>
      </c>
      <c r="AN23" s="24" t="n">
        <v>0.016378768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drv:법인세비용</t>
        </is>
      </c>
      <c r="B25" s="2" t="inlineStr">
        <is>
          <t>tax</t>
        </is>
      </c>
      <c r="C25" t="inlineStr">
        <is>
          <t>법인세율(/세전) — 법인세 = MAX(세전,0) × 세율</t>
        </is>
      </c>
      <c r="E25" s="21">
        <f>IFERROR(subQ!E15/subQ!E14,"")</f>
        <v/>
      </c>
      <c r="F25" s="22">
        <f>IFERROR(subQ!F15/subQ!F14,"")</f>
        <v/>
      </c>
      <c r="G25" s="21">
        <f>IFERROR(subQ!G15/subQ!G14,"")</f>
        <v/>
      </c>
      <c r="H25" s="21">
        <f>IFERROR(subQ!H15/subQ!H14,"")</f>
        <v/>
      </c>
      <c r="I25" s="21">
        <f>IFERROR(subQ!I15/subQ!I14,"")</f>
        <v/>
      </c>
      <c r="J25" s="21">
        <f>IFERROR(subQ!J15/subQ!J14,"")</f>
        <v/>
      </c>
      <c r="K25" s="22">
        <f>IFERROR(subQ!K15/subQ!K14,"")</f>
        <v/>
      </c>
      <c r="L25" s="21">
        <f>IFERROR(subQ!L15/subQ!L14,"")</f>
        <v/>
      </c>
      <c r="M25" s="21">
        <f>IFERROR(subQ!M15/subQ!M14,"")</f>
        <v/>
      </c>
      <c r="N25" s="21">
        <f>IFERROR(subQ!N15/subQ!N14,"")</f>
        <v/>
      </c>
      <c r="O25" s="21">
        <f>IFERROR(subQ!O15/subQ!O14,"")</f>
        <v/>
      </c>
      <c r="P25" s="22">
        <f>IFERROR(subQ!P15/subQ!P14,"")</f>
        <v/>
      </c>
      <c r="Q25" s="21">
        <f>IFERROR(subQ!Q15/subQ!Q14,"")</f>
        <v/>
      </c>
      <c r="R25" s="21">
        <f>IFERROR(subQ!R15/subQ!R14,"")</f>
        <v/>
      </c>
      <c r="S25" s="21">
        <f>IFERROR(subQ!S15/subQ!S14,"")</f>
        <v/>
      </c>
      <c r="T25" s="21">
        <f>IFERROR(subQ!T15/subQ!T14,"")</f>
        <v/>
      </c>
      <c r="U25" s="22">
        <f>IFERROR(subQ!U15/subQ!U14,"")</f>
        <v/>
      </c>
      <c r="V25" s="21">
        <f>IFERROR(subQ!V15/subQ!V14,"")</f>
        <v/>
      </c>
      <c r="W25" s="21">
        <f>IFERROR(subQ!W15/subQ!W14,"")</f>
        <v/>
      </c>
      <c r="X25" s="21">
        <f>IFERROR(subQ!X15/subQ!X14,"")</f>
        <v/>
      </c>
      <c r="Y25" s="21">
        <f>IFERROR(subQ!Y15/subQ!Y14,"")</f>
        <v/>
      </c>
      <c r="Z25" s="22">
        <f>IFERROR(subQ!Z15/subQ!Z14,"")</f>
        <v/>
      </c>
      <c r="AA25" s="21">
        <f>IFERROR(subQ!AA15/subQ!AA14,"")</f>
        <v/>
      </c>
      <c r="AB25" s="23">
        <f>IFERROR(subQ!AB15/subQ!AB14,"")</f>
        <v/>
      </c>
      <c r="AC25" s="26">
        <f>$D$47</f>
        <v/>
      </c>
      <c r="AD25" s="26">
        <f>$D$47</f>
        <v/>
      </c>
      <c r="AE25" s="25">
        <f>IFERROR(subQ!AE15/subQ!AE14,"")</f>
        <v/>
      </c>
      <c r="AF25" s="26">
        <f>$D$47</f>
        <v/>
      </c>
      <c r="AG25" s="26">
        <f>$D$47</f>
        <v/>
      </c>
      <c r="AH25" s="26">
        <f>$D$47</f>
        <v/>
      </c>
      <c r="AI25" s="26">
        <f>$D$47</f>
        <v/>
      </c>
      <c r="AJ25" s="25">
        <f>IFERROR(subQ!AJ15/subQ!AJ14,"")</f>
        <v/>
      </c>
      <c r="AK25" s="26">
        <f>$D$47</f>
        <v/>
      </c>
      <c r="AL25" s="26">
        <f>$D$47</f>
        <v/>
      </c>
      <c r="AM25" s="26">
        <f>$D$47</f>
        <v/>
      </c>
      <c r="AN25" s="26">
        <f>$D$47</f>
        <v/>
      </c>
      <c r="AO25" s="25">
        <f>IFERROR(subQ!AO15/subQ!AO14,"")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2">
        <f>IFERROR(subQ!F17/subQ!F16,"")</f>
        <v/>
      </c>
      <c r="G26" s="21">
        <f>IFERROR(subQ!G17/subQ!G16,"")</f>
        <v/>
      </c>
      <c r="H26" s="21">
        <f>IFERROR(subQ!H17/subQ!H16,"")</f>
        <v/>
      </c>
      <c r="I26" s="21">
        <f>IFERROR(subQ!I17/subQ!I16,"")</f>
        <v/>
      </c>
      <c r="J26" s="21">
        <f>IFERROR(subQ!J17/subQ!J16,"")</f>
        <v/>
      </c>
      <c r="K26" s="22">
        <f>IFERROR(subQ!K17/subQ!K16,"")</f>
        <v/>
      </c>
      <c r="L26" s="21">
        <f>IFERROR(subQ!L17/subQ!L16,"")</f>
        <v/>
      </c>
      <c r="M26" s="21">
        <f>IFERROR(subQ!M17/subQ!M16,"")</f>
        <v/>
      </c>
      <c r="N26" s="21">
        <f>IFERROR(subQ!N17/subQ!N16,"")</f>
        <v/>
      </c>
      <c r="O26" s="21">
        <f>IFERROR(subQ!O17/subQ!O16,"")</f>
        <v/>
      </c>
      <c r="P26" s="22">
        <f>IFERROR(subQ!P17/subQ!P16,"")</f>
        <v/>
      </c>
      <c r="Q26" s="21">
        <f>IFERROR(subQ!Q17/subQ!Q16,"")</f>
        <v/>
      </c>
      <c r="R26" s="21">
        <f>IFERROR(subQ!R17/subQ!R16,"")</f>
        <v/>
      </c>
      <c r="S26" s="21">
        <f>IFERROR(subQ!S17/subQ!S16,"")</f>
        <v/>
      </c>
      <c r="T26" s="21">
        <f>IFERROR(subQ!T17/subQ!T16,"")</f>
        <v/>
      </c>
      <c r="U26" s="22">
        <f>IFERROR(subQ!U17/subQ!U16,"")</f>
        <v/>
      </c>
      <c r="V26" s="21">
        <f>IFERROR(subQ!V17/subQ!V16,"")</f>
        <v/>
      </c>
      <c r="W26" s="21">
        <f>IFERROR(subQ!W17/subQ!W16,"")</f>
        <v/>
      </c>
      <c r="X26" s="21">
        <f>IFERROR(subQ!X17/subQ!X16,"")</f>
        <v/>
      </c>
      <c r="Y26" s="21">
        <f>IFERROR(subQ!Y17/subQ!Y16,"")</f>
        <v/>
      </c>
      <c r="Z26" s="22">
        <f>IFERROR(subQ!Z17/subQ!Z16,"")</f>
        <v/>
      </c>
      <c r="AA26" s="21">
        <f>IFERROR(subQ!AA17/subQ!AA16,"")</f>
        <v/>
      </c>
      <c r="AB26" s="23">
        <f>IFERROR(subQ!AB17/subQ!AB16,"")</f>
        <v/>
      </c>
      <c r="AC26" s="26">
        <f>$D$49</f>
        <v/>
      </c>
      <c r="AD26" s="26">
        <f>$D$49</f>
        <v/>
      </c>
      <c r="AE26" s="25">
        <f>IFERROR(subQ!AE17/subQ!AE16,"")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IFERROR(subQ!AJ17/subQ!AJ16,"")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IFERROR(subQ!AO17/subQ!AO16,"")</f>
        <v/>
      </c>
    </row>
    <row r="27">
      <c r="A27" s="12" t="inlineStr">
        <is>
          <t>drv:부채총계</t>
        </is>
      </c>
      <c r="B27" s="2" t="inlineStr">
        <is>
          <t>qoq</t>
        </is>
      </c>
      <c r="C27" t="inlineStr">
        <is>
          <t>부채총계 QoQ</t>
        </is>
      </c>
      <c r="E27" s="21" t="n"/>
      <c r="F27" s="22" t="n"/>
      <c r="G27" s="21">
        <f>IFERROR(subQ!G19/subQ!E19-1,"")</f>
        <v/>
      </c>
      <c r="H27" s="21">
        <f>IFERROR(subQ!H19/subQ!G19-1,"")</f>
        <v/>
      </c>
      <c r="I27" s="21">
        <f>IFERROR(subQ!I19/subQ!H19-1,"")</f>
        <v/>
      </c>
      <c r="J27" s="21">
        <f>IFERROR(subQ!J19/subQ!I19-1,"")</f>
        <v/>
      </c>
      <c r="K27" s="22" t="n"/>
      <c r="L27" s="21">
        <f>IFERROR(subQ!L19/subQ!J19-1,"")</f>
        <v/>
      </c>
      <c r="M27" s="21">
        <f>IFERROR(subQ!M19/subQ!L19-1,"")</f>
        <v/>
      </c>
      <c r="N27" s="21">
        <f>IFERROR(subQ!N19/subQ!M19-1,"")</f>
        <v/>
      </c>
      <c r="O27" s="21">
        <f>IFERROR(subQ!O19/subQ!N19-1,"")</f>
        <v/>
      </c>
      <c r="P27" s="22" t="n"/>
      <c r="Q27" s="21">
        <f>IFERROR(subQ!Q19/subQ!O19-1,"")</f>
        <v/>
      </c>
      <c r="R27" s="21">
        <f>IFERROR(subQ!R19/subQ!Q19-1,"")</f>
        <v/>
      </c>
      <c r="S27" s="21">
        <f>IFERROR(subQ!S19/subQ!R19-1,"")</f>
        <v/>
      </c>
      <c r="T27" s="21">
        <f>IFERROR(subQ!T19/subQ!S19-1,"")</f>
        <v/>
      </c>
      <c r="U27" s="22" t="n"/>
      <c r="V27" s="21">
        <f>IFERROR(subQ!V19/subQ!T19-1,"")</f>
        <v/>
      </c>
      <c r="W27" s="21">
        <f>IFERROR(subQ!W19/subQ!V19-1,"")</f>
        <v/>
      </c>
      <c r="X27" s="21">
        <f>IFERROR(subQ!X19/subQ!W19-1,"")</f>
        <v/>
      </c>
      <c r="Y27" s="21">
        <f>IFERROR(subQ!Y19/subQ!X19-1,"")</f>
        <v/>
      </c>
      <c r="Z27" s="22" t="n"/>
      <c r="AA27" s="21">
        <f>IFERROR(subQ!AA19/subQ!Y19-1,"")</f>
        <v/>
      </c>
      <c r="AB27" s="23">
        <f>IFERROR(subQ!AB19/subQ!AA19-1,"")</f>
        <v/>
      </c>
      <c r="AC27" s="24" t="n">
        <v>-8.58e-07</v>
      </c>
      <c r="AD27" s="24" t="n">
        <v>0</v>
      </c>
      <c r="AE27" s="25" t="n"/>
      <c r="AF27" s="24" t="n">
        <v>0</v>
      </c>
      <c r="AG27" s="24" t="n">
        <v>0</v>
      </c>
      <c r="AH27" s="24" t="n">
        <v>0</v>
      </c>
      <c r="AI27" s="24" t="n">
        <v>0</v>
      </c>
      <c r="AJ27" s="25" t="n"/>
      <c r="AK27" s="24" t="n">
        <v>0</v>
      </c>
      <c r="AL27" s="24" t="n">
        <v>0</v>
      </c>
      <c r="AM27" s="24" t="n">
        <v>0</v>
      </c>
      <c r="AN27" s="24" t="n">
        <v>0</v>
      </c>
      <c r="AO27" s="25" t="n"/>
    </row>
    <row r="28">
      <c r="A28" s="12" t="inlineStr">
        <is>
          <t>drv:자본총계</t>
        </is>
      </c>
      <c r="B28" s="2" t="inlineStr">
        <is>
          <t>roll</t>
        </is>
      </c>
      <c r="C28" t="inlineStr">
        <is>
          <t>자본총계 기타변동(배당 등, 억원)</t>
        </is>
      </c>
      <c r="E28" s="27" t="n"/>
      <c r="F28" s="28" t="n"/>
      <c r="G28" s="27">
        <f>IFERROR(subQ!E20+subQ!G16-subQ!G20,"")</f>
        <v/>
      </c>
      <c r="H28" s="27">
        <f>IFERROR(subQ!G20+subQ!H16-subQ!H20,"")</f>
        <v/>
      </c>
      <c r="I28" s="27">
        <f>IFERROR(subQ!H20+subQ!I16-subQ!I20,"")</f>
        <v/>
      </c>
      <c r="J28" s="27">
        <f>IFERROR(subQ!I20+subQ!J16-subQ!J20,"")</f>
        <v/>
      </c>
      <c r="K28" s="28" t="n"/>
      <c r="L28" s="27">
        <f>IFERROR(subQ!J20+subQ!L16-subQ!L20,"")</f>
        <v/>
      </c>
      <c r="M28" s="27">
        <f>IFERROR(subQ!L20+subQ!M16-subQ!M20,"")</f>
        <v/>
      </c>
      <c r="N28" s="27">
        <f>IFERROR(subQ!M20+subQ!N16-subQ!N20,"")</f>
        <v/>
      </c>
      <c r="O28" s="27">
        <f>IFERROR(subQ!N20+subQ!O16-subQ!O20,"")</f>
        <v/>
      </c>
      <c r="P28" s="28" t="n"/>
      <c r="Q28" s="27">
        <f>IFERROR(subQ!O20+subQ!Q16-subQ!Q20,"")</f>
        <v/>
      </c>
      <c r="R28" s="27">
        <f>IFERROR(subQ!Q20+subQ!R16-subQ!R20,"")</f>
        <v/>
      </c>
      <c r="S28" s="27">
        <f>IFERROR(subQ!R20+subQ!S16-subQ!S20,"")</f>
        <v/>
      </c>
      <c r="T28" s="27">
        <f>IFERROR(subQ!S20+subQ!T16-subQ!T20,"")</f>
        <v/>
      </c>
      <c r="U28" s="28" t="n"/>
      <c r="V28" s="27">
        <f>IFERROR(subQ!T20+subQ!V16-subQ!V20,"")</f>
        <v/>
      </c>
      <c r="W28" s="27">
        <f>IFERROR(subQ!V20+subQ!W16-subQ!W20,"")</f>
        <v/>
      </c>
      <c r="X28" s="27">
        <f>IFERROR(subQ!W20+subQ!X16-subQ!X20,"")</f>
        <v/>
      </c>
      <c r="Y28" s="27">
        <f>IFERROR(subQ!X20+subQ!Y16-subQ!Y20,"")</f>
        <v/>
      </c>
      <c r="Z28" s="28" t="n"/>
      <c r="AA28" s="27">
        <f>IFERROR(subQ!Y20+subQ!AA16-subQ!AA20,"")</f>
        <v/>
      </c>
      <c r="AB28" s="29">
        <f>IFERROR(subQ!AA20+subQ!AB16-subQ!AB20,"")</f>
        <v/>
      </c>
      <c r="AC28" s="32" t="n"/>
      <c r="AD28" s="32" t="n"/>
      <c r="AE28" s="31" t="n"/>
      <c r="AF28" s="32" t="n"/>
      <c r="AG28" s="32" t="n"/>
      <c r="AH28" s="32" t="n"/>
      <c r="AI28" s="32" t="n"/>
      <c r="AJ28" s="31" t="n"/>
      <c r="AK28" s="32" t="n"/>
      <c r="AL28" s="32" t="n"/>
      <c r="AM28" s="32" t="n"/>
      <c r="AN28" s="32" t="n"/>
      <c r="AO28" s="31" t="n"/>
    </row>
    <row r="29">
      <c r="A29" s="12" t="inlineStr">
        <is>
          <t>drv:지배주주지분</t>
        </is>
      </c>
      <c r="B29" s="2" t="inlineStr">
        <is>
          <t>roll</t>
        </is>
      </c>
      <c r="C29" t="inlineStr">
        <is>
          <t>지배주주지분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-0.000200803</v>
      </c>
      <c r="AD29" s="30" t="n">
        <v>-0.001997346</v>
      </c>
      <c r="AE29" s="31" t="n"/>
      <c r="AF29" s="30" t="n">
        <v>5.8479e-05</v>
      </c>
      <c r="AG29" s="30" t="n">
        <v>20.441997576</v>
      </c>
      <c r="AH29" s="30" t="n">
        <v>0.00506408</v>
      </c>
      <c r="AI29" s="30" t="n">
        <v>-0.002850513</v>
      </c>
      <c r="AJ29" s="31" t="n"/>
      <c r="AK29" s="30" t="n">
        <v>-0.003170288</v>
      </c>
      <c r="AL29" s="30" t="n">
        <v>20.444163418</v>
      </c>
      <c r="AM29" s="30" t="n">
        <v>0.001883336</v>
      </c>
      <c r="AN29" s="30" t="n">
        <v>-0.004446441</v>
      </c>
      <c r="AO29" s="31" t="n"/>
    </row>
    <row r="30">
      <c r="A30" s="12" t="inlineStr">
        <is>
          <t>drv:총차입금</t>
        </is>
      </c>
      <c r="B30" s="2" t="inlineStr">
        <is>
          <t>qoq</t>
        </is>
      </c>
      <c r="C30" t="inlineStr">
        <is>
          <t>총차입금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3.136e-06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drv:순차입금</t>
        </is>
      </c>
      <c r="B31" s="2" t="inlineStr">
        <is>
          <t>qoq</t>
        </is>
      </c>
      <c r="C31" t="inlineStr">
        <is>
          <t>순차입금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-0.003702945</v>
      </c>
      <c r="AD31" s="24" t="n">
        <v>-0.012149612</v>
      </c>
      <c r="AE31" s="25" t="n"/>
      <c r="AF31" s="24" t="n">
        <v>-0.001543849</v>
      </c>
      <c r="AG31" s="24" t="n">
        <v>0.01021034</v>
      </c>
      <c r="AH31" s="24" t="n">
        <v>-0.006601281</v>
      </c>
      <c r="AI31" s="24" t="n">
        <v>-0.016931354</v>
      </c>
      <c r="AJ31" s="25" t="n"/>
      <c r="AK31" s="24" t="n">
        <v>-0.004062763</v>
      </c>
      <c r="AL31" s="24" t="n">
        <v>0.006646504</v>
      </c>
      <c r="AM31" s="24" t="n">
        <v>-0.008567686</v>
      </c>
      <c r="AN31" s="24" t="n">
        <v>-0.020252116</v>
      </c>
      <c r="AO31" s="25" t="n"/>
    </row>
    <row r="32">
      <c r="A32" s="12" t="inlineStr">
        <is>
          <t>drv:이자발생자산</t>
        </is>
      </c>
      <c r="B32" s="2" t="inlineStr">
        <is>
          <t>qoq</t>
        </is>
      </c>
      <c r="C32" t="inlineStr">
        <is>
          <t>이자발생자산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0.005555568</v>
      </c>
      <c r="AD32" s="24" t="n">
        <v>0.01807901</v>
      </c>
      <c r="AE32" s="25" t="n"/>
      <c r="AF32" s="24" t="n">
        <v>0.002229085</v>
      </c>
      <c r="AG32" s="24" t="n">
        <v>-0.014686696</v>
      </c>
      <c r="AH32" s="24" t="n">
        <v>0.009747916000000001</v>
      </c>
      <c r="AI32" s="24" t="n">
        <v>0.024565391</v>
      </c>
      <c r="AJ32" s="25" t="n"/>
      <c r="AK32" s="24" t="n">
        <v>0.005643657</v>
      </c>
      <c r="AL32" s="24" t="n">
        <v>-0.009151293</v>
      </c>
      <c r="AM32" s="24" t="n">
        <v>0.011988208</v>
      </c>
      <c r="AN32" s="24" t="n">
        <v>0.027790202</v>
      </c>
      <c r="AO32" s="25" t="n"/>
    </row>
    <row r="33">
      <c r="A33" s="12" t="inlineStr">
        <is>
          <t>drv:현금및현금성자산</t>
        </is>
      </c>
      <c r="B33" s="2" t="inlineStr">
        <is>
          <t>qoq</t>
        </is>
      </c>
      <c r="C33" t="inlineStr">
        <is>
          <t>현금및현금성자산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33" t="n"/>
      <c r="AD33" s="33" t="n"/>
      <c r="AE33" s="25" t="n"/>
      <c r="AF33" s="33" t="n"/>
      <c r="AG33" s="33" t="n"/>
      <c r="AH33" s="33" t="n"/>
      <c r="AI33" s="33" t="n"/>
      <c r="AJ33" s="25" t="n"/>
      <c r="AK33" s="33" t="n"/>
      <c r="AL33" s="33" t="n"/>
      <c r="AM33" s="33" t="n"/>
      <c r="AN33" s="33" t="n"/>
      <c r="AO33" s="25" t="n"/>
    </row>
    <row r="34">
      <c r="A34" s="12" t="inlineStr">
        <is>
          <t>drv:CAPEX</t>
        </is>
      </c>
      <c r="B34" s="2" t="inlineStr">
        <is>
          <t>yoy</t>
        </is>
      </c>
      <c r="C34" t="inlineStr">
        <is>
          <t>CAPEX YoY</t>
        </is>
      </c>
      <c r="E34" s="21" t="n"/>
      <c r="F34" s="22" t="n"/>
      <c r="G34" s="21" t="n"/>
      <c r="H34" s="21" t="n"/>
      <c r="I34" s="21" t="n"/>
      <c r="J34" s="21">
        <f>IFERROR(subQ!J26/subQ!E26-1,"")</f>
        <v/>
      </c>
      <c r="K34" s="22" t="n"/>
      <c r="L34" s="21">
        <f>IFERROR(subQ!L26/subQ!G26-1,"")</f>
        <v/>
      </c>
      <c r="M34" s="21">
        <f>IFERROR(subQ!M26/subQ!H26-1,"")</f>
        <v/>
      </c>
      <c r="N34" s="21">
        <f>IFERROR(subQ!N26/subQ!I26-1,"")</f>
        <v/>
      </c>
      <c r="O34" s="21">
        <f>IFERROR(subQ!O26/subQ!J26-1,"")</f>
        <v/>
      </c>
      <c r="P34" s="22" t="n"/>
      <c r="Q34" s="21">
        <f>IFERROR(subQ!Q26/subQ!L26-1,"")</f>
        <v/>
      </c>
      <c r="R34" s="21">
        <f>IFERROR(subQ!R26/subQ!M26-1,"")</f>
        <v/>
      </c>
      <c r="S34" s="21">
        <f>IFERROR(subQ!S26/subQ!N26-1,"")</f>
        <v/>
      </c>
      <c r="T34" s="21">
        <f>IFERROR(subQ!T26/subQ!O26-1,"")</f>
        <v/>
      </c>
      <c r="U34" s="22" t="n"/>
      <c r="V34" s="21">
        <f>IFERROR(subQ!V26/subQ!Q26-1,"")</f>
        <v/>
      </c>
      <c r="W34" s="21">
        <f>IFERROR(subQ!W26/subQ!R26-1,"")</f>
        <v/>
      </c>
      <c r="X34" s="21">
        <f>IFERROR(subQ!X26/subQ!S26-1,"")</f>
        <v/>
      </c>
      <c r="Y34" s="21">
        <f>IFERROR(subQ!Y26/subQ!T26-1,"")</f>
        <v/>
      </c>
      <c r="Z34" s="22" t="n"/>
      <c r="AA34" s="21">
        <f>IFERROR(subQ!AA26/subQ!V26-1,"")</f>
        <v/>
      </c>
      <c r="AB34" s="23">
        <f>IFERROR(subQ!AB26/subQ!W26-1,"")</f>
        <v/>
      </c>
      <c r="AC34" s="24" t="n">
        <v>-0.197623783</v>
      </c>
      <c r="AD34" s="24" t="n">
        <v>0.374217626</v>
      </c>
      <c r="AE34" s="25" t="n"/>
      <c r="AF34" s="24" t="n">
        <v>-0.109013381</v>
      </c>
      <c r="AG34" s="24" t="n">
        <v>0.139467643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33" t="n"/>
      <c r="AD35" s="33" t="n"/>
      <c r="AE35" s="25" t="n"/>
      <c r="AF35" s="33" t="n"/>
      <c r="AG35" s="33" t="n"/>
      <c r="AH35" s="33" t="n"/>
      <c r="AI35" s="33" t="n"/>
      <c r="AJ35" s="25" t="n"/>
      <c r="AK35" s="33" t="n"/>
      <c r="AL35" s="33" t="n"/>
      <c r="AM35" s="33" t="n"/>
      <c r="AN35" s="33" t="n"/>
      <c r="AO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</v>
      </c>
      <c r="AD36" s="24" t="n">
        <v>0</v>
      </c>
      <c r="AE36" s="25" t="n"/>
      <c r="AF36" s="24" t="n">
        <v>0</v>
      </c>
      <c r="AG36" s="24" t="n">
        <v>0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7">
        <f>subQ!E31</f>
        <v/>
      </c>
      <c r="F37" s="28">
        <f>subQ!F31</f>
        <v/>
      </c>
      <c r="G37" s="27">
        <f>subQ!G31</f>
        <v/>
      </c>
      <c r="H37" s="27">
        <f>subQ!H31</f>
        <v/>
      </c>
      <c r="I37" s="27">
        <f>subQ!I31</f>
        <v/>
      </c>
      <c r="J37" s="27">
        <f>subQ!J31</f>
        <v/>
      </c>
      <c r="K37" s="28">
        <f>subQ!K31</f>
        <v/>
      </c>
      <c r="L37" s="27">
        <f>subQ!L31</f>
        <v/>
      </c>
      <c r="M37" s="27">
        <f>subQ!M31</f>
        <v/>
      </c>
      <c r="N37" s="27">
        <f>subQ!N31</f>
        <v/>
      </c>
      <c r="O37" s="27">
        <f>subQ!O31</f>
        <v/>
      </c>
      <c r="P37" s="28">
        <f>subQ!P31</f>
        <v/>
      </c>
      <c r="Q37" s="27">
        <f>subQ!Q31</f>
        <v/>
      </c>
      <c r="R37" s="27">
        <f>subQ!R31</f>
        <v/>
      </c>
      <c r="S37" s="27">
        <f>subQ!S31</f>
        <v/>
      </c>
      <c r="T37" s="27">
        <f>subQ!T31</f>
        <v/>
      </c>
      <c r="U37" s="28">
        <f>subQ!U31</f>
        <v/>
      </c>
      <c r="V37" s="27">
        <f>subQ!V31</f>
        <v/>
      </c>
      <c r="W37" s="27">
        <f>subQ!W31</f>
        <v/>
      </c>
      <c r="X37" s="27">
        <f>subQ!X31</f>
        <v/>
      </c>
      <c r="Y37" s="27">
        <f>subQ!Y31</f>
        <v/>
      </c>
      <c r="Z37" s="28">
        <f>subQ!Z31</f>
        <v/>
      </c>
      <c r="AA37" s="27">
        <f>subQ!AA31</f>
        <v/>
      </c>
      <c r="AB37" s="29">
        <f>subQ!AB31</f>
        <v/>
      </c>
      <c r="AC37" s="32" t="n"/>
      <c r="AD37" s="30" t="n">
        <v>200</v>
      </c>
      <c r="AE37" s="31">
        <f>subQ!AE31</f>
        <v/>
      </c>
      <c r="AF37" s="32" t="n"/>
      <c r="AG37" s="32" t="n"/>
      <c r="AH37" s="32" t="n"/>
      <c r="AI37" s="30" t="n">
        <v>200</v>
      </c>
      <c r="AJ37" s="31">
        <f>subQ!AJ31</f>
        <v/>
      </c>
      <c r="AK37" s="32" t="n"/>
      <c r="AL37" s="32" t="n"/>
      <c r="AM37" s="32" t="n"/>
      <c r="AN37" s="30" t="n">
        <v>200</v>
      </c>
      <c r="AO37" s="31">
        <f>subQ!AO31</f>
        <v/>
      </c>
    </row>
    <row r="38"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B39" s="1" t="inlineStr">
        <is>
          <t>3. 밸류에이션·스칼라</t>
        </is>
      </c>
      <c r="C39" s="2" t="inlineStr">
        <is>
          <t>노란 셀 = 가정. '연결' 표시는 추정 전 분기 수식이 이 셀을 참조한다는 뜻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sc:종가</t>
        </is>
      </c>
      <c r="C40" t="inlineStr">
        <is>
          <t>종가</t>
        </is>
      </c>
      <c r="D40" s="34" t="n">
        <v>63800</v>
      </c>
      <c r="E40" s="2" t="inlineStr">
        <is>
          <t>원 — 네이버 정규장 종가(aik 확정종가 대조 · aik 68,500원)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sc:기준일</t>
        </is>
      </c>
      <c r="C41" t="inlineStr">
        <is>
          <t>기준일</t>
        </is>
      </c>
      <c r="D41" s="35" t="inlineStr">
        <is>
          <t>20261008</t>
        </is>
      </c>
      <c r="E41" s="2" t="inlineStr">
        <is>
          <t>종가 기준일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sc:COE</t>
        </is>
      </c>
      <c r="C42" t="inlineStr">
        <is>
          <t>COE</t>
        </is>
      </c>
      <c r="D42" s="24" t="n">
        <v>0.09</v>
      </c>
      <c r="E42" s="2" t="inlineStr">
        <is>
          <t>자기자본비용(가정) — TP 적정 PBR = ROE/COE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sc:PER_lo</t>
        </is>
      </c>
      <c r="C43" t="inlineStr">
        <is>
          <t>PER_lo</t>
        </is>
      </c>
      <c r="D43" s="30" t="n">
        <v>10</v>
      </c>
      <c r="E43" s="2" t="inlineStr">
        <is>
          <t>PER 밴드 하단(배) — sector_default(레퍼런스 TP_PE PB 예시 10/15/20배; 과거 PER 중위 48.9배가 3~40 밖(턴어라운드 왜곡))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sc:PER_mid</t>
        </is>
      </c>
      <c r="C44" t="inlineStr">
        <is>
          <t>PER_mid</t>
        </is>
      </c>
      <c r="D44" s="30" t="n">
        <v>15</v>
      </c>
      <c r="E44" s="2" t="inlineStr">
        <is>
          <t>PER 밴드 중단(배)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sc:PER_hi</t>
        </is>
      </c>
      <c r="C45" t="inlineStr">
        <is>
          <t>PER_hi</t>
        </is>
      </c>
      <c r="D45" s="30" t="n">
        <v>20</v>
      </c>
      <c r="E45" s="2" t="inlineStr">
        <is>
          <t>PER 밴드 상단(배)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sc:EPS_Y1가중</t>
        </is>
      </c>
      <c r="C46" t="inlineStr">
        <is>
          <t>EPS_Y1가중</t>
        </is>
      </c>
      <c r="D46" s="24" t="n">
        <v>0.5</v>
      </c>
      <c r="E46" s="2" t="inlineStr">
        <is>
          <t>12M fwd EPS = FY(last_actual연도)E × w + FY+1E × (1−w) — 기준 분기 2Q 이면 0.5(가정)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sc:세율</t>
        </is>
      </c>
      <c r="C47" t="inlineStr">
        <is>
          <t>세율</t>
        </is>
      </c>
      <c r="D47" s="36" t="n">
        <v>0.0921925497533594</v>
      </c>
      <c r="E47" s="2" t="inlineStr">
        <is>
          <t>연결 — 법인세 = MAX(세전,0) × 세율(역산, 재현 오차 ≤ 0.05억 · 모델 assumptions 0.0922) · 최근 12분기 유효세율 9.2%(5~27% 안 — 그대로)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sc:판관비율</t>
        </is>
      </c>
      <c r="C48" t="inlineStr">
        <is>
          <t>판관비율</t>
        </is>
      </c>
      <c r="D48" s="36" t="n">
        <v>0.3532534155899175</v>
      </c>
      <c r="E48" s="2" t="inlineStr">
        <is>
          <t>연결 — 판관비 = 매출액 × 판관비율(역산, 재현 오차 ≤ 0.05억 · 모델 assumptions 0.3533)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sc:지배주주비중</t>
        </is>
      </c>
      <c r="C49" t="inlineStr">
        <is>
          <t>지배주주비중</t>
        </is>
      </c>
      <c r="D49" s="36" t="n">
        <v>1</v>
      </c>
      <c r="E49" s="2" t="inlineStr">
        <is>
          <t>연결 — 지배주주순이익 = 당기순이익 × 비중(역산, 재현 오차 ≤ 0.05억)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sc:이자율_자산</t>
        </is>
      </c>
      <c r="C50" t="inlineStr">
        <is>
          <t>이자율_자산</t>
        </is>
      </c>
      <c r="D50" s="36" t="n">
        <v>0.01286700878299971</v>
      </c>
      <c r="E50" s="2" t="inlineStr">
        <is>
          <t>연결 — 이자손익 = (전분기 이자발생자산 × 자산이자율 − 전분기 총차입금 × 부채이자율)/4(역산, 재현 오차 ≤ 0.05억 · 모델 assumptions 0.0126)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sc:이자율_부채</t>
        </is>
      </c>
      <c r="C51" t="inlineStr">
        <is>
          <t>이자율_부채</t>
        </is>
      </c>
      <c r="D51" s="36" t="n">
        <v>0.04343059262769036</v>
      </c>
      <c r="E51" s="2" t="inlineStr">
        <is>
          <t>연결 — 같은 수식의 부채 쪽(총차입금 행이 없으면 0)(역산, 재현 오차 ≤ 0.05억 · 모델 assumptions 0.0433)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sc:배당성향</t>
        </is>
      </c>
      <c r="C52" t="inlineStr">
        <is>
          <t>배당성향</t>
        </is>
      </c>
      <c r="D52" s="24" t="n">
        <v>0.2739</v>
      </c>
      <c r="E52" s="2" t="inlineStr">
        <is>
          <t>배당성향(참고 — 모델은 직전 DPS 유지·Q2 지급 가정)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sc:외화순노출_백만$</t>
        </is>
      </c>
      <c r="C53" t="inlineStr">
        <is>
          <t>외화순노출_백만$</t>
        </is>
      </c>
      <c r="D53" s="30" t="n"/>
      <c r="E53" s="2" t="inlineStr">
        <is>
          <t>외화 순노출 × Δ기말환율 (외화 시트 방식) — 외화 순노출 미공시(face) → 0 + 표기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sc:헤지비율</t>
        </is>
      </c>
      <c r="C54" t="inlineStr">
        <is>
          <t>헤지비율</t>
        </is>
      </c>
      <c r="D54" s="24" t="n"/>
      <c r="E54" s="2" t="inlineStr">
        <is>
          <t>sls 없음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sc:헤지환율_약정</t>
        </is>
      </c>
      <c r="C55" t="inlineStr">
        <is>
          <t>헤지환율_약정</t>
        </is>
      </c>
      <c r="D55" s="16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인텔리안테크(연)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155257</v>
      </c>
      <c r="F5" s="37" t="n">
        <v>155257</v>
      </c>
      <c r="G5" s="18" t="n">
        <v>168420.72</v>
      </c>
      <c r="H5" s="18" t="n">
        <v>175170.56</v>
      </c>
      <c r="I5" s="18" t="n">
        <v>202264.03</v>
      </c>
      <c r="J5" s="18" t="n">
        <v>214268.22</v>
      </c>
      <c r="K5" s="37" t="n">
        <v>214268.22</v>
      </c>
      <c r="L5" s="18" t="n">
        <v>213169.3</v>
      </c>
      <c r="M5" s="18" t="n">
        <v>221710.78</v>
      </c>
      <c r="N5" s="18" t="n">
        <v>291151.19</v>
      </c>
      <c r="O5" s="18" t="n">
        <v>283330.11</v>
      </c>
      <c r="P5" s="37" t="n">
        <v>283330.11</v>
      </c>
      <c r="Q5" s="18" t="n">
        <v>254872.26</v>
      </c>
      <c r="R5" s="18" t="n">
        <v>280715.87</v>
      </c>
      <c r="S5" s="18" t="n">
        <v>249812.87</v>
      </c>
      <c r="T5" s="18" t="n">
        <v>225272.82</v>
      </c>
      <c r="U5" s="37" t="n">
        <v>225272.82</v>
      </c>
      <c r="V5" s="18" t="n">
        <v>217246.58</v>
      </c>
      <c r="W5" s="18" t="n">
        <v>237396.12</v>
      </c>
      <c r="X5" s="18" t="n">
        <v>260203.49</v>
      </c>
      <c r="Y5" s="18" t="n">
        <v>276818.59</v>
      </c>
      <c r="Z5" s="37" t="n">
        <v>276818.59</v>
      </c>
      <c r="AA5" s="18" t="n">
        <v>271015.01</v>
      </c>
      <c r="AB5" s="19" t="n">
        <v>291867.65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22538.5</v>
      </c>
      <c r="F6" s="37" t="n">
        <v>22538.5</v>
      </c>
      <c r="G6" s="18" t="n">
        <v>20133.03</v>
      </c>
      <c r="H6" s="18" t="n">
        <v>19262</v>
      </c>
      <c r="I6" s="18" t="n">
        <v>26906.15</v>
      </c>
      <c r="J6" s="18" t="n">
        <v>24414.57</v>
      </c>
      <c r="K6" s="37" t="n">
        <v>24414.57</v>
      </c>
      <c r="L6" s="18" t="n">
        <v>17940.93</v>
      </c>
      <c r="M6" s="18" t="n">
        <v>26838.97</v>
      </c>
      <c r="N6" s="18" t="n">
        <v>47860.78</v>
      </c>
      <c r="O6" s="18" t="n">
        <v>55948.74</v>
      </c>
      <c r="P6" s="37" t="n">
        <v>55948.74</v>
      </c>
      <c r="Q6" s="18" t="n">
        <v>39907.26</v>
      </c>
      <c r="R6" s="18" t="n">
        <v>30670.91</v>
      </c>
      <c r="S6" s="18" t="n">
        <v>26478.87</v>
      </c>
      <c r="T6" s="18" t="n">
        <v>21486.67</v>
      </c>
      <c r="U6" s="37" t="n">
        <v>21486.67</v>
      </c>
      <c r="V6" s="18" t="n">
        <v>24147.18</v>
      </c>
      <c r="W6" s="18" t="n">
        <v>17215.97</v>
      </c>
      <c r="X6" s="18" t="n">
        <v>23519.4</v>
      </c>
      <c r="Y6" s="18" t="n">
        <v>32845.85</v>
      </c>
      <c r="Z6" s="37" t="n">
        <v>32845.85</v>
      </c>
      <c r="AA6" s="18" t="n">
        <v>31798.82</v>
      </c>
      <c r="AB6" s="19" t="n">
        <v>25099.37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35344.38</v>
      </c>
      <c r="F7" s="37" t="n">
        <v>35344.38</v>
      </c>
      <c r="G7" s="18" t="n">
        <v>31965.52</v>
      </c>
      <c r="H7" s="18" t="n">
        <v>19001.27</v>
      </c>
      <c r="I7" s="18" t="n">
        <v>18704.43</v>
      </c>
      <c r="J7" s="18" t="n">
        <v>5896.06</v>
      </c>
      <c r="K7" s="37" t="n">
        <v>5896.06</v>
      </c>
      <c r="M7" s="18" t="n">
        <v>10834.26</v>
      </c>
      <c r="N7" s="18" t="n">
        <v>65030.04</v>
      </c>
      <c r="O7" s="18" t="n">
        <v>66353.66</v>
      </c>
      <c r="P7" s="37" t="n">
        <v>66353.66</v>
      </c>
      <c r="Q7" s="18" t="n">
        <v>78172.42999999999</v>
      </c>
      <c r="R7" s="18" t="n">
        <v>75138.84</v>
      </c>
      <c r="S7" s="18" t="n">
        <v>42642.71</v>
      </c>
      <c r="T7" s="18" t="n">
        <v>37682.92</v>
      </c>
      <c r="U7" s="37" t="n">
        <v>37682.92</v>
      </c>
      <c r="V7" s="18" t="n">
        <v>42166.67</v>
      </c>
      <c r="W7" s="18" t="n">
        <v>15049.2</v>
      </c>
      <c r="X7" s="18" t="n">
        <v>7558.8</v>
      </c>
      <c r="Y7" s="18" t="n">
        <v>500</v>
      </c>
      <c r="Z7" s="37" t="n">
        <v>500</v>
      </c>
      <c r="AA7" s="18" t="n">
        <v>0</v>
      </c>
      <c r="AB7" s="19" t="n">
        <v>598.95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35346.69</v>
      </c>
      <c r="F8" s="37" t="n">
        <v>35346.69</v>
      </c>
      <c r="G8" s="18" t="n">
        <v>31965.52</v>
      </c>
      <c r="H8" s="18" t="n">
        <v>19001.27</v>
      </c>
      <c r="I8" s="18" t="n">
        <v>18704.43</v>
      </c>
      <c r="J8" s="18" t="n">
        <v>5896.06</v>
      </c>
      <c r="K8" s="37" t="n">
        <v>5896.06</v>
      </c>
      <c r="M8" s="18" t="n">
        <v>10834.26</v>
      </c>
      <c r="N8" s="18" t="n">
        <v>65030.04</v>
      </c>
      <c r="O8" s="18" t="n">
        <v>66353.66</v>
      </c>
      <c r="P8" s="37" t="n">
        <v>66353.66</v>
      </c>
      <c r="Q8" s="18" t="n">
        <v>78172.42999999999</v>
      </c>
      <c r="R8" s="18" t="n">
        <v>75138.84</v>
      </c>
      <c r="S8" s="18" t="n">
        <v>42642.71</v>
      </c>
      <c r="T8" s="18" t="n">
        <v>37682.92</v>
      </c>
      <c r="U8" s="37" t="n">
        <v>37682.92</v>
      </c>
      <c r="V8" s="18" t="n">
        <v>42166.67</v>
      </c>
      <c r="W8" s="18" t="n">
        <v>15049.2</v>
      </c>
      <c r="X8" s="18" t="n">
        <v>7558.8</v>
      </c>
      <c r="Y8" s="18" t="n">
        <v>500</v>
      </c>
      <c r="Z8" s="37" t="n">
        <v>500</v>
      </c>
      <c r="AA8" s="18" t="n">
        <v>0</v>
      </c>
      <c r="AB8" s="19" t="n">
        <v>598.95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43622.87</v>
      </c>
      <c r="F9" s="37" t="n">
        <v>43622.87</v>
      </c>
      <c r="G9" s="18" t="n">
        <v>49846.19</v>
      </c>
      <c r="H9" s="18" t="n">
        <v>52682.95</v>
      </c>
      <c r="I9" s="18" t="n">
        <v>55441.44</v>
      </c>
      <c r="J9" s="18" t="n">
        <v>63639.26</v>
      </c>
      <c r="K9" s="37" t="n">
        <v>63639.26</v>
      </c>
      <c r="L9" s="18" t="n">
        <v>62842.46</v>
      </c>
      <c r="M9" s="18" t="n">
        <v>69482.24000000001</v>
      </c>
      <c r="N9" s="18" t="n">
        <v>66971.91</v>
      </c>
      <c r="O9" s="18" t="n">
        <v>68761.03999999999</v>
      </c>
      <c r="P9" s="37" t="n">
        <v>68761.03999999999</v>
      </c>
      <c r="Q9" s="18" t="n">
        <v>41545.82</v>
      </c>
      <c r="R9" s="18" t="n">
        <v>67405.78</v>
      </c>
      <c r="S9" s="18" t="n">
        <v>61597.96</v>
      </c>
      <c r="T9" s="18" t="n">
        <v>70798.5</v>
      </c>
      <c r="U9" s="37" t="n">
        <v>70798.5</v>
      </c>
      <c r="V9" s="18" t="n">
        <v>49518.75</v>
      </c>
      <c r="W9" s="18" t="n">
        <v>87994.45</v>
      </c>
      <c r="X9" s="18" t="n">
        <v>96730.02</v>
      </c>
      <c r="Y9" s="18" t="n">
        <v>130468.5</v>
      </c>
      <c r="Z9" s="37" t="n">
        <v>130468.5</v>
      </c>
      <c r="AA9" s="18" t="n">
        <v>107536.57</v>
      </c>
      <c r="AB9" s="19" t="n">
        <v>121805.82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77.05</v>
      </c>
      <c r="F10" s="37" t="n">
        <v>77.05</v>
      </c>
      <c r="G10" s="18" t="n">
        <v>116</v>
      </c>
      <c r="H10" s="18" t="n">
        <v>255.99</v>
      </c>
      <c r="I10" s="18" t="n">
        <v>63.42</v>
      </c>
      <c r="J10" s="18" t="n">
        <v>53.4</v>
      </c>
      <c r="K10" s="37" t="n">
        <v>53.4</v>
      </c>
      <c r="L10" s="18" t="n">
        <v>53.4</v>
      </c>
      <c r="P10" s="9" t="n"/>
      <c r="Q10" s="18" t="n">
        <v>852.66</v>
      </c>
      <c r="R10" s="18" t="n">
        <v>512.5</v>
      </c>
      <c r="S10" s="18" t="n">
        <v>1274.68</v>
      </c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18" t="n">
        <v>2.31</v>
      </c>
      <c r="F11" s="37" t="n">
        <v>2.31</v>
      </c>
      <c r="K11" s="9" t="n"/>
      <c r="P11" s="9" t="n"/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6434.53</v>
      </c>
      <c r="F12" s="37" t="n">
        <v>6434.53</v>
      </c>
      <c r="G12" s="18" t="n">
        <v>8680.700000000001</v>
      </c>
      <c r="H12" s="18" t="n">
        <v>11014.57</v>
      </c>
      <c r="I12" s="18" t="n">
        <v>11698.09</v>
      </c>
      <c r="J12" s="18" t="n">
        <v>12851.93</v>
      </c>
      <c r="K12" s="37" t="n">
        <v>12851.93</v>
      </c>
      <c r="L12" s="18" t="n">
        <v>13219.99</v>
      </c>
      <c r="M12" s="18" t="n">
        <v>8941.030000000001</v>
      </c>
      <c r="N12" s="18" t="n">
        <v>9241.59</v>
      </c>
      <c r="O12" s="18" t="n">
        <v>9213.85</v>
      </c>
      <c r="P12" s="37" t="n">
        <v>9213.85</v>
      </c>
      <c r="Q12" s="18" t="n">
        <v>8942.129999999999</v>
      </c>
      <c r="R12" s="18" t="n">
        <v>10378.18</v>
      </c>
      <c r="S12" s="18" t="n">
        <v>11577.38</v>
      </c>
      <c r="T12" s="18" t="n">
        <v>6249.1</v>
      </c>
      <c r="U12" s="37" t="n">
        <v>6249.1</v>
      </c>
      <c r="V12" s="18" t="n">
        <v>5304.76</v>
      </c>
      <c r="W12" s="18" t="n">
        <v>6912.37</v>
      </c>
      <c r="X12" s="18" t="n">
        <v>8380.74</v>
      </c>
      <c r="Y12" s="18" t="n">
        <v>11228.48</v>
      </c>
      <c r="Z12" s="37" t="n">
        <v>11228.48</v>
      </c>
      <c r="AA12" s="18" t="n">
        <v>8180.87</v>
      </c>
      <c r="AB12" s="19" t="n">
        <v>9070.620000000001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18" t="n">
        <v>47140.58</v>
      </c>
      <c r="F13" s="37" t="n">
        <v>47140.58</v>
      </c>
      <c r="G13" s="18" t="n">
        <v>57587.93</v>
      </c>
      <c r="H13" s="18" t="n">
        <v>72870.71000000001</v>
      </c>
      <c r="I13" s="18" t="n">
        <v>88621.32000000001</v>
      </c>
      <c r="J13" s="18" t="n">
        <v>107271.58</v>
      </c>
      <c r="K13" s="37" t="n">
        <v>107271.58</v>
      </c>
      <c r="L13" s="18" t="n">
        <v>118939.89</v>
      </c>
      <c r="M13" s="18" t="n">
        <v>105222.95</v>
      </c>
      <c r="N13" s="18" t="n">
        <v>101641.63</v>
      </c>
      <c r="O13" s="18" t="n">
        <v>82665.42</v>
      </c>
      <c r="P13" s="37" t="n">
        <v>82665.42</v>
      </c>
      <c r="Q13" s="18" t="n">
        <v>84393.99000000001</v>
      </c>
      <c r="R13" s="18" t="n">
        <v>95594.85000000001</v>
      </c>
      <c r="S13" s="18" t="n">
        <v>105177.88</v>
      </c>
      <c r="T13" s="18" t="n">
        <v>87223.09</v>
      </c>
      <c r="U13" s="37" t="n">
        <v>87223.09</v>
      </c>
      <c r="V13" s="18" t="n">
        <v>94913.21000000001</v>
      </c>
      <c r="W13" s="18" t="n">
        <v>108221.33</v>
      </c>
      <c r="X13" s="18" t="n">
        <v>122010.21</v>
      </c>
      <c r="Y13" s="18" t="n">
        <v>100736.64</v>
      </c>
      <c r="Z13" s="37" t="n">
        <v>100736.64</v>
      </c>
      <c r="AA13" s="18" t="n">
        <v>122444.42</v>
      </c>
      <c r="AB13" s="19" t="n">
        <v>134194.48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106217.93</v>
      </c>
      <c r="F14" s="37" t="n">
        <v>106217.93</v>
      </c>
      <c r="G14" s="18" t="n">
        <v>115824.85</v>
      </c>
      <c r="H14" s="18" t="n">
        <v>127212.67</v>
      </c>
      <c r="I14" s="18" t="n">
        <v>137975.68</v>
      </c>
      <c r="J14" s="18" t="n">
        <v>156108.92</v>
      </c>
      <c r="K14" s="37" t="n">
        <v>156108.92</v>
      </c>
      <c r="L14" s="18" t="n">
        <v>166958.29</v>
      </c>
      <c r="M14" s="18" t="n">
        <v>168902.49</v>
      </c>
      <c r="N14" s="18" t="n">
        <v>168903.97</v>
      </c>
      <c r="O14" s="18" t="n">
        <v>170359.06</v>
      </c>
      <c r="P14" s="37" t="n">
        <v>170359.06</v>
      </c>
      <c r="Q14" s="18" t="n">
        <v>188206.15</v>
      </c>
      <c r="R14" s="18" t="n">
        <v>200516.13</v>
      </c>
      <c r="S14" s="18" t="n">
        <v>204974.79</v>
      </c>
      <c r="T14" s="18" t="n">
        <v>215420.25</v>
      </c>
      <c r="U14" s="37" t="n">
        <v>215420.25</v>
      </c>
      <c r="V14" s="18" t="n">
        <v>212230.22</v>
      </c>
      <c r="W14" s="18" t="n">
        <v>222176.49</v>
      </c>
      <c r="X14" s="18" t="n">
        <v>223884.44</v>
      </c>
      <c r="Y14" s="18" t="n">
        <v>219639.58</v>
      </c>
      <c r="Z14" s="37" t="n">
        <v>219639.58</v>
      </c>
      <c r="AA14" s="18" t="n">
        <v>247014.59</v>
      </c>
      <c r="AB14" s="19" t="n">
        <v>250469.61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9092.16</v>
      </c>
      <c r="F15" s="37" t="n">
        <v>9092.16</v>
      </c>
      <c r="G15" s="18" t="n">
        <v>10625.57</v>
      </c>
      <c r="H15" s="18" t="n">
        <v>14862.05</v>
      </c>
      <c r="I15" s="18" t="n">
        <v>14283.48</v>
      </c>
      <c r="J15" s="18" t="n">
        <v>18454.42</v>
      </c>
      <c r="K15" s="37" t="n">
        <v>18454.42</v>
      </c>
      <c r="L15" s="18" t="n">
        <v>17258.75</v>
      </c>
      <c r="M15" s="18" t="n">
        <v>17431.76</v>
      </c>
      <c r="N15" s="18" t="n">
        <v>16953.26</v>
      </c>
      <c r="O15" s="18" t="n">
        <v>15114.96</v>
      </c>
      <c r="P15" s="37" t="n">
        <v>15114.96</v>
      </c>
      <c r="Q15" s="18" t="n">
        <v>22661.82</v>
      </c>
      <c r="R15" s="18" t="n">
        <v>29292.55</v>
      </c>
      <c r="S15" s="18" t="n">
        <v>36585.35</v>
      </c>
      <c r="T15" s="18" t="n">
        <v>48740.17</v>
      </c>
      <c r="U15" s="37" t="n">
        <v>48740.17</v>
      </c>
      <c r="V15" s="18" t="n">
        <v>48628.62</v>
      </c>
      <c r="W15" s="18" t="n">
        <v>60145.56</v>
      </c>
      <c r="X15" s="18" t="n">
        <v>51312.22</v>
      </c>
      <c r="Y15" s="18" t="n">
        <v>47752.82</v>
      </c>
      <c r="Z15" s="37" t="n">
        <v>47752.82</v>
      </c>
      <c r="AA15" s="18" t="n">
        <v>56186.96</v>
      </c>
      <c r="AB15" s="19" t="n">
        <v>52741.9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9092.16</v>
      </c>
      <c r="F16" s="37" t="n">
        <v>9092.16</v>
      </c>
      <c r="G16" s="18" t="n">
        <v>10625.57</v>
      </c>
      <c r="H16" s="18" t="n">
        <v>14862.05</v>
      </c>
      <c r="I16" s="18" t="n">
        <v>14283.48</v>
      </c>
      <c r="J16" s="18" t="n">
        <v>18454.42</v>
      </c>
      <c r="K16" s="37" t="n">
        <v>18454.42</v>
      </c>
      <c r="L16" s="18" t="n">
        <v>17258.75</v>
      </c>
      <c r="M16" s="18" t="n">
        <v>17431.76</v>
      </c>
      <c r="N16" s="18" t="n">
        <v>16953.26</v>
      </c>
      <c r="O16" s="18" t="n">
        <v>15114.96</v>
      </c>
      <c r="P16" s="37" t="n">
        <v>15114.96</v>
      </c>
      <c r="Q16" s="18" t="n">
        <v>22661.82</v>
      </c>
      <c r="R16" s="18" t="n">
        <v>29292.55</v>
      </c>
      <c r="S16" s="18" t="n">
        <v>36585.35</v>
      </c>
      <c r="T16" s="18" t="n">
        <v>48740.17</v>
      </c>
      <c r="U16" s="37" t="n">
        <v>48740.17</v>
      </c>
      <c r="V16" s="18" t="n">
        <v>48628.62</v>
      </c>
      <c r="W16" s="18" t="n">
        <v>60145.56</v>
      </c>
      <c r="X16" s="18" t="n">
        <v>51312.22</v>
      </c>
      <c r="Y16" s="18" t="n">
        <v>47752.82</v>
      </c>
      <c r="Z16" s="37" t="n">
        <v>47752.82</v>
      </c>
      <c r="AA16" s="18" t="n">
        <v>56186.96</v>
      </c>
      <c r="AB16" s="19" t="n">
        <v>52741.9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장기매출채권및기타채권</t>
        </is>
      </c>
      <c r="E17" s="18" t="n">
        <v>3487.81</v>
      </c>
      <c r="F17" s="37" t="n">
        <v>3487.81</v>
      </c>
      <c r="G17" s="18" t="n">
        <v>3160.29</v>
      </c>
      <c r="H17" s="18" t="n">
        <v>2854.93</v>
      </c>
      <c r="I17" s="18" t="n">
        <v>1042.34</v>
      </c>
      <c r="J17" s="18" t="n">
        <v>879.63</v>
      </c>
      <c r="K17" s="37" t="n">
        <v>879.63</v>
      </c>
      <c r="L17" s="18" t="n">
        <v>292.79</v>
      </c>
      <c r="M17" s="18" t="n">
        <v>410.51</v>
      </c>
      <c r="N17" s="18" t="n">
        <v>462.23</v>
      </c>
      <c r="O17" s="18" t="n">
        <v>472.78</v>
      </c>
      <c r="P17" s="37" t="n">
        <v>472.78</v>
      </c>
      <c r="Q17" s="18" t="n">
        <v>712.46</v>
      </c>
      <c r="R17" s="18" t="n">
        <v>832.48</v>
      </c>
      <c r="S17" s="18" t="n">
        <v>910.33</v>
      </c>
      <c r="T17" s="18" t="n">
        <v>722.84</v>
      </c>
      <c r="U17" s="37" t="n">
        <v>722.84</v>
      </c>
      <c r="V17" s="18" t="n">
        <v>786.11</v>
      </c>
      <c r="W17" s="18" t="n">
        <v>804.03</v>
      </c>
      <c r="X17" s="18" t="n">
        <v>1125.12</v>
      </c>
      <c r="Y17" s="18" t="n">
        <v>1001.79</v>
      </c>
      <c r="Z17" s="37" t="n">
        <v>1001.79</v>
      </c>
      <c r="AA17" s="18" t="n">
        <v>989.17</v>
      </c>
      <c r="AB17" s="19" t="n">
        <v>1002.48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64589.43</v>
      </c>
      <c r="F18" s="37" t="n">
        <v>64589.43</v>
      </c>
      <c r="G18" s="18" t="n">
        <v>72341.91</v>
      </c>
      <c r="H18" s="18" t="n">
        <v>78786.34</v>
      </c>
      <c r="I18" s="18" t="n">
        <v>89604.02</v>
      </c>
      <c r="J18" s="18" t="n">
        <v>101649.21</v>
      </c>
      <c r="K18" s="37" t="n">
        <v>101649.21</v>
      </c>
      <c r="L18" s="18" t="n">
        <v>112261.6</v>
      </c>
      <c r="M18" s="18" t="n">
        <v>114673.48</v>
      </c>
      <c r="N18" s="18" t="n">
        <v>114069.75</v>
      </c>
      <c r="O18" s="18" t="n">
        <v>113528.17</v>
      </c>
      <c r="P18" s="37" t="n">
        <v>113528.17</v>
      </c>
      <c r="Q18" s="18" t="n">
        <v>119540.01</v>
      </c>
      <c r="R18" s="18" t="n">
        <v>118510.17</v>
      </c>
      <c r="S18" s="18" t="n">
        <v>114522.89</v>
      </c>
      <c r="T18" s="18" t="n">
        <v>114876.85</v>
      </c>
      <c r="U18" s="37" t="n">
        <v>114876.85</v>
      </c>
      <c r="V18" s="18" t="n">
        <v>111788.47</v>
      </c>
      <c r="W18" s="18" t="n">
        <v>106983.11</v>
      </c>
      <c r="X18" s="18" t="n">
        <v>113538.66</v>
      </c>
      <c r="Y18" s="18" t="n">
        <v>109056.67</v>
      </c>
      <c r="Z18" s="37" t="n">
        <v>109056.67</v>
      </c>
      <c r="AA18" s="18" t="n">
        <v>127286.17</v>
      </c>
      <c r="AB18" s="19" t="n">
        <v>124727.98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17017.54</v>
      </c>
      <c r="F19" s="37" t="n">
        <v>17017.54</v>
      </c>
      <c r="G19" s="18" t="n">
        <v>16960.74</v>
      </c>
      <c r="H19" s="18" t="n">
        <v>17614.25</v>
      </c>
      <c r="I19" s="18" t="n">
        <v>18593.49</v>
      </c>
      <c r="J19" s="18" t="n">
        <v>19660.05</v>
      </c>
      <c r="K19" s="37" t="n">
        <v>19660.05</v>
      </c>
      <c r="L19" s="18" t="n">
        <v>20139.7</v>
      </c>
      <c r="M19" s="18" t="n">
        <v>19288.39</v>
      </c>
      <c r="N19" s="18" t="n">
        <v>22390.12</v>
      </c>
      <c r="O19" s="18" t="n">
        <v>26961.02</v>
      </c>
      <c r="P19" s="37" t="n">
        <v>26961.02</v>
      </c>
      <c r="Q19" s="18" t="n">
        <v>32499.63</v>
      </c>
      <c r="R19" s="18" t="n">
        <v>38655.66</v>
      </c>
      <c r="S19" s="18" t="n">
        <v>39795.79</v>
      </c>
      <c r="T19" s="18" t="n">
        <v>38179.61</v>
      </c>
      <c r="U19" s="37" t="n">
        <v>38179.61</v>
      </c>
      <c r="V19" s="18" t="n">
        <v>37999.2</v>
      </c>
      <c r="W19" s="18" t="n">
        <v>41117.41</v>
      </c>
      <c r="X19" s="18" t="n">
        <v>44024.37</v>
      </c>
      <c r="Y19" s="18" t="n">
        <v>44437.64</v>
      </c>
      <c r="Z19" s="37" t="n">
        <v>44437.64</v>
      </c>
      <c r="AA19" s="18" t="n">
        <v>45627.89</v>
      </c>
      <c r="AB19" s="19" t="n">
        <v>44145.02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1139.5</v>
      </c>
      <c r="F20" s="37" t="n">
        <v>1139.5</v>
      </c>
      <c r="G20" s="18" t="n">
        <v>1355.83</v>
      </c>
      <c r="H20" s="18" t="n">
        <v>1675.43</v>
      </c>
      <c r="I20" s="18" t="n">
        <v>1331.97</v>
      </c>
      <c r="J20" s="18" t="n">
        <v>2426.34</v>
      </c>
      <c r="K20" s="37" t="n">
        <v>2426.34</v>
      </c>
      <c r="L20" s="18" t="n">
        <v>2451.26</v>
      </c>
      <c r="M20" s="18" t="n">
        <v>2510.77</v>
      </c>
      <c r="N20" s="18" t="n">
        <v>2506.14</v>
      </c>
      <c r="O20" s="18" t="n">
        <v>2528.6</v>
      </c>
      <c r="P20" s="37" t="n">
        <v>2528.6</v>
      </c>
      <c r="Q20" s="18" t="n">
        <v>1938.73</v>
      </c>
      <c r="R20" s="18" t="n">
        <v>2052.39</v>
      </c>
      <c r="S20" s="18" t="n">
        <v>1993.62</v>
      </c>
      <c r="T20" s="18" t="n">
        <v>1329.62</v>
      </c>
      <c r="U20" s="37" t="n">
        <v>1329.62</v>
      </c>
      <c r="V20" s="18" t="n">
        <v>1454</v>
      </c>
      <c r="W20" s="18" t="n">
        <v>1328.17</v>
      </c>
      <c r="X20" s="18" t="n">
        <v>1653.24</v>
      </c>
      <c r="Y20" s="18" t="n">
        <v>2922.12</v>
      </c>
      <c r="Z20" s="37" t="n">
        <v>2922.12</v>
      </c>
      <c r="AA20" s="18" t="n">
        <v>2681.92</v>
      </c>
      <c r="AB20" s="19" t="n">
        <v>5790.29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이연법인세자산</t>
        </is>
      </c>
      <c r="E21" s="18" t="n">
        <v>10480.94</v>
      </c>
      <c r="F21" s="37" t="n">
        <v>10480.94</v>
      </c>
      <c r="G21" s="18" t="n">
        <v>10448.36</v>
      </c>
      <c r="H21" s="18" t="n">
        <v>11265.24</v>
      </c>
      <c r="I21" s="18" t="n">
        <v>12187.93</v>
      </c>
      <c r="J21" s="18" t="n">
        <v>11562.58</v>
      </c>
      <c r="K21" s="37" t="n">
        <v>11562.58</v>
      </c>
      <c r="L21" s="18" t="n">
        <v>11099.64</v>
      </c>
      <c r="M21" s="18" t="n">
        <v>10855.35</v>
      </c>
      <c r="N21" s="18" t="n">
        <v>11461.42</v>
      </c>
      <c r="O21" s="18" t="n">
        <v>10952.81</v>
      </c>
      <c r="P21" s="37" t="n">
        <v>10952.81</v>
      </c>
      <c r="Q21" s="18" t="n">
        <v>10853.51</v>
      </c>
      <c r="R21" s="18" t="n">
        <v>11172.87</v>
      </c>
      <c r="S21" s="18" t="n">
        <v>11166.82</v>
      </c>
      <c r="T21" s="18" t="n">
        <v>11571.16</v>
      </c>
      <c r="U21" s="37" t="n">
        <v>11571.16</v>
      </c>
      <c r="V21" s="18" t="n">
        <v>11573.83</v>
      </c>
      <c r="W21" s="18" t="n">
        <v>11798.21</v>
      </c>
      <c r="X21" s="18" t="n">
        <v>12230.82</v>
      </c>
      <c r="Y21" s="18" t="n">
        <v>14468.54</v>
      </c>
      <c r="Z21" s="37" t="n">
        <v>14468.54</v>
      </c>
      <c r="AA21" s="18" t="n">
        <v>14242.48</v>
      </c>
      <c r="AB21" s="19" t="n">
        <v>14284.12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261474.93</v>
      </c>
      <c r="F22" s="37" t="n">
        <v>261474.93</v>
      </c>
      <c r="G22" s="18" t="n">
        <v>284245.57</v>
      </c>
      <c r="H22" s="18" t="n">
        <v>302383.23</v>
      </c>
      <c r="I22" s="18" t="n">
        <v>340239.7</v>
      </c>
      <c r="J22" s="18" t="n">
        <v>370377.14</v>
      </c>
      <c r="K22" s="37" t="n">
        <v>370377.14</v>
      </c>
      <c r="L22" s="18" t="n">
        <v>380127.59</v>
      </c>
      <c r="M22" s="18" t="n">
        <v>390613.27</v>
      </c>
      <c r="N22" s="18" t="n">
        <v>460055.16</v>
      </c>
      <c r="O22" s="18" t="n">
        <v>453689.17</v>
      </c>
      <c r="P22" s="37" t="n">
        <v>453689.17</v>
      </c>
      <c r="Q22" s="18" t="n">
        <v>443078.41</v>
      </c>
      <c r="R22" s="18" t="n">
        <v>481232</v>
      </c>
      <c r="S22" s="18" t="n">
        <v>454787.67</v>
      </c>
      <c r="T22" s="18" t="n">
        <v>440693.07</v>
      </c>
      <c r="U22" s="37" t="n">
        <v>440693.07</v>
      </c>
      <c r="V22" s="18" t="n">
        <v>429476.8</v>
      </c>
      <c r="W22" s="18" t="n">
        <v>459572.61</v>
      </c>
      <c r="X22" s="18" t="n">
        <v>484087.93</v>
      </c>
      <c r="Y22" s="18" t="n">
        <v>496458.17</v>
      </c>
      <c r="Z22" s="37" t="n">
        <v>496458.17</v>
      </c>
      <c r="AA22" s="18" t="n">
        <v>518029.61</v>
      </c>
      <c r="AB22" s="19" t="n">
        <v>542337.27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67404.78999999999</v>
      </c>
      <c r="F23" s="37" t="n">
        <v>67404.78999999999</v>
      </c>
      <c r="G23" s="18" t="n">
        <v>81496.98</v>
      </c>
      <c r="H23" s="18" t="n">
        <v>87762.13</v>
      </c>
      <c r="I23" s="18" t="n">
        <v>109097.67</v>
      </c>
      <c r="J23" s="18" t="n">
        <v>134703.61</v>
      </c>
      <c r="K23" s="37" t="n">
        <v>134703.61</v>
      </c>
      <c r="L23" s="18" t="n">
        <v>128826.8</v>
      </c>
      <c r="M23" s="18" t="n">
        <v>126075.02</v>
      </c>
      <c r="N23" s="18" t="n">
        <v>106247.36</v>
      </c>
      <c r="O23" s="18" t="n">
        <v>101749.21</v>
      </c>
      <c r="P23" s="37" t="n">
        <v>101749.21</v>
      </c>
      <c r="Q23" s="18" t="n">
        <v>93190.42999999999</v>
      </c>
      <c r="R23" s="18" t="n">
        <v>125653.1</v>
      </c>
      <c r="S23" s="18" t="n">
        <v>114721.34</v>
      </c>
      <c r="T23" s="18" t="n">
        <v>91670.41</v>
      </c>
      <c r="U23" s="37" t="n">
        <v>91670.41</v>
      </c>
      <c r="V23" s="18" t="n">
        <v>107974.97</v>
      </c>
      <c r="W23" s="18" t="n">
        <v>145073.28</v>
      </c>
      <c r="X23" s="18" t="n">
        <v>140794.63</v>
      </c>
      <c r="Y23" s="18" t="n">
        <v>147623.21</v>
      </c>
      <c r="Z23" s="37" t="n">
        <v>147623.21</v>
      </c>
      <c r="AA23" s="18" t="n">
        <v>150049.12</v>
      </c>
      <c r="AB23" s="19" t="n">
        <v>169769.49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24520.81</v>
      </c>
      <c r="F24" s="37" t="n">
        <v>24520.81</v>
      </c>
      <c r="G24" s="18" t="n">
        <v>29562.84</v>
      </c>
      <c r="H24" s="18" t="n">
        <v>35161.48</v>
      </c>
      <c r="I24" s="18" t="n">
        <v>38727.23</v>
      </c>
      <c r="J24" s="18" t="n">
        <v>54836.9</v>
      </c>
      <c r="K24" s="37" t="n">
        <v>54836.9</v>
      </c>
      <c r="L24" s="18" t="n">
        <v>42635.89</v>
      </c>
      <c r="M24" s="18" t="n">
        <v>29102.37</v>
      </c>
      <c r="N24" s="18" t="n">
        <v>32500.96</v>
      </c>
      <c r="O24" s="18" t="n">
        <v>32838.39</v>
      </c>
      <c r="P24" s="37" t="n">
        <v>32838.39</v>
      </c>
      <c r="Q24" s="18" t="n">
        <v>26788.25</v>
      </c>
      <c r="R24" s="18" t="n">
        <v>51621.65</v>
      </c>
      <c r="S24" s="18" t="n">
        <v>42691.12</v>
      </c>
      <c r="T24" s="18" t="n">
        <v>27261.58</v>
      </c>
      <c r="U24" s="37" t="n">
        <v>27261.58</v>
      </c>
      <c r="V24" s="18" t="n">
        <v>32352.64</v>
      </c>
      <c r="W24" s="18" t="n">
        <v>46427.34</v>
      </c>
      <c r="X24" s="18" t="n">
        <v>45671.43</v>
      </c>
      <c r="Y24" s="18" t="n">
        <v>44547.53</v>
      </c>
      <c r="Z24" s="37" t="n">
        <v>44547.53</v>
      </c>
      <c r="AA24" s="18" t="n">
        <v>41480.22</v>
      </c>
      <c r="AB24" s="19" t="n">
        <v>53635.03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18753.71</v>
      </c>
      <c r="F25" s="37" t="n">
        <v>18753.71</v>
      </c>
      <c r="G25" s="18" t="n">
        <v>27952.11</v>
      </c>
      <c r="H25" s="18" t="n">
        <v>30905.21</v>
      </c>
      <c r="I25" s="18" t="n">
        <v>44874.54</v>
      </c>
      <c r="J25" s="18" t="n">
        <v>63603.43</v>
      </c>
      <c r="K25" s="37" t="n">
        <v>63603.43</v>
      </c>
      <c r="L25" s="18" t="n">
        <v>66144.83</v>
      </c>
      <c r="M25" s="18" t="n">
        <v>79119.2</v>
      </c>
      <c r="N25" s="18" t="n">
        <v>53614.95</v>
      </c>
      <c r="O25" s="18" t="n">
        <v>50619.67</v>
      </c>
      <c r="P25" s="37" t="n">
        <v>50619.67</v>
      </c>
      <c r="Q25" s="18" t="n">
        <v>50238.18</v>
      </c>
      <c r="R25" s="18" t="n">
        <v>59391.92</v>
      </c>
      <c r="S25" s="18" t="n">
        <v>57333.56</v>
      </c>
      <c r="T25" s="18" t="n">
        <v>49879.6</v>
      </c>
      <c r="U25" s="37" t="n">
        <v>49879.6</v>
      </c>
      <c r="V25" s="18" t="n">
        <v>50145.01</v>
      </c>
      <c r="W25" s="18" t="n">
        <v>72162.81</v>
      </c>
      <c r="X25" s="18" t="n">
        <v>64984.25</v>
      </c>
      <c r="Y25" s="18" t="n">
        <v>64253.74</v>
      </c>
      <c r="Z25" s="37" t="n">
        <v>64253.74</v>
      </c>
      <c r="AA25" s="18" t="n">
        <v>64051.84</v>
      </c>
      <c r="AB25" s="19" t="n">
        <v>75761.24000000001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유동성장기부채</t>
        </is>
      </c>
      <c r="E26" s="18" t="n">
        <v>10420.54</v>
      </c>
      <c r="F26" s="37" t="n">
        <v>10420.54</v>
      </c>
      <c r="G26" s="18" t="n">
        <v>10674.53</v>
      </c>
      <c r="H26" s="18" t="n">
        <v>5007.7</v>
      </c>
      <c r="I26" s="18" t="n">
        <v>4894.43</v>
      </c>
      <c r="J26" s="18" t="n">
        <v>4514.07</v>
      </c>
      <c r="K26" s="37" t="n">
        <v>4514.07</v>
      </c>
      <c r="L26" s="18" t="n">
        <v>8035.01</v>
      </c>
      <c r="M26" s="18" t="n">
        <v>9714.440000000001</v>
      </c>
      <c r="N26" s="18" t="n">
        <v>11718.72</v>
      </c>
      <c r="O26" s="18" t="n">
        <v>10471.65</v>
      </c>
      <c r="P26" s="37" t="n">
        <v>10471.65</v>
      </c>
      <c r="Q26" s="18" t="n">
        <v>8737.450000000001</v>
      </c>
      <c r="R26" s="18" t="n">
        <v>4257.97</v>
      </c>
      <c r="S26" s="18" t="n">
        <v>3900.48</v>
      </c>
      <c r="T26" s="18" t="n">
        <v>4124.4</v>
      </c>
      <c r="U26" s="37" t="n">
        <v>4124.4</v>
      </c>
      <c r="V26" s="18" t="n">
        <v>14129.79</v>
      </c>
      <c r="W26" s="18" t="n">
        <v>11602.16</v>
      </c>
      <c r="X26" s="18" t="n">
        <v>9038.82</v>
      </c>
      <c r="Y26" s="18" t="n">
        <v>11568.55</v>
      </c>
      <c r="Z26" s="37" t="n">
        <v>11568.55</v>
      </c>
      <c r="AA26" s="18" t="n">
        <v>12597.1</v>
      </c>
      <c r="AB26" s="19" t="n">
        <v>13173.48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기타유동부채</t>
        </is>
      </c>
      <c r="E27" s="18" t="n">
        <v>11693.16</v>
      </c>
      <c r="F27" s="37" t="n">
        <v>11693.16</v>
      </c>
      <c r="G27" s="18" t="n">
        <v>11463.79</v>
      </c>
      <c r="H27" s="18" t="n">
        <v>13364.55</v>
      </c>
      <c r="I27" s="18" t="n">
        <v>15280.79</v>
      </c>
      <c r="J27" s="18" t="n">
        <v>8385.809999999999</v>
      </c>
      <c r="K27" s="37" t="n">
        <v>8385.809999999999</v>
      </c>
      <c r="L27" s="18" t="n">
        <v>9256.709999999999</v>
      </c>
      <c r="M27" s="18" t="n">
        <v>5631.44</v>
      </c>
      <c r="N27" s="18" t="n">
        <v>6116.75</v>
      </c>
      <c r="O27" s="18" t="n">
        <v>4831.13</v>
      </c>
      <c r="P27" s="37" t="n">
        <v>4831.13</v>
      </c>
      <c r="Q27" s="18" t="n">
        <v>4499.14</v>
      </c>
      <c r="R27" s="18" t="n">
        <v>6225.76</v>
      </c>
      <c r="S27" s="18" t="n">
        <v>6571.49</v>
      </c>
      <c r="T27" s="18" t="n">
        <v>6175.44</v>
      </c>
      <c r="U27" s="37" t="n">
        <v>6175.44</v>
      </c>
      <c r="V27" s="18" t="n">
        <v>6843</v>
      </c>
      <c r="W27" s="18" t="n">
        <v>10613.41</v>
      </c>
      <c r="X27" s="18" t="n">
        <v>16767.86</v>
      </c>
      <c r="Y27" s="18" t="n">
        <v>21493.31</v>
      </c>
      <c r="Z27" s="37" t="n">
        <v>21493.31</v>
      </c>
      <c r="AA27" s="18" t="n">
        <v>24213.13</v>
      </c>
      <c r="AB27" s="19" t="n">
        <v>19553.8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비유동부채</t>
        </is>
      </c>
      <c r="E28" s="18" t="n">
        <v>32071.81</v>
      </c>
      <c r="F28" s="37" t="n">
        <v>32071.81</v>
      </c>
      <c r="G28" s="18" t="n">
        <v>38374.57</v>
      </c>
      <c r="H28" s="18" t="n">
        <v>42537.15</v>
      </c>
      <c r="I28" s="18" t="n">
        <v>51263.48</v>
      </c>
      <c r="J28" s="18" t="n">
        <v>56969.23</v>
      </c>
      <c r="K28" s="37" t="n">
        <v>56969.23</v>
      </c>
      <c r="L28" s="18" t="n">
        <v>72008.81</v>
      </c>
      <c r="M28" s="18" t="n">
        <v>78641.08</v>
      </c>
      <c r="N28" s="18" t="n">
        <v>77150.95</v>
      </c>
      <c r="O28" s="18" t="n">
        <v>76907.64999999999</v>
      </c>
      <c r="P28" s="37" t="n">
        <v>76907.64999999999</v>
      </c>
      <c r="Q28" s="18" t="n">
        <v>82751.34</v>
      </c>
      <c r="R28" s="18" t="n">
        <v>88218.10000000001</v>
      </c>
      <c r="S28" s="18" t="n">
        <v>85996.50999999999</v>
      </c>
      <c r="T28" s="18" t="n">
        <v>84380.37</v>
      </c>
      <c r="U28" s="37" t="n">
        <v>84380.37</v>
      </c>
      <c r="V28" s="18" t="n">
        <v>72962.84</v>
      </c>
      <c r="W28" s="18" t="n">
        <v>71056.08</v>
      </c>
      <c r="X28" s="18" t="n">
        <v>96221.00999999999</v>
      </c>
      <c r="Y28" s="18" t="n">
        <v>82562.94</v>
      </c>
      <c r="Z28" s="37" t="n">
        <v>82562.94</v>
      </c>
      <c r="AA28" s="18" t="n">
        <v>88336.89</v>
      </c>
      <c r="AB28" s="19" t="n">
        <v>86562.72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장기매입채무및기타채무</t>
        </is>
      </c>
      <c r="E29" s="18" t="n">
        <v>267.98</v>
      </c>
      <c r="F29" s="37" t="n">
        <v>267.98</v>
      </c>
      <c r="G29" s="18" t="n">
        <v>282.56</v>
      </c>
      <c r="H29" s="18" t="n">
        <v>309.17</v>
      </c>
      <c r="I29" s="18" t="n">
        <v>333.49</v>
      </c>
      <c r="J29" s="18" t="n">
        <v>356.96</v>
      </c>
      <c r="K29" s="37" t="n">
        <v>356.96</v>
      </c>
      <c r="L29" s="18" t="n">
        <v>373.91</v>
      </c>
      <c r="M29" s="18" t="n">
        <v>331.97</v>
      </c>
      <c r="N29" s="18" t="n">
        <v>354.52</v>
      </c>
      <c r="O29" s="18" t="n">
        <v>357.37</v>
      </c>
      <c r="P29" s="37" t="n">
        <v>357.37</v>
      </c>
      <c r="Q29" s="18" t="n">
        <v>357.39</v>
      </c>
      <c r="R29" s="18" t="n">
        <v>357.39</v>
      </c>
      <c r="S29" s="18" t="n">
        <v>357.69</v>
      </c>
      <c r="T29" s="18" t="n">
        <v>369.83</v>
      </c>
      <c r="U29" s="37" t="n">
        <v>369.83</v>
      </c>
      <c r="V29" s="18" t="n">
        <v>403.42</v>
      </c>
      <c r="W29" s="18" t="n">
        <v>467.9</v>
      </c>
      <c r="X29" s="18" t="n">
        <v>531.09</v>
      </c>
      <c r="Y29" s="18" t="n">
        <v>756.5</v>
      </c>
      <c r="Z29" s="37" t="n">
        <v>756.5</v>
      </c>
      <c r="AA29" s="18" t="n">
        <v>774.25</v>
      </c>
      <c r="AB29" s="19" t="n">
        <v>884.5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비유동리스부채</t>
        </is>
      </c>
      <c r="E30" s="18" t="n">
        <v>1570.26</v>
      </c>
      <c r="F30" s="37" t="n">
        <v>1570.26</v>
      </c>
      <c r="G30" s="18" t="n">
        <v>2527.73</v>
      </c>
      <c r="H30" s="18" t="n">
        <v>2640.28</v>
      </c>
      <c r="I30" s="18" t="n">
        <v>3045.15</v>
      </c>
      <c r="J30" s="18" t="n">
        <v>4939.11</v>
      </c>
      <c r="K30" s="37" t="n">
        <v>4939.11</v>
      </c>
      <c r="L30" s="18" t="n">
        <v>13101.94</v>
      </c>
      <c r="M30" s="18" t="n">
        <v>12828.68</v>
      </c>
      <c r="N30" s="18" t="n">
        <v>12602.69</v>
      </c>
      <c r="O30" s="18" t="n">
        <v>11069.55</v>
      </c>
      <c r="P30" s="37" t="n">
        <v>11069.55</v>
      </c>
      <c r="Q30" s="18" t="n">
        <v>15449.27</v>
      </c>
      <c r="R30" s="18" t="n">
        <v>13785.25</v>
      </c>
      <c r="S30" s="18" t="n">
        <v>12158.86</v>
      </c>
      <c r="T30" s="18" t="n">
        <v>12514.14</v>
      </c>
      <c r="U30" s="37" t="n">
        <v>12514.14</v>
      </c>
      <c r="V30" s="18" t="n">
        <v>11673.26</v>
      </c>
      <c r="W30" s="18" t="n">
        <v>9973.58</v>
      </c>
      <c r="X30" s="18" t="n">
        <v>9400.940000000001</v>
      </c>
      <c r="Y30" s="18" t="n">
        <v>9394.139999999999</v>
      </c>
      <c r="Z30" s="37" t="n">
        <v>9394.139999999999</v>
      </c>
      <c r="AA30" s="18" t="n">
        <v>18271.02</v>
      </c>
      <c r="AB30" s="19" t="n">
        <v>17351.1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리스부채</t>
        </is>
      </c>
      <c r="E31" s="18" t="n">
        <v>1570.26</v>
      </c>
      <c r="F31" s="37" t="n">
        <v>1570.26</v>
      </c>
      <c r="G31" s="18" t="n">
        <v>2527.73</v>
      </c>
      <c r="H31" s="18" t="n">
        <v>2640.28</v>
      </c>
      <c r="I31" s="18" t="n">
        <v>3045.15</v>
      </c>
      <c r="J31" s="18" t="n">
        <v>4939.11</v>
      </c>
      <c r="K31" s="37" t="n">
        <v>4939.11</v>
      </c>
      <c r="L31" s="18" t="n">
        <v>13101.94</v>
      </c>
      <c r="M31" s="18" t="n">
        <v>12828.68</v>
      </c>
      <c r="N31" s="18" t="n">
        <v>12602.69</v>
      </c>
      <c r="O31" s="18" t="n">
        <v>11069.55</v>
      </c>
      <c r="P31" s="37" t="n">
        <v>11069.55</v>
      </c>
      <c r="Q31" s="18" t="n">
        <v>15449.27</v>
      </c>
      <c r="R31" s="18" t="n">
        <v>13785.25</v>
      </c>
      <c r="S31" s="18" t="n">
        <v>12158.86</v>
      </c>
      <c r="T31" s="18" t="n">
        <v>12514.14</v>
      </c>
      <c r="U31" s="37" t="n">
        <v>12514.14</v>
      </c>
      <c r="V31" s="18" t="n">
        <v>11673.26</v>
      </c>
      <c r="W31" s="18" t="n">
        <v>9973.58</v>
      </c>
      <c r="X31" s="18" t="n">
        <v>9400.940000000001</v>
      </c>
      <c r="Y31" s="18" t="n">
        <v>9394.139999999999</v>
      </c>
      <c r="Z31" s="37" t="n">
        <v>9394.139999999999</v>
      </c>
      <c r="AA31" s="18" t="n">
        <v>18271.02</v>
      </c>
      <c r="AB31" s="19" t="n">
        <v>17351.1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장기금융부채</t>
        </is>
      </c>
      <c r="E32" s="18" t="n">
        <v>1570.26</v>
      </c>
      <c r="F32" s="37" t="n">
        <v>1570.26</v>
      </c>
      <c r="G32" s="18" t="n">
        <v>2527.73</v>
      </c>
      <c r="H32" s="18" t="n">
        <v>2640.28</v>
      </c>
      <c r="I32" s="18" t="n">
        <v>3045.15</v>
      </c>
      <c r="J32" s="18" t="n">
        <v>4939.11</v>
      </c>
      <c r="K32" s="37" t="n">
        <v>4939.11</v>
      </c>
      <c r="L32" s="18" t="n">
        <v>13101.94</v>
      </c>
      <c r="M32" s="18" t="n">
        <v>12828.68</v>
      </c>
      <c r="N32" s="18" t="n">
        <v>12602.69</v>
      </c>
      <c r="O32" s="18" t="n">
        <v>11069.55</v>
      </c>
      <c r="P32" s="37" t="n">
        <v>11069.55</v>
      </c>
      <c r="Q32" s="18" t="n">
        <v>15449.27</v>
      </c>
      <c r="R32" s="18" t="n">
        <v>13785.25</v>
      </c>
      <c r="S32" s="18" t="n">
        <v>12158.86</v>
      </c>
      <c r="T32" s="18" t="n">
        <v>12514.14</v>
      </c>
      <c r="U32" s="37" t="n">
        <v>12514.14</v>
      </c>
      <c r="V32" s="18" t="n">
        <v>11673.26</v>
      </c>
      <c r="W32" s="18" t="n">
        <v>9973.58</v>
      </c>
      <c r="X32" s="18" t="n">
        <v>9400.940000000001</v>
      </c>
      <c r="Y32" s="18" t="n">
        <v>9394.139999999999</v>
      </c>
      <c r="Z32" s="37" t="n">
        <v>9394.139999999999</v>
      </c>
      <c r="AA32" s="18" t="n">
        <v>18271.02</v>
      </c>
      <c r="AB32" s="19" t="n">
        <v>17351.1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장기차입금</t>
        </is>
      </c>
      <c r="E33" s="18" t="n">
        <v>17767.02</v>
      </c>
      <c r="F33" s="37" t="n">
        <v>17767.02</v>
      </c>
      <c r="G33" s="18" t="n">
        <v>23483.96</v>
      </c>
      <c r="H33" s="18" t="n">
        <v>27171.42</v>
      </c>
      <c r="I33" s="18" t="n">
        <v>34667.06</v>
      </c>
      <c r="J33" s="18" t="n">
        <v>37779.52</v>
      </c>
      <c r="K33" s="37" t="n">
        <v>37779.52</v>
      </c>
      <c r="L33" s="18" t="n">
        <v>44160.15</v>
      </c>
      <c r="M33" s="18" t="n">
        <v>50186.3</v>
      </c>
      <c r="N33" s="18" t="n">
        <v>47773.76</v>
      </c>
      <c r="O33" s="18" t="n">
        <v>48511.44</v>
      </c>
      <c r="P33" s="37" t="n">
        <v>48511.44</v>
      </c>
      <c r="Q33" s="18" t="n">
        <v>49789.53</v>
      </c>
      <c r="R33" s="18" t="n">
        <v>53823.89</v>
      </c>
      <c r="S33" s="18" t="n">
        <v>52991.19</v>
      </c>
      <c r="T33" s="18" t="n">
        <v>54051.68</v>
      </c>
      <c r="U33" s="37" t="n">
        <v>54051.68</v>
      </c>
      <c r="V33" s="18" t="n">
        <v>43122.7</v>
      </c>
      <c r="W33" s="18" t="n">
        <v>42110</v>
      </c>
      <c r="X33" s="18" t="n">
        <v>67212.37</v>
      </c>
      <c r="Y33" s="18" t="n">
        <v>40518.51</v>
      </c>
      <c r="Z33" s="37" t="n">
        <v>40518.51</v>
      </c>
      <c r="AA33" s="18" t="n">
        <v>36087.05</v>
      </c>
      <c r="AB33" s="19" t="n">
        <v>34569.83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11041.97</v>
      </c>
      <c r="F34" s="37" t="n">
        <v>11041.97</v>
      </c>
      <c r="G34" s="18" t="n">
        <v>10475.15</v>
      </c>
      <c r="H34" s="18" t="n">
        <v>10580.99</v>
      </c>
      <c r="I34" s="18" t="n">
        <v>11133.36</v>
      </c>
      <c r="J34" s="18" t="n">
        <v>11559.3</v>
      </c>
      <c r="K34" s="37" t="n">
        <v>11559.3</v>
      </c>
      <c r="L34" s="18" t="n">
        <v>11578.81</v>
      </c>
      <c r="M34" s="18" t="n">
        <v>11849.68</v>
      </c>
      <c r="N34" s="18" t="n">
        <v>12356.86</v>
      </c>
      <c r="O34" s="18" t="n">
        <v>13019.73</v>
      </c>
      <c r="P34" s="37" t="n">
        <v>13019.73</v>
      </c>
      <c r="Q34" s="18" t="n">
        <v>13236.29</v>
      </c>
      <c r="R34" s="18" t="n">
        <v>15869.6</v>
      </c>
      <c r="S34" s="18" t="n">
        <v>15891.02</v>
      </c>
      <c r="T34" s="18" t="n">
        <v>12980.94</v>
      </c>
      <c r="U34" s="37" t="n">
        <v>12980.94</v>
      </c>
      <c r="V34" s="18" t="n">
        <v>13618.21</v>
      </c>
      <c r="W34" s="18" t="n">
        <v>14199.84</v>
      </c>
      <c r="X34" s="18" t="n">
        <v>14951.28</v>
      </c>
      <c r="Y34" s="18" t="n">
        <v>7768.96</v>
      </c>
      <c r="Z34" s="37" t="n">
        <v>7768.96</v>
      </c>
      <c r="AA34" s="18" t="n">
        <v>8580.200000000001</v>
      </c>
      <c r="AB34" s="19" t="n">
        <v>9079.120000000001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장기충당부채</t>
        </is>
      </c>
      <c r="E35" s="18" t="n">
        <v>1424.57</v>
      </c>
      <c r="F35" s="37" t="n">
        <v>1424.57</v>
      </c>
      <c r="G35" s="18" t="n">
        <v>1605.16</v>
      </c>
      <c r="H35" s="18" t="n">
        <v>1835.29</v>
      </c>
      <c r="I35" s="18" t="n">
        <v>2084.41</v>
      </c>
      <c r="J35" s="18" t="n">
        <v>2334.34</v>
      </c>
      <c r="K35" s="37" t="n">
        <v>2334.34</v>
      </c>
      <c r="L35" s="18" t="n">
        <v>2794</v>
      </c>
      <c r="M35" s="18" t="n">
        <v>3444.46</v>
      </c>
      <c r="N35" s="18" t="n">
        <v>4063.12</v>
      </c>
      <c r="O35" s="18" t="n">
        <v>3649.94</v>
      </c>
      <c r="P35" s="37" t="n">
        <v>3649.94</v>
      </c>
      <c r="Q35" s="18" t="n">
        <v>3605.91</v>
      </c>
      <c r="R35" s="18" t="n">
        <v>4059.18</v>
      </c>
      <c r="S35" s="18" t="n">
        <v>4291.13</v>
      </c>
      <c r="T35" s="18" t="n">
        <v>4079.84</v>
      </c>
      <c r="U35" s="37" t="n">
        <v>4079.84</v>
      </c>
      <c r="V35" s="18" t="n">
        <v>3762.23</v>
      </c>
      <c r="W35" s="18" t="n">
        <v>3950.48</v>
      </c>
      <c r="X35" s="18" t="n">
        <v>3759.1</v>
      </c>
      <c r="Y35" s="18" t="n">
        <v>3922.65</v>
      </c>
      <c r="Z35" s="37" t="n">
        <v>3922.65</v>
      </c>
      <c r="AA35" s="18" t="n">
        <v>4412.85</v>
      </c>
      <c r="AB35" s="19" t="n">
        <v>4462.21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부채총계</t>
        </is>
      </c>
      <c r="E36" s="18" t="n">
        <v>99476.59</v>
      </c>
      <c r="F36" s="37" t="n">
        <v>99476.59</v>
      </c>
      <c r="G36" s="18" t="n">
        <v>119871.54</v>
      </c>
      <c r="H36" s="18" t="n">
        <v>130299.27</v>
      </c>
      <c r="I36" s="18" t="n">
        <v>160361.14</v>
      </c>
      <c r="J36" s="18" t="n">
        <v>191672.83</v>
      </c>
      <c r="K36" s="37" t="n">
        <v>191672.83</v>
      </c>
      <c r="L36" s="18" t="n">
        <v>200835.61</v>
      </c>
      <c r="M36" s="18" t="n">
        <v>204716.11</v>
      </c>
      <c r="N36" s="18" t="n">
        <v>183398.3</v>
      </c>
      <c r="O36" s="18" t="n">
        <v>178656.86</v>
      </c>
      <c r="P36" s="37" t="n">
        <v>178656.86</v>
      </c>
      <c r="Q36" s="18" t="n">
        <v>175941.77</v>
      </c>
      <c r="R36" s="18" t="n">
        <v>213871.2</v>
      </c>
      <c r="S36" s="18" t="n">
        <v>200717.85</v>
      </c>
      <c r="T36" s="18" t="n">
        <v>176050.78</v>
      </c>
      <c r="U36" s="37" t="n">
        <v>176050.78</v>
      </c>
      <c r="V36" s="18" t="n">
        <v>180937.81</v>
      </c>
      <c r="W36" s="18" t="n">
        <v>216129.36</v>
      </c>
      <c r="X36" s="18" t="n">
        <v>237015.64</v>
      </c>
      <c r="Y36" s="18" t="n">
        <v>230186.15</v>
      </c>
      <c r="Z36" s="37" t="n">
        <v>230186.15</v>
      </c>
      <c r="AA36" s="18" t="n">
        <v>238386</v>
      </c>
      <c r="AB36" s="19" t="n">
        <v>256332.22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지배주주지분</t>
        </is>
      </c>
      <c r="E37" s="18" t="n">
        <v>161998.34</v>
      </c>
      <c r="F37" s="37" t="n">
        <v>161998.34</v>
      </c>
      <c r="G37" s="18" t="n">
        <v>164374.03</v>
      </c>
      <c r="H37" s="18" t="n">
        <v>172083.95</v>
      </c>
      <c r="I37" s="18" t="n">
        <v>179878.56</v>
      </c>
      <c r="J37" s="18" t="n">
        <v>178704.3</v>
      </c>
      <c r="K37" s="37" t="n">
        <v>178704.3</v>
      </c>
      <c r="L37" s="18" t="n">
        <v>179291.98</v>
      </c>
      <c r="M37" s="18" t="n">
        <v>185897.16</v>
      </c>
      <c r="N37" s="18" t="n">
        <v>276656.86</v>
      </c>
      <c r="O37" s="18" t="n">
        <v>275032.31</v>
      </c>
      <c r="P37" s="37" t="n">
        <v>275032.31</v>
      </c>
      <c r="Q37" s="18" t="n">
        <v>267136.64</v>
      </c>
      <c r="R37" s="18" t="n">
        <v>267360.8</v>
      </c>
      <c r="S37" s="18" t="n">
        <v>254069.81</v>
      </c>
      <c r="T37" s="18" t="n">
        <v>264642.29</v>
      </c>
      <c r="U37" s="37" t="n">
        <v>264642.29</v>
      </c>
      <c r="V37" s="18" t="n">
        <v>248538.99</v>
      </c>
      <c r="W37" s="18" t="n">
        <v>243443.25</v>
      </c>
      <c r="X37" s="18" t="n">
        <v>247072.29</v>
      </c>
      <c r="Y37" s="18" t="n">
        <v>266272.02</v>
      </c>
      <c r="Z37" s="37" t="n">
        <v>266272.02</v>
      </c>
      <c r="AA37" s="18" t="n">
        <v>279643.6</v>
      </c>
      <c r="AB37" s="19" t="n">
        <v>286005.05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자본금</t>
        </is>
      </c>
      <c r="E38" s="18" t="n">
        <v>4591.83</v>
      </c>
      <c r="F38" s="37" t="n">
        <v>4591.83</v>
      </c>
      <c r="G38" s="18" t="n">
        <v>4591.83</v>
      </c>
      <c r="H38" s="18" t="n">
        <v>4591.83</v>
      </c>
      <c r="I38" s="18" t="n">
        <v>4591.83</v>
      </c>
      <c r="J38" s="18" t="n">
        <v>4591.83</v>
      </c>
      <c r="K38" s="37" t="n">
        <v>4591.83</v>
      </c>
      <c r="L38" s="18" t="n">
        <v>4591.83</v>
      </c>
      <c r="M38" s="18" t="n">
        <v>4591.83</v>
      </c>
      <c r="N38" s="18" t="n">
        <v>5366.67</v>
      </c>
      <c r="O38" s="18" t="n">
        <v>5366.67</v>
      </c>
      <c r="P38" s="37" t="n">
        <v>5366.67</v>
      </c>
      <c r="Q38" s="18" t="n">
        <v>5366.67</v>
      </c>
      <c r="R38" s="18" t="n">
        <v>5366.67</v>
      </c>
      <c r="S38" s="18" t="n">
        <v>5366.67</v>
      </c>
      <c r="T38" s="18" t="n">
        <v>5366.67</v>
      </c>
      <c r="U38" s="37" t="n">
        <v>5366.67</v>
      </c>
      <c r="V38" s="18" t="n">
        <v>5366.67</v>
      </c>
      <c r="W38" s="18" t="n">
        <v>5366.67</v>
      </c>
      <c r="X38" s="18" t="n">
        <v>5366.67</v>
      </c>
      <c r="Y38" s="18" t="n">
        <v>5366.67</v>
      </c>
      <c r="Z38" s="37" t="n">
        <v>5366.67</v>
      </c>
      <c r="AA38" s="18" t="n">
        <v>5368.75</v>
      </c>
      <c r="AB38" s="19" t="n">
        <v>5368.75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자본잉여금</t>
        </is>
      </c>
      <c r="E39" s="18" t="n">
        <v>119421.22</v>
      </c>
      <c r="F39" s="37" t="n">
        <v>119421.22</v>
      </c>
      <c r="G39" s="18" t="n">
        <v>119607.04</v>
      </c>
      <c r="H39" s="18" t="n">
        <v>120040.41</v>
      </c>
      <c r="I39" s="18" t="n">
        <v>120145.56</v>
      </c>
      <c r="J39" s="18" t="n">
        <v>120399.08</v>
      </c>
      <c r="K39" s="37" t="n">
        <v>120399.08</v>
      </c>
      <c r="L39" s="18" t="n">
        <v>120534.43</v>
      </c>
      <c r="M39" s="18" t="n">
        <v>120577.65</v>
      </c>
      <c r="N39" s="18" t="n">
        <v>209410.56</v>
      </c>
      <c r="O39" s="18" t="n">
        <v>209835.51</v>
      </c>
      <c r="P39" s="37" t="n">
        <v>209835.51</v>
      </c>
      <c r="Q39" s="18" t="n">
        <v>209891.05</v>
      </c>
      <c r="R39" s="18" t="n">
        <v>210216.6</v>
      </c>
      <c r="S39" s="18" t="n">
        <v>210263.3</v>
      </c>
      <c r="T39" s="18" t="n">
        <v>210399.2</v>
      </c>
      <c r="U39" s="37" t="n">
        <v>210399.2</v>
      </c>
      <c r="V39" s="18" t="n">
        <v>210540.74</v>
      </c>
      <c r="W39" s="18" t="n">
        <v>210587.7</v>
      </c>
      <c r="X39" s="18" t="n">
        <v>210755.12</v>
      </c>
      <c r="Y39" s="18" t="n">
        <v>210993.42</v>
      </c>
      <c r="Z39" s="37" t="n">
        <v>210993.42</v>
      </c>
      <c r="AA39" s="18" t="n">
        <v>211816.87</v>
      </c>
      <c r="AB39" s="19" t="n">
        <v>212307.4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기타자본</t>
        </is>
      </c>
      <c r="E40" s="18" t="n">
        <v>-3413.35</v>
      </c>
      <c r="F40" s="37" t="n">
        <v>-3413.35</v>
      </c>
      <c r="G40" s="18" t="n">
        <v>-3229.98</v>
      </c>
      <c r="H40" s="18" t="n">
        <v>-2740.24</v>
      </c>
      <c r="I40" s="18" t="n">
        <v>-1715.5</v>
      </c>
      <c r="J40" s="18" t="n">
        <v>-2979.35</v>
      </c>
      <c r="K40" s="37" t="n">
        <v>-2979.35</v>
      </c>
      <c r="L40" s="18" t="n">
        <v>-2638.25</v>
      </c>
      <c r="M40" s="18" t="n">
        <v>-1962.21</v>
      </c>
      <c r="N40" s="18" t="n">
        <v>-1330.2</v>
      </c>
      <c r="O40" s="18" t="n">
        <v>-1440.94</v>
      </c>
      <c r="P40" s="37" t="n">
        <v>-1440.94</v>
      </c>
      <c r="Q40" s="18" t="n">
        <v>-3469.45</v>
      </c>
      <c r="R40" s="18" t="n">
        <v>-4444.41</v>
      </c>
      <c r="S40" s="18" t="n">
        <v>-5663.62</v>
      </c>
      <c r="T40" s="18" t="n">
        <v>-6319.54</v>
      </c>
      <c r="U40" s="37" t="n">
        <v>-6319.54</v>
      </c>
      <c r="V40" s="18" t="n">
        <v>-7394.18</v>
      </c>
      <c r="W40" s="18" t="n">
        <v>-8469.059999999999</v>
      </c>
      <c r="X40" s="18" t="n">
        <v>-8366.25</v>
      </c>
      <c r="Y40" s="18" t="n">
        <v>-13085.5</v>
      </c>
      <c r="Z40" s="37" t="n">
        <v>-13085.5</v>
      </c>
      <c r="AA40" s="18" t="n">
        <v>-11971.02</v>
      </c>
      <c r="AB40" s="19" t="n">
        <v>-10845.58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이익잉여금</t>
        </is>
      </c>
      <c r="E41" s="18" t="n">
        <v>41398.63</v>
      </c>
      <c r="F41" s="37" t="n">
        <v>41398.63</v>
      </c>
      <c r="G41" s="18" t="n">
        <v>43405.14</v>
      </c>
      <c r="H41" s="18" t="n">
        <v>50191.95</v>
      </c>
      <c r="I41" s="18" t="n">
        <v>56856.67</v>
      </c>
      <c r="J41" s="18" t="n">
        <v>56692.74</v>
      </c>
      <c r="K41" s="37" t="n">
        <v>56692.74</v>
      </c>
      <c r="L41" s="18" t="n">
        <v>56803.97</v>
      </c>
      <c r="M41" s="18" t="n">
        <v>62689.89</v>
      </c>
      <c r="N41" s="18" t="n">
        <v>63209.83</v>
      </c>
      <c r="O41" s="18" t="n">
        <v>61271.07</v>
      </c>
      <c r="P41" s="37" t="n">
        <v>61271.07</v>
      </c>
      <c r="Q41" s="18" t="n">
        <v>55348.37</v>
      </c>
      <c r="R41" s="18" t="n">
        <v>56221.94</v>
      </c>
      <c r="S41" s="18" t="n">
        <v>44103.47</v>
      </c>
      <c r="T41" s="18" t="n">
        <v>55195.96</v>
      </c>
      <c r="U41" s="37" t="n">
        <v>55195.96</v>
      </c>
      <c r="V41" s="18" t="n">
        <v>40025.76</v>
      </c>
      <c r="W41" s="18" t="n">
        <v>35957.94</v>
      </c>
      <c r="X41" s="18" t="n">
        <v>39316.75</v>
      </c>
      <c r="Y41" s="18" t="n">
        <v>62997.43</v>
      </c>
      <c r="Z41" s="37" t="n">
        <v>62997.43</v>
      </c>
      <c r="AA41" s="18" t="n">
        <v>74429</v>
      </c>
      <c r="AB41" s="19" t="n">
        <v>79174.48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자본총계</t>
        </is>
      </c>
      <c r="E42" s="18" t="n">
        <v>161998.34</v>
      </c>
      <c r="F42" s="37" t="n">
        <v>161998.34</v>
      </c>
      <c r="G42" s="18" t="n">
        <v>164374.03</v>
      </c>
      <c r="H42" s="18" t="n">
        <v>172083.95</v>
      </c>
      <c r="I42" s="18" t="n">
        <v>179878.56</v>
      </c>
      <c r="J42" s="18" t="n">
        <v>178704.3</v>
      </c>
      <c r="K42" s="37" t="n">
        <v>178704.3</v>
      </c>
      <c r="L42" s="18" t="n">
        <v>179291.98</v>
      </c>
      <c r="M42" s="18" t="n">
        <v>185897.16</v>
      </c>
      <c r="N42" s="18" t="n">
        <v>276656.86</v>
      </c>
      <c r="O42" s="18" t="n">
        <v>275032.31</v>
      </c>
      <c r="P42" s="37" t="n">
        <v>275032.31</v>
      </c>
      <c r="Q42" s="18" t="n">
        <v>267136.64</v>
      </c>
      <c r="R42" s="18" t="n">
        <v>267360.8</v>
      </c>
      <c r="S42" s="18" t="n">
        <v>254069.81</v>
      </c>
      <c r="T42" s="18" t="n">
        <v>264642.29</v>
      </c>
      <c r="U42" s="37" t="n">
        <v>264642.29</v>
      </c>
      <c r="V42" s="18" t="n">
        <v>248538.99</v>
      </c>
      <c r="W42" s="18" t="n">
        <v>243443.25</v>
      </c>
      <c r="X42" s="18" t="n">
        <v>247072.29</v>
      </c>
      <c r="Y42" s="18" t="n">
        <v>266272.02</v>
      </c>
      <c r="Z42" s="37" t="n">
        <v>266272.02</v>
      </c>
      <c r="AA42" s="18" t="n">
        <v>279643.6</v>
      </c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부채와자본총계</t>
        </is>
      </c>
      <c r="E43" s="18" t="n">
        <v>261474.93</v>
      </c>
      <c r="F43" s="37" t="n">
        <v>261474.93</v>
      </c>
      <c r="G43" s="18" t="n">
        <v>284245.57</v>
      </c>
      <c r="H43" s="18" t="n">
        <v>302383.23</v>
      </c>
      <c r="I43" s="18" t="n">
        <v>340239.7</v>
      </c>
      <c r="J43" s="18" t="n">
        <v>370377.14</v>
      </c>
      <c r="K43" s="37" t="n">
        <v>370377.14</v>
      </c>
      <c r="L43" s="18" t="n">
        <v>380127.59</v>
      </c>
      <c r="M43" s="18" t="n">
        <v>390613.27</v>
      </c>
      <c r="N43" s="18" t="n">
        <v>460055.16</v>
      </c>
      <c r="O43" s="18" t="n">
        <v>453689.17</v>
      </c>
      <c r="P43" s="37" t="n">
        <v>453689.17</v>
      </c>
      <c r="Q43" s="18" t="n">
        <v>443078.41</v>
      </c>
      <c r="R43" s="18" t="n">
        <v>481232</v>
      </c>
      <c r="S43" s="18" t="n">
        <v>454787.67</v>
      </c>
      <c r="T43" s="18" t="n">
        <v>440693.07</v>
      </c>
      <c r="U43" s="37" t="n">
        <v>440693.07</v>
      </c>
      <c r="V43" s="18" t="n">
        <v>429476.8</v>
      </c>
      <c r="W43" s="18" t="n">
        <v>459572.61</v>
      </c>
      <c r="X43" s="18" t="n">
        <v>484087.93</v>
      </c>
      <c r="Y43" s="18" t="n">
        <v>496458.17</v>
      </c>
      <c r="Z43" s="37" t="n">
        <v>496458.17</v>
      </c>
      <c r="AA43" s="18" t="n">
        <v>518029.61</v>
      </c>
      <c r="AB43" s="19" t="n">
        <v>542337.27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총차입금</t>
        </is>
      </c>
      <c r="E44" s="18" t="n">
        <v>46941.27</v>
      </c>
      <c r="F44" s="37" t="n">
        <v>46941.27</v>
      </c>
      <c r="G44" s="18" t="n">
        <v>62110.6</v>
      </c>
      <c r="H44" s="18" t="n">
        <v>63084.33</v>
      </c>
      <c r="I44" s="18" t="n">
        <v>84436.03</v>
      </c>
      <c r="J44" s="18" t="n">
        <v>105897.02</v>
      </c>
      <c r="K44" s="37" t="n">
        <v>105897.02</v>
      </c>
      <c r="L44" s="18" t="n">
        <v>118339.99</v>
      </c>
      <c r="M44" s="18" t="n">
        <v>139019.94</v>
      </c>
      <c r="N44" s="18" t="n">
        <v>113107.43</v>
      </c>
      <c r="O44" s="18" t="n">
        <v>109602.76</v>
      </c>
      <c r="P44" s="37" t="n">
        <v>109602.76</v>
      </c>
      <c r="Q44" s="18" t="n">
        <v>108765.16</v>
      </c>
      <c r="R44" s="18" t="n">
        <v>117473.78</v>
      </c>
      <c r="S44" s="18" t="n">
        <v>114225.23</v>
      </c>
      <c r="T44" s="18" t="n">
        <v>108055.68</v>
      </c>
      <c r="U44" s="37" t="n">
        <v>108055.68</v>
      </c>
      <c r="V44" s="18" t="n">
        <v>107397.5</v>
      </c>
      <c r="W44" s="18" t="n">
        <v>125874.97</v>
      </c>
      <c r="X44" s="18" t="n">
        <v>141235.44</v>
      </c>
      <c r="Y44" s="18" t="n">
        <v>136340.8</v>
      </c>
      <c r="Z44" s="37" t="n">
        <v>136340.8</v>
      </c>
      <c r="AA44" s="18" t="n">
        <v>132735.99</v>
      </c>
      <c r="AB44" s="19" t="n">
        <v>143504.55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순차입금</t>
        </is>
      </c>
      <c r="E45" s="18" t="n">
        <v>-10943.92</v>
      </c>
      <c r="F45" s="37" t="n">
        <v>-10943.92</v>
      </c>
      <c r="G45" s="18" t="n">
        <v>10012.05</v>
      </c>
      <c r="H45" s="18" t="n">
        <v>24821.06</v>
      </c>
      <c r="I45" s="18" t="n">
        <v>38825.45</v>
      </c>
      <c r="J45" s="18" t="n">
        <v>75586.39</v>
      </c>
      <c r="K45" s="37" t="n">
        <v>75586.39</v>
      </c>
      <c r="L45" s="18" t="n">
        <v>100399.06</v>
      </c>
      <c r="M45" s="18" t="n">
        <v>101346.71</v>
      </c>
      <c r="N45" s="18" t="n">
        <v>216.61</v>
      </c>
      <c r="O45" s="18" t="n">
        <v>-12699.64</v>
      </c>
      <c r="P45" s="37" t="n">
        <v>-12699.64</v>
      </c>
      <c r="Q45" s="18" t="n">
        <v>-9314.530000000001</v>
      </c>
      <c r="R45" s="18" t="n">
        <v>11664.03</v>
      </c>
      <c r="S45" s="18" t="n">
        <v>45103.65</v>
      </c>
      <c r="T45" s="18" t="n">
        <v>48886.09</v>
      </c>
      <c r="U45" s="37" t="n">
        <v>48886.09</v>
      </c>
      <c r="V45" s="18" t="n">
        <v>41083.65</v>
      </c>
      <c r="W45" s="18" t="n">
        <v>93609.8</v>
      </c>
      <c r="X45" s="18" t="n">
        <v>110157.24</v>
      </c>
      <c r="Y45" s="18" t="n">
        <v>102994.95</v>
      </c>
      <c r="Z45" s="37" t="n">
        <v>102994.95</v>
      </c>
      <c r="AA45" s="18" t="n">
        <v>100937.17</v>
      </c>
      <c r="AB45" s="19" t="n">
        <v>117806.23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이자발생자산</t>
        </is>
      </c>
      <c r="E46" s="18" t="n">
        <v>66977.35000000001</v>
      </c>
      <c r="F46" s="37" t="n">
        <v>66977.35000000001</v>
      </c>
      <c r="G46" s="18" t="n">
        <v>62724.12</v>
      </c>
      <c r="H46" s="18" t="n">
        <v>53125.32</v>
      </c>
      <c r="I46" s="18" t="n">
        <v>59894.06</v>
      </c>
      <c r="J46" s="18" t="n">
        <v>48765.05</v>
      </c>
      <c r="K46" s="37" t="n">
        <v>48765.05</v>
      </c>
      <c r="L46" s="18" t="n">
        <v>35199.68</v>
      </c>
      <c r="M46" s="18" t="n">
        <v>55104.99</v>
      </c>
      <c r="N46" s="18" t="n">
        <v>129844.08</v>
      </c>
      <c r="O46" s="18" t="n">
        <v>137417.36</v>
      </c>
      <c r="P46" s="37" t="n">
        <v>137417.36</v>
      </c>
      <c r="Q46" s="18" t="n">
        <v>140741.51</v>
      </c>
      <c r="R46" s="18" t="n">
        <v>135102.3</v>
      </c>
      <c r="S46" s="18" t="n">
        <v>105706.93</v>
      </c>
      <c r="T46" s="18" t="n">
        <v>107909.76</v>
      </c>
      <c r="U46" s="37" t="n">
        <v>107909.76</v>
      </c>
      <c r="V46" s="18" t="n">
        <v>114942.47</v>
      </c>
      <c r="W46" s="18" t="n">
        <v>92410.73</v>
      </c>
      <c r="X46" s="18" t="n">
        <v>82390.42</v>
      </c>
      <c r="Y46" s="18" t="n">
        <v>81098.67</v>
      </c>
      <c r="Z46" s="37" t="n">
        <v>81098.67</v>
      </c>
      <c r="AA46" s="18" t="n">
        <v>87985.78</v>
      </c>
      <c r="AB46" s="19" t="n">
        <v>78440.22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단기파생상품부채</t>
        </is>
      </c>
      <c r="F47" s="9" t="n"/>
      <c r="G47" s="18" t="n">
        <v>199.85</v>
      </c>
      <c r="H47" s="18" t="n">
        <v>2126.26</v>
      </c>
      <c r="I47" s="18" t="n">
        <v>4487.19</v>
      </c>
      <c r="J47" s="18" t="n">
        <v>746.6799999999999</v>
      </c>
      <c r="K47" s="37" t="n">
        <v>746.6799999999999</v>
      </c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단기금융부채</t>
        </is>
      </c>
      <c r="F48" s="9" t="n"/>
      <c r="G48" s="18" t="n">
        <v>199.85</v>
      </c>
      <c r="H48" s="18" t="n">
        <v>2126.26</v>
      </c>
      <c r="I48" s="18" t="n">
        <v>4487.19</v>
      </c>
      <c r="J48" s="18" t="n">
        <v>746.6799999999999</v>
      </c>
      <c r="K48" s="37" t="n">
        <v>746.6799999999999</v>
      </c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비지배주주지분</t>
        </is>
      </c>
      <c r="F49" s="9" t="n"/>
      <c r="K49" s="9" t="n"/>
      <c r="L49" s="18" t="n">
        <v>0</v>
      </c>
      <c r="P49" s="9" t="n"/>
      <c r="U49" s="9" t="n"/>
      <c r="X49" s="18" t="n">
        <v>0</v>
      </c>
      <c r="Y49" s="18" t="n">
        <v>0</v>
      </c>
      <c r="Z49" s="37" t="n">
        <v>0</v>
      </c>
      <c r="AA49" s="18" t="n">
        <v>0</v>
      </c>
      <c r="AB49" s="19" t="n">
        <v>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기타비유동부채</t>
        </is>
      </c>
      <c r="F50" s="9" t="n"/>
      <c r="K50" s="9" t="n"/>
      <c r="O50" s="18" t="n">
        <v>299.6</v>
      </c>
      <c r="P50" s="37" t="n">
        <v>299.6</v>
      </c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이연법인세부채</t>
        </is>
      </c>
      <c r="F51" s="9" t="n"/>
      <c r="K51" s="9" t="n"/>
      <c r="P51" s="9" t="n"/>
      <c r="Q51" s="18" t="n">
        <v>312.94</v>
      </c>
      <c r="R51" s="18" t="n">
        <v>322.79</v>
      </c>
      <c r="S51" s="18" t="n">
        <v>306.62</v>
      </c>
      <c r="T51" s="18" t="n">
        <v>383.94</v>
      </c>
      <c r="U51" s="37" t="n">
        <v>383.94</v>
      </c>
      <c r="V51" s="18" t="n">
        <v>383.03</v>
      </c>
      <c r="W51" s="18" t="n">
        <v>354.27</v>
      </c>
      <c r="X51" s="18" t="n">
        <v>366.24</v>
      </c>
      <c r="Y51" s="18" t="n">
        <v>202.19</v>
      </c>
      <c r="Z51" s="37" t="n">
        <v>202.19</v>
      </c>
      <c r="AA51" s="18" t="n">
        <v>211.51</v>
      </c>
      <c r="AB51" s="19" t="n">
        <v>215.97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장기금융부채(face)</t>
        </is>
      </c>
      <c r="F52" s="9" t="n"/>
      <c r="K52" s="9" t="n"/>
      <c r="P52" s="9" t="n"/>
      <c r="S52" s="18" t="n">
        <v>52991.19</v>
      </c>
      <c r="T52" s="18" t="n">
        <v>54051.68</v>
      </c>
      <c r="U52" s="37" t="n">
        <v>54051.68</v>
      </c>
      <c r="V52" s="18" t="n">
        <v>43122.7</v>
      </c>
      <c r="X52" s="18" t="n">
        <v>67212.37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당기법인세자산(선급법인세)</t>
        </is>
      </c>
      <c r="F53" s="9" t="n"/>
      <c r="K53" s="9" t="n"/>
      <c r="P53" s="9" t="n"/>
      <c r="U53" s="9" t="n"/>
      <c r="W53" s="18" t="n">
        <v>808.6799999999999</v>
      </c>
      <c r="X53" s="18" t="n">
        <v>868.48</v>
      </c>
      <c r="Y53" s="18" t="n">
        <v>706.61</v>
      </c>
      <c r="Z53" s="37" t="n">
        <v>706.61</v>
      </c>
      <c r="AA53" s="18" t="n">
        <v>802.34</v>
      </c>
      <c r="AB53" s="19" t="n">
        <v>791.1799999999999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당기법인세부채(미지급법인세)</t>
        </is>
      </c>
      <c r="F54" s="9" t="n"/>
      <c r="K54" s="9" t="n"/>
      <c r="P54" s="9" t="n"/>
      <c r="U54" s="9" t="n"/>
      <c r="W54" s="18" t="n">
        <v>62.59</v>
      </c>
      <c r="X54" s="18" t="n">
        <v>64.06999999999999</v>
      </c>
      <c r="Y54" s="18" t="n">
        <v>2419.15</v>
      </c>
      <c r="Z54" s="37" t="n">
        <v>2419.15</v>
      </c>
      <c r="AA54" s="18" t="n">
        <v>1510.68</v>
      </c>
      <c r="AB54" s="19" t="n">
        <v>1198.35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사채</t>
        </is>
      </c>
      <c r="F55" s="9" t="n"/>
      <c r="K55" s="9" t="n"/>
      <c r="P55" s="9" t="n"/>
      <c r="U55" s="9" t="n"/>
      <c r="Y55" s="18" t="n">
        <v>20000</v>
      </c>
      <c r="Z55" s="37" t="n">
        <v>20000</v>
      </c>
      <c r="AA55" s="18" t="n">
        <v>20000</v>
      </c>
      <c r="AB55" s="19" t="n">
        <v>20000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투자부동산</t>
        </is>
      </c>
      <c r="F56" s="9" t="n"/>
      <c r="K56" s="9" t="n"/>
      <c r="P56" s="9" t="n"/>
      <c r="U56" s="9" t="n"/>
      <c r="Z56" s="9" t="n"/>
      <c r="AB56" s="19" t="n">
        <v>7777.84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48293.36</v>
      </c>
      <c r="F57" s="9" t="n"/>
      <c r="G57" s="18" t="n">
        <v>43025.3</v>
      </c>
      <c r="H57" s="18" t="n">
        <v>56984.24</v>
      </c>
      <c r="I57" s="18" t="n">
        <v>57036.79</v>
      </c>
      <c r="J57" s="18" t="n">
        <v>82419.02</v>
      </c>
      <c r="K57" s="37" t="n">
        <v>239465.35</v>
      </c>
      <c r="L57" s="18" t="n">
        <v>64393.46</v>
      </c>
      <c r="M57" s="18" t="n">
        <v>87594.78999999999</v>
      </c>
      <c r="N57" s="18" t="n">
        <v>66774.94</v>
      </c>
      <c r="O57" s="18" t="n">
        <v>86279.64999999999</v>
      </c>
      <c r="P57" s="37" t="n">
        <v>305042.84</v>
      </c>
      <c r="Q57" s="18" t="n">
        <v>46697.93</v>
      </c>
      <c r="R57" s="18" t="n">
        <v>71699.39999999999</v>
      </c>
      <c r="S57" s="18" t="n">
        <v>62360.86</v>
      </c>
      <c r="T57" s="18" t="n">
        <v>77011.25</v>
      </c>
      <c r="U57" s="37" t="n">
        <v>257769.44</v>
      </c>
      <c r="V57" s="18" t="n">
        <v>43350.44</v>
      </c>
      <c r="W57" s="18" t="n">
        <v>74736</v>
      </c>
      <c r="X57" s="18" t="n">
        <v>77226.48</v>
      </c>
      <c r="Y57" s="18" t="n">
        <v>124315.42</v>
      </c>
      <c r="Z57" s="37" t="n">
        <v>319628.34</v>
      </c>
      <c r="AA57" s="18" t="n">
        <v>64723.57</v>
      </c>
      <c r="AB57" s="19" t="n">
        <v>97246.17999999999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27383.29</v>
      </c>
      <c r="F58" s="9" t="n"/>
      <c r="G58" s="18" t="n">
        <v>25074.19</v>
      </c>
      <c r="H58" s="18" t="n">
        <v>34559.39</v>
      </c>
      <c r="I58" s="18" t="n">
        <v>35089.85</v>
      </c>
      <c r="J58" s="18" t="n">
        <v>42740.16</v>
      </c>
      <c r="K58" s="37" t="n">
        <v>137463.59</v>
      </c>
      <c r="L58" s="18" t="n">
        <v>39476.26</v>
      </c>
      <c r="M58" s="18" t="n">
        <v>49246.57</v>
      </c>
      <c r="N58" s="18" t="n">
        <v>41672.87</v>
      </c>
      <c r="O58" s="18" t="n">
        <v>52256.6</v>
      </c>
      <c r="P58" s="37" t="n">
        <v>182652.3</v>
      </c>
      <c r="Q58" s="18" t="n">
        <v>29186.15</v>
      </c>
      <c r="R58" s="18" t="n">
        <v>41411.95</v>
      </c>
      <c r="S58" s="18" t="n">
        <v>38188.87</v>
      </c>
      <c r="T58" s="18" t="n">
        <v>49555.35</v>
      </c>
      <c r="U58" s="37" t="n">
        <v>158342.32</v>
      </c>
      <c r="V58" s="18" t="n">
        <v>25409.03</v>
      </c>
      <c r="W58" s="18" t="n">
        <v>46768.67</v>
      </c>
      <c r="X58" s="18" t="n">
        <v>46702.5</v>
      </c>
      <c r="Y58" s="18" t="n">
        <v>75858.46000000001</v>
      </c>
      <c r="Z58" s="37" t="n">
        <v>194738.66</v>
      </c>
      <c r="AA58" s="18" t="n">
        <v>33796.61</v>
      </c>
      <c r="AB58" s="19" t="n">
        <v>56853.9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E59" s="18" t="n">
        <v>20910.07</v>
      </c>
      <c r="F59" s="9" t="n"/>
      <c r="G59" s="18" t="n">
        <v>17951.11</v>
      </c>
      <c r="H59" s="18" t="n">
        <v>22424.85</v>
      </c>
      <c r="I59" s="18" t="n">
        <v>21946.94</v>
      </c>
      <c r="J59" s="18" t="n">
        <v>39678.86</v>
      </c>
      <c r="K59" s="37" t="n">
        <v>102001.76</v>
      </c>
      <c r="L59" s="18" t="n">
        <v>24917.2</v>
      </c>
      <c r="M59" s="18" t="n">
        <v>38348.22</v>
      </c>
      <c r="N59" s="18" t="n">
        <v>25102.08</v>
      </c>
      <c r="O59" s="18" t="n">
        <v>34023.05</v>
      </c>
      <c r="P59" s="37" t="n">
        <v>122390.55</v>
      </c>
      <c r="Q59" s="18" t="n">
        <v>17511.79</v>
      </c>
      <c r="R59" s="18" t="n">
        <v>30287.45</v>
      </c>
      <c r="S59" s="18" t="n">
        <v>24171.99</v>
      </c>
      <c r="T59" s="18" t="n">
        <v>27455.9</v>
      </c>
      <c r="U59" s="37" t="n">
        <v>99427.13</v>
      </c>
      <c r="V59" s="18" t="n">
        <v>17941.41</v>
      </c>
      <c r="W59" s="18" t="n">
        <v>27967.34</v>
      </c>
      <c r="X59" s="18" t="n">
        <v>30523.99</v>
      </c>
      <c r="Y59" s="18" t="n">
        <v>48456.97</v>
      </c>
      <c r="Z59" s="37" t="n">
        <v>124889.71</v>
      </c>
      <c r="AA59" s="18" t="n">
        <v>30926.96</v>
      </c>
      <c r="AB59" s="19" t="n">
        <v>40392.29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E60" s="18" t="n">
        <v>16400.67</v>
      </c>
      <c r="F60" s="9" t="n"/>
      <c r="G60" s="18" t="n">
        <v>16391.05</v>
      </c>
      <c r="H60" s="18" t="n">
        <v>18276.08</v>
      </c>
      <c r="I60" s="18" t="n">
        <v>20923.16</v>
      </c>
      <c r="J60" s="18" t="n">
        <v>31068.9</v>
      </c>
      <c r="K60" s="37" t="n">
        <v>86659.19</v>
      </c>
      <c r="L60" s="18" t="n">
        <v>24140.22</v>
      </c>
      <c r="M60" s="18" t="n">
        <v>30577.18</v>
      </c>
      <c r="N60" s="18" t="n">
        <v>26679.92</v>
      </c>
      <c r="O60" s="18" t="n">
        <v>30267.68</v>
      </c>
      <c r="P60" s="37" t="n">
        <v>111665</v>
      </c>
      <c r="Q60" s="18" t="n">
        <v>26857.44</v>
      </c>
      <c r="R60" s="18" t="n">
        <v>29376.99</v>
      </c>
      <c r="S60" s="18" t="n">
        <v>29907.45</v>
      </c>
      <c r="T60" s="18" t="n">
        <v>32728.94</v>
      </c>
      <c r="U60" s="37" t="n">
        <v>118870.82</v>
      </c>
      <c r="V60" s="18" t="n">
        <v>29980.27</v>
      </c>
      <c r="W60" s="18" t="n">
        <v>26204.16</v>
      </c>
      <c r="X60" s="18" t="n">
        <v>28150.94</v>
      </c>
      <c r="Y60" s="18" t="n">
        <v>28600.66</v>
      </c>
      <c r="Z60" s="37" t="n">
        <v>112936.03</v>
      </c>
      <c r="AA60" s="18" t="n">
        <v>30333.57</v>
      </c>
      <c r="AB60" s="19" t="n">
        <v>33256.28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E61" s="18" t="n">
        <v>4509.41</v>
      </c>
      <c r="F61" s="9" t="n"/>
      <c r="G61" s="18" t="n">
        <v>1560.05</v>
      </c>
      <c r="H61" s="18" t="n">
        <v>4148.77</v>
      </c>
      <c r="I61" s="18" t="n">
        <v>1023.77</v>
      </c>
      <c r="J61" s="18" t="n">
        <v>8609.959999999999</v>
      </c>
      <c r="K61" s="37" t="n">
        <v>15342.55</v>
      </c>
      <c r="L61" s="18" t="n">
        <v>776.98</v>
      </c>
      <c r="M61" s="18" t="n">
        <v>7771.04</v>
      </c>
      <c r="N61" s="18" t="n">
        <v>-1577.84</v>
      </c>
      <c r="O61" s="18" t="n">
        <v>3755.37</v>
      </c>
      <c r="P61" s="37" t="n">
        <v>10725.55</v>
      </c>
      <c r="Q61" s="18" t="n">
        <v>-9345.66</v>
      </c>
      <c r="R61" s="18" t="n">
        <v>910.46</v>
      </c>
      <c r="S61" s="18" t="n">
        <v>-5735.46</v>
      </c>
      <c r="T61" s="18" t="n">
        <v>-5273.04</v>
      </c>
      <c r="U61" s="37" t="n">
        <v>-19443.7</v>
      </c>
      <c r="V61" s="18" t="n">
        <v>-12038.86</v>
      </c>
      <c r="W61" s="18" t="n">
        <v>1763.17</v>
      </c>
      <c r="X61" s="18" t="n">
        <v>2373.05</v>
      </c>
      <c r="Y61" s="18" t="n">
        <v>19856.31</v>
      </c>
      <c r="Z61" s="37" t="n">
        <v>11953.67</v>
      </c>
      <c r="AA61" s="18" t="n">
        <v>593.39</v>
      </c>
      <c r="AB61" s="19" t="n">
        <v>7136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기타영업외수익</t>
        </is>
      </c>
      <c r="E62" s="18" t="n">
        <v>1309.62</v>
      </c>
      <c r="F62" s="9" t="n"/>
      <c r="G62" s="18" t="n">
        <v>1902.73</v>
      </c>
      <c r="H62" s="18" t="n">
        <v>7265.92</v>
      </c>
      <c r="I62" s="18" t="n">
        <v>9382.049999999999</v>
      </c>
      <c r="J62" s="18" t="n">
        <v>-1101.28</v>
      </c>
      <c r="K62" s="37" t="n">
        <v>17449.42</v>
      </c>
      <c r="L62" s="18" t="n">
        <v>5312.55</v>
      </c>
      <c r="M62" s="18" t="n">
        <v>1980.43</v>
      </c>
      <c r="N62" s="18" t="n">
        <v>4096.94</v>
      </c>
      <c r="O62" s="18" t="n">
        <v>-1014.51</v>
      </c>
      <c r="P62" s="37" t="n">
        <v>10375.41</v>
      </c>
      <c r="Q62" s="18" t="n">
        <v>5779.11</v>
      </c>
      <c r="R62" s="18" t="n">
        <v>4126.13</v>
      </c>
      <c r="S62" s="18" t="n">
        <v>-790.38</v>
      </c>
      <c r="T62" s="18" t="n">
        <v>11374.71</v>
      </c>
      <c r="U62" s="37" t="n">
        <v>20489.57</v>
      </c>
      <c r="V62" s="18" t="n">
        <v>1231.07</v>
      </c>
      <c r="W62" s="18" t="n">
        <v>1656.71</v>
      </c>
      <c r="X62" s="18" t="n">
        <v>1626.83</v>
      </c>
      <c r="Y62" s="18" t="n">
        <v>6622.49</v>
      </c>
      <c r="Z62" s="37" t="n">
        <v>11137.1</v>
      </c>
      <c r="AA62" s="18" t="n">
        <v>10552.91</v>
      </c>
      <c r="AB62" s="19" t="n">
        <v>5035.14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기타영업외비용</t>
        </is>
      </c>
      <c r="E63" s="18" t="n">
        <v>1594.82</v>
      </c>
      <c r="F63" s="9" t="n"/>
      <c r="G63" s="18" t="n">
        <v>422.14</v>
      </c>
      <c r="H63" s="18" t="n">
        <v>2231.61</v>
      </c>
      <c r="I63" s="18" t="n">
        <v>1125.96</v>
      </c>
      <c r="J63" s="18" t="n">
        <v>9157.889999999999</v>
      </c>
      <c r="K63" s="37" t="n">
        <v>12937.6</v>
      </c>
      <c r="L63" s="18" t="n">
        <v>3151.27</v>
      </c>
      <c r="M63" s="18" t="n">
        <v>2013.41</v>
      </c>
      <c r="N63" s="18" t="n">
        <v>1470.05</v>
      </c>
      <c r="O63" s="18" t="n">
        <v>4677.52</v>
      </c>
      <c r="P63" s="37" t="n">
        <v>11312.25</v>
      </c>
      <c r="Q63" s="18" t="n">
        <v>829.23</v>
      </c>
      <c r="R63" s="18" t="n">
        <v>1325.74</v>
      </c>
      <c r="S63" s="18" t="n">
        <v>4655.02</v>
      </c>
      <c r="T63" s="18" t="n">
        <v>707.98</v>
      </c>
      <c r="U63" s="37" t="n">
        <v>7517.97</v>
      </c>
      <c r="V63" s="18" t="n">
        <v>2372.84</v>
      </c>
      <c r="W63" s="18" t="n">
        <v>9556.940000000001</v>
      </c>
      <c r="X63" s="18" t="n">
        <v>-2020.17</v>
      </c>
      <c r="Y63" s="18" t="n">
        <v>7562.6</v>
      </c>
      <c r="Z63" s="37" t="n">
        <v>17472.21</v>
      </c>
      <c r="AA63" s="18" t="n">
        <v>2426.9</v>
      </c>
      <c r="AB63" s="19" t="n">
        <v>2253.8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금융수익</t>
        </is>
      </c>
      <c r="E64" s="18" t="n">
        <v>553.6799999999999</v>
      </c>
      <c r="F64" s="9" t="n"/>
      <c r="G64" s="18" t="n">
        <v>396.06</v>
      </c>
      <c r="H64" s="18" t="n">
        <v>108.72</v>
      </c>
      <c r="I64" s="18" t="n">
        <v>197.77</v>
      </c>
      <c r="J64" s="18" t="n">
        <v>2711.48</v>
      </c>
      <c r="K64" s="37" t="n">
        <v>3414.03</v>
      </c>
      <c r="L64" s="18" t="n">
        <v>457.13</v>
      </c>
      <c r="M64" s="18" t="n">
        <v>156.13</v>
      </c>
      <c r="N64" s="18" t="n">
        <v>721.23</v>
      </c>
      <c r="O64" s="18" t="n">
        <v>2736.76</v>
      </c>
      <c r="P64" s="37" t="n">
        <v>4071.25</v>
      </c>
      <c r="Q64" s="18" t="n">
        <v>1929.61</v>
      </c>
      <c r="R64" s="18" t="n">
        <v>1088.3</v>
      </c>
      <c r="S64" s="18" t="n">
        <v>710.35</v>
      </c>
      <c r="T64" s="18" t="n">
        <v>7634.68</v>
      </c>
      <c r="U64" s="37" t="n">
        <v>11362.94</v>
      </c>
      <c r="V64" s="18" t="n">
        <v>1114.69</v>
      </c>
      <c r="W64" s="18" t="n">
        <v>2532.85</v>
      </c>
      <c r="X64" s="18" t="n">
        <v>-164.26</v>
      </c>
      <c r="Y64" s="18" t="n">
        <v>4379.92</v>
      </c>
      <c r="Z64" s="37" t="n">
        <v>7863.2</v>
      </c>
      <c r="AA64" s="18" t="n">
        <v>7435.84</v>
      </c>
      <c r="AB64" s="19" t="n">
        <v>-736.71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금융비용</t>
        </is>
      </c>
      <c r="E65" s="18" t="n">
        <v>376.64</v>
      </c>
      <c r="F65" s="9" t="n"/>
      <c r="G65" s="18" t="n">
        <v>532.79</v>
      </c>
      <c r="H65" s="18" t="n">
        <v>2971.69</v>
      </c>
      <c r="I65" s="18" t="n">
        <v>3663.37</v>
      </c>
      <c r="J65" s="18" t="n">
        <v>-702.01</v>
      </c>
      <c r="K65" s="37" t="n">
        <v>6465.84</v>
      </c>
      <c r="L65" s="18" t="n">
        <v>1457.64</v>
      </c>
      <c r="M65" s="18" t="n">
        <v>1609.98</v>
      </c>
      <c r="N65" s="18" t="n">
        <v>1592.7</v>
      </c>
      <c r="O65" s="18" t="n">
        <v>2043.48</v>
      </c>
      <c r="P65" s="37" t="n">
        <v>6703.8</v>
      </c>
      <c r="Q65" s="18" t="n">
        <v>1583.23</v>
      </c>
      <c r="R65" s="18" t="n">
        <v>1837.32</v>
      </c>
      <c r="S65" s="18" t="n">
        <v>1554.6</v>
      </c>
      <c r="T65" s="18" t="n">
        <v>2153.12</v>
      </c>
      <c r="U65" s="37" t="n">
        <v>7128.27</v>
      </c>
      <c r="V65" s="18" t="n">
        <v>2043.54</v>
      </c>
      <c r="W65" s="18" t="n">
        <v>677.08</v>
      </c>
      <c r="X65" s="18" t="n">
        <v>2927.67</v>
      </c>
      <c r="Y65" s="18" t="n">
        <v>1133.22</v>
      </c>
      <c r="Z65" s="37" t="n">
        <v>6781.51</v>
      </c>
      <c r="AA65" s="18" t="n">
        <v>2325.3</v>
      </c>
      <c r="AB65" s="19" t="n">
        <v>2704.57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법인세비용차감전계속사업이익</t>
        </is>
      </c>
      <c r="E66" s="18" t="n">
        <v>4401.25</v>
      </c>
      <c r="F66" s="9" t="n"/>
      <c r="G66" s="18" t="n">
        <v>2903.91</v>
      </c>
      <c r="H66" s="18" t="n">
        <v>6320.1</v>
      </c>
      <c r="I66" s="18" t="n">
        <v>5814.27</v>
      </c>
      <c r="J66" s="18" t="n">
        <v>1764.27</v>
      </c>
      <c r="K66" s="37" t="n">
        <v>16802.55</v>
      </c>
      <c r="L66" s="18" t="n">
        <v>1937.74</v>
      </c>
      <c r="M66" s="18" t="n">
        <v>6284.2</v>
      </c>
      <c r="N66" s="18" t="n">
        <v>177.58</v>
      </c>
      <c r="O66" s="18" t="n">
        <v>-1243.38</v>
      </c>
      <c r="P66" s="37" t="n">
        <v>7156.14</v>
      </c>
      <c r="Q66" s="18" t="n">
        <v>-4049.4</v>
      </c>
      <c r="R66" s="18" t="n">
        <v>2961.83</v>
      </c>
      <c r="S66" s="18" t="n">
        <v>-12025.1</v>
      </c>
      <c r="T66" s="18" t="n">
        <v>10875.24</v>
      </c>
      <c r="U66" s="37" t="n">
        <v>-2237.43</v>
      </c>
      <c r="V66" s="18" t="n">
        <v>-14109.48</v>
      </c>
      <c r="W66" s="18" t="n">
        <v>-4281.29</v>
      </c>
      <c r="X66" s="18" t="n">
        <v>2928.11</v>
      </c>
      <c r="Y66" s="18" t="n">
        <v>22162.9</v>
      </c>
      <c r="Z66" s="37" t="n">
        <v>6700.24</v>
      </c>
      <c r="AA66" s="18" t="n">
        <v>13829.93</v>
      </c>
      <c r="AB66" s="19" t="n">
        <v>6476.06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</t>
        </is>
      </c>
      <c r="E67" s="18" t="n">
        <v>864.41</v>
      </c>
      <c r="F67" s="9" t="n"/>
      <c r="G67" s="18" t="n">
        <v>5.12</v>
      </c>
      <c r="H67" s="18" t="n">
        <v>-345.13</v>
      </c>
      <c r="I67" s="18" t="n">
        <v>-850.45</v>
      </c>
      <c r="J67" s="18" t="n">
        <v>1963.82</v>
      </c>
      <c r="K67" s="37" t="n">
        <v>773.36</v>
      </c>
      <c r="L67" s="18" t="n">
        <v>931.99</v>
      </c>
      <c r="M67" s="18" t="n">
        <v>605.15</v>
      </c>
      <c r="N67" s="18" t="n">
        <v>-342.36</v>
      </c>
      <c r="O67" s="18" t="n">
        <v>428.93</v>
      </c>
      <c r="P67" s="37" t="n">
        <v>1623.71</v>
      </c>
      <c r="Q67" s="18" t="n">
        <v>822.13</v>
      </c>
      <c r="R67" s="18" t="n">
        <v>306.66</v>
      </c>
      <c r="S67" s="18" t="n">
        <v>93.37</v>
      </c>
      <c r="T67" s="18" t="n">
        <v>-448.02</v>
      </c>
      <c r="U67" s="37" t="n">
        <v>774.14</v>
      </c>
      <c r="V67" s="18" t="n">
        <v>22.61</v>
      </c>
      <c r="W67" s="18" t="n">
        <v>-213.48</v>
      </c>
      <c r="X67" s="18" t="n">
        <v>-430.69</v>
      </c>
      <c r="Y67" s="18" t="n">
        <v>-142.13</v>
      </c>
      <c r="Z67" s="37" t="n">
        <v>-763.6900000000001</v>
      </c>
      <c r="AA67" s="18" t="n">
        <v>358.01</v>
      </c>
      <c r="AB67" s="19" t="n">
        <v>1730.58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당기순이익</t>
        </is>
      </c>
      <c r="E68" s="18" t="n">
        <v>3536.84</v>
      </c>
      <c r="F68" s="9" t="n"/>
      <c r="G68" s="18" t="n">
        <v>2898.8</v>
      </c>
      <c r="H68" s="18" t="n">
        <v>6665.24</v>
      </c>
      <c r="I68" s="18" t="n">
        <v>6664.72</v>
      </c>
      <c r="J68" s="18" t="n">
        <v>-199.55</v>
      </c>
      <c r="K68" s="37" t="n">
        <v>16029.21</v>
      </c>
      <c r="L68" s="18" t="n">
        <v>1005.74</v>
      </c>
      <c r="M68" s="18" t="n">
        <v>5679.05</v>
      </c>
      <c r="N68" s="18" t="n">
        <v>519.9400000000001</v>
      </c>
      <c r="O68" s="18" t="n">
        <v>-1672.31</v>
      </c>
      <c r="P68" s="37" t="n">
        <v>5532.42</v>
      </c>
      <c r="Q68" s="18" t="n">
        <v>-4871.53</v>
      </c>
      <c r="R68" s="18" t="n">
        <v>2655.17</v>
      </c>
      <c r="S68" s="18" t="n">
        <v>-12118.47</v>
      </c>
      <c r="T68" s="18" t="n">
        <v>11323.25</v>
      </c>
      <c r="U68" s="37" t="n">
        <v>-3011.58</v>
      </c>
      <c r="V68" s="18" t="n">
        <v>-14132.1</v>
      </c>
      <c r="W68" s="18" t="n">
        <v>-4067.81</v>
      </c>
      <c r="X68" s="18" t="n">
        <v>3358.8</v>
      </c>
      <c r="Y68" s="18" t="n">
        <v>22305.03</v>
      </c>
      <c r="Z68" s="37" t="n">
        <v>7463.92</v>
      </c>
      <c r="AA68" s="18" t="n">
        <v>13471.92</v>
      </c>
      <c r="AB68" s="19" t="n">
        <v>4745.48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(지배주주지분)당기순이익</t>
        </is>
      </c>
      <c r="E69" s="18" t="n">
        <v>3536.84</v>
      </c>
      <c r="F69" s="9" t="n"/>
      <c r="G69" s="18" t="n">
        <v>2898.8</v>
      </c>
      <c r="H69" s="18" t="n">
        <v>6665.24</v>
      </c>
      <c r="I69" s="18" t="n">
        <v>6664.72</v>
      </c>
      <c r="J69" s="18" t="n">
        <v>-199.55</v>
      </c>
      <c r="K69" s="37" t="n">
        <v>16029.21</v>
      </c>
      <c r="L69" s="18" t="n">
        <v>1005.74</v>
      </c>
      <c r="M69" s="18" t="n">
        <v>5679.05</v>
      </c>
      <c r="N69" s="18" t="n">
        <v>519.9400000000001</v>
      </c>
      <c r="O69" s="18" t="n">
        <v>-1672.31</v>
      </c>
      <c r="P69" s="37" t="n">
        <v>5532.42</v>
      </c>
      <c r="Q69" s="18" t="n">
        <v>-4871.53</v>
      </c>
      <c r="R69" s="18" t="n">
        <v>2655.17</v>
      </c>
      <c r="S69" s="18" t="n">
        <v>-12118.47</v>
      </c>
      <c r="T69" s="18" t="n">
        <v>11323.25</v>
      </c>
      <c r="U69" s="37" t="n">
        <v>-3011.58</v>
      </c>
      <c r="V69" s="18" t="n">
        <v>-14132.1</v>
      </c>
      <c r="W69" s="18" t="n">
        <v>-4067.81</v>
      </c>
      <c r="X69" s="18" t="n">
        <v>3358.8</v>
      </c>
      <c r="Y69" s="18" t="n">
        <v>22305.03</v>
      </c>
      <c r="Z69" s="37" t="n">
        <v>7463.92</v>
      </c>
      <c r="AA69" s="18" t="n">
        <v>13471.92</v>
      </c>
      <c r="AB69" s="19" t="n">
        <v>4745.48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3861.11</v>
      </c>
      <c r="F70" s="9" t="n"/>
      <c r="G70" s="18" t="n">
        <v>2948.33</v>
      </c>
      <c r="H70" s="18" t="n">
        <v>6993.14</v>
      </c>
      <c r="I70" s="18" t="n">
        <v>7692.38</v>
      </c>
      <c r="J70" s="18" t="n">
        <v>-1194.78</v>
      </c>
      <c r="K70" s="37" t="n">
        <v>16439.07</v>
      </c>
      <c r="L70" s="18" t="n">
        <v>1195.69</v>
      </c>
      <c r="M70" s="18" t="n">
        <v>6061.5</v>
      </c>
      <c r="N70" s="18" t="n">
        <v>787.12</v>
      </c>
      <c r="O70" s="18" t="n">
        <v>-2195.18</v>
      </c>
      <c r="P70" s="37" t="n">
        <v>5849.13</v>
      </c>
      <c r="Q70" s="18" t="n">
        <v>-4483.18</v>
      </c>
      <c r="R70" s="18" t="n">
        <v>1039.92</v>
      </c>
      <c r="S70" s="18" t="n">
        <v>-12175.68</v>
      </c>
      <c r="T70" s="18" t="n">
        <v>11841.67</v>
      </c>
      <c r="U70" s="37" t="n">
        <v>-3777.27</v>
      </c>
      <c r="V70" s="18" t="n">
        <v>-13559.55</v>
      </c>
      <c r="W70" s="18" t="n">
        <v>-4363.65</v>
      </c>
      <c r="X70" s="18" t="n">
        <v>3156.56</v>
      </c>
      <c r="Y70" s="18" t="n">
        <v>23830.15</v>
      </c>
      <c r="Z70" s="37" t="n">
        <v>9063.51</v>
      </c>
      <c r="AA70" s="18" t="n">
        <v>14299.48</v>
      </c>
      <c r="AB70" s="19" t="n">
        <v>5270.21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금융손익</t>
        </is>
      </c>
      <c r="E71" s="18" t="n">
        <v>177.04</v>
      </c>
      <c r="F71" s="9" t="n"/>
      <c r="G71" s="18" t="n">
        <v>-136.73</v>
      </c>
      <c r="H71" s="18" t="n">
        <v>-2862.97</v>
      </c>
      <c r="I71" s="18" t="n">
        <v>-3465.6</v>
      </c>
      <c r="J71" s="18" t="n">
        <v>3413.49</v>
      </c>
      <c r="K71" s="37" t="n">
        <v>-3051.81</v>
      </c>
      <c r="L71" s="18" t="n">
        <v>-1000.51</v>
      </c>
      <c r="M71" s="18" t="n">
        <v>-1453.85</v>
      </c>
      <c r="N71" s="18" t="n">
        <v>-871.47</v>
      </c>
      <c r="O71" s="18" t="n">
        <v>693.28</v>
      </c>
      <c r="P71" s="37" t="n">
        <v>-2632.55</v>
      </c>
      <c r="Q71" s="18" t="n">
        <v>346.38</v>
      </c>
      <c r="R71" s="18" t="n">
        <v>-749.02</v>
      </c>
      <c r="S71" s="18" t="n">
        <v>-844.25</v>
      </c>
      <c r="T71" s="18" t="n">
        <v>5481.56</v>
      </c>
      <c r="U71" s="37" t="n">
        <v>4234.67</v>
      </c>
      <c r="V71" s="18" t="n">
        <v>-928.85</v>
      </c>
      <c r="W71" s="18" t="n">
        <v>1855.77</v>
      </c>
      <c r="X71" s="18" t="n">
        <v>-3091.93</v>
      </c>
      <c r="Y71" s="18" t="n">
        <v>3246.7</v>
      </c>
      <c r="Z71" s="37" t="n">
        <v>1081.69</v>
      </c>
      <c r="AA71" s="18" t="n">
        <v>5110.54</v>
      </c>
      <c r="AB71" s="19" t="n">
        <v>-3441.28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기타영업외손익</t>
        </is>
      </c>
      <c r="E72" s="18" t="n">
        <v>-285.2</v>
      </c>
      <c r="F72" s="9" t="n"/>
      <c r="G72" s="18" t="n">
        <v>1480.59</v>
      </c>
      <c r="H72" s="18" t="n">
        <v>5034.31</v>
      </c>
      <c r="I72" s="18" t="n">
        <v>8256.09</v>
      </c>
      <c r="J72" s="18" t="n">
        <v>-10259.17</v>
      </c>
      <c r="K72" s="37" t="n">
        <v>4511.82</v>
      </c>
      <c r="L72" s="18" t="n">
        <v>2161.28</v>
      </c>
      <c r="M72" s="18" t="n">
        <v>-32.98</v>
      </c>
      <c r="N72" s="18" t="n">
        <v>2626.89</v>
      </c>
      <c r="O72" s="18" t="n">
        <v>-5692.03</v>
      </c>
      <c r="P72" s="37" t="n">
        <v>-936.84</v>
      </c>
      <c r="Q72" s="18" t="n">
        <v>4949.88</v>
      </c>
      <c r="R72" s="18" t="n">
        <v>2800.39</v>
      </c>
      <c r="S72" s="18" t="n">
        <v>-5445.4</v>
      </c>
      <c r="T72" s="18" t="n">
        <v>10666.73</v>
      </c>
      <c r="U72" s="37" t="n">
        <v>12971.6</v>
      </c>
      <c r="V72" s="18" t="n">
        <v>-1141.77</v>
      </c>
      <c r="W72" s="18" t="n">
        <v>-7900.23</v>
      </c>
      <c r="X72" s="18" t="n">
        <v>3647</v>
      </c>
      <c r="Y72" s="18" t="n">
        <v>-940.11</v>
      </c>
      <c r="Z72" s="37" t="n">
        <v>-6335.11</v>
      </c>
      <c r="AA72" s="18" t="n">
        <v>8126.01</v>
      </c>
      <c r="AB72" s="19" t="n">
        <v>2781.34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계속사업이익</t>
        </is>
      </c>
      <c r="E73" s="18" t="n">
        <v>3536.84</v>
      </c>
      <c r="F73" s="9" t="n"/>
      <c r="G73" s="18" t="n">
        <v>2898.8</v>
      </c>
      <c r="H73" s="18" t="n">
        <v>6665.24</v>
      </c>
      <c r="I73" s="18" t="n">
        <v>6664.72</v>
      </c>
      <c r="J73" s="18" t="n">
        <v>-199.55</v>
      </c>
      <c r="K73" s="37" t="n">
        <v>16029.21</v>
      </c>
      <c r="L73" s="18" t="n">
        <v>1005.74</v>
      </c>
      <c r="M73" s="18" t="n">
        <v>5679.05</v>
      </c>
      <c r="N73" s="18" t="n">
        <v>519.9400000000001</v>
      </c>
      <c r="O73" s="18" t="n">
        <v>-1672.31</v>
      </c>
      <c r="P73" s="37" t="n">
        <v>5532.42</v>
      </c>
      <c r="Q73" s="18" t="n">
        <v>-4871.53</v>
      </c>
      <c r="R73" s="18" t="n">
        <v>2655.17</v>
      </c>
      <c r="S73" s="18" t="n">
        <v>-12118.47</v>
      </c>
      <c r="T73" s="18" t="n">
        <v>11323.25</v>
      </c>
      <c r="U73" s="37" t="n">
        <v>-3011.58</v>
      </c>
      <c r="V73" s="18" t="n">
        <v>-14132.1</v>
      </c>
      <c r="W73" s="18" t="n">
        <v>-4067.81</v>
      </c>
      <c r="X73" s="18" t="n">
        <v>3358.8</v>
      </c>
      <c r="Y73" s="18" t="n">
        <v>22305.03</v>
      </c>
      <c r="Z73" s="37" t="n">
        <v>7463.92</v>
      </c>
      <c r="AA73" s="18" t="n">
        <v>13471.92</v>
      </c>
      <c r="AB73" s="19" t="n">
        <v>4745.48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이자수익</t>
        </is>
      </c>
      <c r="F74" s="9" t="n"/>
      <c r="G74" s="18" t="n">
        <v>226.85</v>
      </c>
      <c r="H74" s="18" t="n">
        <v>162.08</v>
      </c>
      <c r="I74" s="18" t="n">
        <v>236.84</v>
      </c>
      <c r="J74" s="18" t="n">
        <v>239.11</v>
      </c>
      <c r="K74" s="37" t="n">
        <v>864.88</v>
      </c>
      <c r="L74" s="18" t="n">
        <v>250.21</v>
      </c>
      <c r="M74" s="18" t="n">
        <v>88.04000000000001</v>
      </c>
      <c r="N74" s="18" t="n">
        <v>876.5700000000001</v>
      </c>
      <c r="O74" s="18" t="n">
        <v>1125.53</v>
      </c>
      <c r="P74" s="37" t="n">
        <v>2340.35</v>
      </c>
      <c r="Q74" s="18" t="n">
        <v>1219.52</v>
      </c>
      <c r="R74" s="18" t="n">
        <v>1043.72</v>
      </c>
      <c r="S74" s="18" t="n">
        <v>784.0599999999999</v>
      </c>
      <c r="T74" s="18" t="n">
        <v>481.38</v>
      </c>
      <c r="U74" s="37" t="n">
        <v>3528.68</v>
      </c>
      <c r="V74" s="18" t="n">
        <v>395.36</v>
      </c>
      <c r="W74" s="18" t="n">
        <v>185.36</v>
      </c>
      <c r="X74" s="18" t="n">
        <v>287.02</v>
      </c>
      <c r="Y74" s="18" t="n">
        <v>322.2</v>
      </c>
      <c r="Z74" s="37" t="n">
        <v>1189.94</v>
      </c>
      <c r="AB74" s="19" t="n">
        <v>257.97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이자비용</t>
        </is>
      </c>
      <c r="F75" s="9" t="n"/>
      <c r="G75" s="18" t="n">
        <v>298.98</v>
      </c>
      <c r="H75" s="18" t="n">
        <v>406.42</v>
      </c>
      <c r="I75" s="18" t="n">
        <v>178.95</v>
      </c>
      <c r="J75" s="18" t="n">
        <v>673.16</v>
      </c>
      <c r="K75" s="37" t="n">
        <v>1557.51</v>
      </c>
      <c r="L75" s="18" t="n">
        <v>1230.34</v>
      </c>
      <c r="M75" s="18" t="n">
        <v>1605.27</v>
      </c>
      <c r="N75" s="18" t="n">
        <v>1518.14</v>
      </c>
      <c r="O75" s="18" t="n">
        <v>1512.8</v>
      </c>
      <c r="P75" s="37" t="n">
        <v>5866.55</v>
      </c>
      <c r="Q75" s="18" t="n">
        <v>1475.48</v>
      </c>
      <c r="R75" s="18" t="n">
        <v>1466.12</v>
      </c>
      <c r="S75" s="18" t="n">
        <v>1451.62</v>
      </c>
      <c r="T75" s="18" t="n">
        <v>1447.17</v>
      </c>
      <c r="U75" s="37" t="n">
        <v>5840.39</v>
      </c>
      <c r="V75" s="18" t="n">
        <v>1314.93</v>
      </c>
      <c r="W75" s="18" t="n">
        <v>1254.3</v>
      </c>
      <c r="X75" s="18" t="n">
        <v>1397.96</v>
      </c>
      <c r="Y75" s="18" t="n">
        <v>1523.25</v>
      </c>
      <c r="Z75" s="37" t="n">
        <v>5490.44</v>
      </c>
      <c r="AB75" s="19" t="n">
        <v>1742.09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파생상품손실</t>
        </is>
      </c>
      <c r="F76" s="9" t="n"/>
      <c r="G76" s="18" t="n">
        <v>215.42</v>
      </c>
      <c r="H76" s="18" t="n">
        <v>1967.65</v>
      </c>
      <c r="I76" s="18" t="n">
        <v>2816.48</v>
      </c>
      <c r="J76" s="18" t="n">
        <v>-1857.71</v>
      </c>
      <c r="K76" s="37" t="n">
        <v>3141.84</v>
      </c>
      <c r="L76" s="18" t="n">
        <v>11.72</v>
      </c>
      <c r="M76" s="18" t="n">
        <v>0</v>
      </c>
      <c r="N76" s="18" t="n">
        <v>0</v>
      </c>
      <c r="O76" s="18" t="n">
        <v>0</v>
      </c>
      <c r="P76" s="37" t="n">
        <v>11.72</v>
      </c>
      <c r="U76" s="9" t="n"/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이자손익</t>
        </is>
      </c>
      <c r="F77" s="9" t="n"/>
      <c r="G77" s="18" t="n">
        <v>-72.13</v>
      </c>
      <c r="H77" s="18" t="n">
        <v>-244.34</v>
      </c>
      <c r="I77" s="18" t="n">
        <v>57.89</v>
      </c>
      <c r="J77" s="18" t="n">
        <v>-434.05</v>
      </c>
      <c r="K77" s="37" t="n">
        <v>-692.63</v>
      </c>
      <c r="L77" s="18" t="n">
        <v>-980.13</v>
      </c>
      <c r="M77" s="18" t="n">
        <v>-1517.23</v>
      </c>
      <c r="N77" s="18" t="n">
        <v>-641.5700000000001</v>
      </c>
      <c r="O77" s="18" t="n">
        <v>-387.27</v>
      </c>
      <c r="P77" s="37" t="n">
        <v>-3526.2</v>
      </c>
      <c r="Q77" s="18" t="n">
        <v>-255.96</v>
      </c>
      <c r="R77" s="18" t="n">
        <v>-422.4</v>
      </c>
      <c r="S77" s="18" t="n">
        <v>-667.5599999999999</v>
      </c>
      <c r="T77" s="18" t="n">
        <v>-965.79</v>
      </c>
      <c r="U77" s="37" t="n">
        <v>-2311.71</v>
      </c>
      <c r="V77" s="18" t="n">
        <v>-919.5700000000001</v>
      </c>
      <c r="W77" s="18" t="n">
        <v>-1068.94</v>
      </c>
      <c r="X77" s="18" t="n">
        <v>-1110.94</v>
      </c>
      <c r="Y77" s="18" t="n">
        <v>-1201.05</v>
      </c>
      <c r="Z77" s="37" t="n">
        <v>-4300.5</v>
      </c>
      <c r="AB77" s="19" t="n">
        <v>-1484.12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배당금수익</t>
        </is>
      </c>
      <c r="F78" s="9" t="n"/>
      <c r="I78" s="18" t="n">
        <v>0</v>
      </c>
      <c r="J78" s="18" t="n">
        <v>0</v>
      </c>
      <c r="K78" s="9" t="n"/>
      <c r="P78" s="9" t="n"/>
      <c r="U78" s="9" t="n"/>
      <c r="V78" s="18" t="n">
        <v>382.52</v>
      </c>
      <c r="W78" s="18" t="n">
        <v>133.05</v>
      </c>
      <c r="X78" s="18" t="n">
        <v>88.79000000000001</v>
      </c>
      <c r="Y78" s="18" t="n">
        <v>-212.64</v>
      </c>
      <c r="Z78" s="37" t="n">
        <v>391.72</v>
      </c>
      <c r="AB78" s="19" t="n">
        <v>82.54000000000001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(비지배주주지분)당기순이익</t>
        </is>
      </c>
      <c r="F79" s="9" t="n"/>
      <c r="K79" s="9" t="n"/>
      <c r="P79" s="9" t="n"/>
      <c r="U79" s="9" t="n"/>
      <c r="Z79" s="9" t="n"/>
      <c r="AB79" s="19" t="n">
        <v>0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572.6</v>
      </c>
      <c r="F80" s="9" t="n"/>
      <c r="G80" s="18" t="n">
        <v>-10250.78</v>
      </c>
      <c r="H80" s="18" t="n">
        <v>-303.94</v>
      </c>
      <c r="I80" s="18" t="n">
        <v>1158.22</v>
      </c>
      <c r="J80" s="18" t="n">
        <v>-16685.78</v>
      </c>
      <c r="K80" s="37" t="n">
        <v>-26082.28</v>
      </c>
      <c r="L80" s="18" t="n">
        <v>-15921.34</v>
      </c>
      <c r="M80" s="18" t="n">
        <v>7069.53</v>
      </c>
      <c r="N80" s="18" t="n">
        <v>18612.77</v>
      </c>
      <c r="O80" s="18" t="n">
        <v>20057.32</v>
      </c>
      <c r="P80" s="37" t="n">
        <v>29818.28</v>
      </c>
      <c r="Q80" s="18" t="n">
        <v>17964.21</v>
      </c>
      <c r="R80" s="18" t="n">
        <v>-2223.68</v>
      </c>
      <c r="S80" s="18" t="n">
        <v>-17695.02</v>
      </c>
      <c r="T80" s="18" t="n">
        <v>5911.45</v>
      </c>
      <c r="U80" s="37" t="n">
        <v>3956.96</v>
      </c>
      <c r="V80" s="18" t="n">
        <v>11807.24</v>
      </c>
      <c r="W80" s="18" t="n">
        <v>-33423.21</v>
      </c>
      <c r="X80" s="18" t="n">
        <v>-7706.54</v>
      </c>
      <c r="Y80" s="18" t="n">
        <v>11083.29</v>
      </c>
      <c r="Z80" s="37" t="n">
        <v>-18239.22</v>
      </c>
      <c r="AA80" s="18" t="n">
        <v>17078.09</v>
      </c>
      <c r="AB80" s="19" t="n">
        <v>-4214.92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이자수취(CF)</t>
        </is>
      </c>
      <c r="E81" s="18" t="n">
        <v>60.86</v>
      </c>
      <c r="F81" s="9" t="n"/>
      <c r="G81" s="18" t="n">
        <v>277.57</v>
      </c>
      <c r="H81" s="18" t="n">
        <v>260.07</v>
      </c>
      <c r="I81" s="18" t="n">
        <v>177.87</v>
      </c>
      <c r="J81" s="18" t="n">
        <v>168.76</v>
      </c>
      <c r="K81" s="37" t="n">
        <v>884.27</v>
      </c>
      <c r="L81" s="18" t="n">
        <v>232.8</v>
      </c>
      <c r="M81" s="18" t="n">
        <v>125.83</v>
      </c>
      <c r="N81" s="18" t="n">
        <v>399.25</v>
      </c>
      <c r="O81" s="18" t="n">
        <v>1046.42</v>
      </c>
      <c r="P81" s="37" t="n">
        <v>1804.3</v>
      </c>
      <c r="Q81" s="18" t="n">
        <v>1110.31</v>
      </c>
      <c r="R81" s="18" t="n">
        <v>1106.02</v>
      </c>
      <c r="S81" s="18" t="n">
        <v>1139.32</v>
      </c>
      <c r="T81" s="18" t="n">
        <v>484.46</v>
      </c>
      <c r="U81" s="37" t="n">
        <v>3840.11</v>
      </c>
      <c r="V81" s="18" t="n">
        <v>242.33</v>
      </c>
      <c r="W81" s="18" t="n">
        <v>349.7</v>
      </c>
      <c r="X81" s="18" t="n">
        <v>298.93</v>
      </c>
      <c r="Y81" s="18" t="n">
        <v>338.41</v>
      </c>
      <c r="Z81" s="37" t="n">
        <v>1229.37</v>
      </c>
      <c r="AA81" s="18" t="n">
        <v>294.16</v>
      </c>
      <c r="AB81" s="19" t="n">
        <v>204.1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이자지급(CF)</t>
        </is>
      </c>
      <c r="E82" s="18" t="n">
        <v>-219.24</v>
      </c>
      <c r="F82" s="9" t="n"/>
      <c r="G82" s="18" t="n">
        <v>-241.35</v>
      </c>
      <c r="H82" s="18" t="n">
        <v>-376.13</v>
      </c>
      <c r="I82" s="18" t="n">
        <v>-486.56</v>
      </c>
      <c r="J82" s="18" t="n">
        <v>-673.73</v>
      </c>
      <c r="K82" s="37" t="n">
        <v>-1777.77</v>
      </c>
      <c r="L82" s="18" t="n">
        <v>-1061.27</v>
      </c>
      <c r="M82" s="18" t="n">
        <v>-1285.17</v>
      </c>
      <c r="P82" s="9" t="n"/>
      <c r="U82" s="9" t="n"/>
      <c r="X82" s="18" t="n">
        <v>-1253.32</v>
      </c>
      <c r="Y82" s="18" t="n">
        <v>-1379.7</v>
      </c>
      <c r="Z82" s="9" t="n"/>
      <c r="AA82" s="18" t="n">
        <v>-1318.4</v>
      </c>
      <c r="AB82" s="19" t="n">
        <v>-1424.13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배당금수취(CF)</t>
        </is>
      </c>
      <c r="E83" s="18" t="n">
        <v>0</v>
      </c>
      <c r="F83" s="9" t="n"/>
      <c r="I83" s="18" t="n">
        <v>0</v>
      </c>
      <c r="J83" s="18" t="n">
        <v>19.58</v>
      </c>
      <c r="K83" s="9" t="n"/>
      <c r="L83" s="18" t="n">
        <v>9.789999999999999</v>
      </c>
      <c r="P83" s="9" t="n"/>
      <c r="T83" s="18" t="n">
        <v>0</v>
      </c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법인세납부(CF)</t>
        </is>
      </c>
      <c r="E84" s="18" t="n">
        <v>-516.3</v>
      </c>
      <c r="F84" s="9" t="n"/>
      <c r="G84" s="18" t="n">
        <v>-100.78</v>
      </c>
      <c r="H84" s="18" t="n">
        <v>-209.65</v>
      </c>
      <c r="I84" s="18" t="n">
        <v>-20.22</v>
      </c>
      <c r="J84" s="18" t="n">
        <v>-185.44</v>
      </c>
      <c r="K84" s="37" t="n">
        <v>-516.09</v>
      </c>
      <c r="L84" s="18" t="n">
        <v>-273.41</v>
      </c>
      <c r="M84" s="18" t="n">
        <v>-1476.65</v>
      </c>
      <c r="N84" s="18" t="n">
        <v>-54.65</v>
      </c>
      <c r="O84" s="18" t="n">
        <v>-645.9400000000001</v>
      </c>
      <c r="P84" s="37" t="n">
        <v>-2450.65</v>
      </c>
      <c r="Q84" s="18" t="n">
        <v>-886.8099999999999</v>
      </c>
      <c r="R84" s="18" t="n">
        <v>-126.38</v>
      </c>
      <c r="S84" s="18" t="n">
        <v>-257.21</v>
      </c>
      <c r="T84" s="18" t="n">
        <v>294.56</v>
      </c>
      <c r="U84" s="37" t="n">
        <v>-975.84</v>
      </c>
      <c r="V84" s="18" t="n">
        <v>-637.63</v>
      </c>
      <c r="W84" s="18" t="n">
        <v>941.97</v>
      </c>
      <c r="X84" s="18" t="n">
        <v>-244.62</v>
      </c>
      <c r="Y84" s="18" t="n">
        <v>-131.8</v>
      </c>
      <c r="Z84" s="37" t="n">
        <v>-72.08</v>
      </c>
      <c r="AA84" s="18" t="n">
        <v>-1126</v>
      </c>
      <c r="AB84" s="19" t="n">
        <v>-2045.49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투자활동으로인한현금흐름</t>
        </is>
      </c>
      <c r="E85" s="18" t="n">
        <v>-2905.39</v>
      </c>
      <c r="F85" s="9" t="n"/>
      <c r="G85" s="18" t="n">
        <v>-7074.62</v>
      </c>
      <c r="H85" s="18" t="n">
        <v>-539.5</v>
      </c>
      <c r="I85" s="18" t="n">
        <v>-14168.85</v>
      </c>
      <c r="J85" s="18" t="n">
        <v>-5794.54</v>
      </c>
      <c r="K85" s="37" t="n">
        <v>-27577.51</v>
      </c>
      <c r="L85" s="18" t="n">
        <v>-1735.47</v>
      </c>
      <c r="M85" s="18" t="n">
        <v>-17467.06</v>
      </c>
      <c r="N85" s="18" t="n">
        <v>-61014.02</v>
      </c>
      <c r="O85" s="18" t="n">
        <v>-7337.33</v>
      </c>
      <c r="P85" s="37" t="n">
        <v>-87553.88</v>
      </c>
      <c r="Q85" s="18" t="n">
        <v>-29623.27</v>
      </c>
      <c r="R85" s="18" t="n">
        <v>-12644.71</v>
      </c>
      <c r="S85" s="18" t="n">
        <v>19558.09</v>
      </c>
      <c r="T85" s="18" t="n">
        <v>-3825</v>
      </c>
      <c r="U85" s="37" t="n">
        <v>-26534.89</v>
      </c>
      <c r="V85" s="18" t="n">
        <v>-6387.86</v>
      </c>
      <c r="W85" s="18" t="n">
        <v>10860.28</v>
      </c>
      <c r="X85" s="18" t="n">
        <v>-574.42</v>
      </c>
      <c r="Y85" s="18" t="n">
        <v>12248.11</v>
      </c>
      <c r="Z85" s="37" t="n">
        <v>16146.11</v>
      </c>
      <c r="AA85" s="18" t="n">
        <v>-14000.62</v>
      </c>
      <c r="AB85" s="19" t="n">
        <v>-10221.89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유형자산의감소</t>
        </is>
      </c>
      <c r="E86" s="18" t="n">
        <v>-0.71</v>
      </c>
      <c r="F86" s="9" t="n"/>
      <c r="G86" s="18" t="n">
        <v>27</v>
      </c>
      <c r="H86" s="18" t="n">
        <v>0</v>
      </c>
      <c r="I86" s="18" t="n">
        <v>69.03</v>
      </c>
      <c r="J86" s="18" t="n">
        <v>0</v>
      </c>
      <c r="K86" s="37" t="n">
        <v>96.03</v>
      </c>
      <c r="L86" s="18" t="n">
        <v>17.87</v>
      </c>
      <c r="N86" s="18" t="n">
        <v>0</v>
      </c>
      <c r="O86" s="18" t="n">
        <v>32.24</v>
      </c>
      <c r="P86" s="9" t="n"/>
      <c r="Q86" s="18" t="n">
        <v>1117.11</v>
      </c>
      <c r="R86" s="18" t="n">
        <v>71.64</v>
      </c>
      <c r="S86" s="18" t="n">
        <v>2</v>
      </c>
      <c r="U86" s="9" t="n"/>
      <c r="V86" s="18" t="n">
        <v>0.63</v>
      </c>
      <c r="W86" s="18" t="n">
        <v>0</v>
      </c>
      <c r="X86" s="18" t="n">
        <v>0</v>
      </c>
      <c r="Y86" s="18" t="n">
        <v>4806.35</v>
      </c>
      <c r="Z86" s="37" t="n">
        <v>4806.98</v>
      </c>
      <c r="AA86" s="18" t="n">
        <v>0.17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유형자산의증가</t>
        </is>
      </c>
      <c r="E87" s="18" t="n">
        <v>6461.63</v>
      </c>
      <c r="F87" s="9" t="n"/>
      <c r="G87" s="18" t="n">
        <v>7784.68</v>
      </c>
      <c r="H87" s="18" t="n">
        <v>6647.6</v>
      </c>
      <c r="I87" s="18" t="n">
        <v>11955.85</v>
      </c>
      <c r="J87" s="18" t="n">
        <v>11270.49</v>
      </c>
      <c r="K87" s="37" t="n">
        <v>37658.62</v>
      </c>
      <c r="L87" s="18" t="n">
        <v>6854.3</v>
      </c>
      <c r="M87" s="18" t="n">
        <v>4092.89</v>
      </c>
      <c r="N87" s="18" t="n">
        <v>2945.81</v>
      </c>
      <c r="O87" s="18" t="n">
        <v>2736.43</v>
      </c>
      <c r="P87" s="37" t="n">
        <v>16629.43</v>
      </c>
      <c r="Q87" s="18" t="n">
        <v>5371.59</v>
      </c>
      <c r="R87" s="18" t="n">
        <v>1350.59</v>
      </c>
      <c r="S87" s="18" t="n">
        <v>2152.55</v>
      </c>
      <c r="T87" s="18" t="n">
        <v>1179.42</v>
      </c>
      <c r="U87" s="37" t="n">
        <v>10054.15</v>
      </c>
      <c r="V87" s="18" t="n">
        <v>780.35</v>
      </c>
      <c r="W87" s="18" t="n">
        <v>1037.95</v>
      </c>
      <c r="X87" s="18" t="n">
        <v>9521.309999999999</v>
      </c>
      <c r="Y87" s="18" t="n">
        <v>1197.69</v>
      </c>
      <c r="Z87" s="37" t="n">
        <v>12537.3</v>
      </c>
      <c r="AA87" s="18" t="n">
        <v>9342.389999999999</v>
      </c>
      <c r="AB87" s="19" t="n">
        <v>7886.98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CAPEX</t>
        </is>
      </c>
      <c r="E88" s="18" t="n">
        <v>7415.08</v>
      </c>
      <c r="F88" s="9" t="n"/>
      <c r="G88" s="18" t="n">
        <v>8878.35</v>
      </c>
      <c r="H88" s="18" t="n">
        <v>8345.82</v>
      </c>
      <c r="I88" s="18" t="n">
        <v>13690.39</v>
      </c>
      <c r="J88" s="18" t="n">
        <v>13606.32</v>
      </c>
      <c r="K88" s="37" t="n">
        <v>44520.88</v>
      </c>
      <c r="L88" s="18" t="n">
        <v>8314.23</v>
      </c>
      <c r="M88" s="18" t="n">
        <v>5944.58</v>
      </c>
      <c r="N88" s="18" t="n">
        <v>7201.86</v>
      </c>
      <c r="O88" s="18" t="n">
        <v>8864.24</v>
      </c>
      <c r="P88" s="37" t="n">
        <v>30324.91</v>
      </c>
      <c r="Q88" s="18" t="n">
        <v>11888.35</v>
      </c>
      <c r="R88" s="18" t="n">
        <v>8806.139999999999</v>
      </c>
      <c r="S88" s="18" t="n">
        <v>5558.7</v>
      </c>
      <c r="T88" s="18" t="n">
        <v>3671.45</v>
      </c>
      <c r="U88" s="37" t="n">
        <v>29924.64</v>
      </c>
      <c r="V88" s="18" t="n">
        <v>2626.09</v>
      </c>
      <c r="W88" s="18" t="n">
        <v>6172.2</v>
      </c>
      <c r="X88" s="18" t="n">
        <v>14395.99</v>
      </c>
      <c r="Y88" s="18" t="n">
        <v>8405.51</v>
      </c>
      <c r="Z88" s="37" t="n">
        <v>31599.79</v>
      </c>
      <c r="AA88" s="18" t="n">
        <v>12964.28</v>
      </c>
      <c r="AB88" s="19" t="n">
        <v>10137.19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무형자산의증가</t>
        </is>
      </c>
      <c r="E89" s="18" t="n">
        <v>953.45</v>
      </c>
      <c r="F89" s="9" t="n"/>
      <c r="G89" s="18" t="n">
        <v>1093.67</v>
      </c>
      <c r="H89" s="18" t="n">
        <v>1698.22</v>
      </c>
      <c r="I89" s="18" t="n">
        <v>1734.54</v>
      </c>
      <c r="J89" s="18" t="n">
        <v>2335.83</v>
      </c>
      <c r="K89" s="37" t="n">
        <v>6862.26</v>
      </c>
      <c r="L89" s="18" t="n">
        <v>1459.93</v>
      </c>
      <c r="M89" s="18" t="n">
        <v>1851.69</v>
      </c>
      <c r="N89" s="18" t="n">
        <v>4256.05</v>
      </c>
      <c r="O89" s="18" t="n">
        <v>6127.81</v>
      </c>
      <c r="P89" s="37" t="n">
        <v>13695.48</v>
      </c>
      <c r="Q89" s="18" t="n">
        <v>6516.76</v>
      </c>
      <c r="R89" s="18" t="n">
        <v>7455.55</v>
      </c>
      <c r="S89" s="18" t="n">
        <v>3406.15</v>
      </c>
      <c r="T89" s="18" t="n">
        <v>2492.03</v>
      </c>
      <c r="U89" s="37" t="n">
        <v>19870.49</v>
      </c>
      <c r="V89" s="18" t="n">
        <v>1845.74</v>
      </c>
      <c r="W89" s="18" t="n">
        <v>5134.25</v>
      </c>
      <c r="X89" s="18" t="n">
        <v>4874.68</v>
      </c>
      <c r="Y89" s="18" t="n">
        <v>7207.82</v>
      </c>
      <c r="Z89" s="37" t="n">
        <v>19062.49</v>
      </c>
      <c r="AA89" s="18" t="n">
        <v>3621.89</v>
      </c>
      <c r="AB89" s="19" t="n">
        <v>2250.21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재무활동으로인한현금흐름</t>
        </is>
      </c>
      <c r="E90" s="18" t="n">
        <v>4861.65</v>
      </c>
      <c r="F90" s="9" t="n"/>
      <c r="G90" s="18" t="n">
        <v>14727.4</v>
      </c>
      <c r="H90" s="18" t="n">
        <v>-308.41</v>
      </c>
      <c r="I90" s="18" t="n">
        <v>20160.95</v>
      </c>
      <c r="J90" s="18" t="n">
        <v>21273.46</v>
      </c>
      <c r="K90" s="37" t="n">
        <v>55853.4</v>
      </c>
      <c r="L90" s="18" t="n">
        <v>11149.11</v>
      </c>
      <c r="M90" s="18" t="n">
        <v>19205.63</v>
      </c>
      <c r="N90" s="18" t="n">
        <v>62888.84</v>
      </c>
      <c r="O90" s="18" t="n">
        <v>-4269.59</v>
      </c>
      <c r="P90" s="37" t="n">
        <v>88973.99000000001</v>
      </c>
      <c r="Q90" s="18" t="n">
        <v>-4887.78</v>
      </c>
      <c r="R90" s="18" t="n">
        <v>5243.04</v>
      </c>
      <c r="S90" s="18" t="n">
        <v>-5169.97</v>
      </c>
      <c r="T90" s="18" t="n">
        <v>-8646.799999999999</v>
      </c>
      <c r="U90" s="37" t="n">
        <v>-13461.51</v>
      </c>
      <c r="V90" s="18" t="n">
        <v>-3440.56</v>
      </c>
      <c r="W90" s="18" t="n">
        <v>16064.18</v>
      </c>
      <c r="X90" s="18" t="n">
        <v>14746.44</v>
      </c>
      <c r="Y90" s="18" t="n">
        <v>-14297.97</v>
      </c>
      <c r="Z90" s="37" t="n">
        <v>13072.09</v>
      </c>
      <c r="AA90" s="18" t="n">
        <v>-4867.03</v>
      </c>
      <c r="AB90" s="19" t="n">
        <v>7456.99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단기차입금의증가</t>
        </is>
      </c>
      <c r="E91" s="18" t="n">
        <v>19500.28</v>
      </c>
      <c r="F91" s="9" t="n"/>
      <c r="G91" s="18" t="n">
        <v>19300</v>
      </c>
      <c r="H91" s="18" t="n">
        <v>39337.34</v>
      </c>
      <c r="I91" s="18" t="n">
        <v>13607.98</v>
      </c>
      <c r="J91" s="18" t="n">
        <v>32151.63</v>
      </c>
      <c r="K91" s="37" t="n">
        <v>104396.95</v>
      </c>
      <c r="L91" s="18" t="n">
        <v>47748</v>
      </c>
      <c r="M91" s="18" t="n">
        <v>36771.39</v>
      </c>
      <c r="N91" s="18" t="n">
        <v>38966.42</v>
      </c>
      <c r="O91" s="18" t="n">
        <v>0</v>
      </c>
      <c r="P91" s="37" t="n">
        <v>123485.81</v>
      </c>
      <c r="S91" s="18" t="n">
        <v>45002.67</v>
      </c>
      <c r="T91" s="18" t="n">
        <v>17000</v>
      </c>
      <c r="U91" s="9" t="n"/>
      <c r="V91" s="18" t="n">
        <v>261.95</v>
      </c>
      <c r="W91" s="18" t="n">
        <v>24500</v>
      </c>
      <c r="X91" s="18" t="n">
        <v>0</v>
      </c>
      <c r="Y91" s="18" t="n">
        <v>43288.21</v>
      </c>
      <c r="Z91" s="37" t="n">
        <v>68050.16</v>
      </c>
      <c r="AA91" s="18" t="n">
        <v>0</v>
      </c>
      <c r="AB91" s="19" t="n">
        <v>18299.9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단기차입금의감소</t>
        </is>
      </c>
      <c r="E92" s="18" t="n">
        <v>14400.28</v>
      </c>
      <c r="F92" s="9" t="n"/>
      <c r="G92" s="18" t="n">
        <v>10143.47</v>
      </c>
      <c r="H92" s="18" t="n">
        <v>36406.57</v>
      </c>
      <c r="I92" s="18" t="n">
        <v>0</v>
      </c>
      <c r="J92" s="18" t="n">
        <v>12905.26</v>
      </c>
      <c r="K92" s="37" t="n">
        <v>59455.3</v>
      </c>
      <c r="L92" s="18" t="n">
        <v>45704.37</v>
      </c>
      <c r="M92" s="18" t="n">
        <v>23638.07</v>
      </c>
      <c r="N92" s="18" t="n">
        <v>64500</v>
      </c>
      <c r="O92" s="18" t="n">
        <v>2981.26</v>
      </c>
      <c r="P92" s="37" t="n">
        <v>136823.7</v>
      </c>
      <c r="Q92" s="18" t="n">
        <v>500</v>
      </c>
      <c r="R92" s="18" t="n">
        <v>540.0599999999999</v>
      </c>
      <c r="S92" s="18" t="n">
        <v>47002.47</v>
      </c>
      <c r="T92" s="18" t="n">
        <v>24700</v>
      </c>
      <c r="U92" s="37" t="n">
        <v>72742.53</v>
      </c>
      <c r="V92" s="18" t="n">
        <v>261.95</v>
      </c>
      <c r="W92" s="18" t="n">
        <v>2500</v>
      </c>
      <c r="X92" s="18" t="n">
        <v>7416</v>
      </c>
      <c r="Y92" s="18" t="n">
        <v>44204.21</v>
      </c>
      <c r="Z92" s="37" t="n">
        <v>54382.16</v>
      </c>
      <c r="AA92" s="18" t="n">
        <v>416</v>
      </c>
      <c r="AB92" s="19" t="n">
        <v>6715.9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리스부채의상환</t>
        </is>
      </c>
      <c r="E93" s="18" t="n">
        <v>486.55</v>
      </c>
      <c r="F93" s="9" t="n"/>
      <c r="G93" s="18" t="n">
        <v>547.58</v>
      </c>
      <c r="H93" s="18" t="n">
        <v>634.99</v>
      </c>
      <c r="I93" s="18" t="n">
        <v>692.52</v>
      </c>
      <c r="J93" s="18" t="n">
        <v>866.27</v>
      </c>
      <c r="K93" s="37" t="n">
        <v>2741.36</v>
      </c>
      <c r="L93" s="18" t="n">
        <v>811.03</v>
      </c>
      <c r="M93" s="18" t="n">
        <v>842.89</v>
      </c>
      <c r="N93" s="18" t="n">
        <v>857.5</v>
      </c>
      <c r="O93" s="18" t="n">
        <v>863.65</v>
      </c>
      <c r="P93" s="37" t="n">
        <v>3375.07</v>
      </c>
      <c r="Q93" s="18" t="n">
        <v>1091.86</v>
      </c>
      <c r="R93" s="18" t="n">
        <v>1228.2</v>
      </c>
      <c r="S93" s="18" t="n">
        <v>1219.79</v>
      </c>
      <c r="T93" s="18" t="n">
        <v>1333.44</v>
      </c>
      <c r="U93" s="37" t="n">
        <v>4873.29</v>
      </c>
      <c r="V93" s="18" t="n">
        <v>1320.22</v>
      </c>
      <c r="W93" s="18" t="n">
        <v>1290.28</v>
      </c>
      <c r="X93" s="18" t="n">
        <v>1280.38</v>
      </c>
      <c r="Y93" s="18" t="n">
        <v>1320.97</v>
      </c>
      <c r="Z93" s="37" t="n">
        <v>5211.85</v>
      </c>
      <c r="AA93" s="18" t="n">
        <v>1823.8</v>
      </c>
      <c r="AB93" s="19" t="n">
        <v>1642.69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유동성장기부채의감소</t>
        </is>
      </c>
      <c r="E94" s="18" t="n">
        <v>95</v>
      </c>
      <c r="F94" s="9" t="n"/>
      <c r="G94" s="18" t="n">
        <v>95</v>
      </c>
      <c r="H94" s="18" t="n">
        <v>6319.1</v>
      </c>
      <c r="I94" s="18" t="n">
        <v>300.92</v>
      </c>
      <c r="J94" s="18" t="n">
        <v>4095</v>
      </c>
      <c r="K94" s="37" t="n">
        <v>10810.02</v>
      </c>
      <c r="L94" s="18" t="n">
        <v>309.44</v>
      </c>
      <c r="M94" s="18" t="n">
        <v>309.28</v>
      </c>
      <c r="N94" s="18" t="n">
        <v>394.38</v>
      </c>
      <c r="O94" s="18" t="n">
        <v>3519.26</v>
      </c>
      <c r="P94" s="37" t="n">
        <v>4532.36</v>
      </c>
      <c r="Q94" s="18" t="n">
        <v>4029.75</v>
      </c>
      <c r="R94" s="18" t="n">
        <v>5506.28</v>
      </c>
      <c r="S94" s="18" t="n">
        <v>1193.71</v>
      </c>
      <c r="T94" s="18" t="n">
        <v>1041.1</v>
      </c>
      <c r="U94" s="37" t="n">
        <v>11770.84</v>
      </c>
      <c r="V94" s="18" t="n">
        <v>1035.89</v>
      </c>
      <c r="W94" s="18" t="n">
        <v>3528.32</v>
      </c>
      <c r="X94" s="18" t="n">
        <v>3699.34</v>
      </c>
      <c r="Y94" s="18" t="n">
        <v>3635.61</v>
      </c>
      <c r="Z94" s="37" t="n">
        <v>11899.16</v>
      </c>
      <c r="AA94" s="18" t="n">
        <v>3472.47</v>
      </c>
      <c r="AB94" s="19" t="n">
        <v>960.5700000000001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장기차입금의증가</t>
        </is>
      </c>
      <c r="E95" s="18" t="n">
        <v>0</v>
      </c>
      <c r="F95" s="9" t="n"/>
      <c r="G95" s="18" t="n">
        <v>6000</v>
      </c>
      <c r="H95" s="18" t="n">
        <v>4000</v>
      </c>
      <c r="I95" s="18" t="n">
        <v>7500</v>
      </c>
      <c r="J95" s="18" t="n">
        <v>7000</v>
      </c>
      <c r="K95" s="37" t="n">
        <v>24500</v>
      </c>
      <c r="L95" s="18" t="n">
        <v>10000</v>
      </c>
      <c r="M95" s="18" t="n">
        <v>8000</v>
      </c>
      <c r="N95" s="18" t="n">
        <v>0</v>
      </c>
      <c r="O95" s="18" t="n">
        <v>3000</v>
      </c>
      <c r="P95" s="37" t="n">
        <v>21000</v>
      </c>
      <c r="Q95" s="18" t="n">
        <v>3500</v>
      </c>
      <c r="R95" s="18" t="n">
        <v>5000</v>
      </c>
      <c r="S95" s="18" t="n">
        <v>0</v>
      </c>
      <c r="T95" s="18" t="n">
        <v>2200</v>
      </c>
      <c r="U95" s="37" t="n">
        <v>10700</v>
      </c>
      <c r="Y95" s="18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배당금지급</t>
        </is>
      </c>
      <c r="E96" s="18" t="n">
        <v>0</v>
      </c>
      <c r="F96" s="9" t="n"/>
      <c r="I96" s="18" t="n">
        <v>0</v>
      </c>
      <c r="J96" s="18" t="n">
        <v>0</v>
      </c>
      <c r="K96" s="9" t="n"/>
      <c r="N96" s="18" t="n">
        <v>0</v>
      </c>
      <c r="O96" s="18" t="n">
        <v>0</v>
      </c>
      <c r="P96" s="9" t="n"/>
      <c r="S96" s="18" t="n">
        <v>0</v>
      </c>
      <c r="T96" s="18" t="n">
        <v>0</v>
      </c>
      <c r="U96" s="9" t="n"/>
      <c r="X96" s="18" t="n">
        <v>0</v>
      </c>
      <c r="Y96" s="18" t="n">
        <v>0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현금및현금성자산의증감</t>
        </is>
      </c>
      <c r="E97" s="18" t="n">
        <v>2528.86</v>
      </c>
      <c r="F97" s="9" t="n"/>
      <c r="G97" s="18" t="n">
        <v>-2598</v>
      </c>
      <c r="H97" s="18" t="n">
        <v>-1151.85</v>
      </c>
      <c r="I97" s="18" t="n">
        <v>7150.31</v>
      </c>
      <c r="J97" s="18" t="n">
        <v>-1206.84</v>
      </c>
      <c r="K97" s="37" t="n">
        <v>2193.62</v>
      </c>
      <c r="L97" s="18" t="n">
        <v>-6507.7</v>
      </c>
      <c r="M97" s="18" t="n">
        <v>8808.1</v>
      </c>
      <c r="N97" s="18" t="n">
        <v>20487.59</v>
      </c>
      <c r="O97" s="18" t="n">
        <v>8450.41</v>
      </c>
      <c r="P97" s="37" t="n">
        <v>31238.4</v>
      </c>
      <c r="Q97" s="18" t="n">
        <v>-16546.84</v>
      </c>
      <c r="R97" s="18" t="n">
        <v>-9625.35</v>
      </c>
      <c r="S97" s="18" t="n">
        <v>-3306.9</v>
      </c>
      <c r="T97" s="18" t="n">
        <v>-6560.34</v>
      </c>
      <c r="U97" s="37" t="n">
        <v>-36039.43</v>
      </c>
      <c r="V97" s="18" t="n">
        <v>1978.82</v>
      </c>
      <c r="W97" s="18" t="n">
        <v>-6498.75</v>
      </c>
      <c r="X97" s="18" t="n">
        <v>6465.48</v>
      </c>
      <c r="Y97" s="18" t="n">
        <v>9033.42</v>
      </c>
      <c r="Z97" s="37" t="n">
        <v>10978.97</v>
      </c>
      <c r="AA97" s="18" t="n">
        <v>-1789.57</v>
      </c>
      <c r="AB97" s="19" t="n">
        <v>-6979.81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기말현금및현금성자산</t>
        </is>
      </c>
      <c r="E98" s="18" t="n">
        <v>2428.42</v>
      </c>
      <c r="F98" s="9" t="n"/>
      <c r="G98" s="18" t="n">
        <v>20133.03</v>
      </c>
      <c r="H98" s="18" t="n">
        <v>-871.03</v>
      </c>
      <c r="I98" s="18" t="n">
        <v>7644.15</v>
      </c>
      <c r="J98" s="18" t="n">
        <v>-2491.58</v>
      </c>
      <c r="K98" s="37" t="n">
        <v>24414.57</v>
      </c>
      <c r="L98" s="18" t="n">
        <v>17940.93</v>
      </c>
      <c r="M98" s="18" t="n">
        <v>8898.040000000001</v>
      </c>
      <c r="N98" s="18" t="n">
        <v>21021.81</v>
      </c>
      <c r="O98" s="18" t="n">
        <v>8087.96</v>
      </c>
      <c r="P98" s="37" t="n">
        <v>55948.74</v>
      </c>
      <c r="Q98" s="18" t="n">
        <v>39907.26</v>
      </c>
      <c r="R98" s="18" t="n">
        <v>-9236.35</v>
      </c>
      <c r="S98" s="18" t="n">
        <v>-4192.04</v>
      </c>
      <c r="T98" s="18" t="n">
        <v>-4992.2</v>
      </c>
      <c r="U98" s="37" t="n">
        <v>21486.67</v>
      </c>
      <c r="V98" s="18" t="n">
        <v>24147.18</v>
      </c>
      <c r="W98" s="18" t="n">
        <v>-6931.21</v>
      </c>
      <c r="X98" s="18" t="n">
        <v>6303.43</v>
      </c>
      <c r="Y98" s="18" t="n">
        <v>9326.450000000001</v>
      </c>
      <c r="Z98" s="37" t="n">
        <v>32845.85</v>
      </c>
      <c r="AA98" s="18" t="n">
        <v>31798.82</v>
      </c>
      <c r="AB98" s="19" t="n">
        <v>-6699.45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자기주식의취득</t>
        </is>
      </c>
      <c r="F99" s="9" t="n"/>
      <c r="J99" s="18" t="n">
        <v>352.39</v>
      </c>
      <c r="K99" s="9" t="n"/>
      <c r="P99" s="9" t="n"/>
      <c r="U99" s="9" t="n"/>
      <c r="X99" s="18" t="n">
        <v>0</v>
      </c>
      <c r="Y99" s="18" t="n">
        <v>4996.88</v>
      </c>
      <c r="Z99" s="9" t="n"/>
      <c r="AA99" s="18" t="n">
        <v>0</v>
      </c>
      <c r="AB99" s="19" t="n">
        <v>0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사채의증가</t>
        </is>
      </c>
      <c r="F100" s="9" t="n"/>
      <c r="K100" s="9" t="n"/>
      <c r="P100" s="9" t="n"/>
      <c r="U100" s="9" t="n"/>
      <c r="Y100" s="18" t="n">
        <v>0</v>
      </c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인텔리안테크(별)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150245.59</v>
      </c>
      <c r="F5" s="37" t="n">
        <v>150245.59</v>
      </c>
      <c r="G5" s="18" t="n">
        <v>161544.35</v>
      </c>
      <c r="H5" s="18" t="n">
        <v>166391.98</v>
      </c>
      <c r="I5" s="18" t="n">
        <v>189426.26</v>
      </c>
      <c r="J5" s="18" t="n">
        <v>213759.26</v>
      </c>
      <c r="K5" s="37" t="n">
        <v>213759.26</v>
      </c>
      <c r="L5" s="18" t="n">
        <v>209663.09</v>
      </c>
      <c r="M5" s="18" t="n">
        <v>212953.11</v>
      </c>
      <c r="N5" s="18" t="n">
        <v>284836.15</v>
      </c>
      <c r="O5" s="18" t="n">
        <v>282081.26</v>
      </c>
      <c r="P5" s="37" t="n">
        <v>282081.26</v>
      </c>
      <c r="Q5" s="18" t="n">
        <v>260391.19</v>
      </c>
      <c r="R5" s="18" t="n">
        <v>285531.4</v>
      </c>
      <c r="S5" s="18" t="n">
        <v>254468.96</v>
      </c>
      <c r="T5" s="18" t="n">
        <v>221626.85</v>
      </c>
      <c r="U5" s="37" t="n">
        <v>221626.85</v>
      </c>
      <c r="V5" s="18" t="n">
        <v>221161.82</v>
      </c>
      <c r="W5" s="18" t="n">
        <v>239697.61</v>
      </c>
      <c r="X5" s="18" t="n">
        <v>268514.69</v>
      </c>
      <c r="Y5" s="18" t="n">
        <v>280363.82</v>
      </c>
      <c r="Z5" s="37" t="n">
        <v>280363.82</v>
      </c>
      <c r="AA5" s="18" t="n">
        <v>265961.92</v>
      </c>
      <c r="AB5" s="19" t="n">
        <v>299508.88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15272.86</v>
      </c>
      <c r="F6" s="37" t="n">
        <v>15272.86</v>
      </c>
      <c r="G6" s="18" t="n">
        <v>10716.67</v>
      </c>
      <c r="H6" s="18" t="n">
        <v>11220.52</v>
      </c>
      <c r="I6" s="18" t="n">
        <v>18082.28</v>
      </c>
      <c r="J6" s="18" t="n">
        <v>14470.34</v>
      </c>
      <c r="K6" s="37" t="n">
        <v>14470.34</v>
      </c>
      <c r="L6" s="18" t="n">
        <v>7943.73</v>
      </c>
      <c r="M6" s="18" t="n">
        <v>14470.35</v>
      </c>
      <c r="N6" s="18" t="n">
        <v>30099.79</v>
      </c>
      <c r="O6" s="18" t="n">
        <v>44532.01</v>
      </c>
      <c r="P6" s="37" t="n">
        <v>44532.01</v>
      </c>
      <c r="Q6" s="18" t="n">
        <v>21302.45</v>
      </c>
      <c r="R6" s="18" t="n">
        <v>17584.38</v>
      </c>
      <c r="S6" s="18" t="n">
        <v>12596.01</v>
      </c>
      <c r="T6" s="18" t="n">
        <v>9814.01</v>
      </c>
      <c r="U6" s="37" t="n">
        <v>9814.01</v>
      </c>
      <c r="V6" s="18" t="n">
        <v>9959.15</v>
      </c>
      <c r="W6" s="18" t="n">
        <v>5333.45</v>
      </c>
      <c r="X6" s="18" t="n">
        <v>9780.07</v>
      </c>
      <c r="Y6" s="18" t="n">
        <v>20151.37</v>
      </c>
      <c r="Z6" s="37" t="n">
        <v>20151.37</v>
      </c>
      <c r="AA6" s="18" t="n">
        <v>10562.46</v>
      </c>
      <c r="AB6" s="19" t="n">
        <v>14978.31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35344.38</v>
      </c>
      <c r="F7" s="37" t="n">
        <v>35344.38</v>
      </c>
      <c r="G7" s="18" t="n">
        <v>31965.52</v>
      </c>
      <c r="H7" s="18" t="n">
        <v>19001.27</v>
      </c>
      <c r="I7" s="18" t="n">
        <v>18704.43</v>
      </c>
      <c r="J7" s="18" t="n">
        <v>5896.06</v>
      </c>
      <c r="K7" s="37" t="n">
        <v>5896.06</v>
      </c>
      <c r="M7" s="18" t="n">
        <v>10834.26</v>
      </c>
      <c r="N7" s="18" t="n">
        <v>65030.04</v>
      </c>
      <c r="O7" s="18" t="n">
        <v>66353.66</v>
      </c>
      <c r="P7" s="37" t="n">
        <v>66353.66</v>
      </c>
      <c r="Q7" s="18" t="n">
        <v>78172.42999999999</v>
      </c>
      <c r="R7" s="18" t="n">
        <v>75138.84</v>
      </c>
      <c r="S7" s="18" t="n">
        <v>42642.71</v>
      </c>
      <c r="T7" s="18" t="n">
        <v>37682.92</v>
      </c>
      <c r="U7" s="37" t="n">
        <v>37682.92</v>
      </c>
      <c r="V7" s="18" t="n">
        <v>42166.67</v>
      </c>
      <c r="W7" s="18" t="n">
        <v>15049.2</v>
      </c>
      <c r="X7" s="18" t="n">
        <v>7558.8</v>
      </c>
      <c r="Y7" s="18" t="n">
        <v>500</v>
      </c>
      <c r="Z7" s="37" t="n">
        <v>500</v>
      </c>
      <c r="AA7" s="18" t="n">
        <v>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35346.69</v>
      </c>
      <c r="F8" s="37" t="n">
        <v>35346.69</v>
      </c>
      <c r="G8" s="18" t="n">
        <v>31965.52</v>
      </c>
      <c r="H8" s="18" t="n">
        <v>19001.27</v>
      </c>
      <c r="I8" s="18" t="n">
        <v>18704.43</v>
      </c>
      <c r="J8" s="18" t="n">
        <v>5896.06</v>
      </c>
      <c r="K8" s="37" t="n">
        <v>5896.06</v>
      </c>
      <c r="M8" s="18" t="n">
        <v>10834.26</v>
      </c>
      <c r="N8" s="18" t="n">
        <v>65030.04</v>
      </c>
      <c r="O8" s="18" t="n">
        <v>66353.66</v>
      </c>
      <c r="P8" s="37" t="n">
        <v>66353.66</v>
      </c>
      <c r="Q8" s="18" t="n">
        <v>78172.42999999999</v>
      </c>
      <c r="R8" s="18" t="n">
        <v>75138.84</v>
      </c>
      <c r="S8" s="18" t="n">
        <v>42642.71</v>
      </c>
      <c r="T8" s="18" t="n">
        <v>37682.92</v>
      </c>
      <c r="U8" s="37" t="n">
        <v>37682.92</v>
      </c>
      <c r="V8" s="18" t="n">
        <v>42166.67</v>
      </c>
      <c r="W8" s="18" t="n">
        <v>15049.2</v>
      </c>
      <c r="X8" s="18" t="n">
        <v>7558.8</v>
      </c>
      <c r="Y8" s="18" t="n">
        <v>500</v>
      </c>
      <c r="Z8" s="37" t="n">
        <v>500</v>
      </c>
      <c r="AA8" s="18" t="n">
        <v>0</v>
      </c>
      <c r="AB8" s="19" t="n">
        <v>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58629.42</v>
      </c>
      <c r="F9" s="37" t="n">
        <v>58629.42</v>
      </c>
      <c r="G9" s="18" t="n">
        <v>67543.39</v>
      </c>
      <c r="H9" s="18" t="n">
        <v>67396.85000000001</v>
      </c>
      <c r="I9" s="18" t="n">
        <v>72297.52</v>
      </c>
      <c r="J9" s="18" t="n">
        <v>96690.69</v>
      </c>
      <c r="K9" s="37" t="n">
        <v>96690.69</v>
      </c>
      <c r="L9" s="18" t="n">
        <v>94392.19</v>
      </c>
      <c r="M9" s="18" t="n">
        <v>92223.7</v>
      </c>
      <c r="N9" s="18" t="n">
        <v>102397.4</v>
      </c>
      <c r="O9" s="18" t="n">
        <v>99788.66</v>
      </c>
      <c r="P9" s="37" t="n">
        <v>99788.66</v>
      </c>
      <c r="Q9" s="18" t="n">
        <v>83787.33</v>
      </c>
      <c r="R9" s="18" t="n">
        <v>103559.32</v>
      </c>
      <c r="S9" s="18" t="n">
        <v>99077.8</v>
      </c>
      <c r="T9" s="18" t="n">
        <v>95504.7</v>
      </c>
      <c r="U9" s="37" t="n">
        <v>95504.7</v>
      </c>
      <c r="V9" s="18" t="n">
        <v>82785.75999999999</v>
      </c>
      <c r="W9" s="18" t="n">
        <v>121787.93</v>
      </c>
      <c r="X9" s="18" t="n">
        <v>147368.75</v>
      </c>
      <c r="Y9" s="18" t="n">
        <v>174031.03</v>
      </c>
      <c r="Z9" s="37" t="n">
        <v>174031.03</v>
      </c>
      <c r="AA9" s="18" t="n">
        <v>148460.54</v>
      </c>
      <c r="AB9" s="19" t="n">
        <v>163858.65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77.05</v>
      </c>
      <c r="F10" s="37" t="n">
        <v>77.05</v>
      </c>
      <c r="G10" s="18" t="n">
        <v>116</v>
      </c>
      <c r="H10" s="18" t="n">
        <v>255.99</v>
      </c>
      <c r="I10" s="18" t="n">
        <v>63.42</v>
      </c>
      <c r="J10" s="18" t="n">
        <v>53.4</v>
      </c>
      <c r="K10" s="37" t="n">
        <v>53.4</v>
      </c>
      <c r="L10" s="18" t="n">
        <v>53.4</v>
      </c>
      <c r="P10" s="9" t="n"/>
      <c r="Q10" s="18" t="n">
        <v>852.66</v>
      </c>
      <c r="R10" s="18" t="n">
        <v>512.5</v>
      </c>
      <c r="S10" s="18" t="n">
        <v>1274.68</v>
      </c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18" t="n">
        <v>2.31</v>
      </c>
      <c r="F11" s="37" t="n">
        <v>2.31</v>
      </c>
      <c r="K11" s="9" t="n"/>
      <c r="P11" s="9" t="n"/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5359.41</v>
      </c>
      <c r="F12" s="37" t="n">
        <v>5359.41</v>
      </c>
      <c r="G12" s="18" t="n">
        <v>6282.55</v>
      </c>
      <c r="H12" s="18" t="n">
        <v>9133.24</v>
      </c>
      <c r="I12" s="18" t="n">
        <v>9118.48</v>
      </c>
      <c r="J12" s="18" t="n">
        <v>9646.440000000001</v>
      </c>
      <c r="K12" s="37" t="n">
        <v>9646.440000000001</v>
      </c>
      <c r="L12" s="18" t="n">
        <v>8872.049999999999</v>
      </c>
      <c r="M12" s="18" t="n">
        <v>9023.4</v>
      </c>
      <c r="N12" s="18" t="n">
        <v>6006.97</v>
      </c>
      <c r="O12" s="18" t="n">
        <v>5991.66</v>
      </c>
      <c r="P12" s="37" t="n">
        <v>5991.66</v>
      </c>
      <c r="Q12" s="18" t="n">
        <v>7143.94</v>
      </c>
      <c r="R12" s="18" t="n">
        <v>8704.4</v>
      </c>
      <c r="S12" s="18" t="n">
        <v>9430.280000000001</v>
      </c>
      <c r="T12" s="18" t="n">
        <v>4155.7</v>
      </c>
      <c r="U12" s="37" t="n">
        <v>4155.7</v>
      </c>
      <c r="V12" s="18" t="n">
        <v>4441.33</v>
      </c>
      <c r="W12" s="18" t="n">
        <v>6691.89</v>
      </c>
      <c r="X12" s="18" t="n">
        <v>4350.94</v>
      </c>
      <c r="Y12" s="18" t="n">
        <v>5081.45</v>
      </c>
      <c r="Z12" s="37" t="n">
        <v>5081.45</v>
      </c>
      <c r="AA12" s="18" t="n">
        <v>5040.88</v>
      </c>
      <c r="AB12" s="19" t="n">
        <v>6782.69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18" t="n">
        <v>35477.19</v>
      </c>
      <c r="F13" s="37" t="n">
        <v>35477.19</v>
      </c>
      <c r="G13" s="18" t="n">
        <v>44839.1</v>
      </c>
      <c r="H13" s="18" t="n">
        <v>59313.54</v>
      </c>
      <c r="I13" s="18" t="n">
        <v>70342.94</v>
      </c>
      <c r="J13" s="18" t="n">
        <v>86864.33</v>
      </c>
      <c r="K13" s="37" t="n">
        <v>86864.33</v>
      </c>
      <c r="L13" s="18" t="n">
        <v>98229.64</v>
      </c>
      <c r="M13" s="18" t="n">
        <v>86010.53</v>
      </c>
      <c r="N13" s="18" t="n">
        <v>80897.28999999999</v>
      </c>
      <c r="O13" s="18" t="n">
        <v>65039.12</v>
      </c>
      <c r="P13" s="37" t="n">
        <v>65039.12</v>
      </c>
      <c r="Q13" s="18" t="n">
        <v>68092.39</v>
      </c>
      <c r="R13" s="18" t="n">
        <v>79029.13</v>
      </c>
      <c r="S13" s="18" t="n">
        <v>88391.27</v>
      </c>
      <c r="T13" s="18" t="n">
        <v>72645.21000000001</v>
      </c>
      <c r="U13" s="37" t="n">
        <v>72645.21000000001</v>
      </c>
      <c r="V13" s="18" t="n">
        <v>80629.35000000001</v>
      </c>
      <c r="W13" s="18" t="n">
        <v>89556.98</v>
      </c>
      <c r="X13" s="18" t="n">
        <v>98201.03</v>
      </c>
      <c r="Y13" s="18" t="n">
        <v>80279.35000000001</v>
      </c>
      <c r="Z13" s="37" t="n">
        <v>80279.35000000001</v>
      </c>
      <c r="AA13" s="18" t="n">
        <v>101633.07</v>
      </c>
      <c r="AB13" s="19" t="n">
        <v>113594.78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90035.22</v>
      </c>
      <c r="F14" s="37" t="n">
        <v>90035.22</v>
      </c>
      <c r="G14" s="18" t="n">
        <v>101409.96</v>
      </c>
      <c r="H14" s="18" t="n">
        <v>110966.4</v>
      </c>
      <c r="I14" s="18" t="n">
        <v>122547.94</v>
      </c>
      <c r="J14" s="18" t="n">
        <v>136519.24</v>
      </c>
      <c r="K14" s="37" t="n">
        <v>136519.24</v>
      </c>
      <c r="L14" s="18" t="n">
        <v>143995.92</v>
      </c>
      <c r="M14" s="18" t="n">
        <v>143785.4</v>
      </c>
      <c r="N14" s="18" t="n">
        <v>141514.41</v>
      </c>
      <c r="O14" s="18" t="n">
        <v>141281.09</v>
      </c>
      <c r="P14" s="37" t="n">
        <v>141281.09</v>
      </c>
      <c r="Q14" s="18" t="n">
        <v>152728.02</v>
      </c>
      <c r="R14" s="18" t="n">
        <v>164781.78</v>
      </c>
      <c r="S14" s="18" t="n">
        <v>171632.46</v>
      </c>
      <c r="T14" s="18" t="n">
        <v>187019.75</v>
      </c>
      <c r="U14" s="37" t="n">
        <v>187019.75</v>
      </c>
      <c r="V14" s="18" t="n">
        <v>181252.8</v>
      </c>
      <c r="W14" s="18" t="n">
        <v>196044.62</v>
      </c>
      <c r="X14" s="18" t="n">
        <v>194297.69</v>
      </c>
      <c r="Y14" s="18" t="n">
        <v>195975.13</v>
      </c>
      <c r="Z14" s="37" t="n">
        <v>195975.13</v>
      </c>
      <c r="AA14" s="18" t="n">
        <v>206407.32</v>
      </c>
      <c r="AB14" s="19" t="n">
        <v>208009.67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종속기업및관계기업투자</t>
        </is>
      </c>
      <c r="E15" s="18" t="n">
        <v>644.96</v>
      </c>
      <c r="F15" s="37" t="n">
        <v>644.96</v>
      </c>
      <c r="G15" s="18" t="n">
        <v>4071.89</v>
      </c>
      <c r="H15" s="18" t="n">
        <v>3691.01</v>
      </c>
      <c r="I15" s="18" t="n">
        <v>7213.38</v>
      </c>
      <c r="J15" s="18" t="n">
        <v>1750.75</v>
      </c>
      <c r="K15" s="37" t="n">
        <v>1750.75</v>
      </c>
      <c r="L15" s="18" t="n">
        <v>7898.08</v>
      </c>
      <c r="M15" s="18" t="n">
        <v>8034.04</v>
      </c>
      <c r="N15" s="18" t="n">
        <v>7371.56</v>
      </c>
      <c r="O15" s="18" t="n">
        <v>4607.85</v>
      </c>
      <c r="P15" s="37" t="n">
        <v>4607.85</v>
      </c>
      <c r="Q15" s="18" t="n">
        <v>3576.9</v>
      </c>
      <c r="R15" s="18" t="n">
        <v>2954.02</v>
      </c>
      <c r="S15" s="18" t="n">
        <v>2483.63</v>
      </c>
      <c r="T15" s="18" t="n">
        <v>9635.4</v>
      </c>
      <c r="U15" s="37" t="n">
        <v>9635.4</v>
      </c>
      <c r="V15" s="18" t="n">
        <v>5396.83</v>
      </c>
      <c r="W15" s="18" t="n">
        <v>6438.41</v>
      </c>
      <c r="X15" s="18" t="n">
        <v>3506.26</v>
      </c>
      <c r="Y15" s="18" t="n">
        <v>9383.83</v>
      </c>
      <c r="Z15" s="37" t="n">
        <v>9383.83</v>
      </c>
      <c r="AA15" s="18" t="n">
        <v>9678.59</v>
      </c>
      <c r="AB15" s="19" t="n">
        <v>14138.94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9737.120000000001</v>
      </c>
      <c r="F16" s="37" t="n">
        <v>9737.120000000001</v>
      </c>
      <c r="G16" s="18" t="n">
        <v>14697.46</v>
      </c>
      <c r="H16" s="18" t="n">
        <v>18553.06</v>
      </c>
      <c r="I16" s="18" t="n">
        <v>21496.86</v>
      </c>
      <c r="J16" s="18" t="n">
        <v>20205.17</v>
      </c>
      <c r="K16" s="37" t="n">
        <v>20205.17</v>
      </c>
      <c r="L16" s="18" t="n">
        <v>25156.83</v>
      </c>
      <c r="M16" s="18" t="n">
        <v>25465.8</v>
      </c>
      <c r="N16" s="18" t="n">
        <v>24324.82</v>
      </c>
      <c r="O16" s="18" t="n">
        <v>19722.81</v>
      </c>
      <c r="P16" s="37" t="n">
        <v>19722.81</v>
      </c>
      <c r="Q16" s="18" t="n">
        <v>26238.72</v>
      </c>
      <c r="R16" s="18" t="n">
        <v>32246.57</v>
      </c>
      <c r="S16" s="18" t="n">
        <v>39068.98</v>
      </c>
      <c r="T16" s="18" t="n">
        <v>58375.57</v>
      </c>
      <c r="U16" s="37" t="n">
        <v>58375.57</v>
      </c>
      <c r="V16" s="18" t="n">
        <v>54025.45</v>
      </c>
      <c r="W16" s="18" t="n">
        <v>66583.97</v>
      </c>
      <c r="X16" s="18" t="n">
        <v>54818.48</v>
      </c>
      <c r="Y16" s="18" t="n">
        <v>57136.65</v>
      </c>
      <c r="Z16" s="37" t="n">
        <v>57136.65</v>
      </c>
      <c r="AA16" s="18" t="n">
        <v>65865.55</v>
      </c>
      <c r="AB16" s="19" t="n">
        <v>66880.84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장기금융자산</t>
        </is>
      </c>
      <c r="E17" s="18" t="n">
        <v>9092.16</v>
      </c>
      <c r="F17" s="37" t="n">
        <v>9092.16</v>
      </c>
      <c r="G17" s="18" t="n">
        <v>10625.57</v>
      </c>
      <c r="H17" s="18" t="n">
        <v>14862.05</v>
      </c>
      <c r="I17" s="18" t="n">
        <v>14283.48</v>
      </c>
      <c r="J17" s="18" t="n">
        <v>18454.42</v>
      </c>
      <c r="K17" s="37" t="n">
        <v>18454.42</v>
      </c>
      <c r="L17" s="18" t="n">
        <v>17258.75</v>
      </c>
      <c r="M17" s="18" t="n">
        <v>17431.76</v>
      </c>
      <c r="N17" s="18" t="n">
        <v>16953.26</v>
      </c>
      <c r="O17" s="18" t="n">
        <v>15114.96</v>
      </c>
      <c r="P17" s="37" t="n">
        <v>15114.96</v>
      </c>
      <c r="Q17" s="18" t="n">
        <v>22661.82</v>
      </c>
      <c r="R17" s="18" t="n">
        <v>29292.55</v>
      </c>
      <c r="S17" s="18" t="n">
        <v>36585.35</v>
      </c>
      <c r="T17" s="18" t="n">
        <v>48740.17</v>
      </c>
      <c r="U17" s="37" t="n">
        <v>48740.17</v>
      </c>
      <c r="V17" s="18" t="n">
        <v>48628.62</v>
      </c>
      <c r="W17" s="18" t="n">
        <v>60145.56</v>
      </c>
      <c r="X17" s="18" t="n">
        <v>51312.22</v>
      </c>
      <c r="Y17" s="18" t="n">
        <v>47752.82</v>
      </c>
      <c r="Z17" s="37" t="n">
        <v>47752.82</v>
      </c>
      <c r="AA17" s="18" t="n">
        <v>56186.96</v>
      </c>
      <c r="AB17" s="19" t="n">
        <v>52741.9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18" t="n">
        <v>2813.44</v>
      </c>
      <c r="F18" s="37" t="n">
        <v>2813.44</v>
      </c>
      <c r="G18" s="18" t="n">
        <v>2589.47</v>
      </c>
      <c r="H18" s="18" t="n">
        <v>2406.76</v>
      </c>
      <c r="I18" s="18" t="n">
        <v>757.67</v>
      </c>
      <c r="J18" s="18" t="n">
        <v>697.89</v>
      </c>
      <c r="K18" s="37" t="n">
        <v>697.89</v>
      </c>
      <c r="L18" s="18" t="n">
        <v>338.27</v>
      </c>
      <c r="M18" s="18" t="n">
        <v>453.92</v>
      </c>
      <c r="N18" s="18" t="n">
        <v>503.23</v>
      </c>
      <c r="O18" s="18" t="n">
        <v>513.9299999999999</v>
      </c>
      <c r="P18" s="37" t="n">
        <v>513.9299999999999</v>
      </c>
      <c r="Q18" s="18" t="n">
        <v>746.04</v>
      </c>
      <c r="R18" s="18" t="n">
        <v>862.96</v>
      </c>
      <c r="S18" s="18" t="n">
        <v>938.5599999999999</v>
      </c>
      <c r="T18" s="18" t="n">
        <v>745.25</v>
      </c>
      <c r="U18" s="37" t="n">
        <v>745.25</v>
      </c>
      <c r="V18" s="18" t="n">
        <v>809.92</v>
      </c>
      <c r="W18" s="18" t="n">
        <v>824.28</v>
      </c>
      <c r="X18" s="18" t="n">
        <v>1142.59</v>
      </c>
      <c r="Y18" s="18" t="n">
        <v>1016.48</v>
      </c>
      <c r="Z18" s="37" t="n">
        <v>1016.48</v>
      </c>
      <c r="AA18" s="18" t="n">
        <v>999.86</v>
      </c>
      <c r="AB18" s="19" t="n">
        <v>1010.97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유형자산</t>
        </is>
      </c>
      <c r="E19" s="18" t="n">
        <v>50821.23</v>
      </c>
      <c r="F19" s="37" t="n">
        <v>50821.23</v>
      </c>
      <c r="G19" s="18" t="n">
        <v>57055.71</v>
      </c>
      <c r="H19" s="18" t="n">
        <v>62750.31</v>
      </c>
      <c r="I19" s="18" t="n">
        <v>72327.89999999999</v>
      </c>
      <c r="J19" s="18" t="n">
        <v>84490.36</v>
      </c>
      <c r="K19" s="37" t="n">
        <v>84490.36</v>
      </c>
      <c r="L19" s="18" t="n">
        <v>84950.66</v>
      </c>
      <c r="M19" s="18" t="n">
        <v>85083.37</v>
      </c>
      <c r="N19" s="18" t="n">
        <v>83468.46000000001</v>
      </c>
      <c r="O19" s="18" t="n">
        <v>83086.50999999999</v>
      </c>
      <c r="P19" s="37" t="n">
        <v>83086.50999999999</v>
      </c>
      <c r="Q19" s="18" t="n">
        <v>83654.86</v>
      </c>
      <c r="R19" s="18" t="n">
        <v>82816.53999999999</v>
      </c>
      <c r="S19" s="18" t="n">
        <v>81590.77</v>
      </c>
      <c r="T19" s="18" t="n">
        <v>80123.39999999999</v>
      </c>
      <c r="U19" s="37" t="n">
        <v>80123.39999999999</v>
      </c>
      <c r="V19" s="18" t="n">
        <v>78672.11</v>
      </c>
      <c r="W19" s="18" t="n">
        <v>77672.06</v>
      </c>
      <c r="X19" s="18" t="n">
        <v>84669.34</v>
      </c>
      <c r="Y19" s="18" t="n">
        <v>80859.60000000001</v>
      </c>
      <c r="Z19" s="37" t="n">
        <v>80859.60000000001</v>
      </c>
      <c r="AA19" s="18" t="n">
        <v>81601.12</v>
      </c>
      <c r="AB19" s="19" t="n">
        <v>72784.95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16999.84</v>
      </c>
      <c r="F20" s="37" t="n">
        <v>16999.84</v>
      </c>
      <c r="G20" s="18" t="n">
        <v>16820.25</v>
      </c>
      <c r="H20" s="18" t="n">
        <v>17377.53</v>
      </c>
      <c r="I20" s="18" t="n">
        <v>18018.77</v>
      </c>
      <c r="J20" s="18" t="n">
        <v>19140.5</v>
      </c>
      <c r="K20" s="37" t="n">
        <v>19140.5</v>
      </c>
      <c r="L20" s="18" t="n">
        <v>19530.63</v>
      </c>
      <c r="M20" s="18" t="n">
        <v>18567.78</v>
      </c>
      <c r="N20" s="18" t="n">
        <v>21660.58</v>
      </c>
      <c r="O20" s="18" t="n">
        <v>26302.72</v>
      </c>
      <c r="P20" s="37" t="n">
        <v>26302.72</v>
      </c>
      <c r="Q20" s="18" t="n">
        <v>31859.11</v>
      </c>
      <c r="R20" s="18" t="n">
        <v>38042.85</v>
      </c>
      <c r="S20" s="18" t="n">
        <v>39256.03</v>
      </c>
      <c r="T20" s="18" t="n">
        <v>37603.34</v>
      </c>
      <c r="U20" s="37" t="n">
        <v>37603.34</v>
      </c>
      <c r="V20" s="18" t="n">
        <v>37445.23</v>
      </c>
      <c r="W20" s="18" t="n">
        <v>40650.73</v>
      </c>
      <c r="X20" s="18" t="n">
        <v>43286.79</v>
      </c>
      <c r="Y20" s="18" t="n">
        <v>43752.24</v>
      </c>
      <c r="Z20" s="37" t="n">
        <v>43752.24</v>
      </c>
      <c r="AA20" s="18" t="n">
        <v>44979.52</v>
      </c>
      <c r="AB20" s="19" t="n">
        <v>43558.83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782.99</v>
      </c>
      <c r="F21" s="37" t="n">
        <v>782.99</v>
      </c>
      <c r="G21" s="18" t="n">
        <v>844.85</v>
      </c>
      <c r="H21" s="18" t="n">
        <v>925.95</v>
      </c>
      <c r="I21" s="18" t="n">
        <v>215.91</v>
      </c>
      <c r="J21" s="18" t="n">
        <v>1322.55</v>
      </c>
      <c r="K21" s="37" t="n">
        <v>1322.55</v>
      </c>
      <c r="L21" s="18" t="n">
        <v>1378.89</v>
      </c>
      <c r="M21" s="18" t="n">
        <v>1376.53</v>
      </c>
      <c r="N21" s="18" t="n">
        <v>1390.5</v>
      </c>
      <c r="O21" s="18" t="n">
        <v>1434.53</v>
      </c>
      <c r="P21" s="37" t="n">
        <v>1434.53</v>
      </c>
      <c r="Q21" s="18" t="n">
        <v>809.41</v>
      </c>
      <c r="R21" s="18" t="n">
        <v>870.65</v>
      </c>
      <c r="S21" s="18" t="n">
        <v>835.91</v>
      </c>
      <c r="T21" s="18" t="n">
        <v>77.17</v>
      </c>
      <c r="U21" s="37" t="n">
        <v>77.17</v>
      </c>
      <c r="V21" s="18" t="n">
        <v>205.05</v>
      </c>
      <c r="W21" s="18" t="n">
        <v>210.11</v>
      </c>
      <c r="X21" s="18" t="n">
        <v>277.02</v>
      </c>
      <c r="Y21" s="18" t="n">
        <v>1410.4</v>
      </c>
      <c r="Z21" s="37" t="n">
        <v>1410.4</v>
      </c>
      <c r="AA21" s="18" t="n">
        <v>1161.53</v>
      </c>
      <c r="AB21" s="19" t="n">
        <v>4196.51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이연법인세자산</t>
        </is>
      </c>
      <c r="E22" s="18" t="n">
        <v>8470.059999999999</v>
      </c>
      <c r="F22" s="37" t="n">
        <v>8470.059999999999</v>
      </c>
      <c r="G22" s="18" t="n">
        <v>8470.059999999999</v>
      </c>
      <c r="H22" s="18" t="n">
        <v>8798.370000000001</v>
      </c>
      <c r="I22" s="18" t="n">
        <v>8798.370000000001</v>
      </c>
      <c r="J22" s="18" t="n">
        <v>9186.08</v>
      </c>
      <c r="K22" s="37" t="n">
        <v>9186.08</v>
      </c>
      <c r="L22" s="18" t="n">
        <v>9186.08</v>
      </c>
      <c r="M22" s="18" t="n">
        <v>9105.77</v>
      </c>
      <c r="N22" s="18" t="n">
        <v>9105.77</v>
      </c>
      <c r="O22" s="18" t="n">
        <v>9419.879999999999</v>
      </c>
      <c r="P22" s="37" t="n">
        <v>9419.879999999999</v>
      </c>
      <c r="Q22" s="18" t="n">
        <v>9419.879999999999</v>
      </c>
      <c r="R22" s="18" t="n">
        <v>9942.209999999999</v>
      </c>
      <c r="S22" s="18" t="n">
        <v>9942.209999999999</v>
      </c>
      <c r="T22" s="18" t="n">
        <v>10095.04</v>
      </c>
      <c r="U22" s="37" t="n">
        <v>10095.04</v>
      </c>
      <c r="V22" s="18" t="n">
        <v>10095.04</v>
      </c>
      <c r="W22" s="18" t="n">
        <v>10103.47</v>
      </c>
      <c r="X22" s="18" t="n">
        <v>10103.47</v>
      </c>
      <c r="Y22" s="18" t="n">
        <v>11799.74</v>
      </c>
      <c r="Z22" s="37" t="n">
        <v>11799.74</v>
      </c>
      <c r="AA22" s="18" t="n">
        <v>11799.74</v>
      </c>
      <c r="AB22" s="19" t="n">
        <v>11799.74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자산총계</t>
        </is>
      </c>
      <c r="E23" s="18" t="n">
        <v>240280.81</v>
      </c>
      <c r="F23" s="37" t="n">
        <v>240280.81</v>
      </c>
      <c r="G23" s="18" t="n">
        <v>262954.31</v>
      </c>
      <c r="H23" s="18" t="n">
        <v>277358.39</v>
      </c>
      <c r="I23" s="18" t="n">
        <v>311974.2</v>
      </c>
      <c r="J23" s="18" t="n">
        <v>350278.5</v>
      </c>
      <c r="K23" s="37" t="n">
        <v>350278.5</v>
      </c>
      <c r="L23" s="18" t="n">
        <v>353659.01</v>
      </c>
      <c r="M23" s="18" t="n">
        <v>356738.51</v>
      </c>
      <c r="N23" s="18" t="n">
        <v>426350.56</v>
      </c>
      <c r="O23" s="18" t="n">
        <v>423362.35</v>
      </c>
      <c r="P23" s="37" t="n">
        <v>423362.35</v>
      </c>
      <c r="Q23" s="18" t="n">
        <v>413119.2</v>
      </c>
      <c r="R23" s="18" t="n">
        <v>450313.18</v>
      </c>
      <c r="S23" s="18" t="n">
        <v>426101.42</v>
      </c>
      <c r="T23" s="18" t="n">
        <v>408646.6</v>
      </c>
      <c r="U23" s="37" t="n">
        <v>408646.6</v>
      </c>
      <c r="V23" s="18" t="n">
        <v>402414.62</v>
      </c>
      <c r="W23" s="18" t="n">
        <v>435742.23</v>
      </c>
      <c r="X23" s="18" t="n">
        <v>462812.38</v>
      </c>
      <c r="Y23" s="18" t="n">
        <v>476338.95</v>
      </c>
      <c r="Z23" s="37" t="n">
        <v>476338.95</v>
      </c>
      <c r="AA23" s="18" t="n">
        <v>472369.24</v>
      </c>
      <c r="AB23" s="19" t="n">
        <v>507518.55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유동부채</t>
        </is>
      </c>
      <c r="E24" s="18" t="n">
        <v>52850.03</v>
      </c>
      <c r="F24" s="37" t="n">
        <v>52850.03</v>
      </c>
      <c r="G24" s="18" t="n">
        <v>69142.41</v>
      </c>
      <c r="H24" s="18" t="n">
        <v>72084.03</v>
      </c>
      <c r="I24" s="18" t="n">
        <v>92168.87</v>
      </c>
      <c r="J24" s="18" t="n">
        <v>125143.98</v>
      </c>
      <c r="K24" s="37" t="n">
        <v>125143.98</v>
      </c>
      <c r="L24" s="18" t="n">
        <v>121889.62</v>
      </c>
      <c r="M24" s="18" t="n">
        <v>111877.11</v>
      </c>
      <c r="N24" s="18" t="n">
        <v>94427.81</v>
      </c>
      <c r="O24" s="18" t="n">
        <v>89551.3</v>
      </c>
      <c r="P24" s="37" t="n">
        <v>89551.3</v>
      </c>
      <c r="Q24" s="18" t="n">
        <v>81979.59</v>
      </c>
      <c r="R24" s="18" t="n">
        <v>115113.71</v>
      </c>
      <c r="S24" s="18" t="n">
        <v>102083.41</v>
      </c>
      <c r="T24" s="18" t="n">
        <v>78981.56</v>
      </c>
      <c r="U24" s="37" t="n">
        <v>78981.56</v>
      </c>
      <c r="V24" s="18" t="n">
        <v>96579.03999999999</v>
      </c>
      <c r="W24" s="18" t="n">
        <v>139257.61</v>
      </c>
      <c r="X24" s="18" t="n">
        <v>131927.52</v>
      </c>
      <c r="Y24" s="18" t="n">
        <v>142792.88</v>
      </c>
      <c r="Z24" s="37" t="n">
        <v>142792.88</v>
      </c>
      <c r="AA24" s="18" t="n">
        <v>126851.89</v>
      </c>
      <c r="AB24" s="19" t="n">
        <v>159300.51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매입채무및기타채무</t>
        </is>
      </c>
      <c r="E25" s="18" t="n">
        <v>27052.37</v>
      </c>
      <c r="F25" s="37" t="n">
        <v>27052.37</v>
      </c>
      <c r="G25" s="18" t="n">
        <v>33091.73</v>
      </c>
      <c r="H25" s="18" t="n">
        <v>34202.93</v>
      </c>
      <c r="I25" s="18" t="n">
        <v>38943.34</v>
      </c>
      <c r="J25" s="18" t="n">
        <v>55065.72</v>
      </c>
      <c r="K25" s="37" t="n">
        <v>55065.72</v>
      </c>
      <c r="L25" s="18" t="n">
        <v>47109.87</v>
      </c>
      <c r="M25" s="18" t="n">
        <v>25854.1</v>
      </c>
      <c r="N25" s="18" t="n">
        <v>33258.88</v>
      </c>
      <c r="O25" s="18" t="n">
        <v>30711.15</v>
      </c>
      <c r="P25" s="37" t="n">
        <v>30711.15</v>
      </c>
      <c r="Q25" s="18" t="n">
        <v>26097.41</v>
      </c>
      <c r="R25" s="18" t="n">
        <v>52803.21</v>
      </c>
      <c r="S25" s="18" t="n">
        <v>41125.92</v>
      </c>
      <c r="T25" s="18" t="n">
        <v>26229.37</v>
      </c>
      <c r="U25" s="37" t="n">
        <v>26229.37</v>
      </c>
      <c r="V25" s="18" t="n">
        <v>32488.31</v>
      </c>
      <c r="W25" s="18" t="n">
        <v>52497.24</v>
      </c>
      <c r="X25" s="18" t="n">
        <v>51156.69</v>
      </c>
      <c r="Y25" s="18" t="n">
        <v>59622.25</v>
      </c>
      <c r="Z25" s="37" t="n">
        <v>59622.25</v>
      </c>
      <c r="AA25" s="18" t="n">
        <v>43391.59</v>
      </c>
      <c r="AB25" s="19" t="n">
        <v>64780.06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단기차입금</t>
        </is>
      </c>
      <c r="E26" s="18" t="n">
        <v>16600</v>
      </c>
      <c r="F26" s="37" t="n">
        <v>16600</v>
      </c>
      <c r="G26" s="18" t="n">
        <v>26600</v>
      </c>
      <c r="H26" s="18" t="n">
        <v>24830</v>
      </c>
      <c r="I26" s="18" t="n">
        <v>37100</v>
      </c>
      <c r="J26" s="18" t="n">
        <v>57523.05</v>
      </c>
      <c r="K26" s="37" t="n">
        <v>57523.05</v>
      </c>
      <c r="L26" s="18" t="n">
        <v>59747.93</v>
      </c>
      <c r="M26" s="18" t="n">
        <v>72700</v>
      </c>
      <c r="N26" s="18" t="n">
        <v>45200</v>
      </c>
      <c r="O26" s="18" t="n">
        <v>44200</v>
      </c>
      <c r="P26" s="37" t="n">
        <v>44200</v>
      </c>
      <c r="Q26" s="18" t="n">
        <v>43700</v>
      </c>
      <c r="R26" s="18" t="n">
        <v>52699.8</v>
      </c>
      <c r="S26" s="18" t="n">
        <v>50700</v>
      </c>
      <c r="T26" s="18" t="n">
        <v>43000</v>
      </c>
      <c r="U26" s="37" t="n">
        <v>43000</v>
      </c>
      <c r="V26" s="18" t="n">
        <v>43000</v>
      </c>
      <c r="W26" s="18" t="n">
        <v>65000</v>
      </c>
      <c r="X26" s="18" t="n">
        <v>57584</v>
      </c>
      <c r="Y26" s="18" t="n">
        <v>56668</v>
      </c>
      <c r="Z26" s="37" t="n">
        <v>56668</v>
      </c>
      <c r="AA26" s="18" t="n">
        <v>56252</v>
      </c>
      <c r="AB26" s="19" t="n">
        <v>67836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유동성장기부채</t>
        </is>
      </c>
      <c r="E27" s="18" t="n">
        <v>4380</v>
      </c>
      <c r="F27" s="37" t="n">
        <v>4380</v>
      </c>
      <c r="G27" s="18" t="n">
        <v>4594.44</v>
      </c>
      <c r="H27" s="18" t="n">
        <v>4808.72</v>
      </c>
      <c r="I27" s="18" t="n">
        <v>4894.43</v>
      </c>
      <c r="J27" s="18" t="n">
        <v>4108.71</v>
      </c>
      <c r="K27" s="37" t="n">
        <v>4108.71</v>
      </c>
      <c r="L27" s="18" t="n">
        <v>7608.55</v>
      </c>
      <c r="M27" s="18" t="n">
        <v>8858.549999999999</v>
      </c>
      <c r="N27" s="18" t="n">
        <v>10865.69</v>
      </c>
      <c r="O27" s="18" t="n">
        <v>9615.690000000001</v>
      </c>
      <c r="P27" s="37" t="n">
        <v>9615.690000000001</v>
      </c>
      <c r="Q27" s="18" t="n">
        <v>7865.69</v>
      </c>
      <c r="R27" s="18" t="n">
        <v>3365.69</v>
      </c>
      <c r="S27" s="18" t="n">
        <v>3237.12</v>
      </c>
      <c r="T27" s="18" t="n">
        <v>3207.12</v>
      </c>
      <c r="U27" s="37" t="n">
        <v>3207.12</v>
      </c>
      <c r="V27" s="18" t="n">
        <v>13177.12</v>
      </c>
      <c r="W27" s="18" t="n">
        <v>10647.12</v>
      </c>
      <c r="X27" s="18" t="n">
        <v>8052.12</v>
      </c>
      <c r="Y27" s="18" t="n">
        <v>10557.12</v>
      </c>
      <c r="Z27" s="37" t="n">
        <v>10557.12</v>
      </c>
      <c r="AA27" s="18" t="n">
        <v>11557.12</v>
      </c>
      <c r="AB27" s="19" t="n">
        <v>12169.62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3987.86</v>
      </c>
      <c r="F28" s="37" t="n">
        <v>3987.86</v>
      </c>
      <c r="G28" s="18" t="n">
        <v>3967.46</v>
      </c>
      <c r="H28" s="18" t="n">
        <v>5618.95</v>
      </c>
      <c r="I28" s="18" t="n">
        <v>6328.14</v>
      </c>
      <c r="J28" s="18" t="n">
        <v>6528.02</v>
      </c>
      <c r="K28" s="37" t="n">
        <v>6528.02</v>
      </c>
      <c r="L28" s="18" t="n">
        <v>6155.89</v>
      </c>
      <c r="M28" s="18" t="n">
        <v>3125.01</v>
      </c>
      <c r="N28" s="18" t="n">
        <v>3783.12</v>
      </c>
      <c r="O28" s="18" t="n">
        <v>3682.75</v>
      </c>
      <c r="P28" s="37" t="n">
        <v>3682.75</v>
      </c>
      <c r="Q28" s="18" t="n">
        <v>2853.31</v>
      </c>
      <c r="R28" s="18" t="n">
        <v>4896.12</v>
      </c>
      <c r="S28" s="18" t="n">
        <v>5711.18</v>
      </c>
      <c r="T28" s="18" t="n">
        <v>5346.05</v>
      </c>
      <c r="U28" s="37" t="n">
        <v>5346.05</v>
      </c>
      <c r="V28" s="18" t="n">
        <v>6649.38</v>
      </c>
      <c r="W28" s="18" t="n">
        <v>10128.92</v>
      </c>
      <c r="X28" s="18" t="n">
        <v>14397.17</v>
      </c>
      <c r="Y28" s="18" t="n">
        <v>14009.46</v>
      </c>
      <c r="Z28" s="37" t="n">
        <v>14009.46</v>
      </c>
      <c r="AA28" s="18" t="n">
        <v>12956.13</v>
      </c>
      <c r="AB28" s="19" t="n">
        <v>11337.85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비유동부채</t>
        </is>
      </c>
      <c r="E29" s="18" t="n">
        <v>26629.01</v>
      </c>
      <c r="F29" s="37" t="n">
        <v>26629.01</v>
      </c>
      <c r="G29" s="18" t="n">
        <v>31927.46</v>
      </c>
      <c r="H29" s="18" t="n">
        <v>35983.51</v>
      </c>
      <c r="I29" s="18" t="n">
        <v>44362.94</v>
      </c>
      <c r="J29" s="18" t="n">
        <v>50359.65</v>
      </c>
      <c r="K29" s="37" t="n">
        <v>50359.65</v>
      </c>
      <c r="L29" s="18" t="n">
        <v>56910.58</v>
      </c>
      <c r="M29" s="18" t="n">
        <v>64000.83</v>
      </c>
      <c r="N29" s="18" t="n">
        <v>62646.52</v>
      </c>
      <c r="O29" s="18" t="n">
        <v>63626.46</v>
      </c>
      <c r="P29" s="37" t="n">
        <v>63626.46</v>
      </c>
      <c r="Q29" s="18" t="n">
        <v>64966.19</v>
      </c>
      <c r="R29" s="18" t="n">
        <v>71939.14</v>
      </c>
      <c r="S29" s="18" t="n">
        <v>71178.96000000001</v>
      </c>
      <c r="T29" s="18" t="n">
        <v>69208.49000000001</v>
      </c>
      <c r="U29" s="37" t="n">
        <v>69208.49000000001</v>
      </c>
      <c r="V29" s="18" t="n">
        <v>58891.33</v>
      </c>
      <c r="W29" s="18" t="n">
        <v>58916.25</v>
      </c>
      <c r="X29" s="18" t="n">
        <v>84888.25999999999</v>
      </c>
      <c r="Y29" s="18" t="n">
        <v>71484.77</v>
      </c>
      <c r="Z29" s="37" t="n">
        <v>71484.77</v>
      </c>
      <c r="AA29" s="18" t="n">
        <v>69498.73</v>
      </c>
      <c r="AB29" s="19" t="n">
        <v>68514.77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장기매입채무및기타채무</t>
        </is>
      </c>
      <c r="E30" s="18" t="n">
        <v>372.3</v>
      </c>
      <c r="F30" s="37" t="n">
        <v>372.3</v>
      </c>
      <c r="G30" s="18" t="n">
        <v>336.77</v>
      </c>
      <c r="H30" s="18" t="n">
        <v>361.12</v>
      </c>
      <c r="I30" s="18" t="n">
        <v>385.35</v>
      </c>
      <c r="J30" s="18" t="n">
        <v>404.45</v>
      </c>
      <c r="K30" s="37" t="n">
        <v>404.45</v>
      </c>
      <c r="L30" s="18" t="n">
        <v>419.39</v>
      </c>
      <c r="M30" s="18" t="n">
        <v>375.37</v>
      </c>
      <c r="N30" s="18" t="n">
        <v>395.52</v>
      </c>
      <c r="O30" s="18" t="n">
        <v>398.52</v>
      </c>
      <c r="P30" s="37" t="n">
        <v>398.52</v>
      </c>
      <c r="Q30" s="18" t="n">
        <v>390.98</v>
      </c>
      <c r="R30" s="18" t="n">
        <v>387.87</v>
      </c>
      <c r="S30" s="18" t="n">
        <v>385.91</v>
      </c>
      <c r="T30" s="18" t="n">
        <v>392.23</v>
      </c>
      <c r="U30" s="37" t="n">
        <v>392.23</v>
      </c>
      <c r="V30" s="18" t="n">
        <v>427.23</v>
      </c>
      <c r="W30" s="18" t="n">
        <v>488.15</v>
      </c>
      <c r="X30" s="18" t="n">
        <v>548.5599999999999</v>
      </c>
      <c r="Y30" s="18" t="n">
        <v>771.1900000000001</v>
      </c>
      <c r="Z30" s="37" t="n">
        <v>771.1900000000001</v>
      </c>
      <c r="AA30" s="18" t="n">
        <v>784.9400000000001</v>
      </c>
      <c r="AB30" s="19" t="n">
        <v>893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비유동리스부채</t>
        </is>
      </c>
      <c r="E31" s="18" t="n">
        <v>76.64</v>
      </c>
      <c r="F31" s="37" t="n">
        <v>76.64</v>
      </c>
      <c r="G31" s="18" t="n">
        <v>106.83</v>
      </c>
      <c r="H31" s="18" t="n">
        <v>112.84</v>
      </c>
      <c r="I31" s="18" t="n">
        <v>349.48</v>
      </c>
      <c r="J31" s="18" t="n">
        <v>2089.64</v>
      </c>
      <c r="K31" s="37" t="n">
        <v>2089.64</v>
      </c>
      <c r="L31" s="18" t="n">
        <v>1965.74</v>
      </c>
      <c r="M31" s="18" t="n">
        <v>1742.43</v>
      </c>
      <c r="N31" s="18" t="n">
        <v>1426.33</v>
      </c>
      <c r="O31" s="18" t="n">
        <v>1214.73</v>
      </c>
      <c r="P31" s="37" t="n">
        <v>1214.73</v>
      </c>
      <c r="Q31" s="18" t="n">
        <v>955.98</v>
      </c>
      <c r="R31" s="18" t="n">
        <v>661.92</v>
      </c>
      <c r="S31" s="18" t="n">
        <v>462.2</v>
      </c>
      <c r="T31" s="18" t="n">
        <v>196.16</v>
      </c>
      <c r="U31" s="37" t="n">
        <v>196.16</v>
      </c>
      <c r="V31" s="18" t="n">
        <v>310.56</v>
      </c>
      <c r="W31" s="18" t="n">
        <v>281.53</v>
      </c>
      <c r="X31" s="18" t="n">
        <v>351.72</v>
      </c>
      <c r="Y31" s="18" t="n">
        <v>235.81</v>
      </c>
      <c r="Z31" s="37" t="n">
        <v>235.81</v>
      </c>
      <c r="AA31" s="18" t="n">
        <v>1157.96</v>
      </c>
      <c r="AB31" s="19" t="n">
        <v>851.8099999999999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리스부채</t>
        </is>
      </c>
      <c r="E32" s="18" t="n">
        <v>76.64</v>
      </c>
      <c r="F32" s="37" t="n">
        <v>76.64</v>
      </c>
      <c r="G32" s="18" t="n">
        <v>106.83</v>
      </c>
      <c r="H32" s="18" t="n">
        <v>112.84</v>
      </c>
      <c r="I32" s="18" t="n">
        <v>349.48</v>
      </c>
      <c r="J32" s="18" t="n">
        <v>2089.64</v>
      </c>
      <c r="K32" s="37" t="n">
        <v>2089.64</v>
      </c>
      <c r="L32" s="18" t="n">
        <v>1965.74</v>
      </c>
      <c r="M32" s="18" t="n">
        <v>1742.43</v>
      </c>
      <c r="N32" s="18" t="n">
        <v>1426.33</v>
      </c>
      <c r="O32" s="18" t="n">
        <v>1214.73</v>
      </c>
      <c r="P32" s="37" t="n">
        <v>1214.73</v>
      </c>
      <c r="Q32" s="18" t="n">
        <v>955.98</v>
      </c>
      <c r="R32" s="18" t="n">
        <v>661.92</v>
      </c>
      <c r="S32" s="18" t="n">
        <v>462.2</v>
      </c>
      <c r="T32" s="18" t="n">
        <v>196.16</v>
      </c>
      <c r="U32" s="37" t="n">
        <v>196.16</v>
      </c>
      <c r="V32" s="18" t="n">
        <v>310.56</v>
      </c>
      <c r="W32" s="18" t="n">
        <v>281.53</v>
      </c>
      <c r="X32" s="18" t="n">
        <v>351.72</v>
      </c>
      <c r="Y32" s="18" t="n">
        <v>235.81</v>
      </c>
      <c r="Z32" s="37" t="n">
        <v>235.81</v>
      </c>
      <c r="AA32" s="18" t="n">
        <v>1157.96</v>
      </c>
      <c r="AB32" s="19" t="n">
        <v>851.8099999999999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</t>
        </is>
      </c>
      <c r="E33" s="18" t="n">
        <v>76.64</v>
      </c>
      <c r="F33" s="37" t="n">
        <v>76.64</v>
      </c>
      <c r="G33" s="18" t="n">
        <v>106.83</v>
      </c>
      <c r="H33" s="18" t="n">
        <v>112.84</v>
      </c>
      <c r="I33" s="18" t="n">
        <v>349.48</v>
      </c>
      <c r="J33" s="18" t="n">
        <v>2089.64</v>
      </c>
      <c r="K33" s="37" t="n">
        <v>2089.64</v>
      </c>
      <c r="L33" s="18" t="n">
        <v>1965.74</v>
      </c>
      <c r="M33" s="18" t="n">
        <v>1742.43</v>
      </c>
      <c r="N33" s="18" t="n">
        <v>1426.33</v>
      </c>
      <c r="O33" s="18" t="n">
        <v>1214.73</v>
      </c>
      <c r="P33" s="37" t="n">
        <v>1214.73</v>
      </c>
      <c r="Q33" s="18" t="n">
        <v>955.98</v>
      </c>
      <c r="R33" s="18" t="n">
        <v>661.92</v>
      </c>
      <c r="S33" s="18" t="n">
        <v>462.2</v>
      </c>
      <c r="T33" s="18" t="n">
        <v>196.16</v>
      </c>
      <c r="U33" s="37" t="n">
        <v>196.16</v>
      </c>
      <c r="V33" s="18" t="n">
        <v>310.56</v>
      </c>
      <c r="W33" s="18" t="n">
        <v>281.53</v>
      </c>
      <c r="X33" s="18" t="n">
        <v>351.72</v>
      </c>
      <c r="Y33" s="18" t="n">
        <v>235.81</v>
      </c>
      <c r="Z33" s="37" t="n">
        <v>235.81</v>
      </c>
      <c r="AA33" s="18" t="n">
        <v>1157.96</v>
      </c>
      <c r="AB33" s="19" t="n">
        <v>851.8099999999999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13740</v>
      </c>
      <c r="F34" s="37" t="n">
        <v>13740</v>
      </c>
      <c r="G34" s="18" t="n">
        <v>19430.56</v>
      </c>
      <c r="H34" s="18" t="n">
        <v>23121.28</v>
      </c>
      <c r="I34" s="18" t="n">
        <v>30440.57</v>
      </c>
      <c r="J34" s="18" t="n">
        <v>34131.29</v>
      </c>
      <c r="K34" s="37" t="n">
        <v>34131.29</v>
      </c>
      <c r="L34" s="18" t="n">
        <v>40322.01</v>
      </c>
      <c r="M34" s="18" t="n">
        <v>46762.73</v>
      </c>
      <c r="N34" s="18" t="n">
        <v>44574.88</v>
      </c>
      <c r="O34" s="18" t="n">
        <v>45515.6</v>
      </c>
      <c r="P34" s="37" t="n">
        <v>45515.6</v>
      </c>
      <c r="Q34" s="18" t="n">
        <v>46956.32</v>
      </c>
      <c r="R34" s="18" t="n">
        <v>51147.04</v>
      </c>
      <c r="S34" s="18" t="n">
        <v>50337.76</v>
      </c>
      <c r="T34" s="18" t="n">
        <v>51758.48</v>
      </c>
      <c r="U34" s="37" t="n">
        <v>51758.48</v>
      </c>
      <c r="V34" s="18" t="n">
        <v>40979.2</v>
      </c>
      <c r="W34" s="18" t="n">
        <v>40199.92</v>
      </c>
      <c r="X34" s="18" t="n">
        <v>65485.64</v>
      </c>
      <c r="Y34" s="18" t="n">
        <v>39001.36</v>
      </c>
      <c r="Z34" s="37" t="n">
        <v>39001.36</v>
      </c>
      <c r="AA34" s="18" t="n">
        <v>34787.08</v>
      </c>
      <c r="AB34" s="19" t="n">
        <v>33460.3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확정급여부채</t>
        </is>
      </c>
      <c r="E35" s="18" t="n">
        <v>11041.97</v>
      </c>
      <c r="F35" s="37" t="n">
        <v>11041.97</v>
      </c>
      <c r="G35" s="18" t="n">
        <v>10475.15</v>
      </c>
      <c r="H35" s="18" t="n">
        <v>10580.99</v>
      </c>
      <c r="I35" s="18" t="n">
        <v>11133.36</v>
      </c>
      <c r="J35" s="18" t="n">
        <v>11559.3</v>
      </c>
      <c r="K35" s="37" t="n">
        <v>11559.3</v>
      </c>
      <c r="L35" s="18" t="n">
        <v>11578.81</v>
      </c>
      <c r="M35" s="18" t="n">
        <v>11849.68</v>
      </c>
      <c r="N35" s="18" t="n">
        <v>12356.86</v>
      </c>
      <c r="O35" s="18" t="n">
        <v>13019.73</v>
      </c>
      <c r="P35" s="37" t="n">
        <v>13019.73</v>
      </c>
      <c r="Q35" s="18" t="n">
        <v>13236.29</v>
      </c>
      <c r="R35" s="18" t="n">
        <v>15869.6</v>
      </c>
      <c r="S35" s="18" t="n">
        <v>15891.02</v>
      </c>
      <c r="T35" s="18" t="n">
        <v>12980.94</v>
      </c>
      <c r="U35" s="37" t="n">
        <v>12980.94</v>
      </c>
      <c r="V35" s="18" t="n">
        <v>13618.21</v>
      </c>
      <c r="W35" s="18" t="n">
        <v>14199.84</v>
      </c>
      <c r="X35" s="18" t="n">
        <v>14951.28</v>
      </c>
      <c r="Y35" s="18" t="n">
        <v>7768.96</v>
      </c>
      <c r="Z35" s="37" t="n">
        <v>7768.96</v>
      </c>
      <c r="AA35" s="18" t="n">
        <v>8580.200000000001</v>
      </c>
      <c r="AB35" s="19" t="n">
        <v>9079.120000000001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장기충당부채</t>
        </is>
      </c>
      <c r="E36" s="18" t="n">
        <v>1398.1</v>
      </c>
      <c r="F36" s="37" t="n">
        <v>1398.1</v>
      </c>
      <c r="G36" s="18" t="n">
        <v>1578.15</v>
      </c>
      <c r="H36" s="18" t="n">
        <v>1807.28</v>
      </c>
      <c r="I36" s="18" t="n">
        <v>2054.17</v>
      </c>
      <c r="J36" s="18" t="n">
        <v>2174.96</v>
      </c>
      <c r="K36" s="37" t="n">
        <v>2174.96</v>
      </c>
      <c r="L36" s="18" t="n">
        <v>2624.62</v>
      </c>
      <c r="M36" s="18" t="n">
        <v>3270.61</v>
      </c>
      <c r="N36" s="18" t="n">
        <v>3892.93</v>
      </c>
      <c r="O36" s="18" t="n">
        <v>3477.89</v>
      </c>
      <c r="P36" s="37" t="n">
        <v>3477.89</v>
      </c>
      <c r="Q36" s="18" t="n">
        <v>3426.62</v>
      </c>
      <c r="R36" s="18" t="n">
        <v>3872.71</v>
      </c>
      <c r="S36" s="18" t="n">
        <v>4102.07</v>
      </c>
      <c r="T36" s="18" t="n">
        <v>3880.68</v>
      </c>
      <c r="U36" s="37" t="n">
        <v>3880.68</v>
      </c>
      <c r="V36" s="18" t="n">
        <v>3556.13</v>
      </c>
      <c r="W36" s="18" t="n">
        <v>3746.81</v>
      </c>
      <c r="X36" s="18" t="n">
        <v>3551.06</v>
      </c>
      <c r="Y36" s="18" t="n">
        <v>3707.46</v>
      </c>
      <c r="Z36" s="37" t="n">
        <v>3707.46</v>
      </c>
      <c r="AA36" s="18" t="n">
        <v>4188.55</v>
      </c>
      <c r="AB36" s="19" t="n">
        <v>4230.55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79479.03999999999</v>
      </c>
      <c r="F37" s="37" t="n">
        <v>79479.03999999999</v>
      </c>
      <c r="G37" s="18" t="n">
        <v>101069.87</v>
      </c>
      <c r="H37" s="18" t="n">
        <v>108067.53</v>
      </c>
      <c r="I37" s="18" t="n">
        <v>136531.81</v>
      </c>
      <c r="J37" s="18" t="n">
        <v>175503.63</v>
      </c>
      <c r="K37" s="37" t="n">
        <v>175503.63</v>
      </c>
      <c r="L37" s="18" t="n">
        <v>178800.2</v>
      </c>
      <c r="M37" s="18" t="n">
        <v>175877.93</v>
      </c>
      <c r="N37" s="18" t="n">
        <v>157074.34</v>
      </c>
      <c r="O37" s="18" t="n">
        <v>153177.76</v>
      </c>
      <c r="P37" s="37" t="n">
        <v>153177.76</v>
      </c>
      <c r="Q37" s="18" t="n">
        <v>146945.78</v>
      </c>
      <c r="R37" s="18" t="n">
        <v>187052.85</v>
      </c>
      <c r="S37" s="18" t="n">
        <v>173262.36</v>
      </c>
      <c r="T37" s="18" t="n">
        <v>148190.05</v>
      </c>
      <c r="U37" s="37" t="n">
        <v>148190.05</v>
      </c>
      <c r="V37" s="18" t="n">
        <v>155470.37</v>
      </c>
      <c r="W37" s="18" t="n">
        <v>198173.86</v>
      </c>
      <c r="X37" s="18" t="n">
        <v>216815.78</v>
      </c>
      <c r="Y37" s="18" t="n">
        <v>214277.66</v>
      </c>
      <c r="Z37" s="37" t="n">
        <v>214277.66</v>
      </c>
      <c r="AA37" s="18" t="n">
        <v>196350.63</v>
      </c>
      <c r="AB37" s="19" t="n">
        <v>227815.28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자본금</t>
        </is>
      </c>
      <c r="E38" s="18" t="n">
        <v>4591.83</v>
      </c>
      <c r="F38" s="37" t="n">
        <v>4591.83</v>
      </c>
      <c r="G38" s="18" t="n">
        <v>4591.83</v>
      </c>
      <c r="H38" s="18" t="n">
        <v>4591.83</v>
      </c>
      <c r="I38" s="18" t="n">
        <v>4591.83</v>
      </c>
      <c r="J38" s="18" t="n">
        <v>4591.83</v>
      </c>
      <c r="K38" s="37" t="n">
        <v>4591.83</v>
      </c>
      <c r="L38" s="18" t="n">
        <v>4591.83</v>
      </c>
      <c r="M38" s="18" t="n">
        <v>4591.83</v>
      </c>
      <c r="N38" s="18" t="n">
        <v>5366.67</v>
      </c>
      <c r="O38" s="18" t="n">
        <v>5366.67</v>
      </c>
      <c r="P38" s="37" t="n">
        <v>5366.67</v>
      </c>
      <c r="Q38" s="18" t="n">
        <v>5366.67</v>
      </c>
      <c r="R38" s="18" t="n">
        <v>5366.67</v>
      </c>
      <c r="S38" s="18" t="n">
        <v>5366.67</v>
      </c>
      <c r="T38" s="18" t="n">
        <v>5366.67</v>
      </c>
      <c r="U38" s="37" t="n">
        <v>5366.67</v>
      </c>
      <c r="V38" s="18" t="n">
        <v>5366.67</v>
      </c>
      <c r="W38" s="18" t="n">
        <v>5366.67</v>
      </c>
      <c r="X38" s="18" t="n">
        <v>5366.67</v>
      </c>
      <c r="Y38" s="18" t="n">
        <v>5366.67</v>
      </c>
      <c r="Z38" s="37" t="n">
        <v>5366.67</v>
      </c>
      <c r="AA38" s="18" t="n">
        <v>5368.75</v>
      </c>
      <c r="AB38" s="19" t="n">
        <v>5368.75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자본잉여금</t>
        </is>
      </c>
      <c r="E39" s="18" t="n">
        <v>119421.22</v>
      </c>
      <c r="F39" s="37" t="n">
        <v>119421.22</v>
      </c>
      <c r="G39" s="18" t="n">
        <v>119607.04</v>
      </c>
      <c r="H39" s="18" t="n">
        <v>120040.41</v>
      </c>
      <c r="I39" s="18" t="n">
        <v>120145.56</v>
      </c>
      <c r="J39" s="18" t="n">
        <v>120399.08</v>
      </c>
      <c r="K39" s="37" t="n">
        <v>120399.08</v>
      </c>
      <c r="L39" s="18" t="n">
        <v>120534.43</v>
      </c>
      <c r="M39" s="18" t="n">
        <v>120577.65</v>
      </c>
      <c r="N39" s="18" t="n">
        <v>209410.56</v>
      </c>
      <c r="O39" s="18" t="n">
        <v>209835.51</v>
      </c>
      <c r="P39" s="37" t="n">
        <v>209835.51</v>
      </c>
      <c r="Q39" s="18" t="n">
        <v>209891.05</v>
      </c>
      <c r="R39" s="18" t="n">
        <v>210216.6</v>
      </c>
      <c r="S39" s="18" t="n">
        <v>210263.3</v>
      </c>
      <c r="T39" s="18" t="n">
        <v>210399.2</v>
      </c>
      <c r="U39" s="37" t="n">
        <v>210399.2</v>
      </c>
      <c r="V39" s="18" t="n">
        <v>210540.74</v>
      </c>
      <c r="W39" s="18" t="n">
        <v>210587.7</v>
      </c>
      <c r="X39" s="18" t="n">
        <v>210755.12</v>
      </c>
      <c r="Y39" s="18" t="n">
        <v>210993.42</v>
      </c>
      <c r="Z39" s="37" t="n">
        <v>210993.42</v>
      </c>
      <c r="AA39" s="18" t="n">
        <v>211816.87</v>
      </c>
      <c r="AB39" s="19" t="n">
        <v>212307.4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기타자본</t>
        </is>
      </c>
      <c r="E40" s="18" t="n">
        <v>-2363.06</v>
      </c>
      <c r="F40" s="37" t="n">
        <v>-2363.06</v>
      </c>
      <c r="G40" s="18" t="n">
        <v>-1621.85</v>
      </c>
      <c r="H40" s="18" t="n">
        <v>-1029.12</v>
      </c>
      <c r="I40" s="18" t="n">
        <v>709.52</v>
      </c>
      <c r="J40" s="18" t="n">
        <v>-1944.37</v>
      </c>
      <c r="K40" s="37" t="n">
        <v>-1944.37</v>
      </c>
      <c r="L40" s="18" t="n">
        <v>-542.62</v>
      </c>
      <c r="M40" s="18" t="n">
        <v>20.47</v>
      </c>
      <c r="N40" s="18" t="n">
        <v>776.47</v>
      </c>
      <c r="O40" s="18" t="n">
        <v>330.67</v>
      </c>
      <c r="P40" s="37" t="n">
        <v>330.67</v>
      </c>
      <c r="Q40" s="18" t="n">
        <v>-1563.31</v>
      </c>
      <c r="R40" s="18" t="n">
        <v>-2398.85</v>
      </c>
      <c r="S40" s="18" t="n">
        <v>-3913.35</v>
      </c>
      <c r="T40" s="18" t="n">
        <v>-4023.88</v>
      </c>
      <c r="U40" s="37" t="n">
        <v>-4023.88</v>
      </c>
      <c r="V40" s="18" t="n">
        <v>-5620.98</v>
      </c>
      <c r="W40" s="18" t="n">
        <v>-7408.13</v>
      </c>
      <c r="X40" s="18" t="n">
        <v>-6016.04</v>
      </c>
      <c r="Y40" s="18" t="n">
        <v>-11368.14</v>
      </c>
      <c r="Z40" s="37" t="n">
        <v>-11368.14</v>
      </c>
      <c r="AA40" s="18" t="n">
        <v>-10026.17</v>
      </c>
      <c r="AB40" s="19" t="n">
        <v>-8946.030000000001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이익잉여금</t>
        </is>
      </c>
      <c r="E41" s="18" t="n">
        <v>39151.77</v>
      </c>
      <c r="F41" s="37" t="n">
        <v>39151.77</v>
      </c>
      <c r="G41" s="18" t="n">
        <v>39307.42</v>
      </c>
      <c r="H41" s="18" t="n">
        <v>45687.72</v>
      </c>
      <c r="I41" s="18" t="n">
        <v>49995.47</v>
      </c>
      <c r="J41" s="18" t="n">
        <v>51728.33</v>
      </c>
      <c r="K41" s="37" t="n">
        <v>51728.33</v>
      </c>
      <c r="L41" s="18" t="n">
        <v>50275.17</v>
      </c>
      <c r="M41" s="18" t="n">
        <v>55670.62</v>
      </c>
      <c r="N41" s="18" t="n">
        <v>53722.53</v>
      </c>
      <c r="O41" s="18" t="n">
        <v>54651.74</v>
      </c>
      <c r="P41" s="37" t="n">
        <v>54651.74</v>
      </c>
      <c r="Q41" s="18" t="n">
        <v>52479.02</v>
      </c>
      <c r="R41" s="18" t="n">
        <v>50075.91</v>
      </c>
      <c r="S41" s="18" t="n">
        <v>41122.44</v>
      </c>
      <c r="T41" s="18" t="n">
        <v>48714.55</v>
      </c>
      <c r="U41" s="37" t="n">
        <v>48714.55</v>
      </c>
      <c r="V41" s="18" t="n">
        <v>36657.83</v>
      </c>
      <c r="W41" s="18" t="n">
        <v>29022.13</v>
      </c>
      <c r="X41" s="18" t="n">
        <v>35890.85</v>
      </c>
      <c r="Y41" s="18" t="n">
        <v>57069.34</v>
      </c>
      <c r="Z41" s="37" t="n">
        <v>57069.34</v>
      </c>
      <c r="AA41" s="18" t="n">
        <v>68859.16</v>
      </c>
      <c r="AB41" s="19" t="n">
        <v>70973.14999999999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자본총계</t>
        </is>
      </c>
      <c r="E42" s="18" t="n">
        <v>160801.77</v>
      </c>
      <c r="F42" s="37" t="n">
        <v>160801.77</v>
      </c>
      <c r="G42" s="18" t="n">
        <v>161884.44</v>
      </c>
      <c r="H42" s="18" t="n">
        <v>169290.85</v>
      </c>
      <c r="I42" s="18" t="n">
        <v>175442.39</v>
      </c>
      <c r="J42" s="18" t="n">
        <v>174774.87</v>
      </c>
      <c r="K42" s="37" t="n">
        <v>174774.87</v>
      </c>
      <c r="L42" s="18" t="n">
        <v>174858.81</v>
      </c>
      <c r="M42" s="18" t="n">
        <v>180860.57</v>
      </c>
      <c r="N42" s="18" t="n">
        <v>269276.22</v>
      </c>
      <c r="O42" s="18" t="n">
        <v>270184.59</v>
      </c>
      <c r="P42" s="37" t="n">
        <v>270184.59</v>
      </c>
      <c r="Q42" s="18" t="n">
        <v>266173.42</v>
      </c>
      <c r="R42" s="18" t="n">
        <v>263260.34</v>
      </c>
      <c r="S42" s="18" t="n">
        <v>252839.06</v>
      </c>
      <c r="T42" s="18" t="n">
        <v>260456.55</v>
      </c>
      <c r="U42" s="37" t="n">
        <v>260456.55</v>
      </c>
      <c r="V42" s="18" t="n">
        <v>246944.26</v>
      </c>
      <c r="W42" s="18" t="n">
        <v>237568.37</v>
      </c>
      <c r="X42" s="18" t="n">
        <v>245996.6</v>
      </c>
      <c r="Y42" s="18" t="n">
        <v>262061.29</v>
      </c>
      <c r="Z42" s="37" t="n">
        <v>262061.29</v>
      </c>
      <c r="AA42" s="18" t="n">
        <v>276018.61</v>
      </c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부채와자본총계</t>
        </is>
      </c>
      <c r="E43" s="18" t="n">
        <v>240280.81</v>
      </c>
      <c r="F43" s="37" t="n">
        <v>240280.81</v>
      </c>
      <c r="G43" s="18" t="n">
        <v>262954.31</v>
      </c>
      <c r="H43" s="18" t="n">
        <v>277358.39</v>
      </c>
      <c r="I43" s="18" t="n">
        <v>311974.2</v>
      </c>
      <c r="J43" s="18" t="n">
        <v>350278.5</v>
      </c>
      <c r="K43" s="37" t="n">
        <v>350278.5</v>
      </c>
      <c r="L43" s="18" t="n">
        <v>353659.01</v>
      </c>
      <c r="M43" s="18" t="n">
        <v>356738.51</v>
      </c>
      <c r="N43" s="18" t="n">
        <v>426350.56</v>
      </c>
      <c r="O43" s="18" t="n">
        <v>423362.35</v>
      </c>
      <c r="P43" s="37" t="n">
        <v>423362.35</v>
      </c>
      <c r="Q43" s="18" t="n">
        <v>413119.2</v>
      </c>
      <c r="R43" s="18" t="n">
        <v>450313.18</v>
      </c>
      <c r="S43" s="18" t="n">
        <v>426101.42</v>
      </c>
      <c r="T43" s="18" t="n">
        <v>408646.6</v>
      </c>
      <c r="U43" s="37" t="n">
        <v>408646.6</v>
      </c>
      <c r="V43" s="18" t="n">
        <v>402414.62</v>
      </c>
      <c r="W43" s="18" t="n">
        <v>435742.23</v>
      </c>
      <c r="X43" s="18" t="n">
        <v>462812.38</v>
      </c>
      <c r="Y43" s="18" t="n">
        <v>476338.95</v>
      </c>
      <c r="Z43" s="37" t="n">
        <v>476338.95</v>
      </c>
      <c r="AA43" s="18" t="n">
        <v>472369.24</v>
      </c>
      <c r="AB43" s="19" t="n">
        <v>507518.55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160801.77</v>
      </c>
      <c r="F44" s="37" t="n">
        <v>160801.77</v>
      </c>
      <c r="G44" s="18" t="n">
        <v>161884.44</v>
      </c>
      <c r="H44" s="18" t="n">
        <v>169290.85</v>
      </c>
      <c r="I44" s="18" t="n">
        <v>175442.39</v>
      </c>
      <c r="J44" s="18" t="n">
        <v>174774.87</v>
      </c>
      <c r="K44" s="37" t="n">
        <v>174774.87</v>
      </c>
      <c r="L44" s="18" t="n">
        <v>174858.81</v>
      </c>
      <c r="M44" s="18" t="n">
        <v>180860.57</v>
      </c>
      <c r="N44" s="18" t="n">
        <v>269276.22</v>
      </c>
      <c r="O44" s="18" t="n">
        <v>270184.59</v>
      </c>
      <c r="P44" s="37" t="n">
        <v>270184.59</v>
      </c>
      <c r="Q44" s="18" t="n">
        <v>266173.42</v>
      </c>
      <c r="R44" s="18" t="n">
        <v>263260.34</v>
      </c>
      <c r="S44" s="18" t="n">
        <v>252839.06</v>
      </c>
      <c r="T44" s="18" t="n">
        <v>260456.55</v>
      </c>
      <c r="U44" s="37" t="n">
        <v>260456.55</v>
      </c>
      <c r="V44" s="18" t="n">
        <v>246944.26</v>
      </c>
      <c r="W44" s="18" t="n">
        <v>237568.37</v>
      </c>
      <c r="X44" s="18" t="n">
        <v>245996.6</v>
      </c>
      <c r="Y44" s="18" t="n">
        <v>262061.29</v>
      </c>
      <c r="Z44" s="37" t="n">
        <v>262061.29</v>
      </c>
      <c r="AA44" s="18" t="n">
        <v>276018.61</v>
      </c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총차입금</t>
        </is>
      </c>
      <c r="E45" s="18" t="n">
        <v>34720</v>
      </c>
      <c r="F45" s="37" t="n">
        <v>34720</v>
      </c>
      <c r="G45" s="18" t="n">
        <v>50625</v>
      </c>
      <c r="H45" s="18" t="n">
        <v>52760</v>
      </c>
      <c r="I45" s="18" t="n">
        <v>72435</v>
      </c>
      <c r="J45" s="18" t="n">
        <v>95763.05</v>
      </c>
      <c r="K45" s="37" t="n">
        <v>95763.05</v>
      </c>
      <c r="L45" s="18" t="n">
        <v>107678.49</v>
      </c>
      <c r="M45" s="18" t="n">
        <v>128321.28</v>
      </c>
      <c r="N45" s="18" t="n">
        <v>100640.57</v>
      </c>
      <c r="O45" s="18" t="n">
        <v>99331.28999999999</v>
      </c>
      <c r="P45" s="37" t="n">
        <v>99331.28999999999</v>
      </c>
      <c r="Q45" s="18" t="n">
        <v>98522.00999999999</v>
      </c>
      <c r="R45" s="18" t="n">
        <v>107212.53</v>
      </c>
      <c r="S45" s="18" t="n">
        <v>104274.88</v>
      </c>
      <c r="T45" s="18" t="n">
        <v>97965.60000000001</v>
      </c>
      <c r="U45" s="37" t="n">
        <v>97965.60000000001</v>
      </c>
      <c r="V45" s="18" t="n">
        <v>97156.32000000001</v>
      </c>
      <c r="W45" s="18" t="n">
        <v>115847.04</v>
      </c>
      <c r="X45" s="18" t="n">
        <v>131121.76</v>
      </c>
      <c r="Y45" s="18" t="n">
        <v>126226.48</v>
      </c>
      <c r="Z45" s="37" t="n">
        <v>126226.48</v>
      </c>
      <c r="AA45" s="18" t="n">
        <v>122596.2</v>
      </c>
      <c r="AB45" s="19" t="n">
        <v>133465.92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순차입금</t>
        </is>
      </c>
      <c r="E46" s="18" t="n">
        <v>-15899.55</v>
      </c>
      <c r="F46" s="37" t="n">
        <v>-15899.55</v>
      </c>
      <c r="G46" s="18" t="n">
        <v>7942.81</v>
      </c>
      <c r="H46" s="18" t="n">
        <v>22538.21</v>
      </c>
      <c r="I46" s="18" t="n">
        <v>35648.29</v>
      </c>
      <c r="J46" s="18" t="n">
        <v>75396.64999999999</v>
      </c>
      <c r="K46" s="37" t="n">
        <v>75396.64999999999</v>
      </c>
      <c r="L46" s="18" t="n">
        <v>99734.75999999999</v>
      </c>
      <c r="M46" s="18" t="n">
        <v>103016.67</v>
      </c>
      <c r="N46" s="18" t="n">
        <v>5510.74</v>
      </c>
      <c r="O46" s="18" t="n">
        <v>-11554.38</v>
      </c>
      <c r="P46" s="37" t="n">
        <v>-11554.38</v>
      </c>
      <c r="Q46" s="18" t="n">
        <v>-952.87</v>
      </c>
      <c r="R46" s="18" t="n">
        <v>14489.31</v>
      </c>
      <c r="S46" s="18" t="n">
        <v>49036.16</v>
      </c>
      <c r="T46" s="18" t="n">
        <v>50468.67</v>
      </c>
      <c r="U46" s="37" t="n">
        <v>50468.67</v>
      </c>
      <c r="V46" s="18" t="n">
        <v>45030.5</v>
      </c>
      <c r="W46" s="18" t="n">
        <v>95464.39</v>
      </c>
      <c r="X46" s="18" t="n">
        <v>113782.89</v>
      </c>
      <c r="Y46" s="18" t="n">
        <v>105575.11</v>
      </c>
      <c r="Z46" s="37" t="n">
        <v>105575.11</v>
      </c>
      <c r="AA46" s="18" t="n">
        <v>112033.74</v>
      </c>
      <c r="AB46" s="19" t="n">
        <v>118487.61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이자발생자산</t>
        </is>
      </c>
      <c r="E47" s="18" t="n">
        <v>59711.71</v>
      </c>
      <c r="F47" s="37" t="n">
        <v>59711.71</v>
      </c>
      <c r="G47" s="18" t="n">
        <v>53307.76</v>
      </c>
      <c r="H47" s="18" t="n">
        <v>45083.84</v>
      </c>
      <c r="I47" s="18" t="n">
        <v>51070.19</v>
      </c>
      <c r="J47" s="18" t="n">
        <v>38820.82</v>
      </c>
      <c r="K47" s="37" t="n">
        <v>38820.82</v>
      </c>
      <c r="L47" s="18" t="n">
        <v>25202.48</v>
      </c>
      <c r="M47" s="18" t="n">
        <v>42736.37</v>
      </c>
      <c r="N47" s="18" t="n">
        <v>112083.09</v>
      </c>
      <c r="O47" s="18" t="n">
        <v>126000.63</v>
      </c>
      <c r="P47" s="37" t="n">
        <v>126000.63</v>
      </c>
      <c r="Q47" s="18" t="n">
        <v>122136.7</v>
      </c>
      <c r="R47" s="18" t="n">
        <v>122015.77</v>
      </c>
      <c r="S47" s="18" t="n">
        <v>91824.07000000001</v>
      </c>
      <c r="T47" s="18" t="n">
        <v>96237.10000000001</v>
      </c>
      <c r="U47" s="37" t="n">
        <v>96237.10000000001</v>
      </c>
      <c r="V47" s="18" t="n">
        <v>100754.44</v>
      </c>
      <c r="W47" s="18" t="n">
        <v>80528.21000000001</v>
      </c>
      <c r="X47" s="18" t="n">
        <v>68651.09</v>
      </c>
      <c r="Y47" s="18" t="n">
        <v>68404.19</v>
      </c>
      <c r="Z47" s="37" t="n">
        <v>68404.19</v>
      </c>
      <c r="AA47" s="18" t="n">
        <v>66749.42</v>
      </c>
      <c r="AB47" s="19" t="n">
        <v>67720.21000000001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단기파생상품부채</t>
        </is>
      </c>
      <c r="F48" s="9" t="n"/>
      <c r="G48" s="18" t="n">
        <v>199.85</v>
      </c>
      <c r="H48" s="18" t="n">
        <v>2126.26</v>
      </c>
      <c r="I48" s="18" t="n">
        <v>4487.19</v>
      </c>
      <c r="J48" s="18" t="n">
        <v>746.6799999999999</v>
      </c>
      <c r="K48" s="37" t="n">
        <v>746.6799999999999</v>
      </c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단기금융부채</t>
        </is>
      </c>
      <c r="F49" s="9" t="n"/>
      <c r="G49" s="18" t="n">
        <v>199.85</v>
      </c>
      <c r="H49" s="18" t="n">
        <v>2126.26</v>
      </c>
      <c r="I49" s="18" t="n">
        <v>4487.19</v>
      </c>
      <c r="J49" s="18" t="n">
        <v>746.6799999999999</v>
      </c>
      <c r="K49" s="37" t="n">
        <v>746.6799999999999</v>
      </c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단기금융부채(face)</t>
        </is>
      </c>
      <c r="F50" s="9" t="n"/>
      <c r="K50" s="9" t="n"/>
      <c r="N50" s="18" t="n">
        <v>45200</v>
      </c>
      <c r="O50" s="18" t="n">
        <v>44200</v>
      </c>
      <c r="P50" s="37" t="n">
        <v>44200</v>
      </c>
      <c r="Q50" s="18" t="n">
        <v>43700</v>
      </c>
      <c r="R50" s="18" t="n">
        <v>52699.8</v>
      </c>
      <c r="S50" s="18" t="n">
        <v>50700</v>
      </c>
      <c r="T50" s="18" t="n">
        <v>43000</v>
      </c>
      <c r="U50" s="37" t="n">
        <v>43000</v>
      </c>
      <c r="V50" s="18" t="n">
        <v>43000</v>
      </c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장기금융부채(face)</t>
        </is>
      </c>
      <c r="F51" s="9" t="n"/>
      <c r="K51" s="9" t="n"/>
      <c r="P51" s="9" t="n"/>
      <c r="S51" s="18" t="n">
        <v>50337.76</v>
      </c>
      <c r="T51" s="18" t="n">
        <v>51758.48</v>
      </c>
      <c r="U51" s="37" t="n">
        <v>51758.48</v>
      </c>
      <c r="V51" s="18" t="n">
        <v>40979.2</v>
      </c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당기법인세자산(선급법인세)</t>
        </is>
      </c>
      <c r="F52" s="9" t="n"/>
      <c r="K52" s="9" t="n"/>
      <c r="P52" s="9" t="n"/>
      <c r="U52" s="9" t="n"/>
      <c r="W52" s="18" t="n">
        <v>95.23</v>
      </c>
      <c r="X52" s="18" t="n">
        <v>130.91</v>
      </c>
      <c r="Y52" s="18" t="n">
        <v>0</v>
      </c>
      <c r="Z52" s="37" t="n">
        <v>0</v>
      </c>
      <c r="AA52" s="18" t="n">
        <v>25.58</v>
      </c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당기법인세부채(미지급법인세)</t>
        </is>
      </c>
      <c r="F53" s="9" t="n"/>
      <c r="K53" s="9" t="n"/>
      <c r="P53" s="9" t="n"/>
      <c r="U53" s="9" t="n"/>
      <c r="Y53" s="18" t="n">
        <v>1524.42</v>
      </c>
      <c r="Z53" s="37" t="n">
        <v>1524.42</v>
      </c>
      <c r="AA53" s="18" t="n">
        <v>1071.81</v>
      </c>
      <c r="AB53" s="19" t="n">
        <v>1578.9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사채</t>
        </is>
      </c>
      <c r="F54" s="9" t="n"/>
      <c r="K54" s="9" t="n"/>
      <c r="P54" s="9" t="n"/>
      <c r="U54" s="9" t="n"/>
      <c r="Y54" s="18" t="n">
        <v>20000</v>
      </c>
      <c r="Z54" s="37" t="n">
        <v>20000</v>
      </c>
      <c r="AA54" s="18" t="n">
        <v>20000</v>
      </c>
      <c r="AB54" s="19" t="n">
        <v>20000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투자부동산</t>
        </is>
      </c>
      <c r="F55" s="9" t="n"/>
      <c r="K55" s="9" t="n"/>
      <c r="P55" s="9" t="n"/>
      <c r="U55" s="9" t="n"/>
      <c r="Z55" s="9" t="n"/>
      <c r="AB55" s="19" t="n">
        <v>7777.84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매출액(수익)</t>
        </is>
      </c>
      <c r="E56" s="18" t="n">
        <v>37973.82</v>
      </c>
      <c r="F56" s="9" t="n"/>
      <c r="G56" s="18" t="n">
        <v>33141.38</v>
      </c>
      <c r="H56" s="18" t="n">
        <v>49450.78</v>
      </c>
      <c r="I56" s="18" t="n">
        <v>49183.97</v>
      </c>
      <c r="J56" s="18" t="n">
        <v>83818.2</v>
      </c>
      <c r="K56" s="37" t="n">
        <v>215594.33</v>
      </c>
      <c r="L56" s="18" t="n">
        <v>46976.74</v>
      </c>
      <c r="M56" s="18" t="n">
        <v>74811.03999999999</v>
      </c>
      <c r="N56" s="18" t="n">
        <v>61103.01</v>
      </c>
      <c r="O56" s="18" t="n">
        <v>81708.21000000001</v>
      </c>
      <c r="P56" s="37" t="n">
        <v>264599</v>
      </c>
      <c r="Q56" s="18" t="n">
        <v>38646.54</v>
      </c>
      <c r="R56" s="18" t="n">
        <v>57830.18</v>
      </c>
      <c r="S56" s="18" t="n">
        <v>58652.2</v>
      </c>
      <c r="T56" s="18" t="n">
        <v>57547.24</v>
      </c>
      <c r="U56" s="37" t="n">
        <v>212676.16</v>
      </c>
      <c r="V56" s="18" t="n">
        <v>37869.34</v>
      </c>
      <c r="W56" s="18" t="n">
        <v>65481.74</v>
      </c>
      <c r="X56" s="18" t="n">
        <v>78414.36</v>
      </c>
      <c r="Y56" s="18" t="n">
        <v>106044.48</v>
      </c>
      <c r="Z56" s="37" t="n">
        <v>287809.92</v>
      </c>
      <c r="AA56" s="18" t="n">
        <v>55718.72</v>
      </c>
      <c r="AB56" s="19" t="n">
        <v>80065.64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매출원가</t>
        </is>
      </c>
      <c r="E57" s="18" t="n">
        <v>25088.94</v>
      </c>
      <c r="F57" s="9" t="n"/>
      <c r="G57" s="18" t="n">
        <v>24820.05</v>
      </c>
      <c r="H57" s="18" t="n">
        <v>32964.67</v>
      </c>
      <c r="I57" s="18" t="n">
        <v>36290.44</v>
      </c>
      <c r="J57" s="18" t="n">
        <v>47170.35</v>
      </c>
      <c r="K57" s="37" t="n">
        <v>141245.51</v>
      </c>
      <c r="L57" s="18" t="n">
        <v>39148.08</v>
      </c>
      <c r="M57" s="18" t="n">
        <v>47449.35</v>
      </c>
      <c r="N57" s="18" t="n">
        <v>43169.84</v>
      </c>
      <c r="O57" s="18" t="n">
        <v>50830.93</v>
      </c>
      <c r="P57" s="37" t="n">
        <v>180598.2</v>
      </c>
      <c r="Q57" s="18" t="n">
        <v>27498.2</v>
      </c>
      <c r="R57" s="18" t="n">
        <v>41377.63</v>
      </c>
      <c r="S57" s="18" t="n">
        <v>39931.54</v>
      </c>
      <c r="T57" s="18" t="n">
        <v>45288.86</v>
      </c>
      <c r="U57" s="37" t="n">
        <v>154096.23</v>
      </c>
      <c r="V57" s="18" t="n">
        <v>25957.65</v>
      </c>
      <c r="W57" s="18" t="n">
        <v>52657.16</v>
      </c>
      <c r="X57" s="18" t="n">
        <v>50662.63</v>
      </c>
      <c r="Y57" s="18" t="n">
        <v>71582.92</v>
      </c>
      <c r="Z57" s="37" t="n">
        <v>200860.36</v>
      </c>
      <c r="AA57" s="18" t="n">
        <v>33714</v>
      </c>
      <c r="AB57" s="19" t="n">
        <v>57762.25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매출총이익</t>
        </is>
      </c>
      <c r="E58" s="18" t="n">
        <v>12884.87</v>
      </c>
      <c r="F58" s="9" t="n"/>
      <c r="G58" s="18" t="n">
        <v>8321.33</v>
      </c>
      <c r="H58" s="18" t="n">
        <v>16486.11</v>
      </c>
      <c r="I58" s="18" t="n">
        <v>12893.53</v>
      </c>
      <c r="J58" s="18" t="n">
        <v>36647.84</v>
      </c>
      <c r="K58" s="37" t="n">
        <v>74348.81</v>
      </c>
      <c r="L58" s="18" t="n">
        <v>7828.66</v>
      </c>
      <c r="M58" s="18" t="n">
        <v>27361.69</v>
      </c>
      <c r="N58" s="18" t="n">
        <v>17933.17</v>
      </c>
      <c r="O58" s="18" t="n">
        <v>30877.28</v>
      </c>
      <c r="P58" s="37" t="n">
        <v>84000.8</v>
      </c>
      <c r="Q58" s="18" t="n">
        <v>11148.34</v>
      </c>
      <c r="R58" s="18" t="n">
        <v>16452.55</v>
      </c>
      <c r="S58" s="18" t="n">
        <v>18720.66</v>
      </c>
      <c r="T58" s="18" t="n">
        <v>12258.38</v>
      </c>
      <c r="U58" s="37" t="n">
        <v>58579.93</v>
      </c>
      <c r="V58" s="18" t="n">
        <v>11911.69</v>
      </c>
      <c r="W58" s="18" t="n">
        <v>12824.57</v>
      </c>
      <c r="X58" s="18" t="n">
        <v>27751.73</v>
      </c>
      <c r="Y58" s="18" t="n">
        <v>34461.56</v>
      </c>
      <c r="Z58" s="37" t="n">
        <v>86949.55</v>
      </c>
      <c r="AA58" s="18" t="n">
        <v>22004.71</v>
      </c>
      <c r="AB58" s="19" t="n">
        <v>22303.39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10768.77</v>
      </c>
      <c r="F59" s="9" t="n"/>
      <c r="G59" s="18" t="n">
        <v>10014.95</v>
      </c>
      <c r="H59" s="18" t="n">
        <v>11138.48</v>
      </c>
      <c r="I59" s="18" t="n">
        <v>14379.45</v>
      </c>
      <c r="J59" s="18" t="n">
        <v>26172.22</v>
      </c>
      <c r="K59" s="37" t="n">
        <v>61705.1</v>
      </c>
      <c r="L59" s="18" t="n">
        <v>14650.18</v>
      </c>
      <c r="M59" s="18" t="n">
        <v>21538.57</v>
      </c>
      <c r="N59" s="18" t="n">
        <v>20146.86</v>
      </c>
      <c r="O59" s="18" t="n">
        <v>23670.22</v>
      </c>
      <c r="P59" s="37" t="n">
        <v>80005.83</v>
      </c>
      <c r="Q59" s="18" t="n">
        <v>15698.57</v>
      </c>
      <c r="R59" s="18" t="n">
        <v>18987.72</v>
      </c>
      <c r="S59" s="18" t="n">
        <v>21654.11</v>
      </c>
      <c r="T59" s="18" t="n">
        <v>27072.64</v>
      </c>
      <c r="U59" s="37" t="n">
        <v>83413.03999999999</v>
      </c>
      <c r="V59" s="18" t="n">
        <v>17060.23</v>
      </c>
      <c r="W59" s="18" t="n">
        <v>17997.17</v>
      </c>
      <c r="X59" s="18" t="n">
        <v>17113.99</v>
      </c>
      <c r="Y59" s="18" t="n">
        <v>25070.29</v>
      </c>
      <c r="Z59" s="37" t="n">
        <v>77241.67999999999</v>
      </c>
      <c r="AA59" s="18" t="n">
        <v>19330.8</v>
      </c>
      <c r="AB59" s="19" t="n">
        <v>22887.59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2116.1</v>
      </c>
      <c r="F60" s="9" t="n"/>
      <c r="G60" s="18" t="n">
        <v>-1693.63</v>
      </c>
      <c r="H60" s="18" t="n">
        <v>5347.63</v>
      </c>
      <c r="I60" s="18" t="n">
        <v>-1485.92</v>
      </c>
      <c r="J60" s="18" t="n">
        <v>10475.63</v>
      </c>
      <c r="K60" s="37" t="n">
        <v>12643.71</v>
      </c>
      <c r="L60" s="18" t="n">
        <v>-6821.52</v>
      </c>
      <c r="M60" s="18" t="n">
        <v>5823.12</v>
      </c>
      <c r="N60" s="18" t="n">
        <v>-2213.69</v>
      </c>
      <c r="O60" s="18" t="n">
        <v>7207.07</v>
      </c>
      <c r="P60" s="37" t="n">
        <v>3994.98</v>
      </c>
      <c r="Q60" s="18" t="n">
        <v>-4550.23</v>
      </c>
      <c r="R60" s="18" t="n">
        <v>-2535.17</v>
      </c>
      <c r="S60" s="18" t="n">
        <v>-2933.44</v>
      </c>
      <c r="T60" s="18" t="n">
        <v>-14814.26</v>
      </c>
      <c r="U60" s="37" t="n">
        <v>-24833.1</v>
      </c>
      <c r="V60" s="18" t="n">
        <v>-5148.54</v>
      </c>
      <c r="W60" s="18" t="n">
        <v>-5172.6</v>
      </c>
      <c r="X60" s="18" t="n">
        <v>10637.74</v>
      </c>
      <c r="Y60" s="18" t="n">
        <v>9391.27</v>
      </c>
      <c r="Z60" s="37" t="n">
        <v>9707.870000000001</v>
      </c>
      <c r="AA60" s="18" t="n">
        <v>2673.91</v>
      </c>
      <c r="AB60" s="19" t="n">
        <v>-584.2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기타영업외수익</t>
        </is>
      </c>
      <c r="E61" s="18" t="n">
        <v>522.66</v>
      </c>
      <c r="F61" s="9" t="n"/>
      <c r="G61" s="18" t="n">
        <v>3333.9</v>
      </c>
      <c r="H61" s="18" t="n">
        <v>5418.12</v>
      </c>
      <c r="I61" s="18" t="n">
        <v>9894.65</v>
      </c>
      <c r="J61" s="18" t="n">
        <v>-3435.61</v>
      </c>
      <c r="K61" s="37" t="n">
        <v>15211.06</v>
      </c>
      <c r="L61" s="18" t="n">
        <v>9551.799999999999</v>
      </c>
      <c r="M61" s="18" t="n">
        <v>1731.31</v>
      </c>
      <c r="N61" s="18" t="n">
        <v>2965.23</v>
      </c>
      <c r="O61" s="18" t="n">
        <v>-1689.86</v>
      </c>
      <c r="P61" s="37" t="n">
        <v>12558.48</v>
      </c>
      <c r="Q61" s="18" t="n">
        <v>5892.88</v>
      </c>
      <c r="R61" s="18" t="n">
        <v>4242.15</v>
      </c>
      <c r="S61" s="18" t="n">
        <v>-946.04</v>
      </c>
      <c r="T61" s="18" t="n">
        <v>12241.34</v>
      </c>
      <c r="U61" s="37" t="n">
        <v>21430.33</v>
      </c>
      <c r="V61" s="18" t="n">
        <v>1785.04</v>
      </c>
      <c r="W61" s="18" t="n">
        <v>1046.4</v>
      </c>
      <c r="X61" s="18" t="n">
        <v>1489.57</v>
      </c>
      <c r="Y61" s="18" t="n">
        <v>6181.51</v>
      </c>
      <c r="Z61" s="37" t="n">
        <v>10502.52</v>
      </c>
      <c r="AA61" s="18" t="n">
        <v>9823.940000000001</v>
      </c>
      <c r="AB61" s="19" t="n">
        <v>4505.13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기타영업외비용</t>
        </is>
      </c>
      <c r="E62" s="18" t="n">
        <v>1108.23</v>
      </c>
      <c r="F62" s="9" t="n"/>
      <c r="G62" s="18" t="n">
        <v>530.6</v>
      </c>
      <c r="H62" s="18" t="n">
        <v>2035.93</v>
      </c>
      <c r="I62" s="18" t="n">
        <v>708.48</v>
      </c>
      <c r="J62" s="18" t="n">
        <v>9402.040000000001</v>
      </c>
      <c r="K62" s="37" t="n">
        <v>12677.05</v>
      </c>
      <c r="L62" s="18" t="n">
        <v>2452.82</v>
      </c>
      <c r="M62" s="18" t="n">
        <v>1692.71</v>
      </c>
      <c r="N62" s="18" t="n">
        <v>2068.04</v>
      </c>
      <c r="O62" s="18" t="n">
        <v>6062.59</v>
      </c>
      <c r="P62" s="37" t="n">
        <v>12276.16</v>
      </c>
      <c r="Q62" s="18" t="n">
        <v>3031.99</v>
      </c>
      <c r="R62" s="18" t="n">
        <v>2523.74</v>
      </c>
      <c r="S62" s="18" t="n">
        <v>4436.71</v>
      </c>
      <c r="T62" s="18" t="n">
        <v>-3592.21</v>
      </c>
      <c r="U62" s="37" t="n">
        <v>6400.23</v>
      </c>
      <c r="V62" s="18" t="n">
        <v>6921.71</v>
      </c>
      <c r="W62" s="18" t="n">
        <v>8069.08</v>
      </c>
      <c r="X62" s="18" t="n">
        <v>-2080.92</v>
      </c>
      <c r="Y62" s="18" t="n">
        <v>6987.84</v>
      </c>
      <c r="Z62" s="37" t="n">
        <v>19897.71</v>
      </c>
      <c r="AA62" s="18" t="n">
        <v>2123.42</v>
      </c>
      <c r="AB62" s="19" t="n">
        <v>1671.67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금융수익</t>
        </is>
      </c>
      <c r="E63" s="18" t="n">
        <v>1223.98</v>
      </c>
      <c r="F63" s="9" t="n"/>
      <c r="G63" s="18" t="n">
        <v>392</v>
      </c>
      <c r="H63" s="18" t="n">
        <v>428.68</v>
      </c>
      <c r="I63" s="18" t="n">
        <v>195.75</v>
      </c>
      <c r="J63" s="18" t="n">
        <v>3165.31</v>
      </c>
      <c r="K63" s="37" t="n">
        <v>4181.74</v>
      </c>
      <c r="L63" s="18" t="n">
        <v>451.17</v>
      </c>
      <c r="M63" s="18" t="n">
        <v>681.01</v>
      </c>
      <c r="N63" s="18" t="n">
        <v>687.99</v>
      </c>
      <c r="O63" s="18" t="n">
        <v>3515.74</v>
      </c>
      <c r="P63" s="37" t="n">
        <v>5335.91</v>
      </c>
      <c r="Q63" s="18" t="n">
        <v>1862.26</v>
      </c>
      <c r="R63" s="18" t="n">
        <v>1730.36</v>
      </c>
      <c r="S63" s="18" t="n">
        <v>667.49</v>
      </c>
      <c r="T63" s="18" t="n">
        <v>8673.26</v>
      </c>
      <c r="U63" s="37" t="n">
        <v>12933.37</v>
      </c>
      <c r="V63" s="18" t="n">
        <v>1053.74</v>
      </c>
      <c r="W63" s="18" t="n">
        <v>3090.84</v>
      </c>
      <c r="X63" s="18" t="n">
        <v>-332.24</v>
      </c>
      <c r="Y63" s="18" t="n">
        <v>5589.04</v>
      </c>
      <c r="Z63" s="37" t="n">
        <v>9401.379999999999</v>
      </c>
      <c r="AA63" s="18" t="n">
        <v>7274.92</v>
      </c>
      <c r="AB63" s="19" t="n">
        <v>117.99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299.14</v>
      </c>
      <c r="F64" s="9" t="n"/>
      <c r="G64" s="18" t="n">
        <v>453.72</v>
      </c>
      <c r="H64" s="18" t="n">
        <v>2892.55</v>
      </c>
      <c r="I64" s="18" t="n">
        <v>3588.26</v>
      </c>
      <c r="J64" s="18" t="n">
        <v>-886.73</v>
      </c>
      <c r="K64" s="37" t="n">
        <v>6047.8</v>
      </c>
      <c r="L64" s="18" t="n">
        <v>1287.27</v>
      </c>
      <c r="M64" s="18" t="n">
        <v>1354.16</v>
      </c>
      <c r="N64" s="18" t="n">
        <v>1319.59</v>
      </c>
      <c r="O64" s="18" t="n">
        <v>1774.69</v>
      </c>
      <c r="P64" s="37" t="n">
        <v>5735.71</v>
      </c>
      <c r="Q64" s="18" t="n">
        <v>1294.48</v>
      </c>
      <c r="R64" s="18" t="n">
        <v>1535.1</v>
      </c>
      <c r="S64" s="18" t="n">
        <v>1304.77</v>
      </c>
      <c r="T64" s="18" t="n">
        <v>1869.65</v>
      </c>
      <c r="U64" s="37" t="n">
        <v>6004</v>
      </c>
      <c r="V64" s="18" t="n">
        <v>1787.15</v>
      </c>
      <c r="W64" s="18" t="n">
        <v>444.03</v>
      </c>
      <c r="X64" s="18" t="n">
        <v>2693.35</v>
      </c>
      <c r="Y64" s="18" t="n">
        <v>912.74</v>
      </c>
      <c r="Z64" s="37" t="n">
        <v>5837.27</v>
      </c>
      <c r="AA64" s="18" t="n">
        <v>1942.3</v>
      </c>
      <c r="AB64" s="19" t="n">
        <v>2316.5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법인세비용차감전계속사업이익</t>
        </is>
      </c>
      <c r="E65" s="18" t="n">
        <v>2455.36</v>
      </c>
      <c r="F65" s="9" t="n"/>
      <c r="G65" s="18" t="n">
        <v>1047.94</v>
      </c>
      <c r="H65" s="18" t="n">
        <v>6265.95</v>
      </c>
      <c r="I65" s="18" t="n">
        <v>4307.75</v>
      </c>
      <c r="J65" s="18" t="n">
        <v>1690.03</v>
      </c>
      <c r="K65" s="37" t="n">
        <v>13311.67</v>
      </c>
      <c r="L65" s="18" t="n">
        <v>-558.64</v>
      </c>
      <c r="M65" s="18" t="n">
        <v>5188.58</v>
      </c>
      <c r="N65" s="18" t="n">
        <v>-1948.1</v>
      </c>
      <c r="O65" s="18" t="n">
        <v>1195.67</v>
      </c>
      <c r="P65" s="37" t="n">
        <v>3877.51</v>
      </c>
      <c r="Q65" s="18" t="n">
        <v>-1121.56</v>
      </c>
      <c r="R65" s="18" t="n">
        <v>-621.5</v>
      </c>
      <c r="S65" s="18" t="n">
        <v>-8953.48</v>
      </c>
      <c r="T65" s="18" t="n">
        <v>7822.88</v>
      </c>
      <c r="U65" s="37" t="n">
        <v>-2873.66</v>
      </c>
      <c r="V65" s="18" t="n">
        <v>-11018.63</v>
      </c>
      <c r="W65" s="18" t="n">
        <v>-7635.69</v>
      </c>
      <c r="X65" s="18" t="n">
        <v>6868.72</v>
      </c>
      <c r="Y65" s="18" t="n">
        <v>16077.07</v>
      </c>
      <c r="Z65" s="37" t="n">
        <v>4291.47</v>
      </c>
      <c r="AA65" s="18" t="n">
        <v>13830.16</v>
      </c>
      <c r="AB65" s="19" t="n">
        <v>3602.47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</t>
        </is>
      </c>
      <c r="E66" s="18" t="n">
        <v>81.61</v>
      </c>
      <c r="F66" s="9" t="n"/>
      <c r="H66" s="18" t="n">
        <v>7.22</v>
      </c>
      <c r="K66" s="9" t="n"/>
      <c r="L66" s="18" t="n">
        <v>0</v>
      </c>
      <c r="P66" s="9" t="n"/>
      <c r="U66" s="9" t="n"/>
      <c r="Z66" s="9" t="n"/>
      <c r="AA66" s="18" t="n">
        <v>0</v>
      </c>
      <c r="AB66" s="19" t="n">
        <v>1488.47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당기순이익</t>
        </is>
      </c>
      <c r="E67" s="18" t="n">
        <v>2373.75</v>
      </c>
      <c r="F67" s="9" t="n"/>
      <c r="G67" s="18" t="n">
        <v>1047.94</v>
      </c>
      <c r="H67" s="18" t="n">
        <v>6258.73</v>
      </c>
      <c r="I67" s="18" t="n">
        <v>4307.75</v>
      </c>
      <c r="J67" s="18" t="n">
        <v>1697.24</v>
      </c>
      <c r="K67" s="37" t="n">
        <v>13311.66</v>
      </c>
      <c r="L67" s="18" t="n">
        <v>-558.64</v>
      </c>
      <c r="M67" s="18" t="n">
        <v>5188.58</v>
      </c>
      <c r="N67" s="18" t="n">
        <v>-1948.1</v>
      </c>
      <c r="O67" s="18" t="n">
        <v>1195.67</v>
      </c>
      <c r="P67" s="37" t="n">
        <v>3877.51</v>
      </c>
      <c r="Q67" s="18" t="n">
        <v>-1121.56</v>
      </c>
      <c r="R67" s="18" t="n">
        <v>-621.5</v>
      </c>
      <c r="S67" s="18" t="n">
        <v>-8953.48</v>
      </c>
      <c r="T67" s="18" t="n">
        <v>7822.88</v>
      </c>
      <c r="U67" s="37" t="n">
        <v>-2873.66</v>
      </c>
      <c r="V67" s="18" t="n">
        <v>-11018.63</v>
      </c>
      <c r="W67" s="18" t="n">
        <v>-7635.69</v>
      </c>
      <c r="X67" s="18" t="n">
        <v>6868.72</v>
      </c>
      <c r="Y67" s="18" t="n">
        <v>16416.35</v>
      </c>
      <c r="Z67" s="37" t="n">
        <v>4630.75</v>
      </c>
      <c r="AA67" s="18" t="n">
        <v>13830.16</v>
      </c>
      <c r="AB67" s="19" t="n">
        <v>2113.99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총포괄손익</t>
        </is>
      </c>
      <c r="E68" s="18" t="n">
        <v>2559.31</v>
      </c>
      <c r="F68" s="9" t="n"/>
      <c r="G68" s="18" t="n">
        <v>1655.31</v>
      </c>
      <c r="H68" s="18" t="n">
        <v>6689.63</v>
      </c>
      <c r="I68" s="18" t="n">
        <v>6049.31</v>
      </c>
      <c r="J68" s="18" t="n">
        <v>-672.72</v>
      </c>
      <c r="K68" s="37" t="n">
        <v>13721.53</v>
      </c>
      <c r="L68" s="18" t="n">
        <v>691.95</v>
      </c>
      <c r="M68" s="18" t="n">
        <v>5458.08</v>
      </c>
      <c r="N68" s="18" t="n">
        <v>-1556.92</v>
      </c>
      <c r="O68" s="18" t="n">
        <v>337.74</v>
      </c>
      <c r="P68" s="37" t="n">
        <v>4930.85</v>
      </c>
      <c r="Q68" s="18" t="n">
        <v>-598.6799999999999</v>
      </c>
      <c r="R68" s="18" t="n">
        <v>-2097.33</v>
      </c>
      <c r="S68" s="18" t="n">
        <v>-9305.969999999999</v>
      </c>
      <c r="T68" s="18" t="n">
        <v>8886.68</v>
      </c>
      <c r="U68" s="37" t="n">
        <v>-3115.3</v>
      </c>
      <c r="V68" s="18" t="n">
        <v>-10968.54</v>
      </c>
      <c r="W68" s="18" t="n">
        <v>-8643.799999999999</v>
      </c>
      <c r="X68" s="18" t="n">
        <v>7955.75</v>
      </c>
      <c r="Y68" s="18" t="n">
        <v>17308.61</v>
      </c>
      <c r="Z68" s="37" t="n">
        <v>5652.02</v>
      </c>
      <c r="AA68" s="18" t="n">
        <v>14885.22</v>
      </c>
      <c r="AB68" s="19" t="n">
        <v>2593.43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금융손익</t>
        </is>
      </c>
      <c r="E69" s="18" t="n">
        <v>924.84</v>
      </c>
      <c r="F69" s="9" t="n"/>
      <c r="G69" s="18" t="n">
        <v>-61.72</v>
      </c>
      <c r="H69" s="18" t="n">
        <v>-2463.87</v>
      </c>
      <c r="I69" s="18" t="n">
        <v>-3392.51</v>
      </c>
      <c r="J69" s="18" t="n">
        <v>4052.04</v>
      </c>
      <c r="K69" s="37" t="n">
        <v>-1866.06</v>
      </c>
      <c r="L69" s="18" t="n">
        <v>-836.1</v>
      </c>
      <c r="M69" s="18" t="n">
        <v>-673.15</v>
      </c>
      <c r="N69" s="18" t="n">
        <v>-631.6</v>
      </c>
      <c r="O69" s="18" t="n">
        <v>1741.05</v>
      </c>
      <c r="P69" s="37" t="n">
        <v>-399.8</v>
      </c>
      <c r="Q69" s="18" t="n">
        <v>567.78</v>
      </c>
      <c r="R69" s="18" t="n">
        <v>195.26</v>
      </c>
      <c r="S69" s="18" t="n">
        <v>-637.28</v>
      </c>
      <c r="T69" s="18" t="n">
        <v>6803.61</v>
      </c>
      <c r="U69" s="37" t="n">
        <v>6929.37</v>
      </c>
      <c r="V69" s="18" t="n">
        <v>-733.41</v>
      </c>
      <c r="W69" s="18" t="n">
        <v>2646.81</v>
      </c>
      <c r="X69" s="18" t="n">
        <v>-3025.59</v>
      </c>
      <c r="Y69" s="18" t="n">
        <v>4676.3</v>
      </c>
      <c r="Z69" s="37" t="n">
        <v>3564.11</v>
      </c>
      <c r="AA69" s="18" t="n">
        <v>5332.62</v>
      </c>
      <c r="AB69" s="19" t="n">
        <v>-2198.51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기타영업외손익</t>
        </is>
      </c>
      <c r="E70" s="18" t="n">
        <v>-585.5700000000001</v>
      </c>
      <c r="F70" s="9" t="n"/>
      <c r="G70" s="18" t="n">
        <v>2803.3</v>
      </c>
      <c r="H70" s="18" t="n">
        <v>3382.19</v>
      </c>
      <c r="I70" s="18" t="n">
        <v>9186.17</v>
      </c>
      <c r="J70" s="18" t="n">
        <v>-12837.65</v>
      </c>
      <c r="K70" s="37" t="n">
        <v>2534.01</v>
      </c>
      <c r="L70" s="18" t="n">
        <v>7098.98</v>
      </c>
      <c r="M70" s="18" t="n">
        <v>38.6</v>
      </c>
      <c r="N70" s="18" t="n">
        <v>897.1900000000001</v>
      </c>
      <c r="O70" s="18" t="n">
        <v>-7752.45</v>
      </c>
      <c r="P70" s="37" t="n">
        <v>282.32</v>
      </c>
      <c r="Q70" s="18" t="n">
        <v>2860.89</v>
      </c>
      <c r="R70" s="18" t="n">
        <v>1718.41</v>
      </c>
      <c r="S70" s="18" t="n">
        <v>-5382.75</v>
      </c>
      <c r="T70" s="18" t="n">
        <v>15833.55</v>
      </c>
      <c r="U70" s="37" t="n">
        <v>15030.1</v>
      </c>
      <c r="V70" s="18" t="n">
        <v>-5136.67</v>
      </c>
      <c r="W70" s="18" t="n">
        <v>-7022.68</v>
      </c>
      <c r="X70" s="18" t="n">
        <v>3570.49</v>
      </c>
      <c r="Y70" s="18" t="n">
        <v>-806.33</v>
      </c>
      <c r="Z70" s="37" t="n">
        <v>-9395.190000000001</v>
      </c>
      <c r="AA70" s="18" t="n">
        <v>7700.52</v>
      </c>
      <c r="AB70" s="19" t="n">
        <v>2833.46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(지배주주지분)당기순이익</t>
        </is>
      </c>
      <c r="E71" s="18" t="n">
        <v>2373.75</v>
      </c>
      <c r="F71" s="9" t="n"/>
      <c r="G71" s="18" t="n">
        <v>1047.94</v>
      </c>
      <c r="H71" s="18" t="n">
        <v>6258.73</v>
      </c>
      <c r="I71" s="18" t="n">
        <v>4307.75</v>
      </c>
      <c r="J71" s="18" t="n">
        <v>1697.24</v>
      </c>
      <c r="K71" s="37" t="n">
        <v>13311.66</v>
      </c>
      <c r="L71" s="18" t="n">
        <v>-558.64</v>
      </c>
      <c r="M71" s="18" t="n">
        <v>5188.58</v>
      </c>
      <c r="N71" s="18" t="n">
        <v>-1948.1</v>
      </c>
      <c r="O71" s="18" t="n">
        <v>1195.67</v>
      </c>
      <c r="P71" s="37" t="n">
        <v>3877.51</v>
      </c>
      <c r="Q71" s="18" t="n">
        <v>-1121.56</v>
      </c>
      <c r="R71" s="18" t="n">
        <v>-621.5</v>
      </c>
      <c r="S71" s="18" t="n">
        <v>-8953.48</v>
      </c>
      <c r="T71" s="18" t="n">
        <v>7822.88</v>
      </c>
      <c r="U71" s="37" t="n">
        <v>-2873.66</v>
      </c>
      <c r="V71" s="18" t="n">
        <v>-11018.63</v>
      </c>
      <c r="W71" s="18" t="n">
        <v>-7635.69</v>
      </c>
      <c r="X71" s="18" t="n">
        <v>6868.72</v>
      </c>
      <c r="Y71" s="18" t="n">
        <v>16416.35</v>
      </c>
      <c r="Z71" s="37" t="n">
        <v>4630.75</v>
      </c>
      <c r="AA71" s="18" t="n">
        <v>13830.16</v>
      </c>
      <c r="AB71" s="19" t="n">
        <v>2113.99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계속사업이익</t>
        </is>
      </c>
      <c r="E72" s="18" t="n">
        <v>2373.75</v>
      </c>
      <c r="F72" s="9" t="n"/>
      <c r="G72" s="18" t="n">
        <v>1047.94</v>
      </c>
      <c r="H72" s="18" t="n">
        <v>6258.73</v>
      </c>
      <c r="I72" s="18" t="n">
        <v>4307.75</v>
      </c>
      <c r="J72" s="18" t="n">
        <v>1697.24</v>
      </c>
      <c r="K72" s="37" t="n">
        <v>13311.66</v>
      </c>
      <c r="L72" s="18" t="n">
        <v>-558.64</v>
      </c>
      <c r="M72" s="18" t="n">
        <v>5188.58</v>
      </c>
      <c r="N72" s="18" t="n">
        <v>-1948.1</v>
      </c>
      <c r="O72" s="18" t="n">
        <v>1195.67</v>
      </c>
      <c r="P72" s="37" t="n">
        <v>3877.51</v>
      </c>
      <c r="Q72" s="18" t="n">
        <v>-1121.56</v>
      </c>
      <c r="R72" s="18" t="n">
        <v>-621.5</v>
      </c>
      <c r="S72" s="18" t="n">
        <v>-8953.48</v>
      </c>
      <c r="T72" s="18" t="n">
        <v>7822.88</v>
      </c>
      <c r="U72" s="37" t="n">
        <v>-2873.66</v>
      </c>
      <c r="V72" s="18" t="n">
        <v>-11018.63</v>
      </c>
      <c r="W72" s="18" t="n">
        <v>-7635.69</v>
      </c>
      <c r="X72" s="18" t="n">
        <v>6868.72</v>
      </c>
      <c r="Y72" s="18" t="n">
        <v>16416.35</v>
      </c>
      <c r="Z72" s="37" t="n">
        <v>4630.75</v>
      </c>
      <c r="AA72" s="18" t="n">
        <v>13830.16</v>
      </c>
      <c r="AB72" s="19" t="n">
        <v>2113.99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종속기업,공동지배기업및관계기업관련손익</t>
        </is>
      </c>
      <c r="F73" s="9" t="n"/>
      <c r="K73" s="9" t="n"/>
      <c r="P73" s="9" t="n"/>
      <c r="U73" s="9" t="n"/>
      <c r="W73" s="18" t="n">
        <v>1912.77</v>
      </c>
      <c r="X73" s="18" t="n">
        <v>-4313.93</v>
      </c>
      <c r="Y73" s="18" t="n">
        <v>6858.34</v>
      </c>
      <c r="Z73" s="9" t="n"/>
      <c r="AA73" s="18" t="n">
        <v>1349.43</v>
      </c>
      <c r="AB73" s="19" t="n">
        <v>3551.72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지분법관련손익</t>
        </is>
      </c>
      <c r="F74" s="9" t="n"/>
      <c r="K74" s="9" t="n"/>
      <c r="P74" s="9" t="n"/>
      <c r="U74" s="9" t="n"/>
      <c r="W74" s="18" t="n">
        <v>1912.77</v>
      </c>
      <c r="X74" s="18" t="n">
        <v>-4313.93</v>
      </c>
      <c r="Y74" s="18" t="n">
        <v>6858.34</v>
      </c>
      <c r="Z74" s="9" t="n"/>
      <c r="AA74" s="18" t="n">
        <v>1349.43</v>
      </c>
      <c r="AB74" s="19" t="n">
        <v>3551.72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영업활동으로인한현금흐름</t>
        </is>
      </c>
      <c r="E75" s="18" t="n">
        <v>1656.04</v>
      </c>
      <c r="F75" s="9" t="n"/>
      <c r="G75" s="18" t="n">
        <v>-13471.41</v>
      </c>
      <c r="H75" s="18" t="n">
        <v>-1497.64</v>
      </c>
      <c r="I75" s="18" t="n">
        <v>267.45</v>
      </c>
      <c r="J75" s="18" t="n">
        <v>-20847.75</v>
      </c>
      <c r="K75" s="37" t="n">
        <v>-35549.35</v>
      </c>
      <c r="L75" s="18" t="n">
        <v>-18361.01</v>
      </c>
      <c r="M75" s="18" t="n">
        <v>707.6799999999999</v>
      </c>
      <c r="N75" s="18" t="n">
        <v>12922.76</v>
      </c>
      <c r="O75" s="18" t="n">
        <v>21405.27</v>
      </c>
      <c r="P75" s="37" t="n">
        <v>16674.7</v>
      </c>
      <c r="Q75" s="18" t="n">
        <v>9080.67</v>
      </c>
      <c r="R75" s="18" t="n">
        <v>2532.96</v>
      </c>
      <c r="S75" s="18" t="n">
        <v>-20253.24</v>
      </c>
      <c r="T75" s="18" t="n">
        <v>7650.5</v>
      </c>
      <c r="U75" s="37" t="n">
        <v>-989.11</v>
      </c>
      <c r="V75" s="18" t="n">
        <v>8713.66</v>
      </c>
      <c r="W75" s="18" t="n">
        <v>-32557.1</v>
      </c>
      <c r="X75" s="18" t="n">
        <v>-11907.02</v>
      </c>
      <c r="Y75" s="18" t="n">
        <v>10909.57</v>
      </c>
      <c r="Z75" s="37" t="n">
        <v>-24840.89</v>
      </c>
      <c r="AA75" s="18" t="n">
        <v>735.36</v>
      </c>
      <c r="AB75" s="19" t="n">
        <v>-2415.12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이자수취(CF)</t>
        </is>
      </c>
      <c r="E76" s="18" t="n">
        <v>731.7</v>
      </c>
      <c r="F76" s="9" t="n"/>
      <c r="G76" s="18" t="n">
        <v>274.72</v>
      </c>
      <c r="H76" s="18" t="n">
        <v>581.58</v>
      </c>
      <c r="I76" s="18" t="n">
        <v>177.48</v>
      </c>
      <c r="J76" s="18" t="n">
        <v>624.54</v>
      </c>
      <c r="K76" s="37" t="n">
        <v>1658.32</v>
      </c>
      <c r="L76" s="18" t="n">
        <v>229.27</v>
      </c>
      <c r="M76" s="18" t="n">
        <v>654.62</v>
      </c>
      <c r="N76" s="18" t="n">
        <v>370.04</v>
      </c>
      <c r="O76" s="18" t="n">
        <v>1818.92</v>
      </c>
      <c r="P76" s="37" t="n">
        <v>3072.85</v>
      </c>
      <c r="Q76" s="18" t="n">
        <v>1060.15</v>
      </c>
      <c r="R76" s="18" t="n">
        <v>1753.58</v>
      </c>
      <c r="S76" s="18" t="n">
        <v>1101.01</v>
      </c>
      <c r="T76" s="18" t="n">
        <v>1526.9</v>
      </c>
      <c r="U76" s="37" t="n">
        <v>5441.64</v>
      </c>
      <c r="V76" s="18" t="n">
        <v>186.22</v>
      </c>
      <c r="W76" s="18" t="n">
        <v>913.16</v>
      </c>
      <c r="X76" s="18" t="n">
        <v>137.5</v>
      </c>
      <c r="Y76" s="18" t="n">
        <v>1553.61</v>
      </c>
      <c r="Z76" s="37" t="n">
        <v>2790.49</v>
      </c>
      <c r="AA76" s="18" t="n">
        <v>141.21</v>
      </c>
      <c r="AB76" s="19" t="n">
        <v>1067.03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이자지급(CF)</t>
        </is>
      </c>
      <c r="E77" s="18" t="n">
        <v>-147.69</v>
      </c>
      <c r="F77" s="9" t="n"/>
      <c r="G77" s="18" t="n">
        <v>-214.63</v>
      </c>
      <c r="H77" s="18" t="n">
        <v>-332.13</v>
      </c>
      <c r="I77" s="18" t="n">
        <v>-440.55</v>
      </c>
      <c r="J77" s="18" t="n">
        <v>-643.73</v>
      </c>
      <c r="K77" s="37" t="n">
        <v>-1631.04</v>
      </c>
      <c r="L77" s="18" t="n">
        <v>-978.97</v>
      </c>
      <c r="M77" s="18" t="n">
        <v>-1263.07</v>
      </c>
      <c r="P77" s="9" t="n"/>
      <c r="U77" s="9" t="n"/>
      <c r="X77" s="18" t="n">
        <v>-1165.68</v>
      </c>
      <c r="Y77" s="18" t="n">
        <v>-1294.22</v>
      </c>
      <c r="Z77" s="9" t="n"/>
      <c r="AA77" s="18" t="n">
        <v>-1242.97</v>
      </c>
      <c r="AB77" s="19" t="n">
        <v>-1326.32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배당금수취(CF)</t>
        </is>
      </c>
      <c r="E78" s="18" t="n">
        <v>0</v>
      </c>
      <c r="F78" s="9" t="n"/>
      <c r="I78" s="18" t="n">
        <v>0</v>
      </c>
      <c r="J78" s="18" t="n">
        <v>19.58</v>
      </c>
      <c r="K78" s="9" t="n"/>
      <c r="L78" s="18" t="n">
        <v>9.789999999999999</v>
      </c>
      <c r="P78" s="9" t="n"/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법인세납부(CF)</t>
        </is>
      </c>
      <c r="E79" s="18" t="n">
        <v>-57.54</v>
      </c>
      <c r="F79" s="9" t="n"/>
      <c r="G79" s="18" t="n">
        <v>-96.18000000000001</v>
      </c>
      <c r="H79" s="18" t="n">
        <v>-117.97</v>
      </c>
      <c r="I79" s="18" t="n">
        <v>-26.92</v>
      </c>
      <c r="J79" s="18" t="n">
        <v>-121.15</v>
      </c>
      <c r="K79" s="37" t="n">
        <v>-362.22</v>
      </c>
      <c r="L79" s="18" t="n">
        <v>-190.88</v>
      </c>
      <c r="M79" s="18" t="n">
        <v>-352.4</v>
      </c>
      <c r="N79" s="18" t="n">
        <v>-58.3</v>
      </c>
      <c r="O79" s="18" t="n">
        <v>-167.95</v>
      </c>
      <c r="P79" s="37" t="n">
        <v>-769.53</v>
      </c>
      <c r="Q79" s="18" t="n">
        <v>-164.04</v>
      </c>
      <c r="R79" s="18" t="n">
        <v>-173.79</v>
      </c>
      <c r="S79" s="18" t="n">
        <v>-169.59</v>
      </c>
      <c r="T79" s="18" t="n">
        <v>-95.42</v>
      </c>
      <c r="U79" s="37" t="n">
        <v>-602.84</v>
      </c>
      <c r="V79" s="18" t="n">
        <v>-49.92</v>
      </c>
      <c r="W79" s="18" t="n">
        <v>441.64</v>
      </c>
      <c r="X79" s="18" t="n">
        <v>-35.68</v>
      </c>
      <c r="Y79" s="18" t="n">
        <v>-103.57</v>
      </c>
      <c r="Z79" s="37" t="n">
        <v>252.47</v>
      </c>
      <c r="AA79" s="18" t="n">
        <v>-478.19</v>
      </c>
      <c r="AB79" s="19" t="n">
        <v>-955.8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투자활동으로인한현금흐름</t>
        </is>
      </c>
      <c r="E80" s="18" t="n">
        <v>-2344.42</v>
      </c>
      <c r="F80" s="9" t="n"/>
      <c r="G80" s="18" t="n">
        <v>-7043.08</v>
      </c>
      <c r="H80" s="18" t="n">
        <v>271.06</v>
      </c>
      <c r="I80" s="18" t="n">
        <v>-13076.82</v>
      </c>
      <c r="J80" s="18" t="n">
        <v>-4947.31</v>
      </c>
      <c r="K80" s="37" t="n">
        <v>-24796.15</v>
      </c>
      <c r="L80" s="18" t="n">
        <v>231.47</v>
      </c>
      <c r="M80" s="18" t="n">
        <v>-13788.32</v>
      </c>
      <c r="N80" s="18" t="n">
        <v>-59225.14</v>
      </c>
      <c r="O80" s="18" t="n">
        <v>-5163.23</v>
      </c>
      <c r="P80" s="37" t="n">
        <v>-77945.22</v>
      </c>
      <c r="Q80" s="18" t="n">
        <v>-28367.59</v>
      </c>
      <c r="R80" s="18" t="n">
        <v>-12501.07</v>
      </c>
      <c r="S80" s="18" t="n">
        <v>19894.24</v>
      </c>
      <c r="T80" s="18" t="n">
        <v>-3618.25</v>
      </c>
      <c r="U80" s="37" t="n">
        <v>-24592.67</v>
      </c>
      <c r="V80" s="18" t="n">
        <v>-6288.89</v>
      </c>
      <c r="W80" s="18" t="n">
        <v>10861.19</v>
      </c>
      <c r="X80" s="18" t="n">
        <v>273.13</v>
      </c>
      <c r="Y80" s="18" t="n">
        <v>12682.57</v>
      </c>
      <c r="Z80" s="37" t="n">
        <v>17528</v>
      </c>
      <c r="AA80" s="18" t="n">
        <v>-7085.49</v>
      </c>
      <c r="AB80" s="19" t="n">
        <v>-2130.65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유형자산의증가</t>
        </is>
      </c>
      <c r="E81" s="18" t="n">
        <v>5903.04</v>
      </c>
      <c r="F81" s="9" t="n"/>
      <c r="G81" s="18" t="n">
        <v>6764.88</v>
      </c>
      <c r="H81" s="18" t="n">
        <v>6071.91</v>
      </c>
      <c r="I81" s="18" t="n">
        <v>11413.74</v>
      </c>
      <c r="J81" s="18" t="n">
        <v>10516.81</v>
      </c>
      <c r="K81" s="37" t="n">
        <v>34767.34</v>
      </c>
      <c r="L81" s="18" t="n">
        <v>4972.82</v>
      </c>
      <c r="M81" s="18" t="n">
        <v>611.5700000000001</v>
      </c>
      <c r="N81" s="18" t="n">
        <v>1160.5</v>
      </c>
      <c r="O81" s="18" t="n">
        <v>530.1</v>
      </c>
      <c r="P81" s="37" t="n">
        <v>7274.99</v>
      </c>
      <c r="Q81" s="18" t="n">
        <v>4127.1</v>
      </c>
      <c r="R81" s="18" t="n">
        <v>1143.84</v>
      </c>
      <c r="S81" s="18" t="n">
        <v>1814.59</v>
      </c>
      <c r="T81" s="18" t="n">
        <v>1001.57</v>
      </c>
      <c r="U81" s="37" t="n">
        <v>8087.1</v>
      </c>
      <c r="V81" s="18" t="n">
        <v>699.88</v>
      </c>
      <c r="W81" s="18" t="n">
        <v>994.9400000000001</v>
      </c>
      <c r="X81" s="18" t="n">
        <v>9216.74</v>
      </c>
      <c r="Y81" s="18" t="n">
        <v>860.45</v>
      </c>
      <c r="Z81" s="37" t="n">
        <v>11772.01</v>
      </c>
      <c r="AA81" s="18" t="n">
        <v>1540.85</v>
      </c>
      <c r="AB81" s="19" t="n">
        <v>427.46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CAPEX</t>
        </is>
      </c>
      <c r="E82" s="18" t="n">
        <v>6856.49</v>
      </c>
      <c r="F82" s="9" t="n"/>
      <c r="G82" s="18" t="n">
        <v>7722.7</v>
      </c>
      <c r="H82" s="18" t="n">
        <v>7673.06</v>
      </c>
      <c r="I82" s="18" t="n">
        <v>12823.45</v>
      </c>
      <c r="J82" s="18" t="n">
        <v>12815.9</v>
      </c>
      <c r="K82" s="37" t="n">
        <v>41035.11</v>
      </c>
      <c r="L82" s="18" t="n">
        <v>6327.1</v>
      </c>
      <c r="M82" s="18" t="n">
        <v>2318.59</v>
      </c>
      <c r="N82" s="18" t="n">
        <v>5377.38</v>
      </c>
      <c r="O82" s="18" t="n">
        <v>6657.9</v>
      </c>
      <c r="P82" s="37" t="n">
        <v>20680.97</v>
      </c>
      <c r="Q82" s="18" t="n">
        <v>10643.86</v>
      </c>
      <c r="R82" s="18" t="n">
        <v>8595.24</v>
      </c>
      <c r="S82" s="18" t="n">
        <v>5220.75</v>
      </c>
      <c r="T82" s="18" t="n">
        <v>3463.77</v>
      </c>
      <c r="U82" s="37" t="n">
        <v>27923.62</v>
      </c>
      <c r="V82" s="18" t="n">
        <v>2516.66</v>
      </c>
      <c r="W82" s="18" t="n">
        <v>6129.2</v>
      </c>
      <c r="X82" s="18" t="n">
        <v>13770.69</v>
      </c>
      <c r="Y82" s="18" t="n">
        <v>8068.28</v>
      </c>
      <c r="Z82" s="37" t="n">
        <v>30484.83</v>
      </c>
      <c r="AA82" s="18" t="n">
        <v>5162.74</v>
      </c>
      <c r="AB82" s="19" t="n">
        <v>2677.67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무형자산의증가</t>
        </is>
      </c>
      <c r="E83" s="18" t="n">
        <v>953.45</v>
      </c>
      <c r="F83" s="9" t="n"/>
      <c r="G83" s="18" t="n">
        <v>957.8200000000001</v>
      </c>
      <c r="H83" s="18" t="n">
        <v>1601.15</v>
      </c>
      <c r="I83" s="18" t="n">
        <v>1409.71</v>
      </c>
      <c r="J83" s="18" t="n">
        <v>2299.09</v>
      </c>
      <c r="K83" s="37" t="n">
        <v>6267.77</v>
      </c>
      <c r="L83" s="18" t="n">
        <v>1354.28</v>
      </c>
      <c r="M83" s="18" t="n">
        <v>1707.02</v>
      </c>
      <c r="N83" s="18" t="n">
        <v>4216.88</v>
      </c>
      <c r="O83" s="18" t="n">
        <v>6127.8</v>
      </c>
      <c r="P83" s="37" t="n">
        <v>13405.98</v>
      </c>
      <c r="Q83" s="18" t="n">
        <v>6516.76</v>
      </c>
      <c r="R83" s="18" t="n">
        <v>7451.4</v>
      </c>
      <c r="S83" s="18" t="n">
        <v>3406.16</v>
      </c>
      <c r="T83" s="18" t="n">
        <v>2462.2</v>
      </c>
      <c r="U83" s="37" t="n">
        <v>19836.52</v>
      </c>
      <c r="V83" s="18" t="n">
        <v>1816.78</v>
      </c>
      <c r="W83" s="18" t="n">
        <v>5134.26</v>
      </c>
      <c r="X83" s="18" t="n">
        <v>4553.95</v>
      </c>
      <c r="Y83" s="18" t="n">
        <v>7207.83</v>
      </c>
      <c r="Z83" s="37" t="n">
        <v>18712.82</v>
      </c>
      <c r="AA83" s="18" t="n">
        <v>3621.89</v>
      </c>
      <c r="AB83" s="19" t="n">
        <v>2250.21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재무활동으로인한현금흐름</t>
        </is>
      </c>
      <c r="E84" s="18" t="n">
        <v>5067.2</v>
      </c>
      <c r="F84" s="9" t="n"/>
      <c r="G84" s="18" t="n">
        <v>15836.06</v>
      </c>
      <c r="H84" s="18" t="n">
        <v>1574.11</v>
      </c>
      <c r="I84" s="18" t="n">
        <v>19414</v>
      </c>
      <c r="J84" s="18" t="n">
        <v>23128.67</v>
      </c>
      <c r="K84" s="37" t="n">
        <v>59952.84</v>
      </c>
      <c r="L84" s="18" t="n">
        <v>11602.93</v>
      </c>
      <c r="M84" s="18" t="n">
        <v>19678.08</v>
      </c>
      <c r="N84" s="18" t="n">
        <v>61623.87</v>
      </c>
      <c r="O84" s="18" t="n">
        <v>-1584.56</v>
      </c>
      <c r="P84" s="37" t="n">
        <v>91320.32000000001</v>
      </c>
      <c r="Q84" s="18" t="n">
        <v>-3995.86</v>
      </c>
      <c r="R84" s="18" t="n">
        <v>6247.01</v>
      </c>
      <c r="S84" s="18" t="n">
        <v>-4110.79</v>
      </c>
      <c r="T84" s="18" t="n">
        <v>-7493.8</v>
      </c>
      <c r="U84" s="37" t="n">
        <v>-9353.440000000001</v>
      </c>
      <c r="V84" s="18" t="n">
        <v>-2327.42</v>
      </c>
      <c r="W84" s="18" t="n">
        <v>17151.69</v>
      </c>
      <c r="X84" s="18" t="n">
        <v>15996.74</v>
      </c>
      <c r="Y84" s="18" t="n">
        <v>-13170.4</v>
      </c>
      <c r="Z84" s="37" t="n">
        <v>17650.61</v>
      </c>
      <c r="AA84" s="18" t="n">
        <v>-3238.78</v>
      </c>
      <c r="AB84" s="19" t="n">
        <v>8890.23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단기차입금의증가</t>
        </is>
      </c>
      <c r="E85" s="18" t="n">
        <v>19500.28</v>
      </c>
      <c r="F85" s="9" t="n"/>
      <c r="G85" s="18" t="n">
        <v>19300</v>
      </c>
      <c r="H85" s="18" t="n">
        <v>33230</v>
      </c>
      <c r="I85" s="18" t="n">
        <v>12270</v>
      </c>
      <c r="J85" s="18" t="n">
        <v>32151.63</v>
      </c>
      <c r="K85" s="37" t="n">
        <v>96951.63</v>
      </c>
      <c r="L85" s="18" t="n">
        <v>47748</v>
      </c>
      <c r="M85" s="18" t="n">
        <v>36771.39</v>
      </c>
      <c r="N85" s="18" t="n">
        <v>37000</v>
      </c>
      <c r="O85" s="18" t="n">
        <v>0</v>
      </c>
      <c r="P85" s="37" t="n">
        <v>121519.39</v>
      </c>
      <c r="S85" s="18" t="n">
        <v>45002.67</v>
      </c>
      <c r="T85" s="18" t="n">
        <v>17000</v>
      </c>
      <c r="U85" s="9" t="n"/>
      <c r="V85" s="18" t="n">
        <v>261.95</v>
      </c>
      <c r="W85" s="18" t="n">
        <v>24500</v>
      </c>
      <c r="X85" s="18" t="n">
        <v>0</v>
      </c>
      <c r="Y85" s="18" t="n">
        <v>43288.21</v>
      </c>
      <c r="Z85" s="37" t="n">
        <v>68050.16</v>
      </c>
      <c r="AA85" s="18" t="n">
        <v>0</v>
      </c>
      <c r="AB85" s="19" t="n">
        <v>18299.9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단기차입금의감소</t>
        </is>
      </c>
      <c r="E86" s="18" t="n">
        <v>14400.28</v>
      </c>
      <c r="F86" s="9" t="n"/>
      <c r="G86" s="18" t="n">
        <v>9300</v>
      </c>
      <c r="H86" s="18" t="n">
        <v>35000</v>
      </c>
      <c r="I86" s="18" t="n">
        <v>0</v>
      </c>
      <c r="J86" s="18" t="n">
        <v>11546</v>
      </c>
      <c r="K86" s="37" t="n">
        <v>55846</v>
      </c>
      <c r="L86" s="18" t="n">
        <v>45704.37</v>
      </c>
      <c r="M86" s="18" t="n">
        <v>23638.07</v>
      </c>
      <c r="N86" s="18" t="n">
        <v>64500</v>
      </c>
      <c r="O86" s="18" t="n">
        <v>1000</v>
      </c>
      <c r="P86" s="37" t="n">
        <v>134842.44</v>
      </c>
      <c r="Q86" s="18" t="n">
        <v>500</v>
      </c>
      <c r="R86" s="18" t="n">
        <v>540.0599999999999</v>
      </c>
      <c r="S86" s="18" t="n">
        <v>47002.47</v>
      </c>
      <c r="T86" s="18" t="n">
        <v>24700</v>
      </c>
      <c r="U86" s="37" t="n">
        <v>72742.53</v>
      </c>
      <c r="V86" s="18" t="n">
        <v>261.95</v>
      </c>
      <c r="W86" s="18" t="n">
        <v>2500</v>
      </c>
      <c r="X86" s="18" t="n">
        <v>7416</v>
      </c>
      <c r="Y86" s="18" t="n">
        <v>44204.21</v>
      </c>
      <c r="Z86" s="37" t="n">
        <v>54382.16</v>
      </c>
      <c r="AA86" s="18" t="n">
        <v>416</v>
      </c>
      <c r="AB86" s="19" t="n">
        <v>6715.9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리스부채의상환</t>
        </is>
      </c>
      <c r="E87" s="18" t="n">
        <v>281</v>
      </c>
      <c r="F87" s="9" t="n"/>
      <c r="G87" s="18" t="n">
        <v>282.38</v>
      </c>
      <c r="H87" s="18" t="n">
        <v>275.82</v>
      </c>
      <c r="I87" s="18" t="n">
        <v>307.39</v>
      </c>
      <c r="J87" s="18" t="n">
        <v>370.33</v>
      </c>
      <c r="K87" s="37" t="n">
        <v>1235.92</v>
      </c>
      <c r="L87" s="18" t="n">
        <v>357.22</v>
      </c>
      <c r="M87" s="18" t="n">
        <v>370.43</v>
      </c>
      <c r="N87" s="18" t="n">
        <v>369.72</v>
      </c>
      <c r="O87" s="18" t="n">
        <v>369.85</v>
      </c>
      <c r="P87" s="37" t="n">
        <v>1467.22</v>
      </c>
      <c r="Q87" s="18" t="n">
        <v>420.41</v>
      </c>
      <c r="R87" s="18" t="n">
        <v>421.22</v>
      </c>
      <c r="S87" s="18" t="n">
        <v>416.48</v>
      </c>
      <c r="T87" s="18" t="n">
        <v>412.26</v>
      </c>
      <c r="U87" s="37" t="n">
        <v>1670.37</v>
      </c>
      <c r="V87" s="18" t="n">
        <v>433.7</v>
      </c>
      <c r="W87" s="18" t="n">
        <v>421.79</v>
      </c>
      <c r="X87" s="18" t="n">
        <v>420.15</v>
      </c>
      <c r="Y87" s="18" t="n">
        <v>419.72</v>
      </c>
      <c r="Z87" s="37" t="n">
        <v>1695.36</v>
      </c>
      <c r="AA87" s="18" t="n">
        <v>453.73</v>
      </c>
      <c r="AB87" s="19" t="n">
        <v>455.75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유동성장기부채의감소</t>
        </is>
      </c>
      <c r="E88" s="18" t="n">
        <v>95</v>
      </c>
      <c r="F88" s="9" t="n"/>
      <c r="G88" s="18" t="n">
        <v>95</v>
      </c>
      <c r="H88" s="18" t="n">
        <v>95</v>
      </c>
      <c r="I88" s="18" t="n">
        <v>95</v>
      </c>
      <c r="J88" s="18" t="n">
        <v>4095</v>
      </c>
      <c r="K88" s="37" t="n">
        <v>4380</v>
      </c>
      <c r="L88" s="18" t="n">
        <v>309.44</v>
      </c>
      <c r="M88" s="18" t="n">
        <v>309.28</v>
      </c>
      <c r="N88" s="18" t="n">
        <v>180.71</v>
      </c>
      <c r="O88" s="18" t="n">
        <v>3309.28</v>
      </c>
      <c r="P88" s="37" t="n">
        <v>4108.71</v>
      </c>
      <c r="Q88" s="18" t="n">
        <v>3809.28</v>
      </c>
      <c r="R88" s="18" t="n">
        <v>5309.28</v>
      </c>
      <c r="S88" s="18" t="n">
        <v>937.85</v>
      </c>
      <c r="T88" s="18" t="n">
        <v>809.28</v>
      </c>
      <c r="U88" s="37" t="n">
        <v>10865.69</v>
      </c>
      <c r="V88" s="18" t="n">
        <v>809.28</v>
      </c>
      <c r="W88" s="18" t="n">
        <v>3309.28</v>
      </c>
      <c r="X88" s="18" t="n">
        <v>3309.28</v>
      </c>
      <c r="Y88" s="18" t="n">
        <v>3409.28</v>
      </c>
      <c r="Z88" s="37" t="n">
        <v>10837.12</v>
      </c>
      <c r="AA88" s="18" t="n">
        <v>3214.28</v>
      </c>
      <c r="AB88" s="19" t="n">
        <v>714.28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장기차입금의증가</t>
        </is>
      </c>
      <c r="E89" s="18" t="n">
        <v>0</v>
      </c>
      <c r="F89" s="9" t="n"/>
      <c r="G89" s="18" t="n">
        <v>6000</v>
      </c>
      <c r="H89" s="18" t="n">
        <v>4000</v>
      </c>
      <c r="I89" s="18" t="n">
        <v>7500</v>
      </c>
      <c r="J89" s="18" t="n">
        <v>7000</v>
      </c>
      <c r="K89" s="37" t="n">
        <v>24500</v>
      </c>
      <c r="L89" s="18" t="n">
        <v>10000</v>
      </c>
      <c r="M89" s="18" t="n">
        <v>8000</v>
      </c>
      <c r="N89" s="18" t="n">
        <v>0</v>
      </c>
      <c r="O89" s="18" t="n">
        <v>3000</v>
      </c>
      <c r="P89" s="37" t="n">
        <v>21000</v>
      </c>
      <c r="Q89" s="18" t="n">
        <v>3500</v>
      </c>
      <c r="R89" s="18" t="n">
        <v>5000</v>
      </c>
      <c r="S89" s="18" t="n">
        <v>0</v>
      </c>
      <c r="T89" s="18" t="n">
        <v>2200</v>
      </c>
      <c r="U89" s="37" t="n">
        <v>10700</v>
      </c>
      <c r="Y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배당금지급</t>
        </is>
      </c>
      <c r="E90" s="18" t="n">
        <v>0</v>
      </c>
      <c r="F90" s="9" t="n"/>
      <c r="I90" s="18" t="n">
        <v>0</v>
      </c>
      <c r="J90" s="18" t="n">
        <v>0</v>
      </c>
      <c r="K90" s="9" t="n"/>
      <c r="N90" s="18" t="n">
        <v>0</v>
      </c>
      <c r="O90" s="18" t="n">
        <v>0</v>
      </c>
      <c r="P90" s="9" t="n"/>
      <c r="S90" s="18" t="n">
        <v>0</v>
      </c>
      <c r="T90" s="18" t="n">
        <v>0</v>
      </c>
      <c r="U90" s="9" t="n"/>
      <c r="X90" s="18" t="n">
        <v>0</v>
      </c>
      <c r="Y90" s="18" t="n">
        <v>0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현금및현금성자산의증감</t>
        </is>
      </c>
      <c r="E91" s="18" t="n">
        <v>4378.82</v>
      </c>
      <c r="F91" s="9" t="n"/>
      <c r="G91" s="18" t="n">
        <v>-4678.43</v>
      </c>
      <c r="H91" s="18" t="n">
        <v>347.53</v>
      </c>
      <c r="I91" s="18" t="n">
        <v>6604.63</v>
      </c>
      <c r="J91" s="18" t="n">
        <v>-2666.38</v>
      </c>
      <c r="K91" s="37" t="n">
        <v>-392.65</v>
      </c>
      <c r="L91" s="18" t="n">
        <v>-6526.62</v>
      </c>
      <c r="M91" s="18" t="n">
        <v>6597.45</v>
      </c>
      <c r="N91" s="18" t="n">
        <v>15321.49</v>
      </c>
      <c r="O91" s="18" t="n">
        <v>14657.48</v>
      </c>
      <c r="P91" s="37" t="n">
        <v>30049.8</v>
      </c>
      <c r="Q91" s="18" t="n">
        <v>-23282.77</v>
      </c>
      <c r="R91" s="18" t="n">
        <v>-3721.11</v>
      </c>
      <c r="S91" s="18" t="n">
        <v>-4469.8</v>
      </c>
      <c r="T91" s="18" t="n">
        <v>-3461.54</v>
      </c>
      <c r="U91" s="37" t="n">
        <v>-34935.22</v>
      </c>
      <c r="V91" s="18" t="n">
        <v>97.34</v>
      </c>
      <c r="W91" s="18" t="n">
        <v>-4544.21</v>
      </c>
      <c r="X91" s="18" t="n">
        <v>4362.85</v>
      </c>
      <c r="Y91" s="18" t="n">
        <v>10421.74</v>
      </c>
      <c r="Z91" s="37" t="n">
        <v>10337.72</v>
      </c>
      <c r="AA91" s="18" t="n">
        <v>-9588.91</v>
      </c>
      <c r="AB91" s="19" t="n">
        <v>4344.46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기말현금및현금성자산</t>
        </is>
      </c>
      <c r="E92" s="18" t="n">
        <v>4318.57</v>
      </c>
      <c r="F92" s="9" t="n"/>
      <c r="G92" s="18" t="n">
        <v>10716.67</v>
      </c>
      <c r="H92" s="18" t="n">
        <v>503.85</v>
      </c>
      <c r="I92" s="18" t="n">
        <v>6861.76</v>
      </c>
      <c r="J92" s="18" t="n">
        <v>-3611.94</v>
      </c>
      <c r="K92" s="37" t="n">
        <v>14470.34</v>
      </c>
      <c r="L92" s="18" t="n">
        <v>7943.73</v>
      </c>
      <c r="M92" s="18" t="n">
        <v>6526.62</v>
      </c>
      <c r="N92" s="18" t="n">
        <v>15629.44</v>
      </c>
      <c r="O92" s="18" t="n">
        <v>14432.22</v>
      </c>
      <c r="P92" s="37" t="n">
        <v>44532.01</v>
      </c>
      <c r="Q92" s="18" t="n">
        <v>21302.45</v>
      </c>
      <c r="R92" s="18" t="n">
        <v>-3718.07</v>
      </c>
      <c r="S92" s="18" t="n">
        <v>-4988.37</v>
      </c>
      <c r="T92" s="18" t="n">
        <v>-2782</v>
      </c>
      <c r="U92" s="37" t="n">
        <v>9814.01</v>
      </c>
      <c r="V92" s="18" t="n">
        <v>9959.15</v>
      </c>
      <c r="W92" s="18" t="n">
        <v>-4625.7</v>
      </c>
      <c r="X92" s="18" t="n">
        <v>4446.62</v>
      </c>
      <c r="Y92" s="18" t="n">
        <v>10371.3</v>
      </c>
      <c r="Z92" s="37" t="n">
        <v>20151.37</v>
      </c>
      <c r="AA92" s="18" t="n">
        <v>10562.46</v>
      </c>
      <c r="AB92" s="19" t="n">
        <v>4415.85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유형자산의감소</t>
        </is>
      </c>
      <c r="F93" s="9" t="n"/>
      <c r="G93" s="18" t="n">
        <v>27</v>
      </c>
      <c r="H93" s="18" t="n">
        <v>0</v>
      </c>
      <c r="I93" s="18" t="n">
        <v>3.56</v>
      </c>
      <c r="J93" s="18" t="n">
        <v>0</v>
      </c>
      <c r="K93" s="37" t="n">
        <v>30.56</v>
      </c>
      <c r="P93" s="9" t="n"/>
      <c r="Q93" s="18" t="n">
        <v>1117.11</v>
      </c>
      <c r="R93" s="18" t="n">
        <v>2</v>
      </c>
      <c r="S93" s="18" t="n">
        <v>2</v>
      </c>
      <c r="T93" s="18" t="n">
        <v>0</v>
      </c>
      <c r="U93" s="37" t="n">
        <v>1121.11</v>
      </c>
      <c r="V93" s="18" t="n">
        <v>0.63</v>
      </c>
      <c r="W93" s="18" t="n">
        <v>0</v>
      </c>
      <c r="X93" s="18" t="n">
        <v>0</v>
      </c>
      <c r="Y93" s="18" t="n">
        <v>4806.35</v>
      </c>
      <c r="Z93" s="37" t="n">
        <v>4806.98</v>
      </c>
      <c r="AA93" s="18" t="n">
        <v>0.17</v>
      </c>
      <c r="AB93" s="19" t="n">
        <v>0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자기주식의취득</t>
        </is>
      </c>
      <c r="F94" s="9" t="n"/>
      <c r="J94" s="18" t="n">
        <v>352.39</v>
      </c>
      <c r="K94" s="9" t="n"/>
      <c r="P94" s="9" t="n"/>
      <c r="U94" s="9" t="n"/>
      <c r="X94" s="18" t="n">
        <v>0</v>
      </c>
      <c r="Y94" s="18" t="n">
        <v>4996.88</v>
      </c>
      <c r="Z94" s="9" t="n"/>
      <c r="AA94" s="18" t="n">
        <v>0</v>
      </c>
      <c r="AB94" s="19" t="n">
        <v>0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사채의증가</t>
        </is>
      </c>
      <c r="F95" s="9" t="n"/>
      <c r="K95" s="9" t="n"/>
      <c r="P95" s="9" t="n"/>
      <c r="U95" s="9" t="n"/>
      <c r="Y95" s="18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SUM(G11:J11)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 t="n"/>
      <c r="AB12" s="19">
        <f>IFERROR(VLOOKUP($D12,BS연결,MATCH(AB$1,BS연결H,0),0)/100,"")</f>
        <v/>
      </c>
      <c r="AC12" s="20">
        <f>IFERROR((AB24*변수!$D$50-AB22*변수!$D$51)/4,"")</f>
        <v/>
      </c>
      <c r="AD12" s="20">
        <f>IFERROR((AC24*변수!$D$50-AC22*변수!$D$51)/4,"")</f>
        <v/>
      </c>
      <c r="AE12" s="38">
        <f>SUM(AA12:AD12)</f>
        <v/>
      </c>
      <c r="AF12" s="20">
        <f>IFERROR((AD24*변수!$D$50-AD22*변수!$D$51)/4,"")</f>
        <v/>
      </c>
      <c r="AG12" s="20">
        <f>IFERROR((AF24*변수!$D$50-AF22*변수!$D$51)/4,"")</f>
        <v/>
      </c>
      <c r="AH12" s="20">
        <f>IFERROR((AG24*변수!$D$50-AG22*변수!$D$51)/4,"")</f>
        <v/>
      </c>
      <c r="AI12" s="20">
        <f>IFERROR((AH24*변수!$D$50-AH22*변수!$D$51)/4,"")</f>
        <v/>
      </c>
      <c r="AJ12" s="38">
        <f>SUM(AF12:AI12)</f>
        <v/>
      </c>
      <c r="AK12" s="20">
        <f>IFERROR((AI24*변수!$D$50-AI22*변수!$D$51)/4,"")</f>
        <v/>
      </c>
      <c r="AL12" s="20">
        <f>IFERROR((AK24*변수!$D$50-AK22*변수!$D$51)/4,"")</f>
        <v/>
      </c>
      <c r="AM12" s="20">
        <f>IFERROR((AL24*변수!$D$50-AL22*변수!$D$51)/4,"")</f>
        <v/>
      </c>
      <c r="AN12" s="20">
        <f>IFERROR((AM24*변수!$D$50-AM22*변수!$D$51)/4,"")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IFERROR(AC9+AC11+AC13,"")</f>
        <v/>
      </c>
      <c r="AD14" s="20">
        <f>IFERROR(AD9+AD11+AD13,"")</f>
        <v/>
      </c>
      <c r="AE14" s="38">
        <f>SUM(AA14:AD14)</f>
        <v/>
      </c>
      <c r="AF14" s="20">
        <f>IFERROR(AF9+AF11+AF13,"")</f>
        <v/>
      </c>
      <c r="AG14" s="20">
        <f>IFERROR(AG9+AG11+AG13,"")</f>
        <v/>
      </c>
      <c r="AH14" s="20">
        <f>IFERROR(AH9+AH11+AH13,"")</f>
        <v/>
      </c>
      <c r="AI14" s="20">
        <f>IFERROR(AI9+AI11+AI13,"")</f>
        <v/>
      </c>
      <c r="AJ14" s="38">
        <f>SUM(AF14:AI14)</f>
        <v/>
      </c>
      <c r="AK14" s="20">
        <f>IFERROR(AK9+AK11+AK13,"")</f>
        <v/>
      </c>
      <c r="AL14" s="20">
        <f>IFERROR(AL9+AL11+AL13,"")</f>
        <v/>
      </c>
      <c r="AM14" s="20">
        <f>IFERROR(AM9+AM11+AM13,"")</f>
        <v/>
      </c>
      <c r="AN14" s="20">
        <f>IFERROR(AN9+AN11+AN13,"")</f>
        <v/>
      </c>
      <c r="AO14" s="38">
        <f>SUM(AK14:AN14)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IFERROR(MAX(AC14,0)*변수!AC25,"")</f>
        <v/>
      </c>
      <c r="AD15" s="20">
        <f>IFERROR(MAX(AD14,0)*변수!AD25,"")</f>
        <v/>
      </c>
      <c r="AE15" s="38">
        <f>SUM(AA15:AD15)</f>
        <v/>
      </c>
      <c r="AF15" s="20">
        <f>IFERROR(MAX(AF14,0)*변수!AF25,"")</f>
        <v/>
      </c>
      <c r="AG15" s="20">
        <f>IFERROR(MAX(AG14,0)*변수!AG25,"")</f>
        <v/>
      </c>
      <c r="AH15" s="20">
        <f>IFERROR(MAX(AH14,0)*변수!AH25,"")</f>
        <v/>
      </c>
      <c r="AI15" s="20">
        <f>IFERROR(MAX(AI14,0)*변수!AI25,"")</f>
        <v/>
      </c>
      <c r="AJ15" s="38">
        <f>SUM(AF15:AI15)</f>
        <v/>
      </c>
      <c r="AK15" s="20">
        <f>IFERROR(MAX(AK14,0)*변수!AK25,"")</f>
        <v/>
      </c>
      <c r="AL15" s="20">
        <f>IFERROR(MAX(AL14,0)*변수!AL25,"")</f>
        <v/>
      </c>
      <c r="AM15" s="20">
        <f>IFERROR(MAX(AM14,0)*변수!AM25,"")</f>
        <v/>
      </c>
      <c r="AN15" s="20">
        <f>IFERROR(MAX(AN14,0)*변수!AN25,"")</f>
        <v/>
      </c>
      <c r="AO15" s="38">
        <f>SUM(AK15:AN15)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IFERROR(AC14-AC15,"")</f>
        <v/>
      </c>
      <c r="AD16" s="20">
        <f>IFERROR(AD14-AD15,"")</f>
        <v/>
      </c>
      <c r="AE16" s="38">
        <f>SUM(AA16:AD16)</f>
        <v/>
      </c>
      <c r="AF16" s="20">
        <f>IFERROR(AF14-AF15,"")</f>
        <v/>
      </c>
      <c r="AG16" s="20">
        <f>IFERROR(AG14-AG15,"")</f>
        <v/>
      </c>
      <c r="AH16" s="20">
        <f>IFERROR(AH14-AH15,"")</f>
        <v/>
      </c>
      <c r="AI16" s="20">
        <f>IFERROR(AI14-AI15,"")</f>
        <v/>
      </c>
      <c r="AJ16" s="38">
        <f>SUM(AF16:AI16)</f>
        <v/>
      </c>
      <c r="AK16" s="20">
        <f>IFERROR(AK14-AK15,"")</f>
        <v/>
      </c>
      <c r="AL16" s="20">
        <f>IFERROR(AL14-AL15,"")</f>
        <v/>
      </c>
      <c r="AM16" s="20">
        <f>IFERROR(AM14-AM15,"")</f>
        <v/>
      </c>
      <c r="AN16" s="20">
        <f>IFERROR(AN14-AN15,"")</f>
        <v/>
      </c>
      <c r="AO16" s="38">
        <f>SUM(AK16:AN16)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IFERROR(AC16*변수!AC26,"")</f>
        <v/>
      </c>
      <c r="AD17" s="20">
        <f>IFERROR(AD16*변수!AD26,"")</f>
        <v/>
      </c>
      <c r="AE17" s="38">
        <f>SUM(AA17:AD17)</f>
        <v/>
      </c>
      <c r="AF17" s="20">
        <f>IFERROR(AF16*변수!AF26,"")</f>
        <v/>
      </c>
      <c r="AG17" s="20">
        <f>IFERROR(AG16*변수!AG26,"")</f>
        <v/>
      </c>
      <c r="AH17" s="20">
        <f>IFERROR(AH16*변수!AH26,"")</f>
        <v/>
      </c>
      <c r="AI17" s="20">
        <f>IFERROR(AI16*변수!AI26,"")</f>
        <v/>
      </c>
      <c r="AJ17" s="38">
        <f>SUM(AF17:AI17)</f>
        <v/>
      </c>
      <c r="AK17" s="20">
        <f>IFERROR(AK16*변수!AK26,"")</f>
        <v/>
      </c>
      <c r="AL17" s="20">
        <f>IFERROR(AL16*변수!AL26,"")</f>
        <v/>
      </c>
      <c r="AM17" s="20">
        <f>IFERROR(AM16*변수!AM26,"")</f>
        <v/>
      </c>
      <c r="AN17" s="20">
        <f>IFERROR(AN16*변수!AN26,"")</f>
        <v/>
      </c>
      <c r="AO17" s="38">
        <f>SUM(AK17:AN17)</f>
        <v/>
      </c>
    </row>
    <row r="18">
      <c r="A18" s="12" t="inlineStr">
        <is>
          <t>자산총계</t>
        </is>
      </c>
      <c r="B18" t="inlineStr">
        <is>
          <t>재무상태</t>
        </is>
      </c>
      <c r="C18" t="inlineStr">
        <is>
          <t>억원</t>
        </is>
      </c>
      <c r="D18" t="inlineStr">
        <is>
          <t>자산총계</t>
        </is>
      </c>
      <c r="E18" s="18">
        <f>IFERROR(VLOOKUP($D18,BS연결,MATCH(E$1,BS연결H,0),0)/100,"")</f>
        <v/>
      </c>
      <c r="F18" s="37">
        <f>IFERROR(VLOOKUP($D18,BS연결,MATCH(F$1,BS연결H,0),0)/100,"")</f>
        <v/>
      </c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IFERROR(AC19+AC20,"")</f>
        <v/>
      </c>
      <c r="AD18" s="20">
        <f>IFERROR(AD19+AD20,"")</f>
        <v/>
      </c>
      <c r="AE18" s="38">
        <f>AD18</f>
        <v/>
      </c>
      <c r="AF18" s="20">
        <f>IFERROR(AF19+AF20,"")</f>
        <v/>
      </c>
      <c r="AG18" s="20">
        <f>IFERROR(AG19+AG20,"")</f>
        <v/>
      </c>
      <c r="AH18" s="20">
        <f>IFERROR(AH19+AH20,"")</f>
        <v/>
      </c>
      <c r="AI18" s="20">
        <f>IFERROR(AI19+AI20,"")</f>
        <v/>
      </c>
      <c r="AJ18" s="38">
        <f>AI18</f>
        <v/>
      </c>
      <c r="AK18" s="20">
        <f>IFERROR(AK19+AK20,"")</f>
        <v/>
      </c>
      <c r="AL18" s="20">
        <f>IFERROR(AL19+AL20,"")</f>
        <v/>
      </c>
      <c r="AM18" s="20">
        <f>IFERROR(AM19+AM20,"")</f>
        <v/>
      </c>
      <c r="AN18" s="20">
        <f>IFERROR(AN19+AN20,"")</f>
        <v/>
      </c>
      <c r="AO18" s="38">
        <f>AN18</f>
        <v/>
      </c>
    </row>
    <row r="19">
      <c r="A19" s="12" t="inlineStr">
        <is>
          <t>부채총계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부채총계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IFERROR(AB19*(1+변수!AC27),"")</f>
        <v/>
      </c>
      <c r="AD19" s="20">
        <f>IFERROR(AC19*(1+변수!AD27),"")</f>
        <v/>
      </c>
      <c r="AE19" s="38">
        <f>AD19</f>
        <v/>
      </c>
      <c r="AF19" s="20">
        <f>IFERROR(AD19*(1+변수!AF27),"")</f>
        <v/>
      </c>
      <c r="AG19" s="20">
        <f>IFERROR(AF19*(1+변수!AG27),"")</f>
        <v/>
      </c>
      <c r="AH19" s="20">
        <f>IFERROR(AG19*(1+변수!AH27),"")</f>
        <v/>
      </c>
      <c r="AI19" s="20">
        <f>IFERROR(AH19*(1+변수!AI27),"")</f>
        <v/>
      </c>
      <c r="AJ19" s="38">
        <f>AI19</f>
        <v/>
      </c>
      <c r="AK19" s="20">
        <f>IFERROR(AI19*(1+변수!AK27),"")</f>
        <v/>
      </c>
      <c r="AL19" s="20">
        <f>IFERROR(AK19*(1+변수!AL27),"")</f>
        <v/>
      </c>
      <c r="AM19" s="20">
        <f>IFERROR(AL19*(1+변수!AM27),"")</f>
        <v/>
      </c>
      <c r="AN19" s="20">
        <f>IFERROR(AM19*(1+변수!AN27),"")</f>
        <v/>
      </c>
      <c r="AO19" s="38">
        <f>AN19</f>
        <v/>
      </c>
    </row>
    <row r="20">
      <c r="A20" s="12" t="inlineStr">
        <is>
          <t>자본총계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자본총계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 t="n"/>
      <c r="AC20" s="20" t="n"/>
      <c r="AD20" s="20" t="n"/>
      <c r="AE20" s="38">
        <f>AD20</f>
        <v/>
      </c>
      <c r="AF20" s="20" t="n"/>
      <c r="AG20" s="20" t="n"/>
      <c r="AH20" s="20" t="n"/>
      <c r="AI20" s="20" t="n"/>
      <c r="AJ20" s="38">
        <f>AI20</f>
        <v/>
      </c>
      <c r="AK20" s="20" t="n"/>
      <c r="AL20" s="20" t="n"/>
      <c r="AM20" s="20" t="n"/>
      <c r="AN20" s="20" t="n"/>
      <c r="AO20" s="38">
        <f>AN20</f>
        <v/>
      </c>
    </row>
    <row r="21">
      <c r="A21" s="12" t="inlineStr">
        <is>
          <t>지배주주지분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지배주주지분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총차입금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총차입금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순차입금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순차입금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이자발생자산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이자발생자산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현금및현금성자산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현금및현금성자산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CAPEX</t>
        </is>
      </c>
      <c r="B26" t="inlineStr">
        <is>
          <t>현금흐름</t>
        </is>
      </c>
      <c r="C26" t="inlineStr">
        <is>
          <t>억원</t>
        </is>
      </c>
      <c r="D26" t="inlineStr">
        <is>
          <t>CAPEX</t>
        </is>
      </c>
      <c r="E26" s="18">
        <f>IFERROR(VLOOKUP($D26,BS연결,MATCH(E$1,BS연결H,0),0)/100,"")</f>
        <v/>
      </c>
      <c r="F26" s="37" t="n"/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IFERROR(X26*(1+변수!AC34),"")</f>
        <v/>
      </c>
      <c r="AD26" s="20">
        <f>IFERROR(Y26*(1+변수!AD34),"")</f>
        <v/>
      </c>
      <c r="AE26" s="38">
        <f>SUM(AA26:AD26)</f>
        <v/>
      </c>
      <c r="AF26" s="20">
        <f>IFERROR(AA26*(1+변수!AF34),"")</f>
        <v/>
      </c>
      <c r="AG26" s="20">
        <f>IFERROR(AB26*(1+변수!AG34),"")</f>
        <v/>
      </c>
      <c r="AH26" s="20">
        <f>IFERROR(AC26*(1+변수!AH34),"")</f>
        <v/>
      </c>
      <c r="AI26" s="20">
        <f>IFERROR(AD26*(1+변수!AI34),"")</f>
        <v/>
      </c>
      <c r="AJ26" s="38">
        <f>SUM(AF26:AI26)</f>
        <v/>
      </c>
      <c r="AK26" s="20">
        <f>IFERROR(AF26*(1+변수!AK34),"")</f>
        <v/>
      </c>
      <c r="AL26" s="20">
        <f>IFERROR(AG26*(1+변수!AL34),"")</f>
        <v/>
      </c>
      <c r="AM26" s="20">
        <f>IFERROR(AH26*(1+변수!AM34),"")</f>
        <v/>
      </c>
      <c r="AN26" s="20">
        <f>IFERROR(AI26*(1+변수!AN34),"")</f>
        <v/>
      </c>
      <c r="AO26" s="38">
        <f>SUM(AK26:AN26)</f>
        <v/>
      </c>
    </row>
    <row r="27">
      <c r="A27" s="12" t="inlineStr">
        <is>
          <t>영업활동현금흐름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영업활동으로인한현금흐름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SUM(AA27:AD27)</f>
        <v/>
      </c>
      <c r="AF27" s="20" t="n"/>
      <c r="AG27" s="20" t="n"/>
      <c r="AH27" s="20" t="n"/>
      <c r="AI27" s="20" t="n"/>
      <c r="AJ27" s="38">
        <f>SUM(AF27:AI27)</f>
        <v/>
      </c>
      <c r="AK27" s="20" t="n"/>
      <c r="AL27" s="20" t="n"/>
      <c r="AM27" s="20" t="n"/>
      <c r="AN27" s="20" t="n"/>
      <c r="AO27" s="38">
        <f>SUM(AK27:AN27)</f>
        <v/>
      </c>
    </row>
    <row r="28">
      <c r="A28" s="12" t="inlineStr">
        <is>
          <t>주식수</t>
        </is>
      </c>
      <c r="B28" t="inlineStr">
        <is>
          <t>주당</t>
        </is>
      </c>
      <c r="C28" t="inlineStr">
        <is>
          <t>백만주</t>
        </is>
      </c>
      <c r="D28" t="inlineStr">
        <is>
          <t>유통주식수</t>
        </is>
      </c>
      <c r="E28" s="27" t="n">
        <v>8.923</v>
      </c>
      <c r="F28" s="28">
        <f>E28</f>
        <v/>
      </c>
      <c r="G28" s="27" t="n">
        <v>8.927</v>
      </c>
      <c r="H28" s="27" t="n">
        <v>8.949</v>
      </c>
      <c r="I28" s="27" t="n">
        <v>8.952</v>
      </c>
      <c r="J28" s="27" t="n">
        <v>8.952</v>
      </c>
      <c r="K28" s="28">
        <f>J28</f>
        <v/>
      </c>
      <c r="L28" s="27" t="n">
        <v>8.946999999999999</v>
      </c>
      <c r="M28" s="27" t="n">
        <v>8.949</v>
      </c>
      <c r="N28" s="27" t="n">
        <v>10.504</v>
      </c>
      <c r="O28" s="27" t="n">
        <v>10.512</v>
      </c>
      <c r="P28" s="28">
        <f>O28</f>
        <v/>
      </c>
      <c r="Q28" s="27" t="n">
        <v>10.513</v>
      </c>
      <c r="R28" s="27" t="n">
        <v>10.448</v>
      </c>
      <c r="S28" s="27" t="n">
        <v>10.428</v>
      </c>
      <c r="T28" s="27" t="n">
        <v>10.381</v>
      </c>
      <c r="U28" s="28">
        <f>T28</f>
        <v/>
      </c>
      <c r="V28" s="27" t="n">
        <v>10.333</v>
      </c>
      <c r="W28" s="27" t="n">
        <v>10.3</v>
      </c>
      <c r="X28" s="27" t="n">
        <v>10.307</v>
      </c>
      <c r="Y28" s="27" t="n">
        <v>10.202</v>
      </c>
      <c r="Z28" s="28">
        <f>Y28</f>
        <v/>
      </c>
      <c r="AA28" s="27" t="n">
        <v>10.214</v>
      </c>
      <c r="AB28" s="29" t="n">
        <v>10.221</v>
      </c>
      <c r="AC28" s="32">
        <f>IFERROR(AB28*(1+변수!AC36),"")</f>
        <v/>
      </c>
      <c r="AD28" s="32">
        <f>IFERROR(AC28*(1+변수!AD36),"")</f>
        <v/>
      </c>
      <c r="AE28" s="31">
        <f>AD28</f>
        <v/>
      </c>
      <c r="AF28" s="32">
        <f>IFERROR(AD28*(1+변수!AF36),"")</f>
        <v/>
      </c>
      <c r="AG28" s="32">
        <f>IFERROR(AF28*(1+변수!AG36),"")</f>
        <v/>
      </c>
      <c r="AH28" s="32">
        <f>IFERROR(AG28*(1+변수!AH36),"")</f>
        <v/>
      </c>
      <c r="AI28" s="32">
        <f>IFERROR(AH28*(1+변수!AI36),"")</f>
        <v/>
      </c>
      <c r="AJ28" s="31">
        <f>AI28</f>
        <v/>
      </c>
      <c r="AK28" s="32">
        <f>IFERROR(AI28*(1+변수!AK36),"")</f>
        <v/>
      </c>
      <c r="AL28" s="32">
        <f>IFERROR(AK28*(1+변수!AL36),"")</f>
        <v/>
      </c>
      <c r="AM28" s="32">
        <f>IFERROR(AL28*(1+변수!AM36),"")</f>
        <v/>
      </c>
      <c r="AN28" s="32">
        <f>IFERROR(AM28*(1+변수!AN36),"")</f>
        <v/>
      </c>
      <c r="AO28" s="31">
        <f>AN28</f>
        <v/>
      </c>
    </row>
    <row r="29">
      <c r="A29" s="12" t="inlineStr">
        <is>
          <t>EPS</t>
        </is>
      </c>
      <c r="B29" t="inlineStr">
        <is>
          <t>주당</t>
        </is>
      </c>
      <c r="C29" t="inlineStr">
        <is>
          <t>원</t>
        </is>
      </c>
      <c r="D29" t="inlineStr">
        <is>
          <t>EPS</t>
        </is>
      </c>
      <c r="E29" s="18">
        <f>IFERROR(E17*100/E28,"")</f>
        <v/>
      </c>
      <c r="F29" s="37" t="n"/>
      <c r="G29" s="18">
        <f>IFERROR(G17*100/G28,"")</f>
        <v/>
      </c>
      <c r="H29" s="18">
        <f>IFERROR(H17*100/H28,"")</f>
        <v/>
      </c>
      <c r="I29" s="18">
        <f>IFERROR(I17*100/I28,"")</f>
        <v/>
      </c>
      <c r="J29" s="18">
        <f>IFERROR(J17*100/J28,"")</f>
        <v/>
      </c>
      <c r="K29" s="37">
        <f>SUM(G29:J29)</f>
        <v/>
      </c>
      <c r="L29" s="18">
        <f>IFERROR(L17*100/L28,"")</f>
        <v/>
      </c>
      <c r="M29" s="18">
        <f>IFERROR(M17*100/M28,"")</f>
        <v/>
      </c>
      <c r="N29" s="18">
        <f>IFERROR(N17*100/N28,"")</f>
        <v/>
      </c>
      <c r="O29" s="18">
        <f>IFERROR(O17*100/O28,"")</f>
        <v/>
      </c>
      <c r="P29" s="37">
        <f>SUM(L29:O29)</f>
        <v/>
      </c>
      <c r="Q29" s="18">
        <f>IFERROR(Q17*100/Q28,"")</f>
        <v/>
      </c>
      <c r="R29" s="18">
        <f>IFERROR(R17*100/R28,"")</f>
        <v/>
      </c>
      <c r="S29" s="18">
        <f>IFERROR(S17*100/S28,"")</f>
        <v/>
      </c>
      <c r="T29" s="18">
        <f>IFERROR(T17*100/T28,"")</f>
        <v/>
      </c>
      <c r="U29" s="37">
        <f>SUM(Q29:T29)</f>
        <v/>
      </c>
      <c r="V29" s="18">
        <f>IFERROR(V17*100/V28,"")</f>
        <v/>
      </c>
      <c r="W29" s="18">
        <f>IFERROR(W17*100/W28,"")</f>
        <v/>
      </c>
      <c r="X29" s="18">
        <f>IFERROR(X17*100/X28,"")</f>
        <v/>
      </c>
      <c r="Y29" s="18">
        <f>IFERROR(Y17*100/Y28,"")</f>
        <v/>
      </c>
      <c r="Z29" s="37">
        <f>SUM(V29:Y29)</f>
        <v/>
      </c>
      <c r="AA29" s="18">
        <f>IFERROR(AA17*100/AA28,"")</f>
        <v/>
      </c>
      <c r="AB29" s="19">
        <f>IFERROR(AB17*100/AB28,"")</f>
        <v/>
      </c>
      <c r="AC29" s="20">
        <f>IFERROR(AC17*100/AC28,"")</f>
        <v/>
      </c>
      <c r="AD29" s="20">
        <f>IFERROR(AD17*100/AD28,"")</f>
        <v/>
      </c>
      <c r="AE29" s="38">
        <f>SUM(AA29:AD29)</f>
        <v/>
      </c>
      <c r="AF29" s="20">
        <f>IFERROR(AF17*100/AF28,"")</f>
        <v/>
      </c>
      <c r="AG29" s="20">
        <f>IFERROR(AG17*100/AG28,"")</f>
        <v/>
      </c>
      <c r="AH29" s="20">
        <f>IFERROR(AH17*100/AH28,"")</f>
        <v/>
      </c>
      <c r="AI29" s="20">
        <f>IFERROR(AI17*100/AI28,"")</f>
        <v/>
      </c>
      <c r="AJ29" s="38">
        <f>SUM(AF29:AI29)</f>
        <v/>
      </c>
      <c r="AK29" s="20">
        <f>IFERROR(AK17*100/AK28,"")</f>
        <v/>
      </c>
      <c r="AL29" s="20">
        <f>IFERROR(AL17*100/AL28,"")</f>
        <v/>
      </c>
      <c r="AM29" s="20">
        <f>IFERROR(AM17*100/AM28,"")</f>
        <v/>
      </c>
      <c r="AN29" s="20">
        <f>IFERROR(AN17*100/AN28,"")</f>
        <v/>
      </c>
      <c r="AO29" s="38">
        <f>SUM(AK29:AN29)</f>
        <v/>
      </c>
    </row>
    <row r="30">
      <c r="A30" s="12" t="inlineStr">
        <is>
          <t>BPS</t>
        </is>
      </c>
      <c r="B30" t="inlineStr">
        <is>
          <t>주당</t>
        </is>
      </c>
      <c r="C30" t="inlineStr">
        <is>
          <t>원</t>
        </is>
      </c>
      <c r="D30" t="inlineStr">
        <is>
          <t>BPS</t>
        </is>
      </c>
      <c r="E30" s="18">
        <f>IFERROR(E21*100/E28,"")</f>
        <v/>
      </c>
      <c r="F30" s="37">
        <f>E30</f>
        <v/>
      </c>
      <c r="G30" s="18">
        <f>IFERROR(G21*100/G28,"")</f>
        <v/>
      </c>
      <c r="H30" s="18">
        <f>IFERROR(H21*100/H28,"")</f>
        <v/>
      </c>
      <c r="I30" s="18">
        <f>IFERROR(I21*100/I28,"")</f>
        <v/>
      </c>
      <c r="J30" s="18">
        <f>IFERROR(J21*100/J28,"")</f>
        <v/>
      </c>
      <c r="K30" s="37">
        <f>J30</f>
        <v/>
      </c>
      <c r="L30" s="18">
        <f>IFERROR(L21*100/L28,"")</f>
        <v/>
      </c>
      <c r="M30" s="18">
        <f>IFERROR(M21*100/M28,"")</f>
        <v/>
      </c>
      <c r="N30" s="18">
        <f>IFERROR(N21*100/N28,"")</f>
        <v/>
      </c>
      <c r="O30" s="18">
        <f>IFERROR(O21*100/O28,"")</f>
        <v/>
      </c>
      <c r="P30" s="37">
        <f>O30</f>
        <v/>
      </c>
      <c r="Q30" s="18">
        <f>IFERROR(Q21*100/Q28,"")</f>
        <v/>
      </c>
      <c r="R30" s="18">
        <f>IFERROR(R21*100/R28,"")</f>
        <v/>
      </c>
      <c r="S30" s="18">
        <f>IFERROR(S21*100/S28,"")</f>
        <v/>
      </c>
      <c r="T30" s="18">
        <f>IFERROR(T21*100/T28,"")</f>
        <v/>
      </c>
      <c r="U30" s="37">
        <f>T30</f>
        <v/>
      </c>
      <c r="V30" s="18">
        <f>IFERROR(V21*100/V28,"")</f>
        <v/>
      </c>
      <c r="W30" s="18">
        <f>IFERROR(W21*100/W28,"")</f>
        <v/>
      </c>
      <c r="X30" s="18">
        <f>IFERROR(X21*100/X28,"")</f>
        <v/>
      </c>
      <c r="Y30" s="18">
        <f>IFERROR(Y21*100/Y28,"")</f>
        <v/>
      </c>
      <c r="Z30" s="37">
        <f>Y30</f>
        <v/>
      </c>
      <c r="AA30" s="18">
        <f>IFERROR(AA21*100/AA28,"")</f>
        <v/>
      </c>
      <c r="AB30" s="19">
        <f>IFERROR(AB21*100/AB28,"")</f>
        <v/>
      </c>
      <c r="AC30" s="20">
        <f>IFERROR(AC21*100/AC28,"")</f>
        <v/>
      </c>
      <c r="AD30" s="20">
        <f>IFERROR(AD21*100/AD28,"")</f>
        <v/>
      </c>
      <c r="AE30" s="38">
        <f>AD30</f>
        <v/>
      </c>
      <c r="AF30" s="20">
        <f>IFERROR(AF21*100/AF28,"")</f>
        <v/>
      </c>
      <c r="AG30" s="20">
        <f>IFERROR(AG21*100/AG28,"")</f>
        <v/>
      </c>
      <c r="AH30" s="20">
        <f>IFERROR(AH21*100/AH28,"")</f>
        <v/>
      </c>
      <c r="AI30" s="20">
        <f>IFERROR(AI21*100/AI28,"")</f>
        <v/>
      </c>
      <c r="AJ30" s="38">
        <f>AI30</f>
        <v/>
      </c>
      <c r="AK30" s="20">
        <f>IFERROR(AK21*100/AK28,"")</f>
        <v/>
      </c>
      <c r="AL30" s="20">
        <f>IFERROR(AL21*100/AL28,"")</f>
        <v/>
      </c>
      <c r="AM30" s="20">
        <f>IFERROR(AM21*100/AM28,"")</f>
        <v/>
      </c>
      <c r="AN30" s="20">
        <f>IFERROR(AN21*100/AN28,"")</f>
        <v/>
      </c>
      <c r="AO30" s="38">
        <f>AN30</f>
        <v/>
      </c>
    </row>
    <row r="31">
      <c r="A31" s="12" t="inlineStr">
        <is>
          <t>DPS</t>
        </is>
      </c>
      <c r="B31" t="inlineStr">
        <is>
          <t>주당</t>
        </is>
      </c>
      <c r="C31" t="inlineStr">
        <is>
          <t>원</t>
        </is>
      </c>
      <c r="D31" t="inlineStr">
        <is>
          <t>DPS(보통주)</t>
        </is>
      </c>
      <c r="E31" s="18" t="n">
        <v>100</v>
      </c>
      <c r="F31" s="37" t="n">
        <v>100</v>
      </c>
      <c r="G31" s="18" t="n"/>
      <c r="H31" s="18" t="n"/>
      <c r="I31" s="18" t="n"/>
      <c r="J31" s="18" t="n">
        <v>100</v>
      </c>
      <c r="K31" s="37">
        <f>SUM(G31:J31)</f>
        <v/>
      </c>
      <c r="L31" s="18" t="n"/>
      <c r="M31" s="18" t="n"/>
      <c r="N31" s="18" t="n"/>
      <c r="O31" s="18" t="n">
        <v>100</v>
      </c>
      <c r="P31" s="37">
        <f>SUM(L31:O31)</f>
        <v/>
      </c>
      <c r="Q31" s="18" t="n"/>
      <c r="R31" s="18" t="n"/>
      <c r="S31" s="18" t="n"/>
      <c r="T31" s="18" t="n">
        <v>100</v>
      </c>
      <c r="U31" s="37">
        <f>SUM(Q31:T31)</f>
        <v/>
      </c>
      <c r="V31" s="18" t="n"/>
      <c r="W31" s="18" t="n"/>
      <c r="X31" s="18" t="n"/>
      <c r="Y31" s="18" t="n">
        <v>200</v>
      </c>
      <c r="Z31" s="37">
        <f>SUM(V31:Y31)</f>
        <v/>
      </c>
      <c r="AA31" s="18" t="n"/>
      <c r="AB31" s="19" t="n"/>
      <c r="AC31" s="20" t="n"/>
      <c r="AD31" s="20">
        <f>변수!AD37</f>
        <v/>
      </c>
      <c r="AE31" s="38">
        <f>SUM(AA31:AD31)</f>
        <v/>
      </c>
      <c r="AF31" s="20" t="n"/>
      <c r="AG31" s="20" t="n"/>
      <c r="AH31" s="20" t="n"/>
      <c r="AI31" s="20">
        <f>변수!AI37</f>
        <v/>
      </c>
      <c r="AJ31" s="38">
        <f>SUM(AF31:AI31)</f>
        <v/>
      </c>
      <c r="AK31" s="20" t="n"/>
      <c r="AL31" s="20" t="n"/>
      <c r="AM31" s="20" t="n"/>
      <c r="AN31" s="20">
        <f>변수!AN37</f>
        <v/>
      </c>
      <c r="AO31" s="38">
        <f>SUM(AK31:AN31)</f>
        <v/>
      </c>
    </row>
    <row r="32">
      <c r="A32" s="12" t="inlineStr">
        <is>
          <t>PER</t>
        </is>
      </c>
      <c r="B32" t="inlineStr">
        <is>
          <t>주당</t>
        </is>
      </c>
      <c r="C32" t="inlineStr">
        <is>
          <t>배</t>
        </is>
      </c>
      <c r="D32" t="inlineStr">
        <is>
          <t>PER</t>
        </is>
      </c>
      <c r="E32" s="13" t="n"/>
      <c r="F32" s="14">
        <f>E32</f>
        <v/>
      </c>
      <c r="G32" s="13" t="n"/>
      <c r="H32" s="13" t="n"/>
      <c r="I32" s="13">
        <f>IFERROR(변수!I18/(E29+G29+H29+I29),"")</f>
        <v/>
      </c>
      <c r="J32" s="13">
        <f>IFERROR(변수!J18/(G29+H29+I29+J29),"")</f>
        <v/>
      </c>
      <c r="K32" s="14">
        <f>J32</f>
        <v/>
      </c>
      <c r="L32" s="13">
        <f>IFERROR(변수!L18/(H29+I29+J29+L29),"")</f>
        <v/>
      </c>
      <c r="M32" s="13">
        <f>IFERROR(변수!M18/(I29+J29+L29+M29),"")</f>
        <v/>
      </c>
      <c r="N32" s="13">
        <f>IFERROR(변수!N18/(J29+L29+M29+N29),"")</f>
        <v/>
      </c>
      <c r="O32" s="13">
        <f>IFERROR(변수!O18/(L29+M29+N29+O29),"")</f>
        <v/>
      </c>
      <c r="P32" s="14">
        <f>O32</f>
        <v/>
      </c>
      <c r="Q32" s="13">
        <f>IFERROR(변수!Q18/(M29+N29+O29+Q29),"")</f>
        <v/>
      </c>
      <c r="R32" s="13" t="n"/>
      <c r="S32" s="13" t="n"/>
      <c r="T32" s="13" t="n"/>
      <c r="U32" s="14">
        <f>T32</f>
        <v/>
      </c>
      <c r="V32" s="13" t="n"/>
      <c r="W32" s="13" t="n"/>
      <c r="X32" s="13" t="n"/>
      <c r="Y32" s="13">
        <f>IFERROR(변수!Y18/(V29+W29+X29+Y29),"")</f>
        <v/>
      </c>
      <c r="Z32" s="14">
        <f>Y32</f>
        <v/>
      </c>
      <c r="AA32" s="13">
        <f>IFERROR(변수!AA18/(W29+X29+Y29+AA29),"")</f>
        <v/>
      </c>
      <c r="AB32" s="15">
        <f>IFERROR(변수!AB18/(X29+Y29+AA29+AB29),"")</f>
        <v/>
      </c>
      <c r="AC32" s="39">
        <f>IFERROR(변수!$D$40/(Y29+AA29+AB29+AC29),"")</f>
        <v/>
      </c>
      <c r="AD32" s="39">
        <f>IFERROR(변수!$D$40/(AA29+AB29+AC29+AD29),"")</f>
        <v/>
      </c>
      <c r="AE32" s="40">
        <f>AD32</f>
        <v/>
      </c>
      <c r="AF32" s="39">
        <f>IFERROR(변수!$D$40/(AB29+AC29+AD29+AF29),"")</f>
        <v/>
      </c>
      <c r="AG32" s="39">
        <f>IFERROR(변수!$D$40/(AC29+AD29+AF29+AG29),"")</f>
        <v/>
      </c>
      <c r="AH32" s="39">
        <f>IFERROR(변수!$D$40/(AD29+AF29+AG29+AH29),"")</f>
        <v/>
      </c>
      <c r="AI32" s="39">
        <f>IFERROR(변수!$D$40/(AF29+AG29+AH29+AI29),"")</f>
        <v/>
      </c>
      <c r="AJ32" s="40">
        <f>AI32</f>
        <v/>
      </c>
      <c r="AK32" s="39">
        <f>IFERROR(변수!$D$40/(AG29+AH29+AI29+AK29),"")</f>
        <v/>
      </c>
      <c r="AL32" s="39">
        <f>IFERROR(변수!$D$40/(AH29+AI29+AK29+AL29),"")</f>
        <v/>
      </c>
      <c r="AM32" s="39">
        <f>IFERROR(변수!$D$40/(AI29+AK29+AL29+AM29),"")</f>
        <v/>
      </c>
      <c r="AN32" s="39">
        <f>IFERROR(변수!$D$40/(AK29+AL29+AM29+AN29),"")</f>
        <v/>
      </c>
      <c r="AO32" s="40">
        <f>AN32</f>
        <v/>
      </c>
    </row>
    <row r="33">
      <c r="A33" s="12" t="inlineStr">
        <is>
          <t>PBR</t>
        </is>
      </c>
      <c r="B33" t="inlineStr">
        <is>
          <t>주당</t>
        </is>
      </c>
      <c r="C33" t="inlineStr">
        <is>
          <t>배</t>
        </is>
      </c>
      <c r="D33" t="inlineStr">
        <is>
          <t>PBR</t>
        </is>
      </c>
      <c r="E33" s="13">
        <f>IFERROR(변수!E18/E30,"")</f>
        <v/>
      </c>
      <c r="F33" s="14">
        <f>E33</f>
        <v/>
      </c>
      <c r="G33" s="13">
        <f>IFERROR(변수!G18/G30,"")</f>
        <v/>
      </c>
      <c r="H33" s="13">
        <f>IFERROR(변수!H18/H30,"")</f>
        <v/>
      </c>
      <c r="I33" s="13">
        <f>IFERROR(변수!I18/I30,"")</f>
        <v/>
      </c>
      <c r="J33" s="13">
        <f>IFERROR(변수!J18/J30,"")</f>
        <v/>
      </c>
      <c r="K33" s="14">
        <f>J33</f>
        <v/>
      </c>
      <c r="L33" s="13">
        <f>IFERROR(변수!L18/L30,"")</f>
        <v/>
      </c>
      <c r="M33" s="13">
        <f>IFERROR(변수!M18/M30,"")</f>
        <v/>
      </c>
      <c r="N33" s="13">
        <f>IFERROR(변수!N18/N30,"")</f>
        <v/>
      </c>
      <c r="O33" s="13">
        <f>IFERROR(변수!O18/O30,"")</f>
        <v/>
      </c>
      <c r="P33" s="14">
        <f>O33</f>
        <v/>
      </c>
      <c r="Q33" s="13">
        <f>IFERROR(변수!Q18/Q30,"")</f>
        <v/>
      </c>
      <c r="R33" s="13">
        <f>IFERROR(변수!R18/R30,"")</f>
        <v/>
      </c>
      <c r="S33" s="13">
        <f>IFERROR(변수!S18/S30,"")</f>
        <v/>
      </c>
      <c r="T33" s="13">
        <f>IFERROR(변수!T18/T30,"")</f>
        <v/>
      </c>
      <c r="U33" s="14">
        <f>T33</f>
        <v/>
      </c>
      <c r="V33" s="13">
        <f>IFERROR(변수!V18/V30,"")</f>
        <v/>
      </c>
      <c r="W33" s="13">
        <f>IFERROR(변수!W18/W30,"")</f>
        <v/>
      </c>
      <c r="X33" s="13">
        <f>IFERROR(변수!X18/X30,"")</f>
        <v/>
      </c>
      <c r="Y33" s="13">
        <f>IFERROR(변수!Y18/Y30,"")</f>
        <v/>
      </c>
      <c r="Z33" s="14">
        <f>Y33</f>
        <v/>
      </c>
      <c r="AA33" s="13">
        <f>IFERROR(변수!AA18/AA30,"")</f>
        <v/>
      </c>
      <c r="AB33" s="15">
        <f>IFERROR(변수!AB18/AB30,"")</f>
        <v/>
      </c>
      <c r="AC33" s="39">
        <f>IFERROR(변수!$D$40/AC30,"")</f>
        <v/>
      </c>
      <c r="AD33" s="39">
        <f>IFERROR(변수!$D$40/AD30,"")</f>
        <v/>
      </c>
      <c r="AE33" s="40">
        <f>AD33</f>
        <v/>
      </c>
      <c r="AF33" s="39">
        <f>IFERROR(변수!$D$40/AF30,"")</f>
        <v/>
      </c>
      <c r="AG33" s="39">
        <f>IFERROR(변수!$D$40/AG30,"")</f>
        <v/>
      </c>
      <c r="AH33" s="39">
        <f>IFERROR(변수!$D$40/AH30,"")</f>
        <v/>
      </c>
      <c r="AI33" s="39">
        <f>IFERROR(변수!$D$40/AI30,"")</f>
        <v/>
      </c>
      <c r="AJ33" s="40">
        <f>AI33</f>
        <v/>
      </c>
      <c r="AK33" s="39">
        <f>IFERROR(변수!$D$40/AK30,"")</f>
        <v/>
      </c>
      <c r="AL33" s="39">
        <f>IFERROR(변수!$D$40/AL30,"")</f>
        <v/>
      </c>
      <c r="AM33" s="39">
        <f>IFERROR(변수!$D$40/AM30,"")</f>
        <v/>
      </c>
      <c r="AN33" s="39">
        <f>IFERROR(변수!$D$40/AN30,"")</f>
        <v/>
      </c>
      <c r="AO33" s="40">
        <f>AN33</f>
        <v/>
      </c>
    </row>
    <row r="34">
      <c r="A34" s="12" t="inlineStr">
        <is>
          <t>매출전사</t>
        </is>
      </c>
      <c r="B34" t="inlineStr">
        <is>
          <t>사업부</t>
        </is>
      </c>
      <c r="C34" t="inlineStr">
        <is>
          <t>억원</t>
        </is>
      </c>
      <c r="D34" t="inlineStr">
        <is>
          <t>매출 전사(부문 미분리)</t>
        </is>
      </c>
      <c r="E34" s="18" t="n">
        <v>482.93</v>
      </c>
      <c r="F34" s="37" t="n"/>
      <c r="G34" s="18" t="n">
        <v>430.25</v>
      </c>
      <c r="H34" s="18" t="n">
        <v>569.84</v>
      </c>
      <c r="I34" s="18" t="n">
        <v>570.37</v>
      </c>
      <c r="J34" s="18" t="n">
        <v>824.1900000000001</v>
      </c>
      <c r="K34" s="37">
        <f>SUM(G34:J34)</f>
        <v/>
      </c>
      <c r="L34" s="18" t="n">
        <v>643.9299999999999</v>
      </c>
      <c r="M34" s="18" t="n">
        <v>875.95</v>
      </c>
      <c r="N34" s="18" t="n">
        <v>667.75</v>
      </c>
      <c r="O34" s="18" t="n">
        <v>862.8</v>
      </c>
      <c r="P34" s="37">
        <f>SUM(L34:O34)</f>
        <v/>
      </c>
      <c r="Q34" s="18" t="n">
        <v>466.98</v>
      </c>
      <c r="R34" s="18" t="n">
        <v>716.99</v>
      </c>
      <c r="S34" s="18" t="n">
        <v>623.61</v>
      </c>
      <c r="T34" s="18" t="n">
        <v>770.11</v>
      </c>
      <c r="U34" s="37">
        <f>SUM(Q34:T34)</f>
        <v/>
      </c>
      <c r="V34" s="18" t="n">
        <v>433.5</v>
      </c>
      <c r="W34" s="18" t="n">
        <v>747.36</v>
      </c>
      <c r="X34" s="18" t="n">
        <v>772.26</v>
      </c>
      <c r="Y34" s="18" t="n">
        <v>1243.15</v>
      </c>
      <c r="Z34" s="37">
        <f>SUM(V34:Y34)</f>
        <v/>
      </c>
      <c r="AA34" s="18" t="n">
        <v>647.24</v>
      </c>
      <c r="AB34" s="19" t="n">
        <v>972.46</v>
      </c>
      <c r="AC34" s="20">
        <f>IFERROR(AC5,"")</f>
        <v/>
      </c>
      <c r="AD34" s="20">
        <f>IFERROR(AD5,"")</f>
        <v/>
      </c>
      <c r="AE34" s="38">
        <f>SUM(AA34:AD34)</f>
        <v/>
      </c>
      <c r="AF34" s="20">
        <f>IFERROR(AF5,"")</f>
        <v/>
      </c>
      <c r="AG34" s="20">
        <f>IFERROR(AG5,"")</f>
        <v/>
      </c>
      <c r="AH34" s="20">
        <f>IFERROR(AH5,"")</f>
        <v/>
      </c>
      <c r="AI34" s="20">
        <f>IFERROR(AI5,"")</f>
        <v/>
      </c>
      <c r="AJ34" s="38">
        <f>SUM(AF34:AI34)</f>
        <v/>
      </c>
      <c r="AK34" s="20">
        <f>IFERROR(AK5,"")</f>
        <v/>
      </c>
      <c r="AL34" s="20">
        <f>IFERROR(AL5,"")</f>
        <v/>
      </c>
      <c r="AM34" s="20">
        <f>IFERROR(AM5,"")</f>
        <v/>
      </c>
      <c r="AN34" s="20">
        <f>IFERROR(AN5,"")</f>
        <v/>
      </c>
      <c r="AO34" s="38">
        <f>SUM(AK34:AN34)</f>
        <v/>
      </c>
    </row>
    <row r="35">
      <c r="A35" s="12" t="inlineStr">
        <is>
          <t>OP전사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OP 전사(부문 미분리)</t>
        </is>
      </c>
      <c r="E35" s="18" t="n">
        <v>45.09</v>
      </c>
      <c r="F35" s="37" t="n"/>
      <c r="G35" s="18" t="n">
        <v>15.6</v>
      </c>
      <c r="H35" s="18" t="n">
        <v>41.49</v>
      </c>
      <c r="I35" s="18" t="n">
        <v>10.24</v>
      </c>
      <c r="J35" s="18" t="n">
        <v>86.09999999999999</v>
      </c>
      <c r="K35" s="37">
        <f>SUM(G35:J35)</f>
        <v/>
      </c>
      <c r="L35" s="18" t="n">
        <v>7.77</v>
      </c>
      <c r="M35" s="18" t="n">
        <v>77.70999999999999</v>
      </c>
      <c r="N35" s="18" t="n">
        <v>-15.78</v>
      </c>
      <c r="O35" s="18" t="n">
        <v>37.55</v>
      </c>
      <c r="P35" s="37">
        <f>SUM(L35:O35)</f>
        <v/>
      </c>
      <c r="Q35" s="18" t="n">
        <v>-93.45999999999999</v>
      </c>
      <c r="R35" s="18" t="n">
        <v>9.1</v>
      </c>
      <c r="S35" s="18" t="n">
        <v>-57.35</v>
      </c>
      <c r="T35" s="18" t="n">
        <v>-52.73</v>
      </c>
      <c r="U35" s="37">
        <f>SUM(Q35:T35)</f>
        <v/>
      </c>
      <c r="V35" s="18" t="n">
        <v>-120.39</v>
      </c>
      <c r="W35" s="18" t="n">
        <v>17.63</v>
      </c>
      <c r="X35" s="18" t="n">
        <v>23.73</v>
      </c>
      <c r="Y35" s="18" t="n">
        <v>198.56</v>
      </c>
      <c r="Z35" s="37">
        <f>SUM(V35:Y35)</f>
        <v/>
      </c>
      <c r="AA35" s="18" t="n">
        <v>5.93</v>
      </c>
      <c r="AB35" s="19" t="n">
        <v>71.36</v>
      </c>
      <c r="AC35" s="20">
        <f>IFERROR(AC9,"")</f>
        <v/>
      </c>
      <c r="AD35" s="20">
        <f>IFERROR(AD9,"")</f>
        <v/>
      </c>
      <c r="AE35" s="38">
        <f>SUM(AA35:AD35)</f>
        <v/>
      </c>
      <c r="AF35" s="20">
        <f>IFERROR(AF9,"")</f>
        <v/>
      </c>
      <c r="AG35" s="20">
        <f>IFERROR(AG9,"")</f>
        <v/>
      </c>
      <c r="AH35" s="20">
        <f>IFERROR(AH9,"")</f>
        <v/>
      </c>
      <c r="AI35" s="20">
        <f>IFERROR(AI9,"")</f>
        <v/>
      </c>
      <c r="AJ35" s="38">
        <f>SUM(AF35:AI35)</f>
        <v/>
      </c>
      <c r="AK35" s="20">
        <f>IFERROR(AK9,"")</f>
        <v/>
      </c>
      <c r="AL35" s="20">
        <f>IFERROR(AL9,"")</f>
        <v/>
      </c>
      <c r="AM35" s="20">
        <f>IFERROR(AM9,"")</f>
        <v/>
      </c>
      <c r="AN35" s="20">
        <f>IFERROR(AN9,"")</f>
        <v/>
      </c>
      <c r="AO35" s="38">
        <f>SUM(AK35:AN35)</f>
        <v/>
      </c>
    </row>
    <row r="36">
      <c r="B36" s="2" t="inlineStr">
        <is>
          <t>비율(참고)</t>
        </is>
      </c>
      <c r="F36" s="9" t="n"/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s="12" t="inlineStr">
        <is>
          <t>NPM</t>
        </is>
      </c>
      <c r="C37" t="inlineStr">
        <is>
          <t>%</t>
        </is>
      </c>
      <c r="D37" t="inlineStr">
        <is>
          <t>지배주주순이익 / 매출액</t>
        </is>
      </c>
      <c r="E37" s="21">
        <f>IFERROR(E17/E5,"")</f>
        <v/>
      </c>
      <c r="F37" s="22">
        <f>IFERROR(F17/F5,"")</f>
        <v/>
      </c>
      <c r="G37" s="21">
        <f>IFERROR(G17/G5,"")</f>
        <v/>
      </c>
      <c r="H37" s="21">
        <f>IFERROR(H17/H5,"")</f>
        <v/>
      </c>
      <c r="I37" s="21">
        <f>IFERROR(I17/I5,"")</f>
        <v/>
      </c>
      <c r="J37" s="21">
        <f>IFERROR(J17/J5,"")</f>
        <v/>
      </c>
      <c r="K37" s="22">
        <f>IFERROR(K17/K5,"")</f>
        <v/>
      </c>
      <c r="L37" s="21">
        <f>IFERROR(L17/L5,"")</f>
        <v/>
      </c>
      <c r="M37" s="21">
        <f>IFERROR(M17/M5,"")</f>
        <v/>
      </c>
      <c r="N37" s="21">
        <f>IFERROR(N17/N5,"")</f>
        <v/>
      </c>
      <c r="O37" s="21">
        <f>IFERROR(O17/O5,"")</f>
        <v/>
      </c>
      <c r="P37" s="22">
        <f>IFERROR(P17/P5,"")</f>
        <v/>
      </c>
      <c r="Q37" s="21">
        <f>IFERROR(Q17/Q5,"")</f>
        <v/>
      </c>
      <c r="R37" s="21">
        <f>IFERROR(R17/R5,"")</f>
        <v/>
      </c>
      <c r="S37" s="21">
        <f>IFERROR(S17/S5,"")</f>
        <v/>
      </c>
      <c r="T37" s="21">
        <f>IFERROR(T17/T5,"")</f>
        <v/>
      </c>
      <c r="U37" s="22">
        <f>IFERROR(U17/U5,"")</f>
        <v/>
      </c>
      <c r="V37" s="21">
        <f>IFERROR(V17/V5,"")</f>
        <v/>
      </c>
      <c r="W37" s="21">
        <f>IFERROR(W17/W5,"")</f>
        <v/>
      </c>
      <c r="X37" s="21">
        <f>IFERROR(X17/X5,"")</f>
        <v/>
      </c>
      <c r="Y37" s="21">
        <f>IFERROR(Y17/Y5,"")</f>
        <v/>
      </c>
      <c r="Z37" s="22">
        <f>IFERROR(Z17/Z5,"")</f>
        <v/>
      </c>
      <c r="AA37" s="21">
        <f>IFERROR(AA17/AA5,"")</f>
        <v/>
      </c>
      <c r="AB37" s="23">
        <f>IFERROR(AB17/AB5,"")</f>
        <v/>
      </c>
      <c r="AC37" s="33">
        <f>IFERROR(AC17/AC5,"")</f>
        <v/>
      </c>
      <c r="AD37" s="33">
        <f>IFERROR(AD17/AD5,"")</f>
        <v/>
      </c>
      <c r="AE37" s="25">
        <f>IFERROR(AE17/AE5,"")</f>
        <v/>
      </c>
      <c r="AF37" s="33">
        <f>IFERROR(AF17/AF5,"")</f>
        <v/>
      </c>
      <c r="AG37" s="33">
        <f>IFERROR(AG17/AG5,"")</f>
        <v/>
      </c>
      <c r="AH37" s="33">
        <f>IFERROR(AH17/AH5,"")</f>
        <v/>
      </c>
      <c r="AI37" s="33">
        <f>IFERROR(AI17/AI5,"")</f>
        <v/>
      </c>
      <c r="AJ37" s="25">
        <f>IFERROR(AJ17/AJ5,"")</f>
        <v/>
      </c>
      <c r="AK37" s="33">
        <f>IFERROR(AK17/AK5,"")</f>
        <v/>
      </c>
      <c r="AL37" s="33">
        <f>IFERROR(AL17/AL5,"")</f>
        <v/>
      </c>
      <c r="AM37" s="33">
        <f>IFERROR(AM17/AM5,"")</f>
        <v/>
      </c>
      <c r="AN37" s="33">
        <f>IFERROR(AN17/AN5,"")</f>
        <v/>
      </c>
      <c r="AO37" s="25">
        <f>IFERROR(AO17/AO5,"")</f>
        <v/>
      </c>
    </row>
    <row r="38">
      <c r="A38" s="12" t="inlineStr">
        <is>
          <t>매출원가율</t>
        </is>
      </c>
      <c r="C38" t="inlineStr">
        <is>
          <t>%</t>
        </is>
      </c>
      <c r="D38" t="inlineStr">
        <is>
          <t>매출원가 / 매출액</t>
        </is>
      </c>
      <c r="E38" s="21">
        <f>IFERROR(E6/E5,"")</f>
        <v/>
      </c>
      <c r="F38" s="22">
        <f>IFERROR(F6/F5,"")</f>
        <v/>
      </c>
      <c r="G38" s="21">
        <f>IFERROR(G6/G5,"")</f>
        <v/>
      </c>
      <c r="H38" s="21">
        <f>IFERROR(H6/H5,"")</f>
        <v/>
      </c>
      <c r="I38" s="21">
        <f>IFERROR(I6/I5,"")</f>
        <v/>
      </c>
      <c r="J38" s="21">
        <f>IFERROR(J6/J5,"")</f>
        <v/>
      </c>
      <c r="K38" s="22">
        <f>IFERROR(K6/K5,"")</f>
        <v/>
      </c>
      <c r="L38" s="21">
        <f>IFERROR(L6/L5,"")</f>
        <v/>
      </c>
      <c r="M38" s="21">
        <f>IFERROR(M6/M5,"")</f>
        <v/>
      </c>
      <c r="N38" s="21">
        <f>IFERROR(N6/N5,"")</f>
        <v/>
      </c>
      <c r="O38" s="21">
        <f>IFERROR(O6/O5,"")</f>
        <v/>
      </c>
      <c r="P38" s="22">
        <f>IFERROR(P6/P5,"")</f>
        <v/>
      </c>
      <c r="Q38" s="21">
        <f>IFERROR(Q6/Q5,"")</f>
        <v/>
      </c>
      <c r="R38" s="21">
        <f>IFERROR(R6/R5,"")</f>
        <v/>
      </c>
      <c r="S38" s="21">
        <f>IFERROR(S6/S5,"")</f>
        <v/>
      </c>
      <c r="T38" s="21">
        <f>IFERROR(T6/T5,"")</f>
        <v/>
      </c>
      <c r="U38" s="22">
        <f>IFERROR(U6/U5,"")</f>
        <v/>
      </c>
      <c r="V38" s="21">
        <f>IFERROR(V6/V5,"")</f>
        <v/>
      </c>
      <c r="W38" s="21">
        <f>IFERROR(W6/W5,"")</f>
        <v/>
      </c>
      <c r="X38" s="21">
        <f>IFERROR(X6/X5,"")</f>
        <v/>
      </c>
      <c r="Y38" s="21">
        <f>IFERROR(Y6/Y5,"")</f>
        <v/>
      </c>
      <c r="Z38" s="22">
        <f>IFERROR(Z6/Z5,"")</f>
        <v/>
      </c>
      <c r="AA38" s="21">
        <f>IFERROR(AA6/AA5,"")</f>
        <v/>
      </c>
      <c r="AB38" s="23">
        <f>IFERROR(AB6/AB5,"")</f>
        <v/>
      </c>
      <c r="AC38" s="33">
        <f>IFERROR(AC6/AC5,"")</f>
        <v/>
      </c>
      <c r="AD38" s="33">
        <f>IFERROR(AD6/AD5,"")</f>
        <v/>
      </c>
      <c r="AE38" s="25">
        <f>IFERROR(AE6/AE5,"")</f>
        <v/>
      </c>
      <c r="AF38" s="33">
        <f>IFERROR(AF6/AF5,"")</f>
        <v/>
      </c>
      <c r="AG38" s="33">
        <f>IFERROR(AG6/AG5,"")</f>
        <v/>
      </c>
      <c r="AH38" s="33">
        <f>IFERROR(AH6/AH5,"")</f>
        <v/>
      </c>
      <c r="AI38" s="33">
        <f>IFERROR(AI6/AI5,"")</f>
        <v/>
      </c>
      <c r="AJ38" s="25">
        <f>IFERROR(AJ6/AJ5,"")</f>
        <v/>
      </c>
      <c r="AK38" s="33">
        <f>IFERROR(AK6/AK5,"")</f>
        <v/>
      </c>
      <c r="AL38" s="33">
        <f>IFERROR(AL6/AL5,"")</f>
        <v/>
      </c>
      <c r="AM38" s="33">
        <f>IFERROR(AM6/AM5,"")</f>
        <v/>
      </c>
      <c r="AN38" s="33">
        <f>IFERROR(AN6/AN5,"")</f>
        <v/>
      </c>
      <c r="AO38" s="25">
        <f>IFERROR(AO6/AO5,"")</f>
        <v/>
      </c>
    </row>
    <row r="39">
      <c r="A39" s="12" t="inlineStr">
        <is>
          <t>판관비율</t>
        </is>
      </c>
      <c r="C39" t="inlineStr">
        <is>
          <t>%</t>
        </is>
      </c>
      <c r="D39" t="inlineStr">
        <is>
          <t>판관비 / 매출액</t>
        </is>
      </c>
      <c r="E39" s="21">
        <f>IFERROR(E8/E5,"")</f>
        <v/>
      </c>
      <c r="F39" s="22">
        <f>IFERROR(F8/F5,"")</f>
        <v/>
      </c>
      <c r="G39" s="21">
        <f>IFERROR(G8/G5,"")</f>
        <v/>
      </c>
      <c r="H39" s="21">
        <f>IFERROR(H8/H5,"")</f>
        <v/>
      </c>
      <c r="I39" s="21">
        <f>IFERROR(I8/I5,"")</f>
        <v/>
      </c>
      <c r="J39" s="21">
        <f>IFERROR(J8/J5,"")</f>
        <v/>
      </c>
      <c r="K39" s="22">
        <f>IFERROR(K8/K5,"")</f>
        <v/>
      </c>
      <c r="L39" s="21">
        <f>IFERROR(L8/L5,"")</f>
        <v/>
      </c>
      <c r="M39" s="21">
        <f>IFERROR(M8/M5,"")</f>
        <v/>
      </c>
      <c r="N39" s="21">
        <f>IFERROR(N8/N5,"")</f>
        <v/>
      </c>
      <c r="O39" s="21">
        <f>IFERROR(O8/O5,"")</f>
        <v/>
      </c>
      <c r="P39" s="22">
        <f>IFERROR(P8/P5,"")</f>
        <v/>
      </c>
      <c r="Q39" s="21">
        <f>IFERROR(Q8/Q5,"")</f>
        <v/>
      </c>
      <c r="R39" s="21">
        <f>IFERROR(R8/R5,"")</f>
        <v/>
      </c>
      <c r="S39" s="21">
        <f>IFERROR(S8/S5,"")</f>
        <v/>
      </c>
      <c r="T39" s="21">
        <f>IFERROR(T8/T5,"")</f>
        <v/>
      </c>
      <c r="U39" s="22">
        <f>IFERROR(U8/U5,"")</f>
        <v/>
      </c>
      <c r="V39" s="21">
        <f>IFERROR(V8/V5,"")</f>
        <v/>
      </c>
      <c r="W39" s="21">
        <f>IFERROR(W8/W5,"")</f>
        <v/>
      </c>
      <c r="X39" s="21">
        <f>IFERROR(X8/X5,"")</f>
        <v/>
      </c>
      <c r="Y39" s="21">
        <f>IFERROR(Y8/Y5,"")</f>
        <v/>
      </c>
      <c r="Z39" s="22">
        <f>IFERROR(Z8/Z5,"")</f>
        <v/>
      </c>
      <c r="AA39" s="21">
        <f>IFERROR(AA8/AA5,"")</f>
        <v/>
      </c>
      <c r="AB39" s="23">
        <f>IFERROR(AB8/AB5,"")</f>
        <v/>
      </c>
      <c r="AC39" s="33">
        <f>IFERROR(AC8/AC5,"")</f>
        <v/>
      </c>
      <c r="AD39" s="33">
        <f>IFERROR(AD8/AD5,"")</f>
        <v/>
      </c>
      <c r="AE39" s="25">
        <f>IFERROR(AE8/AE5,"")</f>
        <v/>
      </c>
      <c r="AF39" s="33">
        <f>IFERROR(AF8/AF5,"")</f>
        <v/>
      </c>
      <c r="AG39" s="33">
        <f>IFERROR(AG8/AG5,"")</f>
        <v/>
      </c>
      <c r="AH39" s="33">
        <f>IFERROR(AH8/AH5,"")</f>
        <v/>
      </c>
      <c r="AI39" s="33">
        <f>IFERROR(AI8/AI5,"")</f>
        <v/>
      </c>
      <c r="AJ39" s="25">
        <f>IFERROR(AJ8/AJ5,"")</f>
        <v/>
      </c>
      <c r="AK39" s="33">
        <f>IFERROR(AK8/AK5,"")</f>
        <v/>
      </c>
      <c r="AL39" s="33">
        <f>IFERROR(AL8/AL5,"")</f>
        <v/>
      </c>
      <c r="AM39" s="33">
        <f>IFERROR(AM8/AM5,"")</f>
        <v/>
      </c>
      <c r="AN39" s="33">
        <f>IFERROR(AN8/AN5,"")</f>
        <v/>
      </c>
      <c r="AO39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변수!D40</f>
        <v/>
      </c>
      <c r="W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27">
        <f>IFERROR(VLOOKUP($A28,subQ,MATCH(I$1,SUBQH,0),0),"")</f>
        <v/>
      </c>
      <c r="J28" s="27">
        <f>IFERROR(VLOOKUP($A28,subQ,MATCH(J$1,SUBQH,0),0),"")</f>
        <v/>
      </c>
      <c r="K28" s="27">
        <f>IFERROR(VLOOKUP($A28,subQ,MATCH(K$1,SUBQH,0),0),"")</f>
        <v/>
      </c>
      <c r="L28" s="27">
        <f>IFERROR(VLOOKUP($A28,subQ,MATCH(L$1,SUBQH,0),0),"")</f>
        <v/>
      </c>
      <c r="M28" s="27">
        <f>IFERROR(VLOOKUP($A28,subQ,MATCH(M$1,SUBQH,0),0),"")</f>
        <v/>
      </c>
      <c r="N28" s="27">
        <f>IFERROR(VLOOKUP($A28,subQ,MATCH(N$1,SUBQH,0),0),"")</f>
        <v/>
      </c>
      <c r="O28" s="27">
        <f>IFERROR(VLOOKUP($A28,subQ,MATCH(O$1,SUBQH,0),0),"")</f>
        <v/>
      </c>
      <c r="P28" s="27">
        <f>IFERROR(VLOOKUP($A28,subQ,MATCH(P$1,SUBQH,0),0),"")</f>
        <v/>
      </c>
      <c r="Q28" s="27">
        <f>IFERROR(VLOOKUP($A28,subQ,MATCH(Q$1,SUBQH,0),0),"")</f>
        <v/>
      </c>
      <c r="R28" s="27">
        <f>IFERROR(VLOOKUP($A28,subQ,MATCH(R$1,SUBQH,0),0),"")</f>
        <v/>
      </c>
      <c r="S28" s="27">
        <f>IFERROR(VLOOKUP($A28,subQ,MATCH(S$1,SUBQH,0),0),"")</f>
        <v/>
      </c>
      <c r="T28" s="27">
        <f>IFERROR(VLOOKUP($A28,subQ,MATCH(T$1,SUBQH,0),0),"")</f>
        <v/>
      </c>
      <c r="U28" s="27">
        <f>IFERROR(VLOOKUP($A28,subQ,MATCH(U$1,SUBQH,0),0),"")</f>
        <v/>
      </c>
      <c r="V28" s="27">
        <f>IFERROR(VLOOKUP($A28,subQ,MATCH(V$1,SUBQH,0),0),"")</f>
        <v/>
      </c>
      <c r="W28" s="47">
        <f>IFERROR(VLOOKUP($A28,subQ,MATCH(W$1,SUBQH,0),0),"")</f>
        <v/>
      </c>
      <c r="X28" s="32">
        <f>IFERROR(VLOOKUP($A28,subQ,MATCH(X$1,SUBQH,0),0),"")</f>
        <v/>
      </c>
      <c r="Y28" s="32">
        <f>IFERROR(VLOOKUP($A28,subQ,MATCH(Y$1,SUBQH,0),0),"")</f>
        <v/>
      </c>
      <c r="Z28" s="32">
        <f>IFERROR(VLOOKUP($A28,subQ,MATCH(Z$1,SUBQH,0),0),"")</f>
        <v/>
      </c>
      <c r="AA28" s="32">
        <f>IFERROR(VLOOKUP($A28,subQ,MATCH(AA$1,SUBQH,0),0),"")</f>
        <v/>
      </c>
      <c r="AB28" s="32">
        <f>IFERROR(VLOOKUP($A28,subQ,MATCH(AB$1,SUBQH,0),0),"")</f>
        <v/>
      </c>
      <c r="AC28" s="32">
        <f>IFERROR(VLOOKUP($A28,subQ,MATCH(AC$1,SUBQH,0),0),"")</f>
        <v/>
      </c>
      <c r="AD28" s="32">
        <f>IFERROR(VLOOKUP($A28,subQ,MATCH(AD$1,SUBQH,0),0),"")</f>
        <v/>
      </c>
      <c r="AE28" s="32">
        <f>IFERROR(VLOOKUP($A28,subQ,MATCH(AE$1,SUBQH,0),0),"")</f>
        <v/>
      </c>
      <c r="AF28" s="32">
        <f>IFERROR(VLOOKUP($A28,subQ,MATCH(AF$1,SUBQH,0),0),"")</f>
        <v/>
      </c>
      <c r="AG28" s="32">
        <f>IFERROR(VLOOKUP($A28,subQ,MATCH(AG$1,SUBQH,0),0),"")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13">
        <f>IFERROR(VLOOKUP($A32,subQ,MATCH(I$1,SUBQH,0),0),"")</f>
        <v/>
      </c>
      <c r="J32" s="13">
        <f>IFERROR(VLOOKUP($A32,subQ,MATCH(J$1,SUBQH,0),0),"")</f>
        <v/>
      </c>
      <c r="K32" s="13">
        <f>IFERROR(VLOOKUP($A32,subQ,MATCH(K$1,SUBQH,0),0),"")</f>
        <v/>
      </c>
      <c r="L32" s="13">
        <f>IFERROR(VLOOKUP($A32,subQ,MATCH(L$1,SUBQH,0),0),"")</f>
        <v/>
      </c>
      <c r="M32" s="13">
        <f>IFERROR(VLOOKUP($A32,subQ,MATCH(M$1,SUBQH,0),0),"")</f>
        <v/>
      </c>
      <c r="N32" s="13">
        <f>IFERROR(VLOOKUP($A32,subQ,MATCH(N$1,SUBQH,0),0),"")</f>
        <v/>
      </c>
      <c r="O32" s="13">
        <f>IFERROR(VLOOKUP($A32,subQ,MATCH(O$1,SUBQH,0),0),"")</f>
        <v/>
      </c>
      <c r="P32" s="13">
        <f>IFERROR(VLOOKUP($A32,subQ,MATCH(P$1,SUBQH,0),0),"")</f>
        <v/>
      </c>
      <c r="Q32" s="13">
        <f>IFERROR(VLOOKUP($A32,subQ,MATCH(Q$1,SUBQH,0),0),"")</f>
        <v/>
      </c>
      <c r="R32" s="13">
        <f>IFERROR(VLOOKUP($A32,subQ,MATCH(R$1,SUBQH,0),0),"")</f>
        <v/>
      </c>
      <c r="S32" s="13">
        <f>IFERROR(VLOOKUP($A32,subQ,MATCH(S$1,SUBQH,0),0),"")</f>
        <v/>
      </c>
      <c r="T32" s="13">
        <f>IFERROR(VLOOKUP($A32,subQ,MATCH(T$1,SUBQH,0),0),"")</f>
        <v/>
      </c>
      <c r="U32" s="13">
        <f>IFERROR(VLOOKUP($A32,subQ,MATCH(U$1,SUBQH,0),0),"")</f>
        <v/>
      </c>
      <c r="V32" s="13">
        <f>IFERROR(VLOOKUP($A32,subQ,MATCH(V$1,SUBQH,0),0),"")</f>
        <v/>
      </c>
      <c r="W32" s="48">
        <f>IFERROR(VLOOKUP($A32,subQ,MATCH(W$1,SUBQH,0),0),"")</f>
        <v/>
      </c>
      <c r="X32" s="39">
        <f>IFERROR(VLOOKUP($A32,subQ,MATCH(X$1,SUBQH,0),0),"")</f>
        <v/>
      </c>
      <c r="Y32" s="39">
        <f>IFERROR(VLOOKUP($A32,subQ,MATCH(Y$1,SUBQH,0),0),"")</f>
        <v/>
      </c>
      <c r="Z32" s="39">
        <f>IFERROR(VLOOKUP($A32,subQ,MATCH(Z$1,SUBQH,0),0),"")</f>
        <v/>
      </c>
      <c r="AA32" s="39">
        <f>IFERROR(VLOOKUP($A32,subQ,MATCH(AA$1,SUBQH,0),0),"")</f>
        <v/>
      </c>
      <c r="AB32" s="39">
        <f>IFERROR(VLOOKUP($A32,subQ,MATCH(AB$1,SUBQH,0),0),"")</f>
        <v/>
      </c>
      <c r="AC32" s="39">
        <f>IFERROR(VLOOKUP($A32,subQ,MATCH(AC$1,SUBQH,0),0),"")</f>
        <v/>
      </c>
      <c r="AD32" s="39">
        <f>IFERROR(VLOOKUP($A32,subQ,MATCH(AD$1,SUBQH,0),0),"")</f>
        <v/>
      </c>
      <c r="AE32" s="39">
        <f>IFERROR(VLOOKUP($A32,subQ,MATCH(AE$1,SUBQH,0),0),"")</f>
        <v/>
      </c>
      <c r="AF32" s="39">
        <f>IFERROR(VLOOKUP($A32,subQ,MATCH(AF$1,SUBQH,0),0),"")</f>
        <v/>
      </c>
      <c r="AG32" s="39">
        <f>IFERROR(VLOOKUP($A32,subQ,MATCH(AG$1,SUBQH,0),0),"")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21">
        <f>IFERROR(VLOOKUP($A36,subQ,MATCH(I$1,SUBQH,0),0),"")</f>
        <v/>
      </c>
      <c r="J36" s="21">
        <f>IFERROR(VLOOKUP($A36,subQ,MATCH(J$1,SUBQH,0),0),"")</f>
        <v/>
      </c>
      <c r="K36" s="21">
        <f>IFERROR(VLOOKUP($A36,subQ,MATCH(K$1,SUBQH,0),0),"")</f>
        <v/>
      </c>
      <c r="L36" s="21">
        <f>IFERROR(VLOOKUP($A36,subQ,MATCH(L$1,SUBQH,0),0),"")</f>
        <v/>
      </c>
      <c r="M36" s="21">
        <f>IFERROR(VLOOKUP($A36,subQ,MATCH(M$1,SUBQH,0),0),"")</f>
        <v/>
      </c>
      <c r="N36" s="21">
        <f>IFERROR(VLOOKUP($A36,subQ,MATCH(N$1,SUBQH,0),0),"")</f>
        <v/>
      </c>
      <c r="O36" s="21">
        <f>IFERROR(VLOOKUP($A36,subQ,MATCH(O$1,SUBQH,0),0),"")</f>
        <v/>
      </c>
      <c r="P36" s="21">
        <f>IFERROR(VLOOKUP($A36,subQ,MATCH(P$1,SUBQH,0),0),"")</f>
        <v/>
      </c>
      <c r="Q36" s="21">
        <f>IFERROR(VLOOKUP($A36,subQ,MATCH(Q$1,SUBQH,0),0),"")</f>
        <v/>
      </c>
      <c r="R36" s="21">
        <f>IFERROR(VLOOKUP($A36,subQ,MATCH(R$1,SUBQH,0),0),"")</f>
        <v/>
      </c>
      <c r="S36" s="21">
        <f>IFERROR(VLOOKUP($A36,subQ,MATCH(S$1,SUBQH,0),0),"")</f>
        <v/>
      </c>
      <c r="T36" s="21">
        <f>IFERROR(VLOOKUP($A36,subQ,MATCH(T$1,SUBQH,0),0),"")</f>
        <v/>
      </c>
      <c r="U36" s="21">
        <f>IFERROR(VLOOKUP($A36,subQ,MATCH(U$1,SUBQH,0),0),"")</f>
        <v/>
      </c>
      <c r="V36" s="21">
        <f>IFERROR(VLOOKUP($A36,subQ,MATCH(V$1,SUBQH,0),0),"")</f>
        <v/>
      </c>
      <c r="W36" s="46">
        <f>IFERROR(VLOOKUP($A36,subQ,MATCH(W$1,SUBQH,0),0),"")</f>
        <v/>
      </c>
      <c r="X36" s="33">
        <f>IFERROR(VLOOKUP($A36,subQ,MATCH(X$1,SUBQH,0),0),"")</f>
        <v/>
      </c>
      <c r="Y36" s="33">
        <f>IFERROR(VLOOKUP($A36,subQ,MATCH(Y$1,SUBQH,0),0),"")</f>
        <v/>
      </c>
      <c r="Z36" s="33">
        <f>IFERROR(VLOOKUP($A36,subQ,MATCH(Z$1,SUBQH,0),0),"")</f>
        <v/>
      </c>
      <c r="AA36" s="33">
        <f>IFERROR(VLOOKUP($A36,subQ,MATCH(AA$1,SUBQH,0),0),"")</f>
        <v/>
      </c>
      <c r="AB36" s="33">
        <f>IFERROR(VLOOKUP($A36,subQ,MATCH(AB$1,SUBQH,0),0),"")</f>
        <v/>
      </c>
      <c r="AC36" s="33">
        <f>IFERROR(VLOOKUP($A36,subQ,MATCH(AC$1,SUBQH,0),0),"")</f>
        <v/>
      </c>
      <c r="AD36" s="33">
        <f>IFERROR(VLOOKUP($A36,subQ,MATCH(AD$1,SUBQH,0),0),"")</f>
        <v/>
      </c>
      <c r="AE36" s="33">
        <f>IFERROR(VLOOKUP($A36,subQ,MATCH(AE$1,SUBQH,0),0),"")</f>
        <v/>
      </c>
      <c r="AF36" s="33">
        <f>IFERROR(VLOOKUP($A36,subQ,MATCH(AF$1,SUBQH,0),0),"")</f>
        <v/>
      </c>
      <c r="AG36" s="33">
        <f>IFERROR(VLOOKUP($A36,subQ,MATCH(AG$1,SUBQH,0),0),"")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I37" s="21">
        <f>IFERROR(I5/E5-1,"")</f>
        <v/>
      </c>
      <c r="J37" s="21">
        <f>IFERROR(J5/F5-1,"")</f>
        <v/>
      </c>
      <c r="K37" s="21">
        <f>IFERROR(K5/G5-1,"")</f>
        <v/>
      </c>
      <c r="L37" s="21">
        <f>IFERROR(L5/H5-1,"")</f>
        <v/>
      </c>
      <c r="M37" s="21">
        <f>IFERROR(M5/I5-1,"")</f>
        <v/>
      </c>
      <c r="N37" s="21">
        <f>IFERROR(N5/J5-1,"")</f>
        <v/>
      </c>
      <c r="O37" s="21">
        <f>IFERROR(O5/K5-1,"")</f>
        <v/>
      </c>
      <c r="P37" s="21">
        <f>IFERROR(P5/L5-1,"")</f>
        <v/>
      </c>
      <c r="Q37" s="21">
        <f>IFERROR(Q5/M5-1,"")</f>
        <v/>
      </c>
      <c r="R37" s="21">
        <f>IFERROR(R5/N5-1,"")</f>
        <v/>
      </c>
      <c r="S37" s="21">
        <f>IFERROR(S5/O5-1,"")</f>
        <v/>
      </c>
      <c r="T37" s="21">
        <f>IFERROR(T5/P5-1,"")</f>
        <v/>
      </c>
      <c r="U37" s="21">
        <f>IFERROR(U5/Q5-1,"")</f>
        <v/>
      </c>
      <c r="V37" s="21">
        <f>IFERROR(V5/R5-1,"")</f>
        <v/>
      </c>
      <c r="W37" s="46">
        <f>IFERROR(W5/S5-1,"")</f>
        <v/>
      </c>
      <c r="X37" s="33">
        <f>IFERROR(X5/T5-1,"")</f>
        <v/>
      </c>
      <c r="Y37" s="33">
        <f>IFERROR(Y5/U5-1,"")</f>
        <v/>
      </c>
      <c r="Z37" s="33">
        <f>IFERROR(Z5/V5-1,"")</f>
        <v/>
      </c>
      <c r="AA37" s="33">
        <f>IFERROR(AA5/W5-1,"")</f>
        <v/>
      </c>
      <c r="AB37" s="33">
        <f>IFERROR(AB5/X5-1,"")</f>
        <v/>
      </c>
      <c r="AC37" s="33">
        <f>IFERROR(AC5/Y5-1,"")</f>
        <v/>
      </c>
      <c r="AD37" s="33">
        <f>IFERROR(AD5/Z5-1,"")</f>
        <v/>
      </c>
      <c r="AE37" s="33">
        <f>IFERROR(AE5/AA5-1,"")</f>
        <v/>
      </c>
      <c r="AF37" s="33">
        <f>IFERROR(AF5/AB5-1,"")</f>
        <v/>
      </c>
      <c r="AG37" s="33">
        <f>IFERROR(AG5/AC5-1,"")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I38" s="21">
        <f>IFERROR(I9/E9-1,"")</f>
        <v/>
      </c>
      <c r="J38" s="21">
        <f>IFERROR(J9/F9-1,"")</f>
        <v/>
      </c>
      <c r="K38" s="21">
        <f>IFERROR(K9/G9-1,"")</f>
        <v/>
      </c>
      <c r="L38" s="21">
        <f>IFERROR(L9/H9-1,"")</f>
        <v/>
      </c>
      <c r="M38" s="21">
        <f>IFERROR(M9/I9-1,"")</f>
        <v/>
      </c>
      <c r="N38" s="21">
        <f>IFERROR(N9/J9-1,"")</f>
        <v/>
      </c>
      <c r="O38" s="21">
        <f>IFERROR(O9/K9-1,"")</f>
        <v/>
      </c>
      <c r="P38" s="21">
        <f>IFERROR(P9/L9-1,"")</f>
        <v/>
      </c>
      <c r="Q38" s="21">
        <f>IFERROR(Q9/M9-1,"")</f>
        <v/>
      </c>
      <c r="R38" s="21">
        <f>IFERROR(R9/N9-1,"")</f>
        <v/>
      </c>
      <c r="S38" s="21">
        <f>IFERROR(S9/O9-1,"")</f>
        <v/>
      </c>
      <c r="T38" s="21">
        <f>IFERROR(T9/P9-1,"")</f>
        <v/>
      </c>
      <c r="U38" s="21">
        <f>IFERROR(U9/Q9-1,"")</f>
        <v/>
      </c>
      <c r="V38" s="21">
        <f>IFERROR(V9/R9-1,"")</f>
        <v/>
      </c>
      <c r="W38" s="46">
        <f>IFERROR(W9/S9-1,"")</f>
        <v/>
      </c>
      <c r="X38" s="33">
        <f>IFERROR(X9/T9-1,"")</f>
        <v/>
      </c>
      <c r="Y38" s="33">
        <f>IFERROR(Y9/U9-1,"")</f>
        <v/>
      </c>
      <c r="Z38" s="33">
        <f>IFERROR(Z9/V9-1,"")</f>
        <v/>
      </c>
      <c r="AA38" s="33">
        <f>IFERROR(AA9/W9-1,"")</f>
        <v/>
      </c>
      <c r="AB38" s="33">
        <f>IFERROR(AB9/X9-1,"")</f>
        <v/>
      </c>
      <c r="AC38" s="33">
        <f>IFERROR(AC9/Y9-1,"")</f>
        <v/>
      </c>
      <c r="AD38" s="33">
        <f>IFERROR(AD9/Z9-1,"")</f>
        <v/>
      </c>
      <c r="AE38" s="33">
        <f>IFERROR(AE9/AA9-1,"")</f>
        <v/>
      </c>
      <c r="AF38" s="33">
        <f>IFERROR(AF9/AB9-1,"")</f>
        <v/>
      </c>
      <c r="AG38" s="33">
        <f>IFERROR(AG9/AC9-1,"")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I39" s="21">
        <f>IFERROR(I17/E17-1,"")</f>
        <v/>
      </c>
      <c r="J39" s="21">
        <f>IFERROR(J17/F17-1,"")</f>
        <v/>
      </c>
      <c r="K39" s="21">
        <f>IFERROR(K17/G17-1,"")</f>
        <v/>
      </c>
      <c r="L39" s="21">
        <f>IFERROR(L17/H17-1,"")</f>
        <v/>
      </c>
      <c r="M39" s="21">
        <f>IFERROR(M17/I17-1,"")</f>
        <v/>
      </c>
      <c r="N39" s="21">
        <f>IFERROR(N17/J17-1,"")</f>
        <v/>
      </c>
      <c r="O39" s="21">
        <f>IFERROR(O17/K17-1,"")</f>
        <v/>
      </c>
      <c r="P39" s="21">
        <f>IFERROR(P17/L17-1,"")</f>
        <v/>
      </c>
      <c r="Q39" s="21">
        <f>IFERROR(Q17/M17-1,"")</f>
        <v/>
      </c>
      <c r="R39" s="21">
        <f>IFERROR(R17/N17-1,"")</f>
        <v/>
      </c>
      <c r="S39" s="21">
        <f>IFERROR(S17/O17-1,"")</f>
        <v/>
      </c>
      <c r="T39" s="21">
        <f>IFERROR(T17/P17-1,"")</f>
        <v/>
      </c>
      <c r="U39" s="21">
        <f>IFERROR(U17/Q17-1,"")</f>
        <v/>
      </c>
      <c r="V39" s="21">
        <f>IFERROR(V17/R17-1,"")</f>
        <v/>
      </c>
      <c r="W39" s="46">
        <f>IFERROR(W17/S17-1,"")</f>
        <v/>
      </c>
      <c r="X39" s="33">
        <f>IFERROR(X17/T17-1,"")</f>
        <v/>
      </c>
      <c r="Y39" s="33">
        <f>IFERROR(Y17/U17-1,"")</f>
        <v/>
      </c>
      <c r="Z39" s="33">
        <f>IFERROR(Z17/V17-1,"")</f>
        <v/>
      </c>
      <c r="AA39" s="33">
        <f>IFERROR(AA17/W17-1,"")</f>
        <v/>
      </c>
      <c r="AB39" s="33">
        <f>IFERROR(AB17/X17-1,"")</f>
        <v/>
      </c>
      <c r="AC39" s="33">
        <f>IFERROR(AC17/Y17-1,"")</f>
        <v/>
      </c>
      <c r="AD39" s="33">
        <f>IFERROR(AD17/Z17-1,"")</f>
        <v/>
      </c>
      <c r="AE39" s="33">
        <f>IFERROR(AE17/AA17-1,"")</f>
        <v/>
      </c>
      <c r="AF39" s="33">
        <f>IFERROR(AF17/AB17-1,"")</f>
        <v/>
      </c>
      <c r="AG39" s="33">
        <f>IFERROR(AG17/AC17-1,"")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변수!D40</f>
        <v/>
      </c>
      <c r="I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47">
        <f>IFERROR(VLOOKUP($A28,subQ,MATCH(I$1,SUBQH,0),0),"")</f>
        <v/>
      </c>
      <c r="J28" s="32">
        <f>IFERROR(VLOOKUP($A28,subQ,MATCH(J$1,SUBQH,0),0),"")</f>
        <v/>
      </c>
      <c r="K28" s="32">
        <f>IFERROR(VLOOKUP($A28,subQ,MATCH(K$1,SUBQH,0),0),"")</f>
        <v/>
      </c>
      <c r="L28" s="32">
        <f>IFERROR(VLOOKUP($A28,subQ,MATCH(L$1,SUBQH,0),0),"")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48">
        <f>IFERROR(VLOOKUP($A32,subQ,MATCH(I$1,SUBQH,0),0),"")</f>
        <v/>
      </c>
      <c r="J32" s="39">
        <f>IFERROR(VLOOKUP($A32,subQ,MATCH(J$1,SUBQH,0),0),"")</f>
        <v/>
      </c>
      <c r="K32" s="39">
        <f>IFERROR(VLOOKUP($A32,subQ,MATCH(K$1,SUBQH,0),0),"")</f>
        <v/>
      </c>
      <c r="L32" s="39">
        <f>IFERROR(VLOOKUP($A32,subQ,MATCH(L$1,SUBQH,0),0),"")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46">
        <f>IFERROR(VLOOKUP($A36,subQ,MATCH(I$1,SUBQH,0),0),"")</f>
        <v/>
      </c>
      <c r="J36" s="33">
        <f>IFERROR(VLOOKUP($A36,subQ,MATCH(J$1,SUBQH,0),0),"")</f>
        <v/>
      </c>
      <c r="K36" s="33">
        <f>IFERROR(VLOOKUP($A36,subQ,MATCH(K$1,SUBQH,0),0),"")</f>
        <v/>
      </c>
      <c r="L36" s="33">
        <f>IFERROR(VLOOKUP($A36,subQ,MATCH(L$1,SUBQH,0),0),"")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F37" s="21">
        <f>IFERROR(F5/E5-1,"")</f>
        <v/>
      </c>
      <c r="G37" s="21">
        <f>IFERROR(G5/F5-1,"")</f>
        <v/>
      </c>
      <c r="H37" s="21">
        <f>IFERROR(H5/G5-1,"")</f>
        <v/>
      </c>
      <c r="I37" s="46">
        <f>IFERROR(I5/H5-1,"")</f>
        <v/>
      </c>
      <c r="J37" s="33">
        <f>IFERROR(J5/I5-1,"")</f>
        <v/>
      </c>
      <c r="K37" s="33">
        <f>IFERROR(K5/J5-1,"")</f>
        <v/>
      </c>
      <c r="L37" s="33">
        <f>IFERROR(L5/K5-1,"")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F38" s="21">
        <f>IFERROR(F9/E9-1,"")</f>
        <v/>
      </c>
      <c r="G38" s="21">
        <f>IFERROR(G9/F9-1,"")</f>
        <v/>
      </c>
      <c r="H38" s="21">
        <f>IFERROR(H9/G9-1,"")</f>
        <v/>
      </c>
      <c r="I38" s="46">
        <f>IFERROR(I9/H9-1,"")</f>
        <v/>
      </c>
      <c r="J38" s="33">
        <f>IFERROR(J9/I9-1,"")</f>
        <v/>
      </c>
      <c r="K38" s="33">
        <f>IFERROR(K9/J9-1,"")</f>
        <v/>
      </c>
      <c r="L38" s="33">
        <f>IFERROR(L9/K9-1,"")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F39" s="21">
        <f>IFERROR(F17/E17-1,"")</f>
        <v/>
      </c>
      <c r="G39" s="21">
        <f>IFERROR(G17/F17-1,"")</f>
        <v/>
      </c>
      <c r="H39" s="21">
        <f>IFERROR(H17/G17-1,"")</f>
        <v/>
      </c>
      <c r="I39" s="46">
        <f>IFERROR(I17/H17-1,"")</f>
        <v/>
      </c>
      <c r="J39" s="33">
        <f>IFERROR(J17/I17-1,"")</f>
        <v/>
      </c>
      <c r="K39" s="33">
        <f>IFERROR(K17/J17-1,"")</f>
        <v/>
      </c>
      <c r="L39" s="33">
        <f>IFERROR(L17/K17-1,"")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변수!D40</f>
        <v/>
      </c>
    </row>
    <row r="2">
      <c r="B2" s="1" t="inlineStr">
        <is>
          <t>기준일</t>
        </is>
      </c>
      <c r="C2">
        <f>변수!D41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IFERROR(E7*변수!D46+F7*(1-변수!D46),"")</f>
        <v/>
      </c>
    </row>
    <row r="15">
      <c r="C15" t="inlineStr">
        <is>
          <t>적정가치 @PER_lo</t>
        </is>
      </c>
      <c r="D15" s="27">
        <f>변수!D43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변수!D44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변수!D45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변수!D42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284.1</v>
      </c>
    </row>
    <row r="30">
      <c r="C30" s="2" t="inlineStr">
        <is>
          <t>bps_latest</t>
        </is>
      </c>
      <c r="D30" t="n">
        <v>27981.4</v>
      </c>
    </row>
    <row r="31">
      <c r="C31" s="2" t="inlineStr">
        <is>
          <t>per_now</t>
        </is>
      </c>
      <c r="D31" t="n">
        <v>224.57</v>
      </c>
    </row>
    <row r="32">
      <c r="C32" s="2" t="inlineStr">
        <is>
          <t>pbr_now</t>
        </is>
      </c>
      <c r="D32" t="n">
        <v>2.28</v>
      </c>
    </row>
    <row r="33">
      <c r="C33" s="2" t="inlineStr">
        <is>
          <t>roe_fwd</t>
        </is>
      </c>
      <c r="D33" t="n">
        <v>0.0102</v>
      </c>
    </row>
    <row r="34">
      <c r="C34" s="2" t="inlineStr">
        <is>
          <t>fair_pbr</t>
        </is>
      </c>
      <c r="D34" t="n">
        <v>0.11</v>
      </c>
    </row>
    <row r="35">
      <c r="C35" s="2" t="inlineStr">
        <is>
          <t>fair_value_pbr</t>
        </is>
      </c>
      <c r="D35" t="n">
        <v>3100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변수!D53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