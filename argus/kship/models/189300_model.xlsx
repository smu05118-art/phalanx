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BS연결!$C$5:$AO$96</definedName>
    <definedName name="BS별도H">BS별도!$C$1:$AO$1</definedName>
    <definedName name="BS별도">BS별도!$C$5:$AO$91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모델값 역산(implied): v / 매출액
매출액 × 판관비율 35.33%(최근 4분기 중위)</t>
      </text>
    </comment>
    <comment ref="AD22" authorId="0" shapeId="0">
      <text>
        <t>모델값 역산(implied): v / 매출액
매출액 × 판관비율 35.33%(최근 4분기 중위)</t>
      </text>
    </comment>
    <comment ref="AF22" authorId="0" shapeId="0">
      <text>
        <t>모델값 역산(implied): v / 매출액
매출액 × 판관비율 35.33%(최근 4분기 중위)</t>
      </text>
    </comment>
    <comment ref="AG22" authorId="0" shapeId="0">
      <text>
        <t>모델값 역산(implied): v / 매출액
매출액 × 판관비율 35.33%(최근 4분기 중위)</t>
      </text>
    </comment>
    <comment ref="AH22" authorId="0" shapeId="0">
      <text>
        <t>모델값 역산(implied): v / 매출액
매출액 × 판관비율 35.33%(최근 4분기 중위)</t>
      </text>
    </comment>
    <comment ref="AI22" authorId="0" shapeId="0">
      <text>
        <t>모델값 역산(implied): v / 매출액
매출액 × 판관비율 35.33%(최근 4분기 중위)</t>
      </text>
    </comment>
    <comment ref="AK22" authorId="0" shapeId="0">
      <text>
        <t>모델값 역산(implied): v / 매출액
매출액 × 판관비율 35.33%(최근 4분기 중위)</t>
      </text>
    </comment>
    <comment ref="AL22" authorId="0" shapeId="0">
      <text>
        <t>모델값 역산(implied): v / 매출액
매출액 × 판관비율 35.33%(최근 4분기 중위)</t>
      </text>
    </comment>
    <comment ref="AM22" authorId="0" shapeId="0">
      <text>
        <t>모델값 역산(implied): v / 매출액
매출액 × 판관비율 35.33%(최근 4분기 중위)</t>
      </text>
    </comment>
    <comment ref="AN22" authorId="0" shapeId="0">
      <text>
        <t>모델값 역산(implied): v / 매출액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v / 전년동기 − 1
최근 8분기 OPM 중위 1.6% 유지(클립 −20~40%)</t>
      </text>
    </comment>
    <comment ref="AD24" authorId="0" shapeId="0">
      <text>
        <t>모델값 역산(implied): v / 전년동기 − 1
최근 8분기 OPM 중위 1.6% 유지(클립 −20~40%)</t>
      </text>
    </comment>
    <comment ref="AF24" authorId="0" shapeId="0">
      <text>
        <t>모델값 역산(implied): v / 전년동기 − 1
최근 8분기 OPM 중위 1.6% 유지(클립 −20~40%)</t>
      </text>
    </comment>
    <comment ref="AG24" authorId="0" shapeId="0">
      <text>
        <t>모델값 역산(implied): v / 전년동기 − 1
최근 8분기 OPM 중위 1.6% 유지(클립 −20~40%)</t>
      </text>
    </comment>
    <comment ref="AH24" authorId="0" shapeId="0">
      <text>
        <t>모델값 역산(implied): v / 전년동기 − 1
최근 8분기 OPM 중위 1.6% 유지(클립 −20~40%)</t>
      </text>
    </comment>
    <comment ref="AI24" authorId="0" shapeId="0">
      <text>
        <t>모델값 역산(implied): v / 전년동기 − 1
최근 8분기 OPM 중위 1.6% 유지(클립 −20~40%)</t>
      </text>
    </comment>
    <comment ref="AK24" authorId="0" shapeId="0">
      <text>
        <t>모델값 역산(implied): v / 전년동기 − 1
최근 8분기 OPM 중위 1.6% 유지(클립 −20~40%)</t>
      </text>
    </comment>
    <comment ref="AL24" authorId="0" shapeId="0">
      <text>
        <t>모델값 역산(implied): v / 전년동기 − 1
최근 8분기 OPM 중위 1.6% 유지(클립 −20~40%)</t>
      </text>
    </comment>
    <comment ref="AM24" authorId="0" shapeId="0">
      <text>
        <t>모델값 역산(implied): v / 전년동기 − 1
최근 8분기 OPM 중위 1.6% 유지(클립 −20~40%)</t>
      </text>
    </comment>
    <comment ref="AN24" authorId="0" shapeId="0">
      <text>
        <t>모델값 역산(implied): v / 전년동기 − 1
최근 8분기 OPM 중위 1.6% 유지(클립 −20~40%)</t>
      </text>
    </comment>
    <comment ref="AC25" authorId="0" shapeId="0">
      <text>
        <t>모델값 역산(implied): 모델 v 그대로
이자손익 = 이자발생자산 784억 × 1.38% − 총차입금 1435억 × 4.42% (연율, CF 실측) ÷ 4; 환·평가손익 0 가정</t>
      </text>
    </comment>
    <comment ref="AD25" authorId="0" shapeId="0">
      <text>
        <t>모델값 역산(implied): 모델 v 그대로
이자손익 = 이자발생자산 789억 × 1.38% − 총차입금 1435억 × 4.42% (연율, CF 실측) ÷ 4; 환·평가손익 0 가정</t>
      </text>
    </comment>
    <comment ref="AF25" authorId="0" shapeId="0">
      <text>
        <t>모델값 역산(implied): 모델 v 그대로
이자손익 = 이자발생자산 803억 × 1.38% − 총차입금 1435억 × 4.42% (연율, CF 실측) ÷ 4; 환·평가손익 0 가정</t>
      </text>
    </comment>
    <comment ref="AG25" authorId="0" shapeId="0">
      <text>
        <t>모델값 역산(implied): 모델 v 그대로
이자손익 = 이자발생자산 805억 × 1.38% − 총차입금 1435억 × 4.42% (연율, CF 실측) ÷ 4; 환·평가손익 0 가정</t>
      </text>
    </comment>
    <comment ref="AH25" authorId="0" shapeId="0">
      <text>
        <t>모델값 역산(implied): 모델 v 그대로
이자손익 = 이자발생자산 793억 × 1.38% − 총차입금 1435억 × 4.42% (연율, CF 실측) ÷ 4; 환·평가손익 0 가정</t>
      </text>
    </comment>
    <comment ref="AI25" authorId="0" shapeId="0">
      <text>
        <t>모델값 역산(implied): 모델 v 그대로
이자손익 = 이자발생자산 800억 × 1.38% − 총차입금 1435억 × 4.42% (연율, CF 실측) ÷ 4; 환·평가손익 0 가정</t>
      </text>
    </comment>
    <comment ref="AK25" authorId="0" shapeId="0">
      <text>
        <t>모델값 역산(implied): 모델 v 그대로
이자손익 = 이자발생자산 820억 × 1.38% − 총차입금 1435억 × 4.42% (연율, CF 실측) ÷ 4; 환·평가손익 0 가정</t>
      </text>
    </comment>
    <comment ref="AL25" authorId="0" shapeId="0">
      <text>
        <t>모델값 역산(implied): 모델 v 그대로
이자손익 = 이자발생자산 824억 × 1.38% − 총차입금 1435억 × 4.42% (연율, CF 실측) ÷ 4; 환·평가손익 0 가정</t>
      </text>
    </comment>
    <comment ref="AM25" authorId="0" shapeId="0">
      <text>
        <t>모델값 역산(implied): 모델 v 그대로
이자손익 = 이자발생자산 817억 × 1.38% − 총차입금 1435억 × 4.42% (연율, CF 실측) ÷ 4; 환·평가손익 0 가정</t>
      </text>
    </comment>
    <comment ref="AN25" authorId="0" shapeId="0">
      <text>
        <t>모델값 역산(implied): 모델 v 그대로
이자손익 = 이자발생자산 827억 × 1.38% − 총차입금 1435억 × 4.42%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9.2%(최근 12분기 유효세율 9.2% → 5~27% 클립)</t>
      </text>
    </comment>
    <comment ref="AD27" authorId="0" shapeId="0">
      <text>
        <t>모델값 역산(implied): v / 세전이익
max(세전, 0) × 세율 9.2%(최근 12분기 유효세율 9.2% → 5~27% 클립)</t>
      </text>
    </comment>
    <comment ref="AF27" authorId="0" shapeId="0">
      <text>
        <t>모델값 역산(implied): v / 세전이익
max(세전, 0) × 세율 9.2%(최근 12분기 유효세율 9.2% → 5~27% 클립)</t>
      </text>
    </comment>
    <comment ref="AG27" authorId="0" shapeId="0">
      <text>
        <t>모델값 역산(implied): v / 세전이익
max(세전, 0) × 세율 9.2%(최근 12분기 유효세율 9.2% → 5~27% 클립)</t>
      </text>
    </comment>
    <comment ref="AH27" authorId="0" shapeId="0">
      <text>
        <t>모델값 역산(implied): v / 세전이익
max(세전, 0) × 세율 9.2%(최근 12분기 유효세율 9.2% → 5~27% 클립)</t>
      </text>
    </comment>
    <comment ref="AI27" authorId="0" shapeId="0">
      <text>
        <t>모델값 역산(implied): v / 세전이익
max(세전, 0) × 세율 9.2%(최근 12분기 유효세율 9.2% → 5~27% 클립)</t>
      </text>
    </comment>
    <comment ref="AK27" authorId="0" shapeId="0">
      <text>
        <t>모델값 역산(implied): v / 세전이익
max(세전, 0) × 세율 9.2%(최근 12분기 유효세율 9.2% → 5~27% 클립)</t>
      </text>
    </comment>
    <comment ref="AL27" authorId="0" shapeId="0">
      <text>
        <t>모델값 역산(implied): v / 세전이익
max(세전, 0) × 세율 9.2%(최근 12분기 유효세율 9.2% → 5~27% 클립)</t>
      </text>
    </comment>
    <comment ref="AM27" authorId="0" shapeId="0">
      <text>
        <t>모델값 역산(implied): v / 세전이익
max(세전, 0) × 세율 9.2%(최근 12분기 유효세율 9.2% → 5~27% 클립)</t>
      </text>
    </comment>
    <comment ref="AN27" authorId="0" shapeId="0">
      <text>
        <t>모델값 역산(implied): v / 세전이익
max(세전, 0) × 세율 9.2%(최근 12분기 유효세율 9.2%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200원 유지</t>
      </text>
    </comment>
    <comment ref="AI39" authorId="0" shapeId="0">
      <text>
        <t>모델값 역산(implied): v / 전년동기 − 1
직전 결산 DPS 200원 유지</t>
      </text>
    </comment>
    <comment ref="AN39" authorId="0" shapeId="0">
      <text>
        <t>모델값 역산(implied): v / 전년동기 − 1
직전 결산 DPS 200원 유지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1.6% 유지(클립 −20~40%)
[yoy]</t>
      </text>
    </comment>
    <comment ref="AD10" authorId="0" shapeId="0">
      <text>
        <t>추정: 최근 8분기 OPM 중위 1.6% 유지(클립 −20~40%)
[yoy]</t>
      </text>
    </comment>
    <comment ref="AF10" authorId="0" shapeId="0">
      <text>
        <t>추정: 최근 8분기 OPM 중위 1.6% 유지(클립 −20~40%)
[yoy]</t>
      </text>
    </comment>
    <comment ref="AG10" authorId="0" shapeId="0">
      <text>
        <t>추정: 최근 8분기 OPM 중위 1.6% 유지(클립 −20~40%)
[yoy]</t>
      </text>
    </comment>
    <comment ref="AH10" authorId="0" shapeId="0">
      <text>
        <t>추정: 최근 8분기 OPM 중위 1.6% 유지(클립 −20~40%)
[yoy]</t>
      </text>
    </comment>
    <comment ref="AI10" authorId="0" shapeId="0">
      <text>
        <t>추정: 최근 8분기 OPM 중위 1.6% 유지(클립 −20~40%)
[yoy]</t>
      </text>
    </comment>
    <comment ref="AK10" authorId="0" shapeId="0">
      <text>
        <t>추정: 최근 8분기 OPM 중위 1.6% 유지(클립 −20~40%)
[yoy]</t>
      </text>
    </comment>
    <comment ref="AL10" authorId="0" shapeId="0">
      <text>
        <t>추정: 최근 8분기 OPM 중위 1.6% 유지(클립 −20~40%)
[yoy]</t>
      </text>
    </comment>
    <comment ref="AM10" authorId="0" shapeId="0">
      <text>
        <t>추정: 최근 8분기 OPM 중위 1.6% 유지(클립 −20~40%)
[yoy]</t>
      </text>
    </comment>
    <comment ref="AN10" authorId="0" shapeId="0">
      <text>
        <t>추정: 최근 8분기 OPM 중위 1.6% 유지(클립 −20~40%)
[yoy]</t>
      </text>
    </comment>
    <comment ref="AC11" authorId="0" shapeId="0">
      <text>
        <t>추정: 이자손익 = 이자발생자산 784억 × 1.38% − 총차입금 1435억 × 4.42% (연율, CF 실측) ÷ 4; 환·평가손익 0 가정
[abs]</t>
      </text>
    </comment>
    <comment ref="AD11" authorId="0" shapeId="0">
      <text>
        <t>추정: 이자손익 = 이자발생자산 789억 × 1.38% − 총차입금 1435억 × 4.42% (연율, CF 실측) ÷ 4; 환·평가손익 0 가정
[abs]</t>
      </text>
    </comment>
    <comment ref="AF11" authorId="0" shapeId="0">
      <text>
        <t>추정: 이자손익 = 이자발생자산 803억 × 1.38% − 총차입금 1435억 × 4.42% (연율, CF 실측) ÷ 4; 환·평가손익 0 가정
[abs]</t>
      </text>
    </comment>
    <comment ref="AG11" authorId="0" shapeId="0">
      <text>
        <t>추정: 이자손익 = 이자발생자산 805억 × 1.38% − 총차입금 1435억 × 4.42% (연율, CF 실측) ÷ 4; 환·평가손익 0 가정
[abs]</t>
      </text>
    </comment>
    <comment ref="AH11" authorId="0" shapeId="0">
      <text>
        <t>추정: 이자손익 = 이자발생자산 793억 × 1.38% − 총차입금 1435억 × 4.42% (연율, CF 실측) ÷ 4; 환·평가손익 0 가정
[abs]</t>
      </text>
    </comment>
    <comment ref="AI11" authorId="0" shapeId="0">
      <text>
        <t>추정: 이자손익 = 이자발생자산 800억 × 1.38% − 총차입금 1435억 × 4.42% (연율, CF 실측) ÷ 4; 환·평가손익 0 가정
[abs]</t>
      </text>
    </comment>
    <comment ref="AK11" authorId="0" shapeId="0">
      <text>
        <t>추정: 이자손익 = 이자발생자산 820억 × 1.38% − 총차입금 1435억 × 4.42% (연율, CF 실측) ÷ 4; 환·평가손익 0 가정
[abs]</t>
      </text>
    </comment>
    <comment ref="AL11" authorId="0" shapeId="0">
      <text>
        <t>추정: 이자손익 = 이자발생자산 824억 × 1.38% − 총차입금 1435억 × 4.42% (연율, CF 실측) ÷ 4; 환·평가손익 0 가정
[abs]</t>
      </text>
    </comment>
    <comment ref="AM11" authorId="0" shapeId="0">
      <text>
        <t>추정: 이자손익 = 이자발생자산 817억 × 1.38% − 총차입금 1435억 × 4.42% (연율, CF 실측) ÷ 4; 환·평가손익 0 가정
[abs]</t>
      </text>
    </comment>
    <comment ref="AN11" authorId="0" shapeId="0">
      <text>
        <t>추정: 이자손익 = 이자발생자산 827억 × 1.38% − 총차입금 1435억 × 4.42%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9.2%(최근 12분기 유효세율 9.2% → 5~27% 클립)
[ratio]</t>
      </text>
    </comment>
    <comment ref="AD14" authorId="0" shapeId="0">
      <text>
        <t>추정: max(세전, 0) × 세율 9.2%(최근 12분기 유효세율 9.2% → 5~27% 클립)
[ratio]</t>
      </text>
    </comment>
    <comment ref="AF14" authorId="0" shapeId="0">
      <text>
        <t>추정: max(세전, 0) × 세율 9.2%(최근 12분기 유효세율 9.2% → 5~27% 클립)
[ratio]</t>
      </text>
    </comment>
    <comment ref="AG14" authorId="0" shapeId="0">
      <text>
        <t>추정: max(세전, 0) × 세율 9.2%(최근 12분기 유효세율 9.2% → 5~27% 클립)
[ratio]</t>
      </text>
    </comment>
    <comment ref="AH14" authorId="0" shapeId="0">
      <text>
        <t>추정: max(세전, 0) × 세율 9.2%(최근 12분기 유효세율 9.2% → 5~27% 클립)
[ratio]</t>
      </text>
    </comment>
    <comment ref="AI14" authorId="0" shapeId="0">
      <text>
        <t>추정: max(세전, 0) × 세율 9.2%(최근 12분기 유효세율 9.2% → 5~27% 클립)
[ratio]</t>
      </text>
    </comment>
    <comment ref="AK14" authorId="0" shapeId="0">
      <text>
        <t>추정: max(세전, 0) × 세율 9.2%(최근 12분기 유효세율 9.2% → 5~27% 클립)
[ratio]</t>
      </text>
    </comment>
    <comment ref="AL14" authorId="0" shapeId="0">
      <text>
        <t>추정: max(세전, 0) × 세율 9.2%(최근 12분기 유효세율 9.2% → 5~27% 클립)
[ratio]</t>
      </text>
    </comment>
    <comment ref="AM14" authorId="0" shapeId="0">
      <text>
        <t>추정: max(세전, 0) × 세율 9.2%(최근 12분기 유효세율 9.2% → 5~27% 클립)
[ratio]</t>
      </text>
    </comment>
    <comment ref="AN14" authorId="0" shapeId="0">
      <text>
        <t>추정: max(세전, 0) × 세율 9.2%(최근 12분기 유효세율 9.2%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200원 유지
[yoy]</t>
      </text>
    </comment>
    <comment ref="AI30" authorId="0" shapeId="0">
      <text>
        <t>추정: 직전 결산 DPS 200원 유지
[yoy]</t>
      </text>
    </comment>
    <comment ref="AN30" authorId="0" shapeId="0">
      <text>
        <t>추정: 직전 결산 DPS 200원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추정(가정 셀 참조 불가 — 기준값 없음, 모델값 직접): 현재 종가 ÷ TTM EPS(추정 포함)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assets/models/189300.json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89065</v>
      </c>
      <c r="F15" s="9" t="n"/>
      <c r="G15" s="18" t="n">
        <v>85774</v>
      </c>
      <c r="H15" s="18" t="n">
        <v>57989</v>
      </c>
      <c r="I15" s="18" t="n">
        <v>53052</v>
      </c>
      <c r="J15" s="18" t="n">
        <v>65831</v>
      </c>
      <c r="K15" s="9" t="n"/>
      <c r="L15" s="18" t="n">
        <v>90614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35000</v>
      </c>
      <c r="W15" s="18" t="n">
        <v>49950</v>
      </c>
      <c r="X15" s="18" t="n">
        <v>47100</v>
      </c>
      <c r="Y15" s="18" t="n">
        <v>59600</v>
      </c>
      <c r="Z15" s="9" t="n"/>
      <c r="AA15" s="18" t="n">
        <v>109500</v>
      </c>
      <c r="AB15" s="19" t="n">
        <v>77600</v>
      </c>
      <c r="AC15" s="20" t="n">
        <v>66600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90033</v>
      </c>
      <c r="F16" s="9" t="n"/>
      <c r="G16" s="18" t="n">
        <v>92744</v>
      </c>
      <c r="H16" s="18" t="n">
        <v>87903</v>
      </c>
      <c r="I16" s="18" t="n">
        <v>72995</v>
      </c>
      <c r="J16" s="18" t="n">
        <v>74641</v>
      </c>
      <c r="K16" s="9" t="n"/>
      <c r="L16" s="18" t="n">
        <v>96326</v>
      </c>
      <c r="M16" s="18" t="n">
        <v>92744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55400</v>
      </c>
      <c r="X16" s="18" t="n">
        <v>54900</v>
      </c>
      <c r="Y16" s="18" t="n">
        <v>67200</v>
      </c>
      <c r="Z16" s="9" t="n"/>
      <c r="AA16" s="18" t="n">
        <v>149400</v>
      </c>
      <c r="AB16" s="19" t="n">
        <v>180200</v>
      </c>
      <c r="AC16" s="20" t="n">
        <v>81500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64282</v>
      </c>
      <c r="F17" s="9" t="n"/>
      <c r="G17" s="18" t="n">
        <v>69994</v>
      </c>
      <c r="H17" s="18" t="n">
        <v>53246</v>
      </c>
      <c r="I17" s="18" t="n">
        <v>51309</v>
      </c>
      <c r="J17" s="18" t="n">
        <v>53730</v>
      </c>
      <c r="K17" s="9" t="n"/>
      <c r="L17" s="18" t="n">
        <v>59635</v>
      </c>
      <c r="M17" s="18" t="n">
        <v>63411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48050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74711.2</v>
      </c>
      <c r="F18" s="9" t="n"/>
      <c r="G18" s="18" t="n">
        <v>79784.60000000001</v>
      </c>
      <c r="H18" s="18" t="n">
        <v>76684.39999999999</v>
      </c>
      <c r="I18" s="18" t="n">
        <v>64301.9</v>
      </c>
      <c r="J18" s="18" t="n">
        <v>64057</v>
      </c>
      <c r="K18" s="9" t="n"/>
      <c r="L18" s="18" t="n">
        <v>74959.10000000001</v>
      </c>
      <c r="M18" s="18" t="n">
        <v>73943.60000000001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38937.9</v>
      </c>
      <c r="W18" s="18" t="n">
        <v>42123.3</v>
      </c>
      <c r="X18" s="18" t="n">
        <v>48491.5</v>
      </c>
      <c r="Y18" s="18" t="n">
        <v>46895.8</v>
      </c>
      <c r="Z18" s="9" t="n"/>
      <c r="AA18" s="18" t="n">
        <v>105305.1</v>
      </c>
      <c r="AB18" s="19" t="n">
        <v>124521.3</v>
      </c>
      <c r="AC18" s="20" t="n">
        <v>66541.10000000001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</v>
      </c>
      <c r="AD21" s="24" t="n">
        <v>0.411925</v>
      </c>
      <c r="AE21" s="25" t="n"/>
      <c r="AF21" s="24" t="n">
        <v>0.411928</v>
      </c>
      <c r="AG21" s="24" t="n">
        <v>0.411922</v>
      </c>
      <c r="AH21" s="24" t="n">
        <v>0.205956</v>
      </c>
      <c r="AI21" s="24" t="n">
        <v>0.20596</v>
      </c>
      <c r="AJ21" s="25" t="n"/>
      <c r="AK21" s="24" t="n">
        <v>0.205953</v>
      </c>
      <c r="AL21" s="24" t="n">
        <v>0.205959</v>
      </c>
      <c r="AM21" s="24" t="n">
        <v>0.102985</v>
      </c>
      <c r="AN21" s="24" t="n">
        <v>0.102979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0.353253</v>
      </c>
      <c r="AD22" s="24" t="n">
        <v>0.353251</v>
      </c>
      <c r="AE22" s="25">
        <f>IFERROR(subQ!AE8/subQ!AE5,"")</f>
        <v/>
      </c>
      <c r="AF22" s="24" t="n">
        <v>0.353253</v>
      </c>
      <c r="AG22" s="24" t="n">
        <v>0.353253</v>
      </c>
      <c r="AH22" s="24" t="n">
        <v>0.353253</v>
      </c>
      <c r="AI22" s="24" t="n">
        <v>0.353254</v>
      </c>
      <c r="AJ22" s="25">
        <f>IFERROR(subQ!AJ8/subQ!AJ5,"")</f>
        <v/>
      </c>
      <c r="AK22" s="24" t="n">
        <v>0.353257</v>
      </c>
      <c r="AL22" s="24" t="n">
        <v>0.353255</v>
      </c>
      <c r="AM22" s="24" t="n">
        <v>0.353255</v>
      </c>
      <c r="AN22" s="24" t="n">
        <v>0.353253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0.01638</v>
      </c>
      <c r="AD23" s="24" t="n">
        <v>0.01638</v>
      </c>
      <c r="AE23" s="25">
        <f>IFERROR(subQ!AE9/subQ!AE5,"")</f>
        <v/>
      </c>
      <c r="AF23" s="24" t="n">
        <v>0.016381</v>
      </c>
      <c r="AG23" s="24" t="n">
        <v>0.01638</v>
      </c>
      <c r="AH23" s="24" t="n">
        <v>0.016381</v>
      </c>
      <c r="AI23" s="24" t="n">
        <v>0.016379</v>
      </c>
      <c r="AJ23" s="25">
        <f>IFERROR(subQ!AJ9/subQ!AJ5,"")</f>
        <v/>
      </c>
      <c r="AK23" s="24" t="n">
        <v>0.016378</v>
      </c>
      <c r="AL23" s="24" t="n">
        <v>0.016378</v>
      </c>
      <c r="AM23" s="24" t="n">
        <v>0.016382</v>
      </c>
      <c r="AN23" s="24" t="n">
        <v>0.016379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-0.465798</v>
      </c>
      <c r="AD24" s="24" t="n">
        <v>-0.897307</v>
      </c>
      <c r="AE24" s="25" t="n"/>
      <c r="AF24" s="24" t="n">
        <v>0.782609</v>
      </c>
      <c r="AG24" s="24" t="n">
        <v>-0.776567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-13.15</v>
      </c>
      <c r="AD25" s="29" t="n">
        <v>-13.14</v>
      </c>
      <c r="AE25" s="30">
        <f>subQ!AE11</f>
        <v/>
      </c>
      <c r="AF25" s="29" t="n">
        <v>-13.09</v>
      </c>
      <c r="AG25" s="29" t="n">
        <v>-13.08</v>
      </c>
      <c r="AH25" s="29" t="n">
        <v>-13.12</v>
      </c>
      <c r="AI25" s="29" t="n">
        <v>-13.1</v>
      </c>
      <c r="AJ25" s="30">
        <f>subQ!AJ11</f>
        <v/>
      </c>
      <c r="AK25" s="29" t="n">
        <v>-13.03</v>
      </c>
      <c r="AL25" s="29" t="n">
        <v>-13.02</v>
      </c>
      <c r="AM25" s="29" t="n">
        <v>-13.04</v>
      </c>
      <c r="AN25" s="29" t="n">
        <v>-13.01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0.091295</v>
      </c>
      <c r="AD27" s="24" t="n">
        <v>0.092249</v>
      </c>
      <c r="AE27" s="25">
        <f>IFERROR(subQ!AE14/subQ!AE13,"")</f>
        <v/>
      </c>
      <c r="AF27" s="24" t="n">
        <v>0.09042600000000001</v>
      </c>
      <c r="AG27" s="24" t="n">
        <v>0.092455</v>
      </c>
      <c r="AH27" s="24" t="n">
        <v>0.092747</v>
      </c>
      <c r="AI27" s="24" t="n">
        <v>0.09225800000000001</v>
      </c>
      <c r="AJ27" s="25">
        <f>IFERROR(subQ!AJ14/subQ!AJ13,"")</f>
        <v/>
      </c>
      <c r="AK27" s="24" t="n">
        <v>0.09163300000000001</v>
      </c>
      <c r="AL27" s="24" t="n">
        <v>0.09213300000000001</v>
      </c>
      <c r="AM27" s="24" t="n">
        <v>0.092351</v>
      </c>
      <c r="AN27" s="24" t="n">
        <v>0.09235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-1e-06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31" t="n"/>
      <c r="AD30" s="31" t="n"/>
      <c r="AE30" s="30" t="n"/>
      <c r="AF30" s="31" t="n"/>
      <c r="AG30" s="31" t="n"/>
      <c r="AH30" s="31" t="n"/>
      <c r="AI30" s="31" t="n"/>
      <c r="AJ30" s="30" t="n"/>
      <c r="AK30" s="31" t="n"/>
      <c r="AL30" s="31" t="n"/>
      <c r="AM30" s="31" t="n"/>
      <c r="AN30" s="31" t="n"/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0.0005</v>
      </c>
      <c r="AD31" s="29" t="n">
        <v>-0.01</v>
      </c>
      <c r="AE31" s="30" t="n"/>
      <c r="AF31" s="29" t="n">
        <v>0.01</v>
      </c>
      <c r="AG31" s="29" t="n">
        <v>20.44</v>
      </c>
      <c r="AH31" s="29" t="n">
        <v>0</v>
      </c>
      <c r="AI31" s="29" t="n">
        <v>0</v>
      </c>
      <c r="AJ31" s="30" t="n"/>
      <c r="AK31" s="29" t="n">
        <v>0</v>
      </c>
      <c r="AL31" s="29" t="n">
        <v>20.45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3e-06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-0.003627</v>
      </c>
      <c r="AD33" s="24" t="n">
        <v>-0.012072</v>
      </c>
      <c r="AE33" s="25" t="n"/>
      <c r="AF33" s="24" t="n">
        <v>-0.001475</v>
      </c>
      <c r="AG33" s="24" t="n">
        <v>0.010277</v>
      </c>
      <c r="AH33" s="24" t="n">
        <v>-0.006531</v>
      </c>
      <c r="AI33" s="24" t="n">
        <v>-0.016848</v>
      </c>
      <c r="AJ33" s="25" t="n"/>
      <c r="AK33" s="24" t="n">
        <v>-0.003991</v>
      </c>
      <c r="AL33" s="24" t="n">
        <v>0.006713</v>
      </c>
      <c r="AM33" s="24" t="n">
        <v>-0.008493000000000001</v>
      </c>
      <c r="AN33" s="24" t="n">
        <v>-0.020168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0.005454</v>
      </c>
      <c r="AD34" s="24" t="n">
        <v>0.017967</v>
      </c>
      <c r="AE34" s="25" t="n"/>
      <c r="AF34" s="24" t="n">
        <v>0.002117</v>
      </c>
      <c r="AG34" s="24" t="n">
        <v>-0.014791</v>
      </c>
      <c r="AH34" s="24" t="n">
        <v>0.009639</v>
      </c>
      <c r="AI34" s="24" t="n">
        <v>0.024466</v>
      </c>
      <c r="AJ34" s="25" t="n"/>
      <c r="AK34" s="24" t="n">
        <v>0.005562</v>
      </c>
      <c r="AL34" s="24" t="n">
        <v>-0.009254999999999999</v>
      </c>
      <c r="AM34" s="24" t="n">
        <v>0.0119</v>
      </c>
      <c r="AN34" s="24" t="n">
        <v>0.027719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2" t="n"/>
      <c r="AD39" s="24" t="n">
        <v>0</v>
      </c>
      <c r="AE39" s="25" t="n"/>
      <c r="AF39" s="32" t="n"/>
      <c r="AG39" s="32" t="n"/>
      <c r="AH39" s="32" t="n"/>
      <c r="AI39" s="24" t="n">
        <v>0</v>
      </c>
      <c r="AJ39" s="25" t="n"/>
      <c r="AK39" s="32" t="n"/>
      <c r="AL39" s="32" t="n"/>
      <c r="AM39" s="32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2" t="n"/>
      <c r="AD40" s="24" t="n">
        <v>-0.453717</v>
      </c>
      <c r="AE40" s="25" t="n"/>
      <c r="AF40" s="24" t="n">
        <v>2.310705</v>
      </c>
      <c r="AG40" s="24" t="n">
        <v>7.245947</v>
      </c>
      <c r="AH40" s="24" t="n">
        <v>11.7896</v>
      </c>
      <c r="AI40" s="24" t="n">
        <v>4.357916</v>
      </c>
      <c r="AJ40" s="25" t="n"/>
      <c r="AK40" s="24" t="n">
        <v>0.677149</v>
      </c>
      <c r="AL40" s="24" t="n">
        <v>-0.356494</v>
      </c>
      <c r="AM40" s="24" t="n">
        <v>-0.313362</v>
      </c>
      <c r="AN40" s="24" t="n">
        <v>-0.250819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0.183168</v>
      </c>
      <c r="AD41" s="24" t="n">
        <v>0.322222</v>
      </c>
      <c r="AE41" s="25" t="n"/>
      <c r="AF41" s="24" t="n">
        <v>-0.381818</v>
      </c>
      <c r="AG41" s="24" t="n">
        <v>-0.462921</v>
      </c>
      <c r="AH41" s="24" t="n">
        <v>-0.004184</v>
      </c>
      <c r="AI41" s="24" t="n">
        <v>-0.004202</v>
      </c>
      <c r="AJ41" s="25" t="n"/>
      <c r="AK41" s="24" t="n">
        <v>-0.008403000000000001</v>
      </c>
      <c r="AL41" s="24" t="n">
        <v>-0.008368</v>
      </c>
      <c r="AM41" s="24" t="n">
        <v>-0.008403000000000001</v>
      </c>
      <c r="AN41" s="24" t="n">
        <v>-0.012658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0.01638</v>
      </c>
      <c r="AD43" s="24" t="n">
        <v>0.01638</v>
      </c>
      <c r="AE43" s="25">
        <f>IFERROR(subQ!AE34/subQ!AE33,"")</f>
        <v/>
      </c>
      <c r="AF43" s="24" t="n">
        <v>0.016381</v>
      </c>
      <c r="AG43" s="24" t="n">
        <v>0.01638</v>
      </c>
      <c r="AH43" s="24" t="n">
        <v>0.016381</v>
      </c>
      <c r="AI43" s="24" t="n">
        <v>0.016379</v>
      </c>
      <c r="AJ43" s="25">
        <f>IFERROR(subQ!AJ34/subQ!AJ33,"")</f>
        <v/>
      </c>
      <c r="AK43" s="24" t="n">
        <v>0.016378</v>
      </c>
      <c r="AL43" s="24" t="n">
        <v>0.016378</v>
      </c>
      <c r="AM43" s="24" t="n">
        <v>0.016382</v>
      </c>
      <c r="AN43" s="24" t="n">
        <v>0.016379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3" t="n">
        <v>67100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4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48.9배가 3~40 밖(턴어라운드 왜곡))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0.0922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0.3533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0.2739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5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5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5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5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5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5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5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5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5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5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5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5" t="n">
        <v>5896.06</v>
      </c>
      <c r="M7" s="18" t="n">
        <v>10834.26</v>
      </c>
      <c r="N7" s="18" t="n">
        <v>65030.04</v>
      </c>
      <c r="O7" s="18" t="n">
        <v>66353.66</v>
      </c>
      <c r="P7" s="35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5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5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5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5" t="n">
        <v>5896.06</v>
      </c>
      <c r="M8" s="18" t="n">
        <v>10834.26</v>
      </c>
      <c r="N8" s="18" t="n">
        <v>65030.04</v>
      </c>
      <c r="O8" s="18" t="n">
        <v>66353.66</v>
      </c>
      <c r="P8" s="35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5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5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5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5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5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5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5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5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5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5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5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5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5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5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5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5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5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5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5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5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5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5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5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5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5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5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5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5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5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5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5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5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5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5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5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5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5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5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5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5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5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5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5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5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5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5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5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5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5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5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5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5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5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5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5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5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5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5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5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5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5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5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5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5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5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5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5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5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5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5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5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5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5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5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5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5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5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50619.66</v>
      </c>
      <c r="P25" s="35" t="n">
        <v>50619.66</v>
      </c>
      <c r="Q25" s="18" t="n">
        <v>50238.18</v>
      </c>
      <c r="R25" s="18" t="n">
        <v>59391.92</v>
      </c>
      <c r="U25" s="9" t="n"/>
      <c r="W25" s="18" t="n">
        <v>72162.81</v>
      </c>
      <c r="X25" s="18" t="n">
        <v>64984.25</v>
      </c>
      <c r="Y25" s="18" t="n">
        <v>64253.74</v>
      </c>
      <c r="Z25" s="35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5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5" t="n">
        <v>4514.07</v>
      </c>
      <c r="L26" s="18" t="n">
        <v>8035.01</v>
      </c>
      <c r="M26" s="18" t="n">
        <v>9714.440000000001</v>
      </c>
      <c r="P26" s="9" t="n"/>
      <c r="U26" s="9" t="n"/>
      <c r="W26" s="18" t="n">
        <v>11602.16</v>
      </c>
      <c r="X26" s="18" t="n">
        <v>9038.82</v>
      </c>
      <c r="Y26" s="18" t="n">
        <v>11568.55</v>
      </c>
      <c r="Z26" s="35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5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5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5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5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5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5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5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5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5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5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5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5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5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5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5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17767.02</v>
      </c>
      <c r="F30" s="35" t="n">
        <v>17767.02</v>
      </c>
      <c r="G30" s="18" t="n">
        <v>23483.96</v>
      </c>
      <c r="H30" s="18" t="n">
        <v>27171.42</v>
      </c>
      <c r="I30" s="18" t="n">
        <v>34667.06</v>
      </c>
      <c r="J30" s="18" t="n">
        <v>37779.52</v>
      </c>
      <c r="K30" s="35" t="n">
        <v>37779.52</v>
      </c>
      <c r="L30" s="18" t="n">
        <v>44160.15</v>
      </c>
      <c r="M30" s="18" t="n">
        <v>50186.3</v>
      </c>
      <c r="N30" s="18" t="n">
        <v>47773.76</v>
      </c>
      <c r="O30" s="18" t="n">
        <v>48511.44</v>
      </c>
      <c r="P30" s="35" t="n">
        <v>48511.44</v>
      </c>
      <c r="Q30" s="18" t="n">
        <v>49789.53</v>
      </c>
      <c r="R30" s="18" t="n">
        <v>53823.89</v>
      </c>
      <c r="U30" s="9" t="n"/>
      <c r="W30" s="18" t="n">
        <v>42110</v>
      </c>
      <c r="Y30" s="18" t="n">
        <v>40518.51</v>
      </c>
      <c r="Z30" s="35" t="n">
        <v>40518.51</v>
      </c>
      <c r="AA30" s="18" t="n">
        <v>36087.05</v>
      </c>
      <c r="AB30" s="19" t="n">
        <v>34569.83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11041.97</v>
      </c>
      <c r="F31" s="35" t="n">
        <v>11041.97</v>
      </c>
      <c r="G31" s="18" t="n">
        <v>10475.15</v>
      </c>
      <c r="H31" s="18" t="n">
        <v>10580.99</v>
      </c>
      <c r="I31" s="18" t="n">
        <v>11133.36</v>
      </c>
      <c r="J31" s="18" t="n">
        <v>11559.3</v>
      </c>
      <c r="K31" s="35" t="n">
        <v>11559.3</v>
      </c>
      <c r="L31" s="18" t="n">
        <v>11578.81</v>
      </c>
      <c r="M31" s="18" t="n">
        <v>11849.68</v>
      </c>
      <c r="N31" s="18" t="n">
        <v>12356.86</v>
      </c>
      <c r="O31" s="18" t="n">
        <v>13019.73</v>
      </c>
      <c r="P31" s="35" t="n">
        <v>13019.73</v>
      </c>
      <c r="Q31" s="18" t="n">
        <v>13236.29</v>
      </c>
      <c r="R31" s="18" t="n">
        <v>15869.6</v>
      </c>
      <c r="S31" s="18" t="n">
        <v>15891.02</v>
      </c>
      <c r="T31" s="18" t="n">
        <v>12980.94</v>
      </c>
      <c r="U31" s="35" t="n">
        <v>12980.94</v>
      </c>
      <c r="V31" s="18" t="n">
        <v>13618.21</v>
      </c>
      <c r="W31" s="18" t="n">
        <v>14199.84</v>
      </c>
      <c r="X31" s="18" t="n">
        <v>14951.28</v>
      </c>
      <c r="Y31" s="18" t="n">
        <v>7768.96</v>
      </c>
      <c r="Z31" s="35" t="n">
        <v>7768.96</v>
      </c>
      <c r="AA31" s="18" t="n">
        <v>8580.200000000001</v>
      </c>
      <c r="AB31" s="19" t="n">
        <v>9079.120000000001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1424.57</v>
      </c>
      <c r="F32" s="35" t="n">
        <v>1424.57</v>
      </c>
      <c r="G32" s="18" t="n">
        <v>1605.16</v>
      </c>
      <c r="H32" s="18" t="n">
        <v>1835.29</v>
      </c>
      <c r="I32" s="18" t="n">
        <v>2084.41</v>
      </c>
      <c r="J32" s="18" t="n">
        <v>2334.34</v>
      </c>
      <c r="K32" s="35" t="n">
        <v>2334.34</v>
      </c>
      <c r="L32" s="18" t="n">
        <v>2794</v>
      </c>
      <c r="M32" s="18" t="n">
        <v>3444.46</v>
      </c>
      <c r="N32" s="18" t="n">
        <v>4063.12</v>
      </c>
      <c r="O32" s="18" t="n">
        <v>3649.94</v>
      </c>
      <c r="P32" s="35" t="n">
        <v>3649.94</v>
      </c>
      <c r="Q32" s="18" t="n">
        <v>3605.91</v>
      </c>
      <c r="R32" s="18" t="n">
        <v>4059.18</v>
      </c>
      <c r="S32" s="18" t="n">
        <v>4291.13</v>
      </c>
      <c r="T32" s="18" t="n">
        <v>4079.84</v>
      </c>
      <c r="U32" s="35" t="n">
        <v>4079.84</v>
      </c>
      <c r="V32" s="18" t="n">
        <v>3762.23</v>
      </c>
      <c r="W32" s="18" t="n">
        <v>3950.48</v>
      </c>
      <c r="X32" s="18" t="n">
        <v>3759.1</v>
      </c>
      <c r="Y32" s="18" t="n">
        <v>3922.65</v>
      </c>
      <c r="Z32" s="35" t="n">
        <v>3922.65</v>
      </c>
      <c r="AA32" s="18" t="n">
        <v>4412.85</v>
      </c>
      <c r="AB32" s="19" t="n">
        <v>4462.21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99476.59</v>
      </c>
      <c r="F33" s="35" t="n">
        <v>99476.59</v>
      </c>
      <c r="G33" s="18" t="n">
        <v>119871.54</v>
      </c>
      <c r="H33" s="18" t="n">
        <v>130299.27</v>
      </c>
      <c r="I33" s="18" t="n">
        <v>160361.14</v>
      </c>
      <c r="J33" s="18" t="n">
        <v>191672.83</v>
      </c>
      <c r="K33" s="35" t="n">
        <v>191672.83</v>
      </c>
      <c r="L33" s="18" t="n">
        <v>200835.61</v>
      </c>
      <c r="M33" s="18" t="n">
        <v>204716.11</v>
      </c>
      <c r="N33" s="18" t="n">
        <v>183398.3</v>
      </c>
      <c r="O33" s="18" t="n">
        <v>178656.86</v>
      </c>
      <c r="P33" s="35" t="n">
        <v>178656.86</v>
      </c>
      <c r="Q33" s="18" t="n">
        <v>175941.77</v>
      </c>
      <c r="R33" s="18" t="n">
        <v>213871.2</v>
      </c>
      <c r="S33" s="18" t="n">
        <v>200717.85</v>
      </c>
      <c r="T33" s="18" t="n">
        <v>176050.78</v>
      </c>
      <c r="U33" s="35" t="n">
        <v>176050.78</v>
      </c>
      <c r="V33" s="18" t="n">
        <v>180937.81</v>
      </c>
      <c r="W33" s="18" t="n">
        <v>216129.36</v>
      </c>
      <c r="X33" s="18" t="n">
        <v>237015.64</v>
      </c>
      <c r="Y33" s="18" t="n">
        <v>230186.15</v>
      </c>
      <c r="Z33" s="35" t="n">
        <v>230186.15</v>
      </c>
      <c r="AA33" s="18" t="n">
        <v>238386</v>
      </c>
      <c r="AB33" s="19" t="n">
        <v>256332.22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161998.34</v>
      </c>
      <c r="F34" s="35" t="n">
        <v>161998.34</v>
      </c>
      <c r="G34" s="18" t="n">
        <v>164374.03</v>
      </c>
      <c r="H34" s="18" t="n">
        <v>172083.95</v>
      </c>
      <c r="I34" s="18" t="n">
        <v>179878.56</v>
      </c>
      <c r="J34" s="18" t="n">
        <v>178704.3</v>
      </c>
      <c r="K34" s="35" t="n">
        <v>178704.3</v>
      </c>
      <c r="L34" s="18" t="n">
        <v>179291.98</v>
      </c>
      <c r="M34" s="18" t="n">
        <v>185897.16</v>
      </c>
      <c r="N34" s="18" t="n">
        <v>276656.86</v>
      </c>
      <c r="O34" s="18" t="n">
        <v>275032.31</v>
      </c>
      <c r="P34" s="35" t="n">
        <v>275032.31</v>
      </c>
      <c r="Q34" s="18" t="n">
        <v>267136.64</v>
      </c>
      <c r="R34" s="18" t="n">
        <v>267360.8</v>
      </c>
      <c r="S34" s="18" t="n">
        <v>254069.81</v>
      </c>
      <c r="T34" s="18" t="n">
        <v>264642.29</v>
      </c>
      <c r="U34" s="35" t="n">
        <v>264642.29</v>
      </c>
      <c r="V34" s="18" t="n">
        <v>248538.99</v>
      </c>
      <c r="W34" s="18" t="n">
        <v>243443.25</v>
      </c>
      <c r="X34" s="18" t="n">
        <v>247072.29</v>
      </c>
      <c r="Y34" s="18" t="n">
        <v>266272.02</v>
      </c>
      <c r="Z34" s="35" t="n">
        <v>266272.02</v>
      </c>
      <c r="AA34" s="18" t="n">
        <v>279643.6</v>
      </c>
      <c r="AB34" s="19" t="n">
        <v>286005.05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5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5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5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5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5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5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5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5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5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5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-3413.35</v>
      </c>
      <c r="F37" s="35" t="n">
        <v>-3413.35</v>
      </c>
      <c r="G37" s="18" t="n">
        <v>-3229.98</v>
      </c>
      <c r="H37" s="18" t="n">
        <v>-2740.24</v>
      </c>
      <c r="I37" s="18" t="n">
        <v>-1715.5</v>
      </c>
      <c r="J37" s="18" t="n">
        <v>-2979.35</v>
      </c>
      <c r="K37" s="35" t="n">
        <v>-2979.35</v>
      </c>
      <c r="L37" s="18" t="n">
        <v>-2638.25</v>
      </c>
      <c r="M37" s="18" t="n">
        <v>-1962.21</v>
      </c>
      <c r="N37" s="18" t="n">
        <v>-1330.2</v>
      </c>
      <c r="O37" s="18" t="n">
        <v>-1440.94</v>
      </c>
      <c r="P37" s="35" t="n">
        <v>-1440.94</v>
      </c>
      <c r="Q37" s="18" t="n">
        <v>-3469.45</v>
      </c>
      <c r="R37" s="18" t="n">
        <v>-4444.41</v>
      </c>
      <c r="S37" s="18" t="n">
        <v>-5663.62</v>
      </c>
      <c r="T37" s="18" t="n">
        <v>-6319.54</v>
      </c>
      <c r="U37" s="35" t="n">
        <v>-6319.54</v>
      </c>
      <c r="V37" s="18" t="n">
        <v>-7394.18</v>
      </c>
      <c r="W37" s="18" t="n">
        <v>-8469.059999999999</v>
      </c>
      <c r="X37" s="18" t="n">
        <v>-8366.25</v>
      </c>
      <c r="Y37" s="18" t="n">
        <v>-13085.5</v>
      </c>
      <c r="Z37" s="35" t="n">
        <v>-13085.5</v>
      </c>
      <c r="AA37" s="18" t="n">
        <v>-11971.02</v>
      </c>
      <c r="AB37" s="19" t="n">
        <v>-10845.58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41398.63</v>
      </c>
      <c r="F38" s="35" t="n">
        <v>41398.63</v>
      </c>
      <c r="G38" s="18" t="n">
        <v>43405.14</v>
      </c>
      <c r="H38" s="18" t="n">
        <v>50191.95</v>
      </c>
      <c r="I38" s="18" t="n">
        <v>56856.67</v>
      </c>
      <c r="J38" s="18" t="n">
        <v>56692.74</v>
      </c>
      <c r="K38" s="35" t="n">
        <v>56692.74</v>
      </c>
      <c r="L38" s="18" t="n">
        <v>56803.97</v>
      </c>
      <c r="M38" s="18" t="n">
        <v>62689.89</v>
      </c>
      <c r="N38" s="18" t="n">
        <v>63209.83</v>
      </c>
      <c r="O38" s="18" t="n">
        <v>61271.07</v>
      </c>
      <c r="P38" s="35" t="n">
        <v>61271.07</v>
      </c>
      <c r="Q38" s="18" t="n">
        <v>55348.37</v>
      </c>
      <c r="R38" s="18" t="n">
        <v>56221.94</v>
      </c>
      <c r="S38" s="18" t="n">
        <v>44103.47</v>
      </c>
      <c r="T38" s="18" t="n">
        <v>55195.96</v>
      </c>
      <c r="U38" s="35" t="n">
        <v>55195.96</v>
      </c>
      <c r="V38" s="18" t="n">
        <v>40025.76</v>
      </c>
      <c r="W38" s="18" t="n">
        <v>35957.94</v>
      </c>
      <c r="X38" s="18" t="n">
        <v>39316.75</v>
      </c>
      <c r="Y38" s="18" t="n">
        <v>62997.43</v>
      </c>
      <c r="Z38" s="35" t="n">
        <v>62997.43</v>
      </c>
      <c r="AA38" s="18" t="n">
        <v>74429</v>
      </c>
      <c r="AB38" s="19" t="n">
        <v>79174.48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161998.34</v>
      </c>
      <c r="F39" s="35" t="n">
        <v>161998.34</v>
      </c>
      <c r="G39" s="18" t="n">
        <v>164374.03</v>
      </c>
      <c r="H39" s="18" t="n">
        <v>172083.95</v>
      </c>
      <c r="I39" s="18" t="n">
        <v>179878.56</v>
      </c>
      <c r="J39" s="18" t="n">
        <v>178704.3</v>
      </c>
      <c r="K39" s="35" t="n">
        <v>178704.3</v>
      </c>
      <c r="L39" s="18" t="n">
        <v>179291.98</v>
      </c>
      <c r="M39" s="18" t="n">
        <v>185897.16</v>
      </c>
      <c r="N39" s="18" t="n">
        <v>276656.86</v>
      </c>
      <c r="O39" s="18" t="n">
        <v>275032.31</v>
      </c>
      <c r="P39" s="35" t="n">
        <v>275032.31</v>
      </c>
      <c r="Q39" s="18" t="n">
        <v>267136.64</v>
      </c>
      <c r="R39" s="18" t="n">
        <v>267360.8</v>
      </c>
      <c r="S39" s="18" t="n">
        <v>254069.81</v>
      </c>
      <c r="T39" s="18" t="n">
        <v>264642.29</v>
      </c>
      <c r="U39" s="35" t="n">
        <v>264642.29</v>
      </c>
      <c r="V39" s="18" t="n">
        <v>248538.99</v>
      </c>
      <c r="W39" s="18" t="n">
        <v>243443.25</v>
      </c>
      <c r="X39" s="18" t="n">
        <v>247072.29</v>
      </c>
      <c r="Y39" s="18" t="n">
        <v>266272.02</v>
      </c>
      <c r="Z39" s="35" t="n">
        <v>266272.02</v>
      </c>
      <c r="AA39" s="18" t="n">
        <v>279643.6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261474.93</v>
      </c>
      <c r="F40" s="35" t="n">
        <v>261474.93</v>
      </c>
      <c r="G40" s="18" t="n">
        <v>284245.57</v>
      </c>
      <c r="H40" s="18" t="n">
        <v>302383.23</v>
      </c>
      <c r="I40" s="18" t="n">
        <v>340239.7</v>
      </c>
      <c r="J40" s="18" t="n">
        <v>370377.14</v>
      </c>
      <c r="K40" s="35" t="n">
        <v>370377.14</v>
      </c>
      <c r="L40" s="18" t="n">
        <v>380127.59</v>
      </c>
      <c r="M40" s="18" t="n">
        <v>390613.27</v>
      </c>
      <c r="N40" s="18" t="n">
        <v>460055.16</v>
      </c>
      <c r="O40" s="18" t="n">
        <v>453689.17</v>
      </c>
      <c r="P40" s="35" t="n">
        <v>453689.17</v>
      </c>
      <c r="Q40" s="18" t="n">
        <v>443078.41</v>
      </c>
      <c r="R40" s="18" t="n">
        <v>481232</v>
      </c>
      <c r="S40" s="18" t="n">
        <v>454787.67</v>
      </c>
      <c r="T40" s="18" t="n">
        <v>440693.07</v>
      </c>
      <c r="U40" s="35" t="n">
        <v>440693.07</v>
      </c>
      <c r="V40" s="18" t="n">
        <v>429476.8</v>
      </c>
      <c r="W40" s="18" t="n">
        <v>459572.61</v>
      </c>
      <c r="X40" s="18" t="n">
        <v>484087.93</v>
      </c>
      <c r="Y40" s="18" t="n">
        <v>496458.17</v>
      </c>
      <c r="Z40" s="35" t="n">
        <v>496458.17</v>
      </c>
      <c r="AA40" s="18" t="n">
        <v>518029.61</v>
      </c>
      <c r="AB40" s="19" t="n">
        <v>542337.27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46941.27</v>
      </c>
      <c r="F41" s="35" t="n">
        <v>46941.27</v>
      </c>
      <c r="G41" s="18" t="n">
        <v>62110.6</v>
      </c>
      <c r="H41" s="18" t="n">
        <v>63084.33</v>
      </c>
      <c r="I41" s="18" t="n">
        <v>84436.03</v>
      </c>
      <c r="J41" s="18" t="n">
        <v>105897.02</v>
      </c>
      <c r="K41" s="35" t="n">
        <v>105897.02</v>
      </c>
      <c r="L41" s="18" t="n">
        <v>118339.99</v>
      </c>
      <c r="M41" s="18" t="n">
        <v>139019.94</v>
      </c>
      <c r="N41" s="18" t="n">
        <v>101388.71</v>
      </c>
      <c r="O41" s="18" t="n">
        <v>99131.10000000001</v>
      </c>
      <c r="P41" s="35" t="n">
        <v>99131.10000000001</v>
      </c>
      <c r="Q41" s="18" t="n">
        <v>100027.71</v>
      </c>
      <c r="R41" s="18" t="n">
        <v>113215.81</v>
      </c>
      <c r="U41" s="9" t="n"/>
      <c r="W41" s="18" t="n">
        <v>125874.97</v>
      </c>
      <c r="X41" s="18" t="n">
        <v>74023.07000000001</v>
      </c>
      <c r="Y41" s="18" t="n">
        <v>136340.8</v>
      </c>
      <c r="Z41" s="35" t="n">
        <v>136340.8</v>
      </c>
      <c r="AA41" s="18" t="n">
        <v>132735.99</v>
      </c>
      <c r="AB41" s="19" t="n">
        <v>143504.55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-10943.92</v>
      </c>
      <c r="F42" s="35" t="n">
        <v>-10943.92</v>
      </c>
      <c r="G42" s="18" t="n">
        <v>10012.05</v>
      </c>
      <c r="H42" s="18" t="n">
        <v>24821.06</v>
      </c>
      <c r="I42" s="18" t="n">
        <v>38825.45</v>
      </c>
      <c r="J42" s="18" t="n">
        <v>75586.39</v>
      </c>
      <c r="K42" s="35" t="n">
        <v>75586.39</v>
      </c>
      <c r="L42" s="18" t="n">
        <v>100399.06</v>
      </c>
      <c r="M42" s="18" t="n">
        <v>101346.71</v>
      </c>
      <c r="N42" s="18" t="n">
        <v>-11502.11</v>
      </c>
      <c r="O42" s="18" t="n">
        <v>-23171.3</v>
      </c>
      <c r="P42" s="35" t="n">
        <v>-23171.3</v>
      </c>
      <c r="Q42" s="18" t="n">
        <v>-18051.98</v>
      </c>
      <c r="R42" s="18" t="n">
        <v>7406.06</v>
      </c>
      <c r="U42" s="9" t="n"/>
      <c r="W42" s="18" t="n">
        <v>93609.8</v>
      </c>
      <c r="X42" s="18" t="n">
        <v>42944.87</v>
      </c>
      <c r="Y42" s="18" t="n">
        <v>102994.95</v>
      </c>
      <c r="Z42" s="35" t="n">
        <v>102994.95</v>
      </c>
      <c r="AA42" s="18" t="n">
        <v>100937.17</v>
      </c>
      <c r="AB42" s="19" t="n">
        <v>117806.23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66977.35000000001</v>
      </c>
      <c r="F43" s="35" t="n">
        <v>66977.35000000001</v>
      </c>
      <c r="G43" s="18" t="n">
        <v>62724.12</v>
      </c>
      <c r="H43" s="18" t="n">
        <v>53125.32</v>
      </c>
      <c r="I43" s="18" t="n">
        <v>59894.06</v>
      </c>
      <c r="J43" s="18" t="n">
        <v>48765.05</v>
      </c>
      <c r="K43" s="35" t="n">
        <v>48765.05</v>
      </c>
      <c r="L43" s="18" t="n">
        <v>35199.68</v>
      </c>
      <c r="M43" s="18" t="n">
        <v>55104.99</v>
      </c>
      <c r="N43" s="18" t="n">
        <v>129844.08</v>
      </c>
      <c r="O43" s="18" t="n">
        <v>137417.36</v>
      </c>
      <c r="P43" s="35" t="n">
        <v>137417.36</v>
      </c>
      <c r="Q43" s="18" t="n">
        <v>140741.51</v>
      </c>
      <c r="R43" s="18" t="n">
        <v>135102.3</v>
      </c>
      <c r="S43" s="18" t="n">
        <v>105706.93</v>
      </c>
      <c r="T43" s="18" t="n">
        <v>107909.76</v>
      </c>
      <c r="U43" s="35" t="n">
        <v>107909.76</v>
      </c>
      <c r="V43" s="18" t="n">
        <v>114942.47</v>
      </c>
      <c r="W43" s="18" t="n">
        <v>92410.73</v>
      </c>
      <c r="X43" s="18" t="n">
        <v>82390.42</v>
      </c>
      <c r="Y43" s="18" t="n">
        <v>81098.67</v>
      </c>
      <c r="Z43" s="35" t="n">
        <v>81098.67</v>
      </c>
      <c r="AA43" s="18" t="n">
        <v>87985.78</v>
      </c>
      <c r="AB43" s="19" t="n">
        <v>78440.22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단기파생상품부채</t>
        </is>
      </c>
      <c r="F44" s="9" t="n"/>
      <c r="G44" s="18" t="n">
        <v>199.85</v>
      </c>
      <c r="H44" s="18" t="n">
        <v>2126.26</v>
      </c>
      <c r="I44" s="18" t="n">
        <v>4487.19</v>
      </c>
      <c r="J44" s="18" t="n">
        <v>746.6799999999999</v>
      </c>
      <c r="K44" s="35" t="n">
        <v>746.6799999999999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단기금융부채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5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F46" s="9" t="n"/>
      <c r="K46" s="9" t="n"/>
      <c r="L46" s="18" t="n">
        <v>0</v>
      </c>
      <c r="P46" s="9" t="n"/>
      <c r="U46" s="9" t="n"/>
      <c r="X46" s="18" t="n">
        <v>0</v>
      </c>
      <c r="Y46" s="18" t="n">
        <v>0</v>
      </c>
      <c r="Z46" s="35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53614.95</v>
      </c>
      <c r="O47" s="18" t="n">
        <v>50619.66</v>
      </c>
      <c r="P47" s="35" t="n">
        <v>50619.66</v>
      </c>
      <c r="Q47" s="18" t="n">
        <v>50238.18</v>
      </c>
      <c r="R47" s="18" t="n">
        <v>59391.92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기타비유동부채</t>
        </is>
      </c>
      <c r="F48" s="9" t="n"/>
      <c r="K48" s="9" t="n"/>
      <c r="O48" s="18" t="n">
        <v>299.6</v>
      </c>
      <c r="P48" s="35" t="n">
        <v>299.6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이연법인세부채</t>
        </is>
      </c>
      <c r="F49" s="9" t="n"/>
      <c r="K49" s="9" t="n"/>
      <c r="P49" s="9" t="n"/>
      <c r="Q49" s="18" t="n">
        <v>312.94</v>
      </c>
      <c r="R49" s="18" t="n">
        <v>322.79</v>
      </c>
      <c r="S49" s="18" t="n">
        <v>306.62</v>
      </c>
      <c r="T49" s="18" t="n">
        <v>383.94</v>
      </c>
      <c r="U49" s="35" t="n">
        <v>383.94</v>
      </c>
      <c r="V49" s="18" t="n">
        <v>383.03</v>
      </c>
      <c r="W49" s="18" t="n">
        <v>354.27</v>
      </c>
      <c r="X49" s="18" t="n">
        <v>366.24</v>
      </c>
      <c r="Y49" s="18" t="n">
        <v>202.19</v>
      </c>
      <c r="Z49" s="35" t="n">
        <v>202.19</v>
      </c>
      <c r="AA49" s="18" t="n">
        <v>211.51</v>
      </c>
      <c r="AB49" s="19" t="n">
        <v>215.97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U50" s="9" t="n"/>
      <c r="W50" s="18" t="n">
        <v>808.6799999999999</v>
      </c>
      <c r="X50" s="18" t="n">
        <v>868.48</v>
      </c>
      <c r="Y50" s="18" t="n">
        <v>706.61</v>
      </c>
      <c r="Z50" s="35" t="n">
        <v>706.61</v>
      </c>
      <c r="AA50" s="18" t="n">
        <v>802.34</v>
      </c>
      <c r="AB50" s="19" t="n">
        <v>791.1799999999999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당기법인세부채(미지급법인세)</t>
        </is>
      </c>
      <c r="F51" s="9" t="n"/>
      <c r="K51" s="9" t="n"/>
      <c r="P51" s="9" t="n"/>
      <c r="U51" s="9" t="n"/>
      <c r="W51" s="18" t="n">
        <v>62.59</v>
      </c>
      <c r="X51" s="18" t="n">
        <v>64.06999999999999</v>
      </c>
      <c r="Y51" s="18" t="n">
        <v>2419.15</v>
      </c>
      <c r="Z51" s="35" t="n">
        <v>2419.15</v>
      </c>
      <c r="AA51" s="18" t="n">
        <v>1510.68</v>
      </c>
      <c r="AB51" s="19" t="n">
        <v>1198.35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사채</t>
        </is>
      </c>
      <c r="F52" s="9" t="n"/>
      <c r="K52" s="9" t="n"/>
      <c r="P52" s="9" t="n"/>
      <c r="U52" s="9" t="n"/>
      <c r="Y52" s="18" t="n">
        <v>20000</v>
      </c>
      <c r="Z52" s="35" t="n">
        <v>20000</v>
      </c>
      <c r="AA52" s="18" t="n">
        <v>20000</v>
      </c>
      <c r="AB52" s="19" t="n">
        <v>20000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투자부동산</t>
        </is>
      </c>
      <c r="F53" s="9" t="n"/>
      <c r="K53" s="9" t="n"/>
      <c r="P53" s="9" t="n"/>
      <c r="U53" s="9" t="n"/>
      <c r="Z53" s="9" t="n"/>
      <c r="AB53" s="19" t="n">
        <v>7777.84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48293.36</v>
      </c>
      <c r="F54" s="9" t="n"/>
      <c r="G54" s="18" t="n">
        <v>43025.3</v>
      </c>
      <c r="H54" s="18" t="n">
        <v>56984.24</v>
      </c>
      <c r="I54" s="18" t="n">
        <v>57036.79</v>
      </c>
      <c r="J54" s="18" t="n">
        <v>82419.02</v>
      </c>
      <c r="K54" s="35" t="n">
        <v>239465.35</v>
      </c>
      <c r="L54" s="18" t="n">
        <v>64393.46</v>
      </c>
      <c r="M54" s="18" t="n">
        <v>87594.78999999999</v>
      </c>
      <c r="N54" s="18" t="n">
        <v>66774.94</v>
      </c>
      <c r="O54" s="18" t="n">
        <v>86279.64999999999</v>
      </c>
      <c r="P54" s="35" t="n">
        <v>305042.84</v>
      </c>
      <c r="Q54" s="18" t="n">
        <v>46697.93</v>
      </c>
      <c r="R54" s="18" t="n">
        <v>71699.39999999999</v>
      </c>
      <c r="S54" s="18" t="n">
        <v>62360.86</v>
      </c>
      <c r="T54" s="18" t="n">
        <v>77011.25</v>
      </c>
      <c r="U54" s="35" t="n">
        <v>257769.44</v>
      </c>
      <c r="V54" s="18" t="n">
        <v>43350.44</v>
      </c>
      <c r="W54" s="18" t="n">
        <v>74736</v>
      </c>
      <c r="X54" s="18" t="n">
        <v>77226.48</v>
      </c>
      <c r="Y54" s="18" t="n">
        <v>124315.42</v>
      </c>
      <c r="Z54" s="35" t="n">
        <v>319628.34</v>
      </c>
      <c r="AA54" s="18" t="n">
        <v>64723.57</v>
      </c>
      <c r="AB54" s="19" t="n">
        <v>97246.17999999999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27383.29</v>
      </c>
      <c r="F55" s="9" t="n"/>
      <c r="G55" s="18" t="n">
        <v>25074.19</v>
      </c>
      <c r="H55" s="18" t="n">
        <v>34559.39</v>
      </c>
      <c r="I55" s="18" t="n">
        <v>35089.85</v>
      </c>
      <c r="J55" s="18" t="n">
        <v>42740.16</v>
      </c>
      <c r="K55" s="35" t="n">
        <v>137463.59</v>
      </c>
      <c r="L55" s="18" t="n">
        <v>39476.26</v>
      </c>
      <c r="M55" s="18" t="n">
        <v>49246.57</v>
      </c>
      <c r="N55" s="18" t="n">
        <v>41672.87</v>
      </c>
      <c r="O55" s="18" t="n">
        <v>52256.6</v>
      </c>
      <c r="P55" s="35" t="n">
        <v>182652.3</v>
      </c>
      <c r="Q55" s="18" t="n">
        <v>29186.15</v>
      </c>
      <c r="R55" s="18" t="n">
        <v>41411.95</v>
      </c>
      <c r="S55" s="18" t="n">
        <v>38188.87</v>
      </c>
      <c r="T55" s="18" t="n">
        <v>49555.35</v>
      </c>
      <c r="U55" s="35" t="n">
        <v>158342.32</v>
      </c>
      <c r="V55" s="18" t="n">
        <v>25409.03</v>
      </c>
      <c r="W55" s="18" t="n">
        <v>46768.67</v>
      </c>
      <c r="X55" s="18" t="n">
        <v>46702.5</v>
      </c>
      <c r="Y55" s="18" t="n">
        <v>75858.46000000001</v>
      </c>
      <c r="Z55" s="35" t="n">
        <v>194738.66</v>
      </c>
      <c r="AA55" s="18" t="n">
        <v>33796.61</v>
      </c>
      <c r="AB55" s="19" t="n">
        <v>56853.9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20910.07</v>
      </c>
      <c r="F56" s="9" t="n"/>
      <c r="G56" s="18" t="n">
        <v>17951.11</v>
      </c>
      <c r="H56" s="18" t="n">
        <v>22424.85</v>
      </c>
      <c r="I56" s="18" t="n">
        <v>21946.94</v>
      </c>
      <c r="J56" s="18" t="n">
        <v>39678.86</v>
      </c>
      <c r="K56" s="35" t="n">
        <v>102001.76</v>
      </c>
      <c r="L56" s="18" t="n">
        <v>24917.2</v>
      </c>
      <c r="M56" s="18" t="n">
        <v>38348.22</v>
      </c>
      <c r="N56" s="18" t="n">
        <v>25102.08</v>
      </c>
      <c r="O56" s="18" t="n">
        <v>34023.05</v>
      </c>
      <c r="P56" s="35" t="n">
        <v>122390.55</v>
      </c>
      <c r="Q56" s="18" t="n">
        <v>17511.79</v>
      </c>
      <c r="R56" s="18" t="n">
        <v>30287.45</v>
      </c>
      <c r="S56" s="18" t="n">
        <v>24171.99</v>
      </c>
      <c r="T56" s="18" t="n">
        <v>27455.9</v>
      </c>
      <c r="U56" s="35" t="n">
        <v>99427.13</v>
      </c>
      <c r="V56" s="18" t="n">
        <v>17941.41</v>
      </c>
      <c r="W56" s="18" t="n">
        <v>27967.34</v>
      </c>
      <c r="X56" s="18" t="n">
        <v>30523.99</v>
      </c>
      <c r="Y56" s="18" t="n">
        <v>48456.97</v>
      </c>
      <c r="Z56" s="35" t="n">
        <v>124889.71</v>
      </c>
      <c r="AA56" s="18" t="n">
        <v>30926.96</v>
      </c>
      <c r="AB56" s="19" t="n">
        <v>40392.29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16400.67</v>
      </c>
      <c r="F57" s="9" t="n"/>
      <c r="G57" s="18" t="n">
        <v>16391.05</v>
      </c>
      <c r="H57" s="18" t="n">
        <v>18276.08</v>
      </c>
      <c r="I57" s="18" t="n">
        <v>20923.16</v>
      </c>
      <c r="J57" s="18" t="n">
        <v>31068.9</v>
      </c>
      <c r="K57" s="35" t="n">
        <v>86659.19</v>
      </c>
      <c r="L57" s="18" t="n">
        <v>24140.22</v>
      </c>
      <c r="M57" s="18" t="n">
        <v>30577.18</v>
      </c>
      <c r="N57" s="18" t="n">
        <v>26679.92</v>
      </c>
      <c r="O57" s="18" t="n">
        <v>30267.68</v>
      </c>
      <c r="P57" s="35" t="n">
        <v>111665</v>
      </c>
      <c r="Q57" s="18" t="n">
        <v>26857.44</v>
      </c>
      <c r="R57" s="18" t="n">
        <v>29376.99</v>
      </c>
      <c r="S57" s="18" t="n">
        <v>29907.45</v>
      </c>
      <c r="T57" s="18" t="n">
        <v>32728.94</v>
      </c>
      <c r="U57" s="35" t="n">
        <v>118870.82</v>
      </c>
      <c r="V57" s="18" t="n">
        <v>29980.27</v>
      </c>
      <c r="W57" s="18" t="n">
        <v>26204.16</v>
      </c>
      <c r="X57" s="18" t="n">
        <v>28150.94</v>
      </c>
      <c r="Y57" s="18" t="n">
        <v>28600.66</v>
      </c>
      <c r="Z57" s="35" t="n">
        <v>112936.03</v>
      </c>
      <c r="AA57" s="18" t="n">
        <v>30333.57</v>
      </c>
      <c r="AB57" s="19" t="n">
        <v>33256.28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4509.41</v>
      </c>
      <c r="F58" s="9" t="n"/>
      <c r="G58" s="18" t="n">
        <v>1560.05</v>
      </c>
      <c r="H58" s="18" t="n">
        <v>4148.77</v>
      </c>
      <c r="I58" s="18" t="n">
        <v>1023.77</v>
      </c>
      <c r="J58" s="18" t="n">
        <v>8609.959999999999</v>
      </c>
      <c r="K58" s="35" t="n">
        <v>15342.55</v>
      </c>
      <c r="L58" s="18" t="n">
        <v>776.98</v>
      </c>
      <c r="M58" s="18" t="n">
        <v>7771.04</v>
      </c>
      <c r="N58" s="18" t="n">
        <v>-1577.84</v>
      </c>
      <c r="O58" s="18" t="n">
        <v>3755.37</v>
      </c>
      <c r="P58" s="35" t="n">
        <v>10725.55</v>
      </c>
      <c r="Q58" s="18" t="n">
        <v>-9345.66</v>
      </c>
      <c r="R58" s="18" t="n">
        <v>910.46</v>
      </c>
      <c r="S58" s="18" t="n">
        <v>-5735.46</v>
      </c>
      <c r="T58" s="18" t="n">
        <v>-5273.04</v>
      </c>
      <c r="U58" s="35" t="n">
        <v>-19443.7</v>
      </c>
      <c r="V58" s="18" t="n">
        <v>-12038.86</v>
      </c>
      <c r="W58" s="18" t="n">
        <v>1763.17</v>
      </c>
      <c r="X58" s="18" t="n">
        <v>2373.05</v>
      </c>
      <c r="Y58" s="18" t="n">
        <v>19856.31</v>
      </c>
      <c r="Z58" s="35" t="n">
        <v>11953.67</v>
      </c>
      <c r="AA58" s="18" t="n">
        <v>593.39</v>
      </c>
      <c r="AB58" s="19" t="n">
        <v>7136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1309.62</v>
      </c>
      <c r="F59" s="9" t="n"/>
      <c r="G59" s="18" t="n">
        <v>1902.73</v>
      </c>
      <c r="H59" s="18" t="n">
        <v>7265.92</v>
      </c>
      <c r="I59" s="18" t="n">
        <v>9382.049999999999</v>
      </c>
      <c r="J59" s="18" t="n">
        <v>-1101.28</v>
      </c>
      <c r="K59" s="35" t="n">
        <v>17449.42</v>
      </c>
      <c r="L59" s="18" t="n">
        <v>5312.55</v>
      </c>
      <c r="M59" s="18" t="n">
        <v>1980.43</v>
      </c>
      <c r="N59" s="18" t="n">
        <v>4096.94</v>
      </c>
      <c r="O59" s="18" t="n">
        <v>-1014.51</v>
      </c>
      <c r="P59" s="35" t="n">
        <v>10375.41</v>
      </c>
      <c r="Q59" s="18" t="n">
        <v>5779.11</v>
      </c>
      <c r="R59" s="18" t="n">
        <v>4126.13</v>
      </c>
      <c r="S59" s="18" t="n">
        <v>-790.38</v>
      </c>
      <c r="T59" s="18" t="n">
        <v>11374.71</v>
      </c>
      <c r="U59" s="35" t="n">
        <v>20489.57</v>
      </c>
      <c r="V59" s="18" t="n">
        <v>1231.07</v>
      </c>
      <c r="W59" s="18" t="n">
        <v>1656.71</v>
      </c>
      <c r="X59" s="18" t="n">
        <v>1626.83</v>
      </c>
      <c r="Y59" s="18" t="n">
        <v>6622.49</v>
      </c>
      <c r="Z59" s="35" t="n">
        <v>11137.1</v>
      </c>
      <c r="AA59" s="18" t="n">
        <v>10552.91</v>
      </c>
      <c r="AB59" s="19" t="n">
        <v>5035.14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1594.82</v>
      </c>
      <c r="F60" s="9" t="n"/>
      <c r="G60" s="18" t="n">
        <v>422.14</v>
      </c>
      <c r="H60" s="18" t="n">
        <v>2231.61</v>
      </c>
      <c r="I60" s="18" t="n">
        <v>1125.96</v>
      </c>
      <c r="J60" s="18" t="n">
        <v>9157.889999999999</v>
      </c>
      <c r="K60" s="35" t="n">
        <v>12937.6</v>
      </c>
      <c r="L60" s="18" t="n">
        <v>3151.27</v>
      </c>
      <c r="M60" s="18" t="n">
        <v>2013.41</v>
      </c>
      <c r="N60" s="18" t="n">
        <v>1470.05</v>
      </c>
      <c r="O60" s="18" t="n">
        <v>4677.52</v>
      </c>
      <c r="P60" s="35" t="n">
        <v>11312.25</v>
      </c>
      <c r="Q60" s="18" t="n">
        <v>829.23</v>
      </c>
      <c r="R60" s="18" t="n">
        <v>1325.74</v>
      </c>
      <c r="S60" s="18" t="n">
        <v>4655.02</v>
      </c>
      <c r="T60" s="18" t="n">
        <v>707.98</v>
      </c>
      <c r="U60" s="35" t="n">
        <v>7517.97</v>
      </c>
      <c r="V60" s="18" t="n">
        <v>2372.84</v>
      </c>
      <c r="W60" s="18" t="n">
        <v>9556.940000000001</v>
      </c>
      <c r="X60" s="18" t="n">
        <v>-2020.17</v>
      </c>
      <c r="Y60" s="18" t="n">
        <v>7562.6</v>
      </c>
      <c r="Z60" s="35" t="n">
        <v>17472.21</v>
      </c>
      <c r="AA60" s="18" t="n">
        <v>2426.9</v>
      </c>
      <c r="AB60" s="19" t="n">
        <v>2253.8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553.6799999999999</v>
      </c>
      <c r="F61" s="9" t="n"/>
      <c r="G61" s="18" t="n">
        <v>396.06</v>
      </c>
      <c r="H61" s="18" t="n">
        <v>108.72</v>
      </c>
      <c r="I61" s="18" t="n">
        <v>197.77</v>
      </c>
      <c r="J61" s="18" t="n">
        <v>2711.48</v>
      </c>
      <c r="K61" s="35" t="n">
        <v>3414.03</v>
      </c>
      <c r="L61" s="18" t="n">
        <v>457.13</v>
      </c>
      <c r="M61" s="18" t="n">
        <v>156.13</v>
      </c>
      <c r="N61" s="18" t="n">
        <v>721.23</v>
      </c>
      <c r="O61" s="18" t="n">
        <v>2736.76</v>
      </c>
      <c r="P61" s="35" t="n">
        <v>4071.25</v>
      </c>
      <c r="Q61" s="18" t="n">
        <v>1929.61</v>
      </c>
      <c r="R61" s="18" t="n">
        <v>1088.3</v>
      </c>
      <c r="S61" s="18" t="n">
        <v>710.35</v>
      </c>
      <c r="T61" s="18" t="n">
        <v>7634.68</v>
      </c>
      <c r="U61" s="35" t="n">
        <v>11362.94</v>
      </c>
      <c r="V61" s="18" t="n">
        <v>1114.69</v>
      </c>
      <c r="W61" s="18" t="n">
        <v>2532.85</v>
      </c>
      <c r="X61" s="18" t="n">
        <v>-164.26</v>
      </c>
      <c r="Y61" s="18" t="n">
        <v>4379.92</v>
      </c>
      <c r="Z61" s="35" t="n">
        <v>7863.2</v>
      </c>
      <c r="AA61" s="18" t="n">
        <v>7435.84</v>
      </c>
      <c r="AB61" s="19" t="n">
        <v>-736.71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376.64</v>
      </c>
      <c r="F62" s="9" t="n"/>
      <c r="G62" s="18" t="n">
        <v>532.79</v>
      </c>
      <c r="H62" s="18" t="n">
        <v>2971.69</v>
      </c>
      <c r="I62" s="18" t="n">
        <v>3663.37</v>
      </c>
      <c r="J62" s="18" t="n">
        <v>-702.01</v>
      </c>
      <c r="K62" s="35" t="n">
        <v>6465.84</v>
      </c>
      <c r="L62" s="18" t="n">
        <v>1457.64</v>
      </c>
      <c r="M62" s="18" t="n">
        <v>1609.98</v>
      </c>
      <c r="N62" s="18" t="n">
        <v>1592.7</v>
      </c>
      <c r="O62" s="18" t="n">
        <v>2043.48</v>
      </c>
      <c r="P62" s="35" t="n">
        <v>6703.8</v>
      </c>
      <c r="Q62" s="18" t="n">
        <v>1583.23</v>
      </c>
      <c r="R62" s="18" t="n">
        <v>1837.32</v>
      </c>
      <c r="S62" s="18" t="n">
        <v>1554.6</v>
      </c>
      <c r="T62" s="18" t="n">
        <v>2153.12</v>
      </c>
      <c r="U62" s="35" t="n">
        <v>7128.27</v>
      </c>
      <c r="V62" s="18" t="n">
        <v>2043.54</v>
      </c>
      <c r="W62" s="18" t="n">
        <v>677.08</v>
      </c>
      <c r="X62" s="18" t="n">
        <v>2927.67</v>
      </c>
      <c r="Y62" s="18" t="n">
        <v>1133.22</v>
      </c>
      <c r="Z62" s="35" t="n">
        <v>6781.51</v>
      </c>
      <c r="AA62" s="18" t="n">
        <v>2325.3</v>
      </c>
      <c r="AB62" s="19" t="n">
        <v>2704.57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4401.25</v>
      </c>
      <c r="F63" s="9" t="n"/>
      <c r="G63" s="18" t="n">
        <v>2903.91</v>
      </c>
      <c r="H63" s="18" t="n">
        <v>6320.1</v>
      </c>
      <c r="I63" s="18" t="n">
        <v>5814.27</v>
      </c>
      <c r="J63" s="18" t="n">
        <v>1764.27</v>
      </c>
      <c r="K63" s="35" t="n">
        <v>16802.55</v>
      </c>
      <c r="L63" s="18" t="n">
        <v>1937.74</v>
      </c>
      <c r="M63" s="18" t="n">
        <v>6284.2</v>
      </c>
      <c r="N63" s="18" t="n">
        <v>177.58</v>
      </c>
      <c r="O63" s="18" t="n">
        <v>-1243.38</v>
      </c>
      <c r="P63" s="35" t="n">
        <v>7156.14</v>
      </c>
      <c r="Q63" s="18" t="n">
        <v>-4049.4</v>
      </c>
      <c r="R63" s="18" t="n">
        <v>2961.83</v>
      </c>
      <c r="S63" s="18" t="n">
        <v>-12025.1</v>
      </c>
      <c r="T63" s="18" t="n">
        <v>10875.24</v>
      </c>
      <c r="U63" s="35" t="n">
        <v>-2237.43</v>
      </c>
      <c r="V63" s="18" t="n">
        <v>-14109.48</v>
      </c>
      <c r="W63" s="18" t="n">
        <v>-4281.29</v>
      </c>
      <c r="X63" s="18" t="n">
        <v>2928.11</v>
      </c>
      <c r="Y63" s="18" t="n">
        <v>22162.9</v>
      </c>
      <c r="Z63" s="35" t="n">
        <v>6700.24</v>
      </c>
      <c r="AA63" s="18" t="n">
        <v>13829.93</v>
      </c>
      <c r="AB63" s="19" t="n">
        <v>6476.06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864.41</v>
      </c>
      <c r="F64" s="9" t="n"/>
      <c r="G64" s="18" t="n">
        <v>5.12</v>
      </c>
      <c r="H64" s="18" t="n">
        <v>-345.13</v>
      </c>
      <c r="I64" s="18" t="n">
        <v>-850.45</v>
      </c>
      <c r="J64" s="18" t="n">
        <v>1963.82</v>
      </c>
      <c r="K64" s="35" t="n">
        <v>773.36</v>
      </c>
      <c r="L64" s="18" t="n">
        <v>931.99</v>
      </c>
      <c r="M64" s="18" t="n">
        <v>605.15</v>
      </c>
      <c r="N64" s="18" t="n">
        <v>-342.36</v>
      </c>
      <c r="O64" s="18" t="n">
        <v>428.93</v>
      </c>
      <c r="P64" s="35" t="n">
        <v>1623.71</v>
      </c>
      <c r="Q64" s="18" t="n">
        <v>822.13</v>
      </c>
      <c r="R64" s="18" t="n">
        <v>306.66</v>
      </c>
      <c r="S64" s="18" t="n">
        <v>93.37</v>
      </c>
      <c r="T64" s="18" t="n">
        <v>-448.02</v>
      </c>
      <c r="U64" s="35" t="n">
        <v>774.14</v>
      </c>
      <c r="V64" s="18" t="n">
        <v>22.61</v>
      </c>
      <c r="W64" s="18" t="n">
        <v>-213.48</v>
      </c>
      <c r="X64" s="18" t="n">
        <v>-430.69</v>
      </c>
      <c r="Y64" s="18" t="n">
        <v>-142.13</v>
      </c>
      <c r="Z64" s="35" t="n">
        <v>-763.6900000000001</v>
      </c>
      <c r="AA64" s="18" t="n">
        <v>358.01</v>
      </c>
      <c r="AB64" s="19" t="n">
        <v>1730.58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3536.84</v>
      </c>
      <c r="F65" s="9" t="n"/>
      <c r="G65" s="18" t="n">
        <v>2898.8</v>
      </c>
      <c r="H65" s="18" t="n">
        <v>6665.24</v>
      </c>
      <c r="I65" s="18" t="n">
        <v>6664.72</v>
      </c>
      <c r="J65" s="18" t="n">
        <v>-199.55</v>
      </c>
      <c r="K65" s="35" t="n">
        <v>16029.21</v>
      </c>
      <c r="L65" s="18" t="n">
        <v>1005.74</v>
      </c>
      <c r="M65" s="18" t="n">
        <v>5679.05</v>
      </c>
      <c r="N65" s="18" t="n">
        <v>519.9400000000001</v>
      </c>
      <c r="O65" s="18" t="n">
        <v>-1672.31</v>
      </c>
      <c r="P65" s="35" t="n">
        <v>5532.42</v>
      </c>
      <c r="Q65" s="18" t="n">
        <v>-4871.53</v>
      </c>
      <c r="R65" s="18" t="n">
        <v>2655.17</v>
      </c>
      <c r="S65" s="18" t="n">
        <v>-12118.47</v>
      </c>
      <c r="T65" s="18" t="n">
        <v>11323.25</v>
      </c>
      <c r="U65" s="35" t="n">
        <v>-3011.58</v>
      </c>
      <c r="V65" s="18" t="n">
        <v>-14132.1</v>
      </c>
      <c r="W65" s="18" t="n">
        <v>-4067.81</v>
      </c>
      <c r="X65" s="18" t="n">
        <v>3358.8</v>
      </c>
      <c r="Y65" s="18" t="n">
        <v>22305.03</v>
      </c>
      <c r="Z65" s="35" t="n">
        <v>7463.92</v>
      </c>
      <c r="AA65" s="18" t="n">
        <v>13471.92</v>
      </c>
      <c r="AB65" s="19" t="n">
        <v>4745.48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3536.84</v>
      </c>
      <c r="F66" s="9" t="n"/>
      <c r="G66" s="18" t="n">
        <v>2898.8</v>
      </c>
      <c r="H66" s="18" t="n">
        <v>6665.24</v>
      </c>
      <c r="I66" s="18" t="n">
        <v>6664.72</v>
      </c>
      <c r="J66" s="18" t="n">
        <v>-199.55</v>
      </c>
      <c r="K66" s="35" t="n">
        <v>16029.21</v>
      </c>
      <c r="L66" s="18" t="n">
        <v>1005.74</v>
      </c>
      <c r="M66" s="18" t="n">
        <v>5679.05</v>
      </c>
      <c r="N66" s="18" t="n">
        <v>519.9400000000001</v>
      </c>
      <c r="O66" s="18" t="n">
        <v>-1672.31</v>
      </c>
      <c r="P66" s="35" t="n">
        <v>5532.42</v>
      </c>
      <c r="Q66" s="18" t="n">
        <v>-4871.53</v>
      </c>
      <c r="R66" s="18" t="n">
        <v>2655.17</v>
      </c>
      <c r="S66" s="18" t="n">
        <v>-12118.47</v>
      </c>
      <c r="T66" s="18" t="n">
        <v>11323.25</v>
      </c>
      <c r="U66" s="35" t="n">
        <v>-3011.58</v>
      </c>
      <c r="V66" s="18" t="n">
        <v>-14132.1</v>
      </c>
      <c r="W66" s="18" t="n">
        <v>-4067.81</v>
      </c>
      <c r="X66" s="18" t="n">
        <v>3358.8</v>
      </c>
      <c r="Y66" s="18" t="n">
        <v>22305.03</v>
      </c>
      <c r="Z66" s="35" t="n">
        <v>7463.92</v>
      </c>
      <c r="AA66" s="18" t="n">
        <v>13471.92</v>
      </c>
      <c r="AB66" s="19" t="n">
        <v>4745.48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3861.11</v>
      </c>
      <c r="F67" s="9" t="n"/>
      <c r="G67" s="18" t="n">
        <v>2948.33</v>
      </c>
      <c r="H67" s="18" t="n">
        <v>6993.14</v>
      </c>
      <c r="I67" s="18" t="n">
        <v>7692.38</v>
      </c>
      <c r="J67" s="18" t="n">
        <v>-1194.78</v>
      </c>
      <c r="K67" s="35" t="n">
        <v>16439.07</v>
      </c>
      <c r="L67" s="18" t="n">
        <v>1195.69</v>
      </c>
      <c r="M67" s="18" t="n">
        <v>6061.5</v>
      </c>
      <c r="N67" s="18" t="n">
        <v>787.12</v>
      </c>
      <c r="O67" s="18" t="n">
        <v>-2195.18</v>
      </c>
      <c r="P67" s="35" t="n">
        <v>5849.13</v>
      </c>
      <c r="Q67" s="18" t="n">
        <v>-4483.18</v>
      </c>
      <c r="R67" s="18" t="n">
        <v>1039.92</v>
      </c>
      <c r="S67" s="18" t="n">
        <v>-12175.68</v>
      </c>
      <c r="T67" s="18" t="n">
        <v>11841.67</v>
      </c>
      <c r="U67" s="35" t="n">
        <v>-3777.27</v>
      </c>
      <c r="V67" s="18" t="n">
        <v>-13559.55</v>
      </c>
      <c r="W67" s="18" t="n">
        <v>-4363.65</v>
      </c>
      <c r="X67" s="18" t="n">
        <v>3156.56</v>
      </c>
      <c r="Y67" s="18" t="n">
        <v>23830.15</v>
      </c>
      <c r="Z67" s="35" t="n">
        <v>9063.51</v>
      </c>
      <c r="AA67" s="18" t="n">
        <v>14299.48</v>
      </c>
      <c r="AB67" s="19" t="n">
        <v>5270.21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177.04</v>
      </c>
      <c r="F68" s="9" t="n"/>
      <c r="G68" s="18" t="n">
        <v>-136.73</v>
      </c>
      <c r="H68" s="18" t="n">
        <v>-2862.97</v>
      </c>
      <c r="I68" s="18" t="n">
        <v>-3465.6</v>
      </c>
      <c r="J68" s="18" t="n">
        <v>3413.49</v>
      </c>
      <c r="K68" s="35" t="n">
        <v>-3051.81</v>
      </c>
      <c r="L68" s="18" t="n">
        <v>-1000.51</v>
      </c>
      <c r="M68" s="18" t="n">
        <v>-1453.85</v>
      </c>
      <c r="N68" s="18" t="n">
        <v>-871.47</v>
      </c>
      <c r="O68" s="18" t="n">
        <v>693.28</v>
      </c>
      <c r="P68" s="35" t="n">
        <v>-2632.55</v>
      </c>
      <c r="Q68" s="18" t="n">
        <v>346.38</v>
      </c>
      <c r="R68" s="18" t="n">
        <v>-749.02</v>
      </c>
      <c r="S68" s="18" t="n">
        <v>-844.25</v>
      </c>
      <c r="T68" s="18" t="n">
        <v>5481.56</v>
      </c>
      <c r="U68" s="35" t="n">
        <v>4234.67</v>
      </c>
      <c r="V68" s="18" t="n">
        <v>-928.85</v>
      </c>
      <c r="W68" s="18" t="n">
        <v>1855.77</v>
      </c>
      <c r="X68" s="18" t="n">
        <v>-3091.93</v>
      </c>
      <c r="Y68" s="18" t="n">
        <v>3246.7</v>
      </c>
      <c r="Z68" s="35" t="n">
        <v>1081.69</v>
      </c>
      <c r="AA68" s="18" t="n">
        <v>5110.54</v>
      </c>
      <c r="AB68" s="19" t="n">
        <v>-3441.28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-285.2</v>
      </c>
      <c r="F69" s="9" t="n"/>
      <c r="G69" s="18" t="n">
        <v>1480.59</v>
      </c>
      <c r="H69" s="18" t="n">
        <v>5034.31</v>
      </c>
      <c r="I69" s="18" t="n">
        <v>8256.09</v>
      </c>
      <c r="J69" s="18" t="n">
        <v>-10259.17</v>
      </c>
      <c r="K69" s="35" t="n">
        <v>4511.82</v>
      </c>
      <c r="L69" s="18" t="n">
        <v>2161.28</v>
      </c>
      <c r="M69" s="18" t="n">
        <v>-32.98</v>
      </c>
      <c r="N69" s="18" t="n">
        <v>2626.89</v>
      </c>
      <c r="O69" s="18" t="n">
        <v>-5692.03</v>
      </c>
      <c r="P69" s="35" t="n">
        <v>-936.84</v>
      </c>
      <c r="Q69" s="18" t="n">
        <v>4949.88</v>
      </c>
      <c r="R69" s="18" t="n">
        <v>2800.39</v>
      </c>
      <c r="S69" s="18" t="n">
        <v>-5445.4</v>
      </c>
      <c r="T69" s="18" t="n">
        <v>10666.73</v>
      </c>
      <c r="U69" s="35" t="n">
        <v>12971.6</v>
      </c>
      <c r="V69" s="18" t="n">
        <v>-1141.77</v>
      </c>
      <c r="W69" s="18" t="n">
        <v>-7900.23</v>
      </c>
      <c r="X69" s="18" t="n">
        <v>3647</v>
      </c>
      <c r="Y69" s="18" t="n">
        <v>-940.11</v>
      </c>
      <c r="Z69" s="35" t="n">
        <v>-6335.11</v>
      </c>
      <c r="AA69" s="18" t="n">
        <v>8126.01</v>
      </c>
      <c r="AB69" s="19" t="n">
        <v>2781.34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3536.84</v>
      </c>
      <c r="F70" s="9" t="n"/>
      <c r="G70" s="18" t="n">
        <v>2898.8</v>
      </c>
      <c r="H70" s="18" t="n">
        <v>6665.24</v>
      </c>
      <c r="I70" s="18" t="n">
        <v>6664.72</v>
      </c>
      <c r="J70" s="18" t="n">
        <v>-199.55</v>
      </c>
      <c r="K70" s="35" t="n">
        <v>16029.21</v>
      </c>
      <c r="L70" s="18" t="n">
        <v>1005.74</v>
      </c>
      <c r="M70" s="18" t="n">
        <v>5679.05</v>
      </c>
      <c r="N70" s="18" t="n">
        <v>519.9400000000001</v>
      </c>
      <c r="O70" s="18" t="n">
        <v>-1672.31</v>
      </c>
      <c r="P70" s="35" t="n">
        <v>5532.42</v>
      </c>
      <c r="Q70" s="18" t="n">
        <v>-4871.53</v>
      </c>
      <c r="R70" s="18" t="n">
        <v>2655.17</v>
      </c>
      <c r="S70" s="18" t="n">
        <v>-12118.47</v>
      </c>
      <c r="T70" s="18" t="n">
        <v>11323.25</v>
      </c>
      <c r="U70" s="35" t="n">
        <v>-3011.58</v>
      </c>
      <c r="V70" s="18" t="n">
        <v>-14132.1</v>
      </c>
      <c r="W70" s="18" t="n">
        <v>-4067.81</v>
      </c>
      <c r="X70" s="18" t="n">
        <v>3358.8</v>
      </c>
      <c r="Y70" s="18" t="n">
        <v>22305.03</v>
      </c>
      <c r="Z70" s="35" t="n">
        <v>7463.92</v>
      </c>
      <c r="AA70" s="18" t="n">
        <v>13471.92</v>
      </c>
      <c r="AB70" s="19" t="n">
        <v>4745.48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K72" s="9" t="n"/>
      <c r="P72" s="9" t="n"/>
      <c r="U72" s="9" t="n"/>
      <c r="Z72" s="9" t="n"/>
      <c r="AB72" s="19" t="n">
        <v>257.97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배당금수익</t>
        </is>
      </c>
      <c r="F73" s="9" t="n"/>
      <c r="K73" s="9" t="n"/>
      <c r="P73" s="9" t="n"/>
      <c r="U73" s="9" t="n"/>
      <c r="Z73" s="9" t="n"/>
      <c r="AB73" s="19" t="n">
        <v>82.54000000000001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F74" s="9" t="n"/>
      <c r="K74" s="9" t="n"/>
      <c r="P74" s="9" t="n"/>
      <c r="U74" s="9" t="n"/>
      <c r="Z74" s="9" t="n"/>
      <c r="AB74" s="19" t="n">
        <v>1742.09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이자손익</t>
        </is>
      </c>
      <c r="F75" s="9" t="n"/>
      <c r="K75" s="9" t="n"/>
      <c r="P75" s="9" t="n"/>
      <c r="U75" s="9" t="n"/>
      <c r="Z75" s="9" t="n"/>
      <c r="AB75" s="19" t="n">
        <v>-1484.12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572.6</v>
      </c>
      <c r="F76" s="9" t="n"/>
      <c r="G76" s="18" t="n">
        <v>-10250.78</v>
      </c>
      <c r="H76" s="18" t="n">
        <v>-303.94</v>
      </c>
      <c r="I76" s="18" t="n">
        <v>1158.22</v>
      </c>
      <c r="J76" s="18" t="n">
        <v>-16685.78</v>
      </c>
      <c r="K76" s="35" t="n">
        <v>-26082.28</v>
      </c>
      <c r="L76" s="18" t="n">
        <v>-15921.34</v>
      </c>
      <c r="M76" s="18" t="n">
        <v>7069.53</v>
      </c>
      <c r="N76" s="18" t="n">
        <v>18612.77</v>
      </c>
      <c r="O76" s="18" t="n">
        <v>20057.32</v>
      </c>
      <c r="P76" s="35" t="n">
        <v>29818.28</v>
      </c>
      <c r="Q76" s="18" t="n">
        <v>17964.21</v>
      </c>
      <c r="R76" s="18" t="n">
        <v>-2223.68</v>
      </c>
      <c r="S76" s="18" t="n">
        <v>-17695.02</v>
      </c>
      <c r="T76" s="18" t="n">
        <v>5911.45</v>
      </c>
      <c r="U76" s="35" t="n">
        <v>3956.96</v>
      </c>
      <c r="V76" s="18" t="n">
        <v>11807.24</v>
      </c>
      <c r="W76" s="18" t="n">
        <v>-33423.21</v>
      </c>
      <c r="X76" s="18" t="n">
        <v>-7706.54</v>
      </c>
      <c r="Y76" s="18" t="n">
        <v>11083.29</v>
      </c>
      <c r="Z76" s="35" t="n">
        <v>-18239.22</v>
      </c>
      <c r="AA76" s="18" t="n">
        <v>17078.09</v>
      </c>
      <c r="AB76" s="19" t="n">
        <v>-4214.92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이자수취(CF)</t>
        </is>
      </c>
      <c r="E77" s="18" t="n">
        <v>60.86</v>
      </c>
      <c r="F77" s="9" t="n"/>
      <c r="G77" s="18" t="n">
        <v>277.57</v>
      </c>
      <c r="H77" s="18" t="n">
        <v>260.07</v>
      </c>
      <c r="I77" s="18" t="n">
        <v>177.87</v>
      </c>
      <c r="J77" s="18" t="n">
        <v>168.76</v>
      </c>
      <c r="K77" s="35" t="n">
        <v>884.27</v>
      </c>
      <c r="L77" s="18" t="n">
        <v>232.8</v>
      </c>
      <c r="M77" s="18" t="n">
        <v>125.83</v>
      </c>
      <c r="N77" s="18" t="n">
        <v>399.25</v>
      </c>
      <c r="O77" s="18" t="n">
        <v>1046.42</v>
      </c>
      <c r="P77" s="35" t="n">
        <v>1804.3</v>
      </c>
      <c r="Q77" s="18" t="n">
        <v>1110.31</v>
      </c>
      <c r="R77" s="18" t="n">
        <v>1106.02</v>
      </c>
      <c r="S77" s="18" t="n">
        <v>1139.32</v>
      </c>
      <c r="T77" s="18" t="n">
        <v>484.46</v>
      </c>
      <c r="U77" s="35" t="n">
        <v>3840.11</v>
      </c>
      <c r="V77" s="18" t="n">
        <v>242.33</v>
      </c>
      <c r="W77" s="18" t="n">
        <v>349.7</v>
      </c>
      <c r="X77" s="18" t="n">
        <v>298.93</v>
      </c>
      <c r="Y77" s="18" t="n">
        <v>338.41</v>
      </c>
      <c r="Z77" s="35" t="n">
        <v>1229.37</v>
      </c>
      <c r="AA77" s="18" t="n">
        <v>294.16</v>
      </c>
      <c r="AB77" s="19" t="n">
        <v>204.1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-219.24</v>
      </c>
      <c r="F78" s="9" t="n"/>
      <c r="G78" s="18" t="n">
        <v>-241.35</v>
      </c>
      <c r="H78" s="18" t="n">
        <v>-376.13</v>
      </c>
      <c r="I78" s="18" t="n">
        <v>-486.56</v>
      </c>
      <c r="J78" s="18" t="n">
        <v>-673.73</v>
      </c>
      <c r="K78" s="35" t="n">
        <v>-1777.77</v>
      </c>
      <c r="L78" s="18" t="n">
        <v>-1061.27</v>
      </c>
      <c r="M78" s="18" t="n">
        <v>-1285.17</v>
      </c>
      <c r="P78" s="9" t="n"/>
      <c r="U78" s="9" t="n"/>
      <c r="X78" s="18" t="n">
        <v>-1253.32</v>
      </c>
      <c r="Y78" s="18" t="n">
        <v>-1379.7</v>
      </c>
      <c r="Z78" s="9" t="n"/>
      <c r="AA78" s="18" t="n">
        <v>-1318.4</v>
      </c>
      <c r="AB78" s="19" t="n">
        <v>-1424.13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0</v>
      </c>
      <c r="F79" s="9" t="n"/>
      <c r="I79" s="18" t="n">
        <v>0</v>
      </c>
      <c r="J79" s="18" t="n">
        <v>19.58</v>
      </c>
      <c r="K79" s="9" t="n"/>
      <c r="L79" s="18" t="n">
        <v>9.789999999999999</v>
      </c>
      <c r="P79" s="9" t="n"/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-516.3</v>
      </c>
      <c r="F80" s="9" t="n"/>
      <c r="G80" s="18" t="n">
        <v>-100.78</v>
      </c>
      <c r="H80" s="18" t="n">
        <v>-209.65</v>
      </c>
      <c r="I80" s="18" t="n">
        <v>-20.22</v>
      </c>
      <c r="J80" s="18" t="n">
        <v>-185.44</v>
      </c>
      <c r="K80" s="35" t="n">
        <v>-516.09</v>
      </c>
      <c r="L80" s="18" t="n">
        <v>-273.41</v>
      </c>
      <c r="M80" s="18" t="n">
        <v>-1476.65</v>
      </c>
      <c r="N80" s="18" t="n">
        <v>-54.65</v>
      </c>
      <c r="O80" s="18" t="n">
        <v>-645.9400000000001</v>
      </c>
      <c r="P80" s="35" t="n">
        <v>-2450.65</v>
      </c>
      <c r="Q80" s="18" t="n">
        <v>-886.8099999999999</v>
      </c>
      <c r="R80" s="18" t="n">
        <v>-126.38</v>
      </c>
      <c r="S80" s="18" t="n">
        <v>-257.21</v>
      </c>
      <c r="T80" s="18" t="n">
        <v>294.56</v>
      </c>
      <c r="U80" s="35" t="n">
        <v>-975.84</v>
      </c>
      <c r="V80" s="18" t="n">
        <v>-637.63</v>
      </c>
      <c r="W80" s="18" t="n">
        <v>941.97</v>
      </c>
      <c r="X80" s="18" t="n">
        <v>-244.62</v>
      </c>
      <c r="Y80" s="18" t="n">
        <v>-131.8</v>
      </c>
      <c r="Z80" s="35" t="n">
        <v>-72.08</v>
      </c>
      <c r="AA80" s="18" t="n">
        <v>-1126</v>
      </c>
      <c r="AB80" s="19" t="n">
        <v>-2045.49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-2905.39</v>
      </c>
      <c r="F81" s="9" t="n"/>
      <c r="G81" s="18" t="n">
        <v>-7074.62</v>
      </c>
      <c r="H81" s="18" t="n">
        <v>-539.5</v>
      </c>
      <c r="I81" s="18" t="n">
        <v>-14168.85</v>
      </c>
      <c r="J81" s="18" t="n">
        <v>-5794.54</v>
      </c>
      <c r="K81" s="35" t="n">
        <v>-27577.51</v>
      </c>
      <c r="L81" s="18" t="n">
        <v>-1735.47</v>
      </c>
      <c r="M81" s="18" t="n">
        <v>-17467.06</v>
      </c>
      <c r="N81" s="18" t="n">
        <v>-61014.02</v>
      </c>
      <c r="O81" s="18" t="n">
        <v>-7337.33</v>
      </c>
      <c r="P81" s="35" t="n">
        <v>-87553.88</v>
      </c>
      <c r="Q81" s="18" t="n">
        <v>-29623.27</v>
      </c>
      <c r="R81" s="18" t="n">
        <v>-12644.71</v>
      </c>
      <c r="S81" s="18" t="n">
        <v>19558.09</v>
      </c>
      <c r="T81" s="18" t="n">
        <v>-3825</v>
      </c>
      <c r="U81" s="35" t="n">
        <v>-26534.89</v>
      </c>
      <c r="V81" s="18" t="n">
        <v>-6387.86</v>
      </c>
      <c r="W81" s="18" t="n">
        <v>10860.28</v>
      </c>
      <c r="X81" s="18" t="n">
        <v>-574.42</v>
      </c>
      <c r="Y81" s="18" t="n">
        <v>12248.11</v>
      </c>
      <c r="Z81" s="35" t="n">
        <v>16146.11</v>
      </c>
      <c r="AA81" s="18" t="n">
        <v>-14000.62</v>
      </c>
      <c r="AB81" s="19" t="n">
        <v>-10221.89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-0.71</v>
      </c>
      <c r="F82" s="9" t="n"/>
      <c r="G82" s="18" t="n">
        <v>27</v>
      </c>
      <c r="H82" s="18" t="n">
        <v>0</v>
      </c>
      <c r="I82" s="18" t="n">
        <v>69.03</v>
      </c>
      <c r="J82" s="18" t="n">
        <v>0</v>
      </c>
      <c r="K82" s="35" t="n">
        <v>96.03</v>
      </c>
      <c r="L82" s="18" t="n">
        <v>17.87</v>
      </c>
      <c r="N82" s="18" t="n">
        <v>0</v>
      </c>
      <c r="O82" s="18" t="n">
        <v>32.24</v>
      </c>
      <c r="P82" s="9" t="n"/>
      <c r="Q82" s="18" t="n">
        <v>1117.11</v>
      </c>
      <c r="R82" s="18" t="n">
        <v>71.64</v>
      </c>
      <c r="S82" s="18" t="n">
        <v>2</v>
      </c>
      <c r="U82" s="9" t="n"/>
      <c r="V82" s="18" t="n">
        <v>0.63</v>
      </c>
      <c r="W82" s="18" t="n">
        <v>0</v>
      </c>
      <c r="X82" s="18" t="n">
        <v>0</v>
      </c>
      <c r="Y82" s="18" t="n">
        <v>4806.35</v>
      </c>
      <c r="Z82" s="35" t="n">
        <v>4806.98</v>
      </c>
      <c r="AA82" s="18" t="n">
        <v>0.17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6461.63</v>
      </c>
      <c r="F83" s="9" t="n"/>
      <c r="G83" s="18" t="n">
        <v>7784.68</v>
      </c>
      <c r="H83" s="18" t="n">
        <v>6647.6</v>
      </c>
      <c r="I83" s="18" t="n">
        <v>11955.85</v>
      </c>
      <c r="J83" s="18" t="n">
        <v>11270.49</v>
      </c>
      <c r="K83" s="35" t="n">
        <v>37658.62</v>
      </c>
      <c r="L83" s="18" t="n">
        <v>6854.3</v>
      </c>
      <c r="M83" s="18" t="n">
        <v>4092.89</v>
      </c>
      <c r="N83" s="18" t="n">
        <v>2945.81</v>
      </c>
      <c r="O83" s="18" t="n">
        <v>2736.43</v>
      </c>
      <c r="P83" s="35" t="n">
        <v>16629.43</v>
      </c>
      <c r="Q83" s="18" t="n">
        <v>5371.59</v>
      </c>
      <c r="R83" s="18" t="n">
        <v>1350.59</v>
      </c>
      <c r="S83" s="18" t="n">
        <v>2152.55</v>
      </c>
      <c r="T83" s="18" t="n">
        <v>1179.42</v>
      </c>
      <c r="U83" s="35" t="n">
        <v>10054.15</v>
      </c>
      <c r="V83" s="18" t="n">
        <v>780.35</v>
      </c>
      <c r="W83" s="18" t="n">
        <v>1037.95</v>
      </c>
      <c r="X83" s="18" t="n">
        <v>9521.309999999999</v>
      </c>
      <c r="Y83" s="18" t="n">
        <v>1197.69</v>
      </c>
      <c r="Z83" s="35" t="n">
        <v>12537.3</v>
      </c>
      <c r="AA83" s="18" t="n">
        <v>9342.389999999999</v>
      </c>
      <c r="AB83" s="19" t="n">
        <v>7886.98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7415.08</v>
      </c>
      <c r="F84" s="9" t="n"/>
      <c r="G84" s="18" t="n">
        <v>8878.35</v>
      </c>
      <c r="H84" s="18" t="n">
        <v>8345.82</v>
      </c>
      <c r="I84" s="18" t="n">
        <v>13690.39</v>
      </c>
      <c r="J84" s="18" t="n">
        <v>13606.32</v>
      </c>
      <c r="K84" s="35" t="n">
        <v>44520.88</v>
      </c>
      <c r="L84" s="18" t="n">
        <v>8314.23</v>
      </c>
      <c r="M84" s="18" t="n">
        <v>5944.58</v>
      </c>
      <c r="N84" s="18" t="n">
        <v>7201.86</v>
      </c>
      <c r="O84" s="18" t="n">
        <v>8864.24</v>
      </c>
      <c r="P84" s="35" t="n">
        <v>30324.91</v>
      </c>
      <c r="Q84" s="18" t="n">
        <v>11888.35</v>
      </c>
      <c r="R84" s="18" t="n">
        <v>8806.139999999999</v>
      </c>
      <c r="S84" s="18" t="n">
        <v>5558.7</v>
      </c>
      <c r="T84" s="18" t="n">
        <v>3671.45</v>
      </c>
      <c r="U84" s="35" t="n">
        <v>29924.64</v>
      </c>
      <c r="V84" s="18" t="n">
        <v>2626.09</v>
      </c>
      <c r="W84" s="18" t="n">
        <v>6172.2</v>
      </c>
      <c r="X84" s="18" t="n">
        <v>14395.99</v>
      </c>
      <c r="Y84" s="18" t="n">
        <v>8405.51</v>
      </c>
      <c r="Z84" s="35" t="n">
        <v>31599.79</v>
      </c>
      <c r="AA84" s="18" t="n">
        <v>12964.28</v>
      </c>
      <c r="AB84" s="19" t="n">
        <v>10137.19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953.45</v>
      </c>
      <c r="F85" s="9" t="n"/>
      <c r="G85" s="18" t="n">
        <v>1093.67</v>
      </c>
      <c r="H85" s="18" t="n">
        <v>1698.22</v>
      </c>
      <c r="I85" s="18" t="n">
        <v>1734.54</v>
      </c>
      <c r="J85" s="18" t="n">
        <v>2335.83</v>
      </c>
      <c r="K85" s="35" t="n">
        <v>6862.26</v>
      </c>
      <c r="L85" s="18" t="n">
        <v>1459.93</v>
      </c>
      <c r="M85" s="18" t="n">
        <v>1851.69</v>
      </c>
      <c r="N85" s="18" t="n">
        <v>4256.05</v>
      </c>
      <c r="O85" s="18" t="n">
        <v>6127.81</v>
      </c>
      <c r="P85" s="35" t="n">
        <v>13695.48</v>
      </c>
      <c r="Q85" s="18" t="n">
        <v>6516.76</v>
      </c>
      <c r="R85" s="18" t="n">
        <v>7455.55</v>
      </c>
      <c r="S85" s="18" t="n">
        <v>3406.15</v>
      </c>
      <c r="T85" s="18" t="n">
        <v>2492.03</v>
      </c>
      <c r="U85" s="35" t="n">
        <v>19870.49</v>
      </c>
      <c r="V85" s="18" t="n">
        <v>1845.74</v>
      </c>
      <c r="W85" s="18" t="n">
        <v>5134.25</v>
      </c>
      <c r="X85" s="18" t="n">
        <v>4874.68</v>
      </c>
      <c r="Y85" s="18" t="n">
        <v>7207.82</v>
      </c>
      <c r="Z85" s="35" t="n">
        <v>19062.49</v>
      </c>
      <c r="AA85" s="18" t="n">
        <v>3621.89</v>
      </c>
      <c r="AB85" s="19" t="n">
        <v>2250.21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4861.65</v>
      </c>
      <c r="F86" s="9" t="n"/>
      <c r="G86" s="18" t="n">
        <v>14727.4</v>
      </c>
      <c r="H86" s="18" t="n">
        <v>-308.41</v>
      </c>
      <c r="I86" s="18" t="n">
        <v>20160.95</v>
      </c>
      <c r="J86" s="18" t="n">
        <v>21273.46</v>
      </c>
      <c r="K86" s="35" t="n">
        <v>55853.4</v>
      </c>
      <c r="L86" s="18" t="n">
        <v>11149.11</v>
      </c>
      <c r="M86" s="18" t="n">
        <v>19205.63</v>
      </c>
      <c r="N86" s="18" t="n">
        <v>62888.84</v>
      </c>
      <c r="O86" s="18" t="n">
        <v>-4269.59</v>
      </c>
      <c r="P86" s="35" t="n">
        <v>88973.99000000001</v>
      </c>
      <c r="Q86" s="18" t="n">
        <v>-4887.78</v>
      </c>
      <c r="R86" s="18" t="n">
        <v>5243.04</v>
      </c>
      <c r="S86" s="18" t="n">
        <v>-5169.97</v>
      </c>
      <c r="T86" s="18" t="n">
        <v>-8646.799999999999</v>
      </c>
      <c r="U86" s="35" t="n">
        <v>-13461.51</v>
      </c>
      <c r="V86" s="18" t="n">
        <v>-3440.56</v>
      </c>
      <c r="W86" s="18" t="n">
        <v>16064.18</v>
      </c>
      <c r="X86" s="18" t="n">
        <v>14746.44</v>
      </c>
      <c r="Y86" s="18" t="n">
        <v>-14297.97</v>
      </c>
      <c r="Z86" s="35" t="n">
        <v>13072.09</v>
      </c>
      <c r="AA86" s="18" t="n">
        <v>-4867.03</v>
      </c>
      <c r="AB86" s="19" t="n">
        <v>7456.99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19500.28</v>
      </c>
      <c r="F87" s="9" t="n"/>
      <c r="G87" s="18" t="n">
        <v>19300</v>
      </c>
      <c r="H87" s="18" t="n">
        <v>39337.34</v>
      </c>
      <c r="I87" s="18" t="n">
        <v>13607.98</v>
      </c>
      <c r="J87" s="18" t="n">
        <v>32151.63</v>
      </c>
      <c r="K87" s="35" t="n">
        <v>104396.95</v>
      </c>
      <c r="L87" s="18" t="n">
        <v>47748</v>
      </c>
      <c r="M87" s="18" t="n">
        <v>36771.39</v>
      </c>
      <c r="N87" s="18" t="n">
        <v>38966.42</v>
      </c>
      <c r="O87" s="18" t="n">
        <v>0</v>
      </c>
      <c r="P87" s="35" t="n">
        <v>123485.81</v>
      </c>
      <c r="S87" s="18" t="n">
        <v>45002.67</v>
      </c>
      <c r="T87" s="18" t="n">
        <v>17000</v>
      </c>
      <c r="U87" s="9" t="n"/>
      <c r="V87" s="18" t="n">
        <v>261.95</v>
      </c>
      <c r="W87" s="18" t="n">
        <v>24500</v>
      </c>
      <c r="X87" s="18" t="n">
        <v>0</v>
      </c>
      <c r="Y87" s="18" t="n">
        <v>43288.21</v>
      </c>
      <c r="Z87" s="35" t="n">
        <v>68050.16</v>
      </c>
      <c r="AA87" s="18" t="n">
        <v>0</v>
      </c>
      <c r="AB87" s="19" t="n">
        <v>18299.9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14400.28</v>
      </c>
      <c r="F88" s="9" t="n"/>
      <c r="G88" s="18" t="n">
        <v>10143.47</v>
      </c>
      <c r="H88" s="18" t="n">
        <v>36406.57</v>
      </c>
      <c r="I88" s="18" t="n">
        <v>0</v>
      </c>
      <c r="J88" s="18" t="n">
        <v>12905.26</v>
      </c>
      <c r="K88" s="35" t="n">
        <v>59455.3</v>
      </c>
      <c r="L88" s="18" t="n">
        <v>45704.37</v>
      </c>
      <c r="M88" s="18" t="n">
        <v>23638.07</v>
      </c>
      <c r="N88" s="18" t="n">
        <v>64500</v>
      </c>
      <c r="O88" s="18" t="n">
        <v>2981.26</v>
      </c>
      <c r="P88" s="35" t="n">
        <v>136823.7</v>
      </c>
      <c r="Q88" s="18" t="n">
        <v>500</v>
      </c>
      <c r="R88" s="18" t="n">
        <v>540.0599999999999</v>
      </c>
      <c r="S88" s="18" t="n">
        <v>47002.47</v>
      </c>
      <c r="T88" s="18" t="n">
        <v>24700</v>
      </c>
      <c r="U88" s="35" t="n">
        <v>72742.53</v>
      </c>
      <c r="V88" s="18" t="n">
        <v>261.95</v>
      </c>
      <c r="W88" s="18" t="n">
        <v>2500</v>
      </c>
      <c r="X88" s="18" t="n">
        <v>7416</v>
      </c>
      <c r="Y88" s="18" t="n">
        <v>44204.21</v>
      </c>
      <c r="Z88" s="35" t="n">
        <v>54382.16</v>
      </c>
      <c r="AA88" s="18" t="n">
        <v>416</v>
      </c>
      <c r="AB88" s="19" t="n">
        <v>6715.9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486.55</v>
      </c>
      <c r="F89" s="9" t="n"/>
      <c r="G89" s="18" t="n">
        <v>547.58</v>
      </c>
      <c r="H89" s="18" t="n">
        <v>634.99</v>
      </c>
      <c r="I89" s="18" t="n">
        <v>692.52</v>
      </c>
      <c r="J89" s="18" t="n">
        <v>866.27</v>
      </c>
      <c r="K89" s="35" t="n">
        <v>2741.36</v>
      </c>
      <c r="L89" s="18" t="n">
        <v>811.03</v>
      </c>
      <c r="M89" s="18" t="n">
        <v>842.89</v>
      </c>
      <c r="N89" s="18" t="n">
        <v>857.5</v>
      </c>
      <c r="O89" s="18" t="n">
        <v>863.65</v>
      </c>
      <c r="P89" s="35" t="n">
        <v>3375.07</v>
      </c>
      <c r="Q89" s="18" t="n">
        <v>1091.86</v>
      </c>
      <c r="R89" s="18" t="n">
        <v>1228.2</v>
      </c>
      <c r="S89" s="18" t="n">
        <v>1219.79</v>
      </c>
      <c r="T89" s="18" t="n">
        <v>1333.44</v>
      </c>
      <c r="U89" s="35" t="n">
        <v>4873.29</v>
      </c>
      <c r="V89" s="18" t="n">
        <v>1320.22</v>
      </c>
      <c r="W89" s="18" t="n">
        <v>1290.28</v>
      </c>
      <c r="X89" s="18" t="n">
        <v>1280.38</v>
      </c>
      <c r="Y89" s="18" t="n">
        <v>1320.97</v>
      </c>
      <c r="Z89" s="35" t="n">
        <v>5211.85</v>
      </c>
      <c r="AA89" s="18" t="n">
        <v>1823.8</v>
      </c>
      <c r="AB89" s="19" t="n">
        <v>1642.69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유동성장기부채의감소</t>
        </is>
      </c>
      <c r="E90" s="18" t="n">
        <v>95</v>
      </c>
      <c r="F90" s="9" t="n"/>
      <c r="G90" s="18" t="n">
        <v>95</v>
      </c>
      <c r="H90" s="18" t="n">
        <v>6319.1</v>
      </c>
      <c r="I90" s="18" t="n">
        <v>300.92</v>
      </c>
      <c r="J90" s="18" t="n">
        <v>4095</v>
      </c>
      <c r="K90" s="35" t="n">
        <v>10810.02</v>
      </c>
      <c r="L90" s="18" t="n">
        <v>309.44</v>
      </c>
      <c r="M90" s="18" t="n">
        <v>309.28</v>
      </c>
      <c r="N90" s="18" t="n">
        <v>394.38</v>
      </c>
      <c r="O90" s="18" t="n">
        <v>3519.26</v>
      </c>
      <c r="P90" s="35" t="n">
        <v>4532.36</v>
      </c>
      <c r="Q90" s="18" t="n">
        <v>4029.75</v>
      </c>
      <c r="R90" s="18" t="n">
        <v>5506.28</v>
      </c>
      <c r="S90" s="18" t="n">
        <v>1193.71</v>
      </c>
      <c r="T90" s="18" t="n">
        <v>1041.1</v>
      </c>
      <c r="U90" s="35" t="n">
        <v>11770.84</v>
      </c>
      <c r="V90" s="18" t="n">
        <v>1035.89</v>
      </c>
      <c r="W90" s="18" t="n">
        <v>3528.32</v>
      </c>
      <c r="X90" s="18" t="n">
        <v>3699.34</v>
      </c>
      <c r="Y90" s="18" t="n">
        <v>3635.61</v>
      </c>
      <c r="Z90" s="35" t="n">
        <v>11899.16</v>
      </c>
      <c r="AA90" s="18" t="n">
        <v>3472.47</v>
      </c>
      <c r="AB90" s="19" t="n">
        <v>960.5700000000001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6000</v>
      </c>
      <c r="H91" s="18" t="n">
        <v>4000</v>
      </c>
      <c r="I91" s="18" t="n">
        <v>7500</v>
      </c>
      <c r="J91" s="18" t="n">
        <v>7000</v>
      </c>
      <c r="K91" s="35" t="n">
        <v>24500</v>
      </c>
      <c r="L91" s="18" t="n">
        <v>10000</v>
      </c>
      <c r="M91" s="18" t="n">
        <v>8000</v>
      </c>
      <c r="N91" s="18" t="n">
        <v>0</v>
      </c>
      <c r="O91" s="18" t="n">
        <v>3000</v>
      </c>
      <c r="P91" s="35" t="n">
        <v>21000</v>
      </c>
      <c r="Q91" s="18" t="n">
        <v>3500</v>
      </c>
      <c r="R91" s="18" t="n">
        <v>5000</v>
      </c>
      <c r="S91" s="18" t="n">
        <v>0</v>
      </c>
      <c r="T91" s="18" t="n">
        <v>2200</v>
      </c>
      <c r="U91" s="35" t="n">
        <v>10700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2528.86</v>
      </c>
      <c r="F93" s="9" t="n"/>
      <c r="G93" s="18" t="n">
        <v>-2598</v>
      </c>
      <c r="H93" s="18" t="n">
        <v>-1151.85</v>
      </c>
      <c r="I93" s="18" t="n">
        <v>7150.31</v>
      </c>
      <c r="J93" s="18" t="n">
        <v>-1206.84</v>
      </c>
      <c r="K93" s="35" t="n">
        <v>2193.62</v>
      </c>
      <c r="L93" s="18" t="n">
        <v>-6507.7</v>
      </c>
      <c r="M93" s="18" t="n">
        <v>8808.1</v>
      </c>
      <c r="N93" s="18" t="n">
        <v>20487.59</v>
      </c>
      <c r="O93" s="18" t="n">
        <v>8450.41</v>
      </c>
      <c r="P93" s="35" t="n">
        <v>31238.4</v>
      </c>
      <c r="Q93" s="18" t="n">
        <v>-16546.84</v>
      </c>
      <c r="R93" s="18" t="n">
        <v>-9625.35</v>
      </c>
      <c r="S93" s="18" t="n">
        <v>-3306.9</v>
      </c>
      <c r="T93" s="18" t="n">
        <v>-6560.34</v>
      </c>
      <c r="U93" s="35" t="n">
        <v>-36039.43</v>
      </c>
      <c r="V93" s="18" t="n">
        <v>1978.82</v>
      </c>
      <c r="W93" s="18" t="n">
        <v>-6498.75</v>
      </c>
      <c r="X93" s="18" t="n">
        <v>6465.48</v>
      </c>
      <c r="Y93" s="18" t="n">
        <v>9033.42</v>
      </c>
      <c r="Z93" s="35" t="n">
        <v>10978.97</v>
      </c>
      <c r="AA93" s="18" t="n">
        <v>-1789.57</v>
      </c>
      <c r="AB93" s="19" t="n">
        <v>-6979.81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2428.42</v>
      </c>
      <c r="F94" s="9" t="n"/>
      <c r="G94" s="18" t="n">
        <v>20133.03</v>
      </c>
      <c r="H94" s="18" t="n">
        <v>-871.03</v>
      </c>
      <c r="I94" s="18" t="n">
        <v>7644.15</v>
      </c>
      <c r="J94" s="18" t="n">
        <v>-2491.58</v>
      </c>
      <c r="K94" s="35" t="n">
        <v>24414.57</v>
      </c>
      <c r="L94" s="18" t="n">
        <v>17940.93</v>
      </c>
      <c r="M94" s="18" t="n">
        <v>8898.040000000001</v>
      </c>
      <c r="N94" s="18" t="n">
        <v>21021.81</v>
      </c>
      <c r="O94" s="18" t="n">
        <v>8087.96</v>
      </c>
      <c r="P94" s="35" t="n">
        <v>55948.74</v>
      </c>
      <c r="Q94" s="18" t="n">
        <v>39907.26</v>
      </c>
      <c r="R94" s="18" t="n">
        <v>-9236.35</v>
      </c>
      <c r="S94" s="18" t="n">
        <v>-4192.04</v>
      </c>
      <c r="T94" s="18" t="n">
        <v>-4992.2</v>
      </c>
      <c r="U94" s="35" t="n">
        <v>21486.67</v>
      </c>
      <c r="V94" s="18" t="n">
        <v>24147.18</v>
      </c>
      <c r="W94" s="18" t="n">
        <v>-6931.21</v>
      </c>
      <c r="X94" s="18" t="n">
        <v>6303.43</v>
      </c>
      <c r="Y94" s="18" t="n">
        <v>9326.450000000001</v>
      </c>
      <c r="Z94" s="35" t="n">
        <v>32845.85</v>
      </c>
      <c r="AA94" s="18" t="n">
        <v>31798.82</v>
      </c>
      <c r="AB94" s="19" t="n">
        <v>-6699.45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J95" s="18" t="n">
        <v>352.39</v>
      </c>
      <c r="K95" s="9" t="n"/>
      <c r="P95" s="9" t="n"/>
      <c r="U95" s="9" t="n"/>
      <c r="X95" s="18" t="n">
        <v>0</v>
      </c>
      <c r="Y95" s="18" t="n">
        <v>4996.88</v>
      </c>
      <c r="Z95" s="9" t="n"/>
      <c r="AA95" s="18" t="n">
        <v>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사채의증가</t>
        </is>
      </c>
      <c r="F96" s="9" t="n"/>
      <c r="K96" s="9" t="n"/>
      <c r="P96" s="9" t="n"/>
      <c r="U96" s="9" t="n"/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5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5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5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5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5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5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5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5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5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5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5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5" t="n">
        <v>5896.06</v>
      </c>
      <c r="M7" s="18" t="n">
        <v>10834.26</v>
      </c>
      <c r="N7" s="18" t="n">
        <v>65030.04</v>
      </c>
      <c r="O7" s="18" t="n">
        <v>66353.66</v>
      </c>
      <c r="P7" s="35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5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5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5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5" t="n">
        <v>5896.06</v>
      </c>
      <c r="M8" s="18" t="n">
        <v>10834.26</v>
      </c>
      <c r="N8" s="18" t="n">
        <v>65030.04</v>
      </c>
      <c r="O8" s="18" t="n">
        <v>66353.66</v>
      </c>
      <c r="P8" s="35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5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5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5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5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5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5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5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5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5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5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5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5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5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5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5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5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5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5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5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5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5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5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5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5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5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5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5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5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5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5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5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5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5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5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5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5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5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5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5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5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5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5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5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5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5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5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5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5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5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5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5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5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5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5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5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5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5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5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5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5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5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5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5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5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5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5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5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5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5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5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5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5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5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5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5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5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5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5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5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5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5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5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5" t="n">
        <v>44200</v>
      </c>
      <c r="Q26" s="18" t="n">
        <v>43700</v>
      </c>
      <c r="R26" s="18" t="n">
        <v>52699.8</v>
      </c>
      <c r="U26" s="9" t="n"/>
      <c r="W26" s="18" t="n">
        <v>65000</v>
      </c>
      <c r="X26" s="18" t="n">
        <v>57584</v>
      </c>
      <c r="Y26" s="18" t="n">
        <v>56668</v>
      </c>
      <c r="Z26" s="35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5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5" t="n">
        <v>4108.71</v>
      </c>
      <c r="L27" s="18" t="n">
        <v>7608.55</v>
      </c>
      <c r="M27" s="18" t="n">
        <v>8858.549999999999</v>
      </c>
      <c r="P27" s="9" t="n"/>
      <c r="U27" s="9" t="n"/>
      <c r="W27" s="18" t="n">
        <v>10647.12</v>
      </c>
      <c r="X27" s="18" t="n">
        <v>8052.12</v>
      </c>
      <c r="Y27" s="18" t="n">
        <v>10557.12</v>
      </c>
      <c r="Z27" s="35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5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5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5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5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5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5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5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5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5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5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5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5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5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5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5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13740</v>
      </c>
      <c r="F31" s="35" t="n">
        <v>13740</v>
      </c>
      <c r="G31" s="18" t="n">
        <v>19430.56</v>
      </c>
      <c r="H31" s="18" t="n">
        <v>23121.28</v>
      </c>
      <c r="I31" s="18" t="n">
        <v>30440.57</v>
      </c>
      <c r="J31" s="18" t="n">
        <v>34131.29</v>
      </c>
      <c r="K31" s="35" t="n">
        <v>34131.29</v>
      </c>
      <c r="L31" s="18" t="n">
        <v>40322.01</v>
      </c>
      <c r="M31" s="18" t="n">
        <v>46762.73</v>
      </c>
      <c r="N31" s="18" t="n">
        <v>44574.88</v>
      </c>
      <c r="O31" s="18" t="n">
        <v>45515.6</v>
      </c>
      <c r="P31" s="35" t="n">
        <v>45515.6</v>
      </c>
      <c r="Q31" s="18" t="n">
        <v>46956.32</v>
      </c>
      <c r="R31" s="18" t="n">
        <v>51147.04</v>
      </c>
      <c r="U31" s="9" t="n"/>
      <c r="W31" s="18" t="n">
        <v>40199.92</v>
      </c>
      <c r="X31" s="18" t="n">
        <v>65485.64</v>
      </c>
      <c r="Y31" s="18" t="n">
        <v>39001.36</v>
      </c>
      <c r="Z31" s="35" t="n">
        <v>39001.36</v>
      </c>
      <c r="AA31" s="18" t="n">
        <v>34787.08</v>
      </c>
      <c r="AB31" s="19" t="n">
        <v>33460.3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11041.97</v>
      </c>
      <c r="F32" s="35" t="n">
        <v>11041.97</v>
      </c>
      <c r="G32" s="18" t="n">
        <v>10475.15</v>
      </c>
      <c r="H32" s="18" t="n">
        <v>10580.99</v>
      </c>
      <c r="I32" s="18" t="n">
        <v>11133.36</v>
      </c>
      <c r="J32" s="18" t="n">
        <v>11559.3</v>
      </c>
      <c r="K32" s="35" t="n">
        <v>11559.3</v>
      </c>
      <c r="L32" s="18" t="n">
        <v>11578.81</v>
      </c>
      <c r="M32" s="18" t="n">
        <v>11849.68</v>
      </c>
      <c r="N32" s="18" t="n">
        <v>12356.86</v>
      </c>
      <c r="O32" s="18" t="n">
        <v>13019.73</v>
      </c>
      <c r="P32" s="35" t="n">
        <v>13019.73</v>
      </c>
      <c r="Q32" s="18" t="n">
        <v>13236.29</v>
      </c>
      <c r="R32" s="18" t="n">
        <v>15869.6</v>
      </c>
      <c r="S32" s="18" t="n">
        <v>15891.02</v>
      </c>
      <c r="T32" s="18" t="n">
        <v>12980.94</v>
      </c>
      <c r="U32" s="35" t="n">
        <v>12980.94</v>
      </c>
      <c r="V32" s="18" t="n">
        <v>13618.21</v>
      </c>
      <c r="W32" s="18" t="n">
        <v>14199.84</v>
      </c>
      <c r="X32" s="18" t="n">
        <v>14951.28</v>
      </c>
      <c r="Y32" s="18" t="n">
        <v>7768.96</v>
      </c>
      <c r="Z32" s="35" t="n">
        <v>7768.96</v>
      </c>
      <c r="AA32" s="18" t="n">
        <v>8580.200000000001</v>
      </c>
      <c r="AB32" s="19" t="n">
        <v>9079.120000000001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1398.1</v>
      </c>
      <c r="F33" s="35" t="n">
        <v>1398.1</v>
      </c>
      <c r="G33" s="18" t="n">
        <v>1578.15</v>
      </c>
      <c r="H33" s="18" t="n">
        <v>1807.28</v>
      </c>
      <c r="I33" s="18" t="n">
        <v>2054.17</v>
      </c>
      <c r="J33" s="18" t="n">
        <v>2174.96</v>
      </c>
      <c r="K33" s="35" t="n">
        <v>2174.96</v>
      </c>
      <c r="L33" s="18" t="n">
        <v>2624.62</v>
      </c>
      <c r="M33" s="18" t="n">
        <v>3270.61</v>
      </c>
      <c r="N33" s="18" t="n">
        <v>3892.93</v>
      </c>
      <c r="O33" s="18" t="n">
        <v>3477.89</v>
      </c>
      <c r="P33" s="35" t="n">
        <v>3477.89</v>
      </c>
      <c r="Q33" s="18" t="n">
        <v>3426.62</v>
      </c>
      <c r="R33" s="18" t="n">
        <v>3872.71</v>
      </c>
      <c r="S33" s="18" t="n">
        <v>4102.07</v>
      </c>
      <c r="T33" s="18" t="n">
        <v>3880.68</v>
      </c>
      <c r="U33" s="35" t="n">
        <v>3880.68</v>
      </c>
      <c r="V33" s="18" t="n">
        <v>3556.13</v>
      </c>
      <c r="W33" s="18" t="n">
        <v>3746.81</v>
      </c>
      <c r="X33" s="18" t="n">
        <v>3551.06</v>
      </c>
      <c r="Y33" s="18" t="n">
        <v>3707.46</v>
      </c>
      <c r="Z33" s="35" t="n">
        <v>3707.46</v>
      </c>
      <c r="AA33" s="18" t="n">
        <v>4188.55</v>
      </c>
      <c r="AB33" s="19" t="n">
        <v>4230.55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79479.03999999999</v>
      </c>
      <c r="F34" s="35" t="n">
        <v>79479.03999999999</v>
      </c>
      <c r="G34" s="18" t="n">
        <v>101069.87</v>
      </c>
      <c r="H34" s="18" t="n">
        <v>108067.53</v>
      </c>
      <c r="I34" s="18" t="n">
        <v>136531.81</v>
      </c>
      <c r="J34" s="18" t="n">
        <v>175503.63</v>
      </c>
      <c r="K34" s="35" t="n">
        <v>175503.63</v>
      </c>
      <c r="L34" s="18" t="n">
        <v>178800.2</v>
      </c>
      <c r="M34" s="18" t="n">
        <v>175877.93</v>
      </c>
      <c r="N34" s="18" t="n">
        <v>157074.34</v>
      </c>
      <c r="O34" s="18" t="n">
        <v>153177.76</v>
      </c>
      <c r="P34" s="35" t="n">
        <v>153177.76</v>
      </c>
      <c r="Q34" s="18" t="n">
        <v>146945.78</v>
      </c>
      <c r="R34" s="18" t="n">
        <v>187052.85</v>
      </c>
      <c r="S34" s="18" t="n">
        <v>173262.36</v>
      </c>
      <c r="T34" s="18" t="n">
        <v>148190.05</v>
      </c>
      <c r="U34" s="35" t="n">
        <v>148190.05</v>
      </c>
      <c r="V34" s="18" t="n">
        <v>155470.37</v>
      </c>
      <c r="W34" s="18" t="n">
        <v>198173.86</v>
      </c>
      <c r="X34" s="18" t="n">
        <v>216815.78</v>
      </c>
      <c r="Y34" s="18" t="n">
        <v>214277.66</v>
      </c>
      <c r="Z34" s="35" t="n">
        <v>214277.66</v>
      </c>
      <c r="AA34" s="18" t="n">
        <v>196350.63</v>
      </c>
      <c r="AB34" s="19" t="n">
        <v>227815.28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5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5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5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5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5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5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5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5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5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5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-2363.06</v>
      </c>
      <c r="F37" s="35" t="n">
        <v>-2363.06</v>
      </c>
      <c r="G37" s="18" t="n">
        <v>-1621.85</v>
      </c>
      <c r="H37" s="18" t="n">
        <v>-1029.12</v>
      </c>
      <c r="I37" s="18" t="n">
        <v>709.52</v>
      </c>
      <c r="J37" s="18" t="n">
        <v>-1944.37</v>
      </c>
      <c r="K37" s="35" t="n">
        <v>-1944.37</v>
      </c>
      <c r="L37" s="18" t="n">
        <v>-542.62</v>
      </c>
      <c r="M37" s="18" t="n">
        <v>20.47</v>
      </c>
      <c r="N37" s="18" t="n">
        <v>776.47</v>
      </c>
      <c r="O37" s="18" t="n">
        <v>330.67</v>
      </c>
      <c r="P37" s="35" t="n">
        <v>330.67</v>
      </c>
      <c r="Q37" s="18" t="n">
        <v>-1563.31</v>
      </c>
      <c r="R37" s="18" t="n">
        <v>-2398.85</v>
      </c>
      <c r="S37" s="18" t="n">
        <v>-3913.35</v>
      </c>
      <c r="T37" s="18" t="n">
        <v>-4023.88</v>
      </c>
      <c r="U37" s="35" t="n">
        <v>-4023.88</v>
      </c>
      <c r="V37" s="18" t="n">
        <v>-5620.98</v>
      </c>
      <c r="W37" s="18" t="n">
        <v>-7408.13</v>
      </c>
      <c r="X37" s="18" t="n">
        <v>-6016.04</v>
      </c>
      <c r="Y37" s="18" t="n">
        <v>-11368.14</v>
      </c>
      <c r="Z37" s="35" t="n">
        <v>-11368.14</v>
      </c>
      <c r="AA37" s="18" t="n">
        <v>-10026.17</v>
      </c>
      <c r="AB37" s="19" t="n">
        <v>-8946.030000000001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39151.77</v>
      </c>
      <c r="F38" s="35" t="n">
        <v>39151.77</v>
      </c>
      <c r="G38" s="18" t="n">
        <v>39307.42</v>
      </c>
      <c r="H38" s="18" t="n">
        <v>45687.72</v>
      </c>
      <c r="I38" s="18" t="n">
        <v>49995.47</v>
      </c>
      <c r="J38" s="18" t="n">
        <v>51728.33</v>
      </c>
      <c r="K38" s="35" t="n">
        <v>51728.33</v>
      </c>
      <c r="L38" s="18" t="n">
        <v>50275.17</v>
      </c>
      <c r="M38" s="18" t="n">
        <v>55670.62</v>
      </c>
      <c r="N38" s="18" t="n">
        <v>53722.53</v>
      </c>
      <c r="O38" s="18" t="n">
        <v>54651.74</v>
      </c>
      <c r="P38" s="35" t="n">
        <v>54651.74</v>
      </c>
      <c r="Q38" s="18" t="n">
        <v>52479.02</v>
      </c>
      <c r="R38" s="18" t="n">
        <v>50075.91</v>
      </c>
      <c r="S38" s="18" t="n">
        <v>41122.44</v>
      </c>
      <c r="T38" s="18" t="n">
        <v>48714.55</v>
      </c>
      <c r="U38" s="35" t="n">
        <v>48714.55</v>
      </c>
      <c r="V38" s="18" t="n">
        <v>36657.83</v>
      </c>
      <c r="W38" s="18" t="n">
        <v>29022.13</v>
      </c>
      <c r="X38" s="18" t="n">
        <v>35890.85</v>
      </c>
      <c r="Y38" s="18" t="n">
        <v>57069.34</v>
      </c>
      <c r="Z38" s="35" t="n">
        <v>57069.34</v>
      </c>
      <c r="AA38" s="18" t="n">
        <v>68859.16</v>
      </c>
      <c r="AB38" s="19" t="n">
        <v>70973.14999999999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160801.77</v>
      </c>
      <c r="F39" s="35" t="n">
        <v>160801.77</v>
      </c>
      <c r="G39" s="18" t="n">
        <v>161884.44</v>
      </c>
      <c r="H39" s="18" t="n">
        <v>169290.85</v>
      </c>
      <c r="I39" s="18" t="n">
        <v>175442.39</v>
      </c>
      <c r="J39" s="18" t="n">
        <v>174774.87</v>
      </c>
      <c r="K39" s="35" t="n">
        <v>174774.87</v>
      </c>
      <c r="L39" s="18" t="n">
        <v>174858.81</v>
      </c>
      <c r="M39" s="18" t="n">
        <v>180860.57</v>
      </c>
      <c r="N39" s="18" t="n">
        <v>269276.22</v>
      </c>
      <c r="O39" s="18" t="n">
        <v>270184.59</v>
      </c>
      <c r="P39" s="35" t="n">
        <v>270184.59</v>
      </c>
      <c r="Q39" s="18" t="n">
        <v>266173.42</v>
      </c>
      <c r="R39" s="18" t="n">
        <v>263260.34</v>
      </c>
      <c r="S39" s="18" t="n">
        <v>252839.06</v>
      </c>
      <c r="T39" s="18" t="n">
        <v>260456.55</v>
      </c>
      <c r="U39" s="35" t="n">
        <v>260456.55</v>
      </c>
      <c r="V39" s="18" t="n">
        <v>246944.26</v>
      </c>
      <c r="W39" s="18" t="n">
        <v>237568.37</v>
      </c>
      <c r="X39" s="18" t="n">
        <v>245996.6</v>
      </c>
      <c r="Y39" s="18" t="n">
        <v>262061.29</v>
      </c>
      <c r="Z39" s="35" t="n">
        <v>262061.29</v>
      </c>
      <c r="AA39" s="18" t="n">
        <v>276018.61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240280.81</v>
      </c>
      <c r="F40" s="35" t="n">
        <v>240280.81</v>
      </c>
      <c r="G40" s="18" t="n">
        <v>262954.31</v>
      </c>
      <c r="H40" s="18" t="n">
        <v>277358.39</v>
      </c>
      <c r="I40" s="18" t="n">
        <v>311974.2</v>
      </c>
      <c r="J40" s="18" t="n">
        <v>350278.5</v>
      </c>
      <c r="K40" s="35" t="n">
        <v>350278.5</v>
      </c>
      <c r="L40" s="18" t="n">
        <v>353659.01</v>
      </c>
      <c r="M40" s="18" t="n">
        <v>356738.51</v>
      </c>
      <c r="N40" s="18" t="n">
        <v>426350.56</v>
      </c>
      <c r="O40" s="18" t="n">
        <v>423362.35</v>
      </c>
      <c r="P40" s="35" t="n">
        <v>423362.35</v>
      </c>
      <c r="Q40" s="18" t="n">
        <v>413119.2</v>
      </c>
      <c r="R40" s="18" t="n">
        <v>450313.18</v>
      </c>
      <c r="S40" s="18" t="n">
        <v>426101.42</v>
      </c>
      <c r="T40" s="18" t="n">
        <v>408646.6</v>
      </c>
      <c r="U40" s="35" t="n">
        <v>408646.6</v>
      </c>
      <c r="V40" s="18" t="n">
        <v>402414.62</v>
      </c>
      <c r="W40" s="18" t="n">
        <v>435742.23</v>
      </c>
      <c r="X40" s="18" t="n">
        <v>462812.38</v>
      </c>
      <c r="Y40" s="18" t="n">
        <v>476338.95</v>
      </c>
      <c r="Z40" s="35" t="n">
        <v>476338.95</v>
      </c>
      <c r="AA40" s="18" t="n">
        <v>472369.24</v>
      </c>
      <c r="AB40" s="19" t="n">
        <v>507518.55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160801.77</v>
      </c>
      <c r="F41" s="35" t="n">
        <v>160801.77</v>
      </c>
      <c r="G41" s="18" t="n">
        <v>161884.44</v>
      </c>
      <c r="H41" s="18" t="n">
        <v>169290.85</v>
      </c>
      <c r="I41" s="18" t="n">
        <v>175442.39</v>
      </c>
      <c r="J41" s="18" t="n">
        <v>174774.87</v>
      </c>
      <c r="K41" s="35" t="n">
        <v>174774.87</v>
      </c>
      <c r="L41" s="18" t="n">
        <v>174858.81</v>
      </c>
      <c r="M41" s="18" t="n">
        <v>180860.57</v>
      </c>
      <c r="N41" s="18" t="n">
        <v>269276.22</v>
      </c>
      <c r="O41" s="18" t="n">
        <v>270184.59</v>
      </c>
      <c r="P41" s="35" t="n">
        <v>270184.59</v>
      </c>
      <c r="Q41" s="18" t="n">
        <v>266173.42</v>
      </c>
      <c r="R41" s="18" t="n">
        <v>263260.34</v>
      </c>
      <c r="S41" s="18" t="n">
        <v>252839.06</v>
      </c>
      <c r="T41" s="18" t="n">
        <v>260456.55</v>
      </c>
      <c r="U41" s="35" t="n">
        <v>260456.55</v>
      </c>
      <c r="V41" s="18" t="n">
        <v>246944.26</v>
      </c>
      <c r="W41" s="18" t="n">
        <v>237568.37</v>
      </c>
      <c r="X41" s="18" t="n">
        <v>245996.6</v>
      </c>
      <c r="Y41" s="18" t="n">
        <v>262061.29</v>
      </c>
      <c r="Z41" s="35" t="n">
        <v>262061.29</v>
      </c>
      <c r="AA41" s="18" t="n">
        <v>276018.61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34720</v>
      </c>
      <c r="F42" s="35" t="n">
        <v>34720</v>
      </c>
      <c r="G42" s="18" t="n">
        <v>50625</v>
      </c>
      <c r="H42" s="18" t="n">
        <v>52760</v>
      </c>
      <c r="I42" s="18" t="n">
        <v>72435</v>
      </c>
      <c r="J42" s="18" t="n">
        <v>95763.05</v>
      </c>
      <c r="K42" s="35" t="n">
        <v>95763.05</v>
      </c>
      <c r="L42" s="18" t="n">
        <v>107678.49</v>
      </c>
      <c r="M42" s="18" t="n">
        <v>128321.28</v>
      </c>
      <c r="N42" s="18" t="n">
        <v>89774.88</v>
      </c>
      <c r="O42" s="18" t="n">
        <v>89715.60000000001</v>
      </c>
      <c r="P42" s="35" t="n">
        <v>89715.60000000001</v>
      </c>
      <c r="Q42" s="18" t="n">
        <v>90656.32000000001</v>
      </c>
      <c r="R42" s="18" t="n">
        <v>103846.84</v>
      </c>
      <c r="U42" s="9" t="n"/>
      <c r="W42" s="18" t="n">
        <v>115847.04</v>
      </c>
      <c r="X42" s="18" t="n">
        <v>131121.76</v>
      </c>
      <c r="Y42" s="18" t="n">
        <v>126226.48</v>
      </c>
      <c r="Z42" s="35" t="n">
        <v>126226.48</v>
      </c>
      <c r="AA42" s="18" t="n">
        <v>122596.2</v>
      </c>
      <c r="AB42" s="19" t="n">
        <v>133465.92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-15899.55</v>
      </c>
      <c r="F43" s="35" t="n">
        <v>-15899.55</v>
      </c>
      <c r="G43" s="18" t="n">
        <v>7942.81</v>
      </c>
      <c r="H43" s="18" t="n">
        <v>22538.21</v>
      </c>
      <c r="I43" s="18" t="n">
        <v>35648.29</v>
      </c>
      <c r="J43" s="18" t="n">
        <v>75396.64999999999</v>
      </c>
      <c r="K43" s="35" t="n">
        <v>75396.64999999999</v>
      </c>
      <c r="L43" s="18" t="n">
        <v>99734.75999999999</v>
      </c>
      <c r="M43" s="18" t="n">
        <v>103016.67</v>
      </c>
      <c r="N43" s="18" t="n">
        <v>-5354.95</v>
      </c>
      <c r="O43" s="18" t="n">
        <v>-21170.07</v>
      </c>
      <c r="P43" s="35" t="n">
        <v>-21170.07</v>
      </c>
      <c r="Q43" s="18" t="n">
        <v>-8818.559999999999</v>
      </c>
      <c r="R43" s="18" t="n">
        <v>11123.62</v>
      </c>
      <c r="U43" s="9" t="n"/>
      <c r="W43" s="18" t="n">
        <v>95464.39</v>
      </c>
      <c r="X43" s="18" t="n">
        <v>113782.89</v>
      </c>
      <c r="Y43" s="18" t="n">
        <v>105575.11</v>
      </c>
      <c r="Z43" s="35" t="n">
        <v>105575.11</v>
      </c>
      <c r="AA43" s="18" t="n">
        <v>112033.74</v>
      </c>
      <c r="AB43" s="19" t="n">
        <v>118487.61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59711.71</v>
      </c>
      <c r="F44" s="35" t="n">
        <v>59711.71</v>
      </c>
      <c r="G44" s="18" t="n">
        <v>53307.76</v>
      </c>
      <c r="H44" s="18" t="n">
        <v>45083.84</v>
      </c>
      <c r="I44" s="18" t="n">
        <v>51070.19</v>
      </c>
      <c r="J44" s="18" t="n">
        <v>38820.82</v>
      </c>
      <c r="K44" s="35" t="n">
        <v>38820.82</v>
      </c>
      <c r="L44" s="18" t="n">
        <v>25202.48</v>
      </c>
      <c r="M44" s="18" t="n">
        <v>42736.37</v>
      </c>
      <c r="N44" s="18" t="n">
        <v>112083.09</v>
      </c>
      <c r="O44" s="18" t="n">
        <v>126000.63</v>
      </c>
      <c r="P44" s="35" t="n">
        <v>126000.63</v>
      </c>
      <c r="Q44" s="18" t="n">
        <v>122136.7</v>
      </c>
      <c r="R44" s="18" t="n">
        <v>122015.77</v>
      </c>
      <c r="S44" s="18" t="n">
        <v>91824.07000000001</v>
      </c>
      <c r="T44" s="18" t="n">
        <v>96237.10000000001</v>
      </c>
      <c r="U44" s="35" t="n">
        <v>96237.10000000001</v>
      </c>
      <c r="V44" s="18" t="n">
        <v>100754.44</v>
      </c>
      <c r="W44" s="18" t="n">
        <v>80528.21000000001</v>
      </c>
      <c r="X44" s="18" t="n">
        <v>68651.09</v>
      </c>
      <c r="Y44" s="18" t="n">
        <v>68404.19</v>
      </c>
      <c r="Z44" s="35" t="n">
        <v>68404.19</v>
      </c>
      <c r="AA44" s="18" t="n">
        <v>66749.42</v>
      </c>
      <c r="AB44" s="19" t="n">
        <v>67720.21000000001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단기파생상품부채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5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G46" s="18" t="n">
        <v>199.85</v>
      </c>
      <c r="H46" s="18" t="n">
        <v>2126.26</v>
      </c>
      <c r="I46" s="18" t="n">
        <v>4487.19</v>
      </c>
      <c r="J46" s="18" t="n">
        <v>746.6799999999999</v>
      </c>
      <c r="K46" s="35" t="n">
        <v>746.6799999999999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45200</v>
      </c>
      <c r="O47" s="18" t="n">
        <v>44200</v>
      </c>
      <c r="P47" s="35" t="n">
        <v>44200</v>
      </c>
      <c r="Q47" s="18" t="n">
        <v>43700</v>
      </c>
      <c r="R47" s="18" t="n">
        <v>52699.8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당기법인세자산(선급법인세)</t>
        </is>
      </c>
      <c r="F48" s="9" t="n"/>
      <c r="K48" s="9" t="n"/>
      <c r="P48" s="9" t="n"/>
      <c r="U48" s="9" t="n"/>
      <c r="W48" s="18" t="n">
        <v>95.23</v>
      </c>
      <c r="X48" s="18" t="n">
        <v>130.91</v>
      </c>
      <c r="Y48" s="18" t="n">
        <v>0</v>
      </c>
      <c r="Z48" s="35" t="n">
        <v>0</v>
      </c>
      <c r="AA48" s="18" t="n">
        <v>25.58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당기법인세부채(미지급법인세)</t>
        </is>
      </c>
      <c r="F49" s="9" t="n"/>
      <c r="K49" s="9" t="n"/>
      <c r="P49" s="9" t="n"/>
      <c r="U49" s="9" t="n"/>
      <c r="Y49" s="18" t="n">
        <v>1524.42</v>
      </c>
      <c r="Z49" s="35" t="n">
        <v>1524.42</v>
      </c>
      <c r="AA49" s="18" t="n">
        <v>1071.81</v>
      </c>
      <c r="AB49" s="19" t="n">
        <v>1578.9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K50" s="9" t="n"/>
      <c r="P50" s="9" t="n"/>
      <c r="U50" s="9" t="n"/>
      <c r="Y50" s="18" t="n">
        <v>20000</v>
      </c>
      <c r="Z50" s="35" t="n">
        <v>20000</v>
      </c>
      <c r="AA50" s="18" t="n">
        <v>20000</v>
      </c>
      <c r="AB50" s="19" t="n">
        <v>20000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K51" s="9" t="n"/>
      <c r="P51" s="9" t="n"/>
      <c r="U51" s="9" t="n"/>
      <c r="Z51" s="9" t="n"/>
      <c r="AB51" s="19" t="n">
        <v>7777.84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37973.82</v>
      </c>
      <c r="F52" s="9" t="n"/>
      <c r="G52" s="18" t="n">
        <v>33141.38</v>
      </c>
      <c r="H52" s="18" t="n">
        <v>49450.78</v>
      </c>
      <c r="I52" s="18" t="n">
        <v>49183.97</v>
      </c>
      <c r="J52" s="18" t="n">
        <v>83818.2</v>
      </c>
      <c r="K52" s="35" t="n">
        <v>215594.33</v>
      </c>
      <c r="L52" s="18" t="n">
        <v>46976.74</v>
      </c>
      <c r="M52" s="18" t="n">
        <v>74811.03999999999</v>
      </c>
      <c r="N52" s="18" t="n">
        <v>61103.01</v>
      </c>
      <c r="O52" s="18" t="n">
        <v>81708.21000000001</v>
      </c>
      <c r="P52" s="35" t="n">
        <v>264599</v>
      </c>
      <c r="Q52" s="18" t="n">
        <v>38646.54</v>
      </c>
      <c r="R52" s="18" t="n">
        <v>57830.18</v>
      </c>
      <c r="S52" s="18" t="n">
        <v>58652.2</v>
      </c>
      <c r="T52" s="18" t="n">
        <v>57547.24</v>
      </c>
      <c r="U52" s="35" t="n">
        <v>212676.16</v>
      </c>
      <c r="V52" s="18" t="n">
        <v>37869.34</v>
      </c>
      <c r="W52" s="18" t="n">
        <v>65481.74</v>
      </c>
      <c r="X52" s="18" t="n">
        <v>78414.36</v>
      </c>
      <c r="Y52" s="18" t="n">
        <v>106044.48</v>
      </c>
      <c r="Z52" s="35" t="n">
        <v>287809.92</v>
      </c>
      <c r="AA52" s="18" t="n">
        <v>55718.72</v>
      </c>
      <c r="AB52" s="19" t="n">
        <v>80065.64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25088.94</v>
      </c>
      <c r="F53" s="9" t="n"/>
      <c r="G53" s="18" t="n">
        <v>24820.05</v>
      </c>
      <c r="H53" s="18" t="n">
        <v>32964.67</v>
      </c>
      <c r="I53" s="18" t="n">
        <v>36290.44</v>
      </c>
      <c r="J53" s="18" t="n">
        <v>47170.35</v>
      </c>
      <c r="K53" s="35" t="n">
        <v>141245.51</v>
      </c>
      <c r="L53" s="18" t="n">
        <v>39148.08</v>
      </c>
      <c r="M53" s="18" t="n">
        <v>47449.35</v>
      </c>
      <c r="N53" s="18" t="n">
        <v>43169.84</v>
      </c>
      <c r="O53" s="18" t="n">
        <v>50830.93</v>
      </c>
      <c r="P53" s="35" t="n">
        <v>180598.2</v>
      </c>
      <c r="Q53" s="18" t="n">
        <v>27498.2</v>
      </c>
      <c r="R53" s="18" t="n">
        <v>41377.63</v>
      </c>
      <c r="S53" s="18" t="n">
        <v>39931.54</v>
      </c>
      <c r="T53" s="18" t="n">
        <v>45288.86</v>
      </c>
      <c r="U53" s="35" t="n">
        <v>154096.23</v>
      </c>
      <c r="V53" s="18" t="n">
        <v>25957.65</v>
      </c>
      <c r="W53" s="18" t="n">
        <v>52657.16</v>
      </c>
      <c r="X53" s="18" t="n">
        <v>50662.63</v>
      </c>
      <c r="Y53" s="18" t="n">
        <v>71582.92</v>
      </c>
      <c r="Z53" s="35" t="n">
        <v>200860.36</v>
      </c>
      <c r="AA53" s="18" t="n">
        <v>33714</v>
      </c>
      <c r="AB53" s="19" t="n">
        <v>57762.25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12884.87</v>
      </c>
      <c r="F54" s="9" t="n"/>
      <c r="G54" s="18" t="n">
        <v>8321.33</v>
      </c>
      <c r="H54" s="18" t="n">
        <v>16486.11</v>
      </c>
      <c r="I54" s="18" t="n">
        <v>12893.53</v>
      </c>
      <c r="J54" s="18" t="n">
        <v>36647.84</v>
      </c>
      <c r="K54" s="35" t="n">
        <v>74348.81</v>
      </c>
      <c r="L54" s="18" t="n">
        <v>7828.66</v>
      </c>
      <c r="M54" s="18" t="n">
        <v>27361.69</v>
      </c>
      <c r="N54" s="18" t="n">
        <v>17933.17</v>
      </c>
      <c r="O54" s="18" t="n">
        <v>30877.28</v>
      </c>
      <c r="P54" s="35" t="n">
        <v>84000.8</v>
      </c>
      <c r="Q54" s="18" t="n">
        <v>11148.34</v>
      </c>
      <c r="R54" s="18" t="n">
        <v>16452.55</v>
      </c>
      <c r="S54" s="18" t="n">
        <v>18720.66</v>
      </c>
      <c r="T54" s="18" t="n">
        <v>12258.38</v>
      </c>
      <c r="U54" s="35" t="n">
        <v>58579.93</v>
      </c>
      <c r="V54" s="18" t="n">
        <v>11911.69</v>
      </c>
      <c r="W54" s="18" t="n">
        <v>12824.57</v>
      </c>
      <c r="X54" s="18" t="n">
        <v>27751.73</v>
      </c>
      <c r="Y54" s="18" t="n">
        <v>34461.56</v>
      </c>
      <c r="Z54" s="35" t="n">
        <v>86949.55</v>
      </c>
      <c r="AA54" s="18" t="n">
        <v>22004.71</v>
      </c>
      <c r="AB54" s="19" t="n">
        <v>22303.39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10768.77</v>
      </c>
      <c r="F55" s="9" t="n"/>
      <c r="G55" s="18" t="n">
        <v>10014.95</v>
      </c>
      <c r="H55" s="18" t="n">
        <v>11138.48</v>
      </c>
      <c r="I55" s="18" t="n">
        <v>14379.45</v>
      </c>
      <c r="J55" s="18" t="n">
        <v>26172.22</v>
      </c>
      <c r="K55" s="35" t="n">
        <v>61705.1</v>
      </c>
      <c r="L55" s="18" t="n">
        <v>14650.18</v>
      </c>
      <c r="M55" s="18" t="n">
        <v>21538.57</v>
      </c>
      <c r="N55" s="18" t="n">
        <v>20146.86</v>
      </c>
      <c r="O55" s="18" t="n">
        <v>23670.22</v>
      </c>
      <c r="P55" s="35" t="n">
        <v>80005.83</v>
      </c>
      <c r="Q55" s="18" t="n">
        <v>15698.57</v>
      </c>
      <c r="R55" s="18" t="n">
        <v>18987.72</v>
      </c>
      <c r="S55" s="18" t="n">
        <v>21654.11</v>
      </c>
      <c r="T55" s="18" t="n">
        <v>27072.64</v>
      </c>
      <c r="U55" s="35" t="n">
        <v>83413.03999999999</v>
      </c>
      <c r="V55" s="18" t="n">
        <v>17060.23</v>
      </c>
      <c r="W55" s="18" t="n">
        <v>17997.17</v>
      </c>
      <c r="X55" s="18" t="n">
        <v>17113.99</v>
      </c>
      <c r="Y55" s="18" t="n">
        <v>25070.29</v>
      </c>
      <c r="Z55" s="35" t="n">
        <v>77241.67999999999</v>
      </c>
      <c r="AA55" s="18" t="n">
        <v>19330.8</v>
      </c>
      <c r="AB55" s="19" t="n">
        <v>22887.59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2116.1</v>
      </c>
      <c r="F56" s="9" t="n"/>
      <c r="G56" s="18" t="n">
        <v>-1693.63</v>
      </c>
      <c r="H56" s="18" t="n">
        <v>5347.63</v>
      </c>
      <c r="I56" s="18" t="n">
        <v>-1485.92</v>
      </c>
      <c r="J56" s="18" t="n">
        <v>10475.63</v>
      </c>
      <c r="K56" s="35" t="n">
        <v>12643.71</v>
      </c>
      <c r="L56" s="18" t="n">
        <v>-6821.52</v>
      </c>
      <c r="M56" s="18" t="n">
        <v>5823.12</v>
      </c>
      <c r="N56" s="18" t="n">
        <v>-2213.69</v>
      </c>
      <c r="O56" s="18" t="n">
        <v>7207.07</v>
      </c>
      <c r="P56" s="35" t="n">
        <v>3994.98</v>
      </c>
      <c r="Q56" s="18" t="n">
        <v>-4550.23</v>
      </c>
      <c r="R56" s="18" t="n">
        <v>-2535.17</v>
      </c>
      <c r="S56" s="18" t="n">
        <v>-2933.44</v>
      </c>
      <c r="T56" s="18" t="n">
        <v>-14814.26</v>
      </c>
      <c r="U56" s="35" t="n">
        <v>-24833.1</v>
      </c>
      <c r="V56" s="18" t="n">
        <v>-5148.54</v>
      </c>
      <c r="W56" s="18" t="n">
        <v>-5172.6</v>
      </c>
      <c r="X56" s="18" t="n">
        <v>10637.74</v>
      </c>
      <c r="Y56" s="18" t="n">
        <v>9391.27</v>
      </c>
      <c r="Z56" s="35" t="n">
        <v>9707.870000000001</v>
      </c>
      <c r="AA56" s="18" t="n">
        <v>2673.91</v>
      </c>
      <c r="AB56" s="19" t="n">
        <v>-584.2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522.66</v>
      </c>
      <c r="F57" s="9" t="n"/>
      <c r="G57" s="18" t="n">
        <v>3333.9</v>
      </c>
      <c r="H57" s="18" t="n">
        <v>5418.12</v>
      </c>
      <c r="I57" s="18" t="n">
        <v>9894.65</v>
      </c>
      <c r="J57" s="18" t="n">
        <v>-3435.61</v>
      </c>
      <c r="K57" s="35" t="n">
        <v>15211.06</v>
      </c>
      <c r="L57" s="18" t="n">
        <v>9551.799999999999</v>
      </c>
      <c r="M57" s="18" t="n">
        <v>1731.31</v>
      </c>
      <c r="N57" s="18" t="n">
        <v>2965.23</v>
      </c>
      <c r="O57" s="18" t="n">
        <v>-1689.86</v>
      </c>
      <c r="P57" s="35" t="n">
        <v>12558.48</v>
      </c>
      <c r="Q57" s="18" t="n">
        <v>5892.88</v>
      </c>
      <c r="R57" s="18" t="n">
        <v>4242.15</v>
      </c>
      <c r="S57" s="18" t="n">
        <v>-946.04</v>
      </c>
      <c r="T57" s="18" t="n">
        <v>12241.34</v>
      </c>
      <c r="U57" s="35" t="n">
        <v>21430.33</v>
      </c>
      <c r="V57" s="18" t="n">
        <v>1785.04</v>
      </c>
      <c r="W57" s="18" t="n">
        <v>1046.4</v>
      </c>
      <c r="X57" s="18" t="n">
        <v>1489.57</v>
      </c>
      <c r="Y57" s="18" t="n">
        <v>6181.51</v>
      </c>
      <c r="Z57" s="35" t="n">
        <v>10502.52</v>
      </c>
      <c r="AA57" s="18" t="n">
        <v>9823.940000000001</v>
      </c>
      <c r="AB57" s="19" t="n">
        <v>4505.13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1108.23</v>
      </c>
      <c r="F58" s="9" t="n"/>
      <c r="G58" s="18" t="n">
        <v>530.6</v>
      </c>
      <c r="H58" s="18" t="n">
        <v>2035.93</v>
      </c>
      <c r="I58" s="18" t="n">
        <v>708.48</v>
      </c>
      <c r="J58" s="18" t="n">
        <v>9402.040000000001</v>
      </c>
      <c r="K58" s="35" t="n">
        <v>12677.05</v>
      </c>
      <c r="L58" s="18" t="n">
        <v>2452.82</v>
      </c>
      <c r="M58" s="18" t="n">
        <v>1692.71</v>
      </c>
      <c r="N58" s="18" t="n">
        <v>2068.04</v>
      </c>
      <c r="O58" s="18" t="n">
        <v>6062.59</v>
      </c>
      <c r="P58" s="35" t="n">
        <v>12276.16</v>
      </c>
      <c r="Q58" s="18" t="n">
        <v>3031.99</v>
      </c>
      <c r="R58" s="18" t="n">
        <v>2523.74</v>
      </c>
      <c r="S58" s="18" t="n">
        <v>4436.71</v>
      </c>
      <c r="T58" s="18" t="n">
        <v>-3592.21</v>
      </c>
      <c r="U58" s="35" t="n">
        <v>6400.23</v>
      </c>
      <c r="V58" s="18" t="n">
        <v>6921.71</v>
      </c>
      <c r="W58" s="18" t="n">
        <v>8069.08</v>
      </c>
      <c r="X58" s="18" t="n">
        <v>-2080.92</v>
      </c>
      <c r="Y58" s="18" t="n">
        <v>6987.84</v>
      </c>
      <c r="Z58" s="35" t="n">
        <v>19897.71</v>
      </c>
      <c r="AA58" s="18" t="n">
        <v>2123.42</v>
      </c>
      <c r="AB58" s="19" t="n">
        <v>1671.67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1223.98</v>
      </c>
      <c r="F59" s="9" t="n"/>
      <c r="G59" s="18" t="n">
        <v>392</v>
      </c>
      <c r="H59" s="18" t="n">
        <v>428.68</v>
      </c>
      <c r="I59" s="18" t="n">
        <v>195.75</v>
      </c>
      <c r="J59" s="18" t="n">
        <v>3165.31</v>
      </c>
      <c r="K59" s="35" t="n">
        <v>4181.74</v>
      </c>
      <c r="L59" s="18" t="n">
        <v>451.17</v>
      </c>
      <c r="M59" s="18" t="n">
        <v>681.01</v>
      </c>
      <c r="N59" s="18" t="n">
        <v>687.99</v>
      </c>
      <c r="O59" s="18" t="n">
        <v>3515.74</v>
      </c>
      <c r="P59" s="35" t="n">
        <v>5335.91</v>
      </c>
      <c r="Q59" s="18" t="n">
        <v>1862.26</v>
      </c>
      <c r="R59" s="18" t="n">
        <v>1730.36</v>
      </c>
      <c r="S59" s="18" t="n">
        <v>667.49</v>
      </c>
      <c r="T59" s="18" t="n">
        <v>8673.26</v>
      </c>
      <c r="U59" s="35" t="n">
        <v>12933.37</v>
      </c>
      <c r="V59" s="18" t="n">
        <v>1053.74</v>
      </c>
      <c r="W59" s="18" t="n">
        <v>3090.84</v>
      </c>
      <c r="X59" s="18" t="n">
        <v>-332.24</v>
      </c>
      <c r="Y59" s="18" t="n">
        <v>5589.04</v>
      </c>
      <c r="Z59" s="35" t="n">
        <v>9401.379999999999</v>
      </c>
      <c r="AA59" s="18" t="n">
        <v>7274.92</v>
      </c>
      <c r="AB59" s="19" t="n">
        <v>117.99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299.14</v>
      </c>
      <c r="F60" s="9" t="n"/>
      <c r="G60" s="18" t="n">
        <v>453.72</v>
      </c>
      <c r="H60" s="18" t="n">
        <v>2892.55</v>
      </c>
      <c r="I60" s="18" t="n">
        <v>3588.26</v>
      </c>
      <c r="J60" s="18" t="n">
        <v>-886.73</v>
      </c>
      <c r="K60" s="35" t="n">
        <v>6047.8</v>
      </c>
      <c r="L60" s="18" t="n">
        <v>1287.27</v>
      </c>
      <c r="M60" s="18" t="n">
        <v>1354.16</v>
      </c>
      <c r="N60" s="18" t="n">
        <v>1319.59</v>
      </c>
      <c r="O60" s="18" t="n">
        <v>1774.69</v>
      </c>
      <c r="P60" s="35" t="n">
        <v>5735.71</v>
      </c>
      <c r="Q60" s="18" t="n">
        <v>1294.48</v>
      </c>
      <c r="R60" s="18" t="n">
        <v>1535.1</v>
      </c>
      <c r="S60" s="18" t="n">
        <v>1304.77</v>
      </c>
      <c r="T60" s="18" t="n">
        <v>1869.65</v>
      </c>
      <c r="U60" s="35" t="n">
        <v>6004</v>
      </c>
      <c r="V60" s="18" t="n">
        <v>1787.15</v>
      </c>
      <c r="W60" s="18" t="n">
        <v>444.03</v>
      </c>
      <c r="X60" s="18" t="n">
        <v>2693.35</v>
      </c>
      <c r="Y60" s="18" t="n">
        <v>912.74</v>
      </c>
      <c r="Z60" s="35" t="n">
        <v>5837.27</v>
      </c>
      <c r="AA60" s="18" t="n">
        <v>1942.3</v>
      </c>
      <c r="AB60" s="19" t="n">
        <v>2316.5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2455.36</v>
      </c>
      <c r="F61" s="9" t="n"/>
      <c r="G61" s="18" t="n">
        <v>1047.94</v>
      </c>
      <c r="H61" s="18" t="n">
        <v>6265.95</v>
      </c>
      <c r="I61" s="18" t="n">
        <v>4307.75</v>
      </c>
      <c r="J61" s="18" t="n">
        <v>1690.03</v>
      </c>
      <c r="K61" s="35" t="n">
        <v>13311.67</v>
      </c>
      <c r="L61" s="18" t="n">
        <v>-558.64</v>
      </c>
      <c r="M61" s="18" t="n">
        <v>5188.58</v>
      </c>
      <c r="N61" s="18" t="n">
        <v>-1948.1</v>
      </c>
      <c r="O61" s="18" t="n">
        <v>1195.67</v>
      </c>
      <c r="P61" s="35" t="n">
        <v>3877.51</v>
      </c>
      <c r="Q61" s="18" t="n">
        <v>-1121.56</v>
      </c>
      <c r="R61" s="18" t="n">
        <v>-621.5</v>
      </c>
      <c r="S61" s="18" t="n">
        <v>-8953.48</v>
      </c>
      <c r="T61" s="18" t="n">
        <v>7822.88</v>
      </c>
      <c r="U61" s="35" t="n">
        <v>-2873.66</v>
      </c>
      <c r="V61" s="18" t="n">
        <v>-11018.63</v>
      </c>
      <c r="W61" s="18" t="n">
        <v>-7635.69</v>
      </c>
      <c r="X61" s="18" t="n">
        <v>6868.72</v>
      </c>
      <c r="Y61" s="18" t="n">
        <v>16077.07</v>
      </c>
      <c r="Z61" s="35" t="n">
        <v>4291.47</v>
      </c>
      <c r="AA61" s="18" t="n">
        <v>13830.16</v>
      </c>
      <c r="AB61" s="19" t="n">
        <v>3602.47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81.61</v>
      </c>
      <c r="F62" s="9" t="n"/>
      <c r="H62" s="18" t="n">
        <v>7.22</v>
      </c>
      <c r="K62" s="9" t="n"/>
      <c r="L62" s="18" t="n">
        <v>0</v>
      </c>
      <c r="P62" s="9" t="n"/>
      <c r="U62" s="9" t="n"/>
      <c r="Z62" s="9" t="n"/>
      <c r="AA62" s="18" t="n">
        <v>0</v>
      </c>
      <c r="AB62" s="19" t="n">
        <v>1488.47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2373.75</v>
      </c>
      <c r="F63" s="9" t="n"/>
      <c r="G63" s="18" t="n">
        <v>1047.94</v>
      </c>
      <c r="H63" s="18" t="n">
        <v>6258.73</v>
      </c>
      <c r="I63" s="18" t="n">
        <v>4307.75</v>
      </c>
      <c r="J63" s="18" t="n">
        <v>1697.24</v>
      </c>
      <c r="K63" s="35" t="n">
        <v>13311.66</v>
      </c>
      <c r="L63" s="18" t="n">
        <v>-558.64</v>
      </c>
      <c r="M63" s="18" t="n">
        <v>5188.58</v>
      </c>
      <c r="N63" s="18" t="n">
        <v>-1948.1</v>
      </c>
      <c r="O63" s="18" t="n">
        <v>1195.67</v>
      </c>
      <c r="P63" s="35" t="n">
        <v>3877.51</v>
      </c>
      <c r="Q63" s="18" t="n">
        <v>-1121.56</v>
      </c>
      <c r="R63" s="18" t="n">
        <v>-621.5</v>
      </c>
      <c r="S63" s="18" t="n">
        <v>-8953.48</v>
      </c>
      <c r="T63" s="18" t="n">
        <v>7822.88</v>
      </c>
      <c r="U63" s="35" t="n">
        <v>-2873.66</v>
      </c>
      <c r="V63" s="18" t="n">
        <v>-11018.63</v>
      </c>
      <c r="W63" s="18" t="n">
        <v>-7635.69</v>
      </c>
      <c r="X63" s="18" t="n">
        <v>6868.72</v>
      </c>
      <c r="Y63" s="18" t="n">
        <v>16416.35</v>
      </c>
      <c r="Z63" s="35" t="n">
        <v>4630.75</v>
      </c>
      <c r="AA63" s="18" t="n">
        <v>13830.16</v>
      </c>
      <c r="AB63" s="19" t="n">
        <v>2113.99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2559.31</v>
      </c>
      <c r="F64" s="9" t="n"/>
      <c r="G64" s="18" t="n">
        <v>1655.31</v>
      </c>
      <c r="H64" s="18" t="n">
        <v>6689.63</v>
      </c>
      <c r="I64" s="18" t="n">
        <v>6049.31</v>
      </c>
      <c r="J64" s="18" t="n">
        <v>-672.72</v>
      </c>
      <c r="K64" s="35" t="n">
        <v>13721.53</v>
      </c>
      <c r="L64" s="18" t="n">
        <v>691.95</v>
      </c>
      <c r="M64" s="18" t="n">
        <v>5458.08</v>
      </c>
      <c r="N64" s="18" t="n">
        <v>-1556.92</v>
      </c>
      <c r="O64" s="18" t="n">
        <v>337.74</v>
      </c>
      <c r="P64" s="35" t="n">
        <v>4930.85</v>
      </c>
      <c r="Q64" s="18" t="n">
        <v>-598.6799999999999</v>
      </c>
      <c r="R64" s="18" t="n">
        <v>-2097.33</v>
      </c>
      <c r="S64" s="18" t="n">
        <v>-9305.969999999999</v>
      </c>
      <c r="T64" s="18" t="n">
        <v>8886.68</v>
      </c>
      <c r="U64" s="35" t="n">
        <v>-3115.3</v>
      </c>
      <c r="V64" s="18" t="n">
        <v>-10968.54</v>
      </c>
      <c r="W64" s="18" t="n">
        <v>-8643.799999999999</v>
      </c>
      <c r="X64" s="18" t="n">
        <v>7955.75</v>
      </c>
      <c r="Y64" s="18" t="n">
        <v>17308.61</v>
      </c>
      <c r="Z64" s="35" t="n">
        <v>5652.02</v>
      </c>
      <c r="AA64" s="18" t="n">
        <v>14885.22</v>
      </c>
      <c r="AB64" s="19" t="n">
        <v>2593.43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924.84</v>
      </c>
      <c r="F65" s="9" t="n"/>
      <c r="G65" s="18" t="n">
        <v>-61.72</v>
      </c>
      <c r="H65" s="18" t="n">
        <v>-2463.87</v>
      </c>
      <c r="I65" s="18" t="n">
        <v>-3392.51</v>
      </c>
      <c r="J65" s="18" t="n">
        <v>4052.04</v>
      </c>
      <c r="K65" s="35" t="n">
        <v>-1866.06</v>
      </c>
      <c r="L65" s="18" t="n">
        <v>-836.1</v>
      </c>
      <c r="M65" s="18" t="n">
        <v>-673.15</v>
      </c>
      <c r="N65" s="18" t="n">
        <v>-631.6</v>
      </c>
      <c r="O65" s="18" t="n">
        <v>1741.05</v>
      </c>
      <c r="P65" s="35" t="n">
        <v>-399.8</v>
      </c>
      <c r="Q65" s="18" t="n">
        <v>567.78</v>
      </c>
      <c r="R65" s="18" t="n">
        <v>195.26</v>
      </c>
      <c r="S65" s="18" t="n">
        <v>-637.28</v>
      </c>
      <c r="T65" s="18" t="n">
        <v>6803.61</v>
      </c>
      <c r="U65" s="35" t="n">
        <v>6929.37</v>
      </c>
      <c r="V65" s="18" t="n">
        <v>-733.41</v>
      </c>
      <c r="W65" s="18" t="n">
        <v>2646.81</v>
      </c>
      <c r="X65" s="18" t="n">
        <v>-3025.59</v>
      </c>
      <c r="Y65" s="18" t="n">
        <v>4676.3</v>
      </c>
      <c r="Z65" s="35" t="n">
        <v>3564.11</v>
      </c>
      <c r="AA65" s="18" t="n">
        <v>5332.62</v>
      </c>
      <c r="AB65" s="19" t="n">
        <v>-2198.51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-585.5700000000001</v>
      </c>
      <c r="F66" s="9" t="n"/>
      <c r="G66" s="18" t="n">
        <v>2803.3</v>
      </c>
      <c r="H66" s="18" t="n">
        <v>3382.19</v>
      </c>
      <c r="I66" s="18" t="n">
        <v>9186.17</v>
      </c>
      <c r="J66" s="18" t="n">
        <v>-12837.65</v>
      </c>
      <c r="K66" s="35" t="n">
        <v>2534.01</v>
      </c>
      <c r="L66" s="18" t="n">
        <v>7098.98</v>
      </c>
      <c r="M66" s="18" t="n">
        <v>38.6</v>
      </c>
      <c r="N66" s="18" t="n">
        <v>897.1900000000001</v>
      </c>
      <c r="O66" s="18" t="n">
        <v>-7752.45</v>
      </c>
      <c r="P66" s="35" t="n">
        <v>282.32</v>
      </c>
      <c r="Q66" s="18" t="n">
        <v>2860.89</v>
      </c>
      <c r="R66" s="18" t="n">
        <v>1718.41</v>
      </c>
      <c r="S66" s="18" t="n">
        <v>-5382.75</v>
      </c>
      <c r="T66" s="18" t="n">
        <v>15833.55</v>
      </c>
      <c r="U66" s="35" t="n">
        <v>15030.1</v>
      </c>
      <c r="V66" s="18" t="n">
        <v>-5136.67</v>
      </c>
      <c r="W66" s="18" t="n">
        <v>-7022.68</v>
      </c>
      <c r="X66" s="18" t="n">
        <v>3570.49</v>
      </c>
      <c r="Y66" s="18" t="n">
        <v>-806.33</v>
      </c>
      <c r="Z66" s="35" t="n">
        <v>-9395.190000000001</v>
      </c>
      <c r="AA66" s="18" t="n">
        <v>7700.52</v>
      </c>
      <c r="AB66" s="19" t="n">
        <v>2833.46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5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5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5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5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2373.75</v>
      </c>
      <c r="F68" s="9" t="n"/>
      <c r="G68" s="18" t="n">
        <v>1047.94</v>
      </c>
      <c r="H68" s="18" t="n">
        <v>6258.73</v>
      </c>
      <c r="I68" s="18" t="n">
        <v>4307.75</v>
      </c>
      <c r="J68" s="18" t="n">
        <v>1697.24</v>
      </c>
      <c r="K68" s="35" t="n">
        <v>13311.66</v>
      </c>
      <c r="L68" s="18" t="n">
        <v>-558.64</v>
      </c>
      <c r="M68" s="18" t="n">
        <v>5188.58</v>
      </c>
      <c r="N68" s="18" t="n">
        <v>-1948.1</v>
      </c>
      <c r="O68" s="18" t="n">
        <v>1195.67</v>
      </c>
      <c r="P68" s="35" t="n">
        <v>3877.51</v>
      </c>
      <c r="Q68" s="18" t="n">
        <v>-1121.56</v>
      </c>
      <c r="R68" s="18" t="n">
        <v>-621.5</v>
      </c>
      <c r="S68" s="18" t="n">
        <v>-8953.48</v>
      </c>
      <c r="T68" s="18" t="n">
        <v>7822.88</v>
      </c>
      <c r="U68" s="35" t="n">
        <v>-2873.66</v>
      </c>
      <c r="V68" s="18" t="n">
        <v>-11018.63</v>
      </c>
      <c r="W68" s="18" t="n">
        <v>-7635.69</v>
      </c>
      <c r="X68" s="18" t="n">
        <v>6868.72</v>
      </c>
      <c r="Y68" s="18" t="n">
        <v>16416.35</v>
      </c>
      <c r="Z68" s="35" t="n">
        <v>4630.75</v>
      </c>
      <c r="AA68" s="18" t="n">
        <v>13830.16</v>
      </c>
      <c r="AB68" s="19" t="n">
        <v>2113.99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F69" s="9" t="n"/>
      <c r="K69" s="9" t="n"/>
      <c r="P69" s="9" t="n"/>
      <c r="U69" s="9" t="n"/>
      <c r="W69" s="18" t="n">
        <v>1912.77</v>
      </c>
      <c r="X69" s="18" t="n">
        <v>-4313.93</v>
      </c>
      <c r="Y69" s="18" t="n">
        <v>6858.34</v>
      </c>
      <c r="Z69" s="9" t="n"/>
      <c r="AA69" s="18" t="n">
        <v>1349.43</v>
      </c>
      <c r="AB69" s="19" t="n">
        <v>3551.72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F70" s="9" t="n"/>
      <c r="K70" s="9" t="n"/>
      <c r="P70" s="9" t="n"/>
      <c r="U70" s="9" t="n"/>
      <c r="W70" s="18" t="n">
        <v>1912.77</v>
      </c>
      <c r="X70" s="18" t="n">
        <v>-4313.93</v>
      </c>
      <c r="Y70" s="18" t="n">
        <v>6858.34</v>
      </c>
      <c r="Z70" s="9" t="n"/>
      <c r="AA70" s="18" t="n">
        <v>1349.43</v>
      </c>
      <c r="AB70" s="19" t="n">
        <v>3551.72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1656.04</v>
      </c>
      <c r="F71" s="9" t="n"/>
      <c r="G71" s="18" t="n">
        <v>-13471.41</v>
      </c>
      <c r="H71" s="18" t="n">
        <v>-1497.64</v>
      </c>
      <c r="I71" s="18" t="n">
        <v>267.45</v>
      </c>
      <c r="J71" s="18" t="n">
        <v>-20847.75</v>
      </c>
      <c r="K71" s="35" t="n">
        <v>-35549.35</v>
      </c>
      <c r="L71" s="18" t="n">
        <v>-18361.01</v>
      </c>
      <c r="M71" s="18" t="n">
        <v>707.6799999999999</v>
      </c>
      <c r="N71" s="18" t="n">
        <v>12922.76</v>
      </c>
      <c r="O71" s="18" t="n">
        <v>21405.27</v>
      </c>
      <c r="P71" s="35" t="n">
        <v>16674.7</v>
      </c>
      <c r="Q71" s="18" t="n">
        <v>9080.67</v>
      </c>
      <c r="R71" s="18" t="n">
        <v>2532.96</v>
      </c>
      <c r="S71" s="18" t="n">
        <v>-20253.24</v>
      </c>
      <c r="T71" s="18" t="n">
        <v>7650.5</v>
      </c>
      <c r="U71" s="35" t="n">
        <v>-989.11</v>
      </c>
      <c r="V71" s="18" t="n">
        <v>8713.66</v>
      </c>
      <c r="W71" s="18" t="n">
        <v>-32557.1</v>
      </c>
      <c r="X71" s="18" t="n">
        <v>-11907.02</v>
      </c>
      <c r="Y71" s="18" t="n">
        <v>10909.57</v>
      </c>
      <c r="Z71" s="35" t="n">
        <v>-24840.89</v>
      </c>
      <c r="AA71" s="18" t="n">
        <v>735.36</v>
      </c>
      <c r="AB71" s="19" t="n">
        <v>-2415.12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이자수취(CF)</t>
        </is>
      </c>
      <c r="E72" s="18" t="n">
        <v>731.7</v>
      </c>
      <c r="F72" s="9" t="n"/>
      <c r="G72" s="18" t="n">
        <v>274.72</v>
      </c>
      <c r="H72" s="18" t="n">
        <v>581.58</v>
      </c>
      <c r="I72" s="18" t="n">
        <v>177.48</v>
      </c>
      <c r="J72" s="18" t="n">
        <v>624.54</v>
      </c>
      <c r="K72" s="35" t="n">
        <v>1658.32</v>
      </c>
      <c r="L72" s="18" t="n">
        <v>229.27</v>
      </c>
      <c r="M72" s="18" t="n">
        <v>654.62</v>
      </c>
      <c r="N72" s="18" t="n">
        <v>370.04</v>
      </c>
      <c r="O72" s="18" t="n">
        <v>1818.92</v>
      </c>
      <c r="P72" s="35" t="n">
        <v>3072.85</v>
      </c>
      <c r="Q72" s="18" t="n">
        <v>1060.15</v>
      </c>
      <c r="R72" s="18" t="n">
        <v>1753.58</v>
      </c>
      <c r="S72" s="18" t="n">
        <v>1101.01</v>
      </c>
      <c r="T72" s="18" t="n">
        <v>1526.9</v>
      </c>
      <c r="U72" s="35" t="n">
        <v>5441.64</v>
      </c>
      <c r="V72" s="18" t="n">
        <v>186.22</v>
      </c>
      <c r="W72" s="18" t="n">
        <v>913.16</v>
      </c>
      <c r="X72" s="18" t="n">
        <v>137.5</v>
      </c>
      <c r="Y72" s="18" t="n">
        <v>1553.61</v>
      </c>
      <c r="Z72" s="35" t="n">
        <v>2790.49</v>
      </c>
      <c r="AA72" s="18" t="n">
        <v>141.21</v>
      </c>
      <c r="AB72" s="19" t="n">
        <v>1067.03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이자지급(CF)</t>
        </is>
      </c>
      <c r="E73" s="18" t="n">
        <v>-147.69</v>
      </c>
      <c r="F73" s="9" t="n"/>
      <c r="G73" s="18" t="n">
        <v>-214.63</v>
      </c>
      <c r="H73" s="18" t="n">
        <v>-332.13</v>
      </c>
      <c r="I73" s="18" t="n">
        <v>-440.55</v>
      </c>
      <c r="J73" s="18" t="n">
        <v>-643.73</v>
      </c>
      <c r="K73" s="35" t="n">
        <v>-1631.04</v>
      </c>
      <c r="L73" s="18" t="n">
        <v>-978.97</v>
      </c>
      <c r="M73" s="18" t="n">
        <v>-1263.07</v>
      </c>
      <c r="P73" s="9" t="n"/>
      <c r="U73" s="9" t="n"/>
      <c r="X73" s="18" t="n">
        <v>-1165.68</v>
      </c>
      <c r="Y73" s="18" t="n">
        <v>-1294.22</v>
      </c>
      <c r="Z73" s="9" t="n"/>
      <c r="AA73" s="18" t="n">
        <v>-1242.97</v>
      </c>
      <c r="AB73" s="19" t="n">
        <v>-1326.32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I74" s="18" t="n">
        <v>0</v>
      </c>
      <c r="J74" s="18" t="n">
        <v>19.58</v>
      </c>
      <c r="K74" s="9" t="n"/>
      <c r="L74" s="18" t="n">
        <v>9.789999999999999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-57.54</v>
      </c>
      <c r="F75" s="9" t="n"/>
      <c r="G75" s="18" t="n">
        <v>-96.18000000000001</v>
      </c>
      <c r="H75" s="18" t="n">
        <v>-117.97</v>
      </c>
      <c r="I75" s="18" t="n">
        <v>-26.92</v>
      </c>
      <c r="J75" s="18" t="n">
        <v>-121.15</v>
      </c>
      <c r="K75" s="35" t="n">
        <v>-362.22</v>
      </c>
      <c r="L75" s="18" t="n">
        <v>-190.88</v>
      </c>
      <c r="M75" s="18" t="n">
        <v>-352.4</v>
      </c>
      <c r="N75" s="18" t="n">
        <v>-58.3</v>
      </c>
      <c r="O75" s="18" t="n">
        <v>-167.95</v>
      </c>
      <c r="P75" s="35" t="n">
        <v>-769.53</v>
      </c>
      <c r="Q75" s="18" t="n">
        <v>-164.04</v>
      </c>
      <c r="R75" s="18" t="n">
        <v>-173.79</v>
      </c>
      <c r="S75" s="18" t="n">
        <v>-169.59</v>
      </c>
      <c r="T75" s="18" t="n">
        <v>-95.42</v>
      </c>
      <c r="U75" s="35" t="n">
        <v>-602.84</v>
      </c>
      <c r="V75" s="18" t="n">
        <v>-49.92</v>
      </c>
      <c r="W75" s="18" t="n">
        <v>441.64</v>
      </c>
      <c r="X75" s="18" t="n">
        <v>-35.68</v>
      </c>
      <c r="Y75" s="18" t="n">
        <v>-103.57</v>
      </c>
      <c r="Z75" s="35" t="n">
        <v>252.47</v>
      </c>
      <c r="AA75" s="18" t="n">
        <v>-478.19</v>
      </c>
      <c r="AB75" s="19" t="n">
        <v>-955.8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-2344.42</v>
      </c>
      <c r="F76" s="9" t="n"/>
      <c r="G76" s="18" t="n">
        <v>-7043.08</v>
      </c>
      <c r="H76" s="18" t="n">
        <v>271.06</v>
      </c>
      <c r="I76" s="18" t="n">
        <v>-13076.82</v>
      </c>
      <c r="J76" s="18" t="n">
        <v>-4947.31</v>
      </c>
      <c r="K76" s="35" t="n">
        <v>-24796.15</v>
      </c>
      <c r="L76" s="18" t="n">
        <v>231.47</v>
      </c>
      <c r="M76" s="18" t="n">
        <v>-13788.32</v>
      </c>
      <c r="N76" s="18" t="n">
        <v>-59225.14</v>
      </c>
      <c r="O76" s="18" t="n">
        <v>-5163.23</v>
      </c>
      <c r="P76" s="35" t="n">
        <v>-77945.22</v>
      </c>
      <c r="Q76" s="18" t="n">
        <v>-28367.59</v>
      </c>
      <c r="R76" s="18" t="n">
        <v>-12501.07</v>
      </c>
      <c r="S76" s="18" t="n">
        <v>19894.24</v>
      </c>
      <c r="T76" s="18" t="n">
        <v>-3618.25</v>
      </c>
      <c r="U76" s="35" t="n">
        <v>-24592.67</v>
      </c>
      <c r="V76" s="18" t="n">
        <v>-6288.89</v>
      </c>
      <c r="W76" s="18" t="n">
        <v>10861.19</v>
      </c>
      <c r="X76" s="18" t="n">
        <v>273.13</v>
      </c>
      <c r="Y76" s="18" t="n">
        <v>12682.57</v>
      </c>
      <c r="Z76" s="35" t="n">
        <v>17528</v>
      </c>
      <c r="AA76" s="18" t="n">
        <v>-7085.49</v>
      </c>
      <c r="AB76" s="19" t="n">
        <v>-2130.65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5903.04</v>
      </c>
      <c r="F77" s="9" t="n"/>
      <c r="G77" s="18" t="n">
        <v>6764.88</v>
      </c>
      <c r="H77" s="18" t="n">
        <v>6071.91</v>
      </c>
      <c r="I77" s="18" t="n">
        <v>11413.74</v>
      </c>
      <c r="J77" s="18" t="n">
        <v>10516.81</v>
      </c>
      <c r="K77" s="35" t="n">
        <v>34767.34</v>
      </c>
      <c r="L77" s="18" t="n">
        <v>4972.82</v>
      </c>
      <c r="M77" s="18" t="n">
        <v>611.5700000000001</v>
      </c>
      <c r="N77" s="18" t="n">
        <v>1160.5</v>
      </c>
      <c r="O77" s="18" t="n">
        <v>530.1</v>
      </c>
      <c r="P77" s="35" t="n">
        <v>7274.99</v>
      </c>
      <c r="Q77" s="18" t="n">
        <v>4127.1</v>
      </c>
      <c r="R77" s="18" t="n">
        <v>1143.84</v>
      </c>
      <c r="S77" s="18" t="n">
        <v>1814.59</v>
      </c>
      <c r="T77" s="18" t="n">
        <v>1001.57</v>
      </c>
      <c r="U77" s="35" t="n">
        <v>8087.1</v>
      </c>
      <c r="V77" s="18" t="n">
        <v>699.88</v>
      </c>
      <c r="W77" s="18" t="n">
        <v>994.9400000000001</v>
      </c>
      <c r="X77" s="18" t="n">
        <v>9216.74</v>
      </c>
      <c r="Y77" s="18" t="n">
        <v>860.45</v>
      </c>
      <c r="Z77" s="35" t="n">
        <v>11772.01</v>
      </c>
      <c r="AA77" s="18" t="n">
        <v>1540.85</v>
      </c>
      <c r="AB77" s="19" t="n">
        <v>427.46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6856.49</v>
      </c>
      <c r="F78" s="9" t="n"/>
      <c r="G78" s="18" t="n">
        <v>7722.7</v>
      </c>
      <c r="H78" s="18" t="n">
        <v>7673.06</v>
      </c>
      <c r="I78" s="18" t="n">
        <v>12823.45</v>
      </c>
      <c r="J78" s="18" t="n">
        <v>12815.9</v>
      </c>
      <c r="K78" s="35" t="n">
        <v>41035.11</v>
      </c>
      <c r="L78" s="18" t="n">
        <v>6327.1</v>
      </c>
      <c r="M78" s="18" t="n">
        <v>2318.59</v>
      </c>
      <c r="N78" s="18" t="n">
        <v>5377.38</v>
      </c>
      <c r="O78" s="18" t="n">
        <v>6657.9</v>
      </c>
      <c r="P78" s="35" t="n">
        <v>20680.97</v>
      </c>
      <c r="Q78" s="18" t="n">
        <v>10643.86</v>
      </c>
      <c r="R78" s="18" t="n">
        <v>8595.24</v>
      </c>
      <c r="S78" s="18" t="n">
        <v>5220.75</v>
      </c>
      <c r="T78" s="18" t="n">
        <v>3463.77</v>
      </c>
      <c r="U78" s="35" t="n">
        <v>27923.62</v>
      </c>
      <c r="V78" s="18" t="n">
        <v>2516.66</v>
      </c>
      <c r="W78" s="18" t="n">
        <v>6129.2</v>
      </c>
      <c r="X78" s="18" t="n">
        <v>13770.69</v>
      </c>
      <c r="Y78" s="18" t="n">
        <v>8068.28</v>
      </c>
      <c r="Z78" s="35" t="n">
        <v>30484.83</v>
      </c>
      <c r="AA78" s="18" t="n">
        <v>5162.74</v>
      </c>
      <c r="AB78" s="19" t="n">
        <v>2677.67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953.45</v>
      </c>
      <c r="F79" s="9" t="n"/>
      <c r="G79" s="18" t="n">
        <v>957.8200000000001</v>
      </c>
      <c r="H79" s="18" t="n">
        <v>1601.15</v>
      </c>
      <c r="I79" s="18" t="n">
        <v>1409.71</v>
      </c>
      <c r="J79" s="18" t="n">
        <v>2299.09</v>
      </c>
      <c r="K79" s="35" t="n">
        <v>6267.77</v>
      </c>
      <c r="L79" s="18" t="n">
        <v>1354.28</v>
      </c>
      <c r="M79" s="18" t="n">
        <v>1707.02</v>
      </c>
      <c r="N79" s="18" t="n">
        <v>4216.88</v>
      </c>
      <c r="O79" s="18" t="n">
        <v>6127.8</v>
      </c>
      <c r="P79" s="35" t="n">
        <v>13405.98</v>
      </c>
      <c r="Q79" s="18" t="n">
        <v>6516.76</v>
      </c>
      <c r="R79" s="18" t="n">
        <v>7451.4</v>
      </c>
      <c r="S79" s="18" t="n">
        <v>3406.16</v>
      </c>
      <c r="T79" s="18" t="n">
        <v>2462.2</v>
      </c>
      <c r="U79" s="35" t="n">
        <v>19836.52</v>
      </c>
      <c r="V79" s="18" t="n">
        <v>1816.78</v>
      </c>
      <c r="W79" s="18" t="n">
        <v>5134.26</v>
      </c>
      <c r="X79" s="18" t="n">
        <v>4553.95</v>
      </c>
      <c r="Y79" s="18" t="n">
        <v>7207.83</v>
      </c>
      <c r="Z79" s="35" t="n">
        <v>18712.82</v>
      </c>
      <c r="AA79" s="18" t="n">
        <v>3621.89</v>
      </c>
      <c r="AB79" s="19" t="n">
        <v>2250.21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5067.2</v>
      </c>
      <c r="F80" s="9" t="n"/>
      <c r="G80" s="18" t="n">
        <v>15836.06</v>
      </c>
      <c r="H80" s="18" t="n">
        <v>1574.11</v>
      </c>
      <c r="I80" s="18" t="n">
        <v>19414</v>
      </c>
      <c r="J80" s="18" t="n">
        <v>23128.67</v>
      </c>
      <c r="K80" s="35" t="n">
        <v>59952.84</v>
      </c>
      <c r="L80" s="18" t="n">
        <v>11602.93</v>
      </c>
      <c r="M80" s="18" t="n">
        <v>19678.08</v>
      </c>
      <c r="N80" s="18" t="n">
        <v>61623.87</v>
      </c>
      <c r="O80" s="18" t="n">
        <v>-1584.56</v>
      </c>
      <c r="P80" s="35" t="n">
        <v>91320.32000000001</v>
      </c>
      <c r="Q80" s="18" t="n">
        <v>-3995.86</v>
      </c>
      <c r="R80" s="18" t="n">
        <v>6247.01</v>
      </c>
      <c r="S80" s="18" t="n">
        <v>-4110.79</v>
      </c>
      <c r="T80" s="18" t="n">
        <v>-7493.8</v>
      </c>
      <c r="U80" s="35" t="n">
        <v>-9353.440000000001</v>
      </c>
      <c r="V80" s="18" t="n">
        <v>-2327.42</v>
      </c>
      <c r="W80" s="18" t="n">
        <v>17151.69</v>
      </c>
      <c r="X80" s="18" t="n">
        <v>15996.74</v>
      </c>
      <c r="Y80" s="18" t="n">
        <v>-13170.4</v>
      </c>
      <c r="Z80" s="35" t="n">
        <v>17650.61</v>
      </c>
      <c r="AA80" s="18" t="n">
        <v>-3238.78</v>
      </c>
      <c r="AB80" s="19" t="n">
        <v>8890.23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19500.28</v>
      </c>
      <c r="F81" s="9" t="n"/>
      <c r="G81" s="18" t="n">
        <v>19300</v>
      </c>
      <c r="H81" s="18" t="n">
        <v>33230</v>
      </c>
      <c r="I81" s="18" t="n">
        <v>12270</v>
      </c>
      <c r="J81" s="18" t="n">
        <v>32151.63</v>
      </c>
      <c r="K81" s="35" t="n">
        <v>96951.63</v>
      </c>
      <c r="L81" s="18" t="n">
        <v>47748</v>
      </c>
      <c r="M81" s="18" t="n">
        <v>36771.39</v>
      </c>
      <c r="N81" s="18" t="n">
        <v>37000</v>
      </c>
      <c r="O81" s="18" t="n">
        <v>0</v>
      </c>
      <c r="P81" s="35" t="n">
        <v>121519.39</v>
      </c>
      <c r="S81" s="18" t="n">
        <v>45002.67</v>
      </c>
      <c r="T81" s="18" t="n">
        <v>17000</v>
      </c>
      <c r="U81" s="9" t="n"/>
      <c r="V81" s="18" t="n">
        <v>261.95</v>
      </c>
      <c r="W81" s="18" t="n">
        <v>24500</v>
      </c>
      <c r="X81" s="18" t="n">
        <v>0</v>
      </c>
      <c r="Y81" s="18" t="n">
        <v>43288.21</v>
      </c>
      <c r="Z81" s="35" t="n">
        <v>68050.16</v>
      </c>
      <c r="AA81" s="18" t="n">
        <v>0</v>
      </c>
      <c r="AB81" s="19" t="n">
        <v>18299.9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14400.28</v>
      </c>
      <c r="F82" s="9" t="n"/>
      <c r="G82" s="18" t="n">
        <v>9300</v>
      </c>
      <c r="H82" s="18" t="n">
        <v>35000</v>
      </c>
      <c r="I82" s="18" t="n">
        <v>0</v>
      </c>
      <c r="J82" s="18" t="n">
        <v>11546</v>
      </c>
      <c r="K82" s="35" t="n">
        <v>55846</v>
      </c>
      <c r="L82" s="18" t="n">
        <v>45704.37</v>
      </c>
      <c r="M82" s="18" t="n">
        <v>23638.07</v>
      </c>
      <c r="N82" s="18" t="n">
        <v>64500</v>
      </c>
      <c r="O82" s="18" t="n">
        <v>1000</v>
      </c>
      <c r="P82" s="35" t="n">
        <v>134842.44</v>
      </c>
      <c r="Q82" s="18" t="n">
        <v>500</v>
      </c>
      <c r="R82" s="18" t="n">
        <v>540.0599999999999</v>
      </c>
      <c r="S82" s="18" t="n">
        <v>47002.47</v>
      </c>
      <c r="T82" s="18" t="n">
        <v>24700</v>
      </c>
      <c r="U82" s="35" t="n">
        <v>72742.53</v>
      </c>
      <c r="V82" s="18" t="n">
        <v>261.95</v>
      </c>
      <c r="W82" s="18" t="n">
        <v>2500</v>
      </c>
      <c r="X82" s="18" t="n">
        <v>7416</v>
      </c>
      <c r="Y82" s="18" t="n">
        <v>44204.21</v>
      </c>
      <c r="Z82" s="35" t="n">
        <v>54382.16</v>
      </c>
      <c r="AA82" s="18" t="n">
        <v>416</v>
      </c>
      <c r="AB82" s="19" t="n">
        <v>6715.9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리스부채의상환</t>
        </is>
      </c>
      <c r="E83" s="18" t="n">
        <v>281</v>
      </c>
      <c r="F83" s="9" t="n"/>
      <c r="G83" s="18" t="n">
        <v>282.38</v>
      </c>
      <c r="H83" s="18" t="n">
        <v>275.82</v>
      </c>
      <c r="I83" s="18" t="n">
        <v>307.39</v>
      </c>
      <c r="J83" s="18" t="n">
        <v>370.33</v>
      </c>
      <c r="K83" s="35" t="n">
        <v>1235.92</v>
      </c>
      <c r="L83" s="18" t="n">
        <v>357.22</v>
      </c>
      <c r="M83" s="18" t="n">
        <v>370.43</v>
      </c>
      <c r="N83" s="18" t="n">
        <v>369.72</v>
      </c>
      <c r="O83" s="18" t="n">
        <v>369.85</v>
      </c>
      <c r="P83" s="35" t="n">
        <v>1467.22</v>
      </c>
      <c r="Q83" s="18" t="n">
        <v>420.41</v>
      </c>
      <c r="R83" s="18" t="n">
        <v>421.22</v>
      </c>
      <c r="S83" s="18" t="n">
        <v>416.48</v>
      </c>
      <c r="T83" s="18" t="n">
        <v>412.26</v>
      </c>
      <c r="U83" s="35" t="n">
        <v>1670.37</v>
      </c>
      <c r="V83" s="18" t="n">
        <v>433.7</v>
      </c>
      <c r="W83" s="18" t="n">
        <v>421.79</v>
      </c>
      <c r="X83" s="18" t="n">
        <v>420.15</v>
      </c>
      <c r="Y83" s="18" t="n">
        <v>419.72</v>
      </c>
      <c r="Z83" s="35" t="n">
        <v>1695.36</v>
      </c>
      <c r="AA83" s="18" t="n">
        <v>453.73</v>
      </c>
      <c r="AB83" s="19" t="n">
        <v>455.75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유동성장기부채의감소</t>
        </is>
      </c>
      <c r="E84" s="18" t="n">
        <v>95</v>
      </c>
      <c r="F84" s="9" t="n"/>
      <c r="G84" s="18" t="n">
        <v>95</v>
      </c>
      <c r="H84" s="18" t="n">
        <v>95</v>
      </c>
      <c r="I84" s="18" t="n">
        <v>95</v>
      </c>
      <c r="J84" s="18" t="n">
        <v>4095</v>
      </c>
      <c r="K84" s="35" t="n">
        <v>4380</v>
      </c>
      <c r="L84" s="18" t="n">
        <v>309.44</v>
      </c>
      <c r="M84" s="18" t="n">
        <v>309.28</v>
      </c>
      <c r="N84" s="18" t="n">
        <v>180.71</v>
      </c>
      <c r="O84" s="18" t="n">
        <v>3309.28</v>
      </c>
      <c r="P84" s="35" t="n">
        <v>4108.71</v>
      </c>
      <c r="Q84" s="18" t="n">
        <v>3809.28</v>
      </c>
      <c r="R84" s="18" t="n">
        <v>5309.28</v>
      </c>
      <c r="S84" s="18" t="n">
        <v>937.85</v>
      </c>
      <c r="T84" s="18" t="n">
        <v>809.28</v>
      </c>
      <c r="U84" s="35" t="n">
        <v>10865.69</v>
      </c>
      <c r="V84" s="18" t="n">
        <v>809.28</v>
      </c>
      <c r="W84" s="18" t="n">
        <v>3309.28</v>
      </c>
      <c r="X84" s="18" t="n">
        <v>3309.28</v>
      </c>
      <c r="Y84" s="18" t="n">
        <v>3409.28</v>
      </c>
      <c r="Z84" s="35" t="n">
        <v>10837.12</v>
      </c>
      <c r="AA84" s="18" t="n">
        <v>3214.28</v>
      </c>
      <c r="AB84" s="19" t="n">
        <v>714.28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6000</v>
      </c>
      <c r="H85" s="18" t="n">
        <v>4000</v>
      </c>
      <c r="I85" s="18" t="n">
        <v>7500</v>
      </c>
      <c r="J85" s="18" t="n">
        <v>7000</v>
      </c>
      <c r="K85" s="35" t="n">
        <v>24500</v>
      </c>
      <c r="L85" s="18" t="n">
        <v>10000</v>
      </c>
      <c r="M85" s="18" t="n">
        <v>8000</v>
      </c>
      <c r="N85" s="18" t="n">
        <v>0</v>
      </c>
      <c r="O85" s="18" t="n">
        <v>3000</v>
      </c>
      <c r="P85" s="35" t="n">
        <v>21000</v>
      </c>
      <c r="Q85" s="18" t="n">
        <v>3500</v>
      </c>
      <c r="R85" s="18" t="n">
        <v>5000</v>
      </c>
      <c r="S85" s="18" t="n">
        <v>0</v>
      </c>
      <c r="T85" s="18" t="n">
        <v>2200</v>
      </c>
      <c r="U85" s="35" t="n">
        <v>10700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4378.82</v>
      </c>
      <c r="F87" s="9" t="n"/>
      <c r="G87" s="18" t="n">
        <v>-4678.43</v>
      </c>
      <c r="H87" s="18" t="n">
        <v>347.53</v>
      </c>
      <c r="I87" s="18" t="n">
        <v>6604.63</v>
      </c>
      <c r="J87" s="18" t="n">
        <v>-2666.38</v>
      </c>
      <c r="K87" s="35" t="n">
        <v>-392.65</v>
      </c>
      <c r="L87" s="18" t="n">
        <v>-6526.62</v>
      </c>
      <c r="M87" s="18" t="n">
        <v>6597.45</v>
      </c>
      <c r="N87" s="18" t="n">
        <v>15321.49</v>
      </c>
      <c r="O87" s="18" t="n">
        <v>14657.48</v>
      </c>
      <c r="P87" s="35" t="n">
        <v>30049.8</v>
      </c>
      <c r="Q87" s="18" t="n">
        <v>-23282.77</v>
      </c>
      <c r="R87" s="18" t="n">
        <v>-3721.11</v>
      </c>
      <c r="S87" s="18" t="n">
        <v>-4469.8</v>
      </c>
      <c r="T87" s="18" t="n">
        <v>-3461.54</v>
      </c>
      <c r="U87" s="35" t="n">
        <v>-34935.22</v>
      </c>
      <c r="V87" s="18" t="n">
        <v>97.34</v>
      </c>
      <c r="W87" s="18" t="n">
        <v>-4544.21</v>
      </c>
      <c r="X87" s="18" t="n">
        <v>4362.85</v>
      </c>
      <c r="Y87" s="18" t="n">
        <v>10421.74</v>
      </c>
      <c r="Z87" s="35" t="n">
        <v>10337.72</v>
      </c>
      <c r="AA87" s="18" t="n">
        <v>-9588.91</v>
      </c>
      <c r="AB87" s="19" t="n">
        <v>4344.46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4318.57</v>
      </c>
      <c r="F88" s="9" t="n"/>
      <c r="G88" s="18" t="n">
        <v>10716.67</v>
      </c>
      <c r="H88" s="18" t="n">
        <v>503.85</v>
      </c>
      <c r="I88" s="18" t="n">
        <v>6861.76</v>
      </c>
      <c r="J88" s="18" t="n">
        <v>-3611.94</v>
      </c>
      <c r="K88" s="35" t="n">
        <v>14470.34</v>
      </c>
      <c r="L88" s="18" t="n">
        <v>7943.73</v>
      </c>
      <c r="M88" s="18" t="n">
        <v>6526.62</v>
      </c>
      <c r="N88" s="18" t="n">
        <v>15629.44</v>
      </c>
      <c r="O88" s="18" t="n">
        <v>14432.22</v>
      </c>
      <c r="P88" s="35" t="n">
        <v>44532.01</v>
      </c>
      <c r="Q88" s="18" t="n">
        <v>21302.45</v>
      </c>
      <c r="R88" s="18" t="n">
        <v>-3718.07</v>
      </c>
      <c r="S88" s="18" t="n">
        <v>-4988.37</v>
      </c>
      <c r="T88" s="18" t="n">
        <v>-2782</v>
      </c>
      <c r="U88" s="35" t="n">
        <v>9814.01</v>
      </c>
      <c r="V88" s="18" t="n">
        <v>9959.15</v>
      </c>
      <c r="W88" s="18" t="n">
        <v>-4625.7</v>
      </c>
      <c r="X88" s="18" t="n">
        <v>4446.62</v>
      </c>
      <c r="Y88" s="18" t="n">
        <v>10371.3</v>
      </c>
      <c r="Z88" s="35" t="n">
        <v>20151.37</v>
      </c>
      <c r="AA88" s="18" t="n">
        <v>10562.46</v>
      </c>
      <c r="AB88" s="19" t="n">
        <v>4415.85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27</v>
      </c>
      <c r="H89" s="18" t="n">
        <v>0</v>
      </c>
      <c r="I89" s="18" t="n">
        <v>3.56</v>
      </c>
      <c r="J89" s="18" t="n">
        <v>0</v>
      </c>
      <c r="K89" s="35" t="n">
        <v>30.56</v>
      </c>
      <c r="P89" s="9" t="n"/>
      <c r="Q89" s="18" t="n">
        <v>1117.11</v>
      </c>
      <c r="R89" s="18" t="n">
        <v>2</v>
      </c>
      <c r="S89" s="18" t="n">
        <v>2</v>
      </c>
      <c r="T89" s="18" t="n">
        <v>0</v>
      </c>
      <c r="U89" s="35" t="n">
        <v>1121.11</v>
      </c>
      <c r="V89" s="18" t="n">
        <v>0.63</v>
      </c>
      <c r="W89" s="18" t="n">
        <v>0</v>
      </c>
      <c r="X89" s="18" t="n">
        <v>0</v>
      </c>
      <c r="Y89" s="18" t="n">
        <v>4806.35</v>
      </c>
      <c r="Z89" s="35" t="n">
        <v>4806.98</v>
      </c>
      <c r="AA89" s="18" t="n">
        <v>0.17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자기주식의취득</t>
        </is>
      </c>
      <c r="F90" s="9" t="n"/>
      <c r="J90" s="18" t="n">
        <v>352.39</v>
      </c>
      <c r="K90" s="9" t="n"/>
      <c r="P90" s="9" t="n"/>
      <c r="U90" s="9" t="n"/>
      <c r="X90" s="18" t="n">
        <v>0</v>
      </c>
      <c r="Y90" s="18" t="n">
        <v>4996.88</v>
      </c>
      <c r="Z90" s="9" t="n"/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사채의증가</t>
        </is>
      </c>
      <c r="F91" s="9" t="n"/>
      <c r="K91" s="9" t="n"/>
      <c r="P91" s="9" t="n"/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6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6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6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6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6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6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6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6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6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6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6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6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6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6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6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0.0934</v>
      </c>
      <c r="F10" s="35" t="n"/>
      <c r="G10" s="18" t="n">
        <v>0.0363</v>
      </c>
      <c r="H10" s="18" t="n">
        <v>0.0728</v>
      </c>
      <c r="I10" s="18" t="n">
        <v>0.0179</v>
      </c>
      <c r="J10" s="18" t="n">
        <v>0.1045</v>
      </c>
      <c r="K10" s="35">
        <f>SUM(G10:J10)</f>
        <v/>
      </c>
      <c r="L10" s="18" t="n">
        <v>0.0121</v>
      </c>
      <c r="M10" s="18" t="n">
        <v>0.0887</v>
      </c>
      <c r="N10" s="18" t="n">
        <v>-0.0236</v>
      </c>
      <c r="O10" s="18" t="n">
        <v>0.0435</v>
      </c>
      <c r="P10" s="35">
        <f>SUM(L10:O10)</f>
        <v/>
      </c>
      <c r="Q10" s="18" t="n">
        <v>-0.2001</v>
      </c>
      <c r="R10" s="18" t="n">
        <v>0.0127</v>
      </c>
      <c r="S10" s="18" t="n">
        <v>-0.092</v>
      </c>
      <c r="T10" s="18" t="n">
        <v>-0.06850000000000001</v>
      </c>
      <c r="U10" s="35">
        <f>SUM(Q10:T10)</f>
        <v/>
      </c>
      <c r="V10" s="18" t="n">
        <v>-0.2777</v>
      </c>
      <c r="W10" s="18" t="n">
        <v>0.0236</v>
      </c>
      <c r="X10" s="18" t="n">
        <v>0.0307</v>
      </c>
      <c r="Y10" s="18" t="n">
        <v>0.1597</v>
      </c>
      <c r="Z10" s="35">
        <f>SUM(V10:Y10)</f>
        <v/>
      </c>
      <c r="AA10" s="18" t="n">
        <v>0.0092</v>
      </c>
      <c r="AB10" s="19" t="n">
        <v>0.07340000000000001</v>
      </c>
      <c r="AC10" s="20">
        <f>IFERROR(X10*(1+변수!AC24),"")</f>
        <v/>
      </c>
      <c r="AD10" s="20">
        <f>IFERROR(Y10*(1+변수!AD24),"")</f>
        <v/>
      </c>
      <c r="AE10" s="36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6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6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6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6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6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6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6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6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5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5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5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5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5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6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6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6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6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6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6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5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6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6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6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6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6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6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5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5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5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5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5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6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6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6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5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6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6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6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5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19" t="n"/>
      <c r="AC19" s="20" t="n"/>
      <c r="AD19" s="20" t="n"/>
      <c r="AE19" s="36">
        <f>AD19</f>
        <v/>
      </c>
      <c r="AF19" s="20" t="n"/>
      <c r="AG19" s="20" t="n"/>
      <c r="AH19" s="20" t="n"/>
      <c r="AI19" s="20" t="n"/>
      <c r="AJ19" s="36">
        <f>AI19</f>
        <v/>
      </c>
      <c r="AK19" s="20" t="n"/>
      <c r="AL19" s="20" t="n"/>
      <c r="AM19" s="20" t="n"/>
      <c r="AN19" s="20" t="n"/>
      <c r="AO19" s="36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5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5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5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5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5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6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6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6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 t="n"/>
      <c r="T21" s="18" t="n"/>
      <c r="U21" s="35">
        <f>T21</f>
        <v/>
      </c>
      <c r="V21" s="18" t="n"/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6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6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6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 t="n"/>
      <c r="T22" s="18" t="n"/>
      <c r="U22" s="35">
        <f>T22</f>
        <v/>
      </c>
      <c r="V22" s="18" t="n"/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6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6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6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6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6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6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6">
        <f>AD24</f>
        <v/>
      </c>
      <c r="AF24" s="20" t="n"/>
      <c r="AG24" s="20" t="n"/>
      <c r="AH24" s="20" t="n"/>
      <c r="AI24" s="20" t="n"/>
      <c r="AJ24" s="36">
        <f>AI24</f>
        <v/>
      </c>
      <c r="AK24" s="20" t="n"/>
      <c r="AL24" s="20" t="n"/>
      <c r="AM24" s="20" t="n"/>
      <c r="AN24" s="20" t="n"/>
      <c r="AO24" s="36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5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6">
        <f>SUM(AA25:AD25)</f>
        <v/>
      </c>
      <c r="AF25" s="20" t="n"/>
      <c r="AG25" s="20" t="n"/>
      <c r="AH25" s="20" t="n"/>
      <c r="AI25" s="20" t="n"/>
      <c r="AJ25" s="36">
        <f>SUM(AF25:AI25)</f>
        <v/>
      </c>
      <c r="AK25" s="20" t="n"/>
      <c r="AL25" s="20" t="n"/>
      <c r="AM25" s="20" t="n"/>
      <c r="AN25" s="20" t="n"/>
      <c r="AO25" s="36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5.73</v>
      </c>
      <c r="F26" s="35" t="n"/>
      <c r="G26" s="18" t="n">
        <v>-102.51</v>
      </c>
      <c r="H26" s="18" t="n">
        <v>-3.04</v>
      </c>
      <c r="I26" s="18" t="n">
        <v>11.58</v>
      </c>
      <c r="J26" s="18" t="n">
        <v>-166.86</v>
      </c>
      <c r="K26" s="35">
        <f>SUM(G26:J26)</f>
        <v/>
      </c>
      <c r="L26" s="18" t="n">
        <v>-159.21</v>
      </c>
      <c r="M26" s="18" t="n">
        <v>70.7</v>
      </c>
      <c r="N26" s="18" t="n">
        <v>186.13</v>
      </c>
      <c r="O26" s="18" t="n">
        <v>200.57</v>
      </c>
      <c r="P26" s="35">
        <f>SUM(L26:O26)</f>
        <v/>
      </c>
      <c r="Q26" s="18" t="n">
        <v>179.64</v>
      </c>
      <c r="R26" s="18" t="n">
        <v>-22.24</v>
      </c>
      <c r="S26" s="18" t="n">
        <v>-176.95</v>
      </c>
      <c r="T26" s="18" t="n">
        <v>59.11</v>
      </c>
      <c r="U26" s="35">
        <f>SUM(Q26:T26)</f>
        <v/>
      </c>
      <c r="V26" s="18" t="n">
        <v>118.07</v>
      </c>
      <c r="W26" s="18" t="n">
        <v>-334.23</v>
      </c>
      <c r="X26" s="18" t="n">
        <v>-77.06999999999999</v>
      </c>
      <c r="Y26" s="18" t="n">
        <v>110.83</v>
      </c>
      <c r="Z26" s="35">
        <f>SUM(V26:Y26)</f>
        <v/>
      </c>
      <c r="AA26" s="18" t="n">
        <v>170.78</v>
      </c>
      <c r="AB26" s="19" t="n">
        <v>-42.15</v>
      </c>
      <c r="AC26" s="20" t="n"/>
      <c r="AD26" s="20" t="n"/>
      <c r="AE26" s="36">
        <f>SUM(AA26:AD26)</f>
        <v/>
      </c>
      <c r="AF26" s="20" t="n"/>
      <c r="AG26" s="20" t="n"/>
      <c r="AH26" s="20" t="n"/>
      <c r="AI26" s="20" t="n"/>
      <c r="AJ26" s="36">
        <f>SUM(AF26:AI26)</f>
        <v/>
      </c>
      <c r="AK26" s="20" t="n"/>
      <c r="AL26" s="20" t="n"/>
      <c r="AM26" s="20" t="n"/>
      <c r="AN26" s="20" t="n"/>
      <c r="AO26" s="36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8.923</v>
      </c>
      <c r="F27" s="27">
        <f>E27</f>
        <v/>
      </c>
      <c r="G27" s="26" t="n">
        <v>8.927</v>
      </c>
      <c r="H27" s="26" t="n">
        <v>8.949</v>
      </c>
      <c r="I27" s="26" t="n">
        <v>8.952</v>
      </c>
      <c r="J27" s="26" t="n">
        <v>8.952</v>
      </c>
      <c r="K27" s="27">
        <f>J27</f>
        <v/>
      </c>
      <c r="L27" s="26" t="n">
        <v>8.946999999999999</v>
      </c>
      <c r="M27" s="26" t="n">
        <v>8.949</v>
      </c>
      <c r="N27" s="26" t="n">
        <v>10.504</v>
      </c>
      <c r="O27" s="26" t="n">
        <v>10.512</v>
      </c>
      <c r="P27" s="27">
        <f>O27</f>
        <v/>
      </c>
      <c r="Q27" s="26" t="n">
        <v>10.513</v>
      </c>
      <c r="R27" s="26" t="n">
        <v>10.448</v>
      </c>
      <c r="S27" s="26" t="n">
        <v>10.428</v>
      </c>
      <c r="T27" s="26" t="n">
        <v>10.381</v>
      </c>
      <c r="U27" s="27">
        <f>T27</f>
        <v/>
      </c>
      <c r="V27" s="26" t="n">
        <v>10.333</v>
      </c>
      <c r="W27" s="26" t="n">
        <v>10.3</v>
      </c>
      <c r="X27" s="26" t="n">
        <v>10.307</v>
      </c>
      <c r="Y27" s="26" t="n">
        <v>10.202</v>
      </c>
      <c r="Z27" s="27">
        <f>Y27</f>
        <v/>
      </c>
      <c r="AA27" s="26" t="n">
        <v>10.214</v>
      </c>
      <c r="AB27" s="28" t="n">
        <v>10.221</v>
      </c>
      <c r="AC27" s="31">
        <f>IFERROR(AB27*(1+변수!AC38),"")</f>
        <v/>
      </c>
      <c r="AD27" s="31">
        <f>IFERROR(AC27*(1+변수!AD38),"")</f>
        <v/>
      </c>
      <c r="AE27" s="30">
        <f>AD27</f>
        <v/>
      </c>
      <c r="AF27" s="31">
        <f>IFERROR(AD27*(1+변수!AF38),"")</f>
        <v/>
      </c>
      <c r="AG27" s="31">
        <f>IFERROR(AF27*(1+변수!AG38),"")</f>
        <v/>
      </c>
      <c r="AH27" s="31">
        <f>IFERROR(AG27*(1+변수!AH38),"")</f>
        <v/>
      </c>
      <c r="AI27" s="31">
        <f>IFERROR(AH27*(1+변수!AI38),"")</f>
        <v/>
      </c>
      <c r="AJ27" s="30">
        <f>AI27</f>
        <v/>
      </c>
      <c r="AK27" s="31">
        <f>IFERROR(AI27*(1+변수!AK38),"")</f>
        <v/>
      </c>
      <c r="AL27" s="31">
        <f>IFERROR(AK27*(1+변수!AL38),"")</f>
        <v/>
      </c>
      <c r="AM27" s="31">
        <f>IFERROR(AL27*(1+변수!AM38),"")</f>
        <v/>
      </c>
      <c r="AN27" s="31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5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5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5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5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5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6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6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6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5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5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5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5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5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6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6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6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5" t="n">
        <v>100</v>
      </c>
      <c r="G30" s="18" t="n"/>
      <c r="H30" s="18" t="n"/>
      <c r="I30" s="18" t="n"/>
      <c r="J30" s="18" t="n">
        <v>100</v>
      </c>
      <c r="K30" s="35">
        <f>SUM(G30:J30)</f>
        <v/>
      </c>
      <c r="L30" s="18" t="n"/>
      <c r="M30" s="18" t="n"/>
      <c r="N30" s="18" t="n"/>
      <c r="O30" s="18" t="n">
        <v>100</v>
      </c>
      <c r="P30" s="35">
        <f>SUM(L30:O30)</f>
        <v/>
      </c>
      <c r="Q30" s="18" t="n"/>
      <c r="R30" s="18" t="n"/>
      <c r="S30" s="18" t="n"/>
      <c r="T30" s="18" t="n">
        <v>100</v>
      </c>
      <c r="U30" s="35">
        <f>SUM(Q30:T30)</f>
        <v/>
      </c>
      <c r="V30" s="18" t="n"/>
      <c r="W30" s="18" t="n"/>
      <c r="X30" s="18" t="n"/>
      <c r="Y30" s="18" t="n">
        <v>200</v>
      </c>
      <c r="Z30" s="35">
        <f>SUM(V30:Y30)</f>
        <v/>
      </c>
      <c r="AA30" s="18" t="n"/>
      <c r="AB30" s="19" t="n"/>
      <c r="AC30" s="20" t="n"/>
      <c r="AD30" s="20">
        <f>IFERROR(Y30*(1+변수!AD39),"")</f>
        <v/>
      </c>
      <c r="AE30" s="36">
        <f>SUM(AA30:AD30)</f>
        <v/>
      </c>
      <c r="AF30" s="20" t="n"/>
      <c r="AG30" s="20" t="n"/>
      <c r="AH30" s="20" t="n"/>
      <c r="AI30" s="20">
        <f>IFERROR(AD30*(1+변수!AI39),"")</f>
        <v/>
      </c>
      <c r="AJ30" s="36">
        <f>SUM(AF30:AI30)</f>
        <v/>
      </c>
      <c r="AK30" s="20" t="n"/>
      <c r="AL30" s="20" t="n"/>
      <c r="AM30" s="20" t="n"/>
      <c r="AN30" s="20">
        <f>IFERROR(AI30*(1+변수!AN39),"")</f>
        <v/>
      </c>
      <c r="AO30" s="36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5" t="n"/>
      <c r="G31" s="18" t="n"/>
      <c r="H31" s="18" t="n"/>
      <c r="I31" s="18" t="n">
        <v>29.09</v>
      </c>
      <c r="J31" s="18" t="n">
        <v>35.75</v>
      </c>
      <c r="K31" s="35">
        <f>SUM(G31:J31)</f>
        <v/>
      </c>
      <c r="L31" s="18" t="n">
        <v>47.46</v>
      </c>
      <c r="M31" s="18" t="n">
        <v>50.33</v>
      </c>
      <c r="N31" s="18" t="n">
        <v>101.58</v>
      </c>
      <c r="O31" s="18" t="n">
        <v>116.37</v>
      </c>
      <c r="P31" s="35">
        <f>SUM(L31:O31)</f>
        <v/>
      </c>
      <c r="Q31" s="18" t="n">
        <v>996.49</v>
      </c>
      <c r="R31" s="18" t="n"/>
      <c r="S31" s="18" t="n"/>
      <c r="T31" s="18" t="n"/>
      <c r="U31" s="35">
        <f>SUM(Q31:T31)</f>
        <v/>
      </c>
      <c r="V31" s="18" t="n"/>
      <c r="W31" s="18" t="n"/>
      <c r="X31" s="18" t="n"/>
      <c r="Y31" s="18" t="n">
        <v>62.55</v>
      </c>
      <c r="Z31" s="35">
        <f>SUM(V31:Y31)</f>
        <v/>
      </c>
      <c r="AA31" s="18" t="n">
        <v>30.64</v>
      </c>
      <c r="AB31" s="19" t="n">
        <v>28.99</v>
      </c>
      <c r="AC31" s="20" t="n">
        <v>16.73</v>
      </c>
      <c r="AD31" s="20">
        <f>IFERROR(Y31*(1+변수!AD40),"")</f>
        <v/>
      </c>
      <c r="AE31" s="36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6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6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4.12</v>
      </c>
      <c r="F32" s="35" t="n">
        <v>4.91</v>
      </c>
      <c r="G32" s="18" t="n">
        <v>4.33</v>
      </c>
      <c r="H32" s="18" t="n">
        <v>3.99</v>
      </c>
      <c r="I32" s="18" t="n">
        <v>3.2</v>
      </c>
      <c r="J32" s="18" t="n">
        <v>3.21</v>
      </c>
      <c r="K32" s="35">
        <f>SUM(G32:J32)</f>
        <v/>
      </c>
      <c r="L32" s="18" t="n">
        <v>3.74</v>
      </c>
      <c r="M32" s="18" t="n">
        <v>3.56</v>
      </c>
      <c r="N32" s="18" t="n">
        <v>2.99</v>
      </c>
      <c r="O32" s="18" t="n">
        <v>2.83</v>
      </c>
      <c r="P32" s="35">
        <f>SUM(L32:O32)</f>
        <v/>
      </c>
      <c r="Q32" s="18" t="n">
        <v>2.42</v>
      </c>
      <c r="R32" s="18" t="n">
        <v>2.37</v>
      </c>
      <c r="S32" s="18" t="n">
        <v>2.21</v>
      </c>
      <c r="T32" s="18" t="n">
        <v>1.77</v>
      </c>
      <c r="U32" s="35">
        <f>SUM(Q32:T32)</f>
        <v/>
      </c>
      <c r="V32" s="18" t="n">
        <v>1.62</v>
      </c>
      <c r="W32" s="18" t="n">
        <v>1.78</v>
      </c>
      <c r="X32" s="18" t="n">
        <v>2.02</v>
      </c>
      <c r="Y32" s="18" t="n">
        <v>1.8</v>
      </c>
      <c r="Z32" s="35">
        <f>SUM(V32:Y32)</f>
        <v/>
      </c>
      <c r="AA32" s="18" t="n">
        <v>3.85</v>
      </c>
      <c r="AB32" s="19" t="n">
        <v>4.45</v>
      </c>
      <c r="AC32" s="20">
        <f>IFERROR(X32*(1+변수!AC41),"")</f>
        <v/>
      </c>
      <c r="AD32" s="20">
        <f>IFERROR(Y32*(1+변수!AD41),"")</f>
        <v/>
      </c>
      <c r="AE32" s="36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6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6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482.93</v>
      </c>
      <c r="F33" s="35" t="n"/>
      <c r="G33" s="18" t="n">
        <v>430.25</v>
      </c>
      <c r="H33" s="18" t="n">
        <v>569.84</v>
      </c>
      <c r="I33" s="18" t="n">
        <v>570.37</v>
      </c>
      <c r="J33" s="18" t="n">
        <v>824.1900000000001</v>
      </c>
      <c r="K33" s="35">
        <f>SUM(G33:J33)</f>
        <v/>
      </c>
      <c r="L33" s="18" t="n">
        <v>643.9299999999999</v>
      </c>
      <c r="M33" s="18" t="n">
        <v>875.95</v>
      </c>
      <c r="N33" s="18" t="n">
        <v>667.75</v>
      </c>
      <c r="O33" s="18" t="n">
        <v>862.8</v>
      </c>
      <c r="P33" s="35">
        <f>SUM(L33:O33)</f>
        <v/>
      </c>
      <c r="Q33" s="18" t="n">
        <v>466.98</v>
      </c>
      <c r="R33" s="18" t="n">
        <v>716.99</v>
      </c>
      <c r="S33" s="18" t="n">
        <v>623.61</v>
      </c>
      <c r="T33" s="18" t="n">
        <v>770.11</v>
      </c>
      <c r="U33" s="35">
        <f>SUM(Q33:T33)</f>
        <v/>
      </c>
      <c r="V33" s="18" t="n">
        <v>433.5</v>
      </c>
      <c r="W33" s="18" t="n">
        <v>747.36</v>
      </c>
      <c r="X33" s="18" t="n">
        <v>772.26</v>
      </c>
      <c r="Y33" s="18" t="n">
        <v>1243.15</v>
      </c>
      <c r="Z33" s="35">
        <f>SUM(V33:Y33)</f>
        <v/>
      </c>
      <c r="AA33" s="18" t="n">
        <v>647.24</v>
      </c>
      <c r="AB33" s="19" t="n">
        <v>972.46</v>
      </c>
      <c r="AC33" s="20">
        <f>IFERROR(AC5*변수!AC42,"")</f>
        <v/>
      </c>
      <c r="AD33" s="20">
        <f>IFERROR(AD5*변수!AD42,"")</f>
        <v/>
      </c>
      <c r="AE33" s="36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6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6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45.09</v>
      </c>
      <c r="F34" s="35" t="n"/>
      <c r="G34" s="18" t="n">
        <v>15.6</v>
      </c>
      <c r="H34" s="18" t="n">
        <v>41.49</v>
      </c>
      <c r="I34" s="18" t="n">
        <v>10.24</v>
      </c>
      <c r="J34" s="18" t="n">
        <v>86.09999999999999</v>
      </c>
      <c r="K34" s="35">
        <f>SUM(G34:J34)</f>
        <v/>
      </c>
      <c r="L34" s="18" t="n">
        <v>7.77</v>
      </c>
      <c r="M34" s="18" t="n">
        <v>77.70999999999999</v>
      </c>
      <c r="N34" s="18" t="n">
        <v>-15.78</v>
      </c>
      <c r="O34" s="18" t="n">
        <v>37.55</v>
      </c>
      <c r="P34" s="35">
        <f>SUM(L34:O34)</f>
        <v/>
      </c>
      <c r="Q34" s="18" t="n">
        <v>-93.45999999999999</v>
      </c>
      <c r="R34" s="18" t="n">
        <v>9.1</v>
      </c>
      <c r="S34" s="18" t="n">
        <v>-57.35</v>
      </c>
      <c r="T34" s="18" t="n">
        <v>-52.73</v>
      </c>
      <c r="U34" s="35">
        <f>SUM(Q34:T34)</f>
        <v/>
      </c>
      <c r="V34" s="18" t="n">
        <v>-120.39</v>
      </c>
      <c r="W34" s="18" t="n">
        <v>17.63</v>
      </c>
      <c r="X34" s="18" t="n">
        <v>23.73</v>
      </c>
      <c r="Y34" s="18" t="n">
        <v>198.56</v>
      </c>
      <c r="Z34" s="35">
        <f>SUM(V34:Y34)</f>
        <v/>
      </c>
      <c r="AA34" s="18" t="n">
        <v>5.93</v>
      </c>
      <c r="AB34" s="19" t="n">
        <v>71.36</v>
      </c>
      <c r="AC34" s="20">
        <f>IFERROR(AC33*변수!AC43,"")</f>
        <v/>
      </c>
      <c r="AD34" s="20">
        <f>IFERROR(AD33*변수!AD43,"")</f>
        <v/>
      </c>
      <c r="AE34" s="36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6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6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2">
        <f>IFERROR(AC9/AC5,"")</f>
        <v/>
      </c>
      <c r="AD36" s="32">
        <f>IFERROR(AD9/AD5,"")</f>
        <v/>
      </c>
      <c r="AE36" s="25">
        <f>IFERROR(AE9/AE5,"")</f>
        <v/>
      </c>
      <c r="AF36" s="32">
        <f>IFERROR(AF9/AF5,"")</f>
        <v/>
      </c>
      <c r="AG36" s="32">
        <f>IFERROR(AG9/AG5,"")</f>
        <v/>
      </c>
      <c r="AH36" s="32">
        <f>IFERROR(AH9/AH5,"")</f>
        <v/>
      </c>
      <c r="AI36" s="32">
        <f>IFERROR(AI9/AI5,"")</f>
        <v/>
      </c>
      <c r="AJ36" s="25">
        <f>IFERROR(AJ9/AJ5,"")</f>
        <v/>
      </c>
      <c r="AK36" s="32">
        <f>IFERROR(AK9/AK5,"")</f>
        <v/>
      </c>
      <c r="AL36" s="32">
        <f>IFERROR(AL9/AL5,"")</f>
        <v/>
      </c>
      <c r="AM36" s="32">
        <f>IFERROR(AM9/AM5,"")</f>
        <v/>
      </c>
      <c r="AN36" s="32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2">
        <f>IFERROR(AC16/AC5,"")</f>
        <v/>
      </c>
      <c r="AD37" s="32">
        <f>IFERROR(AD16/AD5,"")</f>
        <v/>
      </c>
      <c r="AE37" s="25">
        <f>IFERROR(AE16/AE5,"")</f>
        <v/>
      </c>
      <c r="AF37" s="32">
        <f>IFERROR(AF16/AF5,"")</f>
        <v/>
      </c>
      <c r="AG37" s="32">
        <f>IFERROR(AG16/AG5,"")</f>
        <v/>
      </c>
      <c r="AH37" s="32">
        <f>IFERROR(AH16/AH5,"")</f>
        <v/>
      </c>
      <c r="AI37" s="32">
        <f>IFERROR(AI16/AI5,"")</f>
        <v/>
      </c>
      <c r="AJ37" s="25">
        <f>IFERROR(AJ16/AJ5,"")</f>
        <v/>
      </c>
      <c r="AK37" s="32">
        <f>IFERROR(AK16/AK5,"")</f>
        <v/>
      </c>
      <c r="AL37" s="32">
        <f>IFERROR(AL16/AL5,"")</f>
        <v/>
      </c>
      <c r="AM37" s="32">
        <f>IFERROR(AM16/AM5,"")</f>
        <v/>
      </c>
      <c r="AN37" s="32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1">
        <f>IFERROR(VLOOKUP($A27,subQ,MATCH(X$1,SUBQH,0),0),"")</f>
        <v/>
      </c>
      <c r="Y27" s="31">
        <f>IFERROR(VLOOKUP($A27,subQ,MATCH(Y$1,SUBQH,0),0),"")</f>
        <v/>
      </c>
      <c r="Z27" s="31">
        <f>IFERROR(VLOOKUP($A27,subQ,MATCH(Z$1,SUBQH,0),0),"")</f>
        <v/>
      </c>
      <c r="AA27" s="31">
        <f>IFERROR(VLOOKUP($A27,subQ,MATCH(AA$1,SUBQH,0),0),"")</f>
        <v/>
      </c>
      <c r="AB27" s="31">
        <f>IFERROR(VLOOKUP($A27,subQ,MATCH(AB$1,SUBQH,0),0),"")</f>
        <v/>
      </c>
      <c r="AC27" s="31">
        <f>IFERROR(VLOOKUP($A27,subQ,MATCH(AC$1,SUBQH,0),0),"")</f>
        <v/>
      </c>
      <c r="AD27" s="31">
        <f>IFERROR(VLOOKUP($A27,subQ,MATCH(AD$1,SUBQH,0),0),"")</f>
        <v/>
      </c>
      <c r="AE27" s="31">
        <f>IFERROR(VLOOKUP($A27,subQ,MATCH(AE$1,SUBQH,0),0),"")</f>
        <v/>
      </c>
      <c r="AF27" s="31">
        <f>IFERROR(VLOOKUP($A27,subQ,MATCH(AF$1,SUBQH,0),0),"")</f>
        <v/>
      </c>
      <c r="AG27" s="31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2">
        <f>IFERROR(X16/T16-1,"")</f>
        <v/>
      </c>
      <c r="Y39" s="32">
        <f>IFERROR(Y16/U16-1,"")</f>
        <v/>
      </c>
      <c r="Z39" s="32">
        <f>IFERROR(Z16/V16-1,"")</f>
        <v/>
      </c>
      <c r="AA39" s="32">
        <f>IFERROR(AA16/W16-1,"")</f>
        <v/>
      </c>
      <c r="AB39" s="32">
        <f>IFERROR(AB16/X16-1,"")</f>
        <v/>
      </c>
      <c r="AC39" s="32">
        <f>IFERROR(AC16/Y16-1,"")</f>
        <v/>
      </c>
      <c r="AD39" s="32">
        <f>IFERROR(AD16/Z16-1,"")</f>
        <v/>
      </c>
      <c r="AE39" s="32">
        <f>IFERROR(AE16/AA16-1,"")</f>
        <v/>
      </c>
      <c r="AF39" s="32">
        <f>IFERROR(AF16/AB16-1,"")</f>
        <v/>
      </c>
      <c r="AG39" s="32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1">
        <f>IFERROR(VLOOKUP($A27,subQ,MATCH(J$1,SUBQH,0),0),"")</f>
        <v/>
      </c>
      <c r="K27" s="31">
        <f>IFERROR(VLOOKUP($A27,subQ,MATCH(K$1,SUBQH,0),0),"")</f>
        <v/>
      </c>
      <c r="L27" s="31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2">
        <f>IFERROR(J16/I16-1,"")</f>
        <v/>
      </c>
      <c r="K39" s="32">
        <f>IFERROR(K16/J16-1,"")</f>
        <v/>
      </c>
      <c r="L39" s="32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280.7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239.05</v>
      </c>
    </row>
    <row r="32">
      <c r="C32" s="2" t="inlineStr">
        <is>
          <t>pbr_now</t>
        </is>
      </c>
      <c r="D32" t="n">
        <v>2.4</v>
      </c>
    </row>
    <row r="33">
      <c r="C33" s="2" t="inlineStr">
        <is>
          <t>roe_fwd</t>
        </is>
      </c>
      <c r="D33" t="n">
        <v>0.01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