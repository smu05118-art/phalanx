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변수" sheetId="2" state="visible" r:id="rId2"/>
    <sheet name="BS연결" sheetId="3" state="visible" r:id="rId3"/>
    <sheet name="BS별도" sheetId="4" state="visible" r:id="rId4"/>
    <sheet name="subQ" sheetId="5" state="visible" r:id="rId5"/>
    <sheet name="분기" sheetId="6" state="visible" r:id="rId6"/>
    <sheet name="연간예상" sheetId="7" state="visible" r:id="rId7"/>
    <sheet name="TP" sheetId="8" state="visible" r:id="rId8"/>
    <sheet name="외화" sheetId="9" state="visible" r:id="rId9"/>
  </sheets>
  <definedNames>
    <definedName name="변수H">변수!$C$1:$AO$1</definedName>
    <definedName name="환율">변수!$C$6:$AO$13</definedName>
    <definedName name="BS연결H">BS연결!$C$1:$AO$1</definedName>
    <definedName name="BS연결">BS연결!$C$5:$AO$86</definedName>
    <definedName name="BS별도H">BS별도!$C$1:$AO$1</definedName>
    <definedName name="BS별도">BS별도!$C$5:$AO$82</definedName>
    <definedName name="SUBQH">subQ!$A$1:$AO$1</definedName>
    <definedName name="subQ">subQ!$A$5:$AO$39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5">
    <font>
      <name val="Calibri"/>
      <family val="2"/>
      <color theme="1"/>
      <sz val="11"/>
      <scheme val="minor"/>
    </font>
    <font>
      <b val="1"/>
    </font>
    <font>
      <i val="1"/>
      <color rgb="00666666"/>
      <sz val="9"/>
    </font>
    <font>
      <b val="1"/>
      <color rgb="00FFFFFF"/>
    </font>
    <font>
      <color rgb="001F4E79"/>
    </font>
  </fonts>
  <fills count="7">
    <fill>
      <patternFill/>
    </fill>
    <fill>
      <patternFill patternType="gray125"/>
    </fill>
    <fill>
      <patternFill patternType="solid">
        <fgColor rgb="0044546A"/>
      </patternFill>
    </fill>
    <fill>
      <patternFill patternType="solid">
        <fgColor rgb="00FFF2AB"/>
      </patternFill>
    </fill>
    <fill>
      <patternFill patternType="solid">
        <fgColor rgb="00EDEDED"/>
      </patternFill>
    </fill>
    <fill>
      <patternFill patternType="solid">
        <fgColor rgb="00FFF9DB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/>
      <right style="medium">
        <color rgb="00000000"/>
      </right>
      <top/>
      <bottom/>
    </border>
    <border>
      <right style="medium">
        <color rgb="00000000"/>
      </right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4" borderId="0" pivotButton="0" quotePrefix="0" xfId="0"/>
    <xf numFmtId="0" fontId="0" fillId="5" borderId="0" pivotButton="0" quotePrefix="0" xfId="0"/>
    <xf numFmtId="0" fontId="1" fillId="5" borderId="0" pivotButton="0" quotePrefix="0" xfId="0"/>
    <xf numFmtId="0" fontId="4" fillId="0" borderId="0" pivotButton="0" quotePrefix="0" xfId="0"/>
    <xf numFmtId="4" fontId="0" fillId="0" borderId="0" pivotButton="0" quotePrefix="0" xfId="0"/>
    <xf numFmtId="4" fontId="1" fillId="4" borderId="0" pivotButton="0" quotePrefix="0" xfId="0"/>
    <xf numFmtId="4" fontId="0" fillId="0" borderId="1" pivotButton="0" quotePrefix="0" xfId="0"/>
    <xf numFmtId="4" fontId="0" fillId="3" borderId="0" pivotButton="0" quotePrefix="0" xfId="0"/>
    <xf numFmtId="4" fontId="1" fillId="3" borderId="0" pivotButton="0" quotePrefix="0" xfId="0"/>
    <xf numFmtId="3" fontId="0" fillId="0" borderId="0" pivotButton="0" quotePrefix="0" xfId="0"/>
    <xf numFmtId="3" fontId="0" fillId="0" borderId="1" pivotButton="0" quotePrefix="0" xfId="0"/>
    <xf numFmtId="3" fontId="0" fillId="5" borderId="0" pivotButton="0" quotePrefix="0" xfId="0"/>
    <xf numFmtId="164" fontId="0" fillId="0" borderId="0" pivotButton="0" quotePrefix="0" xfId="0"/>
    <xf numFmtId="164" fontId="1" fillId="4" borderId="0" pivotButton="0" quotePrefix="0" xfId="0"/>
    <xf numFmtId="164" fontId="0" fillId="0" borderId="1" pivotButton="0" quotePrefix="0" xfId="0"/>
    <xf numFmtId="164" fontId="0" fillId="3" borderId="0" pivotButton="0" quotePrefix="0" xfId="0"/>
    <xf numFmtId="164" fontId="1" fillId="5" borderId="0" pivotButton="0" quotePrefix="0" xfId="0"/>
    <xf numFmtId="164" fontId="0" fillId="6" borderId="0" pivotButton="0" quotePrefix="0" xfId="0"/>
    <xf numFmtId="165" fontId="0" fillId="0" borderId="0" pivotButton="0" quotePrefix="0" xfId="0"/>
    <xf numFmtId="165" fontId="1" fillId="4" borderId="0" pivotButton="0" quotePrefix="0" xfId="0"/>
    <xf numFmtId="165" fontId="0" fillId="0" borderId="1" pivotButton="0" quotePrefix="0" xfId="0"/>
    <xf numFmtId="165" fontId="0" fillId="3" borderId="0" pivotButton="0" quotePrefix="0" xfId="0"/>
    <xf numFmtId="165" fontId="1" fillId="5" borderId="0" pivotButton="0" quotePrefix="0" xfId="0"/>
    <xf numFmtId="164" fontId="0" fillId="5" borderId="0" pivotButton="0" quotePrefix="0" xfId="0"/>
    <xf numFmtId="165" fontId="0" fillId="5" borderId="0" pivotButton="0" quotePrefix="0" xfId="0"/>
    <xf numFmtId="3" fontId="0" fillId="3" borderId="0" pivotButton="0" quotePrefix="0" xfId="0"/>
    <xf numFmtId="0" fontId="0" fillId="3" borderId="0" pivotButton="0" quotePrefix="0" xfId="0"/>
    <xf numFmtId="10" fontId="0" fillId="3" borderId="0" pivotButton="0" quotePrefix="0" xfId="0"/>
    <xf numFmtId="3" fontId="1" fillId="4" borderId="0" pivotButton="0" quotePrefix="0" xfId="0"/>
    <xf numFmtId="3" fontId="1" fillId="5" borderId="0" pivotButton="0" quotePrefix="0" xfId="0"/>
    <xf numFmtId="4" fontId="0" fillId="5" borderId="0" pivotButton="0" quotePrefix="0" xfId="0"/>
    <xf numFmtId="4" fontId="1" fillId="5" borderId="0" pivotButton="0" quotePrefix="0" xfId="0"/>
    <xf numFmtId="0" fontId="3" fillId="2" borderId="2" applyAlignment="1" pivotButton="0" quotePrefix="0" xfId="0">
      <alignment horizontal="center"/>
    </xf>
    <xf numFmtId="0" fontId="0" fillId="0" borderId="2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3" fontId="0" fillId="0" borderId="2" pivotButton="0" quotePrefix="0" xfId="0"/>
    <xf numFmtId="164" fontId="0" fillId="0" borderId="2" pivotButton="0" quotePrefix="0" xfId="0"/>
    <xf numFmtId="165" fontId="0" fillId="0" borderId="2" pivotButton="0" quotePrefix="0" xfId="0"/>
    <xf numFmtId="4" fontId="0" fillId="0" borderId="2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omments/comment1.xml><?xml version="1.0" encoding="utf-8"?>
<comments xmlns="http://schemas.openxmlformats.org/spreadsheetml/2006/main">
  <authors>
    <author>kship</author>
  </authors>
  <commentList>
    <comment ref="AC6" authorId="0" shapeId="0">
      <text>
        <t>모델 assumptions.fx — 가정 — 마지막 ECB 관측치를 2028Q4 까지 평평하게 둔다. 선도환율·컨센서스 아님.</t>
      </text>
    </comment>
    <comment ref="AD6" authorId="0" shapeId="0">
      <text>
        <t>모델 assumptions.fx — 가정 — 마지막 ECB 관측치를 2028Q4 까지 평평하게 둔다. 선도환율·컨센서스 아님.</t>
      </text>
    </comment>
    <comment ref="AF6" authorId="0" shapeId="0">
      <text>
        <t>모델 assumptions.fx — 가정 — 마지막 ECB 관측치를 2028Q4 까지 평평하게 둔다. 선도환율·컨센서스 아님.</t>
      </text>
    </comment>
    <comment ref="AG6" authorId="0" shapeId="0">
      <text>
        <t>모델 assumptions.fx — 가정 — 마지막 ECB 관측치를 2028Q4 까지 평평하게 둔다. 선도환율·컨센서스 아님.</t>
      </text>
    </comment>
    <comment ref="AH6" authorId="0" shapeId="0">
      <text>
        <t>모델 assumptions.fx — 가정 — 마지막 ECB 관측치를 2028Q4 까지 평평하게 둔다. 선도환율·컨센서스 아님.</t>
      </text>
    </comment>
    <comment ref="AI6" authorId="0" shapeId="0">
      <text>
        <t>모델 assumptions.fx — 가정 — 마지막 ECB 관측치를 2028Q4 까지 평평하게 둔다. 선도환율·컨센서스 아님.</t>
      </text>
    </comment>
    <comment ref="AK6" authorId="0" shapeId="0">
      <text>
        <t>모델 assumptions.fx — 가정 — 마지막 ECB 관측치를 2028Q4 까지 평평하게 둔다. 선도환율·컨센서스 아님.</t>
      </text>
    </comment>
    <comment ref="AL6" authorId="0" shapeId="0">
      <text>
        <t>모델 assumptions.fx — 가정 — 마지막 ECB 관측치를 2028Q4 까지 평평하게 둔다. 선도환율·컨센서스 아님.</t>
      </text>
    </comment>
    <comment ref="AM6" authorId="0" shapeId="0">
      <text>
        <t>모델 assumptions.fx — 가정 — 마지막 ECB 관측치를 2028Q4 까지 평평하게 둔다. 선도환율·컨센서스 아님.</t>
      </text>
    </comment>
    <comment ref="AN6" authorId="0" shapeId="0">
      <text>
        <t>모델 assumptions.fx — 가정 — 마지막 ECB 관측치를 2028Q4 까지 평평하게 둔다. 선도환율·컨센서스 아님.</t>
      </text>
    </comment>
    <comment ref="AC7" authorId="0" shapeId="0">
      <text>
        <t>모델 assumptions.fx — 가정 — 마지막 ECB 관측치를 2028Q4 까지 평평하게 둔다. 선도환율·컨센서스 아님.</t>
      </text>
    </comment>
    <comment ref="AD7" authorId="0" shapeId="0">
      <text>
        <t>모델 assumptions.fx — 가정 — 마지막 ECB 관측치를 2028Q4 까지 평평하게 둔다. 선도환율·컨센서스 아님.</t>
      </text>
    </comment>
    <comment ref="AF7" authorId="0" shapeId="0">
      <text>
        <t>모델 assumptions.fx — 가정 — 마지막 ECB 관측치를 2028Q4 까지 평평하게 둔다. 선도환율·컨센서스 아님.</t>
      </text>
    </comment>
    <comment ref="AG7" authorId="0" shapeId="0">
      <text>
        <t>모델 assumptions.fx — 가정 — 마지막 ECB 관측치를 2028Q4 까지 평평하게 둔다. 선도환율·컨센서스 아님.</t>
      </text>
    </comment>
    <comment ref="AH7" authorId="0" shapeId="0">
      <text>
        <t>모델 assumptions.fx — 가정 — 마지막 ECB 관측치를 2028Q4 까지 평평하게 둔다. 선도환율·컨센서스 아님.</t>
      </text>
    </comment>
    <comment ref="AI7" authorId="0" shapeId="0">
      <text>
        <t>모델 assumptions.fx — 가정 — 마지막 ECB 관측치를 2028Q4 까지 평평하게 둔다. 선도환율·컨센서스 아님.</t>
      </text>
    </comment>
    <comment ref="AK7" authorId="0" shapeId="0">
      <text>
        <t>모델 assumptions.fx — 가정 — 마지막 ECB 관측치를 2028Q4 까지 평평하게 둔다. 선도환율·컨센서스 아님.</t>
      </text>
    </comment>
    <comment ref="AL7" authorId="0" shapeId="0">
      <text>
        <t>모델 assumptions.fx — 가정 — 마지막 ECB 관측치를 2028Q4 까지 평평하게 둔다. 선도환율·컨센서스 아님.</t>
      </text>
    </comment>
    <comment ref="AM7" authorId="0" shapeId="0">
      <text>
        <t>모델 assumptions.fx — 가정 — 마지막 ECB 관측치를 2028Q4 까지 평평하게 둔다. 선도환율·컨센서스 아님.</t>
      </text>
    </comment>
    <comment ref="AN7" authorId="0" shapeId="0">
      <text>
        <t>모델 assumptions.fx — 가정 — 마지막 ECB 관측치를 2028Q4 까지 평평하게 둔다. 선도환율·컨센서스 아님.</t>
      </text>
    </comment>
    <comment ref="AD8" authorId="0" shapeId="0">
      <text>
        <t>fx.json quarters(partial — 분기 진행 중 실측 평균)</t>
      </text>
    </comment>
    <comment ref="AF8" authorId="0" shapeId="0">
      <text>
        <t>fx.json forward(flat_last_end) — 가정</t>
      </text>
    </comment>
    <comment ref="AG8" authorId="0" shapeId="0">
      <text>
        <t>fx.json forward(flat_last_end) — 가정</t>
      </text>
    </comment>
    <comment ref="AH8" authorId="0" shapeId="0">
      <text>
        <t>fx.json forward(flat_last_end) — 가정</t>
      </text>
    </comment>
    <comment ref="AI8" authorId="0" shapeId="0">
      <text>
        <t>fx.json forward(flat_last_end) — 가정</t>
      </text>
    </comment>
    <comment ref="AK8" authorId="0" shapeId="0">
      <text>
        <t>fx.json forward(flat_last_end) — 가정</t>
      </text>
    </comment>
    <comment ref="AL8" authorId="0" shapeId="0">
      <text>
        <t>fx.json forward(flat_last_end) — 가정</t>
      </text>
    </comment>
    <comment ref="AM8" authorId="0" shapeId="0">
      <text>
        <t>fx.json forward(flat_last_end) — 가정</t>
      </text>
    </comment>
    <comment ref="AN8" authorId="0" shapeId="0">
      <text>
        <t>fx.json forward(flat_last_end) — 가정</t>
      </text>
    </comment>
    <comment ref="AD9" authorId="0" shapeId="0">
      <text>
        <t>fx.json quarters(partial — 분기 진행 중 실측 평균)</t>
      </text>
    </comment>
    <comment ref="AF9" authorId="0" shapeId="0">
      <text>
        <t>fx.json forward(flat_last_end) — 가정</t>
      </text>
    </comment>
    <comment ref="AG9" authorId="0" shapeId="0">
      <text>
        <t>fx.json forward(flat_last_end) — 가정</t>
      </text>
    </comment>
    <comment ref="AH9" authorId="0" shapeId="0">
      <text>
        <t>fx.json forward(flat_last_end) — 가정</t>
      </text>
    </comment>
    <comment ref="AI9" authorId="0" shapeId="0">
      <text>
        <t>fx.json forward(flat_last_end) — 가정</t>
      </text>
    </comment>
    <comment ref="AK9" authorId="0" shapeId="0">
      <text>
        <t>fx.json forward(flat_last_end) — 가정</t>
      </text>
    </comment>
    <comment ref="AL9" authorId="0" shapeId="0">
      <text>
        <t>fx.json forward(flat_last_end) — 가정</t>
      </text>
    </comment>
    <comment ref="AM9" authorId="0" shapeId="0">
      <text>
        <t>fx.json forward(flat_last_end) — 가정</t>
      </text>
    </comment>
    <comment ref="AN9" authorId="0" shapeId="0">
      <text>
        <t>fx.json forward(flat_last_end) — 가정</t>
      </text>
    </comment>
    <comment ref="AD10" authorId="0" shapeId="0">
      <text>
        <t>fx.json quarters(partial — 분기 진행 중 실측 평균)</t>
      </text>
    </comment>
    <comment ref="AF10" authorId="0" shapeId="0">
      <text>
        <t>fx.json forward(flat_last_end) — 가정</t>
      </text>
    </comment>
    <comment ref="AG10" authorId="0" shapeId="0">
      <text>
        <t>fx.json forward(flat_last_end) — 가정</t>
      </text>
    </comment>
    <comment ref="AH10" authorId="0" shapeId="0">
      <text>
        <t>fx.json forward(flat_last_end) — 가정</t>
      </text>
    </comment>
    <comment ref="AI10" authorId="0" shapeId="0">
      <text>
        <t>fx.json forward(flat_last_end) — 가정</t>
      </text>
    </comment>
    <comment ref="AK10" authorId="0" shapeId="0">
      <text>
        <t>fx.json forward(flat_last_end) — 가정</t>
      </text>
    </comment>
    <comment ref="AL10" authorId="0" shapeId="0">
      <text>
        <t>fx.json forward(flat_last_end) — 가정</t>
      </text>
    </comment>
    <comment ref="AM10" authorId="0" shapeId="0">
      <text>
        <t>fx.json forward(flat_last_end) — 가정</t>
      </text>
    </comment>
    <comment ref="AN10" authorId="0" shapeId="0">
      <text>
        <t>fx.json forward(flat_last_end) — 가정</t>
      </text>
    </comment>
    <comment ref="AD11" authorId="0" shapeId="0">
      <text>
        <t>fx.json quarters(partial — 분기 진행 중 실측 평균)</t>
      </text>
    </comment>
    <comment ref="AF11" authorId="0" shapeId="0">
      <text>
        <t>fx.json forward(flat_last_end) — 가정</t>
      </text>
    </comment>
    <comment ref="AG11" authorId="0" shapeId="0">
      <text>
        <t>fx.json forward(flat_last_end) — 가정</t>
      </text>
    </comment>
    <comment ref="AH11" authorId="0" shapeId="0">
      <text>
        <t>fx.json forward(flat_last_end) — 가정</t>
      </text>
    </comment>
    <comment ref="AI11" authorId="0" shapeId="0">
      <text>
        <t>fx.json forward(flat_last_end) — 가정</t>
      </text>
    </comment>
    <comment ref="AK11" authorId="0" shapeId="0">
      <text>
        <t>fx.json forward(flat_last_end) — 가정</t>
      </text>
    </comment>
    <comment ref="AL11" authorId="0" shapeId="0">
      <text>
        <t>fx.json forward(flat_last_end) — 가정</t>
      </text>
    </comment>
    <comment ref="AM11" authorId="0" shapeId="0">
      <text>
        <t>fx.json forward(flat_last_end) — 가정</t>
      </text>
    </comment>
    <comment ref="AN11" authorId="0" shapeId="0">
      <text>
        <t>fx.json forward(flat_last_end) — 가정</t>
      </text>
    </comment>
    <comment ref="AD12" authorId="0" shapeId="0">
      <text>
        <t>fx.json quarters(partial — 분기 진행 중 실측 평균)</t>
      </text>
    </comment>
    <comment ref="AF12" authorId="0" shapeId="0">
      <text>
        <t>fx.json forward(flat_last_end) — 가정</t>
      </text>
    </comment>
    <comment ref="AG12" authorId="0" shapeId="0">
      <text>
        <t>fx.json forward(flat_last_end) — 가정</t>
      </text>
    </comment>
    <comment ref="AH12" authorId="0" shapeId="0">
      <text>
        <t>fx.json forward(flat_last_end) — 가정</t>
      </text>
    </comment>
    <comment ref="AI12" authorId="0" shapeId="0">
      <text>
        <t>fx.json forward(flat_last_end) — 가정</t>
      </text>
    </comment>
    <comment ref="AK12" authorId="0" shapeId="0">
      <text>
        <t>fx.json forward(flat_last_end) — 가정</t>
      </text>
    </comment>
    <comment ref="AL12" authorId="0" shapeId="0">
      <text>
        <t>fx.json forward(flat_last_end) — 가정</t>
      </text>
    </comment>
    <comment ref="AM12" authorId="0" shapeId="0">
      <text>
        <t>fx.json forward(flat_last_end) — 가정</t>
      </text>
    </comment>
    <comment ref="AN12" authorId="0" shapeId="0">
      <text>
        <t>fx.json forward(flat_last_end) — 가정</t>
      </text>
    </comment>
    <comment ref="AD13" authorId="0" shapeId="0">
      <text>
        <t>fx.json quarters(partial — 분기 진행 중 실측 평균)</t>
      </text>
    </comment>
    <comment ref="AF13" authorId="0" shapeId="0">
      <text>
        <t>fx.json forward(flat_last_end) — 가정</t>
      </text>
    </comment>
    <comment ref="AG13" authorId="0" shapeId="0">
      <text>
        <t>fx.json forward(flat_last_end) — 가정</t>
      </text>
    </comment>
    <comment ref="AH13" authorId="0" shapeId="0">
      <text>
        <t>fx.json forward(flat_last_end) — 가정</t>
      </text>
    </comment>
    <comment ref="AI13" authorId="0" shapeId="0">
      <text>
        <t>fx.json forward(flat_last_end) — 가정</t>
      </text>
    </comment>
    <comment ref="AK13" authorId="0" shapeId="0">
      <text>
        <t>fx.json forward(flat_last_end) — 가정</t>
      </text>
    </comment>
    <comment ref="AL13" authorId="0" shapeId="0">
      <text>
        <t>fx.json forward(flat_last_end) — 가정</t>
      </text>
    </comment>
    <comment ref="AM13" authorId="0" shapeId="0">
      <text>
        <t>fx.json forward(flat_last_end) — 가정</t>
      </text>
    </comment>
    <comment ref="AN13" authorId="0" shapeId="0">
      <text>
        <t>fx.json forward(flat_last_end) — 가정</t>
      </text>
    </comment>
    <comment ref="AD15" authorId="0" shapeId="0">
      <text>
        <t>분기 진행 중(partial) — aikstockdata/토스 일봉</t>
      </text>
    </comment>
    <comment ref="AD16" authorId="0" shapeId="0">
      <text>
        <t>분기 진행 중(partial) — aikstockdata/토스 일봉</t>
      </text>
    </comment>
    <comment ref="AD17" authorId="0" shapeId="0">
      <text>
        <t>분기 진행 중(partial) — aikstockdata/토스 일봉</t>
      </text>
    </comment>
    <comment ref="AD18" authorId="0" shapeId="0">
      <text>
        <t>분기 진행 중(partial) — aikstockdata/토스 일봉</t>
      </text>
    </comment>
    <comment ref="AC21" authorId="0" shapeId="0">
      <text>
        <t>모델값 역산(implied): v / 전년동기 − 1
전년동기 × (1+10.5%) — g=최근 4분기 합 YoY 10.5% 클립(−30~+50%), 연차별 절반 감쇠(가정)</t>
      </text>
    </comment>
    <comment ref="AD21" authorId="0" shapeId="0">
      <text>
        <t>모델값 역산(implied): v / 전년동기 − 1
전년동기 × (1+10.5%) — g=최근 4분기 합 YoY 10.5% 클립(−30~+50%), 연차별 절반 감쇠(가정)</t>
      </text>
    </comment>
    <comment ref="AF21" authorId="0" shapeId="0">
      <text>
        <t>모델값 역산(implied): v / 전년동기 − 1
전년동기 × (1+10.5%) — g=최근 4분기 합 YoY 10.5% 클립(−30~+50%), 연차별 절반 감쇠(가정)</t>
      </text>
    </comment>
    <comment ref="AG21" authorId="0" shapeId="0">
      <text>
        <t>모델값 역산(implied): v / 전년동기 − 1
전년동기 × (1+10.5%) — g=최근 4분기 합 YoY 10.5% 클립(−30~+50%), 연차별 절반 감쇠(가정)</t>
      </text>
    </comment>
    <comment ref="AH21" authorId="0" shapeId="0">
      <text>
        <t>모델값 역산(implied): v / 전년동기 − 1
전년동기 × (1+5.3%) — g=최근 4분기 합 YoY 10.5% 클립(−30~+50%), 연차별 절반 감쇠(가정)</t>
      </text>
    </comment>
    <comment ref="AI21" authorId="0" shapeId="0">
      <text>
        <t>모델값 역산(implied): v / 전년동기 − 1
전년동기 × (1+5.3%) — g=최근 4분기 합 YoY 10.5% 클립(−30~+50%), 연차별 절반 감쇠(가정)</t>
      </text>
    </comment>
    <comment ref="AK21" authorId="0" shapeId="0">
      <text>
        <t>모델값 역산(implied): v / 전년동기 − 1
전년동기 × (1+5.3%) — g=최근 4분기 합 YoY 10.5% 클립(−30~+50%), 연차별 절반 감쇠(가정)</t>
      </text>
    </comment>
    <comment ref="AL21" authorId="0" shapeId="0">
      <text>
        <t>모델값 역산(implied): v / 전년동기 − 1
전년동기 × (1+5.3%) — g=최근 4분기 합 YoY 10.5% 클립(−30~+50%), 연차별 절반 감쇠(가정)</t>
      </text>
    </comment>
    <comment ref="AM21" authorId="0" shapeId="0">
      <text>
        <t>모델값 역산(implied): v / 전년동기 − 1
전년동기 × (1+2.6%) — g=최근 4분기 합 YoY 10.5% 클립(−30~+50%), 연차별 절반 감쇠(가정)</t>
      </text>
    </comment>
    <comment ref="AN21" authorId="0" shapeId="0">
      <text>
        <t>모델값 역산(implied): v / 전년동기 − 1
전년동기 × (1+2.6%) — g=최근 4분기 합 YoY 10.5% 클립(−30~+50%), 연차별 절반 감쇠(가정)</t>
      </text>
    </comment>
    <comment ref="AC22" authorId="0" shapeId="0">
      <text>
        <t>3절 스칼라 '판관비율' 참조 — 숫자로 덮어쓰면 이 분기만 바뀐다
매출액 × 판관비율 6.92%(최근 4분기 중위)</t>
      </text>
    </comment>
    <comment ref="AD22" authorId="0" shapeId="0">
      <text>
        <t>3절 스칼라 '판관비율' 참조 — 숫자로 덮어쓰면 이 분기만 바뀐다
매출액 × 판관비율 6.92%(최근 4분기 중위)</t>
      </text>
    </comment>
    <comment ref="AF22" authorId="0" shapeId="0">
      <text>
        <t>3절 스칼라 '판관비율' 참조 — 숫자로 덮어쓰면 이 분기만 바뀐다
매출액 × 판관비율 6.92%(최근 4분기 중위)</t>
      </text>
    </comment>
    <comment ref="AG22" authorId="0" shapeId="0">
      <text>
        <t>3절 스칼라 '판관비율' 참조 — 숫자로 덮어쓰면 이 분기만 바뀐다
매출액 × 판관비율 6.92%(최근 4분기 중위)</t>
      </text>
    </comment>
    <comment ref="AH22" authorId="0" shapeId="0">
      <text>
        <t>3절 스칼라 '판관비율' 참조 — 숫자로 덮어쓰면 이 분기만 바뀐다
매출액 × 판관비율 6.92%(최근 4분기 중위)</t>
      </text>
    </comment>
    <comment ref="AI22" authorId="0" shapeId="0">
      <text>
        <t>3절 스칼라 '판관비율' 참조 — 숫자로 덮어쓰면 이 분기만 바뀐다
매출액 × 판관비율 6.92%(최근 4분기 중위)</t>
      </text>
    </comment>
    <comment ref="AK22" authorId="0" shapeId="0">
      <text>
        <t>3절 스칼라 '판관비율' 참조 — 숫자로 덮어쓰면 이 분기만 바뀐다
매출액 × 판관비율 6.92%(최근 4분기 중위)</t>
      </text>
    </comment>
    <comment ref="AL22" authorId="0" shapeId="0">
      <text>
        <t>3절 스칼라 '판관비율' 참조 — 숫자로 덮어쓰면 이 분기만 바뀐다
매출액 × 판관비율 6.92%(최근 4분기 중위)</t>
      </text>
    </comment>
    <comment ref="AM22" authorId="0" shapeId="0">
      <text>
        <t>3절 스칼라 '판관비율' 참조 — 숫자로 덮어쓰면 이 분기만 바뀐다
매출액 × 판관비율 6.92%(최근 4분기 중위)</t>
      </text>
    </comment>
    <comment ref="AN22" authorId="0" shapeId="0">
      <text>
        <t>3절 스칼라 '판관비율' 참조 — 숫자로 덮어쓰면 이 분기만 바뀐다
매출액 × 판관비율 6.92%(최근 4분기 중위)</t>
      </text>
    </comment>
    <comment ref="AC23" authorId="0" shapeId="0">
      <text>
        <t>모델값 역산(implied): v / 매출액
매출액 × OPM(최근 8분기 OPM 중위 11.4% 유지(클립 −20~40%))</t>
      </text>
    </comment>
    <comment ref="AD23" authorId="0" shapeId="0">
      <text>
        <t>모델값 역산(implied): v / 매출액
매출액 × OPM(최근 8분기 OPM 중위 11.4% 유지(클립 −20~40%))</t>
      </text>
    </comment>
    <comment ref="AF23" authorId="0" shapeId="0">
      <text>
        <t>모델값 역산(implied): v / 매출액
매출액 × OPM(최근 8분기 OPM 중위 11.4% 유지(클립 −20~40%))</t>
      </text>
    </comment>
    <comment ref="AG23" authorId="0" shapeId="0">
      <text>
        <t>모델값 역산(implied): v / 매출액
매출액 × OPM(최근 8분기 OPM 중위 11.4% 유지(클립 −20~40%))</t>
      </text>
    </comment>
    <comment ref="AH23" authorId="0" shapeId="0">
      <text>
        <t>모델값 역산(implied): v / 매출액
매출액 × OPM(최근 8분기 OPM 중위 11.4% 유지(클립 −20~40%))</t>
      </text>
    </comment>
    <comment ref="AI23" authorId="0" shapeId="0">
      <text>
        <t>모델값 역산(implied): v / 매출액
매출액 × OPM(최근 8분기 OPM 중위 11.4% 유지(클립 −20~40%))</t>
      </text>
    </comment>
    <comment ref="AK23" authorId="0" shapeId="0">
      <text>
        <t>모델값 역산(implied): v / 매출액
매출액 × OPM(최근 8분기 OPM 중위 11.4% 유지(클립 −20~40%))</t>
      </text>
    </comment>
    <comment ref="AL23" authorId="0" shapeId="0">
      <text>
        <t>모델값 역산(implied): v / 매출액
매출액 × OPM(최근 8분기 OPM 중위 11.4% 유지(클립 −20~40%))</t>
      </text>
    </comment>
    <comment ref="AM23" authorId="0" shapeId="0">
      <text>
        <t>모델값 역산(implied): v / 매출액
매출액 × OPM(최근 8분기 OPM 중위 11.4% 유지(클립 −20~40%))</t>
      </text>
    </comment>
    <comment ref="AN23" authorId="0" shapeId="0">
      <text>
        <t>모델값 역산(implied): v / 매출액
매출액 × OPM(최근 8분기 OPM 중위 11.4% 유지(클립 −20~40%))</t>
      </text>
    </comment>
    <comment ref="AC24" authorId="0" shapeId="0">
      <text>
        <t>모델값 역산(implied): 모델 v 그대로
일회성 미가정 → 0</t>
      </text>
    </comment>
    <comment ref="AD24" authorId="0" shapeId="0">
      <text>
        <t>모델값 역산(implied): 모델 v 그대로
일회성 미가정 → 0</t>
      </text>
    </comment>
    <comment ref="AF24" authorId="0" shapeId="0">
      <text>
        <t>모델값 역산(implied): 모델 v 그대로
일회성 미가정 → 0</t>
      </text>
    </comment>
    <comment ref="AG24" authorId="0" shapeId="0">
      <text>
        <t>모델값 역산(implied): 모델 v 그대로
일회성 미가정 → 0</t>
      </text>
    </comment>
    <comment ref="AH24" authorId="0" shapeId="0">
      <text>
        <t>모델값 역산(implied): 모델 v 그대로
일회성 미가정 → 0</t>
      </text>
    </comment>
    <comment ref="AI24" authorId="0" shapeId="0">
      <text>
        <t>모델값 역산(implied): 모델 v 그대로
일회성 미가정 → 0</t>
      </text>
    </comment>
    <comment ref="AK24" authorId="0" shapeId="0">
      <text>
        <t>모델값 역산(implied): 모델 v 그대로
일회성 미가정 → 0</t>
      </text>
    </comment>
    <comment ref="AL24" authorId="0" shapeId="0">
      <text>
        <t>모델값 역산(implied): 모델 v 그대로
일회성 미가정 → 0</t>
      </text>
    </comment>
    <comment ref="AM24" authorId="0" shapeId="0">
      <text>
        <t>모델값 역산(implied): 모델 v 그대로
일회성 미가정 → 0</t>
      </text>
    </comment>
    <comment ref="AN24" authorId="0" shapeId="0">
      <text>
        <t>모델값 역산(implied): 모델 v 그대로
일회성 미가정 → 0</t>
      </text>
    </comment>
    <comment ref="AC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D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F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G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H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I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K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L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M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N25" authorId="0" shapeId="0">
      <text>
        <t>3절 스칼라 '세율' 참조 — 숫자로 덮어쓰면 이 분기만 바뀐다
max(세전, 0) × 세율 19.0%(최근 12분기 유효세율 19.0%(5~27% 안 — 그대로))</t>
      </text>
    </comment>
    <comment ref="AC26" authorId="0" shapeId="0">
      <text>
        <t>3절 스칼라 '지배주주비중' 참조 — 숫자로 덮어쓰면 이 분기만 바뀐다
당기순이익 × (1 − 비지배 비중 0.0%, 최근 8분기 실측)</t>
      </text>
    </comment>
    <comment ref="AD26" authorId="0" shapeId="0">
      <text>
        <t>3절 스칼라 '지배주주비중' 참조 — 숫자로 덮어쓰면 이 분기만 바뀐다
당기순이익 × (1 − 비지배 비중 0.0%, 최근 8분기 실측)</t>
      </text>
    </comment>
    <comment ref="AF26" authorId="0" shapeId="0">
      <text>
        <t>3절 스칼라 '지배주주비중' 참조 — 숫자로 덮어쓰면 이 분기만 바뀐다
당기순이익 × (1 − 비지배 비중 0.0%, 최근 8분기 실측)</t>
      </text>
    </comment>
    <comment ref="AG26" authorId="0" shapeId="0">
      <text>
        <t>3절 스칼라 '지배주주비중' 참조 — 숫자로 덮어쓰면 이 분기만 바뀐다
당기순이익 × (1 − 비지배 비중 0.0%, 최근 8분기 실측)</t>
      </text>
    </comment>
    <comment ref="AH26" authorId="0" shapeId="0">
      <text>
        <t>3절 스칼라 '지배주주비중' 참조 — 숫자로 덮어쓰면 이 분기만 바뀐다
당기순이익 × (1 − 비지배 비중 0.0%, 최근 8분기 실측)</t>
      </text>
    </comment>
    <comment ref="AI26" authorId="0" shapeId="0">
      <text>
        <t>3절 스칼라 '지배주주비중' 참조 — 숫자로 덮어쓰면 이 분기만 바뀐다
당기순이익 × (1 − 비지배 비중 0.0%, 최근 8분기 실측)</t>
      </text>
    </comment>
    <comment ref="AK26" authorId="0" shapeId="0">
      <text>
        <t>3절 스칼라 '지배주주비중' 참조 — 숫자로 덮어쓰면 이 분기만 바뀐다
당기순이익 × (1 − 비지배 비중 0.0%, 최근 8분기 실측)</t>
      </text>
    </comment>
    <comment ref="AL26" authorId="0" shapeId="0">
      <text>
        <t>3절 스칼라 '지배주주비중' 참조 — 숫자로 덮어쓰면 이 분기만 바뀐다
당기순이익 × (1 − 비지배 비중 0.0%, 최근 8분기 실측)</t>
      </text>
    </comment>
    <comment ref="AM26" authorId="0" shapeId="0">
      <text>
        <t>3절 스칼라 '지배주주비중' 참조 — 숫자로 덮어쓰면 이 분기만 바뀐다
당기순이익 × (1 − 비지배 비중 0.0%, 최근 8분기 실측)</t>
      </text>
    </comment>
    <comment ref="AN26" authorId="0" shapeId="0">
      <text>
        <t>3절 스칼라 '지배주주비중' 참조 — 숫자로 덮어쓰면 이 분기만 바뀐다
당기순이익 × (1 − 비지배 비중 0.0%, 최근 8분기 실측)</t>
      </text>
    </comment>
    <comment ref="AC27" authorId="0" shapeId="0">
      <text>
        <t>모델값 역산(implied): 모델 v 그대로
최근 4분기 감가상각비 중위 유지</t>
      </text>
    </comment>
    <comment ref="AD27" authorId="0" shapeId="0">
      <text>
        <t>모델값 역산(implied): 모델 v 그대로
최근 4분기 감가상각비 중위 유지</t>
      </text>
    </comment>
    <comment ref="AF27" authorId="0" shapeId="0">
      <text>
        <t>모델값 역산(implied): 모델 v 그대로
최근 4분기 감가상각비 중위 유지</t>
      </text>
    </comment>
    <comment ref="AG27" authorId="0" shapeId="0">
      <text>
        <t>모델값 역산(implied): 모델 v 그대로
최근 4분기 감가상각비 중위 유지</t>
      </text>
    </comment>
    <comment ref="AH27" authorId="0" shapeId="0">
      <text>
        <t>모델값 역산(implied): 모델 v 그대로
최근 4분기 감가상각비 중위 유지</t>
      </text>
    </comment>
    <comment ref="AI27" authorId="0" shapeId="0">
      <text>
        <t>모델값 역산(implied): 모델 v 그대로
최근 4분기 감가상각비 중위 유지</t>
      </text>
    </comment>
    <comment ref="AK27" authorId="0" shapeId="0">
      <text>
        <t>모델값 역산(implied): 모델 v 그대로
최근 4분기 감가상각비 중위 유지</t>
      </text>
    </comment>
    <comment ref="AL27" authorId="0" shapeId="0">
      <text>
        <t>모델값 역산(implied): 모델 v 그대로
최근 4분기 감가상각비 중위 유지</t>
      </text>
    </comment>
    <comment ref="AM27" authorId="0" shapeId="0">
      <text>
        <t>모델값 역산(implied): 모델 v 그대로
최근 4분기 감가상각비 중위 유지</t>
      </text>
    </comment>
    <comment ref="AN27" authorId="0" shapeId="0">
      <text>
        <t>모델값 역산(implied): 모델 v 그대로
최근 4분기 감가상각비 중위 유지</t>
      </text>
    </comment>
    <comment ref="AC28" authorId="0" shapeId="0">
      <text>
        <t>모델값 역산(implied): v / 전분기 − 1
마지막 실적 유지(가정)</t>
      </text>
    </comment>
    <comment ref="AD28" authorId="0" shapeId="0">
      <text>
        <t>모델값 역산(implied): v / 전분기 − 1
마지막 실적 유지(가정)</t>
      </text>
    </comment>
    <comment ref="AF28" authorId="0" shapeId="0">
      <text>
        <t>모델값 역산(implied): v / 전분기 − 1
마지막 실적 유지(가정)</t>
      </text>
    </comment>
    <comment ref="AG28" authorId="0" shapeId="0">
      <text>
        <t>모델값 역산(implied): v / 전분기 − 1
마지막 실적 유지(가정)</t>
      </text>
    </comment>
    <comment ref="AH28" authorId="0" shapeId="0">
      <text>
        <t>모델값 역산(implied): v / 전분기 − 1
마지막 실적 유지(가정)</t>
      </text>
    </comment>
    <comment ref="AI28" authorId="0" shapeId="0">
      <text>
        <t>모델값 역산(implied): v / 전분기 − 1
마지막 실적 유지(가정)</t>
      </text>
    </comment>
    <comment ref="AK28" authorId="0" shapeId="0">
      <text>
        <t>모델값 역산(implied): v / 전분기 − 1
마지막 실적 유지(가정)</t>
      </text>
    </comment>
    <comment ref="AL28" authorId="0" shapeId="0">
      <text>
        <t>모델값 역산(implied): v / 전분기 − 1
마지막 실적 유지(가정)</t>
      </text>
    </comment>
    <comment ref="AM28" authorId="0" shapeId="0">
      <text>
        <t>모델값 역산(implied): v / 전분기 − 1
마지막 실적 유지(가정)</t>
      </text>
    </comment>
    <comment ref="AN28" authorId="0" shapeId="0">
      <text>
        <t>모델값 역산(implied): v / 전분기 − 1
마지막 실적 유지(가정)</t>
      </text>
    </comment>
    <comment ref="AC29" authorId="0" shapeId="0">
      <text>
        <t>모델값 역산(implied): 전분기(시트값) + 당기순이익(시트 수식값) − v
전분기 + 당기순이익 − 배당(Q2 지급 가정)</t>
      </text>
    </comment>
    <comment ref="AD29" authorId="0" shapeId="0">
      <text>
        <t>모델값 역산(implied): 전분기(시트값) + 당기순이익(시트 수식값) − v
전분기 + 당기순이익 − 배당(Q2 지급 가정)</t>
      </text>
    </comment>
    <comment ref="AF29" authorId="0" shapeId="0">
      <text>
        <t>모델값 역산(implied): 전분기(시트값) + 당기순이익(시트 수식값) − v
전분기 + 당기순이익 − 배당(Q2 지급 가정)</t>
      </text>
    </comment>
    <comment ref="AG29" authorId="0" shapeId="0">
      <text>
        <t>모델값 역산(implied): 전분기(시트값) + 당기순이익(시트 수식값) − v
전분기 + 당기순이익 − 배당(Q2 지급 가정)</t>
      </text>
    </comment>
    <comment ref="AH29" authorId="0" shapeId="0">
      <text>
        <t>모델값 역산(implied): 전분기(시트값) + 당기순이익(시트 수식값) − v
전분기 + 당기순이익 − 배당(Q2 지급 가정)</t>
      </text>
    </comment>
    <comment ref="AI29" authorId="0" shapeId="0">
      <text>
        <t>모델값 역산(implied): 전분기(시트값) + 당기순이익(시트 수식값) − v
전분기 + 당기순이익 − 배당(Q2 지급 가정)</t>
      </text>
    </comment>
    <comment ref="AK29" authorId="0" shapeId="0">
      <text>
        <t>모델값 역산(implied): 전분기(시트값) + 당기순이익(시트 수식값) − v
전분기 + 당기순이익 − 배당(Q2 지급 가정)</t>
      </text>
    </comment>
    <comment ref="AL29" authorId="0" shapeId="0">
      <text>
        <t>모델값 역산(implied): 전분기(시트값) + 당기순이익(시트 수식값) − v
전분기 + 당기순이익 − 배당(Q2 지급 가정)</t>
      </text>
    </comment>
    <comment ref="AM29" authorId="0" shapeId="0">
      <text>
        <t>모델값 역산(implied): 전분기(시트값) + 당기순이익(시트 수식값) − v
전분기 + 당기순이익 − 배당(Q2 지급 가정)</t>
      </text>
    </comment>
    <comment ref="AN29" authorId="0" shapeId="0">
      <text>
        <t>모델값 역산(implied): 전분기(시트값) + 당기순이익(시트 수식값) − v
전분기 + 당기순이익 − 배당(Q2 지급 가정)</t>
      </text>
    </comment>
    <comment ref="AC30" authorId="0" shapeId="0">
      <text>
        <t>모델값 역산(implied): 전분기(시트값) + 지배주주순이익(시트 수식값) − v
전분기 + 지배주주순이익 − 배당</t>
      </text>
    </comment>
    <comment ref="AD30" authorId="0" shapeId="0">
      <text>
        <t>모델값 역산(implied): 전분기(시트값) + 지배주주순이익(시트 수식값) − v
전분기 + 지배주주순이익 − 배당</t>
      </text>
    </comment>
    <comment ref="AF30" authorId="0" shapeId="0">
      <text>
        <t>모델값 역산(implied): 전분기(시트값) + 지배주주순이익(시트 수식값) − v
전분기 + 지배주주순이익 − 배당</t>
      </text>
    </comment>
    <comment ref="AG30" authorId="0" shapeId="0">
      <text>
        <t>모델값 역산(implied): 전분기(시트값) + 지배주주순이익(시트 수식값) − v
전분기 + 지배주주순이익 − 배당</t>
      </text>
    </comment>
    <comment ref="AH30" authorId="0" shapeId="0">
      <text>
        <t>모델값 역산(implied): 전분기(시트값) + 지배주주순이익(시트 수식값) − v
전분기 + 지배주주순이익 − 배당</t>
      </text>
    </comment>
    <comment ref="AI30" authorId="0" shapeId="0">
      <text>
        <t>모델값 역산(implied): 전분기(시트값) + 지배주주순이익(시트 수식값) − v
전분기 + 지배주주순이익 − 배당</t>
      </text>
    </comment>
    <comment ref="AK30" authorId="0" shapeId="0">
      <text>
        <t>모델값 역산(implied): 전분기(시트값) + 지배주주순이익(시트 수식값) − v
전분기 + 지배주주순이익 − 배당</t>
      </text>
    </comment>
    <comment ref="AL30" authorId="0" shapeId="0">
      <text>
        <t>모델값 역산(implied): 전분기(시트값) + 지배주주순이익(시트 수식값) − v
전분기 + 지배주주순이익 − 배당</t>
      </text>
    </comment>
    <comment ref="AM30" authorId="0" shapeId="0">
      <text>
        <t>모델값 역산(implied): 전분기(시트값) + 지배주주순이익(시트 수식값) − v
전분기 + 지배주주순이익 − 배당</t>
      </text>
    </comment>
    <comment ref="AN30" authorId="0" shapeId="0">
      <text>
        <t>모델값 역산(implied): 전분기(시트값) + 지배주주순이익(시트 수식값) − v
전분기 + 지배주주순이익 − 배당</t>
      </text>
    </comment>
    <comment ref="AC31" authorId="0" shapeId="0">
      <text>
        <t>모델값 역산(implied): v / 전분기 − 1
전분기 + FCF 근사 — 순차입금 롤과 같은 가정</t>
      </text>
    </comment>
    <comment ref="AD31" authorId="0" shapeId="0">
      <text>
        <t>모델값 역산(implied): v / 전분기 − 1
전분기 + FCF 근사 — 순차입금 롤과 같은 가정</t>
      </text>
    </comment>
    <comment ref="AF31" authorId="0" shapeId="0">
      <text>
        <t>모델값 역산(implied): v / 전분기 − 1
전분기 + FCF 근사 — 순차입금 롤과 같은 가정</t>
      </text>
    </comment>
    <comment ref="AG31" authorId="0" shapeId="0">
      <text>
        <t>모델값 역산(implied): v / 전분기 − 1
전분기 + FCF 근사 — 순차입금 롤과 같은 가정</t>
      </text>
    </comment>
    <comment ref="AH31" authorId="0" shapeId="0">
      <text>
        <t>모델값 역산(implied): v / 전분기 − 1
전분기 + FCF 근사 — 순차입금 롤과 같은 가정</t>
      </text>
    </comment>
    <comment ref="AI31" authorId="0" shapeId="0">
      <text>
        <t>모델값 역산(implied): v / 전분기 − 1
전분기 + FCF 근사 — 순차입금 롤과 같은 가정</t>
      </text>
    </comment>
    <comment ref="AK31" authorId="0" shapeId="0">
      <text>
        <t>모델값 역산(implied): v / 전분기 − 1
전분기 + FCF 근사 — 순차입금 롤과 같은 가정</t>
      </text>
    </comment>
    <comment ref="AL31" authorId="0" shapeId="0">
      <text>
        <t>모델값 역산(implied): v / 전분기 − 1
전분기 + FCF 근사 — 순차입금 롤과 같은 가정</t>
      </text>
    </comment>
    <comment ref="AM31" authorId="0" shapeId="0">
      <text>
        <t>모델값 역산(implied): v / 전분기 − 1
전분기 + FCF 근사 — 순차입금 롤과 같은 가정</t>
      </text>
    </comment>
    <comment ref="AN31" authorId="0" shapeId="0">
      <text>
        <t>모델값 역산(implied): v / 전분기 − 1
전분기 + FCF 근사 — 순차입금 롤과 같은 가정</t>
      </text>
    </comment>
    <comment ref="AC33" authorId="0" shapeId="0">
      <text>
        <t>모델값 역산(implied): v / 전년동기 − 1
최근 4분기(2025Q3~2026Q2) CAPEX 중위 유지 — 순차입금 롤에 반영(FCF 근사)</t>
      </text>
    </comment>
    <comment ref="AD33" authorId="0" shapeId="0">
      <text>
        <t>모델값 역산(implied): v / 전년동기 − 1
최근 4분기(2025Q3~2026Q2) CAPEX 중위 유지 — 순차입금 롤에 반영(FCF 근사)</t>
      </text>
    </comment>
    <comment ref="AF33" authorId="0" shapeId="0">
      <text>
        <t>모델값 역산(implied): v / 전년동기 − 1
최근 4분기(2025Q3~2026Q2) CAPEX 중위 유지 — 순차입금 롤에 반영(FCF 근사)</t>
      </text>
    </comment>
    <comment ref="AG33" authorId="0" shapeId="0">
      <text>
        <t>모델값 역산(implied): v / 전년동기 − 1
최근 4분기(2025Q3~2026Q2) CAPEX 중위 유지 — 순차입금 롤에 반영(FCF 근사)</t>
      </text>
    </comment>
    <comment ref="AH33" authorId="0" shapeId="0">
      <text>
        <t>모델값 역산(implied): v / 전년동기 − 1
최근 4분기(2025Q3~2026Q2) CAPEX 중위 유지 — 순차입금 롤에 반영(FCF 근사)</t>
      </text>
    </comment>
    <comment ref="AI33" authorId="0" shapeId="0">
      <text>
        <t>모델값 역산(implied): v / 전년동기 − 1
최근 4분기(2025Q3~2026Q2) CAPEX 중위 유지 — 순차입금 롤에 반영(FCF 근사)</t>
      </text>
    </comment>
    <comment ref="AK33" authorId="0" shapeId="0">
      <text>
        <t>모델값 역산(implied): v / 전년동기 − 1
최근 4분기(2025Q3~2026Q2) CAPEX 중위 유지 — 순차입금 롤에 반영(FCF 근사)</t>
      </text>
    </comment>
    <comment ref="AL33" authorId="0" shapeId="0">
      <text>
        <t>모델값 역산(implied): v / 전년동기 − 1
최근 4분기(2025Q3~2026Q2) CAPEX 중위 유지 — 순차입금 롤에 반영(FCF 근사)</t>
      </text>
    </comment>
    <comment ref="AM33" authorId="0" shapeId="0">
      <text>
        <t>모델값 역산(implied): v / 전년동기 − 1
최근 4분기(2025Q3~2026Q2) CAPEX 중위 유지 — 순차입금 롤에 반영(FCF 근사)</t>
      </text>
    </comment>
    <comment ref="AN33" authorId="0" shapeId="0">
      <text>
        <t>모델값 역산(implied): v / 전년동기 − 1
최근 4분기(2025Q3~2026Q2) CAPEX 중위 유지 — 순차입금 롤에 반영(FCF 근사)</t>
      </text>
    </comment>
    <comment ref="AC35" authorId="0" shapeId="0">
      <text>
        <t>모델값 역산(implied): v / 전분기 − 1
유통주식수 유지 — fin.shares.common_outstanding(2026Q2)</t>
      </text>
    </comment>
    <comment ref="AD35" authorId="0" shapeId="0">
      <text>
        <t>모델값 역산(implied): v / 전분기 − 1
유통주식수 유지 — fin.shares.common_outstanding(2026Q2)</t>
      </text>
    </comment>
    <comment ref="AF35" authorId="0" shapeId="0">
      <text>
        <t>모델값 역산(implied): v / 전분기 − 1
유통주식수 유지 — fin.shares.common_outstanding(2026Q2)</t>
      </text>
    </comment>
    <comment ref="AG35" authorId="0" shapeId="0">
      <text>
        <t>모델값 역산(implied): v / 전분기 − 1
유통주식수 유지 — fin.shares.common_outstanding(2026Q2)</t>
      </text>
    </comment>
    <comment ref="AH35" authorId="0" shapeId="0">
      <text>
        <t>모델값 역산(implied): v / 전분기 − 1
유통주식수 유지 — fin.shares.common_outstanding(2026Q2)</t>
      </text>
    </comment>
    <comment ref="AI35" authorId="0" shapeId="0">
      <text>
        <t>모델값 역산(implied): v / 전분기 − 1
유통주식수 유지 — fin.shares.common_outstanding(2026Q2)</t>
      </text>
    </comment>
    <comment ref="AK35" authorId="0" shapeId="0">
      <text>
        <t>모델값 역산(implied): v / 전분기 − 1
유통주식수 유지 — fin.shares.common_outstanding(2026Q2)</t>
      </text>
    </comment>
    <comment ref="AL35" authorId="0" shapeId="0">
      <text>
        <t>모델값 역산(implied): v / 전분기 − 1
유통주식수 유지 — fin.shares.common_outstanding(2026Q2)</t>
      </text>
    </comment>
    <comment ref="AM35" authorId="0" shapeId="0">
      <text>
        <t>모델값 역산(implied): v / 전분기 − 1
유통주식수 유지 — fin.shares.common_outstanding(2026Q2)</t>
      </text>
    </comment>
    <comment ref="AN35" authorId="0" shapeId="0">
      <text>
        <t>모델값 역산(implied): v / 전분기 − 1
유통주식수 유지 — fin.shares.common_outstanding(2026Q2)</t>
      </text>
    </comment>
    <comment ref="AD36" authorId="0" shapeId="0">
      <text>
        <t>모델값 역산(implied): 모델 v 그대로
직전 결산 DPS 200원 유지</t>
      </text>
    </comment>
    <comment ref="AI36" authorId="0" shapeId="0">
      <text>
        <t>모델값 역산(implied): 모델 v 그대로
직전 결산 DPS 200원 유지</t>
      </text>
    </comment>
    <comment ref="AN36" authorId="0" shapeId="0">
      <text>
        <t>모델값 역산(implied): 모델 v 그대로
직전 결산 DPS 200원 유지</t>
      </text>
    </comment>
  </commentList>
</comments>
</file>

<file path=xl/comments/comment2.xml><?xml version="1.0" encoding="utf-8"?>
<comments xmlns="http://schemas.openxmlformats.org/spreadsheetml/2006/main">
  <authors>
    <author>kship</author>
  </authors>
  <commentList>
    <comment ref="AC5" authorId="0" shapeId="0">
      <text>
        <t>추정: 전년동기 × (1+10.5%) — g=최근 4분기 합 YoY 10.5% 클립(−30~+50%), 연차별 절반 감쇠(가정)
[yoy]</t>
      </text>
    </comment>
    <comment ref="AD5" authorId="0" shapeId="0">
      <text>
        <t>추정: 전년동기 × (1+10.5%) — g=최근 4분기 합 YoY 10.5% 클립(−30~+50%), 연차별 절반 감쇠(가정)
[yoy]</t>
      </text>
    </comment>
    <comment ref="AF5" authorId="0" shapeId="0">
      <text>
        <t>추정: 전년동기 × (1+10.5%) — g=최근 4분기 합 YoY 10.5% 클립(−30~+50%), 연차별 절반 감쇠(가정)
[yoy]</t>
      </text>
    </comment>
    <comment ref="AG5" authorId="0" shapeId="0">
      <text>
        <t>추정: 전년동기 × (1+10.5%) — g=최근 4분기 합 YoY 10.5% 클립(−30~+50%), 연차별 절반 감쇠(가정)
[yoy]</t>
      </text>
    </comment>
    <comment ref="AH5" authorId="0" shapeId="0">
      <text>
        <t>추정: 전년동기 × (1+5.3%) — g=최근 4분기 합 YoY 10.5% 클립(−30~+50%), 연차별 절반 감쇠(가정)
[yoy]</t>
      </text>
    </comment>
    <comment ref="AI5" authorId="0" shapeId="0">
      <text>
        <t>추정: 전년동기 × (1+5.3%) — g=최근 4분기 합 YoY 10.5% 클립(−30~+50%), 연차별 절반 감쇠(가정)
[yoy]</t>
      </text>
    </comment>
    <comment ref="AK5" authorId="0" shapeId="0">
      <text>
        <t>추정: 전년동기 × (1+5.3%) — g=최근 4분기 합 YoY 10.5% 클립(−30~+50%), 연차별 절반 감쇠(가정)
[yoy]</t>
      </text>
    </comment>
    <comment ref="AL5" authorId="0" shapeId="0">
      <text>
        <t>추정: 전년동기 × (1+5.3%) — g=최근 4분기 합 YoY 10.5% 클립(−30~+50%), 연차별 절반 감쇠(가정)
[yoy]</t>
      </text>
    </comment>
    <comment ref="AM5" authorId="0" shapeId="0">
      <text>
        <t>추정: 전년동기 × (1+2.6%) — g=최근 4분기 합 YoY 10.5% 클립(−30~+50%), 연차별 절반 감쇠(가정)
[yoy]</t>
      </text>
    </comment>
    <comment ref="AN5" authorId="0" shapeId="0">
      <text>
        <t>추정: 전년동기 × (1+2.6%) — g=최근 4분기 합 YoY 10.5% 클립(−30~+50%), 연차별 절반 감쇠(가정)
[yoy]</t>
      </text>
    </comment>
    <comment ref="AC6" authorId="0" shapeId="0">
      <text>
        <t>추정: 매출액 − 매출총이익(항등식)
[identity]</t>
      </text>
    </comment>
    <comment ref="AD6" authorId="0" shapeId="0">
      <text>
        <t>추정: 매출액 − 매출총이익(항등식)
[identity]</t>
      </text>
    </comment>
    <comment ref="AF6" authorId="0" shapeId="0">
      <text>
        <t>추정: 매출액 − 매출총이익(항등식)
[identity]</t>
      </text>
    </comment>
    <comment ref="AG6" authorId="0" shapeId="0">
      <text>
        <t>추정: 매출액 − 매출총이익(항등식)
[identity]</t>
      </text>
    </comment>
    <comment ref="AH6" authorId="0" shapeId="0">
      <text>
        <t>추정: 매출액 − 매출총이익(항등식)
[identity]</t>
      </text>
    </comment>
    <comment ref="AI6" authorId="0" shapeId="0">
      <text>
        <t>추정: 매출액 − 매출총이익(항등식)
[identity]</t>
      </text>
    </comment>
    <comment ref="AK6" authorId="0" shapeId="0">
      <text>
        <t>추정: 매출액 − 매출총이익(항등식)
[identity]</t>
      </text>
    </comment>
    <comment ref="AL6" authorId="0" shapeId="0">
      <text>
        <t>추정: 매출액 − 매출총이익(항등식)
[identity]</t>
      </text>
    </comment>
    <comment ref="AM6" authorId="0" shapeId="0">
      <text>
        <t>추정: 매출액 − 매출총이익(항등식)
[identity]</t>
      </text>
    </comment>
    <comment ref="AN6" authorId="0" shapeId="0">
      <text>
        <t>추정: 매출액 − 매출총이익(항등식)
[identity]</t>
      </text>
    </comment>
    <comment ref="AC7" authorId="0" shapeId="0">
      <text>
        <t>추정: 영업이익 + 판관비 − 기타영업손익(항등식)
[identity]</t>
      </text>
    </comment>
    <comment ref="AD7" authorId="0" shapeId="0">
      <text>
        <t>추정: 영업이익 + 판관비 − 기타영업손익(항등식)
[identity]</t>
      </text>
    </comment>
    <comment ref="AF7" authorId="0" shapeId="0">
      <text>
        <t>추정: 영업이익 + 판관비 − 기타영업손익(항등식)
[identity]</t>
      </text>
    </comment>
    <comment ref="AG7" authorId="0" shapeId="0">
      <text>
        <t>추정: 영업이익 + 판관비 − 기타영업손익(항등식)
[identity]</t>
      </text>
    </comment>
    <comment ref="AH7" authorId="0" shapeId="0">
      <text>
        <t>추정: 영업이익 + 판관비 − 기타영업손익(항등식)
[identity]</t>
      </text>
    </comment>
    <comment ref="AI7" authorId="0" shapeId="0">
      <text>
        <t>추정: 영업이익 + 판관비 − 기타영업손익(항등식)
[identity]</t>
      </text>
    </comment>
    <comment ref="AK7" authorId="0" shapeId="0">
      <text>
        <t>추정: 영업이익 + 판관비 − 기타영업손익(항등식)
[identity]</t>
      </text>
    </comment>
    <comment ref="AL7" authorId="0" shapeId="0">
      <text>
        <t>추정: 영업이익 + 판관비 − 기타영업손익(항등식)
[identity]</t>
      </text>
    </comment>
    <comment ref="AM7" authorId="0" shapeId="0">
      <text>
        <t>추정: 영업이익 + 판관비 − 기타영업손익(항등식)
[identity]</t>
      </text>
    </comment>
    <comment ref="AN7" authorId="0" shapeId="0">
      <text>
        <t>추정: 영업이익 + 판관비 − 기타영업손익(항등식)
[identity]</t>
      </text>
    </comment>
    <comment ref="AC8" authorId="0" shapeId="0">
      <text>
        <t>추정: 매출액 × 판관비율 6.92%(최근 4분기 중위)
[ratio]</t>
      </text>
    </comment>
    <comment ref="AD8" authorId="0" shapeId="0">
      <text>
        <t>추정: 매출액 × 판관비율 6.92%(최근 4분기 중위)
[ratio]</t>
      </text>
    </comment>
    <comment ref="AF8" authorId="0" shapeId="0">
      <text>
        <t>추정: 매출액 × 판관비율 6.92%(최근 4분기 중위)
[ratio]</t>
      </text>
    </comment>
    <comment ref="AG8" authorId="0" shapeId="0">
      <text>
        <t>추정: 매출액 × 판관비율 6.92%(최근 4분기 중위)
[ratio]</t>
      </text>
    </comment>
    <comment ref="AH8" authorId="0" shapeId="0">
      <text>
        <t>추정: 매출액 × 판관비율 6.92%(최근 4분기 중위)
[ratio]</t>
      </text>
    </comment>
    <comment ref="AI8" authorId="0" shapeId="0">
      <text>
        <t>추정: 매출액 × 판관비율 6.92%(최근 4분기 중위)
[ratio]</t>
      </text>
    </comment>
    <comment ref="AK8" authorId="0" shapeId="0">
      <text>
        <t>추정: 매출액 × 판관비율 6.92%(최근 4분기 중위)
[ratio]</t>
      </text>
    </comment>
    <comment ref="AL8" authorId="0" shapeId="0">
      <text>
        <t>추정: 매출액 × 판관비율 6.92%(최근 4분기 중위)
[ratio]</t>
      </text>
    </comment>
    <comment ref="AM8" authorId="0" shapeId="0">
      <text>
        <t>추정: 매출액 × 판관비율 6.92%(최근 4분기 중위)
[ratio]</t>
      </text>
    </comment>
    <comment ref="AN8" authorId="0" shapeId="0">
      <text>
        <t>추정: 매출액 × 판관비율 6.92%(최근 4분기 중위)
[ratio]</t>
      </text>
    </comment>
    <comment ref="AC9" authorId="0" shapeId="0">
      <text>
        <t>추정: 매출액 × OPM(최근 8분기 OPM 중위 11.4% 유지(클립 −20~40%))
[ratio]</t>
      </text>
    </comment>
    <comment ref="AD9" authorId="0" shapeId="0">
      <text>
        <t>추정: 매출액 × OPM(최근 8분기 OPM 중위 11.4% 유지(클립 −20~40%))
[ratio]</t>
      </text>
    </comment>
    <comment ref="AF9" authorId="0" shapeId="0">
      <text>
        <t>추정: 매출액 × OPM(최근 8분기 OPM 중위 11.4% 유지(클립 −20~40%))
[ratio]</t>
      </text>
    </comment>
    <comment ref="AG9" authorId="0" shapeId="0">
      <text>
        <t>추정: 매출액 × OPM(최근 8분기 OPM 중위 11.4% 유지(클립 −20~40%))
[ratio]</t>
      </text>
    </comment>
    <comment ref="AH9" authorId="0" shapeId="0">
      <text>
        <t>추정: 매출액 × OPM(최근 8분기 OPM 중위 11.4% 유지(클립 −20~40%))
[ratio]</t>
      </text>
    </comment>
    <comment ref="AI9" authorId="0" shapeId="0">
      <text>
        <t>추정: 매출액 × OPM(최근 8분기 OPM 중위 11.4% 유지(클립 −20~40%))
[ratio]</t>
      </text>
    </comment>
    <comment ref="AK9" authorId="0" shapeId="0">
      <text>
        <t>추정: 매출액 × OPM(최근 8분기 OPM 중위 11.4% 유지(클립 −20~40%))
[ratio]</t>
      </text>
    </comment>
    <comment ref="AL9" authorId="0" shapeId="0">
      <text>
        <t>추정: 매출액 × OPM(최근 8분기 OPM 중위 11.4% 유지(클립 −20~40%))
[ratio]</t>
      </text>
    </comment>
    <comment ref="AM9" authorId="0" shapeId="0">
      <text>
        <t>추정: 매출액 × OPM(최근 8분기 OPM 중위 11.4% 유지(클립 −20~40%))
[ratio]</t>
      </text>
    </comment>
    <comment ref="AN9" authorId="0" shapeId="0">
      <text>
        <t>추정: 매출액 × OPM(최근 8분기 OPM 중위 11.4% 유지(클립 −20~40%))
[ratio]</t>
      </text>
    </comment>
    <comment ref="AC10" authorId="0" shapeId="0">
      <text>
        <t>추정: 최근 8분기 OPM 중위 11.4% 유지(클립 −20~40%)
[divide]</t>
      </text>
    </comment>
    <comment ref="AD10" authorId="0" shapeId="0">
      <text>
        <t>추정: 최근 8분기 OPM 중위 11.4% 유지(클립 −20~40%)
[divide]</t>
      </text>
    </comment>
    <comment ref="AF10" authorId="0" shapeId="0">
      <text>
        <t>추정: 최근 8분기 OPM 중위 11.4% 유지(클립 −20~40%)
[divide]</t>
      </text>
    </comment>
    <comment ref="AG10" authorId="0" shapeId="0">
      <text>
        <t>추정: 최근 8분기 OPM 중위 11.4% 유지(클립 −20~40%)
[divide]</t>
      </text>
    </comment>
    <comment ref="AH10" authorId="0" shapeId="0">
      <text>
        <t>추정: 최근 8분기 OPM 중위 11.4% 유지(클립 −20~40%)
[divide]</t>
      </text>
    </comment>
    <comment ref="AI10" authorId="0" shapeId="0">
      <text>
        <t>추정: 최근 8분기 OPM 중위 11.4% 유지(클립 −20~40%)
[divide]</t>
      </text>
    </comment>
    <comment ref="AK10" authorId="0" shapeId="0">
      <text>
        <t>추정: 최근 8분기 OPM 중위 11.4% 유지(클립 −20~40%)
[divide]</t>
      </text>
    </comment>
    <comment ref="AL10" authorId="0" shapeId="0">
      <text>
        <t>추정: 최근 8분기 OPM 중위 11.4% 유지(클립 −20~40%)
[divide]</t>
      </text>
    </comment>
    <comment ref="AM10" authorId="0" shapeId="0">
      <text>
        <t>추정: 최근 8분기 OPM 중위 11.4% 유지(클립 −20~40%)
[divide]</t>
      </text>
    </comment>
    <comment ref="AN10" authorId="0" shapeId="0">
      <text>
        <t>추정: 최근 8분기 OPM 중위 11.4% 유지(클립 −20~40%)
[divide]</t>
      </text>
    </comment>
    <comment ref="AC11" authorId="0" shapeId="0">
      <text>
        <t>추정: 이자손익 + 외환손익 0 + 파생상품손익 0 + 기타금융손익 +0.00억(잔차 실측 0분기 &lt; 4 → 0) (항등식); 이자손익 = 이자발생자산 565억 × 5.50%(주석 이자수익 ÷ 평균 이자발생자산(2024Q1~2026Q2)) − 총차입금 0억 × 0.00%(없음) (연율) ÷ 4; 환율 효과는 환관련손익 행 별도
[identity]</t>
      </text>
    </comment>
    <comment ref="AD11" authorId="0" shapeId="0">
      <text>
        <t>추정: 이자손익 + 외환손익 0 + 파생상품손익 0 + 기타금융손익 +0.00억(잔차 실측 0분기 &lt; 4 → 0) (항등식); 이자손익 = 이자발생자산 631억 × 5.50%(주석 이자수익 ÷ 평균 이자발생자산(2024Q1~2026Q2)) − 총차입금 0억 × 0.00%(없음) (연율) ÷ 4; 환율 효과는 환관련손익 행 별도
[identity]</t>
      </text>
    </comment>
    <comment ref="AF11" authorId="0" shapeId="0">
      <text>
        <t>추정: 이자손익 + 외환손익 0 + 파생상품손익 0 + 기타금융손익 +0.00억(잔차 실측 0분기 &lt; 4 → 0) (항등식); 이자손익 = 이자발생자산 693억 × 5.50%(주석 이자수익 ÷ 평균 이자발생자산(2024Q1~2026Q2)) − 총차입금 0억 × 0.00%(없음) (연율) ÷ 4; 환율 효과는 환관련손익 행 별도
[identity]</t>
      </text>
    </comment>
    <comment ref="AG11" authorId="0" shapeId="0">
      <text>
        <t>추정: 이자손익 + 외환손익 0 + 파생상품손익 0 + 기타금융손익 +0.00억(잔차 실측 0분기 &lt; 4 → 0) (항등식); 이자손익 = 이자발생자산 750억 × 5.50%(주석 이자수익 ÷ 평균 이자발생자산(2024Q1~2026Q2)) − 총차입금 0억 × 0.00%(없음) (연율) ÷ 4; 환율 효과는 환관련손익 행 별도
[identity]</t>
      </text>
    </comment>
    <comment ref="AH11" authorId="0" shapeId="0">
      <text>
        <t>추정: 이자손익 + 외환손익 0 + 파생상품손익 0 + 기타금융손익 +0.00억(잔차 실측 0분기 &lt; 4 → 0) (항등식); 이자손익 = 이자발생자산 810억 × 5.50%(주석 이자수익 ÷ 평균 이자발생자산(2024Q1~2026Q2)) − 총차입금 0억 × 0.00%(없음) (연율) ÷ 4; 환율 효과는 환관련손익 행 별도
[identity]</t>
      </text>
    </comment>
    <comment ref="AI11" authorId="0" shapeId="0">
      <text>
        <t>추정: 이자손익 + 외환손익 0 + 파생상품손익 0 + 기타금융손익 +0.00억(잔차 실측 0분기 &lt; 4 → 0) (항등식); 이자손익 = 이자발생자산 882억 × 5.50%(주석 이자수익 ÷ 평균 이자발생자산(2024Q1~2026Q2)) − 총차입금 0억 × 0.00%(없음) (연율) ÷ 4; 환율 효과는 환관련손익 행 별도
[identity]</t>
      </text>
    </comment>
    <comment ref="AK11" authorId="0" shapeId="0">
      <text>
        <t>추정: 이자손익 + 외환손익 0 + 파생상품손익 0 + 기타금융손익 +0.00억(잔차 실측 0분기 &lt; 4 → 0) (항등식); 이자손익 = 이자발생자산 950억 × 5.50%(주석 이자수익 ÷ 평균 이자발생자산(2024Q1~2026Q2)) − 총차입금 0억 × 0.00%(없음) (연율) ÷ 4; 환율 효과는 환관련손익 행 별도
[identity]</t>
      </text>
    </comment>
    <comment ref="AL11" authorId="0" shapeId="0">
      <text>
        <t>추정: 이자손익 + 외환손익 0 + 파생상품손익 0 + 기타금융손익 +0.00억(잔차 실측 0분기 &lt; 4 → 0) (항등식); 이자손익 = 이자발생자산 1012억 × 5.50%(주석 이자수익 ÷ 평균 이자발생자산(2024Q1~2026Q2)) − 총차입금 0억 × 0.00%(없음) (연율) ÷ 4; 환율 효과는 환관련손익 행 별도
[identity]</t>
      </text>
    </comment>
    <comment ref="AM11" authorId="0" shapeId="0">
      <text>
        <t>추정: 이자손익 + 외환손익 0 + 파생상품손익 0 + 기타금융손익 +0.00억(잔차 실측 0분기 &lt; 4 → 0) (항등식); 이자손익 = 이자발생자산 1078억 × 5.50%(주석 이자수익 ÷ 평균 이자발생자산(2024Q1~2026Q2)) − 총차입금 0억 × 0.00%(없음) (연율) ÷ 4; 환율 효과는 환관련손익 행 별도
[identity]</t>
      </text>
    </comment>
    <comment ref="AN11" authorId="0" shapeId="0">
      <text>
        <t>추정: 이자손익 + 외환손익 0 + 파생상품손익 0 + 기타금융손익 +0.00억(잔차 실측 0분기 &lt; 4 → 0) (항등식); 이자손익 = 이자발생자산 1155억 × 5.50%(주석 이자수익 ÷ 평균 이자발생자산(2024Q1~2026Q2)) − 총차입금 0억 × 0.00%(없음) (연율) ÷ 4; 환율 효과는 환관련손익 행 별도
[identity]</t>
      </text>
    </comment>
    <comment ref="AC12" authorId="0" shapeId="0">
      <text>
        <t>추정: 이자발생자산 565억 × 5.50%(주석 이자수익 ÷ 평균 이자발생자산(2024Q1~2026Q2)) − 총차입금 0억 × 0.00%(없음) (연율) ÷ 4
[interest]</t>
      </text>
    </comment>
    <comment ref="AD12" authorId="0" shapeId="0">
      <text>
        <t>추정: 이자발생자산 631억 × 5.50%(주석 이자수익 ÷ 평균 이자발생자산(2024Q1~2026Q2)) − 총차입금 0억 × 0.00%(없음) (연율) ÷ 4
[interest]</t>
      </text>
    </comment>
    <comment ref="AF12" authorId="0" shapeId="0">
      <text>
        <t>추정: 이자발생자산 693억 × 5.50%(주석 이자수익 ÷ 평균 이자발생자산(2024Q1~2026Q2)) − 총차입금 0억 × 0.00%(없음) (연율) ÷ 4
[interest]</t>
      </text>
    </comment>
    <comment ref="AG12" authorId="0" shapeId="0">
      <text>
        <t>추정: 이자발생자산 750억 × 5.50%(주석 이자수익 ÷ 평균 이자발생자산(2024Q1~2026Q2)) − 총차입금 0억 × 0.00%(없음) (연율) ÷ 4
[interest]</t>
      </text>
    </comment>
    <comment ref="AH12" authorId="0" shapeId="0">
      <text>
        <t>추정: 이자발생자산 810억 × 5.50%(주석 이자수익 ÷ 평균 이자발생자산(2024Q1~2026Q2)) − 총차입금 0억 × 0.00%(없음) (연율) ÷ 4
[interest]</t>
      </text>
    </comment>
    <comment ref="AI12" authorId="0" shapeId="0">
      <text>
        <t>추정: 이자발생자산 882억 × 5.50%(주석 이자수익 ÷ 평균 이자발생자산(2024Q1~2026Q2)) − 총차입금 0억 × 0.00%(없음) (연율) ÷ 4
[interest]</t>
      </text>
    </comment>
    <comment ref="AK12" authorId="0" shapeId="0">
      <text>
        <t>추정: 이자발생자산 950억 × 5.50%(주석 이자수익 ÷ 평균 이자발생자산(2024Q1~2026Q2)) − 총차입금 0억 × 0.00%(없음) (연율) ÷ 4
[interest]</t>
      </text>
    </comment>
    <comment ref="AL12" authorId="0" shapeId="0">
      <text>
        <t>추정: 이자발생자산 1012억 × 5.50%(주석 이자수익 ÷ 평균 이자발생자산(2024Q1~2026Q2)) − 총차입금 0억 × 0.00%(없음) (연율) ÷ 4
[interest]</t>
      </text>
    </comment>
    <comment ref="AM12" authorId="0" shapeId="0">
      <text>
        <t>추정: 이자발생자산 1078억 × 5.50%(주석 이자수익 ÷ 평균 이자발생자산(2024Q1~2026Q2)) − 총차입금 0억 × 0.00%(없음) (연율) ÷ 4
[interest]</t>
      </text>
    </comment>
    <comment ref="AN12" authorId="0" shapeId="0">
      <text>
        <t>추정: 이자발생자산 1155억 × 5.50%(주석 이자수익 ÷ 평균 이자발생자산(2024Q1~2026Q2)) − 총차입금 0억 × 0.00%(없음) (연율) ÷ 4
[interest]</t>
      </text>
    </comment>
    <comment ref="AC13" authorId="0" shapeId="0">
      <text>
        <t>추정: 일회성 미가정 → 0
[abs]</t>
      </text>
    </comment>
    <comment ref="AD13" authorId="0" shapeId="0">
      <text>
        <t>추정: 일회성 미가정 → 0
[abs]</t>
      </text>
    </comment>
    <comment ref="AF13" authorId="0" shapeId="0">
      <text>
        <t>추정: 일회성 미가정 → 0
[abs]</t>
      </text>
    </comment>
    <comment ref="AG13" authorId="0" shapeId="0">
      <text>
        <t>추정: 일회성 미가정 → 0
[abs]</t>
      </text>
    </comment>
    <comment ref="AH13" authorId="0" shapeId="0">
      <text>
        <t>추정: 일회성 미가정 → 0
[abs]</t>
      </text>
    </comment>
    <comment ref="AI13" authorId="0" shapeId="0">
      <text>
        <t>추정: 일회성 미가정 → 0
[abs]</t>
      </text>
    </comment>
    <comment ref="AK13" authorId="0" shapeId="0">
      <text>
        <t>추정: 일회성 미가정 → 0
[abs]</t>
      </text>
    </comment>
    <comment ref="AL13" authorId="0" shapeId="0">
      <text>
        <t>추정: 일회성 미가정 → 0
[abs]</t>
      </text>
    </comment>
    <comment ref="AM13" authorId="0" shapeId="0">
      <text>
        <t>추정: 일회성 미가정 → 0
[abs]</t>
      </text>
    </comment>
    <comment ref="AN13" authorId="0" shapeId="0">
      <text>
        <t>추정: 일회성 미가정 → 0
[abs]</t>
      </text>
    </comment>
    <comment ref="AC14" authorId="0" shapeId="0">
      <text>
        <t>추정: 영업이익 + 금융손익 + 기타영업외 + 지분법 + 환관련(항등식)
[identity]</t>
      </text>
    </comment>
    <comment ref="AD14" authorId="0" shapeId="0">
      <text>
        <t>추정: 영업이익 + 금융손익 + 기타영업외 + 지분법 + 환관련(항등식)
[identity]</t>
      </text>
    </comment>
    <comment ref="AF14" authorId="0" shapeId="0">
      <text>
        <t>추정: 영업이익 + 금융손익 + 기타영업외 + 지분법 + 환관련(항등식)
[identity]</t>
      </text>
    </comment>
    <comment ref="AG14" authorId="0" shapeId="0">
      <text>
        <t>추정: 영업이익 + 금융손익 + 기타영업외 + 지분법 + 환관련(항등식)
[identity]</t>
      </text>
    </comment>
    <comment ref="AH14" authorId="0" shapeId="0">
      <text>
        <t>추정: 영업이익 + 금융손익 + 기타영업외 + 지분법 + 환관련(항등식)
[identity]</t>
      </text>
    </comment>
    <comment ref="AI14" authorId="0" shapeId="0">
      <text>
        <t>추정: 영업이익 + 금융손익 + 기타영업외 + 지분법 + 환관련(항등식)
[identity]</t>
      </text>
    </comment>
    <comment ref="AK14" authorId="0" shapeId="0">
      <text>
        <t>추정: 영업이익 + 금융손익 + 기타영업외 + 지분법 + 환관련(항등식)
[identity]</t>
      </text>
    </comment>
    <comment ref="AL14" authorId="0" shapeId="0">
      <text>
        <t>추정: 영업이익 + 금융손익 + 기타영업외 + 지분법 + 환관련(항등식)
[identity]</t>
      </text>
    </comment>
    <comment ref="AM14" authorId="0" shapeId="0">
      <text>
        <t>추정: 영업이익 + 금융손익 + 기타영업외 + 지분법 + 환관련(항등식)
[identity]</t>
      </text>
    </comment>
    <comment ref="AN14" authorId="0" shapeId="0">
      <text>
        <t>추정: 영업이익 + 금융손익 + 기타영업외 + 지분법 + 환관련(항등식)
[identity]</t>
      </text>
    </comment>
    <comment ref="AC15" authorId="0" shapeId="0">
      <text>
        <t>추정: max(세전, 0) × 세율 19.0%(최근 12분기 유효세율 19.0%(5~27% 안 — 그대로))
[tax]</t>
      </text>
    </comment>
    <comment ref="AD15" authorId="0" shapeId="0">
      <text>
        <t>추정: max(세전, 0) × 세율 19.0%(최근 12분기 유효세율 19.0%(5~27% 안 — 그대로))
[tax]</t>
      </text>
    </comment>
    <comment ref="AF15" authorId="0" shapeId="0">
      <text>
        <t>추정: max(세전, 0) × 세율 19.0%(최근 12분기 유효세율 19.0%(5~27% 안 — 그대로))
[tax]</t>
      </text>
    </comment>
    <comment ref="AG15" authorId="0" shapeId="0">
      <text>
        <t>추정: max(세전, 0) × 세율 19.0%(최근 12분기 유효세율 19.0%(5~27% 안 — 그대로))
[tax]</t>
      </text>
    </comment>
    <comment ref="AH15" authorId="0" shapeId="0">
      <text>
        <t>추정: max(세전, 0) × 세율 19.0%(최근 12분기 유효세율 19.0%(5~27% 안 — 그대로))
[tax]</t>
      </text>
    </comment>
    <comment ref="AI15" authorId="0" shapeId="0">
      <text>
        <t>추정: max(세전, 0) × 세율 19.0%(최근 12분기 유효세율 19.0%(5~27% 안 — 그대로))
[tax]</t>
      </text>
    </comment>
    <comment ref="AK15" authorId="0" shapeId="0">
      <text>
        <t>추정: max(세전, 0) × 세율 19.0%(최근 12분기 유효세율 19.0%(5~27% 안 — 그대로))
[tax]</t>
      </text>
    </comment>
    <comment ref="AL15" authorId="0" shapeId="0">
      <text>
        <t>추정: max(세전, 0) × 세율 19.0%(최근 12분기 유효세율 19.0%(5~27% 안 — 그대로))
[tax]</t>
      </text>
    </comment>
    <comment ref="AM15" authorId="0" shapeId="0">
      <text>
        <t>추정: max(세전, 0) × 세율 19.0%(최근 12분기 유효세율 19.0%(5~27% 안 — 그대로))
[tax]</t>
      </text>
    </comment>
    <comment ref="AN15" authorId="0" shapeId="0">
      <text>
        <t>추정: max(세전, 0) × 세율 19.0%(최근 12분기 유효세율 19.0%(5~27% 안 — 그대로))
[tax]</t>
      </text>
    </comment>
    <comment ref="AC16" authorId="0" shapeId="0">
      <text>
        <t>추정: 세전이익 − 법인세비용(항등식)
[identity]</t>
      </text>
    </comment>
    <comment ref="AD16" authorId="0" shapeId="0">
      <text>
        <t>추정: 세전이익 − 법인세비용(항등식)
[identity]</t>
      </text>
    </comment>
    <comment ref="AF16" authorId="0" shapeId="0">
      <text>
        <t>추정: 세전이익 − 법인세비용(항등식)
[identity]</t>
      </text>
    </comment>
    <comment ref="AG16" authorId="0" shapeId="0">
      <text>
        <t>추정: 세전이익 − 법인세비용(항등식)
[identity]</t>
      </text>
    </comment>
    <comment ref="AH16" authorId="0" shapeId="0">
      <text>
        <t>추정: 세전이익 − 법인세비용(항등식)
[identity]</t>
      </text>
    </comment>
    <comment ref="AI16" authorId="0" shapeId="0">
      <text>
        <t>추정: 세전이익 − 법인세비용(항등식)
[identity]</t>
      </text>
    </comment>
    <comment ref="AK16" authorId="0" shapeId="0">
      <text>
        <t>추정: 세전이익 − 법인세비용(항등식)
[identity]</t>
      </text>
    </comment>
    <comment ref="AL16" authorId="0" shapeId="0">
      <text>
        <t>추정: 세전이익 − 법인세비용(항등식)
[identity]</t>
      </text>
    </comment>
    <comment ref="AM16" authorId="0" shapeId="0">
      <text>
        <t>추정: 세전이익 − 법인세비용(항등식)
[identity]</t>
      </text>
    </comment>
    <comment ref="AN16" authorId="0" shapeId="0">
      <text>
        <t>추정: 세전이익 − 법인세비용(항등식)
[identity]</t>
      </text>
    </comment>
    <comment ref="AB17" authorId="0" shapeId="0">
      <text>
        <t>실측(BS연결 시트에 (지배주주지분)당기순이익 2026.06 값 없음 — 모델값 직접) — fin.cons.is.당기순이익 − fin.cons.is.(비지배주주지분)당기순이익(파생)</t>
      </text>
    </comment>
    <comment ref="AC17" authorId="0" shapeId="0">
      <text>
        <t>추정: 당기순이익 × (1 − 비지배 비중 0.0%, 최근 8분기 실측)
[ratio]</t>
      </text>
    </comment>
    <comment ref="AD17" authorId="0" shapeId="0">
      <text>
        <t>추정: 당기순이익 × (1 − 비지배 비중 0.0%, 최근 8분기 실측)
[ratio]</t>
      </text>
    </comment>
    <comment ref="AF17" authorId="0" shapeId="0">
      <text>
        <t>추정: 당기순이익 × (1 − 비지배 비중 0.0%, 최근 8분기 실측)
[ratio]</t>
      </text>
    </comment>
    <comment ref="AG17" authorId="0" shapeId="0">
      <text>
        <t>추정: 당기순이익 × (1 − 비지배 비중 0.0%, 최근 8분기 실측)
[ratio]</t>
      </text>
    </comment>
    <comment ref="AH17" authorId="0" shapeId="0">
      <text>
        <t>추정: 당기순이익 × (1 − 비지배 비중 0.0%, 최근 8분기 실측)
[ratio]</t>
      </text>
    </comment>
    <comment ref="AI17" authorId="0" shapeId="0">
      <text>
        <t>추정: 당기순이익 × (1 − 비지배 비중 0.0%, 최근 8분기 실측)
[ratio]</t>
      </text>
    </comment>
    <comment ref="AK17" authorId="0" shapeId="0">
      <text>
        <t>추정: 당기순이익 × (1 − 비지배 비중 0.0%, 최근 8분기 실측)
[ratio]</t>
      </text>
    </comment>
    <comment ref="AL17" authorId="0" shapeId="0">
      <text>
        <t>추정: 당기순이익 × (1 − 비지배 비중 0.0%, 최근 8분기 실측)
[ratio]</t>
      </text>
    </comment>
    <comment ref="AM17" authorId="0" shapeId="0">
      <text>
        <t>추정: 당기순이익 × (1 − 비지배 비중 0.0%, 최근 8분기 실측)
[ratio]</t>
      </text>
    </comment>
    <comment ref="AN17" authorId="0" shapeId="0">
      <text>
        <t>추정: 당기순이익 × (1 − 비지배 비중 0.0%, 최근 8분기 실측)
[ratio]</t>
      </text>
    </comment>
    <comment ref="AC18" authorId="0" shapeId="0">
      <text>
        <t>추정: 최근 4분기 감가상각비 중위 유지
[abs]</t>
      </text>
    </comment>
    <comment ref="AD18" authorId="0" shapeId="0">
      <text>
        <t>추정: 최근 4분기 감가상각비 중위 유지
[abs]</t>
      </text>
    </comment>
    <comment ref="AF18" authorId="0" shapeId="0">
      <text>
        <t>추정: 최근 4분기 감가상각비 중위 유지
[abs]</t>
      </text>
    </comment>
    <comment ref="AG18" authorId="0" shapeId="0">
      <text>
        <t>추정: 최근 4분기 감가상각비 중위 유지
[abs]</t>
      </text>
    </comment>
    <comment ref="AH18" authorId="0" shapeId="0">
      <text>
        <t>추정: 최근 4분기 감가상각비 중위 유지
[abs]</t>
      </text>
    </comment>
    <comment ref="AI18" authorId="0" shapeId="0">
      <text>
        <t>추정: 최근 4분기 감가상각비 중위 유지
[abs]</t>
      </text>
    </comment>
    <comment ref="AK18" authorId="0" shapeId="0">
      <text>
        <t>추정: 최근 4분기 감가상각비 중위 유지
[abs]</t>
      </text>
    </comment>
    <comment ref="AL18" authorId="0" shapeId="0">
      <text>
        <t>추정: 최근 4분기 감가상각비 중위 유지
[abs]</t>
      </text>
    </comment>
    <comment ref="AM18" authorId="0" shapeId="0">
      <text>
        <t>추정: 최근 4분기 감가상각비 중위 유지
[abs]</t>
      </text>
    </comment>
    <comment ref="AN18" authorId="0" shapeId="0">
      <text>
        <t>추정: 최근 4분기 감가상각비 중위 유지
[abs]</t>
      </text>
    </comment>
    <comment ref="E19" authorId="0" shapeId="0">
      <text>
        <t>실측(계정 매핑 없음(파생·부문·시세 행) — 모델값 직접) — 영업이익 + 감가상각비(CF)</t>
      </text>
    </comment>
    <comment ref="G19" authorId="0" shapeId="0">
      <text>
        <t>실측(계정 매핑 없음(파생·부문·시세 행) — 모델값 직접) — 영업이익 + 감가상각비(CF)</t>
      </text>
    </comment>
    <comment ref="H19" authorId="0" shapeId="0">
      <text>
        <t>실측(계정 매핑 없음(파생·부문·시세 행) — 모델값 직접) — 영업이익 + 감가상각비(CF)</t>
      </text>
    </comment>
    <comment ref="I19" authorId="0" shapeId="0">
      <text>
        <t>실측(계정 매핑 없음(파생·부문·시세 행) — 모델값 직접) — 영업이익 + 감가상각비(CF)</t>
      </text>
    </comment>
    <comment ref="J19" authorId="0" shapeId="0">
      <text>
        <t>실측(계정 매핑 없음(파생·부문·시세 행) — 모델값 직접) — 영업이익 + 감가상각비(CF)</t>
      </text>
    </comment>
    <comment ref="L19" authorId="0" shapeId="0">
      <text>
        <t>실측(계정 매핑 없음(파생·부문·시세 행) — 모델값 직접) — 영업이익 + 감가상각비(CF)</t>
      </text>
    </comment>
    <comment ref="M19" authorId="0" shapeId="0">
      <text>
        <t>실측(계정 매핑 없음(파생·부문·시세 행) — 모델값 직접) — 영업이익 + 감가상각비(CF)</t>
      </text>
    </comment>
    <comment ref="S19" authorId="0" shapeId="0">
      <text>
        <t>실측(계정 매핑 없음(파생·부문·시세 행) — 모델값 직접) — 영업이익 + 감가상각비(CF)</t>
      </text>
    </comment>
    <comment ref="AC19" authorId="0" shapeId="0">
      <text>
        <t>추정: 영업이익 + 감가상각비
[identity]</t>
      </text>
    </comment>
    <comment ref="AD19" authorId="0" shapeId="0">
      <text>
        <t>추정: 영업이익 + 감가상각비
[identity]</t>
      </text>
    </comment>
    <comment ref="AF19" authorId="0" shapeId="0">
      <text>
        <t>추정: 영업이익 + 감가상각비
[identity]</t>
      </text>
    </comment>
    <comment ref="AG19" authorId="0" shapeId="0">
      <text>
        <t>추정: 영업이익 + 감가상각비
[identity]</t>
      </text>
    </comment>
    <comment ref="AH19" authorId="0" shapeId="0">
      <text>
        <t>추정: 영업이익 + 감가상각비
[identity]</t>
      </text>
    </comment>
    <comment ref="AI19" authorId="0" shapeId="0">
      <text>
        <t>추정: 영업이익 + 감가상각비
[identity]</t>
      </text>
    </comment>
    <comment ref="AK19" authorId="0" shapeId="0">
      <text>
        <t>추정: 영업이익 + 감가상각비
[identity]</t>
      </text>
    </comment>
    <comment ref="AL19" authorId="0" shapeId="0">
      <text>
        <t>추정: 영업이익 + 감가상각비
[identity]</t>
      </text>
    </comment>
    <comment ref="AM19" authorId="0" shapeId="0">
      <text>
        <t>추정: 영업이익 + 감가상각비
[identity]</t>
      </text>
    </comment>
    <comment ref="AN19" authorId="0" shapeId="0">
      <text>
        <t>추정: 영업이익 + 감가상각비
[identity]</t>
      </text>
    </comment>
    <comment ref="AC20" authorId="0" shapeId="0">
      <text>
        <t>추정: 부채총계 + 자본총계(항등식)
[identity]</t>
      </text>
    </comment>
    <comment ref="AD20" authorId="0" shapeId="0">
      <text>
        <t>추정: 부채총계 + 자본총계(항등식)
[identity]</t>
      </text>
    </comment>
    <comment ref="AF20" authorId="0" shapeId="0">
      <text>
        <t>추정: 부채총계 + 자본총계(항등식)
[identity]</t>
      </text>
    </comment>
    <comment ref="AG20" authorId="0" shapeId="0">
      <text>
        <t>추정: 부채총계 + 자본총계(항등식)
[identity]</t>
      </text>
    </comment>
    <comment ref="AH20" authorId="0" shapeId="0">
      <text>
        <t>추정: 부채총계 + 자본총계(항등식)
[identity]</t>
      </text>
    </comment>
    <comment ref="AI20" authorId="0" shapeId="0">
      <text>
        <t>추정: 부채총계 + 자본총계(항등식)
[identity]</t>
      </text>
    </comment>
    <comment ref="AK20" authorId="0" shapeId="0">
      <text>
        <t>추정: 부채총계 + 자본총계(항등식)
[identity]</t>
      </text>
    </comment>
    <comment ref="AL20" authorId="0" shapeId="0">
      <text>
        <t>추정: 부채총계 + 자본총계(항등식)
[identity]</t>
      </text>
    </comment>
    <comment ref="AM20" authorId="0" shapeId="0">
      <text>
        <t>추정: 부채총계 + 자본총계(항등식)
[identity]</t>
      </text>
    </comment>
    <comment ref="AN20" authorId="0" shapeId="0">
      <text>
        <t>추정: 부채총계 + 자본총계(항등식)
[identity]</t>
      </text>
    </comment>
    <comment ref="AC21" authorId="0" shapeId="0">
      <text>
        <t>추정: 마지막 실적 유지(가정)
[qoq]</t>
      </text>
    </comment>
    <comment ref="AD21" authorId="0" shapeId="0">
      <text>
        <t>추정: 마지막 실적 유지(가정)
[qoq]</t>
      </text>
    </comment>
    <comment ref="AF21" authorId="0" shapeId="0">
      <text>
        <t>추정: 마지막 실적 유지(가정)
[qoq]</t>
      </text>
    </comment>
    <comment ref="AG21" authorId="0" shapeId="0">
      <text>
        <t>추정: 마지막 실적 유지(가정)
[qoq]</t>
      </text>
    </comment>
    <comment ref="AH21" authorId="0" shapeId="0">
      <text>
        <t>추정: 마지막 실적 유지(가정)
[qoq]</t>
      </text>
    </comment>
    <comment ref="AI21" authorId="0" shapeId="0">
      <text>
        <t>추정: 마지막 실적 유지(가정)
[qoq]</t>
      </text>
    </comment>
    <comment ref="AK21" authorId="0" shapeId="0">
      <text>
        <t>추정: 마지막 실적 유지(가정)
[qoq]</t>
      </text>
    </comment>
    <comment ref="AL21" authorId="0" shapeId="0">
      <text>
        <t>추정: 마지막 실적 유지(가정)
[qoq]</t>
      </text>
    </comment>
    <comment ref="AM21" authorId="0" shapeId="0">
      <text>
        <t>추정: 마지막 실적 유지(가정)
[qoq]</t>
      </text>
    </comment>
    <comment ref="AN21" authorId="0" shapeId="0">
      <text>
        <t>추정: 마지막 실적 유지(가정)
[qoq]</t>
      </text>
    </comment>
    <comment ref="AC22" authorId="0" shapeId="0">
      <text>
        <t>추정: 전분기 + 당기순이익 − 배당(Q2 지급 가정)
[roll]</t>
      </text>
    </comment>
    <comment ref="AD22" authorId="0" shapeId="0">
      <text>
        <t>추정: 전분기 + 당기순이익 − 배당(Q2 지급 가정)
[roll]</t>
      </text>
    </comment>
    <comment ref="AF22" authorId="0" shapeId="0">
      <text>
        <t>추정: 전분기 + 당기순이익 − 배당(Q2 지급 가정)
[roll]</t>
      </text>
    </comment>
    <comment ref="AG22" authorId="0" shapeId="0">
      <text>
        <t>추정: 전분기 + 당기순이익 − 배당(Q2 지급 가정)
[roll]</t>
      </text>
    </comment>
    <comment ref="AH22" authorId="0" shapeId="0">
      <text>
        <t>추정: 전분기 + 당기순이익 − 배당(Q2 지급 가정)
[roll]</t>
      </text>
    </comment>
    <comment ref="AI22" authorId="0" shapeId="0">
      <text>
        <t>추정: 전분기 + 당기순이익 − 배당(Q2 지급 가정)
[roll]</t>
      </text>
    </comment>
    <comment ref="AK22" authorId="0" shapeId="0">
      <text>
        <t>추정: 전분기 + 당기순이익 − 배당(Q2 지급 가정)
[roll]</t>
      </text>
    </comment>
    <comment ref="AL22" authorId="0" shapeId="0">
      <text>
        <t>추정: 전분기 + 당기순이익 − 배당(Q2 지급 가정)
[roll]</t>
      </text>
    </comment>
    <comment ref="AM22" authorId="0" shapeId="0">
      <text>
        <t>추정: 전분기 + 당기순이익 − 배당(Q2 지급 가정)
[roll]</t>
      </text>
    </comment>
    <comment ref="AN22" authorId="0" shapeId="0">
      <text>
        <t>추정: 전분기 + 당기순이익 − 배당(Q2 지급 가정)
[roll]</t>
      </text>
    </comment>
    <comment ref="AC23" authorId="0" shapeId="0">
      <text>
        <t>추정: 전분기 + 지배주주순이익 − 배당
[roll]</t>
      </text>
    </comment>
    <comment ref="AD23" authorId="0" shapeId="0">
      <text>
        <t>추정: 전분기 + 지배주주순이익 − 배당
[roll]</t>
      </text>
    </comment>
    <comment ref="AF23" authorId="0" shapeId="0">
      <text>
        <t>추정: 전분기 + 지배주주순이익 − 배당
[roll]</t>
      </text>
    </comment>
    <comment ref="AG23" authorId="0" shapeId="0">
      <text>
        <t>추정: 전분기 + 지배주주순이익 − 배당
[roll]</t>
      </text>
    </comment>
    <comment ref="AH23" authorId="0" shapeId="0">
      <text>
        <t>추정: 전분기 + 지배주주순이익 − 배당
[roll]</t>
      </text>
    </comment>
    <comment ref="AI23" authorId="0" shapeId="0">
      <text>
        <t>추정: 전분기 + 지배주주순이익 − 배당
[roll]</t>
      </text>
    </comment>
    <comment ref="AK23" authorId="0" shapeId="0">
      <text>
        <t>추정: 전분기 + 지배주주순이익 − 배당
[roll]</t>
      </text>
    </comment>
    <comment ref="AL23" authorId="0" shapeId="0">
      <text>
        <t>추정: 전분기 + 지배주주순이익 − 배당
[roll]</t>
      </text>
    </comment>
    <comment ref="AM23" authorId="0" shapeId="0">
      <text>
        <t>추정: 전분기 + 지배주주순이익 − 배당
[roll]</t>
      </text>
    </comment>
    <comment ref="AN23" authorId="0" shapeId="0">
      <text>
        <t>추정: 전분기 + 지배주주순이익 − 배당
[roll]</t>
      </text>
    </comment>
    <comment ref="AC24" authorId="0" shapeId="0">
      <text>
        <t>추정: 전분기 + FCF 근사 — 순차입금 롤과 같은 가정
[qoq]</t>
      </text>
    </comment>
    <comment ref="AD24" authorId="0" shapeId="0">
      <text>
        <t>추정: 전분기 + FCF 근사 — 순차입금 롤과 같은 가정
[qoq]</t>
      </text>
    </comment>
    <comment ref="AF24" authorId="0" shapeId="0">
      <text>
        <t>추정: 전분기 + FCF 근사 — 순차입금 롤과 같은 가정
[qoq]</t>
      </text>
    </comment>
    <comment ref="AG24" authorId="0" shapeId="0">
      <text>
        <t>추정: 전분기 + FCF 근사 — 순차입금 롤과 같은 가정
[qoq]</t>
      </text>
    </comment>
    <comment ref="AH24" authorId="0" shapeId="0">
      <text>
        <t>추정: 전분기 + FCF 근사 — 순차입금 롤과 같은 가정
[qoq]</t>
      </text>
    </comment>
    <comment ref="AI24" authorId="0" shapeId="0">
      <text>
        <t>추정: 전분기 + FCF 근사 — 순차입금 롤과 같은 가정
[qoq]</t>
      </text>
    </comment>
    <comment ref="AK24" authorId="0" shapeId="0">
      <text>
        <t>추정: 전분기 + FCF 근사 — 순차입금 롤과 같은 가정
[qoq]</t>
      </text>
    </comment>
    <comment ref="AL24" authorId="0" shapeId="0">
      <text>
        <t>추정: 전분기 + FCF 근사 — 순차입금 롤과 같은 가정
[qoq]</t>
      </text>
    </comment>
    <comment ref="AM24" authorId="0" shapeId="0">
      <text>
        <t>추정: 전분기 + FCF 근사 — 순차입금 롤과 같은 가정
[qoq]</t>
      </text>
    </comment>
    <comment ref="AN24" authorId="0" shapeId="0">
      <text>
        <t>추정: 전분기 + FCF 근사 — 순차입금 롤과 같은 가정
[qoq]</t>
      </text>
    </comment>
    <comment ref="AC26" authorId="0" shapeId="0">
      <text>
        <t>추정: 최근 4분기(2025Q3~2026Q2) CAPEX 중위 유지 — 순차입금 롤에 반영(FCF 근사)
[yoy]</t>
      </text>
    </comment>
    <comment ref="AD26" authorId="0" shapeId="0">
      <text>
        <t>추정: 최근 4분기(2025Q3~2026Q2) CAPEX 중위 유지 — 순차입금 롤에 반영(FCF 근사)
[yoy]</t>
      </text>
    </comment>
    <comment ref="AF26" authorId="0" shapeId="0">
      <text>
        <t>추정: 최근 4분기(2025Q3~2026Q2) CAPEX 중위 유지 — 순차입금 롤에 반영(FCF 근사)
[yoy]</t>
      </text>
    </comment>
    <comment ref="AG26" authorId="0" shapeId="0">
      <text>
        <t>추정: 최근 4분기(2025Q3~2026Q2) CAPEX 중위 유지 — 순차입금 롤에 반영(FCF 근사)
[yoy]</t>
      </text>
    </comment>
    <comment ref="AH26" authorId="0" shapeId="0">
      <text>
        <t>추정: 최근 4분기(2025Q3~2026Q2) CAPEX 중위 유지 — 순차입금 롤에 반영(FCF 근사)
[yoy]</t>
      </text>
    </comment>
    <comment ref="AI26" authorId="0" shapeId="0">
      <text>
        <t>추정: 최근 4분기(2025Q3~2026Q2) CAPEX 중위 유지 — 순차입금 롤에 반영(FCF 근사)
[yoy]</t>
      </text>
    </comment>
    <comment ref="AK26" authorId="0" shapeId="0">
      <text>
        <t>추정: 최근 4분기(2025Q3~2026Q2) CAPEX 중위 유지 — 순차입금 롤에 반영(FCF 근사)
[yoy]</t>
      </text>
    </comment>
    <comment ref="AL26" authorId="0" shapeId="0">
      <text>
        <t>추정: 최근 4분기(2025Q3~2026Q2) CAPEX 중위 유지 — 순차입금 롤에 반영(FCF 근사)
[yoy]</t>
      </text>
    </comment>
    <comment ref="AM26" authorId="0" shapeId="0">
      <text>
        <t>추정: 최근 4분기(2025Q3~2026Q2) CAPEX 중위 유지 — 순차입금 롤에 반영(FCF 근사)
[yoy]</t>
      </text>
    </comment>
    <comment ref="AN26" authorId="0" shapeId="0">
      <text>
        <t>추정: 최근 4분기(2025Q3~2026Q2) CAPEX 중위 유지 — 순차입금 롤에 반영(FCF 근사)
[yoy]</t>
      </text>
    </comment>
    <comment ref="E28" authorId="0" shapeId="0">
      <text>
        <t>실측(계정 매핑 없음(파생·부문·시세 행) — 모델값 직접) — fin.shares.common_outstanding</t>
      </text>
    </comment>
    <comment ref="G28" authorId="0" shapeId="0">
      <text>
        <t>실측(계정 매핑 없음(파생·부문·시세 행) — 모델값 직접) — fin.shares.common_outstanding</t>
      </text>
    </comment>
    <comment ref="H28" authorId="0" shapeId="0">
      <text>
        <t>실측(계정 매핑 없음(파생·부문·시세 행) — 모델값 직접) — fin.shares.common_outstanding</t>
      </text>
    </comment>
    <comment ref="I28" authorId="0" shapeId="0">
      <text>
        <t>실측(계정 매핑 없음(파생·부문·시세 행) — 모델값 직접) — fin.shares.common_outstanding</t>
      </text>
    </comment>
    <comment ref="J28" authorId="0" shapeId="0">
      <text>
        <t>실측(계정 매핑 없음(파생·부문·시세 행) — 모델값 직접) — fin.shares.common_outstanding</t>
      </text>
    </comment>
    <comment ref="L28" authorId="0" shapeId="0">
      <text>
        <t>실측(계정 매핑 없음(파생·부문·시세 행) — 모델값 직접) — fin.shares.common_outstanding</t>
      </text>
    </comment>
    <comment ref="M28" authorId="0" shapeId="0">
      <text>
        <t>실측(계정 매핑 없음(파생·부문·시세 행) — 모델값 직접) — fin.shares.common_outstanding</t>
      </text>
    </comment>
    <comment ref="N28" authorId="0" shapeId="0">
      <text>
        <t>실측(계정 매핑 없음(파생·부문·시세 행) — 모델값 직접) — fin.shares.common_outstanding</t>
      </text>
    </comment>
    <comment ref="O28" authorId="0" shapeId="0">
      <text>
        <t>실측(계정 매핑 없음(파생·부문·시세 행) — 모델값 직접) — fin.shares.common_outstanding</t>
      </text>
    </comment>
    <comment ref="Q28" authorId="0" shapeId="0">
      <text>
        <t>실측(계정 매핑 없음(파생·부문·시세 행) — 모델값 직접) — fin.shares.common_outstanding</t>
      </text>
    </comment>
    <comment ref="R28" authorId="0" shapeId="0">
      <text>
        <t>실측(계정 매핑 없음(파생·부문·시세 행) — 모델값 직접) — fin.shares.common_outstanding</t>
      </text>
    </comment>
    <comment ref="S28" authorId="0" shapeId="0">
      <text>
        <t>실측(계정 매핑 없음(파생·부문·시세 행) — 모델값 직접) — fin.shares.common_outstanding</t>
      </text>
    </comment>
    <comment ref="T28" authorId="0" shapeId="0">
      <text>
        <t>실측(계정 매핑 없음(파생·부문·시세 행) — 모델값 직접) — fin.shares.common_outstanding</t>
      </text>
    </comment>
    <comment ref="V28" authorId="0" shapeId="0">
      <text>
        <t>실측(계정 매핑 없음(파생·부문·시세 행) — 모델값 직접) — fin.shares.common_outstanding</t>
      </text>
    </comment>
    <comment ref="W28" authorId="0" shapeId="0">
      <text>
        <t>실측(계정 매핑 없음(파생·부문·시세 행) — 모델값 직접) — fin.shares.common_outstanding</t>
      </text>
    </comment>
    <comment ref="X28" authorId="0" shapeId="0">
      <text>
        <t>실측(계정 매핑 없음(파생·부문·시세 행) — 모델값 직접) — fin.shares.common_outstanding</t>
      </text>
    </comment>
    <comment ref="Y28" authorId="0" shapeId="0">
      <text>
        <t>실측(계정 매핑 없음(파생·부문·시세 행) — 모델값 직접) — fin.shares.common_outstanding</t>
      </text>
    </comment>
    <comment ref="AA28" authorId="0" shapeId="0">
      <text>
        <t>실측(계정 매핑 없음(파생·부문·시세 행) — 모델값 직접) — fin.shares.common_outstanding</t>
      </text>
    </comment>
    <comment ref="AB28" authorId="0" shapeId="0">
      <text>
        <t>실측(계정 매핑 없음(파생·부문·시세 행) — 모델값 직접) — fin.shares.common_outstanding</t>
      </text>
    </comment>
    <comment ref="AC28" authorId="0" shapeId="0">
      <text>
        <t>추정: 유통주식수 유지 — fin.shares.common_outstanding(2026Q2)
[qoq]</t>
      </text>
    </comment>
    <comment ref="AD28" authorId="0" shapeId="0">
      <text>
        <t>추정: 유통주식수 유지 — fin.shares.common_outstanding(2026Q2)
[qoq]</t>
      </text>
    </comment>
    <comment ref="AF28" authorId="0" shapeId="0">
      <text>
        <t>추정: 유통주식수 유지 — fin.shares.common_outstanding(2026Q2)
[qoq]</t>
      </text>
    </comment>
    <comment ref="AG28" authorId="0" shapeId="0">
      <text>
        <t>추정: 유통주식수 유지 — fin.shares.common_outstanding(2026Q2)
[qoq]</t>
      </text>
    </comment>
    <comment ref="AH28" authorId="0" shapeId="0">
      <text>
        <t>추정: 유통주식수 유지 — fin.shares.common_outstanding(2026Q2)
[qoq]</t>
      </text>
    </comment>
    <comment ref="AI28" authorId="0" shapeId="0">
      <text>
        <t>추정: 유통주식수 유지 — fin.shares.common_outstanding(2026Q2)
[qoq]</t>
      </text>
    </comment>
    <comment ref="AK28" authorId="0" shapeId="0">
      <text>
        <t>추정: 유통주식수 유지 — fin.shares.common_outstanding(2026Q2)
[qoq]</t>
      </text>
    </comment>
    <comment ref="AL28" authorId="0" shapeId="0">
      <text>
        <t>추정: 유통주식수 유지 — fin.shares.common_outstanding(2026Q2)
[qoq]</t>
      </text>
    </comment>
    <comment ref="AM28" authorId="0" shapeId="0">
      <text>
        <t>추정: 유통주식수 유지 — fin.shares.common_outstanding(2026Q2)
[qoq]</t>
      </text>
    </comment>
    <comment ref="AN28" authorId="0" shapeId="0">
      <text>
        <t>추정: 유통주식수 유지 — fin.shares.common_outstanding(2026Q2)
[qoq]</t>
      </text>
    </comment>
    <comment ref="AC29" authorId="0" shapeId="0">
      <text>
        <t>추정: 지배주주순이익 ÷ 유통주식수
[per_share]</t>
      </text>
    </comment>
    <comment ref="AD29" authorId="0" shapeId="0">
      <text>
        <t>추정: 지배주주순이익 ÷ 유통주식수
[per_share]</t>
      </text>
    </comment>
    <comment ref="AF29" authorId="0" shapeId="0">
      <text>
        <t>추정: 지배주주순이익 ÷ 유통주식수
[per_share]</t>
      </text>
    </comment>
    <comment ref="AG29" authorId="0" shapeId="0">
      <text>
        <t>추정: 지배주주순이익 ÷ 유통주식수
[per_share]</t>
      </text>
    </comment>
    <comment ref="AH29" authorId="0" shapeId="0">
      <text>
        <t>추정: 지배주주순이익 ÷ 유통주식수
[per_share]</t>
      </text>
    </comment>
    <comment ref="AI29" authorId="0" shapeId="0">
      <text>
        <t>추정: 지배주주순이익 ÷ 유통주식수
[per_share]</t>
      </text>
    </comment>
    <comment ref="AK29" authorId="0" shapeId="0">
      <text>
        <t>추정: 지배주주순이익 ÷ 유통주식수
[per_share]</t>
      </text>
    </comment>
    <comment ref="AL29" authorId="0" shapeId="0">
      <text>
        <t>추정: 지배주주순이익 ÷ 유통주식수
[per_share]</t>
      </text>
    </comment>
    <comment ref="AM29" authorId="0" shapeId="0">
      <text>
        <t>추정: 지배주주순이익 ÷ 유통주식수
[per_share]</t>
      </text>
    </comment>
    <comment ref="AN29" authorId="0" shapeId="0">
      <text>
        <t>추정: 지배주주순이익 ÷ 유통주식수
[per_share]</t>
      </text>
    </comment>
    <comment ref="AC30" authorId="0" shapeId="0">
      <text>
        <t>추정: 지배주주지분 ÷ 유통주식수
[per_share]</t>
      </text>
    </comment>
    <comment ref="AD30" authorId="0" shapeId="0">
      <text>
        <t>추정: 지배주주지분 ÷ 유통주식수
[per_share]</t>
      </text>
    </comment>
    <comment ref="AF30" authorId="0" shapeId="0">
      <text>
        <t>추정: 지배주주지분 ÷ 유통주식수
[per_share]</t>
      </text>
    </comment>
    <comment ref="AG30" authorId="0" shapeId="0">
      <text>
        <t>추정: 지배주주지분 ÷ 유통주식수
[per_share]</t>
      </text>
    </comment>
    <comment ref="AH30" authorId="0" shapeId="0">
      <text>
        <t>추정: 지배주주지분 ÷ 유통주식수
[per_share]</t>
      </text>
    </comment>
    <comment ref="AI30" authorId="0" shapeId="0">
      <text>
        <t>추정: 지배주주지분 ÷ 유통주식수
[per_share]</t>
      </text>
    </comment>
    <comment ref="AK30" authorId="0" shapeId="0">
      <text>
        <t>추정: 지배주주지분 ÷ 유통주식수
[per_share]</t>
      </text>
    </comment>
    <comment ref="AL30" authorId="0" shapeId="0">
      <text>
        <t>추정: 지배주주지분 ÷ 유통주식수
[per_share]</t>
      </text>
    </comment>
    <comment ref="AM30" authorId="0" shapeId="0">
      <text>
        <t>추정: 지배주주지분 ÷ 유통주식수
[per_share]</t>
      </text>
    </comment>
    <comment ref="AN30" authorId="0" shapeId="0">
      <text>
        <t>추정: 지배주주지분 ÷ 유통주식수
[per_share]</t>
      </text>
    </comment>
    <comment ref="E31" authorId="0" shapeId="0">
      <text>
        <t>실측(계정 매핑 없음(파생·부문·시세 행) — 모델값 직접) — fin.dividend.dps_common(연간, Q4 에 표기)</t>
      </text>
    </comment>
    <comment ref="F31" authorId="0" shapeId="0">
      <text>
        <t>연간(actual) — 분기 미완 연도, 모델 a 값 직접</t>
      </text>
    </comment>
    <comment ref="J31" authorId="0" shapeId="0">
      <text>
        <t>실측(계정 매핑 없음(파생·부문·시세 행) — 모델값 직접) — fin.dividend.dps_common(연간, Q4 에 표기)</t>
      </text>
    </comment>
    <comment ref="O31" authorId="0" shapeId="0">
      <text>
        <t>실측(계정 매핑 없음(파생·부문·시세 행) — 모델값 직접) — fin.dividend.dps_common(연간, Q4 에 표기)</t>
      </text>
    </comment>
    <comment ref="T31" authorId="0" shapeId="0">
      <text>
        <t>실측(계정 매핑 없음(파생·부문·시세 행) — 모델값 직접) — fin.dividend.dps_common(연간, Q4 에 표기)</t>
      </text>
    </comment>
    <comment ref="Y31" authorId="0" shapeId="0">
      <text>
        <t>실측(계정 매핑 없음(파생·부문·시세 행) — 모델값 직접) — fin.dividend.dps_common(연간, Q4 에 표기)</t>
      </text>
    </comment>
    <comment ref="AD31" authorId="0" shapeId="0">
      <text>
        <t>추정: 직전 결산 DPS 200원 유지
[abs]</t>
      </text>
    </comment>
    <comment ref="AI31" authorId="0" shapeId="0">
      <text>
        <t>추정: 직전 결산 DPS 200원 유지
[abs]</t>
      </text>
    </comment>
    <comment ref="AN31" authorId="0" shapeId="0">
      <text>
        <t>추정: 직전 결산 DPS 200원 유지
[abs]</t>
      </text>
    </comment>
    <comment ref="AC32" authorId="0" shapeId="0">
      <text>
        <t>추정: 현재 종가 ÷ TTM EPS(추정 포함)
[valuation]</t>
      </text>
    </comment>
    <comment ref="AD32" authorId="0" shapeId="0">
      <text>
        <t>추정: 현재 종가 ÷ TTM EPS(추정 포함)
[valuation]</t>
      </text>
    </comment>
    <comment ref="AF32" authorId="0" shapeId="0">
      <text>
        <t>추정: 현재 종가 ÷ TTM EPS(추정 포함)
[valuation]</t>
      </text>
    </comment>
    <comment ref="AG32" authorId="0" shapeId="0">
      <text>
        <t>추정: 현재 종가 ÷ TTM EPS(추정 포함)
[valuation]</t>
      </text>
    </comment>
    <comment ref="AH32" authorId="0" shapeId="0">
      <text>
        <t>추정: 현재 종가 ÷ TTM EPS(추정 포함)
[valuation]</t>
      </text>
    </comment>
    <comment ref="AI32" authorId="0" shapeId="0">
      <text>
        <t>추정: 현재 종가 ÷ TTM EPS(추정 포함)
[valuation]</t>
      </text>
    </comment>
    <comment ref="AK32" authorId="0" shapeId="0">
      <text>
        <t>추정: 현재 종가 ÷ TTM EPS(추정 포함)
[valuation]</t>
      </text>
    </comment>
    <comment ref="AL32" authorId="0" shapeId="0">
      <text>
        <t>추정: 현재 종가 ÷ TTM EPS(추정 포함)
[valuation]</t>
      </text>
    </comment>
    <comment ref="AM32" authorId="0" shapeId="0">
      <text>
        <t>추정: 현재 종가 ÷ TTM EPS(추정 포함)
[valuation]</t>
      </text>
    </comment>
    <comment ref="AN32" authorId="0" shapeId="0">
      <text>
        <t>추정: 현재 종가 ÷ TTM EPS(추정 포함)
[valuation]</t>
      </text>
    </comment>
    <comment ref="AC33" authorId="0" shapeId="0">
      <text>
        <t>추정: 현재 종가 ÷ BPS(추정 포함)
[valuation]</t>
      </text>
    </comment>
    <comment ref="AD33" authorId="0" shapeId="0">
      <text>
        <t>추정: 현재 종가 ÷ BPS(추정 포함)
[valuation]</t>
      </text>
    </comment>
    <comment ref="AF33" authorId="0" shapeId="0">
      <text>
        <t>추정: 현재 종가 ÷ BPS(추정 포함)
[valuation]</t>
      </text>
    </comment>
    <comment ref="AG33" authorId="0" shapeId="0">
      <text>
        <t>추정: 현재 종가 ÷ BPS(추정 포함)
[valuation]</t>
      </text>
    </comment>
    <comment ref="AH33" authorId="0" shapeId="0">
      <text>
        <t>추정: 현재 종가 ÷ BPS(추정 포함)
[valuation]</t>
      </text>
    </comment>
    <comment ref="AI33" authorId="0" shapeId="0">
      <text>
        <t>추정: 현재 종가 ÷ BPS(추정 포함)
[valuation]</t>
      </text>
    </comment>
    <comment ref="AK33" authorId="0" shapeId="0">
      <text>
        <t>추정: 현재 종가 ÷ BPS(추정 포함)
[valuation]</t>
      </text>
    </comment>
    <comment ref="AL33" authorId="0" shapeId="0">
      <text>
        <t>추정: 현재 종가 ÷ BPS(추정 포함)
[valuation]</t>
      </text>
    </comment>
    <comment ref="AM33" authorId="0" shapeId="0">
      <text>
        <t>추정: 현재 종가 ÷ BPS(추정 포함)
[valuation]</t>
      </text>
    </comment>
    <comment ref="AN33" authorId="0" shapeId="0">
      <text>
        <t>추정: 현재 종가 ÷ BPS(추정 포함)
[valuation]</t>
      </text>
    </comment>
    <comment ref="E34" authorId="0" shapeId="0">
      <text>
        <t>실측(계정 매핑 없음(파생·부문·시세 행) — 모델값 직접) — = 매출액(부문 미분리)</t>
      </text>
    </comment>
    <comment ref="G34" authorId="0" shapeId="0">
      <text>
        <t>실측(계정 매핑 없음(파생·부문·시세 행) — 모델값 직접) — = 매출액(부문 미분리)</t>
      </text>
    </comment>
    <comment ref="H34" authorId="0" shapeId="0">
      <text>
        <t>실측(계정 매핑 없음(파생·부문·시세 행) — 모델값 직접) — = 매출액(부문 미분리)</t>
      </text>
    </comment>
    <comment ref="I34" authorId="0" shapeId="0">
      <text>
        <t>실측(계정 매핑 없음(파생·부문·시세 행) — 모델값 직접) — = 매출액(부문 미분리)</t>
      </text>
    </comment>
    <comment ref="J34" authorId="0" shapeId="0">
      <text>
        <t>실측(계정 매핑 없음(파생·부문·시세 행) — 모델값 직접) — = 매출액(부문 미분리)</t>
      </text>
    </comment>
    <comment ref="L34" authorId="0" shapeId="0">
      <text>
        <t>실측(계정 매핑 없음(파생·부문·시세 행) — 모델값 직접) — = 매출액(부문 미분리)</t>
      </text>
    </comment>
    <comment ref="M34" authorId="0" shapeId="0">
      <text>
        <t>실측(계정 매핑 없음(파생·부문·시세 행) — 모델값 직접) — = 매출액(부문 미분리)</t>
      </text>
    </comment>
    <comment ref="N34" authorId="0" shapeId="0">
      <text>
        <t>실측(계정 매핑 없음(파생·부문·시세 행) — 모델값 직접) — = 매출액(부문 미분리)</t>
      </text>
    </comment>
    <comment ref="O34" authorId="0" shapeId="0">
      <text>
        <t>실측(계정 매핑 없음(파생·부문·시세 행) — 모델값 직접) — = 매출액(부문 미분리)</t>
      </text>
    </comment>
    <comment ref="Q34" authorId="0" shapeId="0">
      <text>
        <t>실측(계정 매핑 없음(파생·부문·시세 행) — 모델값 직접) — = 매출액(부문 미분리)</t>
      </text>
    </comment>
    <comment ref="R34" authorId="0" shapeId="0">
      <text>
        <t>실측(계정 매핑 없음(파생·부문·시세 행) — 모델값 직접) — = 매출액(부문 미분리)</t>
      </text>
    </comment>
    <comment ref="S34" authorId="0" shapeId="0">
      <text>
        <t>실측(계정 매핑 없음(파생·부문·시세 행) — 모델값 직접) — = 매출액(부문 미분리)</t>
      </text>
    </comment>
    <comment ref="T34" authorId="0" shapeId="0">
      <text>
        <t>실측(계정 매핑 없음(파생·부문·시세 행) — 모델값 직접) — = 매출액(부문 미분리)</t>
      </text>
    </comment>
    <comment ref="V34" authorId="0" shapeId="0">
      <text>
        <t>실측(계정 매핑 없음(파생·부문·시세 행) — 모델값 직접) — = 매출액(부문 미분리)</t>
      </text>
    </comment>
    <comment ref="W34" authorId="0" shapeId="0">
      <text>
        <t>실측(계정 매핑 없음(파생·부문·시세 행) — 모델값 직접) — = 매출액(부문 미분리)</t>
      </text>
    </comment>
    <comment ref="X34" authorId="0" shapeId="0">
      <text>
        <t>실측(계정 매핑 없음(파생·부문·시세 행) — 모델값 직접) — = 매출액(부문 미분리)</t>
      </text>
    </comment>
    <comment ref="Y34" authorId="0" shapeId="0">
      <text>
        <t>실측(계정 매핑 없음(파생·부문·시세 행) — 모델값 직접) — = 매출액(부문 미분리)</t>
      </text>
    </comment>
    <comment ref="AA34" authorId="0" shapeId="0">
      <text>
        <t>실측(계정 매핑 없음(파생·부문·시세 행) — 모델값 직접) — = 매출액(부문 미분리)</t>
      </text>
    </comment>
    <comment ref="AB34" authorId="0" shapeId="0">
      <text>
        <t>실측(계정 매핑 없음(파생·부문·시세 행) — 모델값 직접) — = 매출액(부문 미분리)</t>
      </text>
    </comment>
    <comment ref="AC34" authorId="0" shapeId="0">
      <text>
        <t>추정: = 매출액 추정(부문 미분리)
[identity]</t>
      </text>
    </comment>
    <comment ref="AD34" authorId="0" shapeId="0">
      <text>
        <t>추정: = 매출액 추정(부문 미분리)
[identity]</t>
      </text>
    </comment>
    <comment ref="AF34" authorId="0" shapeId="0">
      <text>
        <t>추정: = 매출액 추정(부문 미분리)
[identity]</t>
      </text>
    </comment>
    <comment ref="AG34" authorId="0" shapeId="0">
      <text>
        <t>추정: = 매출액 추정(부문 미분리)
[identity]</t>
      </text>
    </comment>
    <comment ref="AH34" authorId="0" shapeId="0">
      <text>
        <t>추정: = 매출액 추정(부문 미분리)
[identity]</t>
      </text>
    </comment>
    <comment ref="AI34" authorId="0" shapeId="0">
      <text>
        <t>추정: = 매출액 추정(부문 미분리)
[identity]</t>
      </text>
    </comment>
    <comment ref="AK34" authorId="0" shapeId="0">
      <text>
        <t>추정: = 매출액 추정(부문 미분리)
[identity]</t>
      </text>
    </comment>
    <comment ref="AL34" authorId="0" shapeId="0">
      <text>
        <t>추정: = 매출액 추정(부문 미분리)
[identity]</t>
      </text>
    </comment>
    <comment ref="AM34" authorId="0" shapeId="0">
      <text>
        <t>추정: = 매출액 추정(부문 미분리)
[identity]</t>
      </text>
    </comment>
    <comment ref="AN34" authorId="0" shapeId="0">
      <text>
        <t>추정: = 매출액 추정(부문 미분리)
[identity]</t>
      </text>
    </comment>
    <comment ref="E35" authorId="0" shapeId="0">
      <text>
        <t>실측(계정 매핑 없음(파생·부문·시세 행) — 모델값 직접) — = 영업이익(부문 미분리)</t>
      </text>
    </comment>
    <comment ref="G35" authorId="0" shapeId="0">
      <text>
        <t>실측(계정 매핑 없음(파생·부문·시세 행) — 모델값 직접) — = 영업이익(부문 미분리)</t>
      </text>
    </comment>
    <comment ref="H35" authorId="0" shapeId="0">
      <text>
        <t>실측(계정 매핑 없음(파생·부문·시세 행) — 모델값 직접) — = 영업이익(부문 미분리)</t>
      </text>
    </comment>
    <comment ref="I35" authorId="0" shapeId="0">
      <text>
        <t>실측(계정 매핑 없음(파생·부문·시세 행) — 모델값 직접) — = 영업이익(부문 미분리)</t>
      </text>
    </comment>
    <comment ref="J35" authorId="0" shapeId="0">
      <text>
        <t>실측(계정 매핑 없음(파생·부문·시세 행) — 모델값 직접) — = 영업이익(부문 미분리)</t>
      </text>
    </comment>
    <comment ref="L35" authorId="0" shapeId="0">
      <text>
        <t>실측(계정 매핑 없음(파생·부문·시세 행) — 모델값 직접) — = 영업이익(부문 미분리)</t>
      </text>
    </comment>
    <comment ref="M35" authorId="0" shapeId="0">
      <text>
        <t>실측(계정 매핑 없음(파생·부문·시세 행) — 모델값 직접) — = 영업이익(부문 미분리)</t>
      </text>
    </comment>
    <comment ref="N35" authorId="0" shapeId="0">
      <text>
        <t>실측(계정 매핑 없음(파생·부문·시세 행) — 모델값 직접) — = 영업이익(부문 미분리)</t>
      </text>
    </comment>
    <comment ref="O35" authorId="0" shapeId="0">
      <text>
        <t>실측(계정 매핑 없음(파생·부문·시세 행) — 모델값 직접) — = 영업이익(부문 미분리)</t>
      </text>
    </comment>
    <comment ref="Q35" authorId="0" shapeId="0">
      <text>
        <t>실측(계정 매핑 없음(파생·부문·시세 행) — 모델값 직접) — = 영업이익(부문 미분리)</t>
      </text>
    </comment>
    <comment ref="R35" authorId="0" shapeId="0">
      <text>
        <t>실측(계정 매핑 없음(파생·부문·시세 행) — 모델값 직접) — = 영업이익(부문 미분리)</t>
      </text>
    </comment>
    <comment ref="S35" authorId="0" shapeId="0">
      <text>
        <t>실측(계정 매핑 없음(파생·부문·시세 행) — 모델값 직접) — = 영업이익(부문 미분리)</t>
      </text>
    </comment>
    <comment ref="T35" authorId="0" shapeId="0">
      <text>
        <t>실측(계정 매핑 없음(파생·부문·시세 행) — 모델값 직접) — = 영업이익(부문 미분리)</t>
      </text>
    </comment>
    <comment ref="V35" authorId="0" shapeId="0">
      <text>
        <t>실측(계정 매핑 없음(파생·부문·시세 행) — 모델값 직접) — = 영업이익(부문 미분리)</t>
      </text>
    </comment>
    <comment ref="W35" authorId="0" shapeId="0">
      <text>
        <t>실측(계정 매핑 없음(파생·부문·시세 행) — 모델값 직접) — = 영업이익(부문 미분리)</t>
      </text>
    </comment>
    <comment ref="X35" authorId="0" shapeId="0">
      <text>
        <t>실측(계정 매핑 없음(파생·부문·시세 행) — 모델값 직접) — = 영업이익(부문 미분리)</t>
      </text>
    </comment>
    <comment ref="Y35" authorId="0" shapeId="0">
      <text>
        <t>실측(계정 매핑 없음(파생·부문·시세 행) — 모델값 직접) — = 영업이익(부문 미분리)</t>
      </text>
    </comment>
    <comment ref="AA35" authorId="0" shapeId="0">
      <text>
        <t>실측(계정 매핑 없음(파생·부문·시세 행) — 모델값 직접) — = 영업이익(부문 미분리)</t>
      </text>
    </comment>
    <comment ref="AB35" authorId="0" shapeId="0">
      <text>
        <t>실측(계정 매핑 없음(파생·부문·시세 행) — 모델값 직접) — = 영업이익(부문 미분리)</t>
      </text>
    </comment>
    <comment ref="AC35" authorId="0" shapeId="0">
      <text>
        <t>추정: = 매출액 × OPM(부문 미분리)
[identity]</t>
      </text>
    </comment>
    <comment ref="AD35" authorId="0" shapeId="0">
      <text>
        <t>추정: = 매출액 × OPM(부문 미분리)
[identity]</t>
      </text>
    </comment>
    <comment ref="AF35" authorId="0" shapeId="0">
      <text>
        <t>추정: = 매출액 × OPM(부문 미분리)
[identity]</t>
      </text>
    </comment>
    <comment ref="AG35" authorId="0" shapeId="0">
      <text>
        <t>추정: = 매출액 × OPM(부문 미분리)
[identity]</t>
      </text>
    </comment>
    <comment ref="AH35" authorId="0" shapeId="0">
      <text>
        <t>추정: = 매출액 × OPM(부문 미분리)
[identity]</t>
      </text>
    </comment>
    <comment ref="AI35" authorId="0" shapeId="0">
      <text>
        <t>추정: = 매출액 × OPM(부문 미분리)
[identity]</t>
      </text>
    </comment>
    <comment ref="AK35" authorId="0" shapeId="0">
      <text>
        <t>추정: = 매출액 × OPM(부문 미분리)
[identity]</t>
      </text>
    </comment>
    <comment ref="AL35" authorId="0" shapeId="0">
      <text>
        <t>추정: = 매출액 × OPM(부문 미분리)
[identity]</t>
      </text>
    </comment>
    <comment ref="AM35" authorId="0" shapeId="0">
      <text>
        <t>추정: = 매출액 × OPM(부문 미분리)
[identity]</t>
      </text>
    </comment>
    <comment ref="AN35" authorId="0" shapeId="0">
      <text>
        <t>추정: = 매출액 × OPM(부문 미분리)
[identity]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s="1" t="inlineStr">
        <is>
          <t>대양전기공업(108380) 실적 모델 — ARGUS 한국조선</t>
        </is>
      </c>
    </row>
    <row r="2">
      <c r="A2" t="inlineStr">
        <is>
          <t>기준 분기 2026Q2 · 마지막 실적 2026Q2 · 생성 2026-10-26</t>
        </is>
      </c>
    </row>
    <row r="3">
      <c r="A3" s="1" t="inlineStr">
        <is>
          <t>모든 수치는 모델 산출값(DART 공개 재무제표 + 우리 추정)이다 — 목표주가·투자 추천 아님. 참고용 · 투자조언 아님.</t>
        </is>
      </c>
    </row>
    <row r="4">
      <c r="A4" t="inlineStr"/>
    </row>
    <row r="5">
      <c r="A5" s="1" t="inlineStr">
        <is>
          <t>시트</t>
        </is>
      </c>
    </row>
    <row r="6">
      <c r="A6" t="inlineStr">
        <is>
          <t>변수      가정 시계열. 환율 8행(ECB via frankfurter — L2 fx.json; 추정 분기 = 노란 가정), 추정 드라이버(노란 셀 = 모델값에서 역산한 가정, 바꾸면 재계산; 연녹 셀 = 3절 스칼라 참조 수식), 3절 스칼라 가정(세율·판관비율·지배주주비중·이자율·종가·PER 밴드·COE·외화 순노출·헤지비율)</t>
        </is>
      </c>
    </row>
    <row r="7">
      <c r="A7" t="inlineStr">
        <is>
          <t>BS연결/BS별도  FnGuide 계정명 × 기간 값 덤프(백만원). 행1 분기라벨, 행4 YYYY.MM / YYYY.12A. 이름정의 BS연결H·BS연결(계정명 C열부터)</t>
        </is>
      </c>
    </row>
    <row r="8">
      <c r="A8" t="inlineStr">
        <is>
          <t>subQ      분기 서브모델(억원 = 백만원/100). 확정 행: =IFERROR(VLOOKUP($D행,BS연결,MATCH(E$1,BS연결H,0),0)/100,"")  추정 행: 변수 시트 가정 셀 참조 수식. 외환손익·파생상품손익은 BS 계정 합·차, 기타금융손익은 잔차, OPM·EPS·BPS·PER·PBR 은 파생 수식</t>
        </is>
      </c>
    </row>
    <row r="9">
      <c r="A9" t="inlineStr">
        <is>
          <t>SLS       선표(조선사만, sls json 있을 때): 요약 행(sls 저장값) + 계약별 스케줄(백만$) × (헤지비율 × 헤지환율 + (1−헤지비율) × 건조시점 환율[변수 원/달러(평균)]) → 원화 수식 블록 → 합계 행이 subQ 매출조선에 연결</t>
        </is>
      </c>
    </row>
    <row r="10">
      <c r="A10" t="inlineStr">
        <is>
          <t>시나리오   신규수주 보수/기준/낙관(forecast_panel 패널, 모델에 scenarios 가 있을 때만): 매출액·영업이익 = subQ 기준값 ± (시나리오 신규 − base 신규) × OPM. base 만 subQ 행에 포함, 나머지는 합산 안 함</t>
        </is>
      </c>
    </row>
    <row r="11">
      <c r="A11" t="inlineStr">
        <is>
          <t>분기/연간예상  subQ 를 이름(A열 key)으로 VLOOKUP 한 보고서 표(억원)</t>
        </is>
      </c>
    </row>
    <row r="12">
      <c r="A12" t="inlineStr">
        <is>
          <t>TP        PER 밴드 × 12M fwd EPS, PBR = ROE/COE × BPS — 모델 산출값 구간, 목표주가·추천 아님</t>
        </is>
      </c>
    </row>
    <row r="13">
      <c r="A13" t="inlineStr">
        <is>
          <t>외화      환율 QoQ, 외화 순노출 × Δ기말환율 → 환관련손익 추정</t>
        </is>
      </c>
    </row>
    <row r="14">
      <c r="A14" t="inlineStr"/>
    </row>
    <row r="15">
      <c r="A15" s="1" t="inlineStr">
        <is>
          <t>규약</t>
        </is>
      </c>
    </row>
    <row r="16">
      <c r="A16" t="inlineStr">
        <is>
          <t>· 데이터는 E열부터, 4분기 뒤 연간 1열(라벨은 숫자 연도). 실적/추정 경계 = 굵은 세로선, 추정 열 = 연노랑, 연간 열 = 회색, 가정 입력 = 노란 셀, 스칼라 참조 수식 = 연녹 셀(숫자로 덮어쓰면 그 분기만 바뀜)</t>
        </is>
      </c>
    </row>
    <row r="17">
      <c r="A17" t="inlineStr">
        <is>
          <t>· 숫자 서식 #,##0(억원) · EPS/BPS 원 · 주식수 백만주 · 환율 원 · 선표 백만$/백만원</t>
        </is>
      </c>
    </row>
    <row r="18">
      <c r="A18" t="inlineStr">
        <is>
          <t>· 추정 셀 메모 = 모델 json 의 basis. 변수 시트 노란 셀 메모 = 역산 방법. 출처 없는 숫자는 없다 — 가정이면 가정이라고 적었다</t>
        </is>
      </c>
    </row>
    <row r="19">
      <c r="A19" t="inlineStr">
        <is>
          <t>· BS 시트에 값이 없거나 모델값과 다른(비용 부호 반전 등) 기간의 확정 셀은 모델값 직접 + 메모. fin(L1) 수집 후 재생성</t>
        </is>
      </c>
    </row>
    <row r="20">
      <c r="A20" t="inlineStr"/>
    </row>
    <row r="21">
      <c r="A21" s="1" t="inlineStr">
        <is>
          <t>가정 요약 — 변수 시트 3절 노란 셀을 바꾸면 subQ·분기·연간예상·TP·시나리오가 재계산된다(연결된 항목만)</t>
        </is>
      </c>
    </row>
    <row r="22">
      <c r="A22" t="inlineStr">
        <is>
          <t>· 세율 18.96% — 법인세 = MAX(세전,0) × 세율, 추정 전 분기 연결(Σ법인세/Σmax(세전,0) 역산, 재현 오차 ≤ 0.05억). 모델 가정 18.96% · 근거: 최근 12분기 유효세율 19.0%(5~27% 안 — 그대로)</t>
        </is>
      </c>
    </row>
    <row r="23">
      <c r="A23" t="inlineStr">
        <is>
          <t>· 판관비율 6.92% — 판관비 = 매출액 × 판관비율, 추정 전 분기 연결</t>
        </is>
      </c>
    </row>
    <row r="24">
      <c r="A24" t="inlineStr">
        <is>
          <t>· 지배주주 비중 100.0% — 지배주주순이익 = 당기순이익 × 비중, 추정 전 분기 연결</t>
        </is>
      </c>
    </row>
    <row r="25">
      <c r="A25" t="inlineStr">
        <is>
          <t>· 이자율 자산 5.50% / 부채 — — 이자손익 = (전분기 이자발생자산 × 자산이자율 − 전분기 총차입금 × 부채이자율)/4, 최소자승 역산(모델 assumptions [0.055, None] 는 4자리 반올림이라 그대로 쓰면 ±1억 어긋남) · 출처: {"asset": "주석 이자수익 ÷ 평균 이자발생자산(2024Q1~2026Q2)", "debt": null}</t>
        </is>
      </c>
    </row>
    <row r="26">
      <c r="A26" t="inlineStr">
        <is>
          <t>· 환율 — 변수 1절 8행. 실적 분기 = ECB 분기 평균/기말(fx.json), 추정 분기(노란) = 가정 — 마지막 ECB 관측치를 2028Q4 까지 평평하게 둔다. 선도환율·컨센서스 아님.. 원/달러(평균) → SLS 건조시점 환율 → 매출조선(조선사, 선표 연결 시) ; 원/달러(기말) → 환관련손익 행 없음(외화 순노출 미공시(face) → 0 + 표기)</t>
        </is>
      </c>
    </row>
    <row r="27">
      <c r="A27" t="inlineStr">
        <is>
          <t>· 연결된 가정: 세율, 판관비율, 지배주주비중, 이자율 · 연결 안 된 가정(모델값·분기별 역산 그대로): 없음</t>
        </is>
      </c>
    </row>
    <row r="28">
      <c r="A28" t="inlineStr">
        <is>
          <t>· 밸류에이션 — PER 밴드 8.4/9.5/10.7배(hist_quarterly(분기 평균가 ÷ TTM EPS, 12분기, 25/50/75 백분위)) · COE 9.0% · 12M fwd EPS 가중 0.5(가정). 모델 산출값 구간이며 추천이 아니다</t>
        </is>
      </c>
    </row>
    <row r="29">
      <c r="A29" t="inlineStr"/>
    </row>
    <row r="30">
      <c r="A30" t="inlineStr">
        <is>
          <t>출처: DART 정기보고서(연결/별도 재무제표·주석), FnGuide 계정명 규약, ECB 환율(api.frankfurter.app), 종가 네이버 정규장(aikstockdata 금융위 확정종가 대조·출처표기·비영리), 척당 계약 공시(contracts.json), forecast_panel(신규수주 패널)</t>
        </is>
      </c>
    </row>
    <row r="31">
      <c r="A31" t="inlineStr">
        <is>
          <t>재현: cd argus/kship/tools &amp;&amp; python3 kship_model_xlsx.py --model assets/models/108380.json --verify   (모델 json 부터: kship_model.py --build --all --xlsx · xlsx 58사 일괄: kship_model_xlsx.py --all --verify)</t>
        </is>
      </c>
    </row>
    <row r="32">
      <c r="A32" t="inlineStr">
        <is>
          <t>검증(--verify): 추정 전 분기·실적 수식 셀을 자체 계산기로 재계산해 모델값과 대조(억원 ±0.05), 세율·OPM·환율 forward·이자율·신규수주 셀을 바꿔 종속 셀이 기대만큼 움직이는지 확인. Excel 실개봉은 미확인(LibreOffice/Excel 없음)</t>
        </is>
      </c>
    </row>
    <row r="33">
      <c r="A33" t="inlineStr">
        <is>
          <t>한계: 모델 quality.warnings — 지배주주순이익 face 누락 분기는 당기순이익 − 비지배 로 파생: 2026Q2 / 매출 드라이버 폴백(고객 조선사 연결 없음(suppliers.json)): 전년동기 × (1+g) 추세 / 금융손익 실적→추정 단절: 최근 4분기 실적 +19/-0/+27/+18(중위 +19억) → 추정 2026Q3 +8억(차 -11억, -58%) — 추정은 이자손익 + 기타금융 중위, 외환·파생 평가손익 0 가정(환율 효과는 환관련손익 행). 값은 바꾸지 않음 — 지배NI·EPS 해석 시 참고</t>
        </is>
      </c>
    </row>
    <row r="34">
      <c r="A34" t="inlineStr">
        <is>
          <t>백테스트: {"freeze": "2025Q2", "horizon": 4, "revenue_wape_pct": 17.9, "op_wape_pct": 43.3, "n": 4, "note": "단일 회사 4분기 — 통계 아님", "driver_at_freeze": "trend_seasonal", "selection_oos_at_freeze": null, "frozen_inputs": "fin(연결/별도)·고객 조선사 모델·지주 자회사 모델은 2025Q2 까지의 분기만; 선표는 체결일 ≤ 2025Q2 말일 계약(원장 최신 금액·코호트 등급, 환산 없음); 잔고는 yards_cache 2025Q2; 시세·환율 forward·prices·forecast_panel 신규수주 미사용. 고객 가중치(suppliers.json 언급 비중)와 합병 체인링크는 현재 지식; 고객 연동 채택은 동결 모델 안에서도 자기 la−4분기 OOS 규칙(selection_oos_at_freeze)", "detail": [{"q": "2025Q3", "rev_pred": 543.67, "rev_act": 615.33, "op_pred": 34.39, "op_act": 77.43}, {"q": "2025Q4", "rev_pred": 732.64, "rev_act": 565.96, "op_pred": 46.35, "op_act": 78.24}, {"q": "2026Q1", "rev_pred": 676.16, "rev_act": 508.96, "op_pred": 42.77, "op_act": 62.74}, {"q": "2026Q2", "rev_pred": 684.5, "rev_act": 708.34, "op_pred": 43.3, "op_act": 75.59}]}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54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C1" s="2" t="inlineStr">
        <is>
          <t>이름: 변수H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가정 시계열 — 노란 셀은 추정 가정(모델값에서 역산), 연녹 셀은 3절 스칼라 참조 수식. 바꾸면 subQ·분기·연간예상·TP·시나리오가 재계산됩니다.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B5" s="1" t="inlineStr">
        <is>
          <t>1. FX</t>
        </is>
      </c>
      <c r="C5" s="2" t="inlineStr">
        <is>
          <t>이름: 환율</t>
        </is>
      </c>
      <c r="F5" s="9" t="n"/>
      <c r="K5" s="9" t="n"/>
      <c r="P5" s="9" t="n"/>
      <c r="U5" s="9" t="n"/>
      <c r="Z5" s="9" t="n"/>
      <c r="AB5" s="5" t="n"/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s="12" t="inlineStr">
        <is>
          <t>USDKRW_avg</t>
        </is>
      </c>
      <c r="C6" t="inlineStr">
        <is>
          <t xml:space="preserve"> 원/달러(평균)</t>
        </is>
      </c>
      <c r="E6" s="13" t="n">
        <v>1183.5</v>
      </c>
      <c r="F6" s="14" t="n">
        <v>1145.51</v>
      </c>
      <c r="G6" s="13" t="n">
        <v>1205.78</v>
      </c>
      <c r="H6" s="13" t="n">
        <v>1262.09</v>
      </c>
      <c r="I6" s="13" t="n">
        <v>1341.93</v>
      </c>
      <c r="J6" s="13" t="n">
        <v>1360.12</v>
      </c>
      <c r="K6" s="14" t="n">
        <v>1292.98</v>
      </c>
      <c r="L6" s="13" t="n">
        <v>1276.95</v>
      </c>
      <c r="M6" s="13" t="n">
        <v>1315.69</v>
      </c>
      <c r="N6" s="13" t="n">
        <v>1313.62</v>
      </c>
      <c r="O6" s="13" t="n">
        <v>1322.01</v>
      </c>
      <c r="P6" s="14" t="n">
        <v>1306.85</v>
      </c>
      <c r="Q6" s="13" t="n">
        <v>1330.14</v>
      </c>
      <c r="R6" s="13" t="n">
        <v>1371.28</v>
      </c>
      <c r="S6" s="13" t="n">
        <v>1356.22</v>
      </c>
      <c r="T6" s="13" t="n">
        <v>1396.3</v>
      </c>
      <c r="U6" s="14" t="n">
        <v>1363.53</v>
      </c>
      <c r="V6" s="13" t="n">
        <v>1452.28</v>
      </c>
      <c r="W6" s="13" t="n">
        <v>1398.52</v>
      </c>
      <c r="X6" s="13" t="n">
        <v>1386.95</v>
      </c>
      <c r="Y6" s="13" t="n">
        <v>1449.19</v>
      </c>
      <c r="Z6" s="14" t="n">
        <v>1421.52</v>
      </c>
      <c r="AA6" s="13" t="n">
        <v>1466.12</v>
      </c>
      <c r="AB6" s="15" t="n">
        <v>1501.75</v>
      </c>
      <c r="AC6" s="16" t="n">
        <v>1418.75</v>
      </c>
      <c r="AD6" s="16" t="n">
        <v>1337.49</v>
      </c>
      <c r="AE6" s="17" t="n">
        <v>1451.19</v>
      </c>
      <c r="AF6" s="16" t="n">
        <v>1324.45</v>
      </c>
      <c r="AG6" s="16" t="n">
        <v>1324.45</v>
      </c>
      <c r="AH6" s="16" t="n">
        <v>1324.45</v>
      </c>
      <c r="AI6" s="16" t="n">
        <v>1324.45</v>
      </c>
      <c r="AJ6" s="11" t="n"/>
      <c r="AK6" s="16" t="n">
        <v>1324.45</v>
      </c>
      <c r="AL6" s="16" t="n">
        <v>1324.45</v>
      </c>
      <c r="AM6" s="16" t="n">
        <v>1324.45</v>
      </c>
      <c r="AN6" s="16" t="n">
        <v>1324.45</v>
      </c>
      <c r="AO6" s="11" t="n"/>
    </row>
    <row r="7">
      <c r="A7" s="12" t="inlineStr">
        <is>
          <t>USDKRW_end</t>
        </is>
      </c>
      <c r="C7" t="inlineStr">
        <is>
          <t xml:space="preserve"> 원/달러(기말)</t>
        </is>
      </c>
      <c r="E7" s="13" t="n">
        <v>1188.75</v>
      </c>
      <c r="F7" s="14" t="n">
        <v>1188.75</v>
      </c>
      <c r="G7" s="13" t="n">
        <v>1213.74</v>
      </c>
      <c r="H7" s="13" t="n">
        <v>1301.24</v>
      </c>
      <c r="I7" s="13" t="n">
        <v>1436.9</v>
      </c>
      <c r="J7" s="13" t="n">
        <v>1260.16</v>
      </c>
      <c r="K7" s="14" t="n">
        <v>1260.16</v>
      </c>
      <c r="L7" s="13" t="n">
        <v>1305.99</v>
      </c>
      <c r="M7" s="13" t="n">
        <v>1321.44</v>
      </c>
      <c r="N7" s="13" t="n">
        <v>1345.35</v>
      </c>
      <c r="O7" s="13" t="n">
        <v>1297.43</v>
      </c>
      <c r="P7" s="14" t="n">
        <v>1297.43</v>
      </c>
      <c r="Q7" s="13" t="n">
        <v>1349.25</v>
      </c>
      <c r="R7" s="13" t="n">
        <v>1377.73</v>
      </c>
      <c r="S7" s="13" t="n">
        <v>1312.17</v>
      </c>
      <c r="T7" s="13" t="n">
        <v>1474.78</v>
      </c>
      <c r="U7" s="14" t="n">
        <v>1474.78</v>
      </c>
      <c r="V7" s="13" t="n">
        <v>1474.54</v>
      </c>
      <c r="W7" s="13" t="n">
        <v>1355.13</v>
      </c>
      <c r="X7" s="13" t="n">
        <v>1403.67</v>
      </c>
      <c r="Y7" s="13" t="n">
        <v>1444.2</v>
      </c>
      <c r="Z7" s="14" t="n">
        <v>1444.2</v>
      </c>
      <c r="AA7" s="13" t="n">
        <v>1524.8</v>
      </c>
      <c r="AB7" s="15" t="n">
        <v>1550.89</v>
      </c>
      <c r="AC7" s="16" t="n">
        <v>1355.4</v>
      </c>
      <c r="AD7" s="16" t="n">
        <v>1324.45</v>
      </c>
      <c r="AE7" s="17" t="n">
        <v>1324.45</v>
      </c>
      <c r="AF7" s="16" t="n">
        <v>1324.45</v>
      </c>
      <c r="AG7" s="16" t="n">
        <v>1324.45</v>
      </c>
      <c r="AH7" s="16" t="n">
        <v>1324.45</v>
      </c>
      <c r="AI7" s="16" t="n">
        <v>1324.45</v>
      </c>
      <c r="AJ7" s="11" t="n"/>
      <c r="AK7" s="16" t="n">
        <v>1324.45</v>
      </c>
      <c r="AL7" s="16" t="n">
        <v>1324.45</v>
      </c>
      <c r="AM7" s="16" t="n">
        <v>1324.45</v>
      </c>
      <c r="AN7" s="16" t="n">
        <v>1324.45</v>
      </c>
      <c r="AO7" s="11" t="n"/>
    </row>
    <row r="8">
      <c r="A8" s="12" t="inlineStr">
        <is>
          <t>JPY100KRW_avg</t>
        </is>
      </c>
      <c r="C8" t="inlineStr">
        <is>
          <t xml:space="preserve"> 원/100Y(평균)</t>
        </is>
      </c>
      <c r="E8" s="13" t="n">
        <v>1041.02</v>
      </c>
      <c r="F8" s="14" t="n">
        <v>1042.74</v>
      </c>
      <c r="G8" s="13" t="n">
        <v>1036.79</v>
      </c>
      <c r="H8" s="13" t="n">
        <v>972.23</v>
      </c>
      <c r="I8" s="13" t="n">
        <v>970.61</v>
      </c>
      <c r="J8" s="13" t="n">
        <v>961.03</v>
      </c>
      <c r="K8" s="14" t="n">
        <v>985.1</v>
      </c>
      <c r="L8" s="13" t="n">
        <v>964.89</v>
      </c>
      <c r="M8" s="13" t="n">
        <v>957.36</v>
      </c>
      <c r="N8" s="13" t="n">
        <v>909</v>
      </c>
      <c r="O8" s="13" t="n">
        <v>893.22</v>
      </c>
      <c r="P8" s="14" t="n">
        <v>931.11</v>
      </c>
      <c r="Q8" s="13" t="n">
        <v>896.29</v>
      </c>
      <c r="R8" s="13" t="n">
        <v>880.14</v>
      </c>
      <c r="S8" s="13" t="n">
        <v>909.35</v>
      </c>
      <c r="T8" s="13" t="n">
        <v>917.25</v>
      </c>
      <c r="U8" s="14" t="n">
        <v>900.92</v>
      </c>
      <c r="V8" s="13" t="n">
        <v>952.59</v>
      </c>
      <c r="W8" s="13" t="n">
        <v>967.92</v>
      </c>
      <c r="X8" s="13" t="n">
        <v>940.3200000000001</v>
      </c>
      <c r="Y8" s="13" t="n">
        <v>940.77</v>
      </c>
      <c r="Z8" s="14" t="n">
        <v>950.17</v>
      </c>
      <c r="AA8" s="13" t="n">
        <v>934.39</v>
      </c>
      <c r="AB8" s="15" t="n">
        <v>942.16</v>
      </c>
      <c r="AC8" s="16" t="n">
        <v>890.41</v>
      </c>
      <c r="AD8" s="16" t="n">
        <v>846.51</v>
      </c>
      <c r="AE8" s="17" t="n">
        <v>915.5700000000001</v>
      </c>
      <c r="AF8" s="16" t="n">
        <v>844.67</v>
      </c>
      <c r="AG8" s="16" t="n">
        <v>844.67</v>
      </c>
      <c r="AH8" s="16" t="n">
        <v>844.67</v>
      </c>
      <c r="AI8" s="16" t="n">
        <v>844.67</v>
      </c>
      <c r="AJ8" s="11" t="n"/>
      <c r="AK8" s="16" t="n">
        <v>844.67</v>
      </c>
      <c r="AL8" s="16" t="n">
        <v>844.67</v>
      </c>
      <c r="AM8" s="16" t="n">
        <v>844.67</v>
      </c>
      <c r="AN8" s="16" t="n">
        <v>844.67</v>
      </c>
      <c r="AO8" s="11" t="n"/>
    </row>
    <row r="9">
      <c r="A9" s="12" t="inlineStr">
        <is>
          <t>JPY100KRW_end</t>
        </is>
      </c>
      <c r="C9" t="inlineStr">
        <is>
          <t xml:space="preserve"> 원/100Y(기말)</t>
        </is>
      </c>
      <c r="E9" s="13" t="n">
        <v>1032.62</v>
      </c>
      <c r="F9" s="14" t="n">
        <v>1032.62</v>
      </c>
      <c r="G9" s="13" t="n">
        <v>996.83</v>
      </c>
      <c r="H9" s="13" t="n">
        <v>954.9</v>
      </c>
      <c r="I9" s="13" t="n">
        <v>993.29</v>
      </c>
      <c r="J9" s="13" t="n">
        <v>955.54</v>
      </c>
      <c r="K9" s="14" t="n">
        <v>955.54</v>
      </c>
      <c r="L9" s="13" t="n">
        <v>980.62</v>
      </c>
      <c r="M9" s="13" t="n">
        <v>913.67</v>
      </c>
      <c r="N9" s="13" t="n">
        <v>901.47</v>
      </c>
      <c r="O9" s="13" t="n">
        <v>917.04</v>
      </c>
      <c r="P9" s="14" t="n">
        <v>917.04</v>
      </c>
      <c r="Q9" s="13" t="n">
        <v>892.42</v>
      </c>
      <c r="R9" s="13" t="n">
        <v>857.76</v>
      </c>
      <c r="S9" s="13" t="n">
        <v>919.21</v>
      </c>
      <c r="T9" s="13" t="n">
        <v>939.65</v>
      </c>
      <c r="U9" s="14" t="n">
        <v>939.65</v>
      </c>
      <c r="V9" s="13" t="n">
        <v>986.84</v>
      </c>
      <c r="W9" s="13" t="n">
        <v>938.85</v>
      </c>
      <c r="X9" s="13" t="n">
        <v>948.49</v>
      </c>
      <c r="Y9" s="13" t="n">
        <v>921.8099999999999</v>
      </c>
      <c r="Z9" s="14" t="n">
        <v>921.8099999999999</v>
      </c>
      <c r="AA9" s="13" t="n">
        <v>955.99</v>
      </c>
      <c r="AB9" s="15" t="n">
        <v>954.75</v>
      </c>
      <c r="AC9" s="16" t="n">
        <v>863.3099999999999</v>
      </c>
      <c r="AD9" s="16" t="n">
        <v>844.67</v>
      </c>
      <c r="AE9" s="17" t="n">
        <v>844.67</v>
      </c>
      <c r="AF9" s="16" t="n">
        <v>844.67</v>
      </c>
      <c r="AG9" s="16" t="n">
        <v>844.67</v>
      </c>
      <c r="AH9" s="16" t="n">
        <v>844.67</v>
      </c>
      <c r="AI9" s="16" t="n">
        <v>844.67</v>
      </c>
      <c r="AJ9" s="11" t="n"/>
      <c r="AK9" s="16" t="n">
        <v>844.67</v>
      </c>
      <c r="AL9" s="16" t="n">
        <v>844.67</v>
      </c>
      <c r="AM9" s="16" t="n">
        <v>844.67</v>
      </c>
      <c r="AN9" s="16" t="n">
        <v>844.67</v>
      </c>
      <c r="AO9" s="11" t="n"/>
    </row>
    <row r="10">
      <c r="A10" s="12" t="inlineStr">
        <is>
          <t>EURKRW_avg</t>
        </is>
      </c>
      <c r="C10" t="inlineStr">
        <is>
          <t xml:space="preserve"> W/Euro(평균)</t>
        </is>
      </c>
      <c r="E10" s="13" t="n">
        <v>1353.32</v>
      </c>
      <c r="F10" s="14" t="n">
        <v>1354.06</v>
      </c>
      <c r="G10" s="13" t="n">
        <v>1352.29</v>
      </c>
      <c r="H10" s="13" t="n">
        <v>1343.31</v>
      </c>
      <c r="I10" s="13" t="n">
        <v>1350.63</v>
      </c>
      <c r="J10" s="13" t="n">
        <v>1386.07</v>
      </c>
      <c r="K10" s="14" t="n">
        <v>1358.07</v>
      </c>
      <c r="L10" s="13" t="n">
        <v>1369.93</v>
      </c>
      <c r="M10" s="13" t="n">
        <v>1432.41</v>
      </c>
      <c r="N10" s="13" t="n">
        <v>1429.41</v>
      </c>
      <c r="O10" s="13" t="n">
        <v>1420.91</v>
      </c>
      <c r="P10" s="14" t="n">
        <v>1412.88</v>
      </c>
      <c r="Q10" s="13" t="n">
        <v>1444.21</v>
      </c>
      <c r="R10" s="13" t="n">
        <v>1476.42</v>
      </c>
      <c r="S10" s="13" t="n">
        <v>1489.3</v>
      </c>
      <c r="T10" s="13" t="n">
        <v>1490.78</v>
      </c>
      <c r="U10" s="14" t="n">
        <v>1475.4</v>
      </c>
      <c r="V10" s="13" t="n">
        <v>1528.33</v>
      </c>
      <c r="W10" s="13" t="n">
        <v>1585.13</v>
      </c>
      <c r="X10" s="13" t="n">
        <v>1620.04</v>
      </c>
      <c r="Y10" s="13" t="n">
        <v>1686.02</v>
      </c>
      <c r="Z10" s="14" t="n">
        <v>1605.45</v>
      </c>
      <c r="AA10" s="13" t="n">
        <v>1715.47</v>
      </c>
      <c r="AB10" s="15" t="n">
        <v>1746.09</v>
      </c>
      <c r="AC10" s="16" t="n">
        <v>1631.97</v>
      </c>
      <c r="AD10" s="16" t="n">
        <v>1500.06</v>
      </c>
      <c r="AE10" s="17" t="n">
        <v>1680.5</v>
      </c>
      <c r="AF10" s="16" t="n">
        <v>1482.45</v>
      </c>
      <c r="AG10" s="16" t="n">
        <v>1482.45</v>
      </c>
      <c r="AH10" s="16" t="n">
        <v>1482.45</v>
      </c>
      <c r="AI10" s="16" t="n">
        <v>1482.45</v>
      </c>
      <c r="AJ10" s="11" t="n"/>
      <c r="AK10" s="16" t="n">
        <v>1482.45</v>
      </c>
      <c r="AL10" s="16" t="n">
        <v>1482.45</v>
      </c>
      <c r="AM10" s="16" t="n">
        <v>1482.45</v>
      </c>
      <c r="AN10" s="16" t="n">
        <v>1482.45</v>
      </c>
      <c r="AO10" s="11" t="n"/>
    </row>
    <row r="11">
      <c r="A11" s="12" t="inlineStr">
        <is>
          <t>EURKRW_end</t>
        </is>
      </c>
      <c r="C11" t="inlineStr">
        <is>
          <t xml:space="preserve"> W/Euro(기말)</t>
        </is>
      </c>
      <c r="E11" s="13" t="n">
        <v>1346.38</v>
      </c>
      <c r="F11" s="14" t="n">
        <v>1346.38</v>
      </c>
      <c r="G11" s="13" t="n">
        <v>1347.37</v>
      </c>
      <c r="H11" s="13" t="n">
        <v>1351.6</v>
      </c>
      <c r="I11" s="13" t="n">
        <v>1400.62</v>
      </c>
      <c r="J11" s="13" t="n">
        <v>1344.08</v>
      </c>
      <c r="K11" s="14" t="n">
        <v>1344.08</v>
      </c>
      <c r="L11" s="13" t="n">
        <v>1420.26</v>
      </c>
      <c r="M11" s="13" t="n">
        <v>1435.88</v>
      </c>
      <c r="N11" s="13" t="n">
        <v>1425.26</v>
      </c>
      <c r="O11" s="13" t="n">
        <v>1433.66</v>
      </c>
      <c r="P11" s="14" t="n">
        <v>1433.66</v>
      </c>
      <c r="Q11" s="13" t="n">
        <v>1458.68</v>
      </c>
      <c r="R11" s="13" t="n">
        <v>1474.86</v>
      </c>
      <c r="S11" s="13" t="n">
        <v>1469.1</v>
      </c>
      <c r="T11" s="13" t="n">
        <v>1532.14</v>
      </c>
      <c r="U11" s="14" t="n">
        <v>1532.14</v>
      </c>
      <c r="V11" s="13" t="n">
        <v>1594.72</v>
      </c>
      <c r="W11" s="13" t="n">
        <v>1588.22</v>
      </c>
      <c r="X11" s="13" t="n">
        <v>1648.04</v>
      </c>
      <c r="Y11" s="13" t="n">
        <v>1696.94</v>
      </c>
      <c r="Z11" s="14" t="n">
        <v>1696.94</v>
      </c>
      <c r="AA11" s="13" t="n">
        <v>1753.21</v>
      </c>
      <c r="AB11" s="15" t="n">
        <v>1767.09</v>
      </c>
      <c r="AC11" s="16" t="n">
        <v>1539.06</v>
      </c>
      <c r="AD11" s="16" t="n">
        <v>1482.45</v>
      </c>
      <c r="AE11" s="17" t="n">
        <v>1482.45</v>
      </c>
      <c r="AF11" s="16" t="n">
        <v>1482.45</v>
      </c>
      <c r="AG11" s="16" t="n">
        <v>1482.45</v>
      </c>
      <c r="AH11" s="16" t="n">
        <v>1482.45</v>
      </c>
      <c r="AI11" s="16" t="n">
        <v>1482.45</v>
      </c>
      <c r="AJ11" s="11" t="n"/>
      <c r="AK11" s="16" t="n">
        <v>1482.45</v>
      </c>
      <c r="AL11" s="16" t="n">
        <v>1482.45</v>
      </c>
      <c r="AM11" s="16" t="n">
        <v>1482.45</v>
      </c>
      <c r="AN11" s="16" t="n">
        <v>1482.45</v>
      </c>
      <c r="AO11" s="11" t="n"/>
    </row>
    <row r="12">
      <c r="A12" s="12" t="inlineStr">
        <is>
          <t>CNYKRW_avg</t>
        </is>
      </c>
      <c r="C12" t="inlineStr">
        <is>
          <t xml:space="preserve"> 원/중국원(평균)</t>
        </is>
      </c>
      <c r="E12" s="13" t="n">
        <v>185.14</v>
      </c>
      <c r="F12" s="14" t="n">
        <v>177.65</v>
      </c>
      <c r="G12" s="13" t="n">
        <v>189.93</v>
      </c>
      <c r="H12" s="13" t="n">
        <v>190.76</v>
      </c>
      <c r="I12" s="13" t="n">
        <v>195.79</v>
      </c>
      <c r="J12" s="13" t="n">
        <v>191.09</v>
      </c>
      <c r="K12" s="14" t="n">
        <v>191.93</v>
      </c>
      <c r="L12" s="13" t="n">
        <v>186.59</v>
      </c>
      <c r="M12" s="13" t="n">
        <v>187.45</v>
      </c>
      <c r="N12" s="13" t="n">
        <v>181.28</v>
      </c>
      <c r="O12" s="13" t="n">
        <v>182.86</v>
      </c>
      <c r="P12" s="14" t="n">
        <v>184.52</v>
      </c>
      <c r="Q12" s="13" t="n">
        <v>185.04</v>
      </c>
      <c r="R12" s="13" t="n">
        <v>189.35</v>
      </c>
      <c r="S12" s="13" t="n">
        <v>189.24</v>
      </c>
      <c r="T12" s="13" t="n">
        <v>194.24</v>
      </c>
      <c r="U12" s="14" t="n">
        <v>189.49</v>
      </c>
      <c r="V12" s="13" t="n">
        <v>199.63</v>
      </c>
      <c r="W12" s="13" t="n">
        <v>193.41</v>
      </c>
      <c r="X12" s="13" t="n">
        <v>193.79</v>
      </c>
      <c r="Y12" s="13" t="n">
        <v>204.38</v>
      </c>
      <c r="Z12" s="14" t="n">
        <v>197.8</v>
      </c>
      <c r="AA12" s="13" t="n">
        <v>211.75</v>
      </c>
      <c r="AB12" s="15" t="n">
        <v>220.8</v>
      </c>
      <c r="AC12" s="16" t="n">
        <v>210.43</v>
      </c>
      <c r="AD12" s="16" t="n">
        <v>199.88</v>
      </c>
      <c r="AE12" s="17" t="n">
        <v>213.06</v>
      </c>
      <c r="AF12" s="16" t="n">
        <v>198.56</v>
      </c>
      <c r="AG12" s="16" t="n">
        <v>198.56</v>
      </c>
      <c r="AH12" s="16" t="n">
        <v>198.56</v>
      </c>
      <c r="AI12" s="16" t="n">
        <v>198.56</v>
      </c>
      <c r="AJ12" s="11" t="n"/>
      <c r="AK12" s="16" t="n">
        <v>198.56</v>
      </c>
      <c r="AL12" s="16" t="n">
        <v>198.56</v>
      </c>
      <c r="AM12" s="16" t="n">
        <v>198.56</v>
      </c>
      <c r="AN12" s="16" t="n">
        <v>198.56</v>
      </c>
      <c r="AO12" s="11" t="n"/>
    </row>
    <row r="13">
      <c r="A13" s="12" t="inlineStr">
        <is>
          <t>CNYKRW_end</t>
        </is>
      </c>
      <c r="C13" t="inlineStr">
        <is>
          <t xml:space="preserve"> 원/중국원(기말)</t>
        </is>
      </c>
      <c r="E13" s="13" t="n">
        <v>187.13</v>
      </c>
      <c r="F13" s="14" t="n">
        <v>187.13</v>
      </c>
      <c r="G13" s="13" t="n">
        <v>191.38</v>
      </c>
      <c r="H13" s="13" t="n">
        <v>194.13</v>
      </c>
      <c r="I13" s="13" t="n">
        <v>201.92</v>
      </c>
      <c r="J13" s="13" t="n">
        <v>182.67</v>
      </c>
      <c r="K13" s="14" t="n">
        <v>182.67</v>
      </c>
      <c r="L13" s="13" t="n">
        <v>189.97</v>
      </c>
      <c r="M13" s="13" t="n">
        <v>181.8</v>
      </c>
      <c r="N13" s="13" t="n">
        <v>184.26</v>
      </c>
      <c r="O13" s="13" t="n">
        <v>182.61</v>
      </c>
      <c r="P13" s="14" t="n">
        <v>182.61</v>
      </c>
      <c r="Q13" s="13" t="n">
        <v>186.66</v>
      </c>
      <c r="R13" s="13" t="n">
        <v>189.7</v>
      </c>
      <c r="S13" s="13" t="n">
        <v>187.12</v>
      </c>
      <c r="T13" s="13" t="n">
        <v>202.04</v>
      </c>
      <c r="U13" s="14" t="n">
        <v>202.04</v>
      </c>
      <c r="V13" s="13" t="n">
        <v>203.3</v>
      </c>
      <c r="W13" s="13" t="n">
        <v>189.14</v>
      </c>
      <c r="X13" s="13" t="n">
        <v>197.16</v>
      </c>
      <c r="Y13" s="13" t="n">
        <v>206.28</v>
      </c>
      <c r="Z13" s="14" t="n">
        <v>206.28</v>
      </c>
      <c r="AA13" s="13" t="n">
        <v>220.97</v>
      </c>
      <c r="AB13" s="15" t="n">
        <v>228.56</v>
      </c>
      <c r="AC13" s="16" t="n">
        <v>202.16</v>
      </c>
      <c r="AD13" s="16" t="n">
        <v>198.56</v>
      </c>
      <c r="AE13" s="17" t="n">
        <v>198.56</v>
      </c>
      <c r="AF13" s="16" t="n">
        <v>198.56</v>
      </c>
      <c r="AG13" s="16" t="n">
        <v>198.56</v>
      </c>
      <c r="AH13" s="16" t="n">
        <v>198.56</v>
      </c>
      <c r="AI13" s="16" t="n">
        <v>198.56</v>
      </c>
      <c r="AJ13" s="11" t="n"/>
      <c r="AK13" s="16" t="n">
        <v>198.56</v>
      </c>
      <c r="AL13" s="16" t="n">
        <v>198.56</v>
      </c>
      <c r="AM13" s="16" t="n">
        <v>198.56</v>
      </c>
      <c r="AN13" s="16" t="n">
        <v>198.56</v>
      </c>
      <c r="AO13" s="11" t="n"/>
    </row>
    <row r="14">
      <c r="B14" s="1" t="inlineStr">
        <is>
          <t>1b. 종가</t>
        </is>
      </c>
      <c r="F14" s="9" t="n"/>
      <c r="K14" s="9" t="n"/>
      <c r="P14" s="9" t="n"/>
      <c r="U14" s="9" t="n"/>
      <c r="Z14" s="9" t="n"/>
      <c r="AB14" s="5" t="n"/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s="12" t="inlineStr">
        <is>
          <t>price_close_end</t>
        </is>
      </c>
      <c r="C15" t="inlineStr">
        <is>
          <t>종가(기말)</t>
        </is>
      </c>
      <c r="E15" s="18" t="n">
        <v>15000</v>
      </c>
      <c r="F15" s="9" t="n"/>
      <c r="G15" s="18" t="n">
        <v>14700</v>
      </c>
      <c r="H15" s="18" t="n">
        <v>12550</v>
      </c>
      <c r="I15" s="18" t="n">
        <v>11700</v>
      </c>
      <c r="J15" s="18" t="n">
        <v>12000</v>
      </c>
      <c r="K15" s="9" t="n"/>
      <c r="L15" s="18" t="n">
        <v>10730</v>
      </c>
      <c r="M15" s="18" t="n">
        <v>13000</v>
      </c>
      <c r="N15" s="18" t="n">
        <v>11000</v>
      </c>
      <c r="O15" s="18" t="n">
        <v>11720</v>
      </c>
      <c r="P15" s="9" t="n"/>
      <c r="Q15" s="18" t="n">
        <v>12840</v>
      </c>
      <c r="R15" s="18" t="n">
        <v>13850</v>
      </c>
      <c r="S15" s="18" t="n">
        <v>12060</v>
      </c>
      <c r="T15" s="18" t="n">
        <v>12850</v>
      </c>
      <c r="U15" s="9" t="n"/>
      <c r="V15" s="18" t="n">
        <v>15820</v>
      </c>
      <c r="W15" s="18" t="n">
        <v>23850</v>
      </c>
      <c r="X15" s="18" t="n">
        <v>29100</v>
      </c>
      <c r="Y15" s="18" t="n">
        <v>27700</v>
      </c>
      <c r="Z15" s="9" t="n"/>
      <c r="AA15" s="18" t="n">
        <v>24500</v>
      </c>
      <c r="AB15" s="19" t="n">
        <v>17720</v>
      </c>
      <c r="AC15" s="20" t="n">
        <v>18520</v>
      </c>
      <c r="AD15" s="20" t="n">
        <v>14720</v>
      </c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s="12" t="inlineStr">
        <is>
          <t>price_high</t>
        </is>
      </c>
      <c r="C16" t="inlineStr">
        <is>
          <t>종가(최고)</t>
        </is>
      </c>
      <c r="E16" s="18" t="n">
        <v>17850</v>
      </c>
      <c r="F16" s="9" t="n"/>
      <c r="G16" s="18" t="n">
        <v>17100</v>
      </c>
      <c r="H16" s="18" t="n">
        <v>16150</v>
      </c>
      <c r="I16" s="18" t="n">
        <v>16500</v>
      </c>
      <c r="J16" s="18" t="n">
        <v>14250</v>
      </c>
      <c r="K16" s="9" t="n"/>
      <c r="L16" s="18" t="n">
        <v>12750</v>
      </c>
      <c r="M16" s="18" t="n">
        <v>13900</v>
      </c>
      <c r="N16" s="18" t="n">
        <v>14000</v>
      </c>
      <c r="O16" s="18" t="n">
        <v>12150</v>
      </c>
      <c r="P16" s="9" t="n"/>
      <c r="Q16" s="18" t="n">
        <v>13950</v>
      </c>
      <c r="R16" s="18" t="n">
        <v>20800</v>
      </c>
      <c r="S16" s="18" t="n">
        <v>14300</v>
      </c>
      <c r="T16" s="18" t="n">
        <v>13870</v>
      </c>
      <c r="U16" s="9" t="n"/>
      <c r="V16" s="18" t="n">
        <v>20900</v>
      </c>
      <c r="W16" s="18" t="n">
        <v>24900</v>
      </c>
      <c r="X16" s="18" t="n">
        <v>32600</v>
      </c>
      <c r="Y16" s="18" t="n">
        <v>33850</v>
      </c>
      <c r="Z16" s="9" t="n"/>
      <c r="AA16" s="18" t="n">
        <v>36650</v>
      </c>
      <c r="AB16" s="19" t="n">
        <v>32800</v>
      </c>
      <c r="AC16" s="20" t="n">
        <v>19600</v>
      </c>
      <c r="AD16" s="20" t="n">
        <v>18970</v>
      </c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s="12" t="inlineStr">
        <is>
          <t>price_low</t>
        </is>
      </c>
      <c r="C17" t="inlineStr">
        <is>
          <t>종가(최저)</t>
        </is>
      </c>
      <c r="E17" s="18" t="n">
        <v>13750</v>
      </c>
      <c r="F17" s="9" t="n"/>
      <c r="G17" s="18" t="n">
        <v>13800</v>
      </c>
      <c r="H17" s="18" t="n">
        <v>11000</v>
      </c>
      <c r="I17" s="18" t="n">
        <v>11200</v>
      </c>
      <c r="J17" s="18" t="n">
        <v>11300</v>
      </c>
      <c r="K17" s="9" t="n"/>
      <c r="L17" s="18" t="n">
        <v>10110</v>
      </c>
      <c r="M17" s="18" t="n">
        <v>10490</v>
      </c>
      <c r="N17" s="18" t="n">
        <v>10770</v>
      </c>
      <c r="O17" s="18" t="n">
        <v>10450</v>
      </c>
      <c r="P17" s="9" t="n"/>
      <c r="Q17" s="18" t="n">
        <v>10730</v>
      </c>
      <c r="R17" s="18" t="n">
        <v>12540</v>
      </c>
      <c r="S17" s="18" t="n">
        <v>10750</v>
      </c>
      <c r="T17" s="18" t="n">
        <v>11090</v>
      </c>
      <c r="U17" s="9" t="n"/>
      <c r="V17" s="18" t="n">
        <v>12800</v>
      </c>
      <c r="W17" s="18" t="n">
        <v>14420</v>
      </c>
      <c r="X17" s="18" t="n">
        <v>20550</v>
      </c>
      <c r="Y17" s="18" t="n">
        <v>25350</v>
      </c>
      <c r="Z17" s="9" t="n"/>
      <c r="AA17" s="18" t="n">
        <v>24500</v>
      </c>
      <c r="AB17" s="19" t="n">
        <v>15430</v>
      </c>
      <c r="AC17" s="20" t="n">
        <v>14000</v>
      </c>
      <c r="AD17" s="20" t="n">
        <v>14690</v>
      </c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s="12" t="inlineStr">
        <is>
          <t>price_avg</t>
        </is>
      </c>
      <c r="C18" t="inlineStr">
        <is>
          <t>종가(평균)</t>
        </is>
      </c>
      <c r="E18" s="18" t="n">
        <v>15838.9</v>
      </c>
      <c r="F18" s="9" t="n"/>
      <c r="G18" s="18" t="n">
        <v>15232.2</v>
      </c>
      <c r="H18" s="18" t="n">
        <v>13832.3</v>
      </c>
      <c r="I18" s="18" t="n">
        <v>12938.1</v>
      </c>
      <c r="J18" s="18" t="n">
        <v>12306.5</v>
      </c>
      <c r="K18" s="9" t="n"/>
      <c r="L18" s="18" t="n">
        <v>11685.5</v>
      </c>
      <c r="M18" s="18" t="n">
        <v>11720.3</v>
      </c>
      <c r="N18" s="18" t="n">
        <v>12504.8</v>
      </c>
      <c r="O18" s="18" t="n">
        <v>11417.2</v>
      </c>
      <c r="P18" s="9" t="n"/>
      <c r="Q18" s="18" t="n">
        <v>11987.9</v>
      </c>
      <c r="R18" s="18" t="n">
        <v>14608.8</v>
      </c>
      <c r="S18" s="18" t="n">
        <v>12791.5</v>
      </c>
      <c r="T18" s="18" t="n">
        <v>12228.4</v>
      </c>
      <c r="U18" s="9" t="n"/>
      <c r="V18" s="18" t="n">
        <v>16177.4</v>
      </c>
      <c r="W18" s="18" t="n">
        <v>19891.3</v>
      </c>
      <c r="X18" s="18" t="n">
        <v>26083.1</v>
      </c>
      <c r="Y18" s="18" t="n">
        <v>28694.1</v>
      </c>
      <c r="Z18" s="9" t="n"/>
      <c r="AA18" s="18" t="n">
        <v>28323.7</v>
      </c>
      <c r="AB18" s="19" t="n">
        <v>24136.7</v>
      </c>
      <c r="AC18" s="20" t="n">
        <v>17674.8</v>
      </c>
      <c r="AD18" s="20" t="n">
        <v>16833.1</v>
      </c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F19" s="9" t="n"/>
      <c r="K19" s="9" t="n"/>
      <c r="P19" s="9" t="n"/>
      <c r="U19" s="9" t="n"/>
      <c r="Z19" s="9" t="n"/>
      <c r="AB19" s="5" t="n"/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B20" s="1" t="inlineStr">
        <is>
          <t>2. 추정 드라이버</t>
        </is>
      </c>
      <c r="C20" s="2" t="inlineStr">
        <is>
          <t>실적 열 = subQ 실현값(수식), 추정 열 = 가정(노란 = 모델값 역산, 연녹 = 3절 스칼라 참조)</t>
        </is>
      </c>
      <c r="F20" s="9" t="n"/>
      <c r="K20" s="9" t="n"/>
      <c r="P20" s="9" t="n"/>
      <c r="U20" s="9" t="n"/>
      <c r="Z20" s="9" t="n"/>
      <c r="AB20" s="5" t="n"/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s="12" t="inlineStr">
        <is>
          <t>drv:매출액</t>
        </is>
      </c>
      <c r="B21" s="2" t="inlineStr">
        <is>
          <t>yoy</t>
        </is>
      </c>
      <c r="C21" t="inlineStr">
        <is>
          <t>매출액 YoY</t>
        </is>
      </c>
      <c r="E21" s="21" t="n"/>
      <c r="F21" s="22" t="n"/>
      <c r="G21" s="21" t="n"/>
      <c r="H21" s="21" t="n"/>
      <c r="I21" s="21" t="n"/>
      <c r="J21" s="21">
        <f>IFERROR(subQ!J5/subQ!E5-1,"")</f>
        <v/>
      </c>
      <c r="K21" s="22" t="n"/>
      <c r="L21" s="21">
        <f>IFERROR(subQ!L5/subQ!G5-1,"")</f>
        <v/>
      </c>
      <c r="M21" s="21">
        <f>IFERROR(subQ!M5/subQ!H5-1,"")</f>
        <v/>
      </c>
      <c r="N21" s="21">
        <f>IFERROR(subQ!N5/subQ!I5-1,"")</f>
        <v/>
      </c>
      <c r="O21" s="21">
        <f>IFERROR(subQ!O5/subQ!J5-1,"")</f>
        <v/>
      </c>
      <c r="P21" s="22" t="n"/>
      <c r="Q21" s="21">
        <f>IFERROR(subQ!Q5/subQ!L5-1,"")</f>
        <v/>
      </c>
      <c r="R21" s="21">
        <f>IFERROR(subQ!R5/subQ!M5-1,"")</f>
        <v/>
      </c>
      <c r="S21" s="21">
        <f>IFERROR(subQ!S5/subQ!N5-1,"")</f>
        <v/>
      </c>
      <c r="T21" s="21">
        <f>IFERROR(subQ!T5/subQ!O5-1,"")</f>
        <v/>
      </c>
      <c r="U21" s="22" t="n"/>
      <c r="V21" s="21">
        <f>IFERROR(subQ!V5/subQ!Q5-1,"")</f>
        <v/>
      </c>
      <c r="W21" s="21">
        <f>IFERROR(subQ!W5/subQ!R5-1,"")</f>
        <v/>
      </c>
      <c r="X21" s="21">
        <f>IFERROR(subQ!X5/subQ!S5-1,"")</f>
        <v/>
      </c>
      <c r="Y21" s="21">
        <f>IFERROR(subQ!Y5/subQ!T5-1,"")</f>
        <v/>
      </c>
      <c r="Z21" s="22" t="n"/>
      <c r="AA21" s="21">
        <f>IFERROR(subQ!AA5/subQ!V5-1,"")</f>
        <v/>
      </c>
      <c r="AB21" s="23">
        <f>IFERROR(subQ!AB5/subQ!W5-1,"")</f>
        <v/>
      </c>
      <c r="AC21" s="24" t="n">
        <v>0.105395633</v>
      </c>
      <c r="AD21" s="24" t="n">
        <v>0.105390282</v>
      </c>
      <c r="AE21" s="25" t="n"/>
      <c r="AF21" s="24" t="n">
        <v>0.105401261</v>
      </c>
      <c r="AG21" s="24" t="n">
        <v>0.105396367</v>
      </c>
      <c r="AH21" s="24" t="n">
        <v>0.052706636</v>
      </c>
      <c r="AI21" s="24" t="n">
        <v>0.052700564</v>
      </c>
      <c r="AJ21" s="25" t="n"/>
      <c r="AK21" s="24" t="n">
        <v>0.052700805</v>
      </c>
      <c r="AL21" s="24" t="n">
        <v>0.052694764</v>
      </c>
      <c r="AM21" s="24" t="n">
        <v>0.026339679</v>
      </c>
      <c r="AN21" s="24" t="n">
        <v>0.026359744</v>
      </c>
      <c r="AO21" s="25" t="n"/>
    </row>
    <row r="22">
      <c r="A22" s="12" t="inlineStr">
        <is>
          <t>drv:판관비</t>
        </is>
      </c>
      <c r="B22" s="2" t="inlineStr">
        <is>
          <t>ratio</t>
        </is>
      </c>
      <c r="C22" t="inlineStr">
        <is>
          <t>판관비율(/매출)</t>
        </is>
      </c>
      <c r="E22" s="21">
        <f>IFERROR(subQ!E8/subQ!E5,"")</f>
        <v/>
      </c>
      <c r="F22" s="22">
        <f>IFERROR(subQ!F8/subQ!F5,"")</f>
        <v/>
      </c>
      <c r="G22" s="21">
        <f>IFERROR(subQ!G8/subQ!G5,"")</f>
        <v/>
      </c>
      <c r="H22" s="21">
        <f>IFERROR(subQ!H8/subQ!H5,"")</f>
        <v/>
      </c>
      <c r="I22" s="21">
        <f>IFERROR(subQ!I8/subQ!I5,"")</f>
        <v/>
      </c>
      <c r="J22" s="21">
        <f>IFERROR(subQ!J8/subQ!J5,"")</f>
        <v/>
      </c>
      <c r="K22" s="22">
        <f>IFERROR(subQ!K8/subQ!K5,"")</f>
        <v/>
      </c>
      <c r="L22" s="21">
        <f>IFERROR(subQ!L8/subQ!L5,"")</f>
        <v/>
      </c>
      <c r="M22" s="21">
        <f>IFERROR(subQ!M8/subQ!M5,"")</f>
        <v/>
      </c>
      <c r="N22" s="21">
        <f>IFERROR(subQ!N8/subQ!N5,"")</f>
        <v/>
      </c>
      <c r="O22" s="21">
        <f>IFERROR(subQ!O8/subQ!O5,"")</f>
        <v/>
      </c>
      <c r="P22" s="22">
        <f>IFERROR(subQ!P8/subQ!P5,"")</f>
        <v/>
      </c>
      <c r="Q22" s="21">
        <f>IFERROR(subQ!Q8/subQ!Q5,"")</f>
        <v/>
      </c>
      <c r="R22" s="21">
        <f>IFERROR(subQ!R8/subQ!R5,"")</f>
        <v/>
      </c>
      <c r="S22" s="21">
        <f>IFERROR(subQ!S8/subQ!S5,"")</f>
        <v/>
      </c>
      <c r="T22" s="21">
        <f>IFERROR(subQ!T8/subQ!T5,"")</f>
        <v/>
      </c>
      <c r="U22" s="22">
        <f>IFERROR(subQ!U8/subQ!U5,"")</f>
        <v/>
      </c>
      <c r="V22" s="21">
        <f>IFERROR(subQ!V8/subQ!V5,"")</f>
        <v/>
      </c>
      <c r="W22" s="21">
        <f>IFERROR(subQ!W8/subQ!W5,"")</f>
        <v/>
      </c>
      <c r="X22" s="21">
        <f>IFERROR(subQ!X8/subQ!X5,"")</f>
        <v/>
      </c>
      <c r="Y22" s="21">
        <f>IFERROR(subQ!Y8/subQ!Y5,"")</f>
        <v/>
      </c>
      <c r="Z22" s="22">
        <f>IFERROR(subQ!Z8/subQ!Z5,"")</f>
        <v/>
      </c>
      <c r="AA22" s="21">
        <f>IFERROR(subQ!AA8/subQ!AA5,"")</f>
        <v/>
      </c>
      <c r="AB22" s="23">
        <f>IFERROR(subQ!AB8/subQ!AB5,"")</f>
        <v/>
      </c>
      <c r="AC22" s="26">
        <f>$D$47</f>
        <v/>
      </c>
      <c r="AD22" s="26">
        <f>$D$47</f>
        <v/>
      </c>
      <c r="AE22" s="25">
        <f>IFERROR(subQ!AE8/subQ!AE5,"")</f>
        <v/>
      </c>
      <c r="AF22" s="26">
        <f>$D$47</f>
        <v/>
      </c>
      <c r="AG22" s="26">
        <f>$D$47</f>
        <v/>
      </c>
      <c r="AH22" s="26">
        <f>$D$47</f>
        <v/>
      </c>
      <c r="AI22" s="26">
        <f>$D$47</f>
        <v/>
      </c>
      <c r="AJ22" s="25">
        <f>IFERROR(subQ!AJ8/subQ!AJ5,"")</f>
        <v/>
      </c>
      <c r="AK22" s="26">
        <f>$D$47</f>
        <v/>
      </c>
      <c r="AL22" s="26">
        <f>$D$47</f>
        <v/>
      </c>
      <c r="AM22" s="26">
        <f>$D$47</f>
        <v/>
      </c>
      <c r="AN22" s="26">
        <f>$D$47</f>
        <v/>
      </c>
      <c r="AO22" s="25">
        <f>IFERROR(subQ!AO8/subQ!AO5,"")</f>
        <v/>
      </c>
    </row>
    <row r="23">
      <c r="A23" s="12" t="inlineStr">
        <is>
          <t>drv:영업이익</t>
        </is>
      </c>
      <c r="B23" s="2" t="inlineStr">
        <is>
          <t>ratio</t>
        </is>
      </c>
      <c r="C23" t="inlineStr">
        <is>
          <t>영업이익률(OPM)</t>
        </is>
      </c>
      <c r="E23" s="21">
        <f>IFERROR(subQ!E9/subQ!E5,"")</f>
        <v/>
      </c>
      <c r="F23" s="22">
        <f>IFERROR(subQ!F9/subQ!F5,"")</f>
        <v/>
      </c>
      <c r="G23" s="21">
        <f>IFERROR(subQ!G9/subQ!G5,"")</f>
        <v/>
      </c>
      <c r="H23" s="21">
        <f>IFERROR(subQ!H9/subQ!H5,"")</f>
        <v/>
      </c>
      <c r="I23" s="21">
        <f>IFERROR(subQ!I9/subQ!I5,"")</f>
        <v/>
      </c>
      <c r="J23" s="21">
        <f>IFERROR(subQ!J9/subQ!J5,"")</f>
        <v/>
      </c>
      <c r="K23" s="22">
        <f>IFERROR(subQ!K9/subQ!K5,"")</f>
        <v/>
      </c>
      <c r="L23" s="21">
        <f>IFERROR(subQ!L9/subQ!L5,"")</f>
        <v/>
      </c>
      <c r="M23" s="21">
        <f>IFERROR(subQ!M9/subQ!M5,"")</f>
        <v/>
      </c>
      <c r="N23" s="21">
        <f>IFERROR(subQ!N9/subQ!N5,"")</f>
        <v/>
      </c>
      <c r="O23" s="21">
        <f>IFERROR(subQ!O9/subQ!O5,"")</f>
        <v/>
      </c>
      <c r="P23" s="22">
        <f>IFERROR(subQ!P9/subQ!P5,"")</f>
        <v/>
      </c>
      <c r="Q23" s="21">
        <f>IFERROR(subQ!Q9/subQ!Q5,"")</f>
        <v/>
      </c>
      <c r="R23" s="21">
        <f>IFERROR(subQ!R9/subQ!R5,"")</f>
        <v/>
      </c>
      <c r="S23" s="21">
        <f>IFERROR(subQ!S9/subQ!S5,"")</f>
        <v/>
      </c>
      <c r="T23" s="21">
        <f>IFERROR(subQ!T9/subQ!T5,"")</f>
        <v/>
      </c>
      <c r="U23" s="22">
        <f>IFERROR(subQ!U9/subQ!U5,"")</f>
        <v/>
      </c>
      <c r="V23" s="21">
        <f>IFERROR(subQ!V9/subQ!V5,"")</f>
        <v/>
      </c>
      <c r="W23" s="21">
        <f>IFERROR(subQ!W9/subQ!W5,"")</f>
        <v/>
      </c>
      <c r="X23" s="21">
        <f>IFERROR(subQ!X9/subQ!X5,"")</f>
        <v/>
      </c>
      <c r="Y23" s="21">
        <f>IFERROR(subQ!Y9/subQ!Y5,"")</f>
        <v/>
      </c>
      <c r="Z23" s="22">
        <f>IFERROR(subQ!Z9/subQ!Z5,"")</f>
        <v/>
      </c>
      <c r="AA23" s="21">
        <f>IFERROR(subQ!AA9/subQ!AA5,"")</f>
        <v/>
      </c>
      <c r="AB23" s="23">
        <f>IFERROR(subQ!AB9/subQ!AB5,"")</f>
        <v/>
      </c>
      <c r="AC23" s="24" t="n">
        <v>0.114160957</v>
      </c>
      <c r="AD23" s="24" t="n">
        <v>0.114160579</v>
      </c>
      <c r="AE23" s="25">
        <f>IFERROR(subQ!AE9/subQ!AE5,"")</f>
        <v/>
      </c>
      <c r="AF23" s="24" t="n">
        <v>0.114164341</v>
      </c>
      <c r="AG23" s="24" t="n">
        <v>0.114163474</v>
      </c>
      <c r="AH23" s="24" t="n">
        <v>0.114157228</v>
      </c>
      <c r="AI23" s="24" t="n">
        <v>0.114154696</v>
      </c>
      <c r="AJ23" s="25">
        <f>IFERROR(subQ!AJ9/subQ!AJ5,"")</f>
        <v/>
      </c>
      <c r="AK23" s="24" t="n">
        <v>0.114155945</v>
      </c>
      <c r="AL23" s="24" t="n">
        <v>0.114163007</v>
      </c>
      <c r="AM23" s="24" t="n">
        <v>0.114166746</v>
      </c>
      <c r="AN23" s="24" t="n">
        <v>0.114166938</v>
      </c>
      <c r="AO23" s="25">
        <f>IFERROR(subQ!AO9/subQ!AO5,"")</f>
        <v/>
      </c>
    </row>
    <row r="24">
      <c r="A24" s="12" t="inlineStr">
        <is>
          <t>drv:기타영업외손익</t>
        </is>
      </c>
      <c r="B24" s="2" t="inlineStr">
        <is>
          <t>abs</t>
        </is>
      </c>
      <c r="C24" t="inlineStr">
        <is>
          <t>기타영업외손익 (가정, 억원)</t>
        </is>
      </c>
      <c r="E24" s="27">
        <f>subQ!E13</f>
        <v/>
      </c>
      <c r="F24" s="28">
        <f>subQ!F13</f>
        <v/>
      </c>
      <c r="G24" s="27">
        <f>subQ!G13</f>
        <v/>
      </c>
      <c r="H24" s="27">
        <f>subQ!H13</f>
        <v/>
      </c>
      <c r="I24" s="27">
        <f>subQ!I13</f>
        <v/>
      </c>
      <c r="J24" s="27">
        <f>subQ!J13</f>
        <v/>
      </c>
      <c r="K24" s="28">
        <f>subQ!K13</f>
        <v/>
      </c>
      <c r="L24" s="27">
        <f>subQ!L13</f>
        <v/>
      </c>
      <c r="M24" s="27">
        <f>subQ!M13</f>
        <v/>
      </c>
      <c r="N24" s="27">
        <f>subQ!N13</f>
        <v/>
      </c>
      <c r="O24" s="27">
        <f>subQ!O13</f>
        <v/>
      </c>
      <c r="P24" s="28">
        <f>subQ!P13</f>
        <v/>
      </c>
      <c r="Q24" s="27">
        <f>subQ!Q13</f>
        <v/>
      </c>
      <c r="R24" s="27">
        <f>subQ!R13</f>
        <v/>
      </c>
      <c r="S24" s="27">
        <f>subQ!S13</f>
        <v/>
      </c>
      <c r="T24" s="27">
        <f>subQ!T13</f>
        <v/>
      </c>
      <c r="U24" s="28">
        <f>subQ!U13</f>
        <v/>
      </c>
      <c r="V24" s="27">
        <f>subQ!V13</f>
        <v/>
      </c>
      <c r="W24" s="27">
        <f>subQ!W13</f>
        <v/>
      </c>
      <c r="X24" s="27">
        <f>subQ!X13</f>
        <v/>
      </c>
      <c r="Y24" s="27">
        <f>subQ!Y13</f>
        <v/>
      </c>
      <c r="Z24" s="28">
        <f>subQ!Z13</f>
        <v/>
      </c>
      <c r="AA24" s="27">
        <f>subQ!AA13</f>
        <v/>
      </c>
      <c r="AB24" s="29">
        <f>subQ!AB13</f>
        <v/>
      </c>
      <c r="AC24" s="30" t="n">
        <v>0</v>
      </c>
      <c r="AD24" s="30" t="n">
        <v>0</v>
      </c>
      <c r="AE24" s="31">
        <f>subQ!AE13</f>
        <v/>
      </c>
      <c r="AF24" s="30" t="n">
        <v>0</v>
      </c>
      <c r="AG24" s="30" t="n">
        <v>0</v>
      </c>
      <c r="AH24" s="30" t="n">
        <v>0</v>
      </c>
      <c r="AI24" s="30" t="n">
        <v>0</v>
      </c>
      <c r="AJ24" s="31">
        <f>subQ!AJ13</f>
        <v/>
      </c>
      <c r="AK24" s="30" t="n">
        <v>0</v>
      </c>
      <c r="AL24" s="30" t="n">
        <v>0</v>
      </c>
      <c r="AM24" s="30" t="n">
        <v>0</v>
      </c>
      <c r="AN24" s="30" t="n">
        <v>0</v>
      </c>
      <c r="AO24" s="31">
        <f>subQ!AO13</f>
        <v/>
      </c>
    </row>
    <row r="25">
      <c r="A25" s="12" t="inlineStr">
        <is>
          <t>drv:법인세비용</t>
        </is>
      </c>
      <c r="B25" s="2" t="inlineStr">
        <is>
          <t>tax</t>
        </is>
      </c>
      <c r="C25" t="inlineStr">
        <is>
          <t>법인세율(/세전) — 법인세 = MAX(세전,0) × 세율</t>
        </is>
      </c>
      <c r="E25" s="21">
        <f>IFERROR(subQ!E15/subQ!E14,"")</f>
        <v/>
      </c>
      <c r="F25" s="22">
        <f>IFERROR(subQ!F15/subQ!F14,"")</f>
        <v/>
      </c>
      <c r="G25" s="21">
        <f>IFERROR(subQ!G15/subQ!G14,"")</f>
        <v/>
      </c>
      <c r="H25" s="21">
        <f>IFERROR(subQ!H15/subQ!H14,"")</f>
        <v/>
      </c>
      <c r="I25" s="21">
        <f>IFERROR(subQ!I15/subQ!I14,"")</f>
        <v/>
      </c>
      <c r="J25" s="21">
        <f>IFERROR(subQ!J15/subQ!J14,"")</f>
        <v/>
      </c>
      <c r="K25" s="22">
        <f>IFERROR(subQ!K15/subQ!K14,"")</f>
        <v/>
      </c>
      <c r="L25" s="21">
        <f>IFERROR(subQ!L15/subQ!L14,"")</f>
        <v/>
      </c>
      <c r="M25" s="21">
        <f>IFERROR(subQ!M15/subQ!M14,"")</f>
        <v/>
      </c>
      <c r="N25" s="21">
        <f>IFERROR(subQ!N15/subQ!N14,"")</f>
        <v/>
      </c>
      <c r="O25" s="21">
        <f>IFERROR(subQ!O15/subQ!O14,"")</f>
        <v/>
      </c>
      <c r="P25" s="22">
        <f>IFERROR(subQ!P15/subQ!P14,"")</f>
        <v/>
      </c>
      <c r="Q25" s="21">
        <f>IFERROR(subQ!Q15/subQ!Q14,"")</f>
        <v/>
      </c>
      <c r="R25" s="21">
        <f>IFERROR(subQ!R15/subQ!R14,"")</f>
        <v/>
      </c>
      <c r="S25" s="21">
        <f>IFERROR(subQ!S15/subQ!S14,"")</f>
        <v/>
      </c>
      <c r="T25" s="21">
        <f>IFERROR(subQ!T15/subQ!T14,"")</f>
        <v/>
      </c>
      <c r="U25" s="22">
        <f>IFERROR(subQ!U15/subQ!U14,"")</f>
        <v/>
      </c>
      <c r="V25" s="21">
        <f>IFERROR(subQ!V15/subQ!V14,"")</f>
        <v/>
      </c>
      <c r="W25" s="21">
        <f>IFERROR(subQ!W15/subQ!W14,"")</f>
        <v/>
      </c>
      <c r="X25" s="21">
        <f>IFERROR(subQ!X15/subQ!X14,"")</f>
        <v/>
      </c>
      <c r="Y25" s="21">
        <f>IFERROR(subQ!Y15/subQ!Y14,"")</f>
        <v/>
      </c>
      <c r="Z25" s="22">
        <f>IFERROR(subQ!Z15/subQ!Z14,"")</f>
        <v/>
      </c>
      <c r="AA25" s="21">
        <f>IFERROR(subQ!AA15/subQ!AA14,"")</f>
        <v/>
      </c>
      <c r="AB25" s="23">
        <f>IFERROR(subQ!AB15/subQ!AB14,"")</f>
        <v/>
      </c>
      <c r="AC25" s="26">
        <f>$D$46</f>
        <v/>
      </c>
      <c r="AD25" s="26">
        <f>$D$46</f>
        <v/>
      </c>
      <c r="AE25" s="25">
        <f>IFERROR(subQ!AE15/subQ!AE14,"")</f>
        <v/>
      </c>
      <c r="AF25" s="26">
        <f>$D$46</f>
        <v/>
      </c>
      <c r="AG25" s="26">
        <f>$D$46</f>
        <v/>
      </c>
      <c r="AH25" s="26">
        <f>$D$46</f>
        <v/>
      </c>
      <c r="AI25" s="26">
        <f>$D$46</f>
        <v/>
      </c>
      <c r="AJ25" s="25">
        <f>IFERROR(subQ!AJ15/subQ!AJ14,"")</f>
        <v/>
      </c>
      <c r="AK25" s="26">
        <f>$D$46</f>
        <v/>
      </c>
      <c r="AL25" s="26">
        <f>$D$46</f>
        <v/>
      </c>
      <c r="AM25" s="26">
        <f>$D$46</f>
        <v/>
      </c>
      <c r="AN25" s="26">
        <f>$D$46</f>
        <v/>
      </c>
      <c r="AO25" s="25">
        <f>IFERROR(subQ!AO15/subQ!AO14,"")</f>
        <v/>
      </c>
    </row>
    <row r="26">
      <c r="A26" s="12" t="inlineStr">
        <is>
          <t>drv:지배주주순이익</t>
        </is>
      </c>
      <c r="B26" s="2" t="inlineStr">
        <is>
          <t>ratio</t>
        </is>
      </c>
      <c r="C26" t="inlineStr">
        <is>
          <t>지배주주 비중(/당기순이익)</t>
        </is>
      </c>
      <c r="E26" s="21">
        <f>IFERROR(subQ!E17/subQ!E16,"")</f>
        <v/>
      </c>
      <c r="F26" s="22">
        <f>IFERROR(subQ!F17/subQ!F16,"")</f>
        <v/>
      </c>
      <c r="G26" s="21">
        <f>IFERROR(subQ!G17/subQ!G16,"")</f>
        <v/>
      </c>
      <c r="H26" s="21">
        <f>IFERROR(subQ!H17/subQ!H16,"")</f>
        <v/>
      </c>
      <c r="I26" s="21">
        <f>IFERROR(subQ!I17/subQ!I16,"")</f>
        <v/>
      </c>
      <c r="J26" s="21">
        <f>IFERROR(subQ!J17/subQ!J16,"")</f>
        <v/>
      </c>
      <c r="K26" s="22">
        <f>IFERROR(subQ!K17/subQ!K16,"")</f>
        <v/>
      </c>
      <c r="L26" s="21">
        <f>IFERROR(subQ!L17/subQ!L16,"")</f>
        <v/>
      </c>
      <c r="M26" s="21">
        <f>IFERROR(subQ!M17/subQ!M16,"")</f>
        <v/>
      </c>
      <c r="N26" s="21">
        <f>IFERROR(subQ!N17/subQ!N16,"")</f>
        <v/>
      </c>
      <c r="O26" s="21">
        <f>IFERROR(subQ!O17/subQ!O16,"")</f>
        <v/>
      </c>
      <c r="P26" s="22">
        <f>IFERROR(subQ!P17/subQ!P16,"")</f>
        <v/>
      </c>
      <c r="Q26" s="21">
        <f>IFERROR(subQ!Q17/subQ!Q16,"")</f>
        <v/>
      </c>
      <c r="R26" s="21">
        <f>IFERROR(subQ!R17/subQ!R16,"")</f>
        <v/>
      </c>
      <c r="S26" s="21">
        <f>IFERROR(subQ!S17/subQ!S16,"")</f>
        <v/>
      </c>
      <c r="T26" s="21">
        <f>IFERROR(subQ!T17/subQ!T16,"")</f>
        <v/>
      </c>
      <c r="U26" s="22">
        <f>IFERROR(subQ!U17/subQ!U16,"")</f>
        <v/>
      </c>
      <c r="V26" s="21">
        <f>IFERROR(subQ!V17/subQ!V16,"")</f>
        <v/>
      </c>
      <c r="W26" s="21">
        <f>IFERROR(subQ!W17/subQ!W16,"")</f>
        <v/>
      </c>
      <c r="X26" s="21">
        <f>IFERROR(subQ!X17/subQ!X16,"")</f>
        <v/>
      </c>
      <c r="Y26" s="21">
        <f>IFERROR(subQ!Y17/subQ!Y16,"")</f>
        <v/>
      </c>
      <c r="Z26" s="22">
        <f>IFERROR(subQ!Z17/subQ!Z16,"")</f>
        <v/>
      </c>
      <c r="AA26" s="21">
        <f>IFERROR(subQ!AA17/subQ!AA16,"")</f>
        <v/>
      </c>
      <c r="AB26" s="23">
        <f>IFERROR(subQ!AB17/subQ!AB16,"")</f>
        <v/>
      </c>
      <c r="AC26" s="26">
        <f>$D$48</f>
        <v/>
      </c>
      <c r="AD26" s="26">
        <f>$D$48</f>
        <v/>
      </c>
      <c r="AE26" s="25">
        <f>IFERROR(subQ!AE17/subQ!AE16,"")</f>
        <v/>
      </c>
      <c r="AF26" s="26">
        <f>$D$48</f>
        <v/>
      </c>
      <c r="AG26" s="26">
        <f>$D$48</f>
        <v/>
      </c>
      <c r="AH26" s="26">
        <f>$D$48</f>
        <v/>
      </c>
      <c r="AI26" s="26">
        <f>$D$48</f>
        <v/>
      </c>
      <c r="AJ26" s="25">
        <f>IFERROR(subQ!AJ17/subQ!AJ16,"")</f>
        <v/>
      </c>
      <c r="AK26" s="26">
        <f>$D$48</f>
        <v/>
      </c>
      <c r="AL26" s="26">
        <f>$D$48</f>
        <v/>
      </c>
      <c r="AM26" s="26">
        <f>$D$48</f>
        <v/>
      </c>
      <c r="AN26" s="26">
        <f>$D$48</f>
        <v/>
      </c>
      <c r="AO26" s="25">
        <f>IFERROR(subQ!AO17/subQ!AO16,"")</f>
        <v/>
      </c>
    </row>
    <row r="27">
      <c r="A27" s="12" t="inlineStr">
        <is>
          <t>drv:감가상각비</t>
        </is>
      </c>
      <c r="B27" s="2" t="inlineStr">
        <is>
          <t>abs</t>
        </is>
      </c>
      <c r="C27" t="inlineStr">
        <is>
          <t>감가상각비 (가정, 억원)</t>
        </is>
      </c>
      <c r="E27" s="27">
        <f>subQ!E18</f>
        <v/>
      </c>
      <c r="F27" s="28">
        <f>subQ!F18</f>
        <v/>
      </c>
      <c r="G27" s="27">
        <f>subQ!G18</f>
        <v/>
      </c>
      <c r="H27" s="27">
        <f>subQ!H18</f>
        <v/>
      </c>
      <c r="I27" s="27">
        <f>subQ!I18</f>
        <v/>
      </c>
      <c r="J27" s="27">
        <f>subQ!J18</f>
        <v/>
      </c>
      <c r="K27" s="28">
        <f>subQ!K18</f>
        <v/>
      </c>
      <c r="L27" s="27">
        <f>subQ!L18</f>
        <v/>
      </c>
      <c r="M27" s="27">
        <f>subQ!M18</f>
        <v/>
      </c>
      <c r="N27" s="27">
        <f>subQ!N18</f>
        <v/>
      </c>
      <c r="O27" s="27">
        <f>subQ!O18</f>
        <v/>
      </c>
      <c r="P27" s="28">
        <f>subQ!P18</f>
        <v/>
      </c>
      <c r="Q27" s="27">
        <f>subQ!Q18</f>
        <v/>
      </c>
      <c r="R27" s="27">
        <f>subQ!R18</f>
        <v/>
      </c>
      <c r="S27" s="27">
        <f>subQ!S18</f>
        <v/>
      </c>
      <c r="T27" s="27">
        <f>subQ!T18</f>
        <v/>
      </c>
      <c r="U27" s="28">
        <f>subQ!U18</f>
        <v/>
      </c>
      <c r="V27" s="27">
        <f>subQ!V18</f>
        <v/>
      </c>
      <c r="W27" s="27">
        <f>subQ!W18</f>
        <v/>
      </c>
      <c r="X27" s="27">
        <f>subQ!X18</f>
        <v/>
      </c>
      <c r="Y27" s="27">
        <f>subQ!Y18</f>
        <v/>
      </c>
      <c r="Z27" s="28">
        <f>subQ!Z18</f>
        <v/>
      </c>
      <c r="AA27" s="27">
        <f>subQ!AA18</f>
        <v/>
      </c>
      <c r="AB27" s="29">
        <f>subQ!AB18</f>
        <v/>
      </c>
      <c r="AC27" s="30" t="n">
        <v>10.22</v>
      </c>
      <c r="AD27" s="30" t="n">
        <v>10.22</v>
      </c>
      <c r="AE27" s="31">
        <f>subQ!AE18</f>
        <v/>
      </c>
      <c r="AF27" s="30" t="n">
        <v>10.22</v>
      </c>
      <c r="AG27" s="30" t="n">
        <v>10.22</v>
      </c>
      <c r="AH27" s="30" t="n">
        <v>10.22</v>
      </c>
      <c r="AI27" s="30" t="n">
        <v>10.22</v>
      </c>
      <c r="AJ27" s="31">
        <f>subQ!AJ18</f>
        <v/>
      </c>
      <c r="AK27" s="30" t="n">
        <v>10.22</v>
      </c>
      <c r="AL27" s="30" t="n">
        <v>10.22</v>
      </c>
      <c r="AM27" s="30" t="n">
        <v>10.22</v>
      </c>
      <c r="AN27" s="30" t="n">
        <v>10.22</v>
      </c>
      <c r="AO27" s="31">
        <f>subQ!AO18</f>
        <v/>
      </c>
    </row>
    <row r="28">
      <c r="A28" s="12" t="inlineStr">
        <is>
          <t>drv:부채총계</t>
        </is>
      </c>
      <c r="B28" s="2" t="inlineStr">
        <is>
          <t>qoq</t>
        </is>
      </c>
      <c r="C28" t="inlineStr">
        <is>
          <t>부채총계 QoQ</t>
        </is>
      </c>
      <c r="E28" s="21" t="n"/>
      <c r="F28" s="22" t="n"/>
      <c r="G28" s="21">
        <f>IFERROR(subQ!G21/subQ!E21-1,"")</f>
        <v/>
      </c>
      <c r="H28" s="21">
        <f>IFERROR(subQ!H21/subQ!G21-1,"")</f>
        <v/>
      </c>
      <c r="I28" s="21">
        <f>IFERROR(subQ!I21/subQ!H21-1,"")</f>
        <v/>
      </c>
      <c r="J28" s="21">
        <f>IFERROR(subQ!J21/subQ!I21-1,"")</f>
        <v/>
      </c>
      <c r="K28" s="22" t="n"/>
      <c r="L28" s="21">
        <f>IFERROR(subQ!L21/subQ!J21-1,"")</f>
        <v/>
      </c>
      <c r="M28" s="21">
        <f>IFERROR(subQ!M21/subQ!L21-1,"")</f>
        <v/>
      </c>
      <c r="N28" s="21">
        <f>IFERROR(subQ!N21/subQ!M21-1,"")</f>
        <v/>
      </c>
      <c r="O28" s="21">
        <f>IFERROR(subQ!O21/subQ!N21-1,"")</f>
        <v/>
      </c>
      <c r="P28" s="22" t="n"/>
      <c r="Q28" s="21">
        <f>IFERROR(subQ!Q21/subQ!O21-1,"")</f>
        <v/>
      </c>
      <c r="R28" s="21">
        <f>IFERROR(subQ!R21/subQ!Q21-1,"")</f>
        <v/>
      </c>
      <c r="S28" s="21">
        <f>IFERROR(subQ!S21/subQ!R21-1,"")</f>
        <v/>
      </c>
      <c r="T28" s="21">
        <f>IFERROR(subQ!T21/subQ!S21-1,"")</f>
        <v/>
      </c>
      <c r="U28" s="22" t="n"/>
      <c r="V28" s="21">
        <f>IFERROR(subQ!V21/subQ!T21-1,"")</f>
        <v/>
      </c>
      <c r="W28" s="21">
        <f>IFERROR(subQ!W21/subQ!V21-1,"")</f>
        <v/>
      </c>
      <c r="X28" s="21">
        <f>IFERROR(subQ!X21/subQ!W21-1,"")</f>
        <v/>
      </c>
      <c r="Y28" s="21">
        <f>IFERROR(subQ!Y21/subQ!X21-1,"")</f>
        <v/>
      </c>
      <c r="Z28" s="22" t="n"/>
      <c r="AA28" s="21">
        <f>IFERROR(subQ!AA21/subQ!Y21-1,"")</f>
        <v/>
      </c>
      <c r="AB28" s="23">
        <f>IFERROR(subQ!AB21/subQ!AA21-1,"")</f>
        <v/>
      </c>
      <c r="AC28" s="24" t="n">
        <v>-5.842e-06</v>
      </c>
      <c r="AD28" s="24" t="n">
        <v>0</v>
      </c>
      <c r="AE28" s="25" t="n"/>
      <c r="AF28" s="24" t="n">
        <v>0</v>
      </c>
      <c r="AG28" s="24" t="n">
        <v>0</v>
      </c>
      <c r="AH28" s="24" t="n">
        <v>0</v>
      </c>
      <c r="AI28" s="24" t="n">
        <v>0</v>
      </c>
      <c r="AJ28" s="25" t="n"/>
      <c r="AK28" s="24" t="n">
        <v>0</v>
      </c>
      <c r="AL28" s="24" t="n">
        <v>0</v>
      </c>
      <c r="AM28" s="24" t="n">
        <v>0</v>
      </c>
      <c r="AN28" s="24" t="n">
        <v>0</v>
      </c>
      <c r="AO28" s="25" t="n"/>
    </row>
    <row r="29">
      <c r="A29" s="12" t="inlineStr">
        <is>
          <t>drv:자본총계</t>
        </is>
      </c>
      <c r="B29" s="2" t="inlineStr">
        <is>
          <t>roll</t>
        </is>
      </c>
      <c r="C29" t="inlineStr">
        <is>
          <t>자본총계 기타변동(배당 등, 억원)</t>
        </is>
      </c>
      <c r="E29" s="27" t="n"/>
      <c r="F29" s="28" t="n"/>
      <c r="G29" s="27">
        <f>IFERROR(subQ!E22+subQ!G16-subQ!G22,"")</f>
        <v/>
      </c>
      <c r="H29" s="27">
        <f>IFERROR(subQ!G22+subQ!H16-subQ!H22,"")</f>
        <v/>
      </c>
      <c r="I29" s="27">
        <f>IFERROR(subQ!H22+subQ!I16-subQ!I22,"")</f>
        <v/>
      </c>
      <c r="J29" s="27">
        <f>IFERROR(subQ!I22+subQ!J16-subQ!J22,"")</f>
        <v/>
      </c>
      <c r="K29" s="28" t="n"/>
      <c r="L29" s="27">
        <f>IFERROR(subQ!J22+subQ!L16-subQ!L22,"")</f>
        <v/>
      </c>
      <c r="M29" s="27">
        <f>IFERROR(subQ!L22+subQ!M16-subQ!M22,"")</f>
        <v/>
      </c>
      <c r="N29" s="27">
        <f>IFERROR(subQ!M22+subQ!N16-subQ!N22,"")</f>
        <v/>
      </c>
      <c r="O29" s="27">
        <f>IFERROR(subQ!N22+subQ!O16-subQ!O22,"")</f>
        <v/>
      </c>
      <c r="P29" s="28" t="n"/>
      <c r="Q29" s="27">
        <f>IFERROR(subQ!O22+subQ!Q16-subQ!Q22,"")</f>
        <v/>
      </c>
      <c r="R29" s="27">
        <f>IFERROR(subQ!Q22+subQ!R16-subQ!R22,"")</f>
        <v/>
      </c>
      <c r="S29" s="27">
        <f>IFERROR(subQ!R22+subQ!S16-subQ!S22,"")</f>
        <v/>
      </c>
      <c r="T29" s="27">
        <f>IFERROR(subQ!S22+subQ!T16-subQ!T22,"")</f>
        <v/>
      </c>
      <c r="U29" s="28" t="n"/>
      <c r="V29" s="27">
        <f>IFERROR(subQ!T22+subQ!V16-subQ!V22,"")</f>
        <v/>
      </c>
      <c r="W29" s="27">
        <f>IFERROR(subQ!V22+subQ!W16-subQ!W22,"")</f>
        <v/>
      </c>
      <c r="X29" s="27">
        <f>IFERROR(subQ!W22+subQ!X16-subQ!X22,"")</f>
        <v/>
      </c>
      <c r="Y29" s="27">
        <f>IFERROR(subQ!X22+subQ!Y16-subQ!Y22,"")</f>
        <v/>
      </c>
      <c r="Z29" s="28" t="n"/>
      <c r="AA29" s="27">
        <f>IFERROR(subQ!Y22+subQ!AA16-subQ!AA22,"")</f>
        <v/>
      </c>
      <c r="AB29" s="29">
        <f>IFERROR(subQ!AA22+subQ!AB16-subQ!AB22,"")</f>
        <v/>
      </c>
      <c r="AC29" s="30" t="n">
        <v>-0.004736154</v>
      </c>
      <c r="AD29" s="30" t="n">
        <v>0.003494381</v>
      </c>
      <c r="AE29" s="31" t="n"/>
      <c r="AF29" s="30" t="n">
        <v>0.007968543999999999</v>
      </c>
      <c r="AG29" s="30" t="n">
        <v>18.581169199</v>
      </c>
      <c r="AH29" s="30" t="n">
        <v>0.00266492</v>
      </c>
      <c r="AI29" s="30" t="n">
        <v>-0.006976671</v>
      </c>
      <c r="AJ29" s="31" t="n"/>
      <c r="AK29" s="30" t="n">
        <v>0.004632015</v>
      </c>
      <c r="AL29" s="30" t="n">
        <v>18.578053481</v>
      </c>
      <c r="AM29" s="30" t="n">
        <v>0.008174249</v>
      </c>
      <c r="AN29" s="30" t="n">
        <v>0.003590014</v>
      </c>
      <c r="AO29" s="31" t="n"/>
    </row>
    <row r="30">
      <c r="A30" s="12" t="inlineStr">
        <is>
          <t>drv:지배주주지분</t>
        </is>
      </c>
      <c r="B30" s="2" t="inlineStr">
        <is>
          <t>roll</t>
        </is>
      </c>
      <c r="C30" t="inlineStr">
        <is>
          <t>지배주주지분 기타변동(배당 등, 억원)</t>
        </is>
      </c>
      <c r="E30" s="27" t="n"/>
      <c r="F30" s="28" t="n"/>
      <c r="G30" s="27">
        <f>IFERROR(subQ!E23+subQ!G17-subQ!G23,"")</f>
        <v/>
      </c>
      <c r="H30" s="27">
        <f>IFERROR(subQ!G23+subQ!H17-subQ!H23,"")</f>
        <v/>
      </c>
      <c r="I30" s="27">
        <f>IFERROR(subQ!H23+subQ!I17-subQ!I23,"")</f>
        <v/>
      </c>
      <c r="J30" s="27">
        <f>IFERROR(subQ!I23+subQ!J17-subQ!J23,"")</f>
        <v/>
      </c>
      <c r="K30" s="28" t="n"/>
      <c r="L30" s="27">
        <f>IFERROR(subQ!J23+subQ!L17-subQ!L23,"")</f>
        <v/>
      </c>
      <c r="M30" s="27">
        <f>IFERROR(subQ!L23+subQ!M17-subQ!M23,"")</f>
        <v/>
      </c>
      <c r="N30" s="27">
        <f>IFERROR(subQ!M23+subQ!N17-subQ!N23,"")</f>
        <v/>
      </c>
      <c r="O30" s="27">
        <f>IFERROR(subQ!N23+subQ!O17-subQ!O23,"")</f>
        <v/>
      </c>
      <c r="P30" s="28" t="n"/>
      <c r="Q30" s="27">
        <f>IFERROR(subQ!O23+subQ!Q17-subQ!Q23,"")</f>
        <v/>
      </c>
      <c r="R30" s="27">
        <f>IFERROR(subQ!Q23+subQ!R17-subQ!R23,"")</f>
        <v/>
      </c>
      <c r="S30" s="27">
        <f>IFERROR(subQ!R23+subQ!S17-subQ!S23,"")</f>
        <v/>
      </c>
      <c r="T30" s="27">
        <f>IFERROR(subQ!S23+subQ!T17-subQ!T23,"")</f>
        <v/>
      </c>
      <c r="U30" s="28" t="n"/>
      <c r="V30" s="27">
        <f>IFERROR(subQ!T23+subQ!V17-subQ!V23,"")</f>
        <v/>
      </c>
      <c r="W30" s="27">
        <f>IFERROR(subQ!V23+subQ!W17-subQ!W23,"")</f>
        <v/>
      </c>
      <c r="X30" s="27">
        <f>IFERROR(subQ!W23+subQ!X17-subQ!X23,"")</f>
        <v/>
      </c>
      <c r="Y30" s="27">
        <f>IFERROR(subQ!X23+subQ!Y17-subQ!Y23,"")</f>
        <v/>
      </c>
      <c r="Z30" s="28" t="n"/>
      <c r="AA30" s="27">
        <f>IFERROR(subQ!Y23+subQ!AA17-subQ!AA23,"")</f>
        <v/>
      </c>
      <c r="AB30" s="29">
        <f>IFERROR(subQ!AA23+subQ!AB17-subQ!AB23,"")</f>
        <v/>
      </c>
      <c r="AC30" s="30" t="n">
        <v>-0.004736154</v>
      </c>
      <c r="AD30" s="30" t="n">
        <v>0.003494381</v>
      </c>
      <c r="AE30" s="31" t="n"/>
      <c r="AF30" s="30" t="n">
        <v>0.007968543999999999</v>
      </c>
      <c r="AG30" s="30" t="n">
        <v>18.581169199</v>
      </c>
      <c r="AH30" s="30" t="n">
        <v>0.00266492</v>
      </c>
      <c r="AI30" s="30" t="n">
        <v>-0.006976671</v>
      </c>
      <c r="AJ30" s="31" t="n"/>
      <c r="AK30" s="30" t="n">
        <v>0.004632015</v>
      </c>
      <c r="AL30" s="30" t="n">
        <v>18.578053481</v>
      </c>
      <c r="AM30" s="30" t="n">
        <v>0.008174249</v>
      </c>
      <c r="AN30" s="30" t="n">
        <v>0.003590014</v>
      </c>
      <c r="AO30" s="31" t="n"/>
    </row>
    <row r="31">
      <c r="A31" s="12" t="inlineStr">
        <is>
          <t>drv:이자발생자산</t>
        </is>
      </c>
      <c r="B31" s="2" t="inlineStr">
        <is>
          <t>qoq</t>
        </is>
      </c>
      <c r="C31" t="inlineStr">
        <is>
          <t>이자발생자산 QoQ</t>
        </is>
      </c>
      <c r="E31" s="21" t="n"/>
      <c r="F31" s="22" t="n"/>
      <c r="G31" s="21">
        <f>IFERROR(subQ!G24/subQ!E24-1,"")</f>
        <v/>
      </c>
      <c r="H31" s="21">
        <f>IFERROR(subQ!H24/subQ!G24-1,"")</f>
        <v/>
      </c>
      <c r="I31" s="21">
        <f>IFERROR(subQ!I24/subQ!H24-1,"")</f>
        <v/>
      </c>
      <c r="J31" s="21">
        <f>IFERROR(subQ!J24/subQ!I24-1,"")</f>
        <v/>
      </c>
      <c r="K31" s="22" t="n"/>
      <c r="L31" s="21">
        <f>IFERROR(subQ!L24/subQ!J24-1,"")</f>
        <v/>
      </c>
      <c r="M31" s="21">
        <f>IFERROR(subQ!M24/subQ!L24-1,"")</f>
        <v/>
      </c>
      <c r="N31" s="21">
        <f>IFERROR(subQ!N24/subQ!M24-1,"")</f>
        <v/>
      </c>
      <c r="O31" s="21">
        <f>IFERROR(subQ!O24/subQ!N24-1,"")</f>
        <v/>
      </c>
      <c r="P31" s="22" t="n"/>
      <c r="Q31" s="21">
        <f>IFERROR(subQ!Q24/subQ!O24-1,"")</f>
        <v/>
      </c>
      <c r="R31" s="21">
        <f>IFERROR(subQ!R24/subQ!Q24-1,"")</f>
        <v/>
      </c>
      <c r="S31" s="21">
        <f>IFERROR(subQ!S24/subQ!R24-1,"")</f>
        <v/>
      </c>
      <c r="T31" s="21">
        <f>IFERROR(subQ!T24/subQ!S24-1,"")</f>
        <v/>
      </c>
      <c r="U31" s="22" t="n"/>
      <c r="V31" s="21">
        <f>IFERROR(subQ!V24/subQ!T24-1,"")</f>
        <v/>
      </c>
      <c r="W31" s="21">
        <f>IFERROR(subQ!W24/subQ!V24-1,"")</f>
        <v/>
      </c>
      <c r="X31" s="21">
        <f>IFERROR(subQ!X24/subQ!W24-1,"")</f>
        <v/>
      </c>
      <c r="Y31" s="21">
        <f>IFERROR(subQ!Y24/subQ!X24-1,"")</f>
        <v/>
      </c>
      <c r="Z31" s="22" t="n"/>
      <c r="AA31" s="21">
        <f>IFERROR(subQ!AA24/subQ!Y24-1,"")</f>
        <v/>
      </c>
      <c r="AB31" s="23">
        <f>IFERROR(subQ!AB24/subQ!AA24-1,"")</f>
        <v/>
      </c>
      <c r="AC31" s="24" t="n">
        <v>0.117388044</v>
      </c>
      <c r="AD31" s="24" t="n">
        <v>0.098235499</v>
      </c>
      <c r="AE31" s="25" t="n"/>
      <c r="AF31" s="24" t="n">
        <v>0.082035306</v>
      </c>
      <c r="AG31" s="24" t="n">
        <v>0.079054702</v>
      </c>
      <c r="AH31" s="24" t="n">
        <v>0.089395343</v>
      </c>
      <c r="AI31" s="24" t="n">
        <v>0.076945755</v>
      </c>
      <c r="AJ31" s="25" t="n"/>
      <c r="AK31" s="24" t="n">
        <v>0.065783655</v>
      </c>
      <c r="AL31" s="24" t="n">
        <v>0.065250035</v>
      </c>
      <c r="AM31" s="24" t="n">
        <v>0.07151004800000001</v>
      </c>
      <c r="AN31" s="24" t="n">
        <v>0.0627564</v>
      </c>
      <c r="AO31" s="25" t="n"/>
    </row>
    <row r="32">
      <c r="A32" s="12" t="inlineStr">
        <is>
          <t>drv:현금및현금성자산</t>
        </is>
      </c>
      <c r="B32" s="2" t="inlineStr">
        <is>
          <t>qoq</t>
        </is>
      </c>
      <c r="C32" t="inlineStr">
        <is>
          <t>현금및현금성자산 QoQ</t>
        </is>
      </c>
      <c r="E32" s="21" t="n"/>
      <c r="F32" s="22" t="n"/>
      <c r="G32" s="21">
        <f>IFERROR(subQ!G25/subQ!E25-1,"")</f>
        <v/>
      </c>
      <c r="H32" s="21">
        <f>IFERROR(subQ!H25/subQ!G25-1,"")</f>
        <v/>
      </c>
      <c r="I32" s="21">
        <f>IFERROR(subQ!I25/subQ!H25-1,"")</f>
        <v/>
      </c>
      <c r="J32" s="21">
        <f>IFERROR(subQ!J25/subQ!I25-1,"")</f>
        <v/>
      </c>
      <c r="K32" s="22" t="n"/>
      <c r="L32" s="21">
        <f>IFERROR(subQ!L25/subQ!J25-1,"")</f>
        <v/>
      </c>
      <c r="M32" s="21">
        <f>IFERROR(subQ!M25/subQ!L25-1,"")</f>
        <v/>
      </c>
      <c r="N32" s="21">
        <f>IFERROR(subQ!N25/subQ!M25-1,"")</f>
        <v/>
      </c>
      <c r="O32" s="21">
        <f>IFERROR(subQ!O25/subQ!N25-1,"")</f>
        <v/>
      </c>
      <c r="P32" s="22" t="n"/>
      <c r="Q32" s="21">
        <f>IFERROR(subQ!Q25/subQ!O25-1,"")</f>
        <v/>
      </c>
      <c r="R32" s="21">
        <f>IFERROR(subQ!R25/subQ!Q25-1,"")</f>
        <v/>
      </c>
      <c r="S32" s="21">
        <f>IFERROR(subQ!S25/subQ!R25-1,"")</f>
        <v/>
      </c>
      <c r="T32" s="21">
        <f>IFERROR(subQ!T25/subQ!S25-1,"")</f>
        <v/>
      </c>
      <c r="U32" s="22" t="n"/>
      <c r="V32" s="21">
        <f>IFERROR(subQ!V25/subQ!T25-1,"")</f>
        <v/>
      </c>
      <c r="W32" s="21">
        <f>IFERROR(subQ!W25/subQ!V25-1,"")</f>
        <v/>
      </c>
      <c r="X32" s="21">
        <f>IFERROR(subQ!X25/subQ!W25-1,"")</f>
        <v/>
      </c>
      <c r="Y32" s="21">
        <f>IFERROR(subQ!Y25/subQ!X25-1,"")</f>
        <v/>
      </c>
      <c r="Z32" s="22" t="n"/>
      <c r="AA32" s="21">
        <f>IFERROR(subQ!AA25/subQ!Y25-1,"")</f>
        <v/>
      </c>
      <c r="AB32" s="23">
        <f>IFERROR(subQ!AB25/subQ!AA25-1,"")</f>
        <v/>
      </c>
      <c r="AC32" s="32" t="n"/>
      <c r="AD32" s="32" t="n"/>
      <c r="AE32" s="25" t="n"/>
      <c r="AF32" s="32" t="n"/>
      <c r="AG32" s="32" t="n"/>
      <c r="AH32" s="32" t="n"/>
      <c r="AI32" s="32" t="n"/>
      <c r="AJ32" s="25" t="n"/>
      <c r="AK32" s="32" t="n"/>
      <c r="AL32" s="32" t="n"/>
      <c r="AM32" s="32" t="n"/>
      <c r="AN32" s="32" t="n"/>
      <c r="AO32" s="25" t="n"/>
    </row>
    <row r="33">
      <c r="A33" s="12" t="inlineStr">
        <is>
          <t>drv:CAPEX</t>
        </is>
      </c>
      <c r="B33" s="2" t="inlineStr">
        <is>
          <t>yoy</t>
        </is>
      </c>
      <c r="C33" t="inlineStr">
        <is>
          <t>CAPEX YoY</t>
        </is>
      </c>
      <c r="E33" s="21" t="n"/>
      <c r="F33" s="22" t="n"/>
      <c r="G33" s="21" t="n"/>
      <c r="H33" s="21" t="n"/>
      <c r="I33" s="21" t="n"/>
      <c r="J33" s="21">
        <f>IFERROR(subQ!J26/subQ!E26-1,"")</f>
        <v/>
      </c>
      <c r="K33" s="22" t="n"/>
      <c r="L33" s="21">
        <f>IFERROR(subQ!L26/subQ!G26-1,"")</f>
        <v/>
      </c>
      <c r="M33" s="21">
        <f>IFERROR(subQ!M26/subQ!H26-1,"")</f>
        <v/>
      </c>
      <c r="N33" s="21">
        <f>IFERROR(subQ!N26/subQ!I26-1,"")</f>
        <v/>
      </c>
      <c r="O33" s="21">
        <f>IFERROR(subQ!O26/subQ!J26-1,"")</f>
        <v/>
      </c>
      <c r="P33" s="22" t="n"/>
      <c r="Q33" s="21">
        <f>IFERROR(subQ!Q26/subQ!L26-1,"")</f>
        <v/>
      </c>
      <c r="R33" s="21">
        <f>IFERROR(subQ!R26/subQ!M26-1,"")</f>
        <v/>
      </c>
      <c r="S33" s="21">
        <f>IFERROR(subQ!S26/subQ!N26-1,"")</f>
        <v/>
      </c>
      <c r="T33" s="21">
        <f>IFERROR(subQ!T26/subQ!O26-1,"")</f>
        <v/>
      </c>
      <c r="U33" s="22" t="n"/>
      <c r="V33" s="21">
        <f>IFERROR(subQ!V26/subQ!Q26-1,"")</f>
        <v/>
      </c>
      <c r="W33" s="21">
        <f>IFERROR(subQ!W26/subQ!R26-1,"")</f>
        <v/>
      </c>
      <c r="X33" s="21">
        <f>IFERROR(subQ!X26/subQ!S26-1,"")</f>
        <v/>
      </c>
      <c r="Y33" s="21">
        <f>IFERROR(subQ!Y26/subQ!T26-1,"")</f>
        <v/>
      </c>
      <c r="Z33" s="22" t="n"/>
      <c r="AA33" s="21">
        <f>IFERROR(subQ!AA26/subQ!V26-1,"")</f>
        <v/>
      </c>
      <c r="AB33" s="23">
        <f>IFERROR(subQ!AB26/subQ!W26-1,"")</f>
        <v/>
      </c>
      <c r="AC33" s="24" t="n">
        <v>1.016476085</v>
      </c>
      <c r="AD33" s="24" t="n">
        <v>0.26348228</v>
      </c>
      <c r="AE33" s="25" t="n"/>
      <c r="AF33" s="24" t="n">
        <v>-0.172448593</v>
      </c>
      <c r="AG33" s="24" t="n">
        <v>-0.8184211219999999</v>
      </c>
      <c r="AH33" s="24" t="n">
        <v>0</v>
      </c>
      <c r="AI33" s="24" t="n">
        <v>0</v>
      </c>
      <c r="AJ33" s="25" t="n"/>
      <c r="AK33" s="24" t="n">
        <v>0</v>
      </c>
      <c r="AL33" s="24" t="n">
        <v>0</v>
      </c>
      <c r="AM33" s="24" t="n">
        <v>0</v>
      </c>
      <c r="AN33" s="24" t="n">
        <v>0</v>
      </c>
      <c r="AO33" s="25" t="n"/>
    </row>
    <row r="34">
      <c r="A34" s="12" t="inlineStr">
        <is>
          <t>drv:영업활동현금흐름</t>
        </is>
      </c>
      <c r="B34" s="2" t="inlineStr">
        <is>
          <t>yoy</t>
        </is>
      </c>
      <c r="C34" t="inlineStr">
        <is>
          <t>영업활동현금흐름 YoY</t>
        </is>
      </c>
      <c r="E34" s="21" t="n"/>
      <c r="F34" s="22" t="n"/>
      <c r="G34" s="21" t="n"/>
      <c r="H34" s="21" t="n"/>
      <c r="I34" s="21" t="n"/>
      <c r="J34" s="21">
        <f>IFERROR(subQ!J27/subQ!E27-1,"")</f>
        <v/>
      </c>
      <c r="K34" s="22" t="n"/>
      <c r="L34" s="21">
        <f>IFERROR(subQ!L27/subQ!G27-1,"")</f>
        <v/>
      </c>
      <c r="M34" s="21">
        <f>IFERROR(subQ!M27/subQ!H27-1,"")</f>
        <v/>
      </c>
      <c r="N34" s="21">
        <f>IFERROR(subQ!N27/subQ!I27-1,"")</f>
        <v/>
      </c>
      <c r="O34" s="21">
        <f>IFERROR(subQ!O27/subQ!J27-1,"")</f>
        <v/>
      </c>
      <c r="P34" s="22" t="n"/>
      <c r="Q34" s="21">
        <f>IFERROR(subQ!Q27/subQ!L27-1,"")</f>
        <v/>
      </c>
      <c r="R34" s="21">
        <f>IFERROR(subQ!R27/subQ!M27-1,"")</f>
        <v/>
      </c>
      <c r="S34" s="21">
        <f>IFERROR(subQ!S27/subQ!N27-1,"")</f>
        <v/>
      </c>
      <c r="T34" s="21">
        <f>IFERROR(subQ!T27/subQ!O27-1,"")</f>
        <v/>
      </c>
      <c r="U34" s="22" t="n"/>
      <c r="V34" s="21">
        <f>IFERROR(subQ!V27/subQ!Q27-1,"")</f>
        <v/>
      </c>
      <c r="W34" s="21">
        <f>IFERROR(subQ!W27/subQ!R27-1,"")</f>
        <v/>
      </c>
      <c r="X34" s="21">
        <f>IFERROR(subQ!X27/subQ!S27-1,"")</f>
        <v/>
      </c>
      <c r="Y34" s="21">
        <f>IFERROR(subQ!Y27/subQ!T27-1,"")</f>
        <v/>
      </c>
      <c r="Z34" s="22" t="n"/>
      <c r="AA34" s="21">
        <f>IFERROR(subQ!AA27/subQ!V27-1,"")</f>
        <v/>
      </c>
      <c r="AB34" s="23">
        <f>IFERROR(subQ!AB27/subQ!W27-1,"")</f>
        <v/>
      </c>
      <c r="AC34" s="32" t="n"/>
      <c r="AD34" s="32" t="n"/>
      <c r="AE34" s="25" t="n"/>
      <c r="AF34" s="32" t="n"/>
      <c r="AG34" s="32" t="n"/>
      <c r="AH34" s="32" t="n"/>
      <c r="AI34" s="32" t="n"/>
      <c r="AJ34" s="25" t="n"/>
      <c r="AK34" s="32" t="n"/>
      <c r="AL34" s="32" t="n"/>
      <c r="AM34" s="32" t="n"/>
      <c r="AN34" s="32" t="n"/>
      <c r="AO34" s="25" t="n"/>
    </row>
    <row r="35">
      <c r="A35" s="12" t="inlineStr">
        <is>
          <t>drv:주식수</t>
        </is>
      </c>
      <c r="B35" s="2" t="inlineStr">
        <is>
          <t>qoq</t>
        </is>
      </c>
      <c r="C35" t="inlineStr">
        <is>
          <t>주식수 QoQ</t>
        </is>
      </c>
      <c r="E35" s="21" t="n"/>
      <c r="F35" s="22" t="n"/>
      <c r="G35" s="21">
        <f>IFERROR(subQ!G28/subQ!E28-1,"")</f>
        <v/>
      </c>
      <c r="H35" s="21">
        <f>IFERROR(subQ!H28/subQ!G28-1,"")</f>
        <v/>
      </c>
      <c r="I35" s="21">
        <f>IFERROR(subQ!I28/subQ!H28-1,"")</f>
        <v/>
      </c>
      <c r="J35" s="21">
        <f>IFERROR(subQ!J28/subQ!I28-1,"")</f>
        <v/>
      </c>
      <c r="K35" s="22" t="n"/>
      <c r="L35" s="21">
        <f>IFERROR(subQ!L28/subQ!J28-1,"")</f>
        <v/>
      </c>
      <c r="M35" s="21">
        <f>IFERROR(subQ!M28/subQ!L28-1,"")</f>
        <v/>
      </c>
      <c r="N35" s="21">
        <f>IFERROR(subQ!N28/subQ!M28-1,"")</f>
        <v/>
      </c>
      <c r="O35" s="21">
        <f>IFERROR(subQ!O28/subQ!N28-1,"")</f>
        <v/>
      </c>
      <c r="P35" s="22" t="n"/>
      <c r="Q35" s="21">
        <f>IFERROR(subQ!Q28/subQ!O28-1,"")</f>
        <v/>
      </c>
      <c r="R35" s="21">
        <f>IFERROR(subQ!R28/subQ!Q28-1,"")</f>
        <v/>
      </c>
      <c r="S35" s="21">
        <f>IFERROR(subQ!S28/subQ!R28-1,"")</f>
        <v/>
      </c>
      <c r="T35" s="21">
        <f>IFERROR(subQ!T28/subQ!S28-1,"")</f>
        <v/>
      </c>
      <c r="U35" s="22" t="n"/>
      <c r="V35" s="21">
        <f>IFERROR(subQ!V28/subQ!T28-1,"")</f>
        <v/>
      </c>
      <c r="W35" s="21">
        <f>IFERROR(subQ!W28/subQ!V28-1,"")</f>
        <v/>
      </c>
      <c r="X35" s="21">
        <f>IFERROR(subQ!X28/subQ!W28-1,"")</f>
        <v/>
      </c>
      <c r="Y35" s="21">
        <f>IFERROR(subQ!Y28/subQ!X28-1,"")</f>
        <v/>
      </c>
      <c r="Z35" s="22" t="n"/>
      <c r="AA35" s="21">
        <f>IFERROR(subQ!AA28/subQ!Y28-1,"")</f>
        <v/>
      </c>
      <c r="AB35" s="23">
        <f>IFERROR(subQ!AB28/subQ!AA28-1,"")</f>
        <v/>
      </c>
      <c r="AC35" s="24" t="n">
        <v>0</v>
      </c>
      <c r="AD35" s="24" t="n">
        <v>0</v>
      </c>
      <c r="AE35" s="25" t="n"/>
      <c r="AF35" s="24" t="n">
        <v>0</v>
      </c>
      <c r="AG35" s="24" t="n">
        <v>0</v>
      </c>
      <c r="AH35" s="24" t="n">
        <v>0</v>
      </c>
      <c r="AI35" s="24" t="n">
        <v>0</v>
      </c>
      <c r="AJ35" s="25" t="n"/>
      <c r="AK35" s="24" t="n">
        <v>0</v>
      </c>
      <c r="AL35" s="24" t="n">
        <v>0</v>
      </c>
      <c r="AM35" s="24" t="n">
        <v>0</v>
      </c>
      <c r="AN35" s="24" t="n">
        <v>0</v>
      </c>
      <c r="AO35" s="25" t="n"/>
    </row>
    <row r="36">
      <c r="A36" s="12" t="inlineStr">
        <is>
          <t>drv:DPS</t>
        </is>
      </c>
      <c r="B36" s="2" t="inlineStr">
        <is>
          <t>abs</t>
        </is>
      </c>
      <c r="C36" t="inlineStr">
        <is>
          <t>DPS (가정, 원)</t>
        </is>
      </c>
      <c r="E36" s="27">
        <f>subQ!E31</f>
        <v/>
      </c>
      <c r="F36" s="28">
        <f>subQ!F31</f>
        <v/>
      </c>
      <c r="G36" s="27">
        <f>subQ!G31</f>
        <v/>
      </c>
      <c r="H36" s="27">
        <f>subQ!H31</f>
        <v/>
      </c>
      <c r="I36" s="27">
        <f>subQ!I31</f>
        <v/>
      </c>
      <c r="J36" s="27">
        <f>subQ!J31</f>
        <v/>
      </c>
      <c r="K36" s="28">
        <f>subQ!K31</f>
        <v/>
      </c>
      <c r="L36" s="27">
        <f>subQ!L31</f>
        <v/>
      </c>
      <c r="M36" s="27">
        <f>subQ!M31</f>
        <v/>
      </c>
      <c r="N36" s="27">
        <f>subQ!N31</f>
        <v/>
      </c>
      <c r="O36" s="27">
        <f>subQ!O31</f>
        <v/>
      </c>
      <c r="P36" s="28">
        <f>subQ!P31</f>
        <v/>
      </c>
      <c r="Q36" s="27">
        <f>subQ!Q31</f>
        <v/>
      </c>
      <c r="R36" s="27">
        <f>subQ!R31</f>
        <v/>
      </c>
      <c r="S36" s="27">
        <f>subQ!S31</f>
        <v/>
      </c>
      <c r="T36" s="27">
        <f>subQ!T31</f>
        <v/>
      </c>
      <c r="U36" s="28">
        <f>subQ!U31</f>
        <v/>
      </c>
      <c r="V36" s="27">
        <f>subQ!V31</f>
        <v/>
      </c>
      <c r="W36" s="27">
        <f>subQ!W31</f>
        <v/>
      </c>
      <c r="X36" s="27">
        <f>subQ!X31</f>
        <v/>
      </c>
      <c r="Y36" s="27">
        <f>subQ!Y31</f>
        <v/>
      </c>
      <c r="Z36" s="28">
        <f>subQ!Z31</f>
        <v/>
      </c>
      <c r="AA36" s="27">
        <f>subQ!AA31</f>
        <v/>
      </c>
      <c r="AB36" s="29">
        <f>subQ!AB31</f>
        <v/>
      </c>
      <c r="AC36" s="33" t="n"/>
      <c r="AD36" s="30" t="n">
        <v>200</v>
      </c>
      <c r="AE36" s="31">
        <f>subQ!AE31</f>
        <v/>
      </c>
      <c r="AF36" s="33" t="n"/>
      <c r="AG36" s="33" t="n"/>
      <c r="AH36" s="33" t="n"/>
      <c r="AI36" s="30" t="n">
        <v>200</v>
      </c>
      <c r="AJ36" s="31">
        <f>subQ!AJ31</f>
        <v/>
      </c>
      <c r="AK36" s="33" t="n"/>
      <c r="AL36" s="33" t="n"/>
      <c r="AM36" s="33" t="n"/>
      <c r="AN36" s="30" t="n">
        <v>200</v>
      </c>
      <c r="AO36" s="31">
        <f>subQ!AO31</f>
        <v/>
      </c>
    </row>
    <row r="37">
      <c r="F37" s="9" t="n"/>
      <c r="K37" s="9" t="n"/>
      <c r="P37" s="9" t="n"/>
      <c r="U37" s="9" t="n"/>
      <c r="Z37" s="9" t="n"/>
      <c r="AB37" s="5" t="n"/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B38" s="1" t="inlineStr">
        <is>
          <t>3. 밸류에이션·스칼라</t>
        </is>
      </c>
      <c r="C38" s="2" t="inlineStr">
        <is>
          <t>노란 셀 = 가정. '연결' 표시는 추정 전 분기 수식이 이 셀을 참조한다는 뜻</t>
        </is>
      </c>
      <c r="F38" s="9" t="n"/>
      <c r="K38" s="9" t="n"/>
      <c r="P38" s="9" t="n"/>
      <c r="U38" s="9" t="n"/>
      <c r="Z38" s="9" t="n"/>
      <c r="AB38" s="5" t="n"/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s="12" t="inlineStr">
        <is>
          <t>sc:종가</t>
        </is>
      </c>
      <c r="C39" t="inlineStr">
        <is>
          <t>종가</t>
        </is>
      </c>
      <c r="D39" s="34" t="n">
        <v>14720</v>
      </c>
      <c r="E39" s="2" t="inlineStr">
        <is>
          <t>원 — 네이버 정규장 종가(aik 확정종가 대조 · aik 15,550원)</t>
        </is>
      </c>
      <c r="F39" s="9" t="n"/>
      <c r="K39" s="9" t="n"/>
      <c r="P39" s="9" t="n"/>
      <c r="U39" s="9" t="n"/>
      <c r="Z39" s="9" t="n"/>
      <c r="AB39" s="5" t="n"/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s="12" t="inlineStr">
        <is>
          <t>sc:기준일</t>
        </is>
      </c>
      <c r="C40" t="inlineStr">
        <is>
          <t>기준일</t>
        </is>
      </c>
      <c r="D40" s="35" t="inlineStr">
        <is>
          <t>20261026</t>
        </is>
      </c>
      <c r="E40" s="2" t="inlineStr">
        <is>
          <t>종가 기준일</t>
        </is>
      </c>
      <c r="F40" s="9" t="n"/>
      <c r="K40" s="9" t="n"/>
      <c r="P40" s="9" t="n"/>
      <c r="U40" s="9" t="n"/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s="12" t="inlineStr">
        <is>
          <t>sc:COE</t>
        </is>
      </c>
      <c r="C41" t="inlineStr">
        <is>
          <t>COE</t>
        </is>
      </c>
      <c r="D41" s="24" t="n">
        <v>0.09</v>
      </c>
      <c r="E41" s="2" t="inlineStr">
        <is>
          <t>자기자본비용(가정) — TP 적정 PBR = ROE/COE</t>
        </is>
      </c>
      <c r="F41" s="9" t="n"/>
      <c r="K41" s="9" t="n"/>
      <c r="P41" s="9" t="n"/>
      <c r="U41" s="9" t="n"/>
      <c r="Z41" s="9" t="n"/>
      <c r="AB41" s="5" t="n"/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s="12" t="inlineStr">
        <is>
          <t>sc:PER_lo</t>
        </is>
      </c>
      <c r="C42" t="inlineStr">
        <is>
          <t>PER_lo</t>
        </is>
      </c>
      <c r="D42" s="30" t="n">
        <v>8.4</v>
      </c>
      <c r="E42" s="2" t="inlineStr">
        <is>
          <t>PER 밴드 하단(배) — hist_quarterly(분기 평균가 ÷ TTM EPS, 12분기, 25/50/75 백분위)</t>
        </is>
      </c>
      <c r="F42" s="9" t="n"/>
      <c r="K42" s="9" t="n"/>
      <c r="P42" s="9" t="n"/>
      <c r="U42" s="9" t="n"/>
      <c r="Z42" s="9" t="n"/>
      <c r="AB42" s="5" t="n"/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s="12" t="inlineStr">
        <is>
          <t>sc:PER_mid</t>
        </is>
      </c>
      <c r="C43" t="inlineStr">
        <is>
          <t>PER_mid</t>
        </is>
      </c>
      <c r="D43" s="30" t="n">
        <v>9.5</v>
      </c>
      <c r="E43" s="2" t="inlineStr">
        <is>
          <t>PER 밴드 중단(배)</t>
        </is>
      </c>
      <c r="F43" s="9" t="n"/>
      <c r="K43" s="9" t="n"/>
      <c r="P43" s="9" t="n"/>
      <c r="U43" s="9" t="n"/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s="12" t="inlineStr">
        <is>
          <t>sc:PER_hi</t>
        </is>
      </c>
      <c r="C44" t="inlineStr">
        <is>
          <t>PER_hi</t>
        </is>
      </c>
      <c r="D44" s="30" t="n">
        <v>10.7</v>
      </c>
      <c r="E44" s="2" t="inlineStr">
        <is>
          <t>PER 밴드 상단(배)</t>
        </is>
      </c>
      <c r="F44" s="9" t="n"/>
      <c r="K44" s="9" t="n"/>
      <c r="P44" s="9" t="n"/>
      <c r="U44" s="9" t="n"/>
      <c r="Z44" s="9" t="n"/>
      <c r="AB44" s="5" t="n"/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s="12" t="inlineStr">
        <is>
          <t>sc:EPS_Y1가중</t>
        </is>
      </c>
      <c r="C45" t="inlineStr">
        <is>
          <t>EPS_Y1가중</t>
        </is>
      </c>
      <c r="D45" s="24" t="n">
        <v>0.5</v>
      </c>
      <c r="E45" s="2" t="inlineStr">
        <is>
          <t>12M fwd EPS = FY(last_actual연도)E × w + FY+1E × (1−w) — 기준 분기 2Q 이면 0.5(가정)</t>
        </is>
      </c>
      <c r="F45" s="9" t="n"/>
      <c r="K45" s="9" t="n"/>
      <c r="P45" s="9" t="n"/>
      <c r="U45" s="9" t="n"/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s="12" t="inlineStr">
        <is>
          <t>sc:세율</t>
        </is>
      </c>
      <c r="C46" t="inlineStr">
        <is>
          <t>세율</t>
        </is>
      </c>
      <c r="D46" s="36" t="n">
        <v>0.1896133923212023</v>
      </c>
      <c r="E46" s="2" t="inlineStr">
        <is>
          <t>연결 — 법인세 = MAX(세전,0) × 세율(역산, 재현 오차 ≤ 0.05억 · 모델 assumptions 0.1896) · 최근 12분기 유효세율 19.0%(5~27% 안 — 그대로)</t>
        </is>
      </c>
      <c r="F46" s="9" t="n"/>
      <c r="K46" s="9" t="n"/>
      <c r="P46" s="9" t="n"/>
      <c r="U46" s="9" t="n"/>
      <c r="Z46" s="9" t="n"/>
      <c r="AB46" s="5" t="n"/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s="12" t="inlineStr">
        <is>
          <t>sc:판관비율</t>
        </is>
      </c>
      <c r="C47" t="inlineStr">
        <is>
          <t>판관비율</t>
        </is>
      </c>
      <c r="D47" s="36" t="n">
        <v>0.06922589795370446</v>
      </c>
      <c r="E47" s="2" t="inlineStr">
        <is>
          <t>연결 — 판관비 = 매출액 × 판관비율(역산, 재현 오차 ≤ 0.05억 · 모델 assumptions 0.0692)</t>
        </is>
      </c>
      <c r="F47" s="9" t="n"/>
      <c r="K47" s="9" t="n"/>
      <c r="P47" s="9" t="n"/>
      <c r="U47" s="9" t="n"/>
      <c r="Z47" s="9" t="n"/>
      <c r="AB47" s="5" t="n"/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s="12" t="inlineStr">
        <is>
          <t>sc:지배주주비중</t>
        </is>
      </c>
      <c r="C48" t="inlineStr">
        <is>
          <t>지배주주비중</t>
        </is>
      </c>
      <c r="D48" s="36" t="n">
        <v>1</v>
      </c>
      <c r="E48" s="2" t="inlineStr">
        <is>
          <t>연결 — 지배주주순이익 = 당기순이익 × 비중(역산, 재현 오차 ≤ 0.05억)</t>
        </is>
      </c>
      <c r="F48" s="9" t="n"/>
      <c r="K48" s="9" t="n"/>
      <c r="P48" s="9" t="n"/>
      <c r="U48" s="9" t="n"/>
      <c r="Z48" s="9" t="n"/>
      <c r="AB48" s="5" t="n"/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s="12" t="inlineStr">
        <is>
          <t>sc:이자율_자산</t>
        </is>
      </c>
      <c r="C49" t="inlineStr">
        <is>
          <t>이자율_자산</t>
        </is>
      </c>
      <c r="D49" s="36" t="n">
        <v>0.05500607956717433</v>
      </c>
      <c r="E49" s="2" t="inlineStr">
        <is>
          <t>연결 — 이자손익 = (전분기 이자발생자산 × 자산이자율 − 전분기 총차입금 × 부채이자율)/4(역산, 재현 오차 ≤ 0.05억 · 모델 assumptions 0.055)</t>
        </is>
      </c>
      <c r="F49" s="9" t="n"/>
      <c r="K49" s="9" t="n"/>
      <c r="P49" s="9" t="n"/>
      <c r="U49" s="9" t="n"/>
      <c r="Z49" s="9" t="n"/>
      <c r="AB49" s="5" t="n"/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s="12" t="inlineStr">
        <is>
          <t>sc:이자율_부채</t>
        </is>
      </c>
      <c r="C50" t="inlineStr">
        <is>
          <t>이자율_부채</t>
        </is>
      </c>
      <c r="D50" s="36" t="n"/>
      <c r="E50" s="2" t="inlineStr">
        <is>
          <t>연결 — 같은 수식의 부채 쪽(총차입금 행이 없으면 0)(역산, 재현 오차 ≤ 0.05억)</t>
        </is>
      </c>
      <c r="F50" s="9" t="n"/>
      <c r="K50" s="9" t="n"/>
      <c r="P50" s="9" t="n"/>
      <c r="U50" s="9" t="n"/>
      <c r="Z50" s="9" t="n"/>
      <c r="AB50" s="5" t="n"/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s="12" t="inlineStr">
        <is>
          <t>sc:배당성향</t>
        </is>
      </c>
      <c r="C51" t="inlineStr">
        <is>
          <t>배당성향</t>
        </is>
      </c>
      <c r="D51" s="24" t="n">
        <v>0.075</v>
      </c>
      <c r="E51" s="2" t="inlineStr">
        <is>
          <t>배당성향(참고 — 모델은 직전 DPS 유지·Q2 지급 가정)</t>
        </is>
      </c>
      <c r="F51" s="9" t="n"/>
      <c r="K51" s="9" t="n"/>
      <c r="P51" s="9" t="n"/>
      <c r="U51" s="9" t="n"/>
      <c r="Z51" s="9" t="n"/>
      <c r="AB51" s="5" t="n"/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s="12" t="inlineStr">
        <is>
          <t>sc:외화순노출_백만$</t>
        </is>
      </c>
      <c r="C52" t="inlineStr">
        <is>
          <t>외화순노출_백만$</t>
        </is>
      </c>
      <c r="D52" s="30" t="n"/>
      <c r="E52" s="2" t="inlineStr">
        <is>
          <t>외화 순노출 × Δ기말환율 (외화 시트 방식) — 외화 순노출 미공시(face) → 0 + 표기</t>
        </is>
      </c>
      <c r="F52" s="9" t="n"/>
      <c r="K52" s="9" t="n"/>
      <c r="P52" s="9" t="n"/>
      <c r="U52" s="9" t="n"/>
      <c r="Z52" s="9" t="n"/>
      <c r="AB52" s="5" t="n"/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s="12" t="inlineStr">
        <is>
          <t>sc:헤지비율</t>
        </is>
      </c>
      <c r="C53" t="inlineStr">
        <is>
          <t>헤지비율</t>
        </is>
      </c>
      <c r="D53" s="24" t="n"/>
      <c r="E53" s="2" t="inlineStr">
        <is>
          <t>sls 없음</t>
        </is>
      </c>
      <c r="F53" s="9" t="n"/>
      <c r="K53" s="9" t="n"/>
      <c r="P53" s="9" t="n"/>
      <c r="U53" s="9" t="n"/>
      <c r="Z53" s="9" t="n"/>
      <c r="AB53" s="5" t="n"/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s="12" t="inlineStr">
        <is>
          <t>sc:헤지환율_약정</t>
        </is>
      </c>
      <c r="C54" t="inlineStr">
        <is>
          <t>헤지환율_약정</t>
        </is>
      </c>
      <c r="D54" s="16" t="n"/>
      <c r="E54" s="2" t="inlineStr">
        <is>
          <t>sls 없음</t>
        </is>
      </c>
      <c r="F54" s="9" t="n"/>
      <c r="K54" s="9" t="n"/>
      <c r="P54" s="9" t="n"/>
      <c r="U54" s="9" t="n"/>
      <c r="Z54" s="9" t="n"/>
      <c r="AB54" s="5" t="n"/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6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BS연결H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연결</t>
        </is>
      </c>
      <c r="D2" s="2" t="inlineStr">
        <is>
          <t>fin json(kship_fin.py)</t>
        </is>
      </c>
      <c r="AB2" s="5" t="n"/>
    </row>
    <row r="3">
      <c r="B3" t="inlineStr">
        <is>
          <t>대양전기공업(연)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114662.75</v>
      </c>
      <c r="F5" s="37" t="n">
        <v>114662.75</v>
      </c>
      <c r="G5" s="18" t="n">
        <v>122240.36</v>
      </c>
      <c r="H5" s="18" t="n">
        <v>123615.1</v>
      </c>
      <c r="I5" s="18" t="n">
        <v>127884.24</v>
      </c>
      <c r="J5" s="18" t="n">
        <v>127196.71</v>
      </c>
      <c r="K5" s="37" t="n">
        <v>127196.71</v>
      </c>
      <c r="L5" s="18" t="n">
        <v>132207.02</v>
      </c>
      <c r="M5" s="18" t="n">
        <v>141007.44</v>
      </c>
      <c r="N5" s="18" t="n">
        <v>138400.79</v>
      </c>
      <c r="O5" s="18" t="n">
        <v>152193.85</v>
      </c>
      <c r="P5" s="37" t="n">
        <v>152193.85</v>
      </c>
      <c r="Q5" s="18" t="n">
        <v>151004.98</v>
      </c>
      <c r="R5" s="18" t="n">
        <v>155385.01</v>
      </c>
      <c r="S5" s="18" t="n">
        <v>157717.24</v>
      </c>
      <c r="T5" s="18" t="n">
        <v>167739.87</v>
      </c>
      <c r="U5" s="37" t="n">
        <v>167739.87</v>
      </c>
      <c r="V5" s="18" t="n">
        <v>183607.42</v>
      </c>
      <c r="W5" s="18" t="n">
        <v>203513.93</v>
      </c>
      <c r="X5" s="18" t="n">
        <v>204339.94</v>
      </c>
      <c r="Y5" s="18" t="n">
        <v>207302.69</v>
      </c>
      <c r="Z5" s="37" t="n">
        <v>207302.69</v>
      </c>
      <c r="AA5" s="18" t="n">
        <v>223867.46</v>
      </c>
      <c r="AB5" s="19" t="n">
        <v>225180.68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38439.6</v>
      </c>
      <c r="F6" s="37" t="n">
        <v>38439.6</v>
      </c>
      <c r="G6" s="18" t="n">
        <v>27317.76</v>
      </c>
      <c r="H6" s="18" t="n">
        <v>26668.27</v>
      </c>
      <c r="I6" s="18" t="n">
        <v>29176.22</v>
      </c>
      <c r="J6" s="18" t="n">
        <v>27883.82</v>
      </c>
      <c r="K6" s="37" t="n">
        <v>27883.82</v>
      </c>
      <c r="L6" s="18" t="n">
        <v>25275.5</v>
      </c>
      <c r="M6" s="18" t="n">
        <v>31968.84</v>
      </c>
      <c r="N6" s="18" t="n">
        <v>21958.54</v>
      </c>
      <c r="O6" s="18" t="n">
        <v>39294.44</v>
      </c>
      <c r="P6" s="37" t="n">
        <v>39294.44</v>
      </c>
      <c r="Q6" s="18" t="n">
        <v>30995.1</v>
      </c>
      <c r="R6" s="18" t="n">
        <v>34067.27</v>
      </c>
      <c r="S6" s="18" t="n">
        <v>35879.5</v>
      </c>
      <c r="T6" s="18" t="n">
        <v>34949.76</v>
      </c>
      <c r="U6" s="37" t="n">
        <v>34949.76</v>
      </c>
      <c r="V6" s="18" t="n">
        <v>38014.46</v>
      </c>
      <c r="W6" s="18" t="n">
        <v>35112.52</v>
      </c>
      <c r="X6" s="18" t="n">
        <v>38137.1</v>
      </c>
      <c r="Y6" s="18" t="n">
        <v>43446.84</v>
      </c>
      <c r="Z6" s="37" t="n">
        <v>43446.84</v>
      </c>
      <c r="AA6" s="18" t="n">
        <v>43188.11</v>
      </c>
      <c r="AB6" s="19" t="n">
        <v>44253.17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24636.45</v>
      </c>
      <c r="F7" s="37" t="n">
        <v>24636.45</v>
      </c>
      <c r="G7" s="18" t="n">
        <v>26585.57</v>
      </c>
      <c r="H7" s="18" t="n">
        <v>28011.21</v>
      </c>
      <c r="I7" s="18" t="n">
        <v>26968.27</v>
      </c>
      <c r="J7" s="18" t="n">
        <v>23386.03</v>
      </c>
      <c r="K7" s="37" t="n">
        <v>23386.03</v>
      </c>
      <c r="L7" s="18" t="n">
        <v>27155.77</v>
      </c>
      <c r="M7" s="18" t="n">
        <v>25816.15</v>
      </c>
      <c r="N7" s="18" t="n">
        <v>30065.16</v>
      </c>
      <c r="O7" s="18" t="n">
        <v>29997.79</v>
      </c>
      <c r="P7" s="37" t="n">
        <v>29997.79</v>
      </c>
      <c r="Q7" s="18" t="n">
        <v>24779.77</v>
      </c>
      <c r="R7" s="18" t="n">
        <v>26812.57</v>
      </c>
      <c r="S7" s="18" t="n">
        <v>28844.94</v>
      </c>
      <c r="T7" s="18" t="n">
        <v>36861.09</v>
      </c>
      <c r="U7" s="37" t="n">
        <v>36861.09</v>
      </c>
      <c r="V7" s="18" t="n">
        <v>38818.49</v>
      </c>
      <c r="W7" s="18" t="n">
        <v>39506.09</v>
      </c>
      <c r="X7" s="18" t="n">
        <v>36326.96</v>
      </c>
      <c r="Y7" s="18" t="n">
        <v>37268.06</v>
      </c>
      <c r="Z7" s="37" t="n">
        <v>37268.06</v>
      </c>
      <c r="AA7" s="18" t="n">
        <v>34151.85</v>
      </c>
      <c r="AB7" s="19" t="n">
        <v>50671.56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단기투자자산(공정가치)</t>
        </is>
      </c>
      <c r="E8" s="18" t="n">
        <v>4185.91</v>
      </c>
      <c r="F8" s="37" t="n">
        <v>4185.91</v>
      </c>
      <c r="G8" s="18" t="n">
        <v>4275.47</v>
      </c>
      <c r="H8" s="18" t="n">
        <v>6559.14</v>
      </c>
      <c r="I8" s="18" t="n">
        <v>7250.59</v>
      </c>
      <c r="J8" s="18" t="n">
        <v>10352.3</v>
      </c>
      <c r="K8" s="37" t="n">
        <v>10352.3</v>
      </c>
      <c r="L8" s="18" t="n">
        <v>10706.2</v>
      </c>
      <c r="M8" s="18" t="n">
        <v>10835</v>
      </c>
      <c r="N8" s="18" t="n">
        <v>8371.18</v>
      </c>
      <c r="O8" s="18" t="n">
        <v>4097.66</v>
      </c>
      <c r="P8" s="37" t="n">
        <v>4097.66</v>
      </c>
      <c r="Q8" s="18" t="n">
        <v>4281.83</v>
      </c>
      <c r="R8" s="18" t="n">
        <v>4466.09</v>
      </c>
      <c r="S8" s="18" t="n">
        <v>4288.21</v>
      </c>
      <c r="T8" s="18" t="n">
        <v>12155.52</v>
      </c>
      <c r="U8" s="37" t="n">
        <v>12155.52</v>
      </c>
      <c r="V8" s="18" t="n">
        <v>24521.68</v>
      </c>
      <c r="W8" s="18" t="n">
        <v>38933.25</v>
      </c>
      <c r="X8" s="18" t="n">
        <v>34460.12</v>
      </c>
      <c r="Y8" s="18" t="n">
        <v>34769.73</v>
      </c>
      <c r="Z8" s="37" t="n">
        <v>34769.73</v>
      </c>
      <c r="AA8" s="18" t="n">
        <v>40501.05</v>
      </c>
      <c r="AB8" s="19" t="n">
        <v>30461.19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기타유동금융자산</t>
        </is>
      </c>
      <c r="E9" s="18" t="n">
        <v>9935.309999999999</v>
      </c>
      <c r="F9" s="37" t="n">
        <v>9935.309999999999</v>
      </c>
      <c r="G9" s="18" t="n">
        <v>27061.86</v>
      </c>
      <c r="H9" s="18" t="n">
        <v>27150.2</v>
      </c>
      <c r="I9" s="18" t="n">
        <v>27220.74</v>
      </c>
      <c r="J9" s="18" t="n">
        <v>29539.42</v>
      </c>
      <c r="K9" s="37" t="n">
        <v>29539.42</v>
      </c>
      <c r="L9" s="18" t="n">
        <v>29532.67</v>
      </c>
      <c r="M9" s="18" t="n">
        <v>29207.07</v>
      </c>
      <c r="N9" s="18" t="n">
        <v>30376.83</v>
      </c>
      <c r="O9" s="18" t="n">
        <v>30183</v>
      </c>
      <c r="P9" s="37" t="n">
        <v>30183</v>
      </c>
      <c r="Q9" s="18" t="n">
        <v>32340.55</v>
      </c>
      <c r="R9" s="18" t="n">
        <v>32591.88</v>
      </c>
      <c r="S9" s="18" t="n">
        <v>32770.64</v>
      </c>
      <c r="T9" s="18" t="n">
        <v>31990.05</v>
      </c>
      <c r="U9" s="37" t="n">
        <v>31990.05</v>
      </c>
      <c r="V9" s="18" t="n">
        <v>31173.51</v>
      </c>
      <c r="W9" s="18" t="n">
        <v>31662.29</v>
      </c>
      <c r="X9" s="18" t="n">
        <v>36655.54</v>
      </c>
      <c r="Y9" s="18" t="n">
        <v>36809.09</v>
      </c>
      <c r="Z9" s="37" t="n">
        <v>36809.09</v>
      </c>
      <c r="AA9" s="18" t="n">
        <v>36933.97</v>
      </c>
      <c r="AB9" s="19" t="n">
        <v>38343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당기법인세자산(선급법인세)</t>
        </is>
      </c>
      <c r="E10" s="18" t="n">
        <v>567.6</v>
      </c>
      <c r="F10" s="37" t="n">
        <v>567.6</v>
      </c>
      <c r="G10" s="18" t="n">
        <v>568.04</v>
      </c>
      <c r="H10" s="18" t="n">
        <v>98.47</v>
      </c>
      <c r="I10" s="18" t="n">
        <v>157.51</v>
      </c>
      <c r="J10" s="18" t="n">
        <v>250.06</v>
      </c>
      <c r="K10" s="37" t="n">
        <v>250.06</v>
      </c>
      <c r="L10" s="18" t="n">
        <v>412.2</v>
      </c>
      <c r="M10" s="18" t="n">
        <v>283.51</v>
      </c>
      <c r="N10" s="18" t="n">
        <v>369.61</v>
      </c>
      <c r="O10" s="18" t="n">
        <v>24.3</v>
      </c>
      <c r="P10" s="37" t="n">
        <v>24.3</v>
      </c>
      <c r="Q10" s="18" t="n">
        <v>30.46</v>
      </c>
      <c r="R10" s="18" t="n">
        <v>0</v>
      </c>
      <c r="S10" s="18" t="n">
        <v>26.92</v>
      </c>
      <c r="T10" s="18" t="n">
        <v>41.98</v>
      </c>
      <c r="U10" s="37" t="n">
        <v>41.98</v>
      </c>
      <c r="V10" s="18" t="n">
        <v>56.11</v>
      </c>
      <c r="W10" s="18" t="n">
        <v>17.9</v>
      </c>
      <c r="X10" s="18" t="n">
        <v>0</v>
      </c>
      <c r="Y10" s="18" t="n">
        <v>0</v>
      </c>
      <c r="Z10" s="37" t="n">
        <v>0</v>
      </c>
      <c r="AA10" s="18" t="n">
        <v>0</v>
      </c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29020.6</v>
      </c>
      <c r="F11" s="37" t="n">
        <v>29020.6</v>
      </c>
      <c r="G11" s="18" t="n">
        <v>27948.39</v>
      </c>
      <c r="H11" s="18" t="n">
        <v>28352.22</v>
      </c>
      <c r="I11" s="18" t="n">
        <v>31545.25</v>
      </c>
      <c r="J11" s="18" t="n">
        <v>25689.56</v>
      </c>
      <c r="K11" s="37" t="n">
        <v>25689.56</v>
      </c>
      <c r="L11" s="18" t="n">
        <v>29376.08</v>
      </c>
      <c r="M11" s="18" t="n">
        <v>34923.37</v>
      </c>
      <c r="N11" s="18" t="n">
        <v>38119.12</v>
      </c>
      <c r="O11" s="18" t="n">
        <v>38466.57</v>
      </c>
      <c r="P11" s="37" t="n">
        <v>38466.57</v>
      </c>
      <c r="Q11" s="18" t="n">
        <v>44248.95</v>
      </c>
      <c r="R11" s="18" t="n">
        <v>42418.41</v>
      </c>
      <c r="S11" s="18" t="n">
        <v>42899.8</v>
      </c>
      <c r="T11" s="18" t="n">
        <v>38204.64</v>
      </c>
      <c r="U11" s="37" t="n">
        <v>38204.64</v>
      </c>
      <c r="V11" s="18" t="n">
        <v>41740.88</v>
      </c>
      <c r="W11" s="18" t="n">
        <v>42997.2</v>
      </c>
      <c r="X11" s="18" t="n">
        <v>39982.46</v>
      </c>
      <c r="Y11" s="18" t="n">
        <v>35932.39</v>
      </c>
      <c r="Z11" s="37" t="n">
        <v>35932.39</v>
      </c>
      <c r="AA11" s="18" t="n">
        <v>48678.08</v>
      </c>
      <c r="AB11" s="19" t="n">
        <v>46027.62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매각예정비유동자산및처분자산</t>
        </is>
      </c>
      <c r="E12" s="18" t="n">
        <v>0</v>
      </c>
      <c r="F12" s="37" t="n">
        <v>0</v>
      </c>
      <c r="J12" s="18" t="n">
        <v>0</v>
      </c>
      <c r="K12" s="37" t="n">
        <v>0</v>
      </c>
      <c r="L12" s="18" t="n">
        <v>0</v>
      </c>
      <c r="P12" s="9" t="n"/>
      <c r="U12" s="9" t="n"/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145340.64</v>
      </c>
      <c r="F13" s="37" t="n">
        <v>145340.64</v>
      </c>
      <c r="G13" s="18" t="n">
        <v>135820.12</v>
      </c>
      <c r="H13" s="18" t="n">
        <v>135195.14</v>
      </c>
      <c r="I13" s="18" t="n">
        <v>134729.92</v>
      </c>
      <c r="J13" s="18" t="n">
        <v>133915.81</v>
      </c>
      <c r="K13" s="37" t="n">
        <v>133915.81</v>
      </c>
      <c r="L13" s="18" t="n">
        <v>134063.15</v>
      </c>
      <c r="M13" s="18" t="n">
        <v>138247.38</v>
      </c>
      <c r="N13" s="18" t="n">
        <v>141884.87</v>
      </c>
      <c r="O13" s="18" t="n">
        <v>145756.43</v>
      </c>
      <c r="P13" s="37" t="n">
        <v>145756.43</v>
      </c>
      <c r="Q13" s="18" t="n">
        <v>144952.59</v>
      </c>
      <c r="R13" s="18" t="n">
        <v>147464.64</v>
      </c>
      <c r="S13" s="18" t="n">
        <v>145947.16</v>
      </c>
      <c r="T13" s="18" t="n">
        <v>140866.02</v>
      </c>
      <c r="U13" s="37" t="n">
        <v>140866.02</v>
      </c>
      <c r="V13" s="18" t="n">
        <v>126986.11</v>
      </c>
      <c r="W13" s="18" t="n">
        <v>115327.82</v>
      </c>
      <c r="X13" s="18" t="n">
        <v>115610.24</v>
      </c>
      <c r="Y13" s="18" t="n">
        <v>114680.87</v>
      </c>
      <c r="Z13" s="37" t="n">
        <v>114680.87</v>
      </c>
      <c r="AA13" s="18" t="n">
        <v>109014.32</v>
      </c>
      <c r="AB13" s="19" t="n">
        <v>121134.94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813.6900000000001</v>
      </c>
      <c r="F14" s="37" t="n">
        <v>813.6900000000001</v>
      </c>
      <c r="G14" s="18" t="n">
        <v>924.67</v>
      </c>
      <c r="H14" s="18" t="n">
        <v>1230.12</v>
      </c>
      <c r="I14" s="18" t="n">
        <v>1484.21</v>
      </c>
      <c r="J14" s="18" t="n">
        <v>81.14</v>
      </c>
      <c r="K14" s="37" t="n">
        <v>81.14</v>
      </c>
      <c r="L14" s="18" t="n">
        <v>37.83</v>
      </c>
      <c r="M14" s="18" t="n">
        <v>104.49</v>
      </c>
      <c r="N14" s="18" t="n">
        <v>177.2</v>
      </c>
      <c r="O14" s="18" t="n">
        <v>726.05</v>
      </c>
      <c r="P14" s="37" t="n">
        <v>726.05</v>
      </c>
      <c r="Q14" s="18" t="n">
        <v>1009.24</v>
      </c>
      <c r="R14" s="18" t="n">
        <v>1930.09</v>
      </c>
      <c r="S14" s="18" t="n">
        <v>611.4299999999999</v>
      </c>
      <c r="T14" s="18" t="n">
        <v>1662.41</v>
      </c>
      <c r="U14" s="37" t="n">
        <v>1662.41</v>
      </c>
      <c r="V14" s="18" t="n">
        <v>606.5700000000001</v>
      </c>
      <c r="W14" s="18" t="n">
        <v>1060.04</v>
      </c>
      <c r="X14" s="18" t="n">
        <v>1083.31</v>
      </c>
      <c r="Y14" s="18" t="n">
        <v>809.54</v>
      </c>
      <c r="Z14" s="37" t="n">
        <v>809.54</v>
      </c>
      <c r="AA14" s="18" t="n">
        <v>922.35</v>
      </c>
      <c r="AB14" s="19" t="n">
        <v>1030.21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39885.42</v>
      </c>
      <c r="F15" s="37" t="n">
        <v>39885.42</v>
      </c>
      <c r="G15" s="18" t="n">
        <v>43835.27</v>
      </c>
      <c r="H15" s="18" t="n">
        <v>41818.64</v>
      </c>
      <c r="I15" s="18" t="n">
        <v>41735.44</v>
      </c>
      <c r="J15" s="18" t="n">
        <v>41153.41</v>
      </c>
      <c r="K15" s="37" t="n">
        <v>41153.41</v>
      </c>
      <c r="L15" s="18" t="n">
        <v>42357.96</v>
      </c>
      <c r="M15" s="18" t="n">
        <v>42790.39</v>
      </c>
      <c r="N15" s="18" t="n">
        <v>45250.98</v>
      </c>
      <c r="O15" s="18" t="n">
        <v>46702.02</v>
      </c>
      <c r="P15" s="37" t="n">
        <v>46702.02</v>
      </c>
      <c r="Q15" s="18" t="n">
        <v>47140.66</v>
      </c>
      <c r="R15" s="18" t="n">
        <v>47547.47</v>
      </c>
      <c r="S15" s="18" t="n">
        <v>47672.28</v>
      </c>
      <c r="T15" s="18" t="n">
        <v>41548.17</v>
      </c>
      <c r="U15" s="37" t="n">
        <v>41548.17</v>
      </c>
      <c r="V15" s="18" t="n">
        <v>27616.13</v>
      </c>
      <c r="W15" s="18" t="n">
        <v>12751.34</v>
      </c>
      <c r="X15" s="18" t="n">
        <v>13445.04</v>
      </c>
      <c r="Y15" s="18" t="n">
        <v>14471.83</v>
      </c>
      <c r="Z15" s="37" t="n">
        <v>14471.83</v>
      </c>
      <c r="AA15" s="18" t="n">
        <v>9497.84</v>
      </c>
      <c r="AB15" s="19" t="n">
        <v>12248.24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39885.42</v>
      </c>
      <c r="F16" s="37" t="n">
        <v>39885.42</v>
      </c>
      <c r="G16" s="18" t="n">
        <v>43835.27</v>
      </c>
      <c r="H16" s="18" t="n">
        <v>41818.64</v>
      </c>
      <c r="I16" s="18" t="n">
        <v>41735.44</v>
      </c>
      <c r="J16" s="18" t="n">
        <v>41153.41</v>
      </c>
      <c r="K16" s="37" t="n">
        <v>41153.41</v>
      </c>
      <c r="L16" s="18" t="n">
        <v>42357.96</v>
      </c>
      <c r="M16" s="18" t="n">
        <v>42790.39</v>
      </c>
      <c r="N16" s="18" t="n">
        <v>45250.98</v>
      </c>
      <c r="O16" s="18" t="n">
        <v>46702.02</v>
      </c>
      <c r="P16" s="37" t="n">
        <v>46702.02</v>
      </c>
      <c r="Q16" s="18" t="n">
        <v>47140.66</v>
      </c>
      <c r="R16" s="18" t="n">
        <v>47547.47</v>
      </c>
      <c r="S16" s="18" t="n">
        <v>47672.28</v>
      </c>
      <c r="T16" s="18" t="n">
        <v>41548.17</v>
      </c>
      <c r="U16" s="37" t="n">
        <v>41548.17</v>
      </c>
      <c r="V16" s="18" t="n">
        <v>27616.13</v>
      </c>
      <c r="W16" s="18" t="n">
        <v>12751.34</v>
      </c>
      <c r="X16" s="18" t="n">
        <v>13445.04</v>
      </c>
      <c r="Y16" s="18" t="n">
        <v>14471.83</v>
      </c>
      <c r="Z16" s="37" t="n">
        <v>14471.83</v>
      </c>
      <c r="AA16" s="18" t="n">
        <v>9497.84</v>
      </c>
      <c r="AB16" s="19" t="n">
        <v>12248.24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유형자산</t>
        </is>
      </c>
      <c r="E17" s="18" t="n">
        <v>72261.42</v>
      </c>
      <c r="F17" s="37" t="n">
        <v>72261.42</v>
      </c>
      <c r="G17" s="18" t="n">
        <v>76101.88</v>
      </c>
      <c r="H17" s="18" t="n">
        <v>76939.60000000001</v>
      </c>
      <c r="I17" s="18" t="n">
        <v>76874.77</v>
      </c>
      <c r="J17" s="18" t="n">
        <v>76491.86</v>
      </c>
      <c r="K17" s="37" t="n">
        <v>76491.86</v>
      </c>
      <c r="L17" s="18" t="n">
        <v>75953.3</v>
      </c>
      <c r="M17" s="18" t="n">
        <v>79693.95</v>
      </c>
      <c r="N17" s="18" t="n">
        <v>81650.53999999999</v>
      </c>
      <c r="O17" s="18" t="n">
        <v>83082.81</v>
      </c>
      <c r="P17" s="37" t="n">
        <v>83082.81</v>
      </c>
      <c r="Q17" s="18" t="n">
        <v>82231.88</v>
      </c>
      <c r="R17" s="18" t="n">
        <v>83275.2</v>
      </c>
      <c r="S17" s="18" t="n">
        <v>82602.88</v>
      </c>
      <c r="T17" s="18" t="n">
        <v>79646.8</v>
      </c>
      <c r="U17" s="37" t="n">
        <v>79646.8</v>
      </c>
      <c r="V17" s="18" t="n">
        <v>80262.64999999999</v>
      </c>
      <c r="W17" s="18" t="n">
        <v>82623.92999999999</v>
      </c>
      <c r="X17" s="18" t="n">
        <v>72019.5</v>
      </c>
      <c r="Y17" s="18" t="n">
        <v>79391.81</v>
      </c>
      <c r="Z17" s="37" t="n">
        <v>79391.81</v>
      </c>
      <c r="AA17" s="18" t="n">
        <v>79496.72</v>
      </c>
      <c r="AB17" s="19" t="n">
        <v>90293.77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투자부동산</t>
        </is>
      </c>
      <c r="E18" s="18" t="n">
        <v>1876.49</v>
      </c>
      <c r="F18" s="37" t="n">
        <v>1876.49</v>
      </c>
      <c r="G18" s="18" t="n">
        <v>1863.36</v>
      </c>
      <c r="H18" s="18" t="n">
        <v>1850.22</v>
      </c>
      <c r="I18" s="18" t="n">
        <v>1837.08</v>
      </c>
      <c r="J18" s="18" t="n">
        <v>1906.88</v>
      </c>
      <c r="K18" s="37" t="n">
        <v>1906.88</v>
      </c>
      <c r="L18" s="18" t="n">
        <v>1897.7</v>
      </c>
      <c r="M18" s="18" t="n">
        <v>1888.53</v>
      </c>
      <c r="N18" s="18" t="n">
        <v>1879.36</v>
      </c>
      <c r="O18" s="18" t="n">
        <v>1870.19</v>
      </c>
      <c r="P18" s="37" t="n">
        <v>1870.19</v>
      </c>
      <c r="Q18" s="18" t="n">
        <v>1861.01</v>
      </c>
      <c r="R18" s="18" t="n">
        <v>1851.84</v>
      </c>
      <c r="S18" s="18" t="n">
        <v>1842.67</v>
      </c>
      <c r="T18" s="18" t="n">
        <v>5487.18</v>
      </c>
      <c r="U18" s="37" t="n">
        <v>5487.18</v>
      </c>
      <c r="V18" s="18" t="n">
        <v>5470.99</v>
      </c>
      <c r="W18" s="18" t="n">
        <v>5454.81</v>
      </c>
      <c r="X18" s="18" t="n">
        <v>15623.2</v>
      </c>
      <c r="Y18" s="18" t="n">
        <v>8063.26</v>
      </c>
      <c r="Z18" s="37" t="n">
        <v>8063.26</v>
      </c>
      <c r="AA18" s="18" t="n">
        <v>8033.02</v>
      </c>
      <c r="AB18" s="19" t="n">
        <v>5403.94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무형자산</t>
        </is>
      </c>
      <c r="E19" s="18" t="n">
        <v>8010.42</v>
      </c>
      <c r="F19" s="37" t="n">
        <v>8010.42</v>
      </c>
      <c r="G19" s="18" t="n">
        <v>7954.13</v>
      </c>
      <c r="H19" s="18" t="n">
        <v>7893.01</v>
      </c>
      <c r="I19" s="18" t="n">
        <v>7863.45</v>
      </c>
      <c r="J19" s="18" t="n">
        <v>7812.28</v>
      </c>
      <c r="K19" s="37" t="n">
        <v>7812.28</v>
      </c>
      <c r="L19" s="18" t="n">
        <v>7750.25</v>
      </c>
      <c r="M19" s="18" t="n">
        <v>7701.07</v>
      </c>
      <c r="N19" s="18" t="n">
        <v>1195.09</v>
      </c>
      <c r="O19" s="18" t="n">
        <v>1148.8</v>
      </c>
      <c r="P19" s="37" t="n">
        <v>1148.8</v>
      </c>
      <c r="Q19" s="18" t="n">
        <v>1136.21</v>
      </c>
      <c r="R19" s="18" t="n">
        <v>7405.21</v>
      </c>
      <c r="S19" s="18" t="n">
        <v>7396.57</v>
      </c>
      <c r="T19" s="18" t="n">
        <v>943.05</v>
      </c>
      <c r="U19" s="37" t="n">
        <v>943.05</v>
      </c>
      <c r="V19" s="18" t="n">
        <v>947.13</v>
      </c>
      <c r="W19" s="18" t="n">
        <v>1250.01</v>
      </c>
      <c r="X19" s="18" t="n">
        <v>1241.37</v>
      </c>
      <c r="Y19" s="18" t="n">
        <v>7688.87</v>
      </c>
      <c r="Z19" s="37" t="n">
        <v>7688.87</v>
      </c>
      <c r="AA19" s="18" t="n">
        <v>7695.78</v>
      </c>
      <c r="AB19" s="19" t="n">
        <v>7850.17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이연법인세자산</t>
        </is>
      </c>
      <c r="E20" s="18" t="n">
        <v>1233.72</v>
      </c>
      <c r="F20" s="37" t="n">
        <v>1233.72</v>
      </c>
      <c r="G20" s="18" t="n">
        <v>1733.62</v>
      </c>
      <c r="H20" s="18" t="n">
        <v>2052.15</v>
      </c>
      <c r="I20" s="18" t="n">
        <v>1516.31</v>
      </c>
      <c r="J20" s="18" t="n">
        <v>4131.95</v>
      </c>
      <c r="K20" s="37" t="n">
        <v>4131.95</v>
      </c>
      <c r="L20" s="18" t="n">
        <v>3746.08</v>
      </c>
      <c r="M20" s="18" t="n">
        <v>3685.98</v>
      </c>
      <c r="N20" s="18" t="n">
        <v>2940.21</v>
      </c>
      <c r="O20" s="18" t="n">
        <v>3249.19</v>
      </c>
      <c r="P20" s="37" t="n">
        <v>3249.19</v>
      </c>
      <c r="Q20" s="18" t="n">
        <v>2680.62</v>
      </c>
      <c r="R20" s="18" t="n">
        <v>2746.1</v>
      </c>
      <c r="S20" s="18" t="n">
        <v>2965.36</v>
      </c>
      <c r="T20" s="18" t="n">
        <v>2400.37</v>
      </c>
      <c r="U20" s="37" t="n">
        <v>2400.37</v>
      </c>
      <c r="V20" s="18" t="n">
        <v>3086.21</v>
      </c>
      <c r="W20" s="18" t="n">
        <v>3390.1</v>
      </c>
      <c r="X20" s="18" t="n">
        <v>3365.58</v>
      </c>
      <c r="Y20" s="18" t="n">
        <v>3853.02</v>
      </c>
      <c r="Z20" s="37" t="n">
        <v>3853.02</v>
      </c>
      <c r="AA20" s="18" t="n">
        <v>3030.66</v>
      </c>
      <c r="AB20" s="19" t="n">
        <v>3940.26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자산총계</t>
        </is>
      </c>
      <c r="E21" s="18" t="n">
        <v>260003.39</v>
      </c>
      <c r="F21" s="37" t="n">
        <v>260003.39</v>
      </c>
      <c r="G21" s="18" t="n">
        <v>258060.48</v>
      </c>
      <c r="H21" s="18" t="n">
        <v>258810.24</v>
      </c>
      <c r="I21" s="18" t="n">
        <v>262614.16</v>
      </c>
      <c r="J21" s="18" t="n">
        <v>261112.52</v>
      </c>
      <c r="K21" s="37" t="n">
        <v>261112.52</v>
      </c>
      <c r="L21" s="18" t="n">
        <v>266270.17</v>
      </c>
      <c r="M21" s="18" t="n">
        <v>279254.82</v>
      </c>
      <c r="N21" s="18" t="n">
        <v>280285.66</v>
      </c>
      <c r="O21" s="18" t="n">
        <v>297950.27</v>
      </c>
      <c r="P21" s="37" t="n">
        <v>297950.27</v>
      </c>
      <c r="Q21" s="18" t="n">
        <v>295957.58</v>
      </c>
      <c r="R21" s="18" t="n">
        <v>302849.65</v>
      </c>
      <c r="S21" s="18" t="n">
        <v>303664.4</v>
      </c>
      <c r="T21" s="18" t="n">
        <v>308605.89</v>
      </c>
      <c r="U21" s="37" t="n">
        <v>308605.89</v>
      </c>
      <c r="V21" s="18" t="n">
        <v>310593.54</v>
      </c>
      <c r="W21" s="18" t="n">
        <v>318841.75</v>
      </c>
      <c r="X21" s="18" t="n">
        <v>319950.18</v>
      </c>
      <c r="Y21" s="18" t="n">
        <v>321983.56</v>
      </c>
      <c r="Z21" s="37" t="n">
        <v>321983.56</v>
      </c>
      <c r="AA21" s="18" t="n">
        <v>332881.78</v>
      </c>
      <c r="AB21" s="19" t="n">
        <v>346315.62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유동부채</t>
        </is>
      </c>
      <c r="E22" s="18" t="n">
        <v>32079.87</v>
      </c>
      <c r="F22" s="37" t="n">
        <v>32079.87</v>
      </c>
      <c r="G22" s="18" t="n">
        <v>32653.45</v>
      </c>
      <c r="H22" s="18" t="n">
        <v>34194.32</v>
      </c>
      <c r="I22" s="18" t="n">
        <v>36116.54</v>
      </c>
      <c r="J22" s="18" t="n">
        <v>41386.24</v>
      </c>
      <c r="K22" s="37" t="n">
        <v>41386.24</v>
      </c>
      <c r="L22" s="18" t="n">
        <v>44968</v>
      </c>
      <c r="M22" s="18" t="n">
        <v>57779.65</v>
      </c>
      <c r="N22" s="18" t="n">
        <v>55734.54</v>
      </c>
      <c r="O22" s="18" t="n">
        <v>70905.91</v>
      </c>
      <c r="P22" s="37" t="n">
        <v>70905.91</v>
      </c>
      <c r="Q22" s="18" t="n">
        <v>65168.3</v>
      </c>
      <c r="R22" s="18" t="n">
        <v>67858.48</v>
      </c>
      <c r="S22" s="18" t="n">
        <v>66041.77</v>
      </c>
      <c r="T22" s="18" t="n">
        <v>61797.78</v>
      </c>
      <c r="U22" s="37" t="n">
        <v>61797.78</v>
      </c>
      <c r="V22" s="18" t="n">
        <v>58716.67</v>
      </c>
      <c r="W22" s="18" t="n">
        <v>62691.42</v>
      </c>
      <c r="X22" s="18" t="n">
        <v>55559.82</v>
      </c>
      <c r="Y22" s="18" t="n">
        <v>50824.59</v>
      </c>
      <c r="Z22" s="37" t="n">
        <v>50824.59</v>
      </c>
      <c r="AA22" s="18" t="n">
        <v>56460.74</v>
      </c>
      <c r="AB22" s="19" t="n">
        <v>66524.95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매입채무및기타채무</t>
        </is>
      </c>
      <c r="E23" s="18" t="n">
        <v>13670.01</v>
      </c>
      <c r="F23" s="37" t="n">
        <v>13670.01</v>
      </c>
      <c r="G23" s="18" t="n">
        <v>13892.8</v>
      </c>
      <c r="H23" s="18" t="n">
        <v>13093.45</v>
      </c>
      <c r="I23" s="18" t="n">
        <v>13550.6</v>
      </c>
      <c r="J23" s="18" t="n">
        <v>11171.8</v>
      </c>
      <c r="K23" s="37" t="n">
        <v>11171.8</v>
      </c>
      <c r="L23" s="18" t="n">
        <v>13443.66</v>
      </c>
      <c r="M23" s="18" t="n">
        <v>14536.27</v>
      </c>
      <c r="N23" s="18" t="n">
        <v>15167.55</v>
      </c>
      <c r="O23" s="18" t="n">
        <v>18152.99</v>
      </c>
      <c r="P23" s="37" t="n">
        <v>18152.99</v>
      </c>
      <c r="Q23" s="18" t="n">
        <v>15945.6</v>
      </c>
      <c r="R23" s="18" t="n">
        <v>16866.88</v>
      </c>
      <c r="S23" s="18" t="n">
        <v>16529.28</v>
      </c>
      <c r="T23" s="18" t="n">
        <v>20068.52</v>
      </c>
      <c r="U23" s="37" t="n">
        <v>20068.52</v>
      </c>
      <c r="V23" s="18" t="n">
        <v>20742.33</v>
      </c>
      <c r="W23" s="18" t="n">
        <v>23899.03</v>
      </c>
      <c r="X23" s="18" t="n">
        <v>21092.94</v>
      </c>
      <c r="Y23" s="18" t="n">
        <v>19052.81</v>
      </c>
      <c r="Z23" s="37" t="n">
        <v>19052.81</v>
      </c>
      <c r="AA23" s="18" t="n">
        <v>28895.42</v>
      </c>
      <c r="AB23" s="19" t="n">
        <v>27651.01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유동리스부채</t>
        </is>
      </c>
      <c r="E24" s="18" t="n">
        <v>197.24</v>
      </c>
      <c r="F24" s="37" t="n">
        <v>197.24</v>
      </c>
      <c r="G24" s="18" t="n">
        <v>193.24</v>
      </c>
      <c r="H24" s="18" t="n">
        <v>189.25</v>
      </c>
      <c r="I24" s="18" t="n">
        <v>185.25</v>
      </c>
      <c r="J24" s="18" t="n">
        <v>197.04</v>
      </c>
      <c r="K24" s="37" t="n">
        <v>197.04</v>
      </c>
      <c r="L24" s="18" t="n">
        <v>248.44</v>
      </c>
      <c r="M24" s="18" t="n">
        <v>199.63</v>
      </c>
      <c r="N24" s="18" t="n">
        <v>203.96</v>
      </c>
      <c r="O24" s="18" t="n">
        <v>201</v>
      </c>
      <c r="P24" s="37" t="n">
        <v>201</v>
      </c>
      <c r="Q24" s="18" t="n">
        <v>198.01</v>
      </c>
      <c r="R24" s="18" t="n">
        <v>195.01</v>
      </c>
      <c r="S24" s="18" t="n">
        <v>191.97</v>
      </c>
      <c r="T24" s="18" t="n">
        <v>194.52</v>
      </c>
      <c r="U24" s="37" t="n">
        <v>194.52</v>
      </c>
      <c r="V24" s="18" t="n">
        <v>144.01</v>
      </c>
      <c r="W24" s="18" t="n">
        <v>90.75</v>
      </c>
      <c r="X24" s="18" t="n">
        <v>35.06</v>
      </c>
      <c r="Y24" s="18" t="n">
        <v>228.13</v>
      </c>
      <c r="Z24" s="37" t="n">
        <v>228.13</v>
      </c>
      <c r="AA24" s="18" t="n">
        <v>221.64</v>
      </c>
      <c r="AB24" s="19" t="n">
        <v>247.57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리스부채</t>
        </is>
      </c>
      <c r="E25" s="18" t="n">
        <v>721.3099999999999</v>
      </c>
      <c r="F25" s="37" t="n">
        <v>721.3099999999999</v>
      </c>
      <c r="G25" s="18" t="n">
        <v>672.59</v>
      </c>
      <c r="H25" s="18" t="n">
        <v>623.59</v>
      </c>
      <c r="I25" s="18" t="n">
        <v>574.3</v>
      </c>
      <c r="J25" s="18" t="n">
        <v>556.17</v>
      </c>
      <c r="K25" s="37" t="n">
        <v>556.17</v>
      </c>
      <c r="L25" s="18" t="n">
        <v>507.39</v>
      </c>
      <c r="M25" s="18" t="n">
        <v>458.29</v>
      </c>
      <c r="N25" s="18" t="n">
        <v>408.87</v>
      </c>
      <c r="O25" s="18" t="n">
        <v>359.13</v>
      </c>
      <c r="P25" s="37" t="n">
        <v>359.13</v>
      </c>
      <c r="Q25" s="18" t="n">
        <v>309.05</v>
      </c>
      <c r="R25" s="18" t="n">
        <v>258.67</v>
      </c>
      <c r="S25" s="18" t="n">
        <v>207.94</v>
      </c>
      <c r="T25" s="18" t="n">
        <v>204.35</v>
      </c>
      <c r="U25" s="37" t="n">
        <v>204.35</v>
      </c>
      <c r="V25" s="18" t="n">
        <v>148.34</v>
      </c>
      <c r="W25" s="18" t="n">
        <v>91.91</v>
      </c>
      <c r="X25" s="18" t="n">
        <v>35.06</v>
      </c>
      <c r="Y25" s="18" t="n">
        <v>391.5</v>
      </c>
      <c r="Z25" s="37" t="n">
        <v>391.5</v>
      </c>
      <c r="AA25" s="18" t="n">
        <v>332.21</v>
      </c>
      <c r="AB25" s="19" t="n">
        <v>341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단기금융부채</t>
        </is>
      </c>
      <c r="E26" s="18" t="n">
        <v>197.24</v>
      </c>
      <c r="F26" s="37" t="n">
        <v>197.24</v>
      </c>
      <c r="G26" s="18" t="n">
        <v>193.24</v>
      </c>
      <c r="H26" s="18" t="n">
        <v>189.25</v>
      </c>
      <c r="I26" s="18" t="n">
        <v>185.25</v>
      </c>
      <c r="J26" s="18" t="n">
        <v>197.04</v>
      </c>
      <c r="K26" s="37" t="n">
        <v>197.04</v>
      </c>
      <c r="L26" s="18" t="n">
        <v>248.44</v>
      </c>
      <c r="M26" s="18" t="n">
        <v>199.63</v>
      </c>
      <c r="N26" s="18" t="n">
        <v>203.96</v>
      </c>
      <c r="O26" s="18" t="n">
        <v>201</v>
      </c>
      <c r="P26" s="37" t="n">
        <v>201</v>
      </c>
      <c r="Q26" s="18" t="n">
        <v>198.01</v>
      </c>
      <c r="R26" s="18" t="n">
        <v>195.01</v>
      </c>
      <c r="S26" s="18" t="n">
        <v>191.97</v>
      </c>
      <c r="T26" s="18" t="n">
        <v>194.52</v>
      </c>
      <c r="U26" s="37" t="n">
        <v>194.52</v>
      </c>
      <c r="V26" s="18" t="n">
        <v>144.01</v>
      </c>
      <c r="W26" s="18" t="n">
        <v>90.75</v>
      </c>
      <c r="X26" s="18" t="n">
        <v>35.06</v>
      </c>
      <c r="Y26" s="18" t="n">
        <v>228.13</v>
      </c>
      <c r="Z26" s="37" t="n">
        <v>228.13</v>
      </c>
      <c r="AA26" s="18" t="n">
        <v>221.64</v>
      </c>
      <c r="AB26" s="19" t="n">
        <v>247.57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당기법인세부채(미지급법인세)</t>
        </is>
      </c>
      <c r="E27" s="18" t="n">
        <v>0</v>
      </c>
      <c r="F27" s="37" t="n">
        <v>0</v>
      </c>
      <c r="J27" s="18" t="n">
        <v>0</v>
      </c>
      <c r="K27" s="37" t="n">
        <v>0</v>
      </c>
      <c r="L27" s="18" t="n">
        <v>0</v>
      </c>
      <c r="P27" s="9" t="n"/>
      <c r="Q27" s="18" t="n">
        <v>178.14</v>
      </c>
      <c r="R27" s="18" t="n">
        <v>1097.22</v>
      </c>
      <c r="S27" s="18" t="n">
        <v>1640.07</v>
      </c>
      <c r="T27" s="18" t="n">
        <v>3186.94</v>
      </c>
      <c r="U27" s="37" t="n">
        <v>3186.94</v>
      </c>
      <c r="V27" s="18" t="n">
        <v>3854.63</v>
      </c>
      <c r="W27" s="18" t="n">
        <v>2956.4</v>
      </c>
      <c r="X27" s="18" t="n">
        <v>4268.49</v>
      </c>
      <c r="Y27" s="18" t="n">
        <v>5633.29</v>
      </c>
      <c r="Z27" s="37" t="n">
        <v>5633.29</v>
      </c>
      <c r="AA27" s="18" t="n">
        <v>4113.22</v>
      </c>
      <c r="AB27" s="19" t="n">
        <v>4279.1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비유동부채</t>
        </is>
      </c>
      <c r="E28" s="18" t="n">
        <v>1233.46</v>
      </c>
      <c r="F28" s="37" t="n">
        <v>1233.46</v>
      </c>
      <c r="G28" s="18" t="n">
        <v>1333.26</v>
      </c>
      <c r="H28" s="18" t="n">
        <v>1317.18</v>
      </c>
      <c r="I28" s="18" t="n">
        <v>1168.27</v>
      </c>
      <c r="J28" s="18" t="n">
        <v>1257.11</v>
      </c>
      <c r="K28" s="37" t="n">
        <v>1257.11</v>
      </c>
      <c r="L28" s="18" t="n">
        <v>1210.79</v>
      </c>
      <c r="M28" s="18" t="n">
        <v>1332.36</v>
      </c>
      <c r="N28" s="18" t="n">
        <v>1448.72</v>
      </c>
      <c r="O28" s="18" t="n">
        <v>1366.55</v>
      </c>
      <c r="P28" s="37" t="n">
        <v>1366.55</v>
      </c>
      <c r="Q28" s="18" t="n">
        <v>1406.38</v>
      </c>
      <c r="R28" s="18" t="n">
        <v>1312.81</v>
      </c>
      <c r="S28" s="18" t="n">
        <v>1400.34</v>
      </c>
      <c r="T28" s="18" t="n">
        <v>1539.37</v>
      </c>
      <c r="U28" s="37" t="n">
        <v>1539.37</v>
      </c>
      <c r="V28" s="18" t="n">
        <v>1772.99</v>
      </c>
      <c r="W28" s="18" t="n">
        <v>1688.73</v>
      </c>
      <c r="X28" s="18" t="n">
        <v>1818.63</v>
      </c>
      <c r="Y28" s="18" t="n">
        <v>1959.13</v>
      </c>
      <c r="Z28" s="37" t="n">
        <v>1959.13</v>
      </c>
      <c r="AA28" s="18" t="n">
        <v>1806.73</v>
      </c>
      <c r="AB28" s="19" t="n">
        <v>1949.45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기타비유동금융부채</t>
        </is>
      </c>
      <c r="E29" s="18" t="n">
        <v>622.1799999999999</v>
      </c>
      <c r="F29" s="37" t="n">
        <v>622.1799999999999</v>
      </c>
      <c r="G29" s="18" t="n">
        <v>616.25</v>
      </c>
      <c r="H29" s="18" t="n">
        <v>706.27</v>
      </c>
      <c r="I29" s="18" t="n">
        <v>694.15</v>
      </c>
      <c r="J29" s="18" t="n">
        <v>718.39</v>
      </c>
      <c r="K29" s="37" t="n">
        <v>718.39</v>
      </c>
      <c r="L29" s="18" t="n">
        <v>703.98</v>
      </c>
      <c r="M29" s="18" t="n">
        <v>745.63</v>
      </c>
      <c r="P29" s="9" t="n"/>
      <c r="U29" s="9" t="n"/>
      <c r="Y29" s="18" t="n">
        <v>290</v>
      </c>
      <c r="Z29" s="37" t="n">
        <v>290</v>
      </c>
      <c r="AA29" s="18" t="n">
        <v>964.35</v>
      </c>
      <c r="AB29" s="19" t="n">
        <v>360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장기금융부채</t>
        </is>
      </c>
      <c r="E30" s="18" t="n">
        <v>1146.25</v>
      </c>
      <c r="F30" s="37" t="n">
        <v>1146.25</v>
      </c>
      <c r="G30" s="18" t="n">
        <v>1095.6</v>
      </c>
      <c r="H30" s="18" t="n">
        <v>1140.61</v>
      </c>
      <c r="I30" s="18" t="n">
        <v>1083.2</v>
      </c>
      <c r="J30" s="18" t="n">
        <v>1077.52</v>
      </c>
      <c r="K30" s="37" t="n">
        <v>1077.52</v>
      </c>
      <c r="L30" s="18" t="n">
        <v>962.9299999999999</v>
      </c>
      <c r="M30" s="18" t="n">
        <v>1004.29</v>
      </c>
      <c r="N30" s="18" t="n">
        <v>204.91</v>
      </c>
      <c r="O30" s="18" t="n">
        <v>158.13</v>
      </c>
      <c r="P30" s="37" t="n">
        <v>158.13</v>
      </c>
      <c r="Q30" s="18" t="n">
        <v>111.04</v>
      </c>
      <c r="R30" s="18" t="n">
        <v>63.66</v>
      </c>
      <c r="S30" s="18" t="n">
        <v>15.97</v>
      </c>
      <c r="T30" s="18" t="n">
        <v>9.83</v>
      </c>
      <c r="U30" s="37" t="n">
        <v>9.83</v>
      </c>
      <c r="V30" s="18" t="n">
        <v>4.33</v>
      </c>
      <c r="W30" s="18" t="n">
        <v>1.16</v>
      </c>
      <c r="X30" s="18" t="n">
        <v>0</v>
      </c>
      <c r="Y30" s="18" t="n">
        <v>453.37</v>
      </c>
      <c r="Z30" s="37" t="n">
        <v>453.37</v>
      </c>
      <c r="AA30" s="18" t="n">
        <v>1074.92</v>
      </c>
      <c r="AB30" s="19" t="n">
        <v>453.43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확정급여부채</t>
        </is>
      </c>
      <c r="E31" s="18" t="n">
        <v>87.2</v>
      </c>
      <c r="F31" s="37" t="n">
        <v>87.2</v>
      </c>
      <c r="G31" s="18" t="n">
        <v>237.65</v>
      </c>
      <c r="H31" s="18" t="n">
        <v>176.57</v>
      </c>
      <c r="I31" s="18" t="n">
        <v>85.08</v>
      </c>
      <c r="J31" s="18" t="n">
        <v>0</v>
      </c>
      <c r="K31" s="37" t="n">
        <v>0</v>
      </c>
      <c r="L31" s="18" t="n">
        <v>21.22</v>
      </c>
      <c r="M31" s="18" t="n">
        <v>54.37</v>
      </c>
      <c r="N31" s="18" t="n">
        <v>157.34</v>
      </c>
      <c r="O31" s="18" t="n">
        <v>0</v>
      </c>
      <c r="P31" s="37" t="n">
        <v>0</v>
      </c>
      <c r="Q31" s="18" t="n">
        <v>57.1</v>
      </c>
      <c r="R31" s="18" t="n">
        <v>67.94</v>
      </c>
      <c r="S31" s="18" t="n">
        <v>170.52</v>
      </c>
      <c r="T31" s="18" t="n">
        <v>168.52</v>
      </c>
      <c r="U31" s="37" t="n">
        <v>168.52</v>
      </c>
      <c r="V31" s="18" t="n">
        <v>412.87</v>
      </c>
      <c r="W31" s="18" t="n">
        <v>417.54</v>
      </c>
      <c r="X31" s="18" t="n">
        <v>548.58</v>
      </c>
      <c r="Z31" s="9" t="n"/>
      <c r="AB31" s="5" t="n"/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비유동리스부채</t>
        </is>
      </c>
      <c r="E32" s="18" t="n">
        <v>524.0700000000001</v>
      </c>
      <c r="F32" s="37" t="n">
        <v>524.0700000000001</v>
      </c>
      <c r="G32" s="18" t="n">
        <v>479.35</v>
      </c>
      <c r="H32" s="18" t="n">
        <v>434.34</v>
      </c>
      <c r="I32" s="18" t="n">
        <v>389.05</v>
      </c>
      <c r="J32" s="18" t="n">
        <v>359.13</v>
      </c>
      <c r="K32" s="37" t="n">
        <v>359.13</v>
      </c>
      <c r="L32" s="18" t="n">
        <v>258.95</v>
      </c>
      <c r="M32" s="18" t="n">
        <v>258.66</v>
      </c>
      <c r="N32" s="18" t="n">
        <v>204.91</v>
      </c>
      <c r="O32" s="18" t="n">
        <v>158.13</v>
      </c>
      <c r="P32" s="37" t="n">
        <v>158.13</v>
      </c>
      <c r="Q32" s="18" t="n">
        <v>111.04</v>
      </c>
      <c r="R32" s="18" t="n">
        <v>63.66</v>
      </c>
      <c r="S32" s="18" t="n">
        <v>15.97</v>
      </c>
      <c r="T32" s="18" t="n">
        <v>9.83</v>
      </c>
      <c r="U32" s="37" t="n">
        <v>9.83</v>
      </c>
      <c r="V32" s="18" t="n">
        <v>4.33</v>
      </c>
      <c r="W32" s="18" t="n">
        <v>1.16</v>
      </c>
      <c r="X32" s="18" t="n">
        <v>0</v>
      </c>
      <c r="Y32" s="18" t="n">
        <v>163.37</v>
      </c>
      <c r="Z32" s="37" t="n">
        <v>163.37</v>
      </c>
      <c r="AA32" s="18" t="n">
        <v>110.57</v>
      </c>
      <c r="AB32" s="19" t="n">
        <v>93.43000000000001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부채총계</t>
        </is>
      </c>
      <c r="E33" s="18" t="n">
        <v>33313.33</v>
      </c>
      <c r="F33" s="37" t="n">
        <v>33313.33</v>
      </c>
      <c r="G33" s="18" t="n">
        <v>33986.7</v>
      </c>
      <c r="H33" s="18" t="n">
        <v>35511.5</v>
      </c>
      <c r="I33" s="18" t="n">
        <v>37284.81</v>
      </c>
      <c r="J33" s="18" t="n">
        <v>42643.35</v>
      </c>
      <c r="K33" s="37" t="n">
        <v>42643.35</v>
      </c>
      <c r="L33" s="18" t="n">
        <v>46178.79</v>
      </c>
      <c r="M33" s="18" t="n">
        <v>59112</v>
      </c>
      <c r="N33" s="18" t="n">
        <v>57183.26</v>
      </c>
      <c r="O33" s="18" t="n">
        <v>72272.46000000001</v>
      </c>
      <c r="P33" s="37" t="n">
        <v>72272.46000000001</v>
      </c>
      <c r="Q33" s="18" t="n">
        <v>66574.67999999999</v>
      </c>
      <c r="R33" s="18" t="n">
        <v>69171.28999999999</v>
      </c>
      <c r="S33" s="18" t="n">
        <v>67442.12</v>
      </c>
      <c r="T33" s="18" t="n">
        <v>63337.14</v>
      </c>
      <c r="U33" s="37" t="n">
        <v>63337.14</v>
      </c>
      <c r="V33" s="18" t="n">
        <v>60489.66</v>
      </c>
      <c r="W33" s="18" t="n">
        <v>64380.14</v>
      </c>
      <c r="X33" s="18" t="n">
        <v>57378.45</v>
      </c>
      <c r="Y33" s="18" t="n">
        <v>52783.72</v>
      </c>
      <c r="Z33" s="37" t="n">
        <v>52783.72</v>
      </c>
      <c r="AA33" s="18" t="n">
        <v>58267.46</v>
      </c>
      <c r="AB33" s="19" t="n">
        <v>68474.39999999999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지배주주지분</t>
        </is>
      </c>
      <c r="E34" s="18" t="n">
        <v>226690.06</v>
      </c>
      <c r="F34" s="37" t="n">
        <v>226690.06</v>
      </c>
      <c r="G34" s="18" t="n">
        <v>224073.78</v>
      </c>
      <c r="H34" s="18" t="n">
        <v>223298.74</v>
      </c>
      <c r="I34" s="18" t="n">
        <v>225329.35</v>
      </c>
      <c r="J34" s="18" t="n">
        <v>218469.18</v>
      </c>
      <c r="K34" s="37" t="n">
        <v>218469.18</v>
      </c>
      <c r="L34" s="18" t="n">
        <v>220091.38</v>
      </c>
      <c r="M34" s="18" t="n">
        <v>220142.81</v>
      </c>
      <c r="N34" s="18" t="n">
        <v>223102.4</v>
      </c>
      <c r="O34" s="18" t="n">
        <v>225677.81</v>
      </c>
      <c r="P34" s="37" t="n">
        <v>225677.81</v>
      </c>
      <c r="Q34" s="18" t="n">
        <v>229382.89</v>
      </c>
      <c r="R34" s="18" t="n">
        <v>233678.36</v>
      </c>
      <c r="S34" s="18" t="n">
        <v>236222.29</v>
      </c>
      <c r="T34" s="18" t="n">
        <v>245268.75</v>
      </c>
      <c r="U34" s="37" t="n">
        <v>245268.75</v>
      </c>
      <c r="V34" s="18" t="n">
        <v>250103.88</v>
      </c>
      <c r="W34" s="18" t="n">
        <v>254461.61</v>
      </c>
      <c r="X34" s="18" t="n">
        <v>262571.73</v>
      </c>
      <c r="Y34" s="18" t="n">
        <v>269199.84</v>
      </c>
      <c r="Z34" s="37" t="n">
        <v>269199.84</v>
      </c>
      <c r="AA34" s="18" t="n">
        <v>274614.32</v>
      </c>
      <c r="AB34" s="19" t="n">
        <v>277841.22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자본금</t>
        </is>
      </c>
      <c r="E35" s="18" t="n">
        <v>4783.67</v>
      </c>
      <c r="F35" s="37" t="n">
        <v>4783.67</v>
      </c>
      <c r="G35" s="18" t="n">
        <v>4783.67</v>
      </c>
      <c r="H35" s="18" t="n">
        <v>4783.67</v>
      </c>
      <c r="I35" s="18" t="n">
        <v>4783.67</v>
      </c>
      <c r="J35" s="18" t="n">
        <v>4783.67</v>
      </c>
      <c r="K35" s="37" t="n">
        <v>4783.67</v>
      </c>
      <c r="L35" s="18" t="n">
        <v>4783.67</v>
      </c>
      <c r="M35" s="18" t="n">
        <v>4783.67</v>
      </c>
      <c r="N35" s="18" t="n">
        <v>4783.67</v>
      </c>
      <c r="O35" s="18" t="n">
        <v>4783.67</v>
      </c>
      <c r="P35" s="37" t="n">
        <v>4783.67</v>
      </c>
      <c r="Q35" s="18" t="n">
        <v>4783.67</v>
      </c>
      <c r="R35" s="18" t="n">
        <v>4783.67</v>
      </c>
      <c r="S35" s="18" t="n">
        <v>4783.67</v>
      </c>
      <c r="T35" s="18" t="n">
        <v>4783.67</v>
      </c>
      <c r="U35" s="37" t="n">
        <v>4783.67</v>
      </c>
      <c r="V35" s="18" t="n">
        <v>4783.67</v>
      </c>
      <c r="W35" s="18" t="n">
        <v>4783.67</v>
      </c>
      <c r="X35" s="18" t="n">
        <v>4783.67</v>
      </c>
      <c r="Y35" s="18" t="n">
        <v>4783.67</v>
      </c>
      <c r="Z35" s="37" t="n">
        <v>4783.67</v>
      </c>
      <c r="AA35" s="18" t="n">
        <v>4783.67</v>
      </c>
      <c r="AB35" s="19" t="n">
        <v>4783.67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자본잉여금</t>
        </is>
      </c>
      <c r="E36" s="18" t="n">
        <v>24958.68</v>
      </c>
      <c r="F36" s="37" t="n">
        <v>24958.68</v>
      </c>
      <c r="G36" s="18" t="n">
        <v>24974.84</v>
      </c>
      <c r="H36" s="18" t="n">
        <v>24977.78</v>
      </c>
      <c r="I36" s="18" t="n">
        <v>24977.78</v>
      </c>
      <c r="J36" s="18" t="n">
        <v>24978.48</v>
      </c>
      <c r="K36" s="37" t="n">
        <v>24978.48</v>
      </c>
      <c r="L36" s="18" t="n">
        <v>25026.82</v>
      </c>
      <c r="M36" s="18" t="n">
        <v>25034.91</v>
      </c>
      <c r="N36" s="18" t="n">
        <v>25034.91</v>
      </c>
      <c r="O36" s="18" t="n">
        <v>25035.47</v>
      </c>
      <c r="P36" s="37" t="n">
        <v>25035.47</v>
      </c>
      <c r="Q36" s="18" t="n">
        <v>25048.84</v>
      </c>
      <c r="R36" s="18" t="n">
        <v>25053.11</v>
      </c>
      <c r="S36" s="18" t="n">
        <v>25053.11</v>
      </c>
      <c r="T36" s="18" t="n">
        <v>25053.11</v>
      </c>
      <c r="U36" s="37" t="n">
        <v>25053.11</v>
      </c>
      <c r="V36" s="18" t="n">
        <v>25053.11</v>
      </c>
      <c r="W36" s="18" t="n">
        <v>25086.07</v>
      </c>
      <c r="X36" s="18" t="n">
        <v>25086.07</v>
      </c>
      <c r="Y36" s="18" t="n">
        <v>25272.22</v>
      </c>
      <c r="Z36" s="37" t="n">
        <v>25272.22</v>
      </c>
      <c r="AA36" s="18" t="n">
        <v>25272.22</v>
      </c>
      <c r="AB36" s="19" t="n">
        <v>20460.2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기타자본</t>
        </is>
      </c>
      <c r="E37" s="18" t="n">
        <v>-2586.62</v>
      </c>
      <c r="F37" s="37" t="n">
        <v>-2586.62</v>
      </c>
      <c r="G37" s="18" t="n">
        <v>-2597.23</v>
      </c>
      <c r="H37" s="18" t="n">
        <v>-2562.52</v>
      </c>
      <c r="I37" s="18" t="n">
        <v>-2554.74</v>
      </c>
      <c r="J37" s="18" t="n">
        <v>-2541.49</v>
      </c>
      <c r="K37" s="37" t="n">
        <v>-2541.49</v>
      </c>
      <c r="L37" s="18" t="n">
        <v>-2581.8</v>
      </c>
      <c r="M37" s="18" t="n">
        <v>-3490.35</v>
      </c>
      <c r="N37" s="18" t="n">
        <v>-3523.92</v>
      </c>
      <c r="O37" s="18" t="n">
        <v>-3508.07</v>
      </c>
      <c r="P37" s="37" t="n">
        <v>-3508.07</v>
      </c>
      <c r="Q37" s="18" t="n">
        <v>-3509.47</v>
      </c>
      <c r="R37" s="18" t="n">
        <v>-3471.66</v>
      </c>
      <c r="S37" s="18" t="n">
        <v>-3455.64</v>
      </c>
      <c r="T37" s="18" t="n">
        <v>-3436.7</v>
      </c>
      <c r="U37" s="37" t="n">
        <v>-3436.7</v>
      </c>
      <c r="V37" s="18" t="n">
        <v>-3419.11</v>
      </c>
      <c r="W37" s="18" t="n">
        <v>-3374.2</v>
      </c>
      <c r="X37" s="18" t="n">
        <v>-3334.46</v>
      </c>
      <c r="Y37" s="18" t="n">
        <v>-3296.14</v>
      </c>
      <c r="Z37" s="37" t="n">
        <v>-3296.14</v>
      </c>
      <c r="AA37" s="18" t="n">
        <v>-3296.14</v>
      </c>
      <c r="AB37" s="19" t="n">
        <v>-2920.76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기타포괄이익누계액</t>
        </is>
      </c>
      <c r="E38" s="18" t="n">
        <v>9330.27</v>
      </c>
      <c r="F38" s="37" t="n">
        <v>9330.27</v>
      </c>
      <c r="G38" s="18" t="n">
        <v>9330.27</v>
      </c>
      <c r="H38" s="18" t="n">
        <v>9330.27</v>
      </c>
      <c r="I38" s="18" t="n">
        <v>9330.27</v>
      </c>
      <c r="J38" s="18" t="n">
        <v>9330.27</v>
      </c>
      <c r="K38" s="37" t="n">
        <v>9330.27</v>
      </c>
      <c r="L38" s="18" t="n">
        <v>9330.27</v>
      </c>
      <c r="M38" s="18" t="n">
        <v>9330.27</v>
      </c>
      <c r="N38" s="18" t="n">
        <v>9330.27</v>
      </c>
      <c r="O38" s="18" t="n">
        <v>9330.27</v>
      </c>
      <c r="P38" s="37" t="n">
        <v>9330.27</v>
      </c>
      <c r="Q38" s="18" t="n">
        <v>9330.27</v>
      </c>
      <c r="R38" s="18" t="n">
        <v>9330.27</v>
      </c>
      <c r="S38" s="18" t="n">
        <v>9330.27</v>
      </c>
      <c r="T38" s="18" t="n">
        <v>9330.27</v>
      </c>
      <c r="U38" s="37" t="n">
        <v>9330.27</v>
      </c>
      <c r="V38" s="18" t="n">
        <v>9330.27</v>
      </c>
      <c r="W38" s="18" t="n">
        <v>9330.27</v>
      </c>
      <c r="X38" s="18" t="n">
        <v>9330.27</v>
      </c>
      <c r="Y38" s="18" t="n">
        <v>9330.27</v>
      </c>
      <c r="Z38" s="37" t="n">
        <v>9330.27</v>
      </c>
      <c r="AA38" s="18" t="n">
        <v>9330.27</v>
      </c>
      <c r="AB38" s="19" t="n">
        <v>9330.27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이익잉여금</t>
        </is>
      </c>
      <c r="E39" s="18" t="n">
        <v>190204.06</v>
      </c>
      <c r="F39" s="37" t="n">
        <v>190204.06</v>
      </c>
      <c r="G39" s="18" t="n">
        <v>187582.23</v>
      </c>
      <c r="H39" s="18" t="n">
        <v>186769.55</v>
      </c>
      <c r="I39" s="18" t="n">
        <v>188792.37</v>
      </c>
      <c r="J39" s="18" t="n">
        <v>181918.26</v>
      </c>
      <c r="K39" s="37" t="n">
        <v>181918.26</v>
      </c>
      <c r="L39" s="18" t="n">
        <v>183532.43</v>
      </c>
      <c r="M39" s="18" t="n">
        <v>184484.32</v>
      </c>
      <c r="N39" s="18" t="n">
        <v>187477.48</v>
      </c>
      <c r="O39" s="18" t="n">
        <v>190036.48</v>
      </c>
      <c r="P39" s="37" t="n">
        <v>190036.48</v>
      </c>
      <c r="Q39" s="18" t="n">
        <v>193729.59</v>
      </c>
      <c r="R39" s="18" t="n">
        <v>197982.97</v>
      </c>
      <c r="S39" s="18" t="n">
        <v>200510.88</v>
      </c>
      <c r="T39" s="18" t="n">
        <v>209538.41</v>
      </c>
      <c r="U39" s="37" t="n">
        <v>209538.41</v>
      </c>
      <c r="V39" s="18" t="n">
        <v>214355.95</v>
      </c>
      <c r="W39" s="18" t="n">
        <v>218635.81</v>
      </c>
      <c r="X39" s="18" t="n">
        <v>226706.19</v>
      </c>
      <c r="Y39" s="18" t="n">
        <v>233109.82</v>
      </c>
      <c r="Z39" s="37" t="n">
        <v>233109.82</v>
      </c>
      <c r="AA39" s="18" t="n">
        <v>238524.3</v>
      </c>
      <c r="AB39" s="19" t="n">
        <v>246187.85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비지배주주지분</t>
        </is>
      </c>
      <c r="E40" s="18" t="n">
        <v>0</v>
      </c>
      <c r="F40" s="37" t="n">
        <v>0</v>
      </c>
      <c r="G40" s="18" t="n">
        <v>0</v>
      </c>
      <c r="H40" s="18" t="n">
        <v>0</v>
      </c>
      <c r="I40" s="18" t="n">
        <v>0</v>
      </c>
      <c r="J40" s="18" t="n">
        <v>0</v>
      </c>
      <c r="K40" s="37" t="n">
        <v>0</v>
      </c>
      <c r="L40" s="18" t="n">
        <v>0</v>
      </c>
      <c r="M40" s="18" t="n">
        <v>0</v>
      </c>
      <c r="N40" s="18" t="n">
        <v>0</v>
      </c>
      <c r="O40" s="18" t="n">
        <v>0</v>
      </c>
      <c r="P40" s="37" t="n">
        <v>0</v>
      </c>
      <c r="Q40" s="18" t="n">
        <v>0</v>
      </c>
      <c r="R40" s="18" t="n">
        <v>0</v>
      </c>
      <c r="S40" s="18" t="n">
        <v>0</v>
      </c>
      <c r="T40" s="18" t="n">
        <v>0</v>
      </c>
      <c r="U40" s="37" t="n">
        <v>0</v>
      </c>
      <c r="V40" s="18" t="n">
        <v>0</v>
      </c>
      <c r="W40" s="18" t="n">
        <v>0</v>
      </c>
      <c r="X40" s="18" t="n">
        <v>0</v>
      </c>
      <c r="Z40" s="9" t="n"/>
      <c r="AB40" s="5" t="n"/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자본총계</t>
        </is>
      </c>
      <c r="E41" s="18" t="n">
        <v>226690.06</v>
      </c>
      <c r="F41" s="37" t="n">
        <v>226690.06</v>
      </c>
      <c r="G41" s="18" t="n">
        <v>224073.78</v>
      </c>
      <c r="H41" s="18" t="n">
        <v>223298.74</v>
      </c>
      <c r="I41" s="18" t="n">
        <v>225329.35</v>
      </c>
      <c r="J41" s="18" t="n">
        <v>218469.18</v>
      </c>
      <c r="K41" s="37" t="n">
        <v>218469.18</v>
      </c>
      <c r="L41" s="18" t="n">
        <v>220091.38</v>
      </c>
      <c r="M41" s="18" t="n">
        <v>220142.81</v>
      </c>
      <c r="N41" s="18" t="n">
        <v>223102.4</v>
      </c>
      <c r="O41" s="18" t="n">
        <v>225677.81</v>
      </c>
      <c r="P41" s="37" t="n">
        <v>225677.81</v>
      </c>
      <c r="Q41" s="18" t="n">
        <v>229382.89</v>
      </c>
      <c r="R41" s="18" t="n">
        <v>233678.36</v>
      </c>
      <c r="S41" s="18" t="n">
        <v>236222.29</v>
      </c>
      <c r="T41" s="18" t="n">
        <v>245268.75</v>
      </c>
      <c r="U41" s="37" t="n">
        <v>245268.75</v>
      </c>
      <c r="V41" s="18" t="n">
        <v>250103.88</v>
      </c>
      <c r="W41" s="18" t="n">
        <v>254461.61</v>
      </c>
      <c r="X41" s="18" t="n">
        <v>262571.73</v>
      </c>
      <c r="Y41" s="18" t="n">
        <v>269199.84</v>
      </c>
      <c r="Z41" s="37" t="n">
        <v>269199.84</v>
      </c>
      <c r="AA41" s="18" t="n">
        <v>274614.32</v>
      </c>
      <c r="AB41" s="19" t="n">
        <v>277841.22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부채와자본총계</t>
        </is>
      </c>
      <c r="E42" s="18" t="n">
        <v>260003.39</v>
      </c>
      <c r="F42" s="37" t="n">
        <v>260003.39</v>
      </c>
      <c r="G42" s="18" t="n">
        <v>258060.48</v>
      </c>
      <c r="H42" s="18" t="n">
        <v>258810.24</v>
      </c>
      <c r="I42" s="18" t="n">
        <v>262614.16</v>
      </c>
      <c r="J42" s="18" t="n">
        <v>261112.52</v>
      </c>
      <c r="K42" s="37" t="n">
        <v>261112.52</v>
      </c>
      <c r="L42" s="18" t="n">
        <v>266270.17</v>
      </c>
      <c r="M42" s="18" t="n">
        <v>279254.82</v>
      </c>
      <c r="N42" s="18" t="n">
        <v>280285.66</v>
      </c>
      <c r="O42" s="18" t="n">
        <v>297950.27</v>
      </c>
      <c r="P42" s="37" t="n">
        <v>297950.27</v>
      </c>
      <c r="Q42" s="18" t="n">
        <v>295957.58</v>
      </c>
      <c r="R42" s="18" t="n">
        <v>302849.65</v>
      </c>
      <c r="S42" s="18" t="n">
        <v>303664.4</v>
      </c>
      <c r="T42" s="18" t="n">
        <v>308605.89</v>
      </c>
      <c r="U42" s="37" t="n">
        <v>308605.89</v>
      </c>
      <c r="V42" s="18" t="n">
        <v>310593.54</v>
      </c>
      <c r="W42" s="18" t="n">
        <v>318841.75</v>
      </c>
      <c r="X42" s="18" t="n">
        <v>319950.18</v>
      </c>
      <c r="Y42" s="18" t="n">
        <v>321983.56</v>
      </c>
      <c r="Z42" s="37" t="n">
        <v>321983.56</v>
      </c>
      <c r="AA42" s="18" t="n">
        <v>332881.78</v>
      </c>
      <c r="AB42" s="19" t="n">
        <v>346315.62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이자발생자산</t>
        </is>
      </c>
      <c r="E43" s="18" t="n">
        <v>78325.02</v>
      </c>
      <c r="F43" s="37" t="n">
        <v>78325.02</v>
      </c>
      <c r="G43" s="18" t="n">
        <v>71153.03</v>
      </c>
      <c r="H43" s="18" t="n">
        <v>68486.91</v>
      </c>
      <c r="I43" s="18" t="n">
        <v>70911.66</v>
      </c>
      <c r="J43" s="18" t="n">
        <v>69037.23</v>
      </c>
      <c r="K43" s="37" t="n">
        <v>69037.23</v>
      </c>
      <c r="L43" s="18" t="n">
        <v>67633.46000000001</v>
      </c>
      <c r="M43" s="18" t="n">
        <v>74759.23</v>
      </c>
      <c r="N43" s="18" t="n">
        <v>67209.52</v>
      </c>
      <c r="O43" s="18" t="n">
        <v>85996.46000000001</v>
      </c>
      <c r="P43" s="37" t="n">
        <v>85996.46000000001</v>
      </c>
      <c r="Q43" s="18" t="n">
        <v>78135.75999999999</v>
      </c>
      <c r="R43" s="18" t="n">
        <v>81614.74000000001</v>
      </c>
      <c r="S43" s="18" t="n">
        <v>83551.78</v>
      </c>
      <c r="T43" s="18" t="n">
        <v>76497.92999999999</v>
      </c>
      <c r="U43" s="37" t="n">
        <v>76497.92999999999</v>
      </c>
      <c r="V43" s="18" t="n">
        <v>65630.59</v>
      </c>
      <c r="W43" s="18" t="n">
        <v>47863.86</v>
      </c>
      <c r="X43" s="18" t="n">
        <v>51582.14</v>
      </c>
      <c r="Y43" s="18" t="n">
        <v>57918.67</v>
      </c>
      <c r="Z43" s="37" t="n">
        <v>57918.67</v>
      </c>
      <c r="AA43" s="18" t="n">
        <v>52685.95</v>
      </c>
      <c r="AB43" s="19" t="n">
        <v>56501.41</v>
      </c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기타비유동자산</t>
        </is>
      </c>
      <c r="F44" s="9" t="n"/>
      <c r="K44" s="9" t="n"/>
      <c r="N44" s="18" t="n">
        <v>2.37</v>
      </c>
      <c r="O44" s="18" t="n">
        <v>2.11</v>
      </c>
      <c r="P44" s="37" t="n">
        <v>2.11</v>
      </c>
      <c r="Q44" s="18" t="n">
        <v>2.12</v>
      </c>
      <c r="T44" s="18" t="n">
        <v>1.06</v>
      </c>
      <c r="U44" s="37" t="n">
        <v>1.06</v>
      </c>
      <c r="V44" s="18" t="n">
        <v>1.06</v>
      </c>
      <c r="W44" s="18" t="n">
        <v>1.11</v>
      </c>
      <c r="X44" s="18" t="n">
        <v>1.67</v>
      </c>
      <c r="Y44" s="18" t="n">
        <v>402.55</v>
      </c>
      <c r="Z44" s="37" t="n">
        <v>402.55</v>
      </c>
      <c r="AA44" s="18" t="n">
        <v>337.96</v>
      </c>
      <c r="AB44" s="19" t="n">
        <v>368.35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기타비유동부채</t>
        </is>
      </c>
      <c r="F45" s="9" t="n"/>
      <c r="K45" s="9" t="n"/>
      <c r="N45" s="18" t="n">
        <v>765.73</v>
      </c>
      <c r="O45" s="18" t="n">
        <v>806.37</v>
      </c>
      <c r="P45" s="37" t="n">
        <v>806.37</v>
      </c>
      <c r="Q45" s="18" t="n">
        <v>804.0599999999999</v>
      </c>
      <c r="T45" s="18" t="n">
        <v>837.96</v>
      </c>
      <c r="U45" s="37" t="n">
        <v>837.96</v>
      </c>
      <c r="V45" s="18" t="n">
        <v>832.74</v>
      </c>
      <c r="W45" s="18" t="n">
        <v>290</v>
      </c>
      <c r="X45" s="18" t="n">
        <v>747</v>
      </c>
      <c r="Z45" s="9" t="n"/>
      <c r="AB45" s="5" t="n"/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기타유동자산</t>
        </is>
      </c>
      <c r="F46" s="9" t="n"/>
      <c r="K46" s="9" t="n"/>
      <c r="P46" s="9" t="n"/>
      <c r="U46" s="9" t="n"/>
      <c r="Y46" s="18" t="n">
        <v>19076.58</v>
      </c>
      <c r="Z46" s="37" t="n">
        <v>19076.58</v>
      </c>
      <c r="AA46" s="18" t="n">
        <v>20414.41</v>
      </c>
      <c r="AB46" s="19" t="n">
        <v>15424.14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사용권자산</t>
        </is>
      </c>
      <c r="F47" s="9" t="n"/>
      <c r="K47" s="9" t="n"/>
      <c r="P47" s="9" t="n"/>
      <c r="U47" s="9" t="n"/>
      <c r="Y47" s="18" t="n">
        <v>401.66</v>
      </c>
      <c r="Z47" s="37" t="n">
        <v>401.66</v>
      </c>
      <c r="AA47" s="18" t="n">
        <v>337.07</v>
      </c>
      <c r="AB47" s="19" t="n">
        <v>367.46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기타유동부채</t>
        </is>
      </c>
      <c r="F48" s="9" t="n"/>
      <c r="K48" s="9" t="n"/>
      <c r="P48" s="9" t="n"/>
      <c r="U48" s="9" t="n"/>
      <c r="Y48" s="18" t="n">
        <v>25910.36</v>
      </c>
      <c r="Z48" s="37" t="n">
        <v>25910.36</v>
      </c>
      <c r="AA48" s="18" t="n">
        <v>23230.45</v>
      </c>
      <c r="AB48" s="19" t="n">
        <v>34347.26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매출액(수익)</t>
        </is>
      </c>
      <c r="E49" s="18" t="n">
        <v>40364.41</v>
      </c>
      <c r="F49" s="9" t="n"/>
      <c r="G49" s="18" t="n">
        <v>30760.24</v>
      </c>
      <c r="H49" s="18" t="n">
        <v>34726.78</v>
      </c>
      <c r="I49" s="18" t="n">
        <v>31341.79</v>
      </c>
      <c r="J49" s="18" t="n">
        <v>33567.21</v>
      </c>
      <c r="K49" s="37" t="n">
        <v>130396.02</v>
      </c>
      <c r="L49" s="18" t="n">
        <v>32157.99</v>
      </c>
      <c r="M49" s="18" t="n">
        <v>34889.6</v>
      </c>
      <c r="N49" s="18" t="n">
        <v>37204.92</v>
      </c>
      <c r="O49" s="18" t="n">
        <v>50094.67</v>
      </c>
      <c r="P49" s="37" t="n">
        <v>154347.18</v>
      </c>
      <c r="Q49" s="18" t="n">
        <v>41354.84</v>
      </c>
      <c r="R49" s="18" t="n">
        <v>49900.4</v>
      </c>
      <c r="S49" s="18" t="n">
        <v>44736.91</v>
      </c>
      <c r="T49" s="18" t="n">
        <v>60286.73</v>
      </c>
      <c r="U49" s="37" t="n">
        <v>196278.88</v>
      </c>
      <c r="V49" s="18" t="n">
        <v>55639.79</v>
      </c>
      <c r="W49" s="18" t="n">
        <v>56326.02</v>
      </c>
      <c r="X49" s="18" t="n">
        <v>61532.72</v>
      </c>
      <c r="Y49" s="18" t="n">
        <v>56596.3</v>
      </c>
      <c r="Z49" s="37" t="n">
        <v>230094.83</v>
      </c>
      <c r="AA49" s="18" t="n">
        <v>50896.45</v>
      </c>
      <c r="AB49" s="19" t="n">
        <v>70834.32000000001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매출원가</t>
        </is>
      </c>
      <c r="E50" s="18" t="n">
        <v>36747.87</v>
      </c>
      <c r="F50" s="9" t="n"/>
      <c r="G50" s="18" t="n">
        <v>30070.79</v>
      </c>
      <c r="H50" s="18" t="n">
        <v>33536.53</v>
      </c>
      <c r="I50" s="18" t="n">
        <v>28341.51</v>
      </c>
      <c r="J50" s="18" t="n">
        <v>36789.4</v>
      </c>
      <c r="K50" s="37" t="n">
        <v>128738.23</v>
      </c>
      <c r="L50" s="18" t="n">
        <v>30291.59</v>
      </c>
      <c r="M50" s="18" t="n">
        <v>31955.58</v>
      </c>
      <c r="N50" s="18" t="n">
        <v>32852.99</v>
      </c>
      <c r="O50" s="18" t="n">
        <v>44055.93</v>
      </c>
      <c r="P50" s="37" t="n">
        <v>139156.09</v>
      </c>
      <c r="Q50" s="18" t="n">
        <v>35900.87</v>
      </c>
      <c r="R50" s="18" t="n">
        <v>42994.71</v>
      </c>
      <c r="S50" s="18" t="n">
        <v>38709.68</v>
      </c>
      <c r="T50" s="18" t="n">
        <v>49486.31</v>
      </c>
      <c r="U50" s="37" t="n">
        <v>167091.57</v>
      </c>
      <c r="V50" s="18" t="n">
        <v>44410</v>
      </c>
      <c r="W50" s="18" t="n">
        <v>47924.64</v>
      </c>
      <c r="X50" s="18" t="n">
        <v>50918.09</v>
      </c>
      <c r="Y50" s="18" t="n">
        <v>44639.94</v>
      </c>
      <c r="Z50" s="37" t="n">
        <v>187892.67</v>
      </c>
      <c r="AA50" s="18" t="n">
        <v>41209.13</v>
      </c>
      <c r="AB50" s="19" t="n">
        <v>58218.05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매출총이익</t>
        </is>
      </c>
      <c r="E51" s="18" t="n">
        <v>3616.54</v>
      </c>
      <c r="F51" s="9" t="n"/>
      <c r="G51" s="18" t="n">
        <v>689.45</v>
      </c>
      <c r="H51" s="18" t="n">
        <v>1190.25</v>
      </c>
      <c r="I51" s="18" t="n">
        <v>3000.29</v>
      </c>
      <c r="J51" s="18" t="n">
        <v>-3222.19</v>
      </c>
      <c r="K51" s="37" t="n">
        <v>1657.8</v>
      </c>
      <c r="L51" s="18" t="n">
        <v>1866.4</v>
      </c>
      <c r="M51" s="18" t="n">
        <v>2934.02</v>
      </c>
      <c r="N51" s="18" t="n">
        <v>4351.93</v>
      </c>
      <c r="O51" s="18" t="n">
        <v>6038.73</v>
      </c>
      <c r="P51" s="37" t="n">
        <v>15191.08</v>
      </c>
      <c r="Q51" s="18" t="n">
        <v>5453.97</v>
      </c>
      <c r="R51" s="18" t="n">
        <v>6905.69</v>
      </c>
      <c r="S51" s="18" t="n">
        <v>6027.22</v>
      </c>
      <c r="T51" s="18" t="n">
        <v>10800.42</v>
      </c>
      <c r="U51" s="37" t="n">
        <v>29187.3</v>
      </c>
      <c r="V51" s="18" t="n">
        <v>11229.79</v>
      </c>
      <c r="W51" s="18" t="n">
        <v>8401.379999999999</v>
      </c>
      <c r="X51" s="18" t="n">
        <v>10614.62</v>
      </c>
      <c r="Y51" s="18" t="n">
        <v>11956.35</v>
      </c>
      <c r="Z51" s="37" t="n">
        <v>42202.14</v>
      </c>
      <c r="AA51" s="18" t="n">
        <v>9687.32</v>
      </c>
      <c r="AB51" s="19" t="n">
        <v>12616.27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판관비</t>
        </is>
      </c>
      <c r="E52" s="18" t="n">
        <v>3085.13</v>
      </c>
      <c r="F52" s="9" t="n"/>
      <c r="G52" s="18" t="n">
        <v>2415.14</v>
      </c>
      <c r="H52" s="18" t="n">
        <v>3102.41</v>
      </c>
      <c r="I52" s="18" t="n">
        <v>2635.02</v>
      </c>
      <c r="J52" s="18" t="n">
        <v>3390.87</v>
      </c>
      <c r="K52" s="37" t="n">
        <v>11543.44</v>
      </c>
      <c r="L52" s="18" t="n">
        <v>2797.12</v>
      </c>
      <c r="M52" s="18" t="n">
        <v>2667.08</v>
      </c>
      <c r="N52" s="18" t="n">
        <v>2631.94</v>
      </c>
      <c r="O52" s="18" t="n">
        <v>3360.53</v>
      </c>
      <c r="P52" s="37" t="n">
        <v>11456.67</v>
      </c>
      <c r="Q52" s="18" t="n">
        <v>3075.92</v>
      </c>
      <c r="R52" s="18" t="n">
        <v>3843.8</v>
      </c>
      <c r="S52" s="18" t="n">
        <v>3112.1</v>
      </c>
      <c r="T52" s="18" t="n">
        <v>3469.18</v>
      </c>
      <c r="U52" s="37" t="n">
        <v>13501</v>
      </c>
      <c r="V52" s="18" t="n">
        <v>5518.86</v>
      </c>
      <c r="W52" s="18" t="n">
        <v>2619.31</v>
      </c>
      <c r="X52" s="18" t="n">
        <v>2871.29</v>
      </c>
      <c r="Y52" s="18" t="n">
        <v>4132.21</v>
      </c>
      <c r="Z52" s="37" t="n">
        <v>15141.67</v>
      </c>
      <c r="AA52" s="18" t="n">
        <v>3413.12</v>
      </c>
      <c r="AB52" s="19" t="n">
        <v>5057.11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영업이익</t>
        </is>
      </c>
      <c r="E53" s="18" t="n">
        <v>531.42</v>
      </c>
      <c r="F53" s="9" t="n"/>
      <c r="G53" s="18" t="n">
        <v>-1725.69</v>
      </c>
      <c r="H53" s="18" t="n">
        <v>-1912.15</v>
      </c>
      <c r="I53" s="18" t="n">
        <v>365.27</v>
      </c>
      <c r="J53" s="18" t="n">
        <v>-6613.06</v>
      </c>
      <c r="K53" s="37" t="n">
        <v>-9885.629999999999</v>
      </c>
      <c r="L53" s="18" t="n">
        <v>-930.71</v>
      </c>
      <c r="M53" s="18" t="n">
        <v>266.94</v>
      </c>
      <c r="N53" s="18" t="n">
        <v>1720</v>
      </c>
      <c r="O53" s="18" t="n">
        <v>2678.21</v>
      </c>
      <c r="P53" s="37" t="n">
        <v>3734.44</v>
      </c>
      <c r="Q53" s="18" t="n">
        <v>2378.05</v>
      </c>
      <c r="R53" s="18" t="n">
        <v>3061.89</v>
      </c>
      <c r="S53" s="18" t="n">
        <v>2915.12</v>
      </c>
      <c r="T53" s="18" t="n">
        <v>7331.24</v>
      </c>
      <c r="U53" s="37" t="n">
        <v>15686.3</v>
      </c>
      <c r="V53" s="18" t="n">
        <v>5710.93</v>
      </c>
      <c r="W53" s="18" t="n">
        <v>5782.07</v>
      </c>
      <c r="X53" s="18" t="n">
        <v>7743.34</v>
      </c>
      <c r="Y53" s="18" t="n">
        <v>7824.14</v>
      </c>
      <c r="Z53" s="37" t="n">
        <v>27060.48</v>
      </c>
      <c r="AA53" s="18" t="n">
        <v>6274.2</v>
      </c>
      <c r="AB53" s="19" t="n">
        <v>7559.16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기타영업외수익</t>
        </is>
      </c>
      <c r="E54" s="18" t="n">
        <v>79.11</v>
      </c>
      <c r="F54" s="9" t="n"/>
      <c r="G54" s="18" t="n">
        <v>165.16</v>
      </c>
      <c r="H54" s="18" t="n">
        <v>117.17</v>
      </c>
      <c r="I54" s="18" t="n">
        <v>172.53</v>
      </c>
      <c r="J54" s="18" t="n">
        <v>166.44</v>
      </c>
      <c r="K54" s="37" t="n">
        <v>621.3</v>
      </c>
      <c r="L54" s="18" t="n">
        <v>309.79</v>
      </c>
      <c r="M54" s="18" t="n">
        <v>176.41</v>
      </c>
      <c r="N54" s="18" t="n">
        <v>356.42</v>
      </c>
      <c r="O54" s="18" t="n">
        <v>218.39</v>
      </c>
      <c r="P54" s="37" t="n">
        <v>1061.01</v>
      </c>
      <c r="Q54" s="18" t="n">
        <v>184.46</v>
      </c>
      <c r="R54" s="18" t="n">
        <v>298.71</v>
      </c>
      <c r="S54" s="18" t="n">
        <v>203.08</v>
      </c>
      <c r="T54" s="18" t="n">
        <v>226.13</v>
      </c>
      <c r="U54" s="37" t="n">
        <v>912.38</v>
      </c>
      <c r="V54" s="18" t="n">
        <v>634.87</v>
      </c>
      <c r="W54" s="18" t="n">
        <v>366</v>
      </c>
      <c r="X54" s="18" t="n">
        <v>690.73</v>
      </c>
      <c r="Y54" s="18" t="n">
        <v>726.29</v>
      </c>
      <c r="Z54" s="37" t="n">
        <v>2417.89</v>
      </c>
      <c r="AA54" s="18" t="n">
        <v>258.7</v>
      </c>
      <c r="AB54" s="19" t="n">
        <v>274.29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기타영업외비용</t>
        </is>
      </c>
      <c r="E55" s="18" t="n">
        <v>17.83</v>
      </c>
      <c r="F55" s="9" t="n"/>
      <c r="G55" s="18" t="n">
        <v>1.85</v>
      </c>
      <c r="H55" s="18" t="n">
        <v>43.95</v>
      </c>
      <c r="I55" s="18" t="n">
        <v>2.35</v>
      </c>
      <c r="J55" s="18" t="n">
        <v>365.85</v>
      </c>
      <c r="K55" s="37" t="n">
        <v>414</v>
      </c>
      <c r="L55" s="18" t="n">
        <v>4.22</v>
      </c>
      <c r="M55" s="18" t="n">
        <v>501.53</v>
      </c>
      <c r="N55" s="18" t="n">
        <v>2.85</v>
      </c>
      <c r="O55" s="18" t="n">
        <v>547.01</v>
      </c>
      <c r="P55" s="37" t="n">
        <v>1055.61</v>
      </c>
      <c r="Q55" s="18" t="n">
        <v>1.89</v>
      </c>
      <c r="R55" s="18" t="n">
        <v>36.76</v>
      </c>
      <c r="S55" s="18" t="n">
        <v>-13.38</v>
      </c>
      <c r="T55" s="18" t="n">
        <v>-5.08</v>
      </c>
      <c r="U55" s="37" t="n">
        <v>20.19</v>
      </c>
      <c r="V55" s="18" t="n">
        <v>38.95</v>
      </c>
      <c r="W55" s="18" t="n">
        <v>435.88</v>
      </c>
      <c r="X55" s="18" t="n">
        <v>-1.56</v>
      </c>
      <c r="Y55" s="18" t="n">
        <v>-314.19</v>
      </c>
      <c r="Z55" s="37" t="n">
        <v>159.08</v>
      </c>
      <c r="AA55" s="18" t="n">
        <v>3.43</v>
      </c>
      <c r="AB55" s="19" t="n">
        <v>26.62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금융수익</t>
        </is>
      </c>
      <c r="E56" s="18" t="n">
        <v>1758.44</v>
      </c>
      <c r="F56" s="9" t="n"/>
      <c r="G56" s="18" t="n">
        <v>745.51</v>
      </c>
      <c r="H56" s="18" t="n">
        <v>1590.89</v>
      </c>
      <c r="I56" s="18" t="n">
        <v>2689.87</v>
      </c>
      <c r="J56" s="18" t="n">
        <v>-413.83</v>
      </c>
      <c r="K56" s="37" t="n">
        <v>4612.44</v>
      </c>
      <c r="L56" s="18" t="n">
        <v>3004.21</v>
      </c>
      <c r="M56" s="18" t="n">
        <v>1359.21</v>
      </c>
      <c r="N56" s="18" t="n">
        <v>1757.84</v>
      </c>
      <c r="O56" s="18" t="n">
        <v>1730.32</v>
      </c>
      <c r="P56" s="37" t="n">
        <v>7851.58</v>
      </c>
      <c r="Q56" s="18" t="n">
        <v>2374.1</v>
      </c>
      <c r="R56" s="18" t="n">
        <v>1965.52</v>
      </c>
      <c r="S56" s="18" t="n">
        <v>471.25</v>
      </c>
      <c r="T56" s="18" t="n">
        <v>4476.67</v>
      </c>
      <c r="U56" s="37" t="n">
        <v>9287.540000000001</v>
      </c>
      <c r="V56" s="18" t="n">
        <v>1160.91</v>
      </c>
      <c r="W56" s="18" t="n">
        <v>1143.52</v>
      </c>
      <c r="X56" s="18" t="n">
        <v>1130.23</v>
      </c>
      <c r="Y56" s="18" t="n">
        <v>1471.3</v>
      </c>
      <c r="Z56" s="37" t="n">
        <v>4905.96</v>
      </c>
      <c r="AA56" s="18" t="n">
        <v>3106.81</v>
      </c>
      <c r="AB56" s="19" t="n">
        <v>2215.93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금융비용</t>
        </is>
      </c>
      <c r="E57" s="18" t="n">
        <v>141.59</v>
      </c>
      <c r="F57" s="9" t="n"/>
      <c r="G57" s="18" t="n">
        <v>1218.39</v>
      </c>
      <c r="H57" s="18" t="n">
        <v>1921.66</v>
      </c>
      <c r="I57" s="18" t="n">
        <v>844.5599999999999</v>
      </c>
      <c r="J57" s="18" t="n">
        <v>2268.05</v>
      </c>
      <c r="K57" s="37" t="n">
        <v>6252.66</v>
      </c>
      <c r="L57" s="18" t="n">
        <v>265.84</v>
      </c>
      <c r="M57" s="18" t="n">
        <v>273.59</v>
      </c>
      <c r="N57" s="18" t="n">
        <v>88.41</v>
      </c>
      <c r="O57" s="18" t="n">
        <v>1161.81</v>
      </c>
      <c r="P57" s="37" t="n">
        <v>1789.65</v>
      </c>
      <c r="Q57" s="18" t="n">
        <v>357.38</v>
      </c>
      <c r="R57" s="18" t="n">
        <v>142.15</v>
      </c>
      <c r="S57" s="18" t="n">
        <v>647.28</v>
      </c>
      <c r="T57" s="18" t="n">
        <v>527.76</v>
      </c>
      <c r="U57" s="37" t="n">
        <v>1674.57</v>
      </c>
      <c r="V57" s="18" t="n">
        <v>294.34</v>
      </c>
      <c r="W57" s="18" t="n">
        <v>2754.1</v>
      </c>
      <c r="X57" s="18" t="n">
        <v>-772.51</v>
      </c>
      <c r="Y57" s="18" t="n">
        <v>1487.71</v>
      </c>
      <c r="Z57" s="37" t="n">
        <v>3763.64</v>
      </c>
      <c r="AA57" s="18" t="n">
        <v>396.7</v>
      </c>
      <c r="AB57" s="19" t="n">
        <v>414.71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법인세비용차감전계속사업이익</t>
        </is>
      </c>
      <c r="E58" s="18" t="n">
        <v>2209.55</v>
      </c>
      <c r="F58" s="9" t="n"/>
      <c r="G58" s="18" t="n">
        <v>-2035.26</v>
      </c>
      <c r="H58" s="18" t="n">
        <v>-2169.71</v>
      </c>
      <c r="I58" s="18" t="n">
        <v>2380.77</v>
      </c>
      <c r="J58" s="18" t="n">
        <v>-9494.35</v>
      </c>
      <c r="K58" s="37" t="n">
        <v>-11318.55</v>
      </c>
      <c r="L58" s="18" t="n">
        <v>2121.66</v>
      </c>
      <c r="M58" s="18" t="n">
        <v>1027.43</v>
      </c>
      <c r="N58" s="18" t="n">
        <v>3743</v>
      </c>
      <c r="O58" s="18" t="n">
        <v>2918.09</v>
      </c>
      <c r="P58" s="37" t="n">
        <v>9810.18</v>
      </c>
      <c r="Q58" s="18" t="n">
        <v>4577.35</v>
      </c>
      <c r="R58" s="18" t="n">
        <v>5147.21</v>
      </c>
      <c r="S58" s="18" t="n">
        <v>2955.55</v>
      </c>
      <c r="T58" s="18" t="n">
        <v>11511.36</v>
      </c>
      <c r="U58" s="37" t="n">
        <v>24191.47</v>
      </c>
      <c r="V58" s="18" t="n">
        <v>7173.42</v>
      </c>
      <c r="W58" s="18" t="n">
        <v>4973.36</v>
      </c>
      <c r="X58" s="18" t="n">
        <v>10335.24</v>
      </c>
      <c r="Y58" s="18" t="n">
        <v>8057.49</v>
      </c>
      <c r="Z58" s="37" t="n">
        <v>30539.51</v>
      </c>
      <c r="AA58" s="18" t="n">
        <v>9239.57</v>
      </c>
      <c r="AB58" s="19" t="n">
        <v>9608.059999999999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법인세비용</t>
        </is>
      </c>
      <c r="E59" s="18" t="n">
        <v>-208.3</v>
      </c>
      <c r="F59" s="9" t="n"/>
      <c r="G59" s="18" t="n">
        <v>-426.36</v>
      </c>
      <c r="H59" s="18" t="n">
        <v>-1270.07</v>
      </c>
      <c r="I59" s="18" t="n">
        <v>499.01</v>
      </c>
      <c r="J59" s="18" t="n">
        <v>-2624.79</v>
      </c>
      <c r="K59" s="37" t="n">
        <v>-3822.21</v>
      </c>
      <c r="L59" s="18" t="n">
        <v>411.75</v>
      </c>
      <c r="M59" s="18" t="n">
        <v>62.87</v>
      </c>
      <c r="N59" s="18" t="n">
        <v>749.85</v>
      </c>
      <c r="O59" s="18" t="n">
        <v>206.94</v>
      </c>
      <c r="P59" s="37" t="n">
        <v>1431.41</v>
      </c>
      <c r="Q59" s="18" t="n">
        <v>884.23</v>
      </c>
      <c r="R59" s="18" t="n">
        <v>949.2</v>
      </c>
      <c r="S59" s="18" t="n">
        <v>427.64</v>
      </c>
      <c r="T59" s="18" t="n">
        <v>2330.9</v>
      </c>
      <c r="U59" s="37" t="n">
        <v>4591.97</v>
      </c>
      <c r="V59" s="18" t="n">
        <v>1431.51</v>
      </c>
      <c r="W59" s="18" t="n">
        <v>538.98</v>
      </c>
      <c r="X59" s="18" t="n">
        <v>2264.86</v>
      </c>
      <c r="Y59" s="18" t="n">
        <v>1514.78</v>
      </c>
      <c r="Z59" s="37" t="n">
        <v>5750.13</v>
      </c>
      <c r="AA59" s="18" t="n">
        <v>1971.25</v>
      </c>
      <c r="AB59" s="19" t="n">
        <v>1943.64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당기순이익</t>
        </is>
      </c>
      <c r="E60" s="18" t="n">
        <v>2417.85</v>
      </c>
      <c r="F60" s="9" t="n"/>
      <c r="G60" s="18" t="n">
        <v>-1608.9</v>
      </c>
      <c r="H60" s="18" t="n">
        <v>-899.64</v>
      </c>
      <c r="I60" s="18" t="n">
        <v>1881.75</v>
      </c>
      <c r="J60" s="18" t="n">
        <v>-6869.56</v>
      </c>
      <c r="K60" s="37" t="n">
        <v>-7496.35</v>
      </c>
      <c r="L60" s="18" t="n">
        <v>1709.92</v>
      </c>
      <c r="M60" s="18" t="n">
        <v>964.5599999999999</v>
      </c>
      <c r="N60" s="18" t="n">
        <v>2993.16</v>
      </c>
      <c r="O60" s="18" t="n">
        <v>2711.16</v>
      </c>
      <c r="P60" s="37" t="n">
        <v>8378.799999999999</v>
      </c>
      <c r="Q60" s="18" t="n">
        <v>3693.11</v>
      </c>
      <c r="R60" s="18" t="n">
        <v>4198.01</v>
      </c>
      <c r="S60" s="18" t="n">
        <v>2527.91</v>
      </c>
      <c r="T60" s="18" t="n">
        <v>9180.459999999999</v>
      </c>
      <c r="U60" s="37" t="n">
        <v>19599.49</v>
      </c>
      <c r="V60" s="18" t="n">
        <v>5741.91</v>
      </c>
      <c r="W60" s="18" t="n">
        <v>4434.38</v>
      </c>
      <c r="X60" s="18" t="n">
        <v>8070.38</v>
      </c>
      <c r="Y60" s="18" t="n">
        <v>6542.72</v>
      </c>
      <c r="Z60" s="37" t="n">
        <v>24789.39</v>
      </c>
      <c r="AA60" s="18" t="n">
        <v>7268.32</v>
      </c>
      <c r="AB60" s="19" t="n">
        <v>7664.42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총포괄손익</t>
        </is>
      </c>
      <c r="E61" s="18" t="n">
        <v>2588.24</v>
      </c>
      <c r="F61" s="9" t="n"/>
      <c r="G61" s="18" t="n">
        <v>-1689.76</v>
      </c>
      <c r="H61" s="18" t="n">
        <v>-812.6900000000001</v>
      </c>
      <c r="I61" s="18" t="n">
        <v>2022.82</v>
      </c>
      <c r="J61" s="18" t="n">
        <v>-6874.11</v>
      </c>
      <c r="K61" s="37" t="n">
        <v>-7353.74</v>
      </c>
      <c r="L61" s="18" t="n">
        <v>1614.17</v>
      </c>
      <c r="M61" s="18" t="n">
        <v>951.9</v>
      </c>
      <c r="N61" s="18" t="n">
        <v>2993.16</v>
      </c>
      <c r="O61" s="18" t="n">
        <v>2559</v>
      </c>
      <c r="P61" s="37" t="n">
        <v>8118.23</v>
      </c>
      <c r="Q61" s="18" t="n">
        <v>3693.11</v>
      </c>
      <c r="R61" s="18" t="n">
        <v>4300.31</v>
      </c>
      <c r="S61" s="18" t="n">
        <v>2527.91</v>
      </c>
      <c r="T61" s="18" t="n">
        <v>8980.6</v>
      </c>
      <c r="U61" s="37" t="n">
        <v>19501.93</v>
      </c>
      <c r="V61" s="18" t="n">
        <v>5741.91</v>
      </c>
      <c r="W61" s="18" t="n">
        <v>4279.86</v>
      </c>
      <c r="X61" s="18" t="n">
        <v>8070.38</v>
      </c>
      <c r="Y61" s="18" t="n">
        <v>6403.63</v>
      </c>
      <c r="Z61" s="37" t="n">
        <v>24495.78</v>
      </c>
      <c r="AA61" s="18" t="n">
        <v>7268.32</v>
      </c>
      <c r="AB61" s="19" t="n">
        <v>7663.55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(지배주주지분)당기순이익</t>
        </is>
      </c>
      <c r="E62" s="18" t="n">
        <v>2417.85</v>
      </c>
      <c r="F62" s="9" t="n"/>
      <c r="G62" s="18" t="n">
        <v>-1608.9</v>
      </c>
      <c r="H62" s="18" t="n">
        <v>-899.64</v>
      </c>
      <c r="I62" s="18" t="n">
        <v>1881.75</v>
      </c>
      <c r="J62" s="18" t="n">
        <v>-6869.56</v>
      </c>
      <c r="K62" s="37" t="n">
        <v>-7496.35</v>
      </c>
      <c r="L62" s="18" t="n">
        <v>1709.92</v>
      </c>
      <c r="M62" s="18" t="n">
        <v>964.5599999999999</v>
      </c>
      <c r="N62" s="18" t="n">
        <v>2993.16</v>
      </c>
      <c r="O62" s="18" t="n">
        <v>2711.16</v>
      </c>
      <c r="P62" s="37" t="n">
        <v>8378.799999999999</v>
      </c>
      <c r="Q62" s="18" t="n">
        <v>3693.11</v>
      </c>
      <c r="R62" s="18" t="n">
        <v>4198.01</v>
      </c>
      <c r="S62" s="18" t="n">
        <v>2527.91</v>
      </c>
      <c r="T62" s="18" t="n">
        <v>9180.459999999999</v>
      </c>
      <c r="U62" s="37" t="n">
        <v>19599.49</v>
      </c>
      <c r="V62" s="18" t="n">
        <v>5741.91</v>
      </c>
      <c r="W62" s="18" t="n">
        <v>4434.38</v>
      </c>
      <c r="X62" s="18" t="n">
        <v>8070.38</v>
      </c>
      <c r="Y62" s="18" t="n">
        <v>6542.72</v>
      </c>
      <c r="Z62" s="37" t="n">
        <v>24789.39</v>
      </c>
      <c r="AA62" s="18" t="n">
        <v>7268.32</v>
      </c>
      <c r="AB62" s="5" t="n"/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금융손익</t>
        </is>
      </c>
      <c r="E63" s="18" t="n">
        <v>1616.85</v>
      </c>
      <c r="F63" s="9" t="n"/>
      <c r="G63" s="18" t="n">
        <v>-472.88</v>
      </c>
      <c r="H63" s="18" t="n">
        <v>-330.77</v>
      </c>
      <c r="I63" s="18" t="n">
        <v>1845.31</v>
      </c>
      <c r="J63" s="18" t="n">
        <v>-2681.88</v>
      </c>
      <c r="K63" s="37" t="n">
        <v>-1640.22</v>
      </c>
      <c r="L63" s="18" t="n">
        <v>2738.37</v>
      </c>
      <c r="M63" s="18" t="n">
        <v>1085.62</v>
      </c>
      <c r="N63" s="18" t="n">
        <v>1669.43</v>
      </c>
      <c r="O63" s="18" t="n">
        <v>568.51</v>
      </c>
      <c r="P63" s="37" t="n">
        <v>6061.93</v>
      </c>
      <c r="Q63" s="18" t="n">
        <v>2016.72</v>
      </c>
      <c r="R63" s="18" t="n">
        <v>1823.37</v>
      </c>
      <c r="S63" s="18" t="n">
        <v>-176.03</v>
      </c>
      <c r="T63" s="18" t="n">
        <v>3948.91</v>
      </c>
      <c r="U63" s="37" t="n">
        <v>7612.97</v>
      </c>
      <c r="V63" s="18" t="n">
        <v>866.5700000000001</v>
      </c>
      <c r="W63" s="18" t="n">
        <v>-1610.58</v>
      </c>
      <c r="X63" s="18" t="n">
        <v>1902.74</v>
      </c>
      <c r="Y63" s="18" t="n">
        <v>-16.41</v>
      </c>
      <c r="Z63" s="37" t="n">
        <v>1142.32</v>
      </c>
      <c r="AA63" s="18" t="n">
        <v>2710.11</v>
      </c>
      <c r="AB63" s="19" t="n">
        <v>1801.22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기타영업외손익</t>
        </is>
      </c>
      <c r="E64" s="18" t="n">
        <v>61.28</v>
      </c>
      <c r="F64" s="9" t="n"/>
      <c r="G64" s="18" t="n">
        <v>163.31</v>
      </c>
      <c r="H64" s="18" t="n">
        <v>73.22</v>
      </c>
      <c r="I64" s="18" t="n">
        <v>170.18</v>
      </c>
      <c r="J64" s="18" t="n">
        <v>-199.41</v>
      </c>
      <c r="K64" s="37" t="n">
        <v>207.3</v>
      </c>
      <c r="L64" s="18" t="n">
        <v>305.57</v>
      </c>
      <c r="M64" s="18" t="n">
        <v>-325.12</v>
      </c>
      <c r="N64" s="18" t="n">
        <v>353.57</v>
      </c>
      <c r="O64" s="18" t="n">
        <v>-328.62</v>
      </c>
      <c r="P64" s="37" t="n">
        <v>5.4</v>
      </c>
      <c r="Q64" s="18" t="n">
        <v>182.57</v>
      </c>
      <c r="R64" s="18" t="n">
        <v>261.95</v>
      </c>
      <c r="S64" s="18" t="n">
        <v>216.46</v>
      </c>
      <c r="T64" s="18" t="n">
        <v>231.21</v>
      </c>
      <c r="U64" s="37" t="n">
        <v>892.1900000000001</v>
      </c>
      <c r="V64" s="18" t="n">
        <v>595.92</v>
      </c>
      <c r="W64" s="18" t="n">
        <v>-69.88</v>
      </c>
      <c r="X64" s="18" t="n">
        <v>692.29</v>
      </c>
      <c r="Y64" s="18" t="n">
        <v>1040.48</v>
      </c>
      <c r="Z64" s="37" t="n">
        <v>2258.81</v>
      </c>
      <c r="AA64" s="18" t="n">
        <v>255.27</v>
      </c>
      <c r="AB64" s="19" t="n">
        <v>247.67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계속사업이익</t>
        </is>
      </c>
      <c r="E65" s="18" t="n">
        <v>2417.85</v>
      </c>
      <c r="F65" s="9" t="n"/>
      <c r="G65" s="18" t="n">
        <v>-1608.9</v>
      </c>
      <c r="H65" s="18" t="n">
        <v>-899.64</v>
      </c>
      <c r="I65" s="18" t="n">
        <v>1881.75</v>
      </c>
      <c r="J65" s="18" t="n">
        <v>-6869.56</v>
      </c>
      <c r="K65" s="37" t="n">
        <v>-7496.35</v>
      </c>
      <c r="L65" s="18" t="n">
        <v>1709.92</v>
      </c>
      <c r="M65" s="18" t="n">
        <v>964.5599999999999</v>
      </c>
      <c r="N65" s="18" t="n">
        <v>2993.16</v>
      </c>
      <c r="O65" s="18" t="n">
        <v>2711.16</v>
      </c>
      <c r="P65" s="37" t="n">
        <v>8378.799999999999</v>
      </c>
      <c r="Q65" s="18" t="n">
        <v>3693.11</v>
      </c>
      <c r="R65" s="18" t="n">
        <v>4198.01</v>
      </c>
      <c r="S65" s="18" t="n">
        <v>2527.91</v>
      </c>
      <c r="T65" s="18" t="n">
        <v>9180.459999999999</v>
      </c>
      <c r="U65" s="37" t="n">
        <v>19599.49</v>
      </c>
      <c r="V65" s="18" t="n">
        <v>5741.91</v>
      </c>
      <c r="W65" s="18" t="n">
        <v>4434.38</v>
      </c>
      <c r="X65" s="18" t="n">
        <v>8070.38</v>
      </c>
      <c r="Y65" s="18" t="n">
        <v>6542.72</v>
      </c>
      <c r="Z65" s="37" t="n">
        <v>24789.39</v>
      </c>
      <c r="AA65" s="18" t="n">
        <v>7268.32</v>
      </c>
      <c r="AB65" s="19" t="n">
        <v>7664.42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이자수익</t>
        </is>
      </c>
      <c r="F66" s="9" t="n"/>
      <c r="G66" s="18" t="n">
        <v>412.62</v>
      </c>
      <c r="K66" s="9" t="n"/>
      <c r="L66" s="18" t="n">
        <v>761.67</v>
      </c>
      <c r="P66" s="9" t="n"/>
      <c r="Q66" s="18" t="n">
        <v>1077.16</v>
      </c>
      <c r="U66" s="9" t="n"/>
      <c r="V66" s="18" t="n">
        <v>733.36</v>
      </c>
      <c r="W66" s="18" t="n">
        <v>799.23</v>
      </c>
      <c r="Z66" s="9" t="n"/>
      <c r="AB66" s="19" t="n">
        <v>801.8200000000001</v>
      </c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이자비용</t>
        </is>
      </c>
      <c r="F67" s="9" t="n"/>
      <c r="G67" s="18" t="n">
        <v>4.49</v>
      </c>
      <c r="K67" s="9" t="n"/>
      <c r="L67" s="18" t="n">
        <v>3.51</v>
      </c>
      <c r="P67" s="9" t="n"/>
      <c r="U67" s="9" t="n"/>
      <c r="Z67" s="9" t="n"/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이자손익</t>
        </is>
      </c>
      <c r="F68" s="9" t="n"/>
      <c r="G68" s="18" t="n">
        <v>408.13</v>
      </c>
      <c r="K68" s="9" t="n"/>
      <c r="L68" s="18" t="n">
        <v>758.16</v>
      </c>
      <c r="P68" s="9" t="n"/>
      <c r="U68" s="9" t="n"/>
      <c r="Z68" s="9" t="n"/>
      <c r="AB68" s="5" t="n"/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(비지배주주지분)당기순이익</t>
        </is>
      </c>
      <c r="F69" s="9" t="n"/>
      <c r="K69" s="9" t="n"/>
      <c r="P69" s="9" t="n"/>
      <c r="U69" s="9" t="n"/>
      <c r="Z69" s="9" t="n"/>
      <c r="AA69" s="18" t="n">
        <v>0</v>
      </c>
      <c r="AB69" s="19" t="n">
        <v>0</v>
      </c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영업활동으로인한현금흐름</t>
        </is>
      </c>
      <c r="E70" s="18" t="n">
        <v>-2021.08</v>
      </c>
      <c r="F70" s="9" t="n"/>
      <c r="G70" s="18" t="n">
        <v>-2106.41</v>
      </c>
      <c r="H70" s="18" t="n">
        <v>-1064.97</v>
      </c>
      <c r="I70" s="18" t="n">
        <v>3475.43</v>
      </c>
      <c r="J70" s="18" t="n">
        <v>1252.2</v>
      </c>
      <c r="K70" s="37" t="n">
        <v>1556.25</v>
      </c>
      <c r="L70" s="18" t="n">
        <v>-1921.42</v>
      </c>
      <c r="M70" s="18" t="n">
        <v>10344.92</v>
      </c>
      <c r="N70" s="18" t="n">
        <v>-5291.58</v>
      </c>
      <c r="O70" s="18" t="n">
        <v>20819.54</v>
      </c>
      <c r="P70" s="37" t="n">
        <v>23951.46</v>
      </c>
      <c r="Q70" s="18" t="n">
        <v>-5922.09</v>
      </c>
      <c r="R70" s="18" t="n">
        <v>852.4299999999999</v>
      </c>
      <c r="S70" s="18" t="n">
        <v>2627.91</v>
      </c>
      <c r="T70" s="18" t="n">
        <v>-1822.15</v>
      </c>
      <c r="U70" s="37" t="n">
        <v>-4263.9</v>
      </c>
      <c r="V70" s="18" t="n">
        <v>-684.3200000000001</v>
      </c>
      <c r="W70" s="18" t="n">
        <v>5477.81</v>
      </c>
      <c r="X70" s="18" t="n">
        <v>-1425.65</v>
      </c>
      <c r="Y70" s="18" t="n">
        <v>12197.11</v>
      </c>
      <c r="Z70" s="37" t="n">
        <v>15564.95</v>
      </c>
      <c r="AA70" s="18" t="n">
        <v>-1071.33</v>
      </c>
      <c r="AB70" s="19" t="n">
        <v>13163.98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감가상각비</t>
        </is>
      </c>
      <c r="E71" s="18" t="n">
        <v>873.66</v>
      </c>
      <c r="F71" s="9" t="n"/>
      <c r="G71" s="18" t="n">
        <v>890.37</v>
      </c>
      <c r="H71" s="18" t="n">
        <v>935.65</v>
      </c>
      <c r="I71" s="18" t="n">
        <v>909.11</v>
      </c>
      <c r="J71" s="18" t="n">
        <v>903.46</v>
      </c>
      <c r="K71" s="37" t="n">
        <v>3638.59</v>
      </c>
      <c r="L71" s="18" t="n">
        <v>1018.41</v>
      </c>
      <c r="M71" s="18" t="n">
        <v>1026</v>
      </c>
      <c r="P71" s="9" t="n"/>
      <c r="S71" s="18" t="n">
        <v>1274.43</v>
      </c>
      <c r="U71" s="9" t="n"/>
      <c r="Z71" s="9" t="n"/>
      <c r="AB71" s="5" t="n"/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무형자산상각비</t>
        </is>
      </c>
      <c r="E72" s="18" t="n">
        <v>286.54</v>
      </c>
      <c r="F72" s="9" t="n"/>
      <c r="G72" s="18" t="n">
        <v>64.31</v>
      </c>
      <c r="H72" s="18" t="n">
        <v>64.67</v>
      </c>
      <c r="I72" s="18" t="n">
        <v>70.65000000000001</v>
      </c>
      <c r="J72" s="18" t="n">
        <v>71.55</v>
      </c>
      <c r="K72" s="37" t="n">
        <v>271.18</v>
      </c>
      <c r="L72" s="18" t="n">
        <v>66.23999999999999</v>
      </c>
      <c r="M72" s="18" t="n">
        <v>69.7</v>
      </c>
      <c r="P72" s="9" t="n"/>
      <c r="S72" s="18" t="n">
        <v>24.42</v>
      </c>
      <c r="U72" s="9" t="n"/>
      <c r="Z72" s="9" t="n"/>
      <c r="AB72" s="5" t="n"/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배당금수취(CF)</t>
        </is>
      </c>
      <c r="E73" s="18" t="n">
        <v>24.13</v>
      </c>
      <c r="F73" s="9" t="n"/>
      <c r="G73" s="18" t="n">
        <v>0</v>
      </c>
      <c r="H73" s="18" t="n">
        <v>0.16</v>
      </c>
      <c r="I73" s="18" t="n">
        <v>0</v>
      </c>
      <c r="J73" s="18" t="n">
        <v>0</v>
      </c>
      <c r="K73" s="37" t="n">
        <v>0.16</v>
      </c>
      <c r="N73" s="18" t="n">
        <v>0</v>
      </c>
      <c r="O73" s="18" t="n">
        <v>0</v>
      </c>
      <c r="P73" s="9" t="n"/>
      <c r="U73" s="9" t="n"/>
      <c r="V73" s="18" t="n">
        <v>0</v>
      </c>
      <c r="Z73" s="9" t="n"/>
      <c r="AB73" s="5" t="n"/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법인세납부(CF)</t>
        </is>
      </c>
      <c r="E74" s="18" t="n">
        <v>380.97</v>
      </c>
      <c r="F74" s="9" t="n"/>
      <c r="G74" s="18" t="n">
        <v>-51.17</v>
      </c>
      <c r="H74" s="18" t="n">
        <v>1078.28</v>
      </c>
      <c r="I74" s="18" t="n">
        <v>-4.15</v>
      </c>
      <c r="J74" s="18" t="n">
        <v>178.33</v>
      </c>
      <c r="K74" s="37" t="n">
        <v>1201.29</v>
      </c>
      <c r="L74" s="18" t="n">
        <v>-162.56</v>
      </c>
      <c r="M74" s="18" t="n">
        <v>161.75</v>
      </c>
      <c r="N74" s="18" t="n">
        <v>-122.81</v>
      </c>
      <c r="O74" s="18" t="n">
        <v>-130.4</v>
      </c>
      <c r="P74" s="37" t="n">
        <v>-254.02</v>
      </c>
      <c r="Q74" s="18" t="n">
        <v>-143.69</v>
      </c>
      <c r="R74" s="18" t="n">
        <v>-139.11</v>
      </c>
      <c r="S74" s="18" t="n">
        <v>-130.96</v>
      </c>
      <c r="T74" s="18" t="n">
        <v>-134.36</v>
      </c>
      <c r="U74" s="37" t="n">
        <v>-548.12</v>
      </c>
      <c r="V74" s="18" t="n">
        <v>-1463.8</v>
      </c>
      <c r="W74" s="18" t="n">
        <v>-1662.06</v>
      </c>
      <c r="X74" s="18" t="n">
        <v>-910.35</v>
      </c>
      <c r="Y74" s="18" t="n">
        <v>-692.9299999999999</v>
      </c>
      <c r="Z74" s="37" t="n">
        <v>-4729.14</v>
      </c>
      <c r="AA74" s="18" t="n">
        <v>-2628.39</v>
      </c>
      <c r="AB74" s="19" t="n">
        <v>-3268.93</v>
      </c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투자활동으로인한현금흐름</t>
        </is>
      </c>
      <c r="E75" s="18" t="n">
        <v>-9118.129999999999</v>
      </c>
      <c r="F75" s="9" t="n"/>
      <c r="G75" s="18" t="n">
        <v>-8931.379999999999</v>
      </c>
      <c r="H75" s="18" t="n">
        <v>-1454.67</v>
      </c>
      <c r="I75" s="18" t="n">
        <v>-1729.73</v>
      </c>
      <c r="J75" s="18" t="n">
        <v>-1660.56</v>
      </c>
      <c r="K75" s="37" t="n">
        <v>-13776.34</v>
      </c>
      <c r="L75" s="18" t="n">
        <v>-1998.76</v>
      </c>
      <c r="M75" s="18" t="n">
        <v>-4132.58</v>
      </c>
      <c r="N75" s="18" t="n">
        <v>-6298.03</v>
      </c>
      <c r="O75" s="18" t="n">
        <v>-3875.81</v>
      </c>
      <c r="P75" s="37" t="n">
        <v>-16305.18</v>
      </c>
      <c r="Q75" s="18" t="n">
        <v>-2651.72</v>
      </c>
      <c r="R75" s="18" t="n">
        <v>-2828.43</v>
      </c>
      <c r="S75" s="18" t="n">
        <v>-790.13</v>
      </c>
      <c r="T75" s="18" t="n">
        <v>-2556.5</v>
      </c>
      <c r="U75" s="37" t="n">
        <v>-8826.780000000001</v>
      </c>
      <c r="V75" s="18" t="n">
        <v>1089.33</v>
      </c>
      <c r="W75" s="18" t="n">
        <v>-3797.75</v>
      </c>
      <c r="X75" s="18" t="n">
        <v>-1999.43</v>
      </c>
      <c r="Y75" s="18" t="n">
        <v>-1251.82</v>
      </c>
      <c r="Z75" s="37" t="n">
        <v>-5959.67</v>
      </c>
      <c r="AA75" s="18" t="n">
        <v>-1962.85</v>
      </c>
      <c r="AB75" s="19" t="n">
        <v>-8154.67</v>
      </c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유형자산의감소</t>
        </is>
      </c>
      <c r="E76" s="18" t="n">
        <v>31.27</v>
      </c>
      <c r="F76" s="9" t="n"/>
      <c r="G76" s="18" t="n">
        <v>493.39</v>
      </c>
      <c r="H76" s="18" t="n">
        <v>52.65</v>
      </c>
      <c r="J76" s="18" t="n">
        <v>3.63</v>
      </c>
      <c r="K76" s="9" t="n"/>
      <c r="L76" s="18" t="n">
        <v>0</v>
      </c>
      <c r="M76" s="18" t="n">
        <v>15.23</v>
      </c>
      <c r="N76" s="18" t="n">
        <v>100.2</v>
      </c>
      <c r="O76" s="18" t="n">
        <v>7.69</v>
      </c>
      <c r="P76" s="37" t="n">
        <v>123.12</v>
      </c>
      <c r="Q76" s="18" t="n">
        <v>1</v>
      </c>
      <c r="R76" s="18" t="n">
        <v>15.37</v>
      </c>
      <c r="S76" s="18" t="n">
        <v>3.15</v>
      </c>
      <c r="T76" s="18" t="n">
        <v>0</v>
      </c>
      <c r="U76" s="37" t="n">
        <v>19.52</v>
      </c>
      <c r="V76" s="18" t="n">
        <v>2.73</v>
      </c>
      <c r="W76" s="18" t="n">
        <v>5.28</v>
      </c>
      <c r="X76" s="18" t="n">
        <v>0.34</v>
      </c>
      <c r="Y76" s="18" t="n">
        <v>6.48</v>
      </c>
      <c r="Z76" s="37" t="n">
        <v>14.83</v>
      </c>
      <c r="AA76" s="18" t="n">
        <v>3.7</v>
      </c>
      <c r="AB76" s="19" t="n">
        <v>1.46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유형자산의증가</t>
        </is>
      </c>
      <c r="E77" s="18" t="n">
        <v>4117.28</v>
      </c>
      <c r="F77" s="9" t="n"/>
      <c r="G77" s="18" t="n">
        <v>4224.3</v>
      </c>
      <c r="H77" s="18" t="n">
        <v>1707.59</v>
      </c>
      <c r="I77" s="18" t="n">
        <v>1377.17</v>
      </c>
      <c r="J77" s="18" t="n">
        <v>593.84</v>
      </c>
      <c r="K77" s="37" t="n">
        <v>7902.9</v>
      </c>
      <c r="L77" s="18" t="n">
        <v>478.92</v>
      </c>
      <c r="M77" s="18" t="n">
        <v>4775.9</v>
      </c>
      <c r="N77" s="18" t="n">
        <v>3064.44</v>
      </c>
      <c r="O77" s="18" t="n">
        <v>2557.4</v>
      </c>
      <c r="P77" s="37" t="n">
        <v>10876.66</v>
      </c>
      <c r="Q77" s="18" t="n">
        <v>360.45</v>
      </c>
      <c r="R77" s="18" t="n">
        <v>2282.96</v>
      </c>
      <c r="S77" s="18" t="n">
        <v>592.9400000000001</v>
      </c>
      <c r="T77" s="18" t="n">
        <v>1931.61</v>
      </c>
      <c r="U77" s="37" t="n">
        <v>5167.96</v>
      </c>
      <c r="V77" s="18" t="n">
        <v>1884.92</v>
      </c>
      <c r="W77" s="18" t="n">
        <v>3191.58</v>
      </c>
      <c r="X77" s="18" t="n">
        <v>1062.93</v>
      </c>
      <c r="Y77" s="18" t="n">
        <v>1099.92</v>
      </c>
      <c r="Z77" s="37" t="n">
        <v>7239.35</v>
      </c>
      <c r="AA77" s="18" t="n">
        <v>1585.4</v>
      </c>
      <c r="AB77" s="19" t="n">
        <v>7225.51</v>
      </c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CAPEX</t>
        </is>
      </c>
      <c r="E78" s="18" t="n">
        <v>4117.28</v>
      </c>
      <c r="F78" s="9" t="n"/>
      <c r="G78" s="18" t="n">
        <v>4224.3</v>
      </c>
      <c r="H78" s="18" t="n">
        <v>1707.59</v>
      </c>
      <c r="I78" s="18" t="n">
        <v>1377.17</v>
      </c>
      <c r="J78" s="18" t="n">
        <v>593.84</v>
      </c>
      <c r="K78" s="37" t="n">
        <v>7902.9</v>
      </c>
      <c r="L78" s="18" t="n">
        <v>478.92</v>
      </c>
      <c r="M78" s="18" t="n">
        <v>4775.9</v>
      </c>
      <c r="N78" s="18" t="n">
        <v>3064.44</v>
      </c>
      <c r="O78" s="18" t="n">
        <v>2557.4</v>
      </c>
      <c r="P78" s="37" t="n">
        <v>10876.66</v>
      </c>
      <c r="Q78" s="18" t="n">
        <v>360.45</v>
      </c>
      <c r="R78" s="18" t="n">
        <v>2282.96</v>
      </c>
      <c r="S78" s="18" t="n">
        <v>592.9400000000001</v>
      </c>
      <c r="T78" s="18" t="n">
        <v>1931.61</v>
      </c>
      <c r="U78" s="37" t="n">
        <v>5167.96</v>
      </c>
      <c r="V78" s="18" t="n">
        <v>1884.92</v>
      </c>
      <c r="W78" s="18" t="n">
        <v>3665.39</v>
      </c>
      <c r="X78" s="18" t="n">
        <v>650.64</v>
      </c>
      <c r="Y78" s="18" t="n">
        <v>1038.4</v>
      </c>
      <c r="Z78" s="37" t="n">
        <v>7239.35</v>
      </c>
      <c r="AA78" s="18" t="n">
        <v>1585.4</v>
      </c>
      <c r="AB78" s="19" t="n">
        <v>7225.51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재무활동으로인한현금흐름</t>
        </is>
      </c>
      <c r="E79" s="18" t="n">
        <v>293.26</v>
      </c>
      <c r="F79" s="9" t="n"/>
      <c r="G79" s="18" t="n">
        <v>-53.22</v>
      </c>
      <c r="H79" s="18" t="n">
        <v>1885.67</v>
      </c>
      <c r="I79" s="18" t="n">
        <v>54.81</v>
      </c>
      <c r="J79" s="18" t="n">
        <v>37.69</v>
      </c>
      <c r="K79" s="37" t="n">
        <v>1924.95</v>
      </c>
      <c r="L79" s="18" t="n">
        <v>-52.06</v>
      </c>
      <c r="M79" s="18" t="n">
        <v>1631.23</v>
      </c>
      <c r="N79" s="18" t="n">
        <v>1437.69</v>
      </c>
      <c r="O79" s="18" t="n">
        <v>709.11</v>
      </c>
      <c r="P79" s="37" t="n">
        <v>3725.97</v>
      </c>
      <c r="Q79" s="18" t="n">
        <v>-34.18</v>
      </c>
      <c r="R79" s="18" t="n">
        <v>4797.94</v>
      </c>
      <c r="S79" s="18" t="n">
        <v>538.13</v>
      </c>
      <c r="T79" s="18" t="n">
        <v>2028.97</v>
      </c>
      <c r="U79" s="37" t="n">
        <v>7330.86</v>
      </c>
      <c r="V79" s="18" t="n">
        <v>2595.38</v>
      </c>
      <c r="W79" s="18" t="n">
        <v>-3627.7</v>
      </c>
      <c r="X79" s="18" t="n">
        <v>6048.52</v>
      </c>
      <c r="Y79" s="18" t="n">
        <v>-5809.48</v>
      </c>
      <c r="Z79" s="37" t="n">
        <v>-793.28</v>
      </c>
      <c r="AA79" s="18" t="n">
        <v>1716.66</v>
      </c>
      <c r="AB79" s="19" t="n">
        <v>-3594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이자지급(CF)</t>
        </is>
      </c>
      <c r="E80" s="18" t="n">
        <v>-5.23</v>
      </c>
      <c r="F80" s="9" t="n"/>
      <c r="G80" s="18" t="n">
        <v>-4.49</v>
      </c>
      <c r="H80" s="18" t="n">
        <v>4.49</v>
      </c>
      <c r="I80" s="18" t="n">
        <v>-12.57</v>
      </c>
      <c r="J80" s="18" t="n">
        <v>-3.59</v>
      </c>
      <c r="K80" s="37" t="n">
        <v>-16.16</v>
      </c>
      <c r="L80" s="18" t="n">
        <v>-3.28</v>
      </c>
      <c r="M80" s="18" t="n">
        <v>-2.99</v>
      </c>
      <c r="N80" s="18" t="n">
        <v>-2.7</v>
      </c>
      <c r="O80" s="18" t="n">
        <v>-2.41</v>
      </c>
      <c r="P80" s="37" t="n">
        <v>-11.38</v>
      </c>
      <c r="Q80" s="18" t="n">
        <v>-2.11</v>
      </c>
      <c r="R80" s="18" t="n">
        <v>-1.82</v>
      </c>
      <c r="S80" s="18" t="n">
        <v>-1.52</v>
      </c>
      <c r="T80" s="18" t="n">
        <v>-3.41</v>
      </c>
      <c r="U80" s="37" t="n">
        <v>-8.859999999999999</v>
      </c>
      <c r="V80" s="18" t="n">
        <v>-1.44</v>
      </c>
      <c r="W80" s="18" t="n">
        <v>1.44</v>
      </c>
      <c r="X80" s="18" t="n">
        <v>0</v>
      </c>
      <c r="Y80" s="18" t="n">
        <v>0</v>
      </c>
      <c r="Z80" s="37" t="n">
        <v>0</v>
      </c>
      <c r="AA80" s="18" t="n">
        <v>0</v>
      </c>
      <c r="AB80" s="5" t="n"/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리스부채의상환</t>
        </is>
      </c>
      <c r="E81" s="18" t="n">
        <v>53.91</v>
      </c>
      <c r="F81" s="9" t="n"/>
      <c r="G81" s="18" t="n">
        <v>48.72</v>
      </c>
      <c r="H81" s="18" t="n">
        <v>49</v>
      </c>
      <c r="I81" s="18" t="n">
        <v>49.3</v>
      </c>
      <c r="J81" s="18" t="n">
        <v>50.22</v>
      </c>
      <c r="K81" s="37" t="n">
        <v>197.24</v>
      </c>
      <c r="L81" s="18" t="n">
        <v>48.78</v>
      </c>
      <c r="M81" s="18" t="n">
        <v>49.1</v>
      </c>
      <c r="N81" s="18" t="n">
        <v>49.42</v>
      </c>
      <c r="O81" s="18" t="n">
        <v>49.74</v>
      </c>
      <c r="P81" s="37" t="n">
        <v>197.04</v>
      </c>
      <c r="Q81" s="18" t="n">
        <v>50.07</v>
      </c>
      <c r="R81" s="18" t="n">
        <v>50.39</v>
      </c>
      <c r="S81" s="18" t="n">
        <v>50.73</v>
      </c>
      <c r="T81" s="18" t="n">
        <v>75.12</v>
      </c>
      <c r="U81" s="37" t="n">
        <v>226.31</v>
      </c>
      <c r="V81" s="18" t="n">
        <v>46.17</v>
      </c>
      <c r="W81" s="18" t="n">
        <v>68.73999999999999</v>
      </c>
      <c r="X81" s="18" t="n">
        <v>37.09</v>
      </c>
      <c r="Y81" s="18" t="n">
        <v>108.83</v>
      </c>
      <c r="Z81" s="37" t="n">
        <v>260.83</v>
      </c>
      <c r="AA81" s="18" t="n">
        <v>53.34</v>
      </c>
      <c r="AB81" s="19" t="n">
        <v>84.68000000000001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배당금지급</t>
        </is>
      </c>
      <c r="E82" s="18" t="n">
        <v>0</v>
      </c>
      <c r="F82" s="9" t="n"/>
      <c r="I82" s="18" t="n">
        <v>0</v>
      </c>
      <c r="J82" s="18" t="n">
        <v>0</v>
      </c>
      <c r="K82" s="9" t="n"/>
      <c r="N82" s="18" t="n">
        <v>0</v>
      </c>
      <c r="O82" s="18" t="n">
        <v>0</v>
      </c>
      <c r="P82" s="9" t="n"/>
      <c r="U82" s="9" t="n"/>
      <c r="X82" s="18" t="n">
        <v>0</v>
      </c>
      <c r="Y82" s="18" t="n">
        <v>0</v>
      </c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  <row r="83">
      <c r="A83" t="n">
        <v>1</v>
      </c>
      <c r="C83" t="inlineStr">
        <is>
          <t>자기주식의취득</t>
        </is>
      </c>
      <c r="E83" s="18" t="n">
        <v>0</v>
      </c>
      <c r="F83" s="9" t="n"/>
      <c r="K83" s="9" t="n"/>
      <c r="P83" s="9" t="n"/>
      <c r="U83" s="9" t="n"/>
      <c r="Z83" s="9" t="n"/>
      <c r="AB83" s="5" t="n"/>
      <c r="AC83" s="10" t="n"/>
      <c r="AD83" s="10" t="n"/>
      <c r="AE83" s="11" t="n"/>
      <c r="AF83" s="10" t="n"/>
      <c r="AG83" s="10" t="n"/>
      <c r="AH83" s="10" t="n"/>
      <c r="AI83" s="10" t="n"/>
      <c r="AJ83" s="11" t="n"/>
      <c r="AK83" s="10" t="n"/>
      <c r="AL83" s="10" t="n"/>
      <c r="AM83" s="10" t="n"/>
      <c r="AN83" s="10" t="n"/>
      <c r="AO83" s="11" t="n"/>
    </row>
    <row r="84">
      <c r="A84" t="n">
        <v>1</v>
      </c>
      <c r="C84" t="inlineStr">
        <is>
          <t>현금및현금성자산의증감</t>
        </is>
      </c>
      <c r="E84" s="18" t="n">
        <v>-10920.66</v>
      </c>
      <c r="F84" s="9" t="n"/>
      <c r="G84" s="18" t="n">
        <v>-11121.84</v>
      </c>
      <c r="H84" s="18" t="n">
        <v>-649.49</v>
      </c>
      <c r="I84" s="18" t="n">
        <v>2507.94</v>
      </c>
      <c r="J84" s="18" t="n">
        <v>-1292.4</v>
      </c>
      <c r="K84" s="37" t="n">
        <v>-10555.79</v>
      </c>
      <c r="L84" s="18" t="n">
        <v>-3661.85</v>
      </c>
      <c r="M84" s="18" t="n">
        <v>7746.88</v>
      </c>
      <c r="N84" s="18" t="n">
        <v>-10010.3</v>
      </c>
      <c r="O84" s="18" t="n">
        <v>17335.9</v>
      </c>
      <c r="P84" s="37" t="n">
        <v>11410.63</v>
      </c>
      <c r="Q84" s="18" t="n">
        <v>-8299.34</v>
      </c>
      <c r="R84" s="18" t="n">
        <v>3072.16</v>
      </c>
      <c r="S84" s="18" t="n">
        <v>1812.24</v>
      </c>
      <c r="T84" s="18" t="n">
        <v>-929.74</v>
      </c>
      <c r="U84" s="37" t="n">
        <v>-4344.68</v>
      </c>
      <c r="V84" s="18" t="n">
        <v>3064.69</v>
      </c>
      <c r="W84" s="18" t="n">
        <v>-2901.93</v>
      </c>
      <c r="X84" s="18" t="n">
        <v>3024.57</v>
      </c>
      <c r="Y84" s="18" t="n">
        <v>5309.75</v>
      </c>
      <c r="Z84" s="37" t="n">
        <v>8497.08</v>
      </c>
      <c r="AA84" s="18" t="n">
        <v>-258.74</v>
      </c>
      <c r="AB84" s="19" t="n">
        <v>1065.06</v>
      </c>
      <c r="AC84" s="10" t="n"/>
      <c r="AD84" s="10" t="n"/>
      <c r="AE84" s="11" t="n"/>
      <c r="AF84" s="10" t="n"/>
      <c r="AG84" s="10" t="n"/>
      <c r="AH84" s="10" t="n"/>
      <c r="AI84" s="10" t="n"/>
      <c r="AJ84" s="11" t="n"/>
      <c r="AK84" s="10" t="n"/>
      <c r="AL84" s="10" t="n"/>
      <c r="AM84" s="10" t="n"/>
      <c r="AN84" s="10" t="n"/>
      <c r="AO84" s="11" t="n"/>
    </row>
    <row r="85">
      <c r="A85" t="n">
        <v>1</v>
      </c>
      <c r="C85" t="inlineStr">
        <is>
          <t>기말현금및현금성자산</t>
        </is>
      </c>
      <c r="E85" s="18" t="n">
        <v>-10920.67</v>
      </c>
      <c r="F85" s="9" t="n"/>
      <c r="G85" s="18" t="n">
        <v>27317.76</v>
      </c>
      <c r="H85" s="18" t="n">
        <v>-649.49</v>
      </c>
      <c r="I85" s="18" t="n">
        <v>2507.95</v>
      </c>
      <c r="J85" s="18" t="n">
        <v>-1292.4</v>
      </c>
      <c r="K85" s="37" t="n">
        <v>27883.82</v>
      </c>
      <c r="L85" s="18" t="n">
        <v>24221.97</v>
      </c>
      <c r="M85" s="18" t="n">
        <v>7746.87</v>
      </c>
      <c r="N85" s="18" t="n">
        <v>-10010.3</v>
      </c>
      <c r="O85" s="18" t="n">
        <v>17335.9</v>
      </c>
      <c r="P85" s="37" t="n">
        <v>39294.44</v>
      </c>
      <c r="Q85" s="18" t="n">
        <v>30995.1</v>
      </c>
      <c r="R85" s="18" t="n">
        <v>3072.17</v>
      </c>
      <c r="S85" s="18" t="n">
        <v>1812.23</v>
      </c>
      <c r="T85" s="18" t="n">
        <v>-929.74</v>
      </c>
      <c r="U85" s="37" t="n">
        <v>34949.76</v>
      </c>
      <c r="V85" s="18" t="n">
        <v>38014.46</v>
      </c>
      <c r="W85" s="18" t="n">
        <v>-2901.94</v>
      </c>
      <c r="X85" s="18" t="n">
        <v>3024.58</v>
      </c>
      <c r="Y85" s="18" t="n">
        <v>5309.74</v>
      </c>
      <c r="Z85" s="37" t="n">
        <v>43446.84</v>
      </c>
      <c r="AA85" s="18" t="n">
        <v>43188.11</v>
      </c>
      <c r="AB85" s="19" t="n">
        <v>1065.06</v>
      </c>
      <c r="AC85" s="10" t="n"/>
      <c r="AD85" s="10" t="n"/>
      <c r="AE85" s="11" t="n"/>
      <c r="AF85" s="10" t="n"/>
      <c r="AG85" s="10" t="n"/>
      <c r="AH85" s="10" t="n"/>
      <c r="AI85" s="10" t="n"/>
      <c r="AJ85" s="11" t="n"/>
      <c r="AK85" s="10" t="n"/>
      <c r="AL85" s="10" t="n"/>
      <c r="AM85" s="10" t="n"/>
      <c r="AN85" s="10" t="n"/>
      <c r="AO85" s="11" t="n"/>
    </row>
    <row r="86">
      <c r="A86" t="n">
        <v>1</v>
      </c>
      <c r="C86" t="inlineStr">
        <is>
          <t>이자수취(CF)</t>
        </is>
      </c>
      <c r="F86" s="9" t="n"/>
      <c r="K86" s="9" t="n"/>
      <c r="O86" s="18" t="n">
        <v>819.29</v>
      </c>
      <c r="P86" s="9" t="n"/>
      <c r="Q86" s="18" t="n">
        <v>1038.7</v>
      </c>
      <c r="R86" s="18" t="n">
        <v>795</v>
      </c>
      <c r="S86" s="18" t="n">
        <v>846.61</v>
      </c>
      <c r="T86" s="18" t="n">
        <v>881.49</v>
      </c>
      <c r="U86" s="37" t="n">
        <v>3561.8</v>
      </c>
      <c r="V86" s="18" t="n">
        <v>549.9</v>
      </c>
      <c r="W86" s="18" t="n">
        <v>892.4400000000001</v>
      </c>
      <c r="X86" s="18" t="n">
        <v>822.8</v>
      </c>
      <c r="Y86" s="18" t="n">
        <v>612.28</v>
      </c>
      <c r="Z86" s="37" t="n">
        <v>2877.42</v>
      </c>
      <c r="AA86" s="18" t="n">
        <v>642.38</v>
      </c>
      <c r="AB86" s="19" t="n">
        <v>849.4400000000001</v>
      </c>
      <c r="AC86" s="10" t="n"/>
      <c r="AD86" s="10" t="n"/>
      <c r="AE86" s="11" t="n"/>
      <c r="AF86" s="10" t="n"/>
      <c r="AG86" s="10" t="n"/>
      <c r="AH86" s="10" t="n"/>
      <c r="AI86" s="10" t="n"/>
      <c r="AJ86" s="11" t="n"/>
      <c r="AK86" s="10" t="n"/>
      <c r="AL86" s="10" t="n"/>
      <c r="AM86" s="10" t="n"/>
      <c r="AN86" s="10" t="n"/>
      <c r="AO86" s="1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82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B1" s="2" t="inlineStr">
        <is>
          <t>(백만원)</t>
        </is>
      </c>
      <c r="C1" s="2" t="inlineStr">
        <is>
          <t>이름: BS별도H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B2" t="inlineStr">
        <is>
          <t>별도</t>
        </is>
      </c>
      <c r="D2" s="2" t="inlineStr">
        <is>
          <t>fin json(kship_fin.py)</t>
        </is>
      </c>
      <c r="AB2" s="5" t="n"/>
    </row>
    <row r="3">
      <c r="B3" t="inlineStr">
        <is>
          <t>대양전기공업(별)</t>
        </is>
      </c>
      <c r="C3" s="2" t="inlineStr">
        <is>
          <t>UPDATE: 26-10-26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B4" s="2" t="inlineStr">
        <is>
          <t>Account Code</t>
        </is>
      </c>
      <c r="C4" s="2" t="inlineStr">
        <is>
          <t>AccountNAME</t>
        </is>
      </c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t="n">
        <v>1</v>
      </c>
      <c r="C5" t="inlineStr">
        <is>
          <t>유동자산</t>
        </is>
      </c>
      <c r="E5" s="18" t="n">
        <v>97172.64999999999</v>
      </c>
      <c r="F5" s="37" t="n">
        <v>97172.64999999999</v>
      </c>
      <c r="G5" s="18" t="n">
        <v>102530.55</v>
      </c>
      <c r="H5" s="18" t="n">
        <v>104020.24</v>
      </c>
      <c r="I5" s="18" t="n">
        <v>108327.68</v>
      </c>
      <c r="J5" s="18" t="n">
        <v>106215.92</v>
      </c>
      <c r="K5" s="37" t="n">
        <v>106215.92</v>
      </c>
      <c r="L5" s="18" t="n">
        <v>112621.69</v>
      </c>
      <c r="M5" s="18" t="n">
        <v>121892.71</v>
      </c>
      <c r="N5" s="18" t="n">
        <v>120413.22</v>
      </c>
      <c r="O5" s="18" t="n">
        <v>131349.45</v>
      </c>
      <c r="P5" s="37" t="n">
        <v>131349.45</v>
      </c>
      <c r="Q5" s="18" t="n">
        <v>132983.35</v>
      </c>
      <c r="R5" s="18" t="n">
        <v>136910.05</v>
      </c>
      <c r="S5" s="18" t="n">
        <v>135894.9</v>
      </c>
      <c r="T5" s="18" t="n">
        <v>150078.23</v>
      </c>
      <c r="U5" s="37" t="n">
        <v>150078.23</v>
      </c>
      <c r="V5" s="18" t="n">
        <v>165809.25</v>
      </c>
      <c r="W5" s="18" t="n">
        <v>182890.62</v>
      </c>
      <c r="X5" s="18" t="n">
        <v>184723.35</v>
      </c>
      <c r="Y5" s="18" t="n">
        <v>186662.15</v>
      </c>
      <c r="Z5" s="37" t="n">
        <v>186662.15</v>
      </c>
      <c r="AA5" s="18" t="n">
        <v>205524.86</v>
      </c>
      <c r="AB5" s="19" t="n">
        <v>181961.11</v>
      </c>
      <c r="AC5" s="10" t="n"/>
      <c r="AD5" s="10" t="n"/>
      <c r="AE5" s="11" t="n"/>
      <c r="AF5" s="10" t="n"/>
      <c r="AG5" s="10" t="n"/>
      <c r="AH5" s="10" t="n"/>
      <c r="AI5" s="10" t="n"/>
      <c r="AJ5" s="11" t="n"/>
      <c r="AK5" s="10" t="n"/>
      <c r="AL5" s="10" t="n"/>
      <c r="AM5" s="10" t="n"/>
      <c r="AN5" s="10" t="n"/>
      <c r="AO5" s="11" t="n"/>
    </row>
    <row r="6">
      <c r="A6" t="n">
        <v>1</v>
      </c>
      <c r="C6" t="inlineStr">
        <is>
          <t>현금및현금성자산</t>
        </is>
      </c>
      <c r="E6" s="18" t="n">
        <v>36607.43</v>
      </c>
      <c r="F6" s="37" t="n">
        <v>36607.43</v>
      </c>
      <c r="G6" s="18" t="n">
        <v>22415.6</v>
      </c>
      <c r="H6" s="18" t="n">
        <v>22021.35</v>
      </c>
      <c r="I6" s="18" t="n">
        <v>25178.13</v>
      </c>
      <c r="J6" s="18" t="n">
        <v>21659.58</v>
      </c>
      <c r="K6" s="37" t="n">
        <v>21659.58</v>
      </c>
      <c r="L6" s="18" t="n">
        <v>20035.41</v>
      </c>
      <c r="M6" s="18" t="n">
        <v>25451.96</v>
      </c>
      <c r="N6" s="18" t="n">
        <v>17921.71</v>
      </c>
      <c r="O6" s="18" t="n">
        <v>29984.55</v>
      </c>
      <c r="P6" s="37" t="n">
        <v>29984.55</v>
      </c>
      <c r="Q6" s="18" t="n">
        <v>24578.62</v>
      </c>
      <c r="R6" s="18" t="n">
        <v>29218.42</v>
      </c>
      <c r="S6" s="18" t="n">
        <v>29322.15</v>
      </c>
      <c r="T6" s="18" t="n">
        <v>30793.59</v>
      </c>
      <c r="U6" s="37" t="n">
        <v>30793.59</v>
      </c>
      <c r="V6" s="18" t="n">
        <v>32180.7</v>
      </c>
      <c r="W6" s="18" t="n">
        <v>27156.16</v>
      </c>
      <c r="X6" s="18" t="n">
        <v>34691.89</v>
      </c>
      <c r="Y6" s="18" t="n">
        <v>39287.94</v>
      </c>
      <c r="Z6" s="37" t="n">
        <v>39287.94</v>
      </c>
      <c r="AA6" s="18" t="n">
        <v>39719.24</v>
      </c>
      <c r="AB6" s="19" t="n">
        <v>33239.97</v>
      </c>
      <c r="AC6" s="10" t="n"/>
      <c r="AD6" s="10" t="n"/>
      <c r="AE6" s="11" t="n"/>
      <c r="AF6" s="10" t="n"/>
      <c r="AG6" s="10" t="n"/>
      <c r="AH6" s="10" t="n"/>
      <c r="AI6" s="10" t="n"/>
      <c r="AJ6" s="11" t="n"/>
      <c r="AK6" s="10" t="n"/>
      <c r="AL6" s="10" t="n"/>
      <c r="AM6" s="10" t="n"/>
      <c r="AN6" s="10" t="n"/>
      <c r="AO6" s="11" t="n"/>
    </row>
    <row r="7">
      <c r="A7" t="n">
        <v>1</v>
      </c>
      <c r="C7" t="inlineStr">
        <is>
          <t>매출채권및기타채권</t>
        </is>
      </c>
      <c r="E7" s="18" t="n">
        <v>17897.47</v>
      </c>
      <c r="F7" s="37" t="n">
        <v>17897.47</v>
      </c>
      <c r="G7" s="18" t="n">
        <v>20591.17</v>
      </c>
      <c r="H7" s="18" t="n">
        <v>20041.38</v>
      </c>
      <c r="I7" s="18" t="n">
        <v>17469.51</v>
      </c>
      <c r="J7" s="18" t="n">
        <v>18129.7</v>
      </c>
      <c r="K7" s="37" t="n">
        <v>18129.7</v>
      </c>
      <c r="L7" s="18" t="n">
        <v>21528.18</v>
      </c>
      <c r="M7" s="18" t="n">
        <v>21149.99</v>
      </c>
      <c r="N7" s="18" t="n">
        <v>23078.92</v>
      </c>
      <c r="O7" s="18" t="n">
        <v>25462.94</v>
      </c>
      <c r="P7" s="37" t="n">
        <v>25462.94</v>
      </c>
      <c r="Q7" s="18" t="n">
        <v>22424.26</v>
      </c>
      <c r="R7" s="18" t="n">
        <v>23138.37</v>
      </c>
      <c r="S7" s="18" t="n">
        <v>23559.18</v>
      </c>
      <c r="T7" s="18" t="n">
        <v>32328.7</v>
      </c>
      <c r="U7" s="37" t="n">
        <v>32328.7</v>
      </c>
      <c r="V7" s="18" t="n">
        <v>35943.19</v>
      </c>
      <c r="W7" s="18" t="n">
        <v>35172.95</v>
      </c>
      <c r="X7" s="18" t="n">
        <v>31596.91</v>
      </c>
      <c r="Y7" s="18" t="n">
        <v>32859.08</v>
      </c>
      <c r="Z7" s="37" t="n">
        <v>32859.08</v>
      </c>
      <c r="AA7" s="18" t="n">
        <v>30969.12</v>
      </c>
      <c r="AB7" s="19" t="n">
        <v>43577.38</v>
      </c>
      <c r="AC7" s="10" t="n"/>
      <c r="AD7" s="10" t="n"/>
      <c r="AE7" s="11" t="n"/>
      <c r="AF7" s="10" t="n"/>
      <c r="AG7" s="10" t="n"/>
      <c r="AH7" s="10" t="n"/>
      <c r="AI7" s="10" t="n"/>
      <c r="AJ7" s="11" t="n"/>
      <c r="AK7" s="10" t="n"/>
      <c r="AL7" s="10" t="n"/>
      <c r="AM7" s="10" t="n"/>
      <c r="AN7" s="10" t="n"/>
      <c r="AO7" s="11" t="n"/>
    </row>
    <row r="8">
      <c r="A8" t="n">
        <v>1</v>
      </c>
      <c r="C8" t="inlineStr">
        <is>
          <t>단기투자자산(공정가치)</t>
        </is>
      </c>
      <c r="E8" s="18" t="n">
        <v>4185.91</v>
      </c>
      <c r="F8" s="37" t="n">
        <v>4185.91</v>
      </c>
      <c r="G8" s="18" t="n">
        <v>4275.47</v>
      </c>
      <c r="H8" s="18" t="n">
        <v>6559.14</v>
      </c>
      <c r="I8" s="18" t="n">
        <v>7250.59</v>
      </c>
      <c r="J8" s="18" t="n">
        <v>10352.3</v>
      </c>
      <c r="K8" s="37" t="n">
        <v>10352.3</v>
      </c>
      <c r="L8" s="18" t="n">
        <v>10706.2</v>
      </c>
      <c r="M8" s="18" t="n">
        <v>10835</v>
      </c>
      <c r="N8" s="18" t="n">
        <v>8371.18</v>
      </c>
      <c r="O8" s="18" t="n">
        <v>4097.66</v>
      </c>
      <c r="P8" s="37" t="n">
        <v>4097.66</v>
      </c>
      <c r="Q8" s="18" t="n">
        <v>4281.83</v>
      </c>
      <c r="R8" s="18" t="n">
        <v>4466.09</v>
      </c>
      <c r="S8" s="18" t="n">
        <v>4288.21</v>
      </c>
      <c r="T8" s="18" t="n">
        <v>12155.52</v>
      </c>
      <c r="U8" s="37" t="n">
        <v>12155.52</v>
      </c>
      <c r="V8" s="18" t="n">
        <v>24521.68</v>
      </c>
      <c r="W8" s="18" t="n">
        <v>38933.25</v>
      </c>
      <c r="X8" s="18" t="n">
        <v>34460.12</v>
      </c>
      <c r="Y8" s="18" t="n">
        <v>34769.73</v>
      </c>
      <c r="Z8" s="37" t="n">
        <v>34769.73</v>
      </c>
      <c r="AA8" s="18" t="n">
        <v>40501.05</v>
      </c>
      <c r="AB8" s="19" t="n">
        <v>19876.64</v>
      </c>
      <c r="AC8" s="10" t="n"/>
      <c r="AD8" s="10" t="n"/>
      <c r="AE8" s="11" t="n"/>
      <c r="AF8" s="10" t="n"/>
      <c r="AG8" s="10" t="n"/>
      <c r="AH8" s="10" t="n"/>
      <c r="AI8" s="10" t="n"/>
      <c r="AJ8" s="11" t="n"/>
      <c r="AK8" s="10" t="n"/>
      <c r="AL8" s="10" t="n"/>
      <c r="AM8" s="10" t="n"/>
      <c r="AN8" s="10" t="n"/>
      <c r="AO8" s="11" t="n"/>
    </row>
    <row r="9">
      <c r="A9" t="n">
        <v>1</v>
      </c>
      <c r="C9" t="inlineStr">
        <is>
          <t>기타유동금융자산</t>
        </is>
      </c>
      <c r="E9" s="18" t="n">
        <v>7924.02</v>
      </c>
      <c r="F9" s="37" t="n">
        <v>7924.02</v>
      </c>
      <c r="G9" s="18" t="n">
        <v>26053.09</v>
      </c>
      <c r="H9" s="18" t="n">
        <v>26141.43</v>
      </c>
      <c r="I9" s="18" t="n">
        <v>26208.01</v>
      </c>
      <c r="J9" s="18" t="n">
        <v>27338.3</v>
      </c>
      <c r="K9" s="37" t="n">
        <v>27338.3</v>
      </c>
      <c r="L9" s="18" t="n">
        <v>27489.55</v>
      </c>
      <c r="M9" s="18" t="n">
        <v>27142.21</v>
      </c>
      <c r="N9" s="18" t="n">
        <v>27311.73</v>
      </c>
      <c r="O9" s="18" t="n">
        <v>27025.47</v>
      </c>
      <c r="P9" s="37" t="n">
        <v>27025.47</v>
      </c>
      <c r="Q9" s="18" t="n">
        <v>27246.94</v>
      </c>
      <c r="R9" s="18" t="n">
        <v>27459.82</v>
      </c>
      <c r="S9" s="18" t="n">
        <v>27670.39</v>
      </c>
      <c r="T9" s="18" t="n">
        <v>27890.26</v>
      </c>
      <c r="U9" s="37" t="n">
        <v>27890.26</v>
      </c>
      <c r="V9" s="18" t="n">
        <v>28128.24</v>
      </c>
      <c r="W9" s="18" t="n">
        <v>28592.47</v>
      </c>
      <c r="X9" s="18" t="n">
        <v>32626.91</v>
      </c>
      <c r="Y9" s="18" t="n">
        <v>32752.46</v>
      </c>
      <c r="Z9" s="37" t="n">
        <v>32752.46</v>
      </c>
      <c r="AA9" s="18" t="n">
        <v>32878.85</v>
      </c>
      <c r="AB9" s="19" t="n">
        <v>32884.83</v>
      </c>
      <c r="AC9" s="10" t="n"/>
      <c r="AD9" s="10" t="n"/>
      <c r="AE9" s="11" t="n"/>
      <c r="AF9" s="10" t="n"/>
      <c r="AG9" s="10" t="n"/>
      <c r="AH9" s="10" t="n"/>
      <c r="AI9" s="10" t="n"/>
      <c r="AJ9" s="11" t="n"/>
      <c r="AK9" s="10" t="n"/>
      <c r="AL9" s="10" t="n"/>
      <c r="AM9" s="10" t="n"/>
      <c r="AN9" s="10" t="n"/>
      <c r="AO9" s="11" t="n"/>
    </row>
    <row r="10">
      <c r="A10" t="n">
        <v>1</v>
      </c>
      <c r="C10" t="inlineStr">
        <is>
          <t>당기법인세자산(선급법인세)</t>
        </is>
      </c>
      <c r="E10" s="18" t="n">
        <v>423.54</v>
      </c>
      <c r="F10" s="37" t="n">
        <v>423.54</v>
      </c>
      <c r="G10" s="18" t="n">
        <v>423.54</v>
      </c>
      <c r="H10" s="18" t="n">
        <v>105.24</v>
      </c>
      <c r="I10" s="18" t="n">
        <v>163.09</v>
      </c>
      <c r="J10" s="18" t="n">
        <v>240.55</v>
      </c>
      <c r="K10" s="37" t="n">
        <v>240.55</v>
      </c>
      <c r="L10" s="18" t="n">
        <v>397.28</v>
      </c>
      <c r="M10" s="18" t="n">
        <v>273.19</v>
      </c>
      <c r="N10" s="18" t="n">
        <v>351.91</v>
      </c>
      <c r="O10" s="18" t="n">
        <v>2.45</v>
      </c>
      <c r="P10" s="37" t="n">
        <v>2.45</v>
      </c>
      <c r="Q10" s="18" t="n">
        <v>2.45</v>
      </c>
      <c r="R10" s="18" t="n">
        <v>0</v>
      </c>
      <c r="S10" s="18" t="n">
        <v>0</v>
      </c>
      <c r="T10" s="18" t="n">
        <v>0</v>
      </c>
      <c r="U10" s="37" t="n">
        <v>0</v>
      </c>
      <c r="Y10" s="18" t="n">
        <v>0</v>
      </c>
      <c r="Z10" s="37" t="n">
        <v>0</v>
      </c>
      <c r="AA10" s="18" t="n">
        <v>0</v>
      </c>
      <c r="AB10" s="5" t="n"/>
      <c r="AC10" s="10" t="n"/>
      <c r="AD10" s="10" t="n"/>
      <c r="AE10" s="11" t="n"/>
      <c r="AF10" s="10" t="n"/>
      <c r="AG10" s="10" t="n"/>
      <c r="AH10" s="10" t="n"/>
      <c r="AI10" s="10" t="n"/>
      <c r="AJ10" s="11" t="n"/>
      <c r="AK10" s="10" t="n"/>
      <c r="AL10" s="10" t="n"/>
      <c r="AM10" s="10" t="n"/>
      <c r="AN10" s="10" t="n"/>
      <c r="AO10" s="11" t="n"/>
    </row>
    <row r="11">
      <c r="A11" t="n">
        <v>1</v>
      </c>
      <c r="C11" t="inlineStr">
        <is>
          <t>재고자산</t>
        </is>
      </c>
      <c r="E11" s="18" t="n">
        <v>26699.72</v>
      </c>
      <c r="F11" s="37" t="n">
        <v>26699.72</v>
      </c>
      <c r="G11" s="18" t="n">
        <v>24665.28</v>
      </c>
      <c r="H11" s="18" t="n">
        <v>25399.1</v>
      </c>
      <c r="I11" s="18" t="n">
        <v>28173.54</v>
      </c>
      <c r="J11" s="18" t="n">
        <v>23035.99</v>
      </c>
      <c r="K11" s="37" t="n">
        <v>23035.99</v>
      </c>
      <c r="L11" s="18" t="n">
        <v>26098.23</v>
      </c>
      <c r="M11" s="18" t="n">
        <v>31202.1</v>
      </c>
      <c r="N11" s="18" t="n">
        <v>35096.88</v>
      </c>
      <c r="O11" s="18" t="n">
        <v>35944.53</v>
      </c>
      <c r="P11" s="37" t="n">
        <v>35944.53</v>
      </c>
      <c r="Q11" s="18" t="n">
        <v>41530.27</v>
      </c>
      <c r="R11" s="18" t="n">
        <v>39486.88</v>
      </c>
      <c r="S11" s="18" t="n">
        <v>39695.24</v>
      </c>
      <c r="T11" s="18" t="n">
        <v>35108.31</v>
      </c>
      <c r="U11" s="37" t="n">
        <v>35108.31</v>
      </c>
      <c r="V11" s="18" t="n">
        <v>37816.22</v>
      </c>
      <c r="W11" s="18" t="n">
        <v>39994.42</v>
      </c>
      <c r="X11" s="18" t="n">
        <v>36993.11</v>
      </c>
      <c r="Y11" s="18" t="n">
        <v>32674.91</v>
      </c>
      <c r="Z11" s="37" t="n">
        <v>32674.91</v>
      </c>
      <c r="AA11" s="18" t="n">
        <v>45381.18</v>
      </c>
      <c r="AB11" s="19" t="n">
        <v>40269.66</v>
      </c>
      <c r="AC11" s="10" t="n"/>
      <c r="AD11" s="10" t="n"/>
      <c r="AE11" s="11" t="n"/>
      <c r="AF11" s="10" t="n"/>
      <c r="AG11" s="10" t="n"/>
      <c r="AH11" s="10" t="n"/>
      <c r="AI11" s="10" t="n"/>
      <c r="AJ11" s="11" t="n"/>
      <c r="AK11" s="10" t="n"/>
      <c r="AL11" s="10" t="n"/>
      <c r="AM11" s="10" t="n"/>
      <c r="AN11" s="10" t="n"/>
      <c r="AO11" s="11" t="n"/>
    </row>
    <row r="12">
      <c r="A12" t="n">
        <v>1</v>
      </c>
      <c r="C12" t="inlineStr">
        <is>
          <t>매각예정비유동자산및처분자산</t>
        </is>
      </c>
      <c r="E12" s="18" t="n">
        <v>0</v>
      </c>
      <c r="F12" s="37" t="n">
        <v>0</v>
      </c>
      <c r="J12" s="18" t="n">
        <v>0</v>
      </c>
      <c r="K12" s="37" t="n">
        <v>0</v>
      </c>
      <c r="L12" s="18" t="n">
        <v>0</v>
      </c>
      <c r="P12" s="9" t="n"/>
      <c r="U12" s="9" t="n"/>
      <c r="Z12" s="9" t="n"/>
      <c r="AB12" s="5" t="n"/>
      <c r="AC12" s="10" t="n"/>
      <c r="AD12" s="10" t="n"/>
      <c r="AE12" s="11" t="n"/>
      <c r="AF12" s="10" t="n"/>
      <c r="AG12" s="10" t="n"/>
      <c r="AH12" s="10" t="n"/>
      <c r="AI12" s="10" t="n"/>
      <c r="AJ12" s="11" t="n"/>
      <c r="AK12" s="10" t="n"/>
      <c r="AL12" s="10" t="n"/>
      <c r="AM12" s="10" t="n"/>
      <c r="AN12" s="10" t="n"/>
      <c r="AO12" s="11" t="n"/>
    </row>
    <row r="13">
      <c r="A13" t="n">
        <v>1</v>
      </c>
      <c r="C13" t="inlineStr">
        <is>
          <t>비유동자산</t>
        </is>
      </c>
      <c r="E13" s="18" t="n">
        <v>144259.07</v>
      </c>
      <c r="F13" s="37" t="n">
        <v>144259.07</v>
      </c>
      <c r="G13" s="18" t="n">
        <v>134398.19</v>
      </c>
      <c r="H13" s="18" t="n">
        <v>134025.69</v>
      </c>
      <c r="I13" s="18" t="n">
        <v>133693.72</v>
      </c>
      <c r="J13" s="18" t="n">
        <v>132870.06</v>
      </c>
      <c r="K13" s="37" t="n">
        <v>132870.06</v>
      </c>
      <c r="L13" s="18" t="n">
        <v>133144.53</v>
      </c>
      <c r="M13" s="18" t="n">
        <v>137123.73</v>
      </c>
      <c r="N13" s="18" t="n">
        <v>140917.65</v>
      </c>
      <c r="O13" s="18" t="n">
        <v>144350.37</v>
      </c>
      <c r="P13" s="37" t="n">
        <v>144350.37</v>
      </c>
      <c r="Q13" s="18" t="n">
        <v>143607.76</v>
      </c>
      <c r="R13" s="18" t="n">
        <v>146306.52</v>
      </c>
      <c r="S13" s="18" t="n">
        <v>144885.84</v>
      </c>
      <c r="T13" s="18" t="n">
        <v>139692.58</v>
      </c>
      <c r="U13" s="37" t="n">
        <v>139692.58</v>
      </c>
      <c r="V13" s="18" t="n">
        <v>126029.11</v>
      </c>
      <c r="W13" s="18" t="n">
        <v>114345.29</v>
      </c>
      <c r="X13" s="18" t="n">
        <v>114593.24</v>
      </c>
      <c r="Y13" s="18" t="n">
        <v>113487.44</v>
      </c>
      <c r="Z13" s="37" t="n">
        <v>113487.44</v>
      </c>
      <c r="AA13" s="18" t="n">
        <v>107459.24</v>
      </c>
      <c r="AB13" s="19" t="n">
        <v>148609.85</v>
      </c>
      <c r="AC13" s="10" t="n"/>
      <c r="AD13" s="10" t="n"/>
      <c r="AE13" s="11" t="n"/>
      <c r="AF13" s="10" t="n"/>
      <c r="AG13" s="10" t="n"/>
      <c r="AH13" s="10" t="n"/>
      <c r="AI13" s="10" t="n"/>
      <c r="AJ13" s="11" t="n"/>
      <c r="AK13" s="10" t="n"/>
      <c r="AL13" s="10" t="n"/>
      <c r="AM13" s="10" t="n"/>
      <c r="AN13" s="10" t="n"/>
      <c r="AO13" s="11" t="n"/>
    </row>
    <row r="14">
      <c r="A14" t="n">
        <v>1</v>
      </c>
      <c r="C14" t="inlineStr">
        <is>
          <t>장기매출채권및기타채권</t>
        </is>
      </c>
      <c r="E14" s="18" t="n">
        <v>813.6900000000001</v>
      </c>
      <c r="F14" s="37" t="n">
        <v>813.6900000000001</v>
      </c>
      <c r="G14" s="18" t="n">
        <v>924.67</v>
      </c>
      <c r="H14" s="18" t="n">
        <v>1230.12</v>
      </c>
      <c r="I14" s="18" t="n">
        <v>1484.21</v>
      </c>
      <c r="J14" s="18" t="n">
        <v>81.14</v>
      </c>
      <c r="K14" s="37" t="n">
        <v>81.14</v>
      </c>
      <c r="L14" s="18" t="n">
        <v>37.83</v>
      </c>
      <c r="M14" s="18" t="n">
        <v>104.49</v>
      </c>
      <c r="N14" s="18" t="n">
        <v>177.2</v>
      </c>
      <c r="O14" s="18" t="n">
        <v>726.05</v>
      </c>
      <c r="P14" s="37" t="n">
        <v>726.05</v>
      </c>
      <c r="Q14" s="18" t="n">
        <v>1009.24</v>
      </c>
      <c r="R14" s="18" t="n">
        <v>1930.09</v>
      </c>
      <c r="S14" s="18" t="n">
        <v>611.4299999999999</v>
      </c>
      <c r="T14" s="18" t="n">
        <v>1662.41</v>
      </c>
      <c r="U14" s="37" t="n">
        <v>1662.41</v>
      </c>
      <c r="V14" s="18" t="n">
        <v>606.5700000000001</v>
      </c>
      <c r="W14" s="18" t="n">
        <v>1060.04</v>
      </c>
      <c r="X14" s="18" t="n">
        <v>1083.31</v>
      </c>
      <c r="Y14" s="18" t="n">
        <v>809.54</v>
      </c>
      <c r="Z14" s="37" t="n">
        <v>809.54</v>
      </c>
      <c r="AA14" s="18" t="n">
        <v>922.35</v>
      </c>
      <c r="AB14" s="19" t="n">
        <v>1030.21</v>
      </c>
      <c r="AC14" s="10" t="n"/>
      <c r="AD14" s="10" t="n"/>
      <c r="AE14" s="11" t="n"/>
      <c r="AF14" s="10" t="n"/>
      <c r="AG14" s="10" t="n"/>
      <c r="AH14" s="10" t="n"/>
      <c r="AI14" s="10" t="n"/>
      <c r="AJ14" s="11" t="n"/>
      <c r="AK14" s="10" t="n"/>
      <c r="AL14" s="10" t="n"/>
      <c r="AM14" s="10" t="n"/>
      <c r="AN14" s="10" t="n"/>
      <c r="AO14" s="11" t="n"/>
    </row>
    <row r="15">
      <c r="A15" t="n">
        <v>1</v>
      </c>
      <c r="C15" t="inlineStr">
        <is>
          <t>장기금융자산</t>
        </is>
      </c>
      <c r="E15" s="18" t="n">
        <v>39580.42</v>
      </c>
      <c r="F15" s="37" t="n">
        <v>39580.42</v>
      </c>
      <c r="G15" s="18" t="n">
        <v>43530.27</v>
      </c>
      <c r="H15" s="18" t="n">
        <v>41513.64</v>
      </c>
      <c r="I15" s="18" t="n">
        <v>41430.44</v>
      </c>
      <c r="J15" s="18" t="n">
        <v>40848.41</v>
      </c>
      <c r="K15" s="37" t="n">
        <v>40848.41</v>
      </c>
      <c r="L15" s="18" t="n">
        <v>42052.96</v>
      </c>
      <c r="M15" s="18" t="n">
        <v>42485.39</v>
      </c>
      <c r="N15" s="18" t="n">
        <v>44945.98</v>
      </c>
      <c r="O15" s="18" t="n">
        <v>46172.47</v>
      </c>
      <c r="P15" s="37" t="n">
        <v>46172.47</v>
      </c>
      <c r="Q15" s="18" t="n">
        <v>46611.11</v>
      </c>
      <c r="R15" s="18" t="n">
        <v>47017.92</v>
      </c>
      <c r="S15" s="18" t="n">
        <v>47142.73</v>
      </c>
      <c r="T15" s="18" t="n">
        <v>41014.85</v>
      </c>
      <c r="U15" s="37" t="n">
        <v>41014.85</v>
      </c>
      <c r="V15" s="18" t="n">
        <v>27082.82</v>
      </c>
      <c r="W15" s="18" t="n">
        <v>12218.02</v>
      </c>
      <c r="X15" s="18" t="n">
        <v>12911.72</v>
      </c>
      <c r="Y15" s="18" t="n">
        <v>13921.85</v>
      </c>
      <c r="Z15" s="37" t="n">
        <v>13921.85</v>
      </c>
      <c r="AA15" s="18" t="n">
        <v>8949.139999999999</v>
      </c>
      <c r="AB15" s="19" t="n">
        <v>9481.4</v>
      </c>
      <c r="AC15" s="10" t="n"/>
      <c r="AD15" s="10" t="n"/>
      <c r="AE15" s="11" t="n"/>
      <c r="AF15" s="10" t="n"/>
      <c r="AG15" s="10" t="n"/>
      <c r="AH15" s="10" t="n"/>
      <c r="AI15" s="10" t="n"/>
      <c r="AJ15" s="11" t="n"/>
      <c r="AK15" s="10" t="n"/>
      <c r="AL15" s="10" t="n"/>
      <c r="AM15" s="10" t="n"/>
      <c r="AN15" s="10" t="n"/>
      <c r="AO15" s="11" t="n"/>
    </row>
    <row r="16">
      <c r="A16" t="n">
        <v>1</v>
      </c>
      <c r="C16" t="inlineStr">
        <is>
          <t>투자자산</t>
        </is>
      </c>
      <c r="E16" s="18" t="n">
        <v>47580.42</v>
      </c>
      <c r="F16" s="37" t="n">
        <v>47580.42</v>
      </c>
      <c r="G16" s="18" t="n">
        <v>51530.27</v>
      </c>
      <c r="H16" s="18" t="n">
        <v>49513.64</v>
      </c>
      <c r="I16" s="18" t="n">
        <v>49430.44</v>
      </c>
      <c r="J16" s="18" t="n">
        <v>48848.41</v>
      </c>
      <c r="K16" s="37" t="n">
        <v>48848.41</v>
      </c>
      <c r="L16" s="18" t="n">
        <v>50052.96</v>
      </c>
      <c r="M16" s="18" t="n">
        <v>50485.39</v>
      </c>
      <c r="N16" s="18" t="n">
        <v>52945.98</v>
      </c>
      <c r="O16" s="18" t="n">
        <v>54172.47</v>
      </c>
      <c r="P16" s="37" t="n">
        <v>54172.47</v>
      </c>
      <c r="Q16" s="18" t="n">
        <v>54611.11</v>
      </c>
      <c r="R16" s="18" t="n">
        <v>55017.92</v>
      </c>
      <c r="S16" s="18" t="n">
        <v>55142.73</v>
      </c>
      <c r="T16" s="18" t="n">
        <v>49014.85</v>
      </c>
      <c r="U16" s="37" t="n">
        <v>49014.85</v>
      </c>
      <c r="V16" s="18" t="n">
        <v>35082.82</v>
      </c>
      <c r="W16" s="18" t="n">
        <v>20218.02</v>
      </c>
      <c r="X16" s="18" t="n">
        <v>20911.72</v>
      </c>
      <c r="Y16" s="18" t="n">
        <v>21921.85</v>
      </c>
      <c r="Z16" s="37" t="n">
        <v>21921.85</v>
      </c>
      <c r="AA16" s="18" t="n">
        <v>16949.14</v>
      </c>
      <c r="AB16" s="19" t="n">
        <v>49436.48</v>
      </c>
      <c r="AC16" s="10" t="n"/>
      <c r="AD16" s="10" t="n"/>
      <c r="AE16" s="11" t="n"/>
      <c r="AF16" s="10" t="n"/>
      <c r="AG16" s="10" t="n"/>
      <c r="AH16" s="10" t="n"/>
      <c r="AI16" s="10" t="n"/>
      <c r="AJ16" s="11" t="n"/>
      <c r="AK16" s="10" t="n"/>
      <c r="AL16" s="10" t="n"/>
      <c r="AM16" s="10" t="n"/>
      <c r="AN16" s="10" t="n"/>
      <c r="AO16" s="11" t="n"/>
    </row>
    <row r="17">
      <c r="A17" t="n">
        <v>1</v>
      </c>
      <c r="C17" t="inlineStr">
        <is>
          <t>종속기업및관계기업투자</t>
        </is>
      </c>
      <c r="E17" s="18" t="n">
        <v>8000</v>
      </c>
      <c r="F17" s="37" t="n">
        <v>8000</v>
      </c>
      <c r="G17" s="18" t="n">
        <v>8000</v>
      </c>
      <c r="H17" s="18" t="n">
        <v>8000</v>
      </c>
      <c r="I17" s="18" t="n">
        <v>8000</v>
      </c>
      <c r="J17" s="18" t="n">
        <v>8000</v>
      </c>
      <c r="K17" s="37" t="n">
        <v>8000</v>
      </c>
      <c r="L17" s="18" t="n">
        <v>8000</v>
      </c>
      <c r="M17" s="18" t="n">
        <v>8000</v>
      </c>
      <c r="N17" s="18" t="n">
        <v>8000</v>
      </c>
      <c r="O17" s="18" t="n">
        <v>8000</v>
      </c>
      <c r="P17" s="37" t="n">
        <v>8000</v>
      </c>
      <c r="Q17" s="18" t="n">
        <v>8000</v>
      </c>
      <c r="R17" s="18" t="n">
        <v>8000</v>
      </c>
      <c r="S17" s="18" t="n">
        <v>8000</v>
      </c>
      <c r="T17" s="18" t="n">
        <v>8000</v>
      </c>
      <c r="U17" s="37" t="n">
        <v>8000</v>
      </c>
      <c r="V17" s="18" t="n">
        <v>8000</v>
      </c>
      <c r="W17" s="18" t="n">
        <v>8000</v>
      </c>
      <c r="X17" s="18" t="n">
        <v>8000</v>
      </c>
      <c r="Y17" s="18" t="n">
        <v>8000</v>
      </c>
      <c r="Z17" s="37" t="n">
        <v>8000</v>
      </c>
      <c r="AA17" s="18" t="n">
        <v>8000</v>
      </c>
      <c r="AB17" s="19" t="n">
        <v>39955.08</v>
      </c>
      <c r="AC17" s="10" t="n"/>
      <c r="AD17" s="10" t="n"/>
      <c r="AE17" s="11" t="n"/>
      <c r="AF17" s="10" t="n"/>
      <c r="AG17" s="10" t="n"/>
      <c r="AH17" s="10" t="n"/>
      <c r="AI17" s="10" t="n"/>
      <c r="AJ17" s="11" t="n"/>
      <c r="AK17" s="10" t="n"/>
      <c r="AL17" s="10" t="n"/>
      <c r="AM17" s="10" t="n"/>
      <c r="AN17" s="10" t="n"/>
      <c r="AO17" s="11" t="n"/>
    </row>
    <row r="18">
      <c r="A18" t="n">
        <v>1</v>
      </c>
      <c r="C18" t="inlineStr">
        <is>
          <t>유형자산</t>
        </is>
      </c>
      <c r="E18" s="18" t="n">
        <v>70528</v>
      </c>
      <c r="F18" s="37" t="n">
        <v>70528</v>
      </c>
      <c r="G18" s="18" t="n">
        <v>74046.16</v>
      </c>
      <c r="H18" s="18" t="n">
        <v>75007.48</v>
      </c>
      <c r="I18" s="18" t="n">
        <v>75040.81</v>
      </c>
      <c r="J18" s="18" t="n">
        <v>74727.63</v>
      </c>
      <c r="K18" s="37" t="n">
        <v>74727.63</v>
      </c>
      <c r="L18" s="18" t="n">
        <v>74299.91</v>
      </c>
      <c r="M18" s="18" t="n">
        <v>77956.75999999999</v>
      </c>
      <c r="N18" s="18" t="n">
        <v>79991.78999999999</v>
      </c>
      <c r="O18" s="18" t="n">
        <v>81179.59</v>
      </c>
      <c r="P18" s="37" t="n">
        <v>81179.59</v>
      </c>
      <c r="Q18" s="18" t="n">
        <v>80387.2</v>
      </c>
      <c r="R18" s="18" t="n">
        <v>81383.59</v>
      </c>
      <c r="S18" s="18" t="n">
        <v>80801.12</v>
      </c>
      <c r="T18" s="18" t="n">
        <v>77890</v>
      </c>
      <c r="U18" s="37" t="n">
        <v>77890</v>
      </c>
      <c r="V18" s="18" t="n">
        <v>78572.48</v>
      </c>
      <c r="W18" s="18" t="n">
        <v>70839.60000000001</v>
      </c>
      <c r="X18" s="18" t="n">
        <v>70452.2</v>
      </c>
      <c r="Y18" s="18" t="n">
        <v>67447.06</v>
      </c>
      <c r="Z18" s="37" t="n">
        <v>67447.06</v>
      </c>
      <c r="AA18" s="18" t="n">
        <v>67153.91</v>
      </c>
      <c r="AB18" s="19" t="n">
        <v>74798.10000000001</v>
      </c>
      <c r="AC18" s="10" t="n"/>
      <c r="AD18" s="10" t="n"/>
      <c r="AE18" s="11" t="n"/>
      <c r="AF18" s="10" t="n"/>
      <c r="AG18" s="10" t="n"/>
      <c r="AH18" s="10" t="n"/>
      <c r="AI18" s="10" t="n"/>
      <c r="AJ18" s="11" t="n"/>
      <c r="AK18" s="10" t="n"/>
      <c r="AL18" s="10" t="n"/>
      <c r="AM18" s="10" t="n"/>
      <c r="AN18" s="10" t="n"/>
      <c r="AO18" s="11" t="n"/>
    </row>
    <row r="19">
      <c r="A19" t="n">
        <v>1</v>
      </c>
      <c r="C19" t="inlineStr">
        <is>
          <t>투자부동산</t>
        </is>
      </c>
      <c r="E19" s="18" t="n">
        <v>1876.49</v>
      </c>
      <c r="F19" s="37" t="n">
        <v>1876.49</v>
      </c>
      <c r="G19" s="18" t="n">
        <v>1863.36</v>
      </c>
      <c r="H19" s="18" t="n">
        <v>1850.22</v>
      </c>
      <c r="I19" s="18" t="n">
        <v>1837.08</v>
      </c>
      <c r="J19" s="18" t="n">
        <v>1906.88</v>
      </c>
      <c r="K19" s="37" t="n">
        <v>1906.88</v>
      </c>
      <c r="L19" s="18" t="n">
        <v>1897.7</v>
      </c>
      <c r="M19" s="18" t="n">
        <v>1888.53</v>
      </c>
      <c r="N19" s="18" t="n">
        <v>1879.36</v>
      </c>
      <c r="O19" s="18" t="n">
        <v>1870.19</v>
      </c>
      <c r="P19" s="37" t="n">
        <v>1870.19</v>
      </c>
      <c r="Q19" s="18" t="n">
        <v>1861.01</v>
      </c>
      <c r="R19" s="18" t="n">
        <v>1851.84</v>
      </c>
      <c r="S19" s="18" t="n">
        <v>1842.67</v>
      </c>
      <c r="T19" s="18" t="n">
        <v>5487.18</v>
      </c>
      <c r="U19" s="37" t="n">
        <v>5487.18</v>
      </c>
      <c r="V19" s="18" t="n">
        <v>5470.99</v>
      </c>
      <c r="W19" s="18" t="n">
        <v>15642.89</v>
      </c>
      <c r="X19" s="18" t="n">
        <v>15623.2</v>
      </c>
      <c r="Y19" s="18" t="n">
        <v>18244.34</v>
      </c>
      <c r="Z19" s="37" t="n">
        <v>18244.34</v>
      </c>
      <c r="AA19" s="18" t="n">
        <v>18210.59</v>
      </c>
      <c r="AB19" s="19" t="n">
        <v>18190.73</v>
      </c>
      <c r="AC19" s="10" t="n"/>
      <c r="AD19" s="10" t="n"/>
      <c r="AE19" s="11" t="n"/>
      <c r="AF19" s="10" t="n"/>
      <c r="AG19" s="10" t="n"/>
      <c r="AH19" s="10" t="n"/>
      <c r="AI19" s="10" t="n"/>
      <c r="AJ19" s="11" t="n"/>
      <c r="AK19" s="10" t="n"/>
      <c r="AL19" s="10" t="n"/>
      <c r="AM19" s="10" t="n"/>
      <c r="AN19" s="10" t="n"/>
      <c r="AO19" s="11" t="n"/>
    </row>
    <row r="20">
      <c r="A20" t="n">
        <v>1</v>
      </c>
      <c r="C20" t="inlineStr">
        <is>
          <t>무형자산</t>
        </is>
      </c>
      <c r="E20" s="18" t="n">
        <v>1410.97</v>
      </c>
      <c r="F20" s="37" t="n">
        <v>1410.97</v>
      </c>
      <c r="G20" s="18" t="n">
        <v>1354.67</v>
      </c>
      <c r="H20" s="18" t="n">
        <v>1293.55</v>
      </c>
      <c r="I20" s="18" t="n">
        <v>1263.99</v>
      </c>
      <c r="J20" s="18" t="n">
        <v>1212.83</v>
      </c>
      <c r="K20" s="37" t="n">
        <v>1212.83</v>
      </c>
      <c r="L20" s="18" t="n">
        <v>1150.79</v>
      </c>
      <c r="M20" s="18" t="n">
        <v>1101.94</v>
      </c>
      <c r="N20" s="18" t="n">
        <v>1040.07</v>
      </c>
      <c r="O20" s="18" t="n">
        <v>993.78</v>
      </c>
      <c r="P20" s="37" t="n">
        <v>993.78</v>
      </c>
      <c r="Q20" s="18" t="n">
        <v>981.1900000000001</v>
      </c>
      <c r="R20" s="18" t="n">
        <v>961.1</v>
      </c>
      <c r="S20" s="18" t="n">
        <v>952.46</v>
      </c>
      <c r="T20" s="18" t="n">
        <v>943.05</v>
      </c>
      <c r="U20" s="37" t="n">
        <v>943.05</v>
      </c>
      <c r="V20" s="18" t="n">
        <v>947.13</v>
      </c>
      <c r="W20" s="18" t="n">
        <v>1250.01</v>
      </c>
      <c r="X20" s="18" t="n">
        <v>1241.37</v>
      </c>
      <c r="Y20" s="18" t="n">
        <v>1244.76</v>
      </c>
      <c r="Z20" s="37" t="n">
        <v>1244.76</v>
      </c>
      <c r="AA20" s="18" t="n">
        <v>1251.67</v>
      </c>
      <c r="AB20" s="19" t="n">
        <v>1270.71</v>
      </c>
      <c r="AC20" s="10" t="n"/>
      <c r="AD20" s="10" t="n"/>
      <c r="AE20" s="11" t="n"/>
      <c r="AF20" s="10" t="n"/>
      <c r="AG20" s="10" t="n"/>
      <c r="AH20" s="10" t="n"/>
      <c r="AI20" s="10" t="n"/>
      <c r="AJ20" s="11" t="n"/>
      <c r="AK20" s="10" t="n"/>
      <c r="AL20" s="10" t="n"/>
      <c r="AM20" s="10" t="n"/>
      <c r="AN20" s="10" t="n"/>
      <c r="AO20" s="11" t="n"/>
    </row>
    <row r="21">
      <c r="A21" t="n">
        <v>1</v>
      </c>
      <c r="C21" t="inlineStr">
        <is>
          <t>이연법인세자산</t>
        </is>
      </c>
      <c r="E21" s="18" t="n">
        <v>802.05</v>
      </c>
      <c r="F21" s="37" t="n">
        <v>802.05</v>
      </c>
      <c r="G21" s="18" t="n">
        <v>1284.25</v>
      </c>
      <c r="H21" s="18" t="n">
        <v>1731.67</v>
      </c>
      <c r="I21" s="18" t="n">
        <v>1233.96</v>
      </c>
      <c r="J21" s="18" t="n">
        <v>3762.71</v>
      </c>
      <c r="K21" s="37" t="n">
        <v>3762.71</v>
      </c>
      <c r="L21" s="18" t="n">
        <v>3392.41</v>
      </c>
      <c r="M21" s="18" t="n">
        <v>3217.04</v>
      </c>
      <c r="N21" s="18" t="n">
        <v>2544.4</v>
      </c>
      <c r="O21" s="18" t="n">
        <v>2882.6</v>
      </c>
      <c r="P21" s="37" t="n">
        <v>2882.6</v>
      </c>
      <c r="Q21" s="18" t="n">
        <v>2316.57</v>
      </c>
      <c r="R21" s="18" t="n">
        <v>2461.18</v>
      </c>
      <c r="S21" s="18" t="n">
        <v>2689.66</v>
      </c>
      <c r="T21" s="18" t="n">
        <v>1967.58</v>
      </c>
      <c r="U21" s="37" t="n">
        <v>1967.58</v>
      </c>
      <c r="V21" s="18" t="n">
        <v>2803.15</v>
      </c>
      <c r="W21" s="18" t="n">
        <v>2987.19</v>
      </c>
      <c r="X21" s="18" t="n">
        <v>2908.61</v>
      </c>
      <c r="Y21" s="18" t="n">
        <v>3418.23</v>
      </c>
      <c r="Z21" s="37" t="n">
        <v>3418.23</v>
      </c>
      <c r="AA21" s="18" t="n">
        <v>2634.51</v>
      </c>
      <c r="AB21" s="19" t="n">
        <v>3522.74</v>
      </c>
      <c r="AC21" s="10" t="n"/>
      <c r="AD21" s="10" t="n"/>
      <c r="AE21" s="11" t="n"/>
      <c r="AF21" s="10" t="n"/>
      <c r="AG21" s="10" t="n"/>
      <c r="AH21" s="10" t="n"/>
      <c r="AI21" s="10" t="n"/>
      <c r="AJ21" s="11" t="n"/>
      <c r="AK21" s="10" t="n"/>
      <c r="AL21" s="10" t="n"/>
      <c r="AM21" s="10" t="n"/>
      <c r="AN21" s="10" t="n"/>
      <c r="AO21" s="11" t="n"/>
    </row>
    <row r="22">
      <c r="A22" t="n">
        <v>1</v>
      </c>
      <c r="C22" t="inlineStr">
        <is>
          <t>자산총계</t>
        </is>
      </c>
      <c r="E22" s="18" t="n">
        <v>241431.73</v>
      </c>
      <c r="F22" s="37" t="n">
        <v>241431.73</v>
      </c>
      <c r="G22" s="18" t="n">
        <v>236928.74</v>
      </c>
      <c r="H22" s="18" t="n">
        <v>238045.93</v>
      </c>
      <c r="I22" s="18" t="n">
        <v>242021.41</v>
      </c>
      <c r="J22" s="18" t="n">
        <v>239085.99</v>
      </c>
      <c r="K22" s="37" t="n">
        <v>239085.99</v>
      </c>
      <c r="L22" s="18" t="n">
        <v>245766.22</v>
      </c>
      <c r="M22" s="18" t="n">
        <v>259016.44</v>
      </c>
      <c r="N22" s="18" t="n">
        <v>261330.87</v>
      </c>
      <c r="O22" s="18" t="n">
        <v>275699.82</v>
      </c>
      <c r="P22" s="37" t="n">
        <v>275699.82</v>
      </c>
      <c r="Q22" s="18" t="n">
        <v>276591.11</v>
      </c>
      <c r="R22" s="18" t="n">
        <v>283216.57</v>
      </c>
      <c r="S22" s="18" t="n">
        <v>280780.74</v>
      </c>
      <c r="T22" s="18" t="n">
        <v>289770.81</v>
      </c>
      <c r="U22" s="37" t="n">
        <v>289770.81</v>
      </c>
      <c r="V22" s="18" t="n">
        <v>291838.36</v>
      </c>
      <c r="W22" s="18" t="n">
        <v>297235.91</v>
      </c>
      <c r="X22" s="18" t="n">
        <v>299316.59</v>
      </c>
      <c r="Y22" s="18" t="n">
        <v>300149.59</v>
      </c>
      <c r="Z22" s="37" t="n">
        <v>300149.59</v>
      </c>
      <c r="AA22" s="18" t="n">
        <v>312984.1</v>
      </c>
      <c r="AB22" s="19" t="n">
        <v>330570.96</v>
      </c>
      <c r="AC22" s="10" t="n"/>
      <c r="AD22" s="10" t="n"/>
      <c r="AE22" s="11" t="n"/>
      <c r="AF22" s="10" t="n"/>
      <c r="AG22" s="10" t="n"/>
      <c r="AH22" s="10" t="n"/>
      <c r="AI22" s="10" t="n"/>
      <c r="AJ22" s="11" t="n"/>
      <c r="AK22" s="10" t="n"/>
      <c r="AL22" s="10" t="n"/>
      <c r="AM22" s="10" t="n"/>
      <c r="AN22" s="10" t="n"/>
      <c r="AO22" s="11" t="n"/>
    </row>
    <row r="23">
      <c r="A23" t="n">
        <v>1</v>
      </c>
      <c r="C23" t="inlineStr">
        <is>
          <t>유동부채</t>
        </is>
      </c>
      <c r="E23" s="18" t="n">
        <v>23726.09</v>
      </c>
      <c r="F23" s="37" t="n">
        <v>23726.09</v>
      </c>
      <c r="G23" s="18" t="n">
        <v>21903.97</v>
      </c>
      <c r="H23" s="18" t="n">
        <v>24245.92</v>
      </c>
      <c r="I23" s="18" t="n">
        <v>26466.13</v>
      </c>
      <c r="J23" s="18" t="n">
        <v>30018</v>
      </c>
      <c r="K23" s="37" t="n">
        <v>30018</v>
      </c>
      <c r="L23" s="18" t="n">
        <v>35307.28</v>
      </c>
      <c r="M23" s="18" t="n">
        <v>48152.46</v>
      </c>
      <c r="N23" s="18" t="n">
        <v>47989.91</v>
      </c>
      <c r="O23" s="18" t="n">
        <v>59956.38</v>
      </c>
      <c r="P23" s="37" t="n">
        <v>59956.38</v>
      </c>
      <c r="Q23" s="18" t="n">
        <v>57239.05</v>
      </c>
      <c r="R23" s="18" t="n">
        <v>59647.1</v>
      </c>
      <c r="S23" s="18" t="n">
        <v>55010.77</v>
      </c>
      <c r="T23" s="18" t="n">
        <v>54592.39</v>
      </c>
      <c r="U23" s="37" t="n">
        <v>54592.39</v>
      </c>
      <c r="V23" s="18" t="n">
        <v>52506.68</v>
      </c>
      <c r="W23" s="18" t="n">
        <v>53217.08</v>
      </c>
      <c r="X23" s="18" t="n">
        <v>47531.54</v>
      </c>
      <c r="Y23" s="18" t="n">
        <v>41767.89</v>
      </c>
      <c r="Z23" s="37" t="n">
        <v>41767.89</v>
      </c>
      <c r="AA23" s="18" t="n">
        <v>49737.36</v>
      </c>
      <c r="AB23" s="19" t="n">
        <v>59055.91</v>
      </c>
      <c r="AC23" s="10" t="n"/>
      <c r="AD23" s="10" t="n"/>
      <c r="AE23" s="11" t="n"/>
      <c r="AF23" s="10" t="n"/>
      <c r="AG23" s="10" t="n"/>
      <c r="AH23" s="10" t="n"/>
      <c r="AI23" s="10" t="n"/>
      <c r="AJ23" s="11" t="n"/>
      <c r="AK23" s="10" t="n"/>
      <c r="AL23" s="10" t="n"/>
      <c r="AM23" s="10" t="n"/>
      <c r="AN23" s="10" t="n"/>
      <c r="AO23" s="11" t="n"/>
    </row>
    <row r="24">
      <c r="A24" t="n">
        <v>1</v>
      </c>
      <c r="C24" t="inlineStr">
        <is>
          <t>매입채무및기타채무</t>
        </is>
      </c>
      <c r="E24" s="18" t="n">
        <v>12528.12</v>
      </c>
      <c r="F24" s="37" t="n">
        <v>12528.12</v>
      </c>
      <c r="G24" s="18" t="n">
        <v>12527.52</v>
      </c>
      <c r="H24" s="18" t="n">
        <v>11542.38</v>
      </c>
      <c r="I24" s="18" t="n">
        <v>12005.87</v>
      </c>
      <c r="J24" s="18" t="n">
        <v>10024.45</v>
      </c>
      <c r="K24" s="37" t="n">
        <v>10024.45</v>
      </c>
      <c r="L24" s="18" t="n">
        <v>12301.5</v>
      </c>
      <c r="M24" s="18" t="n">
        <v>13375.88</v>
      </c>
      <c r="N24" s="18" t="n">
        <v>13126.53</v>
      </c>
      <c r="O24" s="18" t="n">
        <v>16048.64</v>
      </c>
      <c r="P24" s="37" t="n">
        <v>16048.64</v>
      </c>
      <c r="Q24" s="18" t="n">
        <v>14694.96</v>
      </c>
      <c r="R24" s="18" t="n">
        <v>15453.44</v>
      </c>
      <c r="S24" s="18" t="n">
        <v>14105.37</v>
      </c>
      <c r="T24" s="18" t="n">
        <v>17868.25</v>
      </c>
      <c r="U24" s="37" t="n">
        <v>17868.25</v>
      </c>
      <c r="V24" s="18" t="n">
        <v>18520.94</v>
      </c>
      <c r="W24" s="18" t="n">
        <v>22080.58</v>
      </c>
      <c r="X24" s="18" t="n">
        <v>18905.12</v>
      </c>
      <c r="Y24" s="18" t="n">
        <v>16596.13</v>
      </c>
      <c r="Z24" s="37" t="n">
        <v>16596.13</v>
      </c>
      <c r="AA24" s="18" t="n">
        <v>26542.28</v>
      </c>
      <c r="AB24" s="19" t="n">
        <v>23857.82</v>
      </c>
      <c r="AC24" s="10" t="n"/>
      <c r="AD24" s="10" t="n"/>
      <c r="AE24" s="11" t="n"/>
      <c r="AF24" s="10" t="n"/>
      <c r="AG24" s="10" t="n"/>
      <c r="AH24" s="10" t="n"/>
      <c r="AI24" s="10" t="n"/>
      <c r="AJ24" s="11" t="n"/>
      <c r="AK24" s="10" t="n"/>
      <c r="AL24" s="10" t="n"/>
      <c r="AM24" s="10" t="n"/>
      <c r="AN24" s="10" t="n"/>
      <c r="AO24" s="11" t="n"/>
    </row>
    <row r="25">
      <c r="A25" t="n">
        <v>1</v>
      </c>
      <c r="C25" t="inlineStr">
        <is>
          <t>유동리스부채</t>
        </is>
      </c>
      <c r="E25" s="18" t="n">
        <v>197.24</v>
      </c>
      <c r="F25" s="37" t="n">
        <v>197.24</v>
      </c>
      <c r="G25" s="18" t="n">
        <v>193.24</v>
      </c>
      <c r="H25" s="18" t="n">
        <v>189.25</v>
      </c>
      <c r="I25" s="18" t="n">
        <v>185.25</v>
      </c>
      <c r="J25" s="18" t="n">
        <v>180.62</v>
      </c>
      <c r="K25" s="37" t="n">
        <v>180.62</v>
      </c>
      <c r="L25" s="18" t="n">
        <v>181.78</v>
      </c>
      <c r="M25" s="18" t="n">
        <v>182.96</v>
      </c>
      <c r="N25" s="18" t="n">
        <v>184.14</v>
      </c>
      <c r="O25" s="18" t="n">
        <v>185.33</v>
      </c>
      <c r="P25" s="37" t="n">
        <v>185.33</v>
      </c>
      <c r="Q25" s="18" t="n">
        <v>186.52</v>
      </c>
      <c r="R25" s="18" t="n">
        <v>187.73</v>
      </c>
      <c r="S25" s="18" t="n">
        <v>188.94</v>
      </c>
      <c r="T25" s="18" t="n">
        <v>194.52</v>
      </c>
      <c r="U25" s="37" t="n">
        <v>194.52</v>
      </c>
      <c r="V25" s="18" t="n">
        <v>144.01</v>
      </c>
      <c r="W25" s="18" t="n">
        <v>90.75</v>
      </c>
      <c r="X25" s="18" t="n">
        <v>35.06</v>
      </c>
      <c r="Y25" s="18" t="n">
        <v>228.13</v>
      </c>
      <c r="Z25" s="37" t="n">
        <v>228.13</v>
      </c>
      <c r="AA25" s="18" t="n">
        <v>221.64</v>
      </c>
      <c r="AB25" s="19" t="n">
        <v>241.13</v>
      </c>
      <c r="AC25" s="10" t="n"/>
      <c r="AD25" s="10" t="n"/>
      <c r="AE25" s="11" t="n"/>
      <c r="AF25" s="10" t="n"/>
      <c r="AG25" s="10" t="n"/>
      <c r="AH25" s="10" t="n"/>
      <c r="AI25" s="10" t="n"/>
      <c r="AJ25" s="11" t="n"/>
      <c r="AK25" s="10" t="n"/>
      <c r="AL25" s="10" t="n"/>
      <c r="AM25" s="10" t="n"/>
      <c r="AN25" s="10" t="n"/>
      <c r="AO25" s="11" t="n"/>
    </row>
    <row r="26">
      <c r="A26" t="n">
        <v>1</v>
      </c>
      <c r="C26" t="inlineStr">
        <is>
          <t>리스부채</t>
        </is>
      </c>
      <c r="E26" s="18" t="n">
        <v>721.3099999999999</v>
      </c>
      <c r="F26" s="37" t="n">
        <v>721.3099999999999</v>
      </c>
      <c r="G26" s="18" t="n">
        <v>672.59</v>
      </c>
      <c r="H26" s="18" t="n">
        <v>623.59</v>
      </c>
      <c r="I26" s="18" t="n">
        <v>574.3</v>
      </c>
      <c r="J26" s="18" t="n">
        <v>524.0700000000001</v>
      </c>
      <c r="K26" s="37" t="n">
        <v>524.0700000000001</v>
      </c>
      <c r="L26" s="18" t="n">
        <v>479.35</v>
      </c>
      <c r="M26" s="18" t="n">
        <v>434.35</v>
      </c>
      <c r="N26" s="18" t="n">
        <v>389.05</v>
      </c>
      <c r="O26" s="18" t="n">
        <v>343.46</v>
      </c>
      <c r="P26" s="37" t="n">
        <v>343.46</v>
      </c>
      <c r="Q26" s="18" t="n">
        <v>297.56</v>
      </c>
      <c r="R26" s="18" t="n">
        <v>251.39</v>
      </c>
      <c r="S26" s="18" t="n">
        <v>204.91</v>
      </c>
      <c r="T26" s="18" t="n">
        <v>204.35</v>
      </c>
      <c r="U26" s="37" t="n">
        <v>204.35</v>
      </c>
      <c r="V26" s="18" t="n">
        <v>148.34</v>
      </c>
      <c r="W26" s="18" t="n">
        <v>91.91</v>
      </c>
      <c r="X26" s="18" t="n">
        <v>35.06</v>
      </c>
      <c r="Y26" s="18" t="n">
        <v>391.5</v>
      </c>
      <c r="Z26" s="37" t="n">
        <v>391.5</v>
      </c>
      <c r="AA26" s="18" t="n">
        <v>332.21</v>
      </c>
      <c r="AB26" s="19" t="n">
        <v>334.56</v>
      </c>
      <c r="AC26" s="10" t="n"/>
      <c r="AD26" s="10" t="n"/>
      <c r="AE26" s="11" t="n"/>
      <c r="AF26" s="10" t="n"/>
      <c r="AG26" s="10" t="n"/>
      <c r="AH26" s="10" t="n"/>
      <c r="AI26" s="10" t="n"/>
      <c r="AJ26" s="11" t="n"/>
      <c r="AK26" s="10" t="n"/>
      <c r="AL26" s="10" t="n"/>
      <c r="AM26" s="10" t="n"/>
      <c r="AN26" s="10" t="n"/>
      <c r="AO26" s="11" t="n"/>
    </row>
    <row r="27">
      <c r="A27" t="n">
        <v>1</v>
      </c>
      <c r="C27" t="inlineStr">
        <is>
          <t>단기금융부채</t>
        </is>
      </c>
      <c r="E27" s="18" t="n">
        <v>197.24</v>
      </c>
      <c r="F27" s="37" t="n">
        <v>197.24</v>
      </c>
      <c r="G27" s="18" t="n">
        <v>193.24</v>
      </c>
      <c r="H27" s="18" t="n">
        <v>189.25</v>
      </c>
      <c r="I27" s="18" t="n">
        <v>185.25</v>
      </c>
      <c r="J27" s="18" t="n">
        <v>180.62</v>
      </c>
      <c r="K27" s="37" t="n">
        <v>180.62</v>
      </c>
      <c r="L27" s="18" t="n">
        <v>181.78</v>
      </c>
      <c r="M27" s="18" t="n">
        <v>182.96</v>
      </c>
      <c r="N27" s="18" t="n">
        <v>184.14</v>
      </c>
      <c r="O27" s="18" t="n">
        <v>185.33</v>
      </c>
      <c r="P27" s="37" t="n">
        <v>185.33</v>
      </c>
      <c r="Q27" s="18" t="n">
        <v>186.52</v>
      </c>
      <c r="R27" s="18" t="n">
        <v>187.73</v>
      </c>
      <c r="S27" s="18" t="n">
        <v>188.94</v>
      </c>
      <c r="T27" s="18" t="n">
        <v>194.52</v>
      </c>
      <c r="U27" s="37" t="n">
        <v>194.52</v>
      </c>
      <c r="V27" s="18" t="n">
        <v>144.01</v>
      </c>
      <c r="W27" s="18" t="n">
        <v>90.75</v>
      </c>
      <c r="X27" s="18" t="n">
        <v>35.06</v>
      </c>
      <c r="Y27" s="18" t="n">
        <v>228.13</v>
      </c>
      <c r="Z27" s="37" t="n">
        <v>228.13</v>
      </c>
      <c r="AA27" s="18" t="n">
        <v>221.64</v>
      </c>
      <c r="AB27" s="19" t="n">
        <v>241.13</v>
      </c>
      <c r="AC27" s="10" t="n"/>
      <c r="AD27" s="10" t="n"/>
      <c r="AE27" s="11" t="n"/>
      <c r="AF27" s="10" t="n"/>
      <c r="AG27" s="10" t="n"/>
      <c r="AH27" s="10" t="n"/>
      <c r="AI27" s="10" t="n"/>
      <c r="AJ27" s="11" t="n"/>
      <c r="AK27" s="10" t="n"/>
      <c r="AL27" s="10" t="n"/>
      <c r="AM27" s="10" t="n"/>
      <c r="AN27" s="10" t="n"/>
      <c r="AO27" s="11" t="n"/>
    </row>
    <row r="28">
      <c r="A28" t="n">
        <v>1</v>
      </c>
      <c r="C28" t="inlineStr">
        <is>
          <t>당기법인세부채(미지급법인세)</t>
        </is>
      </c>
      <c r="E28" s="18" t="n">
        <v>0</v>
      </c>
      <c r="F28" s="37" t="n">
        <v>0</v>
      </c>
      <c r="J28" s="18" t="n">
        <v>0</v>
      </c>
      <c r="K28" s="37" t="n">
        <v>0</v>
      </c>
      <c r="L28" s="18" t="n">
        <v>0</v>
      </c>
      <c r="P28" s="9" t="n"/>
      <c r="Q28" s="18" t="n">
        <v>178.14</v>
      </c>
      <c r="R28" s="18" t="n">
        <v>1109.07</v>
      </c>
      <c r="S28" s="18" t="n">
        <v>1640.07</v>
      </c>
      <c r="T28" s="18" t="n">
        <v>3186.94</v>
      </c>
      <c r="U28" s="37" t="n">
        <v>3186.94</v>
      </c>
      <c r="V28" s="18" t="n">
        <v>3841.17</v>
      </c>
      <c r="W28" s="18" t="n">
        <v>2948.23</v>
      </c>
      <c r="X28" s="18" t="n">
        <v>4204.01</v>
      </c>
      <c r="Y28" s="18" t="n">
        <v>5509.96</v>
      </c>
      <c r="Z28" s="37" t="n">
        <v>5509.96</v>
      </c>
      <c r="AA28" s="18" t="n">
        <v>4009.33</v>
      </c>
      <c r="AB28" s="19" t="n">
        <v>3723.49</v>
      </c>
      <c r="AC28" s="10" t="n"/>
      <c r="AD28" s="10" t="n"/>
      <c r="AE28" s="11" t="n"/>
      <c r="AF28" s="10" t="n"/>
      <c r="AG28" s="10" t="n"/>
      <c r="AH28" s="10" t="n"/>
      <c r="AI28" s="10" t="n"/>
      <c r="AJ28" s="11" t="n"/>
      <c r="AK28" s="10" t="n"/>
      <c r="AL28" s="10" t="n"/>
      <c r="AM28" s="10" t="n"/>
      <c r="AN28" s="10" t="n"/>
      <c r="AO28" s="11" t="n"/>
    </row>
    <row r="29">
      <c r="A29" t="n">
        <v>1</v>
      </c>
      <c r="C29" t="inlineStr">
        <is>
          <t>비유동부채</t>
        </is>
      </c>
      <c r="E29" s="18" t="n">
        <v>834.0700000000001</v>
      </c>
      <c r="F29" s="37" t="n">
        <v>834.0700000000001</v>
      </c>
      <c r="G29" s="18" t="n">
        <v>789.35</v>
      </c>
      <c r="H29" s="18" t="n">
        <v>822.34</v>
      </c>
      <c r="I29" s="18" t="n">
        <v>777.05</v>
      </c>
      <c r="J29" s="18" t="n">
        <v>911.04</v>
      </c>
      <c r="K29" s="37" t="n">
        <v>911.04</v>
      </c>
      <c r="L29" s="18" t="n">
        <v>912.21</v>
      </c>
      <c r="M29" s="18" t="n">
        <v>913.0700000000001</v>
      </c>
      <c r="N29" s="18" t="n">
        <v>913.64</v>
      </c>
      <c r="O29" s="18" t="n">
        <v>928.1799999999999</v>
      </c>
      <c r="P29" s="37" t="n">
        <v>928.1799999999999</v>
      </c>
      <c r="Q29" s="18" t="n">
        <v>913.22</v>
      </c>
      <c r="R29" s="18" t="n">
        <v>897.95</v>
      </c>
      <c r="S29" s="18" t="n">
        <v>882.38</v>
      </c>
      <c r="T29" s="18" t="n">
        <v>900.88</v>
      </c>
      <c r="U29" s="37" t="n">
        <v>900.88</v>
      </c>
      <c r="V29" s="18" t="n">
        <v>895.38</v>
      </c>
      <c r="W29" s="18" t="n">
        <v>814.22</v>
      </c>
      <c r="X29" s="18" t="n">
        <v>813.05</v>
      </c>
      <c r="Y29" s="18" t="n">
        <v>1012.33</v>
      </c>
      <c r="Z29" s="37" t="n">
        <v>1012.33</v>
      </c>
      <c r="AA29" s="18" t="n">
        <v>939.53</v>
      </c>
      <c r="AB29" s="19" t="n">
        <v>997.59</v>
      </c>
      <c r="AC29" s="10" t="n"/>
      <c r="AD29" s="10" t="n"/>
      <c r="AE29" s="11" t="n"/>
      <c r="AF29" s="10" t="n"/>
      <c r="AG29" s="10" t="n"/>
      <c r="AH29" s="10" t="n"/>
      <c r="AI29" s="10" t="n"/>
      <c r="AJ29" s="11" t="n"/>
      <c r="AK29" s="10" t="n"/>
      <c r="AL29" s="10" t="n"/>
      <c r="AM29" s="10" t="n"/>
      <c r="AN29" s="10" t="n"/>
      <c r="AO29" s="11" t="n"/>
    </row>
    <row r="30">
      <c r="A30" t="n">
        <v>1</v>
      </c>
      <c r="C30" t="inlineStr">
        <is>
          <t>기타비유동금융부채</t>
        </is>
      </c>
      <c r="E30" s="18" t="n">
        <v>310</v>
      </c>
      <c r="F30" s="37" t="n">
        <v>310</v>
      </c>
      <c r="G30" s="18" t="n">
        <v>310</v>
      </c>
      <c r="H30" s="18" t="n">
        <v>388</v>
      </c>
      <c r="I30" s="18" t="n">
        <v>388</v>
      </c>
      <c r="J30" s="18" t="n">
        <v>388</v>
      </c>
      <c r="K30" s="37" t="n">
        <v>388</v>
      </c>
      <c r="L30" s="18" t="n">
        <v>388</v>
      </c>
      <c r="M30" s="18" t="n">
        <v>388</v>
      </c>
      <c r="P30" s="9" t="n"/>
      <c r="U30" s="9" t="n"/>
      <c r="Y30" s="18" t="n">
        <v>290</v>
      </c>
      <c r="Z30" s="37" t="n">
        <v>290</v>
      </c>
      <c r="AA30" s="18" t="n">
        <v>270</v>
      </c>
      <c r="AB30" s="19" t="n">
        <v>360</v>
      </c>
      <c r="AC30" s="10" t="n"/>
      <c r="AD30" s="10" t="n"/>
      <c r="AE30" s="11" t="n"/>
      <c r="AF30" s="10" t="n"/>
      <c r="AG30" s="10" t="n"/>
      <c r="AH30" s="10" t="n"/>
      <c r="AI30" s="10" t="n"/>
      <c r="AJ30" s="11" t="n"/>
      <c r="AK30" s="10" t="n"/>
      <c r="AL30" s="10" t="n"/>
      <c r="AM30" s="10" t="n"/>
      <c r="AN30" s="10" t="n"/>
      <c r="AO30" s="11" t="n"/>
    </row>
    <row r="31">
      <c r="A31" t="n">
        <v>1</v>
      </c>
      <c r="C31" t="inlineStr">
        <is>
          <t>장기금융부채</t>
        </is>
      </c>
      <c r="E31" s="18" t="n">
        <v>834.0700000000001</v>
      </c>
      <c r="F31" s="37" t="n">
        <v>834.0700000000001</v>
      </c>
      <c r="G31" s="18" t="n">
        <v>789.35</v>
      </c>
      <c r="H31" s="18" t="n">
        <v>822.34</v>
      </c>
      <c r="I31" s="18" t="n">
        <v>777.05</v>
      </c>
      <c r="J31" s="18" t="n">
        <v>731.45</v>
      </c>
      <c r="K31" s="37" t="n">
        <v>731.45</v>
      </c>
      <c r="L31" s="18" t="n">
        <v>685.5700000000001</v>
      </c>
      <c r="M31" s="18" t="n">
        <v>639.39</v>
      </c>
      <c r="N31" s="18" t="n">
        <v>204.91</v>
      </c>
      <c r="O31" s="18" t="n">
        <v>158.13</v>
      </c>
      <c r="P31" s="37" t="n">
        <v>158.13</v>
      </c>
      <c r="Q31" s="18" t="n">
        <v>111.04</v>
      </c>
      <c r="R31" s="18" t="n">
        <v>63.66</v>
      </c>
      <c r="S31" s="18" t="n">
        <v>15.97</v>
      </c>
      <c r="T31" s="18" t="n">
        <v>9.83</v>
      </c>
      <c r="U31" s="37" t="n">
        <v>9.83</v>
      </c>
      <c r="V31" s="18" t="n">
        <v>4.33</v>
      </c>
      <c r="W31" s="18" t="n">
        <v>1.16</v>
      </c>
      <c r="X31" s="18" t="n">
        <v>0</v>
      </c>
      <c r="Y31" s="18" t="n">
        <v>453.37</v>
      </c>
      <c r="Z31" s="37" t="n">
        <v>453.37</v>
      </c>
      <c r="AA31" s="18" t="n">
        <v>380.57</v>
      </c>
      <c r="AB31" s="19" t="n">
        <v>453.43</v>
      </c>
      <c r="AC31" s="10" t="n"/>
      <c r="AD31" s="10" t="n"/>
      <c r="AE31" s="11" t="n"/>
      <c r="AF31" s="10" t="n"/>
      <c r="AG31" s="10" t="n"/>
      <c r="AH31" s="10" t="n"/>
      <c r="AI31" s="10" t="n"/>
      <c r="AJ31" s="11" t="n"/>
      <c r="AK31" s="10" t="n"/>
      <c r="AL31" s="10" t="n"/>
      <c r="AM31" s="10" t="n"/>
      <c r="AN31" s="10" t="n"/>
      <c r="AO31" s="11" t="n"/>
    </row>
    <row r="32">
      <c r="A32" t="n">
        <v>1</v>
      </c>
      <c r="C32" t="inlineStr">
        <is>
          <t>비유동리스부채</t>
        </is>
      </c>
      <c r="E32" s="18" t="n">
        <v>524.0700000000001</v>
      </c>
      <c r="F32" s="37" t="n">
        <v>524.0700000000001</v>
      </c>
      <c r="G32" s="18" t="n">
        <v>479.35</v>
      </c>
      <c r="H32" s="18" t="n">
        <v>434.34</v>
      </c>
      <c r="I32" s="18" t="n">
        <v>389.05</v>
      </c>
      <c r="J32" s="18" t="n">
        <v>343.45</v>
      </c>
      <c r="K32" s="37" t="n">
        <v>343.45</v>
      </c>
      <c r="L32" s="18" t="n">
        <v>297.57</v>
      </c>
      <c r="M32" s="18" t="n">
        <v>251.39</v>
      </c>
      <c r="N32" s="18" t="n">
        <v>204.91</v>
      </c>
      <c r="O32" s="18" t="n">
        <v>158.13</v>
      </c>
      <c r="P32" s="37" t="n">
        <v>158.13</v>
      </c>
      <c r="Q32" s="18" t="n">
        <v>111.04</v>
      </c>
      <c r="R32" s="18" t="n">
        <v>63.66</v>
      </c>
      <c r="S32" s="18" t="n">
        <v>15.97</v>
      </c>
      <c r="T32" s="18" t="n">
        <v>9.83</v>
      </c>
      <c r="U32" s="37" t="n">
        <v>9.83</v>
      </c>
      <c r="V32" s="18" t="n">
        <v>4.33</v>
      </c>
      <c r="W32" s="18" t="n">
        <v>1.16</v>
      </c>
      <c r="X32" s="18" t="n">
        <v>0</v>
      </c>
      <c r="Y32" s="18" t="n">
        <v>163.37</v>
      </c>
      <c r="Z32" s="37" t="n">
        <v>163.37</v>
      </c>
      <c r="AA32" s="18" t="n">
        <v>110.57</v>
      </c>
      <c r="AB32" s="19" t="n">
        <v>93.43000000000001</v>
      </c>
      <c r="AC32" s="10" t="n"/>
      <c r="AD32" s="10" t="n"/>
      <c r="AE32" s="11" t="n"/>
      <c r="AF32" s="10" t="n"/>
      <c r="AG32" s="10" t="n"/>
      <c r="AH32" s="10" t="n"/>
      <c r="AI32" s="10" t="n"/>
      <c r="AJ32" s="11" t="n"/>
      <c r="AK32" s="10" t="n"/>
      <c r="AL32" s="10" t="n"/>
      <c r="AM32" s="10" t="n"/>
      <c r="AN32" s="10" t="n"/>
      <c r="AO32" s="11" t="n"/>
    </row>
    <row r="33">
      <c r="A33" t="n">
        <v>1</v>
      </c>
      <c r="C33" t="inlineStr">
        <is>
          <t>부채총계</t>
        </is>
      </c>
      <c r="E33" s="18" t="n">
        <v>24560.17</v>
      </c>
      <c r="F33" s="37" t="n">
        <v>24560.17</v>
      </c>
      <c r="G33" s="18" t="n">
        <v>22693.32</v>
      </c>
      <c r="H33" s="18" t="n">
        <v>25068.26</v>
      </c>
      <c r="I33" s="18" t="n">
        <v>27243.18</v>
      </c>
      <c r="J33" s="18" t="n">
        <v>30929.05</v>
      </c>
      <c r="K33" s="37" t="n">
        <v>30929.05</v>
      </c>
      <c r="L33" s="18" t="n">
        <v>36219.49</v>
      </c>
      <c r="M33" s="18" t="n">
        <v>49065.53</v>
      </c>
      <c r="N33" s="18" t="n">
        <v>48903.56</v>
      </c>
      <c r="O33" s="18" t="n">
        <v>60884.57</v>
      </c>
      <c r="P33" s="37" t="n">
        <v>60884.57</v>
      </c>
      <c r="Q33" s="18" t="n">
        <v>58152.27</v>
      </c>
      <c r="R33" s="18" t="n">
        <v>60545.06</v>
      </c>
      <c r="S33" s="18" t="n">
        <v>55893.15</v>
      </c>
      <c r="T33" s="18" t="n">
        <v>55493.28</v>
      </c>
      <c r="U33" s="37" t="n">
        <v>55493.28</v>
      </c>
      <c r="V33" s="18" t="n">
        <v>53402.06</v>
      </c>
      <c r="W33" s="18" t="n">
        <v>54031.3</v>
      </c>
      <c r="X33" s="18" t="n">
        <v>48344.6</v>
      </c>
      <c r="Y33" s="18" t="n">
        <v>42780.22</v>
      </c>
      <c r="Z33" s="37" t="n">
        <v>42780.22</v>
      </c>
      <c r="AA33" s="18" t="n">
        <v>50676.89</v>
      </c>
      <c r="AB33" s="19" t="n">
        <v>60053.51</v>
      </c>
      <c r="AC33" s="10" t="n"/>
      <c r="AD33" s="10" t="n"/>
      <c r="AE33" s="11" t="n"/>
      <c r="AF33" s="10" t="n"/>
      <c r="AG33" s="10" t="n"/>
      <c r="AH33" s="10" t="n"/>
      <c r="AI33" s="10" t="n"/>
      <c r="AJ33" s="11" t="n"/>
      <c r="AK33" s="10" t="n"/>
      <c r="AL33" s="10" t="n"/>
      <c r="AM33" s="10" t="n"/>
      <c r="AN33" s="10" t="n"/>
      <c r="AO33" s="11" t="n"/>
    </row>
    <row r="34">
      <c r="A34" t="n">
        <v>1</v>
      </c>
      <c r="C34" t="inlineStr">
        <is>
          <t>자본금</t>
        </is>
      </c>
      <c r="E34" s="18" t="n">
        <v>4783.67</v>
      </c>
      <c r="F34" s="37" t="n">
        <v>4783.67</v>
      </c>
      <c r="G34" s="18" t="n">
        <v>4783.67</v>
      </c>
      <c r="H34" s="18" t="n">
        <v>4783.67</v>
      </c>
      <c r="I34" s="18" t="n">
        <v>4783.67</v>
      </c>
      <c r="J34" s="18" t="n">
        <v>4783.67</v>
      </c>
      <c r="K34" s="37" t="n">
        <v>4783.67</v>
      </c>
      <c r="L34" s="18" t="n">
        <v>4783.67</v>
      </c>
      <c r="M34" s="18" t="n">
        <v>4783.67</v>
      </c>
      <c r="N34" s="18" t="n">
        <v>4783.67</v>
      </c>
      <c r="O34" s="18" t="n">
        <v>4783.67</v>
      </c>
      <c r="P34" s="37" t="n">
        <v>4783.67</v>
      </c>
      <c r="Q34" s="18" t="n">
        <v>4783.67</v>
      </c>
      <c r="R34" s="18" t="n">
        <v>4783.67</v>
      </c>
      <c r="S34" s="18" t="n">
        <v>4783.67</v>
      </c>
      <c r="T34" s="18" t="n">
        <v>4783.67</v>
      </c>
      <c r="U34" s="37" t="n">
        <v>4783.67</v>
      </c>
      <c r="V34" s="18" t="n">
        <v>4783.67</v>
      </c>
      <c r="W34" s="18" t="n">
        <v>4783.67</v>
      </c>
      <c r="X34" s="18" t="n">
        <v>4783.67</v>
      </c>
      <c r="Y34" s="18" t="n">
        <v>4783.67</v>
      </c>
      <c r="Z34" s="37" t="n">
        <v>4783.67</v>
      </c>
      <c r="AA34" s="18" t="n">
        <v>4783.67</v>
      </c>
      <c r="AB34" s="19" t="n">
        <v>4783.67</v>
      </c>
      <c r="AC34" s="10" t="n"/>
      <c r="AD34" s="10" t="n"/>
      <c r="AE34" s="11" t="n"/>
      <c r="AF34" s="10" t="n"/>
      <c r="AG34" s="10" t="n"/>
      <c r="AH34" s="10" t="n"/>
      <c r="AI34" s="10" t="n"/>
      <c r="AJ34" s="11" t="n"/>
      <c r="AK34" s="10" t="n"/>
      <c r="AL34" s="10" t="n"/>
      <c r="AM34" s="10" t="n"/>
      <c r="AN34" s="10" t="n"/>
      <c r="AO34" s="11" t="n"/>
    </row>
    <row r="35">
      <c r="A35" t="n">
        <v>1</v>
      </c>
      <c r="C35" t="inlineStr">
        <is>
          <t>자본잉여금</t>
        </is>
      </c>
      <c r="E35" s="18" t="n">
        <v>24958.68</v>
      </c>
      <c r="F35" s="37" t="n">
        <v>24958.68</v>
      </c>
      <c r="G35" s="18" t="n">
        <v>24974.84</v>
      </c>
      <c r="H35" s="18" t="n">
        <v>24977.78</v>
      </c>
      <c r="I35" s="18" t="n">
        <v>24977.78</v>
      </c>
      <c r="J35" s="18" t="n">
        <v>24978.48</v>
      </c>
      <c r="K35" s="37" t="n">
        <v>24978.48</v>
      </c>
      <c r="L35" s="18" t="n">
        <v>25026.82</v>
      </c>
      <c r="M35" s="18" t="n">
        <v>25034.91</v>
      </c>
      <c r="N35" s="18" t="n">
        <v>25034.91</v>
      </c>
      <c r="O35" s="18" t="n">
        <v>25035.47</v>
      </c>
      <c r="P35" s="37" t="n">
        <v>25035.47</v>
      </c>
      <c r="Q35" s="18" t="n">
        <v>25048.84</v>
      </c>
      <c r="R35" s="18" t="n">
        <v>25053.11</v>
      </c>
      <c r="S35" s="18" t="n">
        <v>25053.11</v>
      </c>
      <c r="T35" s="18" t="n">
        <v>25053.11</v>
      </c>
      <c r="U35" s="37" t="n">
        <v>25053.11</v>
      </c>
      <c r="V35" s="18" t="n">
        <v>25053.11</v>
      </c>
      <c r="W35" s="18" t="n">
        <v>25086.07</v>
      </c>
      <c r="X35" s="18" t="n">
        <v>25086.07</v>
      </c>
      <c r="Y35" s="18" t="n">
        <v>25272.22</v>
      </c>
      <c r="Z35" s="37" t="n">
        <v>25272.22</v>
      </c>
      <c r="AA35" s="18" t="n">
        <v>25272.22</v>
      </c>
      <c r="AB35" s="19" t="n">
        <v>25536.36</v>
      </c>
      <c r="AC35" s="10" t="n"/>
      <c r="AD35" s="10" t="n"/>
      <c r="AE35" s="11" t="n"/>
      <c r="AF35" s="10" t="n"/>
      <c r="AG35" s="10" t="n"/>
      <c r="AH35" s="10" t="n"/>
      <c r="AI35" s="10" t="n"/>
      <c r="AJ35" s="11" t="n"/>
      <c r="AK35" s="10" t="n"/>
      <c r="AL35" s="10" t="n"/>
      <c r="AM35" s="10" t="n"/>
      <c r="AN35" s="10" t="n"/>
      <c r="AO35" s="11" t="n"/>
    </row>
    <row r="36">
      <c r="A36" t="n">
        <v>1</v>
      </c>
      <c r="C36" t="inlineStr">
        <is>
          <t>기타자본</t>
        </is>
      </c>
      <c r="E36" s="18" t="n">
        <v>-2586.62</v>
      </c>
      <c r="F36" s="37" t="n">
        <v>-2586.62</v>
      </c>
      <c r="G36" s="18" t="n">
        <v>-2597.23</v>
      </c>
      <c r="H36" s="18" t="n">
        <v>-2562.52</v>
      </c>
      <c r="I36" s="18" t="n">
        <v>-2554.74</v>
      </c>
      <c r="J36" s="18" t="n">
        <v>-2541.49</v>
      </c>
      <c r="K36" s="37" t="n">
        <v>-2541.49</v>
      </c>
      <c r="L36" s="18" t="n">
        <v>-2581.8</v>
      </c>
      <c r="M36" s="18" t="n">
        <v>-3490.35</v>
      </c>
      <c r="N36" s="18" t="n">
        <v>-3523.92</v>
      </c>
      <c r="O36" s="18" t="n">
        <v>-3508.07</v>
      </c>
      <c r="P36" s="37" t="n">
        <v>-3508.07</v>
      </c>
      <c r="Q36" s="18" t="n">
        <v>-3509.47</v>
      </c>
      <c r="R36" s="18" t="n">
        <v>-3471.66</v>
      </c>
      <c r="S36" s="18" t="n">
        <v>-3455.64</v>
      </c>
      <c r="T36" s="18" t="n">
        <v>-3436.7</v>
      </c>
      <c r="U36" s="37" t="n">
        <v>-3436.7</v>
      </c>
      <c r="V36" s="18" t="n">
        <v>-3419.11</v>
      </c>
      <c r="W36" s="18" t="n">
        <v>-3374.2</v>
      </c>
      <c r="X36" s="18" t="n">
        <v>-3334.46</v>
      </c>
      <c r="Y36" s="18" t="n">
        <v>-3296.14</v>
      </c>
      <c r="Z36" s="37" t="n">
        <v>-3296.14</v>
      </c>
      <c r="AA36" s="18" t="n">
        <v>-3296.14</v>
      </c>
      <c r="AB36" s="19" t="n">
        <v>-2920.76</v>
      </c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t="n">
        <v>1</v>
      </c>
      <c r="C37" t="inlineStr">
        <is>
          <t>기타포괄이익누계액</t>
        </is>
      </c>
      <c r="E37" s="18" t="n">
        <v>9330.27</v>
      </c>
      <c r="F37" s="37" t="n">
        <v>9330.27</v>
      </c>
      <c r="G37" s="18" t="n">
        <v>9330.27</v>
      </c>
      <c r="H37" s="18" t="n">
        <v>9330.27</v>
      </c>
      <c r="I37" s="18" t="n">
        <v>9330.27</v>
      </c>
      <c r="J37" s="18" t="n">
        <v>9330.27</v>
      </c>
      <c r="K37" s="37" t="n">
        <v>9330.27</v>
      </c>
      <c r="L37" s="18" t="n">
        <v>9330.27</v>
      </c>
      <c r="M37" s="18" t="n">
        <v>9330.27</v>
      </c>
      <c r="N37" s="18" t="n">
        <v>9330.27</v>
      </c>
      <c r="O37" s="18" t="n">
        <v>9330.27</v>
      </c>
      <c r="P37" s="37" t="n">
        <v>9330.27</v>
      </c>
      <c r="Q37" s="18" t="n">
        <v>9330.27</v>
      </c>
      <c r="R37" s="18" t="n">
        <v>9330.27</v>
      </c>
      <c r="S37" s="18" t="n">
        <v>9330.27</v>
      </c>
      <c r="T37" s="18" t="n">
        <v>9330.27</v>
      </c>
      <c r="U37" s="37" t="n">
        <v>9330.27</v>
      </c>
      <c r="V37" s="18" t="n">
        <v>9330.27</v>
      </c>
      <c r="W37" s="18" t="n">
        <v>9330.27</v>
      </c>
      <c r="X37" s="18" t="n">
        <v>9330.27</v>
      </c>
      <c r="Y37" s="18" t="n">
        <v>9330.27</v>
      </c>
      <c r="Z37" s="37" t="n">
        <v>9330.27</v>
      </c>
      <c r="AA37" s="18" t="n">
        <v>9330.27</v>
      </c>
      <c r="AB37" s="19" t="n">
        <v>9330.27</v>
      </c>
      <c r="AC37" s="10" t="n"/>
      <c r="AD37" s="10" t="n"/>
      <c r="AE37" s="11" t="n"/>
      <c r="AF37" s="10" t="n"/>
      <c r="AG37" s="10" t="n"/>
      <c r="AH37" s="10" t="n"/>
      <c r="AI37" s="10" t="n"/>
      <c r="AJ37" s="11" t="n"/>
      <c r="AK37" s="10" t="n"/>
      <c r="AL37" s="10" t="n"/>
      <c r="AM37" s="10" t="n"/>
      <c r="AN37" s="10" t="n"/>
      <c r="AO37" s="11" t="n"/>
    </row>
    <row r="38">
      <c r="A38" t="n">
        <v>1</v>
      </c>
      <c r="C38" t="inlineStr">
        <is>
          <t>이익잉여금</t>
        </is>
      </c>
      <c r="E38" s="18" t="n">
        <v>180385.56</v>
      </c>
      <c r="F38" s="37" t="n">
        <v>180385.56</v>
      </c>
      <c r="G38" s="18" t="n">
        <v>177743.87</v>
      </c>
      <c r="H38" s="18" t="n">
        <v>176448.47</v>
      </c>
      <c r="I38" s="18" t="n">
        <v>178241.25</v>
      </c>
      <c r="J38" s="18" t="n">
        <v>171606.02</v>
      </c>
      <c r="K38" s="37" t="n">
        <v>171606.02</v>
      </c>
      <c r="L38" s="18" t="n">
        <v>172987.78</v>
      </c>
      <c r="M38" s="18" t="n">
        <v>174292.42</v>
      </c>
      <c r="N38" s="18" t="n">
        <v>176802.39</v>
      </c>
      <c r="O38" s="18" t="n">
        <v>179173.92</v>
      </c>
      <c r="P38" s="37" t="n">
        <v>179173.92</v>
      </c>
      <c r="Q38" s="18" t="n">
        <v>182785.54</v>
      </c>
      <c r="R38" s="18" t="n">
        <v>186976.13</v>
      </c>
      <c r="S38" s="18" t="n">
        <v>189176.18</v>
      </c>
      <c r="T38" s="18" t="n">
        <v>198547.19</v>
      </c>
      <c r="U38" s="37" t="n">
        <v>198547.19</v>
      </c>
      <c r="V38" s="18" t="n">
        <v>202688.36</v>
      </c>
      <c r="W38" s="18" t="n">
        <v>207378.81</v>
      </c>
      <c r="X38" s="18" t="n">
        <v>215106.46</v>
      </c>
      <c r="Y38" s="18" t="n">
        <v>221279.35</v>
      </c>
      <c r="Z38" s="37" t="n">
        <v>221279.35</v>
      </c>
      <c r="AA38" s="18" t="n">
        <v>226217.19</v>
      </c>
      <c r="AB38" s="19" t="n">
        <v>233787.92</v>
      </c>
      <c r="AC38" s="10" t="n"/>
      <c r="AD38" s="10" t="n"/>
      <c r="AE38" s="11" t="n"/>
      <c r="AF38" s="10" t="n"/>
      <c r="AG38" s="10" t="n"/>
      <c r="AH38" s="10" t="n"/>
      <c r="AI38" s="10" t="n"/>
      <c r="AJ38" s="11" t="n"/>
      <c r="AK38" s="10" t="n"/>
      <c r="AL38" s="10" t="n"/>
      <c r="AM38" s="10" t="n"/>
      <c r="AN38" s="10" t="n"/>
      <c r="AO38" s="11" t="n"/>
    </row>
    <row r="39">
      <c r="A39" t="n">
        <v>1</v>
      </c>
      <c r="C39" t="inlineStr">
        <is>
          <t>자본총계</t>
        </is>
      </c>
      <c r="E39" s="18" t="n">
        <v>216871.56</v>
      </c>
      <c r="F39" s="37" t="n">
        <v>216871.56</v>
      </c>
      <c r="G39" s="18" t="n">
        <v>214235.41</v>
      </c>
      <c r="H39" s="18" t="n">
        <v>212977.67</v>
      </c>
      <c r="I39" s="18" t="n">
        <v>214778.23</v>
      </c>
      <c r="J39" s="18" t="n">
        <v>208156.94</v>
      </c>
      <c r="K39" s="37" t="n">
        <v>208156.94</v>
      </c>
      <c r="L39" s="18" t="n">
        <v>209546.73</v>
      </c>
      <c r="M39" s="18" t="n">
        <v>209950.91</v>
      </c>
      <c r="N39" s="18" t="n">
        <v>212427.32</v>
      </c>
      <c r="O39" s="18" t="n">
        <v>214815.25</v>
      </c>
      <c r="P39" s="37" t="n">
        <v>214815.25</v>
      </c>
      <c r="Q39" s="18" t="n">
        <v>218438.84</v>
      </c>
      <c r="R39" s="18" t="n">
        <v>222671.51</v>
      </c>
      <c r="S39" s="18" t="n">
        <v>224887.59</v>
      </c>
      <c r="T39" s="18" t="n">
        <v>234277.53</v>
      </c>
      <c r="U39" s="37" t="n">
        <v>234277.53</v>
      </c>
      <c r="V39" s="18" t="n">
        <v>238436.3</v>
      </c>
      <c r="W39" s="18" t="n">
        <v>243204.61</v>
      </c>
      <c r="X39" s="18" t="n">
        <v>250972</v>
      </c>
      <c r="Y39" s="18" t="n">
        <v>257369.37</v>
      </c>
      <c r="Z39" s="37" t="n">
        <v>257369.37</v>
      </c>
      <c r="AA39" s="18" t="n">
        <v>262307.21</v>
      </c>
      <c r="AB39" s="19" t="n">
        <v>270517.45</v>
      </c>
      <c r="AC39" s="10" t="n"/>
      <c r="AD39" s="10" t="n"/>
      <c r="AE39" s="11" t="n"/>
      <c r="AF39" s="10" t="n"/>
      <c r="AG39" s="10" t="n"/>
      <c r="AH39" s="10" t="n"/>
      <c r="AI39" s="10" t="n"/>
      <c r="AJ39" s="11" t="n"/>
      <c r="AK39" s="10" t="n"/>
      <c r="AL39" s="10" t="n"/>
      <c r="AM39" s="10" t="n"/>
      <c r="AN39" s="10" t="n"/>
      <c r="AO39" s="11" t="n"/>
    </row>
    <row r="40">
      <c r="A40" t="n">
        <v>1</v>
      </c>
      <c r="C40" t="inlineStr">
        <is>
          <t>부채와자본총계</t>
        </is>
      </c>
      <c r="E40" s="18" t="n">
        <v>241431.73</v>
      </c>
      <c r="F40" s="37" t="n">
        <v>241431.73</v>
      </c>
      <c r="G40" s="18" t="n">
        <v>236928.74</v>
      </c>
      <c r="H40" s="18" t="n">
        <v>238045.93</v>
      </c>
      <c r="I40" s="18" t="n">
        <v>242021.41</v>
      </c>
      <c r="J40" s="18" t="n">
        <v>239085.99</v>
      </c>
      <c r="K40" s="37" t="n">
        <v>239085.99</v>
      </c>
      <c r="L40" s="18" t="n">
        <v>245766.22</v>
      </c>
      <c r="M40" s="18" t="n">
        <v>259016.44</v>
      </c>
      <c r="N40" s="18" t="n">
        <v>261330.87</v>
      </c>
      <c r="O40" s="18" t="n">
        <v>275699.82</v>
      </c>
      <c r="P40" s="37" t="n">
        <v>275699.82</v>
      </c>
      <c r="Q40" s="18" t="n">
        <v>276591.11</v>
      </c>
      <c r="R40" s="18" t="n">
        <v>283216.57</v>
      </c>
      <c r="S40" s="18" t="n">
        <v>280780.74</v>
      </c>
      <c r="T40" s="18" t="n">
        <v>289770.81</v>
      </c>
      <c r="U40" s="37" t="n">
        <v>289770.81</v>
      </c>
      <c r="V40" s="18" t="n">
        <v>291838.36</v>
      </c>
      <c r="W40" s="18" t="n">
        <v>297235.91</v>
      </c>
      <c r="X40" s="18" t="n">
        <v>299316.59</v>
      </c>
      <c r="Y40" s="18" t="n">
        <v>300149.59</v>
      </c>
      <c r="Z40" s="37" t="n">
        <v>300149.59</v>
      </c>
      <c r="AA40" s="18" t="n">
        <v>312984.1</v>
      </c>
      <c r="AB40" s="19" t="n">
        <v>330570.96</v>
      </c>
      <c r="AC40" s="10" t="n"/>
      <c r="AD40" s="10" t="n"/>
      <c r="AE40" s="11" t="n"/>
      <c r="AF40" s="10" t="n"/>
      <c r="AG40" s="10" t="n"/>
      <c r="AH40" s="10" t="n"/>
      <c r="AI40" s="10" t="n"/>
      <c r="AJ40" s="11" t="n"/>
      <c r="AK40" s="10" t="n"/>
      <c r="AL40" s="10" t="n"/>
      <c r="AM40" s="10" t="n"/>
      <c r="AN40" s="10" t="n"/>
      <c r="AO40" s="11" t="n"/>
    </row>
    <row r="41">
      <c r="A41" t="n">
        <v>1</v>
      </c>
      <c r="C41" t="inlineStr">
        <is>
          <t>지배주주지분</t>
        </is>
      </c>
      <c r="E41" s="18" t="n">
        <v>216871.56</v>
      </c>
      <c r="F41" s="37" t="n">
        <v>216871.56</v>
      </c>
      <c r="G41" s="18" t="n">
        <v>214235.41</v>
      </c>
      <c r="H41" s="18" t="n">
        <v>212977.67</v>
      </c>
      <c r="I41" s="18" t="n">
        <v>214778.23</v>
      </c>
      <c r="J41" s="18" t="n">
        <v>208156.94</v>
      </c>
      <c r="K41" s="37" t="n">
        <v>208156.94</v>
      </c>
      <c r="L41" s="18" t="n">
        <v>209546.73</v>
      </c>
      <c r="M41" s="18" t="n">
        <v>209950.91</v>
      </c>
      <c r="N41" s="18" t="n">
        <v>212427.32</v>
      </c>
      <c r="O41" s="18" t="n">
        <v>214815.25</v>
      </c>
      <c r="P41" s="37" t="n">
        <v>214815.25</v>
      </c>
      <c r="Q41" s="18" t="n">
        <v>218438.84</v>
      </c>
      <c r="R41" s="18" t="n">
        <v>222671.51</v>
      </c>
      <c r="S41" s="18" t="n">
        <v>224887.59</v>
      </c>
      <c r="T41" s="18" t="n">
        <v>234277.53</v>
      </c>
      <c r="U41" s="37" t="n">
        <v>234277.53</v>
      </c>
      <c r="V41" s="18" t="n">
        <v>238436.3</v>
      </c>
      <c r="W41" s="18" t="n">
        <v>243204.61</v>
      </c>
      <c r="X41" s="18" t="n">
        <v>250972</v>
      </c>
      <c r="Y41" s="18" t="n">
        <v>257369.37</v>
      </c>
      <c r="Z41" s="37" t="n">
        <v>257369.37</v>
      </c>
      <c r="AA41" s="18" t="n">
        <v>262307.21</v>
      </c>
      <c r="AB41" s="19" t="n">
        <v>270517.45</v>
      </c>
      <c r="AC41" s="10" t="n"/>
      <c r="AD41" s="10" t="n"/>
      <c r="AE41" s="11" t="n"/>
      <c r="AF41" s="10" t="n"/>
      <c r="AG41" s="10" t="n"/>
      <c r="AH41" s="10" t="n"/>
      <c r="AI41" s="10" t="n"/>
      <c r="AJ41" s="11" t="n"/>
      <c r="AK41" s="10" t="n"/>
      <c r="AL41" s="10" t="n"/>
      <c r="AM41" s="10" t="n"/>
      <c r="AN41" s="10" t="n"/>
      <c r="AO41" s="11" t="n"/>
    </row>
    <row r="42">
      <c r="A42" t="n">
        <v>1</v>
      </c>
      <c r="C42" t="inlineStr">
        <is>
          <t>이자발생자산</t>
        </is>
      </c>
      <c r="E42" s="18" t="n">
        <v>76187.85000000001</v>
      </c>
      <c r="F42" s="37" t="n">
        <v>76187.85000000001</v>
      </c>
      <c r="G42" s="18" t="n">
        <v>65945.87</v>
      </c>
      <c r="H42" s="18" t="n">
        <v>63534.99</v>
      </c>
      <c r="I42" s="18" t="n">
        <v>66608.57000000001</v>
      </c>
      <c r="J42" s="18" t="n">
        <v>62507.99</v>
      </c>
      <c r="K42" s="37" t="n">
        <v>62507.99</v>
      </c>
      <c r="L42" s="18" t="n">
        <v>62088.37</v>
      </c>
      <c r="M42" s="18" t="n">
        <v>67937.35000000001</v>
      </c>
      <c r="N42" s="18" t="n">
        <v>62867.69</v>
      </c>
      <c r="O42" s="18" t="n">
        <v>76157.02</v>
      </c>
      <c r="P42" s="37" t="n">
        <v>76157.02</v>
      </c>
      <c r="Q42" s="18" t="n">
        <v>71189.73</v>
      </c>
      <c r="R42" s="18" t="n">
        <v>76236.34</v>
      </c>
      <c r="S42" s="18" t="n">
        <v>76464.88</v>
      </c>
      <c r="T42" s="18" t="n">
        <v>71808.44</v>
      </c>
      <c r="U42" s="37" t="n">
        <v>71808.44</v>
      </c>
      <c r="V42" s="18" t="n">
        <v>59263.52</v>
      </c>
      <c r="W42" s="18" t="n">
        <v>39374.18</v>
      </c>
      <c r="X42" s="18" t="n">
        <v>47603.61</v>
      </c>
      <c r="Y42" s="18" t="n">
        <v>53209.79</v>
      </c>
      <c r="Z42" s="37" t="n">
        <v>53209.79</v>
      </c>
      <c r="AA42" s="18" t="n">
        <v>48668.38</v>
      </c>
      <c r="AB42" s="19" t="n">
        <v>42721.37</v>
      </c>
      <c r="AC42" s="10" t="n"/>
      <c r="AD42" s="10" t="n"/>
      <c r="AE42" s="11" t="n"/>
      <c r="AF42" s="10" t="n"/>
      <c r="AG42" s="10" t="n"/>
      <c r="AH42" s="10" t="n"/>
      <c r="AI42" s="10" t="n"/>
      <c r="AJ42" s="11" t="n"/>
      <c r="AK42" s="10" t="n"/>
      <c r="AL42" s="10" t="n"/>
      <c r="AM42" s="10" t="n"/>
      <c r="AN42" s="10" t="n"/>
      <c r="AO42" s="11" t="n"/>
    </row>
    <row r="43">
      <c r="A43" t="n">
        <v>1</v>
      </c>
      <c r="C43" t="inlineStr">
        <is>
          <t>기타비유동부채</t>
        </is>
      </c>
      <c r="F43" s="9" t="n"/>
      <c r="K43" s="9" t="n"/>
      <c r="N43" s="18" t="n">
        <v>388</v>
      </c>
      <c r="O43" s="18" t="n">
        <v>368</v>
      </c>
      <c r="P43" s="37" t="n">
        <v>368</v>
      </c>
      <c r="Q43" s="18" t="n">
        <v>368</v>
      </c>
      <c r="R43" s="18" t="n">
        <v>368</v>
      </c>
      <c r="S43" s="18" t="n">
        <v>368</v>
      </c>
      <c r="T43" s="18" t="n">
        <v>368</v>
      </c>
      <c r="U43" s="37" t="n">
        <v>368</v>
      </c>
      <c r="V43" s="18" t="n">
        <v>368</v>
      </c>
      <c r="W43" s="18" t="n">
        <v>290</v>
      </c>
      <c r="X43" s="18" t="n">
        <v>290</v>
      </c>
      <c r="Z43" s="9" t="n"/>
      <c r="AB43" s="5" t="n"/>
      <c r="AC43" s="10" t="n"/>
      <c r="AD43" s="10" t="n"/>
      <c r="AE43" s="11" t="n"/>
      <c r="AF43" s="10" t="n"/>
      <c r="AG43" s="10" t="n"/>
      <c r="AH43" s="10" t="n"/>
      <c r="AI43" s="10" t="n"/>
      <c r="AJ43" s="11" t="n"/>
      <c r="AK43" s="10" t="n"/>
      <c r="AL43" s="10" t="n"/>
      <c r="AM43" s="10" t="n"/>
      <c r="AN43" s="10" t="n"/>
      <c r="AO43" s="11" t="n"/>
    </row>
    <row r="44">
      <c r="A44" t="n">
        <v>1</v>
      </c>
      <c r="C44" t="inlineStr">
        <is>
          <t>기타유동자산</t>
        </is>
      </c>
      <c r="F44" s="9" t="n"/>
      <c r="K44" s="9" t="n"/>
      <c r="P44" s="9" t="n"/>
      <c r="U44" s="9" t="n"/>
      <c r="Y44" s="18" t="n">
        <v>14318.03</v>
      </c>
      <c r="Z44" s="37" t="n">
        <v>14318.03</v>
      </c>
      <c r="AA44" s="18" t="n">
        <v>16075.42</v>
      </c>
      <c r="AB44" s="19" t="n">
        <v>12112.62</v>
      </c>
      <c r="AC44" s="10" t="n"/>
      <c r="AD44" s="10" t="n"/>
      <c r="AE44" s="11" t="n"/>
      <c r="AF44" s="10" t="n"/>
      <c r="AG44" s="10" t="n"/>
      <c r="AH44" s="10" t="n"/>
      <c r="AI44" s="10" t="n"/>
      <c r="AJ44" s="11" t="n"/>
      <c r="AK44" s="10" t="n"/>
      <c r="AL44" s="10" t="n"/>
      <c r="AM44" s="10" t="n"/>
      <c r="AN44" s="10" t="n"/>
      <c r="AO44" s="11" t="n"/>
    </row>
    <row r="45">
      <c r="A45" t="n">
        <v>1</v>
      </c>
      <c r="C45" t="inlineStr">
        <is>
          <t>사용권자산</t>
        </is>
      </c>
      <c r="F45" s="9" t="n"/>
      <c r="K45" s="9" t="n"/>
      <c r="P45" s="9" t="n"/>
      <c r="U45" s="9" t="n"/>
      <c r="Y45" s="18" t="n">
        <v>401.66</v>
      </c>
      <c r="Z45" s="37" t="n">
        <v>401.66</v>
      </c>
      <c r="AA45" s="18" t="n">
        <v>337.07</v>
      </c>
      <c r="AB45" s="19" t="n">
        <v>360.87</v>
      </c>
      <c r="AC45" s="10" t="n"/>
      <c r="AD45" s="10" t="n"/>
      <c r="AE45" s="11" t="n"/>
      <c r="AF45" s="10" t="n"/>
      <c r="AG45" s="10" t="n"/>
      <c r="AH45" s="10" t="n"/>
      <c r="AI45" s="10" t="n"/>
      <c r="AJ45" s="11" t="n"/>
      <c r="AK45" s="10" t="n"/>
      <c r="AL45" s="10" t="n"/>
      <c r="AM45" s="10" t="n"/>
      <c r="AN45" s="10" t="n"/>
      <c r="AO45" s="11" t="n"/>
    </row>
    <row r="46">
      <c r="A46" t="n">
        <v>1</v>
      </c>
      <c r="C46" t="inlineStr">
        <is>
          <t>기타비유동자산</t>
        </is>
      </c>
      <c r="F46" s="9" t="n"/>
      <c r="K46" s="9" t="n"/>
      <c r="P46" s="9" t="n"/>
      <c r="U46" s="9" t="n"/>
      <c r="Y46" s="18" t="n">
        <v>401.66</v>
      </c>
      <c r="Z46" s="37" t="n">
        <v>401.66</v>
      </c>
      <c r="AA46" s="18" t="n">
        <v>337.07</v>
      </c>
      <c r="AB46" s="19" t="n">
        <v>360.87</v>
      </c>
      <c r="AC46" s="10" t="n"/>
      <c r="AD46" s="10" t="n"/>
      <c r="AE46" s="11" t="n"/>
      <c r="AF46" s="10" t="n"/>
      <c r="AG46" s="10" t="n"/>
      <c r="AH46" s="10" t="n"/>
      <c r="AI46" s="10" t="n"/>
      <c r="AJ46" s="11" t="n"/>
      <c r="AK46" s="10" t="n"/>
      <c r="AL46" s="10" t="n"/>
      <c r="AM46" s="10" t="n"/>
      <c r="AN46" s="10" t="n"/>
      <c r="AO46" s="11" t="n"/>
    </row>
    <row r="47">
      <c r="A47" t="n">
        <v>1</v>
      </c>
      <c r="C47" t="inlineStr">
        <is>
          <t>기타유동부채</t>
        </is>
      </c>
      <c r="F47" s="9" t="n"/>
      <c r="K47" s="9" t="n"/>
      <c r="P47" s="9" t="n"/>
      <c r="U47" s="9" t="n"/>
      <c r="Y47" s="18" t="n">
        <v>19433.67</v>
      </c>
      <c r="Z47" s="37" t="n">
        <v>19433.67</v>
      </c>
      <c r="AA47" s="18" t="n">
        <v>18964.12</v>
      </c>
      <c r="AB47" s="19" t="n">
        <v>31233.47</v>
      </c>
      <c r="AC47" s="10" t="n"/>
      <c r="AD47" s="10" t="n"/>
      <c r="AE47" s="11" t="n"/>
      <c r="AF47" s="10" t="n"/>
      <c r="AG47" s="10" t="n"/>
      <c r="AH47" s="10" t="n"/>
      <c r="AI47" s="10" t="n"/>
      <c r="AJ47" s="11" t="n"/>
      <c r="AK47" s="10" t="n"/>
      <c r="AL47" s="10" t="n"/>
      <c r="AM47" s="10" t="n"/>
      <c r="AN47" s="10" t="n"/>
      <c r="AO47" s="11" t="n"/>
    </row>
    <row r="48">
      <c r="A48" t="n">
        <v>1</v>
      </c>
      <c r="C48" t="inlineStr">
        <is>
          <t>매출액(수익)</t>
        </is>
      </c>
      <c r="E48" s="18" t="n">
        <v>37244.01</v>
      </c>
      <c r="F48" s="9" t="n"/>
      <c r="G48" s="18" t="n">
        <v>27074.95</v>
      </c>
      <c r="H48" s="18" t="n">
        <v>28004.04</v>
      </c>
      <c r="I48" s="18" t="n">
        <v>26253.3</v>
      </c>
      <c r="J48" s="18" t="n">
        <v>30307.72</v>
      </c>
      <c r="K48" s="37" t="n">
        <v>111640.01</v>
      </c>
      <c r="L48" s="18" t="n">
        <v>27568.56</v>
      </c>
      <c r="M48" s="18" t="n">
        <v>30927.48</v>
      </c>
      <c r="N48" s="18" t="n">
        <v>30377.56</v>
      </c>
      <c r="O48" s="18" t="n">
        <v>45382.62</v>
      </c>
      <c r="P48" s="37" t="n">
        <v>134256.22</v>
      </c>
      <c r="Q48" s="18" t="n">
        <v>37298.12</v>
      </c>
      <c r="R48" s="18" t="n">
        <v>45783.65</v>
      </c>
      <c r="S48" s="18" t="n">
        <v>39766.68</v>
      </c>
      <c r="T48" s="18" t="n">
        <v>56765.57</v>
      </c>
      <c r="U48" s="37" t="n">
        <v>179614.02</v>
      </c>
      <c r="V48" s="18" t="n">
        <v>50060.95</v>
      </c>
      <c r="W48" s="18" t="n">
        <v>51854.45</v>
      </c>
      <c r="X48" s="18" t="n">
        <v>54840.61</v>
      </c>
      <c r="Y48" s="18" t="n">
        <v>51817.39</v>
      </c>
      <c r="Z48" s="37" t="n">
        <v>208573.4</v>
      </c>
      <c r="AA48" s="18" t="n">
        <v>44957.17</v>
      </c>
      <c r="AB48" s="19" t="n">
        <v>64854.21</v>
      </c>
      <c r="AC48" s="10" t="n"/>
      <c r="AD48" s="10" t="n"/>
      <c r="AE48" s="11" t="n"/>
      <c r="AF48" s="10" t="n"/>
      <c r="AG48" s="10" t="n"/>
      <c r="AH48" s="10" t="n"/>
      <c r="AI48" s="10" t="n"/>
      <c r="AJ48" s="11" t="n"/>
      <c r="AK48" s="10" t="n"/>
      <c r="AL48" s="10" t="n"/>
      <c r="AM48" s="10" t="n"/>
      <c r="AN48" s="10" t="n"/>
      <c r="AO48" s="11" t="n"/>
    </row>
    <row r="49">
      <c r="A49" t="n">
        <v>1</v>
      </c>
      <c r="C49" t="inlineStr">
        <is>
          <t>매출원가</t>
        </is>
      </c>
      <c r="E49" s="18" t="n">
        <v>33950.83</v>
      </c>
      <c r="F49" s="9" t="n"/>
      <c r="G49" s="18" t="n">
        <v>27001.76</v>
      </c>
      <c r="H49" s="18" t="n">
        <v>27806.24</v>
      </c>
      <c r="I49" s="18" t="n">
        <v>23839.57</v>
      </c>
      <c r="J49" s="18" t="n">
        <v>33676.96</v>
      </c>
      <c r="K49" s="37" t="n">
        <v>112324.53</v>
      </c>
      <c r="L49" s="18" t="n">
        <v>26469.53</v>
      </c>
      <c r="M49" s="18" t="n">
        <v>28024.14</v>
      </c>
      <c r="N49" s="18" t="n">
        <v>27050.58</v>
      </c>
      <c r="O49" s="18" t="n">
        <v>40026.92</v>
      </c>
      <c r="P49" s="37" t="n">
        <v>121571.17</v>
      </c>
      <c r="Q49" s="18" t="n">
        <v>32377.39</v>
      </c>
      <c r="R49" s="18" t="n">
        <v>39331.15</v>
      </c>
      <c r="S49" s="18" t="n">
        <v>34536.54</v>
      </c>
      <c r="T49" s="18" t="n">
        <v>46191.58</v>
      </c>
      <c r="U49" s="37" t="n">
        <v>152436.66</v>
      </c>
      <c r="V49" s="18" t="n">
        <v>40035.11</v>
      </c>
      <c r="W49" s="18" t="n">
        <v>43658.13</v>
      </c>
      <c r="X49" s="18" t="n">
        <v>45215.61</v>
      </c>
      <c r="Y49" s="18" t="n">
        <v>40977.27</v>
      </c>
      <c r="Z49" s="37" t="n">
        <v>169886.12</v>
      </c>
      <c r="AA49" s="18" t="n">
        <v>36450.01</v>
      </c>
      <c r="AB49" s="19" t="n">
        <v>53019.05</v>
      </c>
      <c r="AC49" s="10" t="n"/>
      <c r="AD49" s="10" t="n"/>
      <c r="AE49" s="11" t="n"/>
      <c r="AF49" s="10" t="n"/>
      <c r="AG49" s="10" t="n"/>
      <c r="AH49" s="10" t="n"/>
      <c r="AI49" s="10" t="n"/>
      <c r="AJ49" s="11" t="n"/>
      <c r="AK49" s="10" t="n"/>
      <c r="AL49" s="10" t="n"/>
      <c r="AM49" s="10" t="n"/>
      <c r="AN49" s="10" t="n"/>
      <c r="AO49" s="11" t="n"/>
    </row>
    <row r="50">
      <c r="A50" t="n">
        <v>1</v>
      </c>
      <c r="C50" t="inlineStr">
        <is>
          <t>매출총이익</t>
        </is>
      </c>
      <c r="E50" s="18" t="n">
        <v>3293.19</v>
      </c>
      <c r="F50" s="9" t="n"/>
      <c r="G50" s="18" t="n">
        <v>73.2</v>
      </c>
      <c r="H50" s="18" t="n">
        <v>197.8</v>
      </c>
      <c r="I50" s="18" t="n">
        <v>2413.73</v>
      </c>
      <c r="J50" s="18" t="n">
        <v>-3369.23</v>
      </c>
      <c r="K50" s="37" t="n">
        <v>-684.5</v>
      </c>
      <c r="L50" s="18" t="n">
        <v>1099.04</v>
      </c>
      <c r="M50" s="18" t="n">
        <v>2903.34</v>
      </c>
      <c r="N50" s="18" t="n">
        <v>3326.99</v>
      </c>
      <c r="O50" s="18" t="n">
        <v>5355.69</v>
      </c>
      <c r="P50" s="37" t="n">
        <v>12685.06</v>
      </c>
      <c r="Q50" s="18" t="n">
        <v>4920.73</v>
      </c>
      <c r="R50" s="18" t="n">
        <v>6452.5</v>
      </c>
      <c r="S50" s="18" t="n">
        <v>5230.15</v>
      </c>
      <c r="T50" s="18" t="n">
        <v>10573.99</v>
      </c>
      <c r="U50" s="37" t="n">
        <v>27177.37</v>
      </c>
      <c r="V50" s="18" t="n">
        <v>10025.84</v>
      </c>
      <c r="W50" s="18" t="n">
        <v>8196.33</v>
      </c>
      <c r="X50" s="18" t="n">
        <v>9625.01</v>
      </c>
      <c r="Y50" s="18" t="n">
        <v>10840.12</v>
      </c>
      <c r="Z50" s="37" t="n">
        <v>38687.3</v>
      </c>
      <c r="AA50" s="18" t="n">
        <v>8507.16</v>
      </c>
      <c r="AB50" s="19" t="n">
        <v>11835.16</v>
      </c>
      <c r="AC50" s="10" t="n"/>
      <c r="AD50" s="10" t="n"/>
      <c r="AE50" s="11" t="n"/>
      <c r="AF50" s="10" t="n"/>
      <c r="AG50" s="10" t="n"/>
      <c r="AH50" s="10" t="n"/>
      <c r="AI50" s="10" t="n"/>
      <c r="AJ50" s="11" t="n"/>
      <c r="AK50" s="10" t="n"/>
      <c r="AL50" s="10" t="n"/>
      <c r="AM50" s="10" t="n"/>
      <c r="AN50" s="10" t="n"/>
      <c r="AO50" s="11" t="n"/>
    </row>
    <row r="51">
      <c r="A51" t="n">
        <v>1</v>
      </c>
      <c r="C51" t="inlineStr">
        <is>
          <t>판관비</t>
        </is>
      </c>
      <c r="E51" s="18" t="n">
        <v>2657.13</v>
      </c>
      <c r="F51" s="9" t="n"/>
      <c r="G51" s="18" t="n">
        <v>2058.23</v>
      </c>
      <c r="H51" s="18" t="n">
        <v>2741.38</v>
      </c>
      <c r="I51" s="18" t="n">
        <v>2268.01</v>
      </c>
      <c r="J51" s="18" t="n">
        <v>3020.27</v>
      </c>
      <c r="K51" s="37" t="n">
        <v>10087.89</v>
      </c>
      <c r="L51" s="18" t="n">
        <v>2391.16</v>
      </c>
      <c r="M51" s="18" t="n">
        <v>2263.99</v>
      </c>
      <c r="N51" s="18" t="n">
        <v>2252.75</v>
      </c>
      <c r="O51" s="18" t="n">
        <v>2976.37</v>
      </c>
      <c r="P51" s="37" t="n">
        <v>9884.27</v>
      </c>
      <c r="Q51" s="18" t="n">
        <v>2681.42</v>
      </c>
      <c r="R51" s="18" t="n">
        <v>3462.98</v>
      </c>
      <c r="S51" s="18" t="n">
        <v>2732.54</v>
      </c>
      <c r="T51" s="18" t="n">
        <v>3069.13</v>
      </c>
      <c r="U51" s="37" t="n">
        <v>11946.07</v>
      </c>
      <c r="V51" s="18" t="n">
        <v>5103.19</v>
      </c>
      <c r="W51" s="18" t="n">
        <v>2181.29</v>
      </c>
      <c r="X51" s="18" t="n">
        <v>2427.83</v>
      </c>
      <c r="Y51" s="18" t="n">
        <v>3590.83</v>
      </c>
      <c r="Z51" s="37" t="n">
        <v>13303.14</v>
      </c>
      <c r="AA51" s="18" t="n">
        <v>2961.56</v>
      </c>
      <c r="AB51" s="19" t="n">
        <v>4518.03</v>
      </c>
      <c r="AC51" s="10" t="n"/>
      <c r="AD51" s="10" t="n"/>
      <c r="AE51" s="11" t="n"/>
      <c r="AF51" s="10" t="n"/>
      <c r="AG51" s="10" t="n"/>
      <c r="AH51" s="10" t="n"/>
      <c r="AI51" s="10" t="n"/>
      <c r="AJ51" s="11" t="n"/>
      <c r="AK51" s="10" t="n"/>
      <c r="AL51" s="10" t="n"/>
      <c r="AM51" s="10" t="n"/>
      <c r="AN51" s="10" t="n"/>
      <c r="AO51" s="11" t="n"/>
    </row>
    <row r="52">
      <c r="A52" t="n">
        <v>1</v>
      </c>
      <c r="C52" t="inlineStr">
        <is>
          <t>영업이익</t>
        </is>
      </c>
      <c r="E52" s="18" t="n">
        <v>636.05</v>
      </c>
      <c r="F52" s="9" t="n"/>
      <c r="G52" s="18" t="n">
        <v>-1985.04</v>
      </c>
      <c r="H52" s="18" t="n">
        <v>-2543.57</v>
      </c>
      <c r="I52" s="18" t="n">
        <v>145.72</v>
      </c>
      <c r="J52" s="18" t="n">
        <v>-6389.5</v>
      </c>
      <c r="K52" s="37" t="n">
        <v>-10772.39</v>
      </c>
      <c r="L52" s="18" t="n">
        <v>-1292.12</v>
      </c>
      <c r="M52" s="18" t="n">
        <v>639.35</v>
      </c>
      <c r="N52" s="18" t="n">
        <v>1074.24</v>
      </c>
      <c r="O52" s="18" t="n">
        <v>2379.34</v>
      </c>
      <c r="P52" s="37" t="n">
        <v>2800.81</v>
      </c>
      <c r="Q52" s="18" t="n">
        <v>2239.3</v>
      </c>
      <c r="R52" s="18" t="n">
        <v>2989.52</v>
      </c>
      <c r="S52" s="18" t="n">
        <v>2497.6</v>
      </c>
      <c r="T52" s="18" t="n">
        <v>7504.86</v>
      </c>
      <c r="U52" s="37" t="n">
        <v>15231.28</v>
      </c>
      <c r="V52" s="18" t="n">
        <v>4922.66</v>
      </c>
      <c r="W52" s="18" t="n">
        <v>6015.04</v>
      </c>
      <c r="X52" s="18" t="n">
        <v>7197.17</v>
      </c>
      <c r="Y52" s="18" t="n">
        <v>7249.29</v>
      </c>
      <c r="Z52" s="37" t="n">
        <v>25384.16</v>
      </c>
      <c r="AA52" s="18" t="n">
        <v>5545.6</v>
      </c>
      <c r="AB52" s="19" t="n">
        <v>7317.13</v>
      </c>
      <c r="AC52" s="10" t="n"/>
      <c r="AD52" s="10" t="n"/>
      <c r="AE52" s="11" t="n"/>
      <c r="AF52" s="10" t="n"/>
      <c r="AG52" s="10" t="n"/>
      <c r="AH52" s="10" t="n"/>
      <c r="AI52" s="10" t="n"/>
      <c r="AJ52" s="11" t="n"/>
      <c r="AK52" s="10" t="n"/>
      <c r="AL52" s="10" t="n"/>
      <c r="AM52" s="10" t="n"/>
      <c r="AN52" s="10" t="n"/>
      <c r="AO52" s="11" t="n"/>
    </row>
    <row r="53">
      <c r="A53" t="n">
        <v>1</v>
      </c>
      <c r="C53" t="inlineStr">
        <is>
          <t>기타영업외수익</t>
        </is>
      </c>
      <c r="E53" s="18" t="n">
        <v>175.96</v>
      </c>
      <c r="F53" s="9" t="n"/>
      <c r="G53" s="18" t="n">
        <v>317.52</v>
      </c>
      <c r="H53" s="18" t="n">
        <v>279.44</v>
      </c>
      <c r="I53" s="18" t="n">
        <v>319.49</v>
      </c>
      <c r="J53" s="18" t="n">
        <v>317.41</v>
      </c>
      <c r="K53" s="37" t="n">
        <v>1233.86</v>
      </c>
      <c r="L53" s="18" t="n">
        <v>358.28</v>
      </c>
      <c r="M53" s="18" t="n">
        <v>307.13</v>
      </c>
      <c r="N53" s="18" t="n">
        <v>509.2</v>
      </c>
      <c r="O53" s="18" t="n">
        <v>382.8</v>
      </c>
      <c r="P53" s="37" t="n">
        <v>1557.41</v>
      </c>
      <c r="Q53" s="18" t="n">
        <v>335.48</v>
      </c>
      <c r="R53" s="18" t="n">
        <v>432.37</v>
      </c>
      <c r="S53" s="18" t="n">
        <v>363.1</v>
      </c>
      <c r="T53" s="18" t="n">
        <v>374.91</v>
      </c>
      <c r="U53" s="37" t="n">
        <v>1505.86</v>
      </c>
      <c r="V53" s="18" t="n">
        <v>623.96</v>
      </c>
      <c r="W53" s="18" t="n">
        <v>518.83</v>
      </c>
      <c r="X53" s="18" t="n">
        <v>841.72</v>
      </c>
      <c r="Y53" s="18" t="n">
        <v>860.1900000000001</v>
      </c>
      <c r="Z53" s="37" t="n">
        <v>2844.7</v>
      </c>
      <c r="AA53" s="18" t="n">
        <v>421.82</v>
      </c>
      <c r="AB53" s="19" t="n">
        <v>438.15</v>
      </c>
      <c r="AC53" s="10" t="n"/>
      <c r="AD53" s="10" t="n"/>
      <c r="AE53" s="11" t="n"/>
      <c r="AF53" s="10" t="n"/>
      <c r="AG53" s="10" t="n"/>
      <c r="AH53" s="10" t="n"/>
      <c r="AI53" s="10" t="n"/>
      <c r="AJ53" s="11" t="n"/>
      <c r="AK53" s="10" t="n"/>
      <c r="AL53" s="10" t="n"/>
      <c r="AM53" s="10" t="n"/>
      <c r="AN53" s="10" t="n"/>
      <c r="AO53" s="11" t="n"/>
    </row>
    <row r="54">
      <c r="A54" t="n">
        <v>1</v>
      </c>
      <c r="C54" t="inlineStr">
        <is>
          <t>기타영업외비용</t>
        </is>
      </c>
      <c r="E54" s="18" t="n">
        <v>16.59</v>
      </c>
      <c r="F54" s="9" t="n"/>
      <c r="G54" s="18" t="n">
        <v>1.85</v>
      </c>
      <c r="H54" s="18" t="n">
        <v>43.95</v>
      </c>
      <c r="I54" s="18" t="n">
        <v>2.35</v>
      </c>
      <c r="J54" s="18" t="n">
        <v>365.84</v>
      </c>
      <c r="K54" s="37" t="n">
        <v>413.99</v>
      </c>
      <c r="L54" s="18" t="n">
        <v>4.32</v>
      </c>
      <c r="M54" s="18" t="n">
        <v>501.45</v>
      </c>
      <c r="N54" s="18" t="n">
        <v>2.85</v>
      </c>
      <c r="O54" s="18" t="n">
        <v>547.01</v>
      </c>
      <c r="P54" s="37" t="n">
        <v>1055.63</v>
      </c>
      <c r="Q54" s="18" t="n">
        <v>1.89</v>
      </c>
      <c r="R54" s="18" t="n">
        <v>36.75</v>
      </c>
      <c r="S54" s="18" t="n">
        <v>-13.47</v>
      </c>
      <c r="T54" s="18" t="n">
        <v>-5.09</v>
      </c>
      <c r="U54" s="37" t="n">
        <v>20.08</v>
      </c>
      <c r="V54" s="18" t="n">
        <v>38.95</v>
      </c>
      <c r="W54" s="18" t="n">
        <v>435.88</v>
      </c>
      <c r="X54" s="18" t="n">
        <v>18.44</v>
      </c>
      <c r="Y54" s="18" t="n">
        <v>-354.21</v>
      </c>
      <c r="Z54" s="37" t="n">
        <v>139.06</v>
      </c>
      <c r="AA54" s="18" t="n">
        <v>3.42</v>
      </c>
      <c r="AB54" s="19" t="n">
        <v>15.6</v>
      </c>
      <c r="AC54" s="10" t="n"/>
      <c r="AD54" s="10" t="n"/>
      <c r="AE54" s="11" t="n"/>
      <c r="AF54" s="10" t="n"/>
      <c r="AG54" s="10" t="n"/>
      <c r="AH54" s="10" t="n"/>
      <c r="AI54" s="10" t="n"/>
      <c r="AJ54" s="11" t="n"/>
      <c r="AK54" s="10" t="n"/>
      <c r="AL54" s="10" t="n"/>
      <c r="AM54" s="10" t="n"/>
      <c r="AN54" s="10" t="n"/>
      <c r="AO54" s="11" t="n"/>
    </row>
    <row r="55">
      <c r="A55" t="n">
        <v>1</v>
      </c>
      <c r="C55" t="inlineStr">
        <is>
          <t>금융수익</t>
        </is>
      </c>
      <c r="E55" s="18" t="n">
        <v>1748.08</v>
      </c>
      <c r="F55" s="9" t="n"/>
      <c r="G55" s="18" t="n">
        <v>745.2</v>
      </c>
      <c r="H55" s="18" t="n">
        <v>1587.98</v>
      </c>
      <c r="I55" s="18" t="n">
        <v>2658.99</v>
      </c>
      <c r="J55" s="18" t="n">
        <v>-454.81</v>
      </c>
      <c r="K55" s="37" t="n">
        <v>4537.36</v>
      </c>
      <c r="L55" s="18" t="n">
        <v>2945.63</v>
      </c>
      <c r="M55" s="18" t="n">
        <v>1308.38</v>
      </c>
      <c r="N55" s="18" t="n">
        <v>1683.17</v>
      </c>
      <c r="O55" s="18" t="n">
        <v>1446.19</v>
      </c>
      <c r="P55" s="37" t="n">
        <v>7383.37</v>
      </c>
      <c r="Q55" s="18" t="n">
        <v>2274.63</v>
      </c>
      <c r="R55" s="18" t="n">
        <v>1890.12</v>
      </c>
      <c r="S55" s="18" t="n">
        <v>384.81</v>
      </c>
      <c r="T55" s="18" t="n">
        <v>4394.57</v>
      </c>
      <c r="U55" s="37" t="n">
        <v>8944.129999999999</v>
      </c>
      <c r="V55" s="18" t="n">
        <v>1109.01</v>
      </c>
      <c r="W55" s="18" t="n">
        <v>1094.1</v>
      </c>
      <c r="X55" s="18" t="n">
        <v>1078.24</v>
      </c>
      <c r="Y55" s="18" t="n">
        <v>1415.7</v>
      </c>
      <c r="Z55" s="37" t="n">
        <v>4697.05</v>
      </c>
      <c r="AA55" s="18" t="n">
        <v>3065.39</v>
      </c>
      <c r="AB55" s="19" t="n">
        <v>2179.92</v>
      </c>
      <c r="AC55" s="10" t="n"/>
      <c r="AD55" s="10" t="n"/>
      <c r="AE55" s="11" t="n"/>
      <c r="AF55" s="10" t="n"/>
      <c r="AG55" s="10" t="n"/>
      <c r="AH55" s="10" t="n"/>
      <c r="AI55" s="10" t="n"/>
      <c r="AJ55" s="11" t="n"/>
      <c r="AK55" s="10" t="n"/>
      <c r="AL55" s="10" t="n"/>
      <c r="AM55" s="10" t="n"/>
      <c r="AN55" s="10" t="n"/>
      <c r="AO55" s="11" t="n"/>
    </row>
    <row r="56">
      <c r="A56" t="n">
        <v>1</v>
      </c>
      <c r="C56" t="inlineStr">
        <is>
          <t>금융비용</t>
        </is>
      </c>
      <c r="E56" s="18" t="n">
        <v>139.81</v>
      </c>
      <c r="F56" s="9" t="n"/>
      <c r="G56" s="18" t="n">
        <v>1216.92</v>
      </c>
      <c r="H56" s="18" t="n">
        <v>1921.19</v>
      </c>
      <c r="I56" s="18" t="n">
        <v>831.36</v>
      </c>
      <c r="J56" s="18" t="n">
        <v>2271.22</v>
      </c>
      <c r="K56" s="37" t="n">
        <v>6240.69</v>
      </c>
      <c r="L56" s="18" t="n">
        <v>264.06</v>
      </c>
      <c r="M56" s="18" t="n">
        <v>273.4</v>
      </c>
      <c r="N56" s="18" t="n">
        <v>81.15000000000001</v>
      </c>
      <c r="O56" s="18" t="n">
        <v>1161.67</v>
      </c>
      <c r="P56" s="37" t="n">
        <v>1780.28</v>
      </c>
      <c r="Q56" s="18" t="n">
        <v>354.22</v>
      </c>
      <c r="R56" s="18" t="n">
        <v>141.41</v>
      </c>
      <c r="S56" s="18" t="n">
        <v>643.42</v>
      </c>
      <c r="T56" s="18" t="n">
        <v>517.27</v>
      </c>
      <c r="U56" s="37" t="n">
        <v>1656.32</v>
      </c>
      <c r="V56" s="18" t="n">
        <v>284.21</v>
      </c>
      <c r="W56" s="18" t="n">
        <v>2750.49</v>
      </c>
      <c r="X56" s="18" t="n">
        <v>-782.64</v>
      </c>
      <c r="Y56" s="18" t="n">
        <v>1486.59</v>
      </c>
      <c r="Z56" s="37" t="n">
        <v>3738.65</v>
      </c>
      <c r="AA56" s="18" t="n">
        <v>385.4</v>
      </c>
      <c r="AB56" s="19" t="n">
        <v>410.6</v>
      </c>
      <c r="AC56" s="10" t="n"/>
      <c r="AD56" s="10" t="n"/>
      <c r="AE56" s="11" t="n"/>
      <c r="AF56" s="10" t="n"/>
      <c r="AG56" s="10" t="n"/>
      <c r="AH56" s="10" t="n"/>
      <c r="AI56" s="10" t="n"/>
      <c r="AJ56" s="11" t="n"/>
      <c r="AK56" s="10" t="n"/>
      <c r="AL56" s="10" t="n"/>
      <c r="AM56" s="10" t="n"/>
      <c r="AN56" s="10" t="n"/>
      <c r="AO56" s="11" t="n"/>
    </row>
    <row r="57">
      <c r="A57" t="n">
        <v>1</v>
      </c>
      <c r="C57" t="inlineStr">
        <is>
          <t>법인세비용차감전계속사업이익</t>
        </is>
      </c>
      <c r="E57" s="18" t="n">
        <v>2403.69</v>
      </c>
      <c r="F57" s="9" t="n"/>
      <c r="G57" s="18" t="n">
        <v>-2141.08</v>
      </c>
      <c r="H57" s="18" t="n">
        <v>-2641.29</v>
      </c>
      <c r="I57" s="18" t="n">
        <v>2290.49</v>
      </c>
      <c r="J57" s="18" t="n">
        <v>-9163.98</v>
      </c>
      <c r="K57" s="37" t="n">
        <v>-11655.86</v>
      </c>
      <c r="L57" s="18" t="n">
        <v>1752.05</v>
      </c>
      <c r="M57" s="18" t="n">
        <v>1480.01</v>
      </c>
      <c r="N57" s="18" t="n">
        <v>3182.61</v>
      </c>
      <c r="O57" s="18" t="n">
        <v>2499.65</v>
      </c>
      <c r="P57" s="37" t="n">
        <v>8914.32</v>
      </c>
      <c r="Q57" s="18" t="n">
        <v>4493.31</v>
      </c>
      <c r="R57" s="18" t="n">
        <v>5133.84</v>
      </c>
      <c r="S57" s="18" t="n">
        <v>2615.57</v>
      </c>
      <c r="T57" s="18" t="n">
        <v>11762.16</v>
      </c>
      <c r="U57" s="37" t="n">
        <v>24004.88</v>
      </c>
      <c r="V57" s="18" t="n">
        <v>6332.46</v>
      </c>
      <c r="W57" s="18" t="n">
        <v>5313.36</v>
      </c>
      <c r="X57" s="18" t="n">
        <v>9918.209999999999</v>
      </c>
      <c r="Y57" s="18" t="n">
        <v>7562.07</v>
      </c>
      <c r="Z57" s="37" t="n">
        <v>29126.1</v>
      </c>
      <c r="AA57" s="18" t="n">
        <v>8643.99</v>
      </c>
      <c r="AB57" s="19" t="n">
        <v>9509</v>
      </c>
      <c r="AC57" s="10" t="n"/>
      <c r="AD57" s="10" t="n"/>
      <c r="AE57" s="11" t="n"/>
      <c r="AF57" s="10" t="n"/>
      <c r="AG57" s="10" t="n"/>
      <c r="AH57" s="10" t="n"/>
      <c r="AI57" s="10" t="n"/>
      <c r="AJ57" s="11" t="n"/>
      <c r="AK57" s="10" t="n"/>
      <c r="AL57" s="10" t="n"/>
      <c r="AM57" s="10" t="n"/>
      <c r="AN57" s="10" t="n"/>
      <c r="AO57" s="11" t="n"/>
    </row>
    <row r="58">
      <c r="A58" t="n">
        <v>1</v>
      </c>
      <c r="C58" t="inlineStr">
        <is>
          <t>법인세비용</t>
        </is>
      </c>
      <c r="E58" s="18" t="n">
        <v>-127.98</v>
      </c>
      <c r="F58" s="9" t="n"/>
      <c r="G58" s="18" t="n">
        <v>-431.46</v>
      </c>
      <c r="H58" s="18" t="n">
        <v>-1345.89</v>
      </c>
      <c r="I58" s="18" t="n">
        <v>497.71</v>
      </c>
      <c r="J58" s="18" t="n">
        <v>-2528.75</v>
      </c>
      <c r="K58" s="37" t="n">
        <v>-3808.39</v>
      </c>
      <c r="L58" s="18" t="n">
        <v>370.3</v>
      </c>
      <c r="M58" s="18" t="n">
        <v>175.37</v>
      </c>
      <c r="N58" s="18" t="n">
        <v>672.64</v>
      </c>
      <c r="O58" s="18" t="n">
        <v>128.12</v>
      </c>
      <c r="P58" s="37" t="n">
        <v>1346.43</v>
      </c>
      <c r="Q58" s="18" t="n">
        <v>881.6900000000001</v>
      </c>
      <c r="R58" s="18" t="n">
        <v>943.25</v>
      </c>
      <c r="S58" s="18" t="n">
        <v>415.51</v>
      </c>
      <c r="T58" s="18" t="n">
        <v>2391.15</v>
      </c>
      <c r="U58" s="37" t="n">
        <v>4631.6</v>
      </c>
      <c r="V58" s="18" t="n">
        <v>1266.92</v>
      </c>
      <c r="W58" s="18" t="n">
        <v>622.91</v>
      </c>
      <c r="X58" s="18" t="n">
        <v>2190.56</v>
      </c>
      <c r="Y58" s="18" t="n">
        <v>1389.19</v>
      </c>
      <c r="Z58" s="37" t="n">
        <v>5469.58</v>
      </c>
      <c r="AA58" s="18" t="n">
        <v>1852.3</v>
      </c>
      <c r="AB58" s="19" t="n">
        <v>1938.27</v>
      </c>
      <c r="AC58" s="10" t="n"/>
      <c r="AD58" s="10" t="n"/>
      <c r="AE58" s="11" t="n"/>
      <c r="AF58" s="10" t="n"/>
      <c r="AG58" s="10" t="n"/>
      <c r="AH58" s="10" t="n"/>
      <c r="AI58" s="10" t="n"/>
      <c r="AJ58" s="11" t="n"/>
      <c r="AK58" s="10" t="n"/>
      <c r="AL58" s="10" t="n"/>
      <c r="AM58" s="10" t="n"/>
      <c r="AN58" s="10" t="n"/>
      <c r="AO58" s="11" t="n"/>
    </row>
    <row r="59">
      <c r="A59" t="n">
        <v>1</v>
      </c>
      <c r="C59" t="inlineStr">
        <is>
          <t>당기순이익</t>
        </is>
      </c>
      <c r="E59" s="18" t="n">
        <v>2531.67</v>
      </c>
      <c r="F59" s="9" t="n"/>
      <c r="G59" s="18" t="n">
        <v>-1709.62</v>
      </c>
      <c r="H59" s="18" t="n">
        <v>-1295.4</v>
      </c>
      <c r="I59" s="18" t="n">
        <v>1792.78</v>
      </c>
      <c r="J59" s="18" t="n">
        <v>-6635.22</v>
      </c>
      <c r="K59" s="37" t="n">
        <v>-7847.46</v>
      </c>
      <c r="L59" s="18" t="n">
        <v>1381.76</v>
      </c>
      <c r="M59" s="18" t="n">
        <v>1304.64</v>
      </c>
      <c r="N59" s="18" t="n">
        <v>2509.97</v>
      </c>
      <c r="O59" s="18" t="n">
        <v>2371.53</v>
      </c>
      <c r="P59" s="37" t="n">
        <v>7567.9</v>
      </c>
      <c r="Q59" s="18" t="n">
        <v>3611.62</v>
      </c>
      <c r="R59" s="18" t="n">
        <v>4190.59</v>
      </c>
      <c r="S59" s="18" t="n">
        <v>2200.05</v>
      </c>
      <c r="T59" s="18" t="n">
        <v>9371.01</v>
      </c>
      <c r="U59" s="37" t="n">
        <v>19373.27</v>
      </c>
      <c r="V59" s="18" t="n">
        <v>5065.54</v>
      </c>
      <c r="W59" s="18" t="n">
        <v>4690.45</v>
      </c>
      <c r="X59" s="18" t="n">
        <v>7727.65</v>
      </c>
      <c r="Y59" s="18" t="n">
        <v>6172.89</v>
      </c>
      <c r="Z59" s="37" t="n">
        <v>23656.53</v>
      </c>
      <c r="AA59" s="18" t="n">
        <v>6791.69</v>
      </c>
      <c r="AB59" s="19" t="n">
        <v>7570.73</v>
      </c>
      <c r="AC59" s="10" t="n"/>
      <c r="AD59" s="10" t="n"/>
      <c r="AE59" s="11" t="n"/>
      <c r="AF59" s="10" t="n"/>
      <c r="AG59" s="10" t="n"/>
      <c r="AH59" s="10" t="n"/>
      <c r="AI59" s="10" t="n"/>
      <c r="AJ59" s="11" t="n"/>
      <c r="AK59" s="10" t="n"/>
      <c r="AL59" s="10" t="n"/>
      <c r="AM59" s="10" t="n"/>
      <c r="AN59" s="10" t="n"/>
      <c r="AO59" s="11" t="n"/>
    </row>
    <row r="60">
      <c r="A60" t="n">
        <v>1</v>
      </c>
      <c r="C60" t="inlineStr">
        <is>
          <t>총포괄손익</t>
        </is>
      </c>
      <c r="E60" s="18" t="n">
        <v>2531.67</v>
      </c>
      <c r="F60" s="9" t="n"/>
      <c r="G60" s="18" t="n">
        <v>-1709.62</v>
      </c>
      <c r="H60" s="18" t="n">
        <v>-1295.4</v>
      </c>
      <c r="I60" s="18" t="n">
        <v>1792.78</v>
      </c>
      <c r="J60" s="18" t="n">
        <v>-6635.22</v>
      </c>
      <c r="K60" s="37" t="n">
        <v>-7847.46</v>
      </c>
      <c r="L60" s="18" t="n">
        <v>1381.76</v>
      </c>
      <c r="M60" s="18" t="n">
        <v>1304.64</v>
      </c>
      <c r="N60" s="18" t="n">
        <v>2509.97</v>
      </c>
      <c r="O60" s="18" t="n">
        <v>2371.53</v>
      </c>
      <c r="P60" s="37" t="n">
        <v>7567.9</v>
      </c>
      <c r="Q60" s="18" t="n">
        <v>3611.62</v>
      </c>
      <c r="R60" s="18" t="n">
        <v>4190.59</v>
      </c>
      <c r="S60" s="18" t="n">
        <v>2200.05</v>
      </c>
      <c r="T60" s="18" t="n">
        <v>9371.01</v>
      </c>
      <c r="U60" s="37" t="n">
        <v>19373.27</v>
      </c>
      <c r="V60" s="18" t="n">
        <v>5065.54</v>
      </c>
      <c r="W60" s="18" t="n">
        <v>4690.45</v>
      </c>
      <c r="X60" s="18" t="n">
        <v>7727.65</v>
      </c>
      <c r="Y60" s="18" t="n">
        <v>6172.89</v>
      </c>
      <c r="Z60" s="37" t="n">
        <v>23656.53</v>
      </c>
      <c r="AA60" s="18" t="n">
        <v>6791.69</v>
      </c>
      <c r="AB60" s="19" t="n">
        <v>7570.73</v>
      </c>
      <c r="AC60" s="10" t="n"/>
      <c r="AD60" s="10" t="n"/>
      <c r="AE60" s="11" t="n"/>
      <c r="AF60" s="10" t="n"/>
      <c r="AG60" s="10" t="n"/>
      <c r="AH60" s="10" t="n"/>
      <c r="AI60" s="10" t="n"/>
      <c r="AJ60" s="11" t="n"/>
      <c r="AK60" s="10" t="n"/>
      <c r="AL60" s="10" t="n"/>
      <c r="AM60" s="10" t="n"/>
      <c r="AN60" s="10" t="n"/>
      <c r="AO60" s="11" t="n"/>
    </row>
    <row r="61">
      <c r="A61" t="n">
        <v>1</v>
      </c>
      <c r="C61" t="inlineStr">
        <is>
          <t>금융손익</t>
        </is>
      </c>
      <c r="E61" s="18" t="n">
        <v>1608.27</v>
      </c>
      <c r="F61" s="9" t="n"/>
      <c r="G61" s="18" t="n">
        <v>-471.72</v>
      </c>
      <c r="H61" s="18" t="n">
        <v>-333.21</v>
      </c>
      <c r="I61" s="18" t="n">
        <v>1827.63</v>
      </c>
      <c r="J61" s="18" t="n">
        <v>-2726.03</v>
      </c>
      <c r="K61" s="37" t="n">
        <v>-1703.33</v>
      </c>
      <c r="L61" s="18" t="n">
        <v>2681.57</v>
      </c>
      <c r="M61" s="18" t="n">
        <v>1034.98</v>
      </c>
      <c r="N61" s="18" t="n">
        <v>1602.02</v>
      </c>
      <c r="O61" s="18" t="n">
        <v>284.52</v>
      </c>
      <c r="P61" s="37" t="n">
        <v>5603.09</v>
      </c>
      <c r="Q61" s="18" t="n">
        <v>1920.41</v>
      </c>
      <c r="R61" s="18" t="n">
        <v>1748.71</v>
      </c>
      <c r="S61" s="18" t="n">
        <v>-258.61</v>
      </c>
      <c r="T61" s="18" t="n">
        <v>3877.3</v>
      </c>
      <c r="U61" s="37" t="n">
        <v>7287.81</v>
      </c>
      <c r="V61" s="18" t="n">
        <v>824.8</v>
      </c>
      <c r="W61" s="18" t="n">
        <v>-1656.39</v>
      </c>
      <c r="X61" s="18" t="n">
        <v>1860.88</v>
      </c>
      <c r="Y61" s="18" t="n">
        <v>-70.89</v>
      </c>
      <c r="Z61" s="37" t="n">
        <v>958.4</v>
      </c>
      <c r="AA61" s="18" t="n">
        <v>2679.99</v>
      </c>
      <c r="AB61" s="19" t="n">
        <v>1769.32</v>
      </c>
      <c r="AC61" s="10" t="n"/>
      <c r="AD61" s="10" t="n"/>
      <c r="AE61" s="11" t="n"/>
      <c r="AF61" s="10" t="n"/>
      <c r="AG61" s="10" t="n"/>
      <c r="AH61" s="10" t="n"/>
      <c r="AI61" s="10" t="n"/>
      <c r="AJ61" s="11" t="n"/>
      <c r="AK61" s="10" t="n"/>
      <c r="AL61" s="10" t="n"/>
      <c r="AM61" s="10" t="n"/>
      <c r="AN61" s="10" t="n"/>
      <c r="AO61" s="11" t="n"/>
    </row>
    <row r="62">
      <c r="A62" t="n">
        <v>1</v>
      </c>
      <c r="C62" t="inlineStr">
        <is>
          <t>기타영업외손익</t>
        </is>
      </c>
      <c r="E62" s="18" t="n">
        <v>159.37</v>
      </c>
      <c r="F62" s="9" t="n"/>
      <c r="G62" s="18" t="n">
        <v>315.67</v>
      </c>
      <c r="H62" s="18" t="n">
        <v>235.49</v>
      </c>
      <c r="I62" s="18" t="n">
        <v>317.14</v>
      </c>
      <c r="J62" s="18" t="n">
        <v>-48.43</v>
      </c>
      <c r="K62" s="37" t="n">
        <v>819.87</v>
      </c>
      <c r="L62" s="18" t="n">
        <v>353.96</v>
      </c>
      <c r="M62" s="18" t="n">
        <v>-194.32</v>
      </c>
      <c r="N62" s="18" t="n">
        <v>506.35</v>
      </c>
      <c r="O62" s="18" t="n">
        <v>-164.21</v>
      </c>
      <c r="P62" s="37" t="n">
        <v>501.78</v>
      </c>
      <c r="Q62" s="18" t="n">
        <v>333.59</v>
      </c>
      <c r="R62" s="18" t="n">
        <v>395.62</v>
      </c>
      <c r="S62" s="18" t="n">
        <v>376.57</v>
      </c>
      <c r="T62" s="18" t="n">
        <v>380</v>
      </c>
      <c r="U62" s="37" t="n">
        <v>1485.78</v>
      </c>
      <c r="V62" s="18" t="n">
        <v>585.01</v>
      </c>
      <c r="W62" s="18" t="n">
        <v>82.95</v>
      </c>
      <c r="X62" s="18" t="n">
        <v>823.28</v>
      </c>
      <c r="Y62" s="18" t="n">
        <v>1214.4</v>
      </c>
      <c r="Z62" s="37" t="n">
        <v>2705.64</v>
      </c>
      <c r="AA62" s="18" t="n">
        <v>418.4</v>
      </c>
      <c r="AB62" s="19" t="n">
        <v>422.55</v>
      </c>
      <c r="AC62" s="10" t="n"/>
      <c r="AD62" s="10" t="n"/>
      <c r="AE62" s="11" t="n"/>
      <c r="AF62" s="10" t="n"/>
      <c r="AG62" s="10" t="n"/>
      <c r="AH62" s="10" t="n"/>
      <c r="AI62" s="10" t="n"/>
      <c r="AJ62" s="11" t="n"/>
      <c r="AK62" s="10" t="n"/>
      <c r="AL62" s="10" t="n"/>
      <c r="AM62" s="10" t="n"/>
      <c r="AN62" s="10" t="n"/>
      <c r="AO62" s="11" t="n"/>
    </row>
    <row r="63">
      <c r="A63" t="n">
        <v>1</v>
      </c>
      <c r="C63" t="inlineStr">
        <is>
          <t>(지배주주지분)당기순이익</t>
        </is>
      </c>
      <c r="E63" s="18" t="n">
        <v>2531.67</v>
      </c>
      <c r="F63" s="9" t="n"/>
      <c r="G63" s="18" t="n">
        <v>-1709.62</v>
      </c>
      <c r="H63" s="18" t="n">
        <v>-1295.4</v>
      </c>
      <c r="I63" s="18" t="n">
        <v>1792.78</v>
      </c>
      <c r="J63" s="18" t="n">
        <v>-6635.22</v>
      </c>
      <c r="K63" s="37" t="n">
        <v>-7847.46</v>
      </c>
      <c r="L63" s="18" t="n">
        <v>1381.76</v>
      </c>
      <c r="M63" s="18" t="n">
        <v>1304.64</v>
      </c>
      <c r="N63" s="18" t="n">
        <v>2509.97</v>
      </c>
      <c r="O63" s="18" t="n">
        <v>2371.53</v>
      </c>
      <c r="P63" s="37" t="n">
        <v>7567.9</v>
      </c>
      <c r="Q63" s="18" t="n">
        <v>3611.62</v>
      </c>
      <c r="R63" s="18" t="n">
        <v>4190.59</v>
      </c>
      <c r="S63" s="18" t="n">
        <v>2200.05</v>
      </c>
      <c r="T63" s="18" t="n">
        <v>9371.01</v>
      </c>
      <c r="U63" s="37" t="n">
        <v>19373.27</v>
      </c>
      <c r="V63" s="18" t="n">
        <v>5065.54</v>
      </c>
      <c r="W63" s="18" t="n">
        <v>4690.45</v>
      </c>
      <c r="X63" s="18" t="n">
        <v>7727.65</v>
      </c>
      <c r="Y63" s="18" t="n">
        <v>6172.89</v>
      </c>
      <c r="Z63" s="37" t="n">
        <v>23656.53</v>
      </c>
      <c r="AA63" s="18" t="n">
        <v>6791.69</v>
      </c>
      <c r="AB63" s="19" t="n">
        <v>7570.73</v>
      </c>
      <c r="AC63" s="10" t="n"/>
      <c r="AD63" s="10" t="n"/>
      <c r="AE63" s="11" t="n"/>
      <c r="AF63" s="10" t="n"/>
      <c r="AG63" s="10" t="n"/>
      <c r="AH63" s="10" t="n"/>
      <c r="AI63" s="10" t="n"/>
      <c r="AJ63" s="11" t="n"/>
      <c r="AK63" s="10" t="n"/>
      <c r="AL63" s="10" t="n"/>
      <c r="AM63" s="10" t="n"/>
      <c r="AN63" s="10" t="n"/>
      <c r="AO63" s="11" t="n"/>
    </row>
    <row r="64">
      <c r="A64" t="n">
        <v>1</v>
      </c>
      <c r="C64" t="inlineStr">
        <is>
          <t>계속사업이익</t>
        </is>
      </c>
      <c r="E64" s="18" t="n">
        <v>2531.67</v>
      </c>
      <c r="F64" s="9" t="n"/>
      <c r="G64" s="18" t="n">
        <v>-1709.62</v>
      </c>
      <c r="H64" s="18" t="n">
        <v>-1295.4</v>
      </c>
      <c r="I64" s="18" t="n">
        <v>1792.78</v>
      </c>
      <c r="J64" s="18" t="n">
        <v>-6635.22</v>
      </c>
      <c r="K64" s="37" t="n">
        <v>-7847.46</v>
      </c>
      <c r="L64" s="18" t="n">
        <v>1381.76</v>
      </c>
      <c r="M64" s="18" t="n">
        <v>1304.64</v>
      </c>
      <c r="N64" s="18" t="n">
        <v>2509.97</v>
      </c>
      <c r="O64" s="18" t="n">
        <v>2371.53</v>
      </c>
      <c r="P64" s="37" t="n">
        <v>7567.9</v>
      </c>
      <c r="Q64" s="18" t="n">
        <v>3611.62</v>
      </c>
      <c r="R64" s="18" t="n">
        <v>4190.59</v>
      </c>
      <c r="S64" s="18" t="n">
        <v>2200.05</v>
      </c>
      <c r="T64" s="18" t="n">
        <v>9371.01</v>
      </c>
      <c r="U64" s="37" t="n">
        <v>19373.27</v>
      </c>
      <c r="V64" s="18" t="n">
        <v>5065.54</v>
      </c>
      <c r="W64" s="18" t="n">
        <v>4690.45</v>
      </c>
      <c r="X64" s="18" t="n">
        <v>7727.65</v>
      </c>
      <c r="Y64" s="18" t="n">
        <v>6172.89</v>
      </c>
      <c r="Z64" s="37" t="n">
        <v>23656.53</v>
      </c>
      <c r="AA64" s="18" t="n">
        <v>6791.69</v>
      </c>
      <c r="AB64" s="19" t="n">
        <v>7570.73</v>
      </c>
      <c r="AC64" s="10" t="n"/>
      <c r="AD64" s="10" t="n"/>
      <c r="AE64" s="11" t="n"/>
      <c r="AF64" s="10" t="n"/>
      <c r="AG64" s="10" t="n"/>
      <c r="AH64" s="10" t="n"/>
      <c r="AI64" s="10" t="n"/>
      <c r="AJ64" s="11" t="n"/>
      <c r="AK64" s="10" t="n"/>
      <c r="AL64" s="10" t="n"/>
      <c r="AM64" s="10" t="n"/>
      <c r="AN64" s="10" t="n"/>
      <c r="AO64" s="11" t="n"/>
    </row>
    <row r="65">
      <c r="A65" t="n">
        <v>1</v>
      </c>
      <c r="C65" t="inlineStr">
        <is>
          <t>영업활동으로인한현금흐름</t>
        </is>
      </c>
      <c r="E65" s="18" t="n">
        <v>1387.9</v>
      </c>
      <c r="F65" s="9" t="n"/>
      <c r="G65" s="18" t="n">
        <v>-4669.8</v>
      </c>
      <c r="H65" s="18" t="n">
        <v>-862.37</v>
      </c>
      <c r="I65" s="18" t="n">
        <v>4094.12</v>
      </c>
      <c r="J65" s="18" t="n">
        <v>-2014.44</v>
      </c>
      <c r="K65" s="37" t="n">
        <v>-3452.49</v>
      </c>
      <c r="L65" s="18" t="n">
        <v>-919.98</v>
      </c>
      <c r="M65" s="18" t="n">
        <v>8781.629999999999</v>
      </c>
      <c r="N65" s="18" t="n">
        <v>-3914.5</v>
      </c>
      <c r="O65" s="18" t="n">
        <v>15168.72</v>
      </c>
      <c r="P65" s="37" t="n">
        <v>19115.87</v>
      </c>
      <c r="Q65" s="18" t="n">
        <v>-5101.61</v>
      </c>
      <c r="R65" s="18" t="n">
        <v>2258.36</v>
      </c>
      <c r="S65" s="18" t="n">
        <v>891.86</v>
      </c>
      <c r="T65" s="18" t="n">
        <v>1507.6</v>
      </c>
      <c r="U65" s="37" t="n">
        <v>-443.79</v>
      </c>
      <c r="V65" s="18" t="n">
        <v>-1394.67</v>
      </c>
      <c r="W65" s="18" t="n">
        <v>3332.11</v>
      </c>
      <c r="X65" s="18" t="n">
        <v>2031.67</v>
      </c>
      <c r="Y65" s="18" t="n">
        <v>11161.14</v>
      </c>
      <c r="Z65" s="37" t="n">
        <v>15130.25</v>
      </c>
      <c r="AA65" s="18" t="n">
        <v>-910.92</v>
      </c>
      <c r="AB65" s="19" t="n">
        <v>15261.84</v>
      </c>
      <c r="AC65" s="10" t="n"/>
      <c r="AD65" s="10" t="n"/>
      <c r="AE65" s="11" t="n"/>
      <c r="AF65" s="10" t="n"/>
      <c r="AG65" s="10" t="n"/>
      <c r="AH65" s="10" t="n"/>
      <c r="AI65" s="10" t="n"/>
      <c r="AJ65" s="11" t="n"/>
      <c r="AK65" s="10" t="n"/>
      <c r="AL65" s="10" t="n"/>
      <c r="AM65" s="10" t="n"/>
      <c r="AN65" s="10" t="n"/>
      <c r="AO65" s="11" t="n"/>
    </row>
    <row r="66">
      <c r="A66" t="n">
        <v>1</v>
      </c>
      <c r="C66" t="inlineStr">
        <is>
          <t>감가상각비</t>
        </is>
      </c>
      <c r="E66" s="18" t="n">
        <v>702.0599999999999</v>
      </c>
      <c r="F66" s="9" t="n"/>
      <c r="G66" s="18" t="n">
        <v>719.28</v>
      </c>
      <c r="H66" s="18" t="n">
        <v>759.41</v>
      </c>
      <c r="I66" s="18" t="n">
        <v>780.8</v>
      </c>
      <c r="J66" s="18" t="n">
        <v>761.92</v>
      </c>
      <c r="K66" s="37" t="n">
        <v>3021.41</v>
      </c>
      <c r="L66" s="18" t="n">
        <v>883.64</v>
      </c>
      <c r="M66" s="18" t="n">
        <v>889.6799999999999</v>
      </c>
      <c r="P66" s="9" t="n"/>
      <c r="S66" s="18" t="n">
        <v>1162.49</v>
      </c>
      <c r="U66" s="9" t="n"/>
      <c r="V66" s="18" t="n">
        <v>1175.93</v>
      </c>
      <c r="W66" s="18" t="n">
        <v>1270.9</v>
      </c>
      <c r="X66" s="18" t="n">
        <v>1257.68</v>
      </c>
      <c r="Z66" s="9" t="n"/>
      <c r="AB66" s="5" t="n"/>
      <c r="AC66" s="10" t="n"/>
      <c r="AD66" s="10" t="n"/>
      <c r="AE66" s="11" t="n"/>
      <c r="AF66" s="10" t="n"/>
      <c r="AG66" s="10" t="n"/>
      <c r="AH66" s="10" t="n"/>
      <c r="AI66" s="10" t="n"/>
      <c r="AJ66" s="11" t="n"/>
      <c r="AK66" s="10" t="n"/>
      <c r="AL66" s="10" t="n"/>
      <c r="AM66" s="10" t="n"/>
      <c r="AN66" s="10" t="n"/>
      <c r="AO66" s="11" t="n"/>
    </row>
    <row r="67">
      <c r="A67" t="n">
        <v>1</v>
      </c>
      <c r="C67" t="inlineStr">
        <is>
          <t>무형자산상각비</t>
        </is>
      </c>
      <c r="E67" s="18" t="n">
        <v>270.58</v>
      </c>
      <c r="F67" s="9" t="n"/>
      <c r="G67" s="18" t="n">
        <v>64.31</v>
      </c>
      <c r="H67" s="18" t="n">
        <v>64.67</v>
      </c>
      <c r="I67" s="18" t="n">
        <v>70.65000000000001</v>
      </c>
      <c r="J67" s="18" t="n">
        <v>71.55</v>
      </c>
      <c r="K67" s="37" t="n">
        <v>271.18</v>
      </c>
      <c r="L67" s="18" t="n">
        <v>66.23999999999999</v>
      </c>
      <c r="M67" s="18" t="n">
        <v>69.37</v>
      </c>
      <c r="P67" s="9" t="n"/>
      <c r="S67" s="18" t="n">
        <v>24.42</v>
      </c>
      <c r="U67" s="9" t="n"/>
      <c r="V67" s="18" t="n">
        <v>13.07</v>
      </c>
      <c r="W67" s="18" t="n">
        <v>16.77</v>
      </c>
      <c r="X67" s="18" t="n">
        <v>16.03</v>
      </c>
      <c r="Z67" s="9" t="n"/>
      <c r="AB67" s="5" t="n"/>
      <c r="AC67" s="10" t="n"/>
      <c r="AD67" s="10" t="n"/>
      <c r="AE67" s="11" t="n"/>
      <c r="AF67" s="10" t="n"/>
      <c r="AG67" s="10" t="n"/>
      <c r="AH67" s="10" t="n"/>
      <c r="AI67" s="10" t="n"/>
      <c r="AJ67" s="11" t="n"/>
      <c r="AK67" s="10" t="n"/>
      <c r="AL67" s="10" t="n"/>
      <c r="AM67" s="10" t="n"/>
      <c r="AN67" s="10" t="n"/>
      <c r="AO67" s="11" t="n"/>
    </row>
    <row r="68">
      <c r="A68" t="n">
        <v>1</v>
      </c>
      <c r="C68" t="inlineStr">
        <is>
          <t>법인세납부(CF)</t>
        </is>
      </c>
      <c r="E68" s="18" t="n">
        <v>381.35</v>
      </c>
      <c r="F68" s="9" t="n"/>
      <c r="G68" s="18" t="n">
        <v>-50.74</v>
      </c>
      <c r="H68" s="18" t="n">
        <v>898.48</v>
      </c>
      <c r="I68" s="18" t="n">
        <v>-0.01</v>
      </c>
      <c r="J68" s="18" t="n">
        <v>183</v>
      </c>
      <c r="K68" s="37" t="n">
        <v>1030.73</v>
      </c>
      <c r="L68" s="18" t="n">
        <v>-156.72</v>
      </c>
      <c r="M68" s="18" t="n">
        <v>156.72</v>
      </c>
      <c r="N68" s="18" t="n">
        <v>-111.36</v>
      </c>
      <c r="O68" s="18" t="n">
        <v>-116.85</v>
      </c>
      <c r="P68" s="37" t="n">
        <v>-228.21</v>
      </c>
      <c r="Q68" s="18" t="n">
        <v>-137.53</v>
      </c>
      <c r="R68" s="18" t="n">
        <v>-154.47</v>
      </c>
      <c r="S68" s="18" t="n">
        <v>-112.99</v>
      </c>
      <c r="T68" s="18" t="n">
        <v>-122.21</v>
      </c>
      <c r="U68" s="37" t="n">
        <v>-527.2</v>
      </c>
      <c r="V68" s="18" t="n">
        <v>-1448.25</v>
      </c>
      <c r="W68" s="18" t="n">
        <v>-1699.9</v>
      </c>
      <c r="X68" s="18" t="n">
        <v>-856.21</v>
      </c>
      <c r="Y68" s="18" t="n">
        <v>-690.36</v>
      </c>
      <c r="Z68" s="37" t="n">
        <v>-4694.72</v>
      </c>
      <c r="AA68" s="18" t="n">
        <v>-2569.21</v>
      </c>
      <c r="AB68" s="19" t="n">
        <v>-3196.67</v>
      </c>
      <c r="AC68" s="10" t="n"/>
      <c r="AD68" s="10" t="n"/>
      <c r="AE68" s="11" t="n"/>
      <c r="AF68" s="10" t="n"/>
      <c r="AG68" s="10" t="n"/>
      <c r="AH68" s="10" t="n"/>
      <c r="AI68" s="10" t="n"/>
      <c r="AJ68" s="11" t="n"/>
      <c r="AK68" s="10" t="n"/>
      <c r="AL68" s="10" t="n"/>
      <c r="AM68" s="10" t="n"/>
      <c r="AN68" s="10" t="n"/>
      <c r="AO68" s="11" t="n"/>
    </row>
    <row r="69">
      <c r="A69" t="n">
        <v>1</v>
      </c>
      <c r="C69" t="inlineStr">
        <is>
          <t>배당금수취(CF)</t>
        </is>
      </c>
      <c r="E69" s="18" t="n">
        <v>24.13</v>
      </c>
      <c r="F69" s="9" t="n"/>
      <c r="G69" s="18" t="n">
        <v>0</v>
      </c>
      <c r="H69" s="18" t="n">
        <v>0.16</v>
      </c>
      <c r="I69" s="18" t="n">
        <v>0</v>
      </c>
      <c r="J69" s="18" t="n">
        <v>0</v>
      </c>
      <c r="K69" s="37" t="n">
        <v>0.16</v>
      </c>
      <c r="N69" s="18" t="n">
        <v>0</v>
      </c>
      <c r="O69" s="18" t="n">
        <v>0</v>
      </c>
      <c r="P69" s="9" t="n"/>
      <c r="U69" s="9" t="n"/>
      <c r="V69" s="18" t="n">
        <v>0</v>
      </c>
      <c r="Z69" s="9" t="n"/>
      <c r="AB69" s="5" t="n"/>
      <c r="AC69" s="10" t="n"/>
      <c r="AD69" s="10" t="n"/>
      <c r="AE69" s="11" t="n"/>
      <c r="AF69" s="10" t="n"/>
      <c r="AG69" s="10" t="n"/>
      <c r="AH69" s="10" t="n"/>
      <c r="AI69" s="10" t="n"/>
      <c r="AJ69" s="11" t="n"/>
      <c r="AK69" s="10" t="n"/>
      <c r="AL69" s="10" t="n"/>
      <c r="AM69" s="10" t="n"/>
      <c r="AN69" s="10" t="n"/>
      <c r="AO69" s="11" t="n"/>
    </row>
    <row r="70">
      <c r="A70" t="n">
        <v>1</v>
      </c>
      <c r="C70" t="inlineStr">
        <is>
          <t>투자활동으로인한현금흐름</t>
        </is>
      </c>
      <c r="E70" s="18" t="n">
        <v>-8081.13</v>
      </c>
      <c r="F70" s="9" t="n"/>
      <c r="G70" s="18" t="n">
        <v>-9437.99</v>
      </c>
      <c r="H70" s="18" t="n">
        <v>-1402.02</v>
      </c>
      <c r="I70" s="18" t="n">
        <v>-1699.58</v>
      </c>
      <c r="J70" s="18" t="n">
        <v>-587.98</v>
      </c>
      <c r="K70" s="37" t="n">
        <v>-13127.57</v>
      </c>
      <c r="L70" s="18" t="n">
        <v>-966.59</v>
      </c>
      <c r="M70" s="18" t="n">
        <v>-4909.28</v>
      </c>
      <c r="N70" s="18" t="n">
        <v>-5193.6</v>
      </c>
      <c r="O70" s="18" t="n">
        <v>-3502.21</v>
      </c>
      <c r="P70" s="37" t="n">
        <v>-14571.68</v>
      </c>
      <c r="Q70" s="18" t="n">
        <v>-582.97</v>
      </c>
      <c r="R70" s="18" t="n">
        <v>-2671.29</v>
      </c>
      <c r="S70" s="18" t="n">
        <v>-768.0599999999999</v>
      </c>
      <c r="T70" s="18" t="n">
        <v>-3486.67</v>
      </c>
      <c r="U70" s="37" t="n">
        <v>-7508.99</v>
      </c>
      <c r="V70" s="18" t="n">
        <v>131.94</v>
      </c>
      <c r="W70" s="18" t="n">
        <v>-3784.5</v>
      </c>
      <c r="X70" s="18" t="n">
        <v>-923.99</v>
      </c>
      <c r="Y70" s="18" t="n">
        <v>-951.15</v>
      </c>
      <c r="Z70" s="37" t="n">
        <v>-5527.7</v>
      </c>
      <c r="AA70" s="18" t="n">
        <v>-1423.68</v>
      </c>
      <c r="AB70" s="19" t="n">
        <v>-17806.4</v>
      </c>
      <c r="AC70" s="10" t="n"/>
      <c r="AD70" s="10" t="n"/>
      <c r="AE70" s="11" t="n"/>
      <c r="AF70" s="10" t="n"/>
      <c r="AG70" s="10" t="n"/>
      <c r="AH70" s="10" t="n"/>
      <c r="AI70" s="10" t="n"/>
      <c r="AJ70" s="11" t="n"/>
      <c r="AK70" s="10" t="n"/>
      <c r="AL70" s="10" t="n"/>
      <c r="AM70" s="10" t="n"/>
      <c r="AN70" s="10" t="n"/>
      <c r="AO70" s="11" t="n"/>
    </row>
    <row r="71">
      <c r="A71" t="n">
        <v>1</v>
      </c>
      <c r="C71" t="inlineStr">
        <is>
          <t>유형자산의증가</t>
        </is>
      </c>
      <c r="E71" s="18" t="n">
        <v>4035.21</v>
      </c>
      <c r="F71" s="9" t="n"/>
      <c r="G71" s="18" t="n">
        <v>4224.3</v>
      </c>
      <c r="H71" s="18" t="n">
        <v>1707.59</v>
      </c>
      <c r="I71" s="18" t="n">
        <v>800.99</v>
      </c>
      <c r="J71" s="18" t="n">
        <v>518.54</v>
      </c>
      <c r="K71" s="37" t="n">
        <v>7251.42</v>
      </c>
      <c r="L71" s="18" t="n">
        <v>446.75</v>
      </c>
      <c r="M71" s="18" t="n">
        <v>4549.18</v>
      </c>
      <c r="N71" s="18" t="n">
        <v>2960.01</v>
      </c>
      <c r="O71" s="18" t="n">
        <v>2181.6</v>
      </c>
      <c r="P71" s="37" t="n">
        <v>10137.54</v>
      </c>
      <c r="Q71" s="18" t="n">
        <v>291.7</v>
      </c>
      <c r="R71" s="18" t="n">
        <v>2125.83</v>
      </c>
      <c r="S71" s="18" t="n">
        <v>570.86</v>
      </c>
      <c r="T71" s="18" t="n">
        <v>1861.78</v>
      </c>
      <c r="U71" s="37" t="n">
        <v>4850.17</v>
      </c>
      <c r="V71" s="18" t="n">
        <v>1842.22</v>
      </c>
      <c r="W71" s="18" t="n">
        <v>3177.88</v>
      </c>
      <c r="X71" s="18" t="n">
        <v>987.6799999999999</v>
      </c>
      <c r="Y71" s="18" t="n">
        <v>744.74</v>
      </c>
      <c r="Z71" s="37" t="n">
        <v>6752.52</v>
      </c>
      <c r="AA71" s="18" t="n">
        <v>1042.53</v>
      </c>
      <c r="AB71" s="19" t="n">
        <v>6887.49</v>
      </c>
      <c r="AC71" s="10" t="n"/>
      <c r="AD71" s="10" t="n"/>
      <c r="AE71" s="11" t="n"/>
      <c r="AF71" s="10" t="n"/>
      <c r="AG71" s="10" t="n"/>
      <c r="AH71" s="10" t="n"/>
      <c r="AI71" s="10" t="n"/>
      <c r="AJ71" s="11" t="n"/>
      <c r="AK71" s="10" t="n"/>
      <c r="AL71" s="10" t="n"/>
      <c r="AM71" s="10" t="n"/>
      <c r="AN71" s="10" t="n"/>
      <c r="AO71" s="11" t="n"/>
    </row>
    <row r="72">
      <c r="A72" t="n">
        <v>1</v>
      </c>
      <c r="C72" t="inlineStr">
        <is>
          <t>CAPEX</t>
        </is>
      </c>
      <c r="E72" s="18" t="n">
        <v>4035.21</v>
      </c>
      <c r="F72" s="9" t="n"/>
      <c r="G72" s="18" t="n">
        <v>4224.3</v>
      </c>
      <c r="H72" s="18" t="n">
        <v>1707.59</v>
      </c>
      <c r="I72" s="18" t="n">
        <v>800.99</v>
      </c>
      <c r="J72" s="18" t="n">
        <v>518.54</v>
      </c>
      <c r="K72" s="37" t="n">
        <v>7251.42</v>
      </c>
      <c r="L72" s="18" t="n">
        <v>446.75</v>
      </c>
      <c r="M72" s="18" t="n">
        <v>4549.18</v>
      </c>
      <c r="N72" s="18" t="n">
        <v>2960.01</v>
      </c>
      <c r="O72" s="18" t="n">
        <v>2181.6</v>
      </c>
      <c r="P72" s="37" t="n">
        <v>10137.54</v>
      </c>
      <c r="Q72" s="18" t="n">
        <v>291.7</v>
      </c>
      <c r="R72" s="18" t="n">
        <v>2125.83</v>
      </c>
      <c r="S72" s="18" t="n">
        <v>570.86</v>
      </c>
      <c r="T72" s="18" t="n">
        <v>1861.78</v>
      </c>
      <c r="U72" s="37" t="n">
        <v>4850.17</v>
      </c>
      <c r="V72" s="18" t="n">
        <v>1842.22</v>
      </c>
      <c r="W72" s="18" t="n">
        <v>3651.69</v>
      </c>
      <c r="X72" s="18" t="n">
        <v>575.39</v>
      </c>
      <c r="Y72" s="18" t="n">
        <v>683.22</v>
      </c>
      <c r="Z72" s="37" t="n">
        <v>6752.52</v>
      </c>
      <c r="AA72" s="18" t="n">
        <v>1042.53</v>
      </c>
      <c r="AB72" s="19" t="n">
        <v>6887.49</v>
      </c>
      <c r="AC72" s="10" t="n"/>
      <c r="AD72" s="10" t="n"/>
      <c r="AE72" s="11" t="n"/>
      <c r="AF72" s="10" t="n"/>
      <c r="AG72" s="10" t="n"/>
      <c r="AH72" s="10" t="n"/>
      <c r="AI72" s="10" t="n"/>
      <c r="AJ72" s="11" t="n"/>
      <c r="AK72" s="10" t="n"/>
      <c r="AL72" s="10" t="n"/>
      <c r="AM72" s="10" t="n"/>
      <c r="AN72" s="10" t="n"/>
      <c r="AO72" s="11" t="n"/>
    </row>
    <row r="73">
      <c r="A73" t="n">
        <v>1</v>
      </c>
      <c r="C73" t="inlineStr">
        <is>
          <t>재무활동으로인한현금흐름</t>
        </is>
      </c>
      <c r="E73" s="18" t="n">
        <v>298.62</v>
      </c>
      <c r="F73" s="9" t="n"/>
      <c r="G73" s="18" t="n">
        <v>-53.22</v>
      </c>
      <c r="H73" s="18" t="n">
        <v>1885.67</v>
      </c>
      <c r="I73" s="18" t="n">
        <v>54.81</v>
      </c>
      <c r="J73" s="18" t="n">
        <v>5.59</v>
      </c>
      <c r="K73" s="37" t="n">
        <v>1892.85</v>
      </c>
      <c r="L73" s="18" t="n">
        <v>-48</v>
      </c>
      <c r="M73" s="18" t="n">
        <v>1640.9</v>
      </c>
      <c r="N73" s="18" t="n">
        <v>1436.23</v>
      </c>
      <c r="O73" s="18" t="n">
        <v>713.26</v>
      </c>
      <c r="P73" s="37" t="n">
        <v>3742.39</v>
      </c>
      <c r="Q73" s="18" t="n">
        <v>-30</v>
      </c>
      <c r="R73" s="18" t="n">
        <v>4802.5</v>
      </c>
      <c r="S73" s="18" t="n">
        <v>543.61</v>
      </c>
      <c r="T73" s="18" t="n">
        <v>2030.57</v>
      </c>
      <c r="U73" s="37" t="n">
        <v>7346.68</v>
      </c>
      <c r="V73" s="18" t="n">
        <v>2585.53</v>
      </c>
      <c r="W73" s="18" t="n">
        <v>-3617.85</v>
      </c>
      <c r="X73" s="18" t="n">
        <v>6026.9</v>
      </c>
      <c r="Y73" s="18" t="n">
        <v>-5787.86</v>
      </c>
      <c r="Z73" s="37" t="n">
        <v>-793.28</v>
      </c>
      <c r="AA73" s="18" t="n">
        <v>1707.11</v>
      </c>
      <c r="AB73" s="19" t="n">
        <v>-3584.45</v>
      </c>
      <c r="AC73" s="10" t="n"/>
      <c r="AD73" s="10" t="n"/>
      <c r="AE73" s="11" t="n"/>
      <c r="AF73" s="10" t="n"/>
      <c r="AG73" s="10" t="n"/>
      <c r="AH73" s="10" t="n"/>
      <c r="AI73" s="10" t="n"/>
      <c r="AJ73" s="11" t="n"/>
      <c r="AK73" s="10" t="n"/>
      <c r="AL73" s="10" t="n"/>
      <c r="AM73" s="10" t="n"/>
      <c r="AN73" s="10" t="n"/>
      <c r="AO73" s="11" t="n"/>
    </row>
    <row r="74">
      <c r="A74" t="n">
        <v>1</v>
      </c>
      <c r="C74" t="inlineStr">
        <is>
          <t>이자지급(CF)</t>
        </is>
      </c>
      <c r="E74" s="18" t="n">
        <v>-4.79</v>
      </c>
      <c r="F74" s="9" t="n"/>
      <c r="G74" s="18" t="n">
        <v>-4.49</v>
      </c>
      <c r="H74" s="18" t="n">
        <v>-4.2</v>
      </c>
      <c r="I74" s="18" t="n">
        <v>-3.88</v>
      </c>
      <c r="J74" s="18" t="n">
        <v>-3.59</v>
      </c>
      <c r="K74" s="37" t="n">
        <v>-16.16</v>
      </c>
      <c r="L74" s="18" t="n">
        <v>-3.28</v>
      </c>
      <c r="M74" s="18" t="n">
        <v>-2.99</v>
      </c>
      <c r="N74" s="18" t="n">
        <v>-2.7</v>
      </c>
      <c r="O74" s="18" t="n">
        <v>-2.41</v>
      </c>
      <c r="P74" s="37" t="n">
        <v>-11.38</v>
      </c>
      <c r="Q74" s="18" t="n">
        <v>-2.11</v>
      </c>
      <c r="R74" s="18" t="n">
        <v>-1.82</v>
      </c>
      <c r="S74" s="18" t="n">
        <v>-1.52</v>
      </c>
      <c r="T74" s="18" t="n">
        <v>-3.41</v>
      </c>
      <c r="U74" s="37" t="n">
        <v>-8.859999999999999</v>
      </c>
      <c r="V74" s="18" t="n">
        <v>-1.44</v>
      </c>
      <c r="W74" s="18" t="n">
        <v>1.44</v>
      </c>
      <c r="X74" s="18" t="n">
        <v>0</v>
      </c>
      <c r="Y74" s="18" t="n">
        <v>0</v>
      </c>
      <c r="Z74" s="37" t="n">
        <v>0</v>
      </c>
      <c r="AA74" s="18" t="n">
        <v>0</v>
      </c>
      <c r="AB74" s="5" t="n"/>
      <c r="AC74" s="10" t="n"/>
      <c r="AD74" s="10" t="n"/>
      <c r="AE74" s="11" t="n"/>
      <c r="AF74" s="10" t="n"/>
      <c r="AG74" s="10" t="n"/>
      <c r="AH74" s="10" t="n"/>
      <c r="AI74" s="10" t="n"/>
      <c r="AJ74" s="11" t="n"/>
      <c r="AK74" s="10" t="n"/>
      <c r="AL74" s="10" t="n"/>
      <c r="AM74" s="10" t="n"/>
      <c r="AN74" s="10" t="n"/>
      <c r="AO74" s="11" t="n"/>
    </row>
    <row r="75">
      <c r="A75" t="n">
        <v>1</v>
      </c>
      <c r="C75" t="inlineStr">
        <is>
          <t>자기주식의취득</t>
        </is>
      </c>
      <c r="E75" s="18" t="n">
        <v>0</v>
      </c>
      <c r="F75" s="9" t="n"/>
      <c r="K75" s="9" t="n"/>
      <c r="P75" s="9" t="n"/>
      <c r="U75" s="9" t="n"/>
      <c r="Z75" s="9" t="n"/>
      <c r="AB75" s="5" t="n"/>
      <c r="AC75" s="10" t="n"/>
      <c r="AD75" s="10" t="n"/>
      <c r="AE75" s="11" t="n"/>
      <c r="AF75" s="10" t="n"/>
      <c r="AG75" s="10" t="n"/>
      <c r="AH75" s="10" t="n"/>
      <c r="AI75" s="10" t="n"/>
      <c r="AJ75" s="11" t="n"/>
      <c r="AK75" s="10" t="n"/>
      <c r="AL75" s="10" t="n"/>
      <c r="AM75" s="10" t="n"/>
      <c r="AN75" s="10" t="n"/>
      <c r="AO75" s="11" t="n"/>
    </row>
    <row r="76">
      <c r="A76" t="n">
        <v>1</v>
      </c>
      <c r="C76" t="inlineStr">
        <is>
          <t>리스부채의상환</t>
        </is>
      </c>
      <c r="E76" s="18" t="n">
        <v>48.98</v>
      </c>
      <c r="F76" s="9" t="n"/>
      <c r="G76" s="18" t="n">
        <v>48.72</v>
      </c>
      <c r="H76" s="18" t="n">
        <v>49</v>
      </c>
      <c r="I76" s="18" t="n">
        <v>49.3</v>
      </c>
      <c r="J76" s="18" t="n">
        <v>50.22</v>
      </c>
      <c r="K76" s="37" t="n">
        <v>197.24</v>
      </c>
      <c r="L76" s="18" t="n">
        <v>44.72</v>
      </c>
      <c r="M76" s="18" t="n">
        <v>45.01</v>
      </c>
      <c r="N76" s="18" t="n">
        <v>45.3</v>
      </c>
      <c r="O76" s="18" t="n">
        <v>45.59</v>
      </c>
      <c r="P76" s="37" t="n">
        <v>180.62</v>
      </c>
      <c r="Q76" s="18" t="n">
        <v>45.89</v>
      </c>
      <c r="R76" s="18" t="n">
        <v>46.18</v>
      </c>
      <c r="S76" s="18" t="n">
        <v>46.48</v>
      </c>
      <c r="T76" s="18" t="n">
        <v>71.84999999999999</v>
      </c>
      <c r="U76" s="37" t="n">
        <v>210.4</v>
      </c>
      <c r="V76" s="18" t="n">
        <v>56.02</v>
      </c>
      <c r="W76" s="18" t="n">
        <v>58.89</v>
      </c>
      <c r="X76" s="18" t="n">
        <v>58.71</v>
      </c>
      <c r="Y76" s="18" t="n">
        <v>87.20999999999999</v>
      </c>
      <c r="Z76" s="37" t="n">
        <v>260.83</v>
      </c>
      <c r="AA76" s="18" t="n">
        <v>62.89</v>
      </c>
      <c r="AB76" s="19" t="n">
        <v>75.13</v>
      </c>
      <c r="AC76" s="10" t="n"/>
      <c r="AD76" s="10" t="n"/>
      <c r="AE76" s="11" t="n"/>
      <c r="AF76" s="10" t="n"/>
      <c r="AG76" s="10" t="n"/>
      <c r="AH76" s="10" t="n"/>
      <c r="AI76" s="10" t="n"/>
      <c r="AJ76" s="11" t="n"/>
      <c r="AK76" s="10" t="n"/>
      <c r="AL76" s="10" t="n"/>
      <c r="AM76" s="10" t="n"/>
      <c r="AN76" s="10" t="n"/>
      <c r="AO76" s="11" t="n"/>
    </row>
    <row r="77">
      <c r="A77" t="n">
        <v>1</v>
      </c>
      <c r="C77" t="inlineStr">
        <is>
          <t>배당금지급</t>
        </is>
      </c>
      <c r="E77" s="18" t="n">
        <v>0</v>
      </c>
      <c r="F77" s="9" t="n"/>
      <c r="I77" s="18" t="n">
        <v>0</v>
      </c>
      <c r="J77" s="18" t="n">
        <v>0</v>
      </c>
      <c r="K77" s="9" t="n"/>
      <c r="N77" s="18" t="n">
        <v>0</v>
      </c>
      <c r="O77" s="18" t="n">
        <v>0</v>
      </c>
      <c r="P77" s="9" t="n"/>
      <c r="U77" s="9" t="n"/>
      <c r="X77" s="18" t="n">
        <v>0</v>
      </c>
      <c r="Y77" s="18" t="n">
        <v>0</v>
      </c>
      <c r="Z77" s="9" t="n"/>
      <c r="AB77" s="5" t="n"/>
      <c r="AC77" s="10" t="n"/>
      <c r="AD77" s="10" t="n"/>
      <c r="AE77" s="11" t="n"/>
      <c r="AF77" s="10" t="n"/>
      <c r="AG77" s="10" t="n"/>
      <c r="AH77" s="10" t="n"/>
      <c r="AI77" s="10" t="n"/>
      <c r="AJ77" s="11" t="n"/>
      <c r="AK77" s="10" t="n"/>
      <c r="AL77" s="10" t="n"/>
      <c r="AM77" s="10" t="n"/>
      <c r="AN77" s="10" t="n"/>
      <c r="AO77" s="11" t="n"/>
    </row>
    <row r="78">
      <c r="A78" t="n">
        <v>1</v>
      </c>
      <c r="C78" t="inlineStr">
        <is>
          <t>현금및현금성자산의증감</t>
        </is>
      </c>
      <c r="E78" s="18" t="n">
        <v>-6469.32</v>
      </c>
      <c r="F78" s="9" t="n"/>
      <c r="G78" s="18" t="n">
        <v>-14191.84</v>
      </c>
      <c r="H78" s="18" t="n">
        <v>-394.25</v>
      </c>
      <c r="I78" s="18" t="n">
        <v>3156.78</v>
      </c>
      <c r="J78" s="18" t="n">
        <v>-3518.54</v>
      </c>
      <c r="K78" s="37" t="n">
        <v>-14947.85</v>
      </c>
      <c r="L78" s="18" t="n">
        <v>-1624.17</v>
      </c>
      <c r="M78" s="18" t="n">
        <v>5416.55</v>
      </c>
      <c r="N78" s="18" t="n">
        <v>-7530.25</v>
      </c>
      <c r="O78" s="18" t="n">
        <v>12062.84</v>
      </c>
      <c r="P78" s="37" t="n">
        <v>8324.969999999999</v>
      </c>
      <c r="Q78" s="18" t="n">
        <v>-5405.93</v>
      </c>
      <c r="R78" s="18" t="n">
        <v>4639.8</v>
      </c>
      <c r="S78" s="18" t="n">
        <v>103.72</v>
      </c>
      <c r="T78" s="18" t="n">
        <v>1471.45</v>
      </c>
      <c r="U78" s="37" t="n">
        <v>809.04</v>
      </c>
      <c r="V78" s="18" t="n">
        <v>1387.11</v>
      </c>
      <c r="W78" s="18" t="n">
        <v>-5024.54</v>
      </c>
      <c r="X78" s="18" t="n">
        <v>7535.73</v>
      </c>
      <c r="Y78" s="18" t="n">
        <v>4596.05</v>
      </c>
      <c r="Z78" s="37" t="n">
        <v>8494.35</v>
      </c>
      <c r="AA78" s="18" t="n">
        <v>431.3</v>
      </c>
      <c r="AB78" s="19" t="n">
        <v>-6479.27</v>
      </c>
      <c r="AC78" s="10" t="n"/>
      <c r="AD78" s="10" t="n"/>
      <c r="AE78" s="11" t="n"/>
      <c r="AF78" s="10" t="n"/>
      <c r="AG78" s="10" t="n"/>
      <c r="AH78" s="10" t="n"/>
      <c r="AI78" s="10" t="n"/>
      <c r="AJ78" s="11" t="n"/>
      <c r="AK78" s="10" t="n"/>
      <c r="AL78" s="10" t="n"/>
      <c r="AM78" s="10" t="n"/>
      <c r="AN78" s="10" t="n"/>
      <c r="AO78" s="11" t="n"/>
    </row>
    <row r="79">
      <c r="A79" t="n">
        <v>1</v>
      </c>
      <c r="C79" t="inlineStr">
        <is>
          <t>기말현금및현금성자산</t>
        </is>
      </c>
      <c r="E79" s="18" t="n">
        <v>-6469.32</v>
      </c>
      <c r="F79" s="9" t="n"/>
      <c r="G79" s="18" t="n">
        <v>22415.6</v>
      </c>
      <c r="H79" s="18" t="n">
        <v>-394.25</v>
      </c>
      <c r="I79" s="18" t="n">
        <v>3156.78</v>
      </c>
      <c r="J79" s="18" t="n">
        <v>-3518.55</v>
      </c>
      <c r="K79" s="37" t="n">
        <v>21659.58</v>
      </c>
      <c r="L79" s="18" t="n">
        <v>20035.41</v>
      </c>
      <c r="M79" s="18" t="n">
        <v>5416.55</v>
      </c>
      <c r="N79" s="18" t="n">
        <v>-7530.25</v>
      </c>
      <c r="O79" s="18" t="n">
        <v>12062.84</v>
      </c>
      <c r="P79" s="37" t="n">
        <v>29984.55</v>
      </c>
      <c r="Q79" s="18" t="n">
        <v>24578.62</v>
      </c>
      <c r="R79" s="18" t="n">
        <v>4639.8</v>
      </c>
      <c r="S79" s="18" t="n">
        <v>103.73</v>
      </c>
      <c r="T79" s="18" t="n">
        <v>1471.44</v>
      </c>
      <c r="U79" s="37" t="n">
        <v>30793.59</v>
      </c>
      <c r="V79" s="18" t="n">
        <v>32180.7</v>
      </c>
      <c r="W79" s="18" t="n">
        <v>-5024.54</v>
      </c>
      <c r="X79" s="18" t="n">
        <v>7535.73</v>
      </c>
      <c r="Y79" s="18" t="n">
        <v>4596.05</v>
      </c>
      <c r="Z79" s="37" t="n">
        <v>39287.94</v>
      </c>
      <c r="AA79" s="18" t="n">
        <v>39719.24</v>
      </c>
      <c r="AB79" s="19" t="n">
        <v>-6479.27</v>
      </c>
      <c r="AC79" s="10" t="n"/>
      <c r="AD79" s="10" t="n"/>
      <c r="AE79" s="11" t="n"/>
      <c r="AF79" s="10" t="n"/>
      <c r="AG79" s="10" t="n"/>
      <c r="AH79" s="10" t="n"/>
      <c r="AI79" s="10" t="n"/>
      <c r="AJ79" s="11" t="n"/>
      <c r="AK79" s="10" t="n"/>
      <c r="AL79" s="10" t="n"/>
      <c r="AM79" s="10" t="n"/>
      <c r="AN79" s="10" t="n"/>
      <c r="AO79" s="11" t="n"/>
    </row>
    <row r="80">
      <c r="A80" t="n">
        <v>1</v>
      </c>
      <c r="C80" t="inlineStr">
        <is>
          <t>유형자산의감소</t>
        </is>
      </c>
      <c r="F80" s="9" t="n"/>
      <c r="G80" s="18" t="n">
        <v>0</v>
      </c>
      <c r="H80" s="18" t="n">
        <v>0</v>
      </c>
      <c r="I80" s="18" t="n">
        <v>0</v>
      </c>
      <c r="J80" s="18" t="n">
        <v>0</v>
      </c>
      <c r="K80" s="37" t="n">
        <v>0</v>
      </c>
      <c r="N80" s="18" t="n">
        <v>100.2</v>
      </c>
      <c r="O80" s="18" t="n">
        <v>5.46</v>
      </c>
      <c r="P80" s="9" t="n"/>
      <c r="Q80" s="18" t="n">
        <v>1</v>
      </c>
      <c r="R80" s="18" t="n">
        <v>15.37</v>
      </c>
      <c r="S80" s="18" t="n">
        <v>3.15</v>
      </c>
      <c r="T80" s="18" t="n">
        <v>0</v>
      </c>
      <c r="U80" s="37" t="n">
        <v>19.52</v>
      </c>
      <c r="V80" s="18" t="n">
        <v>2.73</v>
      </c>
      <c r="W80" s="18" t="n">
        <v>5.28</v>
      </c>
      <c r="X80" s="18" t="n">
        <v>0</v>
      </c>
      <c r="Y80" s="18" t="n">
        <v>0</v>
      </c>
      <c r="Z80" s="37" t="n">
        <v>8.01</v>
      </c>
      <c r="AA80" s="18" t="n">
        <v>0</v>
      </c>
      <c r="AB80" s="19" t="n">
        <v>0</v>
      </c>
      <c r="AC80" s="10" t="n"/>
      <c r="AD80" s="10" t="n"/>
      <c r="AE80" s="11" t="n"/>
      <c r="AF80" s="10" t="n"/>
      <c r="AG80" s="10" t="n"/>
      <c r="AH80" s="10" t="n"/>
      <c r="AI80" s="10" t="n"/>
      <c r="AJ80" s="11" t="n"/>
      <c r="AK80" s="10" t="n"/>
      <c r="AL80" s="10" t="n"/>
      <c r="AM80" s="10" t="n"/>
      <c r="AN80" s="10" t="n"/>
      <c r="AO80" s="11" t="n"/>
    </row>
    <row r="81">
      <c r="A81" t="n">
        <v>1</v>
      </c>
      <c r="C81" t="inlineStr">
        <is>
          <t>이자수취(CF)</t>
        </is>
      </c>
      <c r="F81" s="9" t="n"/>
      <c r="K81" s="9" t="n"/>
      <c r="O81" s="18" t="n">
        <v>731.33</v>
      </c>
      <c r="P81" s="9" t="n"/>
      <c r="Q81" s="18" t="n">
        <v>998.67</v>
      </c>
      <c r="R81" s="18" t="n">
        <v>758.04</v>
      </c>
      <c r="S81" s="18" t="n">
        <v>729.97</v>
      </c>
      <c r="T81" s="18" t="n">
        <v>802.48</v>
      </c>
      <c r="U81" s="37" t="n">
        <v>3289.16</v>
      </c>
      <c r="V81" s="18" t="n">
        <v>448.94</v>
      </c>
      <c r="W81" s="18" t="n">
        <v>865.54</v>
      </c>
      <c r="X81" s="18" t="n">
        <v>729.62</v>
      </c>
      <c r="Y81" s="18" t="n">
        <v>595.54</v>
      </c>
      <c r="Z81" s="37" t="n">
        <v>2639.64</v>
      </c>
      <c r="AA81" s="18" t="n">
        <v>599.4400000000001</v>
      </c>
      <c r="AB81" s="19" t="n">
        <v>839.76</v>
      </c>
      <c r="AC81" s="10" t="n"/>
      <c r="AD81" s="10" t="n"/>
      <c r="AE81" s="11" t="n"/>
      <c r="AF81" s="10" t="n"/>
      <c r="AG81" s="10" t="n"/>
      <c r="AH81" s="10" t="n"/>
      <c r="AI81" s="10" t="n"/>
      <c r="AJ81" s="11" t="n"/>
      <c r="AK81" s="10" t="n"/>
      <c r="AL81" s="10" t="n"/>
      <c r="AM81" s="10" t="n"/>
      <c r="AN81" s="10" t="n"/>
      <c r="AO81" s="11" t="n"/>
    </row>
    <row r="82">
      <c r="A82" t="n">
        <v>1</v>
      </c>
      <c r="C82" t="inlineStr">
        <is>
          <t>무형자산의감소</t>
        </is>
      </c>
      <c r="F82" s="9" t="n"/>
      <c r="K82" s="9" t="n"/>
      <c r="P82" s="9" t="n"/>
      <c r="U82" s="9" t="n"/>
      <c r="X82" s="18" t="n">
        <v>0</v>
      </c>
      <c r="Z82" s="9" t="n"/>
      <c r="AB82" s="5" t="n"/>
      <c r="AC82" s="10" t="n"/>
      <c r="AD82" s="10" t="n"/>
      <c r="AE82" s="11" t="n"/>
      <c r="AF82" s="10" t="n"/>
      <c r="AG82" s="10" t="n"/>
      <c r="AH82" s="10" t="n"/>
      <c r="AI82" s="10" t="n"/>
      <c r="AJ82" s="11" t="n"/>
      <c r="AK82" s="10" t="n"/>
      <c r="AL82" s="10" t="n"/>
      <c r="AM82" s="10" t="n"/>
      <c r="AN82" s="10" t="n"/>
      <c r="AO82" s="1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</cols>
  <sheetData>
    <row r="1">
      <c r="A1" s="1" t="inlineStr">
        <is>
          <t>YQ</t>
        </is>
      </c>
      <c r="C1" s="2" t="inlineStr">
        <is>
          <t>subQ 분기 서브모델(억원, U=100)</t>
        </is>
      </c>
      <c r="E1" s="3" t="inlineStr">
        <is>
          <t>4Q21</t>
        </is>
      </c>
      <c r="F1" s="3" t="n">
        <v>2021</v>
      </c>
      <c r="G1" s="3" t="inlineStr">
        <is>
          <t>1Q22</t>
        </is>
      </c>
      <c r="H1" s="3" t="inlineStr">
        <is>
          <t>2Q22</t>
        </is>
      </c>
      <c r="I1" s="3" t="inlineStr">
        <is>
          <t>3Q22</t>
        </is>
      </c>
      <c r="J1" s="3" t="inlineStr">
        <is>
          <t>4Q22</t>
        </is>
      </c>
      <c r="K1" s="3" t="n">
        <v>2022</v>
      </c>
      <c r="L1" s="3" t="inlineStr">
        <is>
          <t>1Q23</t>
        </is>
      </c>
      <c r="M1" s="3" t="inlineStr">
        <is>
          <t>2Q23</t>
        </is>
      </c>
      <c r="N1" s="3" t="inlineStr">
        <is>
          <t>3Q23</t>
        </is>
      </c>
      <c r="O1" s="3" t="inlineStr">
        <is>
          <t>4Q23</t>
        </is>
      </c>
      <c r="P1" s="3" t="n">
        <v>2023</v>
      </c>
      <c r="Q1" s="3" t="inlineStr">
        <is>
          <t>1Q24</t>
        </is>
      </c>
      <c r="R1" s="3" t="inlineStr">
        <is>
          <t>2Q24</t>
        </is>
      </c>
      <c r="S1" s="3" t="inlineStr">
        <is>
          <t>3Q24</t>
        </is>
      </c>
      <c r="T1" s="3" t="inlineStr">
        <is>
          <t>4Q24</t>
        </is>
      </c>
      <c r="U1" s="3" t="n">
        <v>2024</v>
      </c>
      <c r="V1" s="3" t="inlineStr">
        <is>
          <t>1Q25</t>
        </is>
      </c>
      <c r="W1" s="3" t="inlineStr">
        <is>
          <t>2Q25</t>
        </is>
      </c>
      <c r="X1" s="3" t="inlineStr">
        <is>
          <t>3Q25</t>
        </is>
      </c>
      <c r="Y1" s="3" t="inlineStr">
        <is>
          <t>4Q25</t>
        </is>
      </c>
      <c r="Z1" s="3" t="n">
        <v>2025</v>
      </c>
      <c r="AA1" s="3" t="inlineStr">
        <is>
          <t>1Q26</t>
        </is>
      </c>
      <c r="AB1" s="4" t="inlineStr">
        <is>
          <t>2Q26</t>
        </is>
      </c>
      <c r="AC1" s="3" t="inlineStr">
        <is>
          <t>3Q26</t>
        </is>
      </c>
      <c r="AD1" s="3" t="inlineStr">
        <is>
          <t>4Q26</t>
        </is>
      </c>
      <c r="AE1" s="3" t="n">
        <v>2026</v>
      </c>
      <c r="AF1" s="3" t="inlineStr">
        <is>
          <t>1Q27</t>
        </is>
      </c>
      <c r="AG1" s="3" t="inlineStr">
        <is>
          <t>2Q27</t>
        </is>
      </c>
      <c r="AH1" s="3" t="inlineStr">
        <is>
          <t>3Q27</t>
        </is>
      </c>
      <c r="AI1" s="3" t="inlineStr">
        <is>
          <t>4Q27</t>
        </is>
      </c>
      <c r="AJ1" s="3" t="n">
        <v>2027</v>
      </c>
      <c r="AK1" s="3" t="inlineStr">
        <is>
          <t>1Q28</t>
        </is>
      </c>
      <c r="AL1" s="3" t="inlineStr">
        <is>
          <t>2Q28</t>
        </is>
      </c>
      <c r="AM1" s="3" t="inlineStr">
        <is>
          <t>3Q28</t>
        </is>
      </c>
      <c r="AN1" s="3" t="inlineStr">
        <is>
          <t>4Q28</t>
        </is>
      </c>
      <c r="AO1" s="3" t="n">
        <v>2028</v>
      </c>
    </row>
    <row r="2">
      <c r="A2" s="2" t="inlineStr">
        <is>
          <t>A=이름(key) B=그룹 C=단위 D=FnGuide 계정명(VLOOKUP 키). 확정=VLOOKUP(BS), 추정=변수 가정 참조</t>
        </is>
      </c>
      <c r="AB2" s="5" t="n"/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6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  <c r="AH3" s="2" t="n">
        <v>30</v>
      </c>
      <c r="AI3" s="2" t="n">
        <v>31</v>
      </c>
      <c r="AJ3" s="2" t="n">
        <v>32</v>
      </c>
      <c r="AK3" s="2" t="n">
        <v>33</v>
      </c>
      <c r="AL3" s="2" t="n">
        <v>34</v>
      </c>
      <c r="AM3" s="2" t="n">
        <v>35</v>
      </c>
      <c r="AN3" s="2" t="n">
        <v>36</v>
      </c>
      <c r="AO3" s="2" t="n">
        <v>37</v>
      </c>
    </row>
    <row r="4">
      <c r="E4" s="7" t="inlineStr">
        <is>
          <t>2021.12</t>
        </is>
      </c>
      <c r="F4" s="7" t="inlineStr">
        <is>
          <t>2021.12A</t>
        </is>
      </c>
      <c r="G4" s="7" t="inlineStr">
        <is>
          <t>2022.03</t>
        </is>
      </c>
      <c r="H4" s="7" t="inlineStr">
        <is>
          <t>2022.06</t>
        </is>
      </c>
      <c r="I4" s="7" t="inlineStr">
        <is>
          <t>2022.09</t>
        </is>
      </c>
      <c r="J4" s="7" t="inlineStr">
        <is>
          <t>2022.12</t>
        </is>
      </c>
      <c r="K4" s="7" t="inlineStr">
        <is>
          <t>2022.12A</t>
        </is>
      </c>
      <c r="L4" s="7" t="inlineStr">
        <is>
          <t>2023.03</t>
        </is>
      </c>
      <c r="M4" s="7" t="inlineStr">
        <is>
          <t>2023.06</t>
        </is>
      </c>
      <c r="N4" s="7" t="inlineStr">
        <is>
          <t>2023.09</t>
        </is>
      </c>
      <c r="O4" s="7" t="inlineStr">
        <is>
          <t>2023.12</t>
        </is>
      </c>
      <c r="P4" s="7" t="inlineStr">
        <is>
          <t>2023.12A</t>
        </is>
      </c>
      <c r="Q4" s="7" t="inlineStr">
        <is>
          <t>2024.03</t>
        </is>
      </c>
      <c r="R4" s="7" t="inlineStr">
        <is>
          <t>2024.06</t>
        </is>
      </c>
      <c r="S4" s="7" t="inlineStr">
        <is>
          <t>2024.09</t>
        </is>
      </c>
      <c r="T4" s="7" t="inlineStr">
        <is>
          <t>2024.12</t>
        </is>
      </c>
      <c r="U4" s="7" t="inlineStr">
        <is>
          <t>2024.12A</t>
        </is>
      </c>
      <c r="V4" s="7" t="inlineStr">
        <is>
          <t>2025.03</t>
        </is>
      </c>
      <c r="W4" s="7" t="inlineStr">
        <is>
          <t>2025.06</t>
        </is>
      </c>
      <c r="X4" s="7" t="inlineStr">
        <is>
          <t>2025.09</t>
        </is>
      </c>
      <c r="Y4" s="7" t="inlineStr">
        <is>
          <t>2025.12</t>
        </is>
      </c>
      <c r="Z4" s="7" t="inlineStr">
        <is>
          <t>2025.12A</t>
        </is>
      </c>
      <c r="AA4" s="7" t="inlineStr">
        <is>
          <t>2026.03</t>
        </is>
      </c>
      <c r="AB4" s="8" t="inlineStr">
        <is>
          <t>2026.06</t>
        </is>
      </c>
      <c r="AC4" s="7" t="inlineStr">
        <is>
          <t>2026.09</t>
        </is>
      </c>
      <c r="AD4" s="7" t="inlineStr">
        <is>
          <t>2026.12</t>
        </is>
      </c>
      <c r="AE4" s="7" t="inlineStr">
        <is>
          <t>2026.12A</t>
        </is>
      </c>
      <c r="AF4" s="7" t="inlineStr">
        <is>
          <t>2027.03</t>
        </is>
      </c>
      <c r="AG4" s="7" t="inlineStr">
        <is>
          <t>2027.06</t>
        </is>
      </c>
      <c r="AH4" s="7" t="inlineStr">
        <is>
          <t>2027.09</t>
        </is>
      </c>
      <c r="AI4" s="7" t="inlineStr">
        <is>
          <t>2027.12</t>
        </is>
      </c>
      <c r="AJ4" s="7" t="inlineStr">
        <is>
          <t>2027.12A</t>
        </is>
      </c>
      <c r="AK4" s="7" t="inlineStr">
        <is>
          <t>2028.03</t>
        </is>
      </c>
      <c r="AL4" s="7" t="inlineStr">
        <is>
          <t>2028.06</t>
        </is>
      </c>
      <c r="AM4" s="7" t="inlineStr">
        <is>
          <t>2028.09</t>
        </is>
      </c>
      <c r="AN4" s="7" t="inlineStr">
        <is>
          <t>2028.12</t>
        </is>
      </c>
      <c r="AO4" s="7" t="inlineStr">
        <is>
          <t>2028.12A</t>
        </is>
      </c>
    </row>
    <row r="5">
      <c r="A5" s="12" t="inlineStr">
        <is>
          <t>매출액</t>
        </is>
      </c>
      <c r="B5" t="inlineStr">
        <is>
          <t>손익</t>
        </is>
      </c>
      <c r="C5" t="inlineStr">
        <is>
          <t>억원</t>
        </is>
      </c>
      <c r="D5" t="inlineStr">
        <is>
          <t>매출액(수익)</t>
        </is>
      </c>
      <c r="E5" s="18">
        <f>IFERROR(VLOOKUP($D5,BS연결,MATCH(E$1,BS연결H,0),0)/100,"")</f>
        <v/>
      </c>
      <c r="F5" s="37" t="n"/>
      <c r="G5" s="18">
        <f>IFERROR(VLOOKUP($D5,BS연결,MATCH(G$1,BS연결H,0),0)/100,"")</f>
        <v/>
      </c>
      <c r="H5" s="18">
        <f>IFERROR(VLOOKUP($D5,BS연결,MATCH(H$1,BS연결H,0),0)/100,"")</f>
        <v/>
      </c>
      <c r="I5" s="18">
        <f>IFERROR(VLOOKUP($D5,BS연결,MATCH(I$1,BS연결H,0),0)/100,"")</f>
        <v/>
      </c>
      <c r="J5" s="18">
        <f>IFERROR(VLOOKUP($D5,BS연결,MATCH(J$1,BS연결H,0),0)/100,"")</f>
        <v/>
      </c>
      <c r="K5" s="37">
        <f>IFERROR(VLOOKUP($D5,BS연결,MATCH(K$1,BS연결H,0),0)/100,"")</f>
        <v/>
      </c>
      <c r="L5" s="18">
        <f>IFERROR(VLOOKUP($D5,BS연결,MATCH(L$1,BS연결H,0),0)/100,"")</f>
        <v/>
      </c>
      <c r="M5" s="18">
        <f>IFERROR(VLOOKUP($D5,BS연결,MATCH(M$1,BS연결H,0),0)/100,"")</f>
        <v/>
      </c>
      <c r="N5" s="18">
        <f>IFERROR(VLOOKUP($D5,BS연결,MATCH(N$1,BS연결H,0),0)/100,"")</f>
        <v/>
      </c>
      <c r="O5" s="18">
        <f>IFERROR(VLOOKUP($D5,BS연결,MATCH(O$1,BS연결H,0),0)/100,"")</f>
        <v/>
      </c>
      <c r="P5" s="37">
        <f>IFERROR(VLOOKUP($D5,BS연결,MATCH(P$1,BS연결H,0),0)/100,"")</f>
        <v/>
      </c>
      <c r="Q5" s="18">
        <f>IFERROR(VLOOKUP($D5,BS연결,MATCH(Q$1,BS연결H,0),0)/100,"")</f>
        <v/>
      </c>
      <c r="R5" s="18">
        <f>IFERROR(VLOOKUP($D5,BS연결,MATCH(R$1,BS연결H,0),0)/100,"")</f>
        <v/>
      </c>
      <c r="S5" s="18">
        <f>IFERROR(VLOOKUP($D5,BS연결,MATCH(S$1,BS연결H,0),0)/100,"")</f>
        <v/>
      </c>
      <c r="T5" s="18">
        <f>IFERROR(VLOOKUP($D5,BS연결,MATCH(T$1,BS연결H,0),0)/100,"")</f>
        <v/>
      </c>
      <c r="U5" s="37">
        <f>IFERROR(VLOOKUP($D5,BS연결,MATCH(U$1,BS연결H,0),0)/100,"")</f>
        <v/>
      </c>
      <c r="V5" s="18">
        <f>IFERROR(VLOOKUP($D5,BS연결,MATCH(V$1,BS연결H,0),0)/100,"")</f>
        <v/>
      </c>
      <c r="W5" s="18">
        <f>IFERROR(VLOOKUP($D5,BS연결,MATCH(W$1,BS연결H,0),0)/100,"")</f>
        <v/>
      </c>
      <c r="X5" s="18">
        <f>IFERROR(VLOOKUP($D5,BS연결,MATCH(X$1,BS연결H,0),0)/100,"")</f>
        <v/>
      </c>
      <c r="Y5" s="18">
        <f>IFERROR(VLOOKUP($D5,BS연결,MATCH(Y$1,BS연결H,0),0)/100,"")</f>
        <v/>
      </c>
      <c r="Z5" s="37">
        <f>IFERROR(VLOOKUP($D5,BS연결,MATCH(Z$1,BS연결H,0),0)/100,"")</f>
        <v/>
      </c>
      <c r="AA5" s="18">
        <f>IFERROR(VLOOKUP($D5,BS연결,MATCH(AA$1,BS연결H,0),0)/100,"")</f>
        <v/>
      </c>
      <c r="AB5" s="19">
        <f>IFERROR(VLOOKUP($D5,BS연결,MATCH(AB$1,BS연결H,0),0)/100,"")</f>
        <v/>
      </c>
      <c r="AC5" s="20">
        <f>IFERROR(X5*(1+변수!AC21),"")</f>
        <v/>
      </c>
      <c r="AD5" s="20">
        <f>IFERROR(Y5*(1+변수!AD21),"")</f>
        <v/>
      </c>
      <c r="AE5" s="38">
        <f>SUM(AA5:AD5)</f>
        <v/>
      </c>
      <c r="AF5" s="20">
        <f>IFERROR(AA5*(1+변수!AF21),"")</f>
        <v/>
      </c>
      <c r="AG5" s="20">
        <f>IFERROR(AB5*(1+변수!AG21),"")</f>
        <v/>
      </c>
      <c r="AH5" s="20">
        <f>IFERROR(AC5*(1+변수!AH21),"")</f>
        <v/>
      </c>
      <c r="AI5" s="20">
        <f>IFERROR(AD5*(1+변수!AI21),"")</f>
        <v/>
      </c>
      <c r="AJ5" s="38">
        <f>SUM(AF5:AI5)</f>
        <v/>
      </c>
      <c r="AK5" s="20">
        <f>IFERROR(AF5*(1+변수!AK21),"")</f>
        <v/>
      </c>
      <c r="AL5" s="20">
        <f>IFERROR(AG5*(1+변수!AL21),"")</f>
        <v/>
      </c>
      <c r="AM5" s="20">
        <f>IFERROR(AH5*(1+변수!AM21),"")</f>
        <v/>
      </c>
      <c r="AN5" s="20">
        <f>IFERROR(AI5*(1+변수!AN21),"")</f>
        <v/>
      </c>
      <c r="AO5" s="38">
        <f>SUM(AK5:AN5)</f>
        <v/>
      </c>
    </row>
    <row r="6">
      <c r="A6" s="12" t="inlineStr">
        <is>
          <t>매출원가</t>
        </is>
      </c>
      <c r="B6" t="inlineStr">
        <is>
          <t>손익</t>
        </is>
      </c>
      <c r="C6" t="inlineStr">
        <is>
          <t>억원</t>
        </is>
      </c>
      <c r="D6" t="inlineStr">
        <is>
          <t>매출원가</t>
        </is>
      </c>
      <c r="E6" s="18">
        <f>IFERROR(VLOOKUP($D6,BS연결,MATCH(E$1,BS연결H,0),0)/100,"")</f>
        <v/>
      </c>
      <c r="F6" s="37" t="n"/>
      <c r="G6" s="18">
        <f>IFERROR(VLOOKUP($D6,BS연결,MATCH(G$1,BS연결H,0),0)/100,"")</f>
        <v/>
      </c>
      <c r="H6" s="18">
        <f>IFERROR(VLOOKUP($D6,BS연결,MATCH(H$1,BS연결H,0),0)/100,"")</f>
        <v/>
      </c>
      <c r="I6" s="18">
        <f>IFERROR(VLOOKUP($D6,BS연결,MATCH(I$1,BS연결H,0),0)/100,"")</f>
        <v/>
      </c>
      <c r="J6" s="18">
        <f>IFERROR(VLOOKUP($D6,BS연결,MATCH(J$1,BS연결H,0),0)/100,"")</f>
        <v/>
      </c>
      <c r="K6" s="37">
        <f>IFERROR(VLOOKUP($D6,BS연결,MATCH(K$1,BS연결H,0),0)/100,"")</f>
        <v/>
      </c>
      <c r="L6" s="18">
        <f>IFERROR(VLOOKUP($D6,BS연결,MATCH(L$1,BS연결H,0),0)/100,"")</f>
        <v/>
      </c>
      <c r="M6" s="18">
        <f>IFERROR(VLOOKUP($D6,BS연결,MATCH(M$1,BS연결H,0),0)/100,"")</f>
        <v/>
      </c>
      <c r="N6" s="18">
        <f>IFERROR(VLOOKUP($D6,BS연결,MATCH(N$1,BS연결H,0),0)/100,"")</f>
        <v/>
      </c>
      <c r="O6" s="18">
        <f>IFERROR(VLOOKUP($D6,BS연결,MATCH(O$1,BS연결H,0),0)/100,"")</f>
        <v/>
      </c>
      <c r="P6" s="37">
        <f>IFERROR(VLOOKUP($D6,BS연결,MATCH(P$1,BS연결H,0),0)/100,"")</f>
        <v/>
      </c>
      <c r="Q6" s="18">
        <f>IFERROR(VLOOKUP($D6,BS연결,MATCH(Q$1,BS연결H,0),0)/100,"")</f>
        <v/>
      </c>
      <c r="R6" s="18">
        <f>IFERROR(VLOOKUP($D6,BS연결,MATCH(R$1,BS연결H,0),0)/100,"")</f>
        <v/>
      </c>
      <c r="S6" s="18">
        <f>IFERROR(VLOOKUP($D6,BS연결,MATCH(S$1,BS연결H,0),0)/100,"")</f>
        <v/>
      </c>
      <c r="T6" s="18">
        <f>IFERROR(VLOOKUP($D6,BS연결,MATCH(T$1,BS연결H,0),0)/100,"")</f>
        <v/>
      </c>
      <c r="U6" s="37">
        <f>IFERROR(VLOOKUP($D6,BS연결,MATCH(U$1,BS연결H,0),0)/100,"")</f>
        <v/>
      </c>
      <c r="V6" s="18">
        <f>IFERROR(VLOOKUP($D6,BS연결,MATCH(V$1,BS연결H,0),0)/100,"")</f>
        <v/>
      </c>
      <c r="W6" s="18">
        <f>IFERROR(VLOOKUP($D6,BS연결,MATCH(W$1,BS연결H,0),0)/100,"")</f>
        <v/>
      </c>
      <c r="X6" s="18">
        <f>IFERROR(VLOOKUP($D6,BS연결,MATCH(X$1,BS연결H,0),0)/100,"")</f>
        <v/>
      </c>
      <c r="Y6" s="18">
        <f>IFERROR(VLOOKUP($D6,BS연결,MATCH(Y$1,BS연결H,0),0)/100,"")</f>
        <v/>
      </c>
      <c r="Z6" s="37">
        <f>IFERROR(VLOOKUP($D6,BS연결,MATCH(Z$1,BS연결H,0),0)/100,"")</f>
        <v/>
      </c>
      <c r="AA6" s="18">
        <f>IFERROR(VLOOKUP($D6,BS연결,MATCH(AA$1,BS연결H,0),0)/100,"")</f>
        <v/>
      </c>
      <c r="AB6" s="19">
        <f>IFERROR(VLOOKUP($D6,BS연결,MATCH(AB$1,BS연결H,0),0)/100,"")</f>
        <v/>
      </c>
      <c r="AC6" s="20">
        <f>IFERROR(AC5-AC7,"")</f>
        <v/>
      </c>
      <c r="AD6" s="20">
        <f>IFERROR(AD5-AD7,"")</f>
        <v/>
      </c>
      <c r="AE6" s="38">
        <f>SUM(AA6:AD6)</f>
        <v/>
      </c>
      <c r="AF6" s="20">
        <f>IFERROR(AF5-AF7,"")</f>
        <v/>
      </c>
      <c r="AG6" s="20">
        <f>IFERROR(AG5-AG7,"")</f>
        <v/>
      </c>
      <c r="AH6" s="20">
        <f>IFERROR(AH5-AH7,"")</f>
        <v/>
      </c>
      <c r="AI6" s="20">
        <f>IFERROR(AI5-AI7,"")</f>
        <v/>
      </c>
      <c r="AJ6" s="38">
        <f>SUM(AF6:AI6)</f>
        <v/>
      </c>
      <c r="AK6" s="20">
        <f>IFERROR(AK5-AK7,"")</f>
        <v/>
      </c>
      <c r="AL6" s="20">
        <f>IFERROR(AL5-AL7,"")</f>
        <v/>
      </c>
      <c r="AM6" s="20">
        <f>IFERROR(AM5-AM7,"")</f>
        <v/>
      </c>
      <c r="AN6" s="20">
        <f>IFERROR(AN5-AN7,"")</f>
        <v/>
      </c>
      <c r="AO6" s="38">
        <f>SUM(AK6:AN6)</f>
        <v/>
      </c>
    </row>
    <row r="7">
      <c r="A7" s="12" t="inlineStr">
        <is>
          <t>매출총이익</t>
        </is>
      </c>
      <c r="B7" t="inlineStr">
        <is>
          <t>손익</t>
        </is>
      </c>
      <c r="C7" t="inlineStr">
        <is>
          <t>억원</t>
        </is>
      </c>
      <c r="D7" t="inlineStr">
        <is>
          <t>매출총이익</t>
        </is>
      </c>
      <c r="E7" s="18">
        <f>IFERROR(VLOOKUP($D7,BS연결,MATCH(E$1,BS연결H,0),0)/100,"")</f>
        <v/>
      </c>
      <c r="F7" s="37" t="n"/>
      <c r="G7" s="18">
        <f>IFERROR(VLOOKUP($D7,BS연결,MATCH(G$1,BS연결H,0),0)/100,"")</f>
        <v/>
      </c>
      <c r="H7" s="18">
        <f>IFERROR(VLOOKUP($D7,BS연결,MATCH(H$1,BS연결H,0),0)/100,"")</f>
        <v/>
      </c>
      <c r="I7" s="18">
        <f>IFERROR(VLOOKUP($D7,BS연결,MATCH(I$1,BS연결H,0),0)/100,"")</f>
        <v/>
      </c>
      <c r="J7" s="18">
        <f>IFERROR(VLOOKUP($D7,BS연결,MATCH(J$1,BS연결H,0),0)/100,"")</f>
        <v/>
      </c>
      <c r="K7" s="37">
        <f>IFERROR(VLOOKUP($D7,BS연결,MATCH(K$1,BS연결H,0),0)/100,"")</f>
        <v/>
      </c>
      <c r="L7" s="18">
        <f>IFERROR(VLOOKUP($D7,BS연결,MATCH(L$1,BS연결H,0),0)/100,"")</f>
        <v/>
      </c>
      <c r="M7" s="18">
        <f>IFERROR(VLOOKUP($D7,BS연결,MATCH(M$1,BS연결H,0),0)/100,"")</f>
        <v/>
      </c>
      <c r="N7" s="18">
        <f>IFERROR(VLOOKUP($D7,BS연결,MATCH(N$1,BS연결H,0),0)/100,"")</f>
        <v/>
      </c>
      <c r="O7" s="18">
        <f>IFERROR(VLOOKUP($D7,BS연결,MATCH(O$1,BS연결H,0),0)/100,"")</f>
        <v/>
      </c>
      <c r="P7" s="37">
        <f>IFERROR(VLOOKUP($D7,BS연결,MATCH(P$1,BS연결H,0),0)/100,"")</f>
        <v/>
      </c>
      <c r="Q7" s="18">
        <f>IFERROR(VLOOKUP($D7,BS연결,MATCH(Q$1,BS연결H,0),0)/100,"")</f>
        <v/>
      </c>
      <c r="R7" s="18">
        <f>IFERROR(VLOOKUP($D7,BS연결,MATCH(R$1,BS연결H,0),0)/100,"")</f>
        <v/>
      </c>
      <c r="S7" s="18">
        <f>IFERROR(VLOOKUP($D7,BS연결,MATCH(S$1,BS연결H,0),0)/100,"")</f>
        <v/>
      </c>
      <c r="T7" s="18">
        <f>IFERROR(VLOOKUP($D7,BS연결,MATCH(T$1,BS연결H,0),0)/100,"")</f>
        <v/>
      </c>
      <c r="U7" s="37">
        <f>IFERROR(VLOOKUP($D7,BS연결,MATCH(U$1,BS연결H,0),0)/100,"")</f>
        <v/>
      </c>
      <c r="V7" s="18">
        <f>IFERROR(VLOOKUP($D7,BS연결,MATCH(V$1,BS연결H,0),0)/100,"")</f>
        <v/>
      </c>
      <c r="W7" s="18">
        <f>IFERROR(VLOOKUP($D7,BS연결,MATCH(W$1,BS연결H,0),0)/100,"")</f>
        <v/>
      </c>
      <c r="X7" s="18">
        <f>IFERROR(VLOOKUP($D7,BS연결,MATCH(X$1,BS연결H,0),0)/100,"")</f>
        <v/>
      </c>
      <c r="Y7" s="18">
        <f>IFERROR(VLOOKUP($D7,BS연결,MATCH(Y$1,BS연결H,0),0)/100,"")</f>
        <v/>
      </c>
      <c r="Z7" s="37">
        <f>IFERROR(VLOOKUP($D7,BS연결,MATCH(Z$1,BS연결H,0),0)/100,"")</f>
        <v/>
      </c>
      <c r="AA7" s="18">
        <f>IFERROR(VLOOKUP($D7,BS연결,MATCH(AA$1,BS연결H,0),0)/100,"")</f>
        <v/>
      </c>
      <c r="AB7" s="19">
        <f>IFERROR(VLOOKUP($D7,BS연결,MATCH(AB$1,BS연결H,0),0)/100,"")</f>
        <v/>
      </c>
      <c r="AC7" s="20">
        <f>IFERROR(AC9+AC8,"")</f>
        <v/>
      </c>
      <c r="AD7" s="20">
        <f>IFERROR(AD9+AD8,"")</f>
        <v/>
      </c>
      <c r="AE7" s="38">
        <f>SUM(AA7:AD7)</f>
        <v/>
      </c>
      <c r="AF7" s="20">
        <f>IFERROR(AF9+AF8,"")</f>
        <v/>
      </c>
      <c r="AG7" s="20">
        <f>IFERROR(AG9+AG8,"")</f>
        <v/>
      </c>
      <c r="AH7" s="20">
        <f>IFERROR(AH9+AH8,"")</f>
        <v/>
      </c>
      <c r="AI7" s="20">
        <f>IFERROR(AI9+AI8,"")</f>
        <v/>
      </c>
      <c r="AJ7" s="38">
        <f>SUM(AF7:AI7)</f>
        <v/>
      </c>
      <c r="AK7" s="20">
        <f>IFERROR(AK9+AK8,"")</f>
        <v/>
      </c>
      <c r="AL7" s="20">
        <f>IFERROR(AL9+AL8,"")</f>
        <v/>
      </c>
      <c r="AM7" s="20">
        <f>IFERROR(AM9+AM8,"")</f>
        <v/>
      </c>
      <c r="AN7" s="20">
        <f>IFERROR(AN9+AN8,"")</f>
        <v/>
      </c>
      <c r="AO7" s="38">
        <f>SUM(AK7:AN7)</f>
        <v/>
      </c>
    </row>
    <row r="8">
      <c r="A8" s="12" t="inlineStr">
        <is>
          <t>판관비</t>
        </is>
      </c>
      <c r="B8" t="inlineStr">
        <is>
          <t>손익</t>
        </is>
      </c>
      <c r="C8" t="inlineStr">
        <is>
          <t>억원</t>
        </is>
      </c>
      <c r="D8" t="inlineStr">
        <is>
          <t>판관비</t>
        </is>
      </c>
      <c r="E8" s="18">
        <f>IFERROR(VLOOKUP($D8,BS연결,MATCH(E$1,BS연결H,0),0)/100,"")</f>
        <v/>
      </c>
      <c r="F8" s="37" t="n"/>
      <c r="G8" s="18">
        <f>IFERROR(VLOOKUP($D8,BS연결,MATCH(G$1,BS연결H,0),0)/100,"")</f>
        <v/>
      </c>
      <c r="H8" s="18">
        <f>IFERROR(VLOOKUP($D8,BS연결,MATCH(H$1,BS연결H,0),0)/100,"")</f>
        <v/>
      </c>
      <c r="I8" s="18">
        <f>IFERROR(VLOOKUP($D8,BS연결,MATCH(I$1,BS연결H,0),0)/100,"")</f>
        <v/>
      </c>
      <c r="J8" s="18">
        <f>IFERROR(VLOOKUP($D8,BS연결,MATCH(J$1,BS연결H,0),0)/100,"")</f>
        <v/>
      </c>
      <c r="K8" s="37">
        <f>IFERROR(VLOOKUP($D8,BS연결,MATCH(K$1,BS연결H,0),0)/100,"")</f>
        <v/>
      </c>
      <c r="L8" s="18">
        <f>IFERROR(VLOOKUP($D8,BS연결,MATCH(L$1,BS연결H,0),0)/100,"")</f>
        <v/>
      </c>
      <c r="M8" s="18">
        <f>IFERROR(VLOOKUP($D8,BS연결,MATCH(M$1,BS연결H,0),0)/100,"")</f>
        <v/>
      </c>
      <c r="N8" s="18">
        <f>IFERROR(VLOOKUP($D8,BS연결,MATCH(N$1,BS연결H,0),0)/100,"")</f>
        <v/>
      </c>
      <c r="O8" s="18">
        <f>IFERROR(VLOOKUP($D8,BS연결,MATCH(O$1,BS연결H,0),0)/100,"")</f>
        <v/>
      </c>
      <c r="P8" s="37">
        <f>IFERROR(VLOOKUP($D8,BS연결,MATCH(P$1,BS연결H,0),0)/100,"")</f>
        <v/>
      </c>
      <c r="Q8" s="18">
        <f>IFERROR(VLOOKUP($D8,BS연결,MATCH(Q$1,BS연결H,0),0)/100,"")</f>
        <v/>
      </c>
      <c r="R8" s="18">
        <f>IFERROR(VLOOKUP($D8,BS연결,MATCH(R$1,BS연결H,0),0)/100,"")</f>
        <v/>
      </c>
      <c r="S8" s="18">
        <f>IFERROR(VLOOKUP($D8,BS연결,MATCH(S$1,BS연결H,0),0)/100,"")</f>
        <v/>
      </c>
      <c r="T8" s="18">
        <f>IFERROR(VLOOKUP($D8,BS연결,MATCH(T$1,BS연결H,0),0)/100,"")</f>
        <v/>
      </c>
      <c r="U8" s="37">
        <f>IFERROR(VLOOKUP($D8,BS연결,MATCH(U$1,BS연결H,0),0)/100,"")</f>
        <v/>
      </c>
      <c r="V8" s="18">
        <f>IFERROR(VLOOKUP($D8,BS연결,MATCH(V$1,BS연결H,0),0)/100,"")</f>
        <v/>
      </c>
      <c r="W8" s="18">
        <f>IFERROR(VLOOKUP($D8,BS연결,MATCH(W$1,BS연결H,0),0)/100,"")</f>
        <v/>
      </c>
      <c r="X8" s="18">
        <f>IFERROR(VLOOKUP($D8,BS연결,MATCH(X$1,BS연결H,0),0)/100,"")</f>
        <v/>
      </c>
      <c r="Y8" s="18">
        <f>IFERROR(VLOOKUP($D8,BS연결,MATCH(Y$1,BS연결H,0),0)/100,"")</f>
        <v/>
      </c>
      <c r="Z8" s="37">
        <f>IFERROR(VLOOKUP($D8,BS연결,MATCH(Z$1,BS연결H,0),0)/100,"")</f>
        <v/>
      </c>
      <c r="AA8" s="18">
        <f>IFERROR(VLOOKUP($D8,BS연결,MATCH(AA$1,BS연결H,0),0)/100,"")</f>
        <v/>
      </c>
      <c r="AB8" s="19">
        <f>IFERROR(VLOOKUP($D8,BS연결,MATCH(AB$1,BS연결H,0),0)/100,"")</f>
        <v/>
      </c>
      <c r="AC8" s="20">
        <f>IFERROR(AC5*변수!AC22,"")</f>
        <v/>
      </c>
      <c r="AD8" s="20">
        <f>IFERROR(AD5*변수!AD22,"")</f>
        <v/>
      </c>
      <c r="AE8" s="38">
        <f>SUM(AA8:AD8)</f>
        <v/>
      </c>
      <c r="AF8" s="20">
        <f>IFERROR(AF5*변수!AF22,"")</f>
        <v/>
      </c>
      <c r="AG8" s="20">
        <f>IFERROR(AG5*변수!AG22,"")</f>
        <v/>
      </c>
      <c r="AH8" s="20">
        <f>IFERROR(AH5*변수!AH22,"")</f>
        <v/>
      </c>
      <c r="AI8" s="20">
        <f>IFERROR(AI5*변수!AI22,"")</f>
        <v/>
      </c>
      <c r="AJ8" s="38">
        <f>SUM(AF8:AI8)</f>
        <v/>
      </c>
      <c r="AK8" s="20">
        <f>IFERROR(AK5*변수!AK22,"")</f>
        <v/>
      </c>
      <c r="AL8" s="20">
        <f>IFERROR(AL5*변수!AL22,"")</f>
        <v/>
      </c>
      <c r="AM8" s="20">
        <f>IFERROR(AM5*변수!AM22,"")</f>
        <v/>
      </c>
      <c r="AN8" s="20">
        <f>IFERROR(AN5*변수!AN22,"")</f>
        <v/>
      </c>
      <c r="AO8" s="38">
        <f>SUM(AK8:AN8)</f>
        <v/>
      </c>
    </row>
    <row r="9">
      <c r="A9" s="12" t="inlineStr">
        <is>
          <t>영업이익</t>
        </is>
      </c>
      <c r="B9" t="inlineStr">
        <is>
          <t>손익</t>
        </is>
      </c>
      <c r="C9" t="inlineStr">
        <is>
          <t>억원</t>
        </is>
      </c>
      <c r="D9" t="inlineStr">
        <is>
          <t>영업이익</t>
        </is>
      </c>
      <c r="E9" s="18">
        <f>IFERROR(VLOOKUP($D9,BS연결,MATCH(E$1,BS연결H,0),0)/100,"")</f>
        <v/>
      </c>
      <c r="F9" s="37" t="n"/>
      <c r="G9" s="18">
        <f>IFERROR(VLOOKUP($D9,BS연결,MATCH(G$1,BS연결H,0),0)/100,"")</f>
        <v/>
      </c>
      <c r="H9" s="18">
        <f>IFERROR(VLOOKUP($D9,BS연결,MATCH(H$1,BS연결H,0),0)/100,"")</f>
        <v/>
      </c>
      <c r="I9" s="18">
        <f>IFERROR(VLOOKUP($D9,BS연결,MATCH(I$1,BS연결H,0),0)/100,"")</f>
        <v/>
      </c>
      <c r="J9" s="18">
        <f>IFERROR(VLOOKUP($D9,BS연결,MATCH(J$1,BS연결H,0),0)/100,"")</f>
        <v/>
      </c>
      <c r="K9" s="37">
        <f>IFERROR(VLOOKUP($D9,BS연결,MATCH(K$1,BS연결H,0),0)/100,"")</f>
        <v/>
      </c>
      <c r="L9" s="18">
        <f>IFERROR(VLOOKUP($D9,BS연결,MATCH(L$1,BS연결H,0),0)/100,"")</f>
        <v/>
      </c>
      <c r="M9" s="18">
        <f>IFERROR(VLOOKUP($D9,BS연결,MATCH(M$1,BS연결H,0),0)/100,"")</f>
        <v/>
      </c>
      <c r="N9" s="18">
        <f>IFERROR(VLOOKUP($D9,BS연결,MATCH(N$1,BS연결H,0),0)/100,"")</f>
        <v/>
      </c>
      <c r="O9" s="18">
        <f>IFERROR(VLOOKUP($D9,BS연결,MATCH(O$1,BS연결H,0),0)/100,"")</f>
        <v/>
      </c>
      <c r="P9" s="37">
        <f>IFERROR(VLOOKUP($D9,BS연결,MATCH(P$1,BS연결H,0),0)/100,"")</f>
        <v/>
      </c>
      <c r="Q9" s="18">
        <f>IFERROR(VLOOKUP($D9,BS연결,MATCH(Q$1,BS연결H,0),0)/100,"")</f>
        <v/>
      </c>
      <c r="R9" s="18">
        <f>IFERROR(VLOOKUP($D9,BS연결,MATCH(R$1,BS연결H,0),0)/100,"")</f>
        <v/>
      </c>
      <c r="S9" s="18">
        <f>IFERROR(VLOOKUP($D9,BS연결,MATCH(S$1,BS연결H,0),0)/100,"")</f>
        <v/>
      </c>
      <c r="T9" s="18">
        <f>IFERROR(VLOOKUP($D9,BS연결,MATCH(T$1,BS연결H,0),0)/100,"")</f>
        <v/>
      </c>
      <c r="U9" s="37">
        <f>IFERROR(VLOOKUP($D9,BS연결,MATCH(U$1,BS연결H,0),0)/100,"")</f>
        <v/>
      </c>
      <c r="V9" s="18">
        <f>IFERROR(VLOOKUP($D9,BS연결,MATCH(V$1,BS연결H,0),0)/100,"")</f>
        <v/>
      </c>
      <c r="W9" s="18">
        <f>IFERROR(VLOOKUP($D9,BS연결,MATCH(W$1,BS연결H,0),0)/100,"")</f>
        <v/>
      </c>
      <c r="X9" s="18">
        <f>IFERROR(VLOOKUP($D9,BS연결,MATCH(X$1,BS연결H,0),0)/100,"")</f>
        <v/>
      </c>
      <c r="Y9" s="18">
        <f>IFERROR(VLOOKUP($D9,BS연결,MATCH(Y$1,BS연결H,0),0)/100,"")</f>
        <v/>
      </c>
      <c r="Z9" s="37">
        <f>IFERROR(VLOOKUP($D9,BS연결,MATCH(Z$1,BS연결H,0),0)/100,"")</f>
        <v/>
      </c>
      <c r="AA9" s="18">
        <f>IFERROR(VLOOKUP($D9,BS연결,MATCH(AA$1,BS연결H,0),0)/100,"")</f>
        <v/>
      </c>
      <c r="AB9" s="19">
        <f>IFERROR(VLOOKUP($D9,BS연결,MATCH(AB$1,BS연결H,0),0)/100,"")</f>
        <v/>
      </c>
      <c r="AC9" s="20">
        <f>IFERROR(AC5*변수!AC23,"")</f>
        <v/>
      </c>
      <c r="AD9" s="20">
        <f>IFERROR(AD5*변수!AD23,"")</f>
        <v/>
      </c>
      <c r="AE9" s="38">
        <f>SUM(AA9:AD9)</f>
        <v/>
      </c>
      <c r="AF9" s="20">
        <f>IFERROR(AF5*변수!AF23,"")</f>
        <v/>
      </c>
      <c r="AG9" s="20">
        <f>IFERROR(AG5*변수!AG23,"")</f>
        <v/>
      </c>
      <c r="AH9" s="20">
        <f>IFERROR(AH5*변수!AH23,"")</f>
        <v/>
      </c>
      <c r="AI9" s="20">
        <f>IFERROR(AI5*변수!AI23,"")</f>
        <v/>
      </c>
      <c r="AJ9" s="38">
        <f>SUM(AF9:AI9)</f>
        <v/>
      </c>
      <c r="AK9" s="20">
        <f>IFERROR(AK5*변수!AK23,"")</f>
        <v/>
      </c>
      <c r="AL9" s="20">
        <f>IFERROR(AL5*변수!AL23,"")</f>
        <v/>
      </c>
      <c r="AM9" s="20">
        <f>IFERROR(AM5*변수!AM23,"")</f>
        <v/>
      </c>
      <c r="AN9" s="20">
        <f>IFERROR(AN5*변수!AN23,"")</f>
        <v/>
      </c>
      <c r="AO9" s="38">
        <f>SUM(AK9:AN9)</f>
        <v/>
      </c>
    </row>
    <row r="10">
      <c r="A10" s="12" t="inlineStr">
        <is>
          <t>OPM</t>
        </is>
      </c>
      <c r="B10" t="inlineStr">
        <is>
          <t>손익</t>
        </is>
      </c>
      <c r="C10" t="inlineStr">
        <is>
          <t>%</t>
        </is>
      </c>
      <c r="D10" t="inlineStr">
        <is>
          <t>영업이익률</t>
        </is>
      </c>
      <c r="E10" s="21">
        <f>IFERROR(E9/E5,"")</f>
        <v/>
      </c>
      <c r="F10" s="22" t="n"/>
      <c r="G10" s="21">
        <f>IFERROR(G9/G5,"")</f>
        <v/>
      </c>
      <c r="H10" s="21">
        <f>IFERROR(H9/H5,"")</f>
        <v/>
      </c>
      <c r="I10" s="21">
        <f>IFERROR(I9/I5,"")</f>
        <v/>
      </c>
      <c r="J10" s="21">
        <f>IFERROR(J9/J5,"")</f>
        <v/>
      </c>
      <c r="K10" s="22">
        <f>IFERROR(K9/K5,"")</f>
        <v/>
      </c>
      <c r="L10" s="21">
        <f>IFERROR(L9/L5,"")</f>
        <v/>
      </c>
      <c r="M10" s="21">
        <f>IFERROR(M9/M5,"")</f>
        <v/>
      </c>
      <c r="N10" s="21">
        <f>IFERROR(N9/N5,"")</f>
        <v/>
      </c>
      <c r="O10" s="21">
        <f>IFERROR(O9/O5,"")</f>
        <v/>
      </c>
      <c r="P10" s="22">
        <f>IFERROR(P9/P5,"")</f>
        <v/>
      </c>
      <c r="Q10" s="21">
        <f>IFERROR(Q9/Q5,"")</f>
        <v/>
      </c>
      <c r="R10" s="21">
        <f>IFERROR(R9/R5,"")</f>
        <v/>
      </c>
      <c r="S10" s="21">
        <f>IFERROR(S9/S5,"")</f>
        <v/>
      </c>
      <c r="T10" s="21">
        <f>IFERROR(T9/T5,"")</f>
        <v/>
      </c>
      <c r="U10" s="22">
        <f>IFERROR(U9/U5,"")</f>
        <v/>
      </c>
      <c r="V10" s="21">
        <f>IFERROR(V9/V5,"")</f>
        <v/>
      </c>
      <c r="W10" s="21">
        <f>IFERROR(W9/W5,"")</f>
        <v/>
      </c>
      <c r="X10" s="21">
        <f>IFERROR(X9/X5,"")</f>
        <v/>
      </c>
      <c r="Y10" s="21">
        <f>IFERROR(Y9/Y5,"")</f>
        <v/>
      </c>
      <c r="Z10" s="22">
        <f>IFERROR(Z9/Z5,"")</f>
        <v/>
      </c>
      <c r="AA10" s="21">
        <f>IFERROR(AA9/AA5,"")</f>
        <v/>
      </c>
      <c r="AB10" s="23">
        <f>IFERROR(AB9/AB5,"")</f>
        <v/>
      </c>
      <c r="AC10" s="32">
        <f>IFERROR(AC9/AC5,"")</f>
        <v/>
      </c>
      <c r="AD10" s="32">
        <f>IFERROR(AD9/AD5,"")</f>
        <v/>
      </c>
      <c r="AE10" s="25">
        <f>IFERROR(AE9/AE5,"")</f>
        <v/>
      </c>
      <c r="AF10" s="32">
        <f>IFERROR(AF9/AF5,"")</f>
        <v/>
      </c>
      <c r="AG10" s="32">
        <f>IFERROR(AG9/AG5,"")</f>
        <v/>
      </c>
      <c r="AH10" s="32">
        <f>IFERROR(AH9/AH5,"")</f>
        <v/>
      </c>
      <c r="AI10" s="32">
        <f>IFERROR(AI9/AI5,"")</f>
        <v/>
      </c>
      <c r="AJ10" s="25">
        <f>IFERROR(AJ9/AJ5,"")</f>
        <v/>
      </c>
      <c r="AK10" s="32">
        <f>IFERROR(AK9/AK5,"")</f>
        <v/>
      </c>
      <c r="AL10" s="32">
        <f>IFERROR(AL9/AL5,"")</f>
        <v/>
      </c>
      <c r="AM10" s="32">
        <f>IFERROR(AM9/AM5,"")</f>
        <v/>
      </c>
      <c r="AN10" s="32">
        <f>IFERROR(AN9/AN5,"")</f>
        <v/>
      </c>
      <c r="AO10" s="25">
        <f>IFERROR(AO9/AO5,"")</f>
        <v/>
      </c>
    </row>
    <row r="11">
      <c r="A11" s="12" t="inlineStr">
        <is>
          <t>금융손익</t>
        </is>
      </c>
      <c r="B11" t="inlineStr">
        <is>
          <t>손익</t>
        </is>
      </c>
      <c r="C11" t="inlineStr">
        <is>
          <t>억원</t>
        </is>
      </c>
      <c r="D11" t="inlineStr">
        <is>
          <t>금융손익</t>
        </is>
      </c>
      <c r="E11" s="18">
        <f>IFERROR(VLOOKUP($D11,BS연결,MATCH(E$1,BS연결H,0),0)/100,"")</f>
        <v/>
      </c>
      <c r="F11" s="37" t="n"/>
      <c r="G11" s="18">
        <f>IFERROR(VLOOKUP($D11,BS연결,MATCH(G$1,BS연결H,0),0)/100,"")</f>
        <v/>
      </c>
      <c r="H11" s="18">
        <f>IFERROR(VLOOKUP($D11,BS연결,MATCH(H$1,BS연결H,0),0)/100,"")</f>
        <v/>
      </c>
      <c r="I11" s="18">
        <f>IFERROR(VLOOKUP($D11,BS연결,MATCH(I$1,BS연결H,0),0)/100,"")</f>
        <v/>
      </c>
      <c r="J11" s="18">
        <f>IFERROR(VLOOKUP($D11,BS연결,MATCH(J$1,BS연결H,0),0)/100,"")</f>
        <v/>
      </c>
      <c r="K11" s="37">
        <f>IFERROR(VLOOKUP($D11,BS연결,MATCH(K$1,BS연결H,0),0)/100,"")</f>
        <v/>
      </c>
      <c r="L11" s="18">
        <f>IFERROR(VLOOKUP($D11,BS연결,MATCH(L$1,BS연결H,0),0)/100,"")</f>
        <v/>
      </c>
      <c r="M11" s="18">
        <f>IFERROR(VLOOKUP($D11,BS연결,MATCH(M$1,BS연결H,0),0)/100,"")</f>
        <v/>
      </c>
      <c r="N11" s="18">
        <f>IFERROR(VLOOKUP($D11,BS연결,MATCH(N$1,BS연결H,0),0)/100,"")</f>
        <v/>
      </c>
      <c r="O11" s="18">
        <f>IFERROR(VLOOKUP($D11,BS연결,MATCH(O$1,BS연결H,0),0)/100,"")</f>
        <v/>
      </c>
      <c r="P11" s="37">
        <f>IFERROR(VLOOKUP($D11,BS연결,MATCH(P$1,BS연결H,0),0)/100,"")</f>
        <v/>
      </c>
      <c r="Q11" s="18">
        <f>IFERROR(VLOOKUP($D11,BS연결,MATCH(Q$1,BS연결H,0),0)/100,"")</f>
        <v/>
      </c>
      <c r="R11" s="18">
        <f>IFERROR(VLOOKUP($D11,BS연결,MATCH(R$1,BS연결H,0),0)/100,"")</f>
        <v/>
      </c>
      <c r="S11" s="18">
        <f>IFERROR(VLOOKUP($D11,BS연결,MATCH(S$1,BS연결H,0),0)/100,"")</f>
        <v/>
      </c>
      <c r="T11" s="18">
        <f>IFERROR(VLOOKUP($D11,BS연결,MATCH(T$1,BS연결H,0),0)/100,"")</f>
        <v/>
      </c>
      <c r="U11" s="37">
        <f>IFERROR(VLOOKUP($D11,BS연결,MATCH(U$1,BS연결H,0),0)/100,"")</f>
        <v/>
      </c>
      <c r="V11" s="18">
        <f>IFERROR(VLOOKUP($D11,BS연결,MATCH(V$1,BS연결H,0),0)/100,"")</f>
        <v/>
      </c>
      <c r="W11" s="18">
        <f>IFERROR(VLOOKUP($D11,BS연결,MATCH(W$1,BS연결H,0),0)/100,"")</f>
        <v/>
      </c>
      <c r="X11" s="18">
        <f>IFERROR(VLOOKUP($D11,BS연결,MATCH(X$1,BS연결H,0),0)/100,"")</f>
        <v/>
      </c>
      <c r="Y11" s="18">
        <f>IFERROR(VLOOKUP($D11,BS연결,MATCH(Y$1,BS연결H,0),0)/100,"")</f>
        <v/>
      </c>
      <c r="Z11" s="37">
        <f>IFERROR(VLOOKUP($D11,BS연결,MATCH(Z$1,BS연결H,0),0)/100,"")</f>
        <v/>
      </c>
      <c r="AA11" s="18">
        <f>IFERROR(VLOOKUP($D11,BS연결,MATCH(AA$1,BS연결H,0),0)/100,"")</f>
        <v/>
      </c>
      <c r="AB11" s="19">
        <f>IFERROR(VLOOKUP($D11,BS연결,MATCH(AB$1,BS연결H,0),0)/100,"")</f>
        <v/>
      </c>
      <c r="AC11" s="20">
        <f>IFERROR(AC12,"")</f>
        <v/>
      </c>
      <c r="AD11" s="20">
        <f>IFERROR(AD12,"")</f>
        <v/>
      </c>
      <c r="AE11" s="38">
        <f>SUM(AA11:AD11)</f>
        <v/>
      </c>
      <c r="AF11" s="20">
        <f>IFERROR(AF12,"")</f>
        <v/>
      </c>
      <c r="AG11" s="20">
        <f>IFERROR(AG12,"")</f>
        <v/>
      </c>
      <c r="AH11" s="20">
        <f>IFERROR(AH12,"")</f>
        <v/>
      </c>
      <c r="AI11" s="20">
        <f>IFERROR(AI12,"")</f>
        <v/>
      </c>
      <c r="AJ11" s="38">
        <f>SUM(AF11:AI11)</f>
        <v/>
      </c>
      <c r="AK11" s="20">
        <f>IFERROR(AK12,"")</f>
        <v/>
      </c>
      <c r="AL11" s="20">
        <f>IFERROR(AL12,"")</f>
        <v/>
      </c>
      <c r="AM11" s="20">
        <f>IFERROR(AM12,"")</f>
        <v/>
      </c>
      <c r="AN11" s="20">
        <f>IFERROR(AN12,"")</f>
        <v/>
      </c>
      <c r="AO11" s="38">
        <f>SUM(AK11:AN11)</f>
        <v/>
      </c>
    </row>
    <row r="12">
      <c r="A12" s="12" t="inlineStr">
        <is>
          <t>이자손익</t>
        </is>
      </c>
      <c r="B12" t="inlineStr">
        <is>
          <t>손익</t>
        </is>
      </c>
      <c r="C12" t="inlineStr">
        <is>
          <t>억원</t>
        </is>
      </c>
      <c r="D12" t="inlineStr">
        <is>
          <t>이자손익</t>
        </is>
      </c>
      <c r="E12" s="18" t="n"/>
      <c r="F12" s="37" t="n"/>
      <c r="G12" s="18">
        <f>IFERROR(VLOOKUP($D12,BS연결,MATCH(G$1,BS연결H,0),0)/100,"")</f>
        <v/>
      </c>
      <c r="H12" s="18" t="n"/>
      <c r="I12" s="18" t="n"/>
      <c r="J12" s="18" t="n"/>
      <c r="K12" s="37">
        <f>SUM(G12:J12)</f>
        <v/>
      </c>
      <c r="L12" s="18">
        <f>IFERROR(VLOOKUP($D12,BS연결,MATCH(L$1,BS연결H,0),0)/100,"")</f>
        <v/>
      </c>
      <c r="M12" s="18" t="n"/>
      <c r="N12" s="18" t="n"/>
      <c r="O12" s="18" t="n"/>
      <c r="P12" s="37">
        <f>SUM(L12:O12)</f>
        <v/>
      </c>
      <c r="Q12" s="18" t="n"/>
      <c r="R12" s="18" t="n"/>
      <c r="S12" s="18" t="n"/>
      <c r="T12" s="18" t="n"/>
      <c r="U12" s="37">
        <f>SUM(Q12:T12)</f>
        <v/>
      </c>
      <c r="V12" s="18" t="n"/>
      <c r="W12" s="18" t="n"/>
      <c r="X12" s="18" t="n"/>
      <c r="Y12" s="18" t="n"/>
      <c r="Z12" s="37">
        <f>SUM(V12:Y12)</f>
        <v/>
      </c>
      <c r="AA12" s="18" t="n"/>
      <c r="AB12" s="19" t="n"/>
      <c r="AC12" s="20">
        <f>IFERROR((AB24*변수!$D$49)/4,"")</f>
        <v/>
      </c>
      <c r="AD12" s="20">
        <f>IFERROR((AC24*변수!$D$49)/4,"")</f>
        <v/>
      </c>
      <c r="AE12" s="38">
        <f>SUM(AA12:AD12)</f>
        <v/>
      </c>
      <c r="AF12" s="20">
        <f>IFERROR((AD24*변수!$D$49)/4,"")</f>
        <v/>
      </c>
      <c r="AG12" s="20">
        <f>IFERROR((AF24*변수!$D$49)/4,"")</f>
        <v/>
      </c>
      <c r="AH12" s="20">
        <f>IFERROR((AG24*변수!$D$49)/4,"")</f>
        <v/>
      </c>
      <c r="AI12" s="20">
        <f>IFERROR((AH24*변수!$D$49)/4,"")</f>
        <v/>
      </c>
      <c r="AJ12" s="38">
        <f>SUM(AF12:AI12)</f>
        <v/>
      </c>
      <c r="AK12" s="20">
        <f>IFERROR((AI24*변수!$D$49)/4,"")</f>
        <v/>
      </c>
      <c r="AL12" s="20">
        <f>IFERROR((AK24*변수!$D$49)/4,"")</f>
        <v/>
      </c>
      <c r="AM12" s="20">
        <f>IFERROR((AL24*변수!$D$49)/4,"")</f>
        <v/>
      </c>
      <c r="AN12" s="20">
        <f>IFERROR((AM24*변수!$D$49)/4,"")</f>
        <v/>
      </c>
      <c r="AO12" s="38">
        <f>SUM(AK12:AN12)</f>
        <v/>
      </c>
    </row>
    <row r="13">
      <c r="A13" s="12" t="inlineStr">
        <is>
          <t>기타영업외손익</t>
        </is>
      </c>
      <c r="B13" t="inlineStr">
        <is>
          <t>손익</t>
        </is>
      </c>
      <c r="C13" t="inlineStr">
        <is>
          <t>억원</t>
        </is>
      </c>
      <c r="D13" t="inlineStr">
        <is>
          <t>기타영업외손익</t>
        </is>
      </c>
      <c r="E13" s="18">
        <f>IFERROR(VLOOKUP($D13,BS연결,MATCH(E$1,BS연결H,0),0)/100,"")</f>
        <v/>
      </c>
      <c r="F13" s="37" t="n"/>
      <c r="G13" s="18">
        <f>IFERROR(VLOOKUP($D13,BS연결,MATCH(G$1,BS연결H,0),0)/100,"")</f>
        <v/>
      </c>
      <c r="H13" s="18">
        <f>IFERROR(VLOOKUP($D13,BS연결,MATCH(H$1,BS연결H,0),0)/100,"")</f>
        <v/>
      </c>
      <c r="I13" s="18">
        <f>IFERROR(VLOOKUP($D13,BS연결,MATCH(I$1,BS연결H,0),0)/100,"")</f>
        <v/>
      </c>
      <c r="J13" s="18">
        <f>IFERROR(VLOOKUP($D13,BS연결,MATCH(J$1,BS연결H,0),0)/100,"")</f>
        <v/>
      </c>
      <c r="K13" s="37">
        <f>IFERROR(VLOOKUP($D13,BS연결,MATCH(K$1,BS연결H,0),0)/100,"")</f>
        <v/>
      </c>
      <c r="L13" s="18">
        <f>IFERROR(VLOOKUP($D13,BS연결,MATCH(L$1,BS연결H,0),0)/100,"")</f>
        <v/>
      </c>
      <c r="M13" s="18">
        <f>IFERROR(VLOOKUP($D13,BS연결,MATCH(M$1,BS연결H,0),0)/100,"")</f>
        <v/>
      </c>
      <c r="N13" s="18">
        <f>IFERROR(VLOOKUP($D13,BS연결,MATCH(N$1,BS연결H,0),0)/100,"")</f>
        <v/>
      </c>
      <c r="O13" s="18">
        <f>IFERROR(VLOOKUP($D13,BS연결,MATCH(O$1,BS연결H,0),0)/100,"")</f>
        <v/>
      </c>
      <c r="P13" s="37">
        <f>IFERROR(VLOOKUP($D13,BS연결,MATCH(P$1,BS연결H,0),0)/100,"")</f>
        <v/>
      </c>
      <c r="Q13" s="18">
        <f>IFERROR(VLOOKUP($D13,BS연결,MATCH(Q$1,BS연결H,0),0)/100,"")</f>
        <v/>
      </c>
      <c r="R13" s="18">
        <f>IFERROR(VLOOKUP($D13,BS연결,MATCH(R$1,BS연결H,0),0)/100,"")</f>
        <v/>
      </c>
      <c r="S13" s="18">
        <f>IFERROR(VLOOKUP($D13,BS연결,MATCH(S$1,BS연결H,0),0)/100,"")</f>
        <v/>
      </c>
      <c r="T13" s="18">
        <f>IFERROR(VLOOKUP($D13,BS연결,MATCH(T$1,BS연결H,0),0)/100,"")</f>
        <v/>
      </c>
      <c r="U13" s="37">
        <f>IFERROR(VLOOKUP($D13,BS연결,MATCH(U$1,BS연결H,0),0)/100,"")</f>
        <v/>
      </c>
      <c r="V13" s="18">
        <f>IFERROR(VLOOKUP($D13,BS연결,MATCH(V$1,BS연결H,0),0)/100,"")</f>
        <v/>
      </c>
      <c r="W13" s="18">
        <f>IFERROR(VLOOKUP($D13,BS연결,MATCH(W$1,BS연결H,0),0)/100,"")</f>
        <v/>
      </c>
      <c r="X13" s="18">
        <f>IFERROR(VLOOKUP($D13,BS연결,MATCH(X$1,BS연결H,0),0)/100,"")</f>
        <v/>
      </c>
      <c r="Y13" s="18">
        <f>IFERROR(VLOOKUP($D13,BS연결,MATCH(Y$1,BS연결H,0),0)/100,"")</f>
        <v/>
      </c>
      <c r="Z13" s="37">
        <f>IFERROR(VLOOKUP($D13,BS연결,MATCH(Z$1,BS연결H,0),0)/100,"")</f>
        <v/>
      </c>
      <c r="AA13" s="18">
        <f>IFERROR(VLOOKUP($D13,BS연결,MATCH(AA$1,BS연결H,0),0)/100,"")</f>
        <v/>
      </c>
      <c r="AB13" s="19">
        <f>IFERROR(VLOOKUP($D13,BS연결,MATCH(AB$1,BS연결H,0),0)/100,"")</f>
        <v/>
      </c>
      <c r="AC13" s="20">
        <f>변수!AC24</f>
        <v/>
      </c>
      <c r="AD13" s="20">
        <f>변수!AD24</f>
        <v/>
      </c>
      <c r="AE13" s="38">
        <f>SUM(AA13:AD13)</f>
        <v/>
      </c>
      <c r="AF13" s="20">
        <f>변수!AF24</f>
        <v/>
      </c>
      <c r="AG13" s="20">
        <f>변수!AG24</f>
        <v/>
      </c>
      <c r="AH13" s="20">
        <f>변수!AH24</f>
        <v/>
      </c>
      <c r="AI13" s="20">
        <f>변수!AI24</f>
        <v/>
      </c>
      <c r="AJ13" s="38">
        <f>SUM(AF13:AI13)</f>
        <v/>
      </c>
      <c r="AK13" s="20">
        <f>변수!AK24</f>
        <v/>
      </c>
      <c r="AL13" s="20">
        <f>변수!AL24</f>
        <v/>
      </c>
      <c r="AM13" s="20">
        <f>변수!AM24</f>
        <v/>
      </c>
      <c r="AN13" s="20">
        <f>변수!AN24</f>
        <v/>
      </c>
      <c r="AO13" s="38">
        <f>SUM(AK13:AN13)</f>
        <v/>
      </c>
    </row>
    <row r="14">
      <c r="A14" s="12" t="inlineStr">
        <is>
          <t>세전이익</t>
        </is>
      </c>
      <c r="B14" t="inlineStr">
        <is>
          <t>손익</t>
        </is>
      </c>
      <c r="C14" t="inlineStr">
        <is>
          <t>억원</t>
        </is>
      </c>
      <c r="D14" t="inlineStr">
        <is>
          <t>법인세비용차감전계속사업이익</t>
        </is>
      </c>
      <c r="E14" s="18">
        <f>IFERROR(VLOOKUP($D14,BS연결,MATCH(E$1,BS연결H,0),0)/100,"")</f>
        <v/>
      </c>
      <c r="F14" s="37" t="n"/>
      <c r="G14" s="18">
        <f>IFERROR(VLOOKUP($D14,BS연결,MATCH(G$1,BS연결H,0),0)/100,"")</f>
        <v/>
      </c>
      <c r="H14" s="18">
        <f>IFERROR(VLOOKUP($D14,BS연결,MATCH(H$1,BS연결H,0),0)/100,"")</f>
        <v/>
      </c>
      <c r="I14" s="18">
        <f>IFERROR(VLOOKUP($D14,BS연결,MATCH(I$1,BS연결H,0),0)/100,"")</f>
        <v/>
      </c>
      <c r="J14" s="18">
        <f>IFERROR(VLOOKUP($D14,BS연결,MATCH(J$1,BS연결H,0),0)/100,"")</f>
        <v/>
      </c>
      <c r="K14" s="37">
        <f>IFERROR(VLOOKUP($D14,BS연결,MATCH(K$1,BS연결H,0),0)/100,"")</f>
        <v/>
      </c>
      <c r="L14" s="18">
        <f>IFERROR(VLOOKUP($D14,BS연결,MATCH(L$1,BS연결H,0),0)/100,"")</f>
        <v/>
      </c>
      <c r="M14" s="18">
        <f>IFERROR(VLOOKUP($D14,BS연결,MATCH(M$1,BS연결H,0),0)/100,"")</f>
        <v/>
      </c>
      <c r="N14" s="18">
        <f>IFERROR(VLOOKUP($D14,BS연결,MATCH(N$1,BS연결H,0),0)/100,"")</f>
        <v/>
      </c>
      <c r="O14" s="18">
        <f>IFERROR(VLOOKUP($D14,BS연결,MATCH(O$1,BS연결H,0),0)/100,"")</f>
        <v/>
      </c>
      <c r="P14" s="37">
        <f>IFERROR(VLOOKUP($D14,BS연결,MATCH(P$1,BS연결H,0),0)/100,"")</f>
        <v/>
      </c>
      <c r="Q14" s="18">
        <f>IFERROR(VLOOKUP($D14,BS연결,MATCH(Q$1,BS연결H,0),0)/100,"")</f>
        <v/>
      </c>
      <c r="R14" s="18">
        <f>IFERROR(VLOOKUP($D14,BS연결,MATCH(R$1,BS연결H,0),0)/100,"")</f>
        <v/>
      </c>
      <c r="S14" s="18">
        <f>IFERROR(VLOOKUP($D14,BS연결,MATCH(S$1,BS연결H,0),0)/100,"")</f>
        <v/>
      </c>
      <c r="T14" s="18">
        <f>IFERROR(VLOOKUP($D14,BS연결,MATCH(T$1,BS연결H,0),0)/100,"")</f>
        <v/>
      </c>
      <c r="U14" s="37">
        <f>IFERROR(VLOOKUP($D14,BS연결,MATCH(U$1,BS연결H,0),0)/100,"")</f>
        <v/>
      </c>
      <c r="V14" s="18">
        <f>IFERROR(VLOOKUP($D14,BS연결,MATCH(V$1,BS연결H,0),0)/100,"")</f>
        <v/>
      </c>
      <c r="W14" s="18">
        <f>IFERROR(VLOOKUP($D14,BS연결,MATCH(W$1,BS연결H,0),0)/100,"")</f>
        <v/>
      </c>
      <c r="X14" s="18">
        <f>IFERROR(VLOOKUP($D14,BS연결,MATCH(X$1,BS연결H,0),0)/100,"")</f>
        <v/>
      </c>
      <c r="Y14" s="18">
        <f>IFERROR(VLOOKUP($D14,BS연결,MATCH(Y$1,BS연결H,0),0)/100,"")</f>
        <v/>
      </c>
      <c r="Z14" s="37">
        <f>SUM(V14:Y14)</f>
        <v/>
      </c>
      <c r="AA14" s="18">
        <f>IFERROR(VLOOKUP($D14,BS연결,MATCH(AA$1,BS연결H,0),0)/100,"")</f>
        <v/>
      </c>
      <c r="AB14" s="19">
        <f>IFERROR(VLOOKUP($D14,BS연결,MATCH(AB$1,BS연결H,0),0)/100,"")</f>
        <v/>
      </c>
      <c r="AC14" s="20">
        <f>IFERROR(AC9+AC11+AC13,"")</f>
        <v/>
      </c>
      <c r="AD14" s="20">
        <f>IFERROR(AD9+AD11+AD13,"")</f>
        <v/>
      </c>
      <c r="AE14" s="38">
        <f>SUM(AA14:AD14)</f>
        <v/>
      </c>
      <c r="AF14" s="20">
        <f>IFERROR(AF9+AF11+AF13,"")</f>
        <v/>
      </c>
      <c r="AG14" s="20">
        <f>IFERROR(AG9+AG11+AG13,"")</f>
        <v/>
      </c>
      <c r="AH14" s="20">
        <f>IFERROR(AH9+AH11+AH13,"")</f>
        <v/>
      </c>
      <c r="AI14" s="20">
        <f>IFERROR(AI9+AI11+AI13,"")</f>
        <v/>
      </c>
      <c r="AJ14" s="38">
        <f>SUM(AF14:AI14)</f>
        <v/>
      </c>
      <c r="AK14" s="20">
        <f>IFERROR(AK9+AK11+AK13,"")</f>
        <v/>
      </c>
      <c r="AL14" s="20">
        <f>IFERROR(AL9+AL11+AL13,"")</f>
        <v/>
      </c>
      <c r="AM14" s="20">
        <f>IFERROR(AM9+AM11+AM13,"")</f>
        <v/>
      </c>
      <c r="AN14" s="20">
        <f>IFERROR(AN9+AN11+AN13,"")</f>
        <v/>
      </c>
      <c r="AO14" s="38">
        <f>SUM(AK14:AN14)</f>
        <v/>
      </c>
    </row>
    <row r="15">
      <c r="A15" s="12" t="inlineStr">
        <is>
          <t>법인세비용</t>
        </is>
      </c>
      <c r="B15" t="inlineStr">
        <is>
          <t>손익</t>
        </is>
      </c>
      <c r="C15" t="inlineStr">
        <is>
          <t>억원</t>
        </is>
      </c>
      <c r="D15" t="inlineStr">
        <is>
          <t>법인세비용</t>
        </is>
      </c>
      <c r="E15" s="18">
        <f>IFERROR(VLOOKUP($D15,BS연결,MATCH(E$1,BS연결H,0),0)/100,"")</f>
        <v/>
      </c>
      <c r="F15" s="37" t="n"/>
      <c r="G15" s="18">
        <f>IFERROR(VLOOKUP($D15,BS연결,MATCH(G$1,BS연결H,0),0)/100,"")</f>
        <v/>
      </c>
      <c r="H15" s="18">
        <f>IFERROR(VLOOKUP($D15,BS연결,MATCH(H$1,BS연결H,0),0)/100,"")</f>
        <v/>
      </c>
      <c r="I15" s="18">
        <f>IFERROR(VLOOKUP($D15,BS연결,MATCH(I$1,BS연결H,0),0)/100,"")</f>
        <v/>
      </c>
      <c r="J15" s="18">
        <f>IFERROR(VLOOKUP($D15,BS연결,MATCH(J$1,BS연결H,0),0)/100,"")</f>
        <v/>
      </c>
      <c r="K15" s="37">
        <f>IFERROR(VLOOKUP($D15,BS연결,MATCH(K$1,BS연결H,0),0)/100,"")</f>
        <v/>
      </c>
      <c r="L15" s="18">
        <f>IFERROR(VLOOKUP($D15,BS연결,MATCH(L$1,BS연결H,0),0)/100,"")</f>
        <v/>
      </c>
      <c r="M15" s="18">
        <f>IFERROR(VLOOKUP($D15,BS연결,MATCH(M$1,BS연결H,0),0)/100,"")</f>
        <v/>
      </c>
      <c r="N15" s="18">
        <f>IFERROR(VLOOKUP($D15,BS연결,MATCH(N$1,BS연결H,0),0)/100,"")</f>
        <v/>
      </c>
      <c r="O15" s="18">
        <f>IFERROR(VLOOKUP($D15,BS연결,MATCH(O$1,BS연결H,0),0)/100,"")</f>
        <v/>
      </c>
      <c r="P15" s="37">
        <f>IFERROR(VLOOKUP($D15,BS연결,MATCH(P$1,BS연결H,0),0)/100,"")</f>
        <v/>
      </c>
      <c r="Q15" s="18">
        <f>IFERROR(VLOOKUP($D15,BS연결,MATCH(Q$1,BS연결H,0),0)/100,"")</f>
        <v/>
      </c>
      <c r="R15" s="18">
        <f>IFERROR(VLOOKUP($D15,BS연결,MATCH(R$1,BS연결H,0),0)/100,"")</f>
        <v/>
      </c>
      <c r="S15" s="18">
        <f>IFERROR(VLOOKUP($D15,BS연결,MATCH(S$1,BS연결H,0),0)/100,"")</f>
        <v/>
      </c>
      <c r="T15" s="18">
        <f>IFERROR(VLOOKUP($D15,BS연결,MATCH(T$1,BS연결H,0),0)/100,"")</f>
        <v/>
      </c>
      <c r="U15" s="37">
        <f>IFERROR(VLOOKUP($D15,BS연결,MATCH(U$1,BS연결H,0),0)/100,"")</f>
        <v/>
      </c>
      <c r="V15" s="18">
        <f>IFERROR(VLOOKUP($D15,BS연결,MATCH(V$1,BS연결H,0),0)/100,"")</f>
        <v/>
      </c>
      <c r="W15" s="18">
        <f>IFERROR(VLOOKUP($D15,BS연결,MATCH(W$1,BS연결H,0),0)/100,"")</f>
        <v/>
      </c>
      <c r="X15" s="18">
        <f>IFERROR(VLOOKUP($D15,BS연결,MATCH(X$1,BS연결H,0),0)/100,"")</f>
        <v/>
      </c>
      <c r="Y15" s="18">
        <f>IFERROR(VLOOKUP($D15,BS연결,MATCH(Y$1,BS연결H,0),0)/100,"")</f>
        <v/>
      </c>
      <c r="Z15" s="37">
        <f>IFERROR(VLOOKUP($D15,BS연결,MATCH(Z$1,BS연결H,0),0)/100,"")</f>
        <v/>
      </c>
      <c r="AA15" s="18">
        <f>IFERROR(VLOOKUP($D15,BS연결,MATCH(AA$1,BS연결H,0),0)/100,"")</f>
        <v/>
      </c>
      <c r="AB15" s="19">
        <f>IFERROR(VLOOKUP($D15,BS연결,MATCH(AB$1,BS연결H,0),0)/100,"")</f>
        <v/>
      </c>
      <c r="AC15" s="20">
        <f>IFERROR(MAX(AC14,0)*변수!AC25,"")</f>
        <v/>
      </c>
      <c r="AD15" s="20">
        <f>IFERROR(MAX(AD14,0)*변수!AD25,"")</f>
        <v/>
      </c>
      <c r="AE15" s="38">
        <f>SUM(AA15:AD15)</f>
        <v/>
      </c>
      <c r="AF15" s="20">
        <f>IFERROR(MAX(AF14,0)*변수!AF25,"")</f>
        <v/>
      </c>
      <c r="AG15" s="20">
        <f>IFERROR(MAX(AG14,0)*변수!AG25,"")</f>
        <v/>
      </c>
      <c r="AH15" s="20">
        <f>IFERROR(MAX(AH14,0)*변수!AH25,"")</f>
        <v/>
      </c>
      <c r="AI15" s="20">
        <f>IFERROR(MAX(AI14,0)*변수!AI25,"")</f>
        <v/>
      </c>
      <c r="AJ15" s="38">
        <f>SUM(AF15:AI15)</f>
        <v/>
      </c>
      <c r="AK15" s="20">
        <f>IFERROR(MAX(AK14,0)*변수!AK25,"")</f>
        <v/>
      </c>
      <c r="AL15" s="20">
        <f>IFERROR(MAX(AL14,0)*변수!AL25,"")</f>
        <v/>
      </c>
      <c r="AM15" s="20">
        <f>IFERROR(MAX(AM14,0)*변수!AM25,"")</f>
        <v/>
      </c>
      <c r="AN15" s="20">
        <f>IFERROR(MAX(AN14,0)*변수!AN25,"")</f>
        <v/>
      </c>
      <c r="AO15" s="38">
        <f>SUM(AK15:AN15)</f>
        <v/>
      </c>
    </row>
    <row r="16">
      <c r="A16" s="12" t="inlineStr">
        <is>
          <t>당기순이익</t>
        </is>
      </c>
      <c r="B16" t="inlineStr">
        <is>
          <t>손익</t>
        </is>
      </c>
      <c r="C16" t="inlineStr">
        <is>
          <t>억원</t>
        </is>
      </c>
      <c r="D16" t="inlineStr">
        <is>
          <t>당기순이익</t>
        </is>
      </c>
      <c r="E16" s="18">
        <f>IFERROR(VLOOKUP($D16,BS연결,MATCH(E$1,BS연결H,0),0)/100,"")</f>
        <v/>
      </c>
      <c r="F16" s="37" t="n"/>
      <c r="G16" s="18">
        <f>IFERROR(VLOOKUP($D16,BS연결,MATCH(G$1,BS연결H,0),0)/100,"")</f>
        <v/>
      </c>
      <c r="H16" s="18">
        <f>IFERROR(VLOOKUP($D16,BS연결,MATCH(H$1,BS연결H,0),0)/100,"")</f>
        <v/>
      </c>
      <c r="I16" s="18">
        <f>IFERROR(VLOOKUP($D16,BS연결,MATCH(I$1,BS연결H,0),0)/100,"")</f>
        <v/>
      </c>
      <c r="J16" s="18">
        <f>IFERROR(VLOOKUP($D16,BS연결,MATCH(J$1,BS연결H,0),0)/100,"")</f>
        <v/>
      </c>
      <c r="K16" s="37">
        <f>IFERROR(VLOOKUP($D16,BS연결,MATCH(K$1,BS연결H,0),0)/100,"")</f>
        <v/>
      </c>
      <c r="L16" s="18">
        <f>IFERROR(VLOOKUP($D16,BS연결,MATCH(L$1,BS연결H,0),0)/100,"")</f>
        <v/>
      </c>
      <c r="M16" s="18">
        <f>IFERROR(VLOOKUP($D16,BS연결,MATCH(M$1,BS연결H,0),0)/100,"")</f>
        <v/>
      </c>
      <c r="N16" s="18">
        <f>IFERROR(VLOOKUP($D16,BS연결,MATCH(N$1,BS연결H,0),0)/100,"")</f>
        <v/>
      </c>
      <c r="O16" s="18">
        <f>IFERROR(VLOOKUP($D16,BS연결,MATCH(O$1,BS연결H,0),0)/100,"")</f>
        <v/>
      </c>
      <c r="P16" s="37">
        <f>IFERROR(VLOOKUP($D16,BS연결,MATCH(P$1,BS연결H,0),0)/100,"")</f>
        <v/>
      </c>
      <c r="Q16" s="18">
        <f>IFERROR(VLOOKUP($D16,BS연결,MATCH(Q$1,BS연결H,0),0)/100,"")</f>
        <v/>
      </c>
      <c r="R16" s="18">
        <f>IFERROR(VLOOKUP($D16,BS연결,MATCH(R$1,BS연결H,0),0)/100,"")</f>
        <v/>
      </c>
      <c r="S16" s="18">
        <f>IFERROR(VLOOKUP($D16,BS연결,MATCH(S$1,BS연결H,0),0)/100,"")</f>
        <v/>
      </c>
      <c r="T16" s="18">
        <f>IFERROR(VLOOKUP($D16,BS연결,MATCH(T$1,BS연결H,0),0)/100,"")</f>
        <v/>
      </c>
      <c r="U16" s="37">
        <f>IFERROR(VLOOKUP($D16,BS연결,MATCH(U$1,BS연결H,0),0)/100,"")</f>
        <v/>
      </c>
      <c r="V16" s="18">
        <f>IFERROR(VLOOKUP($D16,BS연결,MATCH(V$1,BS연결H,0),0)/100,"")</f>
        <v/>
      </c>
      <c r="W16" s="18">
        <f>IFERROR(VLOOKUP($D16,BS연결,MATCH(W$1,BS연결H,0),0)/100,"")</f>
        <v/>
      </c>
      <c r="X16" s="18">
        <f>IFERROR(VLOOKUP($D16,BS연결,MATCH(X$1,BS연결H,0),0)/100,"")</f>
        <v/>
      </c>
      <c r="Y16" s="18">
        <f>IFERROR(VLOOKUP($D16,BS연결,MATCH(Y$1,BS연결H,0),0)/100,"")</f>
        <v/>
      </c>
      <c r="Z16" s="37">
        <f>IFERROR(VLOOKUP($D16,BS연결,MATCH(Z$1,BS연결H,0),0)/100,"")</f>
        <v/>
      </c>
      <c r="AA16" s="18">
        <f>IFERROR(VLOOKUP($D16,BS연결,MATCH(AA$1,BS연결H,0),0)/100,"")</f>
        <v/>
      </c>
      <c r="AB16" s="19">
        <f>IFERROR(VLOOKUP($D16,BS연결,MATCH(AB$1,BS연결H,0),0)/100,"")</f>
        <v/>
      </c>
      <c r="AC16" s="20">
        <f>IFERROR(AC14-AC15,"")</f>
        <v/>
      </c>
      <c r="AD16" s="20">
        <f>IFERROR(AD14-AD15,"")</f>
        <v/>
      </c>
      <c r="AE16" s="38">
        <f>SUM(AA16:AD16)</f>
        <v/>
      </c>
      <c r="AF16" s="20">
        <f>IFERROR(AF14-AF15,"")</f>
        <v/>
      </c>
      <c r="AG16" s="20">
        <f>IFERROR(AG14-AG15,"")</f>
        <v/>
      </c>
      <c r="AH16" s="20">
        <f>IFERROR(AH14-AH15,"")</f>
        <v/>
      </c>
      <c r="AI16" s="20">
        <f>IFERROR(AI14-AI15,"")</f>
        <v/>
      </c>
      <c r="AJ16" s="38">
        <f>SUM(AF16:AI16)</f>
        <v/>
      </c>
      <c r="AK16" s="20">
        <f>IFERROR(AK14-AK15,"")</f>
        <v/>
      </c>
      <c r="AL16" s="20">
        <f>IFERROR(AL14-AL15,"")</f>
        <v/>
      </c>
      <c r="AM16" s="20">
        <f>IFERROR(AM14-AM15,"")</f>
        <v/>
      </c>
      <c r="AN16" s="20">
        <f>IFERROR(AN14-AN15,"")</f>
        <v/>
      </c>
      <c r="AO16" s="38">
        <f>SUM(AK16:AN16)</f>
        <v/>
      </c>
    </row>
    <row r="17">
      <c r="A17" s="12" t="inlineStr">
        <is>
          <t>지배주주순이익</t>
        </is>
      </c>
      <c r="B17" t="inlineStr">
        <is>
          <t>손익</t>
        </is>
      </c>
      <c r="C17" t="inlineStr">
        <is>
          <t>억원</t>
        </is>
      </c>
      <c r="D17" t="inlineStr">
        <is>
          <t>(지배주주지분)당기순이익</t>
        </is>
      </c>
      <c r="E17" s="18">
        <f>IFERROR(VLOOKUP($D17,BS연결,MATCH(E$1,BS연결H,0),0)/100,"")</f>
        <v/>
      </c>
      <c r="F17" s="37" t="n"/>
      <c r="G17" s="18">
        <f>IFERROR(VLOOKUP($D17,BS연결,MATCH(G$1,BS연결H,0),0)/100,"")</f>
        <v/>
      </c>
      <c r="H17" s="18">
        <f>IFERROR(VLOOKUP($D17,BS연결,MATCH(H$1,BS연결H,0),0)/100,"")</f>
        <v/>
      </c>
      <c r="I17" s="18">
        <f>IFERROR(VLOOKUP($D17,BS연결,MATCH(I$1,BS연결H,0),0)/100,"")</f>
        <v/>
      </c>
      <c r="J17" s="18">
        <f>IFERROR(VLOOKUP($D17,BS연결,MATCH(J$1,BS연결H,0),0)/100,"")</f>
        <v/>
      </c>
      <c r="K17" s="37">
        <f>IFERROR(VLOOKUP($D17,BS연결,MATCH(K$1,BS연결H,0),0)/100,"")</f>
        <v/>
      </c>
      <c r="L17" s="18">
        <f>IFERROR(VLOOKUP($D17,BS연결,MATCH(L$1,BS연결H,0),0)/100,"")</f>
        <v/>
      </c>
      <c r="M17" s="18">
        <f>IFERROR(VLOOKUP($D17,BS연결,MATCH(M$1,BS연결H,0),0)/100,"")</f>
        <v/>
      </c>
      <c r="N17" s="18">
        <f>IFERROR(VLOOKUP($D17,BS연결,MATCH(N$1,BS연결H,0),0)/100,"")</f>
        <v/>
      </c>
      <c r="O17" s="18">
        <f>IFERROR(VLOOKUP($D17,BS연결,MATCH(O$1,BS연결H,0),0)/100,"")</f>
        <v/>
      </c>
      <c r="P17" s="37">
        <f>IFERROR(VLOOKUP($D17,BS연결,MATCH(P$1,BS연결H,0),0)/100,"")</f>
        <v/>
      </c>
      <c r="Q17" s="18">
        <f>IFERROR(VLOOKUP($D17,BS연결,MATCH(Q$1,BS연결H,0),0)/100,"")</f>
        <v/>
      </c>
      <c r="R17" s="18">
        <f>IFERROR(VLOOKUP($D17,BS연결,MATCH(R$1,BS연결H,0),0)/100,"")</f>
        <v/>
      </c>
      <c r="S17" s="18">
        <f>IFERROR(VLOOKUP($D17,BS연결,MATCH(S$1,BS연결H,0),0)/100,"")</f>
        <v/>
      </c>
      <c r="T17" s="18">
        <f>IFERROR(VLOOKUP($D17,BS연결,MATCH(T$1,BS연결H,0),0)/100,"")</f>
        <v/>
      </c>
      <c r="U17" s="37">
        <f>IFERROR(VLOOKUP($D17,BS연결,MATCH(U$1,BS연결H,0),0)/100,"")</f>
        <v/>
      </c>
      <c r="V17" s="18">
        <f>IFERROR(VLOOKUP($D17,BS연결,MATCH(V$1,BS연결H,0),0)/100,"")</f>
        <v/>
      </c>
      <c r="W17" s="18">
        <f>IFERROR(VLOOKUP($D17,BS연결,MATCH(W$1,BS연결H,0),0)/100,"")</f>
        <v/>
      </c>
      <c r="X17" s="18">
        <f>IFERROR(VLOOKUP($D17,BS연결,MATCH(X$1,BS연결H,0),0)/100,"")</f>
        <v/>
      </c>
      <c r="Y17" s="18">
        <f>IFERROR(VLOOKUP($D17,BS연결,MATCH(Y$1,BS연결H,0),0)/100,"")</f>
        <v/>
      </c>
      <c r="Z17" s="37">
        <f>IFERROR(VLOOKUP($D17,BS연결,MATCH(Z$1,BS연결H,0),0)/100,"")</f>
        <v/>
      </c>
      <c r="AA17" s="18">
        <f>IFERROR(VLOOKUP($D17,BS연결,MATCH(AA$1,BS연결H,0),0)/100,"")</f>
        <v/>
      </c>
      <c r="AB17" s="19" t="n">
        <v>76.64</v>
      </c>
      <c r="AC17" s="20">
        <f>IFERROR(AC16*변수!AC26,"")</f>
        <v/>
      </c>
      <c r="AD17" s="20">
        <f>IFERROR(AD16*변수!AD26,"")</f>
        <v/>
      </c>
      <c r="AE17" s="38">
        <f>SUM(AA17:AD17)</f>
        <v/>
      </c>
      <c r="AF17" s="20">
        <f>IFERROR(AF16*변수!AF26,"")</f>
        <v/>
      </c>
      <c r="AG17" s="20">
        <f>IFERROR(AG16*변수!AG26,"")</f>
        <v/>
      </c>
      <c r="AH17" s="20">
        <f>IFERROR(AH16*변수!AH26,"")</f>
        <v/>
      </c>
      <c r="AI17" s="20">
        <f>IFERROR(AI16*변수!AI26,"")</f>
        <v/>
      </c>
      <c r="AJ17" s="38">
        <f>SUM(AF17:AI17)</f>
        <v/>
      </c>
      <c r="AK17" s="20">
        <f>IFERROR(AK16*변수!AK26,"")</f>
        <v/>
      </c>
      <c r="AL17" s="20">
        <f>IFERROR(AL16*변수!AL26,"")</f>
        <v/>
      </c>
      <c r="AM17" s="20">
        <f>IFERROR(AM16*변수!AM26,"")</f>
        <v/>
      </c>
      <c r="AN17" s="20">
        <f>IFERROR(AN16*변수!AN26,"")</f>
        <v/>
      </c>
      <c r="AO17" s="38">
        <f>SUM(AK17:AN17)</f>
        <v/>
      </c>
    </row>
    <row r="18">
      <c r="A18" s="12" t="inlineStr">
        <is>
          <t>감가상각비</t>
        </is>
      </c>
      <c r="B18" t="inlineStr">
        <is>
          <t>손익</t>
        </is>
      </c>
      <c r="C18" t="inlineStr">
        <is>
          <t>억원</t>
        </is>
      </c>
      <c r="D18" t="inlineStr">
        <is>
          <t>감가상각비</t>
        </is>
      </c>
      <c r="E18" s="18">
        <f>IFERROR(VLOOKUP($D18,BS연결,MATCH(E$1,BS연결H,0),0)/100,"")</f>
        <v/>
      </c>
      <c r="F18" s="37" t="n"/>
      <c r="G18" s="18">
        <f>IFERROR(VLOOKUP($D18,BS연결,MATCH(G$1,BS연결H,0),0)/100,"")</f>
        <v/>
      </c>
      <c r="H18" s="18">
        <f>IFERROR(VLOOKUP($D18,BS연결,MATCH(H$1,BS연결H,0),0)/100,"")</f>
        <v/>
      </c>
      <c r="I18" s="18">
        <f>IFERROR(VLOOKUP($D18,BS연결,MATCH(I$1,BS연결H,0),0)/100,"")</f>
        <v/>
      </c>
      <c r="J18" s="18">
        <f>IFERROR(VLOOKUP($D18,BS연결,MATCH(J$1,BS연결H,0),0)/100,"")</f>
        <v/>
      </c>
      <c r="K18" s="37">
        <f>IFERROR(VLOOKUP($D18,BS연결,MATCH(K$1,BS연결H,0),0)/100,"")</f>
        <v/>
      </c>
      <c r="L18" s="18">
        <f>IFERROR(VLOOKUP($D18,BS연결,MATCH(L$1,BS연결H,0),0)/100,"")</f>
        <v/>
      </c>
      <c r="M18" s="18">
        <f>IFERROR(VLOOKUP($D18,BS연결,MATCH(M$1,BS연결H,0),0)/100,"")</f>
        <v/>
      </c>
      <c r="N18" s="18" t="n"/>
      <c r="O18" s="18" t="n"/>
      <c r="P18" s="37">
        <f>SUM(L18:O18)</f>
        <v/>
      </c>
      <c r="Q18" s="18" t="n"/>
      <c r="R18" s="18" t="n"/>
      <c r="S18" s="18">
        <f>IFERROR(VLOOKUP($D18,BS연결,MATCH(S$1,BS연결H,0),0)/100,"")</f>
        <v/>
      </c>
      <c r="T18" s="18" t="n"/>
      <c r="U18" s="37">
        <f>SUM(Q18:T18)</f>
        <v/>
      </c>
      <c r="V18" s="18" t="n"/>
      <c r="W18" s="18" t="n"/>
      <c r="X18" s="18" t="n"/>
      <c r="Y18" s="18" t="n"/>
      <c r="Z18" s="37">
        <f>SUM(V18:Y18)</f>
        <v/>
      </c>
      <c r="AA18" s="18" t="n"/>
      <c r="AB18" s="19" t="n"/>
      <c r="AC18" s="20">
        <f>변수!AC27</f>
        <v/>
      </c>
      <c r="AD18" s="20">
        <f>변수!AD27</f>
        <v/>
      </c>
      <c r="AE18" s="38">
        <f>SUM(AA18:AD18)</f>
        <v/>
      </c>
      <c r="AF18" s="20">
        <f>변수!AF27</f>
        <v/>
      </c>
      <c r="AG18" s="20">
        <f>변수!AG27</f>
        <v/>
      </c>
      <c r="AH18" s="20">
        <f>변수!AH27</f>
        <v/>
      </c>
      <c r="AI18" s="20">
        <f>변수!AI27</f>
        <v/>
      </c>
      <c r="AJ18" s="38">
        <f>SUM(AF18:AI18)</f>
        <v/>
      </c>
      <c r="AK18" s="20">
        <f>변수!AK27</f>
        <v/>
      </c>
      <c r="AL18" s="20">
        <f>변수!AL27</f>
        <v/>
      </c>
      <c r="AM18" s="20">
        <f>변수!AM27</f>
        <v/>
      </c>
      <c r="AN18" s="20">
        <f>변수!AN27</f>
        <v/>
      </c>
      <c r="AO18" s="38">
        <f>SUM(AK18:AN18)</f>
        <v/>
      </c>
    </row>
    <row r="19">
      <c r="A19" s="12" t="inlineStr">
        <is>
          <t>EBITDA</t>
        </is>
      </c>
      <c r="B19" t="inlineStr">
        <is>
          <t>손익</t>
        </is>
      </c>
      <c r="C19" t="inlineStr">
        <is>
          <t>억원</t>
        </is>
      </c>
      <c r="D19" t="inlineStr">
        <is>
          <t>EBITDA</t>
        </is>
      </c>
      <c r="E19" s="18" t="n">
        <v>14.05</v>
      </c>
      <c r="F19" s="37" t="n"/>
      <c r="G19" s="18" t="n">
        <v>-8.35</v>
      </c>
      <c r="H19" s="18" t="n">
        <v>-9.77</v>
      </c>
      <c r="I19" s="18" t="n">
        <v>12.74</v>
      </c>
      <c r="J19" s="18" t="n">
        <v>-57.1</v>
      </c>
      <c r="K19" s="37">
        <f>SUM(G19:J19)</f>
        <v/>
      </c>
      <c r="L19" s="18" t="n">
        <v>0.88</v>
      </c>
      <c r="M19" s="18" t="n">
        <v>12.93</v>
      </c>
      <c r="N19" s="18" t="n"/>
      <c r="O19" s="18" t="n"/>
      <c r="P19" s="37">
        <f>SUM(L19:O19)</f>
        <v/>
      </c>
      <c r="Q19" s="18" t="n"/>
      <c r="R19" s="18" t="n"/>
      <c r="S19" s="18" t="n">
        <v>41.9</v>
      </c>
      <c r="T19" s="18" t="n"/>
      <c r="U19" s="37">
        <f>SUM(Q19:T19)</f>
        <v/>
      </c>
      <c r="V19" s="18" t="n"/>
      <c r="W19" s="18" t="n"/>
      <c r="X19" s="18" t="n"/>
      <c r="Y19" s="18" t="n"/>
      <c r="Z19" s="37">
        <f>SUM(V19:Y19)</f>
        <v/>
      </c>
      <c r="AA19" s="18" t="n"/>
      <c r="AB19" s="19" t="n"/>
      <c r="AC19" s="20">
        <f>IFERROR(AC9+AC18,"")</f>
        <v/>
      </c>
      <c r="AD19" s="20">
        <f>IFERROR(AD9+AD18,"")</f>
        <v/>
      </c>
      <c r="AE19" s="38">
        <f>SUM(AA19:AD19)</f>
        <v/>
      </c>
      <c r="AF19" s="20">
        <f>IFERROR(AF9+AF18,"")</f>
        <v/>
      </c>
      <c r="AG19" s="20">
        <f>IFERROR(AG9+AG18,"")</f>
        <v/>
      </c>
      <c r="AH19" s="20">
        <f>IFERROR(AH9+AH18,"")</f>
        <v/>
      </c>
      <c r="AI19" s="20">
        <f>IFERROR(AI9+AI18,"")</f>
        <v/>
      </c>
      <c r="AJ19" s="38">
        <f>SUM(AF19:AI19)</f>
        <v/>
      </c>
      <c r="AK19" s="20">
        <f>IFERROR(AK9+AK18,"")</f>
        <v/>
      </c>
      <c r="AL19" s="20">
        <f>IFERROR(AL9+AL18,"")</f>
        <v/>
      </c>
      <c r="AM19" s="20">
        <f>IFERROR(AM9+AM18,"")</f>
        <v/>
      </c>
      <c r="AN19" s="20">
        <f>IFERROR(AN9+AN18,"")</f>
        <v/>
      </c>
      <c r="AO19" s="38">
        <f>SUM(AK19:AN19)</f>
        <v/>
      </c>
    </row>
    <row r="20">
      <c r="A20" s="12" t="inlineStr">
        <is>
          <t>자산총계</t>
        </is>
      </c>
      <c r="B20" t="inlineStr">
        <is>
          <t>재무상태</t>
        </is>
      </c>
      <c r="C20" t="inlineStr">
        <is>
          <t>억원</t>
        </is>
      </c>
      <c r="D20" t="inlineStr">
        <is>
          <t>자산총계</t>
        </is>
      </c>
      <c r="E20" s="18">
        <f>IFERROR(VLOOKUP($D20,BS연결,MATCH(E$1,BS연결H,0),0)/100,"")</f>
        <v/>
      </c>
      <c r="F20" s="37">
        <f>IFERROR(VLOOKUP($D20,BS연결,MATCH(F$1,BS연결H,0),0)/100,"")</f>
        <v/>
      </c>
      <c r="G20" s="18">
        <f>IFERROR(VLOOKUP($D20,BS연결,MATCH(G$1,BS연결H,0),0)/100,"")</f>
        <v/>
      </c>
      <c r="H20" s="18">
        <f>IFERROR(VLOOKUP($D20,BS연결,MATCH(H$1,BS연결H,0),0)/100,"")</f>
        <v/>
      </c>
      <c r="I20" s="18">
        <f>IFERROR(VLOOKUP($D20,BS연결,MATCH(I$1,BS연결H,0),0)/100,"")</f>
        <v/>
      </c>
      <c r="J20" s="18">
        <f>IFERROR(VLOOKUP($D20,BS연결,MATCH(J$1,BS연결H,0),0)/100,"")</f>
        <v/>
      </c>
      <c r="K20" s="37">
        <f>IFERROR(VLOOKUP($D20,BS연결,MATCH(K$1,BS연결H,0),0)/100,"")</f>
        <v/>
      </c>
      <c r="L20" s="18">
        <f>IFERROR(VLOOKUP($D20,BS연결,MATCH(L$1,BS연결H,0),0)/100,"")</f>
        <v/>
      </c>
      <c r="M20" s="18">
        <f>IFERROR(VLOOKUP($D20,BS연결,MATCH(M$1,BS연결H,0),0)/100,"")</f>
        <v/>
      </c>
      <c r="N20" s="18">
        <f>IFERROR(VLOOKUP($D20,BS연결,MATCH(N$1,BS연결H,0),0)/100,"")</f>
        <v/>
      </c>
      <c r="O20" s="18">
        <f>IFERROR(VLOOKUP($D20,BS연결,MATCH(O$1,BS연결H,0),0)/100,"")</f>
        <v/>
      </c>
      <c r="P20" s="37">
        <f>IFERROR(VLOOKUP($D20,BS연결,MATCH(P$1,BS연결H,0),0)/100,"")</f>
        <v/>
      </c>
      <c r="Q20" s="18">
        <f>IFERROR(VLOOKUP($D20,BS연결,MATCH(Q$1,BS연결H,0),0)/100,"")</f>
        <v/>
      </c>
      <c r="R20" s="18">
        <f>IFERROR(VLOOKUP($D20,BS연결,MATCH(R$1,BS연결H,0),0)/100,"")</f>
        <v/>
      </c>
      <c r="S20" s="18">
        <f>IFERROR(VLOOKUP($D20,BS연결,MATCH(S$1,BS연결H,0),0)/100,"")</f>
        <v/>
      </c>
      <c r="T20" s="18">
        <f>IFERROR(VLOOKUP($D20,BS연결,MATCH(T$1,BS연결H,0),0)/100,"")</f>
        <v/>
      </c>
      <c r="U20" s="37">
        <f>IFERROR(VLOOKUP($D20,BS연결,MATCH(U$1,BS연결H,0),0)/100,"")</f>
        <v/>
      </c>
      <c r="V20" s="18">
        <f>IFERROR(VLOOKUP($D20,BS연결,MATCH(V$1,BS연결H,0),0)/100,"")</f>
        <v/>
      </c>
      <c r="W20" s="18">
        <f>IFERROR(VLOOKUP($D20,BS연결,MATCH(W$1,BS연결H,0),0)/100,"")</f>
        <v/>
      </c>
      <c r="X20" s="18">
        <f>IFERROR(VLOOKUP($D20,BS연결,MATCH(X$1,BS연결H,0),0)/100,"")</f>
        <v/>
      </c>
      <c r="Y20" s="18">
        <f>IFERROR(VLOOKUP($D20,BS연결,MATCH(Y$1,BS연결H,0),0)/100,"")</f>
        <v/>
      </c>
      <c r="Z20" s="37">
        <f>IFERROR(VLOOKUP($D20,BS연결,MATCH(Z$1,BS연결H,0),0)/100,"")</f>
        <v/>
      </c>
      <c r="AA20" s="18">
        <f>IFERROR(VLOOKUP($D20,BS연결,MATCH(AA$1,BS연결H,0),0)/100,"")</f>
        <v/>
      </c>
      <c r="AB20" s="19">
        <f>IFERROR(VLOOKUP($D20,BS연결,MATCH(AB$1,BS연결H,0),0)/100,"")</f>
        <v/>
      </c>
      <c r="AC20" s="20">
        <f>IFERROR(AC21+AC22,"")</f>
        <v/>
      </c>
      <c r="AD20" s="20">
        <f>IFERROR(AD21+AD22,"")</f>
        <v/>
      </c>
      <c r="AE20" s="38">
        <f>AD20</f>
        <v/>
      </c>
      <c r="AF20" s="20">
        <f>IFERROR(AF21+AF22,"")</f>
        <v/>
      </c>
      <c r="AG20" s="20">
        <f>IFERROR(AG21+AG22,"")</f>
        <v/>
      </c>
      <c r="AH20" s="20">
        <f>IFERROR(AH21+AH22,"")</f>
        <v/>
      </c>
      <c r="AI20" s="20">
        <f>IFERROR(AI21+AI22,"")</f>
        <v/>
      </c>
      <c r="AJ20" s="38">
        <f>AI20</f>
        <v/>
      </c>
      <c r="AK20" s="20">
        <f>IFERROR(AK21+AK22,"")</f>
        <v/>
      </c>
      <c r="AL20" s="20">
        <f>IFERROR(AL21+AL22,"")</f>
        <v/>
      </c>
      <c r="AM20" s="20">
        <f>IFERROR(AM21+AM22,"")</f>
        <v/>
      </c>
      <c r="AN20" s="20">
        <f>IFERROR(AN21+AN22,"")</f>
        <v/>
      </c>
      <c r="AO20" s="38">
        <f>AN20</f>
        <v/>
      </c>
    </row>
    <row r="21">
      <c r="A21" s="12" t="inlineStr">
        <is>
          <t>부채총계</t>
        </is>
      </c>
      <c r="B21" t="inlineStr">
        <is>
          <t>재무상태</t>
        </is>
      </c>
      <c r="C21" t="inlineStr">
        <is>
          <t>억원</t>
        </is>
      </c>
      <c r="D21" t="inlineStr">
        <is>
          <t>부채총계</t>
        </is>
      </c>
      <c r="E21" s="18">
        <f>IFERROR(VLOOKUP($D21,BS연결,MATCH(E$1,BS연결H,0),0)/100,"")</f>
        <v/>
      </c>
      <c r="F21" s="37">
        <f>IFERROR(VLOOKUP($D21,BS연결,MATCH(F$1,BS연결H,0),0)/100,"")</f>
        <v/>
      </c>
      <c r="G21" s="18">
        <f>IFERROR(VLOOKUP($D21,BS연결,MATCH(G$1,BS연결H,0),0)/100,"")</f>
        <v/>
      </c>
      <c r="H21" s="18">
        <f>IFERROR(VLOOKUP($D21,BS연결,MATCH(H$1,BS연결H,0),0)/100,"")</f>
        <v/>
      </c>
      <c r="I21" s="18">
        <f>IFERROR(VLOOKUP($D21,BS연결,MATCH(I$1,BS연결H,0),0)/100,"")</f>
        <v/>
      </c>
      <c r="J21" s="18">
        <f>IFERROR(VLOOKUP($D21,BS연결,MATCH(J$1,BS연결H,0),0)/100,"")</f>
        <v/>
      </c>
      <c r="K21" s="37">
        <f>IFERROR(VLOOKUP($D21,BS연결,MATCH(K$1,BS연결H,0),0)/100,"")</f>
        <v/>
      </c>
      <c r="L21" s="18">
        <f>IFERROR(VLOOKUP($D21,BS연결,MATCH(L$1,BS연결H,0),0)/100,"")</f>
        <v/>
      </c>
      <c r="M21" s="18">
        <f>IFERROR(VLOOKUP($D21,BS연결,MATCH(M$1,BS연결H,0),0)/100,"")</f>
        <v/>
      </c>
      <c r="N21" s="18">
        <f>IFERROR(VLOOKUP($D21,BS연결,MATCH(N$1,BS연결H,0),0)/100,"")</f>
        <v/>
      </c>
      <c r="O21" s="18">
        <f>IFERROR(VLOOKUP($D21,BS연결,MATCH(O$1,BS연결H,0),0)/100,"")</f>
        <v/>
      </c>
      <c r="P21" s="37">
        <f>IFERROR(VLOOKUP($D21,BS연결,MATCH(P$1,BS연결H,0),0)/100,"")</f>
        <v/>
      </c>
      <c r="Q21" s="18">
        <f>IFERROR(VLOOKUP($D21,BS연결,MATCH(Q$1,BS연결H,0),0)/100,"")</f>
        <v/>
      </c>
      <c r="R21" s="18">
        <f>IFERROR(VLOOKUP($D21,BS연결,MATCH(R$1,BS연결H,0),0)/100,"")</f>
        <v/>
      </c>
      <c r="S21" s="18">
        <f>IFERROR(VLOOKUP($D21,BS연결,MATCH(S$1,BS연결H,0),0)/100,"")</f>
        <v/>
      </c>
      <c r="T21" s="18">
        <f>IFERROR(VLOOKUP($D21,BS연결,MATCH(T$1,BS연결H,0),0)/100,"")</f>
        <v/>
      </c>
      <c r="U21" s="37">
        <f>IFERROR(VLOOKUP($D21,BS연결,MATCH(U$1,BS연결H,0),0)/100,"")</f>
        <v/>
      </c>
      <c r="V21" s="18">
        <f>IFERROR(VLOOKUP($D21,BS연결,MATCH(V$1,BS연결H,0),0)/100,"")</f>
        <v/>
      </c>
      <c r="W21" s="18">
        <f>IFERROR(VLOOKUP($D21,BS연결,MATCH(W$1,BS연결H,0),0)/100,"")</f>
        <v/>
      </c>
      <c r="X21" s="18">
        <f>IFERROR(VLOOKUP($D21,BS연결,MATCH(X$1,BS연결H,0),0)/100,"")</f>
        <v/>
      </c>
      <c r="Y21" s="18">
        <f>IFERROR(VLOOKUP($D21,BS연결,MATCH(Y$1,BS연결H,0),0)/100,"")</f>
        <v/>
      </c>
      <c r="Z21" s="37">
        <f>IFERROR(VLOOKUP($D21,BS연결,MATCH(Z$1,BS연결H,0),0)/100,"")</f>
        <v/>
      </c>
      <c r="AA21" s="18">
        <f>IFERROR(VLOOKUP($D21,BS연결,MATCH(AA$1,BS연결H,0),0)/100,"")</f>
        <v/>
      </c>
      <c r="AB21" s="19">
        <f>IFERROR(VLOOKUP($D21,BS연결,MATCH(AB$1,BS연결H,0),0)/100,"")</f>
        <v/>
      </c>
      <c r="AC21" s="20">
        <f>IFERROR(AB21*(1+변수!AC28),"")</f>
        <v/>
      </c>
      <c r="AD21" s="20">
        <f>IFERROR(AC21*(1+변수!AD28),"")</f>
        <v/>
      </c>
      <c r="AE21" s="38">
        <f>AD21</f>
        <v/>
      </c>
      <c r="AF21" s="20">
        <f>IFERROR(AD21*(1+변수!AF28),"")</f>
        <v/>
      </c>
      <c r="AG21" s="20">
        <f>IFERROR(AF21*(1+변수!AG28),"")</f>
        <v/>
      </c>
      <c r="AH21" s="20">
        <f>IFERROR(AG21*(1+변수!AH28),"")</f>
        <v/>
      </c>
      <c r="AI21" s="20">
        <f>IFERROR(AH21*(1+변수!AI28),"")</f>
        <v/>
      </c>
      <c r="AJ21" s="38">
        <f>AI21</f>
        <v/>
      </c>
      <c r="AK21" s="20">
        <f>IFERROR(AI21*(1+변수!AK28),"")</f>
        <v/>
      </c>
      <c r="AL21" s="20">
        <f>IFERROR(AK21*(1+변수!AL28),"")</f>
        <v/>
      </c>
      <c r="AM21" s="20">
        <f>IFERROR(AL21*(1+변수!AM28),"")</f>
        <v/>
      </c>
      <c r="AN21" s="20">
        <f>IFERROR(AM21*(1+변수!AN28),"")</f>
        <v/>
      </c>
      <c r="AO21" s="38">
        <f>AN21</f>
        <v/>
      </c>
    </row>
    <row r="22">
      <c r="A22" s="12" t="inlineStr">
        <is>
          <t>자본총계</t>
        </is>
      </c>
      <c r="B22" t="inlineStr">
        <is>
          <t>재무상태</t>
        </is>
      </c>
      <c r="C22" t="inlineStr">
        <is>
          <t>억원</t>
        </is>
      </c>
      <c r="D22" t="inlineStr">
        <is>
          <t>자본총계</t>
        </is>
      </c>
      <c r="E22" s="18">
        <f>IFERROR(VLOOKUP($D22,BS연결,MATCH(E$1,BS연결H,0),0)/100,"")</f>
        <v/>
      </c>
      <c r="F22" s="37">
        <f>IFERROR(VLOOKUP($D22,BS연결,MATCH(F$1,BS연결H,0),0)/100,"")</f>
        <v/>
      </c>
      <c r="G22" s="18">
        <f>IFERROR(VLOOKUP($D22,BS연결,MATCH(G$1,BS연결H,0),0)/100,"")</f>
        <v/>
      </c>
      <c r="H22" s="18">
        <f>IFERROR(VLOOKUP($D22,BS연결,MATCH(H$1,BS연결H,0),0)/100,"")</f>
        <v/>
      </c>
      <c r="I22" s="18">
        <f>IFERROR(VLOOKUP($D22,BS연결,MATCH(I$1,BS연결H,0),0)/100,"")</f>
        <v/>
      </c>
      <c r="J22" s="18">
        <f>IFERROR(VLOOKUP($D22,BS연결,MATCH(J$1,BS연결H,0),0)/100,"")</f>
        <v/>
      </c>
      <c r="K22" s="37">
        <f>IFERROR(VLOOKUP($D22,BS연결,MATCH(K$1,BS연결H,0),0)/100,"")</f>
        <v/>
      </c>
      <c r="L22" s="18">
        <f>IFERROR(VLOOKUP($D22,BS연결,MATCH(L$1,BS연결H,0),0)/100,"")</f>
        <v/>
      </c>
      <c r="M22" s="18">
        <f>IFERROR(VLOOKUP($D22,BS연결,MATCH(M$1,BS연결H,0),0)/100,"")</f>
        <v/>
      </c>
      <c r="N22" s="18">
        <f>IFERROR(VLOOKUP($D22,BS연결,MATCH(N$1,BS연결H,0),0)/100,"")</f>
        <v/>
      </c>
      <c r="O22" s="18">
        <f>IFERROR(VLOOKUP($D22,BS연결,MATCH(O$1,BS연결H,0),0)/100,"")</f>
        <v/>
      </c>
      <c r="P22" s="37">
        <f>IFERROR(VLOOKUP($D22,BS연결,MATCH(P$1,BS연결H,0),0)/100,"")</f>
        <v/>
      </c>
      <c r="Q22" s="18">
        <f>IFERROR(VLOOKUP($D22,BS연결,MATCH(Q$1,BS연결H,0),0)/100,"")</f>
        <v/>
      </c>
      <c r="R22" s="18">
        <f>IFERROR(VLOOKUP($D22,BS연결,MATCH(R$1,BS연결H,0),0)/100,"")</f>
        <v/>
      </c>
      <c r="S22" s="18">
        <f>IFERROR(VLOOKUP($D22,BS연결,MATCH(S$1,BS연결H,0),0)/100,"")</f>
        <v/>
      </c>
      <c r="T22" s="18">
        <f>IFERROR(VLOOKUP($D22,BS연결,MATCH(T$1,BS연결H,0),0)/100,"")</f>
        <v/>
      </c>
      <c r="U22" s="37">
        <f>IFERROR(VLOOKUP($D22,BS연결,MATCH(U$1,BS연결H,0),0)/100,"")</f>
        <v/>
      </c>
      <c r="V22" s="18">
        <f>IFERROR(VLOOKUP($D22,BS연결,MATCH(V$1,BS연결H,0),0)/100,"")</f>
        <v/>
      </c>
      <c r="W22" s="18">
        <f>IFERROR(VLOOKUP($D22,BS연결,MATCH(W$1,BS연결H,0),0)/100,"")</f>
        <v/>
      </c>
      <c r="X22" s="18">
        <f>IFERROR(VLOOKUP($D22,BS연결,MATCH(X$1,BS연결H,0),0)/100,"")</f>
        <v/>
      </c>
      <c r="Y22" s="18">
        <f>IFERROR(VLOOKUP($D22,BS연결,MATCH(Y$1,BS연결H,0),0)/100,"")</f>
        <v/>
      </c>
      <c r="Z22" s="37">
        <f>IFERROR(VLOOKUP($D22,BS연결,MATCH(Z$1,BS연결H,0),0)/100,"")</f>
        <v/>
      </c>
      <c r="AA22" s="18">
        <f>IFERROR(VLOOKUP($D22,BS연결,MATCH(AA$1,BS연결H,0),0)/100,"")</f>
        <v/>
      </c>
      <c r="AB22" s="19">
        <f>IFERROR(VLOOKUP($D22,BS연결,MATCH(AB$1,BS연결H,0),0)/100,"")</f>
        <v/>
      </c>
      <c r="AC22" s="20">
        <f>IFERROR(AB22+AC16-변수!AC29,"")</f>
        <v/>
      </c>
      <c r="AD22" s="20">
        <f>IFERROR(AC22+AD16-변수!AD29,"")</f>
        <v/>
      </c>
      <c r="AE22" s="38">
        <f>AD22</f>
        <v/>
      </c>
      <c r="AF22" s="20">
        <f>IFERROR(AD22+AF16-변수!AF29,"")</f>
        <v/>
      </c>
      <c r="AG22" s="20">
        <f>IFERROR(AF22+AG16-변수!AG29,"")</f>
        <v/>
      </c>
      <c r="AH22" s="20">
        <f>IFERROR(AG22+AH16-변수!AH29,"")</f>
        <v/>
      </c>
      <c r="AI22" s="20">
        <f>IFERROR(AH22+AI16-변수!AI29,"")</f>
        <v/>
      </c>
      <c r="AJ22" s="38">
        <f>AI22</f>
        <v/>
      </c>
      <c r="AK22" s="20">
        <f>IFERROR(AI22+AK16-변수!AK29,"")</f>
        <v/>
      </c>
      <c r="AL22" s="20">
        <f>IFERROR(AK22+AL16-변수!AL29,"")</f>
        <v/>
      </c>
      <c r="AM22" s="20">
        <f>IFERROR(AL22+AM16-변수!AM29,"")</f>
        <v/>
      </c>
      <c r="AN22" s="20">
        <f>IFERROR(AM22+AN16-변수!AN29,"")</f>
        <v/>
      </c>
      <c r="AO22" s="38">
        <f>AN22</f>
        <v/>
      </c>
    </row>
    <row r="23">
      <c r="A23" s="12" t="inlineStr">
        <is>
          <t>지배주주지분</t>
        </is>
      </c>
      <c r="B23" t="inlineStr">
        <is>
          <t>재무상태</t>
        </is>
      </c>
      <c r="C23" t="inlineStr">
        <is>
          <t>억원</t>
        </is>
      </c>
      <c r="D23" t="inlineStr">
        <is>
          <t>지배주주지분</t>
        </is>
      </c>
      <c r="E23" s="18">
        <f>IFERROR(VLOOKUP($D23,BS연결,MATCH(E$1,BS연결H,0),0)/100,"")</f>
        <v/>
      </c>
      <c r="F23" s="37">
        <f>IFERROR(VLOOKUP($D23,BS연결,MATCH(F$1,BS연결H,0),0)/100,"")</f>
        <v/>
      </c>
      <c r="G23" s="18">
        <f>IFERROR(VLOOKUP($D23,BS연결,MATCH(G$1,BS연결H,0),0)/100,"")</f>
        <v/>
      </c>
      <c r="H23" s="18">
        <f>IFERROR(VLOOKUP($D23,BS연결,MATCH(H$1,BS연결H,0),0)/100,"")</f>
        <v/>
      </c>
      <c r="I23" s="18">
        <f>IFERROR(VLOOKUP($D23,BS연결,MATCH(I$1,BS연결H,0),0)/100,"")</f>
        <v/>
      </c>
      <c r="J23" s="18">
        <f>IFERROR(VLOOKUP($D23,BS연결,MATCH(J$1,BS연결H,0),0)/100,"")</f>
        <v/>
      </c>
      <c r="K23" s="37">
        <f>IFERROR(VLOOKUP($D23,BS연결,MATCH(K$1,BS연결H,0),0)/100,"")</f>
        <v/>
      </c>
      <c r="L23" s="18">
        <f>IFERROR(VLOOKUP($D23,BS연결,MATCH(L$1,BS연결H,0),0)/100,"")</f>
        <v/>
      </c>
      <c r="M23" s="18">
        <f>IFERROR(VLOOKUP($D23,BS연결,MATCH(M$1,BS연결H,0),0)/100,"")</f>
        <v/>
      </c>
      <c r="N23" s="18">
        <f>IFERROR(VLOOKUP($D23,BS연결,MATCH(N$1,BS연결H,0),0)/100,"")</f>
        <v/>
      </c>
      <c r="O23" s="18">
        <f>IFERROR(VLOOKUP($D23,BS연결,MATCH(O$1,BS연결H,0),0)/100,"")</f>
        <v/>
      </c>
      <c r="P23" s="37">
        <f>IFERROR(VLOOKUP($D23,BS연결,MATCH(P$1,BS연결H,0),0)/100,"")</f>
        <v/>
      </c>
      <c r="Q23" s="18">
        <f>IFERROR(VLOOKUP($D23,BS연결,MATCH(Q$1,BS연결H,0),0)/100,"")</f>
        <v/>
      </c>
      <c r="R23" s="18">
        <f>IFERROR(VLOOKUP($D23,BS연결,MATCH(R$1,BS연결H,0),0)/100,"")</f>
        <v/>
      </c>
      <c r="S23" s="18">
        <f>IFERROR(VLOOKUP($D23,BS연결,MATCH(S$1,BS연결H,0),0)/100,"")</f>
        <v/>
      </c>
      <c r="T23" s="18">
        <f>IFERROR(VLOOKUP($D23,BS연결,MATCH(T$1,BS연결H,0),0)/100,"")</f>
        <v/>
      </c>
      <c r="U23" s="37">
        <f>IFERROR(VLOOKUP($D23,BS연결,MATCH(U$1,BS연결H,0),0)/100,"")</f>
        <v/>
      </c>
      <c r="V23" s="18">
        <f>IFERROR(VLOOKUP($D23,BS연결,MATCH(V$1,BS연결H,0),0)/100,"")</f>
        <v/>
      </c>
      <c r="W23" s="18">
        <f>IFERROR(VLOOKUP($D23,BS연결,MATCH(W$1,BS연결H,0),0)/100,"")</f>
        <v/>
      </c>
      <c r="X23" s="18">
        <f>IFERROR(VLOOKUP($D23,BS연결,MATCH(X$1,BS연결H,0),0)/100,"")</f>
        <v/>
      </c>
      <c r="Y23" s="18">
        <f>IFERROR(VLOOKUP($D23,BS연결,MATCH(Y$1,BS연결H,0),0)/100,"")</f>
        <v/>
      </c>
      <c r="Z23" s="37">
        <f>IFERROR(VLOOKUP($D23,BS연결,MATCH(Z$1,BS연결H,0),0)/100,"")</f>
        <v/>
      </c>
      <c r="AA23" s="18">
        <f>IFERROR(VLOOKUP($D23,BS연결,MATCH(AA$1,BS연결H,0),0)/100,"")</f>
        <v/>
      </c>
      <c r="AB23" s="19">
        <f>IFERROR(VLOOKUP($D23,BS연결,MATCH(AB$1,BS연결H,0),0)/100,"")</f>
        <v/>
      </c>
      <c r="AC23" s="20">
        <f>IFERROR(AB23+AC17-변수!AC30,"")</f>
        <v/>
      </c>
      <c r="AD23" s="20">
        <f>IFERROR(AC23+AD17-변수!AD30,"")</f>
        <v/>
      </c>
      <c r="AE23" s="38">
        <f>AD23</f>
        <v/>
      </c>
      <c r="AF23" s="20">
        <f>IFERROR(AD23+AF17-변수!AF30,"")</f>
        <v/>
      </c>
      <c r="AG23" s="20">
        <f>IFERROR(AF23+AG17-변수!AG30,"")</f>
        <v/>
      </c>
      <c r="AH23" s="20">
        <f>IFERROR(AG23+AH17-변수!AH30,"")</f>
        <v/>
      </c>
      <c r="AI23" s="20">
        <f>IFERROR(AH23+AI17-변수!AI30,"")</f>
        <v/>
      </c>
      <c r="AJ23" s="38">
        <f>AI23</f>
        <v/>
      </c>
      <c r="AK23" s="20">
        <f>IFERROR(AI23+AK17-변수!AK30,"")</f>
        <v/>
      </c>
      <c r="AL23" s="20">
        <f>IFERROR(AK23+AL17-변수!AL30,"")</f>
        <v/>
      </c>
      <c r="AM23" s="20">
        <f>IFERROR(AL23+AM17-변수!AM30,"")</f>
        <v/>
      </c>
      <c r="AN23" s="20">
        <f>IFERROR(AM23+AN17-변수!AN30,"")</f>
        <v/>
      </c>
      <c r="AO23" s="38">
        <f>AN23</f>
        <v/>
      </c>
    </row>
    <row r="24">
      <c r="A24" s="12" t="inlineStr">
        <is>
          <t>이자발생자산</t>
        </is>
      </c>
      <c r="B24" t="inlineStr">
        <is>
          <t>재무상태</t>
        </is>
      </c>
      <c r="C24" t="inlineStr">
        <is>
          <t>억원</t>
        </is>
      </c>
      <c r="D24" t="inlineStr">
        <is>
          <t>이자발생자산</t>
        </is>
      </c>
      <c r="E24" s="18">
        <f>IFERROR(VLOOKUP($D24,BS연결,MATCH(E$1,BS연결H,0),0)/100,"")</f>
        <v/>
      </c>
      <c r="F24" s="37">
        <f>IFERROR(VLOOKUP($D24,BS연결,MATCH(F$1,BS연결H,0),0)/100,"")</f>
        <v/>
      </c>
      <c r="G24" s="18">
        <f>IFERROR(VLOOKUP($D24,BS연결,MATCH(G$1,BS연결H,0),0)/100,"")</f>
        <v/>
      </c>
      <c r="H24" s="18">
        <f>IFERROR(VLOOKUP($D24,BS연결,MATCH(H$1,BS연결H,0),0)/100,"")</f>
        <v/>
      </c>
      <c r="I24" s="18">
        <f>IFERROR(VLOOKUP($D24,BS연결,MATCH(I$1,BS연결H,0),0)/100,"")</f>
        <v/>
      </c>
      <c r="J24" s="18">
        <f>IFERROR(VLOOKUP($D24,BS연결,MATCH(J$1,BS연결H,0),0)/100,"")</f>
        <v/>
      </c>
      <c r="K24" s="37">
        <f>IFERROR(VLOOKUP($D24,BS연결,MATCH(K$1,BS연결H,0),0)/100,"")</f>
        <v/>
      </c>
      <c r="L24" s="18">
        <f>IFERROR(VLOOKUP($D24,BS연결,MATCH(L$1,BS연결H,0),0)/100,"")</f>
        <v/>
      </c>
      <c r="M24" s="18">
        <f>IFERROR(VLOOKUP($D24,BS연결,MATCH(M$1,BS연결H,0),0)/100,"")</f>
        <v/>
      </c>
      <c r="N24" s="18">
        <f>IFERROR(VLOOKUP($D24,BS연결,MATCH(N$1,BS연결H,0),0)/100,"")</f>
        <v/>
      </c>
      <c r="O24" s="18">
        <f>IFERROR(VLOOKUP($D24,BS연결,MATCH(O$1,BS연결H,0),0)/100,"")</f>
        <v/>
      </c>
      <c r="P24" s="37">
        <f>IFERROR(VLOOKUP($D24,BS연결,MATCH(P$1,BS연결H,0),0)/100,"")</f>
        <v/>
      </c>
      <c r="Q24" s="18">
        <f>IFERROR(VLOOKUP($D24,BS연결,MATCH(Q$1,BS연결H,0),0)/100,"")</f>
        <v/>
      </c>
      <c r="R24" s="18">
        <f>IFERROR(VLOOKUP($D24,BS연결,MATCH(R$1,BS연결H,0),0)/100,"")</f>
        <v/>
      </c>
      <c r="S24" s="18">
        <f>IFERROR(VLOOKUP($D24,BS연결,MATCH(S$1,BS연결H,0),0)/100,"")</f>
        <v/>
      </c>
      <c r="T24" s="18">
        <f>IFERROR(VLOOKUP($D24,BS연결,MATCH(T$1,BS연결H,0),0)/100,"")</f>
        <v/>
      </c>
      <c r="U24" s="37">
        <f>IFERROR(VLOOKUP($D24,BS연결,MATCH(U$1,BS연결H,0),0)/100,"")</f>
        <v/>
      </c>
      <c r="V24" s="18">
        <f>IFERROR(VLOOKUP($D24,BS연결,MATCH(V$1,BS연결H,0),0)/100,"")</f>
        <v/>
      </c>
      <c r="W24" s="18">
        <f>IFERROR(VLOOKUP($D24,BS연결,MATCH(W$1,BS연결H,0),0)/100,"")</f>
        <v/>
      </c>
      <c r="X24" s="18">
        <f>IFERROR(VLOOKUP($D24,BS연결,MATCH(X$1,BS연결H,0),0)/100,"")</f>
        <v/>
      </c>
      <c r="Y24" s="18">
        <f>IFERROR(VLOOKUP($D24,BS연결,MATCH(Y$1,BS연결H,0),0)/100,"")</f>
        <v/>
      </c>
      <c r="Z24" s="37">
        <f>IFERROR(VLOOKUP($D24,BS연결,MATCH(Z$1,BS연결H,0),0)/100,"")</f>
        <v/>
      </c>
      <c r="AA24" s="18">
        <f>IFERROR(VLOOKUP($D24,BS연결,MATCH(AA$1,BS연결H,0),0)/100,"")</f>
        <v/>
      </c>
      <c r="AB24" s="19">
        <f>IFERROR(VLOOKUP($D24,BS연결,MATCH(AB$1,BS연결H,0),0)/100,"")</f>
        <v/>
      </c>
      <c r="AC24" s="20">
        <f>IFERROR(AB24*(1+변수!AC31),"")</f>
        <v/>
      </c>
      <c r="AD24" s="20">
        <f>IFERROR(AC24*(1+변수!AD31),"")</f>
        <v/>
      </c>
      <c r="AE24" s="38">
        <f>AD24</f>
        <v/>
      </c>
      <c r="AF24" s="20">
        <f>IFERROR(AD24*(1+변수!AF31),"")</f>
        <v/>
      </c>
      <c r="AG24" s="20">
        <f>IFERROR(AF24*(1+변수!AG31),"")</f>
        <v/>
      </c>
      <c r="AH24" s="20">
        <f>IFERROR(AG24*(1+변수!AH31),"")</f>
        <v/>
      </c>
      <c r="AI24" s="20">
        <f>IFERROR(AH24*(1+변수!AI31),"")</f>
        <v/>
      </c>
      <c r="AJ24" s="38">
        <f>AI24</f>
        <v/>
      </c>
      <c r="AK24" s="20">
        <f>IFERROR(AI24*(1+변수!AK31),"")</f>
        <v/>
      </c>
      <c r="AL24" s="20">
        <f>IFERROR(AK24*(1+변수!AL31),"")</f>
        <v/>
      </c>
      <c r="AM24" s="20">
        <f>IFERROR(AL24*(1+변수!AM31),"")</f>
        <v/>
      </c>
      <c r="AN24" s="20">
        <f>IFERROR(AM24*(1+변수!AN31),"")</f>
        <v/>
      </c>
      <c r="AO24" s="38">
        <f>AN24</f>
        <v/>
      </c>
    </row>
    <row r="25">
      <c r="A25" s="12" t="inlineStr">
        <is>
          <t>현금및현금성자산</t>
        </is>
      </c>
      <c r="B25" t="inlineStr">
        <is>
          <t>재무상태</t>
        </is>
      </c>
      <c r="C25" t="inlineStr">
        <is>
          <t>억원</t>
        </is>
      </c>
      <c r="D25" t="inlineStr">
        <is>
          <t>현금및현금성자산</t>
        </is>
      </c>
      <c r="E25" s="18">
        <f>IFERROR(VLOOKUP($D25,BS연결,MATCH(E$1,BS연결H,0),0)/100,"")</f>
        <v/>
      </c>
      <c r="F25" s="37">
        <f>IFERROR(VLOOKUP($D25,BS연결,MATCH(F$1,BS연결H,0),0)/100,"")</f>
        <v/>
      </c>
      <c r="G25" s="18">
        <f>IFERROR(VLOOKUP($D25,BS연결,MATCH(G$1,BS연결H,0),0)/100,"")</f>
        <v/>
      </c>
      <c r="H25" s="18">
        <f>IFERROR(VLOOKUP($D25,BS연결,MATCH(H$1,BS연결H,0),0)/100,"")</f>
        <v/>
      </c>
      <c r="I25" s="18">
        <f>IFERROR(VLOOKUP($D25,BS연결,MATCH(I$1,BS연결H,0),0)/100,"")</f>
        <v/>
      </c>
      <c r="J25" s="18">
        <f>IFERROR(VLOOKUP($D25,BS연결,MATCH(J$1,BS연결H,0),0)/100,"")</f>
        <v/>
      </c>
      <c r="K25" s="37">
        <f>IFERROR(VLOOKUP($D25,BS연결,MATCH(K$1,BS연결H,0),0)/100,"")</f>
        <v/>
      </c>
      <c r="L25" s="18">
        <f>IFERROR(VLOOKUP($D25,BS연결,MATCH(L$1,BS연결H,0),0)/100,"")</f>
        <v/>
      </c>
      <c r="M25" s="18">
        <f>IFERROR(VLOOKUP($D25,BS연결,MATCH(M$1,BS연결H,0),0)/100,"")</f>
        <v/>
      </c>
      <c r="N25" s="18">
        <f>IFERROR(VLOOKUP($D25,BS연결,MATCH(N$1,BS연결H,0),0)/100,"")</f>
        <v/>
      </c>
      <c r="O25" s="18">
        <f>IFERROR(VLOOKUP($D25,BS연결,MATCH(O$1,BS연결H,0),0)/100,"")</f>
        <v/>
      </c>
      <c r="P25" s="37">
        <f>IFERROR(VLOOKUP($D25,BS연결,MATCH(P$1,BS연결H,0),0)/100,"")</f>
        <v/>
      </c>
      <c r="Q25" s="18">
        <f>IFERROR(VLOOKUP($D25,BS연결,MATCH(Q$1,BS연결H,0),0)/100,"")</f>
        <v/>
      </c>
      <c r="R25" s="18">
        <f>IFERROR(VLOOKUP($D25,BS연결,MATCH(R$1,BS연결H,0),0)/100,"")</f>
        <v/>
      </c>
      <c r="S25" s="18">
        <f>IFERROR(VLOOKUP($D25,BS연결,MATCH(S$1,BS연결H,0),0)/100,"")</f>
        <v/>
      </c>
      <c r="T25" s="18">
        <f>IFERROR(VLOOKUP($D25,BS연결,MATCH(T$1,BS연결H,0),0)/100,"")</f>
        <v/>
      </c>
      <c r="U25" s="37">
        <f>IFERROR(VLOOKUP($D25,BS연결,MATCH(U$1,BS연결H,0),0)/100,"")</f>
        <v/>
      </c>
      <c r="V25" s="18">
        <f>IFERROR(VLOOKUP($D25,BS연결,MATCH(V$1,BS연결H,0),0)/100,"")</f>
        <v/>
      </c>
      <c r="W25" s="18">
        <f>IFERROR(VLOOKUP($D25,BS연결,MATCH(W$1,BS연결H,0),0)/100,"")</f>
        <v/>
      </c>
      <c r="X25" s="18">
        <f>IFERROR(VLOOKUP($D25,BS연결,MATCH(X$1,BS연결H,0),0)/100,"")</f>
        <v/>
      </c>
      <c r="Y25" s="18">
        <f>IFERROR(VLOOKUP($D25,BS연결,MATCH(Y$1,BS연결H,0),0)/100,"")</f>
        <v/>
      </c>
      <c r="Z25" s="37">
        <f>IFERROR(VLOOKUP($D25,BS연결,MATCH(Z$1,BS연결H,0),0)/100,"")</f>
        <v/>
      </c>
      <c r="AA25" s="18">
        <f>IFERROR(VLOOKUP($D25,BS연결,MATCH(AA$1,BS연결H,0),0)/100,"")</f>
        <v/>
      </c>
      <c r="AB25" s="19">
        <f>IFERROR(VLOOKUP($D25,BS연결,MATCH(AB$1,BS연결H,0),0)/100,"")</f>
        <v/>
      </c>
      <c r="AC25" s="20" t="n"/>
      <c r="AD25" s="20" t="n"/>
      <c r="AE25" s="38">
        <f>AD25</f>
        <v/>
      </c>
      <c r="AF25" s="20" t="n"/>
      <c r="AG25" s="20" t="n"/>
      <c r="AH25" s="20" t="n"/>
      <c r="AI25" s="20" t="n"/>
      <c r="AJ25" s="38">
        <f>AI25</f>
        <v/>
      </c>
      <c r="AK25" s="20" t="n"/>
      <c r="AL25" s="20" t="n"/>
      <c r="AM25" s="20" t="n"/>
      <c r="AN25" s="20" t="n"/>
      <c r="AO25" s="38">
        <f>AN25</f>
        <v/>
      </c>
    </row>
    <row r="26">
      <c r="A26" s="12" t="inlineStr">
        <is>
          <t>CAPEX</t>
        </is>
      </c>
      <c r="B26" t="inlineStr">
        <is>
          <t>현금흐름</t>
        </is>
      </c>
      <c r="C26" t="inlineStr">
        <is>
          <t>억원</t>
        </is>
      </c>
      <c r="D26" t="inlineStr">
        <is>
          <t>CAPEX</t>
        </is>
      </c>
      <c r="E26" s="18">
        <f>IFERROR(VLOOKUP($D26,BS연결,MATCH(E$1,BS연결H,0),0)/100,"")</f>
        <v/>
      </c>
      <c r="F26" s="37" t="n"/>
      <c r="G26" s="18">
        <f>IFERROR(VLOOKUP($D26,BS연결,MATCH(G$1,BS연결H,0),0)/100,"")</f>
        <v/>
      </c>
      <c r="H26" s="18">
        <f>IFERROR(VLOOKUP($D26,BS연결,MATCH(H$1,BS연결H,0),0)/100,"")</f>
        <v/>
      </c>
      <c r="I26" s="18">
        <f>IFERROR(VLOOKUP($D26,BS연결,MATCH(I$1,BS연결H,0),0)/100,"")</f>
        <v/>
      </c>
      <c r="J26" s="18">
        <f>IFERROR(VLOOKUP($D26,BS연결,MATCH(J$1,BS연결H,0),0)/100,"")</f>
        <v/>
      </c>
      <c r="K26" s="37">
        <f>IFERROR(VLOOKUP($D26,BS연결,MATCH(K$1,BS연결H,0),0)/100,"")</f>
        <v/>
      </c>
      <c r="L26" s="18">
        <f>IFERROR(VLOOKUP($D26,BS연결,MATCH(L$1,BS연결H,0),0)/100,"")</f>
        <v/>
      </c>
      <c r="M26" s="18">
        <f>IFERROR(VLOOKUP($D26,BS연결,MATCH(M$1,BS연결H,0),0)/100,"")</f>
        <v/>
      </c>
      <c r="N26" s="18">
        <f>IFERROR(VLOOKUP($D26,BS연결,MATCH(N$1,BS연결H,0),0)/100,"")</f>
        <v/>
      </c>
      <c r="O26" s="18">
        <f>IFERROR(VLOOKUP($D26,BS연결,MATCH(O$1,BS연결H,0),0)/100,"")</f>
        <v/>
      </c>
      <c r="P26" s="37">
        <f>IFERROR(VLOOKUP($D26,BS연결,MATCH(P$1,BS연결H,0),0)/100,"")</f>
        <v/>
      </c>
      <c r="Q26" s="18">
        <f>IFERROR(VLOOKUP($D26,BS연결,MATCH(Q$1,BS연결H,0),0)/100,"")</f>
        <v/>
      </c>
      <c r="R26" s="18">
        <f>IFERROR(VLOOKUP($D26,BS연결,MATCH(R$1,BS연결H,0),0)/100,"")</f>
        <v/>
      </c>
      <c r="S26" s="18">
        <f>IFERROR(VLOOKUP($D26,BS연결,MATCH(S$1,BS연결H,0),0)/100,"")</f>
        <v/>
      </c>
      <c r="T26" s="18">
        <f>IFERROR(VLOOKUP($D26,BS연결,MATCH(T$1,BS연결H,0),0)/100,"")</f>
        <v/>
      </c>
      <c r="U26" s="37">
        <f>IFERROR(VLOOKUP($D26,BS연결,MATCH(U$1,BS연결H,0),0)/100,"")</f>
        <v/>
      </c>
      <c r="V26" s="18">
        <f>IFERROR(VLOOKUP($D26,BS연결,MATCH(V$1,BS연결H,0),0)/100,"")</f>
        <v/>
      </c>
      <c r="W26" s="18">
        <f>IFERROR(VLOOKUP($D26,BS연결,MATCH(W$1,BS연결H,0),0)/100,"")</f>
        <v/>
      </c>
      <c r="X26" s="18">
        <f>IFERROR(VLOOKUP($D26,BS연결,MATCH(X$1,BS연결H,0),0)/100,"")</f>
        <v/>
      </c>
      <c r="Y26" s="18">
        <f>IFERROR(VLOOKUP($D26,BS연결,MATCH(Y$1,BS연결H,0),0)/100,"")</f>
        <v/>
      </c>
      <c r="Z26" s="37">
        <f>IFERROR(VLOOKUP($D26,BS연결,MATCH(Z$1,BS연결H,0),0)/100,"")</f>
        <v/>
      </c>
      <c r="AA26" s="18">
        <f>IFERROR(VLOOKUP($D26,BS연결,MATCH(AA$1,BS연결H,0),0)/100,"")</f>
        <v/>
      </c>
      <c r="AB26" s="19">
        <f>IFERROR(VLOOKUP($D26,BS연결,MATCH(AB$1,BS연결H,0),0)/100,"")</f>
        <v/>
      </c>
      <c r="AC26" s="20">
        <f>IFERROR(X26*(1+변수!AC33),"")</f>
        <v/>
      </c>
      <c r="AD26" s="20">
        <f>IFERROR(Y26*(1+변수!AD33),"")</f>
        <v/>
      </c>
      <c r="AE26" s="38">
        <f>SUM(AA26:AD26)</f>
        <v/>
      </c>
      <c r="AF26" s="20">
        <f>IFERROR(AA26*(1+변수!AF33),"")</f>
        <v/>
      </c>
      <c r="AG26" s="20">
        <f>IFERROR(AB26*(1+변수!AG33),"")</f>
        <v/>
      </c>
      <c r="AH26" s="20">
        <f>IFERROR(AC26*(1+변수!AH33),"")</f>
        <v/>
      </c>
      <c r="AI26" s="20">
        <f>IFERROR(AD26*(1+변수!AI33),"")</f>
        <v/>
      </c>
      <c r="AJ26" s="38">
        <f>SUM(AF26:AI26)</f>
        <v/>
      </c>
      <c r="AK26" s="20">
        <f>IFERROR(AF26*(1+변수!AK33),"")</f>
        <v/>
      </c>
      <c r="AL26" s="20">
        <f>IFERROR(AG26*(1+변수!AL33),"")</f>
        <v/>
      </c>
      <c r="AM26" s="20">
        <f>IFERROR(AH26*(1+변수!AM33),"")</f>
        <v/>
      </c>
      <c r="AN26" s="20">
        <f>IFERROR(AI26*(1+변수!AN33),"")</f>
        <v/>
      </c>
      <c r="AO26" s="38">
        <f>SUM(AK26:AN26)</f>
        <v/>
      </c>
    </row>
    <row r="27">
      <c r="A27" s="12" t="inlineStr">
        <is>
          <t>영업활동현금흐름</t>
        </is>
      </c>
      <c r="B27" t="inlineStr">
        <is>
          <t>현금흐름</t>
        </is>
      </c>
      <c r="C27" t="inlineStr">
        <is>
          <t>억원</t>
        </is>
      </c>
      <c r="D27" t="inlineStr">
        <is>
          <t>영업활동으로인한현금흐름</t>
        </is>
      </c>
      <c r="E27" s="18">
        <f>IFERROR(VLOOKUP($D27,BS연결,MATCH(E$1,BS연결H,0),0)/100,"")</f>
        <v/>
      </c>
      <c r="F27" s="37" t="n"/>
      <c r="G27" s="18">
        <f>IFERROR(VLOOKUP($D27,BS연결,MATCH(G$1,BS연결H,0),0)/100,"")</f>
        <v/>
      </c>
      <c r="H27" s="18">
        <f>IFERROR(VLOOKUP($D27,BS연결,MATCH(H$1,BS연결H,0),0)/100,"")</f>
        <v/>
      </c>
      <c r="I27" s="18">
        <f>IFERROR(VLOOKUP($D27,BS연결,MATCH(I$1,BS연결H,0),0)/100,"")</f>
        <v/>
      </c>
      <c r="J27" s="18">
        <f>IFERROR(VLOOKUP($D27,BS연결,MATCH(J$1,BS연결H,0),0)/100,"")</f>
        <v/>
      </c>
      <c r="K27" s="37">
        <f>IFERROR(VLOOKUP($D27,BS연결,MATCH(K$1,BS연결H,0),0)/100,"")</f>
        <v/>
      </c>
      <c r="L27" s="18">
        <f>IFERROR(VLOOKUP($D27,BS연결,MATCH(L$1,BS연결H,0),0)/100,"")</f>
        <v/>
      </c>
      <c r="M27" s="18">
        <f>IFERROR(VLOOKUP($D27,BS연결,MATCH(M$1,BS연결H,0),0)/100,"")</f>
        <v/>
      </c>
      <c r="N27" s="18">
        <f>IFERROR(VLOOKUP($D27,BS연결,MATCH(N$1,BS연결H,0),0)/100,"")</f>
        <v/>
      </c>
      <c r="O27" s="18">
        <f>IFERROR(VLOOKUP($D27,BS연결,MATCH(O$1,BS연결H,0),0)/100,"")</f>
        <v/>
      </c>
      <c r="P27" s="37">
        <f>IFERROR(VLOOKUP($D27,BS연결,MATCH(P$1,BS연결H,0),0)/100,"")</f>
        <v/>
      </c>
      <c r="Q27" s="18">
        <f>IFERROR(VLOOKUP($D27,BS연결,MATCH(Q$1,BS연결H,0),0)/100,"")</f>
        <v/>
      </c>
      <c r="R27" s="18">
        <f>IFERROR(VLOOKUP($D27,BS연결,MATCH(R$1,BS연결H,0),0)/100,"")</f>
        <v/>
      </c>
      <c r="S27" s="18">
        <f>IFERROR(VLOOKUP($D27,BS연결,MATCH(S$1,BS연결H,0),0)/100,"")</f>
        <v/>
      </c>
      <c r="T27" s="18">
        <f>IFERROR(VLOOKUP($D27,BS연결,MATCH(T$1,BS연결H,0),0)/100,"")</f>
        <v/>
      </c>
      <c r="U27" s="37">
        <f>IFERROR(VLOOKUP($D27,BS연결,MATCH(U$1,BS연결H,0),0)/100,"")</f>
        <v/>
      </c>
      <c r="V27" s="18">
        <f>IFERROR(VLOOKUP($D27,BS연결,MATCH(V$1,BS연결H,0),0)/100,"")</f>
        <v/>
      </c>
      <c r="W27" s="18">
        <f>IFERROR(VLOOKUP($D27,BS연결,MATCH(W$1,BS연결H,0),0)/100,"")</f>
        <v/>
      </c>
      <c r="X27" s="18">
        <f>IFERROR(VLOOKUP($D27,BS연결,MATCH(X$1,BS연결H,0),0)/100,"")</f>
        <v/>
      </c>
      <c r="Y27" s="18">
        <f>IFERROR(VLOOKUP($D27,BS연결,MATCH(Y$1,BS연결H,0),0)/100,"")</f>
        <v/>
      </c>
      <c r="Z27" s="37">
        <f>IFERROR(VLOOKUP($D27,BS연결,MATCH(Z$1,BS연결H,0),0)/100,"")</f>
        <v/>
      </c>
      <c r="AA27" s="18">
        <f>IFERROR(VLOOKUP($D27,BS연결,MATCH(AA$1,BS연결H,0),0)/100,"")</f>
        <v/>
      </c>
      <c r="AB27" s="19">
        <f>IFERROR(VLOOKUP($D27,BS연결,MATCH(AB$1,BS연결H,0),0)/100,"")</f>
        <v/>
      </c>
      <c r="AC27" s="20" t="n"/>
      <c r="AD27" s="20" t="n"/>
      <c r="AE27" s="38">
        <f>SUM(AA27:AD27)</f>
        <v/>
      </c>
      <c r="AF27" s="20" t="n"/>
      <c r="AG27" s="20" t="n"/>
      <c r="AH27" s="20" t="n"/>
      <c r="AI27" s="20" t="n"/>
      <c r="AJ27" s="38">
        <f>SUM(AF27:AI27)</f>
        <v/>
      </c>
      <c r="AK27" s="20" t="n"/>
      <c r="AL27" s="20" t="n"/>
      <c r="AM27" s="20" t="n"/>
      <c r="AN27" s="20" t="n"/>
      <c r="AO27" s="38">
        <f>SUM(AK27:AN27)</f>
        <v/>
      </c>
    </row>
    <row r="28">
      <c r="A28" s="12" t="inlineStr">
        <is>
          <t>주식수</t>
        </is>
      </c>
      <c r="B28" t="inlineStr">
        <is>
          <t>주당</t>
        </is>
      </c>
      <c r="C28" t="inlineStr">
        <is>
          <t>백만주</t>
        </is>
      </c>
      <c r="D28" t="inlineStr">
        <is>
          <t>유통주식수</t>
        </is>
      </c>
      <c r="E28" s="27" t="n">
        <v>9.321</v>
      </c>
      <c r="F28" s="28">
        <f>E28</f>
        <v/>
      </c>
      <c r="G28" s="27" t="n">
        <v>9.321</v>
      </c>
      <c r="H28" s="27" t="n">
        <v>9.323</v>
      </c>
      <c r="I28" s="27" t="n">
        <v>9.323</v>
      </c>
      <c r="J28" s="27" t="n">
        <v>9.324</v>
      </c>
      <c r="K28" s="28">
        <f>J28</f>
        <v/>
      </c>
      <c r="L28" s="27" t="n">
        <v>9.324</v>
      </c>
      <c r="M28" s="27" t="n">
        <v>9.244999999999999</v>
      </c>
      <c r="N28" s="27" t="n">
        <v>9.241</v>
      </c>
      <c r="O28" s="27" t="n">
        <v>9.242000000000001</v>
      </c>
      <c r="P28" s="28">
        <f>O28</f>
        <v/>
      </c>
      <c r="Q28" s="27" t="n">
        <v>9.242000000000001</v>
      </c>
      <c r="R28" s="27" t="n">
        <v>9.244</v>
      </c>
      <c r="S28" s="27" t="n">
        <v>9.244</v>
      </c>
      <c r="T28" s="27" t="n">
        <v>9.244</v>
      </c>
      <c r="U28" s="28">
        <f>T28</f>
        <v/>
      </c>
      <c r="V28" s="27" t="n">
        <v>9.244</v>
      </c>
      <c r="W28" s="27" t="n">
        <v>9.246</v>
      </c>
      <c r="X28" s="27" t="n">
        <v>9.246</v>
      </c>
      <c r="Y28" s="27" t="n">
        <v>9.269</v>
      </c>
      <c r="Z28" s="28">
        <f>Y28</f>
        <v/>
      </c>
      <c r="AA28" s="27" t="n">
        <v>9.269</v>
      </c>
      <c r="AB28" s="29" t="n">
        <v>9.292</v>
      </c>
      <c r="AC28" s="33">
        <f>IFERROR(AB28*(1+변수!AC35),"")</f>
        <v/>
      </c>
      <c r="AD28" s="33">
        <f>IFERROR(AC28*(1+변수!AD35),"")</f>
        <v/>
      </c>
      <c r="AE28" s="31">
        <f>AD28</f>
        <v/>
      </c>
      <c r="AF28" s="33">
        <f>IFERROR(AD28*(1+변수!AF35),"")</f>
        <v/>
      </c>
      <c r="AG28" s="33">
        <f>IFERROR(AF28*(1+변수!AG35),"")</f>
        <v/>
      </c>
      <c r="AH28" s="33">
        <f>IFERROR(AG28*(1+변수!AH35),"")</f>
        <v/>
      </c>
      <c r="AI28" s="33">
        <f>IFERROR(AH28*(1+변수!AI35),"")</f>
        <v/>
      </c>
      <c r="AJ28" s="31">
        <f>AI28</f>
        <v/>
      </c>
      <c r="AK28" s="33">
        <f>IFERROR(AI28*(1+변수!AK35),"")</f>
        <v/>
      </c>
      <c r="AL28" s="33">
        <f>IFERROR(AK28*(1+변수!AL35),"")</f>
        <v/>
      </c>
      <c r="AM28" s="33">
        <f>IFERROR(AL28*(1+변수!AM35),"")</f>
        <v/>
      </c>
      <c r="AN28" s="33">
        <f>IFERROR(AM28*(1+변수!AN35),"")</f>
        <v/>
      </c>
      <c r="AO28" s="31">
        <f>AN28</f>
        <v/>
      </c>
    </row>
    <row r="29">
      <c r="A29" s="12" t="inlineStr">
        <is>
          <t>EPS</t>
        </is>
      </c>
      <c r="B29" t="inlineStr">
        <is>
          <t>주당</t>
        </is>
      </c>
      <c r="C29" t="inlineStr">
        <is>
          <t>원</t>
        </is>
      </c>
      <c r="D29" t="inlineStr">
        <is>
          <t>EPS</t>
        </is>
      </c>
      <c r="E29" s="18">
        <f>IFERROR(E17*100/E28,"")</f>
        <v/>
      </c>
      <c r="F29" s="37" t="n"/>
      <c r="G29" s="18">
        <f>IFERROR(G17*100/G28,"")</f>
        <v/>
      </c>
      <c r="H29" s="18">
        <f>IFERROR(H17*100/H28,"")</f>
        <v/>
      </c>
      <c r="I29" s="18">
        <f>IFERROR(I17*100/I28,"")</f>
        <v/>
      </c>
      <c r="J29" s="18">
        <f>IFERROR(J17*100/J28,"")</f>
        <v/>
      </c>
      <c r="K29" s="37">
        <f>SUM(G29:J29)</f>
        <v/>
      </c>
      <c r="L29" s="18">
        <f>IFERROR(L17*100/L28,"")</f>
        <v/>
      </c>
      <c r="M29" s="18">
        <f>IFERROR(M17*100/M28,"")</f>
        <v/>
      </c>
      <c r="N29" s="18">
        <f>IFERROR(N17*100/N28,"")</f>
        <v/>
      </c>
      <c r="O29" s="18">
        <f>IFERROR(O17*100/O28,"")</f>
        <v/>
      </c>
      <c r="P29" s="37">
        <f>SUM(L29:O29)</f>
        <v/>
      </c>
      <c r="Q29" s="18">
        <f>IFERROR(Q17*100/Q28,"")</f>
        <v/>
      </c>
      <c r="R29" s="18">
        <f>IFERROR(R17*100/R28,"")</f>
        <v/>
      </c>
      <c r="S29" s="18">
        <f>IFERROR(S17*100/S28,"")</f>
        <v/>
      </c>
      <c r="T29" s="18">
        <f>IFERROR(T17*100/T28,"")</f>
        <v/>
      </c>
      <c r="U29" s="37">
        <f>SUM(Q29:T29)</f>
        <v/>
      </c>
      <c r="V29" s="18">
        <f>IFERROR(V17*100/V28,"")</f>
        <v/>
      </c>
      <c r="W29" s="18">
        <f>IFERROR(W17*100/W28,"")</f>
        <v/>
      </c>
      <c r="X29" s="18">
        <f>IFERROR(X17*100/X28,"")</f>
        <v/>
      </c>
      <c r="Y29" s="18">
        <f>IFERROR(Y17*100/Y28,"")</f>
        <v/>
      </c>
      <c r="Z29" s="37">
        <f>SUM(V29:Y29)</f>
        <v/>
      </c>
      <c r="AA29" s="18">
        <f>IFERROR(AA17*100/AA28,"")</f>
        <v/>
      </c>
      <c r="AB29" s="19">
        <f>IFERROR(AB17*100/AB28,"")</f>
        <v/>
      </c>
      <c r="AC29" s="20">
        <f>IFERROR(AC17*100/AC28,"")</f>
        <v/>
      </c>
      <c r="AD29" s="20">
        <f>IFERROR(AD17*100/AD28,"")</f>
        <v/>
      </c>
      <c r="AE29" s="38">
        <f>SUM(AA29:AD29)</f>
        <v/>
      </c>
      <c r="AF29" s="20">
        <f>IFERROR(AF17*100/AF28,"")</f>
        <v/>
      </c>
      <c r="AG29" s="20">
        <f>IFERROR(AG17*100/AG28,"")</f>
        <v/>
      </c>
      <c r="AH29" s="20">
        <f>IFERROR(AH17*100/AH28,"")</f>
        <v/>
      </c>
      <c r="AI29" s="20">
        <f>IFERROR(AI17*100/AI28,"")</f>
        <v/>
      </c>
      <c r="AJ29" s="38">
        <f>SUM(AF29:AI29)</f>
        <v/>
      </c>
      <c r="AK29" s="20">
        <f>IFERROR(AK17*100/AK28,"")</f>
        <v/>
      </c>
      <c r="AL29" s="20">
        <f>IFERROR(AL17*100/AL28,"")</f>
        <v/>
      </c>
      <c r="AM29" s="20">
        <f>IFERROR(AM17*100/AM28,"")</f>
        <v/>
      </c>
      <c r="AN29" s="20">
        <f>IFERROR(AN17*100/AN28,"")</f>
        <v/>
      </c>
      <c r="AO29" s="38">
        <f>SUM(AK29:AN29)</f>
        <v/>
      </c>
    </row>
    <row r="30">
      <c r="A30" s="12" t="inlineStr">
        <is>
          <t>BPS</t>
        </is>
      </c>
      <c r="B30" t="inlineStr">
        <is>
          <t>주당</t>
        </is>
      </c>
      <c r="C30" t="inlineStr">
        <is>
          <t>원</t>
        </is>
      </c>
      <c r="D30" t="inlineStr">
        <is>
          <t>BPS</t>
        </is>
      </c>
      <c r="E30" s="18">
        <f>IFERROR(E23*100/E28,"")</f>
        <v/>
      </c>
      <c r="F30" s="37">
        <f>E30</f>
        <v/>
      </c>
      <c r="G30" s="18">
        <f>IFERROR(G23*100/G28,"")</f>
        <v/>
      </c>
      <c r="H30" s="18">
        <f>IFERROR(H23*100/H28,"")</f>
        <v/>
      </c>
      <c r="I30" s="18">
        <f>IFERROR(I23*100/I28,"")</f>
        <v/>
      </c>
      <c r="J30" s="18">
        <f>IFERROR(J23*100/J28,"")</f>
        <v/>
      </c>
      <c r="K30" s="37">
        <f>J30</f>
        <v/>
      </c>
      <c r="L30" s="18">
        <f>IFERROR(L23*100/L28,"")</f>
        <v/>
      </c>
      <c r="M30" s="18">
        <f>IFERROR(M23*100/M28,"")</f>
        <v/>
      </c>
      <c r="N30" s="18">
        <f>IFERROR(N23*100/N28,"")</f>
        <v/>
      </c>
      <c r="O30" s="18">
        <f>IFERROR(O23*100/O28,"")</f>
        <v/>
      </c>
      <c r="P30" s="37">
        <f>O30</f>
        <v/>
      </c>
      <c r="Q30" s="18">
        <f>IFERROR(Q23*100/Q28,"")</f>
        <v/>
      </c>
      <c r="R30" s="18">
        <f>IFERROR(R23*100/R28,"")</f>
        <v/>
      </c>
      <c r="S30" s="18">
        <f>IFERROR(S23*100/S28,"")</f>
        <v/>
      </c>
      <c r="T30" s="18">
        <f>IFERROR(T23*100/T28,"")</f>
        <v/>
      </c>
      <c r="U30" s="37">
        <f>T30</f>
        <v/>
      </c>
      <c r="V30" s="18">
        <f>IFERROR(V23*100/V28,"")</f>
        <v/>
      </c>
      <c r="W30" s="18">
        <f>IFERROR(W23*100/W28,"")</f>
        <v/>
      </c>
      <c r="X30" s="18">
        <f>IFERROR(X23*100/X28,"")</f>
        <v/>
      </c>
      <c r="Y30" s="18">
        <f>IFERROR(Y23*100/Y28,"")</f>
        <v/>
      </c>
      <c r="Z30" s="37">
        <f>Y30</f>
        <v/>
      </c>
      <c r="AA30" s="18">
        <f>IFERROR(AA23*100/AA28,"")</f>
        <v/>
      </c>
      <c r="AB30" s="19">
        <f>IFERROR(AB23*100/AB28,"")</f>
        <v/>
      </c>
      <c r="AC30" s="20">
        <f>IFERROR(AC23*100/AC28,"")</f>
        <v/>
      </c>
      <c r="AD30" s="20">
        <f>IFERROR(AD23*100/AD28,"")</f>
        <v/>
      </c>
      <c r="AE30" s="38">
        <f>AD30</f>
        <v/>
      </c>
      <c r="AF30" s="20">
        <f>IFERROR(AF23*100/AF28,"")</f>
        <v/>
      </c>
      <c r="AG30" s="20">
        <f>IFERROR(AG23*100/AG28,"")</f>
        <v/>
      </c>
      <c r="AH30" s="20">
        <f>IFERROR(AH23*100/AH28,"")</f>
        <v/>
      </c>
      <c r="AI30" s="20">
        <f>IFERROR(AI23*100/AI28,"")</f>
        <v/>
      </c>
      <c r="AJ30" s="38">
        <f>AI30</f>
        <v/>
      </c>
      <c r="AK30" s="20">
        <f>IFERROR(AK23*100/AK28,"")</f>
        <v/>
      </c>
      <c r="AL30" s="20">
        <f>IFERROR(AL23*100/AL28,"")</f>
        <v/>
      </c>
      <c r="AM30" s="20">
        <f>IFERROR(AM23*100/AM28,"")</f>
        <v/>
      </c>
      <c r="AN30" s="20">
        <f>IFERROR(AN23*100/AN28,"")</f>
        <v/>
      </c>
      <c r="AO30" s="38">
        <f>AN30</f>
        <v/>
      </c>
    </row>
    <row r="31">
      <c r="A31" s="12" t="inlineStr">
        <is>
          <t>DPS</t>
        </is>
      </c>
      <c r="B31" t="inlineStr">
        <is>
          <t>주당</t>
        </is>
      </c>
      <c r="C31" t="inlineStr">
        <is>
          <t>원</t>
        </is>
      </c>
      <c r="D31" t="inlineStr">
        <is>
          <t>DPS(보통주)</t>
        </is>
      </c>
      <c r="E31" s="18" t="n">
        <v>100</v>
      </c>
      <c r="F31" s="37" t="n">
        <v>100</v>
      </c>
      <c r="G31" s="18" t="n"/>
      <c r="H31" s="18" t="n"/>
      <c r="I31" s="18" t="n"/>
      <c r="J31" s="18" t="n">
        <v>0</v>
      </c>
      <c r="K31" s="37">
        <f>SUM(G31:J31)</f>
        <v/>
      </c>
      <c r="L31" s="18" t="n"/>
      <c r="M31" s="18" t="n"/>
      <c r="N31" s="18" t="n"/>
      <c r="O31" s="18" t="n">
        <v>0</v>
      </c>
      <c r="P31" s="37">
        <f>SUM(L31:O31)</f>
        <v/>
      </c>
      <c r="Q31" s="18" t="n"/>
      <c r="R31" s="18" t="n"/>
      <c r="S31" s="18" t="n"/>
      <c r="T31" s="18" t="n">
        <v>100</v>
      </c>
      <c r="U31" s="37">
        <f>SUM(Q31:T31)</f>
        <v/>
      </c>
      <c r="V31" s="18" t="n"/>
      <c r="W31" s="18" t="n"/>
      <c r="X31" s="18" t="n"/>
      <c r="Y31" s="18" t="n">
        <v>200</v>
      </c>
      <c r="Z31" s="37">
        <f>SUM(V31:Y31)</f>
        <v/>
      </c>
      <c r="AA31" s="18" t="n"/>
      <c r="AB31" s="19" t="n"/>
      <c r="AC31" s="20" t="n"/>
      <c r="AD31" s="20">
        <f>변수!AD36</f>
        <v/>
      </c>
      <c r="AE31" s="38">
        <f>SUM(AA31:AD31)</f>
        <v/>
      </c>
      <c r="AF31" s="20" t="n"/>
      <c r="AG31" s="20" t="n"/>
      <c r="AH31" s="20" t="n"/>
      <c r="AI31" s="20">
        <f>변수!AI36</f>
        <v/>
      </c>
      <c r="AJ31" s="38">
        <f>SUM(AF31:AI31)</f>
        <v/>
      </c>
      <c r="AK31" s="20" t="n"/>
      <c r="AL31" s="20" t="n"/>
      <c r="AM31" s="20" t="n"/>
      <c r="AN31" s="20">
        <f>변수!AN36</f>
        <v/>
      </c>
      <c r="AO31" s="38">
        <f>SUM(AK31:AN31)</f>
        <v/>
      </c>
    </row>
    <row r="32">
      <c r="A32" s="12" t="inlineStr">
        <is>
          <t>PER</t>
        </is>
      </c>
      <c r="B32" t="inlineStr">
        <is>
          <t>주당</t>
        </is>
      </c>
      <c r="C32" t="inlineStr">
        <is>
          <t>배</t>
        </is>
      </c>
      <c r="D32" t="inlineStr">
        <is>
          <t>PER</t>
        </is>
      </c>
      <c r="E32" s="13" t="n"/>
      <c r="F32" s="14">
        <f>E32</f>
        <v/>
      </c>
      <c r="G32" s="13" t="n"/>
      <c r="H32" s="13" t="n"/>
      <c r="I32" s="13">
        <f>IFERROR(변수!I18/(E29+G29+H29+I29),"")</f>
        <v/>
      </c>
      <c r="J32" s="13" t="n"/>
      <c r="K32" s="14">
        <f>J32</f>
        <v/>
      </c>
      <c r="L32" s="13" t="n"/>
      <c r="M32" s="13" t="n"/>
      <c r="N32" s="13" t="n"/>
      <c r="O32" s="13">
        <f>IFERROR(변수!O18/(L29+M29+N29+O29),"")</f>
        <v/>
      </c>
      <c r="P32" s="14">
        <f>O32</f>
        <v/>
      </c>
      <c r="Q32" s="13">
        <f>IFERROR(변수!Q18/(M29+N29+O29+Q29),"")</f>
        <v/>
      </c>
      <c r="R32" s="13">
        <f>IFERROR(변수!R18/(N29+O29+Q29+R29),"")</f>
        <v/>
      </c>
      <c r="S32" s="13">
        <f>IFERROR(변수!S18/(O29+Q29+R29+S29),"")</f>
        <v/>
      </c>
      <c r="T32" s="13">
        <f>IFERROR(변수!T18/(Q29+R29+S29+T29),"")</f>
        <v/>
      </c>
      <c r="U32" s="14">
        <f>T32</f>
        <v/>
      </c>
      <c r="V32" s="13">
        <f>IFERROR(변수!V18/(R29+S29+T29+V29),"")</f>
        <v/>
      </c>
      <c r="W32" s="13">
        <f>IFERROR(변수!W18/(S29+T29+V29+W29),"")</f>
        <v/>
      </c>
      <c r="X32" s="13">
        <f>IFERROR(변수!X18/(T29+V29+W29+X29),"")</f>
        <v/>
      </c>
      <c r="Y32" s="13">
        <f>IFERROR(변수!Y18/(V29+W29+X29+Y29),"")</f>
        <v/>
      </c>
      <c r="Z32" s="14">
        <f>Y32</f>
        <v/>
      </c>
      <c r="AA32" s="13">
        <f>IFERROR(변수!AA18/(W29+X29+Y29+AA29),"")</f>
        <v/>
      </c>
      <c r="AB32" s="15">
        <f>IFERROR(변수!AB18/(X29+Y29+AA29+AB29),"")</f>
        <v/>
      </c>
      <c r="AC32" s="39">
        <f>IFERROR(변수!$D$39/(Y29+AA29+AB29+AC29),"")</f>
        <v/>
      </c>
      <c r="AD32" s="39">
        <f>IFERROR(변수!$D$39/(AA29+AB29+AC29+AD29),"")</f>
        <v/>
      </c>
      <c r="AE32" s="40">
        <f>AD32</f>
        <v/>
      </c>
      <c r="AF32" s="39">
        <f>IFERROR(변수!$D$39/(AB29+AC29+AD29+AF29),"")</f>
        <v/>
      </c>
      <c r="AG32" s="39">
        <f>IFERROR(변수!$D$39/(AC29+AD29+AF29+AG29),"")</f>
        <v/>
      </c>
      <c r="AH32" s="39">
        <f>IFERROR(변수!$D$39/(AD29+AF29+AG29+AH29),"")</f>
        <v/>
      </c>
      <c r="AI32" s="39">
        <f>IFERROR(변수!$D$39/(AF29+AG29+AH29+AI29),"")</f>
        <v/>
      </c>
      <c r="AJ32" s="40">
        <f>AI32</f>
        <v/>
      </c>
      <c r="AK32" s="39">
        <f>IFERROR(변수!$D$39/(AG29+AH29+AI29+AK29),"")</f>
        <v/>
      </c>
      <c r="AL32" s="39">
        <f>IFERROR(변수!$D$39/(AH29+AI29+AK29+AL29),"")</f>
        <v/>
      </c>
      <c r="AM32" s="39">
        <f>IFERROR(변수!$D$39/(AI29+AK29+AL29+AM29),"")</f>
        <v/>
      </c>
      <c r="AN32" s="39">
        <f>IFERROR(변수!$D$39/(AK29+AL29+AM29+AN29),"")</f>
        <v/>
      </c>
      <c r="AO32" s="40">
        <f>AN32</f>
        <v/>
      </c>
    </row>
    <row r="33">
      <c r="A33" s="12" t="inlineStr">
        <is>
          <t>PBR</t>
        </is>
      </c>
      <c r="B33" t="inlineStr">
        <is>
          <t>주당</t>
        </is>
      </c>
      <c r="C33" t="inlineStr">
        <is>
          <t>배</t>
        </is>
      </c>
      <c r="D33" t="inlineStr">
        <is>
          <t>PBR</t>
        </is>
      </c>
      <c r="E33" s="13">
        <f>IFERROR(변수!E18/E30,"")</f>
        <v/>
      </c>
      <c r="F33" s="14">
        <f>E33</f>
        <v/>
      </c>
      <c r="G33" s="13">
        <f>IFERROR(변수!G18/G30,"")</f>
        <v/>
      </c>
      <c r="H33" s="13">
        <f>IFERROR(변수!H18/H30,"")</f>
        <v/>
      </c>
      <c r="I33" s="13">
        <f>IFERROR(변수!I18/I30,"")</f>
        <v/>
      </c>
      <c r="J33" s="13">
        <f>IFERROR(변수!J18/J30,"")</f>
        <v/>
      </c>
      <c r="K33" s="14">
        <f>J33</f>
        <v/>
      </c>
      <c r="L33" s="13">
        <f>IFERROR(변수!L18/L30,"")</f>
        <v/>
      </c>
      <c r="M33" s="13">
        <f>IFERROR(변수!M18/M30,"")</f>
        <v/>
      </c>
      <c r="N33" s="13">
        <f>IFERROR(변수!N18/N30,"")</f>
        <v/>
      </c>
      <c r="O33" s="13">
        <f>IFERROR(변수!O18/O30,"")</f>
        <v/>
      </c>
      <c r="P33" s="14">
        <f>O33</f>
        <v/>
      </c>
      <c r="Q33" s="13">
        <f>IFERROR(변수!Q18/Q30,"")</f>
        <v/>
      </c>
      <c r="R33" s="13">
        <f>IFERROR(변수!R18/R30,"")</f>
        <v/>
      </c>
      <c r="S33" s="13">
        <f>IFERROR(변수!S18/S30,"")</f>
        <v/>
      </c>
      <c r="T33" s="13">
        <f>IFERROR(변수!T18/T30,"")</f>
        <v/>
      </c>
      <c r="U33" s="14">
        <f>T33</f>
        <v/>
      </c>
      <c r="V33" s="13">
        <f>IFERROR(변수!V18/V30,"")</f>
        <v/>
      </c>
      <c r="W33" s="13">
        <f>IFERROR(변수!W18/W30,"")</f>
        <v/>
      </c>
      <c r="X33" s="13">
        <f>IFERROR(변수!X18/X30,"")</f>
        <v/>
      </c>
      <c r="Y33" s="13">
        <f>IFERROR(변수!Y18/Y30,"")</f>
        <v/>
      </c>
      <c r="Z33" s="14">
        <f>Y33</f>
        <v/>
      </c>
      <c r="AA33" s="13">
        <f>IFERROR(변수!AA18/AA30,"")</f>
        <v/>
      </c>
      <c r="AB33" s="15">
        <f>IFERROR(변수!AB18/AB30,"")</f>
        <v/>
      </c>
      <c r="AC33" s="39">
        <f>IFERROR(변수!$D$39/AC30,"")</f>
        <v/>
      </c>
      <c r="AD33" s="39">
        <f>IFERROR(변수!$D$39/AD30,"")</f>
        <v/>
      </c>
      <c r="AE33" s="40">
        <f>AD33</f>
        <v/>
      </c>
      <c r="AF33" s="39">
        <f>IFERROR(변수!$D$39/AF30,"")</f>
        <v/>
      </c>
      <c r="AG33" s="39">
        <f>IFERROR(변수!$D$39/AG30,"")</f>
        <v/>
      </c>
      <c r="AH33" s="39">
        <f>IFERROR(변수!$D$39/AH30,"")</f>
        <v/>
      </c>
      <c r="AI33" s="39">
        <f>IFERROR(변수!$D$39/AI30,"")</f>
        <v/>
      </c>
      <c r="AJ33" s="40">
        <f>AI33</f>
        <v/>
      </c>
      <c r="AK33" s="39">
        <f>IFERROR(변수!$D$39/AK30,"")</f>
        <v/>
      </c>
      <c r="AL33" s="39">
        <f>IFERROR(변수!$D$39/AL30,"")</f>
        <v/>
      </c>
      <c r="AM33" s="39">
        <f>IFERROR(변수!$D$39/AM30,"")</f>
        <v/>
      </c>
      <c r="AN33" s="39">
        <f>IFERROR(변수!$D$39/AN30,"")</f>
        <v/>
      </c>
      <c r="AO33" s="40">
        <f>AN33</f>
        <v/>
      </c>
    </row>
    <row r="34">
      <c r="A34" s="12" t="inlineStr">
        <is>
          <t>매출전사</t>
        </is>
      </c>
      <c r="B34" t="inlineStr">
        <is>
          <t>사업부</t>
        </is>
      </c>
      <c r="C34" t="inlineStr">
        <is>
          <t>억원</t>
        </is>
      </c>
      <c r="D34" t="inlineStr">
        <is>
          <t>매출 전사(부문 미분리)</t>
        </is>
      </c>
      <c r="E34" s="18" t="n">
        <v>403.64</v>
      </c>
      <c r="F34" s="37" t="n"/>
      <c r="G34" s="18" t="n">
        <v>307.6</v>
      </c>
      <c r="H34" s="18" t="n">
        <v>347.27</v>
      </c>
      <c r="I34" s="18" t="n">
        <v>313.42</v>
      </c>
      <c r="J34" s="18" t="n">
        <v>335.67</v>
      </c>
      <c r="K34" s="37">
        <f>SUM(G34:J34)</f>
        <v/>
      </c>
      <c r="L34" s="18" t="n">
        <v>321.58</v>
      </c>
      <c r="M34" s="18" t="n">
        <v>348.9</v>
      </c>
      <c r="N34" s="18" t="n">
        <v>372.05</v>
      </c>
      <c r="O34" s="18" t="n">
        <v>500.95</v>
      </c>
      <c r="P34" s="37">
        <f>SUM(L34:O34)</f>
        <v/>
      </c>
      <c r="Q34" s="18" t="n">
        <v>413.55</v>
      </c>
      <c r="R34" s="18" t="n">
        <v>499</v>
      </c>
      <c r="S34" s="18" t="n">
        <v>447.37</v>
      </c>
      <c r="T34" s="18" t="n">
        <v>602.87</v>
      </c>
      <c r="U34" s="37">
        <f>SUM(Q34:T34)</f>
        <v/>
      </c>
      <c r="V34" s="18" t="n">
        <v>556.4</v>
      </c>
      <c r="W34" s="18" t="n">
        <v>563.26</v>
      </c>
      <c r="X34" s="18" t="n">
        <v>615.33</v>
      </c>
      <c r="Y34" s="18" t="n">
        <v>565.96</v>
      </c>
      <c r="Z34" s="37">
        <f>SUM(V34:Y34)</f>
        <v/>
      </c>
      <c r="AA34" s="18" t="n">
        <v>508.96</v>
      </c>
      <c r="AB34" s="19" t="n">
        <v>708.34</v>
      </c>
      <c r="AC34" s="20">
        <f>IFERROR(AC5,"")</f>
        <v/>
      </c>
      <c r="AD34" s="20">
        <f>IFERROR(AD5,"")</f>
        <v/>
      </c>
      <c r="AE34" s="38">
        <f>SUM(AA34:AD34)</f>
        <v/>
      </c>
      <c r="AF34" s="20">
        <f>IFERROR(AF5,"")</f>
        <v/>
      </c>
      <c r="AG34" s="20">
        <f>IFERROR(AG5,"")</f>
        <v/>
      </c>
      <c r="AH34" s="20">
        <f>IFERROR(AH5,"")</f>
        <v/>
      </c>
      <c r="AI34" s="20">
        <f>IFERROR(AI5,"")</f>
        <v/>
      </c>
      <c r="AJ34" s="38">
        <f>SUM(AF34:AI34)</f>
        <v/>
      </c>
      <c r="AK34" s="20">
        <f>IFERROR(AK5,"")</f>
        <v/>
      </c>
      <c r="AL34" s="20">
        <f>IFERROR(AL5,"")</f>
        <v/>
      </c>
      <c r="AM34" s="20">
        <f>IFERROR(AM5,"")</f>
        <v/>
      </c>
      <c r="AN34" s="20">
        <f>IFERROR(AN5,"")</f>
        <v/>
      </c>
      <c r="AO34" s="38">
        <f>SUM(AK34:AN34)</f>
        <v/>
      </c>
    </row>
    <row r="35">
      <c r="A35" s="12" t="inlineStr">
        <is>
          <t>OP전사</t>
        </is>
      </c>
      <c r="B35" t="inlineStr">
        <is>
          <t>사업부</t>
        </is>
      </c>
      <c r="C35" t="inlineStr">
        <is>
          <t>억원</t>
        </is>
      </c>
      <c r="D35" t="inlineStr">
        <is>
          <t>OP 전사(부문 미분리)</t>
        </is>
      </c>
      <c r="E35" s="18" t="n">
        <v>5.31</v>
      </c>
      <c r="F35" s="37" t="n"/>
      <c r="G35" s="18" t="n">
        <v>-17.26</v>
      </c>
      <c r="H35" s="18" t="n">
        <v>-19.12</v>
      </c>
      <c r="I35" s="18" t="n">
        <v>3.65</v>
      </c>
      <c r="J35" s="18" t="n">
        <v>-66.13</v>
      </c>
      <c r="K35" s="37">
        <f>SUM(G35:J35)</f>
        <v/>
      </c>
      <c r="L35" s="18" t="n">
        <v>-9.31</v>
      </c>
      <c r="M35" s="18" t="n">
        <v>2.67</v>
      </c>
      <c r="N35" s="18" t="n">
        <v>17.2</v>
      </c>
      <c r="O35" s="18" t="n">
        <v>26.78</v>
      </c>
      <c r="P35" s="37">
        <f>SUM(L35:O35)</f>
        <v/>
      </c>
      <c r="Q35" s="18" t="n">
        <v>23.78</v>
      </c>
      <c r="R35" s="18" t="n">
        <v>30.62</v>
      </c>
      <c r="S35" s="18" t="n">
        <v>29.15</v>
      </c>
      <c r="T35" s="18" t="n">
        <v>73.31</v>
      </c>
      <c r="U35" s="37">
        <f>SUM(Q35:T35)</f>
        <v/>
      </c>
      <c r="V35" s="18" t="n">
        <v>57.11</v>
      </c>
      <c r="W35" s="18" t="n">
        <v>57.82</v>
      </c>
      <c r="X35" s="18" t="n">
        <v>77.43000000000001</v>
      </c>
      <c r="Y35" s="18" t="n">
        <v>78.23999999999999</v>
      </c>
      <c r="Z35" s="37">
        <f>SUM(V35:Y35)</f>
        <v/>
      </c>
      <c r="AA35" s="18" t="n">
        <v>62.74</v>
      </c>
      <c r="AB35" s="19" t="n">
        <v>75.59</v>
      </c>
      <c r="AC35" s="20">
        <f>IFERROR(AC9,"")</f>
        <v/>
      </c>
      <c r="AD35" s="20">
        <f>IFERROR(AD9,"")</f>
        <v/>
      </c>
      <c r="AE35" s="38">
        <f>SUM(AA35:AD35)</f>
        <v/>
      </c>
      <c r="AF35" s="20">
        <f>IFERROR(AF9,"")</f>
        <v/>
      </c>
      <c r="AG35" s="20">
        <f>IFERROR(AG9,"")</f>
        <v/>
      </c>
      <c r="AH35" s="20">
        <f>IFERROR(AH9,"")</f>
        <v/>
      </c>
      <c r="AI35" s="20">
        <f>IFERROR(AI9,"")</f>
        <v/>
      </c>
      <c r="AJ35" s="38">
        <f>SUM(AF35:AI35)</f>
        <v/>
      </c>
      <c r="AK35" s="20">
        <f>IFERROR(AK9,"")</f>
        <v/>
      </c>
      <c r="AL35" s="20">
        <f>IFERROR(AL9,"")</f>
        <v/>
      </c>
      <c r="AM35" s="20">
        <f>IFERROR(AM9,"")</f>
        <v/>
      </c>
      <c r="AN35" s="20">
        <f>IFERROR(AN9,"")</f>
        <v/>
      </c>
      <c r="AO35" s="38">
        <f>SUM(AK35:AN35)</f>
        <v/>
      </c>
    </row>
    <row r="36">
      <c r="B36" s="2" t="inlineStr">
        <is>
          <t>비율(참고)</t>
        </is>
      </c>
      <c r="F36" s="9" t="n"/>
      <c r="K36" s="9" t="n"/>
      <c r="P36" s="9" t="n"/>
      <c r="U36" s="9" t="n"/>
      <c r="Z36" s="9" t="n"/>
      <c r="AB36" s="5" t="n"/>
      <c r="AC36" s="10" t="n"/>
      <c r="AD36" s="10" t="n"/>
      <c r="AE36" s="11" t="n"/>
      <c r="AF36" s="10" t="n"/>
      <c r="AG36" s="10" t="n"/>
      <c r="AH36" s="10" t="n"/>
      <c r="AI36" s="10" t="n"/>
      <c r="AJ36" s="11" t="n"/>
      <c r="AK36" s="10" t="n"/>
      <c r="AL36" s="10" t="n"/>
      <c r="AM36" s="10" t="n"/>
      <c r="AN36" s="10" t="n"/>
      <c r="AO36" s="11" t="n"/>
    </row>
    <row r="37">
      <c r="A37" s="12" t="inlineStr">
        <is>
          <t>NPM</t>
        </is>
      </c>
      <c r="C37" t="inlineStr">
        <is>
          <t>%</t>
        </is>
      </c>
      <c r="D37" t="inlineStr">
        <is>
          <t>지배주주순이익 / 매출액</t>
        </is>
      </c>
      <c r="E37" s="21">
        <f>IFERROR(E17/E5,"")</f>
        <v/>
      </c>
      <c r="F37" s="22">
        <f>IFERROR(F17/F5,"")</f>
        <v/>
      </c>
      <c r="G37" s="21">
        <f>IFERROR(G17/G5,"")</f>
        <v/>
      </c>
      <c r="H37" s="21">
        <f>IFERROR(H17/H5,"")</f>
        <v/>
      </c>
      <c r="I37" s="21">
        <f>IFERROR(I17/I5,"")</f>
        <v/>
      </c>
      <c r="J37" s="21">
        <f>IFERROR(J17/J5,"")</f>
        <v/>
      </c>
      <c r="K37" s="22">
        <f>IFERROR(K17/K5,"")</f>
        <v/>
      </c>
      <c r="L37" s="21">
        <f>IFERROR(L17/L5,"")</f>
        <v/>
      </c>
      <c r="M37" s="21">
        <f>IFERROR(M17/M5,"")</f>
        <v/>
      </c>
      <c r="N37" s="21">
        <f>IFERROR(N17/N5,"")</f>
        <v/>
      </c>
      <c r="O37" s="21">
        <f>IFERROR(O17/O5,"")</f>
        <v/>
      </c>
      <c r="P37" s="22">
        <f>IFERROR(P17/P5,"")</f>
        <v/>
      </c>
      <c r="Q37" s="21">
        <f>IFERROR(Q17/Q5,"")</f>
        <v/>
      </c>
      <c r="R37" s="21">
        <f>IFERROR(R17/R5,"")</f>
        <v/>
      </c>
      <c r="S37" s="21">
        <f>IFERROR(S17/S5,"")</f>
        <v/>
      </c>
      <c r="T37" s="21">
        <f>IFERROR(T17/T5,"")</f>
        <v/>
      </c>
      <c r="U37" s="22">
        <f>IFERROR(U17/U5,"")</f>
        <v/>
      </c>
      <c r="V37" s="21">
        <f>IFERROR(V17/V5,"")</f>
        <v/>
      </c>
      <c r="W37" s="21">
        <f>IFERROR(W17/W5,"")</f>
        <v/>
      </c>
      <c r="X37" s="21">
        <f>IFERROR(X17/X5,"")</f>
        <v/>
      </c>
      <c r="Y37" s="21">
        <f>IFERROR(Y17/Y5,"")</f>
        <v/>
      </c>
      <c r="Z37" s="22">
        <f>IFERROR(Z17/Z5,"")</f>
        <v/>
      </c>
      <c r="AA37" s="21">
        <f>IFERROR(AA17/AA5,"")</f>
        <v/>
      </c>
      <c r="AB37" s="23">
        <f>IFERROR(AB17/AB5,"")</f>
        <v/>
      </c>
      <c r="AC37" s="32">
        <f>IFERROR(AC17/AC5,"")</f>
        <v/>
      </c>
      <c r="AD37" s="32">
        <f>IFERROR(AD17/AD5,"")</f>
        <v/>
      </c>
      <c r="AE37" s="25">
        <f>IFERROR(AE17/AE5,"")</f>
        <v/>
      </c>
      <c r="AF37" s="32">
        <f>IFERROR(AF17/AF5,"")</f>
        <v/>
      </c>
      <c r="AG37" s="32">
        <f>IFERROR(AG17/AG5,"")</f>
        <v/>
      </c>
      <c r="AH37" s="32">
        <f>IFERROR(AH17/AH5,"")</f>
        <v/>
      </c>
      <c r="AI37" s="32">
        <f>IFERROR(AI17/AI5,"")</f>
        <v/>
      </c>
      <c r="AJ37" s="25">
        <f>IFERROR(AJ17/AJ5,"")</f>
        <v/>
      </c>
      <c r="AK37" s="32">
        <f>IFERROR(AK17/AK5,"")</f>
        <v/>
      </c>
      <c r="AL37" s="32">
        <f>IFERROR(AL17/AL5,"")</f>
        <v/>
      </c>
      <c r="AM37" s="32">
        <f>IFERROR(AM17/AM5,"")</f>
        <v/>
      </c>
      <c r="AN37" s="32">
        <f>IFERROR(AN17/AN5,"")</f>
        <v/>
      </c>
      <c r="AO37" s="25">
        <f>IFERROR(AO17/AO5,"")</f>
        <v/>
      </c>
    </row>
    <row r="38">
      <c r="A38" s="12" t="inlineStr">
        <is>
          <t>매출원가율</t>
        </is>
      </c>
      <c r="C38" t="inlineStr">
        <is>
          <t>%</t>
        </is>
      </c>
      <c r="D38" t="inlineStr">
        <is>
          <t>매출원가 / 매출액</t>
        </is>
      </c>
      <c r="E38" s="21">
        <f>IFERROR(E6/E5,"")</f>
        <v/>
      </c>
      <c r="F38" s="22">
        <f>IFERROR(F6/F5,"")</f>
        <v/>
      </c>
      <c r="G38" s="21">
        <f>IFERROR(G6/G5,"")</f>
        <v/>
      </c>
      <c r="H38" s="21">
        <f>IFERROR(H6/H5,"")</f>
        <v/>
      </c>
      <c r="I38" s="21">
        <f>IFERROR(I6/I5,"")</f>
        <v/>
      </c>
      <c r="J38" s="21">
        <f>IFERROR(J6/J5,"")</f>
        <v/>
      </c>
      <c r="K38" s="22">
        <f>IFERROR(K6/K5,"")</f>
        <v/>
      </c>
      <c r="L38" s="21">
        <f>IFERROR(L6/L5,"")</f>
        <v/>
      </c>
      <c r="M38" s="21">
        <f>IFERROR(M6/M5,"")</f>
        <v/>
      </c>
      <c r="N38" s="21">
        <f>IFERROR(N6/N5,"")</f>
        <v/>
      </c>
      <c r="O38" s="21">
        <f>IFERROR(O6/O5,"")</f>
        <v/>
      </c>
      <c r="P38" s="22">
        <f>IFERROR(P6/P5,"")</f>
        <v/>
      </c>
      <c r="Q38" s="21">
        <f>IFERROR(Q6/Q5,"")</f>
        <v/>
      </c>
      <c r="R38" s="21">
        <f>IFERROR(R6/R5,"")</f>
        <v/>
      </c>
      <c r="S38" s="21">
        <f>IFERROR(S6/S5,"")</f>
        <v/>
      </c>
      <c r="T38" s="21">
        <f>IFERROR(T6/T5,"")</f>
        <v/>
      </c>
      <c r="U38" s="22">
        <f>IFERROR(U6/U5,"")</f>
        <v/>
      </c>
      <c r="V38" s="21">
        <f>IFERROR(V6/V5,"")</f>
        <v/>
      </c>
      <c r="W38" s="21">
        <f>IFERROR(W6/W5,"")</f>
        <v/>
      </c>
      <c r="X38" s="21">
        <f>IFERROR(X6/X5,"")</f>
        <v/>
      </c>
      <c r="Y38" s="21">
        <f>IFERROR(Y6/Y5,"")</f>
        <v/>
      </c>
      <c r="Z38" s="22">
        <f>IFERROR(Z6/Z5,"")</f>
        <v/>
      </c>
      <c r="AA38" s="21">
        <f>IFERROR(AA6/AA5,"")</f>
        <v/>
      </c>
      <c r="AB38" s="23">
        <f>IFERROR(AB6/AB5,"")</f>
        <v/>
      </c>
      <c r="AC38" s="32">
        <f>IFERROR(AC6/AC5,"")</f>
        <v/>
      </c>
      <c r="AD38" s="32">
        <f>IFERROR(AD6/AD5,"")</f>
        <v/>
      </c>
      <c r="AE38" s="25">
        <f>IFERROR(AE6/AE5,"")</f>
        <v/>
      </c>
      <c r="AF38" s="32">
        <f>IFERROR(AF6/AF5,"")</f>
        <v/>
      </c>
      <c r="AG38" s="32">
        <f>IFERROR(AG6/AG5,"")</f>
        <v/>
      </c>
      <c r="AH38" s="32">
        <f>IFERROR(AH6/AH5,"")</f>
        <v/>
      </c>
      <c r="AI38" s="32">
        <f>IFERROR(AI6/AI5,"")</f>
        <v/>
      </c>
      <c r="AJ38" s="25">
        <f>IFERROR(AJ6/AJ5,"")</f>
        <v/>
      </c>
      <c r="AK38" s="32">
        <f>IFERROR(AK6/AK5,"")</f>
        <v/>
      </c>
      <c r="AL38" s="32">
        <f>IFERROR(AL6/AL5,"")</f>
        <v/>
      </c>
      <c r="AM38" s="32">
        <f>IFERROR(AM6/AM5,"")</f>
        <v/>
      </c>
      <c r="AN38" s="32">
        <f>IFERROR(AN6/AN5,"")</f>
        <v/>
      </c>
      <c r="AO38" s="25">
        <f>IFERROR(AO6/AO5,"")</f>
        <v/>
      </c>
    </row>
    <row r="39">
      <c r="A39" s="12" t="inlineStr">
        <is>
          <t>판관비율</t>
        </is>
      </c>
      <c r="C39" t="inlineStr">
        <is>
          <t>%</t>
        </is>
      </c>
      <c r="D39" t="inlineStr">
        <is>
          <t>판관비 / 매출액</t>
        </is>
      </c>
      <c r="E39" s="21">
        <f>IFERROR(E8/E5,"")</f>
        <v/>
      </c>
      <c r="F39" s="22">
        <f>IFERROR(F8/F5,"")</f>
        <v/>
      </c>
      <c r="G39" s="21">
        <f>IFERROR(G8/G5,"")</f>
        <v/>
      </c>
      <c r="H39" s="21">
        <f>IFERROR(H8/H5,"")</f>
        <v/>
      </c>
      <c r="I39" s="21">
        <f>IFERROR(I8/I5,"")</f>
        <v/>
      </c>
      <c r="J39" s="21">
        <f>IFERROR(J8/J5,"")</f>
        <v/>
      </c>
      <c r="K39" s="22">
        <f>IFERROR(K8/K5,"")</f>
        <v/>
      </c>
      <c r="L39" s="21">
        <f>IFERROR(L8/L5,"")</f>
        <v/>
      </c>
      <c r="M39" s="21">
        <f>IFERROR(M8/M5,"")</f>
        <v/>
      </c>
      <c r="N39" s="21">
        <f>IFERROR(N8/N5,"")</f>
        <v/>
      </c>
      <c r="O39" s="21">
        <f>IFERROR(O8/O5,"")</f>
        <v/>
      </c>
      <c r="P39" s="22">
        <f>IFERROR(P8/P5,"")</f>
        <v/>
      </c>
      <c r="Q39" s="21">
        <f>IFERROR(Q8/Q5,"")</f>
        <v/>
      </c>
      <c r="R39" s="21">
        <f>IFERROR(R8/R5,"")</f>
        <v/>
      </c>
      <c r="S39" s="21">
        <f>IFERROR(S8/S5,"")</f>
        <v/>
      </c>
      <c r="T39" s="21">
        <f>IFERROR(T8/T5,"")</f>
        <v/>
      </c>
      <c r="U39" s="22">
        <f>IFERROR(U8/U5,"")</f>
        <v/>
      </c>
      <c r="V39" s="21">
        <f>IFERROR(V8/V5,"")</f>
        <v/>
      </c>
      <c r="W39" s="21">
        <f>IFERROR(W8/W5,"")</f>
        <v/>
      </c>
      <c r="X39" s="21">
        <f>IFERROR(X8/X5,"")</f>
        <v/>
      </c>
      <c r="Y39" s="21">
        <f>IFERROR(Y8/Y5,"")</f>
        <v/>
      </c>
      <c r="Z39" s="22">
        <f>IFERROR(Z8/Z5,"")</f>
        <v/>
      </c>
      <c r="AA39" s="21">
        <f>IFERROR(AA8/AA5,"")</f>
        <v/>
      </c>
      <c r="AB39" s="23">
        <f>IFERROR(AB8/AB5,"")</f>
        <v/>
      </c>
      <c r="AC39" s="32">
        <f>IFERROR(AC8/AC5,"")</f>
        <v/>
      </c>
      <c r="AD39" s="32">
        <f>IFERROR(AD8/AD5,"")</f>
        <v/>
      </c>
      <c r="AE39" s="25">
        <f>IFERROR(AE8/AE5,"")</f>
        <v/>
      </c>
      <c r="AF39" s="32">
        <f>IFERROR(AF8/AF5,"")</f>
        <v/>
      </c>
      <c r="AG39" s="32">
        <f>IFERROR(AG8/AG5,"")</f>
        <v/>
      </c>
      <c r="AH39" s="32">
        <f>IFERROR(AH8/AH5,"")</f>
        <v/>
      </c>
      <c r="AI39" s="32">
        <f>IFERROR(AI8/AI5,"")</f>
        <v/>
      </c>
      <c r="AJ39" s="25">
        <f>IFERROR(AJ8/AJ5,"")</f>
        <v/>
      </c>
      <c r="AK39" s="32">
        <f>IFERROR(AK8/AK5,"")</f>
        <v/>
      </c>
      <c r="AL39" s="32">
        <f>IFERROR(AL8/AL5,"")</f>
        <v/>
      </c>
      <c r="AM39" s="32">
        <f>IFERROR(AM8/AM5,"")</f>
        <v/>
      </c>
      <c r="AN39" s="32">
        <f>IFERROR(AN8/AN5,"")</f>
        <v/>
      </c>
      <c r="AO39" s="25">
        <f>IFERROR(AO8/AO5,"")</f>
        <v/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분기H — subQ 를 이름으로 VLOOKUP(억원)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41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2">
      <c r="C2" t="inlineStr">
        <is>
          <t>종가:</t>
        </is>
      </c>
      <c r="D2" s="18">
        <f>변수!D39</f>
        <v/>
      </c>
      <c r="W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43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44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18">
        <f>IFERROR(VLOOKUP($A5,subQ,MATCH(I$1,SUBQH,0),0),"")</f>
        <v/>
      </c>
      <c r="J5" s="18">
        <f>IFERROR(VLOOKUP($A5,subQ,MATCH(J$1,SUBQH,0),0),"")</f>
        <v/>
      </c>
      <c r="K5" s="18">
        <f>IFERROR(VLOOKUP($A5,subQ,MATCH(K$1,SUBQH,0),0),"")</f>
        <v/>
      </c>
      <c r="L5" s="18">
        <f>IFERROR(VLOOKUP($A5,subQ,MATCH(L$1,SUBQH,0),0),"")</f>
        <v/>
      </c>
      <c r="M5" s="18">
        <f>IFERROR(VLOOKUP($A5,subQ,MATCH(M$1,SUBQH,0),0),"")</f>
        <v/>
      </c>
      <c r="N5" s="18">
        <f>IFERROR(VLOOKUP($A5,subQ,MATCH(N$1,SUBQH,0),0),"")</f>
        <v/>
      </c>
      <c r="O5" s="18">
        <f>IFERROR(VLOOKUP($A5,subQ,MATCH(O$1,SUBQH,0),0),"")</f>
        <v/>
      </c>
      <c r="P5" s="18">
        <f>IFERROR(VLOOKUP($A5,subQ,MATCH(P$1,SUBQH,0),0),"")</f>
        <v/>
      </c>
      <c r="Q5" s="18">
        <f>IFERROR(VLOOKUP($A5,subQ,MATCH(Q$1,SUBQH,0),0),"")</f>
        <v/>
      </c>
      <c r="R5" s="18">
        <f>IFERROR(VLOOKUP($A5,subQ,MATCH(R$1,SUBQH,0),0),"")</f>
        <v/>
      </c>
      <c r="S5" s="18">
        <f>IFERROR(VLOOKUP($A5,subQ,MATCH(S$1,SUBQH,0),0),"")</f>
        <v/>
      </c>
      <c r="T5" s="18">
        <f>IFERROR(VLOOKUP($A5,subQ,MATCH(T$1,SUBQH,0),0),"")</f>
        <v/>
      </c>
      <c r="U5" s="18">
        <f>IFERROR(VLOOKUP($A5,subQ,MATCH(U$1,SUBQH,0),0),"")</f>
        <v/>
      </c>
      <c r="V5" s="18">
        <f>IFERROR(VLOOKUP($A5,subQ,MATCH(V$1,SUBQH,0),0),"")</f>
        <v/>
      </c>
      <c r="W5" s="45">
        <f>IFERROR(VLOOKUP($A5,subQ,MATCH(W$1,SUBQH,0),0),"")</f>
        <v/>
      </c>
      <c r="X5" s="20">
        <f>IFERROR(VLOOKUP($A5,subQ,MATCH(X$1,SUBQH,0),0),"")</f>
        <v/>
      </c>
      <c r="Y5" s="20">
        <f>IFERROR(VLOOKUP($A5,subQ,MATCH(Y$1,SUBQH,0),0),"")</f>
        <v/>
      </c>
      <c r="Z5" s="20">
        <f>IFERROR(VLOOKUP($A5,subQ,MATCH(Z$1,SUBQH,0),0),"")</f>
        <v/>
      </c>
      <c r="AA5" s="20">
        <f>IFERROR(VLOOKUP($A5,subQ,MATCH(AA$1,SUBQH,0),0),"")</f>
        <v/>
      </c>
      <c r="AB5" s="20">
        <f>IFERROR(VLOOKUP($A5,subQ,MATCH(AB$1,SUBQH,0),0),"")</f>
        <v/>
      </c>
      <c r="AC5" s="20">
        <f>IFERROR(VLOOKUP($A5,subQ,MATCH(AC$1,SUBQH,0),0),"")</f>
        <v/>
      </c>
      <c r="AD5" s="20">
        <f>IFERROR(VLOOKUP($A5,subQ,MATCH(AD$1,SUBQH,0),0),"")</f>
        <v/>
      </c>
      <c r="AE5" s="20">
        <f>IFERROR(VLOOKUP($A5,subQ,MATCH(AE$1,SUBQH,0),0),"")</f>
        <v/>
      </c>
      <c r="AF5" s="20">
        <f>IFERROR(VLOOKUP($A5,subQ,MATCH(AF$1,SUBQH,0),0),"")</f>
        <v/>
      </c>
      <c r="AG5" s="20">
        <f>IFERROR(VLOOKUP($A5,subQ,MATCH(AG$1,SUBQH,0),0),"")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18">
        <f>IFERROR(VLOOKUP($A6,subQ,MATCH(I$1,SUBQH,0),0),"")</f>
        <v/>
      </c>
      <c r="J6" s="18">
        <f>IFERROR(VLOOKUP($A6,subQ,MATCH(J$1,SUBQH,0),0),"")</f>
        <v/>
      </c>
      <c r="K6" s="18">
        <f>IFERROR(VLOOKUP($A6,subQ,MATCH(K$1,SUBQH,0),0),"")</f>
        <v/>
      </c>
      <c r="L6" s="18">
        <f>IFERROR(VLOOKUP($A6,subQ,MATCH(L$1,SUBQH,0),0),"")</f>
        <v/>
      </c>
      <c r="M6" s="18">
        <f>IFERROR(VLOOKUP($A6,subQ,MATCH(M$1,SUBQH,0),0),"")</f>
        <v/>
      </c>
      <c r="N6" s="18">
        <f>IFERROR(VLOOKUP($A6,subQ,MATCH(N$1,SUBQH,0),0),"")</f>
        <v/>
      </c>
      <c r="O6" s="18">
        <f>IFERROR(VLOOKUP($A6,subQ,MATCH(O$1,SUBQH,0),0),"")</f>
        <v/>
      </c>
      <c r="P6" s="18">
        <f>IFERROR(VLOOKUP($A6,subQ,MATCH(P$1,SUBQH,0),0),"")</f>
        <v/>
      </c>
      <c r="Q6" s="18">
        <f>IFERROR(VLOOKUP($A6,subQ,MATCH(Q$1,SUBQH,0),0),"")</f>
        <v/>
      </c>
      <c r="R6" s="18">
        <f>IFERROR(VLOOKUP($A6,subQ,MATCH(R$1,SUBQH,0),0),"")</f>
        <v/>
      </c>
      <c r="S6" s="18">
        <f>IFERROR(VLOOKUP($A6,subQ,MATCH(S$1,SUBQH,0),0),"")</f>
        <v/>
      </c>
      <c r="T6" s="18">
        <f>IFERROR(VLOOKUP($A6,subQ,MATCH(T$1,SUBQH,0),0),"")</f>
        <v/>
      </c>
      <c r="U6" s="18">
        <f>IFERROR(VLOOKUP($A6,subQ,MATCH(U$1,SUBQH,0),0),"")</f>
        <v/>
      </c>
      <c r="V6" s="18">
        <f>IFERROR(VLOOKUP($A6,subQ,MATCH(V$1,SUBQH,0),0),"")</f>
        <v/>
      </c>
      <c r="W6" s="45">
        <f>IFERROR(VLOOKUP($A6,subQ,MATCH(W$1,SUBQH,0),0),"")</f>
        <v/>
      </c>
      <c r="X6" s="20">
        <f>IFERROR(VLOOKUP($A6,subQ,MATCH(X$1,SUBQH,0),0),"")</f>
        <v/>
      </c>
      <c r="Y6" s="20">
        <f>IFERROR(VLOOKUP($A6,subQ,MATCH(Y$1,SUBQH,0),0),"")</f>
        <v/>
      </c>
      <c r="Z6" s="20">
        <f>IFERROR(VLOOKUP($A6,subQ,MATCH(Z$1,SUBQH,0),0),"")</f>
        <v/>
      </c>
      <c r="AA6" s="20">
        <f>IFERROR(VLOOKUP($A6,subQ,MATCH(AA$1,SUBQH,0),0),"")</f>
        <v/>
      </c>
      <c r="AB6" s="20">
        <f>IFERROR(VLOOKUP($A6,subQ,MATCH(AB$1,SUBQH,0),0),"")</f>
        <v/>
      </c>
      <c r="AC6" s="20">
        <f>IFERROR(VLOOKUP($A6,subQ,MATCH(AC$1,SUBQH,0),0),"")</f>
        <v/>
      </c>
      <c r="AD6" s="20">
        <f>IFERROR(VLOOKUP($A6,subQ,MATCH(AD$1,SUBQH,0),0),"")</f>
        <v/>
      </c>
      <c r="AE6" s="20">
        <f>IFERROR(VLOOKUP($A6,subQ,MATCH(AE$1,SUBQH,0),0),"")</f>
        <v/>
      </c>
      <c r="AF6" s="20">
        <f>IFERROR(VLOOKUP($A6,subQ,MATCH(AF$1,SUBQH,0),0),"")</f>
        <v/>
      </c>
      <c r="AG6" s="20">
        <f>IFERROR(VLOOKUP($A6,subQ,MATCH(AG$1,SUBQH,0),0),"")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18">
        <f>IFERROR(VLOOKUP($A7,subQ,MATCH(I$1,SUBQH,0),0),"")</f>
        <v/>
      </c>
      <c r="J7" s="18">
        <f>IFERROR(VLOOKUP($A7,subQ,MATCH(J$1,SUBQH,0),0),"")</f>
        <v/>
      </c>
      <c r="K7" s="18">
        <f>IFERROR(VLOOKUP($A7,subQ,MATCH(K$1,SUBQH,0),0),"")</f>
        <v/>
      </c>
      <c r="L7" s="18">
        <f>IFERROR(VLOOKUP($A7,subQ,MATCH(L$1,SUBQH,0),0),"")</f>
        <v/>
      </c>
      <c r="M7" s="18">
        <f>IFERROR(VLOOKUP($A7,subQ,MATCH(M$1,SUBQH,0),0),"")</f>
        <v/>
      </c>
      <c r="N7" s="18">
        <f>IFERROR(VLOOKUP($A7,subQ,MATCH(N$1,SUBQH,0),0),"")</f>
        <v/>
      </c>
      <c r="O7" s="18">
        <f>IFERROR(VLOOKUP($A7,subQ,MATCH(O$1,SUBQH,0),0),"")</f>
        <v/>
      </c>
      <c r="P7" s="18">
        <f>IFERROR(VLOOKUP($A7,subQ,MATCH(P$1,SUBQH,0),0),"")</f>
        <v/>
      </c>
      <c r="Q7" s="18">
        <f>IFERROR(VLOOKUP($A7,subQ,MATCH(Q$1,SUBQH,0),0),"")</f>
        <v/>
      </c>
      <c r="R7" s="18">
        <f>IFERROR(VLOOKUP($A7,subQ,MATCH(R$1,SUBQH,0),0),"")</f>
        <v/>
      </c>
      <c r="S7" s="18">
        <f>IFERROR(VLOOKUP($A7,subQ,MATCH(S$1,SUBQH,0),0),"")</f>
        <v/>
      </c>
      <c r="T7" s="18">
        <f>IFERROR(VLOOKUP($A7,subQ,MATCH(T$1,SUBQH,0),0),"")</f>
        <v/>
      </c>
      <c r="U7" s="18">
        <f>IFERROR(VLOOKUP($A7,subQ,MATCH(U$1,SUBQH,0),0),"")</f>
        <v/>
      </c>
      <c r="V7" s="18">
        <f>IFERROR(VLOOKUP($A7,subQ,MATCH(V$1,SUBQH,0),0),"")</f>
        <v/>
      </c>
      <c r="W7" s="45">
        <f>IFERROR(VLOOKUP($A7,subQ,MATCH(W$1,SUBQH,0),0),"")</f>
        <v/>
      </c>
      <c r="X7" s="20">
        <f>IFERROR(VLOOKUP($A7,subQ,MATCH(X$1,SUBQH,0),0),"")</f>
        <v/>
      </c>
      <c r="Y7" s="20">
        <f>IFERROR(VLOOKUP($A7,subQ,MATCH(Y$1,SUBQH,0),0),"")</f>
        <v/>
      </c>
      <c r="Z7" s="20">
        <f>IFERROR(VLOOKUP($A7,subQ,MATCH(Z$1,SUBQH,0),0),"")</f>
        <v/>
      </c>
      <c r="AA7" s="20">
        <f>IFERROR(VLOOKUP($A7,subQ,MATCH(AA$1,SUBQH,0),0),"")</f>
        <v/>
      </c>
      <c r="AB7" s="20">
        <f>IFERROR(VLOOKUP($A7,subQ,MATCH(AB$1,SUBQH,0),0),"")</f>
        <v/>
      </c>
      <c r="AC7" s="20">
        <f>IFERROR(VLOOKUP($A7,subQ,MATCH(AC$1,SUBQH,0),0),"")</f>
        <v/>
      </c>
      <c r="AD7" s="20">
        <f>IFERROR(VLOOKUP($A7,subQ,MATCH(AD$1,SUBQH,0),0),"")</f>
        <v/>
      </c>
      <c r="AE7" s="20">
        <f>IFERROR(VLOOKUP($A7,subQ,MATCH(AE$1,SUBQH,0),0),"")</f>
        <v/>
      </c>
      <c r="AF7" s="20">
        <f>IFERROR(VLOOKUP($A7,subQ,MATCH(AF$1,SUBQH,0),0),"")</f>
        <v/>
      </c>
      <c r="AG7" s="20">
        <f>IFERROR(VLOOKUP($A7,subQ,MATCH(AG$1,SUBQH,0),0),"")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18">
        <f>IFERROR(VLOOKUP($A8,subQ,MATCH(I$1,SUBQH,0),0),"")</f>
        <v/>
      </c>
      <c r="J8" s="18">
        <f>IFERROR(VLOOKUP($A8,subQ,MATCH(J$1,SUBQH,0),0),"")</f>
        <v/>
      </c>
      <c r="K8" s="18">
        <f>IFERROR(VLOOKUP($A8,subQ,MATCH(K$1,SUBQH,0),0),"")</f>
        <v/>
      </c>
      <c r="L8" s="18">
        <f>IFERROR(VLOOKUP($A8,subQ,MATCH(L$1,SUBQH,0),0),"")</f>
        <v/>
      </c>
      <c r="M8" s="18">
        <f>IFERROR(VLOOKUP($A8,subQ,MATCH(M$1,SUBQH,0),0),"")</f>
        <v/>
      </c>
      <c r="N8" s="18">
        <f>IFERROR(VLOOKUP($A8,subQ,MATCH(N$1,SUBQH,0),0),"")</f>
        <v/>
      </c>
      <c r="O8" s="18">
        <f>IFERROR(VLOOKUP($A8,subQ,MATCH(O$1,SUBQH,0),0),"")</f>
        <v/>
      </c>
      <c r="P8" s="18">
        <f>IFERROR(VLOOKUP($A8,subQ,MATCH(P$1,SUBQH,0),0),"")</f>
        <v/>
      </c>
      <c r="Q8" s="18">
        <f>IFERROR(VLOOKUP($A8,subQ,MATCH(Q$1,SUBQH,0),0),"")</f>
        <v/>
      </c>
      <c r="R8" s="18">
        <f>IFERROR(VLOOKUP($A8,subQ,MATCH(R$1,SUBQH,0),0),"")</f>
        <v/>
      </c>
      <c r="S8" s="18">
        <f>IFERROR(VLOOKUP($A8,subQ,MATCH(S$1,SUBQH,0),0),"")</f>
        <v/>
      </c>
      <c r="T8" s="18">
        <f>IFERROR(VLOOKUP($A8,subQ,MATCH(T$1,SUBQH,0),0),"")</f>
        <v/>
      </c>
      <c r="U8" s="18">
        <f>IFERROR(VLOOKUP($A8,subQ,MATCH(U$1,SUBQH,0),0),"")</f>
        <v/>
      </c>
      <c r="V8" s="18">
        <f>IFERROR(VLOOKUP($A8,subQ,MATCH(V$1,SUBQH,0),0),"")</f>
        <v/>
      </c>
      <c r="W8" s="45">
        <f>IFERROR(VLOOKUP($A8,subQ,MATCH(W$1,SUBQH,0),0),"")</f>
        <v/>
      </c>
      <c r="X8" s="20">
        <f>IFERROR(VLOOKUP($A8,subQ,MATCH(X$1,SUBQH,0),0),"")</f>
        <v/>
      </c>
      <c r="Y8" s="20">
        <f>IFERROR(VLOOKUP($A8,subQ,MATCH(Y$1,SUBQH,0),0),"")</f>
        <v/>
      </c>
      <c r="Z8" s="20">
        <f>IFERROR(VLOOKUP($A8,subQ,MATCH(Z$1,SUBQH,0),0),"")</f>
        <v/>
      </c>
      <c r="AA8" s="20">
        <f>IFERROR(VLOOKUP($A8,subQ,MATCH(AA$1,SUBQH,0),0),"")</f>
        <v/>
      </c>
      <c r="AB8" s="20">
        <f>IFERROR(VLOOKUP($A8,subQ,MATCH(AB$1,SUBQH,0),0),"")</f>
        <v/>
      </c>
      <c r="AC8" s="20">
        <f>IFERROR(VLOOKUP($A8,subQ,MATCH(AC$1,SUBQH,0),0),"")</f>
        <v/>
      </c>
      <c r="AD8" s="20">
        <f>IFERROR(VLOOKUP($A8,subQ,MATCH(AD$1,SUBQH,0),0),"")</f>
        <v/>
      </c>
      <c r="AE8" s="20">
        <f>IFERROR(VLOOKUP($A8,subQ,MATCH(AE$1,SUBQH,0),0),"")</f>
        <v/>
      </c>
      <c r="AF8" s="20">
        <f>IFERROR(VLOOKUP($A8,subQ,MATCH(AF$1,SUBQH,0),0),"")</f>
        <v/>
      </c>
      <c r="AG8" s="20">
        <f>IFERROR(VLOOKUP($A8,subQ,MATCH(AG$1,SUBQH,0),0),"")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18">
        <f>IFERROR(VLOOKUP($A9,subQ,MATCH(I$1,SUBQH,0),0),"")</f>
        <v/>
      </c>
      <c r="J9" s="18">
        <f>IFERROR(VLOOKUP($A9,subQ,MATCH(J$1,SUBQH,0),0),"")</f>
        <v/>
      </c>
      <c r="K9" s="18">
        <f>IFERROR(VLOOKUP($A9,subQ,MATCH(K$1,SUBQH,0),0),"")</f>
        <v/>
      </c>
      <c r="L9" s="18">
        <f>IFERROR(VLOOKUP($A9,subQ,MATCH(L$1,SUBQH,0),0),"")</f>
        <v/>
      </c>
      <c r="M9" s="18">
        <f>IFERROR(VLOOKUP($A9,subQ,MATCH(M$1,SUBQH,0),0),"")</f>
        <v/>
      </c>
      <c r="N9" s="18">
        <f>IFERROR(VLOOKUP($A9,subQ,MATCH(N$1,SUBQH,0),0),"")</f>
        <v/>
      </c>
      <c r="O9" s="18">
        <f>IFERROR(VLOOKUP($A9,subQ,MATCH(O$1,SUBQH,0),0),"")</f>
        <v/>
      </c>
      <c r="P9" s="18">
        <f>IFERROR(VLOOKUP($A9,subQ,MATCH(P$1,SUBQH,0),0),"")</f>
        <v/>
      </c>
      <c r="Q9" s="18">
        <f>IFERROR(VLOOKUP($A9,subQ,MATCH(Q$1,SUBQH,0),0),"")</f>
        <v/>
      </c>
      <c r="R9" s="18">
        <f>IFERROR(VLOOKUP($A9,subQ,MATCH(R$1,SUBQH,0),0),"")</f>
        <v/>
      </c>
      <c r="S9" s="18">
        <f>IFERROR(VLOOKUP($A9,subQ,MATCH(S$1,SUBQH,0),0),"")</f>
        <v/>
      </c>
      <c r="T9" s="18">
        <f>IFERROR(VLOOKUP($A9,subQ,MATCH(T$1,SUBQH,0),0),"")</f>
        <v/>
      </c>
      <c r="U9" s="18">
        <f>IFERROR(VLOOKUP($A9,subQ,MATCH(U$1,SUBQH,0),0),"")</f>
        <v/>
      </c>
      <c r="V9" s="18">
        <f>IFERROR(VLOOKUP($A9,subQ,MATCH(V$1,SUBQH,0),0),"")</f>
        <v/>
      </c>
      <c r="W9" s="45">
        <f>IFERROR(VLOOKUP($A9,subQ,MATCH(W$1,SUBQH,0),0),"")</f>
        <v/>
      </c>
      <c r="X9" s="20">
        <f>IFERROR(VLOOKUP($A9,subQ,MATCH(X$1,SUBQH,0),0),"")</f>
        <v/>
      </c>
      <c r="Y9" s="20">
        <f>IFERROR(VLOOKUP($A9,subQ,MATCH(Y$1,SUBQH,0),0),"")</f>
        <v/>
      </c>
      <c r="Z9" s="20">
        <f>IFERROR(VLOOKUP($A9,subQ,MATCH(Z$1,SUBQH,0),0),"")</f>
        <v/>
      </c>
      <c r="AA9" s="20">
        <f>IFERROR(VLOOKUP($A9,subQ,MATCH(AA$1,SUBQH,0),0),"")</f>
        <v/>
      </c>
      <c r="AB9" s="20">
        <f>IFERROR(VLOOKUP($A9,subQ,MATCH(AB$1,SUBQH,0),0),"")</f>
        <v/>
      </c>
      <c r="AC9" s="20">
        <f>IFERROR(VLOOKUP($A9,subQ,MATCH(AC$1,SUBQH,0),0),"")</f>
        <v/>
      </c>
      <c r="AD9" s="20">
        <f>IFERROR(VLOOKUP($A9,subQ,MATCH(AD$1,SUBQH,0),0),"")</f>
        <v/>
      </c>
      <c r="AE9" s="20">
        <f>IFERROR(VLOOKUP($A9,subQ,MATCH(AE$1,SUBQH,0),0),"")</f>
        <v/>
      </c>
      <c r="AF9" s="20">
        <f>IFERROR(VLOOKUP($A9,subQ,MATCH(AF$1,SUBQH,0),0),"")</f>
        <v/>
      </c>
      <c r="AG9" s="20">
        <f>IFERROR(VLOOKUP($A9,subQ,MATCH(AG$1,SUBQH,0),0),"")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21">
        <f>IFERROR(VLOOKUP($A10,subQ,MATCH(I$1,SUBQH,0),0),"")</f>
        <v/>
      </c>
      <c r="J10" s="21">
        <f>IFERROR(VLOOKUP($A10,subQ,MATCH(J$1,SUBQH,0),0),"")</f>
        <v/>
      </c>
      <c r="K10" s="21">
        <f>IFERROR(VLOOKUP($A10,subQ,MATCH(K$1,SUBQH,0),0),"")</f>
        <v/>
      </c>
      <c r="L10" s="21">
        <f>IFERROR(VLOOKUP($A10,subQ,MATCH(L$1,SUBQH,0),0),"")</f>
        <v/>
      </c>
      <c r="M10" s="21">
        <f>IFERROR(VLOOKUP($A10,subQ,MATCH(M$1,SUBQH,0),0),"")</f>
        <v/>
      </c>
      <c r="N10" s="21">
        <f>IFERROR(VLOOKUP($A10,subQ,MATCH(N$1,SUBQH,0),0),"")</f>
        <v/>
      </c>
      <c r="O10" s="21">
        <f>IFERROR(VLOOKUP($A10,subQ,MATCH(O$1,SUBQH,0),0),"")</f>
        <v/>
      </c>
      <c r="P10" s="21">
        <f>IFERROR(VLOOKUP($A10,subQ,MATCH(P$1,SUBQH,0),0),"")</f>
        <v/>
      </c>
      <c r="Q10" s="21">
        <f>IFERROR(VLOOKUP($A10,subQ,MATCH(Q$1,SUBQH,0),0),"")</f>
        <v/>
      </c>
      <c r="R10" s="21">
        <f>IFERROR(VLOOKUP($A10,subQ,MATCH(R$1,SUBQH,0),0),"")</f>
        <v/>
      </c>
      <c r="S10" s="21">
        <f>IFERROR(VLOOKUP($A10,subQ,MATCH(S$1,SUBQH,0),0),"")</f>
        <v/>
      </c>
      <c r="T10" s="21">
        <f>IFERROR(VLOOKUP($A10,subQ,MATCH(T$1,SUBQH,0),0),"")</f>
        <v/>
      </c>
      <c r="U10" s="21">
        <f>IFERROR(VLOOKUP($A10,subQ,MATCH(U$1,SUBQH,0),0),"")</f>
        <v/>
      </c>
      <c r="V10" s="21">
        <f>IFERROR(VLOOKUP($A10,subQ,MATCH(V$1,SUBQH,0),0),"")</f>
        <v/>
      </c>
      <c r="W10" s="46">
        <f>IFERROR(VLOOKUP($A10,subQ,MATCH(W$1,SUBQH,0),0),"")</f>
        <v/>
      </c>
      <c r="X10" s="32">
        <f>IFERROR(VLOOKUP($A10,subQ,MATCH(X$1,SUBQH,0),0),"")</f>
        <v/>
      </c>
      <c r="Y10" s="32">
        <f>IFERROR(VLOOKUP($A10,subQ,MATCH(Y$1,SUBQH,0),0),"")</f>
        <v/>
      </c>
      <c r="Z10" s="32">
        <f>IFERROR(VLOOKUP($A10,subQ,MATCH(Z$1,SUBQH,0),0),"")</f>
        <v/>
      </c>
      <c r="AA10" s="32">
        <f>IFERROR(VLOOKUP($A10,subQ,MATCH(AA$1,SUBQH,0),0),"")</f>
        <v/>
      </c>
      <c r="AB10" s="32">
        <f>IFERROR(VLOOKUP($A10,subQ,MATCH(AB$1,SUBQH,0),0),"")</f>
        <v/>
      </c>
      <c r="AC10" s="32">
        <f>IFERROR(VLOOKUP($A10,subQ,MATCH(AC$1,SUBQH,0),0),"")</f>
        <v/>
      </c>
      <c r="AD10" s="32">
        <f>IFERROR(VLOOKUP($A10,subQ,MATCH(AD$1,SUBQH,0),0),"")</f>
        <v/>
      </c>
      <c r="AE10" s="32">
        <f>IFERROR(VLOOKUP($A10,subQ,MATCH(AE$1,SUBQH,0),0),"")</f>
        <v/>
      </c>
      <c r="AF10" s="32">
        <f>IFERROR(VLOOKUP($A10,subQ,MATCH(AF$1,SUBQH,0),0),"")</f>
        <v/>
      </c>
      <c r="AG10" s="32">
        <f>IFERROR(VLOOKUP($A10,subQ,MATCH(AG$1,SUBQH,0),0),"")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18">
        <f>IFERROR(VLOOKUP($A11,subQ,MATCH(I$1,SUBQH,0),0),"")</f>
        <v/>
      </c>
      <c r="J11" s="18">
        <f>IFERROR(VLOOKUP($A11,subQ,MATCH(J$1,SUBQH,0),0),"")</f>
        <v/>
      </c>
      <c r="K11" s="18">
        <f>IFERROR(VLOOKUP($A11,subQ,MATCH(K$1,SUBQH,0),0),"")</f>
        <v/>
      </c>
      <c r="L11" s="18">
        <f>IFERROR(VLOOKUP($A11,subQ,MATCH(L$1,SUBQH,0),0),"")</f>
        <v/>
      </c>
      <c r="M11" s="18">
        <f>IFERROR(VLOOKUP($A11,subQ,MATCH(M$1,SUBQH,0),0),"")</f>
        <v/>
      </c>
      <c r="N11" s="18">
        <f>IFERROR(VLOOKUP($A11,subQ,MATCH(N$1,SUBQH,0),0),"")</f>
        <v/>
      </c>
      <c r="O11" s="18">
        <f>IFERROR(VLOOKUP($A11,subQ,MATCH(O$1,SUBQH,0),0),"")</f>
        <v/>
      </c>
      <c r="P11" s="18">
        <f>IFERROR(VLOOKUP($A11,subQ,MATCH(P$1,SUBQH,0),0),"")</f>
        <v/>
      </c>
      <c r="Q11" s="18">
        <f>IFERROR(VLOOKUP($A11,subQ,MATCH(Q$1,SUBQH,0),0),"")</f>
        <v/>
      </c>
      <c r="R11" s="18">
        <f>IFERROR(VLOOKUP($A11,subQ,MATCH(R$1,SUBQH,0),0),"")</f>
        <v/>
      </c>
      <c r="S11" s="18">
        <f>IFERROR(VLOOKUP($A11,subQ,MATCH(S$1,SUBQH,0),0),"")</f>
        <v/>
      </c>
      <c r="T11" s="18">
        <f>IFERROR(VLOOKUP($A11,subQ,MATCH(T$1,SUBQH,0),0),"")</f>
        <v/>
      </c>
      <c r="U11" s="18">
        <f>IFERROR(VLOOKUP($A11,subQ,MATCH(U$1,SUBQH,0),0),"")</f>
        <v/>
      </c>
      <c r="V11" s="18">
        <f>IFERROR(VLOOKUP($A11,subQ,MATCH(V$1,SUBQH,0),0),"")</f>
        <v/>
      </c>
      <c r="W11" s="45">
        <f>IFERROR(VLOOKUP($A11,subQ,MATCH(W$1,SUBQH,0),0),"")</f>
        <v/>
      </c>
      <c r="X11" s="20">
        <f>IFERROR(VLOOKUP($A11,subQ,MATCH(X$1,SUBQH,0),0),"")</f>
        <v/>
      </c>
      <c r="Y11" s="20">
        <f>IFERROR(VLOOKUP($A11,subQ,MATCH(Y$1,SUBQH,0),0),"")</f>
        <v/>
      </c>
      <c r="Z11" s="20">
        <f>IFERROR(VLOOKUP($A11,subQ,MATCH(Z$1,SUBQH,0),0),"")</f>
        <v/>
      </c>
      <c r="AA11" s="20">
        <f>IFERROR(VLOOKUP($A11,subQ,MATCH(AA$1,SUBQH,0),0),"")</f>
        <v/>
      </c>
      <c r="AB11" s="20">
        <f>IFERROR(VLOOKUP($A11,subQ,MATCH(AB$1,SUBQH,0),0),"")</f>
        <v/>
      </c>
      <c r="AC11" s="20">
        <f>IFERROR(VLOOKUP($A11,subQ,MATCH(AC$1,SUBQH,0),0),"")</f>
        <v/>
      </c>
      <c r="AD11" s="20">
        <f>IFERROR(VLOOKUP($A11,subQ,MATCH(AD$1,SUBQH,0),0),"")</f>
        <v/>
      </c>
      <c r="AE11" s="20">
        <f>IFERROR(VLOOKUP($A11,subQ,MATCH(AE$1,SUBQH,0),0),"")</f>
        <v/>
      </c>
      <c r="AF11" s="20">
        <f>IFERROR(VLOOKUP($A11,subQ,MATCH(AF$1,SUBQH,0),0),"")</f>
        <v/>
      </c>
      <c r="AG11" s="20">
        <f>IFERROR(VLOOKUP($A11,subQ,MATCH(AG$1,SUBQH,0),0),"")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18">
        <f>IFERROR(VLOOKUP($A12,subQ,MATCH(I$1,SUBQH,0),0),"")</f>
        <v/>
      </c>
      <c r="J12" s="18">
        <f>IFERROR(VLOOKUP($A12,subQ,MATCH(J$1,SUBQH,0),0),"")</f>
        <v/>
      </c>
      <c r="K12" s="18">
        <f>IFERROR(VLOOKUP($A12,subQ,MATCH(K$1,SUBQH,0),0),"")</f>
        <v/>
      </c>
      <c r="L12" s="18">
        <f>IFERROR(VLOOKUP($A12,subQ,MATCH(L$1,SUBQH,0),0),"")</f>
        <v/>
      </c>
      <c r="M12" s="18">
        <f>IFERROR(VLOOKUP($A12,subQ,MATCH(M$1,SUBQH,0),0),"")</f>
        <v/>
      </c>
      <c r="N12" s="18">
        <f>IFERROR(VLOOKUP($A12,subQ,MATCH(N$1,SUBQH,0),0),"")</f>
        <v/>
      </c>
      <c r="O12" s="18">
        <f>IFERROR(VLOOKUP($A12,subQ,MATCH(O$1,SUBQH,0),0),"")</f>
        <v/>
      </c>
      <c r="P12" s="18">
        <f>IFERROR(VLOOKUP($A12,subQ,MATCH(P$1,SUBQH,0),0),"")</f>
        <v/>
      </c>
      <c r="Q12" s="18">
        <f>IFERROR(VLOOKUP($A12,subQ,MATCH(Q$1,SUBQH,0),0),"")</f>
        <v/>
      </c>
      <c r="R12" s="18">
        <f>IFERROR(VLOOKUP($A12,subQ,MATCH(R$1,SUBQH,0),0),"")</f>
        <v/>
      </c>
      <c r="S12" s="18">
        <f>IFERROR(VLOOKUP($A12,subQ,MATCH(S$1,SUBQH,0),0),"")</f>
        <v/>
      </c>
      <c r="T12" s="18">
        <f>IFERROR(VLOOKUP($A12,subQ,MATCH(T$1,SUBQH,0),0),"")</f>
        <v/>
      </c>
      <c r="U12" s="18">
        <f>IFERROR(VLOOKUP($A12,subQ,MATCH(U$1,SUBQH,0),0),"")</f>
        <v/>
      </c>
      <c r="V12" s="18">
        <f>IFERROR(VLOOKUP($A12,subQ,MATCH(V$1,SUBQH,0),0),"")</f>
        <v/>
      </c>
      <c r="W12" s="45">
        <f>IFERROR(VLOOKUP($A12,subQ,MATCH(W$1,SUBQH,0),0),"")</f>
        <v/>
      </c>
      <c r="X12" s="20">
        <f>IFERROR(VLOOKUP($A12,subQ,MATCH(X$1,SUBQH,0),0),"")</f>
        <v/>
      </c>
      <c r="Y12" s="20">
        <f>IFERROR(VLOOKUP($A12,subQ,MATCH(Y$1,SUBQH,0),0),"")</f>
        <v/>
      </c>
      <c r="Z12" s="20">
        <f>IFERROR(VLOOKUP($A12,subQ,MATCH(Z$1,SUBQH,0),0),"")</f>
        <v/>
      </c>
      <c r="AA12" s="20">
        <f>IFERROR(VLOOKUP($A12,subQ,MATCH(AA$1,SUBQH,0),0),"")</f>
        <v/>
      </c>
      <c r="AB12" s="20">
        <f>IFERROR(VLOOKUP($A12,subQ,MATCH(AB$1,SUBQH,0),0),"")</f>
        <v/>
      </c>
      <c r="AC12" s="20">
        <f>IFERROR(VLOOKUP($A12,subQ,MATCH(AC$1,SUBQH,0),0),"")</f>
        <v/>
      </c>
      <c r="AD12" s="20">
        <f>IFERROR(VLOOKUP($A12,subQ,MATCH(AD$1,SUBQH,0),0),"")</f>
        <v/>
      </c>
      <c r="AE12" s="20">
        <f>IFERROR(VLOOKUP($A12,subQ,MATCH(AE$1,SUBQH,0),0),"")</f>
        <v/>
      </c>
      <c r="AF12" s="20">
        <f>IFERROR(VLOOKUP($A12,subQ,MATCH(AF$1,SUBQH,0),0),"")</f>
        <v/>
      </c>
      <c r="AG12" s="20">
        <f>IFERROR(VLOOKUP($A12,subQ,MATCH(AG$1,SUBQH,0),0),"")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18">
        <f>IFERROR(VLOOKUP($A13,subQ,MATCH(I$1,SUBQH,0),0),"")</f>
        <v/>
      </c>
      <c r="J13" s="18">
        <f>IFERROR(VLOOKUP($A13,subQ,MATCH(J$1,SUBQH,0),0),"")</f>
        <v/>
      </c>
      <c r="K13" s="18">
        <f>IFERROR(VLOOKUP($A13,subQ,MATCH(K$1,SUBQH,0),0),"")</f>
        <v/>
      </c>
      <c r="L13" s="18">
        <f>IFERROR(VLOOKUP($A13,subQ,MATCH(L$1,SUBQH,0),0),"")</f>
        <v/>
      </c>
      <c r="M13" s="18">
        <f>IFERROR(VLOOKUP($A13,subQ,MATCH(M$1,SUBQH,0),0),"")</f>
        <v/>
      </c>
      <c r="N13" s="18">
        <f>IFERROR(VLOOKUP($A13,subQ,MATCH(N$1,SUBQH,0),0),"")</f>
        <v/>
      </c>
      <c r="O13" s="18">
        <f>IFERROR(VLOOKUP($A13,subQ,MATCH(O$1,SUBQH,0),0),"")</f>
        <v/>
      </c>
      <c r="P13" s="18">
        <f>IFERROR(VLOOKUP($A13,subQ,MATCH(P$1,SUBQH,0),0),"")</f>
        <v/>
      </c>
      <c r="Q13" s="18">
        <f>IFERROR(VLOOKUP($A13,subQ,MATCH(Q$1,SUBQH,0),0),"")</f>
        <v/>
      </c>
      <c r="R13" s="18">
        <f>IFERROR(VLOOKUP($A13,subQ,MATCH(R$1,SUBQH,0),0),"")</f>
        <v/>
      </c>
      <c r="S13" s="18">
        <f>IFERROR(VLOOKUP($A13,subQ,MATCH(S$1,SUBQH,0),0),"")</f>
        <v/>
      </c>
      <c r="T13" s="18">
        <f>IFERROR(VLOOKUP($A13,subQ,MATCH(T$1,SUBQH,0),0),"")</f>
        <v/>
      </c>
      <c r="U13" s="18">
        <f>IFERROR(VLOOKUP($A13,subQ,MATCH(U$1,SUBQH,0),0),"")</f>
        <v/>
      </c>
      <c r="V13" s="18">
        <f>IFERROR(VLOOKUP($A13,subQ,MATCH(V$1,SUBQH,0),0),"")</f>
        <v/>
      </c>
      <c r="W13" s="45">
        <f>IFERROR(VLOOKUP($A13,subQ,MATCH(W$1,SUBQH,0),0),"")</f>
        <v/>
      </c>
      <c r="X13" s="20">
        <f>IFERROR(VLOOKUP($A13,subQ,MATCH(X$1,SUBQH,0),0),"")</f>
        <v/>
      </c>
      <c r="Y13" s="20">
        <f>IFERROR(VLOOKUP($A13,subQ,MATCH(Y$1,SUBQH,0),0),"")</f>
        <v/>
      </c>
      <c r="Z13" s="20">
        <f>IFERROR(VLOOKUP($A13,subQ,MATCH(Z$1,SUBQH,0),0),"")</f>
        <v/>
      </c>
      <c r="AA13" s="20">
        <f>IFERROR(VLOOKUP($A13,subQ,MATCH(AA$1,SUBQH,0),0),"")</f>
        <v/>
      </c>
      <c r="AB13" s="20">
        <f>IFERROR(VLOOKUP($A13,subQ,MATCH(AB$1,SUBQH,0),0),"")</f>
        <v/>
      </c>
      <c r="AC13" s="20">
        <f>IFERROR(VLOOKUP($A13,subQ,MATCH(AC$1,SUBQH,0),0),"")</f>
        <v/>
      </c>
      <c r="AD13" s="20">
        <f>IFERROR(VLOOKUP($A13,subQ,MATCH(AD$1,SUBQH,0),0),"")</f>
        <v/>
      </c>
      <c r="AE13" s="20">
        <f>IFERROR(VLOOKUP($A13,subQ,MATCH(AE$1,SUBQH,0),0),"")</f>
        <v/>
      </c>
      <c r="AF13" s="20">
        <f>IFERROR(VLOOKUP($A13,subQ,MATCH(AF$1,SUBQH,0),0),"")</f>
        <v/>
      </c>
      <c r="AG13" s="20">
        <f>IFERROR(VLOOKUP($A13,subQ,MATCH(AG$1,SUBQH,0),0),"")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18">
        <f>IFERROR(VLOOKUP($A14,subQ,MATCH(I$1,SUBQH,0),0),"")</f>
        <v/>
      </c>
      <c r="J14" s="18">
        <f>IFERROR(VLOOKUP($A14,subQ,MATCH(J$1,SUBQH,0),0),"")</f>
        <v/>
      </c>
      <c r="K14" s="18">
        <f>IFERROR(VLOOKUP($A14,subQ,MATCH(K$1,SUBQH,0),0),"")</f>
        <v/>
      </c>
      <c r="L14" s="18">
        <f>IFERROR(VLOOKUP($A14,subQ,MATCH(L$1,SUBQH,0),0),"")</f>
        <v/>
      </c>
      <c r="M14" s="18">
        <f>IFERROR(VLOOKUP($A14,subQ,MATCH(M$1,SUBQH,0),0),"")</f>
        <v/>
      </c>
      <c r="N14" s="18">
        <f>IFERROR(VLOOKUP($A14,subQ,MATCH(N$1,SUBQH,0),0),"")</f>
        <v/>
      </c>
      <c r="O14" s="18">
        <f>IFERROR(VLOOKUP($A14,subQ,MATCH(O$1,SUBQH,0),0),"")</f>
        <v/>
      </c>
      <c r="P14" s="18">
        <f>IFERROR(VLOOKUP($A14,subQ,MATCH(P$1,SUBQH,0),0),"")</f>
        <v/>
      </c>
      <c r="Q14" s="18">
        <f>IFERROR(VLOOKUP($A14,subQ,MATCH(Q$1,SUBQH,0),0),"")</f>
        <v/>
      </c>
      <c r="R14" s="18">
        <f>IFERROR(VLOOKUP($A14,subQ,MATCH(R$1,SUBQH,0),0),"")</f>
        <v/>
      </c>
      <c r="S14" s="18">
        <f>IFERROR(VLOOKUP($A14,subQ,MATCH(S$1,SUBQH,0),0),"")</f>
        <v/>
      </c>
      <c r="T14" s="18">
        <f>IFERROR(VLOOKUP($A14,subQ,MATCH(T$1,SUBQH,0),0),"")</f>
        <v/>
      </c>
      <c r="U14" s="18">
        <f>IFERROR(VLOOKUP($A14,subQ,MATCH(U$1,SUBQH,0),0),"")</f>
        <v/>
      </c>
      <c r="V14" s="18">
        <f>IFERROR(VLOOKUP($A14,subQ,MATCH(V$1,SUBQH,0),0),"")</f>
        <v/>
      </c>
      <c r="W14" s="45">
        <f>IFERROR(VLOOKUP($A14,subQ,MATCH(W$1,SUBQH,0),0),"")</f>
        <v/>
      </c>
      <c r="X14" s="20">
        <f>IFERROR(VLOOKUP($A14,subQ,MATCH(X$1,SUBQH,0),0),"")</f>
        <v/>
      </c>
      <c r="Y14" s="20">
        <f>IFERROR(VLOOKUP($A14,subQ,MATCH(Y$1,SUBQH,0),0),"")</f>
        <v/>
      </c>
      <c r="Z14" s="20">
        <f>IFERROR(VLOOKUP($A14,subQ,MATCH(Z$1,SUBQH,0),0),"")</f>
        <v/>
      </c>
      <c r="AA14" s="20">
        <f>IFERROR(VLOOKUP($A14,subQ,MATCH(AA$1,SUBQH,0),0),"")</f>
        <v/>
      </c>
      <c r="AB14" s="20">
        <f>IFERROR(VLOOKUP($A14,subQ,MATCH(AB$1,SUBQH,0),0),"")</f>
        <v/>
      </c>
      <c r="AC14" s="20">
        <f>IFERROR(VLOOKUP($A14,subQ,MATCH(AC$1,SUBQH,0),0),"")</f>
        <v/>
      </c>
      <c r="AD14" s="20">
        <f>IFERROR(VLOOKUP($A14,subQ,MATCH(AD$1,SUBQH,0),0),"")</f>
        <v/>
      </c>
      <c r="AE14" s="20">
        <f>IFERROR(VLOOKUP($A14,subQ,MATCH(AE$1,SUBQH,0),0),"")</f>
        <v/>
      </c>
      <c r="AF14" s="20">
        <f>IFERROR(VLOOKUP($A14,subQ,MATCH(AF$1,SUBQH,0),0),"")</f>
        <v/>
      </c>
      <c r="AG14" s="20">
        <f>IFERROR(VLOOKUP($A14,subQ,MATCH(AG$1,SUBQH,0),0),"")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18">
        <f>IFERROR(VLOOKUP($A15,subQ,MATCH(I$1,SUBQH,0),0),"")</f>
        <v/>
      </c>
      <c r="J15" s="18">
        <f>IFERROR(VLOOKUP($A15,subQ,MATCH(J$1,SUBQH,0),0),"")</f>
        <v/>
      </c>
      <c r="K15" s="18">
        <f>IFERROR(VLOOKUP($A15,subQ,MATCH(K$1,SUBQH,0),0),"")</f>
        <v/>
      </c>
      <c r="L15" s="18">
        <f>IFERROR(VLOOKUP($A15,subQ,MATCH(L$1,SUBQH,0),0),"")</f>
        <v/>
      </c>
      <c r="M15" s="18">
        <f>IFERROR(VLOOKUP($A15,subQ,MATCH(M$1,SUBQH,0),0),"")</f>
        <v/>
      </c>
      <c r="N15" s="18">
        <f>IFERROR(VLOOKUP($A15,subQ,MATCH(N$1,SUBQH,0),0),"")</f>
        <v/>
      </c>
      <c r="O15" s="18">
        <f>IFERROR(VLOOKUP($A15,subQ,MATCH(O$1,SUBQH,0),0),"")</f>
        <v/>
      </c>
      <c r="P15" s="18">
        <f>IFERROR(VLOOKUP($A15,subQ,MATCH(P$1,SUBQH,0),0),"")</f>
        <v/>
      </c>
      <c r="Q15" s="18">
        <f>IFERROR(VLOOKUP($A15,subQ,MATCH(Q$1,SUBQH,0),0),"")</f>
        <v/>
      </c>
      <c r="R15" s="18">
        <f>IFERROR(VLOOKUP($A15,subQ,MATCH(R$1,SUBQH,0),0),"")</f>
        <v/>
      </c>
      <c r="S15" s="18">
        <f>IFERROR(VLOOKUP($A15,subQ,MATCH(S$1,SUBQH,0),0),"")</f>
        <v/>
      </c>
      <c r="T15" s="18">
        <f>IFERROR(VLOOKUP($A15,subQ,MATCH(T$1,SUBQH,0),0),"")</f>
        <v/>
      </c>
      <c r="U15" s="18">
        <f>IFERROR(VLOOKUP($A15,subQ,MATCH(U$1,SUBQH,0),0),"")</f>
        <v/>
      </c>
      <c r="V15" s="18">
        <f>IFERROR(VLOOKUP($A15,subQ,MATCH(V$1,SUBQH,0),0),"")</f>
        <v/>
      </c>
      <c r="W15" s="45">
        <f>IFERROR(VLOOKUP($A15,subQ,MATCH(W$1,SUBQH,0),0),"")</f>
        <v/>
      </c>
      <c r="X15" s="20">
        <f>IFERROR(VLOOKUP($A15,subQ,MATCH(X$1,SUBQH,0),0),"")</f>
        <v/>
      </c>
      <c r="Y15" s="20">
        <f>IFERROR(VLOOKUP($A15,subQ,MATCH(Y$1,SUBQH,0),0),"")</f>
        <v/>
      </c>
      <c r="Z15" s="20">
        <f>IFERROR(VLOOKUP($A15,subQ,MATCH(Z$1,SUBQH,0),0),"")</f>
        <v/>
      </c>
      <c r="AA15" s="20">
        <f>IFERROR(VLOOKUP($A15,subQ,MATCH(AA$1,SUBQH,0),0),"")</f>
        <v/>
      </c>
      <c r="AB15" s="20">
        <f>IFERROR(VLOOKUP($A15,subQ,MATCH(AB$1,SUBQH,0),0),"")</f>
        <v/>
      </c>
      <c r="AC15" s="20">
        <f>IFERROR(VLOOKUP($A15,subQ,MATCH(AC$1,SUBQH,0),0),"")</f>
        <v/>
      </c>
      <c r="AD15" s="20">
        <f>IFERROR(VLOOKUP($A15,subQ,MATCH(AD$1,SUBQH,0),0),"")</f>
        <v/>
      </c>
      <c r="AE15" s="20">
        <f>IFERROR(VLOOKUP($A15,subQ,MATCH(AE$1,SUBQH,0),0),"")</f>
        <v/>
      </c>
      <c r="AF15" s="20">
        <f>IFERROR(VLOOKUP($A15,subQ,MATCH(AF$1,SUBQH,0),0),"")</f>
        <v/>
      </c>
      <c r="AG15" s="20">
        <f>IFERROR(VLOOKUP($A15,subQ,MATCH(AG$1,SUBQH,0),0),"")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18">
        <f>IFERROR(VLOOKUP($A16,subQ,MATCH(I$1,SUBQH,0),0),"")</f>
        <v/>
      </c>
      <c r="J16" s="18">
        <f>IFERROR(VLOOKUP($A16,subQ,MATCH(J$1,SUBQH,0),0),"")</f>
        <v/>
      </c>
      <c r="K16" s="18">
        <f>IFERROR(VLOOKUP($A16,subQ,MATCH(K$1,SUBQH,0),0),"")</f>
        <v/>
      </c>
      <c r="L16" s="18">
        <f>IFERROR(VLOOKUP($A16,subQ,MATCH(L$1,SUBQH,0),0),"")</f>
        <v/>
      </c>
      <c r="M16" s="18">
        <f>IFERROR(VLOOKUP($A16,subQ,MATCH(M$1,SUBQH,0),0),"")</f>
        <v/>
      </c>
      <c r="N16" s="18">
        <f>IFERROR(VLOOKUP($A16,subQ,MATCH(N$1,SUBQH,0),0),"")</f>
        <v/>
      </c>
      <c r="O16" s="18">
        <f>IFERROR(VLOOKUP($A16,subQ,MATCH(O$1,SUBQH,0),0),"")</f>
        <v/>
      </c>
      <c r="P16" s="18">
        <f>IFERROR(VLOOKUP($A16,subQ,MATCH(P$1,SUBQH,0),0),"")</f>
        <v/>
      </c>
      <c r="Q16" s="18">
        <f>IFERROR(VLOOKUP($A16,subQ,MATCH(Q$1,SUBQH,0),0),"")</f>
        <v/>
      </c>
      <c r="R16" s="18">
        <f>IFERROR(VLOOKUP($A16,subQ,MATCH(R$1,SUBQH,0),0),"")</f>
        <v/>
      </c>
      <c r="S16" s="18">
        <f>IFERROR(VLOOKUP($A16,subQ,MATCH(S$1,SUBQH,0),0),"")</f>
        <v/>
      </c>
      <c r="T16" s="18">
        <f>IFERROR(VLOOKUP($A16,subQ,MATCH(T$1,SUBQH,0),0),"")</f>
        <v/>
      </c>
      <c r="U16" s="18">
        <f>IFERROR(VLOOKUP($A16,subQ,MATCH(U$1,SUBQH,0),0),"")</f>
        <v/>
      </c>
      <c r="V16" s="18">
        <f>IFERROR(VLOOKUP($A16,subQ,MATCH(V$1,SUBQH,0),0),"")</f>
        <v/>
      </c>
      <c r="W16" s="45">
        <f>IFERROR(VLOOKUP($A16,subQ,MATCH(W$1,SUBQH,0),0),"")</f>
        <v/>
      </c>
      <c r="X16" s="20">
        <f>IFERROR(VLOOKUP($A16,subQ,MATCH(X$1,SUBQH,0),0),"")</f>
        <v/>
      </c>
      <c r="Y16" s="20">
        <f>IFERROR(VLOOKUP($A16,subQ,MATCH(Y$1,SUBQH,0),0),"")</f>
        <v/>
      </c>
      <c r="Z16" s="20">
        <f>IFERROR(VLOOKUP($A16,subQ,MATCH(Z$1,SUBQH,0),0),"")</f>
        <v/>
      </c>
      <c r="AA16" s="20">
        <f>IFERROR(VLOOKUP($A16,subQ,MATCH(AA$1,SUBQH,0),0),"")</f>
        <v/>
      </c>
      <c r="AB16" s="20">
        <f>IFERROR(VLOOKUP($A16,subQ,MATCH(AB$1,SUBQH,0),0),"")</f>
        <v/>
      </c>
      <c r="AC16" s="20">
        <f>IFERROR(VLOOKUP($A16,subQ,MATCH(AC$1,SUBQH,0),0),"")</f>
        <v/>
      </c>
      <c r="AD16" s="20">
        <f>IFERROR(VLOOKUP($A16,subQ,MATCH(AD$1,SUBQH,0),0),"")</f>
        <v/>
      </c>
      <c r="AE16" s="20">
        <f>IFERROR(VLOOKUP($A16,subQ,MATCH(AE$1,SUBQH,0),0),"")</f>
        <v/>
      </c>
      <c r="AF16" s="20">
        <f>IFERROR(VLOOKUP($A16,subQ,MATCH(AF$1,SUBQH,0),0),"")</f>
        <v/>
      </c>
      <c r="AG16" s="20">
        <f>IFERROR(VLOOKUP($A16,subQ,MATCH(AG$1,SUBQH,0),0),"")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18">
        <f>IFERROR(VLOOKUP($A17,subQ,MATCH(I$1,SUBQH,0),0),"")</f>
        <v/>
      </c>
      <c r="J17" s="18">
        <f>IFERROR(VLOOKUP($A17,subQ,MATCH(J$1,SUBQH,0),0),"")</f>
        <v/>
      </c>
      <c r="K17" s="18">
        <f>IFERROR(VLOOKUP($A17,subQ,MATCH(K$1,SUBQH,0),0),"")</f>
        <v/>
      </c>
      <c r="L17" s="18">
        <f>IFERROR(VLOOKUP($A17,subQ,MATCH(L$1,SUBQH,0),0),"")</f>
        <v/>
      </c>
      <c r="M17" s="18">
        <f>IFERROR(VLOOKUP($A17,subQ,MATCH(M$1,SUBQH,0),0),"")</f>
        <v/>
      </c>
      <c r="N17" s="18">
        <f>IFERROR(VLOOKUP($A17,subQ,MATCH(N$1,SUBQH,0),0),"")</f>
        <v/>
      </c>
      <c r="O17" s="18">
        <f>IFERROR(VLOOKUP($A17,subQ,MATCH(O$1,SUBQH,0),0),"")</f>
        <v/>
      </c>
      <c r="P17" s="18">
        <f>IFERROR(VLOOKUP($A17,subQ,MATCH(P$1,SUBQH,0),0),"")</f>
        <v/>
      </c>
      <c r="Q17" s="18">
        <f>IFERROR(VLOOKUP($A17,subQ,MATCH(Q$1,SUBQH,0),0),"")</f>
        <v/>
      </c>
      <c r="R17" s="18">
        <f>IFERROR(VLOOKUP($A17,subQ,MATCH(R$1,SUBQH,0),0),"")</f>
        <v/>
      </c>
      <c r="S17" s="18">
        <f>IFERROR(VLOOKUP($A17,subQ,MATCH(S$1,SUBQH,0),0),"")</f>
        <v/>
      </c>
      <c r="T17" s="18">
        <f>IFERROR(VLOOKUP($A17,subQ,MATCH(T$1,SUBQH,0),0),"")</f>
        <v/>
      </c>
      <c r="U17" s="18">
        <f>IFERROR(VLOOKUP($A17,subQ,MATCH(U$1,SUBQH,0),0),"")</f>
        <v/>
      </c>
      <c r="V17" s="18">
        <f>IFERROR(VLOOKUP($A17,subQ,MATCH(V$1,SUBQH,0),0),"")</f>
        <v/>
      </c>
      <c r="W17" s="45">
        <f>IFERROR(VLOOKUP($A17,subQ,MATCH(W$1,SUBQH,0),0),"")</f>
        <v/>
      </c>
      <c r="X17" s="20">
        <f>IFERROR(VLOOKUP($A17,subQ,MATCH(X$1,SUBQH,0),0),"")</f>
        <v/>
      </c>
      <c r="Y17" s="20">
        <f>IFERROR(VLOOKUP($A17,subQ,MATCH(Y$1,SUBQH,0),0),"")</f>
        <v/>
      </c>
      <c r="Z17" s="20">
        <f>IFERROR(VLOOKUP($A17,subQ,MATCH(Z$1,SUBQH,0),0),"")</f>
        <v/>
      </c>
      <c r="AA17" s="20">
        <f>IFERROR(VLOOKUP($A17,subQ,MATCH(AA$1,SUBQH,0),0),"")</f>
        <v/>
      </c>
      <c r="AB17" s="20">
        <f>IFERROR(VLOOKUP($A17,subQ,MATCH(AB$1,SUBQH,0),0),"")</f>
        <v/>
      </c>
      <c r="AC17" s="20">
        <f>IFERROR(VLOOKUP($A17,subQ,MATCH(AC$1,SUBQH,0),0),"")</f>
        <v/>
      </c>
      <c r="AD17" s="20">
        <f>IFERROR(VLOOKUP($A17,subQ,MATCH(AD$1,SUBQH,0),0),"")</f>
        <v/>
      </c>
      <c r="AE17" s="20">
        <f>IFERROR(VLOOKUP($A17,subQ,MATCH(AE$1,SUBQH,0),0),"")</f>
        <v/>
      </c>
      <c r="AF17" s="20">
        <f>IFERROR(VLOOKUP($A17,subQ,MATCH(AF$1,SUBQH,0),0),"")</f>
        <v/>
      </c>
      <c r="AG17" s="20">
        <f>IFERROR(VLOOKUP($A17,subQ,MATCH(AG$1,SUBQH,0),0),"")</f>
        <v/>
      </c>
    </row>
    <row r="18">
      <c r="A18" s="12" t="inlineStr">
        <is>
          <t>감가상각비</t>
        </is>
      </c>
      <c r="D18" t="inlineStr">
        <is>
          <t>감가상각비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18">
        <f>IFERROR(VLOOKUP($A18,subQ,MATCH(I$1,SUBQH,0),0),"")</f>
        <v/>
      </c>
      <c r="J18" s="18">
        <f>IFERROR(VLOOKUP($A18,subQ,MATCH(J$1,SUBQH,0),0),"")</f>
        <v/>
      </c>
      <c r="K18" s="18">
        <f>IFERROR(VLOOKUP($A18,subQ,MATCH(K$1,SUBQH,0),0),"")</f>
        <v/>
      </c>
      <c r="L18" s="18">
        <f>IFERROR(VLOOKUP($A18,subQ,MATCH(L$1,SUBQH,0),0),"")</f>
        <v/>
      </c>
      <c r="M18" s="18">
        <f>IFERROR(VLOOKUP($A18,subQ,MATCH(M$1,SUBQH,0),0),"")</f>
        <v/>
      </c>
      <c r="N18" s="18">
        <f>IFERROR(VLOOKUP($A18,subQ,MATCH(N$1,SUBQH,0),0),"")</f>
        <v/>
      </c>
      <c r="O18" s="18">
        <f>IFERROR(VLOOKUP($A18,subQ,MATCH(O$1,SUBQH,0),0),"")</f>
        <v/>
      </c>
      <c r="P18" s="18">
        <f>IFERROR(VLOOKUP($A18,subQ,MATCH(P$1,SUBQH,0),0),"")</f>
        <v/>
      </c>
      <c r="Q18" s="18">
        <f>IFERROR(VLOOKUP($A18,subQ,MATCH(Q$1,SUBQH,0),0),"")</f>
        <v/>
      </c>
      <c r="R18" s="18">
        <f>IFERROR(VLOOKUP($A18,subQ,MATCH(R$1,SUBQH,0),0),"")</f>
        <v/>
      </c>
      <c r="S18" s="18">
        <f>IFERROR(VLOOKUP($A18,subQ,MATCH(S$1,SUBQH,0),0),"")</f>
        <v/>
      </c>
      <c r="T18" s="18">
        <f>IFERROR(VLOOKUP($A18,subQ,MATCH(T$1,SUBQH,0),0),"")</f>
        <v/>
      </c>
      <c r="U18" s="18">
        <f>IFERROR(VLOOKUP($A18,subQ,MATCH(U$1,SUBQH,0),0),"")</f>
        <v/>
      </c>
      <c r="V18" s="18">
        <f>IFERROR(VLOOKUP($A18,subQ,MATCH(V$1,SUBQH,0),0),"")</f>
        <v/>
      </c>
      <c r="W18" s="45">
        <f>IFERROR(VLOOKUP($A18,subQ,MATCH(W$1,SUBQH,0),0),"")</f>
        <v/>
      </c>
      <c r="X18" s="20">
        <f>IFERROR(VLOOKUP($A18,subQ,MATCH(X$1,SUBQH,0),0),"")</f>
        <v/>
      </c>
      <c r="Y18" s="20">
        <f>IFERROR(VLOOKUP($A18,subQ,MATCH(Y$1,SUBQH,0),0),"")</f>
        <v/>
      </c>
      <c r="Z18" s="20">
        <f>IFERROR(VLOOKUP($A18,subQ,MATCH(Z$1,SUBQH,0),0),"")</f>
        <v/>
      </c>
      <c r="AA18" s="20">
        <f>IFERROR(VLOOKUP($A18,subQ,MATCH(AA$1,SUBQH,0),0),"")</f>
        <v/>
      </c>
      <c r="AB18" s="20">
        <f>IFERROR(VLOOKUP($A18,subQ,MATCH(AB$1,SUBQH,0),0),"")</f>
        <v/>
      </c>
      <c r="AC18" s="20">
        <f>IFERROR(VLOOKUP($A18,subQ,MATCH(AC$1,SUBQH,0),0),"")</f>
        <v/>
      </c>
      <c r="AD18" s="20">
        <f>IFERROR(VLOOKUP($A18,subQ,MATCH(AD$1,SUBQH,0),0),"")</f>
        <v/>
      </c>
      <c r="AE18" s="20">
        <f>IFERROR(VLOOKUP($A18,subQ,MATCH(AE$1,SUBQH,0),0),"")</f>
        <v/>
      </c>
      <c r="AF18" s="20">
        <f>IFERROR(VLOOKUP($A18,subQ,MATCH(AF$1,SUBQH,0),0),"")</f>
        <v/>
      </c>
      <c r="AG18" s="20">
        <f>IFERROR(VLOOKUP($A18,subQ,MATCH(AG$1,SUBQH,0),0),"")</f>
        <v/>
      </c>
    </row>
    <row r="19">
      <c r="A19" s="12" t="inlineStr">
        <is>
          <t>EBITDA</t>
        </is>
      </c>
      <c r="D19" t="inlineStr">
        <is>
          <t>EBITDA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18">
        <f>IFERROR(VLOOKUP($A19,subQ,MATCH(I$1,SUBQH,0),0),"")</f>
        <v/>
      </c>
      <c r="J19" s="18">
        <f>IFERROR(VLOOKUP($A19,subQ,MATCH(J$1,SUBQH,0),0),"")</f>
        <v/>
      </c>
      <c r="K19" s="18">
        <f>IFERROR(VLOOKUP($A19,subQ,MATCH(K$1,SUBQH,0),0),"")</f>
        <v/>
      </c>
      <c r="L19" s="18">
        <f>IFERROR(VLOOKUP($A19,subQ,MATCH(L$1,SUBQH,0),0),"")</f>
        <v/>
      </c>
      <c r="M19" s="18">
        <f>IFERROR(VLOOKUP($A19,subQ,MATCH(M$1,SUBQH,0),0),"")</f>
        <v/>
      </c>
      <c r="N19" s="18">
        <f>IFERROR(VLOOKUP($A19,subQ,MATCH(N$1,SUBQH,0),0),"")</f>
        <v/>
      </c>
      <c r="O19" s="18">
        <f>IFERROR(VLOOKUP($A19,subQ,MATCH(O$1,SUBQH,0),0),"")</f>
        <v/>
      </c>
      <c r="P19" s="18">
        <f>IFERROR(VLOOKUP($A19,subQ,MATCH(P$1,SUBQH,0),0),"")</f>
        <v/>
      </c>
      <c r="Q19" s="18">
        <f>IFERROR(VLOOKUP($A19,subQ,MATCH(Q$1,SUBQH,0),0),"")</f>
        <v/>
      </c>
      <c r="R19" s="18">
        <f>IFERROR(VLOOKUP($A19,subQ,MATCH(R$1,SUBQH,0),0),"")</f>
        <v/>
      </c>
      <c r="S19" s="18">
        <f>IFERROR(VLOOKUP($A19,subQ,MATCH(S$1,SUBQH,0),0),"")</f>
        <v/>
      </c>
      <c r="T19" s="18">
        <f>IFERROR(VLOOKUP($A19,subQ,MATCH(T$1,SUBQH,0),0),"")</f>
        <v/>
      </c>
      <c r="U19" s="18">
        <f>IFERROR(VLOOKUP($A19,subQ,MATCH(U$1,SUBQH,0),0),"")</f>
        <v/>
      </c>
      <c r="V19" s="18">
        <f>IFERROR(VLOOKUP($A19,subQ,MATCH(V$1,SUBQH,0),0),"")</f>
        <v/>
      </c>
      <c r="W19" s="45">
        <f>IFERROR(VLOOKUP($A19,subQ,MATCH(W$1,SUBQH,0),0),"")</f>
        <v/>
      </c>
      <c r="X19" s="20">
        <f>IFERROR(VLOOKUP($A19,subQ,MATCH(X$1,SUBQH,0),0),"")</f>
        <v/>
      </c>
      <c r="Y19" s="20">
        <f>IFERROR(VLOOKUP($A19,subQ,MATCH(Y$1,SUBQH,0),0),"")</f>
        <v/>
      </c>
      <c r="Z19" s="20">
        <f>IFERROR(VLOOKUP($A19,subQ,MATCH(Z$1,SUBQH,0),0),"")</f>
        <v/>
      </c>
      <c r="AA19" s="20">
        <f>IFERROR(VLOOKUP($A19,subQ,MATCH(AA$1,SUBQH,0),0),"")</f>
        <v/>
      </c>
      <c r="AB19" s="20">
        <f>IFERROR(VLOOKUP($A19,subQ,MATCH(AB$1,SUBQH,0),0),"")</f>
        <v/>
      </c>
      <c r="AC19" s="20">
        <f>IFERROR(VLOOKUP($A19,subQ,MATCH(AC$1,SUBQH,0),0),"")</f>
        <v/>
      </c>
      <c r="AD19" s="20">
        <f>IFERROR(VLOOKUP($A19,subQ,MATCH(AD$1,SUBQH,0),0),"")</f>
        <v/>
      </c>
      <c r="AE19" s="20">
        <f>IFERROR(VLOOKUP($A19,subQ,MATCH(AE$1,SUBQH,0),0),"")</f>
        <v/>
      </c>
      <c r="AF19" s="20">
        <f>IFERROR(VLOOKUP($A19,subQ,MATCH(AF$1,SUBQH,0),0),"")</f>
        <v/>
      </c>
      <c r="AG19" s="20">
        <f>IFERROR(VLOOKUP($A19,subQ,MATCH(AG$1,SUBQH,0),0),"")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18">
        <f>IFERROR(VLOOKUP($A20,subQ,MATCH(I$1,SUBQH,0),0),"")</f>
        <v/>
      </c>
      <c r="J20" s="18">
        <f>IFERROR(VLOOKUP($A20,subQ,MATCH(J$1,SUBQH,0),0),"")</f>
        <v/>
      </c>
      <c r="K20" s="18">
        <f>IFERROR(VLOOKUP($A20,subQ,MATCH(K$1,SUBQH,0),0),"")</f>
        <v/>
      </c>
      <c r="L20" s="18">
        <f>IFERROR(VLOOKUP($A20,subQ,MATCH(L$1,SUBQH,0),0),"")</f>
        <v/>
      </c>
      <c r="M20" s="18">
        <f>IFERROR(VLOOKUP($A20,subQ,MATCH(M$1,SUBQH,0),0),"")</f>
        <v/>
      </c>
      <c r="N20" s="18">
        <f>IFERROR(VLOOKUP($A20,subQ,MATCH(N$1,SUBQH,0),0),"")</f>
        <v/>
      </c>
      <c r="O20" s="18">
        <f>IFERROR(VLOOKUP($A20,subQ,MATCH(O$1,SUBQH,0),0),"")</f>
        <v/>
      </c>
      <c r="P20" s="18">
        <f>IFERROR(VLOOKUP($A20,subQ,MATCH(P$1,SUBQH,0),0),"")</f>
        <v/>
      </c>
      <c r="Q20" s="18">
        <f>IFERROR(VLOOKUP($A20,subQ,MATCH(Q$1,SUBQH,0),0),"")</f>
        <v/>
      </c>
      <c r="R20" s="18">
        <f>IFERROR(VLOOKUP($A20,subQ,MATCH(R$1,SUBQH,0),0),"")</f>
        <v/>
      </c>
      <c r="S20" s="18">
        <f>IFERROR(VLOOKUP($A20,subQ,MATCH(S$1,SUBQH,0),0),"")</f>
        <v/>
      </c>
      <c r="T20" s="18">
        <f>IFERROR(VLOOKUP($A20,subQ,MATCH(T$1,SUBQH,0),0),"")</f>
        <v/>
      </c>
      <c r="U20" s="18">
        <f>IFERROR(VLOOKUP($A20,subQ,MATCH(U$1,SUBQH,0),0),"")</f>
        <v/>
      </c>
      <c r="V20" s="18">
        <f>IFERROR(VLOOKUP($A20,subQ,MATCH(V$1,SUBQH,0),0),"")</f>
        <v/>
      </c>
      <c r="W20" s="45">
        <f>IFERROR(VLOOKUP($A20,subQ,MATCH(W$1,SUBQH,0),0),"")</f>
        <v/>
      </c>
      <c r="X20" s="20">
        <f>IFERROR(VLOOKUP($A20,subQ,MATCH(X$1,SUBQH,0),0),"")</f>
        <v/>
      </c>
      <c r="Y20" s="20">
        <f>IFERROR(VLOOKUP($A20,subQ,MATCH(Y$1,SUBQH,0),0),"")</f>
        <v/>
      </c>
      <c r="Z20" s="20">
        <f>IFERROR(VLOOKUP($A20,subQ,MATCH(Z$1,SUBQH,0),0),"")</f>
        <v/>
      </c>
      <c r="AA20" s="20">
        <f>IFERROR(VLOOKUP($A20,subQ,MATCH(AA$1,SUBQH,0),0),"")</f>
        <v/>
      </c>
      <c r="AB20" s="20">
        <f>IFERROR(VLOOKUP($A20,subQ,MATCH(AB$1,SUBQH,0),0),"")</f>
        <v/>
      </c>
      <c r="AC20" s="20">
        <f>IFERROR(VLOOKUP($A20,subQ,MATCH(AC$1,SUBQH,0),0),"")</f>
        <v/>
      </c>
      <c r="AD20" s="20">
        <f>IFERROR(VLOOKUP($A20,subQ,MATCH(AD$1,SUBQH,0),0),"")</f>
        <v/>
      </c>
      <c r="AE20" s="20">
        <f>IFERROR(VLOOKUP($A20,subQ,MATCH(AE$1,SUBQH,0),0),"")</f>
        <v/>
      </c>
      <c r="AF20" s="20">
        <f>IFERROR(VLOOKUP($A20,subQ,MATCH(AF$1,SUBQH,0),0),"")</f>
        <v/>
      </c>
      <c r="AG20" s="20">
        <f>IFERROR(VLOOKUP($A20,subQ,MATCH(AG$1,SUBQH,0),0),"")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18">
        <f>IFERROR(VLOOKUP($A21,subQ,MATCH(I$1,SUBQH,0),0),"")</f>
        <v/>
      </c>
      <c r="J21" s="18">
        <f>IFERROR(VLOOKUP($A21,subQ,MATCH(J$1,SUBQH,0),0),"")</f>
        <v/>
      </c>
      <c r="K21" s="18">
        <f>IFERROR(VLOOKUP($A21,subQ,MATCH(K$1,SUBQH,0),0),"")</f>
        <v/>
      </c>
      <c r="L21" s="18">
        <f>IFERROR(VLOOKUP($A21,subQ,MATCH(L$1,SUBQH,0),0),"")</f>
        <v/>
      </c>
      <c r="M21" s="18">
        <f>IFERROR(VLOOKUP($A21,subQ,MATCH(M$1,SUBQH,0),0),"")</f>
        <v/>
      </c>
      <c r="N21" s="18">
        <f>IFERROR(VLOOKUP($A21,subQ,MATCH(N$1,SUBQH,0),0),"")</f>
        <v/>
      </c>
      <c r="O21" s="18">
        <f>IFERROR(VLOOKUP($A21,subQ,MATCH(O$1,SUBQH,0),0),"")</f>
        <v/>
      </c>
      <c r="P21" s="18">
        <f>IFERROR(VLOOKUP($A21,subQ,MATCH(P$1,SUBQH,0),0),"")</f>
        <v/>
      </c>
      <c r="Q21" s="18">
        <f>IFERROR(VLOOKUP($A21,subQ,MATCH(Q$1,SUBQH,0),0),"")</f>
        <v/>
      </c>
      <c r="R21" s="18">
        <f>IFERROR(VLOOKUP($A21,subQ,MATCH(R$1,SUBQH,0),0),"")</f>
        <v/>
      </c>
      <c r="S21" s="18">
        <f>IFERROR(VLOOKUP($A21,subQ,MATCH(S$1,SUBQH,0),0),"")</f>
        <v/>
      </c>
      <c r="T21" s="18">
        <f>IFERROR(VLOOKUP($A21,subQ,MATCH(T$1,SUBQH,0),0),"")</f>
        <v/>
      </c>
      <c r="U21" s="18">
        <f>IFERROR(VLOOKUP($A21,subQ,MATCH(U$1,SUBQH,0),0),"")</f>
        <v/>
      </c>
      <c r="V21" s="18">
        <f>IFERROR(VLOOKUP($A21,subQ,MATCH(V$1,SUBQH,0),0),"")</f>
        <v/>
      </c>
      <c r="W21" s="45">
        <f>IFERROR(VLOOKUP($A21,subQ,MATCH(W$1,SUBQH,0),0),"")</f>
        <v/>
      </c>
      <c r="X21" s="20">
        <f>IFERROR(VLOOKUP($A21,subQ,MATCH(X$1,SUBQH,0),0),"")</f>
        <v/>
      </c>
      <c r="Y21" s="20">
        <f>IFERROR(VLOOKUP($A21,subQ,MATCH(Y$1,SUBQH,0),0),"")</f>
        <v/>
      </c>
      <c r="Z21" s="20">
        <f>IFERROR(VLOOKUP($A21,subQ,MATCH(Z$1,SUBQH,0),0),"")</f>
        <v/>
      </c>
      <c r="AA21" s="20">
        <f>IFERROR(VLOOKUP($A21,subQ,MATCH(AA$1,SUBQH,0),0),"")</f>
        <v/>
      </c>
      <c r="AB21" s="20">
        <f>IFERROR(VLOOKUP($A21,subQ,MATCH(AB$1,SUBQH,0),0),"")</f>
        <v/>
      </c>
      <c r="AC21" s="20">
        <f>IFERROR(VLOOKUP($A21,subQ,MATCH(AC$1,SUBQH,0),0),"")</f>
        <v/>
      </c>
      <c r="AD21" s="20">
        <f>IFERROR(VLOOKUP($A21,subQ,MATCH(AD$1,SUBQH,0),0),"")</f>
        <v/>
      </c>
      <c r="AE21" s="20">
        <f>IFERROR(VLOOKUP($A21,subQ,MATCH(AE$1,SUBQH,0),0),"")</f>
        <v/>
      </c>
      <c r="AF21" s="20">
        <f>IFERROR(VLOOKUP($A21,subQ,MATCH(AF$1,SUBQH,0),0),"")</f>
        <v/>
      </c>
      <c r="AG21" s="20">
        <f>IFERROR(VLOOKUP($A21,subQ,MATCH(AG$1,SUBQH,0),0),"")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18">
        <f>IFERROR(VLOOKUP($A22,subQ,MATCH(I$1,SUBQH,0),0),"")</f>
        <v/>
      </c>
      <c r="J22" s="18">
        <f>IFERROR(VLOOKUP($A22,subQ,MATCH(J$1,SUBQH,0),0),"")</f>
        <v/>
      </c>
      <c r="K22" s="18">
        <f>IFERROR(VLOOKUP($A22,subQ,MATCH(K$1,SUBQH,0),0),"")</f>
        <v/>
      </c>
      <c r="L22" s="18">
        <f>IFERROR(VLOOKUP($A22,subQ,MATCH(L$1,SUBQH,0),0),"")</f>
        <v/>
      </c>
      <c r="M22" s="18">
        <f>IFERROR(VLOOKUP($A22,subQ,MATCH(M$1,SUBQH,0),0),"")</f>
        <v/>
      </c>
      <c r="N22" s="18">
        <f>IFERROR(VLOOKUP($A22,subQ,MATCH(N$1,SUBQH,0),0),"")</f>
        <v/>
      </c>
      <c r="O22" s="18">
        <f>IFERROR(VLOOKUP($A22,subQ,MATCH(O$1,SUBQH,0),0),"")</f>
        <v/>
      </c>
      <c r="P22" s="18">
        <f>IFERROR(VLOOKUP($A22,subQ,MATCH(P$1,SUBQH,0),0),"")</f>
        <v/>
      </c>
      <c r="Q22" s="18">
        <f>IFERROR(VLOOKUP($A22,subQ,MATCH(Q$1,SUBQH,0),0),"")</f>
        <v/>
      </c>
      <c r="R22" s="18">
        <f>IFERROR(VLOOKUP($A22,subQ,MATCH(R$1,SUBQH,0),0),"")</f>
        <v/>
      </c>
      <c r="S22" s="18">
        <f>IFERROR(VLOOKUP($A22,subQ,MATCH(S$1,SUBQH,0),0),"")</f>
        <v/>
      </c>
      <c r="T22" s="18">
        <f>IFERROR(VLOOKUP($A22,subQ,MATCH(T$1,SUBQH,0),0),"")</f>
        <v/>
      </c>
      <c r="U22" s="18">
        <f>IFERROR(VLOOKUP($A22,subQ,MATCH(U$1,SUBQH,0),0),"")</f>
        <v/>
      </c>
      <c r="V22" s="18">
        <f>IFERROR(VLOOKUP($A22,subQ,MATCH(V$1,SUBQH,0),0),"")</f>
        <v/>
      </c>
      <c r="W22" s="45">
        <f>IFERROR(VLOOKUP($A22,subQ,MATCH(W$1,SUBQH,0),0),"")</f>
        <v/>
      </c>
      <c r="X22" s="20">
        <f>IFERROR(VLOOKUP($A22,subQ,MATCH(X$1,SUBQH,0),0),"")</f>
        <v/>
      </c>
      <c r="Y22" s="20">
        <f>IFERROR(VLOOKUP($A22,subQ,MATCH(Y$1,SUBQH,0),0),"")</f>
        <v/>
      </c>
      <c r="Z22" s="20">
        <f>IFERROR(VLOOKUP($A22,subQ,MATCH(Z$1,SUBQH,0),0),"")</f>
        <v/>
      </c>
      <c r="AA22" s="20">
        <f>IFERROR(VLOOKUP($A22,subQ,MATCH(AA$1,SUBQH,0),0),"")</f>
        <v/>
      </c>
      <c r="AB22" s="20">
        <f>IFERROR(VLOOKUP($A22,subQ,MATCH(AB$1,SUBQH,0),0),"")</f>
        <v/>
      </c>
      <c r="AC22" s="20">
        <f>IFERROR(VLOOKUP($A22,subQ,MATCH(AC$1,SUBQH,0),0),"")</f>
        <v/>
      </c>
      <c r="AD22" s="20">
        <f>IFERROR(VLOOKUP($A22,subQ,MATCH(AD$1,SUBQH,0),0),"")</f>
        <v/>
      </c>
      <c r="AE22" s="20">
        <f>IFERROR(VLOOKUP($A22,subQ,MATCH(AE$1,SUBQH,0),0),"")</f>
        <v/>
      </c>
      <c r="AF22" s="20">
        <f>IFERROR(VLOOKUP($A22,subQ,MATCH(AF$1,SUBQH,0),0),"")</f>
        <v/>
      </c>
      <c r="AG22" s="20">
        <f>IFERROR(VLOOKUP($A22,subQ,MATCH(AG$1,SUBQH,0),0),"")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18">
        <f>IFERROR(VLOOKUP($A23,subQ,MATCH(I$1,SUBQH,0),0),"")</f>
        <v/>
      </c>
      <c r="J23" s="18">
        <f>IFERROR(VLOOKUP($A23,subQ,MATCH(J$1,SUBQH,0),0),"")</f>
        <v/>
      </c>
      <c r="K23" s="18">
        <f>IFERROR(VLOOKUP($A23,subQ,MATCH(K$1,SUBQH,0),0),"")</f>
        <v/>
      </c>
      <c r="L23" s="18">
        <f>IFERROR(VLOOKUP($A23,subQ,MATCH(L$1,SUBQH,0),0),"")</f>
        <v/>
      </c>
      <c r="M23" s="18">
        <f>IFERROR(VLOOKUP($A23,subQ,MATCH(M$1,SUBQH,0),0),"")</f>
        <v/>
      </c>
      <c r="N23" s="18">
        <f>IFERROR(VLOOKUP($A23,subQ,MATCH(N$1,SUBQH,0),0),"")</f>
        <v/>
      </c>
      <c r="O23" s="18">
        <f>IFERROR(VLOOKUP($A23,subQ,MATCH(O$1,SUBQH,0),0),"")</f>
        <v/>
      </c>
      <c r="P23" s="18">
        <f>IFERROR(VLOOKUP($A23,subQ,MATCH(P$1,SUBQH,0),0),"")</f>
        <v/>
      </c>
      <c r="Q23" s="18">
        <f>IFERROR(VLOOKUP($A23,subQ,MATCH(Q$1,SUBQH,0),0),"")</f>
        <v/>
      </c>
      <c r="R23" s="18">
        <f>IFERROR(VLOOKUP($A23,subQ,MATCH(R$1,SUBQH,0),0),"")</f>
        <v/>
      </c>
      <c r="S23" s="18">
        <f>IFERROR(VLOOKUP($A23,subQ,MATCH(S$1,SUBQH,0),0),"")</f>
        <v/>
      </c>
      <c r="T23" s="18">
        <f>IFERROR(VLOOKUP($A23,subQ,MATCH(T$1,SUBQH,0),0),"")</f>
        <v/>
      </c>
      <c r="U23" s="18">
        <f>IFERROR(VLOOKUP($A23,subQ,MATCH(U$1,SUBQH,0),0),"")</f>
        <v/>
      </c>
      <c r="V23" s="18">
        <f>IFERROR(VLOOKUP($A23,subQ,MATCH(V$1,SUBQH,0),0),"")</f>
        <v/>
      </c>
      <c r="W23" s="45">
        <f>IFERROR(VLOOKUP($A23,subQ,MATCH(W$1,SUBQH,0),0),"")</f>
        <v/>
      </c>
      <c r="X23" s="20">
        <f>IFERROR(VLOOKUP($A23,subQ,MATCH(X$1,SUBQH,0),0),"")</f>
        <v/>
      </c>
      <c r="Y23" s="20">
        <f>IFERROR(VLOOKUP($A23,subQ,MATCH(Y$1,SUBQH,0),0),"")</f>
        <v/>
      </c>
      <c r="Z23" s="20">
        <f>IFERROR(VLOOKUP($A23,subQ,MATCH(Z$1,SUBQH,0),0),"")</f>
        <v/>
      </c>
      <c r="AA23" s="20">
        <f>IFERROR(VLOOKUP($A23,subQ,MATCH(AA$1,SUBQH,0),0),"")</f>
        <v/>
      </c>
      <c r="AB23" s="20">
        <f>IFERROR(VLOOKUP($A23,subQ,MATCH(AB$1,SUBQH,0),0),"")</f>
        <v/>
      </c>
      <c r="AC23" s="20">
        <f>IFERROR(VLOOKUP($A23,subQ,MATCH(AC$1,SUBQH,0),0),"")</f>
        <v/>
      </c>
      <c r="AD23" s="20">
        <f>IFERROR(VLOOKUP($A23,subQ,MATCH(AD$1,SUBQH,0),0),"")</f>
        <v/>
      </c>
      <c r="AE23" s="20">
        <f>IFERROR(VLOOKUP($A23,subQ,MATCH(AE$1,SUBQH,0),0),"")</f>
        <v/>
      </c>
      <c r="AF23" s="20">
        <f>IFERROR(VLOOKUP($A23,subQ,MATCH(AF$1,SUBQH,0),0),"")</f>
        <v/>
      </c>
      <c r="AG23" s="20">
        <f>IFERROR(VLOOKUP($A23,subQ,MATCH(AG$1,SUBQH,0),0),"")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18">
        <f>IFERROR(VLOOKUP($A24,subQ,MATCH(I$1,SUBQH,0),0),"")</f>
        <v/>
      </c>
      <c r="J24" s="18">
        <f>IFERROR(VLOOKUP($A24,subQ,MATCH(J$1,SUBQH,0),0),"")</f>
        <v/>
      </c>
      <c r="K24" s="18">
        <f>IFERROR(VLOOKUP($A24,subQ,MATCH(K$1,SUBQH,0),0),"")</f>
        <v/>
      </c>
      <c r="L24" s="18">
        <f>IFERROR(VLOOKUP($A24,subQ,MATCH(L$1,SUBQH,0),0),"")</f>
        <v/>
      </c>
      <c r="M24" s="18">
        <f>IFERROR(VLOOKUP($A24,subQ,MATCH(M$1,SUBQH,0),0),"")</f>
        <v/>
      </c>
      <c r="N24" s="18">
        <f>IFERROR(VLOOKUP($A24,subQ,MATCH(N$1,SUBQH,0),0),"")</f>
        <v/>
      </c>
      <c r="O24" s="18">
        <f>IFERROR(VLOOKUP($A24,subQ,MATCH(O$1,SUBQH,0),0),"")</f>
        <v/>
      </c>
      <c r="P24" s="18">
        <f>IFERROR(VLOOKUP($A24,subQ,MATCH(P$1,SUBQH,0),0),"")</f>
        <v/>
      </c>
      <c r="Q24" s="18">
        <f>IFERROR(VLOOKUP($A24,subQ,MATCH(Q$1,SUBQH,0),0),"")</f>
        <v/>
      </c>
      <c r="R24" s="18">
        <f>IFERROR(VLOOKUP($A24,subQ,MATCH(R$1,SUBQH,0),0),"")</f>
        <v/>
      </c>
      <c r="S24" s="18">
        <f>IFERROR(VLOOKUP($A24,subQ,MATCH(S$1,SUBQH,0),0),"")</f>
        <v/>
      </c>
      <c r="T24" s="18">
        <f>IFERROR(VLOOKUP($A24,subQ,MATCH(T$1,SUBQH,0),0),"")</f>
        <v/>
      </c>
      <c r="U24" s="18">
        <f>IFERROR(VLOOKUP($A24,subQ,MATCH(U$1,SUBQH,0),0),"")</f>
        <v/>
      </c>
      <c r="V24" s="18">
        <f>IFERROR(VLOOKUP($A24,subQ,MATCH(V$1,SUBQH,0),0),"")</f>
        <v/>
      </c>
      <c r="W24" s="45">
        <f>IFERROR(VLOOKUP($A24,subQ,MATCH(W$1,SUBQH,0),0),"")</f>
        <v/>
      </c>
      <c r="X24" s="20">
        <f>IFERROR(VLOOKUP($A24,subQ,MATCH(X$1,SUBQH,0),0),"")</f>
        <v/>
      </c>
      <c r="Y24" s="20">
        <f>IFERROR(VLOOKUP($A24,subQ,MATCH(Y$1,SUBQH,0),0),"")</f>
        <v/>
      </c>
      <c r="Z24" s="20">
        <f>IFERROR(VLOOKUP($A24,subQ,MATCH(Z$1,SUBQH,0),0),"")</f>
        <v/>
      </c>
      <c r="AA24" s="20">
        <f>IFERROR(VLOOKUP($A24,subQ,MATCH(AA$1,SUBQH,0),0),"")</f>
        <v/>
      </c>
      <c r="AB24" s="20">
        <f>IFERROR(VLOOKUP($A24,subQ,MATCH(AB$1,SUBQH,0),0),"")</f>
        <v/>
      </c>
      <c r="AC24" s="20">
        <f>IFERROR(VLOOKUP($A24,subQ,MATCH(AC$1,SUBQH,0),0),"")</f>
        <v/>
      </c>
      <c r="AD24" s="20">
        <f>IFERROR(VLOOKUP($A24,subQ,MATCH(AD$1,SUBQH,0),0),"")</f>
        <v/>
      </c>
      <c r="AE24" s="20">
        <f>IFERROR(VLOOKUP($A24,subQ,MATCH(AE$1,SUBQH,0),0),"")</f>
        <v/>
      </c>
      <c r="AF24" s="20">
        <f>IFERROR(VLOOKUP($A24,subQ,MATCH(AF$1,SUBQH,0),0),"")</f>
        <v/>
      </c>
      <c r="AG24" s="20">
        <f>IFERROR(VLOOKUP($A24,subQ,MATCH(AG$1,SUBQH,0),0),"")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18">
        <f>IFERROR(VLOOKUP($A25,subQ,MATCH(I$1,SUBQH,0),0),"")</f>
        <v/>
      </c>
      <c r="J25" s="18">
        <f>IFERROR(VLOOKUP($A25,subQ,MATCH(J$1,SUBQH,0),0),"")</f>
        <v/>
      </c>
      <c r="K25" s="18">
        <f>IFERROR(VLOOKUP($A25,subQ,MATCH(K$1,SUBQH,0),0),"")</f>
        <v/>
      </c>
      <c r="L25" s="18">
        <f>IFERROR(VLOOKUP($A25,subQ,MATCH(L$1,SUBQH,0),0),"")</f>
        <v/>
      </c>
      <c r="M25" s="18">
        <f>IFERROR(VLOOKUP($A25,subQ,MATCH(M$1,SUBQH,0),0),"")</f>
        <v/>
      </c>
      <c r="N25" s="18">
        <f>IFERROR(VLOOKUP($A25,subQ,MATCH(N$1,SUBQH,0),0),"")</f>
        <v/>
      </c>
      <c r="O25" s="18">
        <f>IFERROR(VLOOKUP($A25,subQ,MATCH(O$1,SUBQH,0),0),"")</f>
        <v/>
      </c>
      <c r="P25" s="18">
        <f>IFERROR(VLOOKUP($A25,subQ,MATCH(P$1,SUBQH,0),0),"")</f>
        <v/>
      </c>
      <c r="Q25" s="18">
        <f>IFERROR(VLOOKUP($A25,subQ,MATCH(Q$1,SUBQH,0),0),"")</f>
        <v/>
      </c>
      <c r="R25" s="18">
        <f>IFERROR(VLOOKUP($A25,subQ,MATCH(R$1,SUBQH,0),0),"")</f>
        <v/>
      </c>
      <c r="S25" s="18">
        <f>IFERROR(VLOOKUP($A25,subQ,MATCH(S$1,SUBQH,0),0),"")</f>
        <v/>
      </c>
      <c r="T25" s="18">
        <f>IFERROR(VLOOKUP($A25,subQ,MATCH(T$1,SUBQH,0),0),"")</f>
        <v/>
      </c>
      <c r="U25" s="18">
        <f>IFERROR(VLOOKUP($A25,subQ,MATCH(U$1,SUBQH,0),0),"")</f>
        <v/>
      </c>
      <c r="V25" s="18">
        <f>IFERROR(VLOOKUP($A25,subQ,MATCH(V$1,SUBQH,0),0),"")</f>
        <v/>
      </c>
      <c r="W25" s="45">
        <f>IFERROR(VLOOKUP($A25,subQ,MATCH(W$1,SUBQH,0),0),"")</f>
        <v/>
      </c>
      <c r="X25" s="20">
        <f>IFERROR(VLOOKUP($A25,subQ,MATCH(X$1,SUBQH,0),0),"")</f>
        <v/>
      </c>
      <c r="Y25" s="20">
        <f>IFERROR(VLOOKUP($A25,subQ,MATCH(Y$1,SUBQH,0),0),"")</f>
        <v/>
      </c>
      <c r="Z25" s="20">
        <f>IFERROR(VLOOKUP($A25,subQ,MATCH(Z$1,SUBQH,0),0),"")</f>
        <v/>
      </c>
      <c r="AA25" s="20">
        <f>IFERROR(VLOOKUP($A25,subQ,MATCH(AA$1,SUBQH,0),0),"")</f>
        <v/>
      </c>
      <c r="AB25" s="20">
        <f>IFERROR(VLOOKUP($A25,subQ,MATCH(AB$1,SUBQH,0),0),"")</f>
        <v/>
      </c>
      <c r="AC25" s="20">
        <f>IFERROR(VLOOKUP($A25,subQ,MATCH(AC$1,SUBQH,0),0),"")</f>
        <v/>
      </c>
      <c r="AD25" s="20">
        <f>IFERROR(VLOOKUP($A25,subQ,MATCH(AD$1,SUBQH,0),0),"")</f>
        <v/>
      </c>
      <c r="AE25" s="20">
        <f>IFERROR(VLOOKUP($A25,subQ,MATCH(AE$1,SUBQH,0),0),"")</f>
        <v/>
      </c>
      <c r="AF25" s="20">
        <f>IFERROR(VLOOKUP($A25,subQ,MATCH(AF$1,SUBQH,0),0),"")</f>
        <v/>
      </c>
      <c r="AG25" s="20">
        <f>IFERROR(VLOOKUP($A25,subQ,MATCH(AG$1,SUBQH,0),0),"")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18">
        <f>IFERROR(VLOOKUP($A26,subQ,MATCH(I$1,SUBQH,0),0),"")</f>
        <v/>
      </c>
      <c r="J26" s="18">
        <f>IFERROR(VLOOKUP($A26,subQ,MATCH(J$1,SUBQH,0),0),"")</f>
        <v/>
      </c>
      <c r="K26" s="18">
        <f>IFERROR(VLOOKUP($A26,subQ,MATCH(K$1,SUBQH,0),0),"")</f>
        <v/>
      </c>
      <c r="L26" s="18">
        <f>IFERROR(VLOOKUP($A26,subQ,MATCH(L$1,SUBQH,0),0),"")</f>
        <v/>
      </c>
      <c r="M26" s="18">
        <f>IFERROR(VLOOKUP($A26,subQ,MATCH(M$1,SUBQH,0),0),"")</f>
        <v/>
      </c>
      <c r="N26" s="18">
        <f>IFERROR(VLOOKUP($A26,subQ,MATCH(N$1,SUBQH,0),0),"")</f>
        <v/>
      </c>
      <c r="O26" s="18">
        <f>IFERROR(VLOOKUP($A26,subQ,MATCH(O$1,SUBQH,0),0),"")</f>
        <v/>
      </c>
      <c r="P26" s="18">
        <f>IFERROR(VLOOKUP($A26,subQ,MATCH(P$1,SUBQH,0),0),"")</f>
        <v/>
      </c>
      <c r="Q26" s="18">
        <f>IFERROR(VLOOKUP($A26,subQ,MATCH(Q$1,SUBQH,0),0),"")</f>
        <v/>
      </c>
      <c r="R26" s="18">
        <f>IFERROR(VLOOKUP($A26,subQ,MATCH(R$1,SUBQH,0),0),"")</f>
        <v/>
      </c>
      <c r="S26" s="18">
        <f>IFERROR(VLOOKUP($A26,subQ,MATCH(S$1,SUBQH,0),0),"")</f>
        <v/>
      </c>
      <c r="T26" s="18">
        <f>IFERROR(VLOOKUP($A26,subQ,MATCH(T$1,SUBQH,0),0),"")</f>
        <v/>
      </c>
      <c r="U26" s="18">
        <f>IFERROR(VLOOKUP($A26,subQ,MATCH(U$1,SUBQH,0),0),"")</f>
        <v/>
      </c>
      <c r="V26" s="18">
        <f>IFERROR(VLOOKUP($A26,subQ,MATCH(V$1,SUBQH,0),0),"")</f>
        <v/>
      </c>
      <c r="W26" s="45">
        <f>IFERROR(VLOOKUP($A26,subQ,MATCH(W$1,SUBQH,0),0),"")</f>
        <v/>
      </c>
      <c r="X26" s="20">
        <f>IFERROR(VLOOKUP($A26,subQ,MATCH(X$1,SUBQH,0),0),"")</f>
        <v/>
      </c>
      <c r="Y26" s="20">
        <f>IFERROR(VLOOKUP($A26,subQ,MATCH(Y$1,SUBQH,0),0),"")</f>
        <v/>
      </c>
      <c r="Z26" s="20">
        <f>IFERROR(VLOOKUP($A26,subQ,MATCH(Z$1,SUBQH,0),0),"")</f>
        <v/>
      </c>
      <c r="AA26" s="20">
        <f>IFERROR(VLOOKUP($A26,subQ,MATCH(AA$1,SUBQH,0),0),"")</f>
        <v/>
      </c>
      <c r="AB26" s="20">
        <f>IFERROR(VLOOKUP($A26,subQ,MATCH(AB$1,SUBQH,0),0),"")</f>
        <v/>
      </c>
      <c r="AC26" s="20">
        <f>IFERROR(VLOOKUP($A26,subQ,MATCH(AC$1,SUBQH,0),0),"")</f>
        <v/>
      </c>
      <c r="AD26" s="20">
        <f>IFERROR(VLOOKUP($A26,subQ,MATCH(AD$1,SUBQH,0),0),"")</f>
        <v/>
      </c>
      <c r="AE26" s="20">
        <f>IFERROR(VLOOKUP($A26,subQ,MATCH(AE$1,SUBQH,0),0),"")</f>
        <v/>
      </c>
      <c r="AF26" s="20">
        <f>IFERROR(VLOOKUP($A26,subQ,MATCH(AF$1,SUBQH,0),0),"")</f>
        <v/>
      </c>
      <c r="AG26" s="20">
        <f>IFERROR(VLOOKUP($A26,subQ,MATCH(AG$1,SUBQH,0),0),"")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18">
        <f>IFERROR(VLOOKUP($A27,subQ,MATCH(I$1,SUBQH,0),0),"")</f>
        <v/>
      </c>
      <c r="J27" s="18">
        <f>IFERROR(VLOOKUP($A27,subQ,MATCH(J$1,SUBQH,0),0),"")</f>
        <v/>
      </c>
      <c r="K27" s="18">
        <f>IFERROR(VLOOKUP($A27,subQ,MATCH(K$1,SUBQH,0),0),"")</f>
        <v/>
      </c>
      <c r="L27" s="18">
        <f>IFERROR(VLOOKUP($A27,subQ,MATCH(L$1,SUBQH,0),0),"")</f>
        <v/>
      </c>
      <c r="M27" s="18">
        <f>IFERROR(VLOOKUP($A27,subQ,MATCH(M$1,SUBQH,0),0),"")</f>
        <v/>
      </c>
      <c r="N27" s="18">
        <f>IFERROR(VLOOKUP($A27,subQ,MATCH(N$1,SUBQH,0),0),"")</f>
        <v/>
      </c>
      <c r="O27" s="18">
        <f>IFERROR(VLOOKUP($A27,subQ,MATCH(O$1,SUBQH,0),0),"")</f>
        <v/>
      </c>
      <c r="P27" s="18">
        <f>IFERROR(VLOOKUP($A27,subQ,MATCH(P$1,SUBQH,0),0),"")</f>
        <v/>
      </c>
      <c r="Q27" s="18">
        <f>IFERROR(VLOOKUP($A27,subQ,MATCH(Q$1,SUBQH,0),0),"")</f>
        <v/>
      </c>
      <c r="R27" s="18">
        <f>IFERROR(VLOOKUP($A27,subQ,MATCH(R$1,SUBQH,0),0),"")</f>
        <v/>
      </c>
      <c r="S27" s="18">
        <f>IFERROR(VLOOKUP($A27,subQ,MATCH(S$1,SUBQH,0),0),"")</f>
        <v/>
      </c>
      <c r="T27" s="18">
        <f>IFERROR(VLOOKUP($A27,subQ,MATCH(T$1,SUBQH,0),0),"")</f>
        <v/>
      </c>
      <c r="U27" s="18">
        <f>IFERROR(VLOOKUP($A27,subQ,MATCH(U$1,SUBQH,0),0),"")</f>
        <v/>
      </c>
      <c r="V27" s="18">
        <f>IFERROR(VLOOKUP($A27,subQ,MATCH(V$1,SUBQH,0),0),"")</f>
        <v/>
      </c>
      <c r="W27" s="45">
        <f>IFERROR(VLOOKUP($A27,subQ,MATCH(W$1,SUBQH,0),0),"")</f>
        <v/>
      </c>
      <c r="X27" s="20">
        <f>IFERROR(VLOOKUP($A27,subQ,MATCH(X$1,SUBQH,0),0),"")</f>
        <v/>
      </c>
      <c r="Y27" s="20">
        <f>IFERROR(VLOOKUP($A27,subQ,MATCH(Y$1,SUBQH,0),0),"")</f>
        <v/>
      </c>
      <c r="Z27" s="20">
        <f>IFERROR(VLOOKUP($A27,subQ,MATCH(Z$1,SUBQH,0),0),"")</f>
        <v/>
      </c>
      <c r="AA27" s="20">
        <f>IFERROR(VLOOKUP($A27,subQ,MATCH(AA$1,SUBQH,0),0),"")</f>
        <v/>
      </c>
      <c r="AB27" s="20">
        <f>IFERROR(VLOOKUP($A27,subQ,MATCH(AB$1,SUBQH,0),0),"")</f>
        <v/>
      </c>
      <c r="AC27" s="20">
        <f>IFERROR(VLOOKUP($A27,subQ,MATCH(AC$1,SUBQH,0),0),"")</f>
        <v/>
      </c>
      <c r="AD27" s="20">
        <f>IFERROR(VLOOKUP($A27,subQ,MATCH(AD$1,SUBQH,0),0),"")</f>
        <v/>
      </c>
      <c r="AE27" s="20">
        <f>IFERROR(VLOOKUP($A27,subQ,MATCH(AE$1,SUBQH,0),0),"")</f>
        <v/>
      </c>
      <c r="AF27" s="20">
        <f>IFERROR(VLOOKUP($A27,subQ,MATCH(AF$1,SUBQH,0),0),"")</f>
        <v/>
      </c>
      <c r="AG27" s="20">
        <f>IFERROR(VLOOKUP($A27,subQ,MATCH(AG$1,SUBQH,0),0),"")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27">
        <f>IFERROR(VLOOKUP($A28,subQ,MATCH(I$1,SUBQH,0),0),"")</f>
        <v/>
      </c>
      <c r="J28" s="27">
        <f>IFERROR(VLOOKUP($A28,subQ,MATCH(J$1,SUBQH,0),0),"")</f>
        <v/>
      </c>
      <c r="K28" s="27">
        <f>IFERROR(VLOOKUP($A28,subQ,MATCH(K$1,SUBQH,0),0),"")</f>
        <v/>
      </c>
      <c r="L28" s="27">
        <f>IFERROR(VLOOKUP($A28,subQ,MATCH(L$1,SUBQH,0),0),"")</f>
        <v/>
      </c>
      <c r="M28" s="27">
        <f>IFERROR(VLOOKUP($A28,subQ,MATCH(M$1,SUBQH,0),0),"")</f>
        <v/>
      </c>
      <c r="N28" s="27">
        <f>IFERROR(VLOOKUP($A28,subQ,MATCH(N$1,SUBQH,0),0),"")</f>
        <v/>
      </c>
      <c r="O28" s="27">
        <f>IFERROR(VLOOKUP($A28,subQ,MATCH(O$1,SUBQH,0),0),"")</f>
        <v/>
      </c>
      <c r="P28" s="27">
        <f>IFERROR(VLOOKUP($A28,subQ,MATCH(P$1,SUBQH,0),0),"")</f>
        <v/>
      </c>
      <c r="Q28" s="27">
        <f>IFERROR(VLOOKUP($A28,subQ,MATCH(Q$1,SUBQH,0),0),"")</f>
        <v/>
      </c>
      <c r="R28" s="27">
        <f>IFERROR(VLOOKUP($A28,subQ,MATCH(R$1,SUBQH,0),0),"")</f>
        <v/>
      </c>
      <c r="S28" s="27">
        <f>IFERROR(VLOOKUP($A28,subQ,MATCH(S$1,SUBQH,0),0),"")</f>
        <v/>
      </c>
      <c r="T28" s="27">
        <f>IFERROR(VLOOKUP($A28,subQ,MATCH(T$1,SUBQH,0),0),"")</f>
        <v/>
      </c>
      <c r="U28" s="27">
        <f>IFERROR(VLOOKUP($A28,subQ,MATCH(U$1,SUBQH,0),0),"")</f>
        <v/>
      </c>
      <c r="V28" s="27">
        <f>IFERROR(VLOOKUP($A28,subQ,MATCH(V$1,SUBQH,0),0),"")</f>
        <v/>
      </c>
      <c r="W28" s="47">
        <f>IFERROR(VLOOKUP($A28,subQ,MATCH(W$1,SUBQH,0),0),"")</f>
        <v/>
      </c>
      <c r="X28" s="33">
        <f>IFERROR(VLOOKUP($A28,subQ,MATCH(X$1,SUBQH,0),0),"")</f>
        <v/>
      </c>
      <c r="Y28" s="33">
        <f>IFERROR(VLOOKUP($A28,subQ,MATCH(Y$1,SUBQH,0),0),"")</f>
        <v/>
      </c>
      <c r="Z28" s="33">
        <f>IFERROR(VLOOKUP($A28,subQ,MATCH(Z$1,SUBQH,0),0),"")</f>
        <v/>
      </c>
      <c r="AA28" s="33">
        <f>IFERROR(VLOOKUP($A28,subQ,MATCH(AA$1,SUBQH,0),0),"")</f>
        <v/>
      </c>
      <c r="AB28" s="33">
        <f>IFERROR(VLOOKUP($A28,subQ,MATCH(AB$1,SUBQH,0),0),"")</f>
        <v/>
      </c>
      <c r="AC28" s="33">
        <f>IFERROR(VLOOKUP($A28,subQ,MATCH(AC$1,SUBQH,0),0),"")</f>
        <v/>
      </c>
      <c r="AD28" s="33">
        <f>IFERROR(VLOOKUP($A28,subQ,MATCH(AD$1,SUBQH,0),0),"")</f>
        <v/>
      </c>
      <c r="AE28" s="33">
        <f>IFERROR(VLOOKUP($A28,subQ,MATCH(AE$1,SUBQH,0),0),"")</f>
        <v/>
      </c>
      <c r="AF28" s="33">
        <f>IFERROR(VLOOKUP($A28,subQ,MATCH(AF$1,SUBQH,0),0),"")</f>
        <v/>
      </c>
      <c r="AG28" s="33">
        <f>IFERROR(VLOOKUP($A28,subQ,MATCH(AG$1,SUBQH,0),0),"")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18">
        <f>IFERROR(VLOOKUP($A29,subQ,MATCH(I$1,SUBQH,0),0),"")</f>
        <v/>
      </c>
      <c r="J29" s="18">
        <f>IFERROR(VLOOKUP($A29,subQ,MATCH(J$1,SUBQH,0),0),"")</f>
        <v/>
      </c>
      <c r="K29" s="18">
        <f>IFERROR(VLOOKUP($A29,subQ,MATCH(K$1,SUBQH,0),0),"")</f>
        <v/>
      </c>
      <c r="L29" s="18">
        <f>IFERROR(VLOOKUP($A29,subQ,MATCH(L$1,SUBQH,0),0),"")</f>
        <v/>
      </c>
      <c r="M29" s="18">
        <f>IFERROR(VLOOKUP($A29,subQ,MATCH(M$1,SUBQH,0),0),"")</f>
        <v/>
      </c>
      <c r="N29" s="18">
        <f>IFERROR(VLOOKUP($A29,subQ,MATCH(N$1,SUBQH,0),0),"")</f>
        <v/>
      </c>
      <c r="O29" s="18">
        <f>IFERROR(VLOOKUP($A29,subQ,MATCH(O$1,SUBQH,0),0),"")</f>
        <v/>
      </c>
      <c r="P29" s="18">
        <f>IFERROR(VLOOKUP($A29,subQ,MATCH(P$1,SUBQH,0),0),"")</f>
        <v/>
      </c>
      <c r="Q29" s="18">
        <f>IFERROR(VLOOKUP($A29,subQ,MATCH(Q$1,SUBQH,0),0),"")</f>
        <v/>
      </c>
      <c r="R29" s="18">
        <f>IFERROR(VLOOKUP($A29,subQ,MATCH(R$1,SUBQH,0),0),"")</f>
        <v/>
      </c>
      <c r="S29" s="18">
        <f>IFERROR(VLOOKUP($A29,subQ,MATCH(S$1,SUBQH,0),0),"")</f>
        <v/>
      </c>
      <c r="T29" s="18">
        <f>IFERROR(VLOOKUP($A29,subQ,MATCH(T$1,SUBQH,0),0),"")</f>
        <v/>
      </c>
      <c r="U29" s="18">
        <f>IFERROR(VLOOKUP($A29,subQ,MATCH(U$1,SUBQH,0),0),"")</f>
        <v/>
      </c>
      <c r="V29" s="18">
        <f>IFERROR(VLOOKUP($A29,subQ,MATCH(V$1,SUBQH,0),0),"")</f>
        <v/>
      </c>
      <c r="W29" s="45">
        <f>IFERROR(VLOOKUP($A29,subQ,MATCH(W$1,SUBQH,0),0),"")</f>
        <v/>
      </c>
      <c r="X29" s="20">
        <f>IFERROR(VLOOKUP($A29,subQ,MATCH(X$1,SUBQH,0),0),"")</f>
        <v/>
      </c>
      <c r="Y29" s="20">
        <f>IFERROR(VLOOKUP($A29,subQ,MATCH(Y$1,SUBQH,0),0),"")</f>
        <v/>
      </c>
      <c r="Z29" s="20">
        <f>IFERROR(VLOOKUP($A29,subQ,MATCH(Z$1,SUBQH,0),0),"")</f>
        <v/>
      </c>
      <c r="AA29" s="20">
        <f>IFERROR(VLOOKUP($A29,subQ,MATCH(AA$1,SUBQH,0),0),"")</f>
        <v/>
      </c>
      <c r="AB29" s="20">
        <f>IFERROR(VLOOKUP($A29,subQ,MATCH(AB$1,SUBQH,0),0),"")</f>
        <v/>
      </c>
      <c r="AC29" s="20">
        <f>IFERROR(VLOOKUP($A29,subQ,MATCH(AC$1,SUBQH,0),0),"")</f>
        <v/>
      </c>
      <c r="AD29" s="20">
        <f>IFERROR(VLOOKUP($A29,subQ,MATCH(AD$1,SUBQH,0),0),"")</f>
        <v/>
      </c>
      <c r="AE29" s="20">
        <f>IFERROR(VLOOKUP($A29,subQ,MATCH(AE$1,SUBQH,0),0),"")</f>
        <v/>
      </c>
      <c r="AF29" s="20">
        <f>IFERROR(VLOOKUP($A29,subQ,MATCH(AF$1,SUBQH,0),0),"")</f>
        <v/>
      </c>
      <c r="AG29" s="20">
        <f>IFERROR(VLOOKUP($A29,subQ,MATCH(AG$1,SUBQH,0),0),"")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18">
        <f>IFERROR(VLOOKUP($A30,subQ,MATCH(I$1,SUBQH,0),0),"")</f>
        <v/>
      </c>
      <c r="J30" s="18">
        <f>IFERROR(VLOOKUP($A30,subQ,MATCH(J$1,SUBQH,0),0),"")</f>
        <v/>
      </c>
      <c r="K30" s="18">
        <f>IFERROR(VLOOKUP($A30,subQ,MATCH(K$1,SUBQH,0),0),"")</f>
        <v/>
      </c>
      <c r="L30" s="18">
        <f>IFERROR(VLOOKUP($A30,subQ,MATCH(L$1,SUBQH,0),0),"")</f>
        <v/>
      </c>
      <c r="M30" s="18">
        <f>IFERROR(VLOOKUP($A30,subQ,MATCH(M$1,SUBQH,0),0),"")</f>
        <v/>
      </c>
      <c r="N30" s="18">
        <f>IFERROR(VLOOKUP($A30,subQ,MATCH(N$1,SUBQH,0),0),"")</f>
        <v/>
      </c>
      <c r="O30" s="18">
        <f>IFERROR(VLOOKUP($A30,subQ,MATCH(O$1,SUBQH,0),0),"")</f>
        <v/>
      </c>
      <c r="P30" s="18">
        <f>IFERROR(VLOOKUP($A30,subQ,MATCH(P$1,SUBQH,0),0),"")</f>
        <v/>
      </c>
      <c r="Q30" s="18">
        <f>IFERROR(VLOOKUP($A30,subQ,MATCH(Q$1,SUBQH,0),0),"")</f>
        <v/>
      </c>
      <c r="R30" s="18">
        <f>IFERROR(VLOOKUP($A30,subQ,MATCH(R$1,SUBQH,0),0),"")</f>
        <v/>
      </c>
      <c r="S30" s="18">
        <f>IFERROR(VLOOKUP($A30,subQ,MATCH(S$1,SUBQH,0),0),"")</f>
        <v/>
      </c>
      <c r="T30" s="18">
        <f>IFERROR(VLOOKUP($A30,subQ,MATCH(T$1,SUBQH,0),0),"")</f>
        <v/>
      </c>
      <c r="U30" s="18">
        <f>IFERROR(VLOOKUP($A30,subQ,MATCH(U$1,SUBQH,0),0),"")</f>
        <v/>
      </c>
      <c r="V30" s="18">
        <f>IFERROR(VLOOKUP($A30,subQ,MATCH(V$1,SUBQH,0),0),"")</f>
        <v/>
      </c>
      <c r="W30" s="45">
        <f>IFERROR(VLOOKUP($A30,subQ,MATCH(W$1,SUBQH,0),0),"")</f>
        <v/>
      </c>
      <c r="X30" s="20">
        <f>IFERROR(VLOOKUP($A30,subQ,MATCH(X$1,SUBQH,0),0),"")</f>
        <v/>
      </c>
      <c r="Y30" s="20">
        <f>IFERROR(VLOOKUP($A30,subQ,MATCH(Y$1,SUBQH,0),0),"")</f>
        <v/>
      </c>
      <c r="Z30" s="20">
        <f>IFERROR(VLOOKUP($A30,subQ,MATCH(Z$1,SUBQH,0),0),"")</f>
        <v/>
      </c>
      <c r="AA30" s="20">
        <f>IFERROR(VLOOKUP($A30,subQ,MATCH(AA$1,SUBQH,0),0),"")</f>
        <v/>
      </c>
      <c r="AB30" s="20">
        <f>IFERROR(VLOOKUP($A30,subQ,MATCH(AB$1,SUBQH,0),0),"")</f>
        <v/>
      </c>
      <c r="AC30" s="20">
        <f>IFERROR(VLOOKUP($A30,subQ,MATCH(AC$1,SUBQH,0),0),"")</f>
        <v/>
      </c>
      <c r="AD30" s="20">
        <f>IFERROR(VLOOKUP($A30,subQ,MATCH(AD$1,SUBQH,0),0),"")</f>
        <v/>
      </c>
      <c r="AE30" s="20">
        <f>IFERROR(VLOOKUP($A30,subQ,MATCH(AE$1,SUBQH,0),0),"")</f>
        <v/>
      </c>
      <c r="AF30" s="20">
        <f>IFERROR(VLOOKUP($A30,subQ,MATCH(AF$1,SUBQH,0),0),"")</f>
        <v/>
      </c>
      <c r="AG30" s="20">
        <f>IFERROR(VLOOKUP($A30,subQ,MATCH(AG$1,SUBQH,0),0),"")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18">
        <f>IFERROR(VLOOKUP($A31,subQ,MATCH(I$1,SUBQH,0),0),"")</f>
        <v/>
      </c>
      <c r="J31" s="18">
        <f>IFERROR(VLOOKUP($A31,subQ,MATCH(J$1,SUBQH,0),0),"")</f>
        <v/>
      </c>
      <c r="K31" s="18">
        <f>IFERROR(VLOOKUP($A31,subQ,MATCH(K$1,SUBQH,0),0),"")</f>
        <v/>
      </c>
      <c r="L31" s="18">
        <f>IFERROR(VLOOKUP($A31,subQ,MATCH(L$1,SUBQH,0),0),"")</f>
        <v/>
      </c>
      <c r="M31" s="18">
        <f>IFERROR(VLOOKUP($A31,subQ,MATCH(M$1,SUBQH,0),0),"")</f>
        <v/>
      </c>
      <c r="N31" s="18">
        <f>IFERROR(VLOOKUP($A31,subQ,MATCH(N$1,SUBQH,0),0),"")</f>
        <v/>
      </c>
      <c r="O31" s="18">
        <f>IFERROR(VLOOKUP($A31,subQ,MATCH(O$1,SUBQH,0),0),"")</f>
        <v/>
      </c>
      <c r="P31" s="18">
        <f>IFERROR(VLOOKUP($A31,subQ,MATCH(P$1,SUBQH,0),0),"")</f>
        <v/>
      </c>
      <c r="Q31" s="18">
        <f>IFERROR(VLOOKUP($A31,subQ,MATCH(Q$1,SUBQH,0),0),"")</f>
        <v/>
      </c>
      <c r="R31" s="18">
        <f>IFERROR(VLOOKUP($A31,subQ,MATCH(R$1,SUBQH,0),0),"")</f>
        <v/>
      </c>
      <c r="S31" s="18">
        <f>IFERROR(VLOOKUP($A31,subQ,MATCH(S$1,SUBQH,0),0),"")</f>
        <v/>
      </c>
      <c r="T31" s="18">
        <f>IFERROR(VLOOKUP($A31,subQ,MATCH(T$1,SUBQH,0),0),"")</f>
        <v/>
      </c>
      <c r="U31" s="18">
        <f>IFERROR(VLOOKUP($A31,subQ,MATCH(U$1,SUBQH,0),0),"")</f>
        <v/>
      </c>
      <c r="V31" s="18">
        <f>IFERROR(VLOOKUP($A31,subQ,MATCH(V$1,SUBQH,0),0),"")</f>
        <v/>
      </c>
      <c r="W31" s="45">
        <f>IFERROR(VLOOKUP($A31,subQ,MATCH(W$1,SUBQH,0),0),"")</f>
        <v/>
      </c>
      <c r="X31" s="20">
        <f>IFERROR(VLOOKUP($A31,subQ,MATCH(X$1,SUBQH,0),0),"")</f>
        <v/>
      </c>
      <c r="Y31" s="20">
        <f>IFERROR(VLOOKUP($A31,subQ,MATCH(Y$1,SUBQH,0),0),"")</f>
        <v/>
      </c>
      <c r="Z31" s="20">
        <f>IFERROR(VLOOKUP($A31,subQ,MATCH(Z$1,SUBQH,0),0),"")</f>
        <v/>
      </c>
      <c r="AA31" s="20">
        <f>IFERROR(VLOOKUP($A31,subQ,MATCH(AA$1,SUBQH,0),0),"")</f>
        <v/>
      </c>
      <c r="AB31" s="20">
        <f>IFERROR(VLOOKUP($A31,subQ,MATCH(AB$1,SUBQH,0),0),"")</f>
        <v/>
      </c>
      <c r="AC31" s="20">
        <f>IFERROR(VLOOKUP($A31,subQ,MATCH(AC$1,SUBQH,0),0),"")</f>
        <v/>
      </c>
      <c r="AD31" s="20">
        <f>IFERROR(VLOOKUP($A31,subQ,MATCH(AD$1,SUBQH,0),0),"")</f>
        <v/>
      </c>
      <c r="AE31" s="20">
        <f>IFERROR(VLOOKUP($A31,subQ,MATCH(AE$1,SUBQH,0),0),"")</f>
        <v/>
      </c>
      <c r="AF31" s="20">
        <f>IFERROR(VLOOKUP($A31,subQ,MATCH(AF$1,SUBQH,0),0),"")</f>
        <v/>
      </c>
      <c r="AG31" s="20">
        <f>IFERROR(VLOOKUP($A31,subQ,MATCH(AG$1,SUBQH,0),0),"")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13">
        <f>IFERROR(VLOOKUP($A32,subQ,MATCH(I$1,SUBQH,0),0),"")</f>
        <v/>
      </c>
      <c r="J32" s="13">
        <f>IFERROR(VLOOKUP($A32,subQ,MATCH(J$1,SUBQH,0),0),"")</f>
        <v/>
      </c>
      <c r="K32" s="13">
        <f>IFERROR(VLOOKUP($A32,subQ,MATCH(K$1,SUBQH,0),0),"")</f>
        <v/>
      </c>
      <c r="L32" s="13">
        <f>IFERROR(VLOOKUP($A32,subQ,MATCH(L$1,SUBQH,0),0),"")</f>
        <v/>
      </c>
      <c r="M32" s="13">
        <f>IFERROR(VLOOKUP($A32,subQ,MATCH(M$1,SUBQH,0),0),"")</f>
        <v/>
      </c>
      <c r="N32" s="13">
        <f>IFERROR(VLOOKUP($A32,subQ,MATCH(N$1,SUBQH,0),0),"")</f>
        <v/>
      </c>
      <c r="O32" s="13">
        <f>IFERROR(VLOOKUP($A32,subQ,MATCH(O$1,SUBQH,0),0),"")</f>
        <v/>
      </c>
      <c r="P32" s="13">
        <f>IFERROR(VLOOKUP($A32,subQ,MATCH(P$1,SUBQH,0),0),"")</f>
        <v/>
      </c>
      <c r="Q32" s="13">
        <f>IFERROR(VLOOKUP($A32,subQ,MATCH(Q$1,SUBQH,0),0),"")</f>
        <v/>
      </c>
      <c r="R32" s="13">
        <f>IFERROR(VLOOKUP($A32,subQ,MATCH(R$1,SUBQH,0),0),"")</f>
        <v/>
      </c>
      <c r="S32" s="13">
        <f>IFERROR(VLOOKUP($A32,subQ,MATCH(S$1,SUBQH,0),0),"")</f>
        <v/>
      </c>
      <c r="T32" s="13">
        <f>IFERROR(VLOOKUP($A32,subQ,MATCH(T$1,SUBQH,0),0),"")</f>
        <v/>
      </c>
      <c r="U32" s="13">
        <f>IFERROR(VLOOKUP($A32,subQ,MATCH(U$1,SUBQH,0),0),"")</f>
        <v/>
      </c>
      <c r="V32" s="13">
        <f>IFERROR(VLOOKUP($A32,subQ,MATCH(V$1,SUBQH,0),0),"")</f>
        <v/>
      </c>
      <c r="W32" s="48">
        <f>IFERROR(VLOOKUP($A32,subQ,MATCH(W$1,SUBQH,0),0),"")</f>
        <v/>
      </c>
      <c r="X32" s="39">
        <f>IFERROR(VLOOKUP($A32,subQ,MATCH(X$1,SUBQH,0),0),"")</f>
        <v/>
      </c>
      <c r="Y32" s="39">
        <f>IFERROR(VLOOKUP($A32,subQ,MATCH(Y$1,SUBQH,0),0),"")</f>
        <v/>
      </c>
      <c r="Z32" s="39">
        <f>IFERROR(VLOOKUP($A32,subQ,MATCH(Z$1,SUBQH,0),0),"")</f>
        <v/>
      </c>
      <c r="AA32" s="39">
        <f>IFERROR(VLOOKUP($A32,subQ,MATCH(AA$1,SUBQH,0),0),"")</f>
        <v/>
      </c>
      <c r="AB32" s="39">
        <f>IFERROR(VLOOKUP($A32,subQ,MATCH(AB$1,SUBQH,0),0),"")</f>
        <v/>
      </c>
      <c r="AC32" s="39">
        <f>IFERROR(VLOOKUP($A32,subQ,MATCH(AC$1,SUBQH,0),0),"")</f>
        <v/>
      </c>
      <c r="AD32" s="39">
        <f>IFERROR(VLOOKUP($A32,subQ,MATCH(AD$1,SUBQH,0),0),"")</f>
        <v/>
      </c>
      <c r="AE32" s="39">
        <f>IFERROR(VLOOKUP($A32,subQ,MATCH(AE$1,SUBQH,0),0),"")</f>
        <v/>
      </c>
      <c r="AF32" s="39">
        <f>IFERROR(VLOOKUP($A32,subQ,MATCH(AF$1,SUBQH,0),0),"")</f>
        <v/>
      </c>
      <c r="AG32" s="39">
        <f>IFERROR(VLOOKUP($A32,subQ,MATCH(AG$1,SUBQH,0),0),"")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13">
        <f>IFERROR(VLOOKUP($A33,subQ,MATCH(I$1,SUBQH,0),0),"")</f>
        <v/>
      </c>
      <c r="J33" s="13">
        <f>IFERROR(VLOOKUP($A33,subQ,MATCH(J$1,SUBQH,0),0),"")</f>
        <v/>
      </c>
      <c r="K33" s="13">
        <f>IFERROR(VLOOKUP($A33,subQ,MATCH(K$1,SUBQH,0),0),"")</f>
        <v/>
      </c>
      <c r="L33" s="13">
        <f>IFERROR(VLOOKUP($A33,subQ,MATCH(L$1,SUBQH,0),0),"")</f>
        <v/>
      </c>
      <c r="M33" s="13">
        <f>IFERROR(VLOOKUP($A33,subQ,MATCH(M$1,SUBQH,0),0),"")</f>
        <v/>
      </c>
      <c r="N33" s="13">
        <f>IFERROR(VLOOKUP($A33,subQ,MATCH(N$1,SUBQH,0),0),"")</f>
        <v/>
      </c>
      <c r="O33" s="13">
        <f>IFERROR(VLOOKUP($A33,subQ,MATCH(O$1,SUBQH,0),0),"")</f>
        <v/>
      </c>
      <c r="P33" s="13">
        <f>IFERROR(VLOOKUP($A33,subQ,MATCH(P$1,SUBQH,0),0),"")</f>
        <v/>
      </c>
      <c r="Q33" s="13">
        <f>IFERROR(VLOOKUP($A33,subQ,MATCH(Q$1,SUBQH,0),0),"")</f>
        <v/>
      </c>
      <c r="R33" s="13">
        <f>IFERROR(VLOOKUP($A33,subQ,MATCH(R$1,SUBQH,0),0),"")</f>
        <v/>
      </c>
      <c r="S33" s="13">
        <f>IFERROR(VLOOKUP($A33,subQ,MATCH(S$1,SUBQH,0),0),"")</f>
        <v/>
      </c>
      <c r="T33" s="13">
        <f>IFERROR(VLOOKUP($A33,subQ,MATCH(T$1,SUBQH,0),0),"")</f>
        <v/>
      </c>
      <c r="U33" s="13">
        <f>IFERROR(VLOOKUP($A33,subQ,MATCH(U$1,SUBQH,0),0),"")</f>
        <v/>
      </c>
      <c r="V33" s="13">
        <f>IFERROR(VLOOKUP($A33,subQ,MATCH(V$1,SUBQH,0),0),"")</f>
        <v/>
      </c>
      <c r="W33" s="48">
        <f>IFERROR(VLOOKUP($A33,subQ,MATCH(W$1,SUBQH,0),0),"")</f>
        <v/>
      </c>
      <c r="X33" s="39">
        <f>IFERROR(VLOOKUP($A33,subQ,MATCH(X$1,SUBQH,0),0),"")</f>
        <v/>
      </c>
      <c r="Y33" s="39">
        <f>IFERROR(VLOOKUP($A33,subQ,MATCH(Y$1,SUBQH,0),0),"")</f>
        <v/>
      </c>
      <c r="Z33" s="39">
        <f>IFERROR(VLOOKUP($A33,subQ,MATCH(Z$1,SUBQH,0),0),"")</f>
        <v/>
      </c>
      <c r="AA33" s="39">
        <f>IFERROR(VLOOKUP($A33,subQ,MATCH(AA$1,SUBQH,0),0),"")</f>
        <v/>
      </c>
      <c r="AB33" s="39">
        <f>IFERROR(VLOOKUP($A33,subQ,MATCH(AB$1,SUBQH,0),0),"")</f>
        <v/>
      </c>
      <c r="AC33" s="39">
        <f>IFERROR(VLOOKUP($A33,subQ,MATCH(AC$1,SUBQH,0),0),"")</f>
        <v/>
      </c>
      <c r="AD33" s="39">
        <f>IFERROR(VLOOKUP($A33,subQ,MATCH(AD$1,SUBQH,0),0),"")</f>
        <v/>
      </c>
      <c r="AE33" s="39">
        <f>IFERROR(VLOOKUP($A33,subQ,MATCH(AE$1,SUBQH,0),0),"")</f>
        <v/>
      </c>
      <c r="AF33" s="39">
        <f>IFERROR(VLOOKUP($A33,subQ,MATCH(AF$1,SUBQH,0),0),"")</f>
        <v/>
      </c>
      <c r="AG33" s="39">
        <f>IFERROR(VLOOKUP($A33,subQ,MATCH(AG$1,SUBQH,0),0),"")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18">
        <f>IFERROR(VLOOKUP($A34,subQ,MATCH(I$1,SUBQH,0),0),"")</f>
        <v/>
      </c>
      <c r="J34" s="18">
        <f>IFERROR(VLOOKUP($A34,subQ,MATCH(J$1,SUBQH,0),0),"")</f>
        <v/>
      </c>
      <c r="K34" s="18">
        <f>IFERROR(VLOOKUP($A34,subQ,MATCH(K$1,SUBQH,0),0),"")</f>
        <v/>
      </c>
      <c r="L34" s="18">
        <f>IFERROR(VLOOKUP($A34,subQ,MATCH(L$1,SUBQH,0),0),"")</f>
        <v/>
      </c>
      <c r="M34" s="18">
        <f>IFERROR(VLOOKUP($A34,subQ,MATCH(M$1,SUBQH,0),0),"")</f>
        <v/>
      </c>
      <c r="N34" s="18">
        <f>IFERROR(VLOOKUP($A34,subQ,MATCH(N$1,SUBQH,0),0),"")</f>
        <v/>
      </c>
      <c r="O34" s="18">
        <f>IFERROR(VLOOKUP($A34,subQ,MATCH(O$1,SUBQH,0),0),"")</f>
        <v/>
      </c>
      <c r="P34" s="18">
        <f>IFERROR(VLOOKUP($A34,subQ,MATCH(P$1,SUBQH,0),0),"")</f>
        <v/>
      </c>
      <c r="Q34" s="18">
        <f>IFERROR(VLOOKUP($A34,subQ,MATCH(Q$1,SUBQH,0),0),"")</f>
        <v/>
      </c>
      <c r="R34" s="18">
        <f>IFERROR(VLOOKUP($A34,subQ,MATCH(R$1,SUBQH,0),0),"")</f>
        <v/>
      </c>
      <c r="S34" s="18">
        <f>IFERROR(VLOOKUP($A34,subQ,MATCH(S$1,SUBQH,0),0),"")</f>
        <v/>
      </c>
      <c r="T34" s="18">
        <f>IFERROR(VLOOKUP($A34,subQ,MATCH(T$1,SUBQH,0),0),"")</f>
        <v/>
      </c>
      <c r="U34" s="18">
        <f>IFERROR(VLOOKUP($A34,subQ,MATCH(U$1,SUBQH,0),0),"")</f>
        <v/>
      </c>
      <c r="V34" s="18">
        <f>IFERROR(VLOOKUP($A34,subQ,MATCH(V$1,SUBQH,0),0),"")</f>
        <v/>
      </c>
      <c r="W34" s="45">
        <f>IFERROR(VLOOKUP($A34,subQ,MATCH(W$1,SUBQH,0),0),"")</f>
        <v/>
      </c>
      <c r="X34" s="20">
        <f>IFERROR(VLOOKUP($A34,subQ,MATCH(X$1,SUBQH,0),0),"")</f>
        <v/>
      </c>
      <c r="Y34" s="20">
        <f>IFERROR(VLOOKUP($A34,subQ,MATCH(Y$1,SUBQH,0),0),"")</f>
        <v/>
      </c>
      <c r="Z34" s="20">
        <f>IFERROR(VLOOKUP($A34,subQ,MATCH(Z$1,SUBQH,0),0),"")</f>
        <v/>
      </c>
      <c r="AA34" s="20">
        <f>IFERROR(VLOOKUP($A34,subQ,MATCH(AA$1,SUBQH,0),0),"")</f>
        <v/>
      </c>
      <c r="AB34" s="20">
        <f>IFERROR(VLOOKUP($A34,subQ,MATCH(AB$1,SUBQH,0),0),"")</f>
        <v/>
      </c>
      <c r="AC34" s="20">
        <f>IFERROR(VLOOKUP($A34,subQ,MATCH(AC$1,SUBQH,0),0),"")</f>
        <v/>
      </c>
      <c r="AD34" s="20">
        <f>IFERROR(VLOOKUP($A34,subQ,MATCH(AD$1,SUBQH,0),0),"")</f>
        <v/>
      </c>
      <c r="AE34" s="20">
        <f>IFERROR(VLOOKUP($A34,subQ,MATCH(AE$1,SUBQH,0),0),"")</f>
        <v/>
      </c>
      <c r="AF34" s="20">
        <f>IFERROR(VLOOKUP($A34,subQ,MATCH(AF$1,SUBQH,0),0),"")</f>
        <v/>
      </c>
      <c r="AG34" s="20">
        <f>IFERROR(VLOOKUP($A34,subQ,MATCH(AG$1,SUBQH,0),0),"")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18">
        <f>IFERROR(VLOOKUP($A35,subQ,MATCH(I$1,SUBQH,0),0),"")</f>
        <v/>
      </c>
      <c r="J35" s="18">
        <f>IFERROR(VLOOKUP($A35,subQ,MATCH(J$1,SUBQH,0),0),"")</f>
        <v/>
      </c>
      <c r="K35" s="18">
        <f>IFERROR(VLOOKUP($A35,subQ,MATCH(K$1,SUBQH,0),0),"")</f>
        <v/>
      </c>
      <c r="L35" s="18">
        <f>IFERROR(VLOOKUP($A35,subQ,MATCH(L$1,SUBQH,0),0),"")</f>
        <v/>
      </c>
      <c r="M35" s="18">
        <f>IFERROR(VLOOKUP($A35,subQ,MATCH(M$1,SUBQH,0),0),"")</f>
        <v/>
      </c>
      <c r="N35" s="18">
        <f>IFERROR(VLOOKUP($A35,subQ,MATCH(N$1,SUBQH,0),0),"")</f>
        <v/>
      </c>
      <c r="O35" s="18">
        <f>IFERROR(VLOOKUP($A35,subQ,MATCH(O$1,SUBQH,0),0),"")</f>
        <v/>
      </c>
      <c r="P35" s="18">
        <f>IFERROR(VLOOKUP($A35,subQ,MATCH(P$1,SUBQH,0),0),"")</f>
        <v/>
      </c>
      <c r="Q35" s="18">
        <f>IFERROR(VLOOKUP($A35,subQ,MATCH(Q$1,SUBQH,0),0),"")</f>
        <v/>
      </c>
      <c r="R35" s="18">
        <f>IFERROR(VLOOKUP($A35,subQ,MATCH(R$1,SUBQH,0),0),"")</f>
        <v/>
      </c>
      <c r="S35" s="18">
        <f>IFERROR(VLOOKUP($A35,subQ,MATCH(S$1,SUBQH,0),0),"")</f>
        <v/>
      </c>
      <c r="T35" s="18">
        <f>IFERROR(VLOOKUP($A35,subQ,MATCH(T$1,SUBQH,0),0),"")</f>
        <v/>
      </c>
      <c r="U35" s="18">
        <f>IFERROR(VLOOKUP($A35,subQ,MATCH(U$1,SUBQH,0),0),"")</f>
        <v/>
      </c>
      <c r="V35" s="18">
        <f>IFERROR(VLOOKUP($A35,subQ,MATCH(V$1,SUBQH,0),0),"")</f>
        <v/>
      </c>
      <c r="W35" s="45">
        <f>IFERROR(VLOOKUP($A35,subQ,MATCH(W$1,SUBQH,0),0),"")</f>
        <v/>
      </c>
      <c r="X35" s="20">
        <f>IFERROR(VLOOKUP($A35,subQ,MATCH(X$1,SUBQH,0),0),"")</f>
        <v/>
      </c>
      <c r="Y35" s="20">
        <f>IFERROR(VLOOKUP($A35,subQ,MATCH(Y$1,SUBQH,0),0),"")</f>
        <v/>
      </c>
      <c r="Z35" s="20">
        <f>IFERROR(VLOOKUP($A35,subQ,MATCH(Z$1,SUBQH,0),0),"")</f>
        <v/>
      </c>
      <c r="AA35" s="20">
        <f>IFERROR(VLOOKUP($A35,subQ,MATCH(AA$1,SUBQH,0),0),"")</f>
        <v/>
      </c>
      <c r="AB35" s="20">
        <f>IFERROR(VLOOKUP($A35,subQ,MATCH(AB$1,SUBQH,0),0),"")</f>
        <v/>
      </c>
      <c r="AC35" s="20">
        <f>IFERROR(VLOOKUP($A35,subQ,MATCH(AC$1,SUBQH,0),0),"")</f>
        <v/>
      </c>
      <c r="AD35" s="20">
        <f>IFERROR(VLOOKUP($A35,subQ,MATCH(AD$1,SUBQH,0),0),"")</f>
        <v/>
      </c>
      <c r="AE35" s="20">
        <f>IFERROR(VLOOKUP($A35,subQ,MATCH(AE$1,SUBQH,0),0),"")</f>
        <v/>
      </c>
      <c r="AF35" s="20">
        <f>IFERROR(VLOOKUP($A35,subQ,MATCH(AF$1,SUBQH,0),0),"")</f>
        <v/>
      </c>
      <c r="AG35" s="20">
        <f>IFERROR(VLOOKUP($A35,subQ,MATCH(AG$1,SUBQH,0),0),"")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21">
        <f>IFERROR(VLOOKUP($A36,subQ,MATCH(I$1,SUBQH,0),0),"")</f>
        <v/>
      </c>
      <c r="J36" s="21">
        <f>IFERROR(VLOOKUP($A36,subQ,MATCH(J$1,SUBQH,0),0),"")</f>
        <v/>
      </c>
      <c r="K36" s="21">
        <f>IFERROR(VLOOKUP($A36,subQ,MATCH(K$1,SUBQH,0),0),"")</f>
        <v/>
      </c>
      <c r="L36" s="21">
        <f>IFERROR(VLOOKUP($A36,subQ,MATCH(L$1,SUBQH,0),0),"")</f>
        <v/>
      </c>
      <c r="M36" s="21">
        <f>IFERROR(VLOOKUP($A36,subQ,MATCH(M$1,SUBQH,0),0),"")</f>
        <v/>
      </c>
      <c r="N36" s="21">
        <f>IFERROR(VLOOKUP($A36,subQ,MATCH(N$1,SUBQH,0),0),"")</f>
        <v/>
      </c>
      <c r="O36" s="21">
        <f>IFERROR(VLOOKUP($A36,subQ,MATCH(O$1,SUBQH,0),0),"")</f>
        <v/>
      </c>
      <c r="P36" s="21">
        <f>IFERROR(VLOOKUP($A36,subQ,MATCH(P$1,SUBQH,0),0),"")</f>
        <v/>
      </c>
      <c r="Q36" s="21">
        <f>IFERROR(VLOOKUP($A36,subQ,MATCH(Q$1,SUBQH,0),0),"")</f>
        <v/>
      </c>
      <c r="R36" s="21">
        <f>IFERROR(VLOOKUP($A36,subQ,MATCH(R$1,SUBQH,0),0),"")</f>
        <v/>
      </c>
      <c r="S36" s="21">
        <f>IFERROR(VLOOKUP($A36,subQ,MATCH(S$1,SUBQH,0),0),"")</f>
        <v/>
      </c>
      <c r="T36" s="21">
        <f>IFERROR(VLOOKUP($A36,subQ,MATCH(T$1,SUBQH,0),0),"")</f>
        <v/>
      </c>
      <c r="U36" s="21">
        <f>IFERROR(VLOOKUP($A36,subQ,MATCH(U$1,SUBQH,0),0),"")</f>
        <v/>
      </c>
      <c r="V36" s="21">
        <f>IFERROR(VLOOKUP($A36,subQ,MATCH(V$1,SUBQH,0),0),"")</f>
        <v/>
      </c>
      <c r="W36" s="46">
        <f>IFERROR(VLOOKUP($A36,subQ,MATCH(W$1,SUBQH,0),0),"")</f>
        <v/>
      </c>
      <c r="X36" s="32">
        <f>IFERROR(VLOOKUP($A36,subQ,MATCH(X$1,SUBQH,0),0),"")</f>
        <v/>
      </c>
      <c r="Y36" s="32">
        <f>IFERROR(VLOOKUP($A36,subQ,MATCH(Y$1,SUBQH,0),0),"")</f>
        <v/>
      </c>
      <c r="Z36" s="32">
        <f>IFERROR(VLOOKUP($A36,subQ,MATCH(Z$1,SUBQH,0),0),"")</f>
        <v/>
      </c>
      <c r="AA36" s="32">
        <f>IFERROR(VLOOKUP($A36,subQ,MATCH(AA$1,SUBQH,0),0),"")</f>
        <v/>
      </c>
      <c r="AB36" s="32">
        <f>IFERROR(VLOOKUP($A36,subQ,MATCH(AB$1,SUBQH,0),0),"")</f>
        <v/>
      </c>
      <c r="AC36" s="32">
        <f>IFERROR(VLOOKUP($A36,subQ,MATCH(AC$1,SUBQH,0),0),"")</f>
        <v/>
      </c>
      <c r="AD36" s="32">
        <f>IFERROR(VLOOKUP($A36,subQ,MATCH(AD$1,SUBQH,0),0),"")</f>
        <v/>
      </c>
      <c r="AE36" s="32">
        <f>IFERROR(VLOOKUP($A36,subQ,MATCH(AE$1,SUBQH,0),0),"")</f>
        <v/>
      </c>
      <c r="AF36" s="32">
        <f>IFERROR(VLOOKUP($A36,subQ,MATCH(AF$1,SUBQH,0),0),"")</f>
        <v/>
      </c>
      <c r="AG36" s="32">
        <f>IFERROR(VLOOKUP($A36,subQ,MATCH(AG$1,SUBQH,0),0),"")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I37" s="21">
        <f>IFERROR(I5/E5-1,"")</f>
        <v/>
      </c>
      <c r="J37" s="21">
        <f>IFERROR(J5/F5-1,"")</f>
        <v/>
      </c>
      <c r="K37" s="21">
        <f>IFERROR(K5/G5-1,"")</f>
        <v/>
      </c>
      <c r="L37" s="21">
        <f>IFERROR(L5/H5-1,"")</f>
        <v/>
      </c>
      <c r="M37" s="21">
        <f>IFERROR(M5/I5-1,"")</f>
        <v/>
      </c>
      <c r="N37" s="21">
        <f>IFERROR(N5/J5-1,"")</f>
        <v/>
      </c>
      <c r="O37" s="21">
        <f>IFERROR(O5/K5-1,"")</f>
        <v/>
      </c>
      <c r="P37" s="21">
        <f>IFERROR(P5/L5-1,"")</f>
        <v/>
      </c>
      <c r="Q37" s="21">
        <f>IFERROR(Q5/M5-1,"")</f>
        <v/>
      </c>
      <c r="R37" s="21">
        <f>IFERROR(R5/N5-1,"")</f>
        <v/>
      </c>
      <c r="S37" s="21">
        <f>IFERROR(S5/O5-1,"")</f>
        <v/>
      </c>
      <c r="T37" s="21">
        <f>IFERROR(T5/P5-1,"")</f>
        <v/>
      </c>
      <c r="U37" s="21">
        <f>IFERROR(U5/Q5-1,"")</f>
        <v/>
      </c>
      <c r="V37" s="21">
        <f>IFERROR(V5/R5-1,"")</f>
        <v/>
      </c>
      <c r="W37" s="46">
        <f>IFERROR(W5/S5-1,"")</f>
        <v/>
      </c>
      <c r="X37" s="32">
        <f>IFERROR(X5/T5-1,"")</f>
        <v/>
      </c>
      <c r="Y37" s="32">
        <f>IFERROR(Y5/U5-1,"")</f>
        <v/>
      </c>
      <c r="Z37" s="32">
        <f>IFERROR(Z5/V5-1,"")</f>
        <v/>
      </c>
      <c r="AA37" s="32">
        <f>IFERROR(AA5/W5-1,"")</f>
        <v/>
      </c>
      <c r="AB37" s="32">
        <f>IFERROR(AB5/X5-1,"")</f>
        <v/>
      </c>
      <c r="AC37" s="32">
        <f>IFERROR(AC5/Y5-1,"")</f>
        <v/>
      </c>
      <c r="AD37" s="32">
        <f>IFERROR(AD5/Z5-1,"")</f>
        <v/>
      </c>
      <c r="AE37" s="32">
        <f>IFERROR(AE5/AA5-1,"")</f>
        <v/>
      </c>
      <c r="AF37" s="32">
        <f>IFERROR(AF5/AB5-1,"")</f>
        <v/>
      </c>
      <c r="AG37" s="32">
        <f>IFERROR(AG5/AC5-1,"")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I38" s="21">
        <f>IFERROR(I9/E9-1,"")</f>
        <v/>
      </c>
      <c r="J38" s="21">
        <f>IFERROR(J9/F9-1,"")</f>
        <v/>
      </c>
      <c r="K38" s="21">
        <f>IFERROR(K9/G9-1,"")</f>
        <v/>
      </c>
      <c r="L38" s="21">
        <f>IFERROR(L9/H9-1,"")</f>
        <v/>
      </c>
      <c r="M38" s="21">
        <f>IFERROR(M9/I9-1,"")</f>
        <v/>
      </c>
      <c r="N38" s="21">
        <f>IFERROR(N9/J9-1,"")</f>
        <v/>
      </c>
      <c r="O38" s="21">
        <f>IFERROR(O9/K9-1,"")</f>
        <v/>
      </c>
      <c r="P38" s="21">
        <f>IFERROR(P9/L9-1,"")</f>
        <v/>
      </c>
      <c r="Q38" s="21">
        <f>IFERROR(Q9/M9-1,"")</f>
        <v/>
      </c>
      <c r="R38" s="21">
        <f>IFERROR(R9/N9-1,"")</f>
        <v/>
      </c>
      <c r="S38" s="21">
        <f>IFERROR(S9/O9-1,"")</f>
        <v/>
      </c>
      <c r="T38" s="21">
        <f>IFERROR(T9/P9-1,"")</f>
        <v/>
      </c>
      <c r="U38" s="21">
        <f>IFERROR(U9/Q9-1,"")</f>
        <v/>
      </c>
      <c r="V38" s="21">
        <f>IFERROR(V9/R9-1,"")</f>
        <v/>
      </c>
      <c r="W38" s="46">
        <f>IFERROR(W9/S9-1,"")</f>
        <v/>
      </c>
      <c r="X38" s="32">
        <f>IFERROR(X9/T9-1,"")</f>
        <v/>
      </c>
      <c r="Y38" s="32">
        <f>IFERROR(Y9/U9-1,"")</f>
        <v/>
      </c>
      <c r="Z38" s="32">
        <f>IFERROR(Z9/V9-1,"")</f>
        <v/>
      </c>
      <c r="AA38" s="32">
        <f>IFERROR(AA9/W9-1,"")</f>
        <v/>
      </c>
      <c r="AB38" s="32">
        <f>IFERROR(AB9/X9-1,"")</f>
        <v/>
      </c>
      <c r="AC38" s="32">
        <f>IFERROR(AC9/Y9-1,"")</f>
        <v/>
      </c>
      <c r="AD38" s="32">
        <f>IFERROR(AD9/Z9-1,"")</f>
        <v/>
      </c>
      <c r="AE38" s="32">
        <f>IFERROR(AE9/AA9-1,"")</f>
        <v/>
      </c>
      <c r="AF38" s="32">
        <f>IFERROR(AF9/AB9-1,"")</f>
        <v/>
      </c>
      <c r="AG38" s="32">
        <f>IFERROR(AG9/AC9-1,"")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I39" s="21">
        <f>IFERROR(I17/E17-1,"")</f>
        <v/>
      </c>
      <c r="J39" s="21">
        <f>IFERROR(J17/F17-1,"")</f>
        <v/>
      </c>
      <c r="K39" s="21">
        <f>IFERROR(K17/G17-1,"")</f>
        <v/>
      </c>
      <c r="L39" s="21">
        <f>IFERROR(L17/H17-1,"")</f>
        <v/>
      </c>
      <c r="M39" s="21">
        <f>IFERROR(M17/I17-1,"")</f>
        <v/>
      </c>
      <c r="N39" s="21">
        <f>IFERROR(N17/J17-1,"")</f>
        <v/>
      </c>
      <c r="O39" s="21">
        <f>IFERROR(O17/K17-1,"")</f>
        <v/>
      </c>
      <c r="P39" s="21">
        <f>IFERROR(P17/L17-1,"")</f>
        <v/>
      </c>
      <c r="Q39" s="21">
        <f>IFERROR(Q17/M17-1,"")</f>
        <v/>
      </c>
      <c r="R39" s="21">
        <f>IFERROR(R17/N17-1,"")</f>
        <v/>
      </c>
      <c r="S39" s="21">
        <f>IFERROR(S17/O17-1,"")</f>
        <v/>
      </c>
      <c r="T39" s="21">
        <f>IFERROR(T17/P17-1,"")</f>
        <v/>
      </c>
      <c r="U39" s="21">
        <f>IFERROR(U17/Q17-1,"")</f>
        <v/>
      </c>
      <c r="V39" s="21">
        <f>IFERROR(V17/R17-1,"")</f>
        <v/>
      </c>
      <c r="W39" s="46">
        <f>IFERROR(W17/S17-1,"")</f>
        <v/>
      </c>
      <c r="X39" s="32">
        <f>IFERROR(X17/T17-1,"")</f>
        <v/>
      </c>
      <c r="Y39" s="32">
        <f>IFERROR(Y17/U17-1,"")</f>
        <v/>
      </c>
      <c r="Z39" s="32">
        <f>IFERROR(Z17/V17-1,"")</f>
        <v/>
      </c>
      <c r="AA39" s="32">
        <f>IFERROR(AA17/W17-1,"")</f>
        <v/>
      </c>
      <c r="AB39" s="32">
        <f>IFERROR(AB17/X17-1,"")</f>
        <v/>
      </c>
      <c r="AC39" s="32">
        <f>IFERROR(AC17/Y17-1,"")</f>
        <v/>
      </c>
      <c r="AD39" s="32">
        <f>IFERROR(AD17/Z17-1,"")</f>
        <v/>
      </c>
      <c r="AE39" s="32">
        <f>IFERROR(AE17/AA17-1,"")</f>
        <v/>
      </c>
      <c r="AF39" s="32">
        <f>IFERROR(AF17/AB17-1,"")</f>
        <v/>
      </c>
      <c r="AG39" s="32">
        <f>IFERROR(AG17/AC17-1,"")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C1" s="2" t="inlineStr">
        <is>
          <t>이름: 연간예상H — subQ 를 이름으로 VLOOKUP(억원)</t>
        </is>
      </c>
      <c r="E1" s="3" t="n">
        <v>2021</v>
      </c>
      <c r="F1" s="3" t="n">
        <v>2022</v>
      </c>
      <c r="G1" s="3" t="n">
        <v>2023</v>
      </c>
      <c r="H1" s="3" t="n">
        <v>2024</v>
      </c>
      <c r="I1" s="41" t="n">
        <v>2025</v>
      </c>
      <c r="J1" s="3" t="n">
        <v>2026</v>
      </c>
      <c r="K1" s="3" t="n">
        <v>2027</v>
      </c>
      <c r="L1" s="3" t="n">
        <v>2028</v>
      </c>
    </row>
    <row r="2">
      <c r="C2" t="inlineStr">
        <is>
          <t>종가:</t>
        </is>
      </c>
      <c r="D2" s="18">
        <f>변수!D39</f>
        <v/>
      </c>
      <c r="I2" s="42" t="n"/>
    </row>
    <row r="3">
      <c r="C3" t="inlineStr">
        <is>
          <t>기준일:</t>
        </is>
      </c>
      <c r="D3" t="inlineStr">
        <is>
          <t>20261026</t>
        </is>
      </c>
      <c r="E3" s="2" t="n">
        <v>1</v>
      </c>
      <c r="F3" s="2" t="n">
        <v>2</v>
      </c>
      <c r="G3" s="2" t="n">
        <v>3</v>
      </c>
      <c r="H3" s="2" t="n">
        <v>4</v>
      </c>
      <c r="I3" s="43" t="n">
        <v>5</v>
      </c>
      <c r="J3" s="2" t="n">
        <v>6</v>
      </c>
      <c r="K3" s="2" t="n">
        <v>7</v>
      </c>
      <c r="L3" s="2" t="n">
        <v>8</v>
      </c>
    </row>
    <row r="4">
      <c r="E4" s="7" t="inlineStr">
        <is>
          <t>2021.12A</t>
        </is>
      </c>
      <c r="F4" s="7" t="inlineStr">
        <is>
          <t>2022.12A</t>
        </is>
      </c>
      <c r="G4" s="7" t="inlineStr">
        <is>
          <t>2023.12A</t>
        </is>
      </c>
      <c r="H4" s="7" t="inlineStr">
        <is>
          <t>2024.12A</t>
        </is>
      </c>
      <c r="I4" s="44" t="inlineStr">
        <is>
          <t>2025.12A</t>
        </is>
      </c>
      <c r="J4" s="7" t="inlineStr">
        <is>
          <t>2026.12A</t>
        </is>
      </c>
      <c r="K4" s="7" t="inlineStr">
        <is>
          <t>2027.12A</t>
        </is>
      </c>
      <c r="L4" s="7" t="inlineStr">
        <is>
          <t>2028.12A</t>
        </is>
      </c>
    </row>
    <row r="5">
      <c r="A5" s="12" t="inlineStr">
        <is>
          <t>매출액</t>
        </is>
      </c>
      <c r="D5" t="inlineStr">
        <is>
          <t>매출액</t>
        </is>
      </c>
      <c r="E5" s="18">
        <f>IFERROR(VLOOKUP($A5,subQ,MATCH(E$1,SUBQH,0),0),"")</f>
        <v/>
      </c>
      <c r="F5" s="18">
        <f>IFERROR(VLOOKUP($A5,subQ,MATCH(F$1,SUBQH,0),0),"")</f>
        <v/>
      </c>
      <c r="G5" s="18">
        <f>IFERROR(VLOOKUP($A5,subQ,MATCH(G$1,SUBQH,0),0),"")</f>
        <v/>
      </c>
      <c r="H5" s="18">
        <f>IFERROR(VLOOKUP($A5,subQ,MATCH(H$1,SUBQH,0),0),"")</f>
        <v/>
      </c>
      <c r="I5" s="45">
        <f>IFERROR(VLOOKUP($A5,subQ,MATCH(I$1,SUBQH,0),0),"")</f>
        <v/>
      </c>
      <c r="J5" s="20">
        <f>IFERROR(VLOOKUP($A5,subQ,MATCH(J$1,SUBQH,0),0),"")</f>
        <v/>
      </c>
      <c r="K5" s="20">
        <f>IFERROR(VLOOKUP($A5,subQ,MATCH(K$1,SUBQH,0),0),"")</f>
        <v/>
      </c>
      <c r="L5" s="20">
        <f>IFERROR(VLOOKUP($A5,subQ,MATCH(L$1,SUBQH,0),0),"")</f>
        <v/>
      </c>
    </row>
    <row r="6">
      <c r="A6" s="12" t="inlineStr">
        <is>
          <t>매출원가</t>
        </is>
      </c>
      <c r="D6" t="inlineStr">
        <is>
          <t>매출원가</t>
        </is>
      </c>
      <c r="E6" s="18">
        <f>IFERROR(VLOOKUP($A6,subQ,MATCH(E$1,SUBQH,0),0),"")</f>
        <v/>
      </c>
      <c r="F6" s="18">
        <f>IFERROR(VLOOKUP($A6,subQ,MATCH(F$1,SUBQH,0),0),"")</f>
        <v/>
      </c>
      <c r="G6" s="18">
        <f>IFERROR(VLOOKUP($A6,subQ,MATCH(G$1,SUBQH,0),0),"")</f>
        <v/>
      </c>
      <c r="H6" s="18">
        <f>IFERROR(VLOOKUP($A6,subQ,MATCH(H$1,SUBQH,0),0),"")</f>
        <v/>
      </c>
      <c r="I6" s="45">
        <f>IFERROR(VLOOKUP($A6,subQ,MATCH(I$1,SUBQH,0),0),"")</f>
        <v/>
      </c>
      <c r="J6" s="20">
        <f>IFERROR(VLOOKUP($A6,subQ,MATCH(J$1,SUBQH,0),0),"")</f>
        <v/>
      </c>
      <c r="K6" s="20">
        <f>IFERROR(VLOOKUP($A6,subQ,MATCH(K$1,SUBQH,0),0),"")</f>
        <v/>
      </c>
      <c r="L6" s="20">
        <f>IFERROR(VLOOKUP($A6,subQ,MATCH(L$1,SUBQH,0),0),"")</f>
        <v/>
      </c>
    </row>
    <row r="7">
      <c r="A7" s="12" t="inlineStr">
        <is>
          <t>매출총이익</t>
        </is>
      </c>
      <c r="D7" t="inlineStr">
        <is>
          <t>매출총이익</t>
        </is>
      </c>
      <c r="E7" s="18">
        <f>IFERROR(VLOOKUP($A7,subQ,MATCH(E$1,SUBQH,0),0),"")</f>
        <v/>
      </c>
      <c r="F7" s="18">
        <f>IFERROR(VLOOKUP($A7,subQ,MATCH(F$1,SUBQH,0),0),"")</f>
        <v/>
      </c>
      <c r="G7" s="18">
        <f>IFERROR(VLOOKUP($A7,subQ,MATCH(G$1,SUBQH,0),0),"")</f>
        <v/>
      </c>
      <c r="H7" s="18">
        <f>IFERROR(VLOOKUP($A7,subQ,MATCH(H$1,SUBQH,0),0),"")</f>
        <v/>
      </c>
      <c r="I7" s="45">
        <f>IFERROR(VLOOKUP($A7,subQ,MATCH(I$1,SUBQH,0),0),"")</f>
        <v/>
      </c>
      <c r="J7" s="20">
        <f>IFERROR(VLOOKUP($A7,subQ,MATCH(J$1,SUBQH,0),0),"")</f>
        <v/>
      </c>
      <c r="K7" s="20">
        <f>IFERROR(VLOOKUP($A7,subQ,MATCH(K$1,SUBQH,0),0),"")</f>
        <v/>
      </c>
      <c r="L7" s="20">
        <f>IFERROR(VLOOKUP($A7,subQ,MATCH(L$1,SUBQH,0),0),"")</f>
        <v/>
      </c>
    </row>
    <row r="8">
      <c r="A8" s="12" t="inlineStr">
        <is>
          <t>판관비</t>
        </is>
      </c>
      <c r="D8" t="inlineStr">
        <is>
          <t>판매비와관리비</t>
        </is>
      </c>
      <c r="E8" s="18">
        <f>IFERROR(VLOOKUP($A8,subQ,MATCH(E$1,SUBQH,0),0),"")</f>
        <v/>
      </c>
      <c r="F8" s="18">
        <f>IFERROR(VLOOKUP($A8,subQ,MATCH(F$1,SUBQH,0),0),"")</f>
        <v/>
      </c>
      <c r="G8" s="18">
        <f>IFERROR(VLOOKUP($A8,subQ,MATCH(G$1,SUBQH,0),0),"")</f>
        <v/>
      </c>
      <c r="H8" s="18">
        <f>IFERROR(VLOOKUP($A8,subQ,MATCH(H$1,SUBQH,0),0),"")</f>
        <v/>
      </c>
      <c r="I8" s="45">
        <f>IFERROR(VLOOKUP($A8,subQ,MATCH(I$1,SUBQH,0),0),"")</f>
        <v/>
      </c>
      <c r="J8" s="20">
        <f>IFERROR(VLOOKUP($A8,subQ,MATCH(J$1,SUBQH,0),0),"")</f>
        <v/>
      </c>
      <c r="K8" s="20">
        <f>IFERROR(VLOOKUP($A8,subQ,MATCH(K$1,SUBQH,0),0),"")</f>
        <v/>
      </c>
      <c r="L8" s="20">
        <f>IFERROR(VLOOKUP($A8,subQ,MATCH(L$1,SUBQH,0),0),"")</f>
        <v/>
      </c>
    </row>
    <row r="9">
      <c r="A9" s="12" t="inlineStr">
        <is>
          <t>영업이익</t>
        </is>
      </c>
      <c r="D9" t="inlineStr">
        <is>
          <t>영업이익</t>
        </is>
      </c>
      <c r="E9" s="18">
        <f>IFERROR(VLOOKUP($A9,subQ,MATCH(E$1,SUBQH,0),0),"")</f>
        <v/>
      </c>
      <c r="F9" s="18">
        <f>IFERROR(VLOOKUP($A9,subQ,MATCH(F$1,SUBQH,0),0),"")</f>
        <v/>
      </c>
      <c r="G9" s="18">
        <f>IFERROR(VLOOKUP($A9,subQ,MATCH(G$1,SUBQH,0),0),"")</f>
        <v/>
      </c>
      <c r="H9" s="18">
        <f>IFERROR(VLOOKUP($A9,subQ,MATCH(H$1,SUBQH,0),0),"")</f>
        <v/>
      </c>
      <c r="I9" s="45">
        <f>IFERROR(VLOOKUP($A9,subQ,MATCH(I$1,SUBQH,0),0),"")</f>
        <v/>
      </c>
      <c r="J9" s="20">
        <f>IFERROR(VLOOKUP($A9,subQ,MATCH(J$1,SUBQH,0),0),"")</f>
        <v/>
      </c>
      <c r="K9" s="20">
        <f>IFERROR(VLOOKUP($A9,subQ,MATCH(K$1,SUBQH,0),0),"")</f>
        <v/>
      </c>
      <c r="L9" s="20">
        <f>IFERROR(VLOOKUP($A9,subQ,MATCH(L$1,SUBQH,0),0),"")</f>
        <v/>
      </c>
    </row>
    <row r="10">
      <c r="A10" s="12" t="inlineStr">
        <is>
          <t>OPM</t>
        </is>
      </c>
      <c r="D10" t="inlineStr">
        <is>
          <t>영업이익률</t>
        </is>
      </c>
      <c r="E10" s="21">
        <f>IFERROR(VLOOKUP($A10,subQ,MATCH(E$1,SUBQH,0),0),"")</f>
        <v/>
      </c>
      <c r="F10" s="21">
        <f>IFERROR(VLOOKUP($A10,subQ,MATCH(F$1,SUBQH,0),0),"")</f>
        <v/>
      </c>
      <c r="G10" s="21">
        <f>IFERROR(VLOOKUP($A10,subQ,MATCH(G$1,SUBQH,0),0),"")</f>
        <v/>
      </c>
      <c r="H10" s="21">
        <f>IFERROR(VLOOKUP($A10,subQ,MATCH(H$1,SUBQH,0),0),"")</f>
        <v/>
      </c>
      <c r="I10" s="46">
        <f>IFERROR(VLOOKUP($A10,subQ,MATCH(I$1,SUBQH,0),0),"")</f>
        <v/>
      </c>
      <c r="J10" s="32">
        <f>IFERROR(VLOOKUP($A10,subQ,MATCH(J$1,SUBQH,0),0),"")</f>
        <v/>
      </c>
      <c r="K10" s="32">
        <f>IFERROR(VLOOKUP($A10,subQ,MATCH(K$1,SUBQH,0),0),"")</f>
        <v/>
      </c>
      <c r="L10" s="32">
        <f>IFERROR(VLOOKUP($A10,subQ,MATCH(L$1,SUBQH,0),0),"")</f>
        <v/>
      </c>
    </row>
    <row r="11">
      <c r="A11" s="12" t="inlineStr">
        <is>
          <t>금융손익</t>
        </is>
      </c>
      <c r="D11" t="inlineStr">
        <is>
          <t>금융손익(이자·환 포함)</t>
        </is>
      </c>
      <c r="E11" s="18">
        <f>IFERROR(VLOOKUP($A11,subQ,MATCH(E$1,SUBQH,0),0),"")</f>
        <v/>
      </c>
      <c r="F11" s="18">
        <f>IFERROR(VLOOKUP($A11,subQ,MATCH(F$1,SUBQH,0),0),"")</f>
        <v/>
      </c>
      <c r="G11" s="18">
        <f>IFERROR(VLOOKUP($A11,subQ,MATCH(G$1,SUBQH,0),0),"")</f>
        <v/>
      </c>
      <c r="H11" s="18">
        <f>IFERROR(VLOOKUP($A11,subQ,MATCH(H$1,SUBQH,0),0),"")</f>
        <v/>
      </c>
      <c r="I11" s="45">
        <f>IFERROR(VLOOKUP($A11,subQ,MATCH(I$1,SUBQH,0),0),"")</f>
        <v/>
      </c>
      <c r="J11" s="20">
        <f>IFERROR(VLOOKUP($A11,subQ,MATCH(J$1,SUBQH,0),0),"")</f>
        <v/>
      </c>
      <c r="K11" s="20">
        <f>IFERROR(VLOOKUP($A11,subQ,MATCH(K$1,SUBQH,0),0),"")</f>
        <v/>
      </c>
      <c r="L11" s="20">
        <f>IFERROR(VLOOKUP($A11,subQ,MATCH(L$1,SUBQH,0),0),"")</f>
        <v/>
      </c>
    </row>
    <row r="12">
      <c r="A12" s="12" t="inlineStr">
        <is>
          <t>이자손익</t>
        </is>
      </c>
      <c r="D12" t="inlineStr">
        <is>
          <t>이자손익(이자수익 − 이자비용)</t>
        </is>
      </c>
      <c r="E12" s="18">
        <f>IFERROR(VLOOKUP($A12,subQ,MATCH(E$1,SUBQH,0),0),"")</f>
        <v/>
      </c>
      <c r="F12" s="18">
        <f>IFERROR(VLOOKUP($A12,subQ,MATCH(F$1,SUBQH,0),0),"")</f>
        <v/>
      </c>
      <c r="G12" s="18">
        <f>IFERROR(VLOOKUP($A12,subQ,MATCH(G$1,SUBQH,0),0),"")</f>
        <v/>
      </c>
      <c r="H12" s="18">
        <f>IFERROR(VLOOKUP($A12,subQ,MATCH(H$1,SUBQH,0),0),"")</f>
        <v/>
      </c>
      <c r="I12" s="45">
        <f>IFERROR(VLOOKUP($A12,subQ,MATCH(I$1,SUBQH,0),0),"")</f>
        <v/>
      </c>
      <c r="J12" s="20">
        <f>IFERROR(VLOOKUP($A12,subQ,MATCH(J$1,SUBQH,0),0),"")</f>
        <v/>
      </c>
      <c r="K12" s="20">
        <f>IFERROR(VLOOKUP($A12,subQ,MATCH(K$1,SUBQH,0),0),"")</f>
        <v/>
      </c>
      <c r="L12" s="20">
        <f>IFERROR(VLOOKUP($A12,subQ,MATCH(L$1,SUBQH,0),0),"")</f>
        <v/>
      </c>
    </row>
    <row r="13">
      <c r="A13" s="12" t="inlineStr">
        <is>
          <t>기타영업외손익</t>
        </is>
      </c>
      <c r="D13" t="inlineStr">
        <is>
          <t>기타영업외손익</t>
        </is>
      </c>
      <c r="E13" s="18">
        <f>IFERROR(VLOOKUP($A13,subQ,MATCH(E$1,SUBQH,0),0),"")</f>
        <v/>
      </c>
      <c r="F13" s="18">
        <f>IFERROR(VLOOKUP($A13,subQ,MATCH(F$1,SUBQH,0),0),"")</f>
        <v/>
      </c>
      <c r="G13" s="18">
        <f>IFERROR(VLOOKUP($A13,subQ,MATCH(G$1,SUBQH,0),0),"")</f>
        <v/>
      </c>
      <c r="H13" s="18">
        <f>IFERROR(VLOOKUP($A13,subQ,MATCH(H$1,SUBQH,0),0),"")</f>
        <v/>
      </c>
      <c r="I13" s="45">
        <f>IFERROR(VLOOKUP($A13,subQ,MATCH(I$1,SUBQH,0),0),"")</f>
        <v/>
      </c>
      <c r="J13" s="20">
        <f>IFERROR(VLOOKUP($A13,subQ,MATCH(J$1,SUBQH,0),0),"")</f>
        <v/>
      </c>
      <c r="K13" s="20">
        <f>IFERROR(VLOOKUP($A13,subQ,MATCH(K$1,SUBQH,0),0),"")</f>
        <v/>
      </c>
      <c r="L13" s="20">
        <f>IFERROR(VLOOKUP($A13,subQ,MATCH(L$1,SUBQH,0),0),"")</f>
        <v/>
      </c>
    </row>
    <row r="14">
      <c r="A14" s="12" t="inlineStr">
        <is>
          <t>세전이익</t>
        </is>
      </c>
      <c r="D14" t="inlineStr">
        <is>
          <t>법인세비용차감전이익</t>
        </is>
      </c>
      <c r="E14" s="18">
        <f>IFERROR(VLOOKUP($A14,subQ,MATCH(E$1,SUBQH,0),0),"")</f>
        <v/>
      </c>
      <c r="F14" s="18">
        <f>IFERROR(VLOOKUP($A14,subQ,MATCH(F$1,SUBQH,0),0),"")</f>
        <v/>
      </c>
      <c r="G14" s="18">
        <f>IFERROR(VLOOKUP($A14,subQ,MATCH(G$1,SUBQH,0),0),"")</f>
        <v/>
      </c>
      <c r="H14" s="18">
        <f>IFERROR(VLOOKUP($A14,subQ,MATCH(H$1,SUBQH,0),0),"")</f>
        <v/>
      </c>
      <c r="I14" s="45">
        <f>IFERROR(VLOOKUP($A14,subQ,MATCH(I$1,SUBQH,0),0),"")</f>
        <v/>
      </c>
      <c r="J14" s="20">
        <f>IFERROR(VLOOKUP($A14,subQ,MATCH(J$1,SUBQH,0),0),"")</f>
        <v/>
      </c>
      <c r="K14" s="20">
        <f>IFERROR(VLOOKUP($A14,subQ,MATCH(K$1,SUBQH,0),0),"")</f>
        <v/>
      </c>
      <c r="L14" s="20">
        <f>IFERROR(VLOOKUP($A14,subQ,MATCH(L$1,SUBQH,0),0),"")</f>
        <v/>
      </c>
    </row>
    <row r="15">
      <c r="A15" s="12" t="inlineStr">
        <is>
          <t>법인세비용</t>
        </is>
      </c>
      <c r="D15" t="inlineStr">
        <is>
          <t>법인세비용</t>
        </is>
      </c>
      <c r="E15" s="18">
        <f>IFERROR(VLOOKUP($A15,subQ,MATCH(E$1,SUBQH,0),0),"")</f>
        <v/>
      </c>
      <c r="F15" s="18">
        <f>IFERROR(VLOOKUP($A15,subQ,MATCH(F$1,SUBQH,0),0),"")</f>
        <v/>
      </c>
      <c r="G15" s="18">
        <f>IFERROR(VLOOKUP($A15,subQ,MATCH(G$1,SUBQH,0),0),"")</f>
        <v/>
      </c>
      <c r="H15" s="18">
        <f>IFERROR(VLOOKUP($A15,subQ,MATCH(H$1,SUBQH,0),0),"")</f>
        <v/>
      </c>
      <c r="I15" s="45">
        <f>IFERROR(VLOOKUP($A15,subQ,MATCH(I$1,SUBQH,0),0),"")</f>
        <v/>
      </c>
      <c r="J15" s="20">
        <f>IFERROR(VLOOKUP($A15,subQ,MATCH(J$1,SUBQH,0),0),"")</f>
        <v/>
      </c>
      <c r="K15" s="20">
        <f>IFERROR(VLOOKUP($A15,subQ,MATCH(K$1,SUBQH,0),0),"")</f>
        <v/>
      </c>
      <c r="L15" s="20">
        <f>IFERROR(VLOOKUP($A15,subQ,MATCH(L$1,SUBQH,0),0),"")</f>
        <v/>
      </c>
    </row>
    <row r="16">
      <c r="A16" s="12" t="inlineStr">
        <is>
          <t>당기순이익</t>
        </is>
      </c>
      <c r="D16" t="inlineStr">
        <is>
          <t>당기순이익</t>
        </is>
      </c>
      <c r="E16" s="18">
        <f>IFERROR(VLOOKUP($A16,subQ,MATCH(E$1,SUBQH,0),0),"")</f>
        <v/>
      </c>
      <c r="F16" s="18">
        <f>IFERROR(VLOOKUP($A16,subQ,MATCH(F$1,SUBQH,0),0),"")</f>
        <v/>
      </c>
      <c r="G16" s="18">
        <f>IFERROR(VLOOKUP($A16,subQ,MATCH(G$1,SUBQH,0),0),"")</f>
        <v/>
      </c>
      <c r="H16" s="18">
        <f>IFERROR(VLOOKUP($A16,subQ,MATCH(H$1,SUBQH,0),0),"")</f>
        <v/>
      </c>
      <c r="I16" s="45">
        <f>IFERROR(VLOOKUP($A16,subQ,MATCH(I$1,SUBQH,0),0),"")</f>
        <v/>
      </c>
      <c r="J16" s="20">
        <f>IFERROR(VLOOKUP($A16,subQ,MATCH(J$1,SUBQH,0),0),"")</f>
        <v/>
      </c>
      <c r="K16" s="20">
        <f>IFERROR(VLOOKUP($A16,subQ,MATCH(K$1,SUBQH,0),0),"")</f>
        <v/>
      </c>
      <c r="L16" s="20">
        <f>IFERROR(VLOOKUP($A16,subQ,MATCH(L$1,SUBQH,0),0),"")</f>
        <v/>
      </c>
    </row>
    <row r="17">
      <c r="A17" s="12" t="inlineStr">
        <is>
          <t>지배주주순이익</t>
        </is>
      </c>
      <c r="D17" t="inlineStr">
        <is>
          <t>지배주주순이익</t>
        </is>
      </c>
      <c r="E17" s="18">
        <f>IFERROR(VLOOKUP($A17,subQ,MATCH(E$1,SUBQH,0),0),"")</f>
        <v/>
      </c>
      <c r="F17" s="18">
        <f>IFERROR(VLOOKUP($A17,subQ,MATCH(F$1,SUBQH,0),0),"")</f>
        <v/>
      </c>
      <c r="G17" s="18">
        <f>IFERROR(VLOOKUP($A17,subQ,MATCH(G$1,SUBQH,0),0),"")</f>
        <v/>
      </c>
      <c r="H17" s="18">
        <f>IFERROR(VLOOKUP($A17,subQ,MATCH(H$1,SUBQH,0),0),"")</f>
        <v/>
      </c>
      <c r="I17" s="45">
        <f>IFERROR(VLOOKUP($A17,subQ,MATCH(I$1,SUBQH,0),0),"")</f>
        <v/>
      </c>
      <c r="J17" s="20">
        <f>IFERROR(VLOOKUP($A17,subQ,MATCH(J$1,SUBQH,0),0),"")</f>
        <v/>
      </c>
      <c r="K17" s="20">
        <f>IFERROR(VLOOKUP($A17,subQ,MATCH(K$1,SUBQH,0),0),"")</f>
        <v/>
      </c>
      <c r="L17" s="20">
        <f>IFERROR(VLOOKUP($A17,subQ,MATCH(L$1,SUBQH,0),0),"")</f>
        <v/>
      </c>
    </row>
    <row r="18">
      <c r="A18" s="12" t="inlineStr">
        <is>
          <t>감가상각비</t>
        </is>
      </c>
      <c r="D18" t="inlineStr">
        <is>
          <t>감가상각비</t>
        </is>
      </c>
      <c r="E18" s="18">
        <f>IFERROR(VLOOKUP($A18,subQ,MATCH(E$1,SUBQH,0),0),"")</f>
        <v/>
      </c>
      <c r="F18" s="18">
        <f>IFERROR(VLOOKUP($A18,subQ,MATCH(F$1,SUBQH,0),0),"")</f>
        <v/>
      </c>
      <c r="G18" s="18">
        <f>IFERROR(VLOOKUP($A18,subQ,MATCH(G$1,SUBQH,0),0),"")</f>
        <v/>
      </c>
      <c r="H18" s="18">
        <f>IFERROR(VLOOKUP($A18,subQ,MATCH(H$1,SUBQH,0),0),"")</f>
        <v/>
      </c>
      <c r="I18" s="45">
        <f>IFERROR(VLOOKUP($A18,subQ,MATCH(I$1,SUBQH,0),0),"")</f>
        <v/>
      </c>
      <c r="J18" s="20">
        <f>IFERROR(VLOOKUP($A18,subQ,MATCH(J$1,SUBQH,0),0),"")</f>
        <v/>
      </c>
      <c r="K18" s="20">
        <f>IFERROR(VLOOKUP($A18,subQ,MATCH(K$1,SUBQH,0),0),"")</f>
        <v/>
      </c>
      <c r="L18" s="20">
        <f>IFERROR(VLOOKUP($A18,subQ,MATCH(L$1,SUBQH,0),0),"")</f>
        <v/>
      </c>
    </row>
    <row r="19">
      <c r="A19" s="12" t="inlineStr">
        <is>
          <t>EBITDA</t>
        </is>
      </c>
      <c r="D19" t="inlineStr">
        <is>
          <t>EBITDA</t>
        </is>
      </c>
      <c r="E19" s="18">
        <f>IFERROR(VLOOKUP($A19,subQ,MATCH(E$1,SUBQH,0),0),"")</f>
        <v/>
      </c>
      <c r="F19" s="18">
        <f>IFERROR(VLOOKUP($A19,subQ,MATCH(F$1,SUBQH,0),0),"")</f>
        <v/>
      </c>
      <c r="G19" s="18">
        <f>IFERROR(VLOOKUP($A19,subQ,MATCH(G$1,SUBQH,0),0),"")</f>
        <v/>
      </c>
      <c r="H19" s="18">
        <f>IFERROR(VLOOKUP($A19,subQ,MATCH(H$1,SUBQH,0),0),"")</f>
        <v/>
      </c>
      <c r="I19" s="45">
        <f>IFERROR(VLOOKUP($A19,subQ,MATCH(I$1,SUBQH,0),0),"")</f>
        <v/>
      </c>
      <c r="J19" s="20">
        <f>IFERROR(VLOOKUP($A19,subQ,MATCH(J$1,SUBQH,0),0),"")</f>
        <v/>
      </c>
      <c r="K19" s="20">
        <f>IFERROR(VLOOKUP($A19,subQ,MATCH(K$1,SUBQH,0),0),"")</f>
        <v/>
      </c>
      <c r="L19" s="20">
        <f>IFERROR(VLOOKUP($A19,subQ,MATCH(L$1,SUBQH,0),0),"")</f>
        <v/>
      </c>
    </row>
    <row r="20">
      <c r="A20" s="12" t="inlineStr">
        <is>
          <t>자산총계</t>
        </is>
      </c>
      <c r="D20" t="inlineStr">
        <is>
          <t>자산총계</t>
        </is>
      </c>
      <c r="E20" s="18">
        <f>IFERROR(VLOOKUP($A20,subQ,MATCH(E$1,SUBQH,0),0),"")</f>
        <v/>
      </c>
      <c r="F20" s="18">
        <f>IFERROR(VLOOKUP($A20,subQ,MATCH(F$1,SUBQH,0),0),"")</f>
        <v/>
      </c>
      <c r="G20" s="18">
        <f>IFERROR(VLOOKUP($A20,subQ,MATCH(G$1,SUBQH,0),0),"")</f>
        <v/>
      </c>
      <c r="H20" s="18">
        <f>IFERROR(VLOOKUP($A20,subQ,MATCH(H$1,SUBQH,0),0),"")</f>
        <v/>
      </c>
      <c r="I20" s="45">
        <f>IFERROR(VLOOKUP($A20,subQ,MATCH(I$1,SUBQH,0),0),"")</f>
        <v/>
      </c>
      <c r="J20" s="20">
        <f>IFERROR(VLOOKUP($A20,subQ,MATCH(J$1,SUBQH,0),0),"")</f>
        <v/>
      </c>
      <c r="K20" s="20">
        <f>IFERROR(VLOOKUP($A20,subQ,MATCH(K$1,SUBQH,0),0),"")</f>
        <v/>
      </c>
      <c r="L20" s="20">
        <f>IFERROR(VLOOKUP($A20,subQ,MATCH(L$1,SUBQH,0),0),"")</f>
        <v/>
      </c>
    </row>
    <row r="21">
      <c r="A21" s="12" t="inlineStr">
        <is>
          <t>부채총계</t>
        </is>
      </c>
      <c r="D21" t="inlineStr">
        <is>
          <t>부채총계</t>
        </is>
      </c>
      <c r="E21" s="18">
        <f>IFERROR(VLOOKUP($A21,subQ,MATCH(E$1,SUBQH,0),0),"")</f>
        <v/>
      </c>
      <c r="F21" s="18">
        <f>IFERROR(VLOOKUP($A21,subQ,MATCH(F$1,SUBQH,0),0),"")</f>
        <v/>
      </c>
      <c r="G21" s="18">
        <f>IFERROR(VLOOKUP($A21,subQ,MATCH(G$1,SUBQH,0),0),"")</f>
        <v/>
      </c>
      <c r="H21" s="18">
        <f>IFERROR(VLOOKUP($A21,subQ,MATCH(H$1,SUBQH,0),0),"")</f>
        <v/>
      </c>
      <c r="I21" s="45">
        <f>IFERROR(VLOOKUP($A21,subQ,MATCH(I$1,SUBQH,0),0),"")</f>
        <v/>
      </c>
      <c r="J21" s="20">
        <f>IFERROR(VLOOKUP($A21,subQ,MATCH(J$1,SUBQH,0),0),"")</f>
        <v/>
      </c>
      <c r="K21" s="20">
        <f>IFERROR(VLOOKUP($A21,subQ,MATCH(K$1,SUBQH,0),0),"")</f>
        <v/>
      </c>
      <c r="L21" s="20">
        <f>IFERROR(VLOOKUP($A21,subQ,MATCH(L$1,SUBQH,0),0),"")</f>
        <v/>
      </c>
    </row>
    <row r="22">
      <c r="A22" s="12" t="inlineStr">
        <is>
          <t>자본총계</t>
        </is>
      </c>
      <c r="D22" t="inlineStr">
        <is>
          <t>자본총계</t>
        </is>
      </c>
      <c r="E22" s="18">
        <f>IFERROR(VLOOKUP($A22,subQ,MATCH(E$1,SUBQH,0),0),"")</f>
        <v/>
      </c>
      <c r="F22" s="18">
        <f>IFERROR(VLOOKUP($A22,subQ,MATCH(F$1,SUBQH,0),0),"")</f>
        <v/>
      </c>
      <c r="G22" s="18">
        <f>IFERROR(VLOOKUP($A22,subQ,MATCH(G$1,SUBQH,0),0),"")</f>
        <v/>
      </c>
      <c r="H22" s="18">
        <f>IFERROR(VLOOKUP($A22,subQ,MATCH(H$1,SUBQH,0),0),"")</f>
        <v/>
      </c>
      <c r="I22" s="45">
        <f>IFERROR(VLOOKUP($A22,subQ,MATCH(I$1,SUBQH,0),0),"")</f>
        <v/>
      </c>
      <c r="J22" s="20">
        <f>IFERROR(VLOOKUP($A22,subQ,MATCH(J$1,SUBQH,0),0),"")</f>
        <v/>
      </c>
      <c r="K22" s="20">
        <f>IFERROR(VLOOKUP($A22,subQ,MATCH(K$1,SUBQH,0),0),"")</f>
        <v/>
      </c>
      <c r="L22" s="20">
        <f>IFERROR(VLOOKUP($A22,subQ,MATCH(L$1,SUBQH,0),0),"")</f>
        <v/>
      </c>
    </row>
    <row r="23">
      <c r="A23" s="12" t="inlineStr">
        <is>
          <t>지배주주지분</t>
        </is>
      </c>
      <c r="D23" t="inlineStr">
        <is>
          <t>지배주주지분</t>
        </is>
      </c>
      <c r="E23" s="18">
        <f>IFERROR(VLOOKUP($A23,subQ,MATCH(E$1,SUBQH,0),0),"")</f>
        <v/>
      </c>
      <c r="F23" s="18">
        <f>IFERROR(VLOOKUP($A23,subQ,MATCH(F$1,SUBQH,0),0),"")</f>
        <v/>
      </c>
      <c r="G23" s="18">
        <f>IFERROR(VLOOKUP($A23,subQ,MATCH(G$1,SUBQH,0),0),"")</f>
        <v/>
      </c>
      <c r="H23" s="18">
        <f>IFERROR(VLOOKUP($A23,subQ,MATCH(H$1,SUBQH,0),0),"")</f>
        <v/>
      </c>
      <c r="I23" s="45">
        <f>IFERROR(VLOOKUP($A23,subQ,MATCH(I$1,SUBQH,0),0),"")</f>
        <v/>
      </c>
      <c r="J23" s="20">
        <f>IFERROR(VLOOKUP($A23,subQ,MATCH(J$1,SUBQH,0),0),"")</f>
        <v/>
      </c>
      <c r="K23" s="20">
        <f>IFERROR(VLOOKUP($A23,subQ,MATCH(K$1,SUBQH,0),0),"")</f>
        <v/>
      </c>
      <c r="L23" s="20">
        <f>IFERROR(VLOOKUP($A23,subQ,MATCH(L$1,SUBQH,0),0),"")</f>
        <v/>
      </c>
    </row>
    <row r="24">
      <c r="A24" s="12" t="inlineStr">
        <is>
          <t>이자발생자산</t>
        </is>
      </c>
      <c r="D24" t="inlineStr">
        <is>
          <t>이자발생자산</t>
        </is>
      </c>
      <c r="E24" s="18">
        <f>IFERROR(VLOOKUP($A24,subQ,MATCH(E$1,SUBQH,0),0),"")</f>
        <v/>
      </c>
      <c r="F24" s="18">
        <f>IFERROR(VLOOKUP($A24,subQ,MATCH(F$1,SUBQH,0),0),"")</f>
        <v/>
      </c>
      <c r="G24" s="18">
        <f>IFERROR(VLOOKUP($A24,subQ,MATCH(G$1,SUBQH,0),0),"")</f>
        <v/>
      </c>
      <c r="H24" s="18">
        <f>IFERROR(VLOOKUP($A24,subQ,MATCH(H$1,SUBQH,0),0),"")</f>
        <v/>
      </c>
      <c r="I24" s="45">
        <f>IFERROR(VLOOKUP($A24,subQ,MATCH(I$1,SUBQH,0),0),"")</f>
        <v/>
      </c>
      <c r="J24" s="20">
        <f>IFERROR(VLOOKUP($A24,subQ,MATCH(J$1,SUBQH,0),0),"")</f>
        <v/>
      </c>
      <c r="K24" s="20">
        <f>IFERROR(VLOOKUP($A24,subQ,MATCH(K$1,SUBQH,0),0),"")</f>
        <v/>
      </c>
      <c r="L24" s="20">
        <f>IFERROR(VLOOKUP($A24,subQ,MATCH(L$1,SUBQH,0),0),"")</f>
        <v/>
      </c>
    </row>
    <row r="25">
      <c r="A25" s="12" t="inlineStr">
        <is>
          <t>현금및현금성자산</t>
        </is>
      </c>
      <c r="D25" t="inlineStr">
        <is>
          <t>현금및현금성자산</t>
        </is>
      </c>
      <c r="E25" s="18">
        <f>IFERROR(VLOOKUP($A25,subQ,MATCH(E$1,SUBQH,0),0),"")</f>
        <v/>
      </c>
      <c r="F25" s="18">
        <f>IFERROR(VLOOKUP($A25,subQ,MATCH(F$1,SUBQH,0),0),"")</f>
        <v/>
      </c>
      <c r="G25" s="18">
        <f>IFERROR(VLOOKUP($A25,subQ,MATCH(G$1,SUBQH,0),0),"")</f>
        <v/>
      </c>
      <c r="H25" s="18">
        <f>IFERROR(VLOOKUP($A25,subQ,MATCH(H$1,SUBQH,0),0),"")</f>
        <v/>
      </c>
      <c r="I25" s="45">
        <f>IFERROR(VLOOKUP($A25,subQ,MATCH(I$1,SUBQH,0),0),"")</f>
        <v/>
      </c>
      <c r="J25" s="20">
        <f>IFERROR(VLOOKUP($A25,subQ,MATCH(J$1,SUBQH,0),0),"")</f>
        <v/>
      </c>
      <c r="K25" s="20">
        <f>IFERROR(VLOOKUP($A25,subQ,MATCH(K$1,SUBQH,0),0),"")</f>
        <v/>
      </c>
      <c r="L25" s="20">
        <f>IFERROR(VLOOKUP($A25,subQ,MATCH(L$1,SUBQH,0),0),"")</f>
        <v/>
      </c>
    </row>
    <row r="26">
      <c r="A26" s="12" t="inlineStr">
        <is>
          <t>CAPEX</t>
        </is>
      </c>
      <c r="D26" t="inlineStr">
        <is>
          <t>CAPEX</t>
        </is>
      </c>
      <c r="E26" s="18">
        <f>IFERROR(VLOOKUP($A26,subQ,MATCH(E$1,SUBQH,0),0),"")</f>
        <v/>
      </c>
      <c r="F26" s="18">
        <f>IFERROR(VLOOKUP($A26,subQ,MATCH(F$1,SUBQH,0),0),"")</f>
        <v/>
      </c>
      <c r="G26" s="18">
        <f>IFERROR(VLOOKUP($A26,subQ,MATCH(G$1,SUBQH,0),0),"")</f>
        <v/>
      </c>
      <c r="H26" s="18">
        <f>IFERROR(VLOOKUP($A26,subQ,MATCH(H$1,SUBQH,0),0),"")</f>
        <v/>
      </c>
      <c r="I26" s="45">
        <f>IFERROR(VLOOKUP($A26,subQ,MATCH(I$1,SUBQH,0),0),"")</f>
        <v/>
      </c>
      <c r="J26" s="20">
        <f>IFERROR(VLOOKUP($A26,subQ,MATCH(J$1,SUBQH,0),0),"")</f>
        <v/>
      </c>
      <c r="K26" s="20">
        <f>IFERROR(VLOOKUP($A26,subQ,MATCH(K$1,SUBQH,0),0),"")</f>
        <v/>
      </c>
      <c r="L26" s="20">
        <f>IFERROR(VLOOKUP($A26,subQ,MATCH(L$1,SUBQH,0),0),"")</f>
        <v/>
      </c>
    </row>
    <row r="27">
      <c r="A27" s="12" t="inlineStr">
        <is>
          <t>영업활동현금흐름</t>
        </is>
      </c>
      <c r="D27" t="inlineStr">
        <is>
          <t>영업활동현금흐름</t>
        </is>
      </c>
      <c r="E27" s="18">
        <f>IFERROR(VLOOKUP($A27,subQ,MATCH(E$1,SUBQH,0),0),"")</f>
        <v/>
      </c>
      <c r="F27" s="18">
        <f>IFERROR(VLOOKUP($A27,subQ,MATCH(F$1,SUBQH,0),0),"")</f>
        <v/>
      </c>
      <c r="G27" s="18">
        <f>IFERROR(VLOOKUP($A27,subQ,MATCH(G$1,SUBQH,0),0),"")</f>
        <v/>
      </c>
      <c r="H27" s="18">
        <f>IFERROR(VLOOKUP($A27,subQ,MATCH(H$1,SUBQH,0),0),"")</f>
        <v/>
      </c>
      <c r="I27" s="45">
        <f>IFERROR(VLOOKUP($A27,subQ,MATCH(I$1,SUBQH,0),0),"")</f>
        <v/>
      </c>
      <c r="J27" s="20">
        <f>IFERROR(VLOOKUP($A27,subQ,MATCH(J$1,SUBQH,0),0),"")</f>
        <v/>
      </c>
      <c r="K27" s="20">
        <f>IFERROR(VLOOKUP($A27,subQ,MATCH(K$1,SUBQH,0),0),"")</f>
        <v/>
      </c>
      <c r="L27" s="20">
        <f>IFERROR(VLOOKUP($A27,subQ,MATCH(L$1,SUBQH,0),0),"")</f>
        <v/>
      </c>
    </row>
    <row r="28">
      <c r="A28" s="12" t="inlineStr">
        <is>
          <t>주식수</t>
        </is>
      </c>
      <c r="D28" t="inlineStr">
        <is>
          <t>유통주식수</t>
        </is>
      </c>
      <c r="E28" s="27">
        <f>IFERROR(VLOOKUP($A28,subQ,MATCH(E$1,SUBQH,0),0),"")</f>
        <v/>
      </c>
      <c r="F28" s="27">
        <f>IFERROR(VLOOKUP($A28,subQ,MATCH(F$1,SUBQH,0),0),"")</f>
        <v/>
      </c>
      <c r="G28" s="27">
        <f>IFERROR(VLOOKUP($A28,subQ,MATCH(G$1,SUBQH,0),0),"")</f>
        <v/>
      </c>
      <c r="H28" s="27">
        <f>IFERROR(VLOOKUP($A28,subQ,MATCH(H$1,SUBQH,0),0),"")</f>
        <v/>
      </c>
      <c r="I28" s="47">
        <f>IFERROR(VLOOKUP($A28,subQ,MATCH(I$1,SUBQH,0),0),"")</f>
        <v/>
      </c>
      <c r="J28" s="33">
        <f>IFERROR(VLOOKUP($A28,subQ,MATCH(J$1,SUBQH,0),0),"")</f>
        <v/>
      </c>
      <c r="K28" s="33">
        <f>IFERROR(VLOOKUP($A28,subQ,MATCH(K$1,SUBQH,0),0),"")</f>
        <v/>
      </c>
      <c r="L28" s="33">
        <f>IFERROR(VLOOKUP($A28,subQ,MATCH(L$1,SUBQH,0),0),"")</f>
        <v/>
      </c>
    </row>
    <row r="29">
      <c r="A29" s="12" t="inlineStr">
        <is>
          <t>EPS</t>
        </is>
      </c>
      <c r="D29" t="inlineStr">
        <is>
          <t>EPS</t>
        </is>
      </c>
      <c r="E29" s="18">
        <f>IFERROR(VLOOKUP($A29,subQ,MATCH(E$1,SUBQH,0),0),"")</f>
        <v/>
      </c>
      <c r="F29" s="18">
        <f>IFERROR(VLOOKUP($A29,subQ,MATCH(F$1,SUBQH,0),0),"")</f>
        <v/>
      </c>
      <c r="G29" s="18">
        <f>IFERROR(VLOOKUP($A29,subQ,MATCH(G$1,SUBQH,0),0),"")</f>
        <v/>
      </c>
      <c r="H29" s="18">
        <f>IFERROR(VLOOKUP($A29,subQ,MATCH(H$1,SUBQH,0),0),"")</f>
        <v/>
      </c>
      <c r="I29" s="45">
        <f>IFERROR(VLOOKUP($A29,subQ,MATCH(I$1,SUBQH,0),0),"")</f>
        <v/>
      </c>
      <c r="J29" s="20">
        <f>IFERROR(VLOOKUP($A29,subQ,MATCH(J$1,SUBQH,0),0),"")</f>
        <v/>
      </c>
      <c r="K29" s="20">
        <f>IFERROR(VLOOKUP($A29,subQ,MATCH(K$1,SUBQH,0),0),"")</f>
        <v/>
      </c>
      <c r="L29" s="20">
        <f>IFERROR(VLOOKUP($A29,subQ,MATCH(L$1,SUBQH,0),0),"")</f>
        <v/>
      </c>
    </row>
    <row r="30">
      <c r="A30" s="12" t="inlineStr">
        <is>
          <t>BPS</t>
        </is>
      </c>
      <c r="D30" t="inlineStr">
        <is>
          <t>BPS</t>
        </is>
      </c>
      <c r="E30" s="18">
        <f>IFERROR(VLOOKUP($A30,subQ,MATCH(E$1,SUBQH,0),0),"")</f>
        <v/>
      </c>
      <c r="F30" s="18">
        <f>IFERROR(VLOOKUP($A30,subQ,MATCH(F$1,SUBQH,0),0),"")</f>
        <v/>
      </c>
      <c r="G30" s="18">
        <f>IFERROR(VLOOKUP($A30,subQ,MATCH(G$1,SUBQH,0),0),"")</f>
        <v/>
      </c>
      <c r="H30" s="18">
        <f>IFERROR(VLOOKUP($A30,subQ,MATCH(H$1,SUBQH,0),0),"")</f>
        <v/>
      </c>
      <c r="I30" s="45">
        <f>IFERROR(VLOOKUP($A30,subQ,MATCH(I$1,SUBQH,0),0),"")</f>
        <v/>
      </c>
      <c r="J30" s="20">
        <f>IFERROR(VLOOKUP($A30,subQ,MATCH(J$1,SUBQH,0),0),"")</f>
        <v/>
      </c>
      <c r="K30" s="20">
        <f>IFERROR(VLOOKUP($A30,subQ,MATCH(K$1,SUBQH,0),0),"")</f>
        <v/>
      </c>
      <c r="L30" s="20">
        <f>IFERROR(VLOOKUP($A30,subQ,MATCH(L$1,SUBQH,0),0),"")</f>
        <v/>
      </c>
    </row>
    <row r="31">
      <c r="A31" s="12" t="inlineStr">
        <is>
          <t>DPS</t>
        </is>
      </c>
      <c r="D31" t="inlineStr">
        <is>
          <t>DPS(보통주)</t>
        </is>
      </c>
      <c r="E31" s="18">
        <f>IFERROR(VLOOKUP($A31,subQ,MATCH(E$1,SUBQH,0),0),"")</f>
        <v/>
      </c>
      <c r="F31" s="18">
        <f>IFERROR(VLOOKUP($A31,subQ,MATCH(F$1,SUBQH,0),0),"")</f>
        <v/>
      </c>
      <c r="G31" s="18">
        <f>IFERROR(VLOOKUP($A31,subQ,MATCH(G$1,SUBQH,0),0),"")</f>
        <v/>
      </c>
      <c r="H31" s="18">
        <f>IFERROR(VLOOKUP($A31,subQ,MATCH(H$1,SUBQH,0),0),"")</f>
        <v/>
      </c>
      <c r="I31" s="45">
        <f>IFERROR(VLOOKUP($A31,subQ,MATCH(I$1,SUBQH,0),0),"")</f>
        <v/>
      </c>
      <c r="J31" s="20">
        <f>IFERROR(VLOOKUP($A31,subQ,MATCH(J$1,SUBQH,0),0),"")</f>
        <v/>
      </c>
      <c r="K31" s="20">
        <f>IFERROR(VLOOKUP($A31,subQ,MATCH(K$1,SUBQH,0),0),"")</f>
        <v/>
      </c>
      <c r="L31" s="20">
        <f>IFERROR(VLOOKUP($A31,subQ,MATCH(L$1,SUBQH,0),0),"")</f>
        <v/>
      </c>
    </row>
    <row r="32">
      <c r="A32" s="12" t="inlineStr">
        <is>
          <t>PER</t>
        </is>
      </c>
      <c r="D32" t="inlineStr">
        <is>
          <t>PER</t>
        </is>
      </c>
      <c r="E32" s="13">
        <f>IFERROR(VLOOKUP($A32,subQ,MATCH(E$1,SUBQH,0),0),"")</f>
        <v/>
      </c>
      <c r="F32" s="13">
        <f>IFERROR(VLOOKUP($A32,subQ,MATCH(F$1,SUBQH,0),0),"")</f>
        <v/>
      </c>
      <c r="G32" s="13">
        <f>IFERROR(VLOOKUP($A32,subQ,MATCH(G$1,SUBQH,0),0),"")</f>
        <v/>
      </c>
      <c r="H32" s="13">
        <f>IFERROR(VLOOKUP($A32,subQ,MATCH(H$1,SUBQH,0),0),"")</f>
        <v/>
      </c>
      <c r="I32" s="48">
        <f>IFERROR(VLOOKUP($A32,subQ,MATCH(I$1,SUBQH,0),0),"")</f>
        <v/>
      </c>
      <c r="J32" s="39">
        <f>IFERROR(VLOOKUP($A32,subQ,MATCH(J$1,SUBQH,0),0),"")</f>
        <v/>
      </c>
      <c r="K32" s="39">
        <f>IFERROR(VLOOKUP($A32,subQ,MATCH(K$1,SUBQH,0),0),"")</f>
        <v/>
      </c>
      <c r="L32" s="39">
        <f>IFERROR(VLOOKUP($A32,subQ,MATCH(L$1,SUBQH,0),0),"")</f>
        <v/>
      </c>
    </row>
    <row r="33">
      <c r="A33" s="12" t="inlineStr">
        <is>
          <t>PBR</t>
        </is>
      </c>
      <c r="D33" t="inlineStr">
        <is>
          <t>PBR</t>
        </is>
      </c>
      <c r="E33" s="13">
        <f>IFERROR(VLOOKUP($A33,subQ,MATCH(E$1,SUBQH,0),0),"")</f>
        <v/>
      </c>
      <c r="F33" s="13">
        <f>IFERROR(VLOOKUP($A33,subQ,MATCH(F$1,SUBQH,0),0),"")</f>
        <v/>
      </c>
      <c r="G33" s="13">
        <f>IFERROR(VLOOKUP($A33,subQ,MATCH(G$1,SUBQH,0),0),"")</f>
        <v/>
      </c>
      <c r="H33" s="13">
        <f>IFERROR(VLOOKUP($A33,subQ,MATCH(H$1,SUBQH,0),0),"")</f>
        <v/>
      </c>
      <c r="I33" s="48">
        <f>IFERROR(VLOOKUP($A33,subQ,MATCH(I$1,SUBQH,0),0),"")</f>
        <v/>
      </c>
      <c r="J33" s="39">
        <f>IFERROR(VLOOKUP($A33,subQ,MATCH(J$1,SUBQH,0),0),"")</f>
        <v/>
      </c>
      <c r="K33" s="39">
        <f>IFERROR(VLOOKUP($A33,subQ,MATCH(K$1,SUBQH,0),0),"")</f>
        <v/>
      </c>
      <c r="L33" s="39">
        <f>IFERROR(VLOOKUP($A33,subQ,MATCH(L$1,SUBQH,0),0),"")</f>
        <v/>
      </c>
    </row>
    <row r="34">
      <c r="A34" s="12" t="inlineStr">
        <is>
          <t>매출전사</t>
        </is>
      </c>
      <c r="D34" t="inlineStr">
        <is>
          <t>매출 전사(부문 미분리)</t>
        </is>
      </c>
      <c r="E34" s="18">
        <f>IFERROR(VLOOKUP($A34,subQ,MATCH(E$1,SUBQH,0),0),"")</f>
        <v/>
      </c>
      <c r="F34" s="18">
        <f>IFERROR(VLOOKUP($A34,subQ,MATCH(F$1,SUBQH,0),0),"")</f>
        <v/>
      </c>
      <c r="G34" s="18">
        <f>IFERROR(VLOOKUP($A34,subQ,MATCH(G$1,SUBQH,0),0),"")</f>
        <v/>
      </c>
      <c r="H34" s="18">
        <f>IFERROR(VLOOKUP($A34,subQ,MATCH(H$1,SUBQH,0),0),"")</f>
        <v/>
      </c>
      <c r="I34" s="45">
        <f>IFERROR(VLOOKUP($A34,subQ,MATCH(I$1,SUBQH,0),0),"")</f>
        <v/>
      </c>
      <c r="J34" s="20">
        <f>IFERROR(VLOOKUP($A34,subQ,MATCH(J$1,SUBQH,0),0),"")</f>
        <v/>
      </c>
      <c r="K34" s="20">
        <f>IFERROR(VLOOKUP($A34,subQ,MATCH(K$1,SUBQH,0),0),"")</f>
        <v/>
      </c>
      <c r="L34" s="20">
        <f>IFERROR(VLOOKUP($A34,subQ,MATCH(L$1,SUBQH,0),0),"")</f>
        <v/>
      </c>
    </row>
    <row r="35">
      <c r="A35" s="12" t="inlineStr">
        <is>
          <t>OP전사</t>
        </is>
      </c>
      <c r="D35" t="inlineStr">
        <is>
          <t>OP 전사(부문 미분리)</t>
        </is>
      </c>
      <c r="E35" s="18">
        <f>IFERROR(VLOOKUP($A35,subQ,MATCH(E$1,SUBQH,0),0),"")</f>
        <v/>
      </c>
      <c r="F35" s="18">
        <f>IFERROR(VLOOKUP($A35,subQ,MATCH(F$1,SUBQH,0),0),"")</f>
        <v/>
      </c>
      <c r="G35" s="18">
        <f>IFERROR(VLOOKUP($A35,subQ,MATCH(G$1,SUBQH,0),0),"")</f>
        <v/>
      </c>
      <c r="H35" s="18">
        <f>IFERROR(VLOOKUP($A35,subQ,MATCH(H$1,SUBQH,0),0),"")</f>
        <v/>
      </c>
      <c r="I35" s="45">
        <f>IFERROR(VLOOKUP($A35,subQ,MATCH(I$1,SUBQH,0),0),"")</f>
        <v/>
      </c>
      <c r="J35" s="20">
        <f>IFERROR(VLOOKUP($A35,subQ,MATCH(J$1,SUBQH,0),0),"")</f>
        <v/>
      </c>
      <c r="K35" s="20">
        <f>IFERROR(VLOOKUP($A35,subQ,MATCH(K$1,SUBQH,0),0),"")</f>
        <v/>
      </c>
      <c r="L35" s="20">
        <f>IFERROR(VLOOKUP($A35,subQ,MATCH(L$1,SUBQH,0),0),"")</f>
        <v/>
      </c>
    </row>
    <row r="36">
      <c r="A36" s="12" t="inlineStr">
        <is>
          <t>NPM</t>
        </is>
      </c>
      <c r="D36" t="inlineStr">
        <is>
          <t>NPM</t>
        </is>
      </c>
      <c r="E36" s="21">
        <f>IFERROR(VLOOKUP($A36,subQ,MATCH(E$1,SUBQH,0),0),"")</f>
        <v/>
      </c>
      <c r="F36" s="21">
        <f>IFERROR(VLOOKUP($A36,subQ,MATCH(F$1,SUBQH,0),0),"")</f>
        <v/>
      </c>
      <c r="G36" s="21">
        <f>IFERROR(VLOOKUP($A36,subQ,MATCH(G$1,SUBQH,0),0),"")</f>
        <v/>
      </c>
      <c r="H36" s="21">
        <f>IFERROR(VLOOKUP($A36,subQ,MATCH(H$1,SUBQH,0),0),"")</f>
        <v/>
      </c>
      <c r="I36" s="46">
        <f>IFERROR(VLOOKUP($A36,subQ,MATCH(I$1,SUBQH,0),0),"")</f>
        <v/>
      </c>
      <c r="J36" s="32">
        <f>IFERROR(VLOOKUP($A36,subQ,MATCH(J$1,SUBQH,0),0),"")</f>
        <v/>
      </c>
      <c r="K36" s="32">
        <f>IFERROR(VLOOKUP($A36,subQ,MATCH(K$1,SUBQH,0),0),"")</f>
        <v/>
      </c>
      <c r="L36" s="32">
        <f>IFERROR(VLOOKUP($A36,subQ,MATCH(L$1,SUBQH,0),0),"")</f>
        <v/>
      </c>
    </row>
    <row r="37">
      <c r="A37" s="12" t="inlineStr">
        <is>
          <t>매출액 YoY</t>
        </is>
      </c>
      <c r="D37" t="inlineStr">
        <is>
          <t>매출액 YoY</t>
        </is>
      </c>
      <c r="F37" s="21">
        <f>IFERROR(F5/E5-1,"")</f>
        <v/>
      </c>
      <c r="G37" s="21">
        <f>IFERROR(G5/F5-1,"")</f>
        <v/>
      </c>
      <c r="H37" s="21">
        <f>IFERROR(H5/G5-1,"")</f>
        <v/>
      </c>
      <c r="I37" s="46">
        <f>IFERROR(I5/H5-1,"")</f>
        <v/>
      </c>
      <c r="J37" s="32">
        <f>IFERROR(J5/I5-1,"")</f>
        <v/>
      </c>
      <c r="K37" s="32">
        <f>IFERROR(K5/J5-1,"")</f>
        <v/>
      </c>
      <c r="L37" s="32">
        <f>IFERROR(L5/K5-1,"")</f>
        <v/>
      </c>
    </row>
    <row r="38">
      <c r="A38" s="12" t="inlineStr">
        <is>
          <t>영업이익 YoY</t>
        </is>
      </c>
      <c r="D38" t="inlineStr">
        <is>
          <t>영업이익 YoY</t>
        </is>
      </c>
      <c r="F38" s="21">
        <f>IFERROR(F9/E9-1,"")</f>
        <v/>
      </c>
      <c r="G38" s="21">
        <f>IFERROR(G9/F9-1,"")</f>
        <v/>
      </c>
      <c r="H38" s="21">
        <f>IFERROR(H9/G9-1,"")</f>
        <v/>
      </c>
      <c r="I38" s="46">
        <f>IFERROR(I9/H9-1,"")</f>
        <v/>
      </c>
      <c r="J38" s="32">
        <f>IFERROR(J9/I9-1,"")</f>
        <v/>
      </c>
      <c r="K38" s="32">
        <f>IFERROR(K9/J9-1,"")</f>
        <v/>
      </c>
      <c r="L38" s="32">
        <f>IFERROR(L9/K9-1,"")</f>
        <v/>
      </c>
    </row>
    <row r="39">
      <c r="A39" s="12" t="inlineStr">
        <is>
          <t>지배주주순이익 YoY</t>
        </is>
      </c>
      <c r="D39" t="inlineStr">
        <is>
          <t>지배주주순이익 YoY</t>
        </is>
      </c>
      <c r="F39" s="21">
        <f>IFERROR(F17/E17-1,"")</f>
        <v/>
      </c>
      <c r="G39" s="21">
        <f>IFERROR(G17/F17-1,"")</f>
        <v/>
      </c>
      <c r="H39" s="21">
        <f>IFERROR(H17/G17-1,"")</f>
        <v/>
      </c>
      <c r="I39" s="46">
        <f>IFERROR(I17/H17-1,"")</f>
        <v/>
      </c>
      <c r="J39" s="32">
        <f>IFERROR(J17/I17-1,"")</f>
        <v/>
      </c>
      <c r="K39" s="32">
        <f>IFERROR(K17/J17-1,"")</f>
        <v/>
      </c>
      <c r="L39" s="32">
        <f>IFERROR(L17/K17-1,"")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37"/>
  <sheetViews>
    <sheetView workbookViewId="0">
      <selection activeCell="A1" sqref="A1"/>
    </sheetView>
  </sheetViews>
  <sheetFormatPr baseColWidth="8" defaultRowHeight="15"/>
  <cols>
    <col width="34" customWidth="1" min="3" max="3"/>
  </cols>
  <sheetData>
    <row r="1">
      <c r="B1" s="1" t="inlineStr">
        <is>
          <t>종가</t>
        </is>
      </c>
      <c r="C1" s="18">
        <f>변수!D39</f>
        <v/>
      </c>
    </row>
    <row r="2">
      <c r="B2" s="1" t="inlineStr">
        <is>
          <t>기준일</t>
        </is>
      </c>
      <c r="C2">
        <f>변수!D40</f>
        <v/>
      </c>
    </row>
    <row r="3">
      <c r="B3" s="2" t="inlineStr">
        <is>
          <t>모델 산출값 — 목표주가·추천 아님. 밴드·COE 는 변수 시트 3절의 가정</t>
        </is>
      </c>
    </row>
    <row r="5">
      <c r="C5" s="1" t="inlineStr">
        <is>
          <t>FY</t>
        </is>
      </c>
      <c r="D5" s="49" t="n">
        <v>2025</v>
      </c>
      <c r="E5" s="49" t="n">
        <v>2026</v>
      </c>
      <c r="F5" s="49" t="n">
        <v>2027</v>
      </c>
      <c r="G5" s="49" t="n">
        <v>2028</v>
      </c>
    </row>
    <row r="6">
      <c r="D6" s="2" t="inlineStr">
        <is>
          <t>A</t>
        </is>
      </c>
      <c r="E6" s="2" t="inlineStr">
        <is>
          <t>E</t>
        </is>
      </c>
      <c r="F6" s="2" t="inlineStr">
        <is>
          <t>E</t>
        </is>
      </c>
      <c r="G6" s="2" t="inlineStr">
        <is>
          <t>E</t>
        </is>
      </c>
    </row>
    <row r="7">
      <c r="C7" t="inlineStr">
        <is>
          <t>EPS(원)</t>
        </is>
      </c>
      <c r="D7" s="18">
        <f>IFERROR(VLOOKUP("EPS",subQ,MATCH(D$5,SUBQH,0),0),"")</f>
        <v/>
      </c>
      <c r="E7" s="18">
        <f>IFERROR(VLOOKUP("EPS",subQ,MATCH(E$5,SUBQH,0),0),"")</f>
        <v/>
      </c>
      <c r="F7" s="18">
        <f>IFERROR(VLOOKUP("EPS",subQ,MATCH(F$5,SUBQH,0),0),"")</f>
        <v/>
      </c>
      <c r="G7" s="18">
        <f>IFERROR(VLOOKUP("EPS",subQ,MATCH(G$5,SUBQH,0),0),"")</f>
        <v/>
      </c>
    </row>
    <row r="8">
      <c r="C8" t="inlineStr">
        <is>
          <t>BPS(원)</t>
        </is>
      </c>
      <c r="D8" s="18">
        <f>IFERROR(VLOOKUP("BPS",subQ,MATCH(D$5,SUBQH,0),0),"")</f>
        <v/>
      </c>
      <c r="E8" s="18">
        <f>IFERROR(VLOOKUP("BPS",subQ,MATCH(E$5,SUBQH,0),0),"")</f>
        <v/>
      </c>
      <c r="F8" s="18">
        <f>IFERROR(VLOOKUP("BPS",subQ,MATCH(F$5,SUBQH,0),0),"")</f>
        <v/>
      </c>
      <c r="G8" s="18">
        <f>IFERROR(VLOOKUP("BPS",subQ,MATCH(G$5,SUBQH,0),0),"")</f>
        <v/>
      </c>
    </row>
    <row r="9">
      <c r="C9" t="inlineStr">
        <is>
          <t>지배주주순이익(억원)</t>
        </is>
      </c>
      <c r="D9" s="18">
        <f>IFERROR(VLOOKUP("지배주주순이익",subQ,MATCH(D$5,SUBQH,0),0),"")</f>
        <v/>
      </c>
      <c r="E9" s="18">
        <f>IFERROR(VLOOKUP("지배주주순이익",subQ,MATCH(E$5,SUBQH,0),0),"")</f>
        <v/>
      </c>
      <c r="F9" s="18">
        <f>IFERROR(VLOOKUP("지배주주순이익",subQ,MATCH(F$5,SUBQH,0),0),"")</f>
        <v/>
      </c>
      <c r="G9" s="18">
        <f>IFERROR(VLOOKUP("지배주주순이익",subQ,MATCH(G$5,SUBQH,0),0),"")</f>
        <v/>
      </c>
    </row>
    <row r="10">
      <c r="C10" t="inlineStr">
        <is>
          <t>영업이익(억원)</t>
        </is>
      </c>
      <c r="D10" s="18">
        <f>IFERROR(VLOOKUP("영업이익",subQ,MATCH(D$5,SUBQH,0),0),"")</f>
        <v/>
      </c>
      <c r="E10" s="18">
        <f>IFERROR(VLOOKUP("영업이익",subQ,MATCH(E$5,SUBQH,0),0),"")</f>
        <v/>
      </c>
      <c r="F10" s="18">
        <f>IFERROR(VLOOKUP("영업이익",subQ,MATCH(F$5,SUBQH,0),0),"")</f>
        <v/>
      </c>
      <c r="G10" s="18">
        <f>IFERROR(VLOOKUP("영업이익",subQ,MATCH(G$5,SUBQH,0),0),"")</f>
        <v/>
      </c>
    </row>
    <row r="11">
      <c r="C11" t="inlineStr">
        <is>
          <t>ROE(EPS/기초BPS)</t>
        </is>
      </c>
      <c r="E11" s="21">
        <f>IFERROR(E7/D8,"")</f>
        <v/>
      </c>
      <c r="F11" s="21">
        <f>IFERROR(F7/E8,"")</f>
        <v/>
      </c>
      <c r="G11" s="21">
        <f>IFERROR(G7/F8,"")</f>
        <v/>
      </c>
    </row>
    <row r="13">
      <c r="B13" s="1" t="inlineStr">
        <is>
          <t>PER</t>
        </is>
      </c>
    </row>
    <row r="14">
      <c r="C14" t="inlineStr">
        <is>
          <t>12M fwd EPS</t>
        </is>
      </c>
      <c r="D14" s="18">
        <f>IFERROR(E7*변수!D45+F7*(1-변수!D45),"")</f>
        <v/>
      </c>
    </row>
    <row r="15">
      <c r="C15" t="inlineStr">
        <is>
          <t>적정가치 @PER_lo</t>
        </is>
      </c>
      <c r="D15" s="27">
        <f>변수!D42</f>
        <v/>
      </c>
      <c r="E15" s="18">
        <f>IFERROR(ROUND($D$14*D15,-2),"")</f>
        <v/>
      </c>
      <c r="F15" s="21">
        <f>IFERROR(E15/$C$1-1,"")</f>
        <v/>
      </c>
      <c r="G15" s="2" t="inlineStr">
        <is>
          <t>배 · 원 · 종가 대비</t>
        </is>
      </c>
    </row>
    <row r="16">
      <c r="C16" t="inlineStr">
        <is>
          <t>적정가치 @PER_mid</t>
        </is>
      </c>
      <c r="D16" s="27">
        <f>변수!D43</f>
        <v/>
      </c>
      <c r="E16" s="18">
        <f>IFERROR(ROUND($D$14*D16,-2),"")</f>
        <v/>
      </c>
      <c r="F16" s="21">
        <f>IFERROR(E16/$C$1-1,"")</f>
        <v/>
      </c>
      <c r="G16" s="2" t="inlineStr">
        <is>
          <t>배 · 원 · 종가 대비</t>
        </is>
      </c>
    </row>
    <row r="17">
      <c r="C17" t="inlineStr">
        <is>
          <t>적정가치 @PER_hi</t>
        </is>
      </c>
      <c r="D17" s="27">
        <f>변수!D44</f>
        <v/>
      </c>
      <c r="E17" s="18">
        <f>IFERROR(ROUND($D$14*D17,-2),"")</f>
        <v/>
      </c>
      <c r="F17" s="21">
        <f>IFERROR(E17/$C$1-1,"")</f>
        <v/>
      </c>
      <c r="G17" s="2" t="inlineStr">
        <is>
          <t>배 · 원 · 종가 대비</t>
        </is>
      </c>
    </row>
    <row r="18">
      <c r="C18" t="inlineStr">
        <is>
          <t>현재 PER(종가/12M fwd EPS)</t>
        </is>
      </c>
      <c r="D18" s="27">
        <f>IFERROR($C$1/$D$14,"")</f>
        <v/>
      </c>
    </row>
    <row r="20">
      <c r="B20" s="1" t="inlineStr">
        <is>
          <t>PBR</t>
        </is>
      </c>
    </row>
    <row r="21">
      <c r="C21" t="inlineStr">
        <is>
          <t>최근 BPS(마지막 실적 분기)</t>
        </is>
      </c>
      <c r="D21" s="18">
        <f>IFERROR(VLOOKUP("BPS",subQ,MATCH("2Q26",SUBQH,0),0),"")</f>
        <v/>
      </c>
    </row>
    <row r="22">
      <c r="C22" t="inlineStr">
        <is>
          <t>ROE fwd(12M fwd EPS / BPS)</t>
        </is>
      </c>
      <c r="D22" s="21">
        <f>IFERROR($D$14/$D$21,"")</f>
        <v/>
      </c>
    </row>
    <row r="23">
      <c r="C23" t="inlineStr">
        <is>
          <t>COE</t>
        </is>
      </c>
      <c r="D23" s="21">
        <f>변수!D41</f>
        <v/>
      </c>
    </row>
    <row r="24">
      <c r="C24" t="inlineStr">
        <is>
          <t>적정 PBR = ROE/COE</t>
        </is>
      </c>
      <c r="D24" s="13">
        <f>IFERROR(D22/D23,"")</f>
        <v/>
      </c>
    </row>
    <row r="25">
      <c r="C25" t="inlineStr">
        <is>
          <t>적정가치(PBR) = BPS × 적정PBR</t>
        </is>
      </c>
      <c r="D25" s="18">
        <f>IFERROR(ROUND(D21*D24,-2),"")</f>
        <v/>
      </c>
      <c r="E25" s="21">
        <f>IFERROR(D25/$C$1-1,"")</f>
        <v/>
      </c>
    </row>
    <row r="26">
      <c r="C26" t="inlineStr">
        <is>
          <t>현재 PBR(종가/BPS)</t>
        </is>
      </c>
      <c r="D26" s="13">
        <f>IFERROR($C$1/D21,"")</f>
        <v/>
      </c>
    </row>
    <row r="28">
      <c r="B28" s="2" t="inlineStr">
        <is>
          <t>모델 json valuation(참고)</t>
        </is>
      </c>
    </row>
    <row r="29">
      <c r="C29" s="2" t="inlineStr">
        <is>
          <t>eps_fwd12m</t>
        </is>
      </c>
      <c r="D29" t="n">
        <v>2956.3</v>
      </c>
    </row>
    <row r="30">
      <c r="C30" s="2" t="inlineStr">
        <is>
          <t>bps_latest</t>
        </is>
      </c>
      <c r="D30" t="n">
        <v>29899.8</v>
      </c>
    </row>
    <row r="31">
      <c r="C31" s="2" t="inlineStr">
        <is>
          <t>per_now</t>
        </is>
      </c>
      <c r="D31" t="n">
        <v>4.98</v>
      </c>
    </row>
    <row r="32">
      <c r="C32" s="2" t="inlineStr">
        <is>
          <t>pbr_now</t>
        </is>
      </c>
      <c r="D32" t="n">
        <v>0.49</v>
      </c>
    </row>
    <row r="33">
      <c r="C33" s="2" t="inlineStr">
        <is>
          <t>roe_fwd</t>
        </is>
      </c>
      <c r="D33" t="n">
        <v>0.0989</v>
      </c>
    </row>
    <row r="34">
      <c r="C34" s="2" t="inlineStr">
        <is>
          <t>fair_pbr</t>
        </is>
      </c>
      <c r="D34" t="n">
        <v>1.1</v>
      </c>
    </row>
    <row r="35">
      <c r="C35" s="2" t="inlineStr">
        <is>
          <t>fair_value_pbr</t>
        </is>
      </c>
      <c r="D35" t="n">
        <v>32900</v>
      </c>
    </row>
    <row r="36">
      <c r="C36" s="2" t="inlineStr">
        <is>
          <t>ev_ebitda</t>
        </is>
      </c>
    </row>
    <row r="37">
      <c r="C37" s="2" t="inlineStr">
        <is>
          <t>note</t>
        </is>
      </c>
      <c r="D37" t="inlineStr">
        <is>
          <t>모델 산출값 — 목표주가·추천 아님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G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9" customWidth="1" min="2" max="2"/>
    <col width="26" customWidth="1" min="3" max="3"/>
    <col width="30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</cols>
  <sheetData>
    <row r="1">
      <c r="C1" s="2" t="inlineStr">
        <is>
          <t>이름: 외화QH — 환율 QoQ · 외화 순노출 × Δ기말환율</t>
        </is>
      </c>
      <c r="E1" s="3" t="inlineStr">
        <is>
          <t>4Q21</t>
        </is>
      </c>
      <c r="F1" s="3" t="inlineStr">
        <is>
          <t>1Q22</t>
        </is>
      </c>
      <c r="G1" s="3" t="inlineStr">
        <is>
          <t>2Q22</t>
        </is>
      </c>
      <c r="H1" s="3" t="inlineStr">
        <is>
          <t>3Q22</t>
        </is>
      </c>
      <c r="I1" s="3" t="inlineStr">
        <is>
          <t>4Q22</t>
        </is>
      </c>
      <c r="J1" s="3" t="inlineStr">
        <is>
          <t>1Q23</t>
        </is>
      </c>
      <c r="K1" s="3" t="inlineStr">
        <is>
          <t>2Q23</t>
        </is>
      </c>
      <c r="L1" s="3" t="inlineStr">
        <is>
          <t>3Q23</t>
        </is>
      </c>
      <c r="M1" s="3" t="inlineStr">
        <is>
          <t>4Q23</t>
        </is>
      </c>
      <c r="N1" s="3" t="inlineStr">
        <is>
          <t>1Q24</t>
        </is>
      </c>
      <c r="O1" s="3" t="inlineStr">
        <is>
          <t>2Q24</t>
        </is>
      </c>
      <c r="P1" s="3" t="inlineStr">
        <is>
          <t>3Q24</t>
        </is>
      </c>
      <c r="Q1" s="3" t="inlineStr">
        <is>
          <t>4Q24</t>
        </is>
      </c>
      <c r="R1" s="3" t="inlineStr">
        <is>
          <t>1Q25</t>
        </is>
      </c>
      <c r="S1" s="3" t="inlineStr">
        <is>
          <t>2Q25</t>
        </is>
      </c>
      <c r="T1" s="3" t="inlineStr">
        <is>
          <t>3Q25</t>
        </is>
      </c>
      <c r="U1" s="3" t="inlineStr">
        <is>
          <t>4Q25</t>
        </is>
      </c>
      <c r="V1" s="3" t="inlineStr">
        <is>
          <t>1Q26</t>
        </is>
      </c>
      <c r="W1" s="3" t="inlineStr">
        <is>
          <t>2Q26</t>
        </is>
      </c>
      <c r="X1" s="3" t="inlineStr">
        <is>
          <t>3Q26</t>
        </is>
      </c>
      <c r="Y1" s="3" t="inlineStr">
        <is>
          <t>4Q26</t>
        </is>
      </c>
      <c r="Z1" s="3" t="inlineStr">
        <is>
          <t>1Q27</t>
        </is>
      </c>
      <c r="AA1" s="3" t="inlineStr">
        <is>
          <t>2Q27</t>
        </is>
      </c>
      <c r="AB1" s="3" t="inlineStr">
        <is>
          <t>3Q27</t>
        </is>
      </c>
      <c r="AC1" s="3" t="inlineStr">
        <is>
          <t>4Q27</t>
        </is>
      </c>
      <c r="AD1" s="3" t="inlineStr">
        <is>
          <t>1Q28</t>
        </is>
      </c>
      <c r="AE1" s="3" t="inlineStr">
        <is>
          <t>2Q28</t>
        </is>
      </c>
      <c r="AF1" s="3" t="inlineStr">
        <is>
          <t>3Q28</t>
        </is>
      </c>
      <c r="AG1" s="3" t="inlineStr">
        <is>
          <t>4Q28</t>
        </is>
      </c>
    </row>
    <row r="3">
      <c r="E3" s="2" t="n">
        <v>1</v>
      </c>
      <c r="F3" s="2" t="n">
        <v>2</v>
      </c>
      <c r="G3" s="2" t="n">
        <v>3</v>
      </c>
      <c r="H3" s="2" t="n">
        <v>4</v>
      </c>
      <c r="I3" s="2" t="n">
        <v>5</v>
      </c>
      <c r="J3" s="2" t="n">
        <v>6</v>
      </c>
      <c r="K3" s="2" t="n">
        <v>7</v>
      </c>
      <c r="L3" s="2" t="n">
        <v>8</v>
      </c>
      <c r="M3" s="2" t="n">
        <v>9</v>
      </c>
      <c r="N3" s="2" t="n">
        <v>10</v>
      </c>
      <c r="O3" s="2" t="n">
        <v>11</v>
      </c>
      <c r="P3" s="2" t="n">
        <v>12</v>
      </c>
      <c r="Q3" s="2" t="n">
        <v>13</v>
      </c>
      <c r="R3" s="2" t="n">
        <v>14</v>
      </c>
      <c r="S3" s="2" t="n">
        <v>15</v>
      </c>
      <c r="T3" s="2" t="n">
        <v>16</v>
      </c>
      <c r="U3" s="2" t="n">
        <v>17</v>
      </c>
      <c r="V3" s="2" t="n">
        <v>18</v>
      </c>
      <c r="W3" s="2" t="n">
        <v>19</v>
      </c>
      <c r="X3" s="2" t="n">
        <v>20</v>
      </c>
      <c r="Y3" s="2" t="n">
        <v>21</v>
      </c>
      <c r="Z3" s="2" t="n">
        <v>22</v>
      </c>
      <c r="AA3" s="2" t="n">
        <v>23</v>
      </c>
      <c r="AB3" s="2" t="n">
        <v>24</v>
      </c>
      <c r="AC3" s="2" t="n">
        <v>25</v>
      </c>
      <c r="AD3" s="2" t="n">
        <v>26</v>
      </c>
      <c r="AE3" s="2" t="n">
        <v>27</v>
      </c>
      <c r="AF3" s="2" t="n">
        <v>28</v>
      </c>
      <c r="AG3" s="2" t="n">
        <v>29</v>
      </c>
    </row>
    <row r="4">
      <c r="E4" s="7" t="inlineStr">
        <is>
          <t>2021.12</t>
        </is>
      </c>
      <c r="F4" s="7" t="inlineStr">
        <is>
          <t>2022.03</t>
        </is>
      </c>
      <c r="G4" s="7" t="inlineStr">
        <is>
          <t>2022.06</t>
        </is>
      </c>
      <c r="H4" s="7" t="inlineStr">
        <is>
          <t>2022.09</t>
        </is>
      </c>
      <c r="I4" s="7" t="inlineStr">
        <is>
          <t>2022.12</t>
        </is>
      </c>
      <c r="J4" s="7" t="inlineStr">
        <is>
          <t>2023.03</t>
        </is>
      </c>
      <c r="K4" s="7" t="inlineStr">
        <is>
          <t>2023.06</t>
        </is>
      </c>
      <c r="L4" s="7" t="inlineStr">
        <is>
          <t>2023.09</t>
        </is>
      </c>
      <c r="M4" s="7" t="inlineStr">
        <is>
          <t>2023.12</t>
        </is>
      </c>
      <c r="N4" s="7" t="inlineStr">
        <is>
          <t>2024.03</t>
        </is>
      </c>
      <c r="O4" s="7" t="inlineStr">
        <is>
          <t>2024.06</t>
        </is>
      </c>
      <c r="P4" s="7" t="inlineStr">
        <is>
          <t>2024.09</t>
        </is>
      </c>
      <c r="Q4" s="7" t="inlineStr">
        <is>
          <t>2024.12</t>
        </is>
      </c>
      <c r="R4" s="7" t="inlineStr">
        <is>
          <t>2025.03</t>
        </is>
      </c>
      <c r="S4" s="7" t="inlineStr">
        <is>
          <t>2025.06</t>
        </is>
      </c>
      <c r="T4" s="7" t="inlineStr">
        <is>
          <t>2025.09</t>
        </is>
      </c>
      <c r="U4" s="7" t="inlineStr">
        <is>
          <t>2025.12</t>
        </is>
      </c>
      <c r="V4" s="7" t="inlineStr">
        <is>
          <t>2026.03</t>
        </is>
      </c>
      <c r="W4" s="7" t="inlineStr">
        <is>
          <t>2026.06</t>
        </is>
      </c>
      <c r="X4" s="7" t="inlineStr">
        <is>
          <t>2026.09</t>
        </is>
      </c>
      <c r="Y4" s="7" t="inlineStr">
        <is>
          <t>2026.12</t>
        </is>
      </c>
      <c r="Z4" s="7" t="inlineStr">
        <is>
          <t>2027.03</t>
        </is>
      </c>
      <c r="AA4" s="7" t="inlineStr">
        <is>
          <t>2027.06</t>
        </is>
      </c>
      <c r="AB4" s="7" t="inlineStr">
        <is>
          <t>2027.09</t>
        </is>
      </c>
      <c r="AC4" s="7" t="inlineStr">
        <is>
          <t>2027.12</t>
        </is>
      </c>
      <c r="AD4" s="7" t="inlineStr">
        <is>
          <t>2028.03</t>
        </is>
      </c>
      <c r="AE4" s="7" t="inlineStr">
        <is>
          <t>2028.06</t>
        </is>
      </c>
      <c r="AF4" s="7" t="inlineStr">
        <is>
          <t>2028.09</t>
        </is>
      </c>
      <c r="AG4" s="7" t="inlineStr">
        <is>
          <t>2028.12</t>
        </is>
      </c>
    </row>
    <row r="5">
      <c r="D5" t="inlineStr">
        <is>
          <t xml:space="preserve"> 원/달러(평균)</t>
        </is>
      </c>
      <c r="E5" s="13">
        <f>IFERROR(VLOOKUP($D5,환율,MATCH(E$1,변수H,0),0),"")</f>
        <v/>
      </c>
      <c r="F5" s="13">
        <f>IFERROR(VLOOKUP($D5,환율,MATCH(F$1,변수H,0),0),"")</f>
        <v/>
      </c>
      <c r="G5" s="13">
        <f>IFERROR(VLOOKUP($D5,환율,MATCH(G$1,변수H,0),0),"")</f>
        <v/>
      </c>
      <c r="H5" s="13">
        <f>IFERROR(VLOOKUP($D5,환율,MATCH(H$1,변수H,0),0),"")</f>
        <v/>
      </c>
      <c r="I5" s="13">
        <f>IFERROR(VLOOKUP($D5,환율,MATCH(I$1,변수H,0),0),"")</f>
        <v/>
      </c>
      <c r="J5" s="13">
        <f>IFERROR(VLOOKUP($D5,환율,MATCH(J$1,변수H,0),0),"")</f>
        <v/>
      </c>
      <c r="K5" s="13">
        <f>IFERROR(VLOOKUP($D5,환율,MATCH(K$1,변수H,0),0),"")</f>
        <v/>
      </c>
      <c r="L5" s="13">
        <f>IFERROR(VLOOKUP($D5,환율,MATCH(L$1,변수H,0),0),"")</f>
        <v/>
      </c>
      <c r="M5" s="13">
        <f>IFERROR(VLOOKUP($D5,환율,MATCH(M$1,변수H,0),0),"")</f>
        <v/>
      </c>
      <c r="N5" s="13">
        <f>IFERROR(VLOOKUP($D5,환율,MATCH(N$1,변수H,0),0),"")</f>
        <v/>
      </c>
      <c r="O5" s="13">
        <f>IFERROR(VLOOKUP($D5,환율,MATCH(O$1,변수H,0),0),"")</f>
        <v/>
      </c>
      <c r="P5" s="13">
        <f>IFERROR(VLOOKUP($D5,환율,MATCH(P$1,변수H,0),0),"")</f>
        <v/>
      </c>
      <c r="Q5" s="13">
        <f>IFERROR(VLOOKUP($D5,환율,MATCH(Q$1,변수H,0),0),"")</f>
        <v/>
      </c>
      <c r="R5" s="13">
        <f>IFERROR(VLOOKUP($D5,환율,MATCH(R$1,변수H,0),0),"")</f>
        <v/>
      </c>
      <c r="S5" s="13">
        <f>IFERROR(VLOOKUP($D5,환율,MATCH(S$1,변수H,0),0),"")</f>
        <v/>
      </c>
      <c r="T5" s="13">
        <f>IFERROR(VLOOKUP($D5,환율,MATCH(T$1,변수H,0),0),"")</f>
        <v/>
      </c>
      <c r="U5" s="13">
        <f>IFERROR(VLOOKUP($D5,환율,MATCH(U$1,변수H,0),0),"")</f>
        <v/>
      </c>
      <c r="V5" s="13">
        <f>IFERROR(VLOOKUP($D5,환율,MATCH(V$1,변수H,0),0),"")</f>
        <v/>
      </c>
      <c r="W5" s="13">
        <f>IFERROR(VLOOKUP($D5,환율,MATCH(W$1,변수H,0),0),"")</f>
        <v/>
      </c>
      <c r="X5" s="39">
        <f>IFERROR(VLOOKUP($D5,환율,MATCH(X$1,변수H,0),0),"")</f>
        <v/>
      </c>
      <c r="Y5" s="39">
        <f>IFERROR(VLOOKUP($D5,환율,MATCH(Y$1,변수H,0),0),"")</f>
        <v/>
      </c>
      <c r="Z5" s="39">
        <f>IFERROR(VLOOKUP($D5,환율,MATCH(Z$1,변수H,0),0),"")</f>
        <v/>
      </c>
      <c r="AA5" s="39">
        <f>IFERROR(VLOOKUP($D5,환율,MATCH(AA$1,변수H,0),0),"")</f>
        <v/>
      </c>
      <c r="AB5" s="39">
        <f>IFERROR(VLOOKUP($D5,환율,MATCH(AB$1,변수H,0),0),"")</f>
        <v/>
      </c>
      <c r="AC5" s="39">
        <f>IFERROR(VLOOKUP($D5,환율,MATCH(AC$1,변수H,0),0),"")</f>
        <v/>
      </c>
      <c r="AD5" s="39">
        <f>IFERROR(VLOOKUP($D5,환율,MATCH(AD$1,변수H,0),0),"")</f>
        <v/>
      </c>
      <c r="AE5" s="39">
        <f>IFERROR(VLOOKUP($D5,환율,MATCH(AE$1,변수H,0),0),"")</f>
        <v/>
      </c>
      <c r="AF5" s="39">
        <f>IFERROR(VLOOKUP($D5,환율,MATCH(AF$1,변수H,0),0),"")</f>
        <v/>
      </c>
      <c r="AG5" s="39">
        <f>IFERROR(VLOOKUP($D5,환율,MATCH(AG$1,변수H,0),0),"")</f>
        <v/>
      </c>
    </row>
    <row r="6">
      <c r="A6" s="12" t="inlineStr">
        <is>
          <t>원/달러(평균) QoQ</t>
        </is>
      </c>
      <c r="F6" s="21">
        <f>IFERROR(F5/E5-1,"")</f>
        <v/>
      </c>
      <c r="G6" s="21">
        <f>IFERROR(G5/F5-1,"")</f>
        <v/>
      </c>
      <c r="H6" s="21">
        <f>IFERROR(H5/G5-1,"")</f>
        <v/>
      </c>
      <c r="I6" s="21">
        <f>IFERROR(I5/H5-1,"")</f>
        <v/>
      </c>
      <c r="J6" s="21">
        <f>IFERROR(J5/I5-1,"")</f>
        <v/>
      </c>
      <c r="K6" s="21">
        <f>IFERROR(K5/J5-1,"")</f>
        <v/>
      </c>
      <c r="L6" s="21">
        <f>IFERROR(L5/K5-1,"")</f>
        <v/>
      </c>
      <c r="M6" s="21">
        <f>IFERROR(M5/L5-1,"")</f>
        <v/>
      </c>
      <c r="N6" s="21">
        <f>IFERROR(N5/M5-1,"")</f>
        <v/>
      </c>
      <c r="O6" s="21">
        <f>IFERROR(O5/N5-1,"")</f>
        <v/>
      </c>
      <c r="P6" s="21">
        <f>IFERROR(P5/O5-1,"")</f>
        <v/>
      </c>
      <c r="Q6" s="21">
        <f>IFERROR(Q5/P5-1,"")</f>
        <v/>
      </c>
      <c r="R6" s="21">
        <f>IFERROR(R5/Q5-1,"")</f>
        <v/>
      </c>
      <c r="S6" s="21">
        <f>IFERROR(S5/R5-1,"")</f>
        <v/>
      </c>
      <c r="T6" s="21">
        <f>IFERROR(T5/S5-1,"")</f>
        <v/>
      </c>
      <c r="U6" s="21">
        <f>IFERROR(U5/T5-1,"")</f>
        <v/>
      </c>
      <c r="V6" s="21">
        <f>IFERROR(V5/U5-1,"")</f>
        <v/>
      </c>
      <c r="W6" s="21">
        <f>IFERROR(W5/V5-1,"")</f>
        <v/>
      </c>
      <c r="X6" s="32">
        <f>IFERROR(X5/W5-1,"")</f>
        <v/>
      </c>
      <c r="Y6" s="32">
        <f>IFERROR(Y5/X5-1,"")</f>
        <v/>
      </c>
      <c r="Z6" s="32">
        <f>IFERROR(Z5/Y5-1,"")</f>
        <v/>
      </c>
      <c r="AA6" s="32">
        <f>IFERROR(AA5/Z5-1,"")</f>
        <v/>
      </c>
      <c r="AB6" s="32">
        <f>IFERROR(AB5/AA5-1,"")</f>
        <v/>
      </c>
      <c r="AC6" s="32">
        <f>IFERROR(AC5/AB5-1,"")</f>
        <v/>
      </c>
      <c r="AD6" s="32">
        <f>IFERROR(AD5/AC5-1,"")</f>
        <v/>
      </c>
      <c r="AE6" s="32">
        <f>IFERROR(AE5/AD5-1,"")</f>
        <v/>
      </c>
      <c r="AF6" s="32">
        <f>IFERROR(AF5/AE5-1,"")</f>
        <v/>
      </c>
      <c r="AG6" s="32">
        <f>IFERROR(AG5/AF5-1,"")</f>
        <v/>
      </c>
    </row>
    <row r="7">
      <c r="D7" t="inlineStr">
        <is>
          <t xml:space="preserve"> 원/달러(기말)</t>
        </is>
      </c>
      <c r="E7" s="13">
        <f>IFERROR(VLOOKUP($D7,환율,MATCH(E$1,변수H,0),0),"")</f>
        <v/>
      </c>
      <c r="F7" s="13">
        <f>IFERROR(VLOOKUP($D7,환율,MATCH(F$1,변수H,0),0),"")</f>
        <v/>
      </c>
      <c r="G7" s="13">
        <f>IFERROR(VLOOKUP($D7,환율,MATCH(G$1,변수H,0),0),"")</f>
        <v/>
      </c>
      <c r="H7" s="13">
        <f>IFERROR(VLOOKUP($D7,환율,MATCH(H$1,변수H,0),0),"")</f>
        <v/>
      </c>
      <c r="I7" s="13">
        <f>IFERROR(VLOOKUP($D7,환율,MATCH(I$1,변수H,0),0),"")</f>
        <v/>
      </c>
      <c r="J7" s="13">
        <f>IFERROR(VLOOKUP($D7,환율,MATCH(J$1,변수H,0),0),"")</f>
        <v/>
      </c>
      <c r="K7" s="13">
        <f>IFERROR(VLOOKUP($D7,환율,MATCH(K$1,변수H,0),0),"")</f>
        <v/>
      </c>
      <c r="L7" s="13">
        <f>IFERROR(VLOOKUP($D7,환율,MATCH(L$1,변수H,0),0),"")</f>
        <v/>
      </c>
      <c r="M7" s="13">
        <f>IFERROR(VLOOKUP($D7,환율,MATCH(M$1,변수H,0),0),"")</f>
        <v/>
      </c>
      <c r="N7" s="13">
        <f>IFERROR(VLOOKUP($D7,환율,MATCH(N$1,변수H,0),0),"")</f>
        <v/>
      </c>
      <c r="O7" s="13">
        <f>IFERROR(VLOOKUP($D7,환율,MATCH(O$1,변수H,0),0),"")</f>
        <v/>
      </c>
      <c r="P7" s="13">
        <f>IFERROR(VLOOKUP($D7,환율,MATCH(P$1,변수H,0),0),"")</f>
        <v/>
      </c>
      <c r="Q7" s="13">
        <f>IFERROR(VLOOKUP($D7,환율,MATCH(Q$1,변수H,0),0),"")</f>
        <v/>
      </c>
      <c r="R7" s="13">
        <f>IFERROR(VLOOKUP($D7,환율,MATCH(R$1,변수H,0),0),"")</f>
        <v/>
      </c>
      <c r="S7" s="13">
        <f>IFERROR(VLOOKUP($D7,환율,MATCH(S$1,변수H,0),0),"")</f>
        <v/>
      </c>
      <c r="T7" s="13">
        <f>IFERROR(VLOOKUP($D7,환율,MATCH(T$1,변수H,0),0),"")</f>
        <v/>
      </c>
      <c r="U7" s="13">
        <f>IFERROR(VLOOKUP($D7,환율,MATCH(U$1,변수H,0),0),"")</f>
        <v/>
      </c>
      <c r="V7" s="13">
        <f>IFERROR(VLOOKUP($D7,환율,MATCH(V$1,변수H,0),0),"")</f>
        <v/>
      </c>
      <c r="W7" s="13">
        <f>IFERROR(VLOOKUP($D7,환율,MATCH(W$1,변수H,0),0),"")</f>
        <v/>
      </c>
      <c r="X7" s="39">
        <f>IFERROR(VLOOKUP($D7,환율,MATCH(X$1,변수H,0),0),"")</f>
        <v/>
      </c>
      <c r="Y7" s="39">
        <f>IFERROR(VLOOKUP($D7,환율,MATCH(Y$1,변수H,0),0),"")</f>
        <v/>
      </c>
      <c r="Z7" s="39">
        <f>IFERROR(VLOOKUP($D7,환율,MATCH(Z$1,변수H,0),0),"")</f>
        <v/>
      </c>
      <c r="AA7" s="39">
        <f>IFERROR(VLOOKUP($D7,환율,MATCH(AA$1,변수H,0),0),"")</f>
        <v/>
      </c>
      <c r="AB7" s="39">
        <f>IFERROR(VLOOKUP($D7,환율,MATCH(AB$1,변수H,0),0),"")</f>
        <v/>
      </c>
      <c r="AC7" s="39">
        <f>IFERROR(VLOOKUP($D7,환율,MATCH(AC$1,변수H,0),0),"")</f>
        <v/>
      </c>
      <c r="AD7" s="39">
        <f>IFERROR(VLOOKUP($D7,환율,MATCH(AD$1,변수H,0),0),"")</f>
        <v/>
      </c>
      <c r="AE7" s="39">
        <f>IFERROR(VLOOKUP($D7,환율,MATCH(AE$1,변수H,0),0),"")</f>
        <v/>
      </c>
      <c r="AF7" s="39">
        <f>IFERROR(VLOOKUP($D7,환율,MATCH(AF$1,변수H,0),0),"")</f>
        <v/>
      </c>
      <c r="AG7" s="39">
        <f>IFERROR(VLOOKUP($D7,환율,MATCH(AG$1,변수H,0),0),"")</f>
        <v/>
      </c>
    </row>
    <row r="8">
      <c r="A8" s="12" t="inlineStr">
        <is>
          <t>원/달러(기말) QoQ</t>
        </is>
      </c>
      <c r="F8" s="21">
        <f>IFERROR(F7/E7-1,"")</f>
        <v/>
      </c>
      <c r="G8" s="21">
        <f>IFERROR(G7/F7-1,"")</f>
        <v/>
      </c>
      <c r="H8" s="21">
        <f>IFERROR(H7/G7-1,"")</f>
        <v/>
      </c>
      <c r="I8" s="21">
        <f>IFERROR(I7/H7-1,"")</f>
        <v/>
      </c>
      <c r="J8" s="21">
        <f>IFERROR(J7/I7-1,"")</f>
        <v/>
      </c>
      <c r="K8" s="21">
        <f>IFERROR(K7/J7-1,"")</f>
        <v/>
      </c>
      <c r="L8" s="21">
        <f>IFERROR(L7/K7-1,"")</f>
        <v/>
      </c>
      <c r="M8" s="21">
        <f>IFERROR(M7/L7-1,"")</f>
        <v/>
      </c>
      <c r="N8" s="21">
        <f>IFERROR(N7/M7-1,"")</f>
        <v/>
      </c>
      <c r="O8" s="21">
        <f>IFERROR(O7/N7-1,"")</f>
        <v/>
      </c>
      <c r="P8" s="21">
        <f>IFERROR(P7/O7-1,"")</f>
        <v/>
      </c>
      <c r="Q8" s="21">
        <f>IFERROR(Q7/P7-1,"")</f>
        <v/>
      </c>
      <c r="R8" s="21">
        <f>IFERROR(R7/Q7-1,"")</f>
        <v/>
      </c>
      <c r="S8" s="21">
        <f>IFERROR(S7/R7-1,"")</f>
        <v/>
      </c>
      <c r="T8" s="21">
        <f>IFERROR(T7/S7-1,"")</f>
        <v/>
      </c>
      <c r="U8" s="21">
        <f>IFERROR(U7/T7-1,"")</f>
        <v/>
      </c>
      <c r="V8" s="21">
        <f>IFERROR(V7/U7-1,"")</f>
        <v/>
      </c>
      <c r="W8" s="21">
        <f>IFERROR(W7/V7-1,"")</f>
        <v/>
      </c>
      <c r="X8" s="32">
        <f>IFERROR(X7/W7-1,"")</f>
        <v/>
      </c>
      <c r="Y8" s="32">
        <f>IFERROR(Y7/X7-1,"")</f>
        <v/>
      </c>
      <c r="Z8" s="32">
        <f>IFERROR(Z7/Y7-1,"")</f>
        <v/>
      </c>
      <c r="AA8" s="32">
        <f>IFERROR(AA7/Z7-1,"")</f>
        <v/>
      </c>
      <c r="AB8" s="32">
        <f>IFERROR(AB7/AA7-1,"")</f>
        <v/>
      </c>
      <c r="AC8" s="32">
        <f>IFERROR(AC7/AB7-1,"")</f>
        <v/>
      </c>
      <c r="AD8" s="32">
        <f>IFERROR(AD7/AC7-1,"")</f>
        <v/>
      </c>
      <c r="AE8" s="32">
        <f>IFERROR(AE7/AD7-1,"")</f>
        <v/>
      </c>
      <c r="AF8" s="32">
        <f>IFERROR(AF7/AE7-1,"")</f>
        <v/>
      </c>
      <c r="AG8" s="32">
        <f>IFERROR(AG7/AF7-1,"")</f>
        <v/>
      </c>
    </row>
    <row r="9">
      <c r="D9" t="inlineStr">
        <is>
          <t xml:space="preserve"> W/Euro(평균)</t>
        </is>
      </c>
      <c r="E9" s="13">
        <f>IFERROR(VLOOKUP($D9,환율,MATCH(E$1,변수H,0),0),"")</f>
        <v/>
      </c>
      <c r="F9" s="13">
        <f>IFERROR(VLOOKUP($D9,환율,MATCH(F$1,변수H,0),0),"")</f>
        <v/>
      </c>
      <c r="G9" s="13">
        <f>IFERROR(VLOOKUP($D9,환율,MATCH(G$1,변수H,0),0),"")</f>
        <v/>
      </c>
      <c r="H9" s="13">
        <f>IFERROR(VLOOKUP($D9,환율,MATCH(H$1,변수H,0),0),"")</f>
        <v/>
      </c>
      <c r="I9" s="13">
        <f>IFERROR(VLOOKUP($D9,환율,MATCH(I$1,변수H,0),0),"")</f>
        <v/>
      </c>
      <c r="J9" s="13">
        <f>IFERROR(VLOOKUP($D9,환율,MATCH(J$1,변수H,0),0),"")</f>
        <v/>
      </c>
      <c r="K9" s="13">
        <f>IFERROR(VLOOKUP($D9,환율,MATCH(K$1,변수H,0),0),"")</f>
        <v/>
      </c>
      <c r="L9" s="13">
        <f>IFERROR(VLOOKUP($D9,환율,MATCH(L$1,변수H,0),0),"")</f>
        <v/>
      </c>
      <c r="M9" s="13">
        <f>IFERROR(VLOOKUP($D9,환율,MATCH(M$1,변수H,0),0),"")</f>
        <v/>
      </c>
      <c r="N9" s="13">
        <f>IFERROR(VLOOKUP($D9,환율,MATCH(N$1,변수H,0),0),"")</f>
        <v/>
      </c>
      <c r="O9" s="13">
        <f>IFERROR(VLOOKUP($D9,환율,MATCH(O$1,변수H,0),0),"")</f>
        <v/>
      </c>
      <c r="P9" s="13">
        <f>IFERROR(VLOOKUP($D9,환율,MATCH(P$1,변수H,0),0),"")</f>
        <v/>
      </c>
      <c r="Q9" s="13">
        <f>IFERROR(VLOOKUP($D9,환율,MATCH(Q$1,변수H,0),0),"")</f>
        <v/>
      </c>
      <c r="R9" s="13">
        <f>IFERROR(VLOOKUP($D9,환율,MATCH(R$1,변수H,0),0),"")</f>
        <v/>
      </c>
      <c r="S9" s="13">
        <f>IFERROR(VLOOKUP($D9,환율,MATCH(S$1,변수H,0),0),"")</f>
        <v/>
      </c>
      <c r="T9" s="13">
        <f>IFERROR(VLOOKUP($D9,환율,MATCH(T$1,변수H,0),0),"")</f>
        <v/>
      </c>
      <c r="U9" s="13">
        <f>IFERROR(VLOOKUP($D9,환율,MATCH(U$1,변수H,0),0),"")</f>
        <v/>
      </c>
      <c r="V9" s="13">
        <f>IFERROR(VLOOKUP($D9,환율,MATCH(V$1,변수H,0),0),"")</f>
        <v/>
      </c>
      <c r="W9" s="13">
        <f>IFERROR(VLOOKUP($D9,환율,MATCH(W$1,변수H,0),0),"")</f>
        <v/>
      </c>
      <c r="X9" s="39">
        <f>IFERROR(VLOOKUP($D9,환율,MATCH(X$1,변수H,0),0),"")</f>
        <v/>
      </c>
      <c r="Y9" s="39">
        <f>IFERROR(VLOOKUP($D9,환율,MATCH(Y$1,변수H,0),0),"")</f>
        <v/>
      </c>
      <c r="Z9" s="39">
        <f>IFERROR(VLOOKUP($D9,환율,MATCH(Z$1,변수H,0),0),"")</f>
        <v/>
      </c>
      <c r="AA9" s="39">
        <f>IFERROR(VLOOKUP($D9,환율,MATCH(AA$1,변수H,0),0),"")</f>
        <v/>
      </c>
      <c r="AB9" s="39">
        <f>IFERROR(VLOOKUP($D9,환율,MATCH(AB$1,변수H,0),0),"")</f>
        <v/>
      </c>
      <c r="AC9" s="39">
        <f>IFERROR(VLOOKUP($D9,환율,MATCH(AC$1,변수H,0),0),"")</f>
        <v/>
      </c>
      <c r="AD9" s="39">
        <f>IFERROR(VLOOKUP($D9,환율,MATCH(AD$1,변수H,0),0),"")</f>
        <v/>
      </c>
      <c r="AE9" s="39">
        <f>IFERROR(VLOOKUP($D9,환율,MATCH(AE$1,변수H,0),0),"")</f>
        <v/>
      </c>
      <c r="AF9" s="39">
        <f>IFERROR(VLOOKUP($D9,환율,MATCH(AF$1,변수H,0),0),"")</f>
        <v/>
      </c>
      <c r="AG9" s="39">
        <f>IFERROR(VLOOKUP($D9,환율,MATCH(AG$1,변수H,0),0),"")</f>
        <v/>
      </c>
    </row>
    <row r="10">
      <c r="A10" s="12" t="inlineStr">
        <is>
          <t>W/Euro(평균) QoQ</t>
        </is>
      </c>
      <c r="F10" s="21">
        <f>IFERROR(F9/E9-1,"")</f>
        <v/>
      </c>
      <c r="G10" s="21">
        <f>IFERROR(G9/F9-1,"")</f>
        <v/>
      </c>
      <c r="H10" s="21">
        <f>IFERROR(H9/G9-1,"")</f>
        <v/>
      </c>
      <c r="I10" s="21">
        <f>IFERROR(I9/H9-1,"")</f>
        <v/>
      </c>
      <c r="J10" s="21">
        <f>IFERROR(J9/I9-1,"")</f>
        <v/>
      </c>
      <c r="K10" s="21">
        <f>IFERROR(K9/J9-1,"")</f>
        <v/>
      </c>
      <c r="L10" s="21">
        <f>IFERROR(L9/K9-1,"")</f>
        <v/>
      </c>
      <c r="M10" s="21">
        <f>IFERROR(M9/L9-1,"")</f>
        <v/>
      </c>
      <c r="N10" s="21">
        <f>IFERROR(N9/M9-1,"")</f>
        <v/>
      </c>
      <c r="O10" s="21">
        <f>IFERROR(O9/N9-1,"")</f>
        <v/>
      </c>
      <c r="P10" s="21">
        <f>IFERROR(P9/O9-1,"")</f>
        <v/>
      </c>
      <c r="Q10" s="21">
        <f>IFERROR(Q9/P9-1,"")</f>
        <v/>
      </c>
      <c r="R10" s="21">
        <f>IFERROR(R9/Q9-1,"")</f>
        <v/>
      </c>
      <c r="S10" s="21">
        <f>IFERROR(S9/R9-1,"")</f>
        <v/>
      </c>
      <c r="T10" s="21">
        <f>IFERROR(T9/S9-1,"")</f>
        <v/>
      </c>
      <c r="U10" s="21">
        <f>IFERROR(U9/T9-1,"")</f>
        <v/>
      </c>
      <c r="V10" s="21">
        <f>IFERROR(V9/U9-1,"")</f>
        <v/>
      </c>
      <c r="W10" s="21">
        <f>IFERROR(W9/V9-1,"")</f>
        <v/>
      </c>
      <c r="X10" s="32">
        <f>IFERROR(X9/W9-1,"")</f>
        <v/>
      </c>
      <c r="Y10" s="32">
        <f>IFERROR(Y9/X9-1,"")</f>
        <v/>
      </c>
      <c r="Z10" s="32">
        <f>IFERROR(Z9/Y9-1,"")</f>
        <v/>
      </c>
      <c r="AA10" s="32">
        <f>IFERROR(AA9/Z9-1,"")</f>
        <v/>
      </c>
      <c r="AB10" s="32">
        <f>IFERROR(AB9/AA9-1,"")</f>
        <v/>
      </c>
      <c r="AC10" s="32">
        <f>IFERROR(AC9/AB9-1,"")</f>
        <v/>
      </c>
      <c r="AD10" s="32">
        <f>IFERROR(AD9/AC9-1,"")</f>
        <v/>
      </c>
      <c r="AE10" s="32">
        <f>IFERROR(AE9/AD9-1,"")</f>
        <v/>
      </c>
      <c r="AF10" s="32">
        <f>IFERROR(AF9/AE9-1,"")</f>
        <v/>
      </c>
      <c r="AG10" s="32">
        <f>IFERROR(AG9/AF9-1,"")</f>
        <v/>
      </c>
    </row>
    <row r="11">
      <c r="D11" t="inlineStr">
        <is>
          <t xml:space="preserve"> W/Euro(기말)</t>
        </is>
      </c>
      <c r="E11" s="13">
        <f>IFERROR(VLOOKUP($D11,환율,MATCH(E$1,변수H,0),0),"")</f>
        <v/>
      </c>
      <c r="F11" s="13">
        <f>IFERROR(VLOOKUP($D11,환율,MATCH(F$1,변수H,0),0),"")</f>
        <v/>
      </c>
      <c r="G11" s="13">
        <f>IFERROR(VLOOKUP($D11,환율,MATCH(G$1,변수H,0),0),"")</f>
        <v/>
      </c>
      <c r="H11" s="13">
        <f>IFERROR(VLOOKUP($D11,환율,MATCH(H$1,변수H,0),0),"")</f>
        <v/>
      </c>
      <c r="I11" s="13">
        <f>IFERROR(VLOOKUP($D11,환율,MATCH(I$1,변수H,0),0),"")</f>
        <v/>
      </c>
      <c r="J11" s="13">
        <f>IFERROR(VLOOKUP($D11,환율,MATCH(J$1,변수H,0),0),"")</f>
        <v/>
      </c>
      <c r="K11" s="13">
        <f>IFERROR(VLOOKUP($D11,환율,MATCH(K$1,변수H,0),0),"")</f>
        <v/>
      </c>
      <c r="L11" s="13">
        <f>IFERROR(VLOOKUP($D11,환율,MATCH(L$1,변수H,0),0),"")</f>
        <v/>
      </c>
      <c r="M11" s="13">
        <f>IFERROR(VLOOKUP($D11,환율,MATCH(M$1,변수H,0),0),"")</f>
        <v/>
      </c>
      <c r="N11" s="13">
        <f>IFERROR(VLOOKUP($D11,환율,MATCH(N$1,변수H,0),0),"")</f>
        <v/>
      </c>
      <c r="O11" s="13">
        <f>IFERROR(VLOOKUP($D11,환율,MATCH(O$1,변수H,0),0),"")</f>
        <v/>
      </c>
      <c r="P11" s="13">
        <f>IFERROR(VLOOKUP($D11,환율,MATCH(P$1,변수H,0),0),"")</f>
        <v/>
      </c>
      <c r="Q11" s="13">
        <f>IFERROR(VLOOKUP($D11,환율,MATCH(Q$1,변수H,0),0),"")</f>
        <v/>
      </c>
      <c r="R11" s="13">
        <f>IFERROR(VLOOKUP($D11,환율,MATCH(R$1,변수H,0),0),"")</f>
        <v/>
      </c>
      <c r="S11" s="13">
        <f>IFERROR(VLOOKUP($D11,환율,MATCH(S$1,변수H,0),0),"")</f>
        <v/>
      </c>
      <c r="T11" s="13">
        <f>IFERROR(VLOOKUP($D11,환율,MATCH(T$1,변수H,0),0),"")</f>
        <v/>
      </c>
      <c r="U11" s="13">
        <f>IFERROR(VLOOKUP($D11,환율,MATCH(U$1,변수H,0),0),"")</f>
        <v/>
      </c>
      <c r="V11" s="13">
        <f>IFERROR(VLOOKUP($D11,환율,MATCH(V$1,변수H,0),0),"")</f>
        <v/>
      </c>
      <c r="W11" s="13">
        <f>IFERROR(VLOOKUP($D11,환율,MATCH(W$1,변수H,0),0),"")</f>
        <v/>
      </c>
      <c r="X11" s="39">
        <f>IFERROR(VLOOKUP($D11,환율,MATCH(X$1,변수H,0),0),"")</f>
        <v/>
      </c>
      <c r="Y11" s="39">
        <f>IFERROR(VLOOKUP($D11,환율,MATCH(Y$1,변수H,0),0),"")</f>
        <v/>
      </c>
      <c r="Z11" s="39">
        <f>IFERROR(VLOOKUP($D11,환율,MATCH(Z$1,변수H,0),0),"")</f>
        <v/>
      </c>
      <c r="AA11" s="39">
        <f>IFERROR(VLOOKUP($D11,환율,MATCH(AA$1,변수H,0),0),"")</f>
        <v/>
      </c>
      <c r="AB11" s="39">
        <f>IFERROR(VLOOKUP($D11,환율,MATCH(AB$1,변수H,0),0),"")</f>
        <v/>
      </c>
      <c r="AC11" s="39">
        <f>IFERROR(VLOOKUP($D11,환율,MATCH(AC$1,변수H,0),0),"")</f>
        <v/>
      </c>
      <c r="AD11" s="39">
        <f>IFERROR(VLOOKUP($D11,환율,MATCH(AD$1,변수H,0),0),"")</f>
        <v/>
      </c>
      <c r="AE11" s="39">
        <f>IFERROR(VLOOKUP($D11,환율,MATCH(AE$1,변수H,0),0),"")</f>
        <v/>
      </c>
      <c r="AF11" s="39">
        <f>IFERROR(VLOOKUP($D11,환율,MATCH(AF$1,변수H,0),0),"")</f>
        <v/>
      </c>
      <c r="AG11" s="39">
        <f>IFERROR(VLOOKUP($D11,환율,MATCH(AG$1,변수H,0),0),"")</f>
        <v/>
      </c>
    </row>
    <row r="12">
      <c r="A12" s="12" t="inlineStr">
        <is>
          <t>W/Euro(기말) QoQ</t>
        </is>
      </c>
      <c r="F12" s="21">
        <f>IFERROR(F11/E11-1,"")</f>
        <v/>
      </c>
      <c r="G12" s="21">
        <f>IFERROR(G11/F11-1,"")</f>
        <v/>
      </c>
      <c r="H12" s="21">
        <f>IFERROR(H11/G11-1,"")</f>
        <v/>
      </c>
      <c r="I12" s="21">
        <f>IFERROR(I11/H11-1,"")</f>
        <v/>
      </c>
      <c r="J12" s="21">
        <f>IFERROR(J11/I11-1,"")</f>
        <v/>
      </c>
      <c r="K12" s="21">
        <f>IFERROR(K11/J11-1,"")</f>
        <v/>
      </c>
      <c r="L12" s="21">
        <f>IFERROR(L11/K11-1,"")</f>
        <v/>
      </c>
      <c r="M12" s="21">
        <f>IFERROR(M11/L11-1,"")</f>
        <v/>
      </c>
      <c r="N12" s="21">
        <f>IFERROR(N11/M11-1,"")</f>
        <v/>
      </c>
      <c r="O12" s="21">
        <f>IFERROR(O11/N11-1,"")</f>
        <v/>
      </c>
      <c r="P12" s="21">
        <f>IFERROR(P11/O11-1,"")</f>
        <v/>
      </c>
      <c r="Q12" s="21">
        <f>IFERROR(Q11/P11-1,"")</f>
        <v/>
      </c>
      <c r="R12" s="21">
        <f>IFERROR(R11/Q11-1,"")</f>
        <v/>
      </c>
      <c r="S12" s="21">
        <f>IFERROR(S11/R11-1,"")</f>
        <v/>
      </c>
      <c r="T12" s="21">
        <f>IFERROR(T11/S11-1,"")</f>
        <v/>
      </c>
      <c r="U12" s="21">
        <f>IFERROR(U11/T11-1,"")</f>
        <v/>
      </c>
      <c r="V12" s="21">
        <f>IFERROR(V11/U11-1,"")</f>
        <v/>
      </c>
      <c r="W12" s="21">
        <f>IFERROR(W11/V11-1,"")</f>
        <v/>
      </c>
      <c r="X12" s="32">
        <f>IFERROR(X11/W11-1,"")</f>
        <v/>
      </c>
      <c r="Y12" s="32">
        <f>IFERROR(Y11/X11-1,"")</f>
        <v/>
      </c>
      <c r="Z12" s="32">
        <f>IFERROR(Z11/Y11-1,"")</f>
        <v/>
      </c>
      <c r="AA12" s="32">
        <f>IFERROR(AA11/Z11-1,"")</f>
        <v/>
      </c>
      <c r="AB12" s="32">
        <f>IFERROR(AB11/AA11-1,"")</f>
        <v/>
      </c>
      <c r="AC12" s="32">
        <f>IFERROR(AC11/AB11-1,"")</f>
        <v/>
      </c>
      <c r="AD12" s="32">
        <f>IFERROR(AD11/AC11-1,"")</f>
        <v/>
      </c>
      <c r="AE12" s="32">
        <f>IFERROR(AE11/AD11-1,"")</f>
        <v/>
      </c>
      <c r="AF12" s="32">
        <f>IFERROR(AF11/AE11-1,"")</f>
        <v/>
      </c>
      <c r="AG12" s="32">
        <f>IFERROR(AG11/AF11-1,"")</f>
        <v/>
      </c>
    </row>
    <row r="13">
      <c r="D13" t="inlineStr">
        <is>
          <t xml:space="preserve"> 원/100Y(기말)</t>
        </is>
      </c>
      <c r="E13" s="13">
        <f>IFERROR(VLOOKUP($D13,환율,MATCH(E$1,변수H,0),0),"")</f>
        <v/>
      </c>
      <c r="F13" s="13">
        <f>IFERROR(VLOOKUP($D13,환율,MATCH(F$1,변수H,0),0),"")</f>
        <v/>
      </c>
      <c r="G13" s="13">
        <f>IFERROR(VLOOKUP($D13,환율,MATCH(G$1,변수H,0),0),"")</f>
        <v/>
      </c>
      <c r="H13" s="13">
        <f>IFERROR(VLOOKUP($D13,환율,MATCH(H$1,변수H,0),0),"")</f>
        <v/>
      </c>
      <c r="I13" s="13">
        <f>IFERROR(VLOOKUP($D13,환율,MATCH(I$1,변수H,0),0),"")</f>
        <v/>
      </c>
      <c r="J13" s="13">
        <f>IFERROR(VLOOKUP($D13,환율,MATCH(J$1,변수H,0),0),"")</f>
        <v/>
      </c>
      <c r="K13" s="13">
        <f>IFERROR(VLOOKUP($D13,환율,MATCH(K$1,변수H,0),0),"")</f>
        <v/>
      </c>
      <c r="L13" s="13">
        <f>IFERROR(VLOOKUP($D13,환율,MATCH(L$1,변수H,0),0),"")</f>
        <v/>
      </c>
      <c r="M13" s="13">
        <f>IFERROR(VLOOKUP($D13,환율,MATCH(M$1,변수H,0),0),"")</f>
        <v/>
      </c>
      <c r="N13" s="13">
        <f>IFERROR(VLOOKUP($D13,환율,MATCH(N$1,변수H,0),0),"")</f>
        <v/>
      </c>
      <c r="O13" s="13">
        <f>IFERROR(VLOOKUP($D13,환율,MATCH(O$1,변수H,0),0),"")</f>
        <v/>
      </c>
      <c r="P13" s="13">
        <f>IFERROR(VLOOKUP($D13,환율,MATCH(P$1,변수H,0),0),"")</f>
        <v/>
      </c>
      <c r="Q13" s="13">
        <f>IFERROR(VLOOKUP($D13,환율,MATCH(Q$1,변수H,0),0),"")</f>
        <v/>
      </c>
      <c r="R13" s="13">
        <f>IFERROR(VLOOKUP($D13,환율,MATCH(R$1,변수H,0),0),"")</f>
        <v/>
      </c>
      <c r="S13" s="13">
        <f>IFERROR(VLOOKUP($D13,환율,MATCH(S$1,변수H,0),0),"")</f>
        <v/>
      </c>
      <c r="T13" s="13">
        <f>IFERROR(VLOOKUP($D13,환율,MATCH(T$1,변수H,0),0),"")</f>
        <v/>
      </c>
      <c r="U13" s="13">
        <f>IFERROR(VLOOKUP($D13,환율,MATCH(U$1,변수H,0),0),"")</f>
        <v/>
      </c>
      <c r="V13" s="13">
        <f>IFERROR(VLOOKUP($D13,환율,MATCH(V$1,변수H,0),0),"")</f>
        <v/>
      </c>
      <c r="W13" s="13">
        <f>IFERROR(VLOOKUP($D13,환율,MATCH(W$1,변수H,0),0),"")</f>
        <v/>
      </c>
      <c r="X13" s="39">
        <f>IFERROR(VLOOKUP($D13,환율,MATCH(X$1,변수H,0),0),"")</f>
        <v/>
      </c>
      <c r="Y13" s="39">
        <f>IFERROR(VLOOKUP($D13,환율,MATCH(Y$1,변수H,0),0),"")</f>
        <v/>
      </c>
      <c r="Z13" s="39">
        <f>IFERROR(VLOOKUP($D13,환율,MATCH(Z$1,변수H,0),0),"")</f>
        <v/>
      </c>
      <c r="AA13" s="39">
        <f>IFERROR(VLOOKUP($D13,환율,MATCH(AA$1,변수H,0),0),"")</f>
        <v/>
      </c>
      <c r="AB13" s="39">
        <f>IFERROR(VLOOKUP($D13,환율,MATCH(AB$1,변수H,0),0),"")</f>
        <v/>
      </c>
      <c r="AC13" s="39">
        <f>IFERROR(VLOOKUP($D13,환율,MATCH(AC$1,변수H,0),0),"")</f>
        <v/>
      </c>
      <c r="AD13" s="39">
        <f>IFERROR(VLOOKUP($D13,환율,MATCH(AD$1,변수H,0),0),"")</f>
        <v/>
      </c>
      <c r="AE13" s="39">
        <f>IFERROR(VLOOKUP($D13,환율,MATCH(AE$1,변수H,0),0),"")</f>
        <v/>
      </c>
      <c r="AF13" s="39">
        <f>IFERROR(VLOOKUP($D13,환율,MATCH(AF$1,변수H,0),0),"")</f>
        <v/>
      </c>
      <c r="AG13" s="39">
        <f>IFERROR(VLOOKUP($D13,환율,MATCH(AG$1,변수H,0),0),"")</f>
        <v/>
      </c>
    </row>
    <row r="14">
      <c r="A14" s="12" t="inlineStr">
        <is>
          <t>원/100Y(기말) QoQ</t>
        </is>
      </c>
      <c r="F14" s="21">
        <f>IFERROR(F13/E13-1,"")</f>
        <v/>
      </c>
      <c r="G14" s="21">
        <f>IFERROR(G13/F13-1,"")</f>
        <v/>
      </c>
      <c r="H14" s="21">
        <f>IFERROR(H13/G13-1,"")</f>
        <v/>
      </c>
      <c r="I14" s="21">
        <f>IFERROR(I13/H13-1,"")</f>
        <v/>
      </c>
      <c r="J14" s="21">
        <f>IFERROR(J13/I13-1,"")</f>
        <v/>
      </c>
      <c r="K14" s="21">
        <f>IFERROR(K13/J13-1,"")</f>
        <v/>
      </c>
      <c r="L14" s="21">
        <f>IFERROR(L13/K13-1,"")</f>
        <v/>
      </c>
      <c r="M14" s="21">
        <f>IFERROR(M13/L13-1,"")</f>
        <v/>
      </c>
      <c r="N14" s="21">
        <f>IFERROR(N13/M13-1,"")</f>
        <v/>
      </c>
      <c r="O14" s="21">
        <f>IFERROR(O13/N13-1,"")</f>
        <v/>
      </c>
      <c r="P14" s="21">
        <f>IFERROR(P13/O13-1,"")</f>
        <v/>
      </c>
      <c r="Q14" s="21">
        <f>IFERROR(Q13/P13-1,"")</f>
        <v/>
      </c>
      <c r="R14" s="21">
        <f>IFERROR(R13/Q13-1,"")</f>
        <v/>
      </c>
      <c r="S14" s="21">
        <f>IFERROR(S13/R13-1,"")</f>
        <v/>
      </c>
      <c r="T14" s="21">
        <f>IFERROR(T13/S13-1,"")</f>
        <v/>
      </c>
      <c r="U14" s="21">
        <f>IFERROR(U13/T13-1,"")</f>
        <v/>
      </c>
      <c r="V14" s="21">
        <f>IFERROR(V13/U13-1,"")</f>
        <v/>
      </c>
      <c r="W14" s="21">
        <f>IFERROR(W13/V13-1,"")</f>
        <v/>
      </c>
      <c r="X14" s="32">
        <f>IFERROR(X13/W13-1,"")</f>
        <v/>
      </c>
      <c r="Y14" s="32">
        <f>IFERROR(Y13/X13-1,"")</f>
        <v/>
      </c>
      <c r="Z14" s="32">
        <f>IFERROR(Z13/Y13-1,"")</f>
        <v/>
      </c>
      <c r="AA14" s="32">
        <f>IFERROR(AA13/Z13-1,"")</f>
        <v/>
      </c>
      <c r="AB14" s="32">
        <f>IFERROR(AB13/AA13-1,"")</f>
        <v/>
      </c>
      <c r="AC14" s="32">
        <f>IFERROR(AC13/AB13-1,"")</f>
        <v/>
      </c>
      <c r="AD14" s="32">
        <f>IFERROR(AD13/AC13-1,"")</f>
        <v/>
      </c>
      <c r="AE14" s="32">
        <f>IFERROR(AE13/AD13-1,"")</f>
        <v/>
      </c>
      <c r="AF14" s="32">
        <f>IFERROR(AF13/AE13-1,"")</f>
        <v/>
      </c>
      <c r="AG14" s="32">
        <f>IFERROR(AG13/AF13-1,"")</f>
        <v/>
      </c>
    </row>
    <row r="15">
      <c r="X15" s="10" t="n"/>
      <c r="Y15" s="10" t="n"/>
      <c r="Z15" s="10" t="n"/>
      <c r="AA15" s="10" t="n"/>
      <c r="AB15" s="10" t="n"/>
      <c r="AC15" s="10" t="n"/>
      <c r="AD15" s="10" t="n"/>
      <c r="AE15" s="10" t="n"/>
      <c r="AF15" s="10" t="n"/>
      <c r="AG15" s="10" t="n"/>
    </row>
    <row r="16">
      <c r="A16" s="12" t="inlineStr">
        <is>
          <t>외화순노출</t>
        </is>
      </c>
      <c r="C16" t="inlineStr">
        <is>
          <t>외화 순노출(백만$)</t>
        </is>
      </c>
      <c r="D16" s="27">
        <f>변수!D52</f>
        <v/>
      </c>
      <c r="E16" s="2" t="inlineStr">
        <is>
          <t>외화 순노출 × Δ기말환율 (외화 시트 방식)</t>
        </is>
      </c>
      <c r="X16" s="10" t="n"/>
      <c r="Y16" s="10" t="n"/>
      <c r="Z16" s="10" t="n"/>
      <c r="AA16" s="10" t="n"/>
      <c r="AB16" s="10" t="n"/>
      <c r="AC16" s="10" t="n"/>
      <c r="AD16" s="10" t="n"/>
      <c r="AE16" s="10" t="n"/>
      <c r="AF16" s="10" t="n"/>
      <c r="AG16" s="10" t="n"/>
    </row>
    <row r="17">
      <c r="A17" s="12" t="inlineStr">
        <is>
          <t>환관련손익추정</t>
        </is>
      </c>
      <c r="C17" t="inlineStr">
        <is>
          <t>환관련손익 추정(억원) = 순노출 × Δ원/달러(기말) / 100</t>
        </is>
      </c>
      <c r="F17" s="18">
        <f>IFERROR($D$16*(F7-E7)/100,"")</f>
        <v/>
      </c>
      <c r="G17" s="18">
        <f>IFERROR($D$16*(G7-F7)/100,"")</f>
        <v/>
      </c>
      <c r="H17" s="18">
        <f>IFERROR($D$16*(H7-G7)/100,"")</f>
        <v/>
      </c>
      <c r="I17" s="18">
        <f>IFERROR($D$16*(I7-H7)/100,"")</f>
        <v/>
      </c>
      <c r="J17" s="18">
        <f>IFERROR($D$16*(J7-I7)/100,"")</f>
        <v/>
      </c>
      <c r="K17" s="18">
        <f>IFERROR($D$16*(K7-J7)/100,"")</f>
        <v/>
      </c>
      <c r="L17" s="18">
        <f>IFERROR($D$16*(L7-K7)/100,"")</f>
        <v/>
      </c>
      <c r="M17" s="18">
        <f>IFERROR($D$16*(M7-L7)/100,"")</f>
        <v/>
      </c>
      <c r="N17" s="18">
        <f>IFERROR($D$16*(N7-M7)/100,"")</f>
        <v/>
      </c>
      <c r="O17" s="18">
        <f>IFERROR($D$16*(O7-N7)/100,"")</f>
        <v/>
      </c>
      <c r="P17" s="18">
        <f>IFERROR($D$16*(P7-O7)/100,"")</f>
        <v/>
      </c>
      <c r="Q17" s="18">
        <f>IFERROR($D$16*(Q7-P7)/100,"")</f>
        <v/>
      </c>
      <c r="R17" s="18">
        <f>IFERROR($D$16*(R7-Q7)/100,"")</f>
        <v/>
      </c>
      <c r="S17" s="18">
        <f>IFERROR($D$16*(S7-R7)/100,"")</f>
        <v/>
      </c>
      <c r="T17" s="18">
        <f>IFERROR($D$16*(T7-S7)/100,"")</f>
        <v/>
      </c>
      <c r="U17" s="18">
        <f>IFERROR($D$16*(U7-T7)/100,"")</f>
        <v/>
      </c>
      <c r="V17" s="18">
        <f>IFERROR($D$16*(V7-U7)/100,"")</f>
        <v/>
      </c>
      <c r="W17" s="18">
        <f>IFERROR($D$16*(W7-V7)/100,"")</f>
        <v/>
      </c>
      <c r="X17" s="20">
        <f>IFERROR($D$16*(X7-W7)/100,"")</f>
        <v/>
      </c>
      <c r="Y17" s="20">
        <f>IFERROR($D$16*(Y7-X7)/100,"")</f>
        <v/>
      </c>
      <c r="Z17" s="20">
        <f>IFERROR($D$16*(Z7-Y7)/100,"")</f>
        <v/>
      </c>
      <c r="AA17" s="20">
        <f>IFERROR($D$16*(AA7-Z7)/100,"")</f>
        <v/>
      </c>
      <c r="AB17" s="20">
        <f>IFERROR($D$16*(AB7-AA7)/100,"")</f>
        <v/>
      </c>
      <c r="AC17" s="20">
        <f>IFERROR($D$16*(AC7-AB7)/100,"")</f>
        <v/>
      </c>
      <c r="AD17" s="20">
        <f>IFERROR($D$16*(AD7-AC7)/100,"")</f>
        <v/>
      </c>
      <c r="AE17" s="20">
        <f>IFERROR($D$16*(AE7-AD7)/100,"")</f>
        <v/>
      </c>
      <c r="AF17" s="20">
        <f>IFERROR($D$16*(AF7-AE7)/100,"")</f>
        <v/>
      </c>
      <c r="AG17" s="20">
        <f>IFERROR($D$16*(AG7-AF7)/100,"")</f>
        <v/>
      </c>
    </row>
    <row r="18">
      <c r="A18" s="12" t="inlineStr">
        <is>
          <t>fx_pnl.by_q</t>
        </is>
      </c>
      <c r="C18" t="inlineStr">
        <is>
          <t>모델 fx_pnl.by_q(억원, 참고)</t>
        </is>
      </c>
      <c r="X18" s="10" t="n"/>
      <c r="Y18" s="10" t="n"/>
      <c r="Z18" s="10" t="n"/>
      <c r="AA18" s="10" t="n"/>
      <c r="AB18" s="10" t="n"/>
      <c r="AC18" s="10" t="n"/>
      <c r="AD18" s="10" t="n"/>
      <c r="AE18" s="10" t="n"/>
      <c r="AF18" s="10" t="n"/>
      <c r="AG18" s="10" t="n"/>
    </row>
    <row r="19">
      <c r="C19" s="2" t="inlineStr">
        <is>
          <t>외화 순노출 미공시(face) → 0 + 표기</t>
        </is>
      </c>
      <c r="X19" s="10" t="n"/>
      <c r="Y19" s="10" t="n"/>
      <c r="Z19" s="10" t="n"/>
      <c r="AA19" s="10" t="n"/>
      <c r="AB19" s="10" t="n"/>
      <c r="AC19" s="10" t="n"/>
      <c r="AD19" s="10" t="n"/>
      <c r="AE19" s="10" t="n"/>
      <c r="AF19" s="10" t="n"/>
      <c r="AG19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kship_model_xlsx</dc:creator>
  <dcterms:created xsi:type="dcterms:W3CDTF">2026-10-26T00:00:00Z</dcterms:created>
  <dcterms:modified xsi:type="dcterms:W3CDTF">2026-10-26T00:00:00Z</dcterms:modified>
</cp:coreProperties>
</file>