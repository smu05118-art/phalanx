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BS연결!$C$5:$AO$86</definedName>
    <definedName name="BS별도H">BS별도!$C$1:$AO$1</definedName>
    <definedName name="BS별도">BS별도!$C$5:$AO$82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(1+10.5%) — g=최근 4분기 합 YoY 10.5% 클립(−30~+50%), 연차별 절반 감쇠(가정)</t>
      </text>
    </comment>
    <comment ref="AD21" authorId="0" shapeId="0">
      <text>
        <t>모델값 역산(implied): v / 전년동기 − 1
전년동기 × (1+10.5%) — g=최근 4분기 합 YoY 10.5% 클립(−30~+50%), 연차별 절반 감쇠(가정)</t>
      </text>
    </comment>
    <comment ref="AF21" authorId="0" shapeId="0">
      <text>
        <t>모델값 역산(implied): v / 전년동기 − 1
전년동기 × (1+10.5%) — g=최근 4분기 합 YoY 10.5% 클립(−30~+50%), 연차별 절반 감쇠(가정)</t>
      </text>
    </comment>
    <comment ref="AG21" authorId="0" shapeId="0">
      <text>
        <t>모델값 역산(implied): v / 전년동기 − 1
전년동기 × (1+10.5%) — g=최근 4분기 합 YoY 10.5% 클립(−30~+50%), 연차별 절반 감쇠(가정)</t>
      </text>
    </comment>
    <comment ref="AH21" authorId="0" shapeId="0">
      <text>
        <t>모델값 역산(implied): v / 전년동기 − 1
전년동기 × (1+5.3%) — g=최근 4분기 합 YoY 10.5% 클립(−30~+50%), 연차별 절반 감쇠(가정)</t>
      </text>
    </comment>
    <comment ref="AI21" authorId="0" shapeId="0">
      <text>
        <t>모델값 역산(implied): v / 전년동기 − 1
전년동기 × (1+5.3%) — g=최근 4분기 합 YoY 10.5% 클립(−30~+50%), 연차별 절반 감쇠(가정)</t>
      </text>
    </comment>
    <comment ref="AK21" authorId="0" shapeId="0">
      <text>
        <t>모델값 역산(implied): v / 전년동기 − 1
전년동기 × (1+5.3%) — g=최근 4분기 합 YoY 10.5% 클립(−30~+50%), 연차별 절반 감쇠(가정)</t>
      </text>
    </comment>
    <comment ref="AL21" authorId="0" shapeId="0">
      <text>
        <t>모델값 역산(implied): v / 전년동기 − 1
전년동기 × (1+5.3%) — g=최근 4분기 합 YoY 10.5% 클립(−30~+50%), 연차별 절반 감쇠(가정)</t>
      </text>
    </comment>
    <comment ref="AM21" authorId="0" shapeId="0">
      <text>
        <t>모델값 역산(implied): v / 전년동기 − 1
전년동기 × (1+2.6%) — g=최근 4분기 합 YoY 10.5% 클립(−30~+50%), 연차별 절반 감쇠(가정)</t>
      </text>
    </comment>
    <comment ref="AN21" authorId="0" shapeId="0">
      <text>
        <t>모델값 역산(implied): v / 전년동기 − 1
전년동기 × (1+2.6%) — g=최근 4분기 합 YoY 10.5% 클립(−30~+50%), 연차별 절반 감쇠(가정)</t>
      </text>
    </comment>
    <comment ref="AC22" authorId="0" shapeId="0">
      <text>
        <t>3절 스칼라 '판관비율' 참조 — 숫자로 덮어쓰면 이 분기만 바뀐다
매출액 × 판관비율 6.92%(최근 4분기 중위)</t>
      </text>
    </comment>
    <comment ref="AD22" authorId="0" shapeId="0">
      <text>
        <t>3절 스칼라 '판관비율' 참조 — 숫자로 덮어쓰면 이 분기만 바뀐다
매출액 × 판관비율 6.92%(최근 4분기 중위)</t>
      </text>
    </comment>
    <comment ref="AF22" authorId="0" shapeId="0">
      <text>
        <t>3절 스칼라 '판관비율' 참조 — 숫자로 덮어쓰면 이 분기만 바뀐다
매출액 × 판관비율 6.92%(최근 4분기 중위)</t>
      </text>
    </comment>
    <comment ref="AG22" authorId="0" shapeId="0">
      <text>
        <t>3절 스칼라 '판관비율' 참조 — 숫자로 덮어쓰면 이 분기만 바뀐다
매출액 × 판관비율 6.92%(최근 4분기 중위)</t>
      </text>
    </comment>
    <comment ref="AH22" authorId="0" shapeId="0">
      <text>
        <t>3절 스칼라 '판관비율' 참조 — 숫자로 덮어쓰면 이 분기만 바뀐다
매출액 × 판관비율 6.92%(최근 4분기 중위)</t>
      </text>
    </comment>
    <comment ref="AI22" authorId="0" shapeId="0">
      <text>
        <t>3절 스칼라 '판관비율' 참조 — 숫자로 덮어쓰면 이 분기만 바뀐다
매출액 × 판관비율 6.92%(최근 4분기 중위)</t>
      </text>
    </comment>
    <comment ref="AK22" authorId="0" shapeId="0">
      <text>
        <t>3절 스칼라 '판관비율' 참조 — 숫자로 덮어쓰면 이 분기만 바뀐다
매출액 × 판관비율 6.92%(최근 4분기 중위)</t>
      </text>
    </comment>
    <comment ref="AL22" authorId="0" shapeId="0">
      <text>
        <t>3절 스칼라 '판관비율' 참조 — 숫자로 덮어쓰면 이 분기만 바뀐다
매출액 × 판관비율 6.92%(최근 4분기 중위)</t>
      </text>
    </comment>
    <comment ref="AM22" authorId="0" shapeId="0">
      <text>
        <t>3절 스칼라 '판관비율' 참조 — 숫자로 덮어쓰면 이 분기만 바뀐다
매출액 × 판관비율 6.92%(최근 4분기 중위)</t>
      </text>
    </comment>
    <comment ref="AN22" authorId="0" shapeId="0">
      <text>
        <t>3절 스칼라 '판관비율' 참조 — 숫자로 덮어쓰면 이 분기만 바뀐다
매출액 × 판관비율 6.92%(최근 4분기 중위)</t>
      </text>
    </comment>
    <comment ref="AC23" authorId="0" shapeId="0">
      <text>
        <t>모델값 역산(implied): v / 매출액
매출액 × OPM(최근 8분기 OPM 중위 11.4% 유지(클립 −20~40%))</t>
      </text>
    </comment>
    <comment ref="AD23" authorId="0" shapeId="0">
      <text>
        <t>모델값 역산(implied): v / 매출액
매출액 × OPM(최근 8분기 OPM 중위 11.4% 유지(클립 −20~40%))</t>
      </text>
    </comment>
    <comment ref="AF23" authorId="0" shapeId="0">
      <text>
        <t>모델값 역산(implied): v / 매출액
매출액 × OPM(최근 8분기 OPM 중위 11.4% 유지(클립 −20~40%))</t>
      </text>
    </comment>
    <comment ref="AG23" authorId="0" shapeId="0">
      <text>
        <t>모델값 역산(implied): v / 매출액
매출액 × OPM(최근 8분기 OPM 중위 11.4% 유지(클립 −20~40%))</t>
      </text>
    </comment>
    <comment ref="AH23" authorId="0" shapeId="0">
      <text>
        <t>모델값 역산(implied): v / 매출액
매출액 × OPM(최근 8분기 OPM 중위 11.4% 유지(클립 −20~40%))</t>
      </text>
    </comment>
    <comment ref="AI23" authorId="0" shapeId="0">
      <text>
        <t>모델값 역산(implied): v / 매출액
매출액 × OPM(최근 8분기 OPM 중위 11.4% 유지(클립 −20~40%))</t>
      </text>
    </comment>
    <comment ref="AK23" authorId="0" shapeId="0">
      <text>
        <t>모델값 역산(implied): v / 매출액
매출액 × OPM(최근 8분기 OPM 중위 11.4% 유지(클립 −20~40%))</t>
      </text>
    </comment>
    <comment ref="AL23" authorId="0" shapeId="0">
      <text>
        <t>모델값 역산(implied): v / 매출액
매출액 × OPM(최근 8분기 OPM 중위 11.4% 유지(클립 −20~40%))</t>
      </text>
    </comment>
    <comment ref="AM23" authorId="0" shapeId="0">
      <text>
        <t>모델값 역산(implied): v / 매출액
매출액 × OPM(최근 8분기 OPM 중위 11.4% 유지(클립 −20~40%))</t>
      </text>
    </comment>
    <comment ref="AN23" authorId="0" shapeId="0">
      <text>
        <t>모델값 역산(implied): v / 매출액
매출액 × OPM(최근 8분기 OPM 중위 11.4%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D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F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G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H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I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K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L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M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N25" authorId="0" shapeId="0">
      <text>
        <t>3절 스칼라 '세율' 참조 — 숫자로 덮어쓰면 이 분기만 바뀐다
max(세전, 0) × 세율 19.0%(최근 12분기 유효세율 19.0%(5~27% 안 — 그대로))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G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AL26" authorId="0" shapeId="0">
      <text>
        <t>3절 스칼라 '지배주주비중' 참조 — 숫자로 덮어쓰면 이 분기만 바뀐다
당기순이익 × (1 − 비지배 비중 0.0%, 최근 8분기 실측)</t>
      </text>
    </comment>
    <comment ref="AM26" authorId="0" shapeId="0">
      <text>
        <t>3절 스칼라 '지배주주비중' 참조 — 숫자로 덮어쓰면 이 분기만 바뀐다
당기순이익 × (1 − 비지배 비중 0.0%, 최근 8분기 실측)</t>
      </text>
    </comment>
    <comment ref="AN26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모델 v 그대로
최근 4분기 감가상각비 중위 유지</t>
      </text>
    </comment>
    <comment ref="AD27" authorId="0" shapeId="0">
      <text>
        <t>모델값 역산(implied): 모델 v 그대로
최근 4분기 감가상각비 중위 유지</t>
      </text>
    </comment>
    <comment ref="AF27" authorId="0" shapeId="0">
      <text>
        <t>모델값 역산(implied): 모델 v 그대로
최근 4분기 감가상각비 중위 유지</t>
      </text>
    </comment>
    <comment ref="AG27" authorId="0" shapeId="0">
      <text>
        <t>모델값 역산(implied): 모델 v 그대로
최근 4분기 감가상각비 중위 유지</t>
      </text>
    </comment>
    <comment ref="AH27" authorId="0" shapeId="0">
      <text>
        <t>모델값 역산(implied): 모델 v 그대로
최근 4분기 감가상각비 중위 유지</t>
      </text>
    </comment>
    <comment ref="AI27" authorId="0" shapeId="0">
      <text>
        <t>모델값 역산(implied): 모델 v 그대로
최근 4분기 감가상각비 중위 유지</t>
      </text>
    </comment>
    <comment ref="AK27" authorId="0" shapeId="0">
      <text>
        <t>모델값 역산(implied): 모델 v 그대로
최근 4분기 감가상각비 중위 유지</t>
      </text>
    </comment>
    <comment ref="AL27" authorId="0" shapeId="0">
      <text>
        <t>모델값 역산(implied): 모델 v 그대로
최근 4분기 감가상각비 중위 유지</t>
      </text>
    </comment>
    <comment ref="AM27" authorId="0" shapeId="0">
      <text>
        <t>모델값 역산(implied): 모델 v 그대로
최근 4분기 감가상각비 중위 유지</t>
      </text>
    </comment>
    <comment ref="AN27" authorId="0" shapeId="0">
      <text>
        <t>모델값 역산(implied): 모델 v 그대로
최근 4분기 감가상각비 중위 유지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전분기 + FCF 근사 — 순차입금 롤과 같은 가정</t>
      </text>
    </comment>
    <comment ref="AD31" authorId="0" shapeId="0">
      <text>
        <t>모델값 역산(implied): v / 전분기 − 1
전분기 + FCF 근사 — 순차입금 롤과 같은 가정</t>
      </text>
    </comment>
    <comment ref="AF31" authorId="0" shapeId="0">
      <text>
        <t>모델값 역산(implied): v / 전분기 − 1
전분기 + FCF 근사 — 순차입금 롤과 같은 가정</t>
      </text>
    </comment>
    <comment ref="AG31" authorId="0" shapeId="0">
      <text>
        <t>모델값 역산(implied): v / 전분기 − 1
전분기 + FCF 근사 — 순차입금 롤과 같은 가정</t>
      </text>
    </comment>
    <comment ref="AH31" authorId="0" shapeId="0">
      <text>
        <t>모델값 역산(implied): v / 전분기 − 1
전분기 + FCF 근사 — 순차입금 롤과 같은 가정</t>
      </text>
    </comment>
    <comment ref="AI31" authorId="0" shapeId="0">
      <text>
        <t>모델값 역산(implied): v / 전분기 − 1
전분기 + FCF 근사 — 순차입금 롤과 같은 가정</t>
      </text>
    </comment>
    <comment ref="AK31" authorId="0" shapeId="0">
      <text>
        <t>모델값 역산(implied): v / 전분기 − 1
전분기 + FCF 근사 — 순차입금 롤과 같은 가정</t>
      </text>
    </comment>
    <comment ref="AL31" authorId="0" shapeId="0">
      <text>
        <t>모델값 역산(implied): v / 전분기 − 1
전분기 + FCF 근사 — 순차입금 롤과 같은 가정</t>
      </text>
    </comment>
    <comment ref="AM31" authorId="0" shapeId="0">
      <text>
        <t>모델값 역산(implied): v / 전분기 − 1
전분기 + FCF 근사 — 순차입금 롤과 같은 가정</t>
      </text>
    </comment>
    <comment ref="AN31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전년동기 − 1
최근 4분기(2025Q3~2026Q2) CAPEX 중위 유지 — 순차입금 롤에 반영(FCF 근사)</t>
      </text>
    </comment>
    <comment ref="AD33" authorId="0" shapeId="0">
      <text>
        <t>모델값 역산(implied): v / 전년동기 − 1
최근 4분기(2025Q3~2026Q2) CAPEX 중위 유지 — 순차입금 롤에 반영(FCF 근사)</t>
      </text>
    </comment>
    <comment ref="AF33" authorId="0" shapeId="0">
      <text>
        <t>모델값 역산(implied): v / 전년동기 − 1
최근 4분기(2025Q3~2026Q2) CAPEX 중위 유지 — 순차입금 롤에 반영(FCF 근사)</t>
      </text>
    </comment>
    <comment ref="AG33" authorId="0" shapeId="0">
      <text>
        <t>모델값 역산(implied): v / 전년동기 − 1
최근 4분기(2025Q3~2026Q2) CAPEX 중위 유지 — 순차입금 롤에 반영(FCF 근사)</t>
      </text>
    </comment>
    <comment ref="AH33" authorId="0" shapeId="0">
      <text>
        <t>모델값 역산(implied): v / 전년동기 − 1
최근 4분기(2025Q3~2026Q2) CAPEX 중위 유지 — 순차입금 롤에 반영(FCF 근사)</t>
      </text>
    </comment>
    <comment ref="AI33" authorId="0" shapeId="0">
      <text>
        <t>모델값 역산(implied): v / 전년동기 − 1
최근 4분기(2025Q3~2026Q2) CAPEX 중위 유지 — 순차입금 롤에 반영(FCF 근사)</t>
      </text>
    </comment>
    <comment ref="AK33" authorId="0" shapeId="0">
      <text>
        <t>모델값 역산(implied): v / 전년동기 − 1
최근 4분기(2025Q3~2026Q2) CAPEX 중위 유지 — 순차입금 롤에 반영(FCF 근사)</t>
      </text>
    </comment>
    <comment ref="AL33" authorId="0" shapeId="0">
      <text>
        <t>모델값 역산(implied): v / 전년동기 − 1
최근 4분기(2025Q3~2026Q2) CAPEX 중위 유지 — 순차입금 롤에 반영(FCF 근사)</t>
      </text>
    </comment>
    <comment ref="AM33" authorId="0" shapeId="0">
      <text>
        <t>모델값 역산(implied): v / 전년동기 − 1
최근 4분기(2025Q3~2026Q2) CAPEX 중위 유지 — 순차입금 롤에 반영(FCF 근사)</t>
      </text>
    </comment>
    <comment ref="AN33" authorId="0" shapeId="0">
      <text>
        <t>모델값 역산(implied): v / 전년동기 − 1
최근 4분기(2025Q3~2026Q2) CAPEX 중위 유지 — 순차입금 롤에 반영(FCF 근사)</t>
      </text>
    </comment>
    <comment ref="AC35" authorId="0" shapeId="0">
      <text>
        <t>모델값 역산(implied): v / 전분기 − 1
유통주식수 유지 — fin.shares.common_outstanding(2026Q2)</t>
      </text>
    </comment>
    <comment ref="AD35" authorId="0" shapeId="0">
      <text>
        <t>모델값 역산(implied): v / 전분기 − 1
유통주식수 유지 — fin.shares.common_outstanding(2026Q2)</t>
      </text>
    </comment>
    <comment ref="AF35" authorId="0" shapeId="0">
      <text>
        <t>모델값 역산(implied): v / 전분기 − 1
유통주식수 유지 — fin.shares.common_outstanding(2026Q2)</t>
      </text>
    </comment>
    <comment ref="AG35" authorId="0" shapeId="0">
      <text>
        <t>모델값 역산(implied): v / 전분기 − 1
유통주식수 유지 — fin.shares.common_outstanding(2026Q2)</t>
      </text>
    </comment>
    <comment ref="AH35" authorId="0" shapeId="0">
      <text>
        <t>모델값 역산(implied): v / 전분기 − 1
유통주식수 유지 — fin.shares.common_outstanding(2026Q2)</t>
      </text>
    </comment>
    <comment ref="AI35" authorId="0" shapeId="0">
      <text>
        <t>모델값 역산(implied): v / 전분기 − 1
유통주식수 유지 — fin.shares.common_outstanding(2026Q2)</t>
      </text>
    </comment>
    <comment ref="AK35" authorId="0" shapeId="0">
      <text>
        <t>모델값 역산(implied): v / 전분기 − 1
유통주식수 유지 — fin.shares.common_outstanding(2026Q2)</t>
      </text>
    </comment>
    <comment ref="AL35" authorId="0" shapeId="0">
      <text>
        <t>모델값 역산(implied): v / 전분기 − 1
유통주식수 유지 — fin.shares.common_outstanding(2026Q2)</t>
      </text>
    </comment>
    <comment ref="AM35" authorId="0" shapeId="0">
      <text>
        <t>모델값 역산(implied): v / 전분기 − 1
유통주식수 유지 — fin.shares.common_outstanding(2026Q2)</t>
      </text>
    </comment>
    <comment ref="AN35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모델 v 그대로
직전 결산 DPS 200원 유지</t>
      </text>
    </comment>
    <comment ref="AI36" authorId="0" shapeId="0">
      <text>
        <t>모델값 역산(implied): 모델 v 그대로
직전 결산 DPS 200원 유지</t>
      </text>
    </comment>
    <comment ref="AN36" authorId="0" shapeId="0">
      <text>
        <t>모델값 역산(implied): 모델 v 그대로
직전 결산 DPS 200원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(1+10.5%) — g=최근 4분기 합 YoY 10.5% 클립(−30~+50%), 연차별 절반 감쇠(가정)
[yoy]</t>
      </text>
    </comment>
    <comment ref="AD5" authorId="0" shapeId="0">
      <text>
        <t>추정: 전년동기 × (1+10.5%) — g=최근 4분기 합 YoY 10.5% 클립(−30~+50%), 연차별 절반 감쇠(가정)
[yoy]</t>
      </text>
    </comment>
    <comment ref="AF5" authorId="0" shapeId="0">
      <text>
        <t>추정: 전년동기 × (1+10.5%) — g=최근 4분기 합 YoY 10.5% 클립(−30~+50%), 연차별 절반 감쇠(가정)
[yoy]</t>
      </text>
    </comment>
    <comment ref="AG5" authorId="0" shapeId="0">
      <text>
        <t>추정: 전년동기 × (1+10.5%) — g=최근 4분기 합 YoY 10.5% 클립(−30~+50%), 연차별 절반 감쇠(가정)
[yoy]</t>
      </text>
    </comment>
    <comment ref="AH5" authorId="0" shapeId="0">
      <text>
        <t>추정: 전년동기 × (1+5.3%) — g=최근 4분기 합 YoY 10.5% 클립(−30~+50%), 연차별 절반 감쇠(가정)
[yoy]</t>
      </text>
    </comment>
    <comment ref="AI5" authorId="0" shapeId="0">
      <text>
        <t>추정: 전년동기 × (1+5.3%) — g=최근 4분기 합 YoY 10.5% 클립(−30~+50%), 연차별 절반 감쇠(가정)
[yoy]</t>
      </text>
    </comment>
    <comment ref="AK5" authorId="0" shapeId="0">
      <text>
        <t>추정: 전년동기 × (1+5.3%) — g=최근 4분기 합 YoY 10.5% 클립(−30~+50%), 연차별 절반 감쇠(가정)
[yoy]</t>
      </text>
    </comment>
    <comment ref="AL5" authorId="0" shapeId="0">
      <text>
        <t>추정: 전년동기 × (1+5.3%) — g=최근 4분기 합 YoY 10.5% 클립(−30~+50%), 연차별 절반 감쇠(가정)
[yoy]</t>
      </text>
    </comment>
    <comment ref="AM5" authorId="0" shapeId="0">
      <text>
        <t>추정: 전년동기 × (1+2.6%) — g=최근 4분기 합 YoY 10.5% 클립(−30~+50%), 연차별 절반 감쇠(가정)
[yoy]</t>
      </text>
    </comment>
    <comment ref="AN5" authorId="0" shapeId="0">
      <text>
        <t>추정: 전년동기 × (1+2.6%) — g=최근 4분기 합 YoY 10.5%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6.92%(최근 4분기 중위)
[ratio]</t>
      </text>
    </comment>
    <comment ref="AD8" authorId="0" shapeId="0">
      <text>
        <t>추정: 매출액 × 판관비율 6.92%(최근 4분기 중위)
[ratio]</t>
      </text>
    </comment>
    <comment ref="AF8" authorId="0" shapeId="0">
      <text>
        <t>추정: 매출액 × 판관비율 6.92%(최근 4분기 중위)
[ratio]</t>
      </text>
    </comment>
    <comment ref="AG8" authorId="0" shapeId="0">
      <text>
        <t>추정: 매출액 × 판관비율 6.92%(최근 4분기 중위)
[ratio]</t>
      </text>
    </comment>
    <comment ref="AH8" authorId="0" shapeId="0">
      <text>
        <t>추정: 매출액 × 판관비율 6.92%(최근 4분기 중위)
[ratio]</t>
      </text>
    </comment>
    <comment ref="AI8" authorId="0" shapeId="0">
      <text>
        <t>추정: 매출액 × 판관비율 6.92%(최근 4분기 중위)
[ratio]</t>
      </text>
    </comment>
    <comment ref="AK8" authorId="0" shapeId="0">
      <text>
        <t>추정: 매출액 × 판관비율 6.92%(최근 4분기 중위)
[ratio]</t>
      </text>
    </comment>
    <comment ref="AL8" authorId="0" shapeId="0">
      <text>
        <t>추정: 매출액 × 판관비율 6.92%(최근 4분기 중위)
[ratio]</t>
      </text>
    </comment>
    <comment ref="AM8" authorId="0" shapeId="0">
      <text>
        <t>추정: 매출액 × 판관비율 6.92%(최근 4분기 중위)
[ratio]</t>
      </text>
    </comment>
    <comment ref="AN8" authorId="0" shapeId="0">
      <text>
        <t>추정: 매출액 × 판관비율 6.92%(최근 4분기 중위)
[ratio]</t>
      </text>
    </comment>
    <comment ref="AC9" authorId="0" shapeId="0">
      <text>
        <t>추정: 매출액 × OPM(최근 8분기 OPM 중위 11.4% 유지(클립 −20~40%))
[ratio]</t>
      </text>
    </comment>
    <comment ref="AD9" authorId="0" shapeId="0">
      <text>
        <t>추정: 매출액 × OPM(최근 8분기 OPM 중위 11.4% 유지(클립 −20~40%))
[ratio]</t>
      </text>
    </comment>
    <comment ref="AF9" authorId="0" shapeId="0">
      <text>
        <t>추정: 매출액 × OPM(최근 8분기 OPM 중위 11.4% 유지(클립 −20~40%))
[ratio]</t>
      </text>
    </comment>
    <comment ref="AG9" authorId="0" shapeId="0">
      <text>
        <t>추정: 매출액 × OPM(최근 8분기 OPM 중위 11.4% 유지(클립 −20~40%))
[ratio]</t>
      </text>
    </comment>
    <comment ref="AH9" authorId="0" shapeId="0">
      <text>
        <t>추정: 매출액 × OPM(최근 8분기 OPM 중위 11.4% 유지(클립 −20~40%))
[ratio]</t>
      </text>
    </comment>
    <comment ref="AI9" authorId="0" shapeId="0">
      <text>
        <t>추정: 매출액 × OPM(최근 8분기 OPM 중위 11.4% 유지(클립 −20~40%))
[ratio]</t>
      </text>
    </comment>
    <comment ref="AK9" authorId="0" shapeId="0">
      <text>
        <t>추정: 매출액 × OPM(최근 8분기 OPM 중위 11.4% 유지(클립 −20~40%))
[ratio]</t>
      </text>
    </comment>
    <comment ref="AL9" authorId="0" shapeId="0">
      <text>
        <t>추정: 매출액 × OPM(최근 8분기 OPM 중위 11.4% 유지(클립 −20~40%))
[ratio]</t>
      </text>
    </comment>
    <comment ref="AM9" authorId="0" shapeId="0">
      <text>
        <t>추정: 매출액 × OPM(최근 8분기 OPM 중위 11.4% 유지(클립 −20~40%))
[ratio]</t>
      </text>
    </comment>
    <comment ref="AN9" authorId="0" shapeId="0">
      <text>
        <t>추정: 매출액 × OPM(최근 8분기 OPM 중위 11.4% 유지(클립 −20~40%))
[ratio]</t>
      </text>
    </comment>
    <comment ref="AC10" authorId="0" shapeId="0">
      <text>
        <t>추정: 최근 8분기 OPM 중위 11.4% 유지(클립 −20~40%)
[divide]</t>
      </text>
    </comment>
    <comment ref="AD10" authorId="0" shapeId="0">
      <text>
        <t>추정: 최근 8분기 OPM 중위 11.4% 유지(클립 −20~40%)
[divide]</t>
      </text>
    </comment>
    <comment ref="AF10" authorId="0" shapeId="0">
      <text>
        <t>추정: 최근 8분기 OPM 중위 11.4% 유지(클립 −20~40%)
[divide]</t>
      </text>
    </comment>
    <comment ref="AG10" authorId="0" shapeId="0">
      <text>
        <t>추정: 최근 8분기 OPM 중위 11.4% 유지(클립 −20~40%)
[divide]</t>
      </text>
    </comment>
    <comment ref="AH10" authorId="0" shapeId="0">
      <text>
        <t>추정: 최근 8분기 OPM 중위 11.4% 유지(클립 −20~40%)
[divide]</t>
      </text>
    </comment>
    <comment ref="AI10" authorId="0" shapeId="0">
      <text>
        <t>추정: 최근 8분기 OPM 중위 11.4% 유지(클립 −20~40%)
[divide]</t>
      </text>
    </comment>
    <comment ref="AK10" authorId="0" shapeId="0">
      <text>
        <t>추정: 최근 8분기 OPM 중위 11.4% 유지(클립 −20~40%)
[divide]</t>
      </text>
    </comment>
    <comment ref="AL10" authorId="0" shapeId="0">
      <text>
        <t>추정: 최근 8분기 OPM 중위 11.4% 유지(클립 −20~40%)
[divide]</t>
      </text>
    </comment>
    <comment ref="AM10" authorId="0" shapeId="0">
      <text>
        <t>추정: 최근 8분기 OPM 중위 11.4% 유지(클립 −20~40%)
[divide]</t>
      </text>
    </comment>
    <comment ref="AN10" authorId="0" shapeId="0">
      <text>
        <t>추정: 최근 8분기 OPM 중위 11.4%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565억 × 5.50%(주석 이자수익 ÷ 평균 이자발생자산(2024Q1~2026Q2))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631억 × 5.50%(주석 이자수익 ÷ 평균 이자발생자산(2024Q1~2026Q2))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693억 × 5.50%(주석 이자수익 ÷ 평균 이자발생자산(2024Q1~2026Q2))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750억 × 5.50%(주석 이자수익 ÷ 평균 이자발생자산(2024Q1~2026Q2))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810억 × 5.50%(주석 이자수익 ÷ 평균 이자발생자산(2024Q1~2026Q2))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882억 × 5.50%(주석 이자수익 ÷ 평균 이자발생자산(2024Q1~2026Q2))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950억 × 5.50%(주석 이자수익 ÷ 평균 이자발생자산(2024Q1~2026Q2))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1012억 × 5.50%(주석 이자수익 ÷ 평균 이자발생자산(2024Q1~2026Q2))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1078억 × 5.50%(주석 이자수익 ÷ 평균 이자발생자산(2024Q1~2026Q2))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1155억 × 5.50%(주석 이자수익 ÷ 평균 이자발생자산(2024Q1~2026Q2)) − 총차입금 0억 × 0.00%(없음) (연율) ÷ 4; 환율 효과는 환관련손익 행 별도
[identity]</t>
      </text>
    </comment>
    <comment ref="AC12" authorId="0" shapeId="0">
      <text>
        <t>추정: 이자발생자산 565억 × 5.50%(주석 이자수익 ÷ 평균 이자발생자산(2024Q1~2026Q2)) − 총차입금 0억 × 0.00%(없음) (연율) ÷ 4
[interest]</t>
      </text>
    </comment>
    <comment ref="AD12" authorId="0" shapeId="0">
      <text>
        <t>추정: 이자발생자산 631억 × 5.50%(주석 이자수익 ÷ 평균 이자발생자산(2024Q1~2026Q2)) − 총차입금 0억 × 0.00%(없음) (연율) ÷ 4
[interest]</t>
      </text>
    </comment>
    <comment ref="AF12" authorId="0" shapeId="0">
      <text>
        <t>추정: 이자발생자산 693억 × 5.50%(주석 이자수익 ÷ 평균 이자발생자산(2024Q1~2026Q2)) − 총차입금 0억 × 0.00%(없음) (연율) ÷ 4
[interest]</t>
      </text>
    </comment>
    <comment ref="AG12" authorId="0" shapeId="0">
      <text>
        <t>추정: 이자발생자산 750억 × 5.50%(주석 이자수익 ÷ 평균 이자발생자산(2024Q1~2026Q2)) − 총차입금 0억 × 0.00%(없음) (연율) ÷ 4
[interest]</t>
      </text>
    </comment>
    <comment ref="AH12" authorId="0" shapeId="0">
      <text>
        <t>추정: 이자발생자산 810억 × 5.50%(주석 이자수익 ÷ 평균 이자발생자산(2024Q1~2026Q2)) − 총차입금 0억 × 0.00%(없음) (연율) ÷ 4
[interest]</t>
      </text>
    </comment>
    <comment ref="AI12" authorId="0" shapeId="0">
      <text>
        <t>추정: 이자발생자산 882억 × 5.50%(주석 이자수익 ÷ 평균 이자발생자산(2024Q1~2026Q2)) − 총차입금 0억 × 0.00%(없음) (연율) ÷ 4
[interest]</t>
      </text>
    </comment>
    <comment ref="AK12" authorId="0" shapeId="0">
      <text>
        <t>추정: 이자발생자산 950억 × 5.50%(주석 이자수익 ÷ 평균 이자발생자산(2024Q1~2026Q2)) − 총차입금 0억 × 0.00%(없음) (연율) ÷ 4
[interest]</t>
      </text>
    </comment>
    <comment ref="AL12" authorId="0" shapeId="0">
      <text>
        <t>추정: 이자발생자산 1012억 × 5.50%(주석 이자수익 ÷ 평균 이자발생자산(2024Q1~2026Q2)) − 총차입금 0억 × 0.00%(없음) (연율) ÷ 4
[interest]</t>
      </text>
    </comment>
    <comment ref="AM12" authorId="0" shapeId="0">
      <text>
        <t>추정: 이자발생자산 1078억 × 5.50%(주석 이자수익 ÷ 평균 이자발생자산(2024Q1~2026Q2)) − 총차입금 0억 × 0.00%(없음) (연율) ÷ 4
[interest]</t>
      </text>
    </comment>
    <comment ref="AN12" authorId="0" shapeId="0">
      <text>
        <t>추정: 이자발생자산 1155억 × 5.50%(주석 이자수익 ÷ 평균 이자발생자산(2024Q1~2026Q2)) − 총차입금 0억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19.0%(최근 12분기 유효세율 19.0%(5~27% 안 — 그대로))
[tax]</t>
      </text>
    </comment>
    <comment ref="AD15" authorId="0" shapeId="0">
      <text>
        <t>추정: max(세전, 0) × 세율 19.0%(최근 12분기 유효세율 19.0%(5~27% 안 — 그대로))
[tax]</t>
      </text>
    </comment>
    <comment ref="AF15" authorId="0" shapeId="0">
      <text>
        <t>추정: max(세전, 0) × 세율 19.0%(최근 12분기 유효세율 19.0%(5~27% 안 — 그대로))
[tax]</t>
      </text>
    </comment>
    <comment ref="AG15" authorId="0" shapeId="0">
      <text>
        <t>추정: max(세전, 0) × 세율 19.0%(최근 12분기 유효세율 19.0%(5~27% 안 — 그대로))
[tax]</t>
      </text>
    </comment>
    <comment ref="AH15" authorId="0" shapeId="0">
      <text>
        <t>추정: max(세전, 0) × 세율 19.0%(최근 12분기 유효세율 19.0%(5~27% 안 — 그대로))
[tax]</t>
      </text>
    </comment>
    <comment ref="AI15" authorId="0" shapeId="0">
      <text>
        <t>추정: max(세전, 0) × 세율 19.0%(최근 12분기 유효세율 19.0%(5~27% 안 — 그대로))
[tax]</t>
      </text>
    </comment>
    <comment ref="AK15" authorId="0" shapeId="0">
      <text>
        <t>추정: max(세전, 0) × 세율 19.0%(최근 12분기 유효세율 19.0%(5~27% 안 — 그대로))
[tax]</t>
      </text>
    </comment>
    <comment ref="AL15" authorId="0" shapeId="0">
      <text>
        <t>추정: max(세전, 0) × 세율 19.0%(최근 12분기 유효세율 19.0%(5~27% 안 — 그대로))
[tax]</t>
      </text>
    </comment>
    <comment ref="AM15" authorId="0" shapeId="0">
      <text>
        <t>추정: max(세전, 0) × 세율 19.0%(최근 12분기 유효세율 19.0%(5~27% 안 — 그대로))
[tax]</t>
      </text>
    </comment>
    <comment ref="AN15" authorId="0" shapeId="0">
      <text>
        <t>추정: max(세전, 0) × 세율 19.0%(최근 12분기 유효세율 19.0%(5~27%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B17" authorId="0" shapeId="0">
      <text>
        <t>실측(BS연결 시트에 (지배주주지분)당기순이익 2026.06 값 없음 — 모델값 직접) — fin.cons.is.당기순이익 − fin.cons.is.(비지배주주지분)당기순이익(파생)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추정: 최근 4분기 감가상각비 중위 유지
[abs]</t>
      </text>
    </comment>
    <comment ref="AD18" authorId="0" shapeId="0">
      <text>
        <t>추정: 최근 4분기 감가상각비 중위 유지
[abs]</t>
      </text>
    </comment>
    <comment ref="AF18" authorId="0" shapeId="0">
      <text>
        <t>추정: 최근 4분기 감가상각비 중위 유지
[abs]</t>
      </text>
    </comment>
    <comment ref="AG18" authorId="0" shapeId="0">
      <text>
        <t>추정: 최근 4분기 감가상각비 중위 유지
[abs]</t>
      </text>
    </comment>
    <comment ref="AH18" authorId="0" shapeId="0">
      <text>
        <t>추정: 최근 4분기 감가상각비 중위 유지
[abs]</t>
      </text>
    </comment>
    <comment ref="AI18" authorId="0" shapeId="0">
      <text>
        <t>추정: 최근 4분기 감가상각비 중위 유지
[abs]</t>
      </text>
    </comment>
    <comment ref="AK18" authorId="0" shapeId="0">
      <text>
        <t>추정: 최근 4분기 감가상각비 중위 유지
[abs]</t>
      </text>
    </comment>
    <comment ref="AL18" authorId="0" shapeId="0">
      <text>
        <t>추정: 최근 4분기 감가상각비 중위 유지
[abs]</t>
      </text>
    </comment>
    <comment ref="AM18" authorId="0" shapeId="0">
      <text>
        <t>추정: 최근 4분기 감가상각비 중위 유지
[abs]</t>
      </text>
    </comment>
    <comment ref="AN18" authorId="0" shapeId="0">
      <text>
        <t>추정: 최근 4분기 감가상각비 중위 유지
[abs]</t>
      </text>
    </comment>
    <comment ref="E19" authorId="0" shapeId="0">
      <text>
        <t>실측(계정 매핑 없음(파생·부문·시세 행) — 모델값 직접) — 영업이익 + 감가상각비(CF)</t>
      </text>
    </comment>
    <comment ref="G19" authorId="0" shapeId="0">
      <text>
        <t>실측(계정 매핑 없음(파생·부문·시세 행) — 모델값 직접) — 영업이익 + 감가상각비(CF)</t>
      </text>
    </comment>
    <comment ref="H19" authorId="0" shapeId="0">
      <text>
        <t>실측(계정 매핑 없음(파생·부문·시세 행) — 모델값 직접) — 영업이익 + 감가상각비(CF)</t>
      </text>
    </comment>
    <comment ref="I19" authorId="0" shapeId="0">
      <text>
        <t>실측(계정 매핑 없음(파생·부문·시세 행) — 모델값 직접) — 영업이익 + 감가상각비(CF)</t>
      </text>
    </comment>
    <comment ref="J19" authorId="0" shapeId="0">
      <text>
        <t>실측(계정 매핑 없음(파생·부문·시세 행) — 모델값 직접) — 영업이익 + 감가상각비(CF)</t>
      </text>
    </comment>
    <comment ref="L19" authorId="0" shapeId="0">
      <text>
        <t>실측(계정 매핑 없음(파생·부문·시세 행) — 모델값 직접) — 영업이익 + 감가상각비(CF)</t>
      </text>
    </comment>
    <comment ref="M19" authorId="0" shapeId="0">
      <text>
        <t>실측(계정 매핑 없음(파생·부문·시세 행) — 모델값 직접) — 영업이익 + 감가상각비(CF)</t>
      </text>
    </comment>
    <comment ref="S19" authorId="0" shapeId="0">
      <text>
        <t>실측(계정 매핑 없음(파생·부문·시세 행) — 모델값 직접) — 영업이익 + 감가상각비(CF)</t>
      </text>
    </comment>
    <comment ref="AC19" authorId="0" shapeId="0">
      <text>
        <t>추정: 영업이익 + 감가상각비
[identity]</t>
      </text>
    </comment>
    <comment ref="AD19" authorId="0" shapeId="0">
      <text>
        <t>추정: 영업이익 + 감가상각비
[identity]</t>
      </text>
    </comment>
    <comment ref="AF19" authorId="0" shapeId="0">
      <text>
        <t>추정: 영업이익 + 감가상각비
[identity]</t>
      </text>
    </comment>
    <comment ref="AG19" authorId="0" shapeId="0">
      <text>
        <t>추정: 영업이익 + 감가상각비
[identity]</t>
      </text>
    </comment>
    <comment ref="AH19" authorId="0" shapeId="0">
      <text>
        <t>추정: 영업이익 + 감가상각비
[identity]</t>
      </text>
    </comment>
    <comment ref="AI19" authorId="0" shapeId="0">
      <text>
        <t>추정: 영업이익 + 감가상각비
[identity]</t>
      </text>
    </comment>
    <comment ref="AK19" authorId="0" shapeId="0">
      <text>
        <t>추정: 영업이익 + 감가상각비
[identity]</t>
      </text>
    </comment>
    <comment ref="AL19" authorId="0" shapeId="0">
      <text>
        <t>추정: 영업이익 + 감가상각비
[identity]</t>
      </text>
    </comment>
    <comment ref="AM19" authorId="0" shapeId="0">
      <text>
        <t>추정: 영업이익 + 감가상각비
[identity]</t>
      </text>
    </comment>
    <comment ref="AN19" authorId="0" shapeId="0">
      <text>
        <t>추정: 영업이익 + 감가상각비
[identity]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전분기 + FCF 근사 — 순차입금 롤과 같은 가정
[qoq]</t>
      </text>
    </comment>
    <comment ref="AD24" authorId="0" shapeId="0">
      <text>
        <t>추정: 전분기 + FCF 근사 — 순차입금 롤과 같은 가정
[qoq]</t>
      </text>
    </comment>
    <comment ref="AF24" authorId="0" shapeId="0">
      <text>
        <t>추정: 전분기 + FCF 근사 — 순차입금 롤과 같은 가정
[qoq]</t>
      </text>
    </comment>
    <comment ref="AG24" authorId="0" shapeId="0">
      <text>
        <t>추정: 전분기 + FCF 근사 — 순차입금 롤과 같은 가정
[qoq]</t>
      </text>
    </comment>
    <comment ref="AH24" authorId="0" shapeId="0">
      <text>
        <t>추정: 전분기 + FCF 근사 — 순차입금 롤과 같은 가정
[qoq]</t>
      </text>
    </comment>
    <comment ref="AI24" authorId="0" shapeId="0">
      <text>
        <t>추정: 전분기 + FCF 근사 — 순차입금 롤과 같은 가정
[qoq]</t>
      </text>
    </comment>
    <comment ref="AK24" authorId="0" shapeId="0">
      <text>
        <t>추정: 전분기 + FCF 근사 — 순차입금 롤과 같은 가정
[qoq]</t>
      </text>
    </comment>
    <comment ref="AL24" authorId="0" shapeId="0">
      <text>
        <t>추정: 전분기 + FCF 근사 — 순차입금 롤과 같은 가정
[qoq]</t>
      </text>
    </comment>
    <comment ref="AM24" authorId="0" shapeId="0">
      <text>
        <t>추정: 전분기 + FCF 근사 — 순차입금 롤과 같은 가정
[qoq]</t>
      </text>
    </comment>
    <comment ref="AN24" authorId="0" shapeId="0">
      <text>
        <t>추정: 전분기 + FCF 근사 — 순차입금 롤과 같은 가정
[qoq]</t>
      </text>
    </comment>
    <comment ref="AC26" authorId="0" shapeId="0">
      <text>
        <t>추정: 최근 4분기(2025Q3~2026Q2) CAPEX 중위 유지 — 순차입금 롤에 반영(FCF 근사)
[yoy]</t>
      </text>
    </comment>
    <comment ref="AD26" authorId="0" shapeId="0">
      <text>
        <t>추정: 최근 4분기(2025Q3~2026Q2) CAPEX 중위 유지 — 순차입금 롤에 반영(FCF 근사)
[yoy]</t>
      </text>
    </comment>
    <comment ref="AF26" authorId="0" shapeId="0">
      <text>
        <t>추정: 최근 4분기(2025Q3~2026Q2) CAPEX 중위 유지 — 순차입금 롤에 반영(FCF 근사)
[yoy]</t>
      </text>
    </comment>
    <comment ref="AG26" authorId="0" shapeId="0">
      <text>
        <t>추정: 최근 4분기(2025Q3~2026Q2) CAPEX 중위 유지 — 순차입금 롤에 반영(FCF 근사)
[yoy]</t>
      </text>
    </comment>
    <comment ref="AH26" authorId="0" shapeId="0">
      <text>
        <t>추정: 최근 4분기(2025Q3~2026Q2) CAPEX 중위 유지 — 순차입금 롤에 반영(FCF 근사)
[yoy]</t>
      </text>
    </comment>
    <comment ref="AI26" authorId="0" shapeId="0">
      <text>
        <t>추정: 최근 4분기(2025Q3~2026Q2) CAPEX 중위 유지 — 순차입금 롤에 반영(FCF 근사)
[yoy]</t>
      </text>
    </comment>
    <comment ref="AK26" authorId="0" shapeId="0">
      <text>
        <t>추정: 최근 4분기(2025Q3~2026Q2) CAPEX 중위 유지 — 순차입금 롤에 반영(FCF 근사)
[yoy]</t>
      </text>
    </comment>
    <comment ref="AL26" authorId="0" shapeId="0">
      <text>
        <t>추정: 최근 4분기(2025Q3~2026Q2) CAPEX 중위 유지 — 순차입금 롤에 반영(FCF 근사)
[yoy]</t>
      </text>
    </comment>
    <comment ref="AM26" authorId="0" shapeId="0">
      <text>
        <t>추정: 최근 4분기(2025Q3~2026Q2) CAPEX 중위 유지 — 순차입금 롤에 반영(FCF 근사)
[yoy]</t>
      </text>
    </comment>
    <comment ref="AN26" authorId="0" shapeId="0">
      <text>
        <t>추정: 최근 4분기(2025Q3~2026Q2) CAPEX 중위 유지 — 순차입금 롤에 반영(FCF 근사)
[yoy]</t>
      </text>
    </comment>
    <comment ref="E28" authorId="0" shapeId="0">
      <text>
        <t>실측(계정 매핑 없음(파생·부문·시세 행) — 모델값 직접) — fin.shares.common_outstanding</t>
      </text>
    </comment>
    <comment ref="G28" authorId="0" shapeId="0">
      <text>
        <t>실측(계정 매핑 없음(파생·부문·시세 행) — 모델값 직접) — fin.shares.common_outstanding</t>
      </text>
    </comment>
    <comment ref="H28" authorId="0" shapeId="0">
      <text>
        <t>실측(계정 매핑 없음(파생·부문·시세 행) — 모델값 직접) — fin.shares.common_outstanding</t>
      </text>
    </comment>
    <comment ref="I28" authorId="0" shapeId="0">
      <text>
        <t>실측(계정 매핑 없음(파생·부문·시세 행) — 모델값 직접) — fin.shares.common_outstanding</t>
      </text>
    </comment>
    <comment ref="J28" authorId="0" shapeId="0">
      <text>
        <t>실측(계정 매핑 없음(파생·부문·시세 행) — 모델값 직접) — fin.shares.common_outstanding</t>
      </text>
    </comment>
    <comment ref="L28" authorId="0" shapeId="0">
      <text>
        <t>실측(계정 매핑 없음(파생·부문·시세 행) — 모델값 직접) — fin.shares.common_outstanding</t>
      </text>
    </comment>
    <comment ref="M28" authorId="0" shapeId="0">
      <text>
        <t>실측(계정 매핑 없음(파생·부문·시세 행) — 모델값 직접) — fin.shares.common_outstanding</t>
      </text>
    </comment>
    <comment ref="N28" authorId="0" shapeId="0">
      <text>
        <t>실측(계정 매핑 없음(파생·부문·시세 행) — 모델값 직접) — fin.shares.common_outstanding</t>
      </text>
    </comment>
    <comment ref="O28" authorId="0" shapeId="0">
      <text>
        <t>실측(계정 매핑 없음(파생·부문·시세 행) — 모델값 직접) — fin.shares.common_outstanding</t>
      </text>
    </comment>
    <comment ref="Q28" authorId="0" shapeId="0">
      <text>
        <t>실측(계정 매핑 없음(파생·부문·시세 행) — 모델값 직접) — fin.shares.common_outstanding</t>
      </text>
    </comment>
    <comment ref="R28" authorId="0" shapeId="0">
      <text>
        <t>실측(계정 매핑 없음(파생·부문·시세 행) — 모델값 직접) — fin.shares.common_outstanding</t>
      </text>
    </comment>
    <comment ref="S28" authorId="0" shapeId="0">
      <text>
        <t>실측(계정 매핑 없음(파생·부문·시세 행) — 모델값 직접) — fin.shares.common_outstanding</t>
      </text>
    </comment>
    <comment ref="T28" authorId="0" shapeId="0">
      <text>
        <t>실측(계정 매핑 없음(파생·부문·시세 행) — 모델값 직접) — fin.shares.common_outstanding</t>
      </text>
    </comment>
    <comment ref="V28" authorId="0" shapeId="0">
      <text>
        <t>실측(계정 매핑 없음(파생·부문·시세 행) — 모델값 직접) — fin.shares.common_outstanding</t>
      </text>
    </comment>
    <comment ref="W28" authorId="0" shapeId="0">
      <text>
        <t>실측(계정 매핑 없음(파생·부문·시세 행) — 모델값 직접) — fin.shares.common_outstanding</t>
      </text>
    </comment>
    <comment ref="X28" authorId="0" shapeId="0">
      <text>
        <t>실측(계정 매핑 없음(파생·부문·시세 행) — 모델값 직접) — fin.shares.common_outstanding</t>
      </text>
    </comment>
    <comment ref="Y28" authorId="0" shapeId="0">
      <text>
        <t>실측(계정 매핑 없음(파생·부문·시세 행) — 모델값 직접) — fin.shares.common_outstanding</t>
      </text>
    </comment>
    <comment ref="AA28" authorId="0" shapeId="0">
      <text>
        <t>실측(계정 매핑 없음(파생·부문·시세 행) — 모델값 직접) — fin.shares.common_outstanding</t>
      </text>
    </comment>
    <comment ref="AB28" authorId="0" shapeId="0">
      <text>
        <t>실측(계정 매핑 없음(파생·부문·시세 행)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없음(파생·부문·시세 행)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없음(파생·부문·시세 행) — 모델값 직접) — fin.dividend.dps_common(연간, Q4 에 표기)</t>
      </text>
    </comment>
    <comment ref="O31" authorId="0" shapeId="0">
      <text>
        <t>실측(계정 매핑 없음(파생·부문·시세 행) — 모델값 직접) — fin.dividend.dps_common(연간, Q4 에 표기)</t>
      </text>
    </comment>
    <comment ref="T31" authorId="0" shapeId="0">
      <text>
        <t>실측(계정 매핑 없음(파생·부문·시세 행) — 모델값 직접) — fin.dividend.dps_common(연간, Q4 에 표기)</t>
      </text>
    </comment>
    <comment ref="Y31" authorId="0" shapeId="0">
      <text>
        <t>실측(계정 매핑 없음(파생·부문·시세 행) — 모델값 직접) — fin.dividend.dps_common(연간, Q4 에 표기)</t>
      </text>
    </comment>
    <comment ref="AD31" authorId="0" shapeId="0">
      <text>
        <t>추정: 직전 결산 DPS 200원 유지
[abs]</t>
      </text>
    </comment>
    <comment ref="AI31" authorId="0" shapeId="0">
      <text>
        <t>추정: 직전 결산 DPS 200원 유지
[abs]</t>
      </text>
    </comment>
    <comment ref="AN31" authorId="0" shapeId="0">
      <text>
        <t>추정: 직전 결산 DPS 200원 유지
[abs]</t>
      </text>
    </comment>
    <comment ref="AC32" authorId="0" shapeId="0">
      <text>
        <t>추정: 현재 종가 ÷ TTM EPS(추정 포함)
[valuation]</t>
      </text>
    </comment>
    <comment ref="AD32" authorId="0" shapeId="0">
      <text>
        <t>추정: 현재 종가 ÷ TTM EPS(추정 포함)
[valuation]</t>
      </text>
    </comment>
    <comment ref="AF32" authorId="0" shapeId="0">
      <text>
        <t>추정: 현재 종가 ÷ TTM EPS(추정 포함)
[valuation]</t>
      </text>
    </comment>
    <comment ref="AG32" authorId="0" shapeId="0">
      <text>
        <t>추정: 현재 종가 ÷ TTM EPS(추정 포함)
[valuation]</t>
      </text>
    </comment>
    <comment ref="AH32" authorId="0" shapeId="0">
      <text>
        <t>추정: 현재 종가 ÷ TTM EPS(추정 포함)
[valuation]</t>
      </text>
    </comment>
    <comment ref="AI32" authorId="0" shapeId="0">
      <text>
        <t>추정: 현재 종가 ÷ TTM EPS(추정 포함)
[valuation]</t>
      </text>
    </comment>
    <comment ref="AK32" authorId="0" shapeId="0">
      <text>
        <t>추정: 현재 종가 ÷ TTM EPS(추정 포함)
[valuation]</t>
      </text>
    </comment>
    <comment ref="AL32" authorId="0" shapeId="0">
      <text>
        <t>추정: 현재 종가 ÷ TTM EPS(추정 포함)
[valuation]</t>
      </text>
    </comment>
    <comment ref="AM32" authorId="0" shapeId="0">
      <text>
        <t>추정: 현재 종가 ÷ TTM EPS(추정 포함)
[valuation]</t>
      </text>
    </comment>
    <comment ref="AN32" authorId="0" shapeId="0">
      <text>
        <t>추정: 현재 종가 ÷ TTM EPS(추정 포함)
[valuation]</t>
      </text>
    </comment>
    <comment ref="AC33" authorId="0" shapeId="0">
      <text>
        <t>추정: 현재 종가 ÷ BPS(추정 포함)
[valuation]</t>
      </text>
    </comment>
    <comment ref="AD33" authorId="0" shapeId="0">
      <text>
        <t>추정: 현재 종가 ÷ BPS(추정 포함)
[valuation]</t>
      </text>
    </comment>
    <comment ref="AF33" authorId="0" shapeId="0">
      <text>
        <t>추정: 현재 종가 ÷ BPS(추정 포함)
[valuation]</t>
      </text>
    </comment>
    <comment ref="AG33" authorId="0" shapeId="0">
      <text>
        <t>추정: 현재 종가 ÷ BPS(추정 포함)
[valuation]</t>
      </text>
    </comment>
    <comment ref="AH33" authorId="0" shapeId="0">
      <text>
        <t>추정: 현재 종가 ÷ BPS(추정 포함)
[valuation]</t>
      </text>
    </comment>
    <comment ref="AI33" authorId="0" shapeId="0">
      <text>
        <t>추정: 현재 종가 ÷ BPS(추정 포함)
[valuation]</t>
      </text>
    </comment>
    <comment ref="AK33" authorId="0" shapeId="0">
      <text>
        <t>추정: 현재 종가 ÷ BPS(추정 포함)
[valuation]</t>
      </text>
    </comment>
    <comment ref="AL33" authorId="0" shapeId="0">
      <text>
        <t>추정: 현재 종가 ÷ BPS(추정 포함)
[valuation]</t>
      </text>
    </comment>
    <comment ref="AM33" authorId="0" shapeId="0">
      <text>
        <t>추정: 현재 종가 ÷ BPS(추정 포함)
[valuation]</t>
      </text>
    </comment>
    <comment ref="AN33" authorId="0" shapeId="0">
      <text>
        <t>추정: 현재 종가 ÷ BPS(추정 포함)
[valuation]</t>
      </text>
    </comment>
    <comment ref="E34" authorId="0" shapeId="0">
      <text>
        <t>실측(계정 매핑 없음(파생·부문·시세 행) — 모델값 직접) — = 매출액(부문 미분리)</t>
      </text>
    </comment>
    <comment ref="G34" authorId="0" shapeId="0">
      <text>
        <t>실측(계정 매핑 없음(파생·부문·시세 행) — 모델값 직접) — = 매출액(부문 미분리)</t>
      </text>
    </comment>
    <comment ref="H34" authorId="0" shapeId="0">
      <text>
        <t>실측(계정 매핑 없음(파생·부문·시세 행) — 모델값 직접) — = 매출액(부문 미분리)</t>
      </text>
    </comment>
    <comment ref="I34" authorId="0" shapeId="0">
      <text>
        <t>실측(계정 매핑 없음(파생·부문·시세 행) — 모델값 직접) — = 매출액(부문 미분리)</t>
      </text>
    </comment>
    <comment ref="J34" authorId="0" shapeId="0">
      <text>
        <t>실측(계정 매핑 없음(파생·부문·시세 행) — 모델값 직접) — = 매출액(부문 미분리)</t>
      </text>
    </comment>
    <comment ref="L34" authorId="0" shapeId="0">
      <text>
        <t>실측(계정 매핑 없음(파생·부문·시세 행) — 모델값 직접) — = 매출액(부문 미분리)</t>
      </text>
    </comment>
    <comment ref="M34" authorId="0" shapeId="0">
      <text>
        <t>실측(계정 매핑 없음(파생·부문·시세 행) — 모델값 직접) — = 매출액(부문 미분리)</t>
      </text>
    </comment>
    <comment ref="N34" authorId="0" shapeId="0">
      <text>
        <t>실측(계정 매핑 없음(파생·부문·시세 행) — 모델값 직접) — = 매출액(부문 미분리)</t>
      </text>
    </comment>
    <comment ref="O34" authorId="0" shapeId="0">
      <text>
        <t>실측(계정 매핑 없음(파생·부문·시세 행) — 모델값 직접) — = 매출액(부문 미분리)</t>
      </text>
    </comment>
    <comment ref="Q34" authorId="0" shapeId="0">
      <text>
        <t>실측(계정 매핑 없음(파생·부문·시세 행) — 모델값 직접) — = 매출액(부문 미분리)</t>
      </text>
    </comment>
    <comment ref="R34" authorId="0" shapeId="0">
      <text>
        <t>실측(계정 매핑 없음(파생·부문·시세 행) — 모델값 직접) — = 매출액(부문 미분리)</t>
      </text>
    </comment>
    <comment ref="S34" authorId="0" shapeId="0">
      <text>
        <t>실측(계정 매핑 없음(파생·부문·시세 행) — 모델값 직접) — = 매출액(부문 미분리)</t>
      </text>
    </comment>
    <comment ref="T34" authorId="0" shapeId="0">
      <text>
        <t>실측(계정 매핑 없음(파생·부문·시세 행) — 모델값 직접) — = 매출액(부문 미분리)</t>
      </text>
    </comment>
    <comment ref="V34" authorId="0" shapeId="0">
      <text>
        <t>실측(계정 매핑 없음(파생·부문·시세 행) — 모델값 직접) — = 매출액(부문 미분리)</t>
      </text>
    </comment>
    <comment ref="W34" authorId="0" shapeId="0">
      <text>
        <t>실측(계정 매핑 없음(파생·부문·시세 행) — 모델값 직접) — = 매출액(부문 미분리)</t>
      </text>
    </comment>
    <comment ref="X34" authorId="0" shapeId="0">
      <text>
        <t>실측(계정 매핑 없음(파생·부문·시세 행) — 모델값 직접) — = 매출액(부문 미분리)</t>
      </text>
    </comment>
    <comment ref="Y34" authorId="0" shapeId="0">
      <text>
        <t>실측(계정 매핑 없음(파생·부문·시세 행) — 모델값 직접) — = 매출액(부문 미분리)</t>
      </text>
    </comment>
    <comment ref="AA34" authorId="0" shapeId="0">
      <text>
        <t>실측(계정 매핑 없음(파생·부문·시세 행) — 모델값 직접) — = 매출액(부문 미분리)</t>
      </text>
    </comment>
    <comment ref="AB34" authorId="0" shapeId="0">
      <text>
        <t>실측(계정 매핑 없음(파생·부문·시세 행) — 모델값 직접) — = 매출액(부문 미분리)</t>
      </text>
    </comment>
    <comment ref="AC34" authorId="0" shapeId="0">
      <text>
        <t>추정: = 매출액 추정(부문 미분리)
[identity]</t>
      </text>
    </comment>
    <comment ref="AD34" authorId="0" shapeId="0">
      <text>
        <t>추정: = 매출액 추정(부문 미분리)
[identity]</t>
      </text>
    </comment>
    <comment ref="AF34" authorId="0" shapeId="0">
      <text>
        <t>추정: = 매출액 추정(부문 미분리)
[identity]</t>
      </text>
    </comment>
    <comment ref="AG34" authorId="0" shapeId="0">
      <text>
        <t>추정: = 매출액 추정(부문 미분리)
[identity]</t>
      </text>
    </comment>
    <comment ref="AH34" authorId="0" shapeId="0">
      <text>
        <t>추정: = 매출액 추정(부문 미분리)
[identity]</t>
      </text>
    </comment>
    <comment ref="AI34" authorId="0" shapeId="0">
      <text>
        <t>추정: = 매출액 추정(부문 미분리)
[identity]</t>
      </text>
    </comment>
    <comment ref="AK34" authorId="0" shapeId="0">
      <text>
        <t>추정: = 매출액 추정(부문 미분리)
[identity]</t>
      </text>
    </comment>
    <comment ref="AL34" authorId="0" shapeId="0">
      <text>
        <t>추정: = 매출액 추정(부문 미분리)
[identity]</t>
      </text>
    </comment>
    <comment ref="AM34" authorId="0" shapeId="0">
      <text>
        <t>추정: = 매출액 추정(부문 미분리)
[identity]</t>
      </text>
    </comment>
    <comment ref="AN34" authorId="0" shapeId="0">
      <text>
        <t>추정: = 매출액 추정(부문 미분리)
[identity]</t>
      </text>
    </comment>
    <comment ref="E35" authorId="0" shapeId="0">
      <text>
        <t>실측(계정 매핑 없음(파생·부문·시세 행) — 모델값 직접) — = 영업이익(부문 미분리)</t>
      </text>
    </comment>
    <comment ref="G35" authorId="0" shapeId="0">
      <text>
        <t>실측(계정 매핑 없음(파생·부문·시세 행) — 모델값 직접) — = 영업이익(부문 미분리)</t>
      </text>
    </comment>
    <comment ref="H35" authorId="0" shapeId="0">
      <text>
        <t>실측(계정 매핑 없음(파생·부문·시세 행) — 모델값 직접) — = 영업이익(부문 미분리)</t>
      </text>
    </comment>
    <comment ref="I35" authorId="0" shapeId="0">
      <text>
        <t>실측(계정 매핑 없음(파생·부문·시세 행) — 모델값 직접) — = 영업이익(부문 미분리)</t>
      </text>
    </comment>
    <comment ref="J35" authorId="0" shapeId="0">
      <text>
        <t>실측(계정 매핑 없음(파생·부문·시세 행) — 모델값 직접) — = 영업이익(부문 미분리)</t>
      </text>
    </comment>
    <comment ref="L35" authorId="0" shapeId="0">
      <text>
        <t>실측(계정 매핑 없음(파생·부문·시세 행) — 모델값 직접) — = 영업이익(부문 미분리)</t>
      </text>
    </comment>
    <comment ref="M35" authorId="0" shapeId="0">
      <text>
        <t>실측(계정 매핑 없음(파생·부문·시세 행) — 모델값 직접) — = 영업이익(부문 미분리)</t>
      </text>
    </comment>
    <comment ref="N35" authorId="0" shapeId="0">
      <text>
        <t>실측(계정 매핑 없음(파생·부문·시세 행) — 모델값 직접) — = 영업이익(부문 미분리)</t>
      </text>
    </comment>
    <comment ref="O35" authorId="0" shapeId="0">
      <text>
        <t>실측(계정 매핑 없음(파생·부문·시세 행) — 모델값 직접) — = 영업이익(부문 미분리)</t>
      </text>
    </comment>
    <comment ref="Q35" authorId="0" shapeId="0">
      <text>
        <t>실측(계정 매핑 없음(파생·부문·시세 행) — 모델값 직접) — = 영업이익(부문 미분리)</t>
      </text>
    </comment>
    <comment ref="R35" authorId="0" shapeId="0">
      <text>
        <t>실측(계정 매핑 없음(파생·부문·시세 행) — 모델값 직접) — = 영업이익(부문 미분리)</t>
      </text>
    </comment>
    <comment ref="S35" authorId="0" shapeId="0">
      <text>
        <t>실측(계정 매핑 없음(파생·부문·시세 행) — 모델값 직접) — = 영업이익(부문 미분리)</t>
      </text>
    </comment>
    <comment ref="T35" authorId="0" shapeId="0">
      <text>
        <t>실측(계정 매핑 없음(파생·부문·시세 행) — 모델값 직접) — = 영업이익(부문 미분리)</t>
      </text>
    </comment>
    <comment ref="V35" authorId="0" shapeId="0">
      <text>
        <t>실측(계정 매핑 없음(파생·부문·시세 행) — 모델값 직접) — = 영업이익(부문 미분리)</t>
      </text>
    </comment>
    <comment ref="W35" authorId="0" shapeId="0">
      <text>
        <t>실측(계정 매핑 없음(파생·부문·시세 행) — 모델값 직접) — = 영업이익(부문 미분리)</t>
      </text>
    </comment>
    <comment ref="X35" authorId="0" shapeId="0">
      <text>
        <t>실측(계정 매핑 없음(파생·부문·시세 행) — 모델값 직접) — = 영업이익(부문 미분리)</t>
      </text>
    </comment>
    <comment ref="Y35" authorId="0" shapeId="0">
      <text>
        <t>실측(계정 매핑 없음(파생·부문·시세 행) — 모델값 직접) — = 영업이익(부문 미분리)</t>
      </text>
    </comment>
    <comment ref="AA35" authorId="0" shapeId="0">
      <text>
        <t>실측(계정 매핑 없음(파생·부문·시세 행) — 모델값 직접) — = 영업이익(부문 미분리)</t>
      </text>
    </comment>
    <comment ref="AB35" authorId="0" shapeId="0">
      <text>
        <t>실측(계정 매핑 없음(파생·부문·시세 행) — 모델값 직접) — = 영업이익(부문 미분리)</t>
      </text>
    </comment>
    <comment ref="AC35" authorId="0" shapeId="0">
      <text>
        <t>추정: = 매출액 × OPM(부문 미분리)
[identity]</t>
      </text>
    </comment>
    <comment ref="AD35" authorId="0" shapeId="0">
      <text>
        <t>추정: = 매출액 × OPM(부문 미분리)
[identity]</t>
      </text>
    </comment>
    <comment ref="AF35" authorId="0" shapeId="0">
      <text>
        <t>추정: = 매출액 × OPM(부문 미분리)
[identity]</t>
      </text>
    </comment>
    <comment ref="AG35" authorId="0" shapeId="0">
      <text>
        <t>추정: = 매출액 × OPM(부문 미분리)
[identity]</t>
      </text>
    </comment>
    <comment ref="AH35" authorId="0" shapeId="0">
      <text>
        <t>추정: = 매출액 × OPM(부문 미분리)
[identity]</t>
      </text>
    </comment>
    <comment ref="AI35" authorId="0" shapeId="0">
      <text>
        <t>추정: = 매출액 × OPM(부문 미분리)
[identity]</t>
      </text>
    </comment>
    <comment ref="AK35" authorId="0" shapeId="0">
      <text>
        <t>추정: = 매출액 × OPM(부문 미분리)
[identity]</t>
      </text>
    </comment>
    <comment ref="AL35" authorId="0" shapeId="0">
      <text>
        <t>추정: = 매출액 × OPM(부문 미분리)
[identity]</t>
      </text>
    </comment>
    <comment ref="AM35" authorId="0" shapeId="0">
      <text>
        <t>추정: = 매출액 × OPM(부문 미분리)
[identity]</t>
      </text>
    </comment>
    <comment ref="AN35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대양전기공업(108380)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18.96% — 법인세 = MAX(세전,0) × 세율, 추정 전 분기 연결(Σ법인세/Σmax(세전,0) 역산, 재현 오차 ≤ 0.05억). 모델 가정 18.96% · 근거: 최근 12분기 유효세율 19.0%(5~27% 안 — 그대로)</t>
        </is>
      </c>
    </row>
    <row r="23">
      <c r="A23" t="inlineStr">
        <is>
          <t>· 판관비율 6.92%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5.50% / 부채 — — 이자손익 = (전분기 이자발생자산 × 자산이자율 − 전분기 총차입금 × 부채이자율)/4, 최소자승 역산(모델 assumptions [0.055, None] 는 4자리 반올림이라 그대로 쓰면 ±1억 어긋남) · 출처: {"asset": "주석 이자수익 ÷ 평균 이자발생자산(2024Q1~2026Q2)",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8.4/9.5/10.7배(hist_quarterly(분기 평균가 ÷ TTM EPS, 12분기,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assets/models/108380.json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지배주주순이익 face 누락 분기는 당기순이익 − 비지배 로 파생: 2026Q2 / 매출 드라이버 폴백(고객 조선사 연결 없음(suppliers.json)): 전년동기 × (1+g) 추세 / 금융손익 실적→추정 단절: 최근 4분기 실적 +19/-0/+27/+18(중위 +19억) → 추정 2026Q3 +8억(차 -11억, -58%)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17.9, "op_wape_pct": 43.3,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543.67, "rev_act": 615.33, "op_pred": 34.39, "op_act": 77.43}, {"q": "2025Q4", "rev_pred": 732.64, "rev_act": 565.96, "op_pred": 46.35, "op_act": 78.24}, {"q": "2026Q1", "rev_pred": 676.16, "rev_act": 508.96, "op_pred": 42.77, "op_act": 62.74}, {"q": "2026Q2", "rev_pred": 684.5, "rev_act": 708.34, "op_pred": 43.3, "op_act": 75.59}]}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1343.39</v>
      </c>
      <c r="AE6" s="17" t="n">
        <v>1456.01</v>
      </c>
      <c r="AF6" s="16" t="n">
        <v>1341.45</v>
      </c>
      <c r="AG6" s="16" t="n">
        <v>1341.45</v>
      </c>
      <c r="AH6" s="16" t="n">
        <v>1341.45</v>
      </c>
      <c r="AI6" s="16" t="n">
        <v>1341.45</v>
      </c>
      <c r="AJ6" s="11" t="n"/>
      <c r="AK6" s="16" t="n">
        <v>1341.45</v>
      </c>
      <c r="AL6" s="16" t="n">
        <v>1341.45</v>
      </c>
      <c r="AM6" s="16" t="n">
        <v>1341.45</v>
      </c>
      <c r="AN6" s="16" t="n">
        <v>1341.45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1341.45</v>
      </c>
      <c r="AE7" s="17" t="n">
        <v>1341.45</v>
      </c>
      <c r="AF7" s="16" t="n">
        <v>1341.45</v>
      </c>
      <c r="AG7" s="16" t="n">
        <v>1341.45</v>
      </c>
      <c r="AH7" s="16" t="n">
        <v>1341.45</v>
      </c>
      <c r="AI7" s="16" t="n">
        <v>1341.45</v>
      </c>
      <c r="AJ7" s="11" t="n"/>
      <c r="AK7" s="16" t="n">
        <v>1341.45</v>
      </c>
      <c r="AL7" s="16" t="n">
        <v>1341.45</v>
      </c>
      <c r="AM7" s="16" t="n">
        <v>1341.45</v>
      </c>
      <c r="AN7" s="16" t="n">
        <v>1341.45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849.39</v>
      </c>
      <c r="AE8" s="17" t="n">
        <v>918.46</v>
      </c>
      <c r="AF8" s="16" t="n">
        <v>848.37</v>
      </c>
      <c r="AG8" s="16" t="n">
        <v>848.37</v>
      </c>
      <c r="AH8" s="16" t="n">
        <v>848.37</v>
      </c>
      <c r="AI8" s="16" t="n">
        <v>848.37</v>
      </c>
      <c r="AJ8" s="11" t="n"/>
      <c r="AK8" s="16" t="n">
        <v>848.37</v>
      </c>
      <c r="AL8" s="16" t="n">
        <v>848.37</v>
      </c>
      <c r="AM8" s="16" t="n">
        <v>848.37</v>
      </c>
      <c r="AN8" s="16" t="n">
        <v>848.37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848.37</v>
      </c>
      <c r="AE9" s="17" t="n">
        <v>848.37</v>
      </c>
      <c r="AF9" s="16" t="n">
        <v>848.37</v>
      </c>
      <c r="AG9" s="16" t="n">
        <v>848.37</v>
      </c>
      <c r="AH9" s="16" t="n">
        <v>848.37</v>
      </c>
      <c r="AI9" s="16" t="n">
        <v>848.37</v>
      </c>
      <c r="AJ9" s="11" t="n"/>
      <c r="AK9" s="16" t="n">
        <v>848.37</v>
      </c>
      <c r="AL9" s="16" t="n">
        <v>848.37</v>
      </c>
      <c r="AM9" s="16" t="n">
        <v>848.37</v>
      </c>
      <c r="AN9" s="16" t="n">
        <v>848.37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1506.62</v>
      </c>
      <c r="AE10" s="17" t="n">
        <v>1688.01</v>
      </c>
      <c r="AF10" s="16" t="n">
        <v>1500.82</v>
      </c>
      <c r="AG10" s="16" t="n">
        <v>1500.82</v>
      </c>
      <c r="AH10" s="16" t="n">
        <v>1500.82</v>
      </c>
      <c r="AI10" s="16" t="n">
        <v>1500.82</v>
      </c>
      <c r="AJ10" s="11" t="n"/>
      <c r="AK10" s="16" t="n">
        <v>1500.82</v>
      </c>
      <c r="AL10" s="16" t="n">
        <v>1500.82</v>
      </c>
      <c r="AM10" s="16" t="n">
        <v>1500.82</v>
      </c>
      <c r="AN10" s="16" t="n">
        <v>1500.82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1500.82</v>
      </c>
      <c r="AE11" s="17" t="n">
        <v>1500.82</v>
      </c>
      <c r="AF11" s="16" t="n">
        <v>1500.82</v>
      </c>
      <c r="AG11" s="16" t="n">
        <v>1500.82</v>
      </c>
      <c r="AH11" s="16" t="n">
        <v>1500.82</v>
      </c>
      <c r="AI11" s="16" t="n">
        <v>1500.82</v>
      </c>
      <c r="AJ11" s="11" t="n"/>
      <c r="AK11" s="16" t="n">
        <v>1500.82</v>
      </c>
      <c r="AL11" s="16" t="n">
        <v>1500.82</v>
      </c>
      <c r="AM11" s="16" t="n">
        <v>1500.82</v>
      </c>
      <c r="AN11" s="16" t="n">
        <v>1500.82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200.49</v>
      </c>
      <c r="AE12" s="17" t="n">
        <v>213.61</v>
      </c>
      <c r="AF12" s="16" t="n">
        <v>200.4</v>
      </c>
      <c r="AG12" s="16" t="n">
        <v>200.4</v>
      </c>
      <c r="AH12" s="16" t="n">
        <v>200.4</v>
      </c>
      <c r="AI12" s="16" t="n">
        <v>200.4</v>
      </c>
      <c r="AJ12" s="11" t="n"/>
      <c r="AK12" s="16" t="n">
        <v>200.4</v>
      </c>
      <c r="AL12" s="16" t="n">
        <v>200.4</v>
      </c>
      <c r="AM12" s="16" t="n">
        <v>200.4</v>
      </c>
      <c r="AN12" s="16" t="n">
        <v>200.4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</v>
      </c>
      <c r="AE13" s="17" t="n">
        <v>200.4</v>
      </c>
      <c r="AF13" s="16" t="n">
        <v>200.4</v>
      </c>
      <c r="AG13" s="16" t="n">
        <v>200.4</v>
      </c>
      <c r="AH13" s="16" t="n">
        <v>200.4</v>
      </c>
      <c r="AI13" s="16" t="n">
        <v>200.4</v>
      </c>
      <c r="AJ13" s="11" t="n"/>
      <c r="AK13" s="16" t="n">
        <v>200.4</v>
      </c>
      <c r="AL13" s="16" t="n">
        <v>200.4</v>
      </c>
      <c r="AM13" s="16" t="n">
        <v>200.4</v>
      </c>
      <c r="AN13" s="16" t="n">
        <v>200.4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15000</v>
      </c>
      <c r="F15" s="9" t="n"/>
      <c r="G15" s="18" t="n">
        <v>14700</v>
      </c>
      <c r="H15" s="18" t="n">
        <v>12550</v>
      </c>
      <c r="I15" s="18" t="n">
        <v>11700</v>
      </c>
      <c r="J15" s="18" t="n">
        <v>12000</v>
      </c>
      <c r="K15" s="9" t="n"/>
      <c r="L15" s="18" t="n">
        <v>10730</v>
      </c>
      <c r="M15" s="18" t="n">
        <v>13000</v>
      </c>
      <c r="N15" s="18" t="n">
        <v>11000</v>
      </c>
      <c r="O15" s="18" t="n">
        <v>11720</v>
      </c>
      <c r="P15" s="9" t="n"/>
      <c r="Q15" s="18" t="n">
        <v>12840</v>
      </c>
      <c r="R15" s="18" t="n">
        <v>13850</v>
      </c>
      <c r="S15" s="18" t="n">
        <v>12060</v>
      </c>
      <c r="T15" s="18" t="n">
        <v>12850</v>
      </c>
      <c r="U15" s="9" t="n"/>
      <c r="V15" s="18" t="n">
        <v>15820</v>
      </c>
      <c r="W15" s="18" t="n">
        <v>23850</v>
      </c>
      <c r="X15" s="18" t="n">
        <v>29100</v>
      </c>
      <c r="Y15" s="18" t="n">
        <v>27700</v>
      </c>
      <c r="Z15" s="9" t="n"/>
      <c r="AA15" s="18" t="n">
        <v>24500</v>
      </c>
      <c r="AB15" s="19" t="n">
        <v>17720</v>
      </c>
      <c r="AC15" s="20" t="n">
        <v>18520</v>
      </c>
      <c r="AD15" s="20" t="n">
        <v>17140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17850</v>
      </c>
      <c r="F16" s="9" t="n"/>
      <c r="G16" s="18" t="n">
        <v>17100</v>
      </c>
      <c r="H16" s="18" t="n">
        <v>16150</v>
      </c>
      <c r="I16" s="18" t="n">
        <v>16500</v>
      </c>
      <c r="J16" s="18" t="n">
        <v>14250</v>
      </c>
      <c r="K16" s="9" t="n"/>
      <c r="L16" s="18" t="n">
        <v>12750</v>
      </c>
      <c r="M16" s="18" t="n">
        <v>13900</v>
      </c>
      <c r="N16" s="18" t="n">
        <v>14000</v>
      </c>
      <c r="O16" s="18" t="n">
        <v>12150</v>
      </c>
      <c r="P16" s="9" t="n"/>
      <c r="Q16" s="18" t="n">
        <v>13950</v>
      </c>
      <c r="R16" s="18" t="n">
        <v>20800</v>
      </c>
      <c r="S16" s="18" t="n">
        <v>14300</v>
      </c>
      <c r="T16" s="18" t="n">
        <v>13870</v>
      </c>
      <c r="U16" s="9" t="n"/>
      <c r="V16" s="18" t="n">
        <v>20900</v>
      </c>
      <c r="W16" s="18" t="n">
        <v>24900</v>
      </c>
      <c r="X16" s="18" t="n">
        <v>32600</v>
      </c>
      <c r="Y16" s="18" t="n">
        <v>33850</v>
      </c>
      <c r="Z16" s="9" t="n"/>
      <c r="AA16" s="18" t="n">
        <v>36650</v>
      </c>
      <c r="AB16" s="19" t="n">
        <v>32800</v>
      </c>
      <c r="AC16" s="20" t="n">
        <v>19600</v>
      </c>
      <c r="AD16" s="20" t="n">
        <v>18970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13750</v>
      </c>
      <c r="F17" s="9" t="n"/>
      <c r="G17" s="18" t="n">
        <v>13800</v>
      </c>
      <c r="H17" s="18" t="n">
        <v>11000</v>
      </c>
      <c r="I17" s="18" t="n">
        <v>11200</v>
      </c>
      <c r="J17" s="18" t="n">
        <v>11300</v>
      </c>
      <c r="K17" s="9" t="n"/>
      <c r="L17" s="18" t="n">
        <v>10110</v>
      </c>
      <c r="M17" s="18" t="n">
        <v>10490</v>
      </c>
      <c r="N17" s="18" t="n">
        <v>10770</v>
      </c>
      <c r="O17" s="18" t="n">
        <v>10450</v>
      </c>
      <c r="P17" s="9" t="n"/>
      <c r="Q17" s="18" t="n">
        <v>10730</v>
      </c>
      <c r="R17" s="18" t="n">
        <v>12540</v>
      </c>
      <c r="S17" s="18" t="n">
        <v>10750</v>
      </c>
      <c r="T17" s="18" t="n">
        <v>11090</v>
      </c>
      <c r="U17" s="9" t="n"/>
      <c r="V17" s="18" t="n">
        <v>12800</v>
      </c>
      <c r="W17" s="18" t="n">
        <v>14420</v>
      </c>
      <c r="X17" s="18" t="n">
        <v>20550</v>
      </c>
      <c r="Y17" s="18" t="n">
        <v>25350</v>
      </c>
      <c r="Z17" s="9" t="n"/>
      <c r="AA17" s="18" t="n">
        <v>24500</v>
      </c>
      <c r="AB17" s="19" t="n">
        <v>15430</v>
      </c>
      <c r="AC17" s="20" t="n">
        <v>14000</v>
      </c>
      <c r="AD17" s="20" t="n">
        <v>16190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15838.9</v>
      </c>
      <c r="F18" s="9" t="n"/>
      <c r="G18" s="18" t="n">
        <v>15232.2</v>
      </c>
      <c r="H18" s="18" t="n">
        <v>13832.3</v>
      </c>
      <c r="I18" s="18" t="n">
        <v>12938.1</v>
      </c>
      <c r="J18" s="18" t="n">
        <v>12306.5</v>
      </c>
      <c r="K18" s="9" t="n"/>
      <c r="L18" s="18" t="n">
        <v>11685.5</v>
      </c>
      <c r="M18" s="18" t="n">
        <v>11720.3</v>
      </c>
      <c r="N18" s="18" t="n">
        <v>12504.8</v>
      </c>
      <c r="O18" s="18" t="n">
        <v>11417.2</v>
      </c>
      <c r="P18" s="9" t="n"/>
      <c r="Q18" s="18" t="n">
        <v>11987.9</v>
      </c>
      <c r="R18" s="18" t="n">
        <v>14608.8</v>
      </c>
      <c r="S18" s="18" t="n">
        <v>12791.5</v>
      </c>
      <c r="T18" s="18" t="n">
        <v>12228.4</v>
      </c>
      <c r="U18" s="9" t="n"/>
      <c r="V18" s="18" t="n">
        <v>16177.4</v>
      </c>
      <c r="W18" s="18" t="n">
        <v>19891.3</v>
      </c>
      <c r="X18" s="18" t="n">
        <v>26083.1</v>
      </c>
      <c r="Y18" s="18" t="n">
        <v>28694.1</v>
      </c>
      <c r="Z18" s="9" t="n"/>
      <c r="AA18" s="18" t="n">
        <v>28323.7</v>
      </c>
      <c r="AB18" s="19" t="n">
        <v>24136.7</v>
      </c>
      <c r="AC18" s="20" t="n">
        <v>17674.8</v>
      </c>
      <c r="AD18" s="20" t="n">
        <v>17830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0.105395633</v>
      </c>
      <c r="AD21" s="24" t="n">
        <v>0.105390282</v>
      </c>
      <c r="AE21" s="25" t="n"/>
      <c r="AF21" s="24" t="n">
        <v>0.105401261</v>
      </c>
      <c r="AG21" s="24" t="n">
        <v>0.105396367</v>
      </c>
      <c r="AH21" s="24" t="n">
        <v>0.052706636</v>
      </c>
      <c r="AI21" s="24" t="n">
        <v>0.052700564</v>
      </c>
      <c r="AJ21" s="25" t="n"/>
      <c r="AK21" s="24" t="n">
        <v>0.052700805</v>
      </c>
      <c r="AL21" s="24" t="n">
        <v>0.052694764</v>
      </c>
      <c r="AM21" s="24" t="n">
        <v>0.026339679</v>
      </c>
      <c r="AN21" s="24" t="n">
        <v>0.026359744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$D$47</f>
        <v/>
      </c>
      <c r="AD22" s="26">
        <f>$D$47</f>
        <v/>
      </c>
      <c r="AE22" s="25">
        <f>IFERROR(subQ!AE8/subQ!AE5,"")</f>
        <v/>
      </c>
      <c r="AF22" s="26">
        <f>$D$47</f>
        <v/>
      </c>
      <c r="AG22" s="26">
        <f>$D$47</f>
        <v/>
      </c>
      <c r="AH22" s="26">
        <f>$D$47</f>
        <v/>
      </c>
      <c r="AI22" s="26">
        <f>$D$47</f>
        <v/>
      </c>
      <c r="AJ22" s="25">
        <f>IFERROR(subQ!AJ8/subQ!AJ5,"")</f>
        <v/>
      </c>
      <c r="AK22" s="26">
        <f>$D$47</f>
        <v/>
      </c>
      <c r="AL22" s="26">
        <f>$D$47</f>
        <v/>
      </c>
      <c r="AM22" s="26">
        <f>$D$47</f>
        <v/>
      </c>
      <c r="AN22" s="26">
        <f>$D$47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0.114160957</v>
      </c>
      <c r="AD23" s="24" t="n">
        <v>0.114160579</v>
      </c>
      <c r="AE23" s="25">
        <f>IFERROR(subQ!AE9/subQ!AE5,"")</f>
        <v/>
      </c>
      <c r="AF23" s="24" t="n">
        <v>0.114164341</v>
      </c>
      <c r="AG23" s="24" t="n">
        <v>0.114163474</v>
      </c>
      <c r="AH23" s="24" t="n">
        <v>0.114157228</v>
      </c>
      <c r="AI23" s="24" t="n">
        <v>0.114154696</v>
      </c>
      <c r="AJ23" s="25">
        <f>IFERROR(subQ!AJ9/subQ!AJ5,"")</f>
        <v/>
      </c>
      <c r="AK23" s="24" t="n">
        <v>0.114155945</v>
      </c>
      <c r="AL23" s="24" t="n">
        <v>0.114163007</v>
      </c>
      <c r="AM23" s="24" t="n">
        <v>0.114166746</v>
      </c>
      <c r="AN23" s="24" t="n">
        <v>0.114166938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$D$46</f>
        <v/>
      </c>
      <c r="AD25" s="26">
        <f>$D$46</f>
        <v/>
      </c>
      <c r="AE25" s="25">
        <f>IFERROR(subQ!AE15/subQ!AE14,"")</f>
        <v/>
      </c>
      <c r="AF25" s="26">
        <f>$D$46</f>
        <v/>
      </c>
      <c r="AG25" s="26">
        <f>$D$46</f>
        <v/>
      </c>
      <c r="AH25" s="26">
        <f>$D$46</f>
        <v/>
      </c>
      <c r="AI25" s="26">
        <f>$D$46</f>
        <v/>
      </c>
      <c r="AJ25" s="25">
        <f>IFERROR(subQ!AJ15/subQ!AJ14,"")</f>
        <v/>
      </c>
      <c r="AK25" s="26">
        <f>$D$46</f>
        <v/>
      </c>
      <c r="AL25" s="26">
        <f>$D$46</f>
        <v/>
      </c>
      <c r="AM25" s="26">
        <f>$D$46</f>
        <v/>
      </c>
      <c r="AN25" s="26">
        <f>$D$46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$D$48</f>
        <v/>
      </c>
      <c r="AD26" s="26">
        <f>$D$48</f>
        <v/>
      </c>
      <c r="AE26" s="25">
        <f>IFERROR(subQ!AE17/subQ!AE16,"")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IFERROR(subQ!AJ17/subQ!AJ16,"")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IFERROR(subQ!AO17/subQ!AO16,"")</f>
        <v/>
      </c>
    </row>
    <row r="27">
      <c r="A27" s="12" t="inlineStr">
        <is>
          <t>drv:감가상각비</t>
        </is>
      </c>
      <c r="B27" s="2" t="inlineStr">
        <is>
          <t>abs</t>
        </is>
      </c>
      <c r="C27" t="inlineStr">
        <is>
          <t>감가상각비 (가정, 억원)</t>
        </is>
      </c>
      <c r="E27" s="27">
        <f>subQ!E18</f>
        <v/>
      </c>
      <c r="F27" s="28">
        <f>subQ!F18</f>
        <v/>
      </c>
      <c r="G27" s="27">
        <f>subQ!G18</f>
        <v/>
      </c>
      <c r="H27" s="27">
        <f>subQ!H18</f>
        <v/>
      </c>
      <c r="I27" s="27">
        <f>subQ!I18</f>
        <v/>
      </c>
      <c r="J27" s="27">
        <f>subQ!J18</f>
        <v/>
      </c>
      <c r="K27" s="28">
        <f>subQ!K18</f>
        <v/>
      </c>
      <c r="L27" s="27">
        <f>subQ!L18</f>
        <v/>
      </c>
      <c r="M27" s="27">
        <f>subQ!M18</f>
        <v/>
      </c>
      <c r="N27" s="27">
        <f>subQ!N18</f>
        <v/>
      </c>
      <c r="O27" s="27">
        <f>subQ!O18</f>
        <v/>
      </c>
      <c r="P27" s="28">
        <f>subQ!P18</f>
        <v/>
      </c>
      <c r="Q27" s="27">
        <f>subQ!Q18</f>
        <v/>
      </c>
      <c r="R27" s="27">
        <f>subQ!R18</f>
        <v/>
      </c>
      <c r="S27" s="27">
        <f>subQ!S18</f>
        <v/>
      </c>
      <c r="T27" s="27">
        <f>subQ!T18</f>
        <v/>
      </c>
      <c r="U27" s="28">
        <f>subQ!U18</f>
        <v/>
      </c>
      <c r="V27" s="27">
        <f>subQ!V18</f>
        <v/>
      </c>
      <c r="W27" s="27">
        <f>subQ!W18</f>
        <v/>
      </c>
      <c r="X27" s="27">
        <f>subQ!X18</f>
        <v/>
      </c>
      <c r="Y27" s="27">
        <f>subQ!Y18</f>
        <v/>
      </c>
      <c r="Z27" s="28">
        <f>subQ!Z18</f>
        <v/>
      </c>
      <c r="AA27" s="27">
        <f>subQ!AA18</f>
        <v/>
      </c>
      <c r="AB27" s="29">
        <f>subQ!AB18</f>
        <v/>
      </c>
      <c r="AC27" s="30" t="n">
        <v>10.22</v>
      </c>
      <c r="AD27" s="30" t="n">
        <v>10.22</v>
      </c>
      <c r="AE27" s="31">
        <f>subQ!AE18</f>
        <v/>
      </c>
      <c r="AF27" s="30" t="n">
        <v>10.22</v>
      </c>
      <c r="AG27" s="30" t="n">
        <v>10.22</v>
      </c>
      <c r="AH27" s="30" t="n">
        <v>10.22</v>
      </c>
      <c r="AI27" s="30" t="n">
        <v>10.22</v>
      </c>
      <c r="AJ27" s="31">
        <f>subQ!AJ18</f>
        <v/>
      </c>
      <c r="AK27" s="30" t="n">
        <v>10.22</v>
      </c>
      <c r="AL27" s="30" t="n">
        <v>10.22</v>
      </c>
      <c r="AM27" s="30" t="n">
        <v>10.22</v>
      </c>
      <c r="AN27" s="30" t="n">
        <v>10.22</v>
      </c>
      <c r="AO27" s="31">
        <f>subQ!AO18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IFERROR(subQ!G21/subQ!E21-1,"")</f>
        <v/>
      </c>
      <c r="H28" s="21">
        <f>IFERROR(subQ!H21/subQ!G21-1,"")</f>
        <v/>
      </c>
      <c r="I28" s="21">
        <f>IFERROR(subQ!I21/subQ!H21-1,"")</f>
        <v/>
      </c>
      <c r="J28" s="21">
        <f>IFERROR(subQ!J21/subQ!I21-1,"")</f>
        <v/>
      </c>
      <c r="K28" s="22" t="n"/>
      <c r="L28" s="21">
        <f>IFERROR(subQ!L21/subQ!J21-1,"")</f>
        <v/>
      </c>
      <c r="M28" s="21">
        <f>IFERROR(subQ!M21/subQ!L21-1,"")</f>
        <v/>
      </c>
      <c r="N28" s="21">
        <f>IFERROR(subQ!N21/subQ!M21-1,"")</f>
        <v/>
      </c>
      <c r="O28" s="21">
        <f>IFERROR(subQ!O21/subQ!N21-1,"")</f>
        <v/>
      </c>
      <c r="P28" s="22" t="n"/>
      <c r="Q28" s="21">
        <f>IFERROR(subQ!Q21/subQ!O21-1,"")</f>
        <v/>
      </c>
      <c r="R28" s="21">
        <f>IFERROR(subQ!R21/subQ!Q21-1,"")</f>
        <v/>
      </c>
      <c r="S28" s="21">
        <f>IFERROR(subQ!S21/subQ!R21-1,"")</f>
        <v/>
      </c>
      <c r="T28" s="21">
        <f>IFERROR(subQ!T21/subQ!S21-1,"")</f>
        <v/>
      </c>
      <c r="U28" s="22" t="n"/>
      <c r="V28" s="21">
        <f>IFERROR(subQ!V21/subQ!T21-1,"")</f>
        <v/>
      </c>
      <c r="W28" s="21">
        <f>IFERROR(subQ!W21/subQ!V21-1,"")</f>
        <v/>
      </c>
      <c r="X28" s="21">
        <f>IFERROR(subQ!X21/subQ!W21-1,"")</f>
        <v/>
      </c>
      <c r="Y28" s="21">
        <f>IFERROR(subQ!Y21/subQ!X21-1,"")</f>
        <v/>
      </c>
      <c r="Z28" s="22" t="n"/>
      <c r="AA28" s="21">
        <f>IFERROR(subQ!AA21/subQ!Y21-1,"")</f>
        <v/>
      </c>
      <c r="AB28" s="23">
        <f>IFERROR(subQ!AB21/subQ!AA21-1,"")</f>
        <v/>
      </c>
      <c r="AC28" s="24" t="n">
        <v>-5.842e-06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IFERROR(subQ!E22+subQ!G16-subQ!G22,"")</f>
        <v/>
      </c>
      <c r="H29" s="27">
        <f>IFERROR(subQ!G22+subQ!H16-subQ!H22,"")</f>
        <v/>
      </c>
      <c r="I29" s="27">
        <f>IFERROR(subQ!H22+subQ!I16-subQ!I22,"")</f>
        <v/>
      </c>
      <c r="J29" s="27">
        <f>IFERROR(subQ!I22+subQ!J16-subQ!J22,"")</f>
        <v/>
      </c>
      <c r="K29" s="28" t="n"/>
      <c r="L29" s="27">
        <f>IFERROR(subQ!J22+subQ!L16-subQ!L22,"")</f>
        <v/>
      </c>
      <c r="M29" s="27">
        <f>IFERROR(subQ!L22+subQ!M16-subQ!M22,"")</f>
        <v/>
      </c>
      <c r="N29" s="27">
        <f>IFERROR(subQ!M22+subQ!N16-subQ!N22,"")</f>
        <v/>
      </c>
      <c r="O29" s="27">
        <f>IFERROR(subQ!N22+subQ!O16-subQ!O22,"")</f>
        <v/>
      </c>
      <c r="P29" s="28" t="n"/>
      <c r="Q29" s="27">
        <f>IFERROR(subQ!O22+subQ!Q16-subQ!Q22,"")</f>
        <v/>
      </c>
      <c r="R29" s="27">
        <f>IFERROR(subQ!Q22+subQ!R16-subQ!R22,"")</f>
        <v/>
      </c>
      <c r="S29" s="27">
        <f>IFERROR(subQ!R22+subQ!S16-subQ!S22,"")</f>
        <v/>
      </c>
      <c r="T29" s="27">
        <f>IFERROR(subQ!S22+subQ!T16-subQ!T22,"")</f>
        <v/>
      </c>
      <c r="U29" s="28" t="n"/>
      <c r="V29" s="27">
        <f>IFERROR(subQ!T22+subQ!V16-subQ!V22,"")</f>
        <v/>
      </c>
      <c r="W29" s="27">
        <f>IFERROR(subQ!V22+subQ!W16-subQ!W22,"")</f>
        <v/>
      </c>
      <c r="X29" s="27">
        <f>IFERROR(subQ!W22+subQ!X16-subQ!X22,"")</f>
        <v/>
      </c>
      <c r="Y29" s="27">
        <f>IFERROR(subQ!X22+subQ!Y16-subQ!Y22,"")</f>
        <v/>
      </c>
      <c r="Z29" s="28" t="n"/>
      <c r="AA29" s="27">
        <f>IFERROR(subQ!Y22+subQ!AA16-subQ!AA22,"")</f>
        <v/>
      </c>
      <c r="AB29" s="29">
        <f>IFERROR(subQ!AA22+subQ!AB16-subQ!AB22,"")</f>
        <v/>
      </c>
      <c r="AC29" s="30" t="n">
        <v>-0.004736154</v>
      </c>
      <c r="AD29" s="30" t="n">
        <v>0.003494381</v>
      </c>
      <c r="AE29" s="31" t="n"/>
      <c r="AF29" s="30" t="n">
        <v>0.007968543999999999</v>
      </c>
      <c r="AG29" s="30" t="n">
        <v>18.581169199</v>
      </c>
      <c r="AH29" s="30" t="n">
        <v>0.00266492</v>
      </c>
      <c r="AI29" s="30" t="n">
        <v>-0.006976671</v>
      </c>
      <c r="AJ29" s="31" t="n"/>
      <c r="AK29" s="30" t="n">
        <v>0.004632015</v>
      </c>
      <c r="AL29" s="30" t="n">
        <v>18.578053481</v>
      </c>
      <c r="AM29" s="30" t="n">
        <v>0.008174249</v>
      </c>
      <c r="AN29" s="30" t="n">
        <v>0.003590014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-0.004736154</v>
      </c>
      <c r="AD30" s="30" t="n">
        <v>0.003494381</v>
      </c>
      <c r="AE30" s="31" t="n"/>
      <c r="AF30" s="30" t="n">
        <v>0.007968543999999999</v>
      </c>
      <c r="AG30" s="30" t="n">
        <v>18.581169199</v>
      </c>
      <c r="AH30" s="30" t="n">
        <v>0.00266492</v>
      </c>
      <c r="AI30" s="30" t="n">
        <v>-0.006976671</v>
      </c>
      <c r="AJ30" s="31" t="n"/>
      <c r="AK30" s="30" t="n">
        <v>0.004632015</v>
      </c>
      <c r="AL30" s="30" t="n">
        <v>18.578053481</v>
      </c>
      <c r="AM30" s="30" t="n">
        <v>0.008174249</v>
      </c>
      <c r="AN30" s="30" t="n">
        <v>0.003590014</v>
      </c>
      <c r="AO30" s="31" t="n"/>
    </row>
    <row r="31">
      <c r="A31" s="12" t="inlineStr">
        <is>
          <t>drv:이자발생자산</t>
        </is>
      </c>
      <c r="B31" s="2" t="inlineStr">
        <is>
          <t>qoq</t>
        </is>
      </c>
      <c r="C31" t="inlineStr">
        <is>
          <t>이자발생자산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0.117388044</v>
      </c>
      <c r="AD31" s="24" t="n">
        <v>0.098235499</v>
      </c>
      <c r="AE31" s="25" t="n"/>
      <c r="AF31" s="24" t="n">
        <v>0.082035306</v>
      </c>
      <c r="AG31" s="24" t="n">
        <v>0.079054702</v>
      </c>
      <c r="AH31" s="24" t="n">
        <v>0.089395343</v>
      </c>
      <c r="AI31" s="24" t="n">
        <v>0.076945755</v>
      </c>
      <c r="AJ31" s="25" t="n"/>
      <c r="AK31" s="24" t="n">
        <v>0.065783655</v>
      </c>
      <c r="AL31" s="24" t="n">
        <v>0.065250035</v>
      </c>
      <c r="AM31" s="24" t="n">
        <v>0.07151004800000001</v>
      </c>
      <c r="AN31" s="24" t="n">
        <v>0.0627564</v>
      </c>
      <c r="AO31" s="25" t="n"/>
    </row>
    <row r="32">
      <c r="A32" s="12" t="inlineStr">
        <is>
          <t>drv:현금및현금성자산</t>
        </is>
      </c>
      <c r="B32" s="2" t="inlineStr">
        <is>
          <t>qoq</t>
        </is>
      </c>
      <c r="C32" t="inlineStr">
        <is>
          <t>현금및현금성자산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32" t="n"/>
      <c r="AD32" s="32" t="n"/>
      <c r="AE32" s="25" t="n"/>
      <c r="AF32" s="32" t="n"/>
      <c r="AG32" s="32" t="n"/>
      <c r="AH32" s="32" t="n"/>
      <c r="AI32" s="32" t="n"/>
      <c r="AJ32" s="25" t="n"/>
      <c r="AK32" s="32" t="n"/>
      <c r="AL32" s="32" t="n"/>
      <c r="AM32" s="32" t="n"/>
      <c r="AN32" s="32" t="n"/>
      <c r="AO32" s="25" t="n"/>
    </row>
    <row r="33">
      <c r="A33" s="12" t="inlineStr">
        <is>
          <t>drv:CAPEX</t>
        </is>
      </c>
      <c r="B33" s="2" t="inlineStr">
        <is>
          <t>yoy</t>
        </is>
      </c>
      <c r="C33" t="inlineStr">
        <is>
          <t>CAPEX YoY</t>
        </is>
      </c>
      <c r="E33" s="21" t="n"/>
      <c r="F33" s="22" t="n"/>
      <c r="G33" s="21" t="n"/>
      <c r="H33" s="21" t="n"/>
      <c r="I33" s="21" t="n"/>
      <c r="J33" s="21">
        <f>IFERROR(subQ!J26/subQ!E26-1,"")</f>
        <v/>
      </c>
      <c r="K33" s="22" t="n"/>
      <c r="L33" s="21">
        <f>IFERROR(subQ!L26/subQ!G26-1,"")</f>
        <v/>
      </c>
      <c r="M33" s="21">
        <f>IFERROR(subQ!M26/subQ!H26-1,"")</f>
        <v/>
      </c>
      <c r="N33" s="21">
        <f>IFERROR(subQ!N26/subQ!I26-1,"")</f>
        <v/>
      </c>
      <c r="O33" s="21">
        <f>IFERROR(subQ!O26/subQ!J26-1,"")</f>
        <v/>
      </c>
      <c r="P33" s="22" t="n"/>
      <c r="Q33" s="21">
        <f>IFERROR(subQ!Q26/subQ!L26-1,"")</f>
        <v/>
      </c>
      <c r="R33" s="21">
        <f>IFERROR(subQ!R26/subQ!M26-1,"")</f>
        <v/>
      </c>
      <c r="S33" s="21">
        <f>IFERROR(subQ!S26/subQ!N26-1,"")</f>
        <v/>
      </c>
      <c r="T33" s="21">
        <f>IFERROR(subQ!T26/subQ!O26-1,"")</f>
        <v/>
      </c>
      <c r="U33" s="22" t="n"/>
      <c r="V33" s="21">
        <f>IFERROR(subQ!V26/subQ!Q26-1,"")</f>
        <v/>
      </c>
      <c r="W33" s="21">
        <f>IFERROR(subQ!W26/subQ!R26-1,"")</f>
        <v/>
      </c>
      <c r="X33" s="21">
        <f>IFERROR(subQ!X26/subQ!S26-1,"")</f>
        <v/>
      </c>
      <c r="Y33" s="21">
        <f>IFERROR(subQ!Y26/subQ!T26-1,"")</f>
        <v/>
      </c>
      <c r="Z33" s="22" t="n"/>
      <c r="AA33" s="21">
        <f>IFERROR(subQ!AA26/subQ!V26-1,"")</f>
        <v/>
      </c>
      <c r="AB33" s="23">
        <f>IFERROR(subQ!AB26/subQ!W26-1,"")</f>
        <v/>
      </c>
      <c r="AC33" s="24" t="n">
        <v>1.016476085</v>
      </c>
      <c r="AD33" s="24" t="n">
        <v>0.26348228</v>
      </c>
      <c r="AE33" s="25" t="n"/>
      <c r="AF33" s="24" t="n">
        <v>-0.172448593</v>
      </c>
      <c r="AG33" s="24" t="n">
        <v>-0.8184211219999999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drv:영업활동현금흐름</t>
        </is>
      </c>
      <c r="B34" s="2" t="inlineStr">
        <is>
          <t>yoy</t>
        </is>
      </c>
      <c r="C34" t="inlineStr">
        <is>
          <t>영업활동현금흐름 YoY</t>
        </is>
      </c>
      <c r="E34" s="21" t="n"/>
      <c r="F34" s="22" t="n"/>
      <c r="G34" s="21" t="n"/>
      <c r="H34" s="21" t="n"/>
      <c r="I34" s="21" t="n"/>
      <c r="J34" s="21">
        <f>IFERROR(subQ!J27/subQ!E27-1,"")</f>
        <v/>
      </c>
      <c r="K34" s="22" t="n"/>
      <c r="L34" s="21">
        <f>IFERROR(subQ!L27/subQ!G27-1,"")</f>
        <v/>
      </c>
      <c r="M34" s="21">
        <f>IFERROR(subQ!M27/subQ!H27-1,"")</f>
        <v/>
      </c>
      <c r="N34" s="21">
        <f>IFERROR(subQ!N27/subQ!I27-1,"")</f>
        <v/>
      </c>
      <c r="O34" s="21">
        <f>IFERROR(subQ!O27/subQ!J27-1,"")</f>
        <v/>
      </c>
      <c r="P34" s="22" t="n"/>
      <c r="Q34" s="21">
        <f>IFERROR(subQ!Q27/subQ!L27-1,"")</f>
        <v/>
      </c>
      <c r="R34" s="21">
        <f>IFERROR(subQ!R27/subQ!M27-1,"")</f>
        <v/>
      </c>
      <c r="S34" s="21">
        <f>IFERROR(subQ!S27/subQ!N27-1,"")</f>
        <v/>
      </c>
      <c r="T34" s="21">
        <f>IFERROR(subQ!T27/subQ!O27-1,"")</f>
        <v/>
      </c>
      <c r="U34" s="22" t="n"/>
      <c r="V34" s="21">
        <f>IFERROR(subQ!V27/subQ!Q27-1,"")</f>
        <v/>
      </c>
      <c r="W34" s="21">
        <f>IFERROR(subQ!W27/subQ!R27-1,"")</f>
        <v/>
      </c>
      <c r="X34" s="21">
        <f>IFERROR(subQ!X27/subQ!S27-1,"")</f>
        <v/>
      </c>
      <c r="Y34" s="21">
        <f>IFERROR(subQ!Y27/subQ!T27-1,"")</f>
        <v/>
      </c>
      <c r="Z34" s="22" t="n"/>
      <c r="AA34" s="21">
        <f>IFERROR(subQ!AA27/subQ!V27-1,"")</f>
        <v/>
      </c>
      <c r="AB34" s="23">
        <f>IFERROR(subQ!AB27/subQ!W27-1,"")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drv:주식수</t>
        </is>
      </c>
      <c r="B35" s="2" t="inlineStr">
        <is>
          <t>qoq</t>
        </is>
      </c>
      <c r="C35" t="inlineStr">
        <is>
          <t>주식수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drv:DPS</t>
        </is>
      </c>
      <c r="B36" s="2" t="inlineStr">
        <is>
          <t>abs</t>
        </is>
      </c>
      <c r="C36" t="inlineStr">
        <is>
          <t>DPS (가정, 원)</t>
        </is>
      </c>
      <c r="E36" s="27">
        <f>subQ!E31</f>
        <v/>
      </c>
      <c r="F36" s="28">
        <f>subQ!F31</f>
        <v/>
      </c>
      <c r="G36" s="27">
        <f>subQ!G31</f>
        <v/>
      </c>
      <c r="H36" s="27">
        <f>subQ!H31</f>
        <v/>
      </c>
      <c r="I36" s="27">
        <f>subQ!I31</f>
        <v/>
      </c>
      <c r="J36" s="27">
        <f>subQ!J31</f>
        <v/>
      </c>
      <c r="K36" s="28">
        <f>subQ!K31</f>
        <v/>
      </c>
      <c r="L36" s="27">
        <f>subQ!L31</f>
        <v/>
      </c>
      <c r="M36" s="27">
        <f>subQ!M31</f>
        <v/>
      </c>
      <c r="N36" s="27">
        <f>subQ!N31</f>
        <v/>
      </c>
      <c r="O36" s="27">
        <f>subQ!O31</f>
        <v/>
      </c>
      <c r="P36" s="28">
        <f>subQ!P31</f>
        <v/>
      </c>
      <c r="Q36" s="27">
        <f>subQ!Q31</f>
        <v/>
      </c>
      <c r="R36" s="27">
        <f>subQ!R31</f>
        <v/>
      </c>
      <c r="S36" s="27">
        <f>subQ!S31</f>
        <v/>
      </c>
      <c r="T36" s="27">
        <f>subQ!T31</f>
        <v/>
      </c>
      <c r="U36" s="28">
        <f>subQ!U31</f>
        <v/>
      </c>
      <c r="V36" s="27">
        <f>subQ!V31</f>
        <v/>
      </c>
      <c r="W36" s="27">
        <f>subQ!W31</f>
        <v/>
      </c>
      <c r="X36" s="27">
        <f>subQ!X31</f>
        <v/>
      </c>
      <c r="Y36" s="27">
        <f>subQ!Y31</f>
        <v/>
      </c>
      <c r="Z36" s="28">
        <f>subQ!Z31</f>
        <v/>
      </c>
      <c r="AA36" s="27">
        <f>subQ!AA31</f>
        <v/>
      </c>
      <c r="AB36" s="29">
        <f>subQ!AB31</f>
        <v/>
      </c>
      <c r="AC36" s="33" t="n"/>
      <c r="AD36" s="30" t="n">
        <v>200</v>
      </c>
      <c r="AE36" s="31">
        <f>subQ!AE31</f>
        <v/>
      </c>
      <c r="AF36" s="33" t="n"/>
      <c r="AG36" s="33" t="n"/>
      <c r="AH36" s="33" t="n"/>
      <c r="AI36" s="30" t="n">
        <v>200</v>
      </c>
      <c r="AJ36" s="31">
        <f>subQ!AJ31</f>
        <v/>
      </c>
      <c r="AK36" s="33" t="n"/>
      <c r="AL36" s="33" t="n"/>
      <c r="AM36" s="33" t="n"/>
      <c r="AN36" s="30" t="n">
        <v>200</v>
      </c>
      <c r="AO36" s="31">
        <f>subQ!AO31</f>
        <v/>
      </c>
    </row>
    <row r="37"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B38" s="1" t="inlineStr">
        <is>
          <t>3. 밸류에이션·스칼라</t>
        </is>
      </c>
      <c r="C38" s="2" t="inlineStr">
        <is>
          <t>노란 셀 = 가정. '연결' 표시는 추정 전 분기 수식이 이 셀을 참조한다는 뜻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sc:종가</t>
        </is>
      </c>
      <c r="C39" t="inlineStr">
        <is>
          <t>종가</t>
        </is>
      </c>
      <c r="D39" s="34" t="n">
        <v>17140</v>
      </c>
      <c r="E39" s="2" t="inlineStr">
        <is>
          <t>원 — 네이버 정규장 종가(aik 확정종가 대조 · aik 16,670원)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sc:기준일</t>
        </is>
      </c>
      <c r="C40" t="inlineStr">
        <is>
          <t>기준일</t>
        </is>
      </c>
      <c r="D40" s="35" t="inlineStr">
        <is>
          <t>20261014</t>
        </is>
      </c>
      <c r="E40" s="2" t="inlineStr">
        <is>
          <t>종가 기준일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sc:COE</t>
        </is>
      </c>
      <c r="C41" t="inlineStr">
        <is>
          <t>COE</t>
        </is>
      </c>
      <c r="D41" s="24" t="n">
        <v>0.09</v>
      </c>
      <c r="E41" s="2" t="inlineStr">
        <is>
          <t>자기자본비용(가정) — TP 적정 PBR = ROE/COE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sc:PER_lo</t>
        </is>
      </c>
      <c r="C42" t="inlineStr">
        <is>
          <t>PER_lo</t>
        </is>
      </c>
      <c r="D42" s="30" t="n">
        <v>8.4</v>
      </c>
      <c r="E42" s="2" t="inlineStr">
        <is>
          <t>PER 밴드 하단(배) — hist_quarterly(분기 평균가 ÷ TTM EPS, 12분기, 25/50/75 백분위)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sc:PER_mid</t>
        </is>
      </c>
      <c r="C43" t="inlineStr">
        <is>
          <t>PER_mid</t>
        </is>
      </c>
      <c r="D43" s="30" t="n">
        <v>9.5</v>
      </c>
      <c r="E43" s="2" t="inlineStr">
        <is>
          <t>PER 밴드 중단(배)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sc:PER_hi</t>
        </is>
      </c>
      <c r="C44" t="inlineStr">
        <is>
          <t>PER_hi</t>
        </is>
      </c>
      <c r="D44" s="30" t="n">
        <v>10.7</v>
      </c>
      <c r="E44" s="2" t="inlineStr">
        <is>
          <t>PER 밴드 상단(배)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sc:EPS_Y1가중</t>
        </is>
      </c>
      <c r="C45" t="inlineStr">
        <is>
          <t>EPS_Y1가중</t>
        </is>
      </c>
      <c r="D45" s="24" t="n">
        <v>0.5</v>
      </c>
      <c r="E45" s="2" t="inlineStr">
        <is>
          <t>12M fwd EPS = FY(last_actual연도)E × w + FY+1E × (1−w) — 기준 분기 2Q 이면 0.5(가정)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sc:세율</t>
        </is>
      </c>
      <c r="C46" t="inlineStr">
        <is>
          <t>세율</t>
        </is>
      </c>
      <c r="D46" s="36" t="n">
        <v>0.1896133923212023</v>
      </c>
      <c r="E46" s="2" t="inlineStr">
        <is>
          <t>연결 — 법인세 = MAX(세전,0) × 세율(역산, 재현 오차 ≤ 0.05억 · 모델 assumptions 0.1896) · 최근 12분기 유효세율 19.0%(5~27% 안 — 그대로)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sc:판관비율</t>
        </is>
      </c>
      <c r="C47" t="inlineStr">
        <is>
          <t>판관비율</t>
        </is>
      </c>
      <c r="D47" s="36" t="n">
        <v>0.06922589795370446</v>
      </c>
      <c r="E47" s="2" t="inlineStr">
        <is>
          <t>연결 — 판관비 = 매출액 × 판관비율(역산, 재현 오차 ≤ 0.05억 · 모델 assumptions 0.0692)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sc:지배주주비중</t>
        </is>
      </c>
      <c r="C48" t="inlineStr">
        <is>
          <t>지배주주비중</t>
        </is>
      </c>
      <c r="D48" s="36" t="n">
        <v>1</v>
      </c>
      <c r="E48" s="2" t="inlineStr">
        <is>
          <t>연결 — 지배주주순이익 = 당기순이익 × 비중(역산, 재현 오차 ≤ 0.05억)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sc:이자율_자산</t>
        </is>
      </c>
      <c r="C49" t="inlineStr">
        <is>
          <t>이자율_자산</t>
        </is>
      </c>
      <c r="D49" s="36" t="n">
        <v>0.05500607956717433</v>
      </c>
      <c r="E49" s="2" t="inlineStr">
        <is>
          <t>연결 — 이자손익 = (전분기 이자발생자산 × 자산이자율 − 전분기 총차입금 × 부채이자율)/4(역산, 재현 오차 ≤ 0.05억 · 모델 assumptions 0.055)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sc:이자율_부채</t>
        </is>
      </c>
      <c r="C50" t="inlineStr">
        <is>
          <t>이자율_부채</t>
        </is>
      </c>
      <c r="D50" s="36" t="n"/>
      <c r="E50" s="2" t="inlineStr">
        <is>
          <t>연결 — 같은 수식의 부채 쪽(총차입금 행이 없으면 0)(역산,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sc:배당성향</t>
        </is>
      </c>
      <c r="C51" t="inlineStr">
        <is>
          <t>배당성향</t>
        </is>
      </c>
      <c r="D51" s="24" t="n">
        <v>0.075</v>
      </c>
      <c r="E51" s="2" t="inlineStr">
        <is>
          <t>배당성향(참고 — 모델은 직전 DPS 유지·Q2 지급 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sc:외화순노출_백만$</t>
        </is>
      </c>
      <c r="C52" t="inlineStr">
        <is>
          <t>외화순노출_백만$</t>
        </is>
      </c>
      <c r="D52" s="30" t="n"/>
      <c r="E52" s="2" t="inlineStr">
        <is>
          <t>외화 순노출 × Δ기말환율 (외화 시트 방식) — 외화 순노출 미공시(face) → 0 + 표기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sc:헤지비율</t>
        </is>
      </c>
      <c r="C53" t="inlineStr">
        <is>
          <t>헤지비율</t>
        </is>
      </c>
      <c r="D53" s="24" t="n"/>
      <c r="E53" s="2" t="inlineStr">
        <is>
          <t>sls 없음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sc:헤지환율_약정</t>
        </is>
      </c>
      <c r="C54" t="inlineStr">
        <is>
          <t>헤지환율_약정</t>
        </is>
      </c>
      <c r="D54" s="16" t="n"/>
      <c r="E54" s="2" t="inlineStr">
        <is>
          <t>sls 없음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대양전기공업(연)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114662.75</v>
      </c>
      <c r="F5" s="37" t="n">
        <v>114662.75</v>
      </c>
      <c r="G5" s="18" t="n">
        <v>122240.36</v>
      </c>
      <c r="H5" s="18" t="n">
        <v>123615.1</v>
      </c>
      <c r="I5" s="18" t="n">
        <v>127884.24</v>
      </c>
      <c r="J5" s="18" t="n">
        <v>127196.71</v>
      </c>
      <c r="K5" s="37" t="n">
        <v>127196.71</v>
      </c>
      <c r="L5" s="18" t="n">
        <v>132207.02</v>
      </c>
      <c r="M5" s="18" t="n">
        <v>141007.44</v>
      </c>
      <c r="N5" s="18" t="n">
        <v>138400.79</v>
      </c>
      <c r="O5" s="18" t="n">
        <v>152193.85</v>
      </c>
      <c r="P5" s="37" t="n">
        <v>152193.85</v>
      </c>
      <c r="Q5" s="18" t="n">
        <v>151004.98</v>
      </c>
      <c r="R5" s="18" t="n">
        <v>155385.01</v>
      </c>
      <c r="S5" s="18" t="n">
        <v>157717.24</v>
      </c>
      <c r="T5" s="18" t="n">
        <v>167739.87</v>
      </c>
      <c r="U5" s="37" t="n">
        <v>167739.87</v>
      </c>
      <c r="V5" s="18" t="n">
        <v>183607.42</v>
      </c>
      <c r="W5" s="18" t="n">
        <v>203513.93</v>
      </c>
      <c r="X5" s="18" t="n">
        <v>204339.94</v>
      </c>
      <c r="Y5" s="18" t="n">
        <v>207302.69</v>
      </c>
      <c r="Z5" s="37" t="n">
        <v>207302.69</v>
      </c>
      <c r="AA5" s="18" t="n">
        <v>223867.46</v>
      </c>
      <c r="AB5" s="19" t="n">
        <v>225180.68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38439.6</v>
      </c>
      <c r="F6" s="37" t="n">
        <v>38439.6</v>
      </c>
      <c r="G6" s="18" t="n">
        <v>27317.76</v>
      </c>
      <c r="H6" s="18" t="n">
        <v>26668.27</v>
      </c>
      <c r="I6" s="18" t="n">
        <v>29176.22</v>
      </c>
      <c r="J6" s="18" t="n">
        <v>27883.82</v>
      </c>
      <c r="K6" s="37" t="n">
        <v>27883.82</v>
      </c>
      <c r="L6" s="18" t="n">
        <v>25275.5</v>
      </c>
      <c r="M6" s="18" t="n">
        <v>31968.84</v>
      </c>
      <c r="N6" s="18" t="n">
        <v>21958.54</v>
      </c>
      <c r="O6" s="18" t="n">
        <v>39294.44</v>
      </c>
      <c r="P6" s="37" t="n">
        <v>39294.44</v>
      </c>
      <c r="Q6" s="18" t="n">
        <v>30995.1</v>
      </c>
      <c r="R6" s="18" t="n">
        <v>34067.27</v>
      </c>
      <c r="S6" s="18" t="n">
        <v>35879.5</v>
      </c>
      <c r="T6" s="18" t="n">
        <v>34949.76</v>
      </c>
      <c r="U6" s="37" t="n">
        <v>34949.76</v>
      </c>
      <c r="V6" s="18" t="n">
        <v>38014.46</v>
      </c>
      <c r="W6" s="18" t="n">
        <v>35112.52</v>
      </c>
      <c r="X6" s="18" t="n">
        <v>38137.1</v>
      </c>
      <c r="Y6" s="18" t="n">
        <v>43446.84</v>
      </c>
      <c r="Z6" s="37" t="n">
        <v>43446.84</v>
      </c>
      <c r="AA6" s="18" t="n">
        <v>43188.11</v>
      </c>
      <c r="AB6" s="19" t="n">
        <v>44253.17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24636.45</v>
      </c>
      <c r="F7" s="37" t="n">
        <v>24636.45</v>
      </c>
      <c r="G7" s="18" t="n">
        <v>26585.57</v>
      </c>
      <c r="H7" s="18" t="n">
        <v>28011.21</v>
      </c>
      <c r="I7" s="18" t="n">
        <v>26968.27</v>
      </c>
      <c r="J7" s="18" t="n">
        <v>23386.03</v>
      </c>
      <c r="K7" s="37" t="n">
        <v>23386.03</v>
      </c>
      <c r="L7" s="18" t="n">
        <v>27155.77</v>
      </c>
      <c r="M7" s="18" t="n">
        <v>25816.15</v>
      </c>
      <c r="N7" s="18" t="n">
        <v>30065.16</v>
      </c>
      <c r="O7" s="18" t="n">
        <v>29997.79</v>
      </c>
      <c r="P7" s="37" t="n">
        <v>29997.79</v>
      </c>
      <c r="Q7" s="18" t="n">
        <v>24779.77</v>
      </c>
      <c r="R7" s="18" t="n">
        <v>26812.57</v>
      </c>
      <c r="S7" s="18" t="n">
        <v>28844.94</v>
      </c>
      <c r="T7" s="18" t="n">
        <v>36861.09</v>
      </c>
      <c r="U7" s="37" t="n">
        <v>36861.09</v>
      </c>
      <c r="V7" s="18" t="n">
        <v>38818.49</v>
      </c>
      <c r="W7" s="18" t="n">
        <v>39506.09</v>
      </c>
      <c r="X7" s="18" t="n">
        <v>36326.96</v>
      </c>
      <c r="Y7" s="18" t="n">
        <v>37268.06</v>
      </c>
      <c r="Z7" s="37" t="n">
        <v>37268.06</v>
      </c>
      <c r="AA7" s="18" t="n">
        <v>34151.85</v>
      </c>
      <c r="AB7" s="19" t="n">
        <v>50671.56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4185.91</v>
      </c>
      <c r="F8" s="37" t="n">
        <v>4185.91</v>
      </c>
      <c r="G8" s="18" t="n">
        <v>4275.47</v>
      </c>
      <c r="H8" s="18" t="n">
        <v>6559.14</v>
      </c>
      <c r="I8" s="18" t="n">
        <v>7250.59</v>
      </c>
      <c r="J8" s="18" t="n">
        <v>10352.3</v>
      </c>
      <c r="K8" s="37" t="n">
        <v>10352.3</v>
      </c>
      <c r="L8" s="18" t="n">
        <v>10706.2</v>
      </c>
      <c r="M8" s="18" t="n">
        <v>10835</v>
      </c>
      <c r="N8" s="18" t="n">
        <v>8371.18</v>
      </c>
      <c r="O8" s="18" t="n">
        <v>4097.66</v>
      </c>
      <c r="P8" s="37" t="n">
        <v>4097.66</v>
      </c>
      <c r="Q8" s="18" t="n">
        <v>4281.83</v>
      </c>
      <c r="R8" s="18" t="n">
        <v>4466.09</v>
      </c>
      <c r="S8" s="18" t="n">
        <v>4288.21</v>
      </c>
      <c r="T8" s="18" t="n">
        <v>12155.52</v>
      </c>
      <c r="U8" s="37" t="n">
        <v>12155.52</v>
      </c>
      <c r="V8" s="18" t="n">
        <v>24521.68</v>
      </c>
      <c r="W8" s="18" t="n">
        <v>38933.25</v>
      </c>
      <c r="X8" s="18" t="n">
        <v>34460.12</v>
      </c>
      <c r="Y8" s="18" t="n">
        <v>34769.73</v>
      </c>
      <c r="Z8" s="37" t="n">
        <v>34769.73</v>
      </c>
      <c r="AA8" s="18" t="n">
        <v>40501.05</v>
      </c>
      <c r="AB8" s="19" t="n">
        <v>30461.19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9935.309999999999</v>
      </c>
      <c r="F9" s="37" t="n">
        <v>9935.309999999999</v>
      </c>
      <c r="G9" s="18" t="n">
        <v>27061.86</v>
      </c>
      <c r="H9" s="18" t="n">
        <v>27150.2</v>
      </c>
      <c r="I9" s="18" t="n">
        <v>27220.74</v>
      </c>
      <c r="J9" s="18" t="n">
        <v>29539.42</v>
      </c>
      <c r="K9" s="37" t="n">
        <v>29539.42</v>
      </c>
      <c r="L9" s="18" t="n">
        <v>29532.67</v>
      </c>
      <c r="M9" s="18" t="n">
        <v>29207.07</v>
      </c>
      <c r="N9" s="18" t="n">
        <v>30376.83</v>
      </c>
      <c r="O9" s="18" t="n">
        <v>30183</v>
      </c>
      <c r="P9" s="37" t="n">
        <v>30183</v>
      </c>
      <c r="Q9" s="18" t="n">
        <v>32340.55</v>
      </c>
      <c r="R9" s="18" t="n">
        <v>32591.88</v>
      </c>
      <c r="S9" s="18" t="n">
        <v>32770.64</v>
      </c>
      <c r="T9" s="18" t="n">
        <v>31990.05</v>
      </c>
      <c r="U9" s="37" t="n">
        <v>31990.05</v>
      </c>
      <c r="V9" s="18" t="n">
        <v>31173.51</v>
      </c>
      <c r="W9" s="18" t="n">
        <v>31662.29</v>
      </c>
      <c r="X9" s="18" t="n">
        <v>36655.54</v>
      </c>
      <c r="Y9" s="18" t="n">
        <v>36809.09</v>
      </c>
      <c r="Z9" s="37" t="n">
        <v>36809.09</v>
      </c>
      <c r="AA9" s="18" t="n">
        <v>36933.97</v>
      </c>
      <c r="AB9" s="19" t="n">
        <v>38343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567.6</v>
      </c>
      <c r="F10" s="37" t="n">
        <v>567.6</v>
      </c>
      <c r="G10" s="18" t="n">
        <v>568.04</v>
      </c>
      <c r="H10" s="18" t="n">
        <v>98.47</v>
      </c>
      <c r="I10" s="18" t="n">
        <v>157.51</v>
      </c>
      <c r="J10" s="18" t="n">
        <v>250.06</v>
      </c>
      <c r="K10" s="37" t="n">
        <v>250.06</v>
      </c>
      <c r="L10" s="18" t="n">
        <v>412.2</v>
      </c>
      <c r="M10" s="18" t="n">
        <v>283.51</v>
      </c>
      <c r="N10" s="18" t="n">
        <v>369.61</v>
      </c>
      <c r="O10" s="18" t="n">
        <v>24.3</v>
      </c>
      <c r="P10" s="37" t="n">
        <v>24.3</v>
      </c>
      <c r="Q10" s="18" t="n">
        <v>30.46</v>
      </c>
      <c r="R10" s="18" t="n">
        <v>0</v>
      </c>
      <c r="S10" s="18" t="n">
        <v>26.92</v>
      </c>
      <c r="T10" s="18" t="n">
        <v>41.98</v>
      </c>
      <c r="U10" s="37" t="n">
        <v>41.98</v>
      </c>
      <c r="V10" s="18" t="n">
        <v>56.11</v>
      </c>
      <c r="W10" s="18" t="n">
        <v>17.9</v>
      </c>
      <c r="X10" s="18" t="n">
        <v>0</v>
      </c>
      <c r="Y10" s="18" t="n">
        <v>0</v>
      </c>
      <c r="Z10" s="37" t="n">
        <v>0</v>
      </c>
      <c r="AA10" s="18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29020.6</v>
      </c>
      <c r="F11" s="37" t="n">
        <v>29020.6</v>
      </c>
      <c r="G11" s="18" t="n">
        <v>27948.39</v>
      </c>
      <c r="H11" s="18" t="n">
        <v>28352.22</v>
      </c>
      <c r="I11" s="18" t="n">
        <v>31545.25</v>
      </c>
      <c r="J11" s="18" t="n">
        <v>25689.56</v>
      </c>
      <c r="K11" s="37" t="n">
        <v>25689.56</v>
      </c>
      <c r="L11" s="18" t="n">
        <v>29376.08</v>
      </c>
      <c r="M11" s="18" t="n">
        <v>34923.37</v>
      </c>
      <c r="N11" s="18" t="n">
        <v>38119.12</v>
      </c>
      <c r="O11" s="18" t="n">
        <v>38466.57</v>
      </c>
      <c r="P11" s="37" t="n">
        <v>38466.57</v>
      </c>
      <c r="Q11" s="18" t="n">
        <v>44248.95</v>
      </c>
      <c r="R11" s="18" t="n">
        <v>42418.41</v>
      </c>
      <c r="S11" s="18" t="n">
        <v>42899.8</v>
      </c>
      <c r="T11" s="18" t="n">
        <v>38204.64</v>
      </c>
      <c r="U11" s="37" t="n">
        <v>38204.64</v>
      </c>
      <c r="V11" s="18" t="n">
        <v>41740.88</v>
      </c>
      <c r="W11" s="18" t="n">
        <v>42997.2</v>
      </c>
      <c r="X11" s="18" t="n">
        <v>39982.46</v>
      </c>
      <c r="Y11" s="18" t="n">
        <v>35932.39</v>
      </c>
      <c r="Z11" s="37" t="n">
        <v>35932.39</v>
      </c>
      <c r="AA11" s="18" t="n">
        <v>48678.08</v>
      </c>
      <c r="AB11" s="19" t="n">
        <v>46027.62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0</v>
      </c>
      <c r="F12" s="37" t="n">
        <v>0</v>
      </c>
      <c r="J12" s="18" t="n">
        <v>0</v>
      </c>
      <c r="K12" s="37" t="n">
        <v>0</v>
      </c>
      <c r="L12" s="18" t="n">
        <v>0</v>
      </c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145340.64</v>
      </c>
      <c r="F13" s="37" t="n">
        <v>145340.64</v>
      </c>
      <c r="G13" s="18" t="n">
        <v>135820.12</v>
      </c>
      <c r="H13" s="18" t="n">
        <v>135195.14</v>
      </c>
      <c r="I13" s="18" t="n">
        <v>134729.92</v>
      </c>
      <c r="J13" s="18" t="n">
        <v>133915.81</v>
      </c>
      <c r="K13" s="37" t="n">
        <v>133915.81</v>
      </c>
      <c r="L13" s="18" t="n">
        <v>134063.15</v>
      </c>
      <c r="M13" s="18" t="n">
        <v>138247.38</v>
      </c>
      <c r="N13" s="18" t="n">
        <v>141884.87</v>
      </c>
      <c r="O13" s="18" t="n">
        <v>145756.43</v>
      </c>
      <c r="P13" s="37" t="n">
        <v>145756.43</v>
      </c>
      <c r="Q13" s="18" t="n">
        <v>144952.59</v>
      </c>
      <c r="R13" s="18" t="n">
        <v>147464.64</v>
      </c>
      <c r="S13" s="18" t="n">
        <v>145947.16</v>
      </c>
      <c r="T13" s="18" t="n">
        <v>140866.02</v>
      </c>
      <c r="U13" s="37" t="n">
        <v>140866.02</v>
      </c>
      <c r="V13" s="18" t="n">
        <v>126986.11</v>
      </c>
      <c r="W13" s="18" t="n">
        <v>115327.82</v>
      </c>
      <c r="X13" s="18" t="n">
        <v>115610.24</v>
      </c>
      <c r="Y13" s="18" t="n">
        <v>114680.87</v>
      </c>
      <c r="Z13" s="37" t="n">
        <v>114680.87</v>
      </c>
      <c r="AA13" s="18" t="n">
        <v>109014.32</v>
      </c>
      <c r="AB13" s="19" t="n">
        <v>121134.94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813.6900000000001</v>
      </c>
      <c r="F14" s="37" t="n">
        <v>813.6900000000001</v>
      </c>
      <c r="G14" s="18" t="n">
        <v>924.67</v>
      </c>
      <c r="H14" s="18" t="n">
        <v>1230.12</v>
      </c>
      <c r="I14" s="18" t="n">
        <v>1484.21</v>
      </c>
      <c r="J14" s="18" t="n">
        <v>81.14</v>
      </c>
      <c r="K14" s="37" t="n">
        <v>81.14</v>
      </c>
      <c r="L14" s="18" t="n">
        <v>37.83</v>
      </c>
      <c r="M14" s="18" t="n">
        <v>104.49</v>
      </c>
      <c r="N14" s="18" t="n">
        <v>177.2</v>
      </c>
      <c r="O14" s="18" t="n">
        <v>726.05</v>
      </c>
      <c r="P14" s="37" t="n">
        <v>726.05</v>
      </c>
      <c r="Q14" s="18" t="n">
        <v>1009.24</v>
      </c>
      <c r="R14" s="18" t="n">
        <v>1930.09</v>
      </c>
      <c r="S14" s="18" t="n">
        <v>611.4299999999999</v>
      </c>
      <c r="T14" s="18" t="n">
        <v>1662.41</v>
      </c>
      <c r="U14" s="37" t="n">
        <v>1662.41</v>
      </c>
      <c r="V14" s="18" t="n">
        <v>606.5700000000001</v>
      </c>
      <c r="W14" s="18" t="n">
        <v>1060.04</v>
      </c>
      <c r="X14" s="18" t="n">
        <v>1083.31</v>
      </c>
      <c r="Y14" s="18" t="n">
        <v>809.54</v>
      </c>
      <c r="Z14" s="37" t="n">
        <v>809.54</v>
      </c>
      <c r="AA14" s="18" t="n">
        <v>922.35</v>
      </c>
      <c r="AB14" s="19" t="n">
        <v>1030.21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39885.42</v>
      </c>
      <c r="F15" s="37" t="n">
        <v>39885.42</v>
      </c>
      <c r="G15" s="18" t="n">
        <v>43835.27</v>
      </c>
      <c r="H15" s="18" t="n">
        <v>41818.64</v>
      </c>
      <c r="I15" s="18" t="n">
        <v>41735.44</v>
      </c>
      <c r="J15" s="18" t="n">
        <v>41153.41</v>
      </c>
      <c r="K15" s="37" t="n">
        <v>41153.41</v>
      </c>
      <c r="L15" s="18" t="n">
        <v>42357.96</v>
      </c>
      <c r="M15" s="18" t="n">
        <v>42790.39</v>
      </c>
      <c r="N15" s="18" t="n">
        <v>45250.98</v>
      </c>
      <c r="O15" s="18" t="n">
        <v>46702.02</v>
      </c>
      <c r="P15" s="37" t="n">
        <v>46702.02</v>
      </c>
      <c r="Q15" s="18" t="n">
        <v>47140.66</v>
      </c>
      <c r="R15" s="18" t="n">
        <v>47547.47</v>
      </c>
      <c r="S15" s="18" t="n">
        <v>47672.28</v>
      </c>
      <c r="T15" s="18" t="n">
        <v>41548.17</v>
      </c>
      <c r="U15" s="37" t="n">
        <v>41548.17</v>
      </c>
      <c r="V15" s="18" t="n">
        <v>27616.13</v>
      </c>
      <c r="W15" s="18" t="n">
        <v>12751.34</v>
      </c>
      <c r="X15" s="18" t="n">
        <v>13445.04</v>
      </c>
      <c r="Y15" s="18" t="n">
        <v>14471.83</v>
      </c>
      <c r="Z15" s="37" t="n">
        <v>14471.83</v>
      </c>
      <c r="AA15" s="18" t="n">
        <v>9497.84</v>
      </c>
      <c r="AB15" s="19" t="n">
        <v>12248.24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39885.42</v>
      </c>
      <c r="F16" s="37" t="n">
        <v>39885.42</v>
      </c>
      <c r="G16" s="18" t="n">
        <v>43835.27</v>
      </c>
      <c r="H16" s="18" t="n">
        <v>41818.64</v>
      </c>
      <c r="I16" s="18" t="n">
        <v>41735.44</v>
      </c>
      <c r="J16" s="18" t="n">
        <v>41153.41</v>
      </c>
      <c r="K16" s="37" t="n">
        <v>41153.41</v>
      </c>
      <c r="L16" s="18" t="n">
        <v>42357.96</v>
      </c>
      <c r="M16" s="18" t="n">
        <v>42790.39</v>
      </c>
      <c r="N16" s="18" t="n">
        <v>45250.98</v>
      </c>
      <c r="O16" s="18" t="n">
        <v>46702.02</v>
      </c>
      <c r="P16" s="37" t="n">
        <v>46702.02</v>
      </c>
      <c r="Q16" s="18" t="n">
        <v>47140.66</v>
      </c>
      <c r="R16" s="18" t="n">
        <v>47547.47</v>
      </c>
      <c r="S16" s="18" t="n">
        <v>47672.28</v>
      </c>
      <c r="T16" s="18" t="n">
        <v>41548.17</v>
      </c>
      <c r="U16" s="37" t="n">
        <v>41548.17</v>
      </c>
      <c r="V16" s="18" t="n">
        <v>27616.13</v>
      </c>
      <c r="W16" s="18" t="n">
        <v>12751.34</v>
      </c>
      <c r="X16" s="18" t="n">
        <v>13445.04</v>
      </c>
      <c r="Y16" s="18" t="n">
        <v>14471.83</v>
      </c>
      <c r="Z16" s="37" t="n">
        <v>14471.83</v>
      </c>
      <c r="AA16" s="18" t="n">
        <v>9497.84</v>
      </c>
      <c r="AB16" s="19" t="n">
        <v>12248.24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72261.42</v>
      </c>
      <c r="F17" s="37" t="n">
        <v>72261.42</v>
      </c>
      <c r="G17" s="18" t="n">
        <v>76101.88</v>
      </c>
      <c r="H17" s="18" t="n">
        <v>76939.60000000001</v>
      </c>
      <c r="I17" s="18" t="n">
        <v>76874.77</v>
      </c>
      <c r="J17" s="18" t="n">
        <v>76491.86</v>
      </c>
      <c r="K17" s="37" t="n">
        <v>76491.86</v>
      </c>
      <c r="L17" s="18" t="n">
        <v>75953.3</v>
      </c>
      <c r="M17" s="18" t="n">
        <v>79693.95</v>
      </c>
      <c r="N17" s="18" t="n">
        <v>81650.53999999999</v>
      </c>
      <c r="O17" s="18" t="n">
        <v>83082.81</v>
      </c>
      <c r="P17" s="37" t="n">
        <v>83082.81</v>
      </c>
      <c r="Q17" s="18" t="n">
        <v>82231.88</v>
      </c>
      <c r="R17" s="18" t="n">
        <v>83275.2</v>
      </c>
      <c r="S17" s="18" t="n">
        <v>82602.88</v>
      </c>
      <c r="T17" s="18" t="n">
        <v>79646.8</v>
      </c>
      <c r="U17" s="37" t="n">
        <v>79646.8</v>
      </c>
      <c r="V17" s="18" t="n">
        <v>80262.64999999999</v>
      </c>
      <c r="W17" s="18" t="n">
        <v>82623.92999999999</v>
      </c>
      <c r="X17" s="18" t="n">
        <v>72019.5</v>
      </c>
      <c r="Y17" s="18" t="n">
        <v>79391.81</v>
      </c>
      <c r="Z17" s="37" t="n">
        <v>79391.81</v>
      </c>
      <c r="AA17" s="18" t="n">
        <v>79496.72</v>
      </c>
      <c r="AB17" s="19" t="n">
        <v>90293.77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1876.49</v>
      </c>
      <c r="F18" s="37" t="n">
        <v>1876.49</v>
      </c>
      <c r="G18" s="18" t="n">
        <v>1863.36</v>
      </c>
      <c r="H18" s="18" t="n">
        <v>1850.22</v>
      </c>
      <c r="I18" s="18" t="n">
        <v>1837.08</v>
      </c>
      <c r="J18" s="18" t="n">
        <v>1906.88</v>
      </c>
      <c r="K18" s="37" t="n">
        <v>1906.88</v>
      </c>
      <c r="L18" s="18" t="n">
        <v>1897.7</v>
      </c>
      <c r="M18" s="18" t="n">
        <v>1888.53</v>
      </c>
      <c r="N18" s="18" t="n">
        <v>1879.36</v>
      </c>
      <c r="O18" s="18" t="n">
        <v>1870.19</v>
      </c>
      <c r="P18" s="37" t="n">
        <v>1870.19</v>
      </c>
      <c r="Q18" s="18" t="n">
        <v>1861.01</v>
      </c>
      <c r="R18" s="18" t="n">
        <v>1851.84</v>
      </c>
      <c r="S18" s="18" t="n">
        <v>1842.67</v>
      </c>
      <c r="T18" s="18" t="n">
        <v>5487.18</v>
      </c>
      <c r="U18" s="37" t="n">
        <v>5487.18</v>
      </c>
      <c r="V18" s="18" t="n">
        <v>5470.99</v>
      </c>
      <c r="W18" s="18" t="n">
        <v>5454.81</v>
      </c>
      <c r="X18" s="18" t="n">
        <v>15623.2</v>
      </c>
      <c r="Y18" s="18" t="n">
        <v>8063.26</v>
      </c>
      <c r="Z18" s="37" t="n">
        <v>8063.26</v>
      </c>
      <c r="AA18" s="18" t="n">
        <v>8033.02</v>
      </c>
      <c r="AB18" s="19" t="n">
        <v>5403.94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8010.42</v>
      </c>
      <c r="F19" s="37" t="n">
        <v>8010.42</v>
      </c>
      <c r="G19" s="18" t="n">
        <v>7954.13</v>
      </c>
      <c r="H19" s="18" t="n">
        <v>7893.01</v>
      </c>
      <c r="I19" s="18" t="n">
        <v>7863.45</v>
      </c>
      <c r="J19" s="18" t="n">
        <v>7812.28</v>
      </c>
      <c r="K19" s="37" t="n">
        <v>7812.28</v>
      </c>
      <c r="L19" s="18" t="n">
        <v>7750.25</v>
      </c>
      <c r="M19" s="18" t="n">
        <v>7701.07</v>
      </c>
      <c r="N19" s="18" t="n">
        <v>1195.09</v>
      </c>
      <c r="O19" s="18" t="n">
        <v>1148.8</v>
      </c>
      <c r="P19" s="37" t="n">
        <v>1148.8</v>
      </c>
      <c r="Q19" s="18" t="n">
        <v>1136.21</v>
      </c>
      <c r="R19" s="18" t="n">
        <v>7405.21</v>
      </c>
      <c r="S19" s="18" t="n">
        <v>7396.57</v>
      </c>
      <c r="T19" s="18" t="n">
        <v>943.05</v>
      </c>
      <c r="U19" s="37" t="n">
        <v>943.05</v>
      </c>
      <c r="V19" s="18" t="n">
        <v>947.13</v>
      </c>
      <c r="W19" s="18" t="n">
        <v>1250.01</v>
      </c>
      <c r="X19" s="18" t="n">
        <v>1241.37</v>
      </c>
      <c r="Y19" s="18" t="n">
        <v>7688.87</v>
      </c>
      <c r="Z19" s="37" t="n">
        <v>7688.87</v>
      </c>
      <c r="AA19" s="18" t="n">
        <v>7695.78</v>
      </c>
      <c r="AB19" s="19" t="n">
        <v>7850.17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1233.72</v>
      </c>
      <c r="F20" s="37" t="n">
        <v>1233.72</v>
      </c>
      <c r="G20" s="18" t="n">
        <v>1733.62</v>
      </c>
      <c r="H20" s="18" t="n">
        <v>2052.15</v>
      </c>
      <c r="I20" s="18" t="n">
        <v>1516.31</v>
      </c>
      <c r="J20" s="18" t="n">
        <v>4131.95</v>
      </c>
      <c r="K20" s="37" t="n">
        <v>4131.95</v>
      </c>
      <c r="L20" s="18" t="n">
        <v>3746.08</v>
      </c>
      <c r="M20" s="18" t="n">
        <v>3685.98</v>
      </c>
      <c r="N20" s="18" t="n">
        <v>2940.21</v>
      </c>
      <c r="O20" s="18" t="n">
        <v>3249.19</v>
      </c>
      <c r="P20" s="37" t="n">
        <v>3249.19</v>
      </c>
      <c r="Q20" s="18" t="n">
        <v>2680.62</v>
      </c>
      <c r="R20" s="18" t="n">
        <v>2746.1</v>
      </c>
      <c r="S20" s="18" t="n">
        <v>2965.36</v>
      </c>
      <c r="T20" s="18" t="n">
        <v>2400.37</v>
      </c>
      <c r="U20" s="37" t="n">
        <v>2400.37</v>
      </c>
      <c r="V20" s="18" t="n">
        <v>3086.21</v>
      </c>
      <c r="W20" s="18" t="n">
        <v>3390.1</v>
      </c>
      <c r="X20" s="18" t="n">
        <v>3365.58</v>
      </c>
      <c r="Y20" s="18" t="n">
        <v>3853.02</v>
      </c>
      <c r="Z20" s="37" t="n">
        <v>3853.02</v>
      </c>
      <c r="AA20" s="18" t="n">
        <v>3030.66</v>
      </c>
      <c r="AB20" s="19" t="n">
        <v>3940.26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260003.39</v>
      </c>
      <c r="F21" s="37" t="n">
        <v>260003.39</v>
      </c>
      <c r="G21" s="18" t="n">
        <v>258060.48</v>
      </c>
      <c r="H21" s="18" t="n">
        <v>258810.24</v>
      </c>
      <c r="I21" s="18" t="n">
        <v>262614.16</v>
      </c>
      <c r="J21" s="18" t="n">
        <v>261112.52</v>
      </c>
      <c r="K21" s="37" t="n">
        <v>261112.52</v>
      </c>
      <c r="L21" s="18" t="n">
        <v>266270.17</v>
      </c>
      <c r="M21" s="18" t="n">
        <v>279254.82</v>
      </c>
      <c r="N21" s="18" t="n">
        <v>280285.66</v>
      </c>
      <c r="O21" s="18" t="n">
        <v>297950.27</v>
      </c>
      <c r="P21" s="37" t="n">
        <v>297950.27</v>
      </c>
      <c r="Q21" s="18" t="n">
        <v>295957.58</v>
      </c>
      <c r="R21" s="18" t="n">
        <v>302849.65</v>
      </c>
      <c r="S21" s="18" t="n">
        <v>303664.4</v>
      </c>
      <c r="T21" s="18" t="n">
        <v>308605.89</v>
      </c>
      <c r="U21" s="37" t="n">
        <v>308605.89</v>
      </c>
      <c r="V21" s="18" t="n">
        <v>310593.54</v>
      </c>
      <c r="W21" s="18" t="n">
        <v>318841.75</v>
      </c>
      <c r="X21" s="18" t="n">
        <v>319950.18</v>
      </c>
      <c r="Y21" s="18" t="n">
        <v>321983.56</v>
      </c>
      <c r="Z21" s="37" t="n">
        <v>321983.56</v>
      </c>
      <c r="AA21" s="18" t="n">
        <v>332881.78</v>
      </c>
      <c r="AB21" s="19" t="n">
        <v>346315.62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32079.87</v>
      </c>
      <c r="F22" s="37" t="n">
        <v>32079.87</v>
      </c>
      <c r="G22" s="18" t="n">
        <v>32653.45</v>
      </c>
      <c r="H22" s="18" t="n">
        <v>34194.32</v>
      </c>
      <c r="I22" s="18" t="n">
        <v>36116.54</v>
      </c>
      <c r="J22" s="18" t="n">
        <v>41386.24</v>
      </c>
      <c r="K22" s="37" t="n">
        <v>41386.24</v>
      </c>
      <c r="L22" s="18" t="n">
        <v>44968</v>
      </c>
      <c r="M22" s="18" t="n">
        <v>57779.65</v>
      </c>
      <c r="N22" s="18" t="n">
        <v>55734.54</v>
      </c>
      <c r="O22" s="18" t="n">
        <v>70905.91</v>
      </c>
      <c r="P22" s="37" t="n">
        <v>70905.91</v>
      </c>
      <c r="Q22" s="18" t="n">
        <v>65168.3</v>
      </c>
      <c r="R22" s="18" t="n">
        <v>67858.48</v>
      </c>
      <c r="S22" s="18" t="n">
        <v>66041.77</v>
      </c>
      <c r="T22" s="18" t="n">
        <v>61797.78</v>
      </c>
      <c r="U22" s="37" t="n">
        <v>61797.78</v>
      </c>
      <c r="V22" s="18" t="n">
        <v>58716.67</v>
      </c>
      <c r="W22" s="18" t="n">
        <v>62691.42</v>
      </c>
      <c r="X22" s="18" t="n">
        <v>55559.82</v>
      </c>
      <c r="Y22" s="18" t="n">
        <v>50824.59</v>
      </c>
      <c r="Z22" s="37" t="n">
        <v>50824.59</v>
      </c>
      <c r="AA22" s="18" t="n">
        <v>56460.74</v>
      </c>
      <c r="AB22" s="19" t="n">
        <v>66524.95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13670.01</v>
      </c>
      <c r="F23" s="37" t="n">
        <v>13670.01</v>
      </c>
      <c r="G23" s="18" t="n">
        <v>13892.8</v>
      </c>
      <c r="H23" s="18" t="n">
        <v>13093.45</v>
      </c>
      <c r="I23" s="18" t="n">
        <v>13550.6</v>
      </c>
      <c r="J23" s="18" t="n">
        <v>11171.8</v>
      </c>
      <c r="K23" s="37" t="n">
        <v>11171.8</v>
      </c>
      <c r="L23" s="18" t="n">
        <v>13443.66</v>
      </c>
      <c r="M23" s="18" t="n">
        <v>14536.27</v>
      </c>
      <c r="N23" s="18" t="n">
        <v>15167.55</v>
      </c>
      <c r="O23" s="18" t="n">
        <v>18152.99</v>
      </c>
      <c r="P23" s="37" t="n">
        <v>18152.99</v>
      </c>
      <c r="Q23" s="18" t="n">
        <v>15945.6</v>
      </c>
      <c r="R23" s="18" t="n">
        <v>16866.88</v>
      </c>
      <c r="S23" s="18" t="n">
        <v>16529.28</v>
      </c>
      <c r="T23" s="18" t="n">
        <v>20068.52</v>
      </c>
      <c r="U23" s="37" t="n">
        <v>20068.52</v>
      </c>
      <c r="V23" s="18" t="n">
        <v>20742.33</v>
      </c>
      <c r="W23" s="18" t="n">
        <v>23899.03</v>
      </c>
      <c r="X23" s="18" t="n">
        <v>21092.94</v>
      </c>
      <c r="Y23" s="18" t="n">
        <v>19052.81</v>
      </c>
      <c r="Z23" s="37" t="n">
        <v>19052.81</v>
      </c>
      <c r="AA23" s="18" t="n">
        <v>28895.42</v>
      </c>
      <c r="AB23" s="19" t="n">
        <v>27651.01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197.24</v>
      </c>
      <c r="F24" s="37" t="n">
        <v>197.24</v>
      </c>
      <c r="G24" s="18" t="n">
        <v>193.24</v>
      </c>
      <c r="H24" s="18" t="n">
        <v>189.25</v>
      </c>
      <c r="I24" s="18" t="n">
        <v>185.25</v>
      </c>
      <c r="J24" s="18" t="n">
        <v>197.04</v>
      </c>
      <c r="K24" s="37" t="n">
        <v>197.04</v>
      </c>
      <c r="L24" s="18" t="n">
        <v>248.44</v>
      </c>
      <c r="M24" s="18" t="n">
        <v>199.63</v>
      </c>
      <c r="N24" s="18" t="n">
        <v>203.96</v>
      </c>
      <c r="O24" s="18" t="n">
        <v>201</v>
      </c>
      <c r="P24" s="37" t="n">
        <v>201</v>
      </c>
      <c r="Q24" s="18" t="n">
        <v>198.01</v>
      </c>
      <c r="R24" s="18" t="n">
        <v>195.01</v>
      </c>
      <c r="S24" s="18" t="n">
        <v>191.97</v>
      </c>
      <c r="T24" s="18" t="n">
        <v>194.52</v>
      </c>
      <c r="U24" s="37" t="n">
        <v>194.52</v>
      </c>
      <c r="V24" s="18" t="n">
        <v>144.01</v>
      </c>
      <c r="W24" s="18" t="n">
        <v>90.75</v>
      </c>
      <c r="X24" s="18" t="n">
        <v>35.06</v>
      </c>
      <c r="Y24" s="18" t="n">
        <v>228.13</v>
      </c>
      <c r="Z24" s="37" t="n">
        <v>228.13</v>
      </c>
      <c r="AA24" s="18" t="n">
        <v>221.64</v>
      </c>
      <c r="AB24" s="19" t="n">
        <v>247.57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721.3099999999999</v>
      </c>
      <c r="F25" s="37" t="n">
        <v>721.3099999999999</v>
      </c>
      <c r="G25" s="18" t="n">
        <v>672.59</v>
      </c>
      <c r="H25" s="18" t="n">
        <v>623.59</v>
      </c>
      <c r="I25" s="18" t="n">
        <v>574.3</v>
      </c>
      <c r="J25" s="18" t="n">
        <v>556.17</v>
      </c>
      <c r="K25" s="37" t="n">
        <v>556.17</v>
      </c>
      <c r="L25" s="18" t="n">
        <v>507.39</v>
      </c>
      <c r="M25" s="18" t="n">
        <v>458.29</v>
      </c>
      <c r="N25" s="18" t="n">
        <v>408.87</v>
      </c>
      <c r="O25" s="18" t="n">
        <v>359.13</v>
      </c>
      <c r="P25" s="37" t="n">
        <v>359.13</v>
      </c>
      <c r="Q25" s="18" t="n">
        <v>309.05</v>
      </c>
      <c r="R25" s="18" t="n">
        <v>258.67</v>
      </c>
      <c r="S25" s="18" t="n">
        <v>207.94</v>
      </c>
      <c r="T25" s="18" t="n">
        <v>204.35</v>
      </c>
      <c r="U25" s="37" t="n">
        <v>204.35</v>
      </c>
      <c r="V25" s="18" t="n">
        <v>148.34</v>
      </c>
      <c r="W25" s="18" t="n">
        <v>91.91</v>
      </c>
      <c r="X25" s="18" t="n">
        <v>35.06</v>
      </c>
      <c r="Y25" s="18" t="n">
        <v>391.5</v>
      </c>
      <c r="Z25" s="37" t="n">
        <v>391.5</v>
      </c>
      <c r="AA25" s="18" t="n">
        <v>332.21</v>
      </c>
      <c r="AB25" s="19" t="n">
        <v>341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197.24</v>
      </c>
      <c r="F26" s="37" t="n">
        <v>197.24</v>
      </c>
      <c r="G26" s="18" t="n">
        <v>193.24</v>
      </c>
      <c r="H26" s="18" t="n">
        <v>189.25</v>
      </c>
      <c r="I26" s="18" t="n">
        <v>185.25</v>
      </c>
      <c r="J26" s="18" t="n">
        <v>197.04</v>
      </c>
      <c r="K26" s="37" t="n">
        <v>197.04</v>
      </c>
      <c r="L26" s="18" t="n">
        <v>248.44</v>
      </c>
      <c r="M26" s="18" t="n">
        <v>199.63</v>
      </c>
      <c r="N26" s="18" t="n">
        <v>203.96</v>
      </c>
      <c r="O26" s="18" t="n">
        <v>201</v>
      </c>
      <c r="P26" s="37" t="n">
        <v>201</v>
      </c>
      <c r="Q26" s="18" t="n">
        <v>198.01</v>
      </c>
      <c r="R26" s="18" t="n">
        <v>195.01</v>
      </c>
      <c r="S26" s="18" t="n">
        <v>191.97</v>
      </c>
      <c r="T26" s="18" t="n">
        <v>194.52</v>
      </c>
      <c r="U26" s="37" t="n">
        <v>194.52</v>
      </c>
      <c r="V26" s="18" t="n">
        <v>144.01</v>
      </c>
      <c r="W26" s="18" t="n">
        <v>90.75</v>
      </c>
      <c r="X26" s="18" t="n">
        <v>35.06</v>
      </c>
      <c r="Y26" s="18" t="n">
        <v>228.13</v>
      </c>
      <c r="Z26" s="37" t="n">
        <v>228.13</v>
      </c>
      <c r="AA26" s="18" t="n">
        <v>221.64</v>
      </c>
      <c r="AB26" s="19" t="n">
        <v>247.57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0</v>
      </c>
      <c r="F27" s="37" t="n">
        <v>0</v>
      </c>
      <c r="J27" s="18" t="n">
        <v>0</v>
      </c>
      <c r="K27" s="37" t="n">
        <v>0</v>
      </c>
      <c r="L27" s="18" t="n">
        <v>0</v>
      </c>
      <c r="P27" s="9" t="n"/>
      <c r="Q27" s="18" t="n">
        <v>178.14</v>
      </c>
      <c r="R27" s="18" t="n">
        <v>1097.22</v>
      </c>
      <c r="S27" s="18" t="n">
        <v>1640.07</v>
      </c>
      <c r="T27" s="18" t="n">
        <v>3186.94</v>
      </c>
      <c r="U27" s="37" t="n">
        <v>3186.94</v>
      </c>
      <c r="V27" s="18" t="n">
        <v>3854.63</v>
      </c>
      <c r="W27" s="18" t="n">
        <v>2956.4</v>
      </c>
      <c r="X27" s="18" t="n">
        <v>4268.49</v>
      </c>
      <c r="Y27" s="18" t="n">
        <v>5633.29</v>
      </c>
      <c r="Z27" s="37" t="n">
        <v>5633.29</v>
      </c>
      <c r="AA27" s="18" t="n">
        <v>4113.22</v>
      </c>
      <c r="AB27" s="19" t="n">
        <v>4279.1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1233.46</v>
      </c>
      <c r="F28" s="37" t="n">
        <v>1233.46</v>
      </c>
      <c r="G28" s="18" t="n">
        <v>1333.26</v>
      </c>
      <c r="H28" s="18" t="n">
        <v>1317.18</v>
      </c>
      <c r="I28" s="18" t="n">
        <v>1168.27</v>
      </c>
      <c r="J28" s="18" t="n">
        <v>1257.11</v>
      </c>
      <c r="K28" s="37" t="n">
        <v>1257.11</v>
      </c>
      <c r="L28" s="18" t="n">
        <v>1210.79</v>
      </c>
      <c r="M28" s="18" t="n">
        <v>1332.36</v>
      </c>
      <c r="N28" s="18" t="n">
        <v>1448.72</v>
      </c>
      <c r="O28" s="18" t="n">
        <v>1366.55</v>
      </c>
      <c r="P28" s="37" t="n">
        <v>1366.55</v>
      </c>
      <c r="Q28" s="18" t="n">
        <v>1406.38</v>
      </c>
      <c r="R28" s="18" t="n">
        <v>1312.81</v>
      </c>
      <c r="S28" s="18" t="n">
        <v>1400.34</v>
      </c>
      <c r="T28" s="18" t="n">
        <v>1539.37</v>
      </c>
      <c r="U28" s="37" t="n">
        <v>1539.37</v>
      </c>
      <c r="V28" s="18" t="n">
        <v>1772.99</v>
      </c>
      <c r="W28" s="18" t="n">
        <v>1688.73</v>
      </c>
      <c r="X28" s="18" t="n">
        <v>1818.63</v>
      </c>
      <c r="Y28" s="18" t="n">
        <v>1959.13</v>
      </c>
      <c r="Z28" s="37" t="n">
        <v>1959.13</v>
      </c>
      <c r="AA28" s="18" t="n">
        <v>1806.73</v>
      </c>
      <c r="AB28" s="19" t="n">
        <v>1949.45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기타비유동금융부채</t>
        </is>
      </c>
      <c r="E29" s="18" t="n">
        <v>622.1799999999999</v>
      </c>
      <c r="F29" s="37" t="n">
        <v>622.1799999999999</v>
      </c>
      <c r="G29" s="18" t="n">
        <v>616.25</v>
      </c>
      <c r="H29" s="18" t="n">
        <v>706.27</v>
      </c>
      <c r="I29" s="18" t="n">
        <v>694.15</v>
      </c>
      <c r="J29" s="18" t="n">
        <v>718.39</v>
      </c>
      <c r="K29" s="37" t="n">
        <v>718.39</v>
      </c>
      <c r="L29" s="18" t="n">
        <v>703.98</v>
      </c>
      <c r="M29" s="18" t="n">
        <v>745.63</v>
      </c>
      <c r="P29" s="9" t="n"/>
      <c r="U29" s="9" t="n"/>
      <c r="Y29" s="18" t="n">
        <v>290</v>
      </c>
      <c r="Z29" s="37" t="n">
        <v>290</v>
      </c>
      <c r="AA29" s="18" t="n">
        <v>964.35</v>
      </c>
      <c r="AB29" s="19" t="n">
        <v>360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장기금융부채</t>
        </is>
      </c>
      <c r="E30" s="18" t="n">
        <v>1146.25</v>
      </c>
      <c r="F30" s="37" t="n">
        <v>1146.25</v>
      </c>
      <c r="G30" s="18" t="n">
        <v>1095.6</v>
      </c>
      <c r="H30" s="18" t="n">
        <v>1140.61</v>
      </c>
      <c r="I30" s="18" t="n">
        <v>1083.2</v>
      </c>
      <c r="J30" s="18" t="n">
        <v>1077.52</v>
      </c>
      <c r="K30" s="37" t="n">
        <v>1077.52</v>
      </c>
      <c r="L30" s="18" t="n">
        <v>962.9299999999999</v>
      </c>
      <c r="M30" s="18" t="n">
        <v>1004.29</v>
      </c>
      <c r="N30" s="18" t="n">
        <v>204.91</v>
      </c>
      <c r="O30" s="18" t="n">
        <v>158.13</v>
      </c>
      <c r="P30" s="37" t="n">
        <v>158.13</v>
      </c>
      <c r="Q30" s="18" t="n">
        <v>111.04</v>
      </c>
      <c r="R30" s="18" t="n">
        <v>63.66</v>
      </c>
      <c r="S30" s="18" t="n">
        <v>15.97</v>
      </c>
      <c r="T30" s="18" t="n">
        <v>9.83</v>
      </c>
      <c r="U30" s="37" t="n">
        <v>9.83</v>
      </c>
      <c r="V30" s="18" t="n">
        <v>4.33</v>
      </c>
      <c r="W30" s="18" t="n">
        <v>1.16</v>
      </c>
      <c r="X30" s="18" t="n">
        <v>0</v>
      </c>
      <c r="Y30" s="18" t="n">
        <v>453.37</v>
      </c>
      <c r="Z30" s="37" t="n">
        <v>453.37</v>
      </c>
      <c r="AA30" s="18" t="n">
        <v>1074.92</v>
      </c>
      <c r="AB30" s="19" t="n">
        <v>453.43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87.2</v>
      </c>
      <c r="F31" s="37" t="n">
        <v>87.2</v>
      </c>
      <c r="G31" s="18" t="n">
        <v>237.65</v>
      </c>
      <c r="H31" s="18" t="n">
        <v>176.57</v>
      </c>
      <c r="I31" s="18" t="n">
        <v>85.08</v>
      </c>
      <c r="J31" s="18" t="n">
        <v>0</v>
      </c>
      <c r="K31" s="37" t="n">
        <v>0</v>
      </c>
      <c r="L31" s="18" t="n">
        <v>21.22</v>
      </c>
      <c r="M31" s="18" t="n">
        <v>54.37</v>
      </c>
      <c r="N31" s="18" t="n">
        <v>157.34</v>
      </c>
      <c r="O31" s="18" t="n">
        <v>0</v>
      </c>
      <c r="P31" s="37" t="n">
        <v>0</v>
      </c>
      <c r="Q31" s="18" t="n">
        <v>57.1</v>
      </c>
      <c r="R31" s="18" t="n">
        <v>67.94</v>
      </c>
      <c r="S31" s="18" t="n">
        <v>170.52</v>
      </c>
      <c r="T31" s="18" t="n">
        <v>168.52</v>
      </c>
      <c r="U31" s="37" t="n">
        <v>168.52</v>
      </c>
      <c r="V31" s="18" t="n">
        <v>412.87</v>
      </c>
      <c r="W31" s="18" t="n">
        <v>417.54</v>
      </c>
      <c r="X31" s="18" t="n">
        <v>548.58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524.0700000000001</v>
      </c>
      <c r="F32" s="37" t="n">
        <v>524.0700000000001</v>
      </c>
      <c r="G32" s="18" t="n">
        <v>479.35</v>
      </c>
      <c r="H32" s="18" t="n">
        <v>434.34</v>
      </c>
      <c r="I32" s="18" t="n">
        <v>389.05</v>
      </c>
      <c r="J32" s="18" t="n">
        <v>359.13</v>
      </c>
      <c r="K32" s="37" t="n">
        <v>359.13</v>
      </c>
      <c r="L32" s="18" t="n">
        <v>258.95</v>
      </c>
      <c r="M32" s="18" t="n">
        <v>258.66</v>
      </c>
      <c r="N32" s="18" t="n">
        <v>204.91</v>
      </c>
      <c r="O32" s="18" t="n">
        <v>158.13</v>
      </c>
      <c r="P32" s="37" t="n">
        <v>158.13</v>
      </c>
      <c r="Q32" s="18" t="n">
        <v>111.04</v>
      </c>
      <c r="R32" s="18" t="n">
        <v>63.66</v>
      </c>
      <c r="S32" s="18" t="n">
        <v>15.97</v>
      </c>
      <c r="T32" s="18" t="n">
        <v>9.83</v>
      </c>
      <c r="U32" s="37" t="n">
        <v>9.83</v>
      </c>
      <c r="V32" s="18" t="n">
        <v>4.33</v>
      </c>
      <c r="W32" s="18" t="n">
        <v>1.16</v>
      </c>
      <c r="X32" s="18" t="n">
        <v>0</v>
      </c>
      <c r="Y32" s="18" t="n">
        <v>163.37</v>
      </c>
      <c r="Z32" s="37" t="n">
        <v>163.37</v>
      </c>
      <c r="AA32" s="18" t="n">
        <v>110.57</v>
      </c>
      <c r="AB32" s="19" t="n">
        <v>93.43000000000001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33313.33</v>
      </c>
      <c r="F33" s="37" t="n">
        <v>33313.33</v>
      </c>
      <c r="G33" s="18" t="n">
        <v>33986.7</v>
      </c>
      <c r="H33" s="18" t="n">
        <v>35511.5</v>
      </c>
      <c r="I33" s="18" t="n">
        <v>37284.81</v>
      </c>
      <c r="J33" s="18" t="n">
        <v>42643.35</v>
      </c>
      <c r="K33" s="37" t="n">
        <v>42643.35</v>
      </c>
      <c r="L33" s="18" t="n">
        <v>46178.79</v>
      </c>
      <c r="M33" s="18" t="n">
        <v>59112</v>
      </c>
      <c r="N33" s="18" t="n">
        <v>57183.26</v>
      </c>
      <c r="O33" s="18" t="n">
        <v>72272.46000000001</v>
      </c>
      <c r="P33" s="37" t="n">
        <v>72272.46000000001</v>
      </c>
      <c r="Q33" s="18" t="n">
        <v>66574.67999999999</v>
      </c>
      <c r="R33" s="18" t="n">
        <v>69171.28999999999</v>
      </c>
      <c r="S33" s="18" t="n">
        <v>67442.12</v>
      </c>
      <c r="T33" s="18" t="n">
        <v>63337.14</v>
      </c>
      <c r="U33" s="37" t="n">
        <v>63337.14</v>
      </c>
      <c r="V33" s="18" t="n">
        <v>60489.66</v>
      </c>
      <c r="W33" s="18" t="n">
        <v>64380.14</v>
      </c>
      <c r="X33" s="18" t="n">
        <v>57378.45</v>
      </c>
      <c r="Y33" s="18" t="n">
        <v>52783.72</v>
      </c>
      <c r="Z33" s="37" t="n">
        <v>52783.72</v>
      </c>
      <c r="AA33" s="18" t="n">
        <v>58267.46</v>
      </c>
      <c r="AB33" s="19" t="n">
        <v>68474.39999999999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226690.06</v>
      </c>
      <c r="F34" s="37" t="n">
        <v>226690.06</v>
      </c>
      <c r="G34" s="18" t="n">
        <v>224073.78</v>
      </c>
      <c r="H34" s="18" t="n">
        <v>223298.74</v>
      </c>
      <c r="I34" s="18" t="n">
        <v>225329.35</v>
      </c>
      <c r="J34" s="18" t="n">
        <v>218469.18</v>
      </c>
      <c r="K34" s="37" t="n">
        <v>218469.18</v>
      </c>
      <c r="L34" s="18" t="n">
        <v>220091.38</v>
      </c>
      <c r="M34" s="18" t="n">
        <v>220142.81</v>
      </c>
      <c r="N34" s="18" t="n">
        <v>223102.4</v>
      </c>
      <c r="O34" s="18" t="n">
        <v>225677.81</v>
      </c>
      <c r="P34" s="37" t="n">
        <v>225677.81</v>
      </c>
      <c r="Q34" s="18" t="n">
        <v>229382.89</v>
      </c>
      <c r="R34" s="18" t="n">
        <v>233678.36</v>
      </c>
      <c r="S34" s="18" t="n">
        <v>236222.29</v>
      </c>
      <c r="T34" s="18" t="n">
        <v>245268.75</v>
      </c>
      <c r="U34" s="37" t="n">
        <v>245268.75</v>
      </c>
      <c r="V34" s="18" t="n">
        <v>250103.88</v>
      </c>
      <c r="W34" s="18" t="n">
        <v>254461.61</v>
      </c>
      <c r="X34" s="18" t="n">
        <v>262571.73</v>
      </c>
      <c r="Y34" s="18" t="n">
        <v>269199.84</v>
      </c>
      <c r="Z34" s="37" t="n">
        <v>269199.84</v>
      </c>
      <c r="AA34" s="18" t="n">
        <v>274614.32</v>
      </c>
      <c r="AB34" s="19" t="n">
        <v>277841.22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4783.67</v>
      </c>
      <c r="F35" s="37" t="n">
        <v>4783.67</v>
      </c>
      <c r="G35" s="18" t="n">
        <v>4783.67</v>
      </c>
      <c r="H35" s="18" t="n">
        <v>4783.67</v>
      </c>
      <c r="I35" s="18" t="n">
        <v>4783.67</v>
      </c>
      <c r="J35" s="18" t="n">
        <v>4783.67</v>
      </c>
      <c r="K35" s="37" t="n">
        <v>4783.67</v>
      </c>
      <c r="L35" s="18" t="n">
        <v>4783.67</v>
      </c>
      <c r="M35" s="18" t="n">
        <v>4783.67</v>
      </c>
      <c r="N35" s="18" t="n">
        <v>4783.67</v>
      </c>
      <c r="O35" s="18" t="n">
        <v>4783.67</v>
      </c>
      <c r="P35" s="37" t="n">
        <v>4783.67</v>
      </c>
      <c r="Q35" s="18" t="n">
        <v>4783.67</v>
      </c>
      <c r="R35" s="18" t="n">
        <v>4783.67</v>
      </c>
      <c r="S35" s="18" t="n">
        <v>4783.67</v>
      </c>
      <c r="T35" s="18" t="n">
        <v>4783.67</v>
      </c>
      <c r="U35" s="37" t="n">
        <v>4783.67</v>
      </c>
      <c r="V35" s="18" t="n">
        <v>4783.67</v>
      </c>
      <c r="W35" s="18" t="n">
        <v>4783.67</v>
      </c>
      <c r="X35" s="18" t="n">
        <v>4783.67</v>
      </c>
      <c r="Y35" s="18" t="n">
        <v>4783.67</v>
      </c>
      <c r="Z35" s="37" t="n">
        <v>4783.67</v>
      </c>
      <c r="AA35" s="18" t="n">
        <v>4783.67</v>
      </c>
      <c r="AB35" s="19" t="n">
        <v>4783.67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24958.68</v>
      </c>
      <c r="F36" s="37" t="n">
        <v>24958.68</v>
      </c>
      <c r="G36" s="18" t="n">
        <v>24974.84</v>
      </c>
      <c r="H36" s="18" t="n">
        <v>24977.78</v>
      </c>
      <c r="I36" s="18" t="n">
        <v>24977.78</v>
      </c>
      <c r="J36" s="18" t="n">
        <v>24978.48</v>
      </c>
      <c r="K36" s="37" t="n">
        <v>24978.48</v>
      </c>
      <c r="L36" s="18" t="n">
        <v>25026.82</v>
      </c>
      <c r="M36" s="18" t="n">
        <v>25034.91</v>
      </c>
      <c r="N36" s="18" t="n">
        <v>25034.91</v>
      </c>
      <c r="O36" s="18" t="n">
        <v>25035.47</v>
      </c>
      <c r="P36" s="37" t="n">
        <v>25035.47</v>
      </c>
      <c r="Q36" s="18" t="n">
        <v>25048.84</v>
      </c>
      <c r="R36" s="18" t="n">
        <v>25053.11</v>
      </c>
      <c r="S36" s="18" t="n">
        <v>25053.11</v>
      </c>
      <c r="T36" s="18" t="n">
        <v>25053.11</v>
      </c>
      <c r="U36" s="37" t="n">
        <v>25053.11</v>
      </c>
      <c r="V36" s="18" t="n">
        <v>25053.11</v>
      </c>
      <c r="W36" s="18" t="n">
        <v>25086.07</v>
      </c>
      <c r="X36" s="18" t="n">
        <v>25086.07</v>
      </c>
      <c r="Y36" s="18" t="n">
        <v>25272.22</v>
      </c>
      <c r="Z36" s="37" t="n">
        <v>25272.22</v>
      </c>
      <c r="AA36" s="18" t="n">
        <v>25272.22</v>
      </c>
      <c r="AB36" s="19" t="n">
        <v>20460.2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-2586.62</v>
      </c>
      <c r="F37" s="37" t="n">
        <v>-2586.62</v>
      </c>
      <c r="G37" s="18" t="n">
        <v>-2597.23</v>
      </c>
      <c r="H37" s="18" t="n">
        <v>-2562.52</v>
      </c>
      <c r="I37" s="18" t="n">
        <v>-2554.74</v>
      </c>
      <c r="J37" s="18" t="n">
        <v>-2541.49</v>
      </c>
      <c r="K37" s="37" t="n">
        <v>-2541.49</v>
      </c>
      <c r="L37" s="18" t="n">
        <v>-2581.8</v>
      </c>
      <c r="M37" s="18" t="n">
        <v>-3490.35</v>
      </c>
      <c r="N37" s="18" t="n">
        <v>-3523.92</v>
      </c>
      <c r="O37" s="18" t="n">
        <v>-3508.07</v>
      </c>
      <c r="P37" s="37" t="n">
        <v>-3508.07</v>
      </c>
      <c r="Q37" s="18" t="n">
        <v>-3509.47</v>
      </c>
      <c r="R37" s="18" t="n">
        <v>-3471.66</v>
      </c>
      <c r="S37" s="18" t="n">
        <v>-3455.64</v>
      </c>
      <c r="T37" s="18" t="n">
        <v>-3436.7</v>
      </c>
      <c r="U37" s="37" t="n">
        <v>-3436.7</v>
      </c>
      <c r="V37" s="18" t="n">
        <v>-3419.11</v>
      </c>
      <c r="W37" s="18" t="n">
        <v>-3374.2</v>
      </c>
      <c r="X37" s="18" t="n">
        <v>-3334.46</v>
      </c>
      <c r="Y37" s="18" t="n">
        <v>-3296.14</v>
      </c>
      <c r="Z37" s="37" t="n">
        <v>-3296.14</v>
      </c>
      <c r="AA37" s="18" t="n">
        <v>-3296.14</v>
      </c>
      <c r="AB37" s="19" t="n">
        <v>-2920.76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기타포괄이익누계액</t>
        </is>
      </c>
      <c r="E38" s="18" t="n">
        <v>9330.27</v>
      </c>
      <c r="F38" s="37" t="n">
        <v>9330.27</v>
      </c>
      <c r="G38" s="18" t="n">
        <v>9330.27</v>
      </c>
      <c r="H38" s="18" t="n">
        <v>9330.27</v>
      </c>
      <c r="I38" s="18" t="n">
        <v>9330.27</v>
      </c>
      <c r="J38" s="18" t="n">
        <v>9330.27</v>
      </c>
      <c r="K38" s="37" t="n">
        <v>9330.27</v>
      </c>
      <c r="L38" s="18" t="n">
        <v>9330.27</v>
      </c>
      <c r="M38" s="18" t="n">
        <v>9330.27</v>
      </c>
      <c r="N38" s="18" t="n">
        <v>9330.27</v>
      </c>
      <c r="O38" s="18" t="n">
        <v>9330.27</v>
      </c>
      <c r="P38" s="37" t="n">
        <v>9330.27</v>
      </c>
      <c r="Q38" s="18" t="n">
        <v>9330.27</v>
      </c>
      <c r="R38" s="18" t="n">
        <v>9330.27</v>
      </c>
      <c r="S38" s="18" t="n">
        <v>9330.27</v>
      </c>
      <c r="T38" s="18" t="n">
        <v>9330.27</v>
      </c>
      <c r="U38" s="37" t="n">
        <v>9330.27</v>
      </c>
      <c r="V38" s="18" t="n">
        <v>9330.27</v>
      </c>
      <c r="W38" s="18" t="n">
        <v>9330.27</v>
      </c>
      <c r="X38" s="18" t="n">
        <v>9330.27</v>
      </c>
      <c r="Y38" s="18" t="n">
        <v>9330.27</v>
      </c>
      <c r="Z38" s="37" t="n">
        <v>9330.27</v>
      </c>
      <c r="AA38" s="18" t="n">
        <v>9330.27</v>
      </c>
      <c r="AB38" s="19" t="n">
        <v>9330.27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190204.06</v>
      </c>
      <c r="F39" s="37" t="n">
        <v>190204.06</v>
      </c>
      <c r="G39" s="18" t="n">
        <v>187582.23</v>
      </c>
      <c r="H39" s="18" t="n">
        <v>186769.55</v>
      </c>
      <c r="I39" s="18" t="n">
        <v>188792.37</v>
      </c>
      <c r="J39" s="18" t="n">
        <v>181918.26</v>
      </c>
      <c r="K39" s="37" t="n">
        <v>181918.26</v>
      </c>
      <c r="L39" s="18" t="n">
        <v>183532.43</v>
      </c>
      <c r="M39" s="18" t="n">
        <v>184484.32</v>
      </c>
      <c r="N39" s="18" t="n">
        <v>187477.48</v>
      </c>
      <c r="O39" s="18" t="n">
        <v>190036.48</v>
      </c>
      <c r="P39" s="37" t="n">
        <v>190036.48</v>
      </c>
      <c r="Q39" s="18" t="n">
        <v>193729.59</v>
      </c>
      <c r="R39" s="18" t="n">
        <v>197982.97</v>
      </c>
      <c r="S39" s="18" t="n">
        <v>200510.88</v>
      </c>
      <c r="T39" s="18" t="n">
        <v>209538.41</v>
      </c>
      <c r="U39" s="37" t="n">
        <v>209538.41</v>
      </c>
      <c r="V39" s="18" t="n">
        <v>214355.95</v>
      </c>
      <c r="W39" s="18" t="n">
        <v>218635.81</v>
      </c>
      <c r="X39" s="18" t="n">
        <v>226706.19</v>
      </c>
      <c r="Y39" s="18" t="n">
        <v>233109.82</v>
      </c>
      <c r="Z39" s="37" t="n">
        <v>233109.82</v>
      </c>
      <c r="AA39" s="18" t="n">
        <v>238524.3</v>
      </c>
      <c r="AB39" s="19" t="n">
        <v>246187.85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비지배주주지분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37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37" t="n">
        <v>0</v>
      </c>
      <c r="V40" s="18" t="n">
        <v>0</v>
      </c>
      <c r="W40" s="18" t="n">
        <v>0</v>
      </c>
      <c r="X40" s="18" t="n">
        <v>0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자본총계</t>
        </is>
      </c>
      <c r="E41" s="18" t="n">
        <v>226690.06</v>
      </c>
      <c r="F41" s="37" t="n">
        <v>226690.06</v>
      </c>
      <c r="G41" s="18" t="n">
        <v>224073.78</v>
      </c>
      <c r="H41" s="18" t="n">
        <v>223298.74</v>
      </c>
      <c r="I41" s="18" t="n">
        <v>225329.35</v>
      </c>
      <c r="J41" s="18" t="n">
        <v>218469.18</v>
      </c>
      <c r="K41" s="37" t="n">
        <v>218469.18</v>
      </c>
      <c r="L41" s="18" t="n">
        <v>220091.38</v>
      </c>
      <c r="M41" s="18" t="n">
        <v>220142.81</v>
      </c>
      <c r="N41" s="18" t="n">
        <v>223102.4</v>
      </c>
      <c r="O41" s="18" t="n">
        <v>225677.81</v>
      </c>
      <c r="P41" s="37" t="n">
        <v>225677.81</v>
      </c>
      <c r="Q41" s="18" t="n">
        <v>229382.89</v>
      </c>
      <c r="R41" s="18" t="n">
        <v>233678.36</v>
      </c>
      <c r="S41" s="18" t="n">
        <v>236222.29</v>
      </c>
      <c r="T41" s="18" t="n">
        <v>245268.75</v>
      </c>
      <c r="U41" s="37" t="n">
        <v>245268.75</v>
      </c>
      <c r="V41" s="18" t="n">
        <v>250103.88</v>
      </c>
      <c r="W41" s="18" t="n">
        <v>254461.61</v>
      </c>
      <c r="X41" s="18" t="n">
        <v>262571.73</v>
      </c>
      <c r="Y41" s="18" t="n">
        <v>269199.84</v>
      </c>
      <c r="Z41" s="37" t="n">
        <v>269199.84</v>
      </c>
      <c r="AA41" s="18" t="n">
        <v>274614.32</v>
      </c>
      <c r="AB41" s="19" t="n">
        <v>277841.22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부채와자본총계</t>
        </is>
      </c>
      <c r="E42" s="18" t="n">
        <v>260003.39</v>
      </c>
      <c r="F42" s="37" t="n">
        <v>260003.39</v>
      </c>
      <c r="G42" s="18" t="n">
        <v>258060.48</v>
      </c>
      <c r="H42" s="18" t="n">
        <v>258810.24</v>
      </c>
      <c r="I42" s="18" t="n">
        <v>262614.16</v>
      </c>
      <c r="J42" s="18" t="n">
        <v>261112.52</v>
      </c>
      <c r="K42" s="37" t="n">
        <v>261112.52</v>
      </c>
      <c r="L42" s="18" t="n">
        <v>266270.17</v>
      </c>
      <c r="M42" s="18" t="n">
        <v>279254.82</v>
      </c>
      <c r="N42" s="18" t="n">
        <v>280285.66</v>
      </c>
      <c r="O42" s="18" t="n">
        <v>297950.27</v>
      </c>
      <c r="P42" s="37" t="n">
        <v>297950.27</v>
      </c>
      <c r="Q42" s="18" t="n">
        <v>295957.58</v>
      </c>
      <c r="R42" s="18" t="n">
        <v>302849.65</v>
      </c>
      <c r="S42" s="18" t="n">
        <v>303664.4</v>
      </c>
      <c r="T42" s="18" t="n">
        <v>308605.89</v>
      </c>
      <c r="U42" s="37" t="n">
        <v>308605.89</v>
      </c>
      <c r="V42" s="18" t="n">
        <v>310593.54</v>
      </c>
      <c r="W42" s="18" t="n">
        <v>318841.75</v>
      </c>
      <c r="X42" s="18" t="n">
        <v>319950.18</v>
      </c>
      <c r="Y42" s="18" t="n">
        <v>321983.56</v>
      </c>
      <c r="Z42" s="37" t="n">
        <v>321983.56</v>
      </c>
      <c r="AA42" s="18" t="n">
        <v>332881.78</v>
      </c>
      <c r="AB42" s="19" t="n">
        <v>346315.62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78325.02</v>
      </c>
      <c r="F43" s="37" t="n">
        <v>78325.02</v>
      </c>
      <c r="G43" s="18" t="n">
        <v>71153.03</v>
      </c>
      <c r="H43" s="18" t="n">
        <v>68486.91</v>
      </c>
      <c r="I43" s="18" t="n">
        <v>70911.66</v>
      </c>
      <c r="J43" s="18" t="n">
        <v>69037.23</v>
      </c>
      <c r="K43" s="37" t="n">
        <v>69037.23</v>
      </c>
      <c r="L43" s="18" t="n">
        <v>67633.46000000001</v>
      </c>
      <c r="M43" s="18" t="n">
        <v>74759.23</v>
      </c>
      <c r="N43" s="18" t="n">
        <v>67209.52</v>
      </c>
      <c r="O43" s="18" t="n">
        <v>85996.46000000001</v>
      </c>
      <c r="P43" s="37" t="n">
        <v>85996.46000000001</v>
      </c>
      <c r="Q43" s="18" t="n">
        <v>78135.75999999999</v>
      </c>
      <c r="R43" s="18" t="n">
        <v>81614.74000000001</v>
      </c>
      <c r="S43" s="18" t="n">
        <v>83551.78</v>
      </c>
      <c r="T43" s="18" t="n">
        <v>76497.92999999999</v>
      </c>
      <c r="U43" s="37" t="n">
        <v>76497.92999999999</v>
      </c>
      <c r="V43" s="18" t="n">
        <v>65630.59</v>
      </c>
      <c r="W43" s="18" t="n">
        <v>47863.86</v>
      </c>
      <c r="X43" s="18" t="n">
        <v>51582.14</v>
      </c>
      <c r="Y43" s="18" t="n">
        <v>57918.67</v>
      </c>
      <c r="Z43" s="37" t="n">
        <v>57918.67</v>
      </c>
      <c r="AA43" s="18" t="n">
        <v>52685.95</v>
      </c>
      <c r="AB43" s="19" t="n">
        <v>56501.41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기타비유동자산</t>
        </is>
      </c>
      <c r="F44" s="9" t="n"/>
      <c r="K44" s="9" t="n"/>
      <c r="N44" s="18" t="n">
        <v>2.37</v>
      </c>
      <c r="O44" s="18" t="n">
        <v>2.11</v>
      </c>
      <c r="P44" s="37" t="n">
        <v>2.11</v>
      </c>
      <c r="Q44" s="18" t="n">
        <v>2.12</v>
      </c>
      <c r="T44" s="18" t="n">
        <v>1.06</v>
      </c>
      <c r="U44" s="37" t="n">
        <v>1.06</v>
      </c>
      <c r="V44" s="18" t="n">
        <v>1.06</v>
      </c>
      <c r="W44" s="18" t="n">
        <v>1.11</v>
      </c>
      <c r="X44" s="18" t="n">
        <v>1.67</v>
      </c>
      <c r="Y44" s="18" t="n">
        <v>402.55</v>
      </c>
      <c r="Z44" s="37" t="n">
        <v>402.55</v>
      </c>
      <c r="AA44" s="18" t="n">
        <v>337.96</v>
      </c>
      <c r="AB44" s="19" t="n">
        <v>368.35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기타비유동부채</t>
        </is>
      </c>
      <c r="F45" s="9" t="n"/>
      <c r="K45" s="9" t="n"/>
      <c r="N45" s="18" t="n">
        <v>765.73</v>
      </c>
      <c r="O45" s="18" t="n">
        <v>806.37</v>
      </c>
      <c r="P45" s="37" t="n">
        <v>806.37</v>
      </c>
      <c r="Q45" s="18" t="n">
        <v>804.0599999999999</v>
      </c>
      <c r="T45" s="18" t="n">
        <v>837.96</v>
      </c>
      <c r="U45" s="37" t="n">
        <v>837.96</v>
      </c>
      <c r="V45" s="18" t="n">
        <v>832.74</v>
      </c>
      <c r="W45" s="18" t="n">
        <v>290</v>
      </c>
      <c r="X45" s="18" t="n">
        <v>747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기타유동자산</t>
        </is>
      </c>
      <c r="F46" s="9" t="n"/>
      <c r="K46" s="9" t="n"/>
      <c r="P46" s="9" t="n"/>
      <c r="U46" s="9" t="n"/>
      <c r="Y46" s="18" t="n">
        <v>19076.58</v>
      </c>
      <c r="Z46" s="37" t="n">
        <v>19076.58</v>
      </c>
      <c r="AA46" s="18" t="n">
        <v>20414.41</v>
      </c>
      <c r="AB46" s="19" t="n">
        <v>15424.14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사용권자산</t>
        </is>
      </c>
      <c r="F47" s="9" t="n"/>
      <c r="K47" s="9" t="n"/>
      <c r="P47" s="9" t="n"/>
      <c r="U47" s="9" t="n"/>
      <c r="Y47" s="18" t="n">
        <v>401.66</v>
      </c>
      <c r="Z47" s="37" t="n">
        <v>401.66</v>
      </c>
      <c r="AA47" s="18" t="n">
        <v>337.07</v>
      </c>
      <c r="AB47" s="19" t="n">
        <v>367.46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기타유동부채</t>
        </is>
      </c>
      <c r="F48" s="9" t="n"/>
      <c r="K48" s="9" t="n"/>
      <c r="P48" s="9" t="n"/>
      <c r="U48" s="9" t="n"/>
      <c r="Y48" s="18" t="n">
        <v>25910.36</v>
      </c>
      <c r="Z48" s="37" t="n">
        <v>25910.36</v>
      </c>
      <c r="AA48" s="18" t="n">
        <v>23230.45</v>
      </c>
      <c r="AB48" s="19" t="n">
        <v>34347.26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40364.41</v>
      </c>
      <c r="F49" s="9" t="n"/>
      <c r="G49" s="18" t="n">
        <v>30760.24</v>
      </c>
      <c r="H49" s="18" t="n">
        <v>34726.78</v>
      </c>
      <c r="I49" s="18" t="n">
        <v>31341.79</v>
      </c>
      <c r="J49" s="18" t="n">
        <v>33567.21</v>
      </c>
      <c r="K49" s="37" t="n">
        <v>130396.02</v>
      </c>
      <c r="L49" s="18" t="n">
        <v>32157.99</v>
      </c>
      <c r="M49" s="18" t="n">
        <v>34889.6</v>
      </c>
      <c r="N49" s="18" t="n">
        <v>37204.92</v>
      </c>
      <c r="O49" s="18" t="n">
        <v>50094.67</v>
      </c>
      <c r="P49" s="37" t="n">
        <v>154347.18</v>
      </c>
      <c r="Q49" s="18" t="n">
        <v>41354.84</v>
      </c>
      <c r="R49" s="18" t="n">
        <v>49900.4</v>
      </c>
      <c r="S49" s="18" t="n">
        <v>44736.91</v>
      </c>
      <c r="T49" s="18" t="n">
        <v>60286.73</v>
      </c>
      <c r="U49" s="37" t="n">
        <v>196278.88</v>
      </c>
      <c r="V49" s="18" t="n">
        <v>55639.79</v>
      </c>
      <c r="W49" s="18" t="n">
        <v>56326.02</v>
      </c>
      <c r="X49" s="18" t="n">
        <v>61532.72</v>
      </c>
      <c r="Y49" s="18" t="n">
        <v>56596.3</v>
      </c>
      <c r="Z49" s="37" t="n">
        <v>230094.83</v>
      </c>
      <c r="AA49" s="18" t="n">
        <v>50896.45</v>
      </c>
      <c r="AB49" s="19" t="n">
        <v>70834.32000000001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36747.87</v>
      </c>
      <c r="F50" s="9" t="n"/>
      <c r="G50" s="18" t="n">
        <v>30070.79</v>
      </c>
      <c r="H50" s="18" t="n">
        <v>33536.53</v>
      </c>
      <c r="I50" s="18" t="n">
        <v>28341.51</v>
      </c>
      <c r="J50" s="18" t="n">
        <v>36789.4</v>
      </c>
      <c r="K50" s="37" t="n">
        <v>128738.23</v>
      </c>
      <c r="L50" s="18" t="n">
        <v>30291.59</v>
      </c>
      <c r="M50" s="18" t="n">
        <v>31955.58</v>
      </c>
      <c r="N50" s="18" t="n">
        <v>32852.99</v>
      </c>
      <c r="O50" s="18" t="n">
        <v>44055.93</v>
      </c>
      <c r="P50" s="37" t="n">
        <v>139156.09</v>
      </c>
      <c r="Q50" s="18" t="n">
        <v>35900.87</v>
      </c>
      <c r="R50" s="18" t="n">
        <v>42994.71</v>
      </c>
      <c r="S50" s="18" t="n">
        <v>38709.68</v>
      </c>
      <c r="T50" s="18" t="n">
        <v>49486.31</v>
      </c>
      <c r="U50" s="37" t="n">
        <v>167091.57</v>
      </c>
      <c r="V50" s="18" t="n">
        <v>44410</v>
      </c>
      <c r="W50" s="18" t="n">
        <v>47924.64</v>
      </c>
      <c r="X50" s="18" t="n">
        <v>50918.09</v>
      </c>
      <c r="Y50" s="18" t="n">
        <v>44639.94</v>
      </c>
      <c r="Z50" s="37" t="n">
        <v>187892.67</v>
      </c>
      <c r="AA50" s="18" t="n">
        <v>41209.13</v>
      </c>
      <c r="AB50" s="19" t="n">
        <v>58218.05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3616.54</v>
      </c>
      <c r="F51" s="9" t="n"/>
      <c r="G51" s="18" t="n">
        <v>689.45</v>
      </c>
      <c r="H51" s="18" t="n">
        <v>1190.25</v>
      </c>
      <c r="I51" s="18" t="n">
        <v>3000.29</v>
      </c>
      <c r="J51" s="18" t="n">
        <v>-3222.19</v>
      </c>
      <c r="K51" s="37" t="n">
        <v>1657.8</v>
      </c>
      <c r="L51" s="18" t="n">
        <v>1866.4</v>
      </c>
      <c r="M51" s="18" t="n">
        <v>2934.02</v>
      </c>
      <c r="N51" s="18" t="n">
        <v>4351.93</v>
      </c>
      <c r="O51" s="18" t="n">
        <v>6038.73</v>
      </c>
      <c r="P51" s="37" t="n">
        <v>15191.08</v>
      </c>
      <c r="Q51" s="18" t="n">
        <v>5453.97</v>
      </c>
      <c r="R51" s="18" t="n">
        <v>6905.69</v>
      </c>
      <c r="S51" s="18" t="n">
        <v>6027.22</v>
      </c>
      <c r="T51" s="18" t="n">
        <v>10800.42</v>
      </c>
      <c r="U51" s="37" t="n">
        <v>29187.3</v>
      </c>
      <c r="V51" s="18" t="n">
        <v>11229.79</v>
      </c>
      <c r="W51" s="18" t="n">
        <v>8401.379999999999</v>
      </c>
      <c r="X51" s="18" t="n">
        <v>10614.62</v>
      </c>
      <c r="Y51" s="18" t="n">
        <v>11956.35</v>
      </c>
      <c r="Z51" s="37" t="n">
        <v>42202.14</v>
      </c>
      <c r="AA51" s="18" t="n">
        <v>9687.32</v>
      </c>
      <c r="AB51" s="19" t="n">
        <v>12616.27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3085.13</v>
      </c>
      <c r="F52" s="9" t="n"/>
      <c r="G52" s="18" t="n">
        <v>2415.14</v>
      </c>
      <c r="H52" s="18" t="n">
        <v>3102.41</v>
      </c>
      <c r="I52" s="18" t="n">
        <v>2635.02</v>
      </c>
      <c r="J52" s="18" t="n">
        <v>3390.87</v>
      </c>
      <c r="K52" s="37" t="n">
        <v>11543.44</v>
      </c>
      <c r="L52" s="18" t="n">
        <v>2797.12</v>
      </c>
      <c r="M52" s="18" t="n">
        <v>2667.08</v>
      </c>
      <c r="N52" s="18" t="n">
        <v>2631.94</v>
      </c>
      <c r="O52" s="18" t="n">
        <v>3360.53</v>
      </c>
      <c r="P52" s="37" t="n">
        <v>11456.67</v>
      </c>
      <c r="Q52" s="18" t="n">
        <v>3075.92</v>
      </c>
      <c r="R52" s="18" t="n">
        <v>3843.8</v>
      </c>
      <c r="S52" s="18" t="n">
        <v>3112.1</v>
      </c>
      <c r="T52" s="18" t="n">
        <v>3469.18</v>
      </c>
      <c r="U52" s="37" t="n">
        <v>13501</v>
      </c>
      <c r="V52" s="18" t="n">
        <v>5518.86</v>
      </c>
      <c r="W52" s="18" t="n">
        <v>2619.31</v>
      </c>
      <c r="X52" s="18" t="n">
        <v>2871.29</v>
      </c>
      <c r="Y52" s="18" t="n">
        <v>4132.21</v>
      </c>
      <c r="Z52" s="37" t="n">
        <v>15141.67</v>
      </c>
      <c r="AA52" s="18" t="n">
        <v>3413.12</v>
      </c>
      <c r="AB52" s="19" t="n">
        <v>5057.11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531.42</v>
      </c>
      <c r="F53" s="9" t="n"/>
      <c r="G53" s="18" t="n">
        <v>-1725.69</v>
      </c>
      <c r="H53" s="18" t="n">
        <v>-1912.15</v>
      </c>
      <c r="I53" s="18" t="n">
        <v>365.27</v>
      </c>
      <c r="J53" s="18" t="n">
        <v>-6613.06</v>
      </c>
      <c r="K53" s="37" t="n">
        <v>-9885.629999999999</v>
      </c>
      <c r="L53" s="18" t="n">
        <v>-930.71</v>
      </c>
      <c r="M53" s="18" t="n">
        <v>266.94</v>
      </c>
      <c r="N53" s="18" t="n">
        <v>1720</v>
      </c>
      <c r="O53" s="18" t="n">
        <v>2678.21</v>
      </c>
      <c r="P53" s="37" t="n">
        <v>3734.44</v>
      </c>
      <c r="Q53" s="18" t="n">
        <v>2378.05</v>
      </c>
      <c r="R53" s="18" t="n">
        <v>3061.89</v>
      </c>
      <c r="S53" s="18" t="n">
        <v>2915.12</v>
      </c>
      <c r="T53" s="18" t="n">
        <v>7331.24</v>
      </c>
      <c r="U53" s="37" t="n">
        <v>15686.3</v>
      </c>
      <c r="V53" s="18" t="n">
        <v>5710.93</v>
      </c>
      <c r="W53" s="18" t="n">
        <v>5782.07</v>
      </c>
      <c r="X53" s="18" t="n">
        <v>7743.34</v>
      </c>
      <c r="Y53" s="18" t="n">
        <v>7824.14</v>
      </c>
      <c r="Z53" s="37" t="n">
        <v>27060.48</v>
      </c>
      <c r="AA53" s="18" t="n">
        <v>6274.2</v>
      </c>
      <c r="AB53" s="19" t="n">
        <v>7559.16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기타영업외수익</t>
        </is>
      </c>
      <c r="E54" s="18" t="n">
        <v>79.11</v>
      </c>
      <c r="F54" s="9" t="n"/>
      <c r="G54" s="18" t="n">
        <v>165.16</v>
      </c>
      <c r="H54" s="18" t="n">
        <v>117.17</v>
      </c>
      <c r="I54" s="18" t="n">
        <v>172.53</v>
      </c>
      <c r="J54" s="18" t="n">
        <v>166.44</v>
      </c>
      <c r="K54" s="37" t="n">
        <v>621.3</v>
      </c>
      <c r="L54" s="18" t="n">
        <v>309.79</v>
      </c>
      <c r="M54" s="18" t="n">
        <v>176.41</v>
      </c>
      <c r="N54" s="18" t="n">
        <v>356.42</v>
      </c>
      <c r="O54" s="18" t="n">
        <v>218.39</v>
      </c>
      <c r="P54" s="37" t="n">
        <v>1061.01</v>
      </c>
      <c r="Q54" s="18" t="n">
        <v>184.46</v>
      </c>
      <c r="R54" s="18" t="n">
        <v>298.71</v>
      </c>
      <c r="S54" s="18" t="n">
        <v>203.08</v>
      </c>
      <c r="T54" s="18" t="n">
        <v>226.13</v>
      </c>
      <c r="U54" s="37" t="n">
        <v>912.38</v>
      </c>
      <c r="V54" s="18" t="n">
        <v>634.87</v>
      </c>
      <c r="W54" s="18" t="n">
        <v>366</v>
      </c>
      <c r="X54" s="18" t="n">
        <v>690.73</v>
      </c>
      <c r="Y54" s="18" t="n">
        <v>726.29</v>
      </c>
      <c r="Z54" s="37" t="n">
        <v>2417.89</v>
      </c>
      <c r="AA54" s="18" t="n">
        <v>258.7</v>
      </c>
      <c r="AB54" s="19" t="n">
        <v>274.29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기타영업외비용</t>
        </is>
      </c>
      <c r="E55" s="18" t="n">
        <v>17.83</v>
      </c>
      <c r="F55" s="9" t="n"/>
      <c r="G55" s="18" t="n">
        <v>1.85</v>
      </c>
      <c r="H55" s="18" t="n">
        <v>43.95</v>
      </c>
      <c r="I55" s="18" t="n">
        <v>2.35</v>
      </c>
      <c r="J55" s="18" t="n">
        <v>365.85</v>
      </c>
      <c r="K55" s="37" t="n">
        <v>414</v>
      </c>
      <c r="L55" s="18" t="n">
        <v>4.22</v>
      </c>
      <c r="M55" s="18" t="n">
        <v>501.53</v>
      </c>
      <c r="N55" s="18" t="n">
        <v>2.85</v>
      </c>
      <c r="O55" s="18" t="n">
        <v>547.01</v>
      </c>
      <c r="P55" s="37" t="n">
        <v>1055.61</v>
      </c>
      <c r="Q55" s="18" t="n">
        <v>1.89</v>
      </c>
      <c r="R55" s="18" t="n">
        <v>36.76</v>
      </c>
      <c r="S55" s="18" t="n">
        <v>-13.38</v>
      </c>
      <c r="T55" s="18" t="n">
        <v>-5.08</v>
      </c>
      <c r="U55" s="37" t="n">
        <v>20.19</v>
      </c>
      <c r="V55" s="18" t="n">
        <v>38.95</v>
      </c>
      <c r="W55" s="18" t="n">
        <v>435.88</v>
      </c>
      <c r="X55" s="18" t="n">
        <v>-1.56</v>
      </c>
      <c r="Y55" s="18" t="n">
        <v>-314.19</v>
      </c>
      <c r="Z55" s="37" t="n">
        <v>159.08</v>
      </c>
      <c r="AA55" s="18" t="n">
        <v>3.43</v>
      </c>
      <c r="AB55" s="19" t="n">
        <v>26.62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금융수익</t>
        </is>
      </c>
      <c r="E56" s="18" t="n">
        <v>1758.44</v>
      </c>
      <c r="F56" s="9" t="n"/>
      <c r="G56" s="18" t="n">
        <v>745.51</v>
      </c>
      <c r="H56" s="18" t="n">
        <v>1590.89</v>
      </c>
      <c r="I56" s="18" t="n">
        <v>2689.87</v>
      </c>
      <c r="J56" s="18" t="n">
        <v>-413.83</v>
      </c>
      <c r="K56" s="37" t="n">
        <v>4612.44</v>
      </c>
      <c r="L56" s="18" t="n">
        <v>3004.21</v>
      </c>
      <c r="M56" s="18" t="n">
        <v>1359.21</v>
      </c>
      <c r="N56" s="18" t="n">
        <v>1757.84</v>
      </c>
      <c r="O56" s="18" t="n">
        <v>1730.32</v>
      </c>
      <c r="P56" s="37" t="n">
        <v>7851.58</v>
      </c>
      <c r="Q56" s="18" t="n">
        <v>2374.1</v>
      </c>
      <c r="R56" s="18" t="n">
        <v>1965.52</v>
      </c>
      <c r="S56" s="18" t="n">
        <v>471.25</v>
      </c>
      <c r="T56" s="18" t="n">
        <v>4476.67</v>
      </c>
      <c r="U56" s="37" t="n">
        <v>9287.540000000001</v>
      </c>
      <c r="V56" s="18" t="n">
        <v>1160.91</v>
      </c>
      <c r="W56" s="18" t="n">
        <v>1143.52</v>
      </c>
      <c r="X56" s="18" t="n">
        <v>1130.23</v>
      </c>
      <c r="Y56" s="18" t="n">
        <v>1471.3</v>
      </c>
      <c r="Z56" s="37" t="n">
        <v>4905.96</v>
      </c>
      <c r="AA56" s="18" t="n">
        <v>3106.81</v>
      </c>
      <c r="AB56" s="19" t="n">
        <v>2215.93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금융비용</t>
        </is>
      </c>
      <c r="E57" s="18" t="n">
        <v>141.59</v>
      </c>
      <c r="F57" s="9" t="n"/>
      <c r="G57" s="18" t="n">
        <v>1218.39</v>
      </c>
      <c r="H57" s="18" t="n">
        <v>1921.66</v>
      </c>
      <c r="I57" s="18" t="n">
        <v>844.5599999999999</v>
      </c>
      <c r="J57" s="18" t="n">
        <v>2268.05</v>
      </c>
      <c r="K57" s="37" t="n">
        <v>6252.66</v>
      </c>
      <c r="L57" s="18" t="n">
        <v>265.84</v>
      </c>
      <c r="M57" s="18" t="n">
        <v>273.59</v>
      </c>
      <c r="N57" s="18" t="n">
        <v>88.41</v>
      </c>
      <c r="O57" s="18" t="n">
        <v>1161.81</v>
      </c>
      <c r="P57" s="37" t="n">
        <v>1789.65</v>
      </c>
      <c r="Q57" s="18" t="n">
        <v>357.38</v>
      </c>
      <c r="R57" s="18" t="n">
        <v>142.15</v>
      </c>
      <c r="S57" s="18" t="n">
        <v>647.28</v>
      </c>
      <c r="T57" s="18" t="n">
        <v>527.76</v>
      </c>
      <c r="U57" s="37" t="n">
        <v>1674.57</v>
      </c>
      <c r="V57" s="18" t="n">
        <v>294.34</v>
      </c>
      <c r="W57" s="18" t="n">
        <v>2754.1</v>
      </c>
      <c r="X57" s="18" t="n">
        <v>-772.51</v>
      </c>
      <c r="Y57" s="18" t="n">
        <v>1487.71</v>
      </c>
      <c r="Z57" s="37" t="n">
        <v>3763.64</v>
      </c>
      <c r="AA57" s="18" t="n">
        <v>396.7</v>
      </c>
      <c r="AB57" s="19" t="n">
        <v>414.71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2209.55</v>
      </c>
      <c r="F58" s="9" t="n"/>
      <c r="G58" s="18" t="n">
        <v>-2035.26</v>
      </c>
      <c r="H58" s="18" t="n">
        <v>-2169.71</v>
      </c>
      <c r="I58" s="18" t="n">
        <v>2380.77</v>
      </c>
      <c r="J58" s="18" t="n">
        <v>-9494.35</v>
      </c>
      <c r="K58" s="37" t="n">
        <v>-11318.55</v>
      </c>
      <c r="L58" s="18" t="n">
        <v>2121.66</v>
      </c>
      <c r="M58" s="18" t="n">
        <v>1027.43</v>
      </c>
      <c r="N58" s="18" t="n">
        <v>3743</v>
      </c>
      <c r="O58" s="18" t="n">
        <v>2918.09</v>
      </c>
      <c r="P58" s="37" t="n">
        <v>9810.18</v>
      </c>
      <c r="Q58" s="18" t="n">
        <v>4577.35</v>
      </c>
      <c r="R58" s="18" t="n">
        <v>5147.21</v>
      </c>
      <c r="S58" s="18" t="n">
        <v>2955.55</v>
      </c>
      <c r="T58" s="18" t="n">
        <v>11511.36</v>
      </c>
      <c r="U58" s="37" t="n">
        <v>24191.47</v>
      </c>
      <c r="V58" s="18" t="n">
        <v>7173.42</v>
      </c>
      <c r="W58" s="18" t="n">
        <v>4973.36</v>
      </c>
      <c r="X58" s="18" t="n">
        <v>10335.24</v>
      </c>
      <c r="Y58" s="18" t="n">
        <v>8057.49</v>
      </c>
      <c r="Z58" s="37" t="n">
        <v>30539.51</v>
      </c>
      <c r="AA58" s="18" t="n">
        <v>9239.57</v>
      </c>
      <c r="AB58" s="19" t="n">
        <v>9608.059999999999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-208.3</v>
      </c>
      <c r="F59" s="9" t="n"/>
      <c r="G59" s="18" t="n">
        <v>-426.36</v>
      </c>
      <c r="H59" s="18" t="n">
        <v>-1270.07</v>
      </c>
      <c r="I59" s="18" t="n">
        <v>499.01</v>
      </c>
      <c r="J59" s="18" t="n">
        <v>-2624.79</v>
      </c>
      <c r="K59" s="37" t="n">
        <v>-3822.21</v>
      </c>
      <c r="L59" s="18" t="n">
        <v>411.75</v>
      </c>
      <c r="M59" s="18" t="n">
        <v>62.87</v>
      </c>
      <c r="N59" s="18" t="n">
        <v>749.85</v>
      </c>
      <c r="O59" s="18" t="n">
        <v>206.94</v>
      </c>
      <c r="P59" s="37" t="n">
        <v>1431.41</v>
      </c>
      <c r="Q59" s="18" t="n">
        <v>884.23</v>
      </c>
      <c r="R59" s="18" t="n">
        <v>949.2</v>
      </c>
      <c r="S59" s="18" t="n">
        <v>427.64</v>
      </c>
      <c r="T59" s="18" t="n">
        <v>2330.9</v>
      </c>
      <c r="U59" s="37" t="n">
        <v>4591.97</v>
      </c>
      <c r="V59" s="18" t="n">
        <v>1431.51</v>
      </c>
      <c r="W59" s="18" t="n">
        <v>538.98</v>
      </c>
      <c r="X59" s="18" t="n">
        <v>2264.86</v>
      </c>
      <c r="Y59" s="18" t="n">
        <v>1514.78</v>
      </c>
      <c r="Z59" s="37" t="n">
        <v>5750.13</v>
      </c>
      <c r="AA59" s="18" t="n">
        <v>1971.25</v>
      </c>
      <c r="AB59" s="19" t="n">
        <v>1943.64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2417.85</v>
      </c>
      <c r="F60" s="9" t="n"/>
      <c r="G60" s="18" t="n">
        <v>-1608.9</v>
      </c>
      <c r="H60" s="18" t="n">
        <v>-899.64</v>
      </c>
      <c r="I60" s="18" t="n">
        <v>1881.75</v>
      </c>
      <c r="J60" s="18" t="n">
        <v>-6869.56</v>
      </c>
      <c r="K60" s="37" t="n">
        <v>-7496.35</v>
      </c>
      <c r="L60" s="18" t="n">
        <v>1709.92</v>
      </c>
      <c r="M60" s="18" t="n">
        <v>964.5599999999999</v>
      </c>
      <c r="N60" s="18" t="n">
        <v>2993.16</v>
      </c>
      <c r="O60" s="18" t="n">
        <v>2711.16</v>
      </c>
      <c r="P60" s="37" t="n">
        <v>8378.799999999999</v>
      </c>
      <c r="Q60" s="18" t="n">
        <v>3693.11</v>
      </c>
      <c r="R60" s="18" t="n">
        <v>4198.01</v>
      </c>
      <c r="S60" s="18" t="n">
        <v>2527.91</v>
      </c>
      <c r="T60" s="18" t="n">
        <v>9180.459999999999</v>
      </c>
      <c r="U60" s="37" t="n">
        <v>19599.49</v>
      </c>
      <c r="V60" s="18" t="n">
        <v>5741.91</v>
      </c>
      <c r="W60" s="18" t="n">
        <v>4434.38</v>
      </c>
      <c r="X60" s="18" t="n">
        <v>8070.38</v>
      </c>
      <c r="Y60" s="18" t="n">
        <v>6542.72</v>
      </c>
      <c r="Z60" s="37" t="n">
        <v>24789.39</v>
      </c>
      <c r="AA60" s="18" t="n">
        <v>7268.32</v>
      </c>
      <c r="AB60" s="19" t="n">
        <v>7664.42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2588.24</v>
      </c>
      <c r="F61" s="9" t="n"/>
      <c r="G61" s="18" t="n">
        <v>-1689.76</v>
      </c>
      <c r="H61" s="18" t="n">
        <v>-812.6900000000001</v>
      </c>
      <c r="I61" s="18" t="n">
        <v>2022.82</v>
      </c>
      <c r="J61" s="18" t="n">
        <v>-6874.11</v>
      </c>
      <c r="K61" s="37" t="n">
        <v>-7353.74</v>
      </c>
      <c r="L61" s="18" t="n">
        <v>1614.17</v>
      </c>
      <c r="M61" s="18" t="n">
        <v>951.9</v>
      </c>
      <c r="N61" s="18" t="n">
        <v>2993.16</v>
      </c>
      <c r="O61" s="18" t="n">
        <v>2559</v>
      </c>
      <c r="P61" s="37" t="n">
        <v>8118.23</v>
      </c>
      <c r="Q61" s="18" t="n">
        <v>3693.11</v>
      </c>
      <c r="R61" s="18" t="n">
        <v>4300.31</v>
      </c>
      <c r="S61" s="18" t="n">
        <v>2527.91</v>
      </c>
      <c r="T61" s="18" t="n">
        <v>8980.6</v>
      </c>
      <c r="U61" s="37" t="n">
        <v>19501.93</v>
      </c>
      <c r="V61" s="18" t="n">
        <v>5741.91</v>
      </c>
      <c r="W61" s="18" t="n">
        <v>4279.86</v>
      </c>
      <c r="X61" s="18" t="n">
        <v>8070.38</v>
      </c>
      <c r="Y61" s="18" t="n">
        <v>6403.63</v>
      </c>
      <c r="Z61" s="37" t="n">
        <v>24495.78</v>
      </c>
      <c r="AA61" s="18" t="n">
        <v>7268.32</v>
      </c>
      <c r="AB61" s="19" t="n">
        <v>7663.55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(지배주주지분)당기순이익</t>
        </is>
      </c>
      <c r="E62" s="18" t="n">
        <v>2417.85</v>
      </c>
      <c r="F62" s="9" t="n"/>
      <c r="G62" s="18" t="n">
        <v>-1608.9</v>
      </c>
      <c r="H62" s="18" t="n">
        <v>-899.64</v>
      </c>
      <c r="I62" s="18" t="n">
        <v>1881.75</v>
      </c>
      <c r="J62" s="18" t="n">
        <v>-6869.56</v>
      </c>
      <c r="K62" s="37" t="n">
        <v>-7496.35</v>
      </c>
      <c r="L62" s="18" t="n">
        <v>1709.92</v>
      </c>
      <c r="M62" s="18" t="n">
        <v>964.5599999999999</v>
      </c>
      <c r="N62" s="18" t="n">
        <v>2993.16</v>
      </c>
      <c r="O62" s="18" t="n">
        <v>2711.16</v>
      </c>
      <c r="P62" s="37" t="n">
        <v>8378.799999999999</v>
      </c>
      <c r="Q62" s="18" t="n">
        <v>3693.11</v>
      </c>
      <c r="R62" s="18" t="n">
        <v>4198.01</v>
      </c>
      <c r="S62" s="18" t="n">
        <v>2527.91</v>
      </c>
      <c r="T62" s="18" t="n">
        <v>9180.459999999999</v>
      </c>
      <c r="U62" s="37" t="n">
        <v>19599.49</v>
      </c>
      <c r="V62" s="18" t="n">
        <v>5741.91</v>
      </c>
      <c r="W62" s="18" t="n">
        <v>4434.38</v>
      </c>
      <c r="X62" s="18" t="n">
        <v>8070.38</v>
      </c>
      <c r="Y62" s="18" t="n">
        <v>6542.72</v>
      </c>
      <c r="Z62" s="37" t="n">
        <v>24789.39</v>
      </c>
      <c r="AA62" s="18" t="n">
        <v>7268.32</v>
      </c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1616.85</v>
      </c>
      <c r="F63" s="9" t="n"/>
      <c r="G63" s="18" t="n">
        <v>-472.88</v>
      </c>
      <c r="H63" s="18" t="n">
        <v>-330.77</v>
      </c>
      <c r="I63" s="18" t="n">
        <v>1845.31</v>
      </c>
      <c r="J63" s="18" t="n">
        <v>-2681.88</v>
      </c>
      <c r="K63" s="37" t="n">
        <v>-1640.22</v>
      </c>
      <c r="L63" s="18" t="n">
        <v>2738.37</v>
      </c>
      <c r="M63" s="18" t="n">
        <v>1085.62</v>
      </c>
      <c r="N63" s="18" t="n">
        <v>1669.43</v>
      </c>
      <c r="O63" s="18" t="n">
        <v>568.51</v>
      </c>
      <c r="P63" s="37" t="n">
        <v>6061.93</v>
      </c>
      <c r="Q63" s="18" t="n">
        <v>2016.72</v>
      </c>
      <c r="R63" s="18" t="n">
        <v>1823.37</v>
      </c>
      <c r="S63" s="18" t="n">
        <v>-176.03</v>
      </c>
      <c r="T63" s="18" t="n">
        <v>3948.91</v>
      </c>
      <c r="U63" s="37" t="n">
        <v>7612.97</v>
      </c>
      <c r="V63" s="18" t="n">
        <v>866.5700000000001</v>
      </c>
      <c r="W63" s="18" t="n">
        <v>-1610.58</v>
      </c>
      <c r="X63" s="18" t="n">
        <v>1902.74</v>
      </c>
      <c r="Y63" s="18" t="n">
        <v>-16.41</v>
      </c>
      <c r="Z63" s="37" t="n">
        <v>1142.32</v>
      </c>
      <c r="AA63" s="18" t="n">
        <v>2710.11</v>
      </c>
      <c r="AB63" s="19" t="n">
        <v>1801.22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61.28</v>
      </c>
      <c r="F64" s="9" t="n"/>
      <c r="G64" s="18" t="n">
        <v>163.31</v>
      </c>
      <c r="H64" s="18" t="n">
        <v>73.22</v>
      </c>
      <c r="I64" s="18" t="n">
        <v>170.18</v>
      </c>
      <c r="J64" s="18" t="n">
        <v>-199.41</v>
      </c>
      <c r="K64" s="37" t="n">
        <v>207.3</v>
      </c>
      <c r="L64" s="18" t="n">
        <v>305.57</v>
      </c>
      <c r="M64" s="18" t="n">
        <v>-325.12</v>
      </c>
      <c r="N64" s="18" t="n">
        <v>353.57</v>
      </c>
      <c r="O64" s="18" t="n">
        <v>-328.62</v>
      </c>
      <c r="P64" s="37" t="n">
        <v>5.4</v>
      </c>
      <c r="Q64" s="18" t="n">
        <v>182.57</v>
      </c>
      <c r="R64" s="18" t="n">
        <v>261.95</v>
      </c>
      <c r="S64" s="18" t="n">
        <v>216.46</v>
      </c>
      <c r="T64" s="18" t="n">
        <v>231.21</v>
      </c>
      <c r="U64" s="37" t="n">
        <v>892.1900000000001</v>
      </c>
      <c r="V64" s="18" t="n">
        <v>595.92</v>
      </c>
      <c r="W64" s="18" t="n">
        <v>-69.88</v>
      </c>
      <c r="X64" s="18" t="n">
        <v>692.29</v>
      </c>
      <c r="Y64" s="18" t="n">
        <v>1040.48</v>
      </c>
      <c r="Z64" s="37" t="n">
        <v>2258.81</v>
      </c>
      <c r="AA64" s="18" t="n">
        <v>255.27</v>
      </c>
      <c r="AB64" s="19" t="n">
        <v>247.67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2417.85</v>
      </c>
      <c r="F65" s="9" t="n"/>
      <c r="G65" s="18" t="n">
        <v>-1608.9</v>
      </c>
      <c r="H65" s="18" t="n">
        <v>-899.64</v>
      </c>
      <c r="I65" s="18" t="n">
        <v>1881.75</v>
      </c>
      <c r="J65" s="18" t="n">
        <v>-6869.56</v>
      </c>
      <c r="K65" s="37" t="n">
        <v>-7496.35</v>
      </c>
      <c r="L65" s="18" t="n">
        <v>1709.92</v>
      </c>
      <c r="M65" s="18" t="n">
        <v>964.5599999999999</v>
      </c>
      <c r="N65" s="18" t="n">
        <v>2993.16</v>
      </c>
      <c r="O65" s="18" t="n">
        <v>2711.16</v>
      </c>
      <c r="P65" s="37" t="n">
        <v>8378.799999999999</v>
      </c>
      <c r="Q65" s="18" t="n">
        <v>3693.11</v>
      </c>
      <c r="R65" s="18" t="n">
        <v>4198.01</v>
      </c>
      <c r="S65" s="18" t="n">
        <v>2527.91</v>
      </c>
      <c r="T65" s="18" t="n">
        <v>9180.459999999999</v>
      </c>
      <c r="U65" s="37" t="n">
        <v>19599.49</v>
      </c>
      <c r="V65" s="18" t="n">
        <v>5741.91</v>
      </c>
      <c r="W65" s="18" t="n">
        <v>4434.38</v>
      </c>
      <c r="X65" s="18" t="n">
        <v>8070.38</v>
      </c>
      <c r="Y65" s="18" t="n">
        <v>6542.72</v>
      </c>
      <c r="Z65" s="37" t="n">
        <v>24789.39</v>
      </c>
      <c r="AA65" s="18" t="n">
        <v>7268.32</v>
      </c>
      <c r="AB65" s="19" t="n">
        <v>7664.42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이자수익</t>
        </is>
      </c>
      <c r="F66" s="9" t="n"/>
      <c r="G66" s="18" t="n">
        <v>412.62</v>
      </c>
      <c r="K66" s="9" t="n"/>
      <c r="L66" s="18" t="n">
        <v>761.67</v>
      </c>
      <c r="P66" s="9" t="n"/>
      <c r="Q66" s="18" t="n">
        <v>1077.16</v>
      </c>
      <c r="U66" s="9" t="n"/>
      <c r="V66" s="18" t="n">
        <v>733.36</v>
      </c>
      <c r="W66" s="18" t="n">
        <v>799.23</v>
      </c>
      <c r="Z66" s="9" t="n"/>
      <c r="AB66" s="19" t="n">
        <v>801.8200000000001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F67" s="9" t="n"/>
      <c r="G67" s="18" t="n">
        <v>4.49</v>
      </c>
      <c r="K67" s="9" t="n"/>
      <c r="L67" s="18" t="n">
        <v>3.51</v>
      </c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이자손익</t>
        </is>
      </c>
      <c r="F68" s="9" t="n"/>
      <c r="G68" s="18" t="n">
        <v>408.13</v>
      </c>
      <c r="K68" s="9" t="n"/>
      <c r="L68" s="18" t="n">
        <v>758.16</v>
      </c>
      <c r="P68" s="9" t="n"/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F69" s="9" t="n"/>
      <c r="K69" s="9" t="n"/>
      <c r="P69" s="9" t="n"/>
      <c r="U69" s="9" t="n"/>
      <c r="Z69" s="9" t="n"/>
      <c r="AA69" s="18" t="n">
        <v>0</v>
      </c>
      <c r="AB69" s="19" t="n">
        <v>0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-2021.08</v>
      </c>
      <c r="F70" s="9" t="n"/>
      <c r="G70" s="18" t="n">
        <v>-2106.41</v>
      </c>
      <c r="H70" s="18" t="n">
        <v>-1064.97</v>
      </c>
      <c r="I70" s="18" t="n">
        <v>3475.43</v>
      </c>
      <c r="J70" s="18" t="n">
        <v>1252.2</v>
      </c>
      <c r="K70" s="37" t="n">
        <v>1556.25</v>
      </c>
      <c r="L70" s="18" t="n">
        <v>-1921.42</v>
      </c>
      <c r="M70" s="18" t="n">
        <v>10344.92</v>
      </c>
      <c r="N70" s="18" t="n">
        <v>-5291.58</v>
      </c>
      <c r="O70" s="18" t="n">
        <v>20819.54</v>
      </c>
      <c r="P70" s="37" t="n">
        <v>23951.46</v>
      </c>
      <c r="Q70" s="18" t="n">
        <v>-5922.09</v>
      </c>
      <c r="R70" s="18" t="n">
        <v>852.4299999999999</v>
      </c>
      <c r="S70" s="18" t="n">
        <v>2627.91</v>
      </c>
      <c r="T70" s="18" t="n">
        <v>-1822.15</v>
      </c>
      <c r="U70" s="37" t="n">
        <v>-4263.9</v>
      </c>
      <c r="V70" s="18" t="n">
        <v>-684.3200000000001</v>
      </c>
      <c r="W70" s="18" t="n">
        <v>5477.81</v>
      </c>
      <c r="X70" s="18" t="n">
        <v>-1425.65</v>
      </c>
      <c r="Y70" s="18" t="n">
        <v>12197.11</v>
      </c>
      <c r="Z70" s="37" t="n">
        <v>15564.95</v>
      </c>
      <c r="AA70" s="18" t="n">
        <v>-1071.33</v>
      </c>
      <c r="AB70" s="19" t="n">
        <v>13163.98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감가상각비</t>
        </is>
      </c>
      <c r="E71" s="18" t="n">
        <v>873.66</v>
      </c>
      <c r="F71" s="9" t="n"/>
      <c r="G71" s="18" t="n">
        <v>890.37</v>
      </c>
      <c r="H71" s="18" t="n">
        <v>935.65</v>
      </c>
      <c r="I71" s="18" t="n">
        <v>909.11</v>
      </c>
      <c r="J71" s="18" t="n">
        <v>903.46</v>
      </c>
      <c r="K71" s="37" t="n">
        <v>3638.59</v>
      </c>
      <c r="L71" s="18" t="n">
        <v>1018.41</v>
      </c>
      <c r="M71" s="18" t="n">
        <v>1026</v>
      </c>
      <c r="P71" s="9" t="n"/>
      <c r="S71" s="18" t="n">
        <v>1274.43</v>
      </c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무형자산상각비</t>
        </is>
      </c>
      <c r="E72" s="18" t="n">
        <v>286.54</v>
      </c>
      <c r="F72" s="9" t="n"/>
      <c r="G72" s="18" t="n">
        <v>64.31</v>
      </c>
      <c r="H72" s="18" t="n">
        <v>64.67</v>
      </c>
      <c r="I72" s="18" t="n">
        <v>70.65000000000001</v>
      </c>
      <c r="J72" s="18" t="n">
        <v>71.55</v>
      </c>
      <c r="K72" s="37" t="n">
        <v>271.18</v>
      </c>
      <c r="L72" s="18" t="n">
        <v>66.23999999999999</v>
      </c>
      <c r="M72" s="18" t="n">
        <v>69.7</v>
      </c>
      <c r="P72" s="9" t="n"/>
      <c r="S72" s="18" t="n">
        <v>24.42</v>
      </c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배당금수취(CF)</t>
        </is>
      </c>
      <c r="E73" s="18" t="n">
        <v>24.13</v>
      </c>
      <c r="F73" s="9" t="n"/>
      <c r="G73" s="18" t="n">
        <v>0</v>
      </c>
      <c r="H73" s="18" t="n">
        <v>0.16</v>
      </c>
      <c r="I73" s="18" t="n">
        <v>0</v>
      </c>
      <c r="J73" s="18" t="n">
        <v>0</v>
      </c>
      <c r="K73" s="37" t="n">
        <v>0.16</v>
      </c>
      <c r="N73" s="18" t="n">
        <v>0</v>
      </c>
      <c r="O73" s="18" t="n">
        <v>0</v>
      </c>
      <c r="P73" s="9" t="n"/>
      <c r="U73" s="9" t="n"/>
      <c r="V73" s="18" t="n">
        <v>0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법인세납부(CF)</t>
        </is>
      </c>
      <c r="E74" s="18" t="n">
        <v>380.97</v>
      </c>
      <c r="F74" s="9" t="n"/>
      <c r="G74" s="18" t="n">
        <v>-51.17</v>
      </c>
      <c r="H74" s="18" t="n">
        <v>1078.28</v>
      </c>
      <c r="I74" s="18" t="n">
        <v>-4.15</v>
      </c>
      <c r="J74" s="18" t="n">
        <v>178.33</v>
      </c>
      <c r="K74" s="37" t="n">
        <v>1201.29</v>
      </c>
      <c r="L74" s="18" t="n">
        <v>-162.56</v>
      </c>
      <c r="M74" s="18" t="n">
        <v>161.75</v>
      </c>
      <c r="N74" s="18" t="n">
        <v>-122.81</v>
      </c>
      <c r="O74" s="18" t="n">
        <v>-130.4</v>
      </c>
      <c r="P74" s="37" t="n">
        <v>-254.02</v>
      </c>
      <c r="Q74" s="18" t="n">
        <v>-143.69</v>
      </c>
      <c r="R74" s="18" t="n">
        <v>-139.11</v>
      </c>
      <c r="S74" s="18" t="n">
        <v>-130.96</v>
      </c>
      <c r="T74" s="18" t="n">
        <v>-134.36</v>
      </c>
      <c r="U74" s="37" t="n">
        <v>-548.12</v>
      </c>
      <c r="V74" s="18" t="n">
        <v>-1463.8</v>
      </c>
      <c r="W74" s="18" t="n">
        <v>-1662.06</v>
      </c>
      <c r="X74" s="18" t="n">
        <v>-910.35</v>
      </c>
      <c r="Y74" s="18" t="n">
        <v>-692.9299999999999</v>
      </c>
      <c r="Z74" s="37" t="n">
        <v>-4729.14</v>
      </c>
      <c r="AA74" s="18" t="n">
        <v>-2628.39</v>
      </c>
      <c r="AB74" s="19" t="n">
        <v>-3268.93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투자활동으로인한현금흐름</t>
        </is>
      </c>
      <c r="E75" s="18" t="n">
        <v>-9118.129999999999</v>
      </c>
      <c r="F75" s="9" t="n"/>
      <c r="G75" s="18" t="n">
        <v>-8931.379999999999</v>
      </c>
      <c r="H75" s="18" t="n">
        <v>-1454.67</v>
      </c>
      <c r="I75" s="18" t="n">
        <v>-1729.73</v>
      </c>
      <c r="J75" s="18" t="n">
        <v>-1660.56</v>
      </c>
      <c r="K75" s="37" t="n">
        <v>-13776.34</v>
      </c>
      <c r="L75" s="18" t="n">
        <v>-1998.76</v>
      </c>
      <c r="M75" s="18" t="n">
        <v>-4132.58</v>
      </c>
      <c r="N75" s="18" t="n">
        <v>-6298.03</v>
      </c>
      <c r="O75" s="18" t="n">
        <v>-3875.81</v>
      </c>
      <c r="P75" s="37" t="n">
        <v>-16305.18</v>
      </c>
      <c r="Q75" s="18" t="n">
        <v>-2651.72</v>
      </c>
      <c r="R75" s="18" t="n">
        <v>-2828.43</v>
      </c>
      <c r="S75" s="18" t="n">
        <v>-790.13</v>
      </c>
      <c r="T75" s="18" t="n">
        <v>-2556.5</v>
      </c>
      <c r="U75" s="37" t="n">
        <v>-8826.780000000001</v>
      </c>
      <c r="V75" s="18" t="n">
        <v>1089.33</v>
      </c>
      <c r="W75" s="18" t="n">
        <v>-3797.75</v>
      </c>
      <c r="X75" s="18" t="n">
        <v>-1999.43</v>
      </c>
      <c r="Y75" s="18" t="n">
        <v>-1251.82</v>
      </c>
      <c r="Z75" s="37" t="n">
        <v>-5959.67</v>
      </c>
      <c r="AA75" s="18" t="n">
        <v>-1962.85</v>
      </c>
      <c r="AB75" s="19" t="n">
        <v>-8154.67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유형자산의감소</t>
        </is>
      </c>
      <c r="E76" s="18" t="n">
        <v>31.27</v>
      </c>
      <c r="F76" s="9" t="n"/>
      <c r="G76" s="18" t="n">
        <v>493.39</v>
      </c>
      <c r="H76" s="18" t="n">
        <v>52.65</v>
      </c>
      <c r="J76" s="18" t="n">
        <v>3.63</v>
      </c>
      <c r="K76" s="9" t="n"/>
      <c r="L76" s="18" t="n">
        <v>0</v>
      </c>
      <c r="M76" s="18" t="n">
        <v>15.23</v>
      </c>
      <c r="N76" s="18" t="n">
        <v>100.2</v>
      </c>
      <c r="O76" s="18" t="n">
        <v>7.69</v>
      </c>
      <c r="P76" s="37" t="n">
        <v>123.12</v>
      </c>
      <c r="Q76" s="18" t="n">
        <v>1</v>
      </c>
      <c r="R76" s="18" t="n">
        <v>15.37</v>
      </c>
      <c r="S76" s="18" t="n">
        <v>3.15</v>
      </c>
      <c r="T76" s="18" t="n">
        <v>0</v>
      </c>
      <c r="U76" s="37" t="n">
        <v>19.52</v>
      </c>
      <c r="V76" s="18" t="n">
        <v>2.73</v>
      </c>
      <c r="W76" s="18" t="n">
        <v>5.28</v>
      </c>
      <c r="X76" s="18" t="n">
        <v>0.34</v>
      </c>
      <c r="Y76" s="18" t="n">
        <v>6.48</v>
      </c>
      <c r="Z76" s="37" t="n">
        <v>14.83</v>
      </c>
      <c r="AA76" s="18" t="n">
        <v>3.7</v>
      </c>
      <c r="AB76" s="19" t="n">
        <v>1.46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4117.28</v>
      </c>
      <c r="F77" s="9" t="n"/>
      <c r="G77" s="18" t="n">
        <v>4224.3</v>
      </c>
      <c r="H77" s="18" t="n">
        <v>1707.59</v>
      </c>
      <c r="I77" s="18" t="n">
        <v>1377.17</v>
      </c>
      <c r="J77" s="18" t="n">
        <v>593.84</v>
      </c>
      <c r="K77" s="37" t="n">
        <v>7902.9</v>
      </c>
      <c r="L77" s="18" t="n">
        <v>478.92</v>
      </c>
      <c r="M77" s="18" t="n">
        <v>4775.9</v>
      </c>
      <c r="N77" s="18" t="n">
        <v>3064.44</v>
      </c>
      <c r="O77" s="18" t="n">
        <v>2557.4</v>
      </c>
      <c r="P77" s="37" t="n">
        <v>10876.66</v>
      </c>
      <c r="Q77" s="18" t="n">
        <v>360.45</v>
      </c>
      <c r="R77" s="18" t="n">
        <v>2282.96</v>
      </c>
      <c r="S77" s="18" t="n">
        <v>592.9400000000001</v>
      </c>
      <c r="T77" s="18" t="n">
        <v>1931.61</v>
      </c>
      <c r="U77" s="37" t="n">
        <v>5167.96</v>
      </c>
      <c r="V77" s="18" t="n">
        <v>1884.92</v>
      </c>
      <c r="W77" s="18" t="n">
        <v>3191.58</v>
      </c>
      <c r="X77" s="18" t="n">
        <v>1062.93</v>
      </c>
      <c r="Y77" s="18" t="n">
        <v>1099.92</v>
      </c>
      <c r="Z77" s="37" t="n">
        <v>7239.35</v>
      </c>
      <c r="AA77" s="18" t="n">
        <v>1585.4</v>
      </c>
      <c r="AB77" s="19" t="n">
        <v>7225.51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4117.28</v>
      </c>
      <c r="F78" s="9" t="n"/>
      <c r="G78" s="18" t="n">
        <v>4224.3</v>
      </c>
      <c r="H78" s="18" t="n">
        <v>1707.59</v>
      </c>
      <c r="I78" s="18" t="n">
        <v>1377.17</v>
      </c>
      <c r="J78" s="18" t="n">
        <v>593.84</v>
      </c>
      <c r="K78" s="37" t="n">
        <v>7902.9</v>
      </c>
      <c r="L78" s="18" t="n">
        <v>478.92</v>
      </c>
      <c r="M78" s="18" t="n">
        <v>4775.9</v>
      </c>
      <c r="N78" s="18" t="n">
        <v>3064.44</v>
      </c>
      <c r="O78" s="18" t="n">
        <v>2557.4</v>
      </c>
      <c r="P78" s="37" t="n">
        <v>10876.66</v>
      </c>
      <c r="Q78" s="18" t="n">
        <v>360.45</v>
      </c>
      <c r="R78" s="18" t="n">
        <v>2282.96</v>
      </c>
      <c r="S78" s="18" t="n">
        <v>592.9400000000001</v>
      </c>
      <c r="T78" s="18" t="n">
        <v>1931.61</v>
      </c>
      <c r="U78" s="37" t="n">
        <v>5167.96</v>
      </c>
      <c r="V78" s="18" t="n">
        <v>1884.92</v>
      </c>
      <c r="W78" s="18" t="n">
        <v>3665.39</v>
      </c>
      <c r="X78" s="18" t="n">
        <v>650.64</v>
      </c>
      <c r="Y78" s="18" t="n">
        <v>1038.4</v>
      </c>
      <c r="Z78" s="37" t="n">
        <v>7239.35</v>
      </c>
      <c r="AA78" s="18" t="n">
        <v>1585.4</v>
      </c>
      <c r="AB78" s="19" t="n">
        <v>7225.51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293.26</v>
      </c>
      <c r="F79" s="9" t="n"/>
      <c r="G79" s="18" t="n">
        <v>-53.22</v>
      </c>
      <c r="H79" s="18" t="n">
        <v>1885.67</v>
      </c>
      <c r="I79" s="18" t="n">
        <v>54.81</v>
      </c>
      <c r="J79" s="18" t="n">
        <v>37.69</v>
      </c>
      <c r="K79" s="37" t="n">
        <v>1924.95</v>
      </c>
      <c r="L79" s="18" t="n">
        <v>-52.06</v>
      </c>
      <c r="M79" s="18" t="n">
        <v>1631.23</v>
      </c>
      <c r="N79" s="18" t="n">
        <v>1437.69</v>
      </c>
      <c r="O79" s="18" t="n">
        <v>709.11</v>
      </c>
      <c r="P79" s="37" t="n">
        <v>3725.97</v>
      </c>
      <c r="Q79" s="18" t="n">
        <v>-34.18</v>
      </c>
      <c r="R79" s="18" t="n">
        <v>4797.94</v>
      </c>
      <c r="S79" s="18" t="n">
        <v>538.13</v>
      </c>
      <c r="T79" s="18" t="n">
        <v>2028.97</v>
      </c>
      <c r="U79" s="37" t="n">
        <v>7330.86</v>
      </c>
      <c r="V79" s="18" t="n">
        <v>2595.38</v>
      </c>
      <c r="W79" s="18" t="n">
        <v>-3627.7</v>
      </c>
      <c r="X79" s="18" t="n">
        <v>6048.52</v>
      </c>
      <c r="Y79" s="18" t="n">
        <v>-5809.48</v>
      </c>
      <c r="Z79" s="37" t="n">
        <v>-793.28</v>
      </c>
      <c r="AA79" s="18" t="n">
        <v>1716.66</v>
      </c>
      <c r="AB79" s="19" t="n">
        <v>-3594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-5.23</v>
      </c>
      <c r="F80" s="9" t="n"/>
      <c r="G80" s="18" t="n">
        <v>-4.49</v>
      </c>
      <c r="H80" s="18" t="n">
        <v>4.49</v>
      </c>
      <c r="I80" s="18" t="n">
        <v>-12.57</v>
      </c>
      <c r="J80" s="18" t="n">
        <v>-3.59</v>
      </c>
      <c r="K80" s="37" t="n">
        <v>-16.16</v>
      </c>
      <c r="L80" s="18" t="n">
        <v>-3.28</v>
      </c>
      <c r="M80" s="18" t="n">
        <v>-2.99</v>
      </c>
      <c r="N80" s="18" t="n">
        <v>-2.7</v>
      </c>
      <c r="O80" s="18" t="n">
        <v>-2.41</v>
      </c>
      <c r="P80" s="37" t="n">
        <v>-11.38</v>
      </c>
      <c r="Q80" s="18" t="n">
        <v>-2.11</v>
      </c>
      <c r="R80" s="18" t="n">
        <v>-1.82</v>
      </c>
      <c r="S80" s="18" t="n">
        <v>-1.52</v>
      </c>
      <c r="T80" s="18" t="n">
        <v>-3.41</v>
      </c>
      <c r="U80" s="37" t="n">
        <v>-8.859999999999999</v>
      </c>
      <c r="V80" s="18" t="n">
        <v>-1.44</v>
      </c>
      <c r="W80" s="18" t="n">
        <v>1.44</v>
      </c>
      <c r="X80" s="18" t="n">
        <v>0</v>
      </c>
      <c r="Y80" s="18" t="n">
        <v>0</v>
      </c>
      <c r="Z80" s="37" t="n">
        <v>0</v>
      </c>
      <c r="AA80" s="18" t="n">
        <v>0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리스부채의상환</t>
        </is>
      </c>
      <c r="E81" s="18" t="n">
        <v>53.91</v>
      </c>
      <c r="F81" s="9" t="n"/>
      <c r="G81" s="18" t="n">
        <v>48.72</v>
      </c>
      <c r="H81" s="18" t="n">
        <v>49</v>
      </c>
      <c r="I81" s="18" t="n">
        <v>49.3</v>
      </c>
      <c r="J81" s="18" t="n">
        <v>50.22</v>
      </c>
      <c r="K81" s="37" t="n">
        <v>197.24</v>
      </c>
      <c r="L81" s="18" t="n">
        <v>48.78</v>
      </c>
      <c r="M81" s="18" t="n">
        <v>49.1</v>
      </c>
      <c r="N81" s="18" t="n">
        <v>49.42</v>
      </c>
      <c r="O81" s="18" t="n">
        <v>49.74</v>
      </c>
      <c r="P81" s="37" t="n">
        <v>197.04</v>
      </c>
      <c r="Q81" s="18" t="n">
        <v>50.07</v>
      </c>
      <c r="R81" s="18" t="n">
        <v>50.39</v>
      </c>
      <c r="S81" s="18" t="n">
        <v>50.73</v>
      </c>
      <c r="T81" s="18" t="n">
        <v>75.12</v>
      </c>
      <c r="U81" s="37" t="n">
        <v>226.31</v>
      </c>
      <c r="V81" s="18" t="n">
        <v>46.17</v>
      </c>
      <c r="W81" s="18" t="n">
        <v>68.73999999999999</v>
      </c>
      <c r="X81" s="18" t="n">
        <v>37.09</v>
      </c>
      <c r="Y81" s="18" t="n">
        <v>108.83</v>
      </c>
      <c r="Z81" s="37" t="n">
        <v>260.83</v>
      </c>
      <c r="AA81" s="18" t="n">
        <v>53.34</v>
      </c>
      <c r="AB81" s="19" t="n">
        <v>84.68000000000001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E82" s="18" t="n">
        <v>0</v>
      </c>
      <c r="F82" s="9" t="n"/>
      <c r="I82" s="18" t="n">
        <v>0</v>
      </c>
      <c r="J82" s="18" t="n">
        <v>0</v>
      </c>
      <c r="K82" s="9" t="n"/>
      <c r="N82" s="18" t="n">
        <v>0</v>
      </c>
      <c r="O82" s="18" t="n">
        <v>0</v>
      </c>
      <c r="P82" s="9" t="n"/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자기주식의취득</t>
        </is>
      </c>
      <c r="E83" s="18" t="n">
        <v>0</v>
      </c>
      <c r="F83" s="9" t="n"/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현금및현금성자산의증감</t>
        </is>
      </c>
      <c r="E84" s="18" t="n">
        <v>-10920.66</v>
      </c>
      <c r="F84" s="9" t="n"/>
      <c r="G84" s="18" t="n">
        <v>-11121.84</v>
      </c>
      <c r="H84" s="18" t="n">
        <v>-649.49</v>
      </c>
      <c r="I84" s="18" t="n">
        <v>2507.94</v>
      </c>
      <c r="J84" s="18" t="n">
        <v>-1292.4</v>
      </c>
      <c r="K84" s="37" t="n">
        <v>-10555.79</v>
      </c>
      <c r="L84" s="18" t="n">
        <v>-3661.85</v>
      </c>
      <c r="M84" s="18" t="n">
        <v>7746.88</v>
      </c>
      <c r="N84" s="18" t="n">
        <v>-10010.3</v>
      </c>
      <c r="O84" s="18" t="n">
        <v>17335.9</v>
      </c>
      <c r="P84" s="37" t="n">
        <v>11410.63</v>
      </c>
      <c r="Q84" s="18" t="n">
        <v>-8299.34</v>
      </c>
      <c r="R84" s="18" t="n">
        <v>3072.16</v>
      </c>
      <c r="S84" s="18" t="n">
        <v>1812.24</v>
      </c>
      <c r="T84" s="18" t="n">
        <v>-929.74</v>
      </c>
      <c r="U84" s="37" t="n">
        <v>-4344.68</v>
      </c>
      <c r="V84" s="18" t="n">
        <v>3064.69</v>
      </c>
      <c r="W84" s="18" t="n">
        <v>-2901.93</v>
      </c>
      <c r="X84" s="18" t="n">
        <v>3024.57</v>
      </c>
      <c r="Y84" s="18" t="n">
        <v>5309.75</v>
      </c>
      <c r="Z84" s="37" t="n">
        <v>8497.08</v>
      </c>
      <c r="AA84" s="18" t="n">
        <v>-258.74</v>
      </c>
      <c r="AB84" s="19" t="n">
        <v>1065.06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기말현금및현금성자산</t>
        </is>
      </c>
      <c r="E85" s="18" t="n">
        <v>-10920.67</v>
      </c>
      <c r="F85" s="9" t="n"/>
      <c r="G85" s="18" t="n">
        <v>27317.76</v>
      </c>
      <c r="H85" s="18" t="n">
        <v>-649.49</v>
      </c>
      <c r="I85" s="18" t="n">
        <v>2507.95</v>
      </c>
      <c r="J85" s="18" t="n">
        <v>-1292.4</v>
      </c>
      <c r="K85" s="37" t="n">
        <v>27883.82</v>
      </c>
      <c r="L85" s="18" t="n">
        <v>24221.97</v>
      </c>
      <c r="M85" s="18" t="n">
        <v>7746.87</v>
      </c>
      <c r="N85" s="18" t="n">
        <v>-10010.3</v>
      </c>
      <c r="O85" s="18" t="n">
        <v>17335.9</v>
      </c>
      <c r="P85" s="37" t="n">
        <v>39294.44</v>
      </c>
      <c r="Q85" s="18" t="n">
        <v>30995.1</v>
      </c>
      <c r="R85" s="18" t="n">
        <v>3072.17</v>
      </c>
      <c r="S85" s="18" t="n">
        <v>1812.23</v>
      </c>
      <c r="T85" s="18" t="n">
        <v>-929.74</v>
      </c>
      <c r="U85" s="37" t="n">
        <v>34949.76</v>
      </c>
      <c r="V85" s="18" t="n">
        <v>38014.46</v>
      </c>
      <c r="W85" s="18" t="n">
        <v>-2901.94</v>
      </c>
      <c r="X85" s="18" t="n">
        <v>3024.58</v>
      </c>
      <c r="Y85" s="18" t="n">
        <v>5309.74</v>
      </c>
      <c r="Z85" s="37" t="n">
        <v>43446.84</v>
      </c>
      <c r="AA85" s="18" t="n">
        <v>43188.11</v>
      </c>
      <c r="AB85" s="19" t="n">
        <v>1065.06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이자수취(CF)</t>
        </is>
      </c>
      <c r="F86" s="9" t="n"/>
      <c r="K86" s="9" t="n"/>
      <c r="O86" s="18" t="n">
        <v>819.29</v>
      </c>
      <c r="P86" s="9" t="n"/>
      <c r="Q86" s="18" t="n">
        <v>1038.7</v>
      </c>
      <c r="R86" s="18" t="n">
        <v>795</v>
      </c>
      <c r="S86" s="18" t="n">
        <v>846.61</v>
      </c>
      <c r="T86" s="18" t="n">
        <v>881.49</v>
      </c>
      <c r="U86" s="37" t="n">
        <v>3561.8</v>
      </c>
      <c r="V86" s="18" t="n">
        <v>549.9</v>
      </c>
      <c r="W86" s="18" t="n">
        <v>892.4400000000001</v>
      </c>
      <c r="X86" s="18" t="n">
        <v>822.8</v>
      </c>
      <c r="Y86" s="18" t="n">
        <v>612.28</v>
      </c>
      <c r="Z86" s="37" t="n">
        <v>2877.42</v>
      </c>
      <c r="AA86" s="18" t="n">
        <v>642.38</v>
      </c>
      <c r="AB86" s="19" t="n">
        <v>849.4400000000001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대양전기공업(별)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97172.64999999999</v>
      </c>
      <c r="F5" s="37" t="n">
        <v>97172.64999999999</v>
      </c>
      <c r="G5" s="18" t="n">
        <v>102530.55</v>
      </c>
      <c r="H5" s="18" t="n">
        <v>104020.24</v>
      </c>
      <c r="I5" s="18" t="n">
        <v>108327.68</v>
      </c>
      <c r="J5" s="18" t="n">
        <v>106215.92</v>
      </c>
      <c r="K5" s="37" t="n">
        <v>106215.92</v>
      </c>
      <c r="L5" s="18" t="n">
        <v>112621.69</v>
      </c>
      <c r="M5" s="18" t="n">
        <v>121892.71</v>
      </c>
      <c r="N5" s="18" t="n">
        <v>120413.22</v>
      </c>
      <c r="O5" s="18" t="n">
        <v>131349.45</v>
      </c>
      <c r="P5" s="37" t="n">
        <v>131349.45</v>
      </c>
      <c r="Q5" s="18" t="n">
        <v>132983.35</v>
      </c>
      <c r="R5" s="18" t="n">
        <v>136910.05</v>
      </c>
      <c r="S5" s="18" t="n">
        <v>135894.9</v>
      </c>
      <c r="T5" s="18" t="n">
        <v>150078.23</v>
      </c>
      <c r="U5" s="37" t="n">
        <v>150078.23</v>
      </c>
      <c r="V5" s="18" t="n">
        <v>165809.25</v>
      </c>
      <c r="W5" s="18" t="n">
        <v>182890.62</v>
      </c>
      <c r="X5" s="18" t="n">
        <v>184723.35</v>
      </c>
      <c r="Y5" s="18" t="n">
        <v>186662.15</v>
      </c>
      <c r="Z5" s="37" t="n">
        <v>186662.15</v>
      </c>
      <c r="AA5" s="18" t="n">
        <v>205524.86</v>
      </c>
      <c r="AB5" s="19" t="n">
        <v>181961.11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36607.43</v>
      </c>
      <c r="F6" s="37" t="n">
        <v>36607.43</v>
      </c>
      <c r="G6" s="18" t="n">
        <v>22415.6</v>
      </c>
      <c r="H6" s="18" t="n">
        <v>22021.35</v>
      </c>
      <c r="I6" s="18" t="n">
        <v>25178.13</v>
      </c>
      <c r="J6" s="18" t="n">
        <v>21659.58</v>
      </c>
      <c r="K6" s="37" t="n">
        <v>21659.58</v>
      </c>
      <c r="L6" s="18" t="n">
        <v>20035.41</v>
      </c>
      <c r="M6" s="18" t="n">
        <v>25451.96</v>
      </c>
      <c r="N6" s="18" t="n">
        <v>17921.71</v>
      </c>
      <c r="O6" s="18" t="n">
        <v>29984.55</v>
      </c>
      <c r="P6" s="37" t="n">
        <v>29984.55</v>
      </c>
      <c r="Q6" s="18" t="n">
        <v>24578.62</v>
      </c>
      <c r="R6" s="18" t="n">
        <v>29218.42</v>
      </c>
      <c r="S6" s="18" t="n">
        <v>29322.15</v>
      </c>
      <c r="T6" s="18" t="n">
        <v>30793.59</v>
      </c>
      <c r="U6" s="37" t="n">
        <v>30793.59</v>
      </c>
      <c r="V6" s="18" t="n">
        <v>32180.7</v>
      </c>
      <c r="W6" s="18" t="n">
        <v>27156.16</v>
      </c>
      <c r="X6" s="18" t="n">
        <v>34691.89</v>
      </c>
      <c r="Y6" s="18" t="n">
        <v>39287.94</v>
      </c>
      <c r="Z6" s="37" t="n">
        <v>39287.94</v>
      </c>
      <c r="AA6" s="18" t="n">
        <v>39719.24</v>
      </c>
      <c r="AB6" s="19" t="n">
        <v>33239.97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17897.47</v>
      </c>
      <c r="F7" s="37" t="n">
        <v>17897.47</v>
      </c>
      <c r="G7" s="18" t="n">
        <v>20591.17</v>
      </c>
      <c r="H7" s="18" t="n">
        <v>20041.38</v>
      </c>
      <c r="I7" s="18" t="n">
        <v>17469.51</v>
      </c>
      <c r="J7" s="18" t="n">
        <v>18129.7</v>
      </c>
      <c r="K7" s="37" t="n">
        <v>18129.7</v>
      </c>
      <c r="L7" s="18" t="n">
        <v>21528.18</v>
      </c>
      <c r="M7" s="18" t="n">
        <v>21149.99</v>
      </c>
      <c r="N7" s="18" t="n">
        <v>23078.92</v>
      </c>
      <c r="O7" s="18" t="n">
        <v>25462.94</v>
      </c>
      <c r="P7" s="37" t="n">
        <v>25462.94</v>
      </c>
      <c r="Q7" s="18" t="n">
        <v>22424.26</v>
      </c>
      <c r="R7" s="18" t="n">
        <v>23138.37</v>
      </c>
      <c r="S7" s="18" t="n">
        <v>23559.18</v>
      </c>
      <c r="T7" s="18" t="n">
        <v>32328.7</v>
      </c>
      <c r="U7" s="37" t="n">
        <v>32328.7</v>
      </c>
      <c r="V7" s="18" t="n">
        <v>35943.19</v>
      </c>
      <c r="W7" s="18" t="n">
        <v>35172.95</v>
      </c>
      <c r="X7" s="18" t="n">
        <v>31596.91</v>
      </c>
      <c r="Y7" s="18" t="n">
        <v>32859.08</v>
      </c>
      <c r="Z7" s="37" t="n">
        <v>32859.08</v>
      </c>
      <c r="AA7" s="18" t="n">
        <v>30969.12</v>
      </c>
      <c r="AB7" s="19" t="n">
        <v>43577.38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4185.91</v>
      </c>
      <c r="F8" s="37" t="n">
        <v>4185.91</v>
      </c>
      <c r="G8" s="18" t="n">
        <v>4275.47</v>
      </c>
      <c r="H8" s="18" t="n">
        <v>6559.14</v>
      </c>
      <c r="I8" s="18" t="n">
        <v>7250.59</v>
      </c>
      <c r="J8" s="18" t="n">
        <v>10352.3</v>
      </c>
      <c r="K8" s="37" t="n">
        <v>10352.3</v>
      </c>
      <c r="L8" s="18" t="n">
        <v>10706.2</v>
      </c>
      <c r="M8" s="18" t="n">
        <v>10835</v>
      </c>
      <c r="N8" s="18" t="n">
        <v>8371.18</v>
      </c>
      <c r="O8" s="18" t="n">
        <v>4097.66</v>
      </c>
      <c r="P8" s="37" t="n">
        <v>4097.66</v>
      </c>
      <c r="Q8" s="18" t="n">
        <v>4281.83</v>
      </c>
      <c r="R8" s="18" t="n">
        <v>4466.09</v>
      </c>
      <c r="S8" s="18" t="n">
        <v>4288.21</v>
      </c>
      <c r="T8" s="18" t="n">
        <v>12155.52</v>
      </c>
      <c r="U8" s="37" t="n">
        <v>12155.52</v>
      </c>
      <c r="V8" s="18" t="n">
        <v>24521.68</v>
      </c>
      <c r="W8" s="18" t="n">
        <v>38933.25</v>
      </c>
      <c r="X8" s="18" t="n">
        <v>34460.12</v>
      </c>
      <c r="Y8" s="18" t="n">
        <v>34769.73</v>
      </c>
      <c r="Z8" s="37" t="n">
        <v>34769.73</v>
      </c>
      <c r="AA8" s="18" t="n">
        <v>40501.05</v>
      </c>
      <c r="AB8" s="19" t="n">
        <v>19876.64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7924.02</v>
      </c>
      <c r="F9" s="37" t="n">
        <v>7924.02</v>
      </c>
      <c r="G9" s="18" t="n">
        <v>26053.09</v>
      </c>
      <c r="H9" s="18" t="n">
        <v>26141.43</v>
      </c>
      <c r="I9" s="18" t="n">
        <v>26208.01</v>
      </c>
      <c r="J9" s="18" t="n">
        <v>27338.3</v>
      </c>
      <c r="K9" s="37" t="n">
        <v>27338.3</v>
      </c>
      <c r="L9" s="18" t="n">
        <v>27489.55</v>
      </c>
      <c r="M9" s="18" t="n">
        <v>27142.21</v>
      </c>
      <c r="N9" s="18" t="n">
        <v>27311.73</v>
      </c>
      <c r="O9" s="18" t="n">
        <v>27025.47</v>
      </c>
      <c r="P9" s="37" t="n">
        <v>27025.47</v>
      </c>
      <c r="Q9" s="18" t="n">
        <v>27246.94</v>
      </c>
      <c r="R9" s="18" t="n">
        <v>27459.82</v>
      </c>
      <c r="S9" s="18" t="n">
        <v>27670.39</v>
      </c>
      <c r="T9" s="18" t="n">
        <v>27890.26</v>
      </c>
      <c r="U9" s="37" t="n">
        <v>27890.26</v>
      </c>
      <c r="V9" s="18" t="n">
        <v>28128.24</v>
      </c>
      <c r="W9" s="18" t="n">
        <v>28592.47</v>
      </c>
      <c r="X9" s="18" t="n">
        <v>32626.91</v>
      </c>
      <c r="Y9" s="18" t="n">
        <v>32752.46</v>
      </c>
      <c r="Z9" s="37" t="n">
        <v>32752.46</v>
      </c>
      <c r="AA9" s="18" t="n">
        <v>32878.85</v>
      </c>
      <c r="AB9" s="19" t="n">
        <v>32884.83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423.54</v>
      </c>
      <c r="F10" s="37" t="n">
        <v>423.54</v>
      </c>
      <c r="G10" s="18" t="n">
        <v>423.54</v>
      </c>
      <c r="H10" s="18" t="n">
        <v>105.24</v>
      </c>
      <c r="I10" s="18" t="n">
        <v>163.09</v>
      </c>
      <c r="J10" s="18" t="n">
        <v>240.55</v>
      </c>
      <c r="K10" s="37" t="n">
        <v>240.55</v>
      </c>
      <c r="L10" s="18" t="n">
        <v>397.28</v>
      </c>
      <c r="M10" s="18" t="n">
        <v>273.19</v>
      </c>
      <c r="N10" s="18" t="n">
        <v>351.91</v>
      </c>
      <c r="O10" s="18" t="n">
        <v>2.45</v>
      </c>
      <c r="P10" s="37" t="n">
        <v>2.45</v>
      </c>
      <c r="Q10" s="18" t="n">
        <v>2.45</v>
      </c>
      <c r="R10" s="18" t="n">
        <v>0</v>
      </c>
      <c r="S10" s="18" t="n">
        <v>0</v>
      </c>
      <c r="T10" s="18" t="n">
        <v>0</v>
      </c>
      <c r="U10" s="37" t="n">
        <v>0</v>
      </c>
      <c r="Y10" s="18" t="n">
        <v>0</v>
      </c>
      <c r="Z10" s="37" t="n">
        <v>0</v>
      </c>
      <c r="AA10" s="18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26699.72</v>
      </c>
      <c r="F11" s="37" t="n">
        <v>26699.72</v>
      </c>
      <c r="G11" s="18" t="n">
        <v>24665.28</v>
      </c>
      <c r="H11" s="18" t="n">
        <v>25399.1</v>
      </c>
      <c r="I11" s="18" t="n">
        <v>28173.54</v>
      </c>
      <c r="J11" s="18" t="n">
        <v>23035.99</v>
      </c>
      <c r="K11" s="37" t="n">
        <v>23035.99</v>
      </c>
      <c r="L11" s="18" t="n">
        <v>26098.23</v>
      </c>
      <c r="M11" s="18" t="n">
        <v>31202.1</v>
      </c>
      <c r="N11" s="18" t="n">
        <v>35096.88</v>
      </c>
      <c r="O11" s="18" t="n">
        <v>35944.53</v>
      </c>
      <c r="P11" s="37" t="n">
        <v>35944.53</v>
      </c>
      <c r="Q11" s="18" t="n">
        <v>41530.27</v>
      </c>
      <c r="R11" s="18" t="n">
        <v>39486.88</v>
      </c>
      <c r="S11" s="18" t="n">
        <v>39695.24</v>
      </c>
      <c r="T11" s="18" t="n">
        <v>35108.31</v>
      </c>
      <c r="U11" s="37" t="n">
        <v>35108.31</v>
      </c>
      <c r="V11" s="18" t="n">
        <v>37816.22</v>
      </c>
      <c r="W11" s="18" t="n">
        <v>39994.42</v>
      </c>
      <c r="X11" s="18" t="n">
        <v>36993.11</v>
      </c>
      <c r="Y11" s="18" t="n">
        <v>32674.91</v>
      </c>
      <c r="Z11" s="37" t="n">
        <v>32674.91</v>
      </c>
      <c r="AA11" s="18" t="n">
        <v>45381.18</v>
      </c>
      <c r="AB11" s="19" t="n">
        <v>40269.66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0</v>
      </c>
      <c r="F12" s="37" t="n">
        <v>0</v>
      </c>
      <c r="J12" s="18" t="n">
        <v>0</v>
      </c>
      <c r="K12" s="37" t="n">
        <v>0</v>
      </c>
      <c r="L12" s="18" t="n">
        <v>0</v>
      </c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144259.07</v>
      </c>
      <c r="F13" s="37" t="n">
        <v>144259.07</v>
      </c>
      <c r="G13" s="18" t="n">
        <v>134398.19</v>
      </c>
      <c r="H13" s="18" t="n">
        <v>134025.69</v>
      </c>
      <c r="I13" s="18" t="n">
        <v>133693.72</v>
      </c>
      <c r="J13" s="18" t="n">
        <v>132870.06</v>
      </c>
      <c r="K13" s="37" t="n">
        <v>132870.06</v>
      </c>
      <c r="L13" s="18" t="n">
        <v>133144.53</v>
      </c>
      <c r="M13" s="18" t="n">
        <v>137123.73</v>
      </c>
      <c r="N13" s="18" t="n">
        <v>140917.65</v>
      </c>
      <c r="O13" s="18" t="n">
        <v>144350.37</v>
      </c>
      <c r="P13" s="37" t="n">
        <v>144350.37</v>
      </c>
      <c r="Q13" s="18" t="n">
        <v>143607.76</v>
      </c>
      <c r="R13" s="18" t="n">
        <v>146306.52</v>
      </c>
      <c r="S13" s="18" t="n">
        <v>144885.84</v>
      </c>
      <c r="T13" s="18" t="n">
        <v>139692.58</v>
      </c>
      <c r="U13" s="37" t="n">
        <v>139692.58</v>
      </c>
      <c r="V13" s="18" t="n">
        <v>126029.11</v>
      </c>
      <c r="W13" s="18" t="n">
        <v>114345.29</v>
      </c>
      <c r="X13" s="18" t="n">
        <v>114593.24</v>
      </c>
      <c r="Y13" s="18" t="n">
        <v>113487.44</v>
      </c>
      <c r="Z13" s="37" t="n">
        <v>113487.44</v>
      </c>
      <c r="AA13" s="18" t="n">
        <v>107459.24</v>
      </c>
      <c r="AB13" s="19" t="n">
        <v>148609.85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813.6900000000001</v>
      </c>
      <c r="F14" s="37" t="n">
        <v>813.6900000000001</v>
      </c>
      <c r="G14" s="18" t="n">
        <v>924.67</v>
      </c>
      <c r="H14" s="18" t="n">
        <v>1230.12</v>
      </c>
      <c r="I14" s="18" t="n">
        <v>1484.21</v>
      </c>
      <c r="J14" s="18" t="n">
        <v>81.14</v>
      </c>
      <c r="K14" s="37" t="n">
        <v>81.14</v>
      </c>
      <c r="L14" s="18" t="n">
        <v>37.83</v>
      </c>
      <c r="M14" s="18" t="n">
        <v>104.49</v>
      </c>
      <c r="N14" s="18" t="n">
        <v>177.2</v>
      </c>
      <c r="O14" s="18" t="n">
        <v>726.05</v>
      </c>
      <c r="P14" s="37" t="n">
        <v>726.05</v>
      </c>
      <c r="Q14" s="18" t="n">
        <v>1009.24</v>
      </c>
      <c r="R14" s="18" t="n">
        <v>1930.09</v>
      </c>
      <c r="S14" s="18" t="n">
        <v>611.4299999999999</v>
      </c>
      <c r="T14" s="18" t="n">
        <v>1662.41</v>
      </c>
      <c r="U14" s="37" t="n">
        <v>1662.41</v>
      </c>
      <c r="V14" s="18" t="n">
        <v>606.5700000000001</v>
      </c>
      <c r="W14" s="18" t="n">
        <v>1060.04</v>
      </c>
      <c r="X14" s="18" t="n">
        <v>1083.31</v>
      </c>
      <c r="Y14" s="18" t="n">
        <v>809.54</v>
      </c>
      <c r="Z14" s="37" t="n">
        <v>809.54</v>
      </c>
      <c r="AA14" s="18" t="n">
        <v>922.35</v>
      </c>
      <c r="AB14" s="19" t="n">
        <v>1030.21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39580.42</v>
      </c>
      <c r="F15" s="37" t="n">
        <v>39580.42</v>
      </c>
      <c r="G15" s="18" t="n">
        <v>43530.27</v>
      </c>
      <c r="H15" s="18" t="n">
        <v>41513.64</v>
      </c>
      <c r="I15" s="18" t="n">
        <v>41430.44</v>
      </c>
      <c r="J15" s="18" t="n">
        <v>40848.41</v>
      </c>
      <c r="K15" s="37" t="n">
        <v>40848.41</v>
      </c>
      <c r="L15" s="18" t="n">
        <v>42052.96</v>
      </c>
      <c r="M15" s="18" t="n">
        <v>42485.39</v>
      </c>
      <c r="N15" s="18" t="n">
        <v>44945.98</v>
      </c>
      <c r="O15" s="18" t="n">
        <v>46172.47</v>
      </c>
      <c r="P15" s="37" t="n">
        <v>46172.47</v>
      </c>
      <c r="Q15" s="18" t="n">
        <v>46611.11</v>
      </c>
      <c r="R15" s="18" t="n">
        <v>47017.92</v>
      </c>
      <c r="S15" s="18" t="n">
        <v>47142.73</v>
      </c>
      <c r="T15" s="18" t="n">
        <v>41014.85</v>
      </c>
      <c r="U15" s="37" t="n">
        <v>41014.85</v>
      </c>
      <c r="V15" s="18" t="n">
        <v>27082.82</v>
      </c>
      <c r="W15" s="18" t="n">
        <v>12218.02</v>
      </c>
      <c r="X15" s="18" t="n">
        <v>12911.72</v>
      </c>
      <c r="Y15" s="18" t="n">
        <v>13921.85</v>
      </c>
      <c r="Z15" s="37" t="n">
        <v>13921.85</v>
      </c>
      <c r="AA15" s="18" t="n">
        <v>8949.139999999999</v>
      </c>
      <c r="AB15" s="19" t="n">
        <v>9481.4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47580.42</v>
      </c>
      <c r="F16" s="37" t="n">
        <v>47580.42</v>
      </c>
      <c r="G16" s="18" t="n">
        <v>51530.27</v>
      </c>
      <c r="H16" s="18" t="n">
        <v>49513.64</v>
      </c>
      <c r="I16" s="18" t="n">
        <v>49430.44</v>
      </c>
      <c r="J16" s="18" t="n">
        <v>48848.41</v>
      </c>
      <c r="K16" s="37" t="n">
        <v>48848.41</v>
      </c>
      <c r="L16" s="18" t="n">
        <v>50052.96</v>
      </c>
      <c r="M16" s="18" t="n">
        <v>50485.39</v>
      </c>
      <c r="N16" s="18" t="n">
        <v>52945.98</v>
      </c>
      <c r="O16" s="18" t="n">
        <v>54172.47</v>
      </c>
      <c r="P16" s="37" t="n">
        <v>54172.47</v>
      </c>
      <c r="Q16" s="18" t="n">
        <v>54611.11</v>
      </c>
      <c r="R16" s="18" t="n">
        <v>55017.92</v>
      </c>
      <c r="S16" s="18" t="n">
        <v>55142.73</v>
      </c>
      <c r="T16" s="18" t="n">
        <v>49014.85</v>
      </c>
      <c r="U16" s="37" t="n">
        <v>49014.85</v>
      </c>
      <c r="V16" s="18" t="n">
        <v>35082.82</v>
      </c>
      <c r="W16" s="18" t="n">
        <v>20218.02</v>
      </c>
      <c r="X16" s="18" t="n">
        <v>20911.72</v>
      </c>
      <c r="Y16" s="18" t="n">
        <v>21921.85</v>
      </c>
      <c r="Z16" s="37" t="n">
        <v>21921.85</v>
      </c>
      <c r="AA16" s="18" t="n">
        <v>16949.14</v>
      </c>
      <c r="AB16" s="19" t="n">
        <v>49436.48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8000</v>
      </c>
      <c r="F17" s="37" t="n">
        <v>8000</v>
      </c>
      <c r="G17" s="18" t="n">
        <v>8000</v>
      </c>
      <c r="H17" s="18" t="n">
        <v>8000</v>
      </c>
      <c r="I17" s="18" t="n">
        <v>8000</v>
      </c>
      <c r="J17" s="18" t="n">
        <v>8000</v>
      </c>
      <c r="K17" s="37" t="n">
        <v>8000</v>
      </c>
      <c r="L17" s="18" t="n">
        <v>8000</v>
      </c>
      <c r="M17" s="18" t="n">
        <v>8000</v>
      </c>
      <c r="N17" s="18" t="n">
        <v>8000</v>
      </c>
      <c r="O17" s="18" t="n">
        <v>8000</v>
      </c>
      <c r="P17" s="37" t="n">
        <v>8000</v>
      </c>
      <c r="Q17" s="18" t="n">
        <v>8000</v>
      </c>
      <c r="R17" s="18" t="n">
        <v>8000</v>
      </c>
      <c r="S17" s="18" t="n">
        <v>8000</v>
      </c>
      <c r="T17" s="18" t="n">
        <v>8000</v>
      </c>
      <c r="U17" s="37" t="n">
        <v>8000</v>
      </c>
      <c r="V17" s="18" t="n">
        <v>8000</v>
      </c>
      <c r="W17" s="18" t="n">
        <v>8000</v>
      </c>
      <c r="X17" s="18" t="n">
        <v>8000</v>
      </c>
      <c r="Y17" s="18" t="n">
        <v>8000</v>
      </c>
      <c r="Z17" s="37" t="n">
        <v>8000</v>
      </c>
      <c r="AA17" s="18" t="n">
        <v>8000</v>
      </c>
      <c r="AB17" s="19" t="n">
        <v>39955.08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70528</v>
      </c>
      <c r="F18" s="37" t="n">
        <v>70528</v>
      </c>
      <c r="G18" s="18" t="n">
        <v>74046.16</v>
      </c>
      <c r="H18" s="18" t="n">
        <v>75007.48</v>
      </c>
      <c r="I18" s="18" t="n">
        <v>75040.81</v>
      </c>
      <c r="J18" s="18" t="n">
        <v>74727.63</v>
      </c>
      <c r="K18" s="37" t="n">
        <v>74727.63</v>
      </c>
      <c r="L18" s="18" t="n">
        <v>74299.91</v>
      </c>
      <c r="M18" s="18" t="n">
        <v>77956.75999999999</v>
      </c>
      <c r="N18" s="18" t="n">
        <v>79991.78999999999</v>
      </c>
      <c r="O18" s="18" t="n">
        <v>81179.59</v>
      </c>
      <c r="P18" s="37" t="n">
        <v>81179.59</v>
      </c>
      <c r="Q18" s="18" t="n">
        <v>80387.2</v>
      </c>
      <c r="R18" s="18" t="n">
        <v>81383.59</v>
      </c>
      <c r="S18" s="18" t="n">
        <v>80801.12</v>
      </c>
      <c r="T18" s="18" t="n">
        <v>77890</v>
      </c>
      <c r="U18" s="37" t="n">
        <v>77890</v>
      </c>
      <c r="V18" s="18" t="n">
        <v>78572.48</v>
      </c>
      <c r="W18" s="18" t="n">
        <v>70839.60000000001</v>
      </c>
      <c r="X18" s="18" t="n">
        <v>70452.2</v>
      </c>
      <c r="Y18" s="18" t="n">
        <v>67447.06</v>
      </c>
      <c r="Z18" s="37" t="n">
        <v>67447.06</v>
      </c>
      <c r="AA18" s="18" t="n">
        <v>67153.91</v>
      </c>
      <c r="AB18" s="19" t="n">
        <v>74798.10000000001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1876.49</v>
      </c>
      <c r="F19" s="37" t="n">
        <v>1876.49</v>
      </c>
      <c r="G19" s="18" t="n">
        <v>1863.36</v>
      </c>
      <c r="H19" s="18" t="n">
        <v>1850.22</v>
      </c>
      <c r="I19" s="18" t="n">
        <v>1837.08</v>
      </c>
      <c r="J19" s="18" t="n">
        <v>1906.88</v>
      </c>
      <c r="K19" s="37" t="n">
        <v>1906.88</v>
      </c>
      <c r="L19" s="18" t="n">
        <v>1897.7</v>
      </c>
      <c r="M19" s="18" t="n">
        <v>1888.53</v>
      </c>
      <c r="N19" s="18" t="n">
        <v>1879.36</v>
      </c>
      <c r="O19" s="18" t="n">
        <v>1870.19</v>
      </c>
      <c r="P19" s="37" t="n">
        <v>1870.19</v>
      </c>
      <c r="Q19" s="18" t="n">
        <v>1861.01</v>
      </c>
      <c r="R19" s="18" t="n">
        <v>1851.84</v>
      </c>
      <c r="S19" s="18" t="n">
        <v>1842.67</v>
      </c>
      <c r="T19" s="18" t="n">
        <v>5487.18</v>
      </c>
      <c r="U19" s="37" t="n">
        <v>5487.18</v>
      </c>
      <c r="V19" s="18" t="n">
        <v>5470.99</v>
      </c>
      <c r="W19" s="18" t="n">
        <v>15642.89</v>
      </c>
      <c r="X19" s="18" t="n">
        <v>15623.2</v>
      </c>
      <c r="Y19" s="18" t="n">
        <v>18244.34</v>
      </c>
      <c r="Z19" s="37" t="n">
        <v>18244.34</v>
      </c>
      <c r="AA19" s="18" t="n">
        <v>18210.59</v>
      </c>
      <c r="AB19" s="19" t="n">
        <v>18190.73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1410.97</v>
      </c>
      <c r="F20" s="37" t="n">
        <v>1410.97</v>
      </c>
      <c r="G20" s="18" t="n">
        <v>1354.67</v>
      </c>
      <c r="H20" s="18" t="n">
        <v>1293.55</v>
      </c>
      <c r="I20" s="18" t="n">
        <v>1263.99</v>
      </c>
      <c r="J20" s="18" t="n">
        <v>1212.83</v>
      </c>
      <c r="K20" s="37" t="n">
        <v>1212.83</v>
      </c>
      <c r="L20" s="18" t="n">
        <v>1150.79</v>
      </c>
      <c r="M20" s="18" t="n">
        <v>1101.94</v>
      </c>
      <c r="N20" s="18" t="n">
        <v>1040.07</v>
      </c>
      <c r="O20" s="18" t="n">
        <v>993.78</v>
      </c>
      <c r="P20" s="37" t="n">
        <v>993.78</v>
      </c>
      <c r="Q20" s="18" t="n">
        <v>981.1900000000001</v>
      </c>
      <c r="R20" s="18" t="n">
        <v>961.1</v>
      </c>
      <c r="S20" s="18" t="n">
        <v>952.46</v>
      </c>
      <c r="T20" s="18" t="n">
        <v>943.05</v>
      </c>
      <c r="U20" s="37" t="n">
        <v>943.05</v>
      </c>
      <c r="V20" s="18" t="n">
        <v>947.13</v>
      </c>
      <c r="W20" s="18" t="n">
        <v>1250.01</v>
      </c>
      <c r="X20" s="18" t="n">
        <v>1241.37</v>
      </c>
      <c r="Y20" s="18" t="n">
        <v>1244.76</v>
      </c>
      <c r="Z20" s="37" t="n">
        <v>1244.76</v>
      </c>
      <c r="AA20" s="18" t="n">
        <v>1251.67</v>
      </c>
      <c r="AB20" s="19" t="n">
        <v>1270.71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802.05</v>
      </c>
      <c r="F21" s="37" t="n">
        <v>802.05</v>
      </c>
      <c r="G21" s="18" t="n">
        <v>1284.25</v>
      </c>
      <c r="H21" s="18" t="n">
        <v>1731.67</v>
      </c>
      <c r="I21" s="18" t="n">
        <v>1233.96</v>
      </c>
      <c r="J21" s="18" t="n">
        <v>3762.71</v>
      </c>
      <c r="K21" s="37" t="n">
        <v>3762.71</v>
      </c>
      <c r="L21" s="18" t="n">
        <v>3392.41</v>
      </c>
      <c r="M21" s="18" t="n">
        <v>3217.04</v>
      </c>
      <c r="N21" s="18" t="n">
        <v>2544.4</v>
      </c>
      <c r="O21" s="18" t="n">
        <v>2882.6</v>
      </c>
      <c r="P21" s="37" t="n">
        <v>2882.6</v>
      </c>
      <c r="Q21" s="18" t="n">
        <v>2316.57</v>
      </c>
      <c r="R21" s="18" t="n">
        <v>2461.18</v>
      </c>
      <c r="S21" s="18" t="n">
        <v>2689.66</v>
      </c>
      <c r="T21" s="18" t="n">
        <v>1967.58</v>
      </c>
      <c r="U21" s="37" t="n">
        <v>1967.58</v>
      </c>
      <c r="V21" s="18" t="n">
        <v>2803.15</v>
      </c>
      <c r="W21" s="18" t="n">
        <v>2987.19</v>
      </c>
      <c r="X21" s="18" t="n">
        <v>2908.61</v>
      </c>
      <c r="Y21" s="18" t="n">
        <v>3418.23</v>
      </c>
      <c r="Z21" s="37" t="n">
        <v>3418.23</v>
      </c>
      <c r="AA21" s="18" t="n">
        <v>2634.51</v>
      </c>
      <c r="AB21" s="19" t="n">
        <v>3522.74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241431.73</v>
      </c>
      <c r="F22" s="37" t="n">
        <v>241431.73</v>
      </c>
      <c r="G22" s="18" t="n">
        <v>236928.74</v>
      </c>
      <c r="H22" s="18" t="n">
        <v>238045.93</v>
      </c>
      <c r="I22" s="18" t="n">
        <v>242021.41</v>
      </c>
      <c r="J22" s="18" t="n">
        <v>239085.99</v>
      </c>
      <c r="K22" s="37" t="n">
        <v>239085.99</v>
      </c>
      <c r="L22" s="18" t="n">
        <v>245766.22</v>
      </c>
      <c r="M22" s="18" t="n">
        <v>259016.44</v>
      </c>
      <c r="N22" s="18" t="n">
        <v>261330.87</v>
      </c>
      <c r="O22" s="18" t="n">
        <v>275699.82</v>
      </c>
      <c r="P22" s="37" t="n">
        <v>275699.82</v>
      </c>
      <c r="Q22" s="18" t="n">
        <v>276591.11</v>
      </c>
      <c r="R22" s="18" t="n">
        <v>283216.57</v>
      </c>
      <c r="S22" s="18" t="n">
        <v>280780.74</v>
      </c>
      <c r="T22" s="18" t="n">
        <v>289770.81</v>
      </c>
      <c r="U22" s="37" t="n">
        <v>289770.81</v>
      </c>
      <c r="V22" s="18" t="n">
        <v>291838.36</v>
      </c>
      <c r="W22" s="18" t="n">
        <v>297235.91</v>
      </c>
      <c r="X22" s="18" t="n">
        <v>299316.59</v>
      </c>
      <c r="Y22" s="18" t="n">
        <v>300149.59</v>
      </c>
      <c r="Z22" s="37" t="n">
        <v>300149.59</v>
      </c>
      <c r="AA22" s="18" t="n">
        <v>312984.1</v>
      </c>
      <c r="AB22" s="19" t="n">
        <v>330570.96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23726.09</v>
      </c>
      <c r="F23" s="37" t="n">
        <v>23726.09</v>
      </c>
      <c r="G23" s="18" t="n">
        <v>21903.97</v>
      </c>
      <c r="H23" s="18" t="n">
        <v>24245.92</v>
      </c>
      <c r="I23" s="18" t="n">
        <v>26466.13</v>
      </c>
      <c r="J23" s="18" t="n">
        <v>30018</v>
      </c>
      <c r="K23" s="37" t="n">
        <v>30018</v>
      </c>
      <c r="L23" s="18" t="n">
        <v>35307.28</v>
      </c>
      <c r="M23" s="18" t="n">
        <v>48152.46</v>
      </c>
      <c r="N23" s="18" t="n">
        <v>47989.91</v>
      </c>
      <c r="O23" s="18" t="n">
        <v>59956.38</v>
      </c>
      <c r="P23" s="37" t="n">
        <v>59956.38</v>
      </c>
      <c r="Q23" s="18" t="n">
        <v>57239.05</v>
      </c>
      <c r="R23" s="18" t="n">
        <v>59647.1</v>
      </c>
      <c r="S23" s="18" t="n">
        <v>55010.77</v>
      </c>
      <c r="T23" s="18" t="n">
        <v>54592.39</v>
      </c>
      <c r="U23" s="37" t="n">
        <v>54592.39</v>
      </c>
      <c r="V23" s="18" t="n">
        <v>52506.68</v>
      </c>
      <c r="W23" s="18" t="n">
        <v>53217.08</v>
      </c>
      <c r="X23" s="18" t="n">
        <v>47531.54</v>
      </c>
      <c r="Y23" s="18" t="n">
        <v>41767.89</v>
      </c>
      <c r="Z23" s="37" t="n">
        <v>41767.89</v>
      </c>
      <c r="AA23" s="18" t="n">
        <v>49737.36</v>
      </c>
      <c r="AB23" s="19" t="n">
        <v>59055.91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12528.12</v>
      </c>
      <c r="F24" s="37" t="n">
        <v>12528.12</v>
      </c>
      <c r="G24" s="18" t="n">
        <v>12527.52</v>
      </c>
      <c r="H24" s="18" t="n">
        <v>11542.38</v>
      </c>
      <c r="I24" s="18" t="n">
        <v>12005.87</v>
      </c>
      <c r="J24" s="18" t="n">
        <v>10024.45</v>
      </c>
      <c r="K24" s="37" t="n">
        <v>10024.45</v>
      </c>
      <c r="L24" s="18" t="n">
        <v>12301.5</v>
      </c>
      <c r="M24" s="18" t="n">
        <v>13375.88</v>
      </c>
      <c r="N24" s="18" t="n">
        <v>13126.53</v>
      </c>
      <c r="O24" s="18" t="n">
        <v>16048.64</v>
      </c>
      <c r="P24" s="37" t="n">
        <v>16048.64</v>
      </c>
      <c r="Q24" s="18" t="n">
        <v>14694.96</v>
      </c>
      <c r="R24" s="18" t="n">
        <v>15453.44</v>
      </c>
      <c r="S24" s="18" t="n">
        <v>14105.37</v>
      </c>
      <c r="T24" s="18" t="n">
        <v>17868.25</v>
      </c>
      <c r="U24" s="37" t="n">
        <v>17868.25</v>
      </c>
      <c r="V24" s="18" t="n">
        <v>18520.94</v>
      </c>
      <c r="W24" s="18" t="n">
        <v>22080.58</v>
      </c>
      <c r="X24" s="18" t="n">
        <v>18905.12</v>
      </c>
      <c r="Y24" s="18" t="n">
        <v>16596.13</v>
      </c>
      <c r="Z24" s="37" t="n">
        <v>16596.13</v>
      </c>
      <c r="AA24" s="18" t="n">
        <v>26542.28</v>
      </c>
      <c r="AB24" s="19" t="n">
        <v>23857.82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197.24</v>
      </c>
      <c r="F25" s="37" t="n">
        <v>197.24</v>
      </c>
      <c r="G25" s="18" t="n">
        <v>193.24</v>
      </c>
      <c r="H25" s="18" t="n">
        <v>189.25</v>
      </c>
      <c r="I25" s="18" t="n">
        <v>185.25</v>
      </c>
      <c r="J25" s="18" t="n">
        <v>180.62</v>
      </c>
      <c r="K25" s="37" t="n">
        <v>180.62</v>
      </c>
      <c r="L25" s="18" t="n">
        <v>181.78</v>
      </c>
      <c r="M25" s="18" t="n">
        <v>182.96</v>
      </c>
      <c r="N25" s="18" t="n">
        <v>184.14</v>
      </c>
      <c r="O25" s="18" t="n">
        <v>185.33</v>
      </c>
      <c r="P25" s="37" t="n">
        <v>185.33</v>
      </c>
      <c r="Q25" s="18" t="n">
        <v>186.52</v>
      </c>
      <c r="R25" s="18" t="n">
        <v>187.73</v>
      </c>
      <c r="S25" s="18" t="n">
        <v>188.94</v>
      </c>
      <c r="T25" s="18" t="n">
        <v>194.52</v>
      </c>
      <c r="U25" s="37" t="n">
        <v>194.52</v>
      </c>
      <c r="V25" s="18" t="n">
        <v>144.01</v>
      </c>
      <c r="W25" s="18" t="n">
        <v>90.75</v>
      </c>
      <c r="X25" s="18" t="n">
        <v>35.06</v>
      </c>
      <c r="Y25" s="18" t="n">
        <v>228.13</v>
      </c>
      <c r="Z25" s="37" t="n">
        <v>228.13</v>
      </c>
      <c r="AA25" s="18" t="n">
        <v>221.64</v>
      </c>
      <c r="AB25" s="19" t="n">
        <v>241.13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721.3099999999999</v>
      </c>
      <c r="F26" s="37" t="n">
        <v>721.3099999999999</v>
      </c>
      <c r="G26" s="18" t="n">
        <v>672.59</v>
      </c>
      <c r="H26" s="18" t="n">
        <v>623.59</v>
      </c>
      <c r="I26" s="18" t="n">
        <v>574.3</v>
      </c>
      <c r="J26" s="18" t="n">
        <v>524.0700000000001</v>
      </c>
      <c r="K26" s="37" t="n">
        <v>524.0700000000001</v>
      </c>
      <c r="L26" s="18" t="n">
        <v>479.35</v>
      </c>
      <c r="M26" s="18" t="n">
        <v>434.35</v>
      </c>
      <c r="N26" s="18" t="n">
        <v>389.05</v>
      </c>
      <c r="O26" s="18" t="n">
        <v>343.46</v>
      </c>
      <c r="P26" s="37" t="n">
        <v>343.46</v>
      </c>
      <c r="Q26" s="18" t="n">
        <v>297.56</v>
      </c>
      <c r="R26" s="18" t="n">
        <v>251.39</v>
      </c>
      <c r="S26" s="18" t="n">
        <v>204.91</v>
      </c>
      <c r="T26" s="18" t="n">
        <v>204.35</v>
      </c>
      <c r="U26" s="37" t="n">
        <v>204.35</v>
      </c>
      <c r="V26" s="18" t="n">
        <v>148.34</v>
      </c>
      <c r="W26" s="18" t="n">
        <v>91.91</v>
      </c>
      <c r="X26" s="18" t="n">
        <v>35.06</v>
      </c>
      <c r="Y26" s="18" t="n">
        <v>391.5</v>
      </c>
      <c r="Z26" s="37" t="n">
        <v>391.5</v>
      </c>
      <c r="AA26" s="18" t="n">
        <v>332.21</v>
      </c>
      <c r="AB26" s="19" t="n">
        <v>334.56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197.24</v>
      </c>
      <c r="F27" s="37" t="n">
        <v>197.24</v>
      </c>
      <c r="G27" s="18" t="n">
        <v>193.24</v>
      </c>
      <c r="H27" s="18" t="n">
        <v>189.25</v>
      </c>
      <c r="I27" s="18" t="n">
        <v>185.25</v>
      </c>
      <c r="J27" s="18" t="n">
        <v>180.62</v>
      </c>
      <c r="K27" s="37" t="n">
        <v>180.62</v>
      </c>
      <c r="L27" s="18" t="n">
        <v>181.78</v>
      </c>
      <c r="M27" s="18" t="n">
        <v>182.96</v>
      </c>
      <c r="N27" s="18" t="n">
        <v>184.14</v>
      </c>
      <c r="O27" s="18" t="n">
        <v>185.33</v>
      </c>
      <c r="P27" s="37" t="n">
        <v>185.33</v>
      </c>
      <c r="Q27" s="18" t="n">
        <v>186.52</v>
      </c>
      <c r="R27" s="18" t="n">
        <v>187.73</v>
      </c>
      <c r="S27" s="18" t="n">
        <v>188.94</v>
      </c>
      <c r="T27" s="18" t="n">
        <v>194.52</v>
      </c>
      <c r="U27" s="37" t="n">
        <v>194.52</v>
      </c>
      <c r="V27" s="18" t="n">
        <v>144.01</v>
      </c>
      <c r="W27" s="18" t="n">
        <v>90.75</v>
      </c>
      <c r="X27" s="18" t="n">
        <v>35.06</v>
      </c>
      <c r="Y27" s="18" t="n">
        <v>228.13</v>
      </c>
      <c r="Z27" s="37" t="n">
        <v>228.13</v>
      </c>
      <c r="AA27" s="18" t="n">
        <v>221.64</v>
      </c>
      <c r="AB27" s="19" t="n">
        <v>241.13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0</v>
      </c>
      <c r="F28" s="37" t="n">
        <v>0</v>
      </c>
      <c r="J28" s="18" t="n">
        <v>0</v>
      </c>
      <c r="K28" s="37" t="n">
        <v>0</v>
      </c>
      <c r="L28" s="18" t="n">
        <v>0</v>
      </c>
      <c r="P28" s="9" t="n"/>
      <c r="Q28" s="18" t="n">
        <v>178.14</v>
      </c>
      <c r="R28" s="18" t="n">
        <v>1109.07</v>
      </c>
      <c r="S28" s="18" t="n">
        <v>1640.07</v>
      </c>
      <c r="T28" s="18" t="n">
        <v>3186.94</v>
      </c>
      <c r="U28" s="37" t="n">
        <v>3186.94</v>
      </c>
      <c r="V28" s="18" t="n">
        <v>3841.17</v>
      </c>
      <c r="W28" s="18" t="n">
        <v>2948.23</v>
      </c>
      <c r="X28" s="18" t="n">
        <v>4204.01</v>
      </c>
      <c r="Y28" s="18" t="n">
        <v>5509.96</v>
      </c>
      <c r="Z28" s="37" t="n">
        <v>5509.96</v>
      </c>
      <c r="AA28" s="18" t="n">
        <v>4009.33</v>
      </c>
      <c r="AB28" s="19" t="n">
        <v>3723.49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834.0700000000001</v>
      </c>
      <c r="F29" s="37" t="n">
        <v>834.0700000000001</v>
      </c>
      <c r="G29" s="18" t="n">
        <v>789.35</v>
      </c>
      <c r="H29" s="18" t="n">
        <v>822.34</v>
      </c>
      <c r="I29" s="18" t="n">
        <v>777.05</v>
      </c>
      <c r="J29" s="18" t="n">
        <v>911.04</v>
      </c>
      <c r="K29" s="37" t="n">
        <v>911.04</v>
      </c>
      <c r="L29" s="18" t="n">
        <v>912.21</v>
      </c>
      <c r="M29" s="18" t="n">
        <v>913.0700000000001</v>
      </c>
      <c r="N29" s="18" t="n">
        <v>913.64</v>
      </c>
      <c r="O29" s="18" t="n">
        <v>928.1799999999999</v>
      </c>
      <c r="P29" s="37" t="n">
        <v>928.1799999999999</v>
      </c>
      <c r="Q29" s="18" t="n">
        <v>913.22</v>
      </c>
      <c r="R29" s="18" t="n">
        <v>897.95</v>
      </c>
      <c r="S29" s="18" t="n">
        <v>882.38</v>
      </c>
      <c r="T29" s="18" t="n">
        <v>900.88</v>
      </c>
      <c r="U29" s="37" t="n">
        <v>900.88</v>
      </c>
      <c r="V29" s="18" t="n">
        <v>895.38</v>
      </c>
      <c r="W29" s="18" t="n">
        <v>814.22</v>
      </c>
      <c r="X29" s="18" t="n">
        <v>813.05</v>
      </c>
      <c r="Y29" s="18" t="n">
        <v>1012.33</v>
      </c>
      <c r="Z29" s="37" t="n">
        <v>1012.33</v>
      </c>
      <c r="AA29" s="18" t="n">
        <v>939.53</v>
      </c>
      <c r="AB29" s="19" t="n">
        <v>997.59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기타비유동금융부채</t>
        </is>
      </c>
      <c r="E30" s="18" t="n">
        <v>310</v>
      </c>
      <c r="F30" s="37" t="n">
        <v>310</v>
      </c>
      <c r="G30" s="18" t="n">
        <v>310</v>
      </c>
      <c r="H30" s="18" t="n">
        <v>388</v>
      </c>
      <c r="I30" s="18" t="n">
        <v>388</v>
      </c>
      <c r="J30" s="18" t="n">
        <v>388</v>
      </c>
      <c r="K30" s="37" t="n">
        <v>388</v>
      </c>
      <c r="L30" s="18" t="n">
        <v>388</v>
      </c>
      <c r="M30" s="18" t="n">
        <v>388</v>
      </c>
      <c r="P30" s="9" t="n"/>
      <c r="U30" s="9" t="n"/>
      <c r="Y30" s="18" t="n">
        <v>290</v>
      </c>
      <c r="Z30" s="37" t="n">
        <v>290</v>
      </c>
      <c r="AA30" s="18" t="n">
        <v>270</v>
      </c>
      <c r="AB30" s="19" t="n">
        <v>360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장기금융부채</t>
        </is>
      </c>
      <c r="E31" s="18" t="n">
        <v>834.0700000000001</v>
      </c>
      <c r="F31" s="37" t="n">
        <v>834.0700000000001</v>
      </c>
      <c r="G31" s="18" t="n">
        <v>789.35</v>
      </c>
      <c r="H31" s="18" t="n">
        <v>822.34</v>
      </c>
      <c r="I31" s="18" t="n">
        <v>777.05</v>
      </c>
      <c r="J31" s="18" t="n">
        <v>731.45</v>
      </c>
      <c r="K31" s="37" t="n">
        <v>731.45</v>
      </c>
      <c r="L31" s="18" t="n">
        <v>685.5700000000001</v>
      </c>
      <c r="M31" s="18" t="n">
        <v>639.39</v>
      </c>
      <c r="N31" s="18" t="n">
        <v>204.91</v>
      </c>
      <c r="O31" s="18" t="n">
        <v>158.13</v>
      </c>
      <c r="P31" s="37" t="n">
        <v>158.13</v>
      </c>
      <c r="Q31" s="18" t="n">
        <v>111.04</v>
      </c>
      <c r="R31" s="18" t="n">
        <v>63.66</v>
      </c>
      <c r="S31" s="18" t="n">
        <v>15.97</v>
      </c>
      <c r="T31" s="18" t="n">
        <v>9.83</v>
      </c>
      <c r="U31" s="37" t="n">
        <v>9.83</v>
      </c>
      <c r="V31" s="18" t="n">
        <v>4.33</v>
      </c>
      <c r="W31" s="18" t="n">
        <v>1.16</v>
      </c>
      <c r="X31" s="18" t="n">
        <v>0</v>
      </c>
      <c r="Y31" s="18" t="n">
        <v>453.37</v>
      </c>
      <c r="Z31" s="37" t="n">
        <v>453.37</v>
      </c>
      <c r="AA31" s="18" t="n">
        <v>380.57</v>
      </c>
      <c r="AB31" s="19" t="n">
        <v>453.43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비유동리스부채</t>
        </is>
      </c>
      <c r="E32" s="18" t="n">
        <v>524.0700000000001</v>
      </c>
      <c r="F32" s="37" t="n">
        <v>524.0700000000001</v>
      </c>
      <c r="G32" s="18" t="n">
        <v>479.35</v>
      </c>
      <c r="H32" s="18" t="n">
        <v>434.34</v>
      </c>
      <c r="I32" s="18" t="n">
        <v>389.05</v>
      </c>
      <c r="J32" s="18" t="n">
        <v>343.45</v>
      </c>
      <c r="K32" s="37" t="n">
        <v>343.45</v>
      </c>
      <c r="L32" s="18" t="n">
        <v>297.57</v>
      </c>
      <c r="M32" s="18" t="n">
        <v>251.39</v>
      </c>
      <c r="N32" s="18" t="n">
        <v>204.91</v>
      </c>
      <c r="O32" s="18" t="n">
        <v>158.13</v>
      </c>
      <c r="P32" s="37" t="n">
        <v>158.13</v>
      </c>
      <c r="Q32" s="18" t="n">
        <v>111.04</v>
      </c>
      <c r="R32" s="18" t="n">
        <v>63.66</v>
      </c>
      <c r="S32" s="18" t="n">
        <v>15.97</v>
      </c>
      <c r="T32" s="18" t="n">
        <v>9.83</v>
      </c>
      <c r="U32" s="37" t="n">
        <v>9.83</v>
      </c>
      <c r="V32" s="18" t="n">
        <v>4.33</v>
      </c>
      <c r="W32" s="18" t="n">
        <v>1.16</v>
      </c>
      <c r="X32" s="18" t="n">
        <v>0</v>
      </c>
      <c r="Y32" s="18" t="n">
        <v>163.37</v>
      </c>
      <c r="Z32" s="37" t="n">
        <v>163.37</v>
      </c>
      <c r="AA32" s="18" t="n">
        <v>110.57</v>
      </c>
      <c r="AB32" s="19" t="n">
        <v>93.43000000000001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24560.17</v>
      </c>
      <c r="F33" s="37" t="n">
        <v>24560.17</v>
      </c>
      <c r="G33" s="18" t="n">
        <v>22693.32</v>
      </c>
      <c r="H33" s="18" t="n">
        <v>25068.26</v>
      </c>
      <c r="I33" s="18" t="n">
        <v>27243.18</v>
      </c>
      <c r="J33" s="18" t="n">
        <v>30929.05</v>
      </c>
      <c r="K33" s="37" t="n">
        <v>30929.05</v>
      </c>
      <c r="L33" s="18" t="n">
        <v>36219.49</v>
      </c>
      <c r="M33" s="18" t="n">
        <v>49065.53</v>
      </c>
      <c r="N33" s="18" t="n">
        <v>48903.56</v>
      </c>
      <c r="O33" s="18" t="n">
        <v>60884.57</v>
      </c>
      <c r="P33" s="37" t="n">
        <v>60884.57</v>
      </c>
      <c r="Q33" s="18" t="n">
        <v>58152.27</v>
      </c>
      <c r="R33" s="18" t="n">
        <v>60545.06</v>
      </c>
      <c r="S33" s="18" t="n">
        <v>55893.15</v>
      </c>
      <c r="T33" s="18" t="n">
        <v>55493.28</v>
      </c>
      <c r="U33" s="37" t="n">
        <v>55493.28</v>
      </c>
      <c r="V33" s="18" t="n">
        <v>53402.06</v>
      </c>
      <c r="W33" s="18" t="n">
        <v>54031.3</v>
      </c>
      <c r="X33" s="18" t="n">
        <v>48344.6</v>
      </c>
      <c r="Y33" s="18" t="n">
        <v>42780.22</v>
      </c>
      <c r="Z33" s="37" t="n">
        <v>42780.22</v>
      </c>
      <c r="AA33" s="18" t="n">
        <v>50676.89</v>
      </c>
      <c r="AB33" s="19" t="n">
        <v>60053.51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자본금</t>
        </is>
      </c>
      <c r="E34" s="18" t="n">
        <v>4783.67</v>
      </c>
      <c r="F34" s="37" t="n">
        <v>4783.67</v>
      </c>
      <c r="G34" s="18" t="n">
        <v>4783.67</v>
      </c>
      <c r="H34" s="18" t="n">
        <v>4783.67</v>
      </c>
      <c r="I34" s="18" t="n">
        <v>4783.67</v>
      </c>
      <c r="J34" s="18" t="n">
        <v>4783.67</v>
      </c>
      <c r="K34" s="37" t="n">
        <v>4783.67</v>
      </c>
      <c r="L34" s="18" t="n">
        <v>4783.67</v>
      </c>
      <c r="M34" s="18" t="n">
        <v>4783.67</v>
      </c>
      <c r="N34" s="18" t="n">
        <v>4783.67</v>
      </c>
      <c r="O34" s="18" t="n">
        <v>4783.67</v>
      </c>
      <c r="P34" s="37" t="n">
        <v>4783.67</v>
      </c>
      <c r="Q34" s="18" t="n">
        <v>4783.67</v>
      </c>
      <c r="R34" s="18" t="n">
        <v>4783.67</v>
      </c>
      <c r="S34" s="18" t="n">
        <v>4783.67</v>
      </c>
      <c r="T34" s="18" t="n">
        <v>4783.67</v>
      </c>
      <c r="U34" s="37" t="n">
        <v>4783.67</v>
      </c>
      <c r="V34" s="18" t="n">
        <v>4783.67</v>
      </c>
      <c r="W34" s="18" t="n">
        <v>4783.67</v>
      </c>
      <c r="X34" s="18" t="n">
        <v>4783.67</v>
      </c>
      <c r="Y34" s="18" t="n">
        <v>4783.67</v>
      </c>
      <c r="Z34" s="37" t="n">
        <v>4783.67</v>
      </c>
      <c r="AA34" s="18" t="n">
        <v>4783.67</v>
      </c>
      <c r="AB34" s="19" t="n">
        <v>4783.67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자본잉여금</t>
        </is>
      </c>
      <c r="E35" s="18" t="n">
        <v>24958.68</v>
      </c>
      <c r="F35" s="37" t="n">
        <v>24958.68</v>
      </c>
      <c r="G35" s="18" t="n">
        <v>24974.84</v>
      </c>
      <c r="H35" s="18" t="n">
        <v>24977.78</v>
      </c>
      <c r="I35" s="18" t="n">
        <v>24977.78</v>
      </c>
      <c r="J35" s="18" t="n">
        <v>24978.48</v>
      </c>
      <c r="K35" s="37" t="n">
        <v>24978.48</v>
      </c>
      <c r="L35" s="18" t="n">
        <v>25026.82</v>
      </c>
      <c r="M35" s="18" t="n">
        <v>25034.91</v>
      </c>
      <c r="N35" s="18" t="n">
        <v>25034.91</v>
      </c>
      <c r="O35" s="18" t="n">
        <v>25035.47</v>
      </c>
      <c r="P35" s="37" t="n">
        <v>25035.47</v>
      </c>
      <c r="Q35" s="18" t="n">
        <v>25048.84</v>
      </c>
      <c r="R35" s="18" t="n">
        <v>25053.11</v>
      </c>
      <c r="S35" s="18" t="n">
        <v>25053.11</v>
      </c>
      <c r="T35" s="18" t="n">
        <v>25053.11</v>
      </c>
      <c r="U35" s="37" t="n">
        <v>25053.11</v>
      </c>
      <c r="V35" s="18" t="n">
        <v>25053.11</v>
      </c>
      <c r="W35" s="18" t="n">
        <v>25086.07</v>
      </c>
      <c r="X35" s="18" t="n">
        <v>25086.07</v>
      </c>
      <c r="Y35" s="18" t="n">
        <v>25272.22</v>
      </c>
      <c r="Z35" s="37" t="n">
        <v>25272.22</v>
      </c>
      <c r="AA35" s="18" t="n">
        <v>25272.22</v>
      </c>
      <c r="AB35" s="19" t="n">
        <v>25536.36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기타자본</t>
        </is>
      </c>
      <c r="E36" s="18" t="n">
        <v>-2586.62</v>
      </c>
      <c r="F36" s="37" t="n">
        <v>-2586.62</v>
      </c>
      <c r="G36" s="18" t="n">
        <v>-2597.23</v>
      </c>
      <c r="H36" s="18" t="n">
        <v>-2562.52</v>
      </c>
      <c r="I36" s="18" t="n">
        <v>-2554.74</v>
      </c>
      <c r="J36" s="18" t="n">
        <v>-2541.49</v>
      </c>
      <c r="K36" s="37" t="n">
        <v>-2541.49</v>
      </c>
      <c r="L36" s="18" t="n">
        <v>-2581.8</v>
      </c>
      <c r="M36" s="18" t="n">
        <v>-3490.35</v>
      </c>
      <c r="N36" s="18" t="n">
        <v>-3523.92</v>
      </c>
      <c r="O36" s="18" t="n">
        <v>-3508.07</v>
      </c>
      <c r="P36" s="37" t="n">
        <v>-3508.07</v>
      </c>
      <c r="Q36" s="18" t="n">
        <v>-3509.47</v>
      </c>
      <c r="R36" s="18" t="n">
        <v>-3471.66</v>
      </c>
      <c r="S36" s="18" t="n">
        <v>-3455.64</v>
      </c>
      <c r="T36" s="18" t="n">
        <v>-3436.7</v>
      </c>
      <c r="U36" s="37" t="n">
        <v>-3436.7</v>
      </c>
      <c r="V36" s="18" t="n">
        <v>-3419.11</v>
      </c>
      <c r="W36" s="18" t="n">
        <v>-3374.2</v>
      </c>
      <c r="X36" s="18" t="n">
        <v>-3334.46</v>
      </c>
      <c r="Y36" s="18" t="n">
        <v>-3296.14</v>
      </c>
      <c r="Z36" s="37" t="n">
        <v>-3296.14</v>
      </c>
      <c r="AA36" s="18" t="n">
        <v>-3296.14</v>
      </c>
      <c r="AB36" s="19" t="n">
        <v>-2920.76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기타포괄이익누계액</t>
        </is>
      </c>
      <c r="E37" s="18" t="n">
        <v>9330.27</v>
      </c>
      <c r="F37" s="37" t="n">
        <v>9330.27</v>
      </c>
      <c r="G37" s="18" t="n">
        <v>9330.27</v>
      </c>
      <c r="H37" s="18" t="n">
        <v>9330.27</v>
      </c>
      <c r="I37" s="18" t="n">
        <v>9330.27</v>
      </c>
      <c r="J37" s="18" t="n">
        <v>9330.27</v>
      </c>
      <c r="K37" s="37" t="n">
        <v>9330.27</v>
      </c>
      <c r="L37" s="18" t="n">
        <v>9330.27</v>
      </c>
      <c r="M37" s="18" t="n">
        <v>9330.27</v>
      </c>
      <c r="N37" s="18" t="n">
        <v>9330.27</v>
      </c>
      <c r="O37" s="18" t="n">
        <v>9330.27</v>
      </c>
      <c r="P37" s="37" t="n">
        <v>9330.27</v>
      </c>
      <c r="Q37" s="18" t="n">
        <v>9330.27</v>
      </c>
      <c r="R37" s="18" t="n">
        <v>9330.27</v>
      </c>
      <c r="S37" s="18" t="n">
        <v>9330.27</v>
      </c>
      <c r="T37" s="18" t="n">
        <v>9330.27</v>
      </c>
      <c r="U37" s="37" t="n">
        <v>9330.27</v>
      </c>
      <c r="V37" s="18" t="n">
        <v>9330.27</v>
      </c>
      <c r="W37" s="18" t="n">
        <v>9330.27</v>
      </c>
      <c r="X37" s="18" t="n">
        <v>9330.27</v>
      </c>
      <c r="Y37" s="18" t="n">
        <v>9330.27</v>
      </c>
      <c r="Z37" s="37" t="n">
        <v>9330.27</v>
      </c>
      <c r="AA37" s="18" t="n">
        <v>9330.27</v>
      </c>
      <c r="AB37" s="19" t="n">
        <v>9330.27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180385.56</v>
      </c>
      <c r="F38" s="37" t="n">
        <v>180385.56</v>
      </c>
      <c r="G38" s="18" t="n">
        <v>177743.87</v>
      </c>
      <c r="H38" s="18" t="n">
        <v>176448.47</v>
      </c>
      <c r="I38" s="18" t="n">
        <v>178241.25</v>
      </c>
      <c r="J38" s="18" t="n">
        <v>171606.02</v>
      </c>
      <c r="K38" s="37" t="n">
        <v>171606.02</v>
      </c>
      <c r="L38" s="18" t="n">
        <v>172987.78</v>
      </c>
      <c r="M38" s="18" t="n">
        <v>174292.42</v>
      </c>
      <c r="N38" s="18" t="n">
        <v>176802.39</v>
      </c>
      <c r="O38" s="18" t="n">
        <v>179173.92</v>
      </c>
      <c r="P38" s="37" t="n">
        <v>179173.92</v>
      </c>
      <c r="Q38" s="18" t="n">
        <v>182785.54</v>
      </c>
      <c r="R38" s="18" t="n">
        <v>186976.13</v>
      </c>
      <c r="S38" s="18" t="n">
        <v>189176.18</v>
      </c>
      <c r="T38" s="18" t="n">
        <v>198547.19</v>
      </c>
      <c r="U38" s="37" t="n">
        <v>198547.19</v>
      </c>
      <c r="V38" s="18" t="n">
        <v>202688.36</v>
      </c>
      <c r="W38" s="18" t="n">
        <v>207378.81</v>
      </c>
      <c r="X38" s="18" t="n">
        <v>215106.46</v>
      </c>
      <c r="Y38" s="18" t="n">
        <v>221279.35</v>
      </c>
      <c r="Z38" s="37" t="n">
        <v>221279.35</v>
      </c>
      <c r="AA38" s="18" t="n">
        <v>226217.19</v>
      </c>
      <c r="AB38" s="19" t="n">
        <v>233787.92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216871.56</v>
      </c>
      <c r="F39" s="37" t="n">
        <v>216871.56</v>
      </c>
      <c r="G39" s="18" t="n">
        <v>214235.41</v>
      </c>
      <c r="H39" s="18" t="n">
        <v>212977.67</v>
      </c>
      <c r="I39" s="18" t="n">
        <v>214778.23</v>
      </c>
      <c r="J39" s="18" t="n">
        <v>208156.94</v>
      </c>
      <c r="K39" s="37" t="n">
        <v>208156.94</v>
      </c>
      <c r="L39" s="18" t="n">
        <v>209546.73</v>
      </c>
      <c r="M39" s="18" t="n">
        <v>209950.91</v>
      </c>
      <c r="N39" s="18" t="n">
        <v>212427.32</v>
      </c>
      <c r="O39" s="18" t="n">
        <v>214815.25</v>
      </c>
      <c r="P39" s="37" t="n">
        <v>214815.25</v>
      </c>
      <c r="Q39" s="18" t="n">
        <v>218438.84</v>
      </c>
      <c r="R39" s="18" t="n">
        <v>222671.51</v>
      </c>
      <c r="S39" s="18" t="n">
        <v>224887.59</v>
      </c>
      <c r="T39" s="18" t="n">
        <v>234277.53</v>
      </c>
      <c r="U39" s="37" t="n">
        <v>234277.53</v>
      </c>
      <c r="V39" s="18" t="n">
        <v>238436.3</v>
      </c>
      <c r="W39" s="18" t="n">
        <v>243204.61</v>
      </c>
      <c r="X39" s="18" t="n">
        <v>250972</v>
      </c>
      <c r="Y39" s="18" t="n">
        <v>257369.37</v>
      </c>
      <c r="Z39" s="37" t="n">
        <v>257369.37</v>
      </c>
      <c r="AA39" s="18" t="n">
        <v>262307.21</v>
      </c>
      <c r="AB39" s="19" t="n">
        <v>270517.45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241431.73</v>
      </c>
      <c r="F40" s="37" t="n">
        <v>241431.73</v>
      </c>
      <c r="G40" s="18" t="n">
        <v>236928.74</v>
      </c>
      <c r="H40" s="18" t="n">
        <v>238045.93</v>
      </c>
      <c r="I40" s="18" t="n">
        <v>242021.41</v>
      </c>
      <c r="J40" s="18" t="n">
        <v>239085.99</v>
      </c>
      <c r="K40" s="37" t="n">
        <v>239085.99</v>
      </c>
      <c r="L40" s="18" t="n">
        <v>245766.22</v>
      </c>
      <c r="M40" s="18" t="n">
        <v>259016.44</v>
      </c>
      <c r="N40" s="18" t="n">
        <v>261330.87</v>
      </c>
      <c r="O40" s="18" t="n">
        <v>275699.82</v>
      </c>
      <c r="P40" s="37" t="n">
        <v>275699.82</v>
      </c>
      <c r="Q40" s="18" t="n">
        <v>276591.11</v>
      </c>
      <c r="R40" s="18" t="n">
        <v>283216.57</v>
      </c>
      <c r="S40" s="18" t="n">
        <v>280780.74</v>
      </c>
      <c r="T40" s="18" t="n">
        <v>289770.81</v>
      </c>
      <c r="U40" s="37" t="n">
        <v>289770.81</v>
      </c>
      <c r="V40" s="18" t="n">
        <v>291838.36</v>
      </c>
      <c r="W40" s="18" t="n">
        <v>297235.91</v>
      </c>
      <c r="X40" s="18" t="n">
        <v>299316.59</v>
      </c>
      <c r="Y40" s="18" t="n">
        <v>300149.59</v>
      </c>
      <c r="Z40" s="37" t="n">
        <v>300149.59</v>
      </c>
      <c r="AA40" s="18" t="n">
        <v>312984.1</v>
      </c>
      <c r="AB40" s="19" t="n">
        <v>330570.96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216871.56</v>
      </c>
      <c r="F41" s="37" t="n">
        <v>216871.56</v>
      </c>
      <c r="G41" s="18" t="n">
        <v>214235.41</v>
      </c>
      <c r="H41" s="18" t="n">
        <v>212977.67</v>
      </c>
      <c r="I41" s="18" t="n">
        <v>214778.23</v>
      </c>
      <c r="J41" s="18" t="n">
        <v>208156.94</v>
      </c>
      <c r="K41" s="37" t="n">
        <v>208156.94</v>
      </c>
      <c r="L41" s="18" t="n">
        <v>209546.73</v>
      </c>
      <c r="M41" s="18" t="n">
        <v>209950.91</v>
      </c>
      <c r="N41" s="18" t="n">
        <v>212427.32</v>
      </c>
      <c r="O41" s="18" t="n">
        <v>214815.25</v>
      </c>
      <c r="P41" s="37" t="n">
        <v>214815.25</v>
      </c>
      <c r="Q41" s="18" t="n">
        <v>218438.84</v>
      </c>
      <c r="R41" s="18" t="n">
        <v>222671.51</v>
      </c>
      <c r="S41" s="18" t="n">
        <v>224887.59</v>
      </c>
      <c r="T41" s="18" t="n">
        <v>234277.53</v>
      </c>
      <c r="U41" s="37" t="n">
        <v>234277.53</v>
      </c>
      <c r="V41" s="18" t="n">
        <v>238436.3</v>
      </c>
      <c r="W41" s="18" t="n">
        <v>243204.61</v>
      </c>
      <c r="X41" s="18" t="n">
        <v>250972</v>
      </c>
      <c r="Y41" s="18" t="n">
        <v>257369.37</v>
      </c>
      <c r="Z41" s="37" t="n">
        <v>257369.37</v>
      </c>
      <c r="AA41" s="18" t="n">
        <v>262307.21</v>
      </c>
      <c r="AB41" s="19" t="n">
        <v>270517.45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이자발생자산</t>
        </is>
      </c>
      <c r="E42" s="18" t="n">
        <v>76187.85000000001</v>
      </c>
      <c r="F42" s="37" t="n">
        <v>76187.85000000001</v>
      </c>
      <c r="G42" s="18" t="n">
        <v>65945.87</v>
      </c>
      <c r="H42" s="18" t="n">
        <v>63534.99</v>
      </c>
      <c r="I42" s="18" t="n">
        <v>66608.57000000001</v>
      </c>
      <c r="J42" s="18" t="n">
        <v>62507.99</v>
      </c>
      <c r="K42" s="37" t="n">
        <v>62507.99</v>
      </c>
      <c r="L42" s="18" t="n">
        <v>62088.37</v>
      </c>
      <c r="M42" s="18" t="n">
        <v>67937.35000000001</v>
      </c>
      <c r="N42" s="18" t="n">
        <v>62867.69</v>
      </c>
      <c r="O42" s="18" t="n">
        <v>76157.02</v>
      </c>
      <c r="P42" s="37" t="n">
        <v>76157.02</v>
      </c>
      <c r="Q42" s="18" t="n">
        <v>71189.73</v>
      </c>
      <c r="R42" s="18" t="n">
        <v>76236.34</v>
      </c>
      <c r="S42" s="18" t="n">
        <v>76464.88</v>
      </c>
      <c r="T42" s="18" t="n">
        <v>71808.44</v>
      </c>
      <c r="U42" s="37" t="n">
        <v>71808.44</v>
      </c>
      <c r="V42" s="18" t="n">
        <v>59263.52</v>
      </c>
      <c r="W42" s="18" t="n">
        <v>39374.18</v>
      </c>
      <c r="X42" s="18" t="n">
        <v>47603.61</v>
      </c>
      <c r="Y42" s="18" t="n">
        <v>53209.79</v>
      </c>
      <c r="Z42" s="37" t="n">
        <v>53209.79</v>
      </c>
      <c r="AA42" s="18" t="n">
        <v>48668.38</v>
      </c>
      <c r="AB42" s="19" t="n">
        <v>42721.37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기타비유동부채</t>
        </is>
      </c>
      <c r="F43" s="9" t="n"/>
      <c r="K43" s="9" t="n"/>
      <c r="N43" s="18" t="n">
        <v>388</v>
      </c>
      <c r="O43" s="18" t="n">
        <v>368</v>
      </c>
      <c r="P43" s="37" t="n">
        <v>368</v>
      </c>
      <c r="Q43" s="18" t="n">
        <v>368</v>
      </c>
      <c r="R43" s="18" t="n">
        <v>368</v>
      </c>
      <c r="S43" s="18" t="n">
        <v>368</v>
      </c>
      <c r="T43" s="18" t="n">
        <v>368</v>
      </c>
      <c r="U43" s="37" t="n">
        <v>368</v>
      </c>
      <c r="V43" s="18" t="n">
        <v>368</v>
      </c>
      <c r="W43" s="18" t="n">
        <v>290</v>
      </c>
      <c r="X43" s="18" t="n">
        <v>290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기타유동자산</t>
        </is>
      </c>
      <c r="F44" s="9" t="n"/>
      <c r="K44" s="9" t="n"/>
      <c r="P44" s="9" t="n"/>
      <c r="U44" s="9" t="n"/>
      <c r="Y44" s="18" t="n">
        <v>14318.03</v>
      </c>
      <c r="Z44" s="37" t="n">
        <v>14318.03</v>
      </c>
      <c r="AA44" s="18" t="n">
        <v>16075.42</v>
      </c>
      <c r="AB44" s="19" t="n">
        <v>12112.62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사용권자산</t>
        </is>
      </c>
      <c r="F45" s="9" t="n"/>
      <c r="K45" s="9" t="n"/>
      <c r="P45" s="9" t="n"/>
      <c r="U45" s="9" t="n"/>
      <c r="Y45" s="18" t="n">
        <v>401.66</v>
      </c>
      <c r="Z45" s="37" t="n">
        <v>401.66</v>
      </c>
      <c r="AA45" s="18" t="n">
        <v>337.07</v>
      </c>
      <c r="AB45" s="19" t="n">
        <v>360.87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기타비유동자산</t>
        </is>
      </c>
      <c r="F46" s="9" t="n"/>
      <c r="K46" s="9" t="n"/>
      <c r="P46" s="9" t="n"/>
      <c r="U46" s="9" t="n"/>
      <c r="Y46" s="18" t="n">
        <v>401.66</v>
      </c>
      <c r="Z46" s="37" t="n">
        <v>401.66</v>
      </c>
      <c r="AA46" s="18" t="n">
        <v>337.07</v>
      </c>
      <c r="AB46" s="19" t="n">
        <v>360.87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기타유동부채</t>
        </is>
      </c>
      <c r="F47" s="9" t="n"/>
      <c r="K47" s="9" t="n"/>
      <c r="P47" s="9" t="n"/>
      <c r="U47" s="9" t="n"/>
      <c r="Y47" s="18" t="n">
        <v>19433.67</v>
      </c>
      <c r="Z47" s="37" t="n">
        <v>19433.67</v>
      </c>
      <c r="AA47" s="18" t="n">
        <v>18964.12</v>
      </c>
      <c r="AB47" s="19" t="n">
        <v>31233.47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E48" s="18" t="n">
        <v>37244.01</v>
      </c>
      <c r="F48" s="9" t="n"/>
      <c r="G48" s="18" t="n">
        <v>27074.95</v>
      </c>
      <c r="H48" s="18" t="n">
        <v>28004.04</v>
      </c>
      <c r="I48" s="18" t="n">
        <v>26253.3</v>
      </c>
      <c r="J48" s="18" t="n">
        <v>30307.72</v>
      </c>
      <c r="K48" s="37" t="n">
        <v>111640.01</v>
      </c>
      <c r="L48" s="18" t="n">
        <v>27568.56</v>
      </c>
      <c r="M48" s="18" t="n">
        <v>30927.48</v>
      </c>
      <c r="N48" s="18" t="n">
        <v>30377.56</v>
      </c>
      <c r="O48" s="18" t="n">
        <v>45382.62</v>
      </c>
      <c r="P48" s="37" t="n">
        <v>134256.22</v>
      </c>
      <c r="Q48" s="18" t="n">
        <v>37298.12</v>
      </c>
      <c r="R48" s="18" t="n">
        <v>45783.65</v>
      </c>
      <c r="S48" s="18" t="n">
        <v>39766.68</v>
      </c>
      <c r="T48" s="18" t="n">
        <v>56765.57</v>
      </c>
      <c r="U48" s="37" t="n">
        <v>179614.02</v>
      </c>
      <c r="V48" s="18" t="n">
        <v>50060.95</v>
      </c>
      <c r="W48" s="18" t="n">
        <v>51854.45</v>
      </c>
      <c r="X48" s="18" t="n">
        <v>54840.61</v>
      </c>
      <c r="Y48" s="18" t="n">
        <v>51817.39</v>
      </c>
      <c r="Z48" s="37" t="n">
        <v>208573.4</v>
      </c>
      <c r="AA48" s="18" t="n">
        <v>44957.17</v>
      </c>
      <c r="AB48" s="19" t="n">
        <v>64854.21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E49" s="18" t="n">
        <v>33950.83</v>
      </c>
      <c r="F49" s="9" t="n"/>
      <c r="G49" s="18" t="n">
        <v>27001.76</v>
      </c>
      <c r="H49" s="18" t="n">
        <v>27806.24</v>
      </c>
      <c r="I49" s="18" t="n">
        <v>23839.57</v>
      </c>
      <c r="J49" s="18" t="n">
        <v>33676.96</v>
      </c>
      <c r="K49" s="37" t="n">
        <v>112324.53</v>
      </c>
      <c r="L49" s="18" t="n">
        <v>26469.53</v>
      </c>
      <c r="M49" s="18" t="n">
        <v>28024.14</v>
      </c>
      <c r="N49" s="18" t="n">
        <v>27050.58</v>
      </c>
      <c r="O49" s="18" t="n">
        <v>40026.92</v>
      </c>
      <c r="P49" s="37" t="n">
        <v>121571.17</v>
      </c>
      <c r="Q49" s="18" t="n">
        <v>32377.39</v>
      </c>
      <c r="R49" s="18" t="n">
        <v>39331.15</v>
      </c>
      <c r="S49" s="18" t="n">
        <v>34536.54</v>
      </c>
      <c r="T49" s="18" t="n">
        <v>46191.58</v>
      </c>
      <c r="U49" s="37" t="n">
        <v>152436.66</v>
      </c>
      <c r="V49" s="18" t="n">
        <v>40035.11</v>
      </c>
      <c r="W49" s="18" t="n">
        <v>43658.13</v>
      </c>
      <c r="X49" s="18" t="n">
        <v>45215.61</v>
      </c>
      <c r="Y49" s="18" t="n">
        <v>40977.27</v>
      </c>
      <c r="Z49" s="37" t="n">
        <v>169886.12</v>
      </c>
      <c r="AA49" s="18" t="n">
        <v>36450.01</v>
      </c>
      <c r="AB49" s="19" t="n">
        <v>53019.05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E50" s="18" t="n">
        <v>3293.19</v>
      </c>
      <c r="F50" s="9" t="n"/>
      <c r="G50" s="18" t="n">
        <v>73.2</v>
      </c>
      <c r="H50" s="18" t="n">
        <v>197.8</v>
      </c>
      <c r="I50" s="18" t="n">
        <v>2413.73</v>
      </c>
      <c r="J50" s="18" t="n">
        <v>-3369.23</v>
      </c>
      <c r="K50" s="37" t="n">
        <v>-684.5</v>
      </c>
      <c r="L50" s="18" t="n">
        <v>1099.04</v>
      </c>
      <c r="M50" s="18" t="n">
        <v>2903.34</v>
      </c>
      <c r="N50" s="18" t="n">
        <v>3326.99</v>
      </c>
      <c r="O50" s="18" t="n">
        <v>5355.69</v>
      </c>
      <c r="P50" s="37" t="n">
        <v>12685.06</v>
      </c>
      <c r="Q50" s="18" t="n">
        <v>4920.73</v>
      </c>
      <c r="R50" s="18" t="n">
        <v>6452.5</v>
      </c>
      <c r="S50" s="18" t="n">
        <v>5230.15</v>
      </c>
      <c r="T50" s="18" t="n">
        <v>10573.99</v>
      </c>
      <c r="U50" s="37" t="n">
        <v>27177.37</v>
      </c>
      <c r="V50" s="18" t="n">
        <v>10025.84</v>
      </c>
      <c r="W50" s="18" t="n">
        <v>8196.33</v>
      </c>
      <c r="X50" s="18" t="n">
        <v>9625.01</v>
      </c>
      <c r="Y50" s="18" t="n">
        <v>10840.12</v>
      </c>
      <c r="Z50" s="37" t="n">
        <v>38687.3</v>
      </c>
      <c r="AA50" s="18" t="n">
        <v>8507.16</v>
      </c>
      <c r="AB50" s="19" t="n">
        <v>11835.16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E51" s="18" t="n">
        <v>2657.13</v>
      </c>
      <c r="F51" s="9" t="n"/>
      <c r="G51" s="18" t="n">
        <v>2058.23</v>
      </c>
      <c r="H51" s="18" t="n">
        <v>2741.38</v>
      </c>
      <c r="I51" s="18" t="n">
        <v>2268.01</v>
      </c>
      <c r="J51" s="18" t="n">
        <v>3020.27</v>
      </c>
      <c r="K51" s="37" t="n">
        <v>10087.89</v>
      </c>
      <c r="L51" s="18" t="n">
        <v>2391.16</v>
      </c>
      <c r="M51" s="18" t="n">
        <v>2263.99</v>
      </c>
      <c r="N51" s="18" t="n">
        <v>2252.75</v>
      </c>
      <c r="O51" s="18" t="n">
        <v>2976.37</v>
      </c>
      <c r="P51" s="37" t="n">
        <v>9884.27</v>
      </c>
      <c r="Q51" s="18" t="n">
        <v>2681.42</v>
      </c>
      <c r="R51" s="18" t="n">
        <v>3462.98</v>
      </c>
      <c r="S51" s="18" t="n">
        <v>2732.54</v>
      </c>
      <c r="T51" s="18" t="n">
        <v>3069.13</v>
      </c>
      <c r="U51" s="37" t="n">
        <v>11946.07</v>
      </c>
      <c r="V51" s="18" t="n">
        <v>5103.19</v>
      </c>
      <c r="W51" s="18" t="n">
        <v>2181.29</v>
      </c>
      <c r="X51" s="18" t="n">
        <v>2427.83</v>
      </c>
      <c r="Y51" s="18" t="n">
        <v>3590.83</v>
      </c>
      <c r="Z51" s="37" t="n">
        <v>13303.14</v>
      </c>
      <c r="AA51" s="18" t="n">
        <v>2961.56</v>
      </c>
      <c r="AB51" s="19" t="n">
        <v>4518.03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E52" s="18" t="n">
        <v>636.05</v>
      </c>
      <c r="F52" s="9" t="n"/>
      <c r="G52" s="18" t="n">
        <v>-1985.04</v>
      </c>
      <c r="H52" s="18" t="n">
        <v>-2543.57</v>
      </c>
      <c r="I52" s="18" t="n">
        <v>145.72</v>
      </c>
      <c r="J52" s="18" t="n">
        <v>-6389.5</v>
      </c>
      <c r="K52" s="37" t="n">
        <v>-10772.39</v>
      </c>
      <c r="L52" s="18" t="n">
        <v>-1292.12</v>
      </c>
      <c r="M52" s="18" t="n">
        <v>639.35</v>
      </c>
      <c r="N52" s="18" t="n">
        <v>1074.24</v>
      </c>
      <c r="O52" s="18" t="n">
        <v>2379.34</v>
      </c>
      <c r="P52" s="37" t="n">
        <v>2800.81</v>
      </c>
      <c r="Q52" s="18" t="n">
        <v>2239.3</v>
      </c>
      <c r="R52" s="18" t="n">
        <v>2989.52</v>
      </c>
      <c r="S52" s="18" t="n">
        <v>2497.6</v>
      </c>
      <c r="T52" s="18" t="n">
        <v>7504.86</v>
      </c>
      <c r="U52" s="37" t="n">
        <v>15231.28</v>
      </c>
      <c r="V52" s="18" t="n">
        <v>4922.66</v>
      </c>
      <c r="W52" s="18" t="n">
        <v>6015.04</v>
      </c>
      <c r="X52" s="18" t="n">
        <v>7197.17</v>
      </c>
      <c r="Y52" s="18" t="n">
        <v>7249.29</v>
      </c>
      <c r="Z52" s="37" t="n">
        <v>25384.16</v>
      </c>
      <c r="AA52" s="18" t="n">
        <v>5545.6</v>
      </c>
      <c r="AB52" s="19" t="n">
        <v>7317.13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기타영업외수익</t>
        </is>
      </c>
      <c r="E53" s="18" t="n">
        <v>175.96</v>
      </c>
      <c r="F53" s="9" t="n"/>
      <c r="G53" s="18" t="n">
        <v>317.52</v>
      </c>
      <c r="H53" s="18" t="n">
        <v>279.44</v>
      </c>
      <c r="I53" s="18" t="n">
        <v>319.49</v>
      </c>
      <c r="J53" s="18" t="n">
        <v>317.41</v>
      </c>
      <c r="K53" s="37" t="n">
        <v>1233.86</v>
      </c>
      <c r="L53" s="18" t="n">
        <v>358.28</v>
      </c>
      <c r="M53" s="18" t="n">
        <v>307.13</v>
      </c>
      <c r="N53" s="18" t="n">
        <v>509.2</v>
      </c>
      <c r="O53" s="18" t="n">
        <v>382.8</v>
      </c>
      <c r="P53" s="37" t="n">
        <v>1557.41</v>
      </c>
      <c r="Q53" s="18" t="n">
        <v>335.48</v>
      </c>
      <c r="R53" s="18" t="n">
        <v>432.37</v>
      </c>
      <c r="S53" s="18" t="n">
        <v>363.1</v>
      </c>
      <c r="T53" s="18" t="n">
        <v>374.91</v>
      </c>
      <c r="U53" s="37" t="n">
        <v>1505.86</v>
      </c>
      <c r="V53" s="18" t="n">
        <v>623.96</v>
      </c>
      <c r="W53" s="18" t="n">
        <v>518.83</v>
      </c>
      <c r="X53" s="18" t="n">
        <v>841.72</v>
      </c>
      <c r="Y53" s="18" t="n">
        <v>860.1900000000001</v>
      </c>
      <c r="Z53" s="37" t="n">
        <v>2844.7</v>
      </c>
      <c r="AA53" s="18" t="n">
        <v>421.82</v>
      </c>
      <c r="AB53" s="19" t="n">
        <v>438.15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기타영업외비용</t>
        </is>
      </c>
      <c r="E54" s="18" t="n">
        <v>16.59</v>
      </c>
      <c r="F54" s="9" t="n"/>
      <c r="G54" s="18" t="n">
        <v>1.85</v>
      </c>
      <c r="H54" s="18" t="n">
        <v>43.95</v>
      </c>
      <c r="I54" s="18" t="n">
        <v>2.35</v>
      </c>
      <c r="J54" s="18" t="n">
        <v>365.84</v>
      </c>
      <c r="K54" s="37" t="n">
        <v>413.99</v>
      </c>
      <c r="L54" s="18" t="n">
        <v>4.32</v>
      </c>
      <c r="M54" s="18" t="n">
        <v>501.45</v>
      </c>
      <c r="N54" s="18" t="n">
        <v>2.85</v>
      </c>
      <c r="O54" s="18" t="n">
        <v>547.01</v>
      </c>
      <c r="P54" s="37" t="n">
        <v>1055.63</v>
      </c>
      <c r="Q54" s="18" t="n">
        <v>1.89</v>
      </c>
      <c r="R54" s="18" t="n">
        <v>36.75</v>
      </c>
      <c r="S54" s="18" t="n">
        <v>-13.47</v>
      </c>
      <c r="T54" s="18" t="n">
        <v>-5.09</v>
      </c>
      <c r="U54" s="37" t="n">
        <v>20.08</v>
      </c>
      <c r="V54" s="18" t="n">
        <v>38.95</v>
      </c>
      <c r="W54" s="18" t="n">
        <v>435.88</v>
      </c>
      <c r="X54" s="18" t="n">
        <v>18.44</v>
      </c>
      <c r="Y54" s="18" t="n">
        <v>-354.21</v>
      </c>
      <c r="Z54" s="37" t="n">
        <v>139.06</v>
      </c>
      <c r="AA54" s="18" t="n">
        <v>3.42</v>
      </c>
      <c r="AB54" s="19" t="n">
        <v>15.6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1748.08</v>
      </c>
      <c r="F55" s="9" t="n"/>
      <c r="G55" s="18" t="n">
        <v>745.2</v>
      </c>
      <c r="H55" s="18" t="n">
        <v>1587.98</v>
      </c>
      <c r="I55" s="18" t="n">
        <v>2658.99</v>
      </c>
      <c r="J55" s="18" t="n">
        <v>-454.81</v>
      </c>
      <c r="K55" s="37" t="n">
        <v>4537.36</v>
      </c>
      <c r="L55" s="18" t="n">
        <v>2945.63</v>
      </c>
      <c r="M55" s="18" t="n">
        <v>1308.38</v>
      </c>
      <c r="N55" s="18" t="n">
        <v>1683.17</v>
      </c>
      <c r="O55" s="18" t="n">
        <v>1446.19</v>
      </c>
      <c r="P55" s="37" t="n">
        <v>7383.37</v>
      </c>
      <c r="Q55" s="18" t="n">
        <v>2274.63</v>
      </c>
      <c r="R55" s="18" t="n">
        <v>1890.12</v>
      </c>
      <c r="S55" s="18" t="n">
        <v>384.81</v>
      </c>
      <c r="T55" s="18" t="n">
        <v>4394.57</v>
      </c>
      <c r="U55" s="37" t="n">
        <v>8944.129999999999</v>
      </c>
      <c r="V55" s="18" t="n">
        <v>1109.01</v>
      </c>
      <c r="W55" s="18" t="n">
        <v>1094.1</v>
      </c>
      <c r="X55" s="18" t="n">
        <v>1078.24</v>
      </c>
      <c r="Y55" s="18" t="n">
        <v>1415.7</v>
      </c>
      <c r="Z55" s="37" t="n">
        <v>4697.05</v>
      </c>
      <c r="AA55" s="18" t="n">
        <v>3065.39</v>
      </c>
      <c r="AB55" s="19" t="n">
        <v>2179.92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139.81</v>
      </c>
      <c r="F56" s="9" t="n"/>
      <c r="G56" s="18" t="n">
        <v>1216.92</v>
      </c>
      <c r="H56" s="18" t="n">
        <v>1921.19</v>
      </c>
      <c r="I56" s="18" t="n">
        <v>831.36</v>
      </c>
      <c r="J56" s="18" t="n">
        <v>2271.22</v>
      </c>
      <c r="K56" s="37" t="n">
        <v>6240.69</v>
      </c>
      <c r="L56" s="18" t="n">
        <v>264.06</v>
      </c>
      <c r="M56" s="18" t="n">
        <v>273.4</v>
      </c>
      <c r="N56" s="18" t="n">
        <v>81.15000000000001</v>
      </c>
      <c r="O56" s="18" t="n">
        <v>1161.67</v>
      </c>
      <c r="P56" s="37" t="n">
        <v>1780.28</v>
      </c>
      <c r="Q56" s="18" t="n">
        <v>354.22</v>
      </c>
      <c r="R56" s="18" t="n">
        <v>141.41</v>
      </c>
      <c r="S56" s="18" t="n">
        <v>643.42</v>
      </c>
      <c r="T56" s="18" t="n">
        <v>517.27</v>
      </c>
      <c r="U56" s="37" t="n">
        <v>1656.32</v>
      </c>
      <c r="V56" s="18" t="n">
        <v>284.21</v>
      </c>
      <c r="W56" s="18" t="n">
        <v>2750.49</v>
      </c>
      <c r="X56" s="18" t="n">
        <v>-782.64</v>
      </c>
      <c r="Y56" s="18" t="n">
        <v>1486.59</v>
      </c>
      <c r="Z56" s="37" t="n">
        <v>3738.65</v>
      </c>
      <c r="AA56" s="18" t="n">
        <v>385.4</v>
      </c>
      <c r="AB56" s="19" t="n">
        <v>410.6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2403.69</v>
      </c>
      <c r="F57" s="9" t="n"/>
      <c r="G57" s="18" t="n">
        <v>-2141.08</v>
      </c>
      <c r="H57" s="18" t="n">
        <v>-2641.29</v>
      </c>
      <c r="I57" s="18" t="n">
        <v>2290.49</v>
      </c>
      <c r="J57" s="18" t="n">
        <v>-9163.98</v>
      </c>
      <c r="K57" s="37" t="n">
        <v>-11655.86</v>
      </c>
      <c r="L57" s="18" t="n">
        <v>1752.05</v>
      </c>
      <c r="M57" s="18" t="n">
        <v>1480.01</v>
      </c>
      <c r="N57" s="18" t="n">
        <v>3182.61</v>
      </c>
      <c r="O57" s="18" t="n">
        <v>2499.65</v>
      </c>
      <c r="P57" s="37" t="n">
        <v>8914.32</v>
      </c>
      <c r="Q57" s="18" t="n">
        <v>4493.31</v>
      </c>
      <c r="R57" s="18" t="n">
        <v>5133.84</v>
      </c>
      <c r="S57" s="18" t="n">
        <v>2615.57</v>
      </c>
      <c r="T57" s="18" t="n">
        <v>11762.16</v>
      </c>
      <c r="U57" s="37" t="n">
        <v>24004.88</v>
      </c>
      <c r="V57" s="18" t="n">
        <v>6332.46</v>
      </c>
      <c r="W57" s="18" t="n">
        <v>5313.36</v>
      </c>
      <c r="X57" s="18" t="n">
        <v>9918.209999999999</v>
      </c>
      <c r="Y57" s="18" t="n">
        <v>7562.07</v>
      </c>
      <c r="Z57" s="37" t="n">
        <v>29126.1</v>
      </c>
      <c r="AA57" s="18" t="n">
        <v>8643.99</v>
      </c>
      <c r="AB57" s="19" t="n">
        <v>9509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-127.98</v>
      </c>
      <c r="F58" s="9" t="n"/>
      <c r="G58" s="18" t="n">
        <v>-431.46</v>
      </c>
      <c r="H58" s="18" t="n">
        <v>-1345.89</v>
      </c>
      <c r="I58" s="18" t="n">
        <v>497.71</v>
      </c>
      <c r="J58" s="18" t="n">
        <v>-2528.75</v>
      </c>
      <c r="K58" s="37" t="n">
        <v>-3808.39</v>
      </c>
      <c r="L58" s="18" t="n">
        <v>370.3</v>
      </c>
      <c r="M58" s="18" t="n">
        <v>175.37</v>
      </c>
      <c r="N58" s="18" t="n">
        <v>672.64</v>
      </c>
      <c r="O58" s="18" t="n">
        <v>128.12</v>
      </c>
      <c r="P58" s="37" t="n">
        <v>1346.43</v>
      </c>
      <c r="Q58" s="18" t="n">
        <v>881.6900000000001</v>
      </c>
      <c r="R58" s="18" t="n">
        <v>943.25</v>
      </c>
      <c r="S58" s="18" t="n">
        <v>415.51</v>
      </c>
      <c r="T58" s="18" t="n">
        <v>2391.15</v>
      </c>
      <c r="U58" s="37" t="n">
        <v>4631.6</v>
      </c>
      <c r="V58" s="18" t="n">
        <v>1266.92</v>
      </c>
      <c r="W58" s="18" t="n">
        <v>622.91</v>
      </c>
      <c r="X58" s="18" t="n">
        <v>2190.56</v>
      </c>
      <c r="Y58" s="18" t="n">
        <v>1389.19</v>
      </c>
      <c r="Z58" s="37" t="n">
        <v>5469.58</v>
      </c>
      <c r="AA58" s="18" t="n">
        <v>1852.3</v>
      </c>
      <c r="AB58" s="19" t="n">
        <v>1938.27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2531.67</v>
      </c>
      <c r="F59" s="9" t="n"/>
      <c r="G59" s="18" t="n">
        <v>-1709.62</v>
      </c>
      <c r="H59" s="18" t="n">
        <v>-1295.4</v>
      </c>
      <c r="I59" s="18" t="n">
        <v>1792.78</v>
      </c>
      <c r="J59" s="18" t="n">
        <v>-6635.22</v>
      </c>
      <c r="K59" s="37" t="n">
        <v>-7847.46</v>
      </c>
      <c r="L59" s="18" t="n">
        <v>1381.76</v>
      </c>
      <c r="M59" s="18" t="n">
        <v>1304.64</v>
      </c>
      <c r="N59" s="18" t="n">
        <v>2509.97</v>
      </c>
      <c r="O59" s="18" t="n">
        <v>2371.53</v>
      </c>
      <c r="P59" s="37" t="n">
        <v>7567.9</v>
      </c>
      <c r="Q59" s="18" t="n">
        <v>3611.62</v>
      </c>
      <c r="R59" s="18" t="n">
        <v>4190.59</v>
      </c>
      <c r="S59" s="18" t="n">
        <v>2200.05</v>
      </c>
      <c r="T59" s="18" t="n">
        <v>9371.01</v>
      </c>
      <c r="U59" s="37" t="n">
        <v>19373.27</v>
      </c>
      <c r="V59" s="18" t="n">
        <v>5065.54</v>
      </c>
      <c r="W59" s="18" t="n">
        <v>4690.45</v>
      </c>
      <c r="X59" s="18" t="n">
        <v>7727.65</v>
      </c>
      <c r="Y59" s="18" t="n">
        <v>6172.89</v>
      </c>
      <c r="Z59" s="37" t="n">
        <v>23656.53</v>
      </c>
      <c r="AA59" s="18" t="n">
        <v>6791.69</v>
      </c>
      <c r="AB59" s="19" t="n">
        <v>7570.73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E60" s="18" t="n">
        <v>2531.67</v>
      </c>
      <c r="F60" s="9" t="n"/>
      <c r="G60" s="18" t="n">
        <v>-1709.62</v>
      </c>
      <c r="H60" s="18" t="n">
        <v>-1295.4</v>
      </c>
      <c r="I60" s="18" t="n">
        <v>1792.78</v>
      </c>
      <c r="J60" s="18" t="n">
        <v>-6635.22</v>
      </c>
      <c r="K60" s="37" t="n">
        <v>-7847.46</v>
      </c>
      <c r="L60" s="18" t="n">
        <v>1381.76</v>
      </c>
      <c r="M60" s="18" t="n">
        <v>1304.64</v>
      </c>
      <c r="N60" s="18" t="n">
        <v>2509.97</v>
      </c>
      <c r="O60" s="18" t="n">
        <v>2371.53</v>
      </c>
      <c r="P60" s="37" t="n">
        <v>7567.9</v>
      </c>
      <c r="Q60" s="18" t="n">
        <v>3611.62</v>
      </c>
      <c r="R60" s="18" t="n">
        <v>4190.59</v>
      </c>
      <c r="S60" s="18" t="n">
        <v>2200.05</v>
      </c>
      <c r="T60" s="18" t="n">
        <v>9371.01</v>
      </c>
      <c r="U60" s="37" t="n">
        <v>19373.27</v>
      </c>
      <c r="V60" s="18" t="n">
        <v>5065.54</v>
      </c>
      <c r="W60" s="18" t="n">
        <v>4690.45</v>
      </c>
      <c r="X60" s="18" t="n">
        <v>7727.65</v>
      </c>
      <c r="Y60" s="18" t="n">
        <v>6172.89</v>
      </c>
      <c r="Z60" s="37" t="n">
        <v>23656.53</v>
      </c>
      <c r="AA60" s="18" t="n">
        <v>6791.69</v>
      </c>
      <c r="AB60" s="19" t="n">
        <v>7570.73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금융손익</t>
        </is>
      </c>
      <c r="E61" s="18" t="n">
        <v>1608.27</v>
      </c>
      <c r="F61" s="9" t="n"/>
      <c r="G61" s="18" t="n">
        <v>-471.72</v>
      </c>
      <c r="H61" s="18" t="n">
        <v>-333.21</v>
      </c>
      <c r="I61" s="18" t="n">
        <v>1827.63</v>
      </c>
      <c r="J61" s="18" t="n">
        <v>-2726.03</v>
      </c>
      <c r="K61" s="37" t="n">
        <v>-1703.33</v>
      </c>
      <c r="L61" s="18" t="n">
        <v>2681.57</v>
      </c>
      <c r="M61" s="18" t="n">
        <v>1034.98</v>
      </c>
      <c r="N61" s="18" t="n">
        <v>1602.02</v>
      </c>
      <c r="O61" s="18" t="n">
        <v>284.52</v>
      </c>
      <c r="P61" s="37" t="n">
        <v>5603.09</v>
      </c>
      <c r="Q61" s="18" t="n">
        <v>1920.41</v>
      </c>
      <c r="R61" s="18" t="n">
        <v>1748.71</v>
      </c>
      <c r="S61" s="18" t="n">
        <v>-258.61</v>
      </c>
      <c r="T61" s="18" t="n">
        <v>3877.3</v>
      </c>
      <c r="U61" s="37" t="n">
        <v>7287.81</v>
      </c>
      <c r="V61" s="18" t="n">
        <v>824.8</v>
      </c>
      <c r="W61" s="18" t="n">
        <v>-1656.39</v>
      </c>
      <c r="X61" s="18" t="n">
        <v>1860.88</v>
      </c>
      <c r="Y61" s="18" t="n">
        <v>-70.89</v>
      </c>
      <c r="Z61" s="37" t="n">
        <v>958.4</v>
      </c>
      <c r="AA61" s="18" t="n">
        <v>2679.99</v>
      </c>
      <c r="AB61" s="19" t="n">
        <v>1769.32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159.37</v>
      </c>
      <c r="F62" s="9" t="n"/>
      <c r="G62" s="18" t="n">
        <v>315.67</v>
      </c>
      <c r="H62" s="18" t="n">
        <v>235.49</v>
      </c>
      <c r="I62" s="18" t="n">
        <v>317.14</v>
      </c>
      <c r="J62" s="18" t="n">
        <v>-48.43</v>
      </c>
      <c r="K62" s="37" t="n">
        <v>819.87</v>
      </c>
      <c r="L62" s="18" t="n">
        <v>353.96</v>
      </c>
      <c r="M62" s="18" t="n">
        <v>-194.32</v>
      </c>
      <c r="N62" s="18" t="n">
        <v>506.35</v>
      </c>
      <c r="O62" s="18" t="n">
        <v>-164.21</v>
      </c>
      <c r="P62" s="37" t="n">
        <v>501.78</v>
      </c>
      <c r="Q62" s="18" t="n">
        <v>333.59</v>
      </c>
      <c r="R62" s="18" t="n">
        <v>395.62</v>
      </c>
      <c r="S62" s="18" t="n">
        <v>376.57</v>
      </c>
      <c r="T62" s="18" t="n">
        <v>380</v>
      </c>
      <c r="U62" s="37" t="n">
        <v>1485.78</v>
      </c>
      <c r="V62" s="18" t="n">
        <v>585.01</v>
      </c>
      <c r="W62" s="18" t="n">
        <v>82.95</v>
      </c>
      <c r="X62" s="18" t="n">
        <v>823.28</v>
      </c>
      <c r="Y62" s="18" t="n">
        <v>1214.4</v>
      </c>
      <c r="Z62" s="37" t="n">
        <v>2705.64</v>
      </c>
      <c r="AA62" s="18" t="n">
        <v>418.4</v>
      </c>
      <c r="AB62" s="19" t="n">
        <v>422.55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2531.67</v>
      </c>
      <c r="F63" s="9" t="n"/>
      <c r="G63" s="18" t="n">
        <v>-1709.62</v>
      </c>
      <c r="H63" s="18" t="n">
        <v>-1295.4</v>
      </c>
      <c r="I63" s="18" t="n">
        <v>1792.78</v>
      </c>
      <c r="J63" s="18" t="n">
        <v>-6635.22</v>
      </c>
      <c r="K63" s="37" t="n">
        <v>-7847.46</v>
      </c>
      <c r="L63" s="18" t="n">
        <v>1381.76</v>
      </c>
      <c r="M63" s="18" t="n">
        <v>1304.64</v>
      </c>
      <c r="N63" s="18" t="n">
        <v>2509.97</v>
      </c>
      <c r="O63" s="18" t="n">
        <v>2371.53</v>
      </c>
      <c r="P63" s="37" t="n">
        <v>7567.9</v>
      </c>
      <c r="Q63" s="18" t="n">
        <v>3611.62</v>
      </c>
      <c r="R63" s="18" t="n">
        <v>4190.59</v>
      </c>
      <c r="S63" s="18" t="n">
        <v>2200.05</v>
      </c>
      <c r="T63" s="18" t="n">
        <v>9371.01</v>
      </c>
      <c r="U63" s="37" t="n">
        <v>19373.27</v>
      </c>
      <c r="V63" s="18" t="n">
        <v>5065.54</v>
      </c>
      <c r="W63" s="18" t="n">
        <v>4690.45</v>
      </c>
      <c r="X63" s="18" t="n">
        <v>7727.65</v>
      </c>
      <c r="Y63" s="18" t="n">
        <v>6172.89</v>
      </c>
      <c r="Z63" s="37" t="n">
        <v>23656.53</v>
      </c>
      <c r="AA63" s="18" t="n">
        <v>6791.69</v>
      </c>
      <c r="AB63" s="19" t="n">
        <v>7570.73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2531.67</v>
      </c>
      <c r="F64" s="9" t="n"/>
      <c r="G64" s="18" t="n">
        <v>-1709.62</v>
      </c>
      <c r="H64" s="18" t="n">
        <v>-1295.4</v>
      </c>
      <c r="I64" s="18" t="n">
        <v>1792.78</v>
      </c>
      <c r="J64" s="18" t="n">
        <v>-6635.22</v>
      </c>
      <c r="K64" s="37" t="n">
        <v>-7847.46</v>
      </c>
      <c r="L64" s="18" t="n">
        <v>1381.76</v>
      </c>
      <c r="M64" s="18" t="n">
        <v>1304.64</v>
      </c>
      <c r="N64" s="18" t="n">
        <v>2509.97</v>
      </c>
      <c r="O64" s="18" t="n">
        <v>2371.53</v>
      </c>
      <c r="P64" s="37" t="n">
        <v>7567.9</v>
      </c>
      <c r="Q64" s="18" t="n">
        <v>3611.62</v>
      </c>
      <c r="R64" s="18" t="n">
        <v>4190.59</v>
      </c>
      <c r="S64" s="18" t="n">
        <v>2200.05</v>
      </c>
      <c r="T64" s="18" t="n">
        <v>9371.01</v>
      </c>
      <c r="U64" s="37" t="n">
        <v>19373.27</v>
      </c>
      <c r="V64" s="18" t="n">
        <v>5065.54</v>
      </c>
      <c r="W64" s="18" t="n">
        <v>4690.45</v>
      </c>
      <c r="X64" s="18" t="n">
        <v>7727.65</v>
      </c>
      <c r="Y64" s="18" t="n">
        <v>6172.89</v>
      </c>
      <c r="Z64" s="37" t="n">
        <v>23656.53</v>
      </c>
      <c r="AA64" s="18" t="n">
        <v>6791.69</v>
      </c>
      <c r="AB64" s="19" t="n">
        <v>7570.73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영업활동으로인한현금흐름</t>
        </is>
      </c>
      <c r="E65" s="18" t="n">
        <v>1387.9</v>
      </c>
      <c r="F65" s="9" t="n"/>
      <c r="G65" s="18" t="n">
        <v>-4669.8</v>
      </c>
      <c r="H65" s="18" t="n">
        <v>-862.37</v>
      </c>
      <c r="I65" s="18" t="n">
        <v>4094.12</v>
      </c>
      <c r="J65" s="18" t="n">
        <v>-2014.44</v>
      </c>
      <c r="K65" s="37" t="n">
        <v>-3452.49</v>
      </c>
      <c r="L65" s="18" t="n">
        <v>-919.98</v>
      </c>
      <c r="M65" s="18" t="n">
        <v>8781.629999999999</v>
      </c>
      <c r="N65" s="18" t="n">
        <v>-3914.5</v>
      </c>
      <c r="O65" s="18" t="n">
        <v>15168.72</v>
      </c>
      <c r="P65" s="37" t="n">
        <v>19115.87</v>
      </c>
      <c r="Q65" s="18" t="n">
        <v>-5101.61</v>
      </c>
      <c r="R65" s="18" t="n">
        <v>2258.36</v>
      </c>
      <c r="S65" s="18" t="n">
        <v>891.86</v>
      </c>
      <c r="T65" s="18" t="n">
        <v>1507.6</v>
      </c>
      <c r="U65" s="37" t="n">
        <v>-443.79</v>
      </c>
      <c r="V65" s="18" t="n">
        <v>-1394.67</v>
      </c>
      <c r="W65" s="18" t="n">
        <v>3332.11</v>
      </c>
      <c r="X65" s="18" t="n">
        <v>2031.67</v>
      </c>
      <c r="Y65" s="18" t="n">
        <v>11161.14</v>
      </c>
      <c r="Z65" s="37" t="n">
        <v>15130.25</v>
      </c>
      <c r="AA65" s="18" t="n">
        <v>-910.92</v>
      </c>
      <c r="AB65" s="19" t="n">
        <v>15261.84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감가상각비</t>
        </is>
      </c>
      <c r="E66" s="18" t="n">
        <v>702.0599999999999</v>
      </c>
      <c r="F66" s="9" t="n"/>
      <c r="G66" s="18" t="n">
        <v>719.28</v>
      </c>
      <c r="H66" s="18" t="n">
        <v>759.41</v>
      </c>
      <c r="I66" s="18" t="n">
        <v>780.8</v>
      </c>
      <c r="J66" s="18" t="n">
        <v>761.92</v>
      </c>
      <c r="K66" s="37" t="n">
        <v>3021.41</v>
      </c>
      <c r="L66" s="18" t="n">
        <v>883.64</v>
      </c>
      <c r="M66" s="18" t="n">
        <v>889.6799999999999</v>
      </c>
      <c r="P66" s="9" t="n"/>
      <c r="S66" s="18" t="n">
        <v>1162.49</v>
      </c>
      <c r="U66" s="9" t="n"/>
      <c r="V66" s="18" t="n">
        <v>1175.93</v>
      </c>
      <c r="W66" s="18" t="n">
        <v>1270.9</v>
      </c>
      <c r="X66" s="18" t="n">
        <v>1257.68</v>
      </c>
      <c r="Z66" s="9" t="n"/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무형자산상각비</t>
        </is>
      </c>
      <c r="E67" s="18" t="n">
        <v>270.58</v>
      </c>
      <c r="F67" s="9" t="n"/>
      <c r="G67" s="18" t="n">
        <v>64.31</v>
      </c>
      <c r="H67" s="18" t="n">
        <v>64.67</v>
      </c>
      <c r="I67" s="18" t="n">
        <v>70.65000000000001</v>
      </c>
      <c r="J67" s="18" t="n">
        <v>71.55</v>
      </c>
      <c r="K67" s="37" t="n">
        <v>271.18</v>
      </c>
      <c r="L67" s="18" t="n">
        <v>66.23999999999999</v>
      </c>
      <c r="M67" s="18" t="n">
        <v>69.37</v>
      </c>
      <c r="P67" s="9" t="n"/>
      <c r="S67" s="18" t="n">
        <v>24.42</v>
      </c>
      <c r="U67" s="9" t="n"/>
      <c r="V67" s="18" t="n">
        <v>13.07</v>
      </c>
      <c r="W67" s="18" t="n">
        <v>16.77</v>
      </c>
      <c r="X67" s="18" t="n">
        <v>16.03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법인세납부(CF)</t>
        </is>
      </c>
      <c r="E68" s="18" t="n">
        <v>381.35</v>
      </c>
      <c r="F68" s="9" t="n"/>
      <c r="G68" s="18" t="n">
        <v>-50.74</v>
      </c>
      <c r="H68" s="18" t="n">
        <v>898.48</v>
      </c>
      <c r="I68" s="18" t="n">
        <v>-0.01</v>
      </c>
      <c r="J68" s="18" t="n">
        <v>183</v>
      </c>
      <c r="K68" s="37" t="n">
        <v>1030.73</v>
      </c>
      <c r="L68" s="18" t="n">
        <v>-156.72</v>
      </c>
      <c r="M68" s="18" t="n">
        <v>156.72</v>
      </c>
      <c r="N68" s="18" t="n">
        <v>-111.36</v>
      </c>
      <c r="O68" s="18" t="n">
        <v>-116.85</v>
      </c>
      <c r="P68" s="37" t="n">
        <v>-228.21</v>
      </c>
      <c r="Q68" s="18" t="n">
        <v>-137.53</v>
      </c>
      <c r="R68" s="18" t="n">
        <v>-154.47</v>
      </c>
      <c r="S68" s="18" t="n">
        <v>-112.99</v>
      </c>
      <c r="T68" s="18" t="n">
        <v>-122.21</v>
      </c>
      <c r="U68" s="37" t="n">
        <v>-527.2</v>
      </c>
      <c r="V68" s="18" t="n">
        <v>-1448.25</v>
      </c>
      <c r="W68" s="18" t="n">
        <v>-1699.9</v>
      </c>
      <c r="X68" s="18" t="n">
        <v>-856.21</v>
      </c>
      <c r="Y68" s="18" t="n">
        <v>-690.36</v>
      </c>
      <c r="Z68" s="37" t="n">
        <v>-4694.72</v>
      </c>
      <c r="AA68" s="18" t="n">
        <v>-2569.21</v>
      </c>
      <c r="AB68" s="19" t="n">
        <v>-3196.67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배당금수취(CF)</t>
        </is>
      </c>
      <c r="E69" s="18" t="n">
        <v>24.13</v>
      </c>
      <c r="F69" s="9" t="n"/>
      <c r="G69" s="18" t="n">
        <v>0</v>
      </c>
      <c r="H69" s="18" t="n">
        <v>0.16</v>
      </c>
      <c r="I69" s="18" t="n">
        <v>0</v>
      </c>
      <c r="J69" s="18" t="n">
        <v>0</v>
      </c>
      <c r="K69" s="37" t="n">
        <v>0.16</v>
      </c>
      <c r="N69" s="18" t="n">
        <v>0</v>
      </c>
      <c r="O69" s="18" t="n">
        <v>0</v>
      </c>
      <c r="P69" s="9" t="n"/>
      <c r="U69" s="9" t="n"/>
      <c r="V69" s="18" t="n">
        <v>0</v>
      </c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투자활동으로인한현금흐름</t>
        </is>
      </c>
      <c r="E70" s="18" t="n">
        <v>-8081.13</v>
      </c>
      <c r="F70" s="9" t="n"/>
      <c r="G70" s="18" t="n">
        <v>-9437.99</v>
      </c>
      <c r="H70" s="18" t="n">
        <v>-1402.02</v>
      </c>
      <c r="I70" s="18" t="n">
        <v>-1699.58</v>
      </c>
      <c r="J70" s="18" t="n">
        <v>-587.98</v>
      </c>
      <c r="K70" s="37" t="n">
        <v>-13127.57</v>
      </c>
      <c r="L70" s="18" t="n">
        <v>-966.59</v>
      </c>
      <c r="M70" s="18" t="n">
        <v>-4909.28</v>
      </c>
      <c r="N70" s="18" t="n">
        <v>-5193.6</v>
      </c>
      <c r="O70" s="18" t="n">
        <v>-3502.21</v>
      </c>
      <c r="P70" s="37" t="n">
        <v>-14571.68</v>
      </c>
      <c r="Q70" s="18" t="n">
        <v>-582.97</v>
      </c>
      <c r="R70" s="18" t="n">
        <v>-2671.29</v>
      </c>
      <c r="S70" s="18" t="n">
        <v>-768.0599999999999</v>
      </c>
      <c r="T70" s="18" t="n">
        <v>-3486.67</v>
      </c>
      <c r="U70" s="37" t="n">
        <v>-7508.99</v>
      </c>
      <c r="V70" s="18" t="n">
        <v>131.94</v>
      </c>
      <c r="W70" s="18" t="n">
        <v>-3784.5</v>
      </c>
      <c r="X70" s="18" t="n">
        <v>-923.99</v>
      </c>
      <c r="Y70" s="18" t="n">
        <v>-951.15</v>
      </c>
      <c r="Z70" s="37" t="n">
        <v>-5527.7</v>
      </c>
      <c r="AA70" s="18" t="n">
        <v>-1423.68</v>
      </c>
      <c r="AB70" s="19" t="n">
        <v>-17806.4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유형자산의증가</t>
        </is>
      </c>
      <c r="E71" s="18" t="n">
        <v>4035.21</v>
      </c>
      <c r="F71" s="9" t="n"/>
      <c r="G71" s="18" t="n">
        <v>4224.3</v>
      </c>
      <c r="H71" s="18" t="n">
        <v>1707.59</v>
      </c>
      <c r="I71" s="18" t="n">
        <v>800.99</v>
      </c>
      <c r="J71" s="18" t="n">
        <v>518.54</v>
      </c>
      <c r="K71" s="37" t="n">
        <v>7251.42</v>
      </c>
      <c r="L71" s="18" t="n">
        <v>446.75</v>
      </c>
      <c r="M71" s="18" t="n">
        <v>4549.18</v>
      </c>
      <c r="N71" s="18" t="n">
        <v>2960.01</v>
      </c>
      <c r="O71" s="18" t="n">
        <v>2181.6</v>
      </c>
      <c r="P71" s="37" t="n">
        <v>10137.54</v>
      </c>
      <c r="Q71" s="18" t="n">
        <v>291.7</v>
      </c>
      <c r="R71" s="18" t="n">
        <v>2125.83</v>
      </c>
      <c r="S71" s="18" t="n">
        <v>570.86</v>
      </c>
      <c r="T71" s="18" t="n">
        <v>1861.78</v>
      </c>
      <c r="U71" s="37" t="n">
        <v>4850.17</v>
      </c>
      <c r="V71" s="18" t="n">
        <v>1842.22</v>
      </c>
      <c r="W71" s="18" t="n">
        <v>3177.88</v>
      </c>
      <c r="X71" s="18" t="n">
        <v>987.6799999999999</v>
      </c>
      <c r="Y71" s="18" t="n">
        <v>744.74</v>
      </c>
      <c r="Z71" s="37" t="n">
        <v>6752.52</v>
      </c>
      <c r="AA71" s="18" t="n">
        <v>1042.53</v>
      </c>
      <c r="AB71" s="19" t="n">
        <v>6887.49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CAPEX</t>
        </is>
      </c>
      <c r="E72" s="18" t="n">
        <v>4035.21</v>
      </c>
      <c r="F72" s="9" t="n"/>
      <c r="G72" s="18" t="n">
        <v>4224.3</v>
      </c>
      <c r="H72" s="18" t="n">
        <v>1707.59</v>
      </c>
      <c r="I72" s="18" t="n">
        <v>800.99</v>
      </c>
      <c r="J72" s="18" t="n">
        <v>518.54</v>
      </c>
      <c r="K72" s="37" t="n">
        <v>7251.42</v>
      </c>
      <c r="L72" s="18" t="n">
        <v>446.75</v>
      </c>
      <c r="M72" s="18" t="n">
        <v>4549.18</v>
      </c>
      <c r="N72" s="18" t="n">
        <v>2960.01</v>
      </c>
      <c r="O72" s="18" t="n">
        <v>2181.6</v>
      </c>
      <c r="P72" s="37" t="n">
        <v>10137.54</v>
      </c>
      <c r="Q72" s="18" t="n">
        <v>291.7</v>
      </c>
      <c r="R72" s="18" t="n">
        <v>2125.83</v>
      </c>
      <c r="S72" s="18" t="n">
        <v>570.86</v>
      </c>
      <c r="T72" s="18" t="n">
        <v>1861.78</v>
      </c>
      <c r="U72" s="37" t="n">
        <v>4850.17</v>
      </c>
      <c r="V72" s="18" t="n">
        <v>1842.22</v>
      </c>
      <c r="W72" s="18" t="n">
        <v>3651.69</v>
      </c>
      <c r="X72" s="18" t="n">
        <v>575.39</v>
      </c>
      <c r="Y72" s="18" t="n">
        <v>683.22</v>
      </c>
      <c r="Z72" s="37" t="n">
        <v>6752.52</v>
      </c>
      <c r="AA72" s="18" t="n">
        <v>1042.53</v>
      </c>
      <c r="AB72" s="19" t="n">
        <v>6887.49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재무활동으로인한현금흐름</t>
        </is>
      </c>
      <c r="E73" s="18" t="n">
        <v>298.62</v>
      </c>
      <c r="F73" s="9" t="n"/>
      <c r="G73" s="18" t="n">
        <v>-53.22</v>
      </c>
      <c r="H73" s="18" t="n">
        <v>1885.67</v>
      </c>
      <c r="I73" s="18" t="n">
        <v>54.81</v>
      </c>
      <c r="J73" s="18" t="n">
        <v>5.59</v>
      </c>
      <c r="K73" s="37" t="n">
        <v>1892.85</v>
      </c>
      <c r="L73" s="18" t="n">
        <v>-48</v>
      </c>
      <c r="M73" s="18" t="n">
        <v>1640.9</v>
      </c>
      <c r="N73" s="18" t="n">
        <v>1436.23</v>
      </c>
      <c r="O73" s="18" t="n">
        <v>713.26</v>
      </c>
      <c r="P73" s="37" t="n">
        <v>3742.39</v>
      </c>
      <c r="Q73" s="18" t="n">
        <v>-30</v>
      </c>
      <c r="R73" s="18" t="n">
        <v>4802.5</v>
      </c>
      <c r="S73" s="18" t="n">
        <v>543.61</v>
      </c>
      <c r="T73" s="18" t="n">
        <v>2030.57</v>
      </c>
      <c r="U73" s="37" t="n">
        <v>7346.68</v>
      </c>
      <c r="V73" s="18" t="n">
        <v>2585.53</v>
      </c>
      <c r="W73" s="18" t="n">
        <v>-3617.85</v>
      </c>
      <c r="X73" s="18" t="n">
        <v>6026.9</v>
      </c>
      <c r="Y73" s="18" t="n">
        <v>-5787.86</v>
      </c>
      <c r="Z73" s="37" t="n">
        <v>-793.28</v>
      </c>
      <c r="AA73" s="18" t="n">
        <v>1707.11</v>
      </c>
      <c r="AB73" s="19" t="n">
        <v>-3584.45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-4.79</v>
      </c>
      <c r="F74" s="9" t="n"/>
      <c r="G74" s="18" t="n">
        <v>-4.49</v>
      </c>
      <c r="H74" s="18" t="n">
        <v>-4.2</v>
      </c>
      <c r="I74" s="18" t="n">
        <v>-3.88</v>
      </c>
      <c r="J74" s="18" t="n">
        <v>-3.59</v>
      </c>
      <c r="K74" s="37" t="n">
        <v>-16.16</v>
      </c>
      <c r="L74" s="18" t="n">
        <v>-3.28</v>
      </c>
      <c r="M74" s="18" t="n">
        <v>-2.99</v>
      </c>
      <c r="N74" s="18" t="n">
        <v>-2.7</v>
      </c>
      <c r="O74" s="18" t="n">
        <v>-2.41</v>
      </c>
      <c r="P74" s="37" t="n">
        <v>-11.38</v>
      </c>
      <c r="Q74" s="18" t="n">
        <v>-2.11</v>
      </c>
      <c r="R74" s="18" t="n">
        <v>-1.82</v>
      </c>
      <c r="S74" s="18" t="n">
        <v>-1.52</v>
      </c>
      <c r="T74" s="18" t="n">
        <v>-3.41</v>
      </c>
      <c r="U74" s="37" t="n">
        <v>-8.859999999999999</v>
      </c>
      <c r="V74" s="18" t="n">
        <v>-1.44</v>
      </c>
      <c r="W74" s="18" t="n">
        <v>1.44</v>
      </c>
      <c r="X74" s="18" t="n">
        <v>0</v>
      </c>
      <c r="Y74" s="18" t="n">
        <v>0</v>
      </c>
      <c r="Z74" s="37" t="n">
        <v>0</v>
      </c>
      <c r="AA74" s="18" t="n">
        <v>0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자기주식의취득</t>
        </is>
      </c>
      <c r="E75" s="18" t="n">
        <v>0</v>
      </c>
      <c r="F75" s="9" t="n"/>
      <c r="K75" s="9" t="n"/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리스부채의상환</t>
        </is>
      </c>
      <c r="E76" s="18" t="n">
        <v>48.98</v>
      </c>
      <c r="F76" s="9" t="n"/>
      <c r="G76" s="18" t="n">
        <v>48.72</v>
      </c>
      <c r="H76" s="18" t="n">
        <v>49</v>
      </c>
      <c r="I76" s="18" t="n">
        <v>49.3</v>
      </c>
      <c r="J76" s="18" t="n">
        <v>50.22</v>
      </c>
      <c r="K76" s="37" t="n">
        <v>197.24</v>
      </c>
      <c r="L76" s="18" t="n">
        <v>44.72</v>
      </c>
      <c r="M76" s="18" t="n">
        <v>45.01</v>
      </c>
      <c r="N76" s="18" t="n">
        <v>45.3</v>
      </c>
      <c r="O76" s="18" t="n">
        <v>45.59</v>
      </c>
      <c r="P76" s="37" t="n">
        <v>180.62</v>
      </c>
      <c r="Q76" s="18" t="n">
        <v>45.89</v>
      </c>
      <c r="R76" s="18" t="n">
        <v>46.18</v>
      </c>
      <c r="S76" s="18" t="n">
        <v>46.48</v>
      </c>
      <c r="T76" s="18" t="n">
        <v>71.84999999999999</v>
      </c>
      <c r="U76" s="37" t="n">
        <v>210.4</v>
      </c>
      <c r="V76" s="18" t="n">
        <v>56.02</v>
      </c>
      <c r="W76" s="18" t="n">
        <v>58.89</v>
      </c>
      <c r="X76" s="18" t="n">
        <v>58.71</v>
      </c>
      <c r="Y76" s="18" t="n">
        <v>87.20999999999999</v>
      </c>
      <c r="Z76" s="37" t="n">
        <v>260.83</v>
      </c>
      <c r="AA76" s="18" t="n">
        <v>62.89</v>
      </c>
      <c r="AB76" s="19" t="n">
        <v>75.13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배당금지급</t>
        </is>
      </c>
      <c r="E77" s="18" t="n">
        <v>0</v>
      </c>
      <c r="F77" s="9" t="n"/>
      <c r="I77" s="18" t="n">
        <v>0</v>
      </c>
      <c r="J77" s="18" t="n">
        <v>0</v>
      </c>
      <c r="K77" s="9" t="n"/>
      <c r="N77" s="18" t="n">
        <v>0</v>
      </c>
      <c r="O77" s="18" t="n">
        <v>0</v>
      </c>
      <c r="P77" s="9" t="n"/>
      <c r="U77" s="9" t="n"/>
      <c r="X77" s="18" t="n">
        <v>0</v>
      </c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E78" s="18" t="n">
        <v>-6469.32</v>
      </c>
      <c r="F78" s="9" t="n"/>
      <c r="G78" s="18" t="n">
        <v>-14191.84</v>
      </c>
      <c r="H78" s="18" t="n">
        <v>-394.25</v>
      </c>
      <c r="I78" s="18" t="n">
        <v>3156.78</v>
      </c>
      <c r="J78" s="18" t="n">
        <v>-3518.54</v>
      </c>
      <c r="K78" s="37" t="n">
        <v>-14947.85</v>
      </c>
      <c r="L78" s="18" t="n">
        <v>-1624.17</v>
      </c>
      <c r="M78" s="18" t="n">
        <v>5416.55</v>
      </c>
      <c r="N78" s="18" t="n">
        <v>-7530.25</v>
      </c>
      <c r="O78" s="18" t="n">
        <v>12062.84</v>
      </c>
      <c r="P78" s="37" t="n">
        <v>8324.969999999999</v>
      </c>
      <c r="Q78" s="18" t="n">
        <v>-5405.93</v>
      </c>
      <c r="R78" s="18" t="n">
        <v>4639.8</v>
      </c>
      <c r="S78" s="18" t="n">
        <v>103.72</v>
      </c>
      <c r="T78" s="18" t="n">
        <v>1471.45</v>
      </c>
      <c r="U78" s="37" t="n">
        <v>809.04</v>
      </c>
      <c r="V78" s="18" t="n">
        <v>1387.11</v>
      </c>
      <c r="W78" s="18" t="n">
        <v>-5024.54</v>
      </c>
      <c r="X78" s="18" t="n">
        <v>7535.73</v>
      </c>
      <c r="Y78" s="18" t="n">
        <v>4596.05</v>
      </c>
      <c r="Z78" s="37" t="n">
        <v>8494.35</v>
      </c>
      <c r="AA78" s="18" t="n">
        <v>431.3</v>
      </c>
      <c r="AB78" s="19" t="n">
        <v>-6479.27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E79" s="18" t="n">
        <v>-6469.32</v>
      </c>
      <c r="F79" s="9" t="n"/>
      <c r="G79" s="18" t="n">
        <v>22415.6</v>
      </c>
      <c r="H79" s="18" t="n">
        <v>-394.25</v>
      </c>
      <c r="I79" s="18" t="n">
        <v>3156.78</v>
      </c>
      <c r="J79" s="18" t="n">
        <v>-3518.55</v>
      </c>
      <c r="K79" s="37" t="n">
        <v>21659.58</v>
      </c>
      <c r="L79" s="18" t="n">
        <v>20035.41</v>
      </c>
      <c r="M79" s="18" t="n">
        <v>5416.55</v>
      </c>
      <c r="N79" s="18" t="n">
        <v>-7530.25</v>
      </c>
      <c r="O79" s="18" t="n">
        <v>12062.84</v>
      </c>
      <c r="P79" s="37" t="n">
        <v>29984.55</v>
      </c>
      <c r="Q79" s="18" t="n">
        <v>24578.62</v>
      </c>
      <c r="R79" s="18" t="n">
        <v>4639.8</v>
      </c>
      <c r="S79" s="18" t="n">
        <v>103.73</v>
      </c>
      <c r="T79" s="18" t="n">
        <v>1471.44</v>
      </c>
      <c r="U79" s="37" t="n">
        <v>30793.59</v>
      </c>
      <c r="V79" s="18" t="n">
        <v>32180.7</v>
      </c>
      <c r="W79" s="18" t="n">
        <v>-5024.54</v>
      </c>
      <c r="X79" s="18" t="n">
        <v>7535.73</v>
      </c>
      <c r="Y79" s="18" t="n">
        <v>4596.05</v>
      </c>
      <c r="Z79" s="37" t="n">
        <v>39287.94</v>
      </c>
      <c r="AA79" s="18" t="n">
        <v>39719.24</v>
      </c>
      <c r="AB79" s="19" t="n">
        <v>-6479.27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7" t="n">
        <v>0</v>
      </c>
      <c r="N80" s="18" t="n">
        <v>100.2</v>
      </c>
      <c r="O80" s="18" t="n">
        <v>5.46</v>
      </c>
      <c r="P80" s="9" t="n"/>
      <c r="Q80" s="18" t="n">
        <v>1</v>
      </c>
      <c r="R80" s="18" t="n">
        <v>15.37</v>
      </c>
      <c r="S80" s="18" t="n">
        <v>3.15</v>
      </c>
      <c r="T80" s="18" t="n">
        <v>0</v>
      </c>
      <c r="U80" s="37" t="n">
        <v>19.52</v>
      </c>
      <c r="V80" s="18" t="n">
        <v>2.73</v>
      </c>
      <c r="W80" s="18" t="n">
        <v>5.28</v>
      </c>
      <c r="X80" s="18" t="n">
        <v>0</v>
      </c>
      <c r="Y80" s="18" t="n">
        <v>0</v>
      </c>
      <c r="Z80" s="37" t="n">
        <v>8.01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F81" s="9" t="n"/>
      <c r="K81" s="9" t="n"/>
      <c r="O81" s="18" t="n">
        <v>731.33</v>
      </c>
      <c r="P81" s="9" t="n"/>
      <c r="Q81" s="18" t="n">
        <v>998.67</v>
      </c>
      <c r="R81" s="18" t="n">
        <v>758.04</v>
      </c>
      <c r="S81" s="18" t="n">
        <v>729.97</v>
      </c>
      <c r="T81" s="18" t="n">
        <v>802.48</v>
      </c>
      <c r="U81" s="37" t="n">
        <v>3289.16</v>
      </c>
      <c r="V81" s="18" t="n">
        <v>448.94</v>
      </c>
      <c r="W81" s="18" t="n">
        <v>865.54</v>
      </c>
      <c r="X81" s="18" t="n">
        <v>729.62</v>
      </c>
      <c r="Y81" s="18" t="n">
        <v>595.54</v>
      </c>
      <c r="Z81" s="37" t="n">
        <v>2639.64</v>
      </c>
      <c r="AA81" s="18" t="n">
        <v>599.4400000000001</v>
      </c>
      <c r="AB81" s="19" t="n">
        <v>839.76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무형자산의감소</t>
        </is>
      </c>
      <c r="F82" s="9" t="n"/>
      <c r="K82" s="9" t="n"/>
      <c r="P82" s="9" t="n"/>
      <c r="U82" s="9" t="n"/>
      <c r="X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 t="n"/>
      <c r="I12" s="18" t="n"/>
      <c r="J12" s="18" t="n"/>
      <c r="K12" s="37">
        <f>SUM(G12:J12)</f>
        <v/>
      </c>
      <c r="L12" s="18">
        <f>IFERROR(VLOOKUP($D12,BS연결,MATCH(L$1,BS연결H,0),0)/100,"")</f>
        <v/>
      </c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IFERROR((AB24*변수!$D$49)/4,"")</f>
        <v/>
      </c>
      <c r="AD12" s="20">
        <f>IFERROR((AC24*변수!$D$49)/4,"")</f>
        <v/>
      </c>
      <c r="AE12" s="38">
        <f>SUM(AA12:AD12)</f>
        <v/>
      </c>
      <c r="AF12" s="20">
        <f>IFERROR((AD24*변수!$D$49)/4,"")</f>
        <v/>
      </c>
      <c r="AG12" s="20">
        <f>IFERROR((AF24*변수!$D$49)/4,"")</f>
        <v/>
      </c>
      <c r="AH12" s="20">
        <f>IFERROR((AG24*변수!$D$49)/4,"")</f>
        <v/>
      </c>
      <c r="AI12" s="20">
        <f>IFERROR((AH24*변수!$D$49)/4,"")</f>
        <v/>
      </c>
      <c r="AJ12" s="38">
        <f>SUM(AF12:AI12)</f>
        <v/>
      </c>
      <c r="AK12" s="20">
        <f>IFERROR((AI24*변수!$D$49)/4,"")</f>
        <v/>
      </c>
      <c r="AL12" s="20">
        <f>IFERROR((AK24*변수!$D$49)/4,"")</f>
        <v/>
      </c>
      <c r="AM12" s="20">
        <f>IFERROR((AL24*변수!$D$49)/4,"")</f>
        <v/>
      </c>
      <c r="AN12" s="20">
        <f>IFERROR((AM24*변수!$D$49)/4,"")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SUM(V14:Y14)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 t="n">
        <v>76.64</v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감가상각비</t>
        </is>
      </c>
      <c r="B18" t="inlineStr">
        <is>
          <t>손익</t>
        </is>
      </c>
      <c r="C18" t="inlineStr">
        <is>
          <t>억원</t>
        </is>
      </c>
      <c r="D18" t="inlineStr">
        <is>
          <t>감가상각비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 t="n"/>
      <c r="O18" s="18" t="n"/>
      <c r="P18" s="37">
        <f>SUM(L18:O18)</f>
        <v/>
      </c>
      <c r="Q18" s="18" t="n"/>
      <c r="R18" s="18" t="n"/>
      <c r="S18" s="18">
        <f>IFERROR(VLOOKUP($D18,BS연결,MATCH(S$1,BS연결H,0),0)/100,"")</f>
        <v/>
      </c>
      <c r="T18" s="18" t="n"/>
      <c r="U18" s="37">
        <f>SUM(Q18:T18)</f>
        <v/>
      </c>
      <c r="V18" s="18" t="n"/>
      <c r="W18" s="18" t="n"/>
      <c r="X18" s="18" t="n"/>
      <c r="Y18" s="18" t="n"/>
      <c r="Z18" s="37">
        <f>SUM(V18:Y18)</f>
        <v/>
      </c>
      <c r="AA18" s="18" t="n"/>
      <c r="AB18" s="19" t="n"/>
      <c r="AC18" s="20">
        <f>변수!AC27</f>
        <v/>
      </c>
      <c r="AD18" s="20">
        <f>변수!AD27</f>
        <v/>
      </c>
      <c r="AE18" s="38">
        <f>SUM(AA18:AD18)</f>
        <v/>
      </c>
      <c r="AF18" s="20">
        <f>변수!AF27</f>
        <v/>
      </c>
      <c r="AG18" s="20">
        <f>변수!AG27</f>
        <v/>
      </c>
      <c r="AH18" s="20">
        <f>변수!AH27</f>
        <v/>
      </c>
      <c r="AI18" s="20">
        <f>변수!AI27</f>
        <v/>
      </c>
      <c r="AJ18" s="38">
        <f>SUM(AF18:AI18)</f>
        <v/>
      </c>
      <c r="AK18" s="20">
        <f>변수!AK27</f>
        <v/>
      </c>
      <c r="AL18" s="20">
        <f>변수!AL27</f>
        <v/>
      </c>
      <c r="AM18" s="20">
        <f>변수!AM27</f>
        <v/>
      </c>
      <c r="AN18" s="20">
        <f>변수!AN27</f>
        <v/>
      </c>
      <c r="AO18" s="38">
        <f>SUM(AK18:AN18)</f>
        <v/>
      </c>
    </row>
    <row r="19">
      <c r="A19" s="12" t="inlineStr">
        <is>
          <t>EBITDA</t>
        </is>
      </c>
      <c r="B19" t="inlineStr">
        <is>
          <t>손익</t>
        </is>
      </c>
      <c r="C19" t="inlineStr">
        <is>
          <t>억원</t>
        </is>
      </c>
      <c r="D19" t="inlineStr">
        <is>
          <t>EBITDA</t>
        </is>
      </c>
      <c r="E19" s="18" t="n">
        <v>14.05</v>
      </c>
      <c r="F19" s="37" t="n"/>
      <c r="G19" s="18" t="n">
        <v>-8.35</v>
      </c>
      <c r="H19" s="18" t="n">
        <v>-9.77</v>
      </c>
      <c r="I19" s="18" t="n">
        <v>12.74</v>
      </c>
      <c r="J19" s="18" t="n">
        <v>-57.1</v>
      </c>
      <c r="K19" s="37">
        <f>SUM(G19:J19)</f>
        <v/>
      </c>
      <c r="L19" s="18" t="n">
        <v>0.88</v>
      </c>
      <c r="M19" s="18" t="n">
        <v>12.93</v>
      </c>
      <c r="N19" s="18" t="n"/>
      <c r="O19" s="18" t="n"/>
      <c r="P19" s="37">
        <f>SUM(L19:O19)</f>
        <v/>
      </c>
      <c r="Q19" s="18" t="n"/>
      <c r="R19" s="18" t="n"/>
      <c r="S19" s="18" t="n">
        <v>41.9</v>
      </c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IFERROR(AC9+AC18,"")</f>
        <v/>
      </c>
      <c r="AD19" s="20">
        <f>IFERROR(AD9+AD18,"")</f>
        <v/>
      </c>
      <c r="AE19" s="38">
        <f>SUM(AA19:AD19)</f>
        <v/>
      </c>
      <c r="AF19" s="20">
        <f>IFERROR(AF9+AF18,"")</f>
        <v/>
      </c>
      <c r="AG19" s="20">
        <f>IFERROR(AG9+AG18,"")</f>
        <v/>
      </c>
      <c r="AH19" s="20">
        <f>IFERROR(AH9+AH18,"")</f>
        <v/>
      </c>
      <c r="AI19" s="20">
        <f>IFERROR(AI9+AI18,"")</f>
        <v/>
      </c>
      <c r="AJ19" s="38">
        <f>SUM(AF19:AI19)</f>
        <v/>
      </c>
      <c r="AK19" s="20">
        <f>IFERROR(AK9+AK18,"")</f>
        <v/>
      </c>
      <c r="AL19" s="20">
        <f>IFERROR(AL9+AL18,"")</f>
        <v/>
      </c>
      <c r="AM19" s="20">
        <f>IFERROR(AM9+AM18,"")</f>
        <v/>
      </c>
      <c r="AN19" s="20">
        <f>IFERROR(AN9+AN18,"")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IFERROR(AB21*(1+변수!AC28),"")</f>
        <v/>
      </c>
      <c r="AD21" s="20">
        <f>IFERROR(AC21*(1+변수!AD28),"")</f>
        <v/>
      </c>
      <c r="AE21" s="38">
        <f>AD21</f>
        <v/>
      </c>
      <c r="AF21" s="20">
        <f>IFERROR(AD21*(1+변수!AF28),"")</f>
        <v/>
      </c>
      <c r="AG21" s="20">
        <f>IFERROR(AF21*(1+변수!AG28),"")</f>
        <v/>
      </c>
      <c r="AH21" s="20">
        <f>IFERROR(AG21*(1+변수!AH28),"")</f>
        <v/>
      </c>
      <c r="AI21" s="20">
        <f>IFERROR(AH21*(1+변수!AI28),"")</f>
        <v/>
      </c>
      <c r="AJ21" s="38">
        <f>AI21</f>
        <v/>
      </c>
      <c r="AK21" s="20">
        <f>IFERROR(AI21*(1+변수!AK28),"")</f>
        <v/>
      </c>
      <c r="AL21" s="20">
        <f>IFERROR(AK21*(1+변수!AL28),"")</f>
        <v/>
      </c>
      <c r="AM21" s="20">
        <f>IFERROR(AL21*(1+변수!AM28),"")</f>
        <v/>
      </c>
      <c r="AN21" s="20">
        <f>IFERROR(AM21*(1+변수!AN28),"")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IFERROR(AB22+AC16-변수!AC29,"")</f>
        <v/>
      </c>
      <c r="AD22" s="20">
        <f>IFERROR(AC22+AD16-변수!AD29,"")</f>
        <v/>
      </c>
      <c r="AE22" s="38">
        <f>AD22</f>
        <v/>
      </c>
      <c r="AF22" s="20">
        <f>IFERROR(AD22+AF16-변수!AF29,"")</f>
        <v/>
      </c>
      <c r="AG22" s="20">
        <f>IFERROR(AF22+AG16-변수!AG29,"")</f>
        <v/>
      </c>
      <c r="AH22" s="20">
        <f>IFERROR(AG22+AH16-변수!AH29,"")</f>
        <v/>
      </c>
      <c r="AI22" s="20">
        <f>IFERROR(AH22+AI16-변수!AI29,"")</f>
        <v/>
      </c>
      <c r="AJ22" s="38">
        <f>AI22</f>
        <v/>
      </c>
      <c r="AK22" s="20">
        <f>IFERROR(AI22+AK16-변수!AK29,"")</f>
        <v/>
      </c>
      <c r="AL22" s="20">
        <f>IFERROR(AK22+AL16-변수!AL29,"")</f>
        <v/>
      </c>
      <c r="AM22" s="20">
        <f>IFERROR(AL22+AM16-변수!AM29,"")</f>
        <v/>
      </c>
      <c r="AN22" s="20">
        <f>IFERROR(AM22+AN16-변수!AN29,"")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7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IFERROR(X26*(1+변수!AC33),"")</f>
        <v/>
      </c>
      <c r="AD26" s="20">
        <f>IFERROR(Y26*(1+변수!AD33),"")</f>
        <v/>
      </c>
      <c r="AE26" s="38">
        <f>SUM(AA26:AD26)</f>
        <v/>
      </c>
      <c r="AF26" s="20">
        <f>IFERROR(AA26*(1+변수!AF33),"")</f>
        <v/>
      </c>
      <c r="AG26" s="20">
        <f>IFERROR(AB26*(1+변수!AG33),"")</f>
        <v/>
      </c>
      <c r="AH26" s="20">
        <f>IFERROR(AC26*(1+변수!AH33),"")</f>
        <v/>
      </c>
      <c r="AI26" s="20">
        <f>IFERROR(AD26*(1+변수!AI33),"")</f>
        <v/>
      </c>
      <c r="AJ26" s="38">
        <f>SUM(AF26:AI26)</f>
        <v/>
      </c>
      <c r="AK26" s="20">
        <f>IFERROR(AF26*(1+변수!AK33),"")</f>
        <v/>
      </c>
      <c r="AL26" s="20">
        <f>IFERROR(AG26*(1+변수!AL33),"")</f>
        <v/>
      </c>
      <c r="AM26" s="20">
        <f>IFERROR(AH26*(1+변수!AM33),"")</f>
        <v/>
      </c>
      <c r="AN26" s="20">
        <f>IFERROR(AI26*(1+변수!AN33),"")</f>
        <v/>
      </c>
      <c r="AO26" s="38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영업활동으로인한현금흐름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SUM(AA27:AD27)</f>
        <v/>
      </c>
      <c r="AF27" s="20" t="n"/>
      <c r="AG27" s="20" t="n"/>
      <c r="AH27" s="20" t="n"/>
      <c r="AI27" s="20" t="n"/>
      <c r="AJ27" s="38">
        <f>SUM(AF27:AI27)</f>
        <v/>
      </c>
      <c r="AK27" s="20" t="n"/>
      <c r="AL27" s="20" t="n"/>
      <c r="AM27" s="20" t="n"/>
      <c r="AN27" s="20" t="n"/>
      <c r="AO27" s="38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7" t="n">
        <v>9.321</v>
      </c>
      <c r="F28" s="28">
        <f>E28</f>
        <v/>
      </c>
      <c r="G28" s="27" t="n">
        <v>9.321</v>
      </c>
      <c r="H28" s="27" t="n">
        <v>9.323</v>
      </c>
      <c r="I28" s="27" t="n">
        <v>9.323</v>
      </c>
      <c r="J28" s="27" t="n">
        <v>9.324</v>
      </c>
      <c r="K28" s="28">
        <f>J28</f>
        <v/>
      </c>
      <c r="L28" s="27" t="n">
        <v>9.324</v>
      </c>
      <c r="M28" s="27" t="n">
        <v>9.244999999999999</v>
      </c>
      <c r="N28" s="27" t="n">
        <v>9.241</v>
      </c>
      <c r="O28" s="27" t="n">
        <v>9.242000000000001</v>
      </c>
      <c r="P28" s="28">
        <f>O28</f>
        <v/>
      </c>
      <c r="Q28" s="27" t="n">
        <v>9.242000000000001</v>
      </c>
      <c r="R28" s="27" t="n">
        <v>9.244</v>
      </c>
      <c r="S28" s="27" t="n">
        <v>9.244</v>
      </c>
      <c r="T28" s="27" t="n">
        <v>9.244</v>
      </c>
      <c r="U28" s="28">
        <f>T28</f>
        <v/>
      </c>
      <c r="V28" s="27" t="n">
        <v>9.244</v>
      </c>
      <c r="W28" s="27" t="n">
        <v>9.246</v>
      </c>
      <c r="X28" s="27" t="n">
        <v>9.246</v>
      </c>
      <c r="Y28" s="27" t="n">
        <v>9.269</v>
      </c>
      <c r="Z28" s="28">
        <f>Y28</f>
        <v/>
      </c>
      <c r="AA28" s="27" t="n">
        <v>9.269</v>
      </c>
      <c r="AB28" s="29" t="n">
        <v>9.292</v>
      </c>
      <c r="AC28" s="33">
        <f>IFERROR(AB28*(1+변수!AC35),"")</f>
        <v/>
      </c>
      <c r="AD28" s="33">
        <f>IFERROR(AC28*(1+변수!AD35),"")</f>
        <v/>
      </c>
      <c r="AE28" s="31">
        <f>AD28</f>
        <v/>
      </c>
      <c r="AF28" s="33">
        <f>IFERROR(AD28*(1+변수!AF35),"")</f>
        <v/>
      </c>
      <c r="AG28" s="33">
        <f>IFERROR(AF28*(1+변수!AG35),"")</f>
        <v/>
      </c>
      <c r="AH28" s="33">
        <f>IFERROR(AG28*(1+변수!AH35),"")</f>
        <v/>
      </c>
      <c r="AI28" s="33">
        <f>IFERROR(AH28*(1+변수!AI35),"")</f>
        <v/>
      </c>
      <c r="AJ28" s="31">
        <f>AI28</f>
        <v/>
      </c>
      <c r="AK28" s="33">
        <f>IFERROR(AI28*(1+변수!AK35),"")</f>
        <v/>
      </c>
      <c r="AL28" s="33">
        <f>IFERROR(AK28*(1+변수!AL35),"")</f>
        <v/>
      </c>
      <c r="AM28" s="33">
        <f>IFERROR(AL28*(1+변수!AM35),"")</f>
        <v/>
      </c>
      <c r="AN28" s="33">
        <f>IFERROR(AM28*(1+변수!AN35),"")</f>
        <v/>
      </c>
      <c r="AO28" s="31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7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7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7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7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7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8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8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8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IFERROR(E23*100/E28,"")</f>
        <v/>
      </c>
      <c r="F30" s="37">
        <f>E30</f>
        <v/>
      </c>
      <c r="G30" s="18">
        <f>IFERROR(G23*100/G28,"")</f>
        <v/>
      </c>
      <c r="H30" s="18">
        <f>IFERROR(H23*100/H28,"")</f>
        <v/>
      </c>
      <c r="I30" s="18">
        <f>IFERROR(I23*100/I28,"")</f>
        <v/>
      </c>
      <c r="J30" s="18">
        <f>IFERROR(J23*100/J28,"")</f>
        <v/>
      </c>
      <c r="K30" s="37">
        <f>J30</f>
        <v/>
      </c>
      <c r="L30" s="18">
        <f>IFERROR(L23*100/L28,"")</f>
        <v/>
      </c>
      <c r="M30" s="18">
        <f>IFERROR(M23*100/M28,"")</f>
        <v/>
      </c>
      <c r="N30" s="18">
        <f>IFERROR(N23*100/N28,"")</f>
        <v/>
      </c>
      <c r="O30" s="18">
        <f>IFERROR(O23*100/O28,"")</f>
        <v/>
      </c>
      <c r="P30" s="37">
        <f>O30</f>
        <v/>
      </c>
      <c r="Q30" s="18">
        <f>IFERROR(Q23*100/Q28,"")</f>
        <v/>
      </c>
      <c r="R30" s="18">
        <f>IFERROR(R23*100/R28,"")</f>
        <v/>
      </c>
      <c r="S30" s="18">
        <f>IFERROR(S23*100/S28,"")</f>
        <v/>
      </c>
      <c r="T30" s="18">
        <f>IFERROR(T23*100/T28,"")</f>
        <v/>
      </c>
      <c r="U30" s="37">
        <f>T30</f>
        <v/>
      </c>
      <c r="V30" s="18">
        <f>IFERROR(V23*100/V28,"")</f>
        <v/>
      </c>
      <c r="W30" s="18">
        <f>IFERROR(W23*100/W28,"")</f>
        <v/>
      </c>
      <c r="X30" s="18">
        <f>IFERROR(X23*100/X28,"")</f>
        <v/>
      </c>
      <c r="Y30" s="18">
        <f>IFERROR(Y23*100/Y28,"")</f>
        <v/>
      </c>
      <c r="Z30" s="37">
        <f>Y30</f>
        <v/>
      </c>
      <c r="AA30" s="18">
        <f>IFERROR(AA23*100/AA28,"")</f>
        <v/>
      </c>
      <c r="AB30" s="19">
        <f>IFERROR(AB23*100/AB28,"")</f>
        <v/>
      </c>
      <c r="AC30" s="20">
        <f>IFERROR(AC23*100/AC28,"")</f>
        <v/>
      </c>
      <c r="AD30" s="20">
        <f>IFERROR(AD23*100/AD28,"")</f>
        <v/>
      </c>
      <c r="AE30" s="38">
        <f>AD30</f>
        <v/>
      </c>
      <c r="AF30" s="20">
        <f>IFERROR(AF23*100/AF28,"")</f>
        <v/>
      </c>
      <c r="AG30" s="20">
        <f>IFERROR(AG23*100/AG28,"")</f>
        <v/>
      </c>
      <c r="AH30" s="20">
        <f>IFERROR(AH23*100/AH28,"")</f>
        <v/>
      </c>
      <c r="AI30" s="20">
        <f>IFERROR(AI23*100/AI28,"")</f>
        <v/>
      </c>
      <c r="AJ30" s="38">
        <f>AI30</f>
        <v/>
      </c>
      <c r="AK30" s="20">
        <f>IFERROR(AK23*100/AK28,"")</f>
        <v/>
      </c>
      <c r="AL30" s="20">
        <f>IFERROR(AL23*100/AL28,"")</f>
        <v/>
      </c>
      <c r="AM30" s="20">
        <f>IFERROR(AM23*100/AM28,"")</f>
        <v/>
      </c>
      <c r="AN30" s="20">
        <f>IFERROR(AN23*100/AN28,"")</f>
        <v/>
      </c>
      <c r="AO30" s="38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7" t="n">
        <v>100</v>
      </c>
      <c r="G31" s="18" t="n"/>
      <c r="H31" s="18" t="n"/>
      <c r="I31" s="18" t="n"/>
      <c r="J31" s="18" t="n">
        <v>0</v>
      </c>
      <c r="K31" s="37">
        <f>SUM(G31:J31)</f>
        <v/>
      </c>
      <c r="L31" s="18" t="n"/>
      <c r="M31" s="18" t="n"/>
      <c r="N31" s="18" t="n"/>
      <c r="O31" s="18" t="n">
        <v>0</v>
      </c>
      <c r="P31" s="37">
        <f>SUM(L31:O31)</f>
        <v/>
      </c>
      <c r="Q31" s="18" t="n"/>
      <c r="R31" s="18" t="n"/>
      <c r="S31" s="18" t="n"/>
      <c r="T31" s="18" t="n">
        <v>100</v>
      </c>
      <c r="U31" s="37">
        <f>SUM(Q31:T31)</f>
        <v/>
      </c>
      <c r="V31" s="18" t="n"/>
      <c r="W31" s="18" t="n"/>
      <c r="X31" s="18" t="n"/>
      <c r="Y31" s="18" t="n">
        <v>200</v>
      </c>
      <c r="Z31" s="37">
        <f>SUM(V31:Y31)</f>
        <v/>
      </c>
      <c r="AA31" s="18" t="n"/>
      <c r="AB31" s="19" t="n"/>
      <c r="AC31" s="20" t="n"/>
      <c r="AD31" s="20">
        <f>변수!AD36</f>
        <v/>
      </c>
      <c r="AE31" s="38">
        <f>SUM(AA31:AD31)</f>
        <v/>
      </c>
      <c r="AF31" s="20" t="n"/>
      <c r="AG31" s="20" t="n"/>
      <c r="AH31" s="20" t="n"/>
      <c r="AI31" s="20">
        <f>변수!AI36</f>
        <v/>
      </c>
      <c r="AJ31" s="38">
        <f>SUM(AF31:AI31)</f>
        <v/>
      </c>
      <c r="AK31" s="20" t="n"/>
      <c r="AL31" s="20" t="n"/>
      <c r="AM31" s="20" t="n"/>
      <c r="AN31" s="20">
        <f>변수!AN36</f>
        <v/>
      </c>
      <c r="AO31" s="38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3" t="n"/>
      <c r="F32" s="14">
        <f>E32</f>
        <v/>
      </c>
      <c r="G32" s="13" t="n"/>
      <c r="H32" s="13" t="n"/>
      <c r="I32" s="13">
        <f>IFERROR(변수!I18/(E29+G29+H29+I29),"")</f>
        <v/>
      </c>
      <c r="J32" s="13" t="n"/>
      <c r="K32" s="14">
        <f>J32</f>
        <v/>
      </c>
      <c r="L32" s="13" t="n"/>
      <c r="M32" s="13" t="n"/>
      <c r="N32" s="13" t="n"/>
      <c r="O32" s="13">
        <f>IFERROR(변수!O18/(L29+M29+N29+O29),"")</f>
        <v/>
      </c>
      <c r="P32" s="14">
        <f>O32</f>
        <v/>
      </c>
      <c r="Q32" s="13">
        <f>IFERROR(변수!Q18/(M29+N29+O29+Q29),"")</f>
        <v/>
      </c>
      <c r="R32" s="13">
        <f>IFERROR(변수!R18/(N29+O29+Q29+R29),"")</f>
        <v/>
      </c>
      <c r="S32" s="13">
        <f>IFERROR(변수!S18/(O29+Q29+R29+S29),"")</f>
        <v/>
      </c>
      <c r="T32" s="13">
        <f>IFERROR(변수!T18/(Q29+R29+S29+T29),"")</f>
        <v/>
      </c>
      <c r="U32" s="14">
        <f>T32</f>
        <v/>
      </c>
      <c r="V32" s="13">
        <f>IFERROR(변수!V18/(R29+S29+T29+V29),"")</f>
        <v/>
      </c>
      <c r="W32" s="13">
        <f>IFERROR(변수!W18/(S29+T29+V29+W29),"")</f>
        <v/>
      </c>
      <c r="X32" s="13">
        <f>IFERROR(변수!X18/(T29+V29+W29+X29),"")</f>
        <v/>
      </c>
      <c r="Y32" s="13">
        <f>IFERROR(변수!Y18/(V29+W29+X29+Y29),"")</f>
        <v/>
      </c>
      <c r="Z32" s="14">
        <f>Y32</f>
        <v/>
      </c>
      <c r="AA32" s="13">
        <f>IFERROR(변수!AA18/(W29+X29+Y29+AA29),"")</f>
        <v/>
      </c>
      <c r="AB32" s="15">
        <f>IFERROR(변수!AB18/(X29+Y29+AA29+AB29),"")</f>
        <v/>
      </c>
      <c r="AC32" s="39">
        <f>IFERROR(변수!$D$39/(Y29+AA29+AB29+AC29),"")</f>
        <v/>
      </c>
      <c r="AD32" s="39">
        <f>IFERROR(변수!$D$39/(AA29+AB29+AC29+AD29),"")</f>
        <v/>
      </c>
      <c r="AE32" s="40">
        <f>AD32</f>
        <v/>
      </c>
      <c r="AF32" s="39">
        <f>IFERROR(변수!$D$39/(AB29+AC29+AD29+AF29),"")</f>
        <v/>
      </c>
      <c r="AG32" s="39">
        <f>IFERROR(변수!$D$39/(AC29+AD29+AF29+AG29),"")</f>
        <v/>
      </c>
      <c r="AH32" s="39">
        <f>IFERROR(변수!$D$39/(AD29+AF29+AG29+AH29),"")</f>
        <v/>
      </c>
      <c r="AI32" s="39">
        <f>IFERROR(변수!$D$39/(AF29+AG29+AH29+AI29),"")</f>
        <v/>
      </c>
      <c r="AJ32" s="40">
        <f>AI32</f>
        <v/>
      </c>
      <c r="AK32" s="39">
        <f>IFERROR(변수!$D$39/(AG29+AH29+AI29+AK29),"")</f>
        <v/>
      </c>
      <c r="AL32" s="39">
        <f>IFERROR(변수!$D$39/(AH29+AI29+AK29+AL29),"")</f>
        <v/>
      </c>
      <c r="AM32" s="39">
        <f>IFERROR(변수!$D$39/(AI29+AK29+AL29+AM29),"")</f>
        <v/>
      </c>
      <c r="AN32" s="39">
        <f>IFERROR(변수!$D$39/(AK29+AL29+AM29+AN29),"")</f>
        <v/>
      </c>
      <c r="AO32" s="40">
        <f>AN32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3">
        <f>IFERROR(변수!E18/E30,"")</f>
        <v/>
      </c>
      <c r="F33" s="14">
        <f>E33</f>
        <v/>
      </c>
      <c r="G33" s="13">
        <f>IFERROR(변수!G18/G30,"")</f>
        <v/>
      </c>
      <c r="H33" s="13">
        <f>IFERROR(변수!H18/H30,"")</f>
        <v/>
      </c>
      <c r="I33" s="13">
        <f>IFERROR(변수!I18/I30,"")</f>
        <v/>
      </c>
      <c r="J33" s="13">
        <f>IFERROR(변수!J18/J30,"")</f>
        <v/>
      </c>
      <c r="K33" s="14">
        <f>J33</f>
        <v/>
      </c>
      <c r="L33" s="13">
        <f>IFERROR(변수!L18/L30,"")</f>
        <v/>
      </c>
      <c r="M33" s="13">
        <f>IFERROR(변수!M18/M30,"")</f>
        <v/>
      </c>
      <c r="N33" s="13">
        <f>IFERROR(변수!N18/N30,"")</f>
        <v/>
      </c>
      <c r="O33" s="13">
        <f>IFERROR(변수!O18/O30,"")</f>
        <v/>
      </c>
      <c r="P33" s="14">
        <f>O33</f>
        <v/>
      </c>
      <c r="Q33" s="13">
        <f>IFERROR(변수!Q18/Q30,"")</f>
        <v/>
      </c>
      <c r="R33" s="13">
        <f>IFERROR(변수!R18/R30,"")</f>
        <v/>
      </c>
      <c r="S33" s="13">
        <f>IFERROR(변수!S18/S30,"")</f>
        <v/>
      </c>
      <c r="T33" s="13">
        <f>IFERROR(변수!T18/T30,"")</f>
        <v/>
      </c>
      <c r="U33" s="14">
        <f>T33</f>
        <v/>
      </c>
      <c r="V33" s="13">
        <f>IFERROR(변수!V18/V30,"")</f>
        <v/>
      </c>
      <c r="W33" s="13">
        <f>IFERROR(변수!W18/W30,"")</f>
        <v/>
      </c>
      <c r="X33" s="13">
        <f>IFERROR(변수!X18/X30,"")</f>
        <v/>
      </c>
      <c r="Y33" s="13">
        <f>IFERROR(변수!Y18/Y30,"")</f>
        <v/>
      </c>
      <c r="Z33" s="14">
        <f>Y33</f>
        <v/>
      </c>
      <c r="AA33" s="13">
        <f>IFERROR(변수!AA18/AA30,"")</f>
        <v/>
      </c>
      <c r="AB33" s="15">
        <f>IFERROR(변수!AB18/AB30,"")</f>
        <v/>
      </c>
      <c r="AC33" s="39">
        <f>IFERROR(변수!$D$39/AC30,"")</f>
        <v/>
      </c>
      <c r="AD33" s="39">
        <f>IFERROR(변수!$D$39/AD30,"")</f>
        <v/>
      </c>
      <c r="AE33" s="40">
        <f>AD33</f>
        <v/>
      </c>
      <c r="AF33" s="39">
        <f>IFERROR(변수!$D$39/AF30,"")</f>
        <v/>
      </c>
      <c r="AG33" s="39">
        <f>IFERROR(변수!$D$39/AG30,"")</f>
        <v/>
      </c>
      <c r="AH33" s="39">
        <f>IFERROR(변수!$D$39/AH30,"")</f>
        <v/>
      </c>
      <c r="AI33" s="39">
        <f>IFERROR(변수!$D$39/AI30,"")</f>
        <v/>
      </c>
      <c r="AJ33" s="40">
        <f>AI33</f>
        <v/>
      </c>
      <c r="AK33" s="39">
        <f>IFERROR(변수!$D$39/AK30,"")</f>
        <v/>
      </c>
      <c r="AL33" s="39">
        <f>IFERROR(변수!$D$39/AL30,"")</f>
        <v/>
      </c>
      <c r="AM33" s="39">
        <f>IFERROR(변수!$D$39/AM30,"")</f>
        <v/>
      </c>
      <c r="AN33" s="39">
        <f>IFERROR(변수!$D$39/AN30,"")</f>
        <v/>
      </c>
      <c r="AO33" s="40">
        <f>AN33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403.64</v>
      </c>
      <c r="F34" s="37" t="n"/>
      <c r="G34" s="18" t="n">
        <v>307.6</v>
      </c>
      <c r="H34" s="18" t="n">
        <v>347.27</v>
      </c>
      <c r="I34" s="18" t="n">
        <v>313.42</v>
      </c>
      <c r="J34" s="18" t="n">
        <v>335.67</v>
      </c>
      <c r="K34" s="37">
        <f>SUM(G34:J34)</f>
        <v/>
      </c>
      <c r="L34" s="18" t="n">
        <v>321.58</v>
      </c>
      <c r="M34" s="18" t="n">
        <v>348.9</v>
      </c>
      <c r="N34" s="18" t="n">
        <v>372.05</v>
      </c>
      <c r="O34" s="18" t="n">
        <v>500.95</v>
      </c>
      <c r="P34" s="37">
        <f>SUM(L34:O34)</f>
        <v/>
      </c>
      <c r="Q34" s="18" t="n">
        <v>413.55</v>
      </c>
      <c r="R34" s="18" t="n">
        <v>499</v>
      </c>
      <c r="S34" s="18" t="n">
        <v>447.37</v>
      </c>
      <c r="T34" s="18" t="n">
        <v>602.87</v>
      </c>
      <c r="U34" s="37">
        <f>SUM(Q34:T34)</f>
        <v/>
      </c>
      <c r="V34" s="18" t="n">
        <v>556.4</v>
      </c>
      <c r="W34" s="18" t="n">
        <v>563.26</v>
      </c>
      <c r="X34" s="18" t="n">
        <v>615.33</v>
      </c>
      <c r="Y34" s="18" t="n">
        <v>565.96</v>
      </c>
      <c r="Z34" s="37">
        <f>SUM(V34:Y34)</f>
        <v/>
      </c>
      <c r="AA34" s="18" t="n">
        <v>508.96</v>
      </c>
      <c r="AB34" s="19" t="n">
        <v>708.34</v>
      </c>
      <c r="AC34" s="20">
        <f>IFERROR(AC5,"")</f>
        <v/>
      </c>
      <c r="AD34" s="20">
        <f>IFERROR(AD5,"")</f>
        <v/>
      </c>
      <c r="AE34" s="38">
        <f>SUM(AA34:AD34)</f>
        <v/>
      </c>
      <c r="AF34" s="20">
        <f>IFERROR(AF5,"")</f>
        <v/>
      </c>
      <c r="AG34" s="20">
        <f>IFERROR(AG5,"")</f>
        <v/>
      </c>
      <c r="AH34" s="20">
        <f>IFERROR(AH5,"")</f>
        <v/>
      </c>
      <c r="AI34" s="20">
        <f>IFERROR(AI5,"")</f>
        <v/>
      </c>
      <c r="AJ34" s="38">
        <f>SUM(AF34:AI34)</f>
        <v/>
      </c>
      <c r="AK34" s="20">
        <f>IFERROR(AK5,"")</f>
        <v/>
      </c>
      <c r="AL34" s="20">
        <f>IFERROR(AL5,"")</f>
        <v/>
      </c>
      <c r="AM34" s="20">
        <f>IFERROR(AM5,"")</f>
        <v/>
      </c>
      <c r="AN34" s="20">
        <f>IFERROR(AN5,"")</f>
        <v/>
      </c>
      <c r="AO34" s="38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5.31</v>
      </c>
      <c r="F35" s="37" t="n"/>
      <c r="G35" s="18" t="n">
        <v>-17.26</v>
      </c>
      <c r="H35" s="18" t="n">
        <v>-19.12</v>
      </c>
      <c r="I35" s="18" t="n">
        <v>3.65</v>
      </c>
      <c r="J35" s="18" t="n">
        <v>-66.13</v>
      </c>
      <c r="K35" s="37">
        <f>SUM(G35:J35)</f>
        <v/>
      </c>
      <c r="L35" s="18" t="n">
        <v>-9.31</v>
      </c>
      <c r="M35" s="18" t="n">
        <v>2.67</v>
      </c>
      <c r="N35" s="18" t="n">
        <v>17.2</v>
      </c>
      <c r="O35" s="18" t="n">
        <v>26.78</v>
      </c>
      <c r="P35" s="37">
        <f>SUM(L35:O35)</f>
        <v/>
      </c>
      <c r="Q35" s="18" t="n">
        <v>23.78</v>
      </c>
      <c r="R35" s="18" t="n">
        <v>30.62</v>
      </c>
      <c r="S35" s="18" t="n">
        <v>29.15</v>
      </c>
      <c r="T35" s="18" t="n">
        <v>73.31</v>
      </c>
      <c r="U35" s="37">
        <f>SUM(Q35:T35)</f>
        <v/>
      </c>
      <c r="V35" s="18" t="n">
        <v>57.11</v>
      </c>
      <c r="W35" s="18" t="n">
        <v>57.82</v>
      </c>
      <c r="X35" s="18" t="n">
        <v>77.43000000000001</v>
      </c>
      <c r="Y35" s="18" t="n">
        <v>78.23999999999999</v>
      </c>
      <c r="Z35" s="37">
        <f>SUM(V35:Y35)</f>
        <v/>
      </c>
      <c r="AA35" s="18" t="n">
        <v>62.74</v>
      </c>
      <c r="AB35" s="19" t="n">
        <v>75.59</v>
      </c>
      <c r="AC35" s="20">
        <f>IFERROR(AC9,"")</f>
        <v/>
      </c>
      <c r="AD35" s="20">
        <f>IFERROR(AD9,"")</f>
        <v/>
      </c>
      <c r="AE35" s="38">
        <f>SUM(AA35:AD35)</f>
        <v/>
      </c>
      <c r="AF35" s="20">
        <f>IFERROR(AF9,"")</f>
        <v/>
      </c>
      <c r="AG35" s="20">
        <f>IFERROR(AG9,"")</f>
        <v/>
      </c>
      <c r="AH35" s="20">
        <f>IFERROR(AH9,"")</f>
        <v/>
      </c>
      <c r="AI35" s="20">
        <f>IFERROR(AI9,"")</f>
        <v/>
      </c>
      <c r="AJ35" s="38">
        <f>SUM(AF35:AI35)</f>
        <v/>
      </c>
      <c r="AK35" s="20">
        <f>IFERROR(AK9,"")</f>
        <v/>
      </c>
      <c r="AL35" s="20">
        <f>IFERROR(AL9,"")</f>
        <v/>
      </c>
      <c r="AM35" s="20">
        <f>IFERROR(AM9,"")</f>
        <v/>
      </c>
      <c r="AN35" s="20">
        <f>IFERROR(AN9,"")</f>
        <v/>
      </c>
      <c r="AO35" s="38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IFERROR(E17/E5,"")</f>
        <v/>
      </c>
      <c r="F37" s="22">
        <f>IFERROR(F17/F5,"")</f>
        <v/>
      </c>
      <c r="G37" s="21">
        <f>IFERROR(G17/G5,"")</f>
        <v/>
      </c>
      <c r="H37" s="21">
        <f>IFERROR(H17/H5,"")</f>
        <v/>
      </c>
      <c r="I37" s="21">
        <f>IFERROR(I17/I5,"")</f>
        <v/>
      </c>
      <c r="J37" s="21">
        <f>IFERROR(J17/J5,"")</f>
        <v/>
      </c>
      <c r="K37" s="22">
        <f>IFERROR(K17/K5,"")</f>
        <v/>
      </c>
      <c r="L37" s="21">
        <f>IFERROR(L17/L5,"")</f>
        <v/>
      </c>
      <c r="M37" s="21">
        <f>IFERROR(M17/M5,"")</f>
        <v/>
      </c>
      <c r="N37" s="21">
        <f>IFERROR(N17/N5,"")</f>
        <v/>
      </c>
      <c r="O37" s="21">
        <f>IFERROR(O17/O5,"")</f>
        <v/>
      </c>
      <c r="P37" s="22">
        <f>IFERROR(P17/P5,"")</f>
        <v/>
      </c>
      <c r="Q37" s="21">
        <f>IFERROR(Q17/Q5,"")</f>
        <v/>
      </c>
      <c r="R37" s="21">
        <f>IFERROR(R17/R5,"")</f>
        <v/>
      </c>
      <c r="S37" s="21">
        <f>IFERROR(S17/S5,"")</f>
        <v/>
      </c>
      <c r="T37" s="21">
        <f>IFERROR(T17/T5,"")</f>
        <v/>
      </c>
      <c r="U37" s="22">
        <f>IFERROR(U17/U5,"")</f>
        <v/>
      </c>
      <c r="V37" s="21">
        <f>IFERROR(V17/V5,"")</f>
        <v/>
      </c>
      <c r="W37" s="21">
        <f>IFERROR(W17/W5,"")</f>
        <v/>
      </c>
      <c r="X37" s="21">
        <f>IFERROR(X17/X5,"")</f>
        <v/>
      </c>
      <c r="Y37" s="21">
        <f>IFERROR(Y17/Y5,"")</f>
        <v/>
      </c>
      <c r="Z37" s="22">
        <f>IFERROR(Z17/Z5,"")</f>
        <v/>
      </c>
      <c r="AA37" s="21">
        <f>IFERROR(AA17/AA5,"")</f>
        <v/>
      </c>
      <c r="AB37" s="23">
        <f>IFERROR(AB17/AB5,"")</f>
        <v/>
      </c>
      <c r="AC37" s="32">
        <f>IFERROR(AC17/AC5,"")</f>
        <v/>
      </c>
      <c r="AD37" s="32">
        <f>IFERROR(AD17/AD5,"")</f>
        <v/>
      </c>
      <c r="AE37" s="25">
        <f>IFERROR(AE17/AE5,"")</f>
        <v/>
      </c>
      <c r="AF37" s="32">
        <f>IFERROR(AF17/AF5,"")</f>
        <v/>
      </c>
      <c r="AG37" s="32">
        <f>IFERROR(AG17/AG5,"")</f>
        <v/>
      </c>
      <c r="AH37" s="32">
        <f>IFERROR(AH17/AH5,"")</f>
        <v/>
      </c>
      <c r="AI37" s="32">
        <f>IFERROR(AI17/AI5,"")</f>
        <v/>
      </c>
      <c r="AJ37" s="25">
        <f>IFERROR(AJ17/AJ5,"")</f>
        <v/>
      </c>
      <c r="AK37" s="32">
        <f>IFERROR(AK17/AK5,"")</f>
        <v/>
      </c>
      <c r="AL37" s="32">
        <f>IFERROR(AL17/AL5,"")</f>
        <v/>
      </c>
      <c r="AM37" s="32">
        <f>IFERROR(AM17/AM5,"")</f>
        <v/>
      </c>
      <c r="AN37" s="32">
        <f>IFERROR(AN17/AN5,"")</f>
        <v/>
      </c>
      <c r="AO37" s="25">
        <f>IFERROR(AO17/AO5,"")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2">
        <f>IFERROR(AC6/AC5,"")</f>
        <v/>
      </c>
      <c r="AD38" s="32">
        <f>IFERROR(AD6/AD5,"")</f>
        <v/>
      </c>
      <c r="AE38" s="25">
        <f>IFERROR(AE6/AE5,"")</f>
        <v/>
      </c>
      <c r="AF38" s="32">
        <f>IFERROR(AF6/AF5,"")</f>
        <v/>
      </c>
      <c r="AG38" s="32">
        <f>IFERROR(AG6/AG5,"")</f>
        <v/>
      </c>
      <c r="AH38" s="32">
        <f>IFERROR(AH6/AH5,"")</f>
        <v/>
      </c>
      <c r="AI38" s="32">
        <f>IFERROR(AI6/AI5,"")</f>
        <v/>
      </c>
      <c r="AJ38" s="25">
        <f>IFERROR(AJ6/AJ5,"")</f>
        <v/>
      </c>
      <c r="AK38" s="32">
        <f>IFERROR(AK6/AK5,"")</f>
        <v/>
      </c>
      <c r="AL38" s="32">
        <f>IFERROR(AL6/AL5,"")</f>
        <v/>
      </c>
      <c r="AM38" s="32">
        <f>IFERROR(AM6/AM5,"")</f>
        <v/>
      </c>
      <c r="AN38" s="32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2">
        <f>IFERROR(AC8/AC5,"")</f>
        <v/>
      </c>
      <c r="AD39" s="32">
        <f>IFERROR(AD8/AD5,"")</f>
        <v/>
      </c>
      <c r="AE39" s="25">
        <f>IFERROR(AE8/AE5,"")</f>
        <v/>
      </c>
      <c r="AF39" s="32">
        <f>IFERROR(AF8/AF5,"")</f>
        <v/>
      </c>
      <c r="AG39" s="32">
        <f>IFERROR(AG8/AG5,"")</f>
        <v/>
      </c>
      <c r="AH39" s="32">
        <f>IFERROR(AH8/AH5,"")</f>
        <v/>
      </c>
      <c r="AI39" s="32">
        <f>IFERROR(AI8/AI5,"")</f>
        <v/>
      </c>
      <c r="AJ39" s="25">
        <f>IFERROR(AJ8/AJ5,"")</f>
        <v/>
      </c>
      <c r="AK39" s="32">
        <f>IFERROR(AK8/AK5,"")</f>
        <v/>
      </c>
      <c r="AL39" s="32">
        <f>IFERROR(AL8/AL5,"")</f>
        <v/>
      </c>
      <c r="AM39" s="32">
        <f>IFERROR(AM8/AM5,"")</f>
        <v/>
      </c>
      <c r="AN39" s="32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변수!D39</f>
        <v/>
      </c>
      <c r="W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27">
        <f>IFERROR(VLOOKUP($A28,subQ,MATCH(I$1,SUBQH,0),0),"")</f>
        <v/>
      </c>
      <c r="J28" s="27">
        <f>IFERROR(VLOOKUP($A28,subQ,MATCH(J$1,SUBQH,0),0),"")</f>
        <v/>
      </c>
      <c r="K28" s="27">
        <f>IFERROR(VLOOKUP($A28,subQ,MATCH(K$1,SUBQH,0),0),"")</f>
        <v/>
      </c>
      <c r="L28" s="27">
        <f>IFERROR(VLOOKUP($A28,subQ,MATCH(L$1,SUBQH,0),0),"")</f>
        <v/>
      </c>
      <c r="M28" s="27">
        <f>IFERROR(VLOOKUP($A28,subQ,MATCH(M$1,SUBQH,0),0),"")</f>
        <v/>
      </c>
      <c r="N28" s="27">
        <f>IFERROR(VLOOKUP($A28,subQ,MATCH(N$1,SUBQH,0),0),"")</f>
        <v/>
      </c>
      <c r="O28" s="27">
        <f>IFERROR(VLOOKUP($A28,subQ,MATCH(O$1,SUBQH,0),0),"")</f>
        <v/>
      </c>
      <c r="P28" s="27">
        <f>IFERROR(VLOOKUP($A28,subQ,MATCH(P$1,SUBQH,0),0),"")</f>
        <v/>
      </c>
      <c r="Q28" s="27">
        <f>IFERROR(VLOOKUP($A28,subQ,MATCH(Q$1,SUBQH,0),0),"")</f>
        <v/>
      </c>
      <c r="R28" s="27">
        <f>IFERROR(VLOOKUP($A28,subQ,MATCH(R$1,SUBQH,0),0),"")</f>
        <v/>
      </c>
      <c r="S28" s="27">
        <f>IFERROR(VLOOKUP($A28,subQ,MATCH(S$1,SUBQH,0),0),"")</f>
        <v/>
      </c>
      <c r="T28" s="27">
        <f>IFERROR(VLOOKUP($A28,subQ,MATCH(T$1,SUBQH,0),0),"")</f>
        <v/>
      </c>
      <c r="U28" s="27">
        <f>IFERROR(VLOOKUP($A28,subQ,MATCH(U$1,SUBQH,0),0),"")</f>
        <v/>
      </c>
      <c r="V28" s="27">
        <f>IFERROR(VLOOKUP($A28,subQ,MATCH(V$1,SUBQH,0),0),"")</f>
        <v/>
      </c>
      <c r="W28" s="47">
        <f>IFERROR(VLOOKUP($A28,subQ,MATCH(W$1,SUBQH,0),0),"")</f>
        <v/>
      </c>
      <c r="X28" s="33">
        <f>IFERROR(VLOOKUP($A28,subQ,MATCH(X$1,SUBQH,0),0),"")</f>
        <v/>
      </c>
      <c r="Y28" s="33">
        <f>IFERROR(VLOOKUP($A28,subQ,MATCH(Y$1,SUBQH,0),0),"")</f>
        <v/>
      </c>
      <c r="Z28" s="33">
        <f>IFERROR(VLOOKUP($A28,subQ,MATCH(Z$1,SUBQH,0),0),"")</f>
        <v/>
      </c>
      <c r="AA28" s="33">
        <f>IFERROR(VLOOKUP($A28,subQ,MATCH(AA$1,SUBQH,0),0),"")</f>
        <v/>
      </c>
      <c r="AB28" s="33">
        <f>IFERROR(VLOOKUP($A28,subQ,MATCH(AB$1,SUBQH,0),0),"")</f>
        <v/>
      </c>
      <c r="AC28" s="33">
        <f>IFERROR(VLOOKUP($A28,subQ,MATCH(AC$1,SUBQH,0),0),"")</f>
        <v/>
      </c>
      <c r="AD28" s="33">
        <f>IFERROR(VLOOKUP($A28,subQ,MATCH(AD$1,SUBQH,0),0),"")</f>
        <v/>
      </c>
      <c r="AE28" s="33">
        <f>IFERROR(VLOOKUP($A28,subQ,MATCH(AE$1,SUBQH,0),0),"")</f>
        <v/>
      </c>
      <c r="AF28" s="33">
        <f>IFERROR(VLOOKUP($A28,subQ,MATCH(AF$1,SUBQH,0),0),"")</f>
        <v/>
      </c>
      <c r="AG28" s="33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13">
        <f>IFERROR(VLOOKUP($A32,subQ,MATCH(I$1,SUBQH,0),0),"")</f>
        <v/>
      </c>
      <c r="J32" s="13">
        <f>IFERROR(VLOOKUP($A32,subQ,MATCH(J$1,SUBQH,0),0),"")</f>
        <v/>
      </c>
      <c r="K32" s="13">
        <f>IFERROR(VLOOKUP($A32,subQ,MATCH(K$1,SUBQH,0),0),"")</f>
        <v/>
      </c>
      <c r="L32" s="13">
        <f>IFERROR(VLOOKUP($A32,subQ,MATCH(L$1,SUBQH,0),0),"")</f>
        <v/>
      </c>
      <c r="M32" s="13">
        <f>IFERROR(VLOOKUP($A32,subQ,MATCH(M$1,SUBQH,0),0),"")</f>
        <v/>
      </c>
      <c r="N32" s="13">
        <f>IFERROR(VLOOKUP($A32,subQ,MATCH(N$1,SUBQH,0),0),"")</f>
        <v/>
      </c>
      <c r="O32" s="13">
        <f>IFERROR(VLOOKUP($A32,subQ,MATCH(O$1,SUBQH,0),0),"")</f>
        <v/>
      </c>
      <c r="P32" s="13">
        <f>IFERROR(VLOOKUP($A32,subQ,MATCH(P$1,SUBQH,0),0),"")</f>
        <v/>
      </c>
      <c r="Q32" s="13">
        <f>IFERROR(VLOOKUP($A32,subQ,MATCH(Q$1,SUBQH,0),0),"")</f>
        <v/>
      </c>
      <c r="R32" s="13">
        <f>IFERROR(VLOOKUP($A32,subQ,MATCH(R$1,SUBQH,0),0),"")</f>
        <v/>
      </c>
      <c r="S32" s="13">
        <f>IFERROR(VLOOKUP($A32,subQ,MATCH(S$1,SUBQH,0),0),"")</f>
        <v/>
      </c>
      <c r="T32" s="13">
        <f>IFERROR(VLOOKUP($A32,subQ,MATCH(T$1,SUBQH,0),0),"")</f>
        <v/>
      </c>
      <c r="U32" s="13">
        <f>IFERROR(VLOOKUP($A32,subQ,MATCH(U$1,SUBQH,0),0),"")</f>
        <v/>
      </c>
      <c r="V32" s="13">
        <f>IFERROR(VLOOKUP($A32,subQ,MATCH(V$1,SUBQH,0),0),"")</f>
        <v/>
      </c>
      <c r="W32" s="48">
        <f>IFERROR(VLOOKUP($A32,subQ,MATCH(W$1,SUBQH,0),0),"")</f>
        <v/>
      </c>
      <c r="X32" s="39">
        <f>IFERROR(VLOOKUP($A32,subQ,MATCH(X$1,SUBQH,0),0),"")</f>
        <v/>
      </c>
      <c r="Y32" s="39">
        <f>IFERROR(VLOOKUP($A32,subQ,MATCH(Y$1,SUBQH,0),0),"")</f>
        <v/>
      </c>
      <c r="Z32" s="39">
        <f>IFERROR(VLOOKUP($A32,subQ,MATCH(Z$1,SUBQH,0),0),"")</f>
        <v/>
      </c>
      <c r="AA32" s="39">
        <f>IFERROR(VLOOKUP($A32,subQ,MATCH(AA$1,SUBQH,0),0),"")</f>
        <v/>
      </c>
      <c r="AB32" s="39">
        <f>IFERROR(VLOOKUP($A32,subQ,MATCH(AB$1,SUBQH,0),0),"")</f>
        <v/>
      </c>
      <c r="AC32" s="39">
        <f>IFERROR(VLOOKUP($A32,subQ,MATCH(AC$1,SUBQH,0),0),"")</f>
        <v/>
      </c>
      <c r="AD32" s="39">
        <f>IFERROR(VLOOKUP($A32,subQ,MATCH(AD$1,SUBQH,0),0),"")</f>
        <v/>
      </c>
      <c r="AE32" s="39">
        <f>IFERROR(VLOOKUP($A32,subQ,MATCH(AE$1,SUBQH,0),0),"")</f>
        <v/>
      </c>
      <c r="AF32" s="39">
        <f>IFERROR(VLOOKUP($A32,subQ,MATCH(AF$1,SUBQH,0),0),"")</f>
        <v/>
      </c>
      <c r="AG32" s="39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6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6">
        <f>IFERROR(W5/S5-1,"")</f>
        <v/>
      </c>
      <c r="X37" s="32">
        <f>IFERROR(X5/T5-1,"")</f>
        <v/>
      </c>
      <c r="Y37" s="32">
        <f>IFERROR(Y5/U5-1,"")</f>
        <v/>
      </c>
      <c r="Z37" s="32">
        <f>IFERROR(Z5/V5-1,"")</f>
        <v/>
      </c>
      <c r="AA37" s="32">
        <f>IFERROR(AA5/W5-1,"")</f>
        <v/>
      </c>
      <c r="AB37" s="32">
        <f>IFERROR(AB5/X5-1,"")</f>
        <v/>
      </c>
      <c r="AC37" s="32">
        <f>IFERROR(AC5/Y5-1,"")</f>
        <v/>
      </c>
      <c r="AD37" s="32">
        <f>IFERROR(AD5/Z5-1,"")</f>
        <v/>
      </c>
      <c r="AE37" s="32">
        <f>IFERROR(AE5/AA5-1,"")</f>
        <v/>
      </c>
      <c r="AF37" s="32">
        <f>IFERROR(AF5/AB5-1,"")</f>
        <v/>
      </c>
      <c r="AG37" s="32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6">
        <f>IFERROR(W9/S9-1,"")</f>
        <v/>
      </c>
      <c r="X38" s="32">
        <f>IFERROR(X9/T9-1,"")</f>
        <v/>
      </c>
      <c r="Y38" s="32">
        <f>IFERROR(Y9/U9-1,"")</f>
        <v/>
      </c>
      <c r="Z38" s="32">
        <f>IFERROR(Z9/V9-1,"")</f>
        <v/>
      </c>
      <c r="AA38" s="32">
        <f>IFERROR(AA9/W9-1,"")</f>
        <v/>
      </c>
      <c r="AB38" s="32">
        <f>IFERROR(AB9/X9-1,"")</f>
        <v/>
      </c>
      <c r="AC38" s="32">
        <f>IFERROR(AC9/Y9-1,"")</f>
        <v/>
      </c>
      <c r="AD38" s="32">
        <f>IFERROR(AD9/Z9-1,"")</f>
        <v/>
      </c>
      <c r="AE38" s="32">
        <f>IFERROR(AE9/AA9-1,"")</f>
        <v/>
      </c>
      <c r="AF38" s="32">
        <f>IFERROR(AF9/AB9-1,"")</f>
        <v/>
      </c>
      <c r="AG38" s="32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IFERROR(I17/E17-1,"")</f>
        <v/>
      </c>
      <c r="J39" s="21">
        <f>IFERROR(J17/F17-1,"")</f>
        <v/>
      </c>
      <c r="K39" s="21">
        <f>IFERROR(K17/G17-1,"")</f>
        <v/>
      </c>
      <c r="L39" s="21">
        <f>IFERROR(L17/H17-1,"")</f>
        <v/>
      </c>
      <c r="M39" s="21">
        <f>IFERROR(M17/I17-1,"")</f>
        <v/>
      </c>
      <c r="N39" s="21">
        <f>IFERROR(N17/J17-1,"")</f>
        <v/>
      </c>
      <c r="O39" s="21">
        <f>IFERROR(O17/K17-1,"")</f>
        <v/>
      </c>
      <c r="P39" s="21">
        <f>IFERROR(P17/L17-1,"")</f>
        <v/>
      </c>
      <c r="Q39" s="21">
        <f>IFERROR(Q17/M17-1,"")</f>
        <v/>
      </c>
      <c r="R39" s="21">
        <f>IFERROR(R17/N17-1,"")</f>
        <v/>
      </c>
      <c r="S39" s="21">
        <f>IFERROR(S17/O17-1,"")</f>
        <v/>
      </c>
      <c r="T39" s="21">
        <f>IFERROR(T17/P17-1,"")</f>
        <v/>
      </c>
      <c r="U39" s="21">
        <f>IFERROR(U17/Q17-1,"")</f>
        <v/>
      </c>
      <c r="V39" s="21">
        <f>IFERROR(V17/R17-1,"")</f>
        <v/>
      </c>
      <c r="W39" s="46">
        <f>IFERROR(W17/S17-1,"")</f>
        <v/>
      </c>
      <c r="X39" s="32">
        <f>IFERROR(X17/T17-1,"")</f>
        <v/>
      </c>
      <c r="Y39" s="32">
        <f>IFERROR(Y17/U17-1,"")</f>
        <v/>
      </c>
      <c r="Z39" s="32">
        <f>IFERROR(Z17/V17-1,"")</f>
        <v/>
      </c>
      <c r="AA39" s="32">
        <f>IFERROR(AA17/W17-1,"")</f>
        <v/>
      </c>
      <c r="AB39" s="32">
        <f>IFERROR(AB17/X17-1,"")</f>
        <v/>
      </c>
      <c r="AC39" s="32">
        <f>IFERROR(AC17/Y17-1,"")</f>
        <v/>
      </c>
      <c r="AD39" s="32">
        <f>IFERROR(AD17/Z17-1,"")</f>
        <v/>
      </c>
      <c r="AE39" s="32">
        <f>IFERROR(AE17/AA17-1,"")</f>
        <v/>
      </c>
      <c r="AF39" s="32">
        <f>IFERROR(AF17/AB17-1,"")</f>
        <v/>
      </c>
      <c r="AG39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변수!D39</f>
        <v/>
      </c>
      <c r="I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7">
        <f>IFERROR(VLOOKUP($A28,subQ,MATCH(E$1,SUBQH,0),0),"")</f>
        <v/>
      </c>
      <c r="F28" s="27">
        <f>IFERROR(VLOOKUP($A28,subQ,MATCH(F$1,SUBQH,0),0),"")</f>
        <v/>
      </c>
      <c r="G28" s="27">
        <f>IFERROR(VLOOKUP($A28,subQ,MATCH(G$1,SUBQH,0),0),"")</f>
        <v/>
      </c>
      <c r="H28" s="27">
        <f>IFERROR(VLOOKUP($A28,subQ,MATCH(H$1,SUBQH,0),0),"")</f>
        <v/>
      </c>
      <c r="I28" s="47">
        <f>IFERROR(VLOOKUP($A28,subQ,MATCH(I$1,SUBQH,0),0),"")</f>
        <v/>
      </c>
      <c r="J28" s="33">
        <f>IFERROR(VLOOKUP($A28,subQ,MATCH(J$1,SUBQH,0),0),"")</f>
        <v/>
      </c>
      <c r="K28" s="33">
        <f>IFERROR(VLOOKUP($A28,subQ,MATCH(K$1,SUBQH,0),0),"")</f>
        <v/>
      </c>
      <c r="L28" s="33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3">
        <f>IFERROR(VLOOKUP($A32,subQ,MATCH(E$1,SUBQH,0),0),"")</f>
        <v/>
      </c>
      <c r="F32" s="13">
        <f>IFERROR(VLOOKUP($A32,subQ,MATCH(F$1,SUBQH,0),0),"")</f>
        <v/>
      </c>
      <c r="G32" s="13">
        <f>IFERROR(VLOOKUP($A32,subQ,MATCH(G$1,SUBQH,0),0),"")</f>
        <v/>
      </c>
      <c r="H32" s="13">
        <f>IFERROR(VLOOKUP($A32,subQ,MATCH(H$1,SUBQH,0),0),"")</f>
        <v/>
      </c>
      <c r="I32" s="48">
        <f>IFERROR(VLOOKUP($A32,subQ,MATCH(I$1,SUBQH,0),0),"")</f>
        <v/>
      </c>
      <c r="J32" s="39">
        <f>IFERROR(VLOOKUP($A32,subQ,MATCH(J$1,SUBQH,0),0),"")</f>
        <v/>
      </c>
      <c r="K32" s="39">
        <f>IFERROR(VLOOKUP($A32,subQ,MATCH(K$1,SUBQH,0),0),"")</f>
        <v/>
      </c>
      <c r="L32" s="39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6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6">
        <f>IFERROR(I5/H5-1,"")</f>
        <v/>
      </c>
      <c r="J37" s="32">
        <f>IFERROR(J5/I5-1,"")</f>
        <v/>
      </c>
      <c r="K37" s="32">
        <f>IFERROR(K5/J5-1,"")</f>
        <v/>
      </c>
      <c r="L37" s="32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6">
        <f>IFERROR(I9/H9-1,"")</f>
        <v/>
      </c>
      <c r="J38" s="32">
        <f>IFERROR(J9/I9-1,"")</f>
        <v/>
      </c>
      <c r="K38" s="32">
        <f>IFERROR(K9/J9-1,"")</f>
        <v/>
      </c>
      <c r="L38" s="32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IFERROR(F17/E17-1,"")</f>
        <v/>
      </c>
      <c r="G39" s="21">
        <f>IFERROR(G17/F17-1,"")</f>
        <v/>
      </c>
      <c r="H39" s="21">
        <f>IFERROR(H17/G17-1,"")</f>
        <v/>
      </c>
      <c r="I39" s="46">
        <f>IFERROR(I17/H17-1,"")</f>
        <v/>
      </c>
      <c r="J39" s="32">
        <f>IFERROR(J17/I17-1,"")</f>
        <v/>
      </c>
      <c r="K39" s="32">
        <f>IFERROR(K17/J17-1,"")</f>
        <v/>
      </c>
      <c r="L39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변수!D39</f>
        <v/>
      </c>
    </row>
    <row r="2">
      <c r="B2" s="1" t="inlineStr">
        <is>
          <t>기준일</t>
        </is>
      </c>
      <c r="C2">
        <f>변수!D40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IFERROR(E7*변수!D45+F7*(1-변수!D45),"")</f>
        <v/>
      </c>
    </row>
    <row r="15">
      <c r="C15" t="inlineStr">
        <is>
          <t>적정가치 @PER_lo</t>
        </is>
      </c>
      <c r="D15" s="27">
        <f>변수!D42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변수!D43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변수!D44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변수!D41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2956.3</v>
      </c>
    </row>
    <row r="30">
      <c r="C30" s="2" t="inlineStr">
        <is>
          <t>bps_latest</t>
        </is>
      </c>
      <c r="D30" t="n">
        <v>29899.8</v>
      </c>
    </row>
    <row r="31">
      <c r="C31" s="2" t="inlineStr">
        <is>
          <t>per_now</t>
        </is>
      </c>
      <c r="D31" t="n">
        <v>5.8</v>
      </c>
    </row>
    <row r="32">
      <c r="C32" s="2" t="inlineStr">
        <is>
          <t>pbr_now</t>
        </is>
      </c>
      <c r="D32" t="n">
        <v>0.57</v>
      </c>
    </row>
    <row r="33">
      <c r="C33" s="2" t="inlineStr">
        <is>
          <t>roe_fwd</t>
        </is>
      </c>
      <c r="D33" t="n">
        <v>0.0989</v>
      </c>
    </row>
    <row r="34">
      <c r="C34" s="2" t="inlineStr">
        <is>
          <t>fair_pbr</t>
        </is>
      </c>
      <c r="D34" t="n">
        <v>1.1</v>
      </c>
    </row>
    <row r="35">
      <c r="C35" s="2" t="inlineStr">
        <is>
          <t>fair_value_pbr</t>
        </is>
      </c>
      <c r="D35" t="n">
        <v>32900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변수!D52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