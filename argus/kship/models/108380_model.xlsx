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3절 스칼라 '판관비율' 참조 — 숫자로 덮어쓰면 이 분기만 바뀐다
매출액 × 판관비율 6.92%(최근 4분기 중위)</t>
      </text>
    </comment>
    <comment ref="AD22" authorId="0" shapeId="0">
      <text>
        <t>3절 스칼라 '판관비율' 참조 — 숫자로 덮어쓰면 이 분기만 바뀐다
매출액 × 판관비율 6.92%(최근 4분기 중위)</t>
      </text>
    </comment>
    <comment ref="AF22" authorId="0" shapeId="0">
      <text>
        <t>3절 스칼라 '판관비율' 참조 — 숫자로 덮어쓰면 이 분기만 바뀐다
매출액 × 판관비율 6.92%(최근 4분기 중위)</t>
      </text>
    </comment>
    <comment ref="AG22" authorId="0" shapeId="0">
      <text>
        <t>3절 스칼라 '판관비율' 참조 — 숫자로 덮어쓰면 이 분기만 바뀐다
매출액 × 판관비율 6.92%(최근 4분기 중위)</t>
      </text>
    </comment>
    <comment ref="AH22" authorId="0" shapeId="0">
      <text>
        <t>3절 스칼라 '판관비율' 참조 — 숫자로 덮어쓰면 이 분기만 바뀐다
매출액 × 판관비율 6.92%(최근 4분기 중위)</t>
      </text>
    </comment>
    <comment ref="AI22" authorId="0" shapeId="0">
      <text>
        <t>3절 스칼라 '판관비율' 참조 — 숫자로 덮어쓰면 이 분기만 바뀐다
매출액 × 판관비율 6.92%(최근 4분기 중위)</t>
      </text>
    </comment>
    <comment ref="AK22" authorId="0" shapeId="0">
      <text>
        <t>3절 스칼라 '판관비율' 참조 — 숫자로 덮어쓰면 이 분기만 바뀐다
매출액 × 판관비율 6.92%(최근 4분기 중위)</t>
      </text>
    </comment>
    <comment ref="AL22" authorId="0" shapeId="0">
      <text>
        <t>3절 스칼라 '판관비율' 참조 — 숫자로 덮어쓰면 이 분기만 바뀐다
매출액 × 판관비율 6.92%(최근 4분기 중위)</t>
      </text>
    </comment>
    <comment ref="AM22" authorId="0" shapeId="0">
      <text>
        <t>3절 스칼라 '판관비율' 참조 — 숫자로 덮어쓰면 이 분기만 바뀐다
매출액 × 판관비율 6.92%(최근 4분기 중위)</t>
      </text>
    </comment>
    <comment ref="AN22" authorId="0" shapeId="0">
      <text>
        <t>3절 스칼라 '판관비율' 참조 — 숫자로 덮어쓰면 이 분기만 바뀐다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D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F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G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H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I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K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L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M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N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G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AL27" authorId="0" shapeId="0">
      <text>
        <t>모델값 역산(implied): 모델 v 그대로
최근 4분기 감가상각비 중위 유지</t>
      </text>
    </comment>
    <comment ref="AM27" authorId="0" shapeId="0">
      <text>
        <t>모델값 역산(implied): 모델 v 그대로
최근 4분기 감가상각비 중위 유지</t>
      </text>
    </comment>
    <comment ref="AN27" authorId="0" shapeId="0">
      <text>
        <t>모델값 역산(implied): 모델 v 그대로
최근 4분기 감가상각비 중위 유지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전분기 + FCF 근사 — 순차입금 롤과 같은 가정</t>
      </text>
    </comment>
    <comment ref="AD31" authorId="0" shapeId="0">
      <text>
        <t>모델값 역산(implied): v / 전분기 − 1
전분기 + FCF 근사 — 순차입금 롤과 같은 가정</t>
      </text>
    </comment>
    <comment ref="AF31" authorId="0" shapeId="0">
      <text>
        <t>모델값 역산(implied): v / 전분기 − 1
전분기 + FCF 근사 — 순차입금 롤과 같은 가정</t>
      </text>
    </comment>
    <comment ref="AG31" authorId="0" shapeId="0">
      <text>
        <t>모델값 역산(implied): v / 전분기 − 1
전분기 + FCF 근사 — 순차입금 롤과 같은 가정</t>
      </text>
    </comment>
    <comment ref="AH31" authorId="0" shapeId="0">
      <text>
        <t>모델값 역산(implied): v / 전분기 − 1
전분기 + FCF 근사 — 순차입금 롤과 같은 가정</t>
      </text>
    </comment>
    <comment ref="AI31" authorId="0" shapeId="0">
      <text>
        <t>모델값 역산(implied): v / 전분기 − 1
전분기 + FCF 근사 — 순차입금 롤과 같은 가정</t>
      </text>
    </comment>
    <comment ref="AK31" authorId="0" shapeId="0">
      <text>
        <t>모델값 역산(implied): v / 전분기 − 1
전분기 + FCF 근사 — 순차입금 롤과 같은 가정</t>
      </text>
    </comment>
    <comment ref="AL31" authorId="0" shapeId="0">
      <text>
        <t>모델값 역산(implied): v / 전분기 − 1
전분기 + FCF 근사 — 순차입금 롤과 같은 가정</t>
      </text>
    </comment>
    <comment ref="AM31" authorId="0" shapeId="0">
      <text>
        <t>모델값 역산(implied): v / 전분기 − 1
전분기 + FCF 근사 — 순차입금 롤과 같은 가정</t>
      </text>
    </comment>
    <comment ref="AN31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전년동기 − 1
최근 4분기(2025Q3~2026Q2) CAPEX 중위 유지 — 순차입금 롤에 반영(FCF 근사)</t>
      </text>
    </comment>
    <comment ref="AD33" authorId="0" shapeId="0">
      <text>
        <t>모델값 역산(implied): v / 전년동기 − 1
최근 4분기(2025Q3~2026Q2) CAPEX 중위 유지 — 순차입금 롤에 반영(FCF 근사)</t>
      </text>
    </comment>
    <comment ref="AF33" authorId="0" shapeId="0">
      <text>
        <t>모델값 역산(implied): v / 전년동기 − 1
최근 4분기(2025Q3~2026Q2) CAPEX 중위 유지 — 순차입금 롤에 반영(FCF 근사)</t>
      </text>
    </comment>
    <comment ref="AG33" authorId="0" shapeId="0">
      <text>
        <t>모델값 역산(implied): v / 전년동기 − 1
최근 4분기(2025Q3~2026Q2) CAPEX 중위 유지 — 순차입금 롤에 반영(FCF 근사)</t>
      </text>
    </comment>
    <comment ref="AH33" authorId="0" shapeId="0">
      <text>
        <t>모델값 역산(implied): v / 전년동기 − 1
최근 4분기(2025Q3~2026Q2) CAPEX 중위 유지 — 순차입금 롤에 반영(FCF 근사)</t>
      </text>
    </comment>
    <comment ref="AI33" authorId="0" shapeId="0">
      <text>
        <t>모델값 역산(implied): v / 전년동기 − 1
최근 4분기(2025Q3~2026Q2) CAPEX 중위 유지 — 순차입금 롤에 반영(FCF 근사)</t>
      </text>
    </comment>
    <comment ref="AK33" authorId="0" shapeId="0">
      <text>
        <t>모델값 역산(implied): v / 전년동기 − 1
최근 4분기(2025Q3~2026Q2) CAPEX 중위 유지 — 순차입금 롤에 반영(FCF 근사)</t>
      </text>
    </comment>
    <comment ref="AL33" authorId="0" shapeId="0">
      <text>
        <t>모델값 역산(implied): v / 전년동기 − 1
최근 4분기(2025Q3~2026Q2) CAPEX 중위 유지 — 순차입금 롤에 반영(FCF 근사)</t>
      </text>
    </comment>
    <comment ref="AM33" authorId="0" shapeId="0">
      <text>
        <t>모델값 역산(implied): v / 전년동기 − 1
최근 4분기(2025Q3~2026Q2) CAPEX 중위 유지 — 순차입금 롤에 반영(FCF 근사)</t>
      </text>
    </comment>
    <comment ref="AN33" authorId="0" shapeId="0">
      <text>
        <t>모델값 역산(implied): v / 전년동기 − 1
최근 4분기(2025Q3~2026Q2) CAPEX 중위 유지 — 순차입금 롤에 반영(FCF 근사)</t>
      </text>
    </comment>
    <comment ref="AC35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v / 전분기 − 1
유통주식수 유지 — fin.shares.common_outstanding(2026Q2)</t>
      </text>
    </comment>
    <comment ref="AF35" authorId="0" shapeId="0">
      <text>
        <t>모델값 역산(implied): v / 전분기 − 1
유통주식수 유지 — fin.shares.common_outstanding(2026Q2)</t>
      </text>
    </comment>
    <comment ref="AG35" authorId="0" shapeId="0">
      <text>
        <t>모델값 역산(implied): v / 전분기 − 1
유통주식수 유지 — fin.shares.common_outstanding(2026Q2)</t>
      </text>
    </comment>
    <comment ref="AH35" authorId="0" shapeId="0">
      <text>
        <t>모델값 역산(implied): v / 전분기 − 1
유통주식수 유지 — fin.shares.common_outstanding(2026Q2)</t>
      </text>
    </comment>
    <comment ref="AI35" authorId="0" shapeId="0">
      <text>
        <t>모델값 역산(implied): v / 전분기 − 1
유통주식수 유지 — fin.shares.common_outstanding(2026Q2)</t>
      </text>
    </comment>
    <comment ref="AK35" authorId="0" shapeId="0">
      <text>
        <t>모델값 역산(implied): v / 전분기 − 1
유통주식수 유지 — fin.shares.common_outstanding(2026Q2)</t>
      </text>
    </comment>
    <comment ref="AL35" authorId="0" shapeId="0">
      <text>
        <t>모델값 역산(implied): v / 전분기 − 1
유통주식수 유지 — fin.shares.common_outstanding(2026Q2)</t>
      </text>
    </comment>
    <comment ref="AM35" authorId="0" shapeId="0">
      <text>
        <t>모델값 역산(implied): v / 전분기 − 1
유통주식수 유지 — fin.shares.common_outstanding(2026Q2)</t>
      </text>
    </comment>
    <comment ref="AN35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모델 v 그대로
직전 결산 DPS 200원 유지</t>
      </text>
    </comment>
    <comment ref="AI36" authorId="0" shapeId="0">
      <text>
        <t>모델값 역산(implied): 모델 v 그대로
직전 결산 DPS 200원 유지</t>
      </text>
    </comment>
    <comment ref="AN36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AC10" authorId="0" shapeId="0">
      <text>
        <t>추정: 최근 8분기 OPM 중위 11.4% 유지(클립 −20~40%)
[divide]</t>
      </text>
    </comment>
    <comment ref="AD10" authorId="0" shapeId="0">
      <text>
        <t>추정: 최근 8분기 OPM 중위 11.4% 유지(클립 −20~40%)
[divide]</t>
      </text>
    </comment>
    <comment ref="AF10" authorId="0" shapeId="0">
      <text>
        <t>추정: 최근 8분기 OPM 중위 11.4% 유지(클립 −20~40%)
[divide]</t>
      </text>
    </comment>
    <comment ref="AG10" authorId="0" shapeId="0">
      <text>
        <t>추정: 최근 8분기 OPM 중위 11.4% 유지(클립 −20~40%)
[divide]</t>
      </text>
    </comment>
    <comment ref="AH10" authorId="0" shapeId="0">
      <text>
        <t>추정: 최근 8분기 OPM 중위 11.4% 유지(클립 −20~40%)
[divide]</t>
      </text>
    </comment>
    <comment ref="AI10" authorId="0" shapeId="0">
      <text>
        <t>추정: 최근 8분기 OPM 중위 11.4% 유지(클립 −20~40%)
[divide]</t>
      </text>
    </comment>
    <comment ref="AK10" authorId="0" shapeId="0">
      <text>
        <t>추정: 최근 8분기 OPM 중위 11.4% 유지(클립 −20~40%)
[divide]</t>
      </text>
    </comment>
    <comment ref="AL10" authorId="0" shapeId="0">
      <text>
        <t>추정: 최근 8분기 OPM 중위 11.4% 유지(클립 −20~40%)
[divide]</t>
      </text>
    </comment>
    <comment ref="AM10" authorId="0" shapeId="0">
      <text>
        <t>추정: 최근 8분기 OPM 중위 11.4% 유지(클립 −20~40%)
[divide]</t>
      </text>
    </comment>
    <comment ref="AN10" authorId="0" shapeId="0">
      <text>
        <t>추정: 최근 8분기 OPM 중위 11.4%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5.50%(주석 이자수익 ÷ 평균 이자발생자산(2024Q1~2026Q2))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631억 × 5.50%(주석 이자수익 ÷ 평균 이자발생자산(2024Q1~2026Q2))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693억 × 5.50%(주석 이자수익 ÷ 평균 이자발생자산(2024Q1~2026Q2))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750억 × 5.50%(주석 이자수익 ÷ 평균 이자발생자산(2024Q1~2026Q2))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810억 × 5.50%(주석 이자수익 ÷ 평균 이자발생자산(2024Q1~2026Q2))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882억 × 5.50%(주석 이자수익 ÷ 평균 이자발생자산(2024Q1~2026Q2))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950억 × 5.50%(주석 이자수익 ÷ 평균 이자발생자산(2024Q1~2026Q2))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1012억 × 5.50%(주석 이자수익 ÷ 평균 이자발생자산(2024Q1~2026Q2))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1078억 × 5.50%(주석 이자수익 ÷ 평균 이자발생자산(2024Q1~2026Q2))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1155억 × 5.50%(주석 이자수익 ÷ 평균 이자발생자산(2024Q1~2026Q2)) − 총차입금 0억 × 0.00%(없음) (연율) ÷ 4; 환율 효과는 환관련손익 행 별도
[identity]</t>
      </text>
    </comment>
    <comment ref="AC12" authorId="0" shapeId="0">
      <text>
        <t>추정: 이자발생자산 565억 × 5.50%(주석 이자수익 ÷ 평균 이자발생자산(2024Q1~2026Q2)) − 총차입금 0억 × 0.00%(없음) (연율) ÷ 4
[interest]</t>
      </text>
    </comment>
    <comment ref="AD12" authorId="0" shapeId="0">
      <text>
        <t>추정: 이자발생자산 631억 × 5.50%(주석 이자수익 ÷ 평균 이자발생자산(2024Q1~2026Q2)) − 총차입금 0억 × 0.00%(없음) (연율) ÷ 4
[interest]</t>
      </text>
    </comment>
    <comment ref="AF12" authorId="0" shapeId="0">
      <text>
        <t>추정: 이자발생자산 693억 × 5.50%(주석 이자수익 ÷ 평균 이자발생자산(2024Q1~2026Q2)) − 총차입금 0억 × 0.00%(없음) (연율) ÷ 4
[interest]</t>
      </text>
    </comment>
    <comment ref="AG12" authorId="0" shapeId="0">
      <text>
        <t>추정: 이자발생자산 750억 × 5.50%(주석 이자수익 ÷ 평균 이자발생자산(2024Q1~2026Q2)) − 총차입금 0억 × 0.00%(없음) (연율) ÷ 4
[interest]</t>
      </text>
    </comment>
    <comment ref="AH12" authorId="0" shapeId="0">
      <text>
        <t>추정: 이자발생자산 810억 × 5.50%(주석 이자수익 ÷ 평균 이자발생자산(2024Q1~2026Q2)) − 총차입금 0억 × 0.00%(없음) (연율) ÷ 4
[interest]</t>
      </text>
    </comment>
    <comment ref="AI12" authorId="0" shapeId="0">
      <text>
        <t>추정: 이자발생자산 882억 × 5.50%(주석 이자수익 ÷ 평균 이자발생자산(2024Q1~2026Q2)) − 총차입금 0억 × 0.00%(없음) (연율) ÷ 4
[interest]</t>
      </text>
    </comment>
    <comment ref="AK12" authorId="0" shapeId="0">
      <text>
        <t>추정: 이자발생자산 950억 × 5.50%(주석 이자수익 ÷ 평균 이자발생자산(2024Q1~2026Q2)) − 총차입금 0억 × 0.00%(없음) (연율) ÷ 4
[interest]</t>
      </text>
    </comment>
    <comment ref="AL12" authorId="0" shapeId="0">
      <text>
        <t>추정: 이자발생자산 1012억 × 5.50%(주석 이자수익 ÷ 평균 이자발생자산(2024Q1~2026Q2)) − 총차입금 0억 × 0.00%(없음) (연율) ÷ 4
[interest]</t>
      </text>
    </comment>
    <comment ref="AM12" authorId="0" shapeId="0">
      <text>
        <t>추정: 이자발생자산 1078억 × 5.50%(주석 이자수익 ÷ 평균 이자발생자산(2024Q1~2026Q2)) − 총차입금 0억 × 0.00%(없음) (연율) ÷ 4
[interest]</t>
      </text>
    </comment>
    <comment ref="AN12" authorId="0" shapeId="0">
      <text>
        <t>추정: 이자발생자산 1155억 × 5.50%(주석 이자수익 ÷ 평균 이자발생자산(2024Q1~2026Q2))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[tax]</t>
      </text>
    </comment>
    <comment ref="AD15" authorId="0" shapeId="0">
      <text>
        <t>추정: max(세전, 0) × 세율 19.0%(최근 12분기 유효세율 19.0%(5~27% 안 — 그대로))
[tax]</t>
      </text>
    </comment>
    <comment ref="AF15" authorId="0" shapeId="0">
      <text>
        <t>추정: max(세전, 0) × 세율 19.0%(최근 12분기 유효세율 19.0%(5~27% 안 — 그대로))
[tax]</t>
      </text>
    </comment>
    <comment ref="AG15" authorId="0" shapeId="0">
      <text>
        <t>추정: max(세전, 0) × 세율 19.0%(최근 12분기 유효세율 19.0%(5~27% 안 — 그대로))
[tax]</t>
      </text>
    </comment>
    <comment ref="AH15" authorId="0" shapeId="0">
      <text>
        <t>추정: max(세전, 0) × 세율 19.0%(최근 12분기 유효세율 19.0%(5~27% 안 — 그대로))
[tax]</t>
      </text>
    </comment>
    <comment ref="AI15" authorId="0" shapeId="0">
      <text>
        <t>추정: max(세전, 0) × 세율 19.0%(최근 12분기 유효세율 19.0%(5~27% 안 — 그대로))
[tax]</t>
      </text>
    </comment>
    <comment ref="AK15" authorId="0" shapeId="0">
      <text>
        <t>추정: max(세전, 0) × 세율 19.0%(최근 12분기 유효세율 19.0%(5~27% 안 — 그대로))
[tax]</t>
      </text>
    </comment>
    <comment ref="AL15" authorId="0" shapeId="0">
      <text>
        <t>추정: max(세전, 0) × 세율 19.0%(최근 12분기 유효세율 19.0%(5~27% 안 — 그대로))
[tax]</t>
      </text>
    </comment>
    <comment ref="AM15" authorId="0" shapeId="0">
      <text>
        <t>추정: max(세전, 0) × 세율 19.0%(최근 12분기 유효세율 19.0%(5~27% 안 — 그대로))
[tax]</t>
      </text>
    </comment>
    <comment ref="AN15" authorId="0" shapeId="0">
      <text>
        <t>추정: max(세전, 0) × 세율 19.0%(최근 12분기 유효세율 19.0%(5~27%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G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AL18" authorId="0" shapeId="0">
      <text>
        <t>추정: 최근 4분기 감가상각비 중위 유지
[abs]</t>
      </text>
    </comment>
    <comment ref="AM18" authorId="0" shapeId="0">
      <text>
        <t>추정: 최근 4분기 감가상각비 중위 유지
[abs]</t>
      </text>
    </comment>
    <comment ref="AN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H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M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G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AL19" authorId="0" shapeId="0">
      <text>
        <t>추정: 영업이익 + 감가상각비
[identity]</t>
      </text>
    </comment>
    <comment ref="AM19" authorId="0" shapeId="0">
      <text>
        <t>추정: 영업이익 + 감가상각비
[identity]</t>
      </text>
    </comment>
    <comment ref="AN19" authorId="0" shapeId="0">
      <text>
        <t>추정: 영업이익 + 감가상각비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반영(FCF 근사)
[yoy]</t>
      </text>
    </comment>
    <comment ref="AD26" authorId="0" shapeId="0">
      <text>
        <t>추정: 최근 4분기(2025Q3~2026Q2) CAPEX 중위 유지 — 순차입금 롤에 반영(FCF 근사)
[yoy]</t>
      </text>
    </comment>
    <comment ref="AF26" authorId="0" shapeId="0">
      <text>
        <t>추정: 최근 4분기(2025Q3~2026Q2) CAPEX 중위 유지 — 순차입금 롤에 반영(FCF 근사)
[yoy]</t>
      </text>
    </comment>
    <comment ref="AG26" authorId="0" shapeId="0">
      <text>
        <t>추정: 최근 4분기(2025Q3~2026Q2) CAPEX 중위 유지 — 순차입금 롤에 반영(FCF 근사)
[yoy]</t>
      </text>
    </comment>
    <comment ref="AH26" authorId="0" shapeId="0">
      <text>
        <t>추정: 최근 4분기(2025Q3~2026Q2) CAPEX 중위 유지 — 순차입금 롤에 반영(FCF 근사)
[yoy]</t>
      </text>
    </comment>
    <comment ref="AI26" authorId="0" shapeId="0">
      <text>
        <t>추정: 최근 4분기(2025Q3~2026Q2) CAPEX 중위 유지 — 순차입금 롤에 반영(FCF 근사)
[yoy]</t>
      </text>
    </comment>
    <comment ref="AK26" authorId="0" shapeId="0">
      <text>
        <t>추정: 최근 4분기(2025Q3~2026Q2) CAPEX 중위 유지 — 순차입금 롤에 반영(FCF 근사)
[yoy]</t>
      </text>
    </comment>
    <comment ref="AL26" authorId="0" shapeId="0">
      <text>
        <t>추정: 최근 4분기(2025Q3~2026Q2) CAPEX 중위 유지 — 순차입금 롤에 반영(FCF 근사)
[yoy]</t>
      </text>
    </comment>
    <comment ref="AM26" authorId="0" shapeId="0">
      <text>
        <t>추정: 최근 4분기(2025Q3~2026Q2) CAPEX 중위 유지 — 순차입금 롤에 반영(FCF 근사)
[yoy]</t>
      </text>
    </comment>
    <comment ref="AN26" authorId="0" shapeId="0">
      <text>
        <t>추정: 최근 4분기(2025Q3~2026Q2) CAPEX 중위 유지 — 순차입금 롤에 반영(FCF 근사)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18.96% — 법인세 = MAX(세전,0) × 세율, 추정 전 분기 연결(Σ법인세/Σmax(세전,0) 역산, 재현 오차 ≤ 0.05억). 모델 가정 18.96% · 근거: 최근 12분기 유효세율 19.0%(5~27% 안 — 그대로)</t>
        </is>
      </c>
    </row>
    <row r="23">
      <c r="A23" t="inlineStr">
        <is>
          <t>· 판관비율 6.92%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5.50% / 부채 — — 이자손익 = (전분기 이자발생자산 × 자산이자율 − 전분기 총차입금 × 부채이자율)/4, 최소자승 역산(모델 assumptions [0.055, None] 는 4자리 반올림이라 그대로 쓰면 ±1억 어긋남) · 출처: {"asset": "주석 이자수익 ÷ 평균 이자발생자산(2024Q1~2026Q2)",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8.4/9.5/10.7배(hist_quarterly(분기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assets/models/108380.json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2026Q2 / 매출 드라이버 폴백(고객 조선사 연결 없음(suppliers.json)): 전년동기 × (1+g) 추세 / 금융손익 실적→추정 단절: 최근 4분기 실적 +19/-0/+27/+18(중위 +19억) → 추정 2026Q3 +8억(차 -11억, -58%)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24500</v>
      </c>
      <c r="AB15" s="19" t="n">
        <v>17720</v>
      </c>
      <c r="AC15" s="20" t="n">
        <v>18520</v>
      </c>
      <c r="AD15" s="20" t="n">
        <v>16760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32800</v>
      </c>
      <c r="AC16" s="20" t="n">
        <v>19600</v>
      </c>
      <c r="AD16" s="20" t="n">
        <v>18970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20" t="n">
        <v>16670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28323.7</v>
      </c>
      <c r="AB18" s="19" t="n">
        <v>24136.7</v>
      </c>
      <c r="AC18" s="20" t="n">
        <v>17674.8</v>
      </c>
      <c r="AD18" s="20" t="n">
        <v>18136.7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0.105395633</v>
      </c>
      <c r="AD21" s="24" t="n">
        <v>0.105390282</v>
      </c>
      <c r="AE21" s="25" t="n"/>
      <c r="AF21" s="24" t="n">
        <v>0.105401261</v>
      </c>
      <c r="AG21" s="24" t="n">
        <v>0.105396367</v>
      </c>
      <c r="AH21" s="24" t="n">
        <v>0.052706636</v>
      </c>
      <c r="AI21" s="24" t="n">
        <v>0.052700564</v>
      </c>
      <c r="AJ21" s="25" t="n"/>
      <c r="AK21" s="24" t="n">
        <v>0.052700805</v>
      </c>
      <c r="AL21" s="24" t="n">
        <v>0.052694764</v>
      </c>
      <c r="AM21" s="24" t="n">
        <v>0.026339679</v>
      </c>
      <c r="AN21" s="24" t="n">
        <v>0.026359744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$D$47</f>
        <v/>
      </c>
      <c r="AD22" s="26">
        <f>$D$47</f>
        <v/>
      </c>
      <c r="AE22" s="25">
        <f>IFERROR(subQ!AE8/subQ!AE5,"")</f>
        <v/>
      </c>
      <c r="AF22" s="26">
        <f>$D$47</f>
        <v/>
      </c>
      <c r="AG22" s="26">
        <f>$D$47</f>
        <v/>
      </c>
      <c r="AH22" s="26">
        <f>$D$47</f>
        <v/>
      </c>
      <c r="AI22" s="26">
        <f>$D$47</f>
        <v/>
      </c>
      <c r="AJ22" s="25">
        <f>IFERROR(subQ!AJ8/subQ!AJ5,"")</f>
        <v/>
      </c>
      <c r="AK22" s="26">
        <f>$D$47</f>
        <v/>
      </c>
      <c r="AL22" s="26">
        <f>$D$47</f>
        <v/>
      </c>
      <c r="AM22" s="26">
        <f>$D$47</f>
        <v/>
      </c>
      <c r="AN22" s="26">
        <f>$D$47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0.114160957</v>
      </c>
      <c r="AD23" s="24" t="n">
        <v>0.114160579</v>
      </c>
      <c r="AE23" s="25">
        <f>IFERROR(subQ!AE9/subQ!AE5,"")</f>
        <v/>
      </c>
      <c r="AF23" s="24" t="n">
        <v>0.114164341</v>
      </c>
      <c r="AG23" s="24" t="n">
        <v>0.114163474</v>
      </c>
      <c r="AH23" s="24" t="n">
        <v>0.114157228</v>
      </c>
      <c r="AI23" s="24" t="n">
        <v>0.114154696</v>
      </c>
      <c r="AJ23" s="25">
        <f>IFERROR(subQ!AJ9/subQ!AJ5,"")</f>
        <v/>
      </c>
      <c r="AK23" s="24" t="n">
        <v>0.114155945</v>
      </c>
      <c r="AL23" s="24" t="n">
        <v>0.114163007</v>
      </c>
      <c r="AM23" s="24" t="n">
        <v>0.114166746</v>
      </c>
      <c r="AN23" s="24" t="n">
        <v>0.114166938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$D$46</f>
        <v/>
      </c>
      <c r="AD25" s="26">
        <f>$D$46</f>
        <v/>
      </c>
      <c r="AE25" s="25">
        <f>IFERROR(subQ!AE15/subQ!AE14,"")</f>
        <v/>
      </c>
      <c r="AF25" s="26">
        <f>$D$46</f>
        <v/>
      </c>
      <c r="AG25" s="26">
        <f>$D$46</f>
        <v/>
      </c>
      <c r="AH25" s="26">
        <f>$D$46</f>
        <v/>
      </c>
      <c r="AI25" s="26">
        <f>$D$46</f>
        <v/>
      </c>
      <c r="AJ25" s="25">
        <f>IFERROR(subQ!AJ15/subQ!AJ14,"")</f>
        <v/>
      </c>
      <c r="AK25" s="26">
        <f>$D$46</f>
        <v/>
      </c>
      <c r="AL25" s="26">
        <f>$D$46</f>
        <v/>
      </c>
      <c r="AM25" s="26">
        <f>$D$46</f>
        <v/>
      </c>
      <c r="AN25" s="26">
        <f>$D$46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$D$48</f>
        <v/>
      </c>
      <c r="AD26" s="26">
        <f>$D$48</f>
        <v/>
      </c>
      <c r="AE26" s="25">
        <f>IFERROR(subQ!AE17/subQ!AE16,"")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IFERROR(subQ!AJ17/subQ!AJ16,"")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IFERROR(subQ!AO17/subQ!AO16,"")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8">
        <f>subQ!F18</f>
        <v/>
      </c>
      <c r="G27" s="27">
        <f>subQ!G18</f>
        <v/>
      </c>
      <c r="H27" s="27">
        <f>subQ!H18</f>
        <v/>
      </c>
      <c r="I27" s="27">
        <f>subQ!I18</f>
        <v/>
      </c>
      <c r="J27" s="27">
        <f>subQ!J18</f>
        <v/>
      </c>
      <c r="K27" s="28">
        <f>subQ!K18</f>
        <v/>
      </c>
      <c r="L27" s="27">
        <f>subQ!L18</f>
        <v/>
      </c>
      <c r="M27" s="27">
        <f>subQ!M18</f>
        <v/>
      </c>
      <c r="N27" s="27">
        <f>subQ!N18</f>
        <v/>
      </c>
      <c r="O27" s="27">
        <f>subQ!O18</f>
        <v/>
      </c>
      <c r="P27" s="28">
        <f>subQ!P18</f>
        <v/>
      </c>
      <c r="Q27" s="27">
        <f>subQ!Q18</f>
        <v/>
      </c>
      <c r="R27" s="27">
        <f>subQ!R18</f>
        <v/>
      </c>
      <c r="S27" s="27">
        <f>subQ!S18</f>
        <v/>
      </c>
      <c r="T27" s="27">
        <f>subQ!T18</f>
        <v/>
      </c>
      <c r="U27" s="28">
        <f>subQ!U18</f>
        <v/>
      </c>
      <c r="V27" s="27">
        <f>subQ!V18</f>
        <v/>
      </c>
      <c r="W27" s="27">
        <f>subQ!W18</f>
        <v/>
      </c>
      <c r="X27" s="27">
        <f>subQ!X18</f>
        <v/>
      </c>
      <c r="Y27" s="27">
        <f>subQ!Y18</f>
        <v/>
      </c>
      <c r="Z27" s="28">
        <f>subQ!Z18</f>
        <v/>
      </c>
      <c r="AA27" s="27">
        <f>subQ!AA18</f>
        <v/>
      </c>
      <c r="AB27" s="29">
        <f>subQ!AB18</f>
        <v/>
      </c>
      <c r="AC27" s="30" t="n">
        <v>10.22</v>
      </c>
      <c r="AD27" s="30" t="n">
        <v>10.22</v>
      </c>
      <c r="AE27" s="31">
        <f>subQ!AE18</f>
        <v/>
      </c>
      <c r="AF27" s="30" t="n">
        <v>10.22</v>
      </c>
      <c r="AG27" s="30" t="n">
        <v>10.22</v>
      </c>
      <c r="AH27" s="30" t="n">
        <v>10.22</v>
      </c>
      <c r="AI27" s="30" t="n">
        <v>10.22</v>
      </c>
      <c r="AJ27" s="31">
        <f>subQ!AJ18</f>
        <v/>
      </c>
      <c r="AK27" s="30" t="n">
        <v>10.22</v>
      </c>
      <c r="AL27" s="30" t="n">
        <v>10.22</v>
      </c>
      <c r="AM27" s="30" t="n">
        <v>10.22</v>
      </c>
      <c r="AN27" s="30" t="n">
        <v>10.22</v>
      </c>
      <c r="AO27" s="31">
        <f>subQ!AO18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IFERROR(subQ!G21/subQ!E21-1,"")</f>
        <v/>
      </c>
      <c r="H28" s="21">
        <f>IFERROR(subQ!H21/subQ!G21-1,"")</f>
        <v/>
      </c>
      <c r="I28" s="21">
        <f>IFERROR(subQ!I21/subQ!H21-1,"")</f>
        <v/>
      </c>
      <c r="J28" s="21">
        <f>IFERROR(subQ!J21/subQ!I21-1,"")</f>
        <v/>
      </c>
      <c r="K28" s="22" t="n"/>
      <c r="L28" s="21">
        <f>IFERROR(subQ!L21/subQ!J21-1,"")</f>
        <v/>
      </c>
      <c r="M28" s="21">
        <f>IFERROR(subQ!M21/subQ!L21-1,"")</f>
        <v/>
      </c>
      <c r="N28" s="21">
        <f>IFERROR(subQ!N21/subQ!M21-1,"")</f>
        <v/>
      </c>
      <c r="O28" s="21">
        <f>IFERROR(subQ!O21/subQ!N21-1,"")</f>
        <v/>
      </c>
      <c r="P28" s="22" t="n"/>
      <c r="Q28" s="21">
        <f>IFERROR(subQ!Q21/subQ!O21-1,"")</f>
        <v/>
      </c>
      <c r="R28" s="21">
        <f>IFERROR(subQ!R21/subQ!Q21-1,"")</f>
        <v/>
      </c>
      <c r="S28" s="21">
        <f>IFERROR(subQ!S21/subQ!R21-1,"")</f>
        <v/>
      </c>
      <c r="T28" s="21">
        <f>IFERROR(subQ!T21/subQ!S21-1,"")</f>
        <v/>
      </c>
      <c r="U28" s="22" t="n"/>
      <c r="V28" s="21">
        <f>IFERROR(subQ!V21/subQ!T21-1,"")</f>
        <v/>
      </c>
      <c r="W28" s="21">
        <f>IFERROR(subQ!W21/subQ!V21-1,"")</f>
        <v/>
      </c>
      <c r="X28" s="21">
        <f>IFERROR(subQ!X21/subQ!W21-1,"")</f>
        <v/>
      </c>
      <c r="Y28" s="21">
        <f>IFERROR(subQ!Y21/subQ!X21-1,"")</f>
        <v/>
      </c>
      <c r="Z28" s="22" t="n"/>
      <c r="AA28" s="21">
        <f>IFERROR(subQ!AA21/subQ!Y21-1,"")</f>
        <v/>
      </c>
      <c r="AB28" s="23">
        <f>IFERROR(subQ!AB21/subQ!AA21-1,"")</f>
        <v/>
      </c>
      <c r="AC28" s="24" t="n">
        <v>-5.842e-06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IFERROR(subQ!E22+subQ!G16-subQ!G22,"")</f>
        <v/>
      </c>
      <c r="H29" s="27">
        <f>IFERROR(subQ!G22+subQ!H16-subQ!H22,"")</f>
        <v/>
      </c>
      <c r="I29" s="27">
        <f>IFERROR(subQ!H22+subQ!I16-subQ!I22,"")</f>
        <v/>
      </c>
      <c r="J29" s="27">
        <f>IFERROR(subQ!I22+subQ!J16-subQ!J22,"")</f>
        <v/>
      </c>
      <c r="K29" s="28" t="n"/>
      <c r="L29" s="27">
        <f>IFERROR(subQ!J22+subQ!L16-subQ!L22,"")</f>
        <v/>
      </c>
      <c r="M29" s="27">
        <f>IFERROR(subQ!L22+subQ!M16-subQ!M22,"")</f>
        <v/>
      </c>
      <c r="N29" s="27">
        <f>IFERROR(subQ!M22+subQ!N16-subQ!N22,"")</f>
        <v/>
      </c>
      <c r="O29" s="27">
        <f>IFERROR(subQ!N22+subQ!O16-subQ!O22,"")</f>
        <v/>
      </c>
      <c r="P29" s="28" t="n"/>
      <c r="Q29" s="27">
        <f>IFERROR(subQ!O22+subQ!Q16-subQ!Q22,"")</f>
        <v/>
      </c>
      <c r="R29" s="27">
        <f>IFERROR(subQ!Q22+subQ!R16-subQ!R22,"")</f>
        <v/>
      </c>
      <c r="S29" s="27">
        <f>IFERROR(subQ!R22+subQ!S16-subQ!S22,"")</f>
        <v/>
      </c>
      <c r="T29" s="27">
        <f>IFERROR(subQ!S22+subQ!T16-subQ!T22,"")</f>
        <v/>
      </c>
      <c r="U29" s="28" t="n"/>
      <c r="V29" s="27">
        <f>IFERROR(subQ!T22+subQ!V16-subQ!V22,"")</f>
        <v/>
      </c>
      <c r="W29" s="27">
        <f>IFERROR(subQ!V22+subQ!W16-subQ!W22,"")</f>
        <v/>
      </c>
      <c r="X29" s="27">
        <f>IFERROR(subQ!W22+subQ!X16-subQ!X22,"")</f>
        <v/>
      </c>
      <c r="Y29" s="27">
        <f>IFERROR(subQ!X22+subQ!Y16-subQ!Y22,"")</f>
        <v/>
      </c>
      <c r="Z29" s="28" t="n"/>
      <c r="AA29" s="27">
        <f>IFERROR(subQ!Y22+subQ!AA16-subQ!AA22,"")</f>
        <v/>
      </c>
      <c r="AB29" s="29">
        <f>IFERROR(subQ!AA22+subQ!AB16-subQ!AB22,"")</f>
        <v/>
      </c>
      <c r="AC29" s="30" t="n">
        <v>-0.004736154</v>
      </c>
      <c r="AD29" s="30" t="n">
        <v>0.003494381</v>
      </c>
      <c r="AE29" s="31" t="n"/>
      <c r="AF29" s="30" t="n">
        <v>0.007968543999999999</v>
      </c>
      <c r="AG29" s="30" t="n">
        <v>18.581169199</v>
      </c>
      <c r="AH29" s="30" t="n">
        <v>0.00266492</v>
      </c>
      <c r="AI29" s="30" t="n">
        <v>-0.006976671</v>
      </c>
      <c r="AJ29" s="31" t="n"/>
      <c r="AK29" s="30" t="n">
        <v>0.004632015</v>
      </c>
      <c r="AL29" s="30" t="n">
        <v>18.578053481</v>
      </c>
      <c r="AM29" s="30" t="n">
        <v>0.008174249</v>
      </c>
      <c r="AN29" s="30" t="n">
        <v>0.003590014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-0.004736154</v>
      </c>
      <c r="AD30" s="30" t="n">
        <v>0.003494381</v>
      </c>
      <c r="AE30" s="31" t="n"/>
      <c r="AF30" s="30" t="n">
        <v>0.007968543999999999</v>
      </c>
      <c r="AG30" s="30" t="n">
        <v>18.581169199</v>
      </c>
      <c r="AH30" s="30" t="n">
        <v>0.00266492</v>
      </c>
      <c r="AI30" s="30" t="n">
        <v>-0.006976671</v>
      </c>
      <c r="AJ30" s="31" t="n"/>
      <c r="AK30" s="30" t="n">
        <v>0.004632015</v>
      </c>
      <c r="AL30" s="30" t="n">
        <v>18.578053481</v>
      </c>
      <c r="AM30" s="30" t="n">
        <v>0.008174249</v>
      </c>
      <c r="AN30" s="30" t="n">
        <v>0.003590014</v>
      </c>
      <c r="AO30" s="31" t="n"/>
    </row>
    <row r="31">
      <c r="A31" s="12" t="inlineStr">
        <is>
          <t>drv:이자발생자산</t>
        </is>
      </c>
      <c r="B31" s="2" t="inlineStr">
        <is>
          <t>qoq</t>
        </is>
      </c>
      <c r="C31" t="inlineStr">
        <is>
          <t>이자발생자산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0.117388044</v>
      </c>
      <c r="AD31" s="24" t="n">
        <v>0.098235499</v>
      </c>
      <c r="AE31" s="25" t="n"/>
      <c r="AF31" s="24" t="n">
        <v>0.082035306</v>
      </c>
      <c r="AG31" s="24" t="n">
        <v>0.079054702</v>
      </c>
      <c r="AH31" s="24" t="n">
        <v>0.089395343</v>
      </c>
      <c r="AI31" s="24" t="n">
        <v>0.076945755</v>
      </c>
      <c r="AJ31" s="25" t="n"/>
      <c r="AK31" s="24" t="n">
        <v>0.065783655</v>
      </c>
      <c r="AL31" s="24" t="n">
        <v>0.065250035</v>
      </c>
      <c r="AM31" s="24" t="n">
        <v>0.07151004800000001</v>
      </c>
      <c r="AN31" s="24" t="n">
        <v>0.0627564</v>
      </c>
      <c r="AO31" s="25" t="n"/>
    </row>
    <row r="32">
      <c r="A32" s="12" t="inlineStr">
        <is>
          <t>drv:현금및현금성자산</t>
        </is>
      </c>
      <c r="B32" s="2" t="inlineStr">
        <is>
          <t>qoq</t>
        </is>
      </c>
      <c r="C32" t="inlineStr">
        <is>
          <t>현금및현금성자산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drv:CAPEX</t>
        </is>
      </c>
      <c r="B33" s="2" t="inlineStr">
        <is>
          <t>yoy</t>
        </is>
      </c>
      <c r="C33" t="inlineStr">
        <is>
          <t>CAPEX YoY</t>
        </is>
      </c>
      <c r="E33" s="21" t="n"/>
      <c r="F33" s="22" t="n"/>
      <c r="G33" s="21" t="n"/>
      <c r="H33" s="21" t="n"/>
      <c r="I33" s="21" t="n"/>
      <c r="J33" s="21">
        <f>IFERROR(subQ!J26/subQ!E26-1,"")</f>
        <v/>
      </c>
      <c r="K33" s="22" t="n"/>
      <c r="L33" s="21">
        <f>IFERROR(subQ!L26/subQ!G26-1,"")</f>
        <v/>
      </c>
      <c r="M33" s="21">
        <f>IFERROR(subQ!M26/subQ!H26-1,"")</f>
        <v/>
      </c>
      <c r="N33" s="21">
        <f>IFERROR(subQ!N26/subQ!I26-1,"")</f>
        <v/>
      </c>
      <c r="O33" s="21">
        <f>IFERROR(subQ!O26/subQ!J26-1,"")</f>
        <v/>
      </c>
      <c r="P33" s="22" t="n"/>
      <c r="Q33" s="21">
        <f>IFERROR(subQ!Q26/subQ!L26-1,"")</f>
        <v/>
      </c>
      <c r="R33" s="21">
        <f>IFERROR(subQ!R26/subQ!M26-1,"")</f>
        <v/>
      </c>
      <c r="S33" s="21">
        <f>IFERROR(subQ!S26/subQ!N26-1,"")</f>
        <v/>
      </c>
      <c r="T33" s="21">
        <f>IFERROR(subQ!T26/subQ!O26-1,"")</f>
        <v/>
      </c>
      <c r="U33" s="22" t="n"/>
      <c r="V33" s="21">
        <f>IFERROR(subQ!V26/subQ!Q26-1,"")</f>
        <v/>
      </c>
      <c r="W33" s="21">
        <f>IFERROR(subQ!W26/subQ!R26-1,"")</f>
        <v/>
      </c>
      <c r="X33" s="21">
        <f>IFERROR(subQ!X26/subQ!S26-1,"")</f>
        <v/>
      </c>
      <c r="Y33" s="21">
        <f>IFERROR(subQ!Y26/subQ!T26-1,"")</f>
        <v/>
      </c>
      <c r="Z33" s="22" t="n"/>
      <c r="AA33" s="21">
        <f>IFERROR(subQ!AA26/subQ!V26-1,"")</f>
        <v/>
      </c>
      <c r="AB33" s="23">
        <f>IFERROR(subQ!AB26/subQ!W26-1,"")</f>
        <v/>
      </c>
      <c r="AC33" s="24" t="n">
        <v>1.016476085</v>
      </c>
      <c r="AD33" s="24" t="n">
        <v>0.26348228</v>
      </c>
      <c r="AE33" s="25" t="n"/>
      <c r="AF33" s="24" t="n">
        <v>-0.172448593</v>
      </c>
      <c r="AG33" s="24" t="n">
        <v>-0.8184211219999999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drv:영업활동현금흐름</t>
        </is>
      </c>
      <c r="B34" s="2" t="inlineStr">
        <is>
          <t>yoy</t>
        </is>
      </c>
      <c r="C34" t="inlineStr">
        <is>
          <t>영업활동현금흐름 YoY</t>
        </is>
      </c>
      <c r="E34" s="21" t="n"/>
      <c r="F34" s="22" t="n"/>
      <c r="G34" s="21" t="n"/>
      <c r="H34" s="21" t="n"/>
      <c r="I34" s="21" t="n"/>
      <c r="J34" s="21">
        <f>IFERROR(subQ!J27/subQ!E27-1,"")</f>
        <v/>
      </c>
      <c r="K34" s="22" t="n"/>
      <c r="L34" s="21">
        <f>IFERROR(subQ!L27/subQ!G27-1,"")</f>
        <v/>
      </c>
      <c r="M34" s="21">
        <f>IFERROR(subQ!M27/subQ!H27-1,"")</f>
        <v/>
      </c>
      <c r="N34" s="21">
        <f>IFERROR(subQ!N27/subQ!I27-1,"")</f>
        <v/>
      </c>
      <c r="O34" s="21">
        <f>IFERROR(subQ!O27/subQ!J27-1,"")</f>
        <v/>
      </c>
      <c r="P34" s="22" t="n"/>
      <c r="Q34" s="21">
        <f>IFERROR(subQ!Q27/subQ!L27-1,"")</f>
        <v/>
      </c>
      <c r="R34" s="21">
        <f>IFERROR(subQ!R27/subQ!M27-1,"")</f>
        <v/>
      </c>
      <c r="S34" s="21">
        <f>IFERROR(subQ!S27/subQ!N27-1,"")</f>
        <v/>
      </c>
      <c r="T34" s="21">
        <f>IFERROR(subQ!T27/subQ!O27-1,"")</f>
        <v/>
      </c>
      <c r="U34" s="22" t="n"/>
      <c r="V34" s="21">
        <f>IFERROR(subQ!V27/subQ!Q27-1,"")</f>
        <v/>
      </c>
      <c r="W34" s="21">
        <f>IFERROR(subQ!W27/subQ!R27-1,"")</f>
        <v/>
      </c>
      <c r="X34" s="21">
        <f>IFERROR(subQ!X27/subQ!S27-1,"")</f>
        <v/>
      </c>
      <c r="Y34" s="21">
        <f>IFERROR(subQ!Y27/subQ!T27-1,"")</f>
        <v/>
      </c>
      <c r="Z34" s="22" t="n"/>
      <c r="AA34" s="21">
        <f>IFERROR(subQ!AA27/subQ!V27-1,"")</f>
        <v/>
      </c>
      <c r="AB34" s="23">
        <f>IFERROR(subQ!AB27/subQ!W27-1,"")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drv:주식수</t>
        </is>
      </c>
      <c r="B35" s="2" t="inlineStr">
        <is>
          <t>qoq</t>
        </is>
      </c>
      <c r="C35" t="inlineStr">
        <is>
          <t>주식수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drv:DPS</t>
        </is>
      </c>
      <c r="B36" s="2" t="inlineStr">
        <is>
          <t>abs</t>
        </is>
      </c>
      <c r="C36" t="inlineStr">
        <is>
          <t>DPS (가정, 원)</t>
        </is>
      </c>
      <c r="E36" s="27">
        <f>subQ!E31</f>
        <v/>
      </c>
      <c r="F36" s="28">
        <f>subQ!F31</f>
        <v/>
      </c>
      <c r="G36" s="27">
        <f>subQ!G31</f>
        <v/>
      </c>
      <c r="H36" s="27">
        <f>subQ!H31</f>
        <v/>
      </c>
      <c r="I36" s="27">
        <f>subQ!I31</f>
        <v/>
      </c>
      <c r="J36" s="27">
        <f>subQ!J31</f>
        <v/>
      </c>
      <c r="K36" s="28">
        <f>subQ!K31</f>
        <v/>
      </c>
      <c r="L36" s="27">
        <f>subQ!L31</f>
        <v/>
      </c>
      <c r="M36" s="27">
        <f>subQ!M31</f>
        <v/>
      </c>
      <c r="N36" s="27">
        <f>subQ!N31</f>
        <v/>
      </c>
      <c r="O36" s="27">
        <f>subQ!O31</f>
        <v/>
      </c>
      <c r="P36" s="28">
        <f>subQ!P31</f>
        <v/>
      </c>
      <c r="Q36" s="27">
        <f>subQ!Q31</f>
        <v/>
      </c>
      <c r="R36" s="27">
        <f>subQ!R31</f>
        <v/>
      </c>
      <c r="S36" s="27">
        <f>subQ!S31</f>
        <v/>
      </c>
      <c r="T36" s="27">
        <f>subQ!T31</f>
        <v/>
      </c>
      <c r="U36" s="28">
        <f>subQ!U31</f>
        <v/>
      </c>
      <c r="V36" s="27">
        <f>subQ!V31</f>
        <v/>
      </c>
      <c r="W36" s="27">
        <f>subQ!W31</f>
        <v/>
      </c>
      <c r="X36" s="27">
        <f>subQ!X31</f>
        <v/>
      </c>
      <c r="Y36" s="27">
        <f>subQ!Y31</f>
        <v/>
      </c>
      <c r="Z36" s="28">
        <f>subQ!Z31</f>
        <v/>
      </c>
      <c r="AA36" s="27">
        <f>subQ!AA31</f>
        <v/>
      </c>
      <c r="AB36" s="29">
        <f>subQ!AB31</f>
        <v/>
      </c>
      <c r="AC36" s="33" t="n"/>
      <c r="AD36" s="30" t="n">
        <v>200</v>
      </c>
      <c r="AE36" s="31">
        <f>subQ!AE31</f>
        <v/>
      </c>
      <c r="AF36" s="33" t="n"/>
      <c r="AG36" s="33" t="n"/>
      <c r="AH36" s="33" t="n"/>
      <c r="AI36" s="30" t="n">
        <v>200</v>
      </c>
      <c r="AJ36" s="31">
        <f>subQ!AJ31</f>
        <v/>
      </c>
      <c r="AK36" s="33" t="n"/>
      <c r="AL36" s="33" t="n"/>
      <c r="AM36" s="33" t="n"/>
      <c r="AN36" s="30" t="n">
        <v>200</v>
      </c>
      <c r="AO36" s="31">
        <f>subQ!AO31</f>
        <v/>
      </c>
    </row>
    <row r="37"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C38" s="2" t="inlineStr">
        <is>
          <t>노란 셀 = 가정. '연결' 표시는 추정 전 분기 수식이 이 셀을 참조한다는 뜻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34" t="n">
        <v>16760</v>
      </c>
      <c r="E39" s="2" t="inlineStr">
        <is>
          <t>원 — 네이버 정규장 종가(aik 확정종가 대조 · aik 18,080원)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5" t="inlineStr">
        <is>
          <t>20261012</t>
        </is>
      </c>
      <c r="E40" s="2" t="inlineStr">
        <is>
          <t>종가 기준일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4" t="n">
        <v>0.09</v>
      </c>
      <c r="E41" s="2" t="inlineStr">
        <is>
          <t>자기자본비용(가정) — TP 적정 PBR = ROE/COE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30" t="n">
        <v>8.4</v>
      </c>
      <c r="E42" s="2" t="inlineStr">
        <is>
          <t>PER 밴드 하단(배) — hist_quarterly(분기 평균가 ÷ TTM EPS, 12분기, 25/50/75 백분위)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30" t="n">
        <v>9.5</v>
      </c>
      <c r="E43" s="2" t="inlineStr">
        <is>
          <t>PER 밴드 중단(배)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30" t="n">
        <v>10.7</v>
      </c>
      <c r="E44" s="2" t="inlineStr">
        <is>
          <t>PER 밴드 상단(배)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4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36" t="n">
        <v>0.1896133923212023</v>
      </c>
      <c r="E46" s="2" t="inlineStr">
        <is>
          <t>연결 — 법인세 = MAX(세전,0) × 세율(역산, 재현 오차 ≤ 0.05억 · 모델 assumptions 0.1896) · 최근 12분기 유효세율 19.0%(5~27% 안 — 그대로)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36" t="n">
        <v>0.06922589795370446</v>
      </c>
      <c r="E47" s="2" t="inlineStr">
        <is>
          <t>연결 — 판관비 = 매출액 × 판관비율(역산, 재현 오차 ≤ 0.05억 · 모델 assumptions 0.0692)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sc:지배주주비중</t>
        </is>
      </c>
      <c r="C48" t="inlineStr">
        <is>
          <t>지배주주비중</t>
        </is>
      </c>
      <c r="D48" s="36" t="n">
        <v>1</v>
      </c>
      <c r="E48" s="2" t="inlineStr">
        <is>
          <t>연결 — 지배주주순이익 = 당기순이익 × 비중(역산, 재현 오차 ≤ 0.05억)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sc:이자율_자산</t>
        </is>
      </c>
      <c r="C49" t="inlineStr">
        <is>
          <t>이자율_자산</t>
        </is>
      </c>
      <c r="D49" s="36" t="n">
        <v>0.05500607956717433</v>
      </c>
      <c r="E49" s="2" t="inlineStr">
        <is>
          <t>연결 — 이자손익 = (전분기 이자발생자산 × 자산이자율 − 전분기 총차입금 × 부채이자율)/4(역산, 재현 오차 ≤ 0.05억 · 모델 assumptions 0.055)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sc:이자율_부채</t>
        </is>
      </c>
      <c r="C50" t="inlineStr">
        <is>
          <t>이자율_부채</t>
        </is>
      </c>
      <c r="D50" s="36" t="n"/>
      <c r="E50" s="2" t="inlineStr">
        <is>
          <t>연결 — 같은 수식의 부채 쪽(총차입금 행이 없으면 0)(역산,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sc:배당성향</t>
        </is>
      </c>
      <c r="C51" t="inlineStr">
        <is>
          <t>배당성향</t>
        </is>
      </c>
      <c r="D51" s="24" t="n">
        <v>0.075</v>
      </c>
      <c r="E51" s="2" t="inlineStr">
        <is>
          <t>배당성향(참고 — 모델은 직전 DPS 유지·Q2 지급 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sc:외화순노출_백만$</t>
        </is>
      </c>
      <c r="C52" t="inlineStr">
        <is>
          <t>외화순노출_백만$</t>
        </is>
      </c>
      <c r="D52" s="30" t="n"/>
      <c r="E52" s="2" t="inlineStr">
        <is>
          <t>외화 순노출 × Δ기말환율 (외화 시트 방식) — 외화 순노출 미공시(face) → 0 + 표기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sc:헤지비율</t>
        </is>
      </c>
      <c r="C53" t="inlineStr">
        <is>
          <t>헤지비율</t>
        </is>
      </c>
      <c r="D53" s="24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sc:헤지환율_약정</t>
        </is>
      </c>
      <c r="C54" t="inlineStr">
        <is>
          <t>헤지환율_약정</t>
        </is>
      </c>
      <c r="D54" s="16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7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7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7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7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7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7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7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7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7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7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7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7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7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7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7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30461.19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9935.309999999999</v>
      </c>
      <c r="F9" s="37" t="n">
        <v>9935.309999999999</v>
      </c>
      <c r="G9" s="18" t="n">
        <v>27061.86</v>
      </c>
      <c r="H9" s="18" t="n">
        <v>27150.2</v>
      </c>
      <c r="I9" s="18" t="n">
        <v>27220.74</v>
      </c>
      <c r="J9" s="18" t="n">
        <v>29539.42</v>
      </c>
      <c r="K9" s="37" t="n">
        <v>29539.42</v>
      </c>
      <c r="L9" s="18" t="n">
        <v>29532.67</v>
      </c>
      <c r="M9" s="18" t="n">
        <v>29207.07</v>
      </c>
      <c r="N9" s="18" t="n">
        <v>30376.83</v>
      </c>
      <c r="O9" s="18" t="n">
        <v>30183</v>
      </c>
      <c r="P9" s="37" t="n">
        <v>30183</v>
      </c>
      <c r="Q9" s="18" t="n">
        <v>32340.55</v>
      </c>
      <c r="R9" s="18" t="n">
        <v>32591.88</v>
      </c>
      <c r="S9" s="18" t="n">
        <v>32770.64</v>
      </c>
      <c r="T9" s="18" t="n">
        <v>31990.05</v>
      </c>
      <c r="U9" s="37" t="n">
        <v>31990.05</v>
      </c>
      <c r="V9" s="18" t="n">
        <v>31173.51</v>
      </c>
      <c r="W9" s="18" t="n">
        <v>31662.29</v>
      </c>
      <c r="X9" s="18" t="n">
        <v>36655.54</v>
      </c>
      <c r="Y9" s="18" t="n">
        <v>36809.09</v>
      </c>
      <c r="Z9" s="37" t="n">
        <v>36809.09</v>
      </c>
      <c r="AA9" s="18" t="n">
        <v>36933.97</v>
      </c>
      <c r="AB9" s="19" t="n">
        <v>38343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567.6</v>
      </c>
      <c r="F10" s="37" t="n">
        <v>567.6</v>
      </c>
      <c r="G10" s="18" t="n">
        <v>568.04</v>
      </c>
      <c r="H10" s="18" t="n">
        <v>98.47</v>
      </c>
      <c r="I10" s="18" t="n">
        <v>157.51</v>
      </c>
      <c r="J10" s="18" t="n">
        <v>250.06</v>
      </c>
      <c r="K10" s="37" t="n">
        <v>250.06</v>
      </c>
      <c r="L10" s="18" t="n">
        <v>412.2</v>
      </c>
      <c r="M10" s="18" t="n">
        <v>283.51</v>
      </c>
      <c r="N10" s="18" t="n">
        <v>369.61</v>
      </c>
      <c r="O10" s="18" t="n">
        <v>24.3</v>
      </c>
      <c r="P10" s="37" t="n">
        <v>24.3</v>
      </c>
      <c r="Q10" s="18" t="n">
        <v>30.46</v>
      </c>
      <c r="R10" s="18" t="n">
        <v>0</v>
      </c>
      <c r="S10" s="18" t="n">
        <v>26.92</v>
      </c>
      <c r="T10" s="18" t="n">
        <v>41.98</v>
      </c>
      <c r="U10" s="37" t="n">
        <v>41.98</v>
      </c>
      <c r="V10" s="18" t="n">
        <v>56.11</v>
      </c>
      <c r="W10" s="18" t="n">
        <v>17.9</v>
      </c>
      <c r="X10" s="18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29020.6</v>
      </c>
      <c r="F11" s="37" t="n">
        <v>29020.6</v>
      </c>
      <c r="G11" s="18" t="n">
        <v>27948.39</v>
      </c>
      <c r="H11" s="18" t="n">
        <v>28352.22</v>
      </c>
      <c r="I11" s="18" t="n">
        <v>31545.25</v>
      </c>
      <c r="J11" s="18" t="n">
        <v>25689.56</v>
      </c>
      <c r="K11" s="37" t="n">
        <v>25689.56</v>
      </c>
      <c r="L11" s="18" t="n">
        <v>29376.08</v>
      </c>
      <c r="M11" s="18" t="n">
        <v>34923.37</v>
      </c>
      <c r="N11" s="18" t="n">
        <v>38119.12</v>
      </c>
      <c r="O11" s="18" t="n">
        <v>38466.57</v>
      </c>
      <c r="P11" s="37" t="n">
        <v>38466.57</v>
      </c>
      <c r="Q11" s="18" t="n">
        <v>44248.95</v>
      </c>
      <c r="R11" s="18" t="n">
        <v>42418.41</v>
      </c>
      <c r="S11" s="18" t="n">
        <v>42899.8</v>
      </c>
      <c r="T11" s="18" t="n">
        <v>38204.64</v>
      </c>
      <c r="U11" s="37" t="n">
        <v>38204.64</v>
      </c>
      <c r="V11" s="18" t="n">
        <v>41740.88</v>
      </c>
      <c r="W11" s="18" t="n">
        <v>42997.2</v>
      </c>
      <c r="X11" s="18" t="n">
        <v>39982.46</v>
      </c>
      <c r="Y11" s="18" t="n">
        <v>35932.39</v>
      </c>
      <c r="Z11" s="37" t="n">
        <v>35932.39</v>
      </c>
      <c r="AA11" s="18" t="n">
        <v>48678.08</v>
      </c>
      <c r="AB11" s="19" t="n">
        <v>46027.62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145340.64</v>
      </c>
      <c r="F13" s="37" t="n">
        <v>145340.64</v>
      </c>
      <c r="G13" s="18" t="n">
        <v>135820.12</v>
      </c>
      <c r="H13" s="18" t="n">
        <v>135195.14</v>
      </c>
      <c r="I13" s="18" t="n">
        <v>134729.92</v>
      </c>
      <c r="J13" s="18" t="n">
        <v>133915.81</v>
      </c>
      <c r="K13" s="37" t="n">
        <v>133915.81</v>
      </c>
      <c r="L13" s="18" t="n">
        <v>134063.15</v>
      </c>
      <c r="M13" s="18" t="n">
        <v>138247.38</v>
      </c>
      <c r="N13" s="18" t="n">
        <v>141884.87</v>
      </c>
      <c r="O13" s="18" t="n">
        <v>145756.43</v>
      </c>
      <c r="P13" s="37" t="n">
        <v>145756.43</v>
      </c>
      <c r="Q13" s="18" t="n">
        <v>144952.59</v>
      </c>
      <c r="R13" s="18" t="n">
        <v>147464.64</v>
      </c>
      <c r="S13" s="18" t="n">
        <v>145947.16</v>
      </c>
      <c r="T13" s="18" t="n">
        <v>140866.02</v>
      </c>
      <c r="U13" s="37" t="n">
        <v>140866.02</v>
      </c>
      <c r="V13" s="18" t="n">
        <v>126986.11</v>
      </c>
      <c r="W13" s="18" t="n">
        <v>115327.82</v>
      </c>
      <c r="X13" s="18" t="n">
        <v>115610.24</v>
      </c>
      <c r="Y13" s="18" t="n">
        <v>114680.87</v>
      </c>
      <c r="Z13" s="37" t="n">
        <v>114680.87</v>
      </c>
      <c r="AA13" s="18" t="n">
        <v>109014.32</v>
      </c>
      <c r="AB13" s="19" t="n">
        <v>121134.94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39885.42</v>
      </c>
      <c r="F15" s="37" t="n">
        <v>39885.42</v>
      </c>
      <c r="G15" s="18" t="n">
        <v>43835.27</v>
      </c>
      <c r="H15" s="18" t="n">
        <v>41818.64</v>
      </c>
      <c r="I15" s="18" t="n">
        <v>41735.44</v>
      </c>
      <c r="J15" s="18" t="n">
        <v>41153.41</v>
      </c>
      <c r="K15" s="37" t="n">
        <v>41153.41</v>
      </c>
      <c r="L15" s="18" t="n">
        <v>42357.96</v>
      </c>
      <c r="M15" s="18" t="n">
        <v>42790.39</v>
      </c>
      <c r="N15" s="18" t="n">
        <v>45250.98</v>
      </c>
      <c r="O15" s="18" t="n">
        <v>46702.02</v>
      </c>
      <c r="P15" s="37" t="n">
        <v>46702.02</v>
      </c>
      <c r="Q15" s="18" t="n">
        <v>47140.66</v>
      </c>
      <c r="R15" s="18" t="n">
        <v>47547.47</v>
      </c>
      <c r="S15" s="18" t="n">
        <v>47672.28</v>
      </c>
      <c r="T15" s="18" t="n">
        <v>41548.17</v>
      </c>
      <c r="U15" s="37" t="n">
        <v>41548.17</v>
      </c>
      <c r="V15" s="18" t="n">
        <v>27616.13</v>
      </c>
      <c r="W15" s="18" t="n">
        <v>12751.34</v>
      </c>
      <c r="X15" s="18" t="n">
        <v>13445.04</v>
      </c>
      <c r="Y15" s="18" t="n">
        <v>14471.83</v>
      </c>
      <c r="Z15" s="37" t="n">
        <v>14471.83</v>
      </c>
      <c r="AA15" s="18" t="n">
        <v>9497.84</v>
      </c>
      <c r="AB15" s="19" t="n">
        <v>12248.24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39885.42</v>
      </c>
      <c r="F16" s="37" t="n">
        <v>39885.42</v>
      </c>
      <c r="G16" s="18" t="n">
        <v>43835.27</v>
      </c>
      <c r="H16" s="18" t="n">
        <v>41818.64</v>
      </c>
      <c r="I16" s="18" t="n">
        <v>41735.44</v>
      </c>
      <c r="J16" s="18" t="n">
        <v>41153.41</v>
      </c>
      <c r="K16" s="37" t="n">
        <v>41153.41</v>
      </c>
      <c r="L16" s="18" t="n">
        <v>42357.96</v>
      </c>
      <c r="M16" s="18" t="n">
        <v>42790.39</v>
      </c>
      <c r="N16" s="18" t="n">
        <v>45250.98</v>
      </c>
      <c r="O16" s="18" t="n">
        <v>46702.02</v>
      </c>
      <c r="P16" s="37" t="n">
        <v>46702.02</v>
      </c>
      <c r="Q16" s="18" t="n">
        <v>47140.66</v>
      </c>
      <c r="R16" s="18" t="n">
        <v>47547.47</v>
      </c>
      <c r="S16" s="18" t="n">
        <v>47672.28</v>
      </c>
      <c r="T16" s="18" t="n">
        <v>41548.17</v>
      </c>
      <c r="U16" s="37" t="n">
        <v>41548.17</v>
      </c>
      <c r="V16" s="18" t="n">
        <v>27616.13</v>
      </c>
      <c r="W16" s="18" t="n">
        <v>12751.34</v>
      </c>
      <c r="X16" s="18" t="n">
        <v>13445.04</v>
      </c>
      <c r="Y16" s="18" t="n">
        <v>14471.83</v>
      </c>
      <c r="Z16" s="37" t="n">
        <v>14471.83</v>
      </c>
      <c r="AA16" s="18" t="n">
        <v>9497.84</v>
      </c>
      <c r="AB16" s="19" t="n">
        <v>12248.24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72261.42</v>
      </c>
      <c r="F17" s="37" t="n">
        <v>72261.42</v>
      </c>
      <c r="G17" s="18" t="n">
        <v>76101.88</v>
      </c>
      <c r="H17" s="18" t="n">
        <v>76939.60000000001</v>
      </c>
      <c r="I17" s="18" t="n">
        <v>76874.77</v>
      </c>
      <c r="J17" s="18" t="n">
        <v>76491.86</v>
      </c>
      <c r="K17" s="37" t="n">
        <v>76491.86</v>
      </c>
      <c r="L17" s="18" t="n">
        <v>75953.3</v>
      </c>
      <c r="M17" s="18" t="n">
        <v>79693.95</v>
      </c>
      <c r="N17" s="18" t="n">
        <v>81650.53999999999</v>
      </c>
      <c r="O17" s="18" t="n">
        <v>83082.81</v>
      </c>
      <c r="P17" s="37" t="n">
        <v>83082.81</v>
      </c>
      <c r="Q17" s="18" t="n">
        <v>82231.88</v>
      </c>
      <c r="R17" s="18" t="n">
        <v>83275.2</v>
      </c>
      <c r="S17" s="18" t="n">
        <v>82602.88</v>
      </c>
      <c r="T17" s="18" t="n">
        <v>79646.8</v>
      </c>
      <c r="U17" s="37" t="n">
        <v>79646.8</v>
      </c>
      <c r="V17" s="18" t="n">
        <v>80262.64999999999</v>
      </c>
      <c r="W17" s="18" t="n">
        <v>82623.92999999999</v>
      </c>
      <c r="X17" s="18" t="n">
        <v>72019.5</v>
      </c>
      <c r="Y17" s="18" t="n">
        <v>79391.81</v>
      </c>
      <c r="Z17" s="37" t="n">
        <v>79391.81</v>
      </c>
      <c r="AA17" s="18" t="n">
        <v>79496.72</v>
      </c>
      <c r="AB17" s="19" t="n">
        <v>90293.77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1876.49</v>
      </c>
      <c r="F18" s="37" t="n">
        <v>1876.49</v>
      </c>
      <c r="G18" s="18" t="n">
        <v>1863.36</v>
      </c>
      <c r="H18" s="18" t="n">
        <v>1850.22</v>
      </c>
      <c r="I18" s="18" t="n">
        <v>1837.08</v>
      </c>
      <c r="J18" s="18" t="n">
        <v>1906.88</v>
      </c>
      <c r="K18" s="37" t="n">
        <v>1906.88</v>
      </c>
      <c r="L18" s="18" t="n">
        <v>1897.7</v>
      </c>
      <c r="M18" s="18" t="n">
        <v>1888.53</v>
      </c>
      <c r="N18" s="18" t="n">
        <v>1879.36</v>
      </c>
      <c r="O18" s="18" t="n">
        <v>1870.19</v>
      </c>
      <c r="P18" s="37" t="n">
        <v>1870.19</v>
      </c>
      <c r="Q18" s="18" t="n">
        <v>1861.01</v>
      </c>
      <c r="R18" s="18" t="n">
        <v>1851.84</v>
      </c>
      <c r="S18" s="18" t="n">
        <v>1842.67</v>
      </c>
      <c r="T18" s="18" t="n">
        <v>5487.18</v>
      </c>
      <c r="U18" s="37" t="n">
        <v>5487.18</v>
      </c>
      <c r="V18" s="18" t="n">
        <v>5470.99</v>
      </c>
      <c r="W18" s="18" t="n">
        <v>5454.81</v>
      </c>
      <c r="X18" s="18" t="n">
        <v>15623.2</v>
      </c>
      <c r="Y18" s="18" t="n">
        <v>8063.26</v>
      </c>
      <c r="Z18" s="37" t="n">
        <v>8063.26</v>
      </c>
      <c r="AA18" s="18" t="n">
        <v>8033.02</v>
      </c>
      <c r="AB18" s="19" t="n">
        <v>5403.94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8010.42</v>
      </c>
      <c r="F19" s="37" t="n">
        <v>8010.42</v>
      </c>
      <c r="G19" s="18" t="n">
        <v>7954.13</v>
      </c>
      <c r="H19" s="18" t="n">
        <v>7893.01</v>
      </c>
      <c r="I19" s="18" t="n">
        <v>7863.45</v>
      </c>
      <c r="J19" s="18" t="n">
        <v>7812.28</v>
      </c>
      <c r="K19" s="37" t="n">
        <v>7812.28</v>
      </c>
      <c r="L19" s="18" t="n">
        <v>7750.25</v>
      </c>
      <c r="M19" s="18" t="n">
        <v>7701.07</v>
      </c>
      <c r="N19" s="18" t="n">
        <v>1195.09</v>
      </c>
      <c r="O19" s="18" t="n">
        <v>1148.8</v>
      </c>
      <c r="P19" s="37" t="n">
        <v>1148.8</v>
      </c>
      <c r="Q19" s="18" t="n">
        <v>1136.21</v>
      </c>
      <c r="R19" s="18" t="n">
        <v>7405.21</v>
      </c>
      <c r="S19" s="18" t="n">
        <v>7396.57</v>
      </c>
      <c r="T19" s="18" t="n">
        <v>943.05</v>
      </c>
      <c r="U19" s="37" t="n">
        <v>943.05</v>
      </c>
      <c r="V19" s="18" t="n">
        <v>947.13</v>
      </c>
      <c r="W19" s="18" t="n">
        <v>1250.01</v>
      </c>
      <c r="X19" s="18" t="n">
        <v>1241.37</v>
      </c>
      <c r="Y19" s="18" t="n">
        <v>7688.87</v>
      </c>
      <c r="Z19" s="37" t="n">
        <v>7688.87</v>
      </c>
      <c r="AA19" s="18" t="n">
        <v>7695.78</v>
      </c>
      <c r="AB19" s="19" t="n">
        <v>7850.17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1233.72</v>
      </c>
      <c r="F20" s="37" t="n">
        <v>1233.72</v>
      </c>
      <c r="G20" s="18" t="n">
        <v>1733.62</v>
      </c>
      <c r="H20" s="18" t="n">
        <v>2052.15</v>
      </c>
      <c r="I20" s="18" t="n">
        <v>1516.31</v>
      </c>
      <c r="J20" s="18" t="n">
        <v>4131.95</v>
      </c>
      <c r="K20" s="37" t="n">
        <v>4131.95</v>
      </c>
      <c r="L20" s="18" t="n">
        <v>3746.08</v>
      </c>
      <c r="M20" s="18" t="n">
        <v>3685.98</v>
      </c>
      <c r="N20" s="18" t="n">
        <v>2940.21</v>
      </c>
      <c r="O20" s="18" t="n">
        <v>3249.19</v>
      </c>
      <c r="P20" s="37" t="n">
        <v>3249.19</v>
      </c>
      <c r="Q20" s="18" t="n">
        <v>2680.62</v>
      </c>
      <c r="R20" s="18" t="n">
        <v>2746.1</v>
      </c>
      <c r="S20" s="18" t="n">
        <v>2965.36</v>
      </c>
      <c r="T20" s="18" t="n">
        <v>2400.37</v>
      </c>
      <c r="U20" s="37" t="n">
        <v>2400.37</v>
      </c>
      <c r="V20" s="18" t="n">
        <v>3086.21</v>
      </c>
      <c r="W20" s="18" t="n">
        <v>3390.1</v>
      </c>
      <c r="X20" s="18" t="n">
        <v>3365.58</v>
      </c>
      <c r="Y20" s="18" t="n">
        <v>3853.02</v>
      </c>
      <c r="Z20" s="37" t="n">
        <v>3853.02</v>
      </c>
      <c r="AA20" s="18" t="n">
        <v>3030.66</v>
      </c>
      <c r="AB20" s="19" t="n">
        <v>3940.26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260003.39</v>
      </c>
      <c r="F21" s="37" t="n">
        <v>260003.39</v>
      </c>
      <c r="G21" s="18" t="n">
        <v>258060.48</v>
      </c>
      <c r="H21" s="18" t="n">
        <v>258810.24</v>
      </c>
      <c r="I21" s="18" t="n">
        <v>262614.16</v>
      </c>
      <c r="J21" s="18" t="n">
        <v>261112.52</v>
      </c>
      <c r="K21" s="37" t="n">
        <v>261112.52</v>
      </c>
      <c r="L21" s="18" t="n">
        <v>266270.17</v>
      </c>
      <c r="M21" s="18" t="n">
        <v>279254.82</v>
      </c>
      <c r="N21" s="18" t="n">
        <v>280285.66</v>
      </c>
      <c r="O21" s="18" t="n">
        <v>297950.27</v>
      </c>
      <c r="P21" s="37" t="n">
        <v>297950.27</v>
      </c>
      <c r="Q21" s="18" t="n">
        <v>295957.58</v>
      </c>
      <c r="R21" s="18" t="n">
        <v>302849.65</v>
      </c>
      <c r="S21" s="18" t="n">
        <v>303664.4</v>
      </c>
      <c r="T21" s="18" t="n">
        <v>308605.89</v>
      </c>
      <c r="U21" s="37" t="n">
        <v>308605.89</v>
      </c>
      <c r="V21" s="18" t="n">
        <v>310593.54</v>
      </c>
      <c r="W21" s="18" t="n">
        <v>318841.75</v>
      </c>
      <c r="X21" s="18" t="n">
        <v>319950.18</v>
      </c>
      <c r="Y21" s="18" t="n">
        <v>321983.56</v>
      </c>
      <c r="Z21" s="37" t="n">
        <v>321983.56</v>
      </c>
      <c r="AA21" s="18" t="n">
        <v>332881.78</v>
      </c>
      <c r="AB21" s="19" t="n">
        <v>346315.62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32079.87</v>
      </c>
      <c r="F22" s="37" t="n">
        <v>32079.87</v>
      </c>
      <c r="G22" s="18" t="n">
        <v>32653.45</v>
      </c>
      <c r="H22" s="18" t="n">
        <v>34194.32</v>
      </c>
      <c r="I22" s="18" t="n">
        <v>36116.54</v>
      </c>
      <c r="J22" s="18" t="n">
        <v>41386.24</v>
      </c>
      <c r="K22" s="37" t="n">
        <v>41386.24</v>
      </c>
      <c r="L22" s="18" t="n">
        <v>44968</v>
      </c>
      <c r="M22" s="18" t="n">
        <v>57779.65</v>
      </c>
      <c r="N22" s="18" t="n">
        <v>55734.54</v>
      </c>
      <c r="O22" s="18" t="n">
        <v>70905.91</v>
      </c>
      <c r="P22" s="37" t="n">
        <v>70905.91</v>
      </c>
      <c r="Q22" s="18" t="n">
        <v>65168.3</v>
      </c>
      <c r="R22" s="18" t="n">
        <v>67858.48</v>
      </c>
      <c r="S22" s="18" t="n">
        <v>66041.77</v>
      </c>
      <c r="T22" s="18" t="n">
        <v>61797.78</v>
      </c>
      <c r="U22" s="37" t="n">
        <v>61797.78</v>
      </c>
      <c r="V22" s="18" t="n">
        <v>58716.67</v>
      </c>
      <c r="W22" s="18" t="n">
        <v>62691.42</v>
      </c>
      <c r="X22" s="18" t="n">
        <v>55559.82</v>
      </c>
      <c r="Y22" s="18" t="n">
        <v>50824.59</v>
      </c>
      <c r="Z22" s="37" t="n">
        <v>50824.59</v>
      </c>
      <c r="AA22" s="18" t="n">
        <v>56460.74</v>
      </c>
      <c r="AB22" s="19" t="n">
        <v>66524.95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13670.01</v>
      </c>
      <c r="F23" s="37" t="n">
        <v>13670.01</v>
      </c>
      <c r="G23" s="18" t="n">
        <v>13892.8</v>
      </c>
      <c r="H23" s="18" t="n">
        <v>13093.45</v>
      </c>
      <c r="I23" s="18" t="n">
        <v>13550.6</v>
      </c>
      <c r="J23" s="18" t="n">
        <v>11171.8</v>
      </c>
      <c r="K23" s="37" t="n">
        <v>11171.8</v>
      </c>
      <c r="L23" s="18" t="n">
        <v>13443.66</v>
      </c>
      <c r="M23" s="18" t="n">
        <v>14536.27</v>
      </c>
      <c r="N23" s="18" t="n">
        <v>15167.55</v>
      </c>
      <c r="O23" s="18" t="n">
        <v>18152.99</v>
      </c>
      <c r="P23" s="37" t="n">
        <v>18152.99</v>
      </c>
      <c r="Q23" s="18" t="n">
        <v>15945.6</v>
      </c>
      <c r="R23" s="18" t="n">
        <v>16866.88</v>
      </c>
      <c r="S23" s="18" t="n">
        <v>16529.28</v>
      </c>
      <c r="T23" s="18" t="n">
        <v>20068.52</v>
      </c>
      <c r="U23" s="37" t="n">
        <v>20068.52</v>
      </c>
      <c r="V23" s="18" t="n">
        <v>20742.33</v>
      </c>
      <c r="W23" s="18" t="n">
        <v>23899.03</v>
      </c>
      <c r="X23" s="18" t="n">
        <v>21092.94</v>
      </c>
      <c r="Y23" s="18" t="n">
        <v>19052.81</v>
      </c>
      <c r="Z23" s="37" t="n">
        <v>19052.81</v>
      </c>
      <c r="AA23" s="18" t="n">
        <v>28895.42</v>
      </c>
      <c r="AB23" s="19" t="n">
        <v>27651.01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197.24</v>
      </c>
      <c r="F24" s="37" t="n">
        <v>197.24</v>
      </c>
      <c r="G24" s="18" t="n">
        <v>193.24</v>
      </c>
      <c r="H24" s="18" t="n">
        <v>189.25</v>
      </c>
      <c r="I24" s="18" t="n">
        <v>185.25</v>
      </c>
      <c r="J24" s="18" t="n">
        <v>197.04</v>
      </c>
      <c r="K24" s="37" t="n">
        <v>197.04</v>
      </c>
      <c r="L24" s="18" t="n">
        <v>248.44</v>
      </c>
      <c r="M24" s="18" t="n">
        <v>199.63</v>
      </c>
      <c r="N24" s="18" t="n">
        <v>203.96</v>
      </c>
      <c r="O24" s="18" t="n">
        <v>201</v>
      </c>
      <c r="P24" s="37" t="n">
        <v>201</v>
      </c>
      <c r="Q24" s="18" t="n">
        <v>198.01</v>
      </c>
      <c r="R24" s="18" t="n">
        <v>195.01</v>
      </c>
      <c r="S24" s="18" t="n">
        <v>191.97</v>
      </c>
      <c r="T24" s="18" t="n">
        <v>194.52</v>
      </c>
      <c r="U24" s="37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7" t="n">
        <v>228.13</v>
      </c>
      <c r="AA24" s="18" t="n">
        <v>221.64</v>
      </c>
      <c r="AB24" s="19" t="n">
        <v>247.57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721.3099999999999</v>
      </c>
      <c r="F25" s="37" t="n">
        <v>721.3099999999999</v>
      </c>
      <c r="G25" s="18" t="n">
        <v>672.59</v>
      </c>
      <c r="H25" s="18" t="n">
        <v>623.59</v>
      </c>
      <c r="I25" s="18" t="n">
        <v>574.3</v>
      </c>
      <c r="J25" s="18" t="n">
        <v>556.17</v>
      </c>
      <c r="K25" s="37" t="n">
        <v>556.17</v>
      </c>
      <c r="L25" s="18" t="n">
        <v>507.39</v>
      </c>
      <c r="M25" s="18" t="n">
        <v>458.29</v>
      </c>
      <c r="N25" s="18" t="n">
        <v>408.87</v>
      </c>
      <c r="O25" s="18" t="n">
        <v>359.13</v>
      </c>
      <c r="P25" s="37" t="n">
        <v>359.13</v>
      </c>
      <c r="Q25" s="18" t="n">
        <v>309.05</v>
      </c>
      <c r="R25" s="18" t="n">
        <v>258.67</v>
      </c>
      <c r="S25" s="18" t="n">
        <v>207.94</v>
      </c>
      <c r="T25" s="18" t="n">
        <v>204.35</v>
      </c>
      <c r="U25" s="37" t="n">
        <v>204.35</v>
      </c>
      <c r="V25" s="18" t="n">
        <v>148.34</v>
      </c>
      <c r="W25" s="18" t="n">
        <v>91.91</v>
      </c>
      <c r="X25" s="18" t="n">
        <v>35.06</v>
      </c>
      <c r="Y25" s="18" t="n">
        <v>391.5</v>
      </c>
      <c r="Z25" s="37" t="n">
        <v>391.5</v>
      </c>
      <c r="AA25" s="18" t="n">
        <v>332.21</v>
      </c>
      <c r="AB25" s="19" t="n">
        <v>341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197.24</v>
      </c>
      <c r="F26" s="37" t="n">
        <v>197.24</v>
      </c>
      <c r="G26" s="18" t="n">
        <v>193.24</v>
      </c>
      <c r="H26" s="18" t="n">
        <v>189.25</v>
      </c>
      <c r="I26" s="18" t="n">
        <v>185.25</v>
      </c>
      <c r="J26" s="18" t="n">
        <v>197.04</v>
      </c>
      <c r="K26" s="37" t="n">
        <v>197.04</v>
      </c>
      <c r="L26" s="18" t="n">
        <v>248.44</v>
      </c>
      <c r="M26" s="18" t="n">
        <v>199.63</v>
      </c>
      <c r="N26" s="18" t="n">
        <v>203.96</v>
      </c>
      <c r="O26" s="18" t="n">
        <v>201</v>
      </c>
      <c r="P26" s="37" t="n">
        <v>201</v>
      </c>
      <c r="Q26" s="18" t="n">
        <v>198.01</v>
      </c>
      <c r="R26" s="18" t="n">
        <v>195.01</v>
      </c>
      <c r="S26" s="18" t="n">
        <v>191.97</v>
      </c>
      <c r="T26" s="18" t="n">
        <v>194.52</v>
      </c>
      <c r="U26" s="37" t="n">
        <v>194.52</v>
      </c>
      <c r="V26" s="18" t="n">
        <v>144.01</v>
      </c>
      <c r="W26" s="18" t="n">
        <v>90.75</v>
      </c>
      <c r="X26" s="18" t="n">
        <v>35.06</v>
      </c>
      <c r="Y26" s="18" t="n">
        <v>228.13</v>
      </c>
      <c r="Z26" s="37" t="n">
        <v>228.13</v>
      </c>
      <c r="AA26" s="18" t="n">
        <v>221.64</v>
      </c>
      <c r="AB26" s="19" t="n">
        <v>247.57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0</v>
      </c>
      <c r="F27" s="37" t="n">
        <v>0</v>
      </c>
      <c r="J27" s="18" t="n">
        <v>0</v>
      </c>
      <c r="K27" s="37" t="n">
        <v>0</v>
      </c>
      <c r="L27" s="18" t="n">
        <v>0</v>
      </c>
      <c r="P27" s="9" t="n"/>
      <c r="Q27" s="18" t="n">
        <v>178.14</v>
      </c>
      <c r="R27" s="18" t="n">
        <v>1097.22</v>
      </c>
      <c r="S27" s="18" t="n">
        <v>1640.07</v>
      </c>
      <c r="T27" s="18" t="n">
        <v>3186.94</v>
      </c>
      <c r="U27" s="37" t="n">
        <v>3186.94</v>
      </c>
      <c r="V27" s="18" t="n">
        <v>3854.63</v>
      </c>
      <c r="W27" s="18" t="n">
        <v>2956.4</v>
      </c>
      <c r="X27" s="18" t="n">
        <v>4268.49</v>
      </c>
      <c r="Y27" s="18" t="n">
        <v>5633.29</v>
      </c>
      <c r="Z27" s="37" t="n">
        <v>5633.29</v>
      </c>
      <c r="AA27" s="18" t="n">
        <v>4113.22</v>
      </c>
      <c r="AB27" s="19" t="n">
        <v>4279.1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1233.46</v>
      </c>
      <c r="F28" s="37" t="n">
        <v>1233.46</v>
      </c>
      <c r="G28" s="18" t="n">
        <v>1333.26</v>
      </c>
      <c r="H28" s="18" t="n">
        <v>1317.18</v>
      </c>
      <c r="I28" s="18" t="n">
        <v>1168.27</v>
      </c>
      <c r="J28" s="18" t="n">
        <v>1257.11</v>
      </c>
      <c r="K28" s="37" t="n">
        <v>1257.11</v>
      </c>
      <c r="L28" s="18" t="n">
        <v>1210.79</v>
      </c>
      <c r="M28" s="18" t="n">
        <v>1332.36</v>
      </c>
      <c r="N28" s="18" t="n">
        <v>1448.72</v>
      </c>
      <c r="O28" s="18" t="n">
        <v>1366.55</v>
      </c>
      <c r="P28" s="37" t="n">
        <v>1366.55</v>
      </c>
      <c r="Q28" s="18" t="n">
        <v>1406.38</v>
      </c>
      <c r="R28" s="18" t="n">
        <v>1312.81</v>
      </c>
      <c r="S28" s="18" t="n">
        <v>1400.34</v>
      </c>
      <c r="T28" s="18" t="n">
        <v>1539.37</v>
      </c>
      <c r="U28" s="37" t="n">
        <v>1539.37</v>
      </c>
      <c r="V28" s="18" t="n">
        <v>1772.99</v>
      </c>
      <c r="W28" s="18" t="n">
        <v>1688.73</v>
      </c>
      <c r="X28" s="18" t="n">
        <v>1818.63</v>
      </c>
      <c r="Y28" s="18" t="n">
        <v>1959.13</v>
      </c>
      <c r="Z28" s="37" t="n">
        <v>1959.13</v>
      </c>
      <c r="AA28" s="18" t="n">
        <v>1806.73</v>
      </c>
      <c r="AB28" s="19" t="n">
        <v>1949.45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E29" s="18" t="n">
        <v>622.1799999999999</v>
      </c>
      <c r="F29" s="37" t="n">
        <v>622.1799999999999</v>
      </c>
      <c r="G29" s="18" t="n">
        <v>616.25</v>
      </c>
      <c r="H29" s="18" t="n">
        <v>706.27</v>
      </c>
      <c r="I29" s="18" t="n">
        <v>694.15</v>
      </c>
      <c r="J29" s="18" t="n">
        <v>718.39</v>
      </c>
      <c r="K29" s="37" t="n">
        <v>718.39</v>
      </c>
      <c r="L29" s="18" t="n">
        <v>703.98</v>
      </c>
      <c r="M29" s="18" t="n">
        <v>745.63</v>
      </c>
      <c r="P29" s="9" t="n"/>
      <c r="U29" s="9" t="n"/>
      <c r="Y29" s="18" t="n">
        <v>290</v>
      </c>
      <c r="Z29" s="37" t="n">
        <v>290</v>
      </c>
      <c r="AA29" s="18" t="n">
        <v>964.35</v>
      </c>
      <c r="AB29" s="19" t="n">
        <v>360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1146.25</v>
      </c>
      <c r="F30" s="37" t="n">
        <v>1146.25</v>
      </c>
      <c r="G30" s="18" t="n">
        <v>1095.6</v>
      </c>
      <c r="H30" s="18" t="n">
        <v>1140.61</v>
      </c>
      <c r="I30" s="18" t="n">
        <v>1083.2</v>
      </c>
      <c r="J30" s="18" t="n">
        <v>1077.52</v>
      </c>
      <c r="K30" s="37" t="n">
        <v>1077.52</v>
      </c>
      <c r="L30" s="18" t="n">
        <v>962.9299999999999</v>
      </c>
      <c r="M30" s="18" t="n">
        <v>1004.29</v>
      </c>
      <c r="N30" s="18" t="n">
        <v>204.91</v>
      </c>
      <c r="O30" s="18" t="n">
        <v>158.13</v>
      </c>
      <c r="P30" s="37" t="n">
        <v>158.13</v>
      </c>
      <c r="Q30" s="18" t="n">
        <v>111.04</v>
      </c>
      <c r="R30" s="18" t="n">
        <v>63.66</v>
      </c>
      <c r="S30" s="18" t="n">
        <v>15.97</v>
      </c>
      <c r="T30" s="18" t="n">
        <v>9.83</v>
      </c>
      <c r="U30" s="37" t="n">
        <v>9.83</v>
      </c>
      <c r="V30" s="18" t="n">
        <v>4.33</v>
      </c>
      <c r="W30" s="18" t="n">
        <v>1.16</v>
      </c>
      <c r="X30" s="18" t="n">
        <v>0</v>
      </c>
      <c r="Y30" s="18" t="n">
        <v>453.37</v>
      </c>
      <c r="Z30" s="37" t="n">
        <v>453.37</v>
      </c>
      <c r="AA30" s="18" t="n">
        <v>1074.92</v>
      </c>
      <c r="AB30" s="19" t="n">
        <v>453.43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87.2</v>
      </c>
      <c r="F31" s="37" t="n">
        <v>87.2</v>
      </c>
      <c r="G31" s="18" t="n">
        <v>237.65</v>
      </c>
      <c r="H31" s="18" t="n">
        <v>176.57</v>
      </c>
      <c r="I31" s="18" t="n">
        <v>85.08</v>
      </c>
      <c r="J31" s="18" t="n">
        <v>0</v>
      </c>
      <c r="K31" s="37" t="n">
        <v>0</v>
      </c>
      <c r="L31" s="18" t="n">
        <v>21.22</v>
      </c>
      <c r="M31" s="18" t="n">
        <v>54.37</v>
      </c>
      <c r="N31" s="18" t="n">
        <v>157.34</v>
      </c>
      <c r="O31" s="18" t="n">
        <v>0</v>
      </c>
      <c r="P31" s="37" t="n">
        <v>0</v>
      </c>
      <c r="Q31" s="18" t="n">
        <v>57.1</v>
      </c>
      <c r="R31" s="18" t="n">
        <v>67.94</v>
      </c>
      <c r="S31" s="18" t="n">
        <v>170.52</v>
      </c>
      <c r="T31" s="18" t="n">
        <v>168.52</v>
      </c>
      <c r="U31" s="37" t="n">
        <v>168.52</v>
      </c>
      <c r="V31" s="18" t="n">
        <v>412.87</v>
      </c>
      <c r="W31" s="18" t="n">
        <v>417.54</v>
      </c>
      <c r="X31" s="18" t="n">
        <v>548.58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359.13</v>
      </c>
      <c r="K32" s="37" t="n">
        <v>359.13</v>
      </c>
      <c r="L32" s="18" t="n">
        <v>258.95</v>
      </c>
      <c r="M32" s="18" t="n">
        <v>258.66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33313.33</v>
      </c>
      <c r="F33" s="37" t="n">
        <v>33313.33</v>
      </c>
      <c r="G33" s="18" t="n">
        <v>33986.7</v>
      </c>
      <c r="H33" s="18" t="n">
        <v>35511.5</v>
      </c>
      <c r="I33" s="18" t="n">
        <v>37284.81</v>
      </c>
      <c r="J33" s="18" t="n">
        <v>42643.35</v>
      </c>
      <c r="K33" s="37" t="n">
        <v>42643.35</v>
      </c>
      <c r="L33" s="18" t="n">
        <v>46178.79</v>
      </c>
      <c r="M33" s="18" t="n">
        <v>59112</v>
      </c>
      <c r="N33" s="18" t="n">
        <v>57183.26</v>
      </c>
      <c r="O33" s="18" t="n">
        <v>72272.46000000001</v>
      </c>
      <c r="P33" s="37" t="n">
        <v>72272.46000000001</v>
      </c>
      <c r="Q33" s="18" t="n">
        <v>66574.67999999999</v>
      </c>
      <c r="R33" s="18" t="n">
        <v>69171.28999999999</v>
      </c>
      <c r="S33" s="18" t="n">
        <v>67442.12</v>
      </c>
      <c r="T33" s="18" t="n">
        <v>63337.14</v>
      </c>
      <c r="U33" s="37" t="n">
        <v>63337.14</v>
      </c>
      <c r="V33" s="18" t="n">
        <v>60489.66</v>
      </c>
      <c r="W33" s="18" t="n">
        <v>64380.14</v>
      </c>
      <c r="X33" s="18" t="n">
        <v>57378.45</v>
      </c>
      <c r="Y33" s="18" t="n">
        <v>52783.72</v>
      </c>
      <c r="Z33" s="37" t="n">
        <v>52783.72</v>
      </c>
      <c r="AA33" s="18" t="n">
        <v>58267.46</v>
      </c>
      <c r="AB33" s="19" t="n">
        <v>68474.39999999999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226690.06</v>
      </c>
      <c r="F34" s="37" t="n">
        <v>226690.06</v>
      </c>
      <c r="G34" s="18" t="n">
        <v>224073.78</v>
      </c>
      <c r="H34" s="18" t="n">
        <v>223298.74</v>
      </c>
      <c r="I34" s="18" t="n">
        <v>225329.35</v>
      </c>
      <c r="J34" s="18" t="n">
        <v>218469.18</v>
      </c>
      <c r="K34" s="37" t="n">
        <v>218469.18</v>
      </c>
      <c r="L34" s="18" t="n">
        <v>220091.38</v>
      </c>
      <c r="M34" s="18" t="n">
        <v>220142.81</v>
      </c>
      <c r="N34" s="18" t="n">
        <v>223102.4</v>
      </c>
      <c r="O34" s="18" t="n">
        <v>225677.81</v>
      </c>
      <c r="P34" s="37" t="n">
        <v>225677.81</v>
      </c>
      <c r="Q34" s="18" t="n">
        <v>229382.89</v>
      </c>
      <c r="R34" s="18" t="n">
        <v>233678.36</v>
      </c>
      <c r="S34" s="18" t="n">
        <v>236222.29</v>
      </c>
      <c r="T34" s="18" t="n">
        <v>245268.75</v>
      </c>
      <c r="U34" s="37" t="n">
        <v>245268.75</v>
      </c>
      <c r="V34" s="18" t="n">
        <v>250103.88</v>
      </c>
      <c r="W34" s="18" t="n">
        <v>254461.61</v>
      </c>
      <c r="X34" s="18" t="n">
        <v>262571.73</v>
      </c>
      <c r="Y34" s="18" t="n">
        <v>269199.84</v>
      </c>
      <c r="Z34" s="37" t="n">
        <v>269199.84</v>
      </c>
      <c r="AA34" s="18" t="n">
        <v>274614.32</v>
      </c>
      <c r="AB34" s="19" t="n">
        <v>277841.22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4783.67</v>
      </c>
      <c r="F35" s="37" t="n">
        <v>4783.67</v>
      </c>
      <c r="G35" s="18" t="n">
        <v>4783.67</v>
      </c>
      <c r="H35" s="18" t="n">
        <v>4783.67</v>
      </c>
      <c r="I35" s="18" t="n">
        <v>4783.67</v>
      </c>
      <c r="J35" s="18" t="n">
        <v>4783.67</v>
      </c>
      <c r="K35" s="37" t="n">
        <v>4783.67</v>
      </c>
      <c r="L35" s="18" t="n">
        <v>4783.67</v>
      </c>
      <c r="M35" s="18" t="n">
        <v>4783.67</v>
      </c>
      <c r="N35" s="18" t="n">
        <v>4783.67</v>
      </c>
      <c r="O35" s="18" t="n">
        <v>4783.67</v>
      </c>
      <c r="P35" s="37" t="n">
        <v>4783.67</v>
      </c>
      <c r="Q35" s="18" t="n">
        <v>4783.67</v>
      </c>
      <c r="R35" s="18" t="n">
        <v>4783.67</v>
      </c>
      <c r="S35" s="18" t="n">
        <v>4783.67</v>
      </c>
      <c r="T35" s="18" t="n">
        <v>4783.67</v>
      </c>
      <c r="U35" s="37" t="n">
        <v>4783.67</v>
      </c>
      <c r="V35" s="18" t="n">
        <v>4783.67</v>
      </c>
      <c r="W35" s="18" t="n">
        <v>4783.67</v>
      </c>
      <c r="X35" s="18" t="n">
        <v>4783.67</v>
      </c>
      <c r="Y35" s="18" t="n">
        <v>4783.67</v>
      </c>
      <c r="Z35" s="37" t="n">
        <v>4783.67</v>
      </c>
      <c r="AA35" s="18" t="n">
        <v>4783.67</v>
      </c>
      <c r="AB35" s="19" t="n">
        <v>4783.67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24958.68</v>
      </c>
      <c r="F36" s="37" t="n">
        <v>24958.68</v>
      </c>
      <c r="G36" s="18" t="n">
        <v>24974.84</v>
      </c>
      <c r="H36" s="18" t="n">
        <v>24977.78</v>
      </c>
      <c r="I36" s="18" t="n">
        <v>24977.78</v>
      </c>
      <c r="J36" s="18" t="n">
        <v>24978.48</v>
      </c>
      <c r="K36" s="37" t="n">
        <v>24978.48</v>
      </c>
      <c r="L36" s="18" t="n">
        <v>25026.82</v>
      </c>
      <c r="M36" s="18" t="n">
        <v>25034.91</v>
      </c>
      <c r="N36" s="18" t="n">
        <v>25034.91</v>
      </c>
      <c r="O36" s="18" t="n">
        <v>25035.47</v>
      </c>
      <c r="P36" s="37" t="n">
        <v>25035.47</v>
      </c>
      <c r="Q36" s="18" t="n">
        <v>25048.84</v>
      </c>
      <c r="R36" s="18" t="n">
        <v>25053.11</v>
      </c>
      <c r="S36" s="18" t="n">
        <v>25053.11</v>
      </c>
      <c r="T36" s="18" t="n">
        <v>25053.11</v>
      </c>
      <c r="U36" s="37" t="n">
        <v>25053.11</v>
      </c>
      <c r="V36" s="18" t="n">
        <v>25053.11</v>
      </c>
      <c r="W36" s="18" t="n">
        <v>25086.07</v>
      </c>
      <c r="X36" s="18" t="n">
        <v>25086.07</v>
      </c>
      <c r="Y36" s="18" t="n">
        <v>25272.22</v>
      </c>
      <c r="Z36" s="37" t="n">
        <v>25272.22</v>
      </c>
      <c r="AA36" s="18" t="n">
        <v>25272.22</v>
      </c>
      <c r="AB36" s="19" t="n">
        <v>20460.2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-2586.62</v>
      </c>
      <c r="F37" s="37" t="n">
        <v>-2586.62</v>
      </c>
      <c r="G37" s="18" t="n">
        <v>-2597.23</v>
      </c>
      <c r="H37" s="18" t="n">
        <v>-2562.52</v>
      </c>
      <c r="I37" s="18" t="n">
        <v>-2554.74</v>
      </c>
      <c r="J37" s="18" t="n">
        <v>-2541.49</v>
      </c>
      <c r="K37" s="37" t="n">
        <v>-2541.49</v>
      </c>
      <c r="L37" s="18" t="n">
        <v>-2581.8</v>
      </c>
      <c r="M37" s="18" t="n">
        <v>-3490.35</v>
      </c>
      <c r="N37" s="18" t="n">
        <v>-3523.92</v>
      </c>
      <c r="O37" s="18" t="n">
        <v>-3508.07</v>
      </c>
      <c r="P37" s="37" t="n">
        <v>-3508.07</v>
      </c>
      <c r="Q37" s="18" t="n">
        <v>-3509.47</v>
      </c>
      <c r="R37" s="18" t="n">
        <v>-3471.66</v>
      </c>
      <c r="S37" s="18" t="n">
        <v>-3455.64</v>
      </c>
      <c r="T37" s="18" t="n">
        <v>-3436.7</v>
      </c>
      <c r="U37" s="37" t="n">
        <v>-3436.7</v>
      </c>
      <c r="V37" s="18" t="n">
        <v>-3419.11</v>
      </c>
      <c r="W37" s="18" t="n">
        <v>-3374.2</v>
      </c>
      <c r="X37" s="18" t="n">
        <v>-3334.46</v>
      </c>
      <c r="Y37" s="18" t="n">
        <v>-3296.14</v>
      </c>
      <c r="Z37" s="37" t="n">
        <v>-3296.14</v>
      </c>
      <c r="AA37" s="18" t="n">
        <v>-3296.14</v>
      </c>
      <c r="AB37" s="19" t="n">
        <v>-2920.76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9330.27</v>
      </c>
      <c r="F38" s="37" t="n">
        <v>9330.27</v>
      </c>
      <c r="G38" s="18" t="n">
        <v>9330.27</v>
      </c>
      <c r="H38" s="18" t="n">
        <v>9330.27</v>
      </c>
      <c r="I38" s="18" t="n">
        <v>9330.27</v>
      </c>
      <c r="J38" s="18" t="n">
        <v>9330.27</v>
      </c>
      <c r="K38" s="37" t="n">
        <v>9330.27</v>
      </c>
      <c r="L38" s="18" t="n">
        <v>9330.27</v>
      </c>
      <c r="M38" s="18" t="n">
        <v>9330.27</v>
      </c>
      <c r="N38" s="18" t="n">
        <v>9330.27</v>
      </c>
      <c r="O38" s="18" t="n">
        <v>9330.27</v>
      </c>
      <c r="P38" s="37" t="n">
        <v>9330.27</v>
      </c>
      <c r="Q38" s="18" t="n">
        <v>9330.27</v>
      </c>
      <c r="R38" s="18" t="n">
        <v>9330.27</v>
      </c>
      <c r="S38" s="18" t="n">
        <v>9330.27</v>
      </c>
      <c r="T38" s="18" t="n">
        <v>9330.27</v>
      </c>
      <c r="U38" s="37" t="n">
        <v>9330.27</v>
      </c>
      <c r="V38" s="18" t="n">
        <v>9330.27</v>
      </c>
      <c r="W38" s="18" t="n">
        <v>9330.27</v>
      </c>
      <c r="X38" s="18" t="n">
        <v>9330.27</v>
      </c>
      <c r="Y38" s="18" t="n">
        <v>9330.27</v>
      </c>
      <c r="Z38" s="37" t="n">
        <v>9330.27</v>
      </c>
      <c r="AA38" s="18" t="n">
        <v>9330.27</v>
      </c>
      <c r="AB38" s="19" t="n">
        <v>9330.27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190204.06</v>
      </c>
      <c r="F39" s="37" t="n">
        <v>190204.06</v>
      </c>
      <c r="G39" s="18" t="n">
        <v>187582.23</v>
      </c>
      <c r="H39" s="18" t="n">
        <v>186769.55</v>
      </c>
      <c r="I39" s="18" t="n">
        <v>188792.37</v>
      </c>
      <c r="J39" s="18" t="n">
        <v>181918.26</v>
      </c>
      <c r="K39" s="37" t="n">
        <v>181918.26</v>
      </c>
      <c r="L39" s="18" t="n">
        <v>183532.43</v>
      </c>
      <c r="M39" s="18" t="n">
        <v>184484.32</v>
      </c>
      <c r="N39" s="18" t="n">
        <v>187477.48</v>
      </c>
      <c r="O39" s="18" t="n">
        <v>190036.48</v>
      </c>
      <c r="P39" s="37" t="n">
        <v>190036.48</v>
      </c>
      <c r="Q39" s="18" t="n">
        <v>193729.59</v>
      </c>
      <c r="R39" s="18" t="n">
        <v>197982.97</v>
      </c>
      <c r="S39" s="18" t="n">
        <v>200510.88</v>
      </c>
      <c r="T39" s="18" t="n">
        <v>209538.41</v>
      </c>
      <c r="U39" s="37" t="n">
        <v>209538.41</v>
      </c>
      <c r="V39" s="18" t="n">
        <v>214355.95</v>
      </c>
      <c r="W39" s="18" t="n">
        <v>218635.81</v>
      </c>
      <c r="X39" s="18" t="n">
        <v>226706.19</v>
      </c>
      <c r="Y39" s="18" t="n">
        <v>233109.82</v>
      </c>
      <c r="Z39" s="37" t="n">
        <v>233109.82</v>
      </c>
      <c r="AA39" s="18" t="n">
        <v>238524.3</v>
      </c>
      <c r="AB39" s="19" t="n">
        <v>246187.85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비지배주주지분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W40" s="18" t="n">
        <v>0</v>
      </c>
      <c r="X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226690.06</v>
      </c>
      <c r="F41" s="37" t="n">
        <v>226690.06</v>
      </c>
      <c r="G41" s="18" t="n">
        <v>224073.78</v>
      </c>
      <c r="H41" s="18" t="n">
        <v>223298.74</v>
      </c>
      <c r="I41" s="18" t="n">
        <v>225329.35</v>
      </c>
      <c r="J41" s="18" t="n">
        <v>218469.18</v>
      </c>
      <c r="K41" s="37" t="n">
        <v>218469.18</v>
      </c>
      <c r="L41" s="18" t="n">
        <v>220091.38</v>
      </c>
      <c r="M41" s="18" t="n">
        <v>220142.81</v>
      </c>
      <c r="N41" s="18" t="n">
        <v>223102.4</v>
      </c>
      <c r="O41" s="18" t="n">
        <v>225677.81</v>
      </c>
      <c r="P41" s="37" t="n">
        <v>225677.81</v>
      </c>
      <c r="Q41" s="18" t="n">
        <v>229382.89</v>
      </c>
      <c r="R41" s="18" t="n">
        <v>233678.36</v>
      </c>
      <c r="S41" s="18" t="n">
        <v>236222.29</v>
      </c>
      <c r="T41" s="18" t="n">
        <v>245268.75</v>
      </c>
      <c r="U41" s="37" t="n">
        <v>245268.75</v>
      </c>
      <c r="V41" s="18" t="n">
        <v>250103.88</v>
      </c>
      <c r="W41" s="18" t="n">
        <v>254461.61</v>
      </c>
      <c r="X41" s="18" t="n">
        <v>262571.73</v>
      </c>
      <c r="Y41" s="18" t="n">
        <v>269199.84</v>
      </c>
      <c r="Z41" s="37" t="n">
        <v>269199.84</v>
      </c>
      <c r="AA41" s="18" t="n">
        <v>274614.32</v>
      </c>
      <c r="AB41" s="19" t="n">
        <v>277841.22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260003.39</v>
      </c>
      <c r="F42" s="37" t="n">
        <v>260003.39</v>
      </c>
      <c r="G42" s="18" t="n">
        <v>258060.48</v>
      </c>
      <c r="H42" s="18" t="n">
        <v>258810.24</v>
      </c>
      <c r="I42" s="18" t="n">
        <v>262614.16</v>
      </c>
      <c r="J42" s="18" t="n">
        <v>261112.52</v>
      </c>
      <c r="K42" s="37" t="n">
        <v>261112.52</v>
      </c>
      <c r="L42" s="18" t="n">
        <v>266270.17</v>
      </c>
      <c r="M42" s="18" t="n">
        <v>279254.82</v>
      </c>
      <c r="N42" s="18" t="n">
        <v>280285.66</v>
      </c>
      <c r="O42" s="18" t="n">
        <v>297950.27</v>
      </c>
      <c r="P42" s="37" t="n">
        <v>297950.27</v>
      </c>
      <c r="Q42" s="18" t="n">
        <v>295957.58</v>
      </c>
      <c r="R42" s="18" t="n">
        <v>302849.65</v>
      </c>
      <c r="S42" s="18" t="n">
        <v>303664.4</v>
      </c>
      <c r="T42" s="18" t="n">
        <v>308605.89</v>
      </c>
      <c r="U42" s="37" t="n">
        <v>308605.89</v>
      </c>
      <c r="V42" s="18" t="n">
        <v>310593.54</v>
      </c>
      <c r="W42" s="18" t="n">
        <v>318841.75</v>
      </c>
      <c r="X42" s="18" t="n">
        <v>319950.18</v>
      </c>
      <c r="Y42" s="18" t="n">
        <v>321983.56</v>
      </c>
      <c r="Z42" s="37" t="n">
        <v>321983.56</v>
      </c>
      <c r="AA42" s="18" t="n">
        <v>332881.78</v>
      </c>
      <c r="AB42" s="19" t="n">
        <v>346315.62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78325.02</v>
      </c>
      <c r="F43" s="37" t="n">
        <v>78325.02</v>
      </c>
      <c r="G43" s="18" t="n">
        <v>71153.03</v>
      </c>
      <c r="H43" s="18" t="n">
        <v>68486.91</v>
      </c>
      <c r="I43" s="18" t="n">
        <v>70911.66</v>
      </c>
      <c r="J43" s="18" t="n">
        <v>69037.23</v>
      </c>
      <c r="K43" s="37" t="n">
        <v>69037.23</v>
      </c>
      <c r="L43" s="18" t="n">
        <v>67633.46000000001</v>
      </c>
      <c r="M43" s="18" t="n">
        <v>74759.23</v>
      </c>
      <c r="N43" s="18" t="n">
        <v>67209.52</v>
      </c>
      <c r="O43" s="18" t="n">
        <v>85996.46000000001</v>
      </c>
      <c r="P43" s="37" t="n">
        <v>85996.46000000001</v>
      </c>
      <c r="Q43" s="18" t="n">
        <v>78135.75999999999</v>
      </c>
      <c r="R43" s="18" t="n">
        <v>81614.74000000001</v>
      </c>
      <c r="S43" s="18" t="n">
        <v>83551.78</v>
      </c>
      <c r="T43" s="18" t="n">
        <v>76497.92999999999</v>
      </c>
      <c r="U43" s="37" t="n">
        <v>76497.92999999999</v>
      </c>
      <c r="V43" s="18" t="n">
        <v>65630.59</v>
      </c>
      <c r="W43" s="18" t="n">
        <v>47863.86</v>
      </c>
      <c r="X43" s="18" t="n">
        <v>51582.14</v>
      </c>
      <c r="Y43" s="18" t="n">
        <v>57918.67</v>
      </c>
      <c r="Z43" s="37" t="n">
        <v>57918.67</v>
      </c>
      <c r="AA43" s="18" t="n">
        <v>52685.95</v>
      </c>
      <c r="AB43" s="19" t="n">
        <v>56501.41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N44" s="18" t="n">
        <v>2.37</v>
      </c>
      <c r="O44" s="18" t="n">
        <v>2.11</v>
      </c>
      <c r="P44" s="37" t="n">
        <v>2.11</v>
      </c>
      <c r="Q44" s="18" t="n">
        <v>2.12</v>
      </c>
      <c r="T44" s="18" t="n">
        <v>1.06</v>
      </c>
      <c r="U44" s="37" t="n">
        <v>1.06</v>
      </c>
      <c r="V44" s="18" t="n">
        <v>1.06</v>
      </c>
      <c r="W44" s="18" t="n">
        <v>1.11</v>
      </c>
      <c r="X44" s="18" t="n">
        <v>1.67</v>
      </c>
      <c r="Y44" s="18" t="n">
        <v>402.55</v>
      </c>
      <c r="Z44" s="37" t="n">
        <v>402.55</v>
      </c>
      <c r="AA44" s="18" t="n">
        <v>337.96</v>
      </c>
      <c r="AB44" s="19" t="n">
        <v>368.35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F45" s="9" t="n"/>
      <c r="K45" s="9" t="n"/>
      <c r="N45" s="18" t="n">
        <v>765.73</v>
      </c>
      <c r="O45" s="18" t="n">
        <v>806.37</v>
      </c>
      <c r="P45" s="37" t="n">
        <v>806.37</v>
      </c>
      <c r="Q45" s="18" t="n">
        <v>804.0599999999999</v>
      </c>
      <c r="T45" s="18" t="n">
        <v>837.96</v>
      </c>
      <c r="U45" s="37" t="n">
        <v>837.96</v>
      </c>
      <c r="V45" s="18" t="n">
        <v>832.74</v>
      </c>
      <c r="W45" s="18" t="n">
        <v>290</v>
      </c>
      <c r="X45" s="18" t="n">
        <v>747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기타유동자산</t>
        </is>
      </c>
      <c r="F46" s="9" t="n"/>
      <c r="K46" s="9" t="n"/>
      <c r="P46" s="9" t="n"/>
      <c r="U46" s="9" t="n"/>
      <c r="Y46" s="18" t="n">
        <v>19076.58</v>
      </c>
      <c r="Z46" s="37" t="n">
        <v>19076.58</v>
      </c>
      <c r="AA46" s="18" t="n">
        <v>20414.41</v>
      </c>
      <c r="AB46" s="19" t="n">
        <v>15424.14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U47" s="9" t="n"/>
      <c r="Y47" s="18" t="n">
        <v>401.66</v>
      </c>
      <c r="Z47" s="37" t="n">
        <v>401.66</v>
      </c>
      <c r="AA47" s="18" t="n">
        <v>337.07</v>
      </c>
      <c r="AB47" s="19" t="n">
        <v>367.46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기타유동부채</t>
        </is>
      </c>
      <c r="F48" s="9" t="n"/>
      <c r="K48" s="9" t="n"/>
      <c r="P48" s="9" t="n"/>
      <c r="U48" s="9" t="n"/>
      <c r="Y48" s="18" t="n">
        <v>25910.36</v>
      </c>
      <c r="Z48" s="37" t="n">
        <v>25910.36</v>
      </c>
      <c r="AA48" s="18" t="n">
        <v>23230.45</v>
      </c>
      <c r="AB48" s="19" t="n">
        <v>34347.26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7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7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7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7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7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7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7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7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7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7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7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7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7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7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7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7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7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7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7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7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7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7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7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7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7" t="n">
        <v>414</v>
      </c>
      <c r="L55" s="18" t="n">
        <v>4.22</v>
      </c>
      <c r="M55" s="18" t="n">
        <v>501.53</v>
      </c>
      <c r="N55" s="18" t="n">
        <v>2.85</v>
      </c>
      <c r="O55" s="18" t="n">
        <v>547.01</v>
      </c>
      <c r="P55" s="37" t="n">
        <v>1055.61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7" t="n">
        <v>20.19</v>
      </c>
      <c r="V55" s="18" t="n">
        <v>38.95</v>
      </c>
      <c r="W55" s="18" t="n">
        <v>435.88</v>
      </c>
      <c r="X55" s="18" t="n">
        <v>-1.56</v>
      </c>
      <c r="Y55" s="18" t="n">
        <v>-314.19</v>
      </c>
      <c r="Z55" s="37" t="n">
        <v>159.08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7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7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7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7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7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7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7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7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7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7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7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7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7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7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7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7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7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7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7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7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7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7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7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7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7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7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7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7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7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7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7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7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7" t="n">
        <v>207.3</v>
      </c>
      <c r="L64" s="18" t="n">
        <v>305.57</v>
      </c>
      <c r="M64" s="18" t="n">
        <v>-325.12</v>
      </c>
      <c r="N64" s="18" t="n">
        <v>353.57</v>
      </c>
      <c r="O64" s="18" t="n">
        <v>-328.62</v>
      </c>
      <c r="P64" s="37" t="n">
        <v>5.4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7" t="n">
        <v>892.1900000000001</v>
      </c>
      <c r="V64" s="18" t="n">
        <v>595.92</v>
      </c>
      <c r="W64" s="18" t="n">
        <v>-69.88</v>
      </c>
      <c r="X64" s="18" t="n">
        <v>692.29</v>
      </c>
      <c r="Y64" s="18" t="n">
        <v>1040.48</v>
      </c>
      <c r="Z64" s="37" t="n">
        <v>2258.81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7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7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7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7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7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7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7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7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7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7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7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7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7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7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7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7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7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7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7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7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7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7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7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7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7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7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7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7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7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7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7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7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7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7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7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7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7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7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7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7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7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7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7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7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7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7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7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7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7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7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7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7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7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7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7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7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7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7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7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7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7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7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7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7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7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7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7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19876.64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7924.02</v>
      </c>
      <c r="F9" s="37" t="n">
        <v>7924.02</v>
      </c>
      <c r="G9" s="18" t="n">
        <v>26053.09</v>
      </c>
      <c r="H9" s="18" t="n">
        <v>26141.43</v>
      </c>
      <c r="I9" s="18" t="n">
        <v>26208.01</v>
      </c>
      <c r="J9" s="18" t="n">
        <v>27338.3</v>
      </c>
      <c r="K9" s="37" t="n">
        <v>27338.3</v>
      </c>
      <c r="L9" s="18" t="n">
        <v>27489.55</v>
      </c>
      <c r="M9" s="18" t="n">
        <v>27142.21</v>
      </c>
      <c r="N9" s="18" t="n">
        <v>27311.73</v>
      </c>
      <c r="O9" s="18" t="n">
        <v>27025.47</v>
      </c>
      <c r="P9" s="37" t="n">
        <v>27025.47</v>
      </c>
      <c r="Q9" s="18" t="n">
        <v>27246.94</v>
      </c>
      <c r="R9" s="18" t="n">
        <v>27459.82</v>
      </c>
      <c r="S9" s="18" t="n">
        <v>27670.39</v>
      </c>
      <c r="T9" s="18" t="n">
        <v>27890.26</v>
      </c>
      <c r="U9" s="37" t="n">
        <v>27890.26</v>
      </c>
      <c r="V9" s="18" t="n">
        <v>28128.24</v>
      </c>
      <c r="W9" s="18" t="n">
        <v>28592.47</v>
      </c>
      <c r="X9" s="18" t="n">
        <v>32626.91</v>
      </c>
      <c r="Y9" s="18" t="n">
        <v>32752.46</v>
      </c>
      <c r="Z9" s="37" t="n">
        <v>32752.46</v>
      </c>
      <c r="AA9" s="18" t="n">
        <v>32878.85</v>
      </c>
      <c r="AB9" s="19" t="n">
        <v>32884.83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423.54</v>
      </c>
      <c r="F10" s="37" t="n">
        <v>423.54</v>
      </c>
      <c r="G10" s="18" t="n">
        <v>423.54</v>
      </c>
      <c r="H10" s="18" t="n">
        <v>105.24</v>
      </c>
      <c r="I10" s="18" t="n">
        <v>163.09</v>
      </c>
      <c r="J10" s="18" t="n">
        <v>240.55</v>
      </c>
      <c r="K10" s="37" t="n">
        <v>240.55</v>
      </c>
      <c r="L10" s="18" t="n">
        <v>397.28</v>
      </c>
      <c r="M10" s="18" t="n">
        <v>273.19</v>
      </c>
      <c r="N10" s="18" t="n">
        <v>351.91</v>
      </c>
      <c r="O10" s="18" t="n">
        <v>2.45</v>
      </c>
      <c r="P10" s="37" t="n">
        <v>2.45</v>
      </c>
      <c r="Q10" s="18" t="n">
        <v>2.45</v>
      </c>
      <c r="R10" s="18" t="n">
        <v>0</v>
      </c>
      <c r="S10" s="18" t="n">
        <v>0</v>
      </c>
      <c r="T10" s="18" t="n">
        <v>0</v>
      </c>
      <c r="U10" s="37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26699.72</v>
      </c>
      <c r="F11" s="37" t="n">
        <v>26699.72</v>
      </c>
      <c r="G11" s="18" t="n">
        <v>24665.28</v>
      </c>
      <c r="H11" s="18" t="n">
        <v>25399.1</v>
      </c>
      <c r="I11" s="18" t="n">
        <v>28173.54</v>
      </c>
      <c r="J11" s="18" t="n">
        <v>23035.99</v>
      </c>
      <c r="K11" s="37" t="n">
        <v>23035.99</v>
      </c>
      <c r="L11" s="18" t="n">
        <v>26098.23</v>
      </c>
      <c r="M11" s="18" t="n">
        <v>31202.1</v>
      </c>
      <c r="N11" s="18" t="n">
        <v>35096.88</v>
      </c>
      <c r="O11" s="18" t="n">
        <v>35944.53</v>
      </c>
      <c r="P11" s="37" t="n">
        <v>35944.53</v>
      </c>
      <c r="Q11" s="18" t="n">
        <v>41530.27</v>
      </c>
      <c r="R11" s="18" t="n">
        <v>39486.88</v>
      </c>
      <c r="S11" s="18" t="n">
        <v>39695.24</v>
      </c>
      <c r="T11" s="18" t="n">
        <v>35108.31</v>
      </c>
      <c r="U11" s="37" t="n">
        <v>35108.31</v>
      </c>
      <c r="V11" s="18" t="n">
        <v>37816.22</v>
      </c>
      <c r="W11" s="18" t="n">
        <v>39994.42</v>
      </c>
      <c r="X11" s="18" t="n">
        <v>36993.11</v>
      </c>
      <c r="Y11" s="18" t="n">
        <v>32674.91</v>
      </c>
      <c r="Z11" s="37" t="n">
        <v>32674.91</v>
      </c>
      <c r="AA11" s="18" t="n">
        <v>45381.18</v>
      </c>
      <c r="AB11" s="19" t="n">
        <v>40269.66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144259.07</v>
      </c>
      <c r="F13" s="37" t="n">
        <v>144259.07</v>
      </c>
      <c r="G13" s="18" t="n">
        <v>134398.19</v>
      </c>
      <c r="H13" s="18" t="n">
        <v>134025.69</v>
      </c>
      <c r="I13" s="18" t="n">
        <v>133693.72</v>
      </c>
      <c r="J13" s="18" t="n">
        <v>132870.06</v>
      </c>
      <c r="K13" s="37" t="n">
        <v>132870.06</v>
      </c>
      <c r="L13" s="18" t="n">
        <v>133144.53</v>
      </c>
      <c r="M13" s="18" t="n">
        <v>137123.73</v>
      </c>
      <c r="N13" s="18" t="n">
        <v>140917.65</v>
      </c>
      <c r="O13" s="18" t="n">
        <v>144350.37</v>
      </c>
      <c r="P13" s="37" t="n">
        <v>144350.37</v>
      </c>
      <c r="Q13" s="18" t="n">
        <v>143607.76</v>
      </c>
      <c r="R13" s="18" t="n">
        <v>146306.52</v>
      </c>
      <c r="S13" s="18" t="n">
        <v>144885.84</v>
      </c>
      <c r="T13" s="18" t="n">
        <v>139692.58</v>
      </c>
      <c r="U13" s="37" t="n">
        <v>139692.58</v>
      </c>
      <c r="V13" s="18" t="n">
        <v>126029.11</v>
      </c>
      <c r="W13" s="18" t="n">
        <v>114345.29</v>
      </c>
      <c r="X13" s="18" t="n">
        <v>114593.24</v>
      </c>
      <c r="Y13" s="18" t="n">
        <v>113487.44</v>
      </c>
      <c r="Z13" s="37" t="n">
        <v>113487.44</v>
      </c>
      <c r="AA13" s="18" t="n">
        <v>107459.24</v>
      </c>
      <c r="AB13" s="19" t="n">
        <v>148609.85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39580.42</v>
      </c>
      <c r="F15" s="37" t="n">
        <v>39580.42</v>
      </c>
      <c r="G15" s="18" t="n">
        <v>43530.27</v>
      </c>
      <c r="H15" s="18" t="n">
        <v>41513.64</v>
      </c>
      <c r="I15" s="18" t="n">
        <v>41430.44</v>
      </c>
      <c r="J15" s="18" t="n">
        <v>40848.41</v>
      </c>
      <c r="K15" s="37" t="n">
        <v>40848.41</v>
      </c>
      <c r="L15" s="18" t="n">
        <v>42052.96</v>
      </c>
      <c r="M15" s="18" t="n">
        <v>42485.39</v>
      </c>
      <c r="N15" s="18" t="n">
        <v>44945.98</v>
      </c>
      <c r="O15" s="18" t="n">
        <v>46172.47</v>
      </c>
      <c r="P15" s="37" t="n">
        <v>46172.47</v>
      </c>
      <c r="Q15" s="18" t="n">
        <v>46611.11</v>
      </c>
      <c r="R15" s="18" t="n">
        <v>47017.92</v>
      </c>
      <c r="S15" s="18" t="n">
        <v>47142.73</v>
      </c>
      <c r="T15" s="18" t="n">
        <v>41014.85</v>
      </c>
      <c r="U15" s="37" t="n">
        <v>41014.85</v>
      </c>
      <c r="V15" s="18" t="n">
        <v>27082.82</v>
      </c>
      <c r="W15" s="18" t="n">
        <v>12218.02</v>
      </c>
      <c r="X15" s="18" t="n">
        <v>12911.72</v>
      </c>
      <c r="Y15" s="18" t="n">
        <v>13921.85</v>
      </c>
      <c r="Z15" s="37" t="n">
        <v>13921.85</v>
      </c>
      <c r="AA15" s="18" t="n">
        <v>8949.139999999999</v>
      </c>
      <c r="AB15" s="19" t="n">
        <v>9481.4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47580.42</v>
      </c>
      <c r="F16" s="37" t="n">
        <v>47580.42</v>
      </c>
      <c r="G16" s="18" t="n">
        <v>51530.27</v>
      </c>
      <c r="H16" s="18" t="n">
        <v>49513.64</v>
      </c>
      <c r="I16" s="18" t="n">
        <v>49430.44</v>
      </c>
      <c r="J16" s="18" t="n">
        <v>48848.41</v>
      </c>
      <c r="K16" s="37" t="n">
        <v>48848.41</v>
      </c>
      <c r="L16" s="18" t="n">
        <v>50052.96</v>
      </c>
      <c r="M16" s="18" t="n">
        <v>50485.39</v>
      </c>
      <c r="N16" s="18" t="n">
        <v>52945.98</v>
      </c>
      <c r="O16" s="18" t="n">
        <v>54172.47</v>
      </c>
      <c r="P16" s="37" t="n">
        <v>54172.47</v>
      </c>
      <c r="Q16" s="18" t="n">
        <v>54611.11</v>
      </c>
      <c r="R16" s="18" t="n">
        <v>55017.92</v>
      </c>
      <c r="S16" s="18" t="n">
        <v>55142.73</v>
      </c>
      <c r="T16" s="18" t="n">
        <v>49014.85</v>
      </c>
      <c r="U16" s="37" t="n">
        <v>49014.85</v>
      </c>
      <c r="V16" s="18" t="n">
        <v>35082.82</v>
      </c>
      <c r="W16" s="18" t="n">
        <v>20218.02</v>
      </c>
      <c r="X16" s="18" t="n">
        <v>20911.72</v>
      </c>
      <c r="Y16" s="18" t="n">
        <v>21921.85</v>
      </c>
      <c r="Z16" s="37" t="n">
        <v>21921.85</v>
      </c>
      <c r="AA16" s="18" t="n">
        <v>16949.14</v>
      </c>
      <c r="AB16" s="19" t="n">
        <v>49436.48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8000</v>
      </c>
      <c r="F17" s="37" t="n">
        <v>8000</v>
      </c>
      <c r="G17" s="18" t="n">
        <v>8000</v>
      </c>
      <c r="H17" s="18" t="n">
        <v>8000</v>
      </c>
      <c r="I17" s="18" t="n">
        <v>8000</v>
      </c>
      <c r="J17" s="18" t="n">
        <v>8000</v>
      </c>
      <c r="K17" s="37" t="n">
        <v>8000</v>
      </c>
      <c r="L17" s="18" t="n">
        <v>8000</v>
      </c>
      <c r="M17" s="18" t="n">
        <v>8000</v>
      </c>
      <c r="N17" s="18" t="n">
        <v>8000</v>
      </c>
      <c r="O17" s="18" t="n">
        <v>8000</v>
      </c>
      <c r="P17" s="37" t="n">
        <v>8000</v>
      </c>
      <c r="Q17" s="18" t="n">
        <v>8000</v>
      </c>
      <c r="R17" s="18" t="n">
        <v>8000</v>
      </c>
      <c r="S17" s="18" t="n">
        <v>8000</v>
      </c>
      <c r="T17" s="18" t="n">
        <v>8000</v>
      </c>
      <c r="U17" s="37" t="n">
        <v>8000</v>
      </c>
      <c r="V17" s="18" t="n">
        <v>8000</v>
      </c>
      <c r="W17" s="18" t="n">
        <v>8000</v>
      </c>
      <c r="X17" s="18" t="n">
        <v>8000</v>
      </c>
      <c r="Y17" s="18" t="n">
        <v>8000</v>
      </c>
      <c r="Z17" s="37" t="n">
        <v>8000</v>
      </c>
      <c r="AA17" s="18" t="n">
        <v>8000</v>
      </c>
      <c r="AB17" s="19" t="n">
        <v>39955.08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70528</v>
      </c>
      <c r="F18" s="37" t="n">
        <v>70528</v>
      </c>
      <c r="G18" s="18" t="n">
        <v>74046.16</v>
      </c>
      <c r="H18" s="18" t="n">
        <v>75007.48</v>
      </c>
      <c r="I18" s="18" t="n">
        <v>75040.81</v>
      </c>
      <c r="J18" s="18" t="n">
        <v>74727.63</v>
      </c>
      <c r="K18" s="37" t="n">
        <v>74727.63</v>
      </c>
      <c r="L18" s="18" t="n">
        <v>74299.91</v>
      </c>
      <c r="M18" s="18" t="n">
        <v>77956.75999999999</v>
      </c>
      <c r="N18" s="18" t="n">
        <v>79991.78999999999</v>
      </c>
      <c r="O18" s="18" t="n">
        <v>81179.59</v>
      </c>
      <c r="P18" s="37" t="n">
        <v>81179.59</v>
      </c>
      <c r="Q18" s="18" t="n">
        <v>80387.2</v>
      </c>
      <c r="R18" s="18" t="n">
        <v>81383.59</v>
      </c>
      <c r="S18" s="18" t="n">
        <v>80801.12</v>
      </c>
      <c r="T18" s="18" t="n">
        <v>77890</v>
      </c>
      <c r="U18" s="37" t="n">
        <v>77890</v>
      </c>
      <c r="V18" s="18" t="n">
        <v>78572.48</v>
      </c>
      <c r="W18" s="18" t="n">
        <v>70839.60000000001</v>
      </c>
      <c r="X18" s="18" t="n">
        <v>70452.2</v>
      </c>
      <c r="Y18" s="18" t="n">
        <v>67447.06</v>
      </c>
      <c r="Z18" s="37" t="n">
        <v>67447.06</v>
      </c>
      <c r="AA18" s="18" t="n">
        <v>67153.91</v>
      </c>
      <c r="AB18" s="19" t="n">
        <v>74798.10000000001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1876.49</v>
      </c>
      <c r="F19" s="37" t="n">
        <v>1876.49</v>
      </c>
      <c r="G19" s="18" t="n">
        <v>1863.36</v>
      </c>
      <c r="H19" s="18" t="n">
        <v>1850.22</v>
      </c>
      <c r="I19" s="18" t="n">
        <v>1837.08</v>
      </c>
      <c r="J19" s="18" t="n">
        <v>1906.88</v>
      </c>
      <c r="K19" s="37" t="n">
        <v>1906.88</v>
      </c>
      <c r="L19" s="18" t="n">
        <v>1897.7</v>
      </c>
      <c r="M19" s="18" t="n">
        <v>1888.53</v>
      </c>
      <c r="N19" s="18" t="n">
        <v>1879.36</v>
      </c>
      <c r="O19" s="18" t="n">
        <v>1870.19</v>
      </c>
      <c r="P19" s="37" t="n">
        <v>1870.19</v>
      </c>
      <c r="Q19" s="18" t="n">
        <v>1861.01</v>
      </c>
      <c r="R19" s="18" t="n">
        <v>1851.84</v>
      </c>
      <c r="S19" s="18" t="n">
        <v>1842.67</v>
      </c>
      <c r="T19" s="18" t="n">
        <v>5487.18</v>
      </c>
      <c r="U19" s="37" t="n">
        <v>5487.18</v>
      </c>
      <c r="V19" s="18" t="n">
        <v>5470.99</v>
      </c>
      <c r="W19" s="18" t="n">
        <v>15642.89</v>
      </c>
      <c r="X19" s="18" t="n">
        <v>15623.2</v>
      </c>
      <c r="Y19" s="18" t="n">
        <v>18244.34</v>
      </c>
      <c r="Z19" s="37" t="n">
        <v>18244.34</v>
      </c>
      <c r="AA19" s="18" t="n">
        <v>18210.59</v>
      </c>
      <c r="AB19" s="19" t="n">
        <v>18190.73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1410.97</v>
      </c>
      <c r="F20" s="37" t="n">
        <v>1410.97</v>
      </c>
      <c r="G20" s="18" t="n">
        <v>1354.67</v>
      </c>
      <c r="H20" s="18" t="n">
        <v>1293.55</v>
      </c>
      <c r="I20" s="18" t="n">
        <v>1263.99</v>
      </c>
      <c r="J20" s="18" t="n">
        <v>1212.83</v>
      </c>
      <c r="K20" s="37" t="n">
        <v>1212.83</v>
      </c>
      <c r="L20" s="18" t="n">
        <v>1150.79</v>
      </c>
      <c r="M20" s="18" t="n">
        <v>1101.94</v>
      </c>
      <c r="N20" s="18" t="n">
        <v>1040.07</v>
      </c>
      <c r="O20" s="18" t="n">
        <v>993.78</v>
      </c>
      <c r="P20" s="37" t="n">
        <v>993.78</v>
      </c>
      <c r="Q20" s="18" t="n">
        <v>981.1900000000001</v>
      </c>
      <c r="R20" s="18" t="n">
        <v>961.1</v>
      </c>
      <c r="S20" s="18" t="n">
        <v>952.46</v>
      </c>
      <c r="T20" s="18" t="n">
        <v>943.05</v>
      </c>
      <c r="U20" s="37" t="n">
        <v>943.05</v>
      </c>
      <c r="V20" s="18" t="n">
        <v>947.13</v>
      </c>
      <c r="W20" s="18" t="n">
        <v>1250.01</v>
      </c>
      <c r="X20" s="18" t="n">
        <v>1241.37</v>
      </c>
      <c r="Y20" s="18" t="n">
        <v>1244.76</v>
      </c>
      <c r="Z20" s="37" t="n">
        <v>1244.76</v>
      </c>
      <c r="AA20" s="18" t="n">
        <v>1251.67</v>
      </c>
      <c r="AB20" s="19" t="n">
        <v>1270.71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802.05</v>
      </c>
      <c r="F21" s="37" t="n">
        <v>802.05</v>
      </c>
      <c r="G21" s="18" t="n">
        <v>1284.25</v>
      </c>
      <c r="H21" s="18" t="n">
        <v>1731.67</v>
      </c>
      <c r="I21" s="18" t="n">
        <v>1233.96</v>
      </c>
      <c r="J21" s="18" t="n">
        <v>3762.71</v>
      </c>
      <c r="K21" s="37" t="n">
        <v>3762.71</v>
      </c>
      <c r="L21" s="18" t="n">
        <v>3392.41</v>
      </c>
      <c r="M21" s="18" t="n">
        <v>3217.04</v>
      </c>
      <c r="N21" s="18" t="n">
        <v>2544.4</v>
      </c>
      <c r="O21" s="18" t="n">
        <v>2882.6</v>
      </c>
      <c r="P21" s="37" t="n">
        <v>2882.6</v>
      </c>
      <c r="Q21" s="18" t="n">
        <v>2316.57</v>
      </c>
      <c r="R21" s="18" t="n">
        <v>2461.18</v>
      </c>
      <c r="S21" s="18" t="n">
        <v>2689.66</v>
      </c>
      <c r="T21" s="18" t="n">
        <v>1967.58</v>
      </c>
      <c r="U21" s="37" t="n">
        <v>1967.58</v>
      </c>
      <c r="V21" s="18" t="n">
        <v>2803.15</v>
      </c>
      <c r="W21" s="18" t="n">
        <v>2987.19</v>
      </c>
      <c r="X21" s="18" t="n">
        <v>2908.61</v>
      </c>
      <c r="Y21" s="18" t="n">
        <v>3418.23</v>
      </c>
      <c r="Z21" s="37" t="n">
        <v>3418.23</v>
      </c>
      <c r="AA21" s="18" t="n">
        <v>2634.51</v>
      </c>
      <c r="AB21" s="19" t="n">
        <v>3522.74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241431.73</v>
      </c>
      <c r="F22" s="37" t="n">
        <v>241431.73</v>
      </c>
      <c r="G22" s="18" t="n">
        <v>236928.74</v>
      </c>
      <c r="H22" s="18" t="n">
        <v>238045.93</v>
      </c>
      <c r="I22" s="18" t="n">
        <v>242021.41</v>
      </c>
      <c r="J22" s="18" t="n">
        <v>239085.99</v>
      </c>
      <c r="K22" s="37" t="n">
        <v>239085.99</v>
      </c>
      <c r="L22" s="18" t="n">
        <v>245766.22</v>
      </c>
      <c r="M22" s="18" t="n">
        <v>259016.44</v>
      </c>
      <c r="N22" s="18" t="n">
        <v>261330.87</v>
      </c>
      <c r="O22" s="18" t="n">
        <v>275699.82</v>
      </c>
      <c r="P22" s="37" t="n">
        <v>275699.82</v>
      </c>
      <c r="Q22" s="18" t="n">
        <v>276591.11</v>
      </c>
      <c r="R22" s="18" t="n">
        <v>283216.57</v>
      </c>
      <c r="S22" s="18" t="n">
        <v>280780.74</v>
      </c>
      <c r="T22" s="18" t="n">
        <v>289770.81</v>
      </c>
      <c r="U22" s="37" t="n">
        <v>289770.81</v>
      </c>
      <c r="V22" s="18" t="n">
        <v>291838.36</v>
      </c>
      <c r="W22" s="18" t="n">
        <v>297235.91</v>
      </c>
      <c r="X22" s="18" t="n">
        <v>299316.59</v>
      </c>
      <c r="Y22" s="18" t="n">
        <v>300149.59</v>
      </c>
      <c r="Z22" s="37" t="n">
        <v>300149.59</v>
      </c>
      <c r="AA22" s="18" t="n">
        <v>312984.1</v>
      </c>
      <c r="AB22" s="19" t="n">
        <v>330570.96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23726.09</v>
      </c>
      <c r="F23" s="37" t="n">
        <v>23726.09</v>
      </c>
      <c r="G23" s="18" t="n">
        <v>21903.97</v>
      </c>
      <c r="H23" s="18" t="n">
        <v>24245.92</v>
      </c>
      <c r="I23" s="18" t="n">
        <v>26466.13</v>
      </c>
      <c r="J23" s="18" t="n">
        <v>30018</v>
      </c>
      <c r="K23" s="37" t="n">
        <v>30018</v>
      </c>
      <c r="L23" s="18" t="n">
        <v>35307.28</v>
      </c>
      <c r="M23" s="18" t="n">
        <v>48152.46</v>
      </c>
      <c r="N23" s="18" t="n">
        <v>47989.91</v>
      </c>
      <c r="O23" s="18" t="n">
        <v>59956.38</v>
      </c>
      <c r="P23" s="37" t="n">
        <v>59956.38</v>
      </c>
      <c r="Q23" s="18" t="n">
        <v>57239.05</v>
      </c>
      <c r="R23" s="18" t="n">
        <v>59647.1</v>
      </c>
      <c r="S23" s="18" t="n">
        <v>55010.77</v>
      </c>
      <c r="T23" s="18" t="n">
        <v>54592.39</v>
      </c>
      <c r="U23" s="37" t="n">
        <v>54592.39</v>
      </c>
      <c r="V23" s="18" t="n">
        <v>52506.68</v>
      </c>
      <c r="W23" s="18" t="n">
        <v>53217.08</v>
      </c>
      <c r="X23" s="18" t="n">
        <v>47531.54</v>
      </c>
      <c r="Y23" s="18" t="n">
        <v>41767.89</v>
      </c>
      <c r="Z23" s="37" t="n">
        <v>41767.89</v>
      </c>
      <c r="AA23" s="18" t="n">
        <v>49737.36</v>
      </c>
      <c r="AB23" s="19" t="n">
        <v>59055.91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12528.12</v>
      </c>
      <c r="F24" s="37" t="n">
        <v>12528.12</v>
      </c>
      <c r="G24" s="18" t="n">
        <v>12527.52</v>
      </c>
      <c r="H24" s="18" t="n">
        <v>11542.38</v>
      </c>
      <c r="I24" s="18" t="n">
        <v>12005.87</v>
      </c>
      <c r="J24" s="18" t="n">
        <v>10024.45</v>
      </c>
      <c r="K24" s="37" t="n">
        <v>10024.45</v>
      </c>
      <c r="L24" s="18" t="n">
        <v>12301.5</v>
      </c>
      <c r="M24" s="18" t="n">
        <v>13375.88</v>
      </c>
      <c r="N24" s="18" t="n">
        <v>13126.53</v>
      </c>
      <c r="O24" s="18" t="n">
        <v>16048.64</v>
      </c>
      <c r="P24" s="37" t="n">
        <v>16048.64</v>
      </c>
      <c r="Q24" s="18" t="n">
        <v>14694.96</v>
      </c>
      <c r="R24" s="18" t="n">
        <v>15453.44</v>
      </c>
      <c r="S24" s="18" t="n">
        <v>14105.37</v>
      </c>
      <c r="T24" s="18" t="n">
        <v>17868.25</v>
      </c>
      <c r="U24" s="37" t="n">
        <v>17868.25</v>
      </c>
      <c r="V24" s="18" t="n">
        <v>18520.94</v>
      </c>
      <c r="W24" s="18" t="n">
        <v>22080.58</v>
      </c>
      <c r="X24" s="18" t="n">
        <v>18905.12</v>
      </c>
      <c r="Y24" s="18" t="n">
        <v>16596.13</v>
      </c>
      <c r="Z24" s="37" t="n">
        <v>16596.13</v>
      </c>
      <c r="AA24" s="18" t="n">
        <v>26542.28</v>
      </c>
      <c r="AB24" s="19" t="n">
        <v>23857.82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197.24</v>
      </c>
      <c r="F25" s="37" t="n">
        <v>197.24</v>
      </c>
      <c r="G25" s="18" t="n">
        <v>193.24</v>
      </c>
      <c r="H25" s="18" t="n">
        <v>189.25</v>
      </c>
      <c r="I25" s="18" t="n">
        <v>185.25</v>
      </c>
      <c r="J25" s="18" t="n">
        <v>180.62</v>
      </c>
      <c r="K25" s="37" t="n">
        <v>180.62</v>
      </c>
      <c r="L25" s="18" t="n">
        <v>181.78</v>
      </c>
      <c r="M25" s="18" t="n">
        <v>182.96</v>
      </c>
      <c r="N25" s="18" t="n">
        <v>184.14</v>
      </c>
      <c r="O25" s="18" t="n">
        <v>185.33</v>
      </c>
      <c r="P25" s="37" t="n">
        <v>185.33</v>
      </c>
      <c r="Q25" s="18" t="n">
        <v>186.52</v>
      </c>
      <c r="R25" s="18" t="n">
        <v>187.73</v>
      </c>
      <c r="S25" s="18" t="n">
        <v>188.94</v>
      </c>
      <c r="T25" s="18" t="n">
        <v>194.52</v>
      </c>
      <c r="U25" s="37" t="n">
        <v>194.52</v>
      </c>
      <c r="V25" s="18" t="n">
        <v>144.01</v>
      </c>
      <c r="W25" s="18" t="n">
        <v>90.75</v>
      </c>
      <c r="X25" s="18" t="n">
        <v>35.06</v>
      </c>
      <c r="Y25" s="18" t="n">
        <v>228.13</v>
      </c>
      <c r="Z25" s="37" t="n">
        <v>228.13</v>
      </c>
      <c r="AA25" s="18" t="n">
        <v>221.64</v>
      </c>
      <c r="AB25" s="19" t="n">
        <v>241.13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721.3099999999999</v>
      </c>
      <c r="F26" s="37" t="n">
        <v>721.3099999999999</v>
      </c>
      <c r="G26" s="18" t="n">
        <v>672.59</v>
      </c>
      <c r="H26" s="18" t="n">
        <v>623.59</v>
      </c>
      <c r="I26" s="18" t="n">
        <v>574.3</v>
      </c>
      <c r="J26" s="18" t="n">
        <v>524.0700000000001</v>
      </c>
      <c r="K26" s="37" t="n">
        <v>524.0700000000001</v>
      </c>
      <c r="L26" s="18" t="n">
        <v>479.35</v>
      </c>
      <c r="M26" s="18" t="n">
        <v>434.35</v>
      </c>
      <c r="N26" s="18" t="n">
        <v>389.05</v>
      </c>
      <c r="O26" s="18" t="n">
        <v>343.46</v>
      </c>
      <c r="P26" s="37" t="n">
        <v>343.46</v>
      </c>
      <c r="Q26" s="18" t="n">
        <v>297.56</v>
      </c>
      <c r="R26" s="18" t="n">
        <v>251.39</v>
      </c>
      <c r="S26" s="18" t="n">
        <v>204.91</v>
      </c>
      <c r="T26" s="18" t="n">
        <v>204.35</v>
      </c>
      <c r="U26" s="37" t="n">
        <v>204.35</v>
      </c>
      <c r="V26" s="18" t="n">
        <v>148.34</v>
      </c>
      <c r="W26" s="18" t="n">
        <v>91.91</v>
      </c>
      <c r="X26" s="18" t="n">
        <v>35.06</v>
      </c>
      <c r="Y26" s="18" t="n">
        <v>391.5</v>
      </c>
      <c r="Z26" s="37" t="n">
        <v>391.5</v>
      </c>
      <c r="AA26" s="18" t="n">
        <v>332.21</v>
      </c>
      <c r="AB26" s="19" t="n">
        <v>334.56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197.24</v>
      </c>
      <c r="F27" s="37" t="n">
        <v>197.24</v>
      </c>
      <c r="G27" s="18" t="n">
        <v>193.24</v>
      </c>
      <c r="H27" s="18" t="n">
        <v>189.25</v>
      </c>
      <c r="I27" s="18" t="n">
        <v>185.25</v>
      </c>
      <c r="J27" s="18" t="n">
        <v>180.62</v>
      </c>
      <c r="K27" s="37" t="n">
        <v>180.62</v>
      </c>
      <c r="L27" s="18" t="n">
        <v>181.78</v>
      </c>
      <c r="M27" s="18" t="n">
        <v>182.96</v>
      </c>
      <c r="N27" s="18" t="n">
        <v>184.14</v>
      </c>
      <c r="O27" s="18" t="n">
        <v>185.33</v>
      </c>
      <c r="P27" s="37" t="n">
        <v>185.33</v>
      </c>
      <c r="Q27" s="18" t="n">
        <v>186.52</v>
      </c>
      <c r="R27" s="18" t="n">
        <v>187.73</v>
      </c>
      <c r="S27" s="18" t="n">
        <v>188.94</v>
      </c>
      <c r="T27" s="18" t="n">
        <v>194.52</v>
      </c>
      <c r="U27" s="37" t="n">
        <v>194.52</v>
      </c>
      <c r="V27" s="18" t="n">
        <v>144.01</v>
      </c>
      <c r="W27" s="18" t="n">
        <v>90.75</v>
      </c>
      <c r="X27" s="18" t="n">
        <v>35.06</v>
      </c>
      <c r="Y27" s="18" t="n">
        <v>228.13</v>
      </c>
      <c r="Z27" s="37" t="n">
        <v>228.13</v>
      </c>
      <c r="AA27" s="18" t="n">
        <v>221.64</v>
      </c>
      <c r="AB27" s="19" t="n">
        <v>241.13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0</v>
      </c>
      <c r="F28" s="37" t="n">
        <v>0</v>
      </c>
      <c r="J28" s="18" t="n">
        <v>0</v>
      </c>
      <c r="K28" s="37" t="n">
        <v>0</v>
      </c>
      <c r="L28" s="18" t="n">
        <v>0</v>
      </c>
      <c r="P28" s="9" t="n"/>
      <c r="Q28" s="18" t="n">
        <v>178.14</v>
      </c>
      <c r="R28" s="18" t="n">
        <v>1109.07</v>
      </c>
      <c r="S28" s="18" t="n">
        <v>1640.07</v>
      </c>
      <c r="T28" s="18" t="n">
        <v>3186.94</v>
      </c>
      <c r="U28" s="37" t="n">
        <v>3186.94</v>
      </c>
      <c r="V28" s="18" t="n">
        <v>3841.17</v>
      </c>
      <c r="W28" s="18" t="n">
        <v>2948.23</v>
      </c>
      <c r="X28" s="18" t="n">
        <v>4204.01</v>
      </c>
      <c r="Y28" s="18" t="n">
        <v>5509.96</v>
      </c>
      <c r="Z28" s="37" t="n">
        <v>5509.96</v>
      </c>
      <c r="AA28" s="18" t="n">
        <v>4009.33</v>
      </c>
      <c r="AB28" s="19" t="n">
        <v>3723.49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834.0700000000001</v>
      </c>
      <c r="F29" s="37" t="n">
        <v>834.0700000000001</v>
      </c>
      <c r="G29" s="18" t="n">
        <v>789.35</v>
      </c>
      <c r="H29" s="18" t="n">
        <v>822.34</v>
      </c>
      <c r="I29" s="18" t="n">
        <v>777.05</v>
      </c>
      <c r="J29" s="18" t="n">
        <v>911.04</v>
      </c>
      <c r="K29" s="37" t="n">
        <v>911.04</v>
      </c>
      <c r="L29" s="18" t="n">
        <v>912.21</v>
      </c>
      <c r="M29" s="18" t="n">
        <v>913.0700000000001</v>
      </c>
      <c r="N29" s="18" t="n">
        <v>913.64</v>
      </c>
      <c r="O29" s="18" t="n">
        <v>928.1799999999999</v>
      </c>
      <c r="P29" s="37" t="n">
        <v>928.1799999999999</v>
      </c>
      <c r="Q29" s="18" t="n">
        <v>913.22</v>
      </c>
      <c r="R29" s="18" t="n">
        <v>897.95</v>
      </c>
      <c r="S29" s="18" t="n">
        <v>882.38</v>
      </c>
      <c r="T29" s="18" t="n">
        <v>900.88</v>
      </c>
      <c r="U29" s="37" t="n">
        <v>900.88</v>
      </c>
      <c r="V29" s="18" t="n">
        <v>895.38</v>
      </c>
      <c r="W29" s="18" t="n">
        <v>814.22</v>
      </c>
      <c r="X29" s="18" t="n">
        <v>813.05</v>
      </c>
      <c r="Y29" s="18" t="n">
        <v>1012.33</v>
      </c>
      <c r="Z29" s="37" t="n">
        <v>1012.33</v>
      </c>
      <c r="AA29" s="18" t="n">
        <v>939.53</v>
      </c>
      <c r="AB29" s="19" t="n">
        <v>997.59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310</v>
      </c>
      <c r="F30" s="37" t="n">
        <v>310</v>
      </c>
      <c r="G30" s="18" t="n">
        <v>310</v>
      </c>
      <c r="H30" s="18" t="n">
        <v>388</v>
      </c>
      <c r="I30" s="18" t="n">
        <v>388</v>
      </c>
      <c r="J30" s="18" t="n">
        <v>388</v>
      </c>
      <c r="K30" s="37" t="n">
        <v>388</v>
      </c>
      <c r="L30" s="18" t="n">
        <v>388</v>
      </c>
      <c r="M30" s="18" t="n">
        <v>388</v>
      </c>
      <c r="P30" s="9" t="n"/>
      <c r="U30" s="9" t="n"/>
      <c r="Y30" s="18" t="n">
        <v>290</v>
      </c>
      <c r="Z30" s="37" t="n">
        <v>290</v>
      </c>
      <c r="AA30" s="18" t="n">
        <v>270</v>
      </c>
      <c r="AB30" s="19" t="n">
        <v>360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834.0700000000001</v>
      </c>
      <c r="F31" s="37" t="n">
        <v>834.0700000000001</v>
      </c>
      <c r="G31" s="18" t="n">
        <v>789.35</v>
      </c>
      <c r="H31" s="18" t="n">
        <v>822.34</v>
      </c>
      <c r="I31" s="18" t="n">
        <v>777.05</v>
      </c>
      <c r="J31" s="18" t="n">
        <v>731.45</v>
      </c>
      <c r="K31" s="37" t="n">
        <v>731.45</v>
      </c>
      <c r="L31" s="18" t="n">
        <v>685.5700000000001</v>
      </c>
      <c r="M31" s="18" t="n">
        <v>639.39</v>
      </c>
      <c r="N31" s="18" t="n">
        <v>204.91</v>
      </c>
      <c r="O31" s="18" t="n">
        <v>158.13</v>
      </c>
      <c r="P31" s="37" t="n">
        <v>158.13</v>
      </c>
      <c r="Q31" s="18" t="n">
        <v>111.04</v>
      </c>
      <c r="R31" s="18" t="n">
        <v>63.66</v>
      </c>
      <c r="S31" s="18" t="n">
        <v>15.97</v>
      </c>
      <c r="T31" s="18" t="n">
        <v>9.83</v>
      </c>
      <c r="U31" s="37" t="n">
        <v>9.83</v>
      </c>
      <c r="V31" s="18" t="n">
        <v>4.33</v>
      </c>
      <c r="W31" s="18" t="n">
        <v>1.16</v>
      </c>
      <c r="X31" s="18" t="n">
        <v>0</v>
      </c>
      <c r="Y31" s="18" t="n">
        <v>453.37</v>
      </c>
      <c r="Z31" s="37" t="n">
        <v>453.37</v>
      </c>
      <c r="AA31" s="18" t="n">
        <v>380.57</v>
      </c>
      <c r="AB31" s="19" t="n">
        <v>453.43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343.45</v>
      </c>
      <c r="K32" s="37" t="n">
        <v>343.45</v>
      </c>
      <c r="L32" s="18" t="n">
        <v>297.57</v>
      </c>
      <c r="M32" s="18" t="n">
        <v>251.39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24560.17</v>
      </c>
      <c r="F33" s="37" t="n">
        <v>24560.17</v>
      </c>
      <c r="G33" s="18" t="n">
        <v>22693.32</v>
      </c>
      <c r="H33" s="18" t="n">
        <v>25068.26</v>
      </c>
      <c r="I33" s="18" t="n">
        <v>27243.18</v>
      </c>
      <c r="J33" s="18" t="n">
        <v>30929.05</v>
      </c>
      <c r="K33" s="37" t="n">
        <v>30929.05</v>
      </c>
      <c r="L33" s="18" t="n">
        <v>36219.49</v>
      </c>
      <c r="M33" s="18" t="n">
        <v>49065.53</v>
      </c>
      <c r="N33" s="18" t="n">
        <v>48903.56</v>
      </c>
      <c r="O33" s="18" t="n">
        <v>60884.57</v>
      </c>
      <c r="P33" s="37" t="n">
        <v>60884.57</v>
      </c>
      <c r="Q33" s="18" t="n">
        <v>58152.27</v>
      </c>
      <c r="R33" s="18" t="n">
        <v>60545.06</v>
      </c>
      <c r="S33" s="18" t="n">
        <v>55893.15</v>
      </c>
      <c r="T33" s="18" t="n">
        <v>55493.28</v>
      </c>
      <c r="U33" s="37" t="n">
        <v>55493.28</v>
      </c>
      <c r="V33" s="18" t="n">
        <v>53402.06</v>
      </c>
      <c r="W33" s="18" t="n">
        <v>54031.3</v>
      </c>
      <c r="X33" s="18" t="n">
        <v>48344.6</v>
      </c>
      <c r="Y33" s="18" t="n">
        <v>42780.22</v>
      </c>
      <c r="Z33" s="37" t="n">
        <v>42780.22</v>
      </c>
      <c r="AA33" s="18" t="n">
        <v>50676.89</v>
      </c>
      <c r="AB33" s="19" t="n">
        <v>60053.51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4783.67</v>
      </c>
      <c r="F34" s="37" t="n">
        <v>4783.67</v>
      </c>
      <c r="G34" s="18" t="n">
        <v>4783.67</v>
      </c>
      <c r="H34" s="18" t="n">
        <v>4783.67</v>
      </c>
      <c r="I34" s="18" t="n">
        <v>4783.67</v>
      </c>
      <c r="J34" s="18" t="n">
        <v>4783.67</v>
      </c>
      <c r="K34" s="37" t="n">
        <v>4783.67</v>
      </c>
      <c r="L34" s="18" t="n">
        <v>4783.67</v>
      </c>
      <c r="M34" s="18" t="n">
        <v>4783.67</v>
      </c>
      <c r="N34" s="18" t="n">
        <v>4783.67</v>
      </c>
      <c r="O34" s="18" t="n">
        <v>4783.67</v>
      </c>
      <c r="P34" s="37" t="n">
        <v>4783.67</v>
      </c>
      <c r="Q34" s="18" t="n">
        <v>4783.67</v>
      </c>
      <c r="R34" s="18" t="n">
        <v>4783.67</v>
      </c>
      <c r="S34" s="18" t="n">
        <v>4783.67</v>
      </c>
      <c r="T34" s="18" t="n">
        <v>4783.67</v>
      </c>
      <c r="U34" s="37" t="n">
        <v>4783.67</v>
      </c>
      <c r="V34" s="18" t="n">
        <v>4783.67</v>
      </c>
      <c r="W34" s="18" t="n">
        <v>4783.67</v>
      </c>
      <c r="X34" s="18" t="n">
        <v>4783.67</v>
      </c>
      <c r="Y34" s="18" t="n">
        <v>4783.67</v>
      </c>
      <c r="Z34" s="37" t="n">
        <v>4783.67</v>
      </c>
      <c r="AA34" s="18" t="n">
        <v>4783.67</v>
      </c>
      <c r="AB34" s="19" t="n">
        <v>4783.67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24958.68</v>
      </c>
      <c r="F35" s="37" t="n">
        <v>24958.68</v>
      </c>
      <c r="G35" s="18" t="n">
        <v>24974.84</v>
      </c>
      <c r="H35" s="18" t="n">
        <v>24977.78</v>
      </c>
      <c r="I35" s="18" t="n">
        <v>24977.78</v>
      </c>
      <c r="J35" s="18" t="n">
        <v>24978.48</v>
      </c>
      <c r="K35" s="37" t="n">
        <v>24978.48</v>
      </c>
      <c r="L35" s="18" t="n">
        <v>25026.82</v>
      </c>
      <c r="M35" s="18" t="n">
        <v>25034.91</v>
      </c>
      <c r="N35" s="18" t="n">
        <v>25034.91</v>
      </c>
      <c r="O35" s="18" t="n">
        <v>25035.47</v>
      </c>
      <c r="P35" s="37" t="n">
        <v>25035.47</v>
      </c>
      <c r="Q35" s="18" t="n">
        <v>25048.84</v>
      </c>
      <c r="R35" s="18" t="n">
        <v>25053.11</v>
      </c>
      <c r="S35" s="18" t="n">
        <v>25053.11</v>
      </c>
      <c r="T35" s="18" t="n">
        <v>25053.11</v>
      </c>
      <c r="U35" s="37" t="n">
        <v>25053.11</v>
      </c>
      <c r="V35" s="18" t="n">
        <v>25053.11</v>
      </c>
      <c r="W35" s="18" t="n">
        <v>25086.07</v>
      </c>
      <c r="X35" s="18" t="n">
        <v>25086.07</v>
      </c>
      <c r="Y35" s="18" t="n">
        <v>25272.22</v>
      </c>
      <c r="Z35" s="37" t="n">
        <v>25272.22</v>
      </c>
      <c r="AA35" s="18" t="n">
        <v>25272.22</v>
      </c>
      <c r="AB35" s="19" t="n">
        <v>25536.36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-2586.62</v>
      </c>
      <c r="F36" s="37" t="n">
        <v>-2586.62</v>
      </c>
      <c r="G36" s="18" t="n">
        <v>-2597.23</v>
      </c>
      <c r="H36" s="18" t="n">
        <v>-2562.52</v>
      </c>
      <c r="I36" s="18" t="n">
        <v>-2554.74</v>
      </c>
      <c r="J36" s="18" t="n">
        <v>-2541.49</v>
      </c>
      <c r="K36" s="37" t="n">
        <v>-2541.49</v>
      </c>
      <c r="L36" s="18" t="n">
        <v>-2581.8</v>
      </c>
      <c r="M36" s="18" t="n">
        <v>-3490.35</v>
      </c>
      <c r="N36" s="18" t="n">
        <v>-3523.92</v>
      </c>
      <c r="O36" s="18" t="n">
        <v>-3508.07</v>
      </c>
      <c r="P36" s="37" t="n">
        <v>-3508.07</v>
      </c>
      <c r="Q36" s="18" t="n">
        <v>-3509.47</v>
      </c>
      <c r="R36" s="18" t="n">
        <v>-3471.66</v>
      </c>
      <c r="S36" s="18" t="n">
        <v>-3455.64</v>
      </c>
      <c r="T36" s="18" t="n">
        <v>-3436.7</v>
      </c>
      <c r="U36" s="37" t="n">
        <v>-3436.7</v>
      </c>
      <c r="V36" s="18" t="n">
        <v>-3419.11</v>
      </c>
      <c r="W36" s="18" t="n">
        <v>-3374.2</v>
      </c>
      <c r="X36" s="18" t="n">
        <v>-3334.46</v>
      </c>
      <c r="Y36" s="18" t="n">
        <v>-3296.14</v>
      </c>
      <c r="Z36" s="37" t="n">
        <v>-3296.14</v>
      </c>
      <c r="AA36" s="18" t="n">
        <v>-3296.14</v>
      </c>
      <c r="AB36" s="19" t="n">
        <v>-2920.76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9330.27</v>
      </c>
      <c r="F37" s="37" t="n">
        <v>9330.27</v>
      </c>
      <c r="G37" s="18" t="n">
        <v>9330.27</v>
      </c>
      <c r="H37" s="18" t="n">
        <v>9330.27</v>
      </c>
      <c r="I37" s="18" t="n">
        <v>9330.27</v>
      </c>
      <c r="J37" s="18" t="n">
        <v>9330.27</v>
      </c>
      <c r="K37" s="37" t="n">
        <v>9330.27</v>
      </c>
      <c r="L37" s="18" t="n">
        <v>9330.27</v>
      </c>
      <c r="M37" s="18" t="n">
        <v>9330.27</v>
      </c>
      <c r="N37" s="18" t="n">
        <v>9330.27</v>
      </c>
      <c r="O37" s="18" t="n">
        <v>9330.27</v>
      </c>
      <c r="P37" s="37" t="n">
        <v>9330.27</v>
      </c>
      <c r="Q37" s="18" t="n">
        <v>9330.27</v>
      </c>
      <c r="R37" s="18" t="n">
        <v>9330.27</v>
      </c>
      <c r="S37" s="18" t="n">
        <v>9330.27</v>
      </c>
      <c r="T37" s="18" t="n">
        <v>9330.27</v>
      </c>
      <c r="U37" s="37" t="n">
        <v>9330.27</v>
      </c>
      <c r="V37" s="18" t="n">
        <v>9330.27</v>
      </c>
      <c r="W37" s="18" t="n">
        <v>9330.27</v>
      </c>
      <c r="X37" s="18" t="n">
        <v>9330.27</v>
      </c>
      <c r="Y37" s="18" t="n">
        <v>9330.27</v>
      </c>
      <c r="Z37" s="37" t="n">
        <v>9330.27</v>
      </c>
      <c r="AA37" s="18" t="n">
        <v>9330.27</v>
      </c>
      <c r="AB37" s="19" t="n">
        <v>9330.27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180385.56</v>
      </c>
      <c r="F38" s="37" t="n">
        <v>180385.56</v>
      </c>
      <c r="G38" s="18" t="n">
        <v>177743.87</v>
      </c>
      <c r="H38" s="18" t="n">
        <v>176448.47</v>
      </c>
      <c r="I38" s="18" t="n">
        <v>178241.25</v>
      </c>
      <c r="J38" s="18" t="n">
        <v>171606.02</v>
      </c>
      <c r="K38" s="37" t="n">
        <v>171606.02</v>
      </c>
      <c r="L38" s="18" t="n">
        <v>172987.78</v>
      </c>
      <c r="M38" s="18" t="n">
        <v>174292.42</v>
      </c>
      <c r="N38" s="18" t="n">
        <v>176802.39</v>
      </c>
      <c r="O38" s="18" t="n">
        <v>179173.92</v>
      </c>
      <c r="P38" s="37" t="n">
        <v>179173.92</v>
      </c>
      <c r="Q38" s="18" t="n">
        <v>182785.54</v>
      </c>
      <c r="R38" s="18" t="n">
        <v>186976.13</v>
      </c>
      <c r="S38" s="18" t="n">
        <v>189176.18</v>
      </c>
      <c r="T38" s="18" t="n">
        <v>198547.19</v>
      </c>
      <c r="U38" s="37" t="n">
        <v>198547.19</v>
      </c>
      <c r="V38" s="18" t="n">
        <v>202688.36</v>
      </c>
      <c r="W38" s="18" t="n">
        <v>207378.81</v>
      </c>
      <c r="X38" s="18" t="n">
        <v>215106.46</v>
      </c>
      <c r="Y38" s="18" t="n">
        <v>221279.35</v>
      </c>
      <c r="Z38" s="37" t="n">
        <v>221279.35</v>
      </c>
      <c r="AA38" s="18" t="n">
        <v>226217.19</v>
      </c>
      <c r="AB38" s="19" t="n">
        <v>233787.92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216871.56</v>
      </c>
      <c r="F39" s="37" t="n">
        <v>216871.56</v>
      </c>
      <c r="G39" s="18" t="n">
        <v>214235.41</v>
      </c>
      <c r="H39" s="18" t="n">
        <v>212977.67</v>
      </c>
      <c r="I39" s="18" t="n">
        <v>214778.23</v>
      </c>
      <c r="J39" s="18" t="n">
        <v>208156.94</v>
      </c>
      <c r="K39" s="37" t="n">
        <v>208156.94</v>
      </c>
      <c r="L39" s="18" t="n">
        <v>209546.73</v>
      </c>
      <c r="M39" s="18" t="n">
        <v>209950.91</v>
      </c>
      <c r="N39" s="18" t="n">
        <v>212427.32</v>
      </c>
      <c r="O39" s="18" t="n">
        <v>214815.25</v>
      </c>
      <c r="P39" s="37" t="n">
        <v>214815.25</v>
      </c>
      <c r="Q39" s="18" t="n">
        <v>218438.84</v>
      </c>
      <c r="R39" s="18" t="n">
        <v>222671.51</v>
      </c>
      <c r="S39" s="18" t="n">
        <v>224887.59</v>
      </c>
      <c r="T39" s="18" t="n">
        <v>234277.53</v>
      </c>
      <c r="U39" s="37" t="n">
        <v>234277.53</v>
      </c>
      <c r="V39" s="18" t="n">
        <v>238436.3</v>
      </c>
      <c r="W39" s="18" t="n">
        <v>243204.61</v>
      </c>
      <c r="X39" s="18" t="n">
        <v>250972</v>
      </c>
      <c r="Y39" s="18" t="n">
        <v>257369.37</v>
      </c>
      <c r="Z39" s="37" t="n">
        <v>257369.37</v>
      </c>
      <c r="AA39" s="18" t="n">
        <v>262307.21</v>
      </c>
      <c r="AB39" s="19" t="n">
        <v>270517.45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241431.73</v>
      </c>
      <c r="F40" s="37" t="n">
        <v>241431.73</v>
      </c>
      <c r="G40" s="18" t="n">
        <v>236928.74</v>
      </c>
      <c r="H40" s="18" t="n">
        <v>238045.93</v>
      </c>
      <c r="I40" s="18" t="n">
        <v>242021.41</v>
      </c>
      <c r="J40" s="18" t="n">
        <v>239085.99</v>
      </c>
      <c r="K40" s="37" t="n">
        <v>239085.99</v>
      </c>
      <c r="L40" s="18" t="n">
        <v>245766.22</v>
      </c>
      <c r="M40" s="18" t="n">
        <v>259016.44</v>
      </c>
      <c r="N40" s="18" t="n">
        <v>261330.87</v>
      </c>
      <c r="O40" s="18" t="n">
        <v>275699.82</v>
      </c>
      <c r="P40" s="37" t="n">
        <v>275699.82</v>
      </c>
      <c r="Q40" s="18" t="n">
        <v>276591.11</v>
      </c>
      <c r="R40" s="18" t="n">
        <v>283216.57</v>
      </c>
      <c r="S40" s="18" t="n">
        <v>280780.74</v>
      </c>
      <c r="T40" s="18" t="n">
        <v>289770.81</v>
      </c>
      <c r="U40" s="37" t="n">
        <v>289770.81</v>
      </c>
      <c r="V40" s="18" t="n">
        <v>291838.36</v>
      </c>
      <c r="W40" s="18" t="n">
        <v>297235.91</v>
      </c>
      <c r="X40" s="18" t="n">
        <v>299316.59</v>
      </c>
      <c r="Y40" s="18" t="n">
        <v>300149.59</v>
      </c>
      <c r="Z40" s="37" t="n">
        <v>300149.59</v>
      </c>
      <c r="AA40" s="18" t="n">
        <v>312984.1</v>
      </c>
      <c r="AB40" s="19" t="n">
        <v>330570.96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216871.56</v>
      </c>
      <c r="F41" s="37" t="n">
        <v>216871.56</v>
      </c>
      <c r="G41" s="18" t="n">
        <v>214235.41</v>
      </c>
      <c r="H41" s="18" t="n">
        <v>212977.67</v>
      </c>
      <c r="I41" s="18" t="n">
        <v>214778.23</v>
      </c>
      <c r="J41" s="18" t="n">
        <v>208156.94</v>
      </c>
      <c r="K41" s="37" t="n">
        <v>208156.94</v>
      </c>
      <c r="L41" s="18" t="n">
        <v>209546.73</v>
      </c>
      <c r="M41" s="18" t="n">
        <v>209950.91</v>
      </c>
      <c r="N41" s="18" t="n">
        <v>212427.32</v>
      </c>
      <c r="O41" s="18" t="n">
        <v>214815.25</v>
      </c>
      <c r="P41" s="37" t="n">
        <v>214815.25</v>
      </c>
      <c r="Q41" s="18" t="n">
        <v>218438.84</v>
      </c>
      <c r="R41" s="18" t="n">
        <v>222671.51</v>
      </c>
      <c r="S41" s="18" t="n">
        <v>224887.59</v>
      </c>
      <c r="T41" s="18" t="n">
        <v>234277.53</v>
      </c>
      <c r="U41" s="37" t="n">
        <v>234277.53</v>
      </c>
      <c r="V41" s="18" t="n">
        <v>238436.3</v>
      </c>
      <c r="W41" s="18" t="n">
        <v>243204.61</v>
      </c>
      <c r="X41" s="18" t="n">
        <v>250972</v>
      </c>
      <c r="Y41" s="18" t="n">
        <v>257369.37</v>
      </c>
      <c r="Z41" s="37" t="n">
        <v>257369.37</v>
      </c>
      <c r="AA41" s="18" t="n">
        <v>262307.21</v>
      </c>
      <c r="AB41" s="19" t="n">
        <v>270517.45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76187.85000000001</v>
      </c>
      <c r="F42" s="37" t="n">
        <v>76187.85000000001</v>
      </c>
      <c r="G42" s="18" t="n">
        <v>65945.87</v>
      </c>
      <c r="H42" s="18" t="n">
        <v>63534.99</v>
      </c>
      <c r="I42" s="18" t="n">
        <v>66608.57000000001</v>
      </c>
      <c r="J42" s="18" t="n">
        <v>62507.99</v>
      </c>
      <c r="K42" s="37" t="n">
        <v>62507.99</v>
      </c>
      <c r="L42" s="18" t="n">
        <v>62088.37</v>
      </c>
      <c r="M42" s="18" t="n">
        <v>67937.35000000001</v>
      </c>
      <c r="N42" s="18" t="n">
        <v>62867.69</v>
      </c>
      <c r="O42" s="18" t="n">
        <v>76157.02</v>
      </c>
      <c r="P42" s="37" t="n">
        <v>76157.02</v>
      </c>
      <c r="Q42" s="18" t="n">
        <v>71189.73</v>
      </c>
      <c r="R42" s="18" t="n">
        <v>76236.34</v>
      </c>
      <c r="S42" s="18" t="n">
        <v>76464.88</v>
      </c>
      <c r="T42" s="18" t="n">
        <v>71808.44</v>
      </c>
      <c r="U42" s="37" t="n">
        <v>71808.44</v>
      </c>
      <c r="V42" s="18" t="n">
        <v>59263.52</v>
      </c>
      <c r="W42" s="18" t="n">
        <v>39374.18</v>
      </c>
      <c r="X42" s="18" t="n">
        <v>47603.61</v>
      </c>
      <c r="Y42" s="18" t="n">
        <v>53209.79</v>
      </c>
      <c r="Z42" s="37" t="n">
        <v>53209.79</v>
      </c>
      <c r="AA42" s="18" t="n">
        <v>48668.38</v>
      </c>
      <c r="AB42" s="19" t="n">
        <v>42721.37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F43" s="9" t="n"/>
      <c r="K43" s="9" t="n"/>
      <c r="N43" s="18" t="n">
        <v>388</v>
      </c>
      <c r="O43" s="18" t="n">
        <v>368</v>
      </c>
      <c r="P43" s="37" t="n">
        <v>368</v>
      </c>
      <c r="Q43" s="18" t="n">
        <v>368</v>
      </c>
      <c r="R43" s="18" t="n">
        <v>368</v>
      </c>
      <c r="S43" s="18" t="n">
        <v>368</v>
      </c>
      <c r="T43" s="18" t="n">
        <v>368</v>
      </c>
      <c r="U43" s="37" t="n">
        <v>368</v>
      </c>
      <c r="V43" s="18" t="n">
        <v>368</v>
      </c>
      <c r="W43" s="18" t="n">
        <v>290</v>
      </c>
      <c r="X43" s="18" t="n">
        <v>290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기타유동자산</t>
        </is>
      </c>
      <c r="F44" s="9" t="n"/>
      <c r="K44" s="9" t="n"/>
      <c r="P44" s="9" t="n"/>
      <c r="U44" s="9" t="n"/>
      <c r="Y44" s="18" t="n">
        <v>14318.03</v>
      </c>
      <c r="Z44" s="37" t="n">
        <v>14318.03</v>
      </c>
      <c r="AA44" s="18" t="n">
        <v>16075.42</v>
      </c>
      <c r="AB44" s="19" t="n">
        <v>12112.62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U45" s="9" t="n"/>
      <c r="Y45" s="18" t="n">
        <v>401.66</v>
      </c>
      <c r="Z45" s="37" t="n">
        <v>401.66</v>
      </c>
      <c r="AA45" s="18" t="n">
        <v>337.07</v>
      </c>
      <c r="AB45" s="19" t="n">
        <v>360.87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K46" s="9" t="n"/>
      <c r="P46" s="9" t="n"/>
      <c r="U46" s="9" t="n"/>
      <c r="Y46" s="18" t="n">
        <v>401.66</v>
      </c>
      <c r="Z46" s="37" t="n">
        <v>401.66</v>
      </c>
      <c r="AA46" s="18" t="n">
        <v>337.07</v>
      </c>
      <c r="AB46" s="19" t="n">
        <v>360.87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기타유동부채</t>
        </is>
      </c>
      <c r="F47" s="9" t="n"/>
      <c r="K47" s="9" t="n"/>
      <c r="P47" s="9" t="n"/>
      <c r="U47" s="9" t="n"/>
      <c r="Y47" s="18" t="n">
        <v>19433.67</v>
      </c>
      <c r="Z47" s="37" t="n">
        <v>19433.67</v>
      </c>
      <c r="AA47" s="18" t="n">
        <v>18964.12</v>
      </c>
      <c r="AB47" s="19" t="n">
        <v>31233.47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7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7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7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7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7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7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7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7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7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7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7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7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7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7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7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7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7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7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7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7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7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7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7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7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7" t="n">
        <v>413.99</v>
      </c>
      <c r="L54" s="18" t="n">
        <v>4.32</v>
      </c>
      <c r="M54" s="18" t="n">
        <v>501.45</v>
      </c>
      <c r="N54" s="18" t="n">
        <v>2.85</v>
      </c>
      <c r="O54" s="18" t="n">
        <v>547.01</v>
      </c>
      <c r="P54" s="37" t="n">
        <v>1055.63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7" t="n">
        <v>20.08</v>
      </c>
      <c r="V54" s="18" t="n">
        <v>38.95</v>
      </c>
      <c r="W54" s="18" t="n">
        <v>435.88</v>
      </c>
      <c r="X54" s="18" t="n">
        <v>18.44</v>
      </c>
      <c r="Y54" s="18" t="n">
        <v>-354.21</v>
      </c>
      <c r="Z54" s="37" t="n">
        <v>139.06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7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7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7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7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7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7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7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7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7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7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7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7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7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7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7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7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7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7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7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7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7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7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7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7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7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7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7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7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7" t="n">
        <v>819.87</v>
      </c>
      <c r="L62" s="18" t="n">
        <v>353.96</v>
      </c>
      <c r="M62" s="18" t="n">
        <v>-194.32</v>
      </c>
      <c r="N62" s="18" t="n">
        <v>506.35</v>
      </c>
      <c r="O62" s="18" t="n">
        <v>-164.21</v>
      </c>
      <c r="P62" s="37" t="n">
        <v>501.78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7" t="n">
        <v>1485.78</v>
      </c>
      <c r="V62" s="18" t="n">
        <v>585.01</v>
      </c>
      <c r="W62" s="18" t="n">
        <v>82.95</v>
      </c>
      <c r="X62" s="18" t="n">
        <v>823.28</v>
      </c>
      <c r="Y62" s="18" t="n">
        <v>1214.4</v>
      </c>
      <c r="Z62" s="37" t="n">
        <v>2705.64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7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7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7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7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7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7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7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7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7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7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7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7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7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7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7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7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7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7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7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7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7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7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7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7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7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7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7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7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7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7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7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7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7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7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7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7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7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7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7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7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7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7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7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7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7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7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7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7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7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7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7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7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7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7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7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IFERROR((AB24*변수!$D$49)/4,"")</f>
        <v/>
      </c>
      <c r="AD12" s="20">
        <f>IFERROR((AC24*변수!$D$49)/4,"")</f>
        <v/>
      </c>
      <c r="AE12" s="38">
        <f>SUM(AA12:AD12)</f>
        <v/>
      </c>
      <c r="AF12" s="20">
        <f>IFERROR((AD24*변수!$D$49)/4,"")</f>
        <v/>
      </c>
      <c r="AG12" s="20">
        <f>IFERROR((AF24*변수!$D$49)/4,"")</f>
        <v/>
      </c>
      <c r="AH12" s="20">
        <f>IFERROR((AG24*변수!$D$49)/4,"")</f>
        <v/>
      </c>
      <c r="AI12" s="20">
        <f>IFERROR((AH24*변수!$D$49)/4,"")</f>
        <v/>
      </c>
      <c r="AJ12" s="38">
        <f>SUM(AF12:AI12)</f>
        <v/>
      </c>
      <c r="AK12" s="20">
        <f>IFERROR((AI24*변수!$D$49)/4,"")</f>
        <v/>
      </c>
      <c r="AL12" s="20">
        <f>IFERROR((AK24*변수!$D$49)/4,"")</f>
        <v/>
      </c>
      <c r="AM12" s="20">
        <f>IFERROR((AL24*변수!$D$49)/4,"")</f>
        <v/>
      </c>
      <c r="AN12" s="20">
        <f>IFERROR((AM24*변수!$D$49)/4,"")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7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변수!AC27</f>
        <v/>
      </c>
      <c r="AD18" s="20">
        <f>변수!AD27</f>
        <v/>
      </c>
      <c r="AE18" s="38">
        <f>SUM(AA18:AD18)</f>
        <v/>
      </c>
      <c r="AF18" s="20">
        <f>변수!AF27</f>
        <v/>
      </c>
      <c r="AG18" s="20">
        <f>변수!AG27</f>
        <v/>
      </c>
      <c r="AH18" s="20">
        <f>변수!AH27</f>
        <v/>
      </c>
      <c r="AI18" s="20">
        <f>변수!AI27</f>
        <v/>
      </c>
      <c r="AJ18" s="38">
        <f>SUM(AF18:AI18)</f>
        <v/>
      </c>
      <c r="AK18" s="20">
        <f>변수!AK27</f>
        <v/>
      </c>
      <c r="AL18" s="20">
        <f>변수!AL27</f>
        <v/>
      </c>
      <c r="AM18" s="20">
        <f>변수!AM27</f>
        <v/>
      </c>
      <c r="AN18" s="20">
        <f>변수!AN27</f>
        <v/>
      </c>
      <c r="AO18" s="38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7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7">
        <f>SUM(G19:J19)</f>
        <v/>
      </c>
      <c r="L19" s="18" t="n">
        <v>0.88</v>
      </c>
      <c r="M19" s="18" t="n">
        <v>12.93</v>
      </c>
      <c r="N19" s="18" t="n"/>
      <c r="O19" s="18" t="n"/>
      <c r="P19" s="37">
        <f>SUM(L19:O19)</f>
        <v/>
      </c>
      <c r="Q19" s="18" t="n"/>
      <c r="R19" s="18" t="n"/>
      <c r="S19" s="18" t="n">
        <v>41.9</v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IFERROR(AC9+AC18,"")</f>
        <v/>
      </c>
      <c r="AD19" s="20">
        <f>IFERROR(AD9+AD18,"")</f>
        <v/>
      </c>
      <c r="AE19" s="38">
        <f>SUM(AA19:AD19)</f>
        <v/>
      </c>
      <c r="AF19" s="20">
        <f>IFERROR(AF9+AF18,"")</f>
        <v/>
      </c>
      <c r="AG19" s="20">
        <f>IFERROR(AG9+AG18,"")</f>
        <v/>
      </c>
      <c r="AH19" s="20">
        <f>IFERROR(AH9+AH18,"")</f>
        <v/>
      </c>
      <c r="AI19" s="20">
        <f>IFERROR(AI9+AI18,"")</f>
        <v/>
      </c>
      <c r="AJ19" s="38">
        <f>SUM(AF19:AI19)</f>
        <v/>
      </c>
      <c r="AK19" s="20">
        <f>IFERROR(AK9+AK18,"")</f>
        <v/>
      </c>
      <c r="AL19" s="20">
        <f>IFERROR(AL9+AL18,"")</f>
        <v/>
      </c>
      <c r="AM19" s="20">
        <f>IFERROR(AM9+AM18,"")</f>
        <v/>
      </c>
      <c r="AN19" s="20">
        <f>IFERROR(AN9+AN18,"")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IFERROR(AB21*(1+변수!AC28),"")</f>
        <v/>
      </c>
      <c r="AD21" s="20">
        <f>IFERROR(AC21*(1+변수!AD28),"")</f>
        <v/>
      </c>
      <c r="AE21" s="38">
        <f>AD21</f>
        <v/>
      </c>
      <c r="AF21" s="20">
        <f>IFERROR(AD21*(1+변수!AF28),"")</f>
        <v/>
      </c>
      <c r="AG21" s="20">
        <f>IFERROR(AF21*(1+변수!AG28),"")</f>
        <v/>
      </c>
      <c r="AH21" s="20">
        <f>IFERROR(AG21*(1+변수!AH28),"")</f>
        <v/>
      </c>
      <c r="AI21" s="20">
        <f>IFERROR(AH21*(1+변수!AI28),"")</f>
        <v/>
      </c>
      <c r="AJ21" s="38">
        <f>AI21</f>
        <v/>
      </c>
      <c r="AK21" s="20">
        <f>IFERROR(AI21*(1+변수!AK28),"")</f>
        <v/>
      </c>
      <c r="AL21" s="20">
        <f>IFERROR(AK21*(1+변수!AL28),"")</f>
        <v/>
      </c>
      <c r="AM21" s="20">
        <f>IFERROR(AL21*(1+변수!AM28),"")</f>
        <v/>
      </c>
      <c r="AN21" s="20">
        <f>IFERROR(AM21*(1+변수!AN28),"")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IFERROR(AB22+AC16-변수!AC29,"")</f>
        <v/>
      </c>
      <c r="AD22" s="20">
        <f>IFERROR(AC22+AD16-변수!AD29,"")</f>
        <v/>
      </c>
      <c r="AE22" s="38">
        <f>AD22</f>
        <v/>
      </c>
      <c r="AF22" s="20">
        <f>IFERROR(AD22+AF16-변수!AF29,"")</f>
        <v/>
      </c>
      <c r="AG22" s="20">
        <f>IFERROR(AF22+AG16-변수!AG29,"")</f>
        <v/>
      </c>
      <c r="AH22" s="20">
        <f>IFERROR(AG22+AH16-변수!AH29,"")</f>
        <v/>
      </c>
      <c r="AI22" s="20">
        <f>IFERROR(AH22+AI16-변수!AI29,"")</f>
        <v/>
      </c>
      <c r="AJ22" s="38">
        <f>AI22</f>
        <v/>
      </c>
      <c r="AK22" s="20">
        <f>IFERROR(AI22+AK16-변수!AK29,"")</f>
        <v/>
      </c>
      <c r="AL22" s="20">
        <f>IFERROR(AK22+AL16-변수!AL29,"")</f>
        <v/>
      </c>
      <c r="AM22" s="20">
        <f>IFERROR(AL22+AM16-변수!AM29,"")</f>
        <v/>
      </c>
      <c r="AN22" s="20">
        <f>IFERROR(AM22+AN16-변수!AN29,"")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IFERROR(X26*(1+변수!AC33),"")</f>
        <v/>
      </c>
      <c r="AD26" s="20">
        <f>IFERROR(Y26*(1+변수!AD33),"")</f>
        <v/>
      </c>
      <c r="AE26" s="38">
        <f>SUM(AA26:AD26)</f>
        <v/>
      </c>
      <c r="AF26" s="20">
        <f>IFERROR(AA26*(1+변수!AF33),"")</f>
        <v/>
      </c>
      <c r="AG26" s="20">
        <f>IFERROR(AB26*(1+변수!AG33),"")</f>
        <v/>
      </c>
      <c r="AH26" s="20">
        <f>IFERROR(AC26*(1+변수!AH33),"")</f>
        <v/>
      </c>
      <c r="AI26" s="20">
        <f>IFERROR(AD26*(1+변수!AI33),"")</f>
        <v/>
      </c>
      <c r="AJ26" s="38">
        <f>SUM(AF26:AI26)</f>
        <v/>
      </c>
      <c r="AK26" s="20">
        <f>IFERROR(AF26*(1+변수!AK33),"")</f>
        <v/>
      </c>
      <c r="AL26" s="20">
        <f>IFERROR(AG26*(1+변수!AL33),"")</f>
        <v/>
      </c>
      <c r="AM26" s="20">
        <f>IFERROR(AH26*(1+변수!AM33),"")</f>
        <v/>
      </c>
      <c r="AN26" s="20">
        <f>IFERROR(AI26*(1+변수!AN33),"")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9.321</v>
      </c>
      <c r="F28" s="28">
        <f>E28</f>
        <v/>
      </c>
      <c r="G28" s="27" t="n">
        <v>9.321</v>
      </c>
      <c r="H28" s="27" t="n">
        <v>9.323</v>
      </c>
      <c r="I28" s="27" t="n">
        <v>9.323</v>
      </c>
      <c r="J28" s="27" t="n">
        <v>9.324</v>
      </c>
      <c r="K28" s="28">
        <f>J28</f>
        <v/>
      </c>
      <c r="L28" s="27" t="n">
        <v>9.324</v>
      </c>
      <c r="M28" s="27" t="n">
        <v>9.244999999999999</v>
      </c>
      <c r="N28" s="27" t="n">
        <v>9.241</v>
      </c>
      <c r="O28" s="27" t="n">
        <v>9.242000000000001</v>
      </c>
      <c r="P28" s="28">
        <f>O28</f>
        <v/>
      </c>
      <c r="Q28" s="27" t="n">
        <v>9.242000000000001</v>
      </c>
      <c r="R28" s="27" t="n">
        <v>9.244</v>
      </c>
      <c r="S28" s="27" t="n">
        <v>9.244</v>
      </c>
      <c r="T28" s="27" t="n">
        <v>9.244</v>
      </c>
      <c r="U28" s="28">
        <f>T28</f>
        <v/>
      </c>
      <c r="V28" s="27" t="n">
        <v>9.244</v>
      </c>
      <c r="W28" s="27" t="n">
        <v>9.246</v>
      </c>
      <c r="X28" s="27" t="n">
        <v>9.246</v>
      </c>
      <c r="Y28" s="27" t="n">
        <v>9.269</v>
      </c>
      <c r="Z28" s="28">
        <f>Y28</f>
        <v/>
      </c>
      <c r="AA28" s="27" t="n">
        <v>9.269</v>
      </c>
      <c r="AB28" s="29" t="n">
        <v>9.292</v>
      </c>
      <c r="AC28" s="33">
        <f>IFERROR(AB28*(1+변수!AC35),"")</f>
        <v/>
      </c>
      <c r="AD28" s="33">
        <f>IFERROR(AC28*(1+변수!AD35),"")</f>
        <v/>
      </c>
      <c r="AE28" s="31">
        <f>AD28</f>
        <v/>
      </c>
      <c r="AF28" s="33">
        <f>IFERROR(AD28*(1+변수!AF35),"")</f>
        <v/>
      </c>
      <c r="AG28" s="33">
        <f>IFERROR(AF28*(1+변수!AG35),"")</f>
        <v/>
      </c>
      <c r="AH28" s="33">
        <f>IFERROR(AG28*(1+변수!AH35),"")</f>
        <v/>
      </c>
      <c r="AI28" s="33">
        <f>IFERROR(AH28*(1+변수!AI35),"")</f>
        <v/>
      </c>
      <c r="AJ28" s="31">
        <f>AI28</f>
        <v/>
      </c>
      <c r="AK28" s="33">
        <f>IFERROR(AI28*(1+변수!AK35),"")</f>
        <v/>
      </c>
      <c r="AL28" s="33">
        <f>IFERROR(AK28*(1+변수!AL35),"")</f>
        <v/>
      </c>
      <c r="AM28" s="33">
        <f>IFERROR(AL28*(1+변수!AM35),"")</f>
        <v/>
      </c>
      <c r="AN28" s="33">
        <f>IFERROR(AM28*(1+변수!AN35),"")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7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7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7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7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7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8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8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변수!AD36</f>
        <v/>
      </c>
      <c r="AE31" s="38">
        <f>SUM(AA31:AD31)</f>
        <v/>
      </c>
      <c r="AF31" s="20" t="n"/>
      <c r="AG31" s="20" t="n"/>
      <c r="AH31" s="20" t="n"/>
      <c r="AI31" s="20">
        <f>변수!AI36</f>
        <v/>
      </c>
      <c r="AJ31" s="38">
        <f>SUM(AF31:AI31)</f>
        <v/>
      </c>
      <c r="AK31" s="20" t="n"/>
      <c r="AL31" s="20" t="n"/>
      <c r="AM31" s="20" t="n"/>
      <c r="AN31" s="20">
        <f>변수!AN36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IFERROR(변수!$D$39/(Y29+AA29+AB29+AC29),"")</f>
        <v/>
      </c>
      <c r="AD32" s="39">
        <f>IFERROR(변수!$D$39/(AA29+AB29+AC29+AD29),"")</f>
        <v/>
      </c>
      <c r="AE32" s="40">
        <f>AD32</f>
        <v/>
      </c>
      <c r="AF32" s="39">
        <f>IFERROR(변수!$D$39/(AB29+AC29+AD29+AF29),"")</f>
        <v/>
      </c>
      <c r="AG32" s="39">
        <f>IFERROR(변수!$D$39/(AC29+AD29+AF29+AG29),"")</f>
        <v/>
      </c>
      <c r="AH32" s="39">
        <f>IFERROR(변수!$D$39/(AD29+AF29+AG29+AH29),"")</f>
        <v/>
      </c>
      <c r="AI32" s="39">
        <f>IFERROR(변수!$D$39/(AF29+AG29+AH29+AI29),"")</f>
        <v/>
      </c>
      <c r="AJ32" s="40">
        <f>AI32</f>
        <v/>
      </c>
      <c r="AK32" s="39">
        <f>IFERROR(변수!$D$39/(AG29+AH29+AI29+AK29),"")</f>
        <v/>
      </c>
      <c r="AL32" s="39">
        <f>IFERROR(변수!$D$39/(AH29+AI29+AK29+AL29),"")</f>
        <v/>
      </c>
      <c r="AM32" s="39">
        <f>IFERROR(변수!$D$39/(AI29+AK29+AL29+AM29),"")</f>
        <v/>
      </c>
      <c r="AN32" s="39">
        <f>IFERROR(변수!$D$39/(AK29+AL29+AM29+AN29),"")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IFERROR(변수!$D$39/AC30,"")</f>
        <v/>
      </c>
      <c r="AD33" s="39">
        <f>IFERROR(변수!$D$39/AD30,"")</f>
        <v/>
      </c>
      <c r="AE33" s="40">
        <f>AD33</f>
        <v/>
      </c>
      <c r="AF33" s="39">
        <f>IFERROR(변수!$D$39/AF30,"")</f>
        <v/>
      </c>
      <c r="AG33" s="39">
        <f>IFERROR(변수!$D$39/AG30,"")</f>
        <v/>
      </c>
      <c r="AH33" s="39">
        <f>IFERROR(변수!$D$39/AH30,"")</f>
        <v/>
      </c>
      <c r="AI33" s="39">
        <f>IFERROR(변수!$D$39/AI30,"")</f>
        <v/>
      </c>
      <c r="AJ33" s="40">
        <f>AI33</f>
        <v/>
      </c>
      <c r="AK33" s="39">
        <f>IFERROR(변수!$D$39/AK30,"")</f>
        <v/>
      </c>
      <c r="AL33" s="39">
        <f>IFERROR(변수!$D$39/AL30,"")</f>
        <v/>
      </c>
      <c r="AM33" s="39">
        <f>IFERROR(변수!$D$39/AM30,"")</f>
        <v/>
      </c>
      <c r="AN33" s="39">
        <f>IFERROR(변수!$D$39/AN30,"")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7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7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7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7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7">
        <f>SUM(V34:Y34)</f>
        <v/>
      </c>
      <c r="AA34" s="18" t="n">
        <v>508.96</v>
      </c>
      <c r="AB34" s="19" t="n">
        <v>708.34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7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7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7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7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7">
        <f>SUM(V35:Y35)</f>
        <v/>
      </c>
      <c r="AA35" s="18" t="n">
        <v>62.74</v>
      </c>
      <c r="AB35" s="19" t="n">
        <v>75.59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변수!D39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변수!D39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IFERROR(E7*변수!D45+F7*(1-변수!D45),"")</f>
        <v/>
      </c>
    </row>
    <row r="15">
      <c r="C15" t="inlineStr">
        <is>
          <t>적정가치 @PER_lo</t>
        </is>
      </c>
      <c r="D15" s="27">
        <f>변수!D42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2956.3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5.67</v>
      </c>
    </row>
    <row r="32">
      <c r="C32" s="2" t="inlineStr">
        <is>
          <t>pbr_now</t>
        </is>
      </c>
      <c r="D32" t="n">
        <v>0.5600000000000001</v>
      </c>
    </row>
    <row r="33">
      <c r="C33" s="2" t="inlineStr">
        <is>
          <t>roe_fwd</t>
        </is>
      </c>
      <c r="D33" t="n">
        <v>0.0989</v>
      </c>
    </row>
    <row r="34">
      <c r="C34" s="2" t="inlineStr">
        <is>
          <t>fair_pbr</t>
        </is>
      </c>
      <c r="D34" t="n">
        <v>1.1</v>
      </c>
    </row>
    <row r="35">
      <c r="C35" s="2" t="inlineStr">
        <is>
          <t>fair_value_pbr</t>
        </is>
      </c>
      <c r="D35" t="n">
        <v>32900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