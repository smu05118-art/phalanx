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모델값 역산(implied): v / 매출액
매출액 × 판관비율 6.92%(최근 4분기 중위)</t>
      </text>
    </comment>
    <comment ref="AD22" authorId="0" shapeId="0">
      <text>
        <t>모델값 역산(implied): v / 매출액
매출액 × 판관비율 6.92%(최근 4분기 중위)</t>
      </text>
    </comment>
    <comment ref="AF22" authorId="0" shapeId="0">
      <text>
        <t>모델값 역산(implied): v / 매출액
매출액 × 판관비율 6.92%(최근 4분기 중위)</t>
      </text>
    </comment>
    <comment ref="AG22" authorId="0" shapeId="0">
      <text>
        <t>모델값 역산(implied): v / 매출액
매출액 × 판관비율 6.92%(최근 4분기 중위)</t>
      </text>
    </comment>
    <comment ref="AH22" authorId="0" shapeId="0">
      <text>
        <t>모델값 역산(implied): v / 매출액
매출액 × 판관비율 6.92%(최근 4분기 중위)</t>
      </text>
    </comment>
    <comment ref="AI22" authorId="0" shapeId="0">
      <text>
        <t>모델값 역산(implied): v / 매출액
매출액 × 판관비율 6.92%(최근 4분기 중위)</t>
      </text>
    </comment>
    <comment ref="AK22" authorId="0" shapeId="0">
      <text>
        <t>모델값 역산(implied): v / 매출액
매출액 × 판관비율 6.92%(최근 4분기 중위)</t>
      </text>
    </comment>
    <comment ref="AL22" authorId="0" shapeId="0">
      <text>
        <t>모델값 역산(implied): v / 매출액
매출액 × 판관비율 6.92%(최근 4분기 중위)</t>
      </text>
    </comment>
    <comment ref="AM22" authorId="0" shapeId="0">
      <text>
        <t>모델값 역산(implied): v / 매출액
매출액 × 판관비율 6.92%(최근 4분기 중위)</t>
      </text>
    </comment>
    <comment ref="AN22" authorId="0" shapeId="0">
      <text>
        <t>모델값 역산(implied): v / 매출액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v / 전년동기 − 1
최근 8분기 OPM 중위 11.4% 유지(클립 −20~40%)</t>
      </text>
    </comment>
    <comment ref="AD24" authorId="0" shapeId="0">
      <text>
        <t>모델값 역산(implied): v / 전년동기 − 1
최근 8분기 OPM 중위 11.4% 유지(클립 −20~40%)</t>
      </text>
    </comment>
    <comment ref="AF24" authorId="0" shapeId="0">
      <text>
        <t>모델값 역산(implied): v / 전년동기 − 1
최근 8분기 OPM 중위 11.4% 유지(클립 −20~40%)</t>
      </text>
    </comment>
    <comment ref="AG24" authorId="0" shapeId="0">
      <text>
        <t>모델값 역산(implied): v / 전년동기 − 1
최근 8분기 OPM 중위 11.4% 유지(클립 −20~40%)</t>
      </text>
    </comment>
    <comment ref="AH24" authorId="0" shapeId="0">
      <text>
        <t>모델값 역산(implied): v / 전년동기 − 1
최근 8분기 OPM 중위 11.4% 유지(클립 −20~40%)</t>
      </text>
    </comment>
    <comment ref="AI24" authorId="0" shapeId="0">
      <text>
        <t>모델값 역산(implied): v / 전년동기 − 1
최근 8분기 OPM 중위 11.4% 유지(클립 −20~40%)</t>
      </text>
    </comment>
    <comment ref="AK24" authorId="0" shapeId="0">
      <text>
        <t>모델값 역산(implied): v / 전년동기 − 1
최근 8분기 OPM 중위 11.4% 유지(클립 −20~40%)</t>
      </text>
    </comment>
    <comment ref="AL24" authorId="0" shapeId="0">
      <text>
        <t>모델값 역산(implied): v / 전년동기 − 1
최근 8분기 OPM 중위 11.4% 유지(클립 −20~40%)</t>
      </text>
    </comment>
    <comment ref="AM24" authorId="0" shapeId="0">
      <text>
        <t>모델값 역산(implied): v / 전년동기 − 1
최근 8분기 OPM 중위 11.4% 유지(클립 −20~40%)</t>
      </text>
    </comment>
    <comment ref="AN24" authorId="0" shapeId="0">
      <text>
        <t>모델값 역산(implied): v / 전년동기 − 1
최근 8분기 OPM 중위 11.4% 유지(클립 −20~40%)</t>
      </text>
    </comment>
    <comment ref="AC25" authorId="0" shapeId="0">
      <text>
        <t>모델값 역산(implied): 모델 v 그대로
이자손익 = 이자발생자산 565억 × 5.70% − 총차입금 0억 × 0.00% (연율, CF 실측) ÷ 4; 환·평가손익 0 가정</t>
      </text>
    </comment>
    <comment ref="AD25" authorId="0" shapeId="0">
      <text>
        <t>모델값 역산(implied): 모델 v 그대로
이자손익 = 이자발생자산 634억 × 5.70% − 총차입금 0억 × 0.00% (연율, CF 실측) ÷ 4; 환·평가손익 0 가정</t>
      </text>
    </comment>
    <comment ref="AF25" authorId="0" shapeId="0">
      <text>
        <t>모델값 역산(implied): 모델 v 그대로
이자손익 = 이자발생자산 700억 × 5.70% − 총차입금 0억 × 0.00% (연율, CF 실측) ÷ 4; 환·평가손익 0 가정</t>
      </text>
    </comment>
    <comment ref="AG25" authorId="0" shapeId="0">
      <text>
        <t>모델값 역산(implied): 모델 v 그대로
이자손익 = 이자발생자산 760억 × 5.70% − 총차입금 0억 × 0.00% (연율, CF 실측) ÷ 4; 환·평가손익 0 가정</t>
      </text>
    </comment>
    <comment ref="AH25" authorId="0" shapeId="0">
      <text>
        <t>모델값 역산(implied): 모델 v 그대로
이자손익 = 이자발생자산 822억 × 5.70% − 총차입금 0억 × 0.00% (연율, CF 실측) ÷ 4; 환·평가손익 0 가정</t>
      </text>
    </comment>
    <comment ref="AI25" authorId="0" shapeId="0">
      <text>
        <t>모델값 역산(implied): 모델 v 그대로
이자손익 = 이자발생자산 898억 × 5.70% − 총차입금 0억 × 0.00% (연율, CF 실측) ÷ 4; 환·평가손익 0 가정</t>
      </text>
    </comment>
    <comment ref="AK25" authorId="0" shapeId="0">
      <text>
        <t>모델값 역산(implied): 모델 v 그대로
이자손익 = 이자발생자산 970억 × 5.70% − 총차입금 0억 × 0.00% (연율, CF 실측) ÷ 4; 환·평가손익 0 가정</t>
      </text>
    </comment>
    <comment ref="AL25" authorId="0" shapeId="0">
      <text>
        <t>모델값 역산(implied): 모델 v 그대로
이자손익 = 이자발생자산 1036억 × 5.70% − 총차입금 0억 × 0.00% (연율, CF 실측) ÷ 4; 환·평가손익 0 가정</t>
      </text>
    </comment>
    <comment ref="AM25" authorId="0" shapeId="0">
      <text>
        <t>모델값 역산(implied): 모델 v 그대로
이자손익 = 이자발생자산 1105억 × 5.70% − 총차입금 0억 × 0.00% (연율, CF 실측) ÷ 4; 환·평가손익 0 가정</t>
      </text>
    </comment>
    <comment ref="AN25" authorId="0" shapeId="0">
      <text>
        <t>모델값 역산(implied): 모델 v 그대로
이자손익 = 이자발생자산 1186억 × 5.70%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19.0%(최근 12분기 유효세율 19.0% → 5~27% 클립)</t>
      </text>
    </comment>
    <comment ref="AD27" authorId="0" shapeId="0">
      <text>
        <t>모델값 역산(implied): v / 세전이익
max(세전, 0) × 세율 19.0%(최근 12분기 유효세율 19.0% → 5~27% 클립)</t>
      </text>
    </comment>
    <comment ref="AF27" authorId="0" shapeId="0">
      <text>
        <t>모델값 역산(implied): v / 세전이익
max(세전, 0) × 세율 19.0%(최근 12분기 유효세율 19.0% → 5~27% 클립)</t>
      </text>
    </comment>
    <comment ref="AG27" authorId="0" shapeId="0">
      <text>
        <t>모델값 역산(implied): v / 세전이익
max(세전, 0) × 세율 19.0%(최근 12분기 유효세율 19.0% → 5~27% 클립)</t>
      </text>
    </comment>
    <comment ref="AH27" authorId="0" shapeId="0">
      <text>
        <t>모델값 역산(implied): v / 세전이익
max(세전, 0) × 세율 19.0%(최근 12분기 유효세율 19.0% → 5~27% 클립)</t>
      </text>
    </comment>
    <comment ref="AI27" authorId="0" shapeId="0">
      <text>
        <t>모델값 역산(implied): v / 세전이익
max(세전, 0) × 세율 19.0%(최근 12분기 유효세율 19.0% → 5~27% 클립)</t>
      </text>
    </comment>
    <comment ref="AK27" authorId="0" shapeId="0">
      <text>
        <t>모델값 역산(implied): v / 세전이익
max(세전, 0) × 세율 19.0%(최근 12분기 유효세율 19.0% → 5~27% 클립)</t>
      </text>
    </comment>
    <comment ref="AL27" authorId="0" shapeId="0">
      <text>
        <t>모델값 역산(implied): v / 세전이익
max(세전, 0) × 세율 19.0%(최근 12분기 유효세율 19.0% → 5~27% 클립)</t>
      </text>
    </comment>
    <comment ref="AM27" authorId="0" shapeId="0">
      <text>
        <t>모델값 역산(implied): v / 세전이익
max(세전, 0) × 세율 19.0%(최근 12분기 유효세율 19.0% → 5~27% 클립)</t>
      </text>
    </comment>
    <comment ref="AN27" authorId="0" shapeId="0">
      <text>
        <t>모델값 역산(implied): v / 세전이익
max(세전, 0) × 세율 19.0%(최근 12분기 유효세율 19.0%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11.4% 유지(클립 −20~40%)
[yoy]</t>
      </text>
    </comment>
    <comment ref="AD10" authorId="0" shapeId="0">
      <text>
        <t>추정: 최근 8분기 OPM 중위 11.4% 유지(클립 −20~40%)
[yoy]</t>
      </text>
    </comment>
    <comment ref="AF10" authorId="0" shapeId="0">
      <text>
        <t>추정: 최근 8분기 OPM 중위 11.4% 유지(클립 −20~40%)
[yoy]</t>
      </text>
    </comment>
    <comment ref="AG10" authorId="0" shapeId="0">
      <text>
        <t>추정: 최근 8분기 OPM 중위 11.4% 유지(클립 −20~40%)
[yoy]</t>
      </text>
    </comment>
    <comment ref="AH10" authorId="0" shapeId="0">
      <text>
        <t>추정: 최근 8분기 OPM 중위 11.4% 유지(클립 −20~40%)
[yoy]</t>
      </text>
    </comment>
    <comment ref="AI10" authorId="0" shapeId="0">
      <text>
        <t>추정: 최근 8분기 OPM 중위 11.4% 유지(클립 −20~40%)
[yoy]</t>
      </text>
    </comment>
    <comment ref="AK10" authorId="0" shapeId="0">
      <text>
        <t>추정: 최근 8분기 OPM 중위 11.4% 유지(클립 −20~40%)
[yoy]</t>
      </text>
    </comment>
    <comment ref="AL10" authorId="0" shapeId="0">
      <text>
        <t>추정: 최근 8분기 OPM 중위 11.4% 유지(클립 −20~40%)
[yoy]</t>
      </text>
    </comment>
    <comment ref="AM10" authorId="0" shapeId="0">
      <text>
        <t>추정: 최근 8분기 OPM 중위 11.4% 유지(클립 −20~40%)
[yoy]</t>
      </text>
    </comment>
    <comment ref="AN10" authorId="0" shapeId="0">
      <text>
        <t>추정: 최근 8분기 OPM 중위 11.4% 유지(클립 −20~40%)
[yoy]</t>
      </text>
    </comment>
    <comment ref="AC11" authorId="0" shapeId="0">
      <text>
        <t>추정: 이자손익 = 이자발생자산 565억 × 5.70% − 총차입금 0억 × 0.00% (연율, CF 실측) ÷ 4; 환·평가손익 0 가정
[abs]</t>
      </text>
    </comment>
    <comment ref="AD11" authorId="0" shapeId="0">
      <text>
        <t>추정: 이자손익 = 이자발생자산 634억 × 5.70% − 총차입금 0억 × 0.00% (연율, CF 실측) ÷ 4; 환·평가손익 0 가정
[abs]</t>
      </text>
    </comment>
    <comment ref="AF11" authorId="0" shapeId="0">
      <text>
        <t>추정: 이자손익 = 이자발생자산 700억 × 5.70% − 총차입금 0억 × 0.00% (연율, CF 실측) ÷ 4; 환·평가손익 0 가정
[abs]</t>
      </text>
    </comment>
    <comment ref="AG11" authorId="0" shapeId="0">
      <text>
        <t>추정: 이자손익 = 이자발생자산 760억 × 5.70% − 총차입금 0억 × 0.00% (연율, CF 실측) ÷ 4; 환·평가손익 0 가정
[abs]</t>
      </text>
    </comment>
    <comment ref="AH11" authorId="0" shapeId="0">
      <text>
        <t>추정: 이자손익 = 이자발생자산 822억 × 5.70% − 총차입금 0억 × 0.00% (연율, CF 실측) ÷ 4; 환·평가손익 0 가정
[abs]</t>
      </text>
    </comment>
    <comment ref="AI11" authorId="0" shapeId="0">
      <text>
        <t>추정: 이자손익 = 이자발생자산 898억 × 5.70% − 총차입금 0억 × 0.00% (연율, CF 실측) ÷ 4; 환·평가손익 0 가정
[abs]</t>
      </text>
    </comment>
    <comment ref="AK11" authorId="0" shapeId="0">
      <text>
        <t>추정: 이자손익 = 이자발생자산 970억 × 5.70% − 총차입금 0억 × 0.00% (연율, CF 실측) ÷ 4; 환·평가손익 0 가정
[abs]</t>
      </text>
    </comment>
    <comment ref="AL11" authorId="0" shapeId="0">
      <text>
        <t>추정: 이자손익 = 이자발생자산 1036억 × 5.70% − 총차입금 0억 × 0.00% (연율, CF 실측) ÷ 4; 환·평가손익 0 가정
[abs]</t>
      </text>
    </comment>
    <comment ref="AM11" authorId="0" shapeId="0">
      <text>
        <t>추정: 이자손익 = 이자발생자산 1105억 × 5.70% − 총차입금 0억 × 0.00% (연율, CF 실측) ÷ 4; 환·평가손익 0 가정
[abs]</t>
      </text>
    </comment>
    <comment ref="AN11" authorId="0" shapeId="0">
      <text>
        <t>추정: 이자손익 = 이자발생자산 1186억 × 5.70%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19.0%(최근 12분기 유효세율 19.0% → 5~27% 클립)
[ratio]</t>
      </text>
    </comment>
    <comment ref="AD14" authorId="0" shapeId="0">
      <text>
        <t>추정: max(세전, 0) × 세율 19.0%(최근 12분기 유효세율 19.0% → 5~27% 클립)
[ratio]</t>
      </text>
    </comment>
    <comment ref="AF14" authorId="0" shapeId="0">
      <text>
        <t>추정: max(세전, 0) × 세율 19.0%(최근 12분기 유효세율 19.0% → 5~27% 클립)
[ratio]</t>
      </text>
    </comment>
    <comment ref="AG14" authorId="0" shapeId="0">
      <text>
        <t>추정: max(세전, 0) × 세율 19.0%(최근 12분기 유효세율 19.0% → 5~27% 클립)
[ratio]</t>
      </text>
    </comment>
    <comment ref="AH14" authorId="0" shapeId="0">
      <text>
        <t>추정: max(세전, 0) × 세율 19.0%(최근 12분기 유효세율 19.0% → 5~27% 클립)
[ratio]</t>
      </text>
    </comment>
    <comment ref="AI14" authorId="0" shapeId="0">
      <text>
        <t>추정: max(세전, 0) × 세율 19.0%(최근 12분기 유효세율 19.0% → 5~27% 클립)
[ratio]</t>
      </text>
    </comment>
    <comment ref="AK14" authorId="0" shapeId="0">
      <text>
        <t>추정: max(세전, 0) × 세율 19.0%(최근 12분기 유효세율 19.0% → 5~27% 클립)
[ratio]</t>
      </text>
    </comment>
    <comment ref="AL14" authorId="0" shapeId="0">
      <text>
        <t>추정: max(세전, 0) × 세율 19.0%(최근 12분기 유효세율 19.0% → 5~27% 클립)
[ratio]</t>
      </text>
    </comment>
    <comment ref="AM14" authorId="0" shapeId="0">
      <text>
        <t>추정: max(세전, 0) × 세율 19.0%(최근 12분기 유효세율 19.0% → 5~27% 클립)
[ratio]</t>
      </text>
    </comment>
    <comment ref="AN14" authorId="0" shapeId="0">
      <text>
        <t>추정: max(세전, 0) × 세율 19.0%(최근 12분기 유효세율 19.0%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B16" authorId="0" shapeId="0">
      <text>
        <t>실측(BS연결 시트에 (지배주주지분)당기순이익 2026.06 값 없음 — 모델값 직접) — fin.cons.is.(지배주주지분)당기순이익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assets/models/108380.json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24600</v>
      </c>
      <c r="AB15" s="19" t="n">
        <v>17680</v>
      </c>
      <c r="AC15" s="20" t="n">
        <v>18520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34800</v>
      </c>
      <c r="AC16" s="20" t="n">
        <v>19800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28366.1</v>
      </c>
      <c r="AB18" s="19" t="n">
        <v>24196.1</v>
      </c>
      <c r="AC18" s="20" t="n">
        <v>17703.1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0.105396</v>
      </c>
      <c r="AD21" s="24" t="n">
        <v>0.10539</v>
      </c>
      <c r="AE21" s="25" t="n"/>
      <c r="AF21" s="24" t="n">
        <v>0.105401</v>
      </c>
      <c r="AG21" s="24" t="n">
        <v>0.105396</v>
      </c>
      <c r="AH21" s="24" t="n">
        <v>0.052707</v>
      </c>
      <c r="AI21" s="24" t="n">
        <v>0.052701</v>
      </c>
      <c r="AJ21" s="25" t="n"/>
      <c r="AK21" s="24" t="n">
        <v>0.052701</v>
      </c>
      <c r="AL21" s="24" t="n">
        <v>0.052695</v>
      </c>
      <c r="AM21" s="24" t="n">
        <v>0.02634</v>
      </c>
      <c r="AN21" s="24" t="n">
        <v>0.02636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0.069232</v>
      </c>
      <c r="AD22" s="24" t="n">
        <v>0.069228</v>
      </c>
      <c r="AE22" s="25">
        <f>IFERROR(subQ!AE8/subQ!AE5,"")</f>
        <v/>
      </c>
      <c r="AF22" s="24" t="n">
        <v>0.069231</v>
      </c>
      <c r="AG22" s="24" t="n">
        <v>0.069221</v>
      </c>
      <c r="AH22" s="24" t="n">
        <v>0.069229</v>
      </c>
      <c r="AI22" s="24" t="n">
        <v>0.06922499999999999</v>
      </c>
      <c r="AJ22" s="25">
        <f>IFERROR(subQ!AJ8/subQ!AJ5,"")</f>
        <v/>
      </c>
      <c r="AK22" s="24" t="n">
        <v>0.069226</v>
      </c>
      <c r="AL22" s="24" t="n">
        <v>0.069226</v>
      </c>
      <c r="AM22" s="24" t="n">
        <v>0.069221</v>
      </c>
      <c r="AN22" s="24" t="n">
        <v>0.06922200000000001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0.114161</v>
      </c>
      <c r="AD23" s="24" t="n">
        <v>0.114161</v>
      </c>
      <c r="AE23" s="25">
        <f>IFERROR(subQ!AE9/subQ!AE5,"")</f>
        <v/>
      </c>
      <c r="AF23" s="24" t="n">
        <v>0.114164</v>
      </c>
      <c r="AG23" s="24" t="n">
        <v>0.114163</v>
      </c>
      <c r="AH23" s="24" t="n">
        <v>0.114157</v>
      </c>
      <c r="AI23" s="24" t="n">
        <v>0.114155</v>
      </c>
      <c r="AJ23" s="25">
        <f>IFERROR(subQ!AJ9/subQ!AJ5,"")</f>
        <v/>
      </c>
      <c r="AK23" s="24" t="n">
        <v>0.114156</v>
      </c>
      <c r="AL23" s="24" t="n">
        <v>0.114163</v>
      </c>
      <c r="AM23" s="24" t="n">
        <v>0.114167</v>
      </c>
      <c r="AN23" s="24" t="n">
        <v>0.114167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-0.09221</v>
      </c>
      <c r="AD24" s="24" t="n">
        <v>-0.173661</v>
      </c>
      <c r="AE24" s="25" t="n"/>
      <c r="AF24" s="24" t="n">
        <v>-0.07380399999999999</v>
      </c>
      <c r="AG24" s="24" t="n">
        <v>0.07029100000000001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8.06</v>
      </c>
      <c r="AD25" s="29" t="n">
        <v>9.050000000000001</v>
      </c>
      <c r="AE25" s="30">
        <f>subQ!AE11</f>
        <v/>
      </c>
      <c r="AF25" s="29" t="n">
        <v>9.98</v>
      </c>
      <c r="AG25" s="29" t="n">
        <v>10.84</v>
      </c>
      <c r="AH25" s="29" t="n">
        <v>11.73</v>
      </c>
      <c r="AI25" s="29" t="n">
        <v>12.81</v>
      </c>
      <c r="AJ25" s="30">
        <f>subQ!AJ11</f>
        <v/>
      </c>
      <c r="AK25" s="29" t="n">
        <v>13.83</v>
      </c>
      <c r="AL25" s="29" t="n">
        <v>14.77</v>
      </c>
      <c r="AM25" s="29" t="n">
        <v>15.76</v>
      </c>
      <c r="AN25" s="29" t="n">
        <v>16.91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0.189593</v>
      </c>
      <c r="AD27" s="24" t="n">
        <v>0.189636</v>
      </c>
      <c r="AE27" s="25">
        <f>IFERROR(subQ!AE14/subQ!AE13,"")</f>
        <v/>
      </c>
      <c r="AF27" s="24" t="n">
        <v>0.189597</v>
      </c>
      <c r="AG27" s="24" t="n">
        <v>0.189583</v>
      </c>
      <c r="AH27" s="24" t="n">
        <v>0.18958</v>
      </c>
      <c r="AI27" s="24" t="n">
        <v>0.189567</v>
      </c>
      <c r="AJ27" s="25">
        <f>IFERROR(subQ!AJ14/subQ!AJ13,"")</f>
        <v/>
      </c>
      <c r="AK27" s="24" t="n">
        <v>0.189587</v>
      </c>
      <c r="AL27" s="24" t="n">
        <v>0.189584</v>
      </c>
      <c r="AM27" s="24" t="n">
        <v>0.189645</v>
      </c>
      <c r="AN27" s="24" t="n">
        <v>0.189626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0.046546</v>
      </c>
      <c r="AI30" s="24" t="n">
        <v>0.046178</v>
      </c>
      <c r="AJ30" s="25" t="n"/>
      <c r="AK30" s="24" t="n">
        <v>0.0454</v>
      </c>
      <c r="AL30" s="24" t="n">
        <v>0.047284</v>
      </c>
      <c r="AM30" s="24" t="n">
        <v>0.023488</v>
      </c>
      <c r="AN30" s="24" t="n">
        <v>0.023182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0.0022</v>
      </c>
      <c r="AD32" s="29" t="n">
        <v>0</v>
      </c>
      <c r="AE32" s="30" t="n"/>
      <c r="AF32" s="29" t="n">
        <v>0</v>
      </c>
      <c r="AG32" s="29" t="n">
        <v>18.59</v>
      </c>
      <c r="AH32" s="29" t="n">
        <v>0</v>
      </c>
      <c r="AI32" s="29" t="n">
        <v>0</v>
      </c>
      <c r="AJ32" s="30" t="n"/>
      <c r="AK32" s="29" t="n">
        <v>0</v>
      </c>
      <c r="AL32" s="29" t="n">
        <v>18.58</v>
      </c>
      <c r="AM32" s="29" t="n">
        <v>0</v>
      </c>
      <c r="AN32" s="29" t="n">
        <v>-0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0</v>
      </c>
      <c r="AE33" s="30" t="n"/>
      <c r="AF33" s="29" t="n">
        <v>0</v>
      </c>
      <c r="AG33" s="29" t="n">
        <v>18.59</v>
      </c>
      <c r="AH33" s="29" t="n">
        <v>0</v>
      </c>
      <c r="AI33" s="29" t="n">
        <v>0</v>
      </c>
      <c r="AJ33" s="30" t="n"/>
      <c r="AK33" s="29" t="n">
        <v>0</v>
      </c>
      <c r="AL33" s="29" t="n">
        <v>18.58</v>
      </c>
      <c r="AM33" s="29" t="n">
        <v>0</v>
      </c>
      <c r="AN33" s="29" t="n">
        <v>-0</v>
      </c>
      <c r="AO33" s="30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0.122928</v>
      </c>
      <c r="AD34" s="24" t="n">
        <v>0.102779</v>
      </c>
      <c r="AE34" s="25" t="n"/>
      <c r="AF34" s="24" t="n">
        <v>0.085954</v>
      </c>
      <c r="AG34" s="24" t="n">
        <v>0.082441</v>
      </c>
      <c r="AH34" s="24" t="n">
        <v>0.09209000000000001</v>
      </c>
      <c r="AI34" s="24" t="n">
        <v>0.079392</v>
      </c>
      <c r="AJ34" s="25" t="n"/>
      <c r="AK34" s="24" t="n">
        <v>0.068076</v>
      </c>
      <c r="AL34" s="24" t="n">
        <v>0.06725200000000001</v>
      </c>
      <c r="AM34" s="24" t="n">
        <v>0.073076</v>
      </c>
      <c r="AN34" s="24" t="n">
        <v>0.064288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-0.324232</v>
      </c>
      <c r="AD40" s="24" t="n">
        <v>-0.444444</v>
      </c>
      <c r="AE40" s="25" t="n"/>
      <c r="AF40" s="24" t="n">
        <v>-0.375752</v>
      </c>
      <c r="AG40" s="24" t="n">
        <v>-0.192358</v>
      </c>
      <c r="AH40" s="24" t="n">
        <v>0.008418</v>
      </c>
      <c r="AI40" s="24" t="n">
        <v>-0.015126</v>
      </c>
      <c r="AJ40" s="25" t="n"/>
      <c r="AK40" s="24" t="n">
        <v>-0.077047</v>
      </c>
      <c r="AL40" s="24" t="n">
        <v>-0.084829</v>
      </c>
      <c r="AM40" s="24" t="n">
        <v>-0.07846400000000001</v>
      </c>
      <c r="AN40" s="24" t="n">
        <v>-0.073379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-0.358696</v>
      </c>
      <c r="AD41" s="24" t="n">
        <v>-0.414141</v>
      </c>
      <c r="AE41" s="25" t="n"/>
      <c r="AF41" s="24" t="n">
        <v>-0.40625</v>
      </c>
      <c r="AG41" s="24" t="n">
        <v>-0.308642</v>
      </c>
      <c r="AH41" s="24" t="n">
        <v>-0.084746</v>
      </c>
      <c r="AI41" s="24" t="n">
        <v>-0.08620700000000001</v>
      </c>
      <c r="AJ41" s="25" t="n"/>
      <c r="AK41" s="24" t="n">
        <v>-0.08771900000000001</v>
      </c>
      <c r="AL41" s="24" t="n">
        <v>-0.089286</v>
      </c>
      <c r="AM41" s="24" t="n">
        <v>-0.074074</v>
      </c>
      <c r="AN41" s="24" t="n">
        <v>-0.075472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0.114161</v>
      </c>
      <c r="AD43" s="24" t="n">
        <v>0.114161</v>
      </c>
      <c r="AE43" s="25">
        <f>IFERROR(subQ!AE34/subQ!AE33,"")</f>
        <v/>
      </c>
      <c r="AF43" s="24" t="n">
        <v>0.114164</v>
      </c>
      <c r="AG43" s="24" t="n">
        <v>0.114163</v>
      </c>
      <c r="AH43" s="24" t="n">
        <v>0.114157</v>
      </c>
      <c r="AI43" s="24" t="n">
        <v>0.114155</v>
      </c>
      <c r="AJ43" s="25">
        <f>IFERROR(subQ!AJ34/subQ!AJ33,"")</f>
        <v/>
      </c>
      <c r="AK43" s="24" t="n">
        <v>0.114156</v>
      </c>
      <c r="AL43" s="24" t="n">
        <v>0.114163</v>
      </c>
      <c r="AM43" s="24" t="n">
        <v>0.114167</v>
      </c>
      <c r="AN43" s="24" t="n">
        <v>0.114167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18200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8.4</v>
      </c>
      <c r="E49" s="2" t="inlineStr">
        <is>
          <t>PER 밴드 하단(배) — hist_quarterly(분기 평균가 ÷ TTM EPS, 12분기,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10.7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0.1896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0.0692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0.075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4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4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4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4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4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4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4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4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4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4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4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4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4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4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4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4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4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4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4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4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4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4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4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4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4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4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4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4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4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4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4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4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4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4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4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4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4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4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4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4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4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4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4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4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4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4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4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4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4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4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4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4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4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4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4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4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4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4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4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4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4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4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4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4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4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4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4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4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4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4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4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4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4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4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4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4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4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4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4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4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4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4" t="n">
        <v>0</v>
      </c>
      <c r="J23" s="18" t="n">
        <v>0</v>
      </c>
      <c r="K23" s="34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4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4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4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4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4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4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4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87.2</v>
      </c>
      <c r="F25" s="34" t="n">
        <v>87.2</v>
      </c>
      <c r="G25" s="18" t="n">
        <v>237.65</v>
      </c>
      <c r="H25" s="18" t="n">
        <v>176.57</v>
      </c>
      <c r="I25" s="18" t="n">
        <v>85.08</v>
      </c>
      <c r="J25" s="18" t="n">
        <v>0</v>
      </c>
      <c r="K25" s="34" t="n">
        <v>0</v>
      </c>
      <c r="L25" s="18" t="n">
        <v>21.22</v>
      </c>
      <c r="M25" s="18" t="n">
        <v>54.37</v>
      </c>
      <c r="N25" s="18" t="n">
        <v>157.34</v>
      </c>
      <c r="O25" s="18" t="n">
        <v>0</v>
      </c>
      <c r="P25" s="34" t="n">
        <v>0</v>
      </c>
      <c r="Q25" s="18" t="n">
        <v>57.1</v>
      </c>
      <c r="R25" s="18" t="n">
        <v>67.94</v>
      </c>
      <c r="S25" s="18" t="n">
        <v>170.52</v>
      </c>
      <c r="T25" s="18" t="n">
        <v>168.52</v>
      </c>
      <c r="U25" s="34" t="n">
        <v>168.52</v>
      </c>
      <c r="V25" s="18" t="n">
        <v>412.87</v>
      </c>
      <c r="W25" s="18" t="n">
        <v>417.54</v>
      </c>
      <c r="X25" s="18" t="n">
        <v>548.58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33313.33</v>
      </c>
      <c r="F26" s="34" t="n">
        <v>33313.33</v>
      </c>
      <c r="G26" s="18" t="n">
        <v>33986.7</v>
      </c>
      <c r="H26" s="18" t="n">
        <v>35511.5</v>
      </c>
      <c r="I26" s="18" t="n">
        <v>37284.81</v>
      </c>
      <c r="J26" s="18" t="n">
        <v>42643.35</v>
      </c>
      <c r="K26" s="34" t="n">
        <v>42643.35</v>
      </c>
      <c r="L26" s="18" t="n">
        <v>46178.79</v>
      </c>
      <c r="M26" s="18" t="n">
        <v>59112</v>
      </c>
      <c r="N26" s="18" t="n">
        <v>57183.26</v>
      </c>
      <c r="O26" s="18" t="n">
        <v>72272.46000000001</v>
      </c>
      <c r="P26" s="34" t="n">
        <v>72272.46000000001</v>
      </c>
      <c r="Q26" s="18" t="n">
        <v>66574.67999999999</v>
      </c>
      <c r="R26" s="18" t="n">
        <v>69171.28999999999</v>
      </c>
      <c r="S26" s="18" t="n">
        <v>67442.12</v>
      </c>
      <c r="T26" s="18" t="n">
        <v>63337.14</v>
      </c>
      <c r="U26" s="34" t="n">
        <v>63337.14</v>
      </c>
      <c r="V26" s="18" t="n">
        <v>60489.66</v>
      </c>
      <c r="W26" s="18" t="n">
        <v>64380.14</v>
      </c>
      <c r="X26" s="18" t="n">
        <v>57378.45</v>
      </c>
      <c r="Y26" s="18" t="n">
        <v>52783.72</v>
      </c>
      <c r="Z26" s="34" t="n">
        <v>52783.72</v>
      </c>
      <c r="AA26" s="18" t="n">
        <v>58267.46</v>
      </c>
      <c r="AB26" s="19" t="n">
        <v>68474.39999999999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226690.06</v>
      </c>
      <c r="F27" s="34" t="n">
        <v>226690.06</v>
      </c>
      <c r="G27" s="18" t="n">
        <v>224073.78</v>
      </c>
      <c r="H27" s="18" t="n">
        <v>223298.74</v>
      </c>
      <c r="I27" s="18" t="n">
        <v>225329.35</v>
      </c>
      <c r="J27" s="18" t="n">
        <v>218469.18</v>
      </c>
      <c r="K27" s="34" t="n">
        <v>218469.18</v>
      </c>
      <c r="L27" s="18" t="n">
        <v>220091.38</v>
      </c>
      <c r="M27" s="18" t="n">
        <v>220142.81</v>
      </c>
      <c r="N27" s="18" t="n">
        <v>223102.4</v>
      </c>
      <c r="O27" s="18" t="n">
        <v>225677.81</v>
      </c>
      <c r="P27" s="34" t="n">
        <v>225677.81</v>
      </c>
      <c r="Q27" s="18" t="n">
        <v>229382.89</v>
      </c>
      <c r="R27" s="18" t="n">
        <v>233678.36</v>
      </c>
      <c r="S27" s="18" t="n">
        <v>236222.29</v>
      </c>
      <c r="T27" s="18" t="n">
        <v>245268.75</v>
      </c>
      <c r="U27" s="34" t="n">
        <v>245268.75</v>
      </c>
      <c r="V27" s="18" t="n">
        <v>250103.88</v>
      </c>
      <c r="W27" s="18" t="n">
        <v>254461.61</v>
      </c>
      <c r="X27" s="18" t="n">
        <v>262571.73</v>
      </c>
      <c r="Y27" s="18" t="n">
        <v>269199.84</v>
      </c>
      <c r="Z27" s="34" t="n">
        <v>269199.84</v>
      </c>
      <c r="AA27" s="18" t="n">
        <v>274614.32</v>
      </c>
      <c r="AB27" s="19" t="n">
        <v>277841.22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20460.2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190204.06</v>
      </c>
      <c r="F32" s="34" t="n">
        <v>190204.06</v>
      </c>
      <c r="G32" s="18" t="n">
        <v>187582.23</v>
      </c>
      <c r="H32" s="18" t="n">
        <v>186769.55</v>
      </c>
      <c r="I32" s="18" t="n">
        <v>188792.37</v>
      </c>
      <c r="J32" s="18" t="n">
        <v>181918.26</v>
      </c>
      <c r="K32" s="34" t="n">
        <v>181918.26</v>
      </c>
      <c r="L32" s="18" t="n">
        <v>183532.43</v>
      </c>
      <c r="M32" s="18" t="n">
        <v>184484.32</v>
      </c>
      <c r="N32" s="18" t="n">
        <v>187477.48</v>
      </c>
      <c r="O32" s="18" t="n">
        <v>190036.48</v>
      </c>
      <c r="P32" s="34" t="n">
        <v>190036.48</v>
      </c>
      <c r="Q32" s="18" t="n">
        <v>193729.59</v>
      </c>
      <c r="R32" s="18" t="n">
        <v>197982.97</v>
      </c>
      <c r="S32" s="18" t="n">
        <v>200510.88</v>
      </c>
      <c r="T32" s="18" t="n">
        <v>209538.41</v>
      </c>
      <c r="U32" s="34" t="n">
        <v>209538.41</v>
      </c>
      <c r="V32" s="18" t="n">
        <v>214355.95</v>
      </c>
      <c r="W32" s="18" t="n">
        <v>218635.81</v>
      </c>
      <c r="X32" s="18" t="n">
        <v>226706.19</v>
      </c>
      <c r="Y32" s="18" t="n">
        <v>233109.82</v>
      </c>
      <c r="Z32" s="34" t="n">
        <v>233109.82</v>
      </c>
      <c r="AA32" s="18" t="n">
        <v>238524.3</v>
      </c>
      <c r="AB32" s="19" t="n">
        <v>246187.85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226690.06</v>
      </c>
      <c r="F34" s="34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4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4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4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4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260003.39</v>
      </c>
      <c r="F35" s="34" t="n">
        <v>260003.39</v>
      </c>
      <c r="G35" s="18" t="n">
        <v>258060.48</v>
      </c>
      <c r="H35" s="18" t="n">
        <v>258810.24</v>
      </c>
      <c r="I35" s="18" t="n">
        <v>262614.16</v>
      </c>
      <c r="J35" s="18" t="n">
        <v>261112.52</v>
      </c>
      <c r="K35" s="34" t="n">
        <v>261112.52</v>
      </c>
      <c r="L35" s="18" t="n">
        <v>266270.17</v>
      </c>
      <c r="M35" s="18" t="n">
        <v>279254.82</v>
      </c>
      <c r="N35" s="18" t="n">
        <v>280285.66</v>
      </c>
      <c r="O35" s="18" t="n">
        <v>297950.27</v>
      </c>
      <c r="P35" s="34" t="n">
        <v>297950.27</v>
      </c>
      <c r="Q35" s="18" t="n">
        <v>295957.58</v>
      </c>
      <c r="R35" s="18" t="n">
        <v>302849.65</v>
      </c>
      <c r="S35" s="18" t="n">
        <v>303664.4</v>
      </c>
      <c r="T35" s="18" t="n">
        <v>308605.89</v>
      </c>
      <c r="U35" s="34" t="n">
        <v>308605.89</v>
      </c>
      <c r="V35" s="18" t="n">
        <v>310593.54</v>
      </c>
      <c r="W35" s="18" t="n">
        <v>318841.75</v>
      </c>
      <c r="X35" s="18" t="n">
        <v>319950.18</v>
      </c>
      <c r="Y35" s="18" t="n">
        <v>321983.56</v>
      </c>
      <c r="Z35" s="34" t="n">
        <v>321983.56</v>
      </c>
      <c r="AA35" s="18" t="n">
        <v>332881.78</v>
      </c>
      <c r="AB35" s="19" t="n">
        <v>346315.62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38439.6</v>
      </c>
      <c r="F36" s="34" t="n">
        <v>38439.6</v>
      </c>
      <c r="G36" s="18" t="n">
        <v>27317.76</v>
      </c>
      <c r="H36" s="18" t="n">
        <v>26668.27</v>
      </c>
      <c r="I36" s="18" t="n">
        <v>29176.22</v>
      </c>
      <c r="J36" s="18" t="n">
        <v>27883.82</v>
      </c>
      <c r="K36" s="34" t="n">
        <v>27883.82</v>
      </c>
      <c r="L36" s="18" t="n">
        <v>25275.5</v>
      </c>
      <c r="M36" s="18" t="n">
        <v>31968.84</v>
      </c>
      <c r="N36" s="18" t="n">
        <v>21958.54</v>
      </c>
      <c r="O36" s="18" t="n">
        <v>39294.44</v>
      </c>
      <c r="P36" s="34" t="n">
        <v>39294.44</v>
      </c>
      <c r="Q36" s="18" t="n">
        <v>30995.1</v>
      </c>
      <c r="R36" s="18" t="n">
        <v>34067.27</v>
      </c>
      <c r="S36" s="18" t="n">
        <v>35879.5</v>
      </c>
      <c r="T36" s="18" t="n">
        <v>34949.76</v>
      </c>
      <c r="U36" s="34" t="n">
        <v>34949.76</v>
      </c>
      <c r="V36" s="18" t="n">
        <v>38014.46</v>
      </c>
      <c r="W36" s="18" t="n">
        <v>35112.52</v>
      </c>
      <c r="X36" s="18" t="n">
        <v>38137.1</v>
      </c>
      <c r="Y36" s="18" t="n">
        <v>57918.67</v>
      </c>
      <c r="Z36" s="34" t="n">
        <v>57918.67</v>
      </c>
      <c r="AA36" s="18" t="n">
        <v>52685.95</v>
      </c>
      <c r="AB36" s="19" t="n">
        <v>56501.41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기타비유동자산</t>
        </is>
      </c>
      <c r="F37" s="9" t="n"/>
      <c r="K37" s="9" t="n"/>
      <c r="N37" s="18" t="n">
        <v>2.37</v>
      </c>
      <c r="O37" s="18" t="n">
        <v>2.11</v>
      </c>
      <c r="P37" s="34" t="n">
        <v>2.11</v>
      </c>
      <c r="Q37" s="18" t="n">
        <v>2.12</v>
      </c>
      <c r="T37" s="18" t="n">
        <v>1.06</v>
      </c>
      <c r="U37" s="34" t="n">
        <v>1.06</v>
      </c>
      <c r="V37" s="18" t="n">
        <v>1.06</v>
      </c>
      <c r="W37" s="18" t="n">
        <v>1.11</v>
      </c>
      <c r="X37" s="18" t="n">
        <v>1.67</v>
      </c>
      <c r="Y37" s="18" t="n">
        <v>402.55</v>
      </c>
      <c r="Z37" s="34" t="n">
        <v>402.55</v>
      </c>
      <c r="AA37" s="18" t="n">
        <v>337.96</v>
      </c>
      <c r="AB37" s="19" t="n">
        <v>368.35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F38" s="9" t="n"/>
      <c r="K38" s="9" t="n"/>
      <c r="N38" s="18" t="n">
        <v>765.73</v>
      </c>
      <c r="O38" s="18" t="n">
        <v>806.37</v>
      </c>
      <c r="P38" s="34" t="n">
        <v>806.37</v>
      </c>
      <c r="Q38" s="18" t="n">
        <v>804.0599999999999</v>
      </c>
      <c r="T38" s="18" t="n">
        <v>837.96</v>
      </c>
      <c r="U38" s="34" t="n">
        <v>837.96</v>
      </c>
      <c r="V38" s="18" t="n">
        <v>832.74</v>
      </c>
      <c r="W38" s="18" t="n">
        <v>290</v>
      </c>
      <c r="X38" s="18" t="n">
        <v>747</v>
      </c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단기투자자산(공정가치)</t>
        </is>
      </c>
      <c r="F39" s="9" t="n"/>
      <c r="K39" s="9" t="n"/>
      <c r="P39" s="9" t="n"/>
      <c r="U39" s="9" t="n"/>
      <c r="Y39" s="18" t="n">
        <v>34769.73</v>
      </c>
      <c r="Z39" s="34" t="n">
        <v>34769.73</v>
      </c>
      <c r="AA39" s="18" t="n">
        <v>40501.05</v>
      </c>
      <c r="AB39" s="19" t="n">
        <v>30461.19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기타유동자산</t>
        </is>
      </c>
      <c r="F40" s="9" t="n"/>
      <c r="K40" s="9" t="n"/>
      <c r="P40" s="9" t="n"/>
      <c r="U40" s="9" t="n"/>
      <c r="Y40" s="18" t="n">
        <v>19076.58</v>
      </c>
      <c r="Z40" s="34" t="n">
        <v>19076.58</v>
      </c>
      <c r="AA40" s="18" t="n">
        <v>20414.41</v>
      </c>
      <c r="AB40" s="19" t="n">
        <v>15424.14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장기매출채권및기타채권</t>
        </is>
      </c>
      <c r="F41" s="9" t="n"/>
      <c r="K41" s="9" t="n"/>
      <c r="P41" s="9" t="n"/>
      <c r="U41" s="9" t="n"/>
      <c r="Y41" s="18" t="n">
        <v>809.54</v>
      </c>
      <c r="Z41" s="34" t="n">
        <v>809.54</v>
      </c>
      <c r="AA41" s="18" t="n">
        <v>922.35</v>
      </c>
      <c r="AB41" s="19" t="n">
        <v>1030.21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장기금융자산</t>
        </is>
      </c>
      <c r="F42" s="9" t="n"/>
      <c r="K42" s="9" t="n"/>
      <c r="P42" s="9" t="n"/>
      <c r="U42" s="9" t="n"/>
      <c r="Y42" s="18" t="n">
        <v>14471.83</v>
      </c>
      <c r="Z42" s="34" t="n">
        <v>14471.83</v>
      </c>
      <c r="AA42" s="18" t="n">
        <v>9497.84</v>
      </c>
      <c r="AB42" s="19" t="n">
        <v>12248.24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투자자산</t>
        </is>
      </c>
      <c r="F43" s="9" t="n"/>
      <c r="K43" s="9" t="n"/>
      <c r="P43" s="9" t="n"/>
      <c r="U43" s="9" t="n"/>
      <c r="Y43" s="18" t="n">
        <v>14471.83</v>
      </c>
      <c r="Z43" s="34" t="n">
        <v>14471.83</v>
      </c>
      <c r="AA43" s="18" t="n">
        <v>9497.84</v>
      </c>
      <c r="AB43" s="19" t="n">
        <v>12248.24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4" t="n">
        <v>401.66</v>
      </c>
      <c r="AA44" s="18" t="n">
        <v>337.07</v>
      </c>
      <c r="AB44" s="19" t="n">
        <v>367.46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F45" s="9" t="n"/>
      <c r="K45" s="9" t="n"/>
      <c r="P45" s="9" t="n"/>
      <c r="U45" s="9" t="n"/>
      <c r="Y45" s="18" t="n">
        <v>25910.36</v>
      </c>
      <c r="Z45" s="34" t="n">
        <v>25910.36</v>
      </c>
      <c r="AA45" s="18" t="n">
        <v>23230.45</v>
      </c>
      <c r="AB45" s="19" t="n">
        <v>34347.26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기타비유동금융부채</t>
        </is>
      </c>
      <c r="F46" s="9" t="n"/>
      <c r="K46" s="9" t="n"/>
      <c r="P46" s="9" t="n"/>
      <c r="U46" s="9" t="n"/>
      <c r="Y46" s="18" t="n">
        <v>290</v>
      </c>
      <c r="Z46" s="34" t="n">
        <v>290</v>
      </c>
      <c r="AA46" s="18" t="n">
        <v>964.35</v>
      </c>
      <c r="AB46" s="19" t="n">
        <v>360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F47" s="9" t="n"/>
      <c r="K47" s="9" t="n"/>
      <c r="P47" s="9" t="n"/>
      <c r="U47" s="9" t="n"/>
      <c r="Y47" s="18" t="n">
        <v>453.37</v>
      </c>
      <c r="Z47" s="34" t="n">
        <v>453.37</v>
      </c>
      <c r="AA47" s="18" t="n">
        <v>1074.92</v>
      </c>
      <c r="AB47" s="19" t="n">
        <v>453.43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4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4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4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4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4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4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4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4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4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4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4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4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4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4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4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4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4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4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4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4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4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4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4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4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4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4" t="n">
        <v>414</v>
      </c>
      <c r="L55" s="18" t="n">
        <v>-4.22</v>
      </c>
      <c r="M55" s="18" t="n">
        <v>501.53</v>
      </c>
      <c r="N55" s="18" t="n">
        <v>2.85</v>
      </c>
      <c r="O55" s="18" t="n">
        <v>547.01</v>
      </c>
      <c r="P55" s="34" t="n">
        <v>1047.17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4" t="n">
        <v>20.19</v>
      </c>
      <c r="V55" s="18" t="n">
        <v>38.95</v>
      </c>
      <c r="W55" s="18" t="n">
        <v>-435.88</v>
      </c>
      <c r="X55" s="18" t="n">
        <v>1.56</v>
      </c>
      <c r="Y55" s="18" t="n">
        <v>476.53</v>
      </c>
      <c r="Z55" s="34" t="n">
        <v>81.16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4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4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4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4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4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4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4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4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4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4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4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4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4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4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4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4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4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4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4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4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4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4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4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4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4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4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4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4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4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4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4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4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4" t="n">
        <v>207.3</v>
      </c>
      <c r="L64" s="18" t="n">
        <v>314.01</v>
      </c>
      <c r="M64" s="18" t="n">
        <v>-325.12</v>
      </c>
      <c r="N64" s="18" t="n">
        <v>353.57</v>
      </c>
      <c r="O64" s="18" t="n">
        <v>-328.62</v>
      </c>
      <c r="P64" s="34" t="n">
        <v>13.84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4" t="n">
        <v>892.1900000000001</v>
      </c>
      <c r="V64" s="18" t="n">
        <v>595.92</v>
      </c>
      <c r="W64" s="18" t="n">
        <v>801.88</v>
      </c>
      <c r="X64" s="18" t="n">
        <v>689.17</v>
      </c>
      <c r="Y64" s="18" t="n">
        <v>249.76</v>
      </c>
      <c r="Z64" s="34" t="n">
        <v>2336.73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4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4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4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4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(비지배주주지분)당기순이익</t>
        </is>
      </c>
      <c r="F66" s="9" t="n"/>
      <c r="K66" s="9" t="n"/>
      <c r="P66" s="9" t="n"/>
      <c r="U66" s="9" t="n"/>
      <c r="Z66" s="9" t="n"/>
      <c r="AA66" s="18" t="n">
        <v>0</v>
      </c>
      <c r="AB66" s="19" t="n">
        <v>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K67" s="9" t="n"/>
      <c r="P67" s="9" t="n"/>
      <c r="U67" s="9" t="n"/>
      <c r="Z67" s="9" t="n"/>
      <c r="AB67" s="19" t="n">
        <v>801.8200000000001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-2021.08</v>
      </c>
      <c r="F68" s="9" t="n"/>
      <c r="G68" s="18" t="n">
        <v>-2106.41</v>
      </c>
      <c r="H68" s="18" t="n">
        <v>-1064.97</v>
      </c>
      <c r="I68" s="18" t="n">
        <v>3475.43</v>
      </c>
      <c r="J68" s="18" t="n">
        <v>1252.2</v>
      </c>
      <c r="K68" s="34" t="n">
        <v>1556.25</v>
      </c>
      <c r="L68" s="18" t="n">
        <v>-1921.42</v>
      </c>
      <c r="M68" s="18" t="n">
        <v>10344.92</v>
      </c>
      <c r="N68" s="18" t="n">
        <v>-5291.58</v>
      </c>
      <c r="O68" s="18" t="n">
        <v>20819.54</v>
      </c>
      <c r="P68" s="34" t="n">
        <v>23951.46</v>
      </c>
      <c r="Q68" s="18" t="n">
        <v>-5922.09</v>
      </c>
      <c r="R68" s="18" t="n">
        <v>852.4299999999999</v>
      </c>
      <c r="S68" s="18" t="n">
        <v>2627.91</v>
      </c>
      <c r="T68" s="18" t="n">
        <v>-1822.15</v>
      </c>
      <c r="U68" s="34" t="n">
        <v>-4263.9</v>
      </c>
      <c r="V68" s="18" t="n">
        <v>-684.3200000000001</v>
      </c>
      <c r="W68" s="18" t="n">
        <v>5477.81</v>
      </c>
      <c r="X68" s="18" t="n">
        <v>-1425.65</v>
      </c>
      <c r="Y68" s="18" t="n">
        <v>12197.11</v>
      </c>
      <c r="Z68" s="34" t="n">
        <v>15564.95</v>
      </c>
      <c r="AA68" s="18" t="n">
        <v>-1071.33</v>
      </c>
      <c r="AB68" s="19" t="n">
        <v>13163.98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873.66</v>
      </c>
      <c r="F69" s="9" t="n"/>
      <c r="G69" s="18" t="n">
        <v>890.37</v>
      </c>
      <c r="H69" s="18" t="n">
        <v>935.65</v>
      </c>
      <c r="I69" s="18" t="n">
        <v>909.11</v>
      </c>
      <c r="J69" s="18" t="n">
        <v>903.46</v>
      </c>
      <c r="K69" s="34" t="n">
        <v>3638.59</v>
      </c>
      <c r="L69" s="18" t="n">
        <v>1018.41</v>
      </c>
      <c r="M69" s="18" t="n">
        <v>1026</v>
      </c>
      <c r="P69" s="9" t="n"/>
      <c r="S69" s="18" t="n">
        <v>1274.43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무형자산상각비</t>
        </is>
      </c>
      <c r="E70" s="18" t="n">
        <v>286.54</v>
      </c>
      <c r="F70" s="9" t="n"/>
      <c r="G70" s="18" t="n">
        <v>64.31</v>
      </c>
      <c r="H70" s="18" t="n">
        <v>64.67</v>
      </c>
      <c r="I70" s="18" t="n">
        <v>70.65000000000001</v>
      </c>
      <c r="J70" s="18" t="n">
        <v>71.55</v>
      </c>
      <c r="K70" s="34" t="n">
        <v>271.18</v>
      </c>
      <c r="L70" s="18" t="n">
        <v>66.23999999999999</v>
      </c>
      <c r="M70" s="18" t="n">
        <v>69.7</v>
      </c>
      <c r="P70" s="9" t="n"/>
      <c r="S70" s="18" t="n">
        <v>24.42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24.13</v>
      </c>
      <c r="F71" s="9" t="n"/>
      <c r="G71" s="18" t="n">
        <v>0</v>
      </c>
      <c r="H71" s="18" t="n">
        <v>0.16</v>
      </c>
      <c r="I71" s="18" t="n">
        <v>0</v>
      </c>
      <c r="J71" s="18" t="n">
        <v>0</v>
      </c>
      <c r="K71" s="34" t="n">
        <v>0.16</v>
      </c>
      <c r="N71" s="18" t="n">
        <v>0</v>
      </c>
      <c r="O71" s="18" t="n">
        <v>0</v>
      </c>
      <c r="P71" s="9" t="n"/>
      <c r="U71" s="9" t="n"/>
      <c r="V71" s="18" t="n">
        <v>0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380.97</v>
      </c>
      <c r="F72" s="9" t="n"/>
      <c r="G72" s="18" t="n">
        <v>-51.17</v>
      </c>
      <c r="H72" s="18" t="n">
        <v>1078.28</v>
      </c>
      <c r="I72" s="18" t="n">
        <v>-4.15</v>
      </c>
      <c r="J72" s="18" t="n">
        <v>178.33</v>
      </c>
      <c r="K72" s="34" t="n">
        <v>1201.29</v>
      </c>
      <c r="L72" s="18" t="n">
        <v>-162.56</v>
      </c>
      <c r="M72" s="18" t="n">
        <v>161.75</v>
      </c>
      <c r="N72" s="18" t="n">
        <v>-122.81</v>
      </c>
      <c r="O72" s="18" t="n">
        <v>-130.4</v>
      </c>
      <c r="P72" s="34" t="n">
        <v>-254.02</v>
      </c>
      <c r="Q72" s="18" t="n">
        <v>-143.69</v>
      </c>
      <c r="R72" s="18" t="n">
        <v>-139.11</v>
      </c>
      <c r="S72" s="18" t="n">
        <v>-130.96</v>
      </c>
      <c r="T72" s="18" t="n">
        <v>-134.36</v>
      </c>
      <c r="U72" s="34" t="n">
        <v>-548.12</v>
      </c>
      <c r="V72" s="18" t="n">
        <v>-1463.8</v>
      </c>
      <c r="W72" s="18" t="n">
        <v>-1662.06</v>
      </c>
      <c r="X72" s="18" t="n">
        <v>-910.35</v>
      </c>
      <c r="Y72" s="18" t="n">
        <v>-692.9299999999999</v>
      </c>
      <c r="Z72" s="34" t="n">
        <v>-4729.14</v>
      </c>
      <c r="AA72" s="18" t="n">
        <v>-2628.39</v>
      </c>
      <c r="AB72" s="19" t="n">
        <v>-3268.93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-9118.129999999999</v>
      </c>
      <c r="F73" s="9" t="n"/>
      <c r="G73" s="18" t="n">
        <v>-8931.379999999999</v>
      </c>
      <c r="H73" s="18" t="n">
        <v>-1454.67</v>
      </c>
      <c r="I73" s="18" t="n">
        <v>-1729.73</v>
      </c>
      <c r="J73" s="18" t="n">
        <v>-1660.56</v>
      </c>
      <c r="K73" s="34" t="n">
        <v>-13776.34</v>
      </c>
      <c r="L73" s="18" t="n">
        <v>-1998.76</v>
      </c>
      <c r="M73" s="18" t="n">
        <v>-4132.58</v>
      </c>
      <c r="N73" s="18" t="n">
        <v>-6298.03</v>
      </c>
      <c r="O73" s="18" t="n">
        <v>-3875.81</v>
      </c>
      <c r="P73" s="34" t="n">
        <v>-16305.18</v>
      </c>
      <c r="Q73" s="18" t="n">
        <v>-2651.72</v>
      </c>
      <c r="R73" s="18" t="n">
        <v>-2828.43</v>
      </c>
      <c r="S73" s="18" t="n">
        <v>-790.13</v>
      </c>
      <c r="T73" s="18" t="n">
        <v>-2556.5</v>
      </c>
      <c r="U73" s="34" t="n">
        <v>-8826.780000000001</v>
      </c>
      <c r="V73" s="18" t="n">
        <v>1089.33</v>
      </c>
      <c r="W73" s="18" t="n">
        <v>-3797.75</v>
      </c>
      <c r="X73" s="18" t="n">
        <v>-1999.43</v>
      </c>
      <c r="Y73" s="18" t="n">
        <v>-1251.82</v>
      </c>
      <c r="Z73" s="34" t="n">
        <v>-5959.67</v>
      </c>
      <c r="AA73" s="18" t="n">
        <v>-1962.85</v>
      </c>
      <c r="AB73" s="19" t="n">
        <v>-8154.67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31.27</v>
      </c>
      <c r="F74" s="9" t="n"/>
      <c r="G74" s="18" t="n">
        <v>493.39</v>
      </c>
      <c r="H74" s="18" t="n">
        <v>52.65</v>
      </c>
      <c r="J74" s="18" t="n">
        <v>3.63</v>
      </c>
      <c r="K74" s="9" t="n"/>
      <c r="L74" s="18" t="n">
        <v>0</v>
      </c>
      <c r="M74" s="18" t="n">
        <v>15.23</v>
      </c>
      <c r="N74" s="18" t="n">
        <v>100.2</v>
      </c>
      <c r="O74" s="18" t="n">
        <v>7.69</v>
      </c>
      <c r="P74" s="34" t="n">
        <v>123.12</v>
      </c>
      <c r="Q74" s="18" t="n">
        <v>1</v>
      </c>
      <c r="R74" s="18" t="n">
        <v>15.37</v>
      </c>
      <c r="S74" s="18" t="n">
        <v>3.15</v>
      </c>
      <c r="T74" s="18" t="n">
        <v>0</v>
      </c>
      <c r="U74" s="34" t="n">
        <v>19.52</v>
      </c>
      <c r="V74" s="18" t="n">
        <v>2.73</v>
      </c>
      <c r="W74" s="18" t="n">
        <v>5.28</v>
      </c>
      <c r="X74" s="18" t="n">
        <v>0.34</v>
      </c>
      <c r="Y74" s="18" t="n">
        <v>6.48</v>
      </c>
      <c r="Z74" s="34" t="n">
        <v>14.83</v>
      </c>
      <c r="AA74" s="18" t="n">
        <v>3.7</v>
      </c>
      <c r="AB74" s="19" t="n">
        <v>1.46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4117.28</v>
      </c>
      <c r="F75" s="9" t="n"/>
      <c r="G75" s="18" t="n">
        <v>4224.3</v>
      </c>
      <c r="H75" s="18" t="n">
        <v>1707.59</v>
      </c>
      <c r="I75" s="18" t="n">
        <v>1377.17</v>
      </c>
      <c r="J75" s="18" t="n">
        <v>593.84</v>
      </c>
      <c r="K75" s="34" t="n">
        <v>7902.9</v>
      </c>
      <c r="L75" s="18" t="n">
        <v>478.92</v>
      </c>
      <c r="M75" s="18" t="n">
        <v>4775.9</v>
      </c>
      <c r="N75" s="18" t="n">
        <v>3064.44</v>
      </c>
      <c r="O75" s="18" t="n">
        <v>2557.4</v>
      </c>
      <c r="P75" s="34" t="n">
        <v>10876.66</v>
      </c>
      <c r="Q75" s="18" t="n">
        <v>360.45</v>
      </c>
      <c r="R75" s="18" t="n">
        <v>2282.96</v>
      </c>
      <c r="S75" s="18" t="n">
        <v>592.9400000000001</v>
      </c>
      <c r="T75" s="18" t="n">
        <v>1931.61</v>
      </c>
      <c r="U75" s="34" t="n">
        <v>5167.96</v>
      </c>
      <c r="V75" s="18" t="n">
        <v>1884.92</v>
      </c>
      <c r="W75" s="18" t="n">
        <v>3191.58</v>
      </c>
      <c r="X75" s="18" t="n">
        <v>1062.93</v>
      </c>
      <c r="Y75" s="18" t="n">
        <v>1099.92</v>
      </c>
      <c r="Z75" s="34" t="n">
        <v>7239.35</v>
      </c>
      <c r="AA75" s="18" t="n">
        <v>1585.4</v>
      </c>
      <c r="AB75" s="19" t="n">
        <v>7225.51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4117.28</v>
      </c>
      <c r="F76" s="9" t="n"/>
      <c r="G76" s="18" t="n">
        <v>4224.3</v>
      </c>
      <c r="H76" s="18" t="n">
        <v>1707.59</v>
      </c>
      <c r="I76" s="18" t="n">
        <v>1377.17</v>
      </c>
      <c r="J76" s="18" t="n">
        <v>593.84</v>
      </c>
      <c r="K76" s="34" t="n">
        <v>7902.9</v>
      </c>
      <c r="L76" s="18" t="n">
        <v>478.92</v>
      </c>
      <c r="M76" s="18" t="n">
        <v>4775.9</v>
      </c>
      <c r="N76" s="18" t="n">
        <v>3064.44</v>
      </c>
      <c r="O76" s="18" t="n">
        <v>2557.4</v>
      </c>
      <c r="P76" s="34" t="n">
        <v>10876.66</v>
      </c>
      <c r="Q76" s="18" t="n">
        <v>360.45</v>
      </c>
      <c r="R76" s="18" t="n">
        <v>2282.96</v>
      </c>
      <c r="S76" s="18" t="n">
        <v>592.9400000000001</v>
      </c>
      <c r="T76" s="18" t="n">
        <v>1931.61</v>
      </c>
      <c r="U76" s="34" t="n">
        <v>5167.96</v>
      </c>
      <c r="V76" s="18" t="n">
        <v>1884.92</v>
      </c>
      <c r="W76" s="18" t="n">
        <v>3665.39</v>
      </c>
      <c r="X76" s="18" t="n">
        <v>650.64</v>
      </c>
      <c r="Y76" s="18" t="n">
        <v>1038.4</v>
      </c>
      <c r="Z76" s="34" t="n">
        <v>7239.35</v>
      </c>
      <c r="AA76" s="18" t="n">
        <v>1585.4</v>
      </c>
      <c r="AB76" s="19" t="n">
        <v>7225.51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293.26</v>
      </c>
      <c r="F77" s="9" t="n"/>
      <c r="G77" s="18" t="n">
        <v>-53.22</v>
      </c>
      <c r="H77" s="18" t="n">
        <v>1885.67</v>
      </c>
      <c r="I77" s="18" t="n">
        <v>54.81</v>
      </c>
      <c r="J77" s="18" t="n">
        <v>37.69</v>
      </c>
      <c r="K77" s="34" t="n">
        <v>1924.95</v>
      </c>
      <c r="L77" s="18" t="n">
        <v>-52.06</v>
      </c>
      <c r="M77" s="18" t="n">
        <v>1631.23</v>
      </c>
      <c r="N77" s="18" t="n">
        <v>1437.69</v>
      </c>
      <c r="O77" s="18" t="n">
        <v>709.11</v>
      </c>
      <c r="P77" s="34" t="n">
        <v>3725.97</v>
      </c>
      <c r="Q77" s="18" t="n">
        <v>-34.18</v>
      </c>
      <c r="R77" s="18" t="n">
        <v>4797.94</v>
      </c>
      <c r="S77" s="18" t="n">
        <v>538.13</v>
      </c>
      <c r="T77" s="18" t="n">
        <v>2028.97</v>
      </c>
      <c r="U77" s="34" t="n">
        <v>7330.86</v>
      </c>
      <c r="V77" s="18" t="n">
        <v>2595.38</v>
      </c>
      <c r="W77" s="18" t="n">
        <v>-3627.7</v>
      </c>
      <c r="X77" s="18" t="n">
        <v>6048.52</v>
      </c>
      <c r="Y77" s="18" t="n">
        <v>-5809.48</v>
      </c>
      <c r="Z77" s="34" t="n">
        <v>-793.28</v>
      </c>
      <c r="AA77" s="18" t="n">
        <v>1716.66</v>
      </c>
      <c r="AB77" s="19" t="n">
        <v>-3594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-5.23</v>
      </c>
      <c r="F78" s="9" t="n"/>
      <c r="G78" s="18" t="n">
        <v>-4.49</v>
      </c>
      <c r="H78" s="18" t="n">
        <v>4.49</v>
      </c>
      <c r="I78" s="18" t="n">
        <v>-12.57</v>
      </c>
      <c r="J78" s="18" t="n">
        <v>-3.59</v>
      </c>
      <c r="K78" s="34" t="n">
        <v>-16.16</v>
      </c>
      <c r="L78" s="18" t="n">
        <v>-3.28</v>
      </c>
      <c r="M78" s="18" t="n">
        <v>-2.99</v>
      </c>
      <c r="N78" s="18" t="n">
        <v>-2.7</v>
      </c>
      <c r="O78" s="18" t="n">
        <v>-2.41</v>
      </c>
      <c r="P78" s="34" t="n">
        <v>-11.38</v>
      </c>
      <c r="Q78" s="18" t="n">
        <v>-2.11</v>
      </c>
      <c r="R78" s="18" t="n">
        <v>-1.82</v>
      </c>
      <c r="S78" s="18" t="n">
        <v>-1.52</v>
      </c>
      <c r="T78" s="18" t="n">
        <v>-3.41</v>
      </c>
      <c r="U78" s="34" t="n">
        <v>-8.859999999999999</v>
      </c>
      <c r="V78" s="18" t="n">
        <v>-1.44</v>
      </c>
      <c r="W78" s="18" t="n">
        <v>1.44</v>
      </c>
      <c r="X78" s="18" t="n">
        <v>0</v>
      </c>
      <c r="Y78" s="18" t="n">
        <v>0</v>
      </c>
      <c r="Z78" s="34" t="n">
        <v>0</v>
      </c>
      <c r="AA78" s="18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리스부채의상환</t>
        </is>
      </c>
      <c r="E79" s="18" t="n">
        <v>53.91</v>
      </c>
      <c r="F79" s="9" t="n"/>
      <c r="G79" s="18" t="n">
        <v>48.72</v>
      </c>
      <c r="H79" s="18" t="n">
        <v>49</v>
      </c>
      <c r="I79" s="18" t="n">
        <v>49.3</v>
      </c>
      <c r="J79" s="18" t="n">
        <v>50.22</v>
      </c>
      <c r="K79" s="34" t="n">
        <v>197.24</v>
      </c>
      <c r="L79" s="18" t="n">
        <v>48.78</v>
      </c>
      <c r="M79" s="18" t="n">
        <v>49.1</v>
      </c>
      <c r="N79" s="18" t="n">
        <v>49.42</v>
      </c>
      <c r="O79" s="18" t="n">
        <v>49.74</v>
      </c>
      <c r="P79" s="34" t="n">
        <v>197.04</v>
      </c>
      <c r="Q79" s="18" t="n">
        <v>50.07</v>
      </c>
      <c r="R79" s="18" t="n">
        <v>50.39</v>
      </c>
      <c r="S79" s="18" t="n">
        <v>50.73</v>
      </c>
      <c r="T79" s="18" t="n">
        <v>75.12</v>
      </c>
      <c r="U79" s="34" t="n">
        <v>226.31</v>
      </c>
      <c r="V79" s="18" t="n">
        <v>46.17</v>
      </c>
      <c r="W79" s="18" t="n">
        <v>68.73999999999999</v>
      </c>
      <c r="X79" s="18" t="n">
        <v>37.09</v>
      </c>
      <c r="Y79" s="18" t="n">
        <v>108.83</v>
      </c>
      <c r="Z79" s="34" t="n">
        <v>260.83</v>
      </c>
      <c r="AA79" s="18" t="n">
        <v>53.34</v>
      </c>
      <c r="AB79" s="19" t="n">
        <v>84.68000000000001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배당금지급</t>
        </is>
      </c>
      <c r="E80" s="18" t="n">
        <v>0</v>
      </c>
      <c r="F80" s="9" t="n"/>
      <c r="I80" s="18" t="n">
        <v>0</v>
      </c>
      <c r="J80" s="18" t="n">
        <v>0</v>
      </c>
      <c r="K80" s="9" t="n"/>
      <c r="N80" s="18" t="n">
        <v>0</v>
      </c>
      <c r="O80" s="18" t="n">
        <v>0</v>
      </c>
      <c r="P80" s="9" t="n"/>
      <c r="U80" s="9" t="n"/>
      <c r="X80" s="18" t="n">
        <v>0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-10920.66</v>
      </c>
      <c r="F82" s="9" t="n"/>
      <c r="G82" s="18" t="n">
        <v>-11121.84</v>
      </c>
      <c r="H82" s="18" t="n">
        <v>-649.49</v>
      </c>
      <c r="I82" s="18" t="n">
        <v>2507.94</v>
      </c>
      <c r="J82" s="18" t="n">
        <v>-1292.4</v>
      </c>
      <c r="K82" s="34" t="n">
        <v>-10555.79</v>
      </c>
      <c r="L82" s="18" t="n">
        <v>-3661.85</v>
      </c>
      <c r="M82" s="18" t="n">
        <v>7746.88</v>
      </c>
      <c r="N82" s="18" t="n">
        <v>-10010.3</v>
      </c>
      <c r="O82" s="18" t="n">
        <v>17335.9</v>
      </c>
      <c r="P82" s="34" t="n">
        <v>11410.63</v>
      </c>
      <c r="Q82" s="18" t="n">
        <v>-8299.34</v>
      </c>
      <c r="R82" s="18" t="n">
        <v>3072.16</v>
      </c>
      <c r="S82" s="18" t="n">
        <v>1812.24</v>
      </c>
      <c r="T82" s="18" t="n">
        <v>-929.74</v>
      </c>
      <c r="U82" s="34" t="n">
        <v>-4344.68</v>
      </c>
      <c r="V82" s="18" t="n">
        <v>3064.69</v>
      </c>
      <c r="W82" s="18" t="n">
        <v>-2901.93</v>
      </c>
      <c r="X82" s="18" t="n">
        <v>3024.57</v>
      </c>
      <c r="Y82" s="18" t="n">
        <v>5309.75</v>
      </c>
      <c r="Z82" s="34" t="n">
        <v>8497.08</v>
      </c>
      <c r="AA82" s="18" t="n">
        <v>-258.74</v>
      </c>
      <c r="AB82" s="19" t="n">
        <v>1065.06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-10920.67</v>
      </c>
      <c r="F83" s="9" t="n"/>
      <c r="G83" s="18" t="n">
        <v>27317.76</v>
      </c>
      <c r="H83" s="18" t="n">
        <v>-649.49</v>
      </c>
      <c r="I83" s="18" t="n">
        <v>2507.95</v>
      </c>
      <c r="J83" s="18" t="n">
        <v>-1292.4</v>
      </c>
      <c r="K83" s="34" t="n">
        <v>27883.82</v>
      </c>
      <c r="L83" s="18" t="n">
        <v>24221.97</v>
      </c>
      <c r="M83" s="18" t="n">
        <v>7746.87</v>
      </c>
      <c r="N83" s="18" t="n">
        <v>-10010.3</v>
      </c>
      <c r="O83" s="18" t="n">
        <v>17335.9</v>
      </c>
      <c r="P83" s="34" t="n">
        <v>39294.44</v>
      </c>
      <c r="Q83" s="18" t="n">
        <v>30995.1</v>
      </c>
      <c r="R83" s="18" t="n">
        <v>3072.17</v>
      </c>
      <c r="S83" s="18" t="n">
        <v>1812.23</v>
      </c>
      <c r="T83" s="18" t="n">
        <v>-929.74</v>
      </c>
      <c r="U83" s="34" t="n">
        <v>34949.76</v>
      </c>
      <c r="V83" s="18" t="n">
        <v>38014.46</v>
      </c>
      <c r="W83" s="18" t="n">
        <v>-2901.94</v>
      </c>
      <c r="X83" s="18" t="n">
        <v>3024.58</v>
      </c>
      <c r="Y83" s="18" t="n">
        <v>5309.74</v>
      </c>
      <c r="Z83" s="34" t="n">
        <v>43446.84</v>
      </c>
      <c r="AA83" s="18" t="n">
        <v>43188.11</v>
      </c>
      <c r="AB83" s="19" t="n">
        <v>1065.06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F84" s="9" t="n"/>
      <c r="K84" s="9" t="n"/>
      <c r="O84" s="18" t="n">
        <v>819.29</v>
      </c>
      <c r="P84" s="9" t="n"/>
      <c r="Q84" s="18" t="n">
        <v>1038.7</v>
      </c>
      <c r="R84" s="18" t="n">
        <v>795</v>
      </c>
      <c r="S84" s="18" t="n">
        <v>846.61</v>
      </c>
      <c r="T84" s="18" t="n">
        <v>881.49</v>
      </c>
      <c r="U84" s="34" t="n">
        <v>3561.8</v>
      </c>
      <c r="V84" s="18" t="n">
        <v>549.9</v>
      </c>
      <c r="W84" s="18" t="n">
        <v>892.4400000000001</v>
      </c>
      <c r="X84" s="18" t="n">
        <v>822.8</v>
      </c>
      <c r="Y84" s="18" t="n">
        <v>612.28</v>
      </c>
      <c r="Z84" s="34" t="n">
        <v>2877.42</v>
      </c>
      <c r="AA84" s="18" t="n">
        <v>642.38</v>
      </c>
      <c r="AB84" s="19" t="n">
        <v>849.4400000000001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4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4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4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4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4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4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4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4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4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4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4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4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4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4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4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4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4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4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4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4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4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4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4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4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4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4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4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4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4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4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4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4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4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4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4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4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4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4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4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4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4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4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4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4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4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4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4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4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4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4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4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4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4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4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4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4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4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4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4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4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4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4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4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4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4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4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4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4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4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4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4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4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4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4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4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4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4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4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4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4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4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4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4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4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4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4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4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4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4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4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4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J25" s="18" t="n">
        <v>0</v>
      </c>
      <c r="K25" s="34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4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4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4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4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4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4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4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24560.17</v>
      </c>
      <c r="F27" s="34" t="n">
        <v>24560.17</v>
      </c>
      <c r="G27" s="18" t="n">
        <v>22693.32</v>
      </c>
      <c r="H27" s="18" t="n">
        <v>25068.26</v>
      </c>
      <c r="I27" s="18" t="n">
        <v>27243.18</v>
      </c>
      <c r="J27" s="18" t="n">
        <v>30929.05</v>
      </c>
      <c r="K27" s="34" t="n">
        <v>30929.05</v>
      </c>
      <c r="L27" s="18" t="n">
        <v>36219.49</v>
      </c>
      <c r="M27" s="18" t="n">
        <v>49065.53</v>
      </c>
      <c r="N27" s="18" t="n">
        <v>48903.56</v>
      </c>
      <c r="O27" s="18" t="n">
        <v>60884.57</v>
      </c>
      <c r="P27" s="34" t="n">
        <v>60884.57</v>
      </c>
      <c r="Q27" s="18" t="n">
        <v>58152.27</v>
      </c>
      <c r="R27" s="18" t="n">
        <v>60545.06</v>
      </c>
      <c r="S27" s="18" t="n">
        <v>55893.15</v>
      </c>
      <c r="T27" s="18" t="n">
        <v>55493.28</v>
      </c>
      <c r="U27" s="34" t="n">
        <v>55493.28</v>
      </c>
      <c r="V27" s="18" t="n">
        <v>53402.06</v>
      </c>
      <c r="W27" s="18" t="n">
        <v>54031.3</v>
      </c>
      <c r="X27" s="18" t="n">
        <v>48344.6</v>
      </c>
      <c r="Y27" s="18" t="n">
        <v>42780.22</v>
      </c>
      <c r="Z27" s="34" t="n">
        <v>42780.22</v>
      </c>
      <c r="AA27" s="18" t="n">
        <v>50676.89</v>
      </c>
      <c r="AB27" s="19" t="n">
        <v>60053.51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25536.36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180385.56</v>
      </c>
      <c r="F32" s="34" t="n">
        <v>180385.56</v>
      </c>
      <c r="G32" s="18" t="n">
        <v>177743.87</v>
      </c>
      <c r="H32" s="18" t="n">
        <v>176448.47</v>
      </c>
      <c r="I32" s="18" t="n">
        <v>178241.25</v>
      </c>
      <c r="J32" s="18" t="n">
        <v>171606.02</v>
      </c>
      <c r="K32" s="34" t="n">
        <v>171606.02</v>
      </c>
      <c r="L32" s="18" t="n">
        <v>172987.78</v>
      </c>
      <c r="M32" s="18" t="n">
        <v>174292.42</v>
      </c>
      <c r="N32" s="18" t="n">
        <v>176802.39</v>
      </c>
      <c r="O32" s="18" t="n">
        <v>179173.92</v>
      </c>
      <c r="P32" s="34" t="n">
        <v>179173.92</v>
      </c>
      <c r="Q32" s="18" t="n">
        <v>182785.54</v>
      </c>
      <c r="R32" s="18" t="n">
        <v>186976.13</v>
      </c>
      <c r="S32" s="18" t="n">
        <v>189176.18</v>
      </c>
      <c r="T32" s="18" t="n">
        <v>198547.19</v>
      </c>
      <c r="U32" s="34" t="n">
        <v>198547.19</v>
      </c>
      <c r="V32" s="18" t="n">
        <v>202688.36</v>
      </c>
      <c r="W32" s="18" t="n">
        <v>207378.81</v>
      </c>
      <c r="X32" s="18" t="n">
        <v>215106.46</v>
      </c>
      <c r="Y32" s="18" t="n">
        <v>221279.35</v>
      </c>
      <c r="Z32" s="34" t="n">
        <v>221279.35</v>
      </c>
      <c r="AA32" s="18" t="n">
        <v>226217.19</v>
      </c>
      <c r="AB32" s="19" t="n">
        <v>233787.92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216871.56</v>
      </c>
      <c r="F33" s="34" t="n">
        <v>216871.56</v>
      </c>
      <c r="G33" s="18" t="n">
        <v>214235.41</v>
      </c>
      <c r="H33" s="18" t="n">
        <v>212977.67</v>
      </c>
      <c r="I33" s="18" t="n">
        <v>214778.23</v>
      </c>
      <c r="J33" s="18" t="n">
        <v>208156.94</v>
      </c>
      <c r="K33" s="34" t="n">
        <v>208156.94</v>
      </c>
      <c r="L33" s="18" t="n">
        <v>209546.73</v>
      </c>
      <c r="M33" s="18" t="n">
        <v>209950.91</v>
      </c>
      <c r="N33" s="18" t="n">
        <v>212427.32</v>
      </c>
      <c r="O33" s="18" t="n">
        <v>214815.25</v>
      </c>
      <c r="P33" s="34" t="n">
        <v>214815.25</v>
      </c>
      <c r="Q33" s="18" t="n">
        <v>218438.84</v>
      </c>
      <c r="R33" s="18" t="n">
        <v>222671.51</v>
      </c>
      <c r="S33" s="18" t="n">
        <v>224887.59</v>
      </c>
      <c r="T33" s="18" t="n">
        <v>234277.53</v>
      </c>
      <c r="U33" s="34" t="n">
        <v>234277.53</v>
      </c>
      <c r="V33" s="18" t="n">
        <v>238436.3</v>
      </c>
      <c r="W33" s="18" t="n">
        <v>243204.61</v>
      </c>
      <c r="X33" s="18" t="n">
        <v>250972</v>
      </c>
      <c r="Y33" s="18" t="n">
        <v>257369.37</v>
      </c>
      <c r="Z33" s="34" t="n">
        <v>257369.37</v>
      </c>
      <c r="AA33" s="18" t="n">
        <v>262307.21</v>
      </c>
      <c r="AB33" s="19" t="n">
        <v>270517.45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241431.73</v>
      </c>
      <c r="F34" s="34" t="n">
        <v>241431.73</v>
      </c>
      <c r="G34" s="18" t="n">
        <v>236928.74</v>
      </c>
      <c r="H34" s="18" t="n">
        <v>238045.93</v>
      </c>
      <c r="I34" s="18" t="n">
        <v>242021.41</v>
      </c>
      <c r="J34" s="18" t="n">
        <v>239085.99</v>
      </c>
      <c r="K34" s="34" t="n">
        <v>239085.99</v>
      </c>
      <c r="L34" s="18" t="n">
        <v>245766.22</v>
      </c>
      <c r="M34" s="18" t="n">
        <v>259016.44</v>
      </c>
      <c r="N34" s="18" t="n">
        <v>261330.87</v>
      </c>
      <c r="O34" s="18" t="n">
        <v>275699.82</v>
      </c>
      <c r="P34" s="34" t="n">
        <v>275699.82</v>
      </c>
      <c r="Q34" s="18" t="n">
        <v>276591.11</v>
      </c>
      <c r="R34" s="18" t="n">
        <v>283216.57</v>
      </c>
      <c r="S34" s="18" t="n">
        <v>280780.74</v>
      </c>
      <c r="T34" s="18" t="n">
        <v>289770.81</v>
      </c>
      <c r="U34" s="34" t="n">
        <v>289770.81</v>
      </c>
      <c r="V34" s="18" t="n">
        <v>291838.36</v>
      </c>
      <c r="W34" s="18" t="n">
        <v>297235.91</v>
      </c>
      <c r="X34" s="18" t="n">
        <v>299316.59</v>
      </c>
      <c r="Y34" s="18" t="n">
        <v>300149.59</v>
      </c>
      <c r="Z34" s="34" t="n">
        <v>300149.59</v>
      </c>
      <c r="AA34" s="18" t="n">
        <v>312984.1</v>
      </c>
      <c r="AB34" s="19" t="n">
        <v>330570.96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216871.56</v>
      </c>
      <c r="F35" s="34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4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4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4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4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36607.43</v>
      </c>
      <c r="F36" s="34" t="n">
        <v>36607.43</v>
      </c>
      <c r="G36" s="18" t="n">
        <v>22415.6</v>
      </c>
      <c r="H36" s="18" t="n">
        <v>22021.35</v>
      </c>
      <c r="I36" s="18" t="n">
        <v>25178.13</v>
      </c>
      <c r="J36" s="18" t="n">
        <v>21659.58</v>
      </c>
      <c r="K36" s="34" t="n">
        <v>21659.58</v>
      </c>
      <c r="L36" s="18" t="n">
        <v>20035.41</v>
      </c>
      <c r="M36" s="18" t="n">
        <v>25451.96</v>
      </c>
      <c r="N36" s="18" t="n">
        <v>17921.71</v>
      </c>
      <c r="O36" s="18" t="n">
        <v>29984.55</v>
      </c>
      <c r="P36" s="34" t="n">
        <v>29984.55</v>
      </c>
      <c r="Q36" s="18" t="n">
        <v>24578.62</v>
      </c>
      <c r="R36" s="18" t="n">
        <v>29218.42</v>
      </c>
      <c r="S36" s="18" t="n">
        <v>29322.15</v>
      </c>
      <c r="T36" s="18" t="n">
        <v>30793.59</v>
      </c>
      <c r="U36" s="34" t="n">
        <v>30793.59</v>
      </c>
      <c r="V36" s="18" t="n">
        <v>32180.7</v>
      </c>
      <c r="W36" s="18" t="n">
        <v>27156.16</v>
      </c>
      <c r="X36" s="18" t="n">
        <v>34691.89</v>
      </c>
      <c r="Y36" s="18" t="n">
        <v>53209.79</v>
      </c>
      <c r="Z36" s="34" t="n">
        <v>53209.79</v>
      </c>
      <c r="AA36" s="18" t="n">
        <v>48668.38</v>
      </c>
      <c r="AB36" s="19" t="n">
        <v>42721.37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F37" s="9" t="n"/>
      <c r="K37" s="9" t="n"/>
      <c r="N37" s="18" t="n">
        <v>388</v>
      </c>
      <c r="O37" s="18" t="n">
        <v>368</v>
      </c>
      <c r="P37" s="34" t="n">
        <v>368</v>
      </c>
      <c r="Q37" s="18" t="n">
        <v>368</v>
      </c>
      <c r="R37" s="18" t="n">
        <v>368</v>
      </c>
      <c r="S37" s="18" t="n">
        <v>368</v>
      </c>
      <c r="T37" s="18" t="n">
        <v>368</v>
      </c>
      <c r="U37" s="34" t="n">
        <v>368</v>
      </c>
      <c r="V37" s="18" t="n">
        <v>368</v>
      </c>
      <c r="W37" s="18" t="n">
        <v>290</v>
      </c>
      <c r="X37" s="18" t="n">
        <v>290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단기투자자산(공정가치)</t>
        </is>
      </c>
      <c r="F38" s="9" t="n"/>
      <c r="K38" s="9" t="n"/>
      <c r="P38" s="9" t="n"/>
      <c r="U38" s="9" t="n"/>
      <c r="Y38" s="18" t="n">
        <v>34769.73</v>
      </c>
      <c r="Z38" s="34" t="n">
        <v>34769.73</v>
      </c>
      <c r="AA38" s="18" t="n">
        <v>40501.05</v>
      </c>
      <c r="AB38" s="19" t="n">
        <v>19876.64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기타유동자산</t>
        </is>
      </c>
      <c r="F39" s="9" t="n"/>
      <c r="K39" s="9" t="n"/>
      <c r="P39" s="9" t="n"/>
      <c r="U39" s="9" t="n"/>
      <c r="Y39" s="18" t="n">
        <v>14318.03</v>
      </c>
      <c r="Z39" s="34" t="n">
        <v>14318.03</v>
      </c>
      <c r="AA39" s="18" t="n">
        <v>16075.42</v>
      </c>
      <c r="AB39" s="19" t="n">
        <v>12112.62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P40" s="9" t="n"/>
      <c r="U40" s="9" t="n"/>
      <c r="Y40" s="18" t="n">
        <v>809.54</v>
      </c>
      <c r="Z40" s="34" t="n">
        <v>809.54</v>
      </c>
      <c r="AA40" s="18" t="n">
        <v>922.35</v>
      </c>
      <c r="AB40" s="19" t="n">
        <v>1030.21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장기금융자산</t>
        </is>
      </c>
      <c r="F41" s="9" t="n"/>
      <c r="K41" s="9" t="n"/>
      <c r="P41" s="9" t="n"/>
      <c r="U41" s="9" t="n"/>
      <c r="Y41" s="18" t="n">
        <v>13921.85</v>
      </c>
      <c r="Z41" s="34" t="n">
        <v>13921.85</v>
      </c>
      <c r="AA41" s="18" t="n">
        <v>8949.139999999999</v>
      </c>
      <c r="AB41" s="19" t="n">
        <v>9481.4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사용권자산</t>
        </is>
      </c>
      <c r="F42" s="9" t="n"/>
      <c r="K42" s="9" t="n"/>
      <c r="P42" s="9" t="n"/>
      <c r="U42" s="9" t="n"/>
      <c r="Y42" s="18" t="n">
        <v>401.66</v>
      </c>
      <c r="Z42" s="34" t="n">
        <v>401.66</v>
      </c>
      <c r="AA42" s="18" t="n">
        <v>337.07</v>
      </c>
      <c r="AB42" s="19" t="n">
        <v>360.87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U43" s="9" t="n"/>
      <c r="Y43" s="18" t="n">
        <v>401.66</v>
      </c>
      <c r="Z43" s="34" t="n">
        <v>401.66</v>
      </c>
      <c r="AA43" s="18" t="n">
        <v>337.07</v>
      </c>
      <c r="AB43" s="19" t="n">
        <v>360.87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기타유동부채</t>
        </is>
      </c>
      <c r="F44" s="9" t="n"/>
      <c r="K44" s="9" t="n"/>
      <c r="P44" s="9" t="n"/>
      <c r="U44" s="9" t="n"/>
      <c r="Y44" s="18" t="n">
        <v>19433.67</v>
      </c>
      <c r="Z44" s="34" t="n">
        <v>19433.67</v>
      </c>
      <c r="AA44" s="18" t="n">
        <v>18964.12</v>
      </c>
      <c r="AB44" s="19" t="n">
        <v>31233.47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기타비유동금융부채</t>
        </is>
      </c>
      <c r="F45" s="9" t="n"/>
      <c r="K45" s="9" t="n"/>
      <c r="P45" s="9" t="n"/>
      <c r="U45" s="9" t="n"/>
      <c r="Y45" s="18" t="n">
        <v>290</v>
      </c>
      <c r="Z45" s="34" t="n">
        <v>290</v>
      </c>
      <c r="AA45" s="18" t="n">
        <v>270</v>
      </c>
      <c r="AB45" s="19" t="n">
        <v>360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</t>
        </is>
      </c>
      <c r="F46" s="9" t="n"/>
      <c r="K46" s="9" t="n"/>
      <c r="P46" s="9" t="n"/>
      <c r="U46" s="9" t="n"/>
      <c r="Y46" s="18" t="n">
        <v>453.37</v>
      </c>
      <c r="Z46" s="34" t="n">
        <v>453.37</v>
      </c>
      <c r="AA46" s="18" t="n">
        <v>380.57</v>
      </c>
      <c r="AB46" s="19" t="n">
        <v>453.43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4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4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4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4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4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4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4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4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4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4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4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4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4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4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4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4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4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4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4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4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4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4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4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4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4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4" t="n">
        <v>413.99</v>
      </c>
      <c r="L54" s="18" t="n">
        <v>-4.32</v>
      </c>
      <c r="M54" s="18" t="n">
        <v>501.45</v>
      </c>
      <c r="N54" s="18" t="n">
        <v>2.85</v>
      </c>
      <c r="O54" s="18" t="n">
        <v>547.01</v>
      </c>
      <c r="P54" s="34" t="n">
        <v>1046.99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4" t="n">
        <v>20.08</v>
      </c>
      <c r="V54" s="18" t="n">
        <v>38.95</v>
      </c>
      <c r="W54" s="18" t="n">
        <v>-435.88</v>
      </c>
      <c r="X54" s="18" t="n">
        <v>-18.44</v>
      </c>
      <c r="Y54" s="18" t="n">
        <v>476.53</v>
      </c>
      <c r="Z54" s="34" t="n">
        <v>61.16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4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4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4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4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4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4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4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4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4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4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4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4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4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4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4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4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4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4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4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4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4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4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4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4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4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4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4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4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4" t="n">
        <v>819.87</v>
      </c>
      <c r="L62" s="18" t="n">
        <v>362.6</v>
      </c>
      <c r="M62" s="18" t="n">
        <v>-194.32</v>
      </c>
      <c r="N62" s="18" t="n">
        <v>506.35</v>
      </c>
      <c r="O62" s="18" t="n">
        <v>-164.21</v>
      </c>
      <c r="P62" s="34" t="n">
        <v>510.42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4" t="n">
        <v>1485.78</v>
      </c>
      <c r="V62" s="18" t="n">
        <v>585.01</v>
      </c>
      <c r="W62" s="18" t="n">
        <v>954.71</v>
      </c>
      <c r="X62" s="18" t="n">
        <v>860.16</v>
      </c>
      <c r="Y62" s="18" t="n">
        <v>383.66</v>
      </c>
      <c r="Z62" s="34" t="n">
        <v>2783.54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4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4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4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4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4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4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4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4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4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4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4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4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4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4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4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4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4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4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4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4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4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4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4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4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4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4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4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4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4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4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4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4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4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4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4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4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4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4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4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4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4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4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4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4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4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4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4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4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4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4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4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4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4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4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4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0.0132</v>
      </c>
      <c r="F10" s="34" t="n"/>
      <c r="G10" s="18" t="n">
        <v>-0.0561</v>
      </c>
      <c r="H10" s="18" t="n">
        <v>-0.0551</v>
      </c>
      <c r="I10" s="18" t="n">
        <v>0.0117</v>
      </c>
      <c r="J10" s="18" t="n">
        <v>-0.197</v>
      </c>
      <c r="K10" s="34">
        <f>SUM(G10:J10)</f>
        <v/>
      </c>
      <c r="L10" s="18" t="n">
        <v>-0.0289</v>
      </c>
      <c r="M10" s="18" t="n">
        <v>0.0077</v>
      </c>
      <c r="N10" s="18" t="n">
        <v>0.0462</v>
      </c>
      <c r="O10" s="18" t="n">
        <v>0.0535</v>
      </c>
      <c r="P10" s="34">
        <f>SUM(L10:O10)</f>
        <v/>
      </c>
      <c r="Q10" s="18" t="n">
        <v>0.0575</v>
      </c>
      <c r="R10" s="18" t="n">
        <v>0.0614</v>
      </c>
      <c r="S10" s="18" t="n">
        <v>0.06519999999999999</v>
      </c>
      <c r="T10" s="18" t="n">
        <v>0.1216</v>
      </c>
      <c r="U10" s="34">
        <f>SUM(Q10:T10)</f>
        <v/>
      </c>
      <c r="V10" s="18" t="n">
        <v>0.1026</v>
      </c>
      <c r="W10" s="18" t="n">
        <v>0.1027</v>
      </c>
      <c r="X10" s="18" t="n">
        <v>0.1258</v>
      </c>
      <c r="Y10" s="18" t="n">
        <v>0.1382</v>
      </c>
      <c r="Z10" s="34">
        <f>SUM(V10:Y10)</f>
        <v/>
      </c>
      <c r="AA10" s="18" t="n">
        <v>0.1233</v>
      </c>
      <c r="AB10" s="19" t="n">
        <v>0.1067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 t="n">
        <v>76.64</v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 t="n"/>
      <c r="R17" s="18" t="n"/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10.22</v>
      </c>
      <c r="AD17" s="20" t="n">
        <v>10.22</v>
      </c>
      <c r="AE17" s="35">
        <f>SUM(AA17:AD17)</f>
        <v/>
      </c>
      <c r="AF17" s="20" t="n">
        <v>10.22</v>
      </c>
      <c r="AG17" s="20" t="n">
        <v>10.22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14.05</v>
      </c>
      <c r="F18" s="34" t="n"/>
      <c r="G18" s="18" t="n">
        <v>-8.35</v>
      </c>
      <c r="H18" s="18" t="n">
        <v>-9.77</v>
      </c>
      <c r="I18" s="18" t="n">
        <v>12.74</v>
      </c>
      <c r="J18" s="18" t="n">
        <v>-57.1</v>
      </c>
      <c r="K18" s="34">
        <f>SUM(G18:J18)</f>
        <v/>
      </c>
      <c r="L18" s="18" t="n">
        <v>0.88</v>
      </c>
      <c r="M18" s="18" t="n">
        <v>12.93</v>
      </c>
      <c r="N18" s="18" t="n"/>
      <c r="O18" s="18" t="n"/>
      <c r="P18" s="34">
        <f>SUM(L18:O18)</f>
        <v/>
      </c>
      <c r="Q18" s="18" t="n"/>
      <c r="R18" s="18" t="n"/>
      <c r="S18" s="18" t="n">
        <v>41.9</v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87.87</v>
      </c>
      <c r="AD18" s="20" t="n">
        <v>81.64</v>
      </c>
      <c r="AE18" s="35">
        <f>SUM(AA18:AD18)</f>
        <v/>
      </c>
      <c r="AF18" s="20" t="n">
        <v>74.45</v>
      </c>
      <c r="AG18" s="20" t="n">
        <v>99.61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-20.21</v>
      </c>
      <c r="F26" s="34" t="n"/>
      <c r="G26" s="18" t="n">
        <v>-21.06</v>
      </c>
      <c r="H26" s="18" t="n">
        <v>-10.65</v>
      </c>
      <c r="I26" s="18" t="n">
        <v>34.75</v>
      </c>
      <c r="J26" s="18" t="n">
        <v>12.52</v>
      </c>
      <c r="K26" s="34">
        <f>SUM(G26:J26)</f>
        <v/>
      </c>
      <c r="L26" s="18" t="n">
        <v>-19.21</v>
      </c>
      <c r="M26" s="18" t="n">
        <v>103.45</v>
      </c>
      <c r="N26" s="18" t="n">
        <v>-52.92</v>
      </c>
      <c r="O26" s="18" t="n">
        <v>208.2</v>
      </c>
      <c r="P26" s="34">
        <f>SUM(L26:O26)</f>
        <v/>
      </c>
      <c r="Q26" s="18" t="n">
        <v>-59.22</v>
      </c>
      <c r="R26" s="18" t="n">
        <v>8.52</v>
      </c>
      <c r="S26" s="18" t="n">
        <v>26.28</v>
      </c>
      <c r="T26" s="18" t="n">
        <v>-18.22</v>
      </c>
      <c r="U26" s="34">
        <f>SUM(Q26:T26)</f>
        <v/>
      </c>
      <c r="V26" s="18" t="n">
        <v>-6.84</v>
      </c>
      <c r="W26" s="18" t="n">
        <v>54.78</v>
      </c>
      <c r="X26" s="18" t="n">
        <v>-14.26</v>
      </c>
      <c r="Y26" s="18" t="n">
        <v>121.97</v>
      </c>
      <c r="Z26" s="34">
        <f>SUM(V26:Y26)</f>
        <v/>
      </c>
      <c r="AA26" s="18" t="n">
        <v>-10.71</v>
      </c>
      <c r="AB26" s="19" t="n">
        <v>131.64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9.321</v>
      </c>
      <c r="F27" s="27">
        <f>E27</f>
        <v/>
      </c>
      <c r="G27" s="26" t="n">
        <v>9.321</v>
      </c>
      <c r="H27" s="26" t="n">
        <v>9.323</v>
      </c>
      <c r="I27" s="26" t="n">
        <v>9.323</v>
      </c>
      <c r="J27" s="26" t="n">
        <v>9.324</v>
      </c>
      <c r="K27" s="27">
        <f>J27</f>
        <v/>
      </c>
      <c r="L27" s="26" t="n">
        <v>9.324</v>
      </c>
      <c r="M27" s="26" t="n">
        <v>9.244999999999999</v>
      </c>
      <c r="N27" s="26" t="n">
        <v>9.241</v>
      </c>
      <c r="O27" s="26" t="n">
        <v>9.242000000000001</v>
      </c>
      <c r="P27" s="27">
        <f>O27</f>
        <v/>
      </c>
      <c r="Q27" s="26" t="n">
        <v>9.242000000000001</v>
      </c>
      <c r="R27" s="26" t="n">
        <v>9.244</v>
      </c>
      <c r="S27" s="26" t="n">
        <v>9.244</v>
      </c>
      <c r="T27" s="26" t="n">
        <v>9.244</v>
      </c>
      <c r="U27" s="27">
        <f>T27</f>
        <v/>
      </c>
      <c r="V27" s="26" t="n">
        <v>9.244</v>
      </c>
      <c r="W27" s="26" t="n">
        <v>9.246</v>
      </c>
      <c r="X27" s="26" t="n">
        <v>9.246</v>
      </c>
      <c r="Y27" s="26" t="n">
        <v>9.269</v>
      </c>
      <c r="Z27" s="27">
        <f>Y27</f>
        <v/>
      </c>
      <c r="AA27" s="26" t="n">
        <v>9.269</v>
      </c>
      <c r="AB27" s="28" t="n">
        <v>9.292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IFERROR(E22*100/E27,"")</f>
        <v/>
      </c>
      <c r="F29" s="34">
        <f>E29</f>
        <v/>
      </c>
      <c r="G29" s="18">
        <f>IFERROR(G22*100/G27,"")</f>
        <v/>
      </c>
      <c r="H29" s="18">
        <f>IFERROR(H22*100/H27,"")</f>
        <v/>
      </c>
      <c r="I29" s="18">
        <f>IFERROR(I22*100/I27,"")</f>
        <v/>
      </c>
      <c r="J29" s="18">
        <f>IFERROR(J22*100/J27,"")</f>
        <v/>
      </c>
      <c r="K29" s="34">
        <f>J29</f>
        <v/>
      </c>
      <c r="L29" s="18">
        <f>IFERROR(L22*100/L27,"")</f>
        <v/>
      </c>
      <c r="M29" s="18">
        <f>IFERROR(M22*100/M27,"")</f>
        <v/>
      </c>
      <c r="N29" s="18">
        <f>IFERROR(N22*100/N27,"")</f>
        <v/>
      </c>
      <c r="O29" s="18">
        <f>IFERROR(O22*100/O27,"")</f>
        <v/>
      </c>
      <c r="P29" s="34">
        <f>O29</f>
        <v/>
      </c>
      <c r="Q29" s="18">
        <f>IFERROR(Q22*100/Q27,"")</f>
        <v/>
      </c>
      <c r="R29" s="18">
        <f>IFERROR(R22*100/R27,"")</f>
        <v/>
      </c>
      <c r="S29" s="18">
        <f>IFERROR(S22*100/S27,"")</f>
        <v/>
      </c>
      <c r="T29" s="18">
        <f>IFERROR(T22*100/T27,"")</f>
        <v/>
      </c>
      <c r="U29" s="34">
        <f>T29</f>
        <v/>
      </c>
      <c r="V29" s="18">
        <f>IFERROR(V22*100/V27,"")</f>
        <v/>
      </c>
      <c r="W29" s="18">
        <f>IFERROR(W22*100/W27,"")</f>
        <v/>
      </c>
      <c r="X29" s="18">
        <f>IFERROR(X22*100/X27,"")</f>
        <v/>
      </c>
      <c r="Y29" s="18">
        <f>IFERROR(Y22*100/Y27,"")</f>
        <v/>
      </c>
      <c r="Z29" s="34">
        <f>Y29</f>
        <v/>
      </c>
      <c r="AA29" s="18">
        <f>IFERROR(AA22*100/AA27,"")</f>
        <v/>
      </c>
      <c r="AB29" s="19">
        <f>IFERROR(AB22*100/AB27,"")</f>
        <v/>
      </c>
      <c r="AC29" s="20">
        <f>IFERROR(AC22*100/AC27,"")</f>
        <v/>
      </c>
      <c r="AD29" s="20">
        <f>IFERROR(AD22*100/AD27,"")</f>
        <v/>
      </c>
      <c r="AE29" s="35">
        <f>AD29</f>
        <v/>
      </c>
      <c r="AF29" s="20">
        <f>IFERROR(AF22*100/AF27,"")</f>
        <v/>
      </c>
      <c r="AG29" s="20">
        <f>IFERROR(AG22*100/AG27,"")</f>
        <v/>
      </c>
      <c r="AH29" s="20">
        <f>IFERROR(AH22*100/AH27,"")</f>
        <v/>
      </c>
      <c r="AI29" s="20">
        <f>IFERROR(AI22*100/AI27,"")</f>
        <v/>
      </c>
      <c r="AJ29" s="35">
        <f>AI29</f>
        <v/>
      </c>
      <c r="AK29" s="20">
        <f>IFERROR(AK22*100/AK27,"")</f>
        <v/>
      </c>
      <c r="AL29" s="20">
        <f>IFERROR(AL22*100/AL27,"")</f>
        <v/>
      </c>
      <c r="AM29" s="20">
        <f>IFERROR(AM22*100/AM27,"")</f>
        <v/>
      </c>
      <c r="AN29" s="20">
        <f>IFERROR(AN22*100/AN27,"")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100</v>
      </c>
      <c r="U30" s="34">
        <f>SUM(Q30:T30)</f>
        <v/>
      </c>
      <c r="V30" s="18" t="n"/>
      <c r="W30" s="18" t="n"/>
      <c r="X30" s="18" t="n"/>
      <c r="Y30" s="18" t="n">
        <v>200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67.34999999999999</v>
      </c>
      <c r="J31" s="18" t="n"/>
      <c r="K31" s="34">
        <f>SUM(G31:J31)</f>
        <v/>
      </c>
      <c r="L31" s="18" t="n"/>
      <c r="M31" s="18" t="n"/>
      <c r="N31" s="18" t="n"/>
      <c r="O31" s="18" t="n">
        <v>12.62</v>
      </c>
      <c r="P31" s="34">
        <f>SUM(L31:O31)</f>
        <v/>
      </c>
      <c r="Q31" s="18" t="n">
        <v>10.69</v>
      </c>
      <c r="R31" s="18" t="n">
        <v>9.93</v>
      </c>
      <c r="S31" s="18" t="n">
        <v>9</v>
      </c>
      <c r="T31" s="18" t="n">
        <v>5.77</v>
      </c>
      <c r="U31" s="34">
        <f>SUM(Q31:T31)</f>
        <v/>
      </c>
      <c r="V31" s="18" t="n">
        <v>6.91</v>
      </c>
      <c r="W31" s="18" t="n">
        <v>8.4</v>
      </c>
      <c r="X31" s="18" t="n">
        <v>8.789999999999999</v>
      </c>
      <c r="Y31" s="18" t="n">
        <v>10.71</v>
      </c>
      <c r="Z31" s="34">
        <f>SUM(V31:Y31)</f>
        <v/>
      </c>
      <c r="AA31" s="18" t="n">
        <v>9.98</v>
      </c>
      <c r="AB31" s="19" t="n">
        <v>7.59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0.65</v>
      </c>
      <c r="F32" s="34" t="n">
        <v>0.62</v>
      </c>
      <c r="G32" s="18" t="n">
        <v>0.63</v>
      </c>
      <c r="H32" s="18" t="n">
        <v>0.58</v>
      </c>
      <c r="I32" s="18" t="n">
        <v>0.54</v>
      </c>
      <c r="J32" s="18" t="n">
        <v>0.53</v>
      </c>
      <c r="K32" s="34">
        <f>SUM(G32:J32)</f>
        <v/>
      </c>
      <c r="L32" s="18" t="n">
        <v>0.5</v>
      </c>
      <c r="M32" s="18" t="n">
        <v>0.49</v>
      </c>
      <c r="N32" s="18" t="n">
        <v>0.52</v>
      </c>
      <c r="O32" s="18" t="n">
        <v>0.47</v>
      </c>
      <c r="P32" s="34">
        <f>SUM(L32:O32)</f>
        <v/>
      </c>
      <c r="Q32" s="18" t="n">
        <v>0.48</v>
      </c>
      <c r="R32" s="18" t="n">
        <v>0.58</v>
      </c>
      <c r="S32" s="18" t="n">
        <v>0.5</v>
      </c>
      <c r="T32" s="18" t="n">
        <v>0.46</v>
      </c>
      <c r="U32" s="34">
        <f>SUM(Q32:T32)</f>
        <v/>
      </c>
      <c r="V32" s="18" t="n">
        <v>0.6</v>
      </c>
      <c r="W32" s="18" t="n">
        <v>0.72</v>
      </c>
      <c r="X32" s="18" t="n">
        <v>0.92</v>
      </c>
      <c r="Y32" s="18" t="n">
        <v>0.99</v>
      </c>
      <c r="Z32" s="34">
        <f>SUM(V32:Y32)</f>
        <v/>
      </c>
      <c r="AA32" s="18" t="n">
        <v>0.96</v>
      </c>
      <c r="AB32" s="19" t="n">
        <v>0.8100000000000001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403.64</v>
      </c>
      <c r="F33" s="34" t="n"/>
      <c r="G33" s="18" t="n">
        <v>307.6</v>
      </c>
      <c r="H33" s="18" t="n">
        <v>347.27</v>
      </c>
      <c r="I33" s="18" t="n">
        <v>313.42</v>
      </c>
      <c r="J33" s="18" t="n">
        <v>335.67</v>
      </c>
      <c r="K33" s="34">
        <f>SUM(G33:J33)</f>
        <v/>
      </c>
      <c r="L33" s="18" t="n">
        <v>321.58</v>
      </c>
      <c r="M33" s="18" t="n">
        <v>348.9</v>
      </c>
      <c r="N33" s="18" t="n">
        <v>372.05</v>
      </c>
      <c r="O33" s="18" t="n">
        <v>500.95</v>
      </c>
      <c r="P33" s="34">
        <f>SUM(L33:O33)</f>
        <v/>
      </c>
      <c r="Q33" s="18" t="n">
        <v>413.55</v>
      </c>
      <c r="R33" s="18" t="n">
        <v>499</v>
      </c>
      <c r="S33" s="18" t="n">
        <v>447.37</v>
      </c>
      <c r="T33" s="18" t="n">
        <v>602.87</v>
      </c>
      <c r="U33" s="34">
        <f>SUM(Q33:T33)</f>
        <v/>
      </c>
      <c r="V33" s="18" t="n">
        <v>556.4</v>
      </c>
      <c r="W33" s="18" t="n">
        <v>563.26</v>
      </c>
      <c r="X33" s="18" t="n">
        <v>615.33</v>
      </c>
      <c r="Y33" s="18" t="n">
        <v>565.96</v>
      </c>
      <c r="Z33" s="34">
        <f>SUM(V33:Y33)</f>
        <v/>
      </c>
      <c r="AA33" s="18" t="n">
        <v>508.96</v>
      </c>
      <c r="AB33" s="19" t="n">
        <v>708.34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5.31</v>
      </c>
      <c r="F34" s="34" t="n"/>
      <c r="G34" s="18" t="n">
        <v>-17.26</v>
      </c>
      <c r="H34" s="18" t="n">
        <v>-19.12</v>
      </c>
      <c r="I34" s="18" t="n">
        <v>3.65</v>
      </c>
      <c r="J34" s="18" t="n">
        <v>-66.13</v>
      </c>
      <c r="K34" s="34">
        <f>SUM(G34:J34)</f>
        <v/>
      </c>
      <c r="L34" s="18" t="n">
        <v>-9.31</v>
      </c>
      <c r="M34" s="18" t="n">
        <v>2.67</v>
      </c>
      <c r="N34" s="18" t="n">
        <v>17.2</v>
      </c>
      <c r="O34" s="18" t="n">
        <v>26.78</v>
      </c>
      <c r="P34" s="34">
        <f>SUM(L34:O34)</f>
        <v/>
      </c>
      <c r="Q34" s="18" t="n">
        <v>23.78</v>
      </c>
      <c r="R34" s="18" t="n">
        <v>30.62</v>
      </c>
      <c r="S34" s="18" t="n">
        <v>29.15</v>
      </c>
      <c r="T34" s="18" t="n">
        <v>73.31</v>
      </c>
      <c r="U34" s="34">
        <f>SUM(Q34:T34)</f>
        <v/>
      </c>
      <c r="V34" s="18" t="n">
        <v>57.11</v>
      </c>
      <c r="W34" s="18" t="n">
        <v>57.82</v>
      </c>
      <c r="X34" s="18" t="n">
        <v>77.43000000000001</v>
      </c>
      <c r="Y34" s="18" t="n">
        <v>78.23999999999999</v>
      </c>
      <c r="Z34" s="34">
        <f>SUM(V34:Y34)</f>
        <v/>
      </c>
      <c r="AA34" s="18" t="n">
        <v>62.74</v>
      </c>
      <c r="AB34" s="19" t="n">
        <v>75.59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2970.6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6.13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0.0994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