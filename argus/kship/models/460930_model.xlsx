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275496억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287543억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299246억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309112억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320506억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336377억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275496억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287543억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299246억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309112억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320506억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336377억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1106억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964억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1012억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1106억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2.14%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7.6, "op_wape_pct": 19.5,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649.23, "rev_act": 605.92, "op_pred": 69.75, "op_act": 67.88}, {"q": "2025Q4", "rev_pred": 737.31, "rev_act": 669.42, "op_pred": 79.22, "op_act": 64.77}, {"q": "2026Q1", "rev_pred": 699.01, "rev_act": 646.1, "op_pred": 75.1, "op_act": 85.3}, {"q": "2026Q2", "rev_pred": 764.28, "rev_act": 727.68, "op_pred": 82.12,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1343.63</v>
      </c>
      <c r="U6" s="17" t="n">
        <v>1456.58</v>
      </c>
      <c r="V6" s="16" t="n">
        <v>1333.09</v>
      </c>
      <c r="W6" s="16" t="n">
        <v>1333.09</v>
      </c>
      <c r="X6" s="16" t="n">
        <v>1333.09</v>
      </c>
      <c r="Y6" s="16" t="n">
        <v>1333.09</v>
      </c>
      <c r="Z6" s="11" t="n"/>
      <c r="AA6" s="16" t="n">
        <v>1333.09</v>
      </c>
      <c r="AB6" s="16" t="n">
        <v>1333.09</v>
      </c>
      <c r="AC6" s="16" t="n">
        <v>1333.09</v>
      </c>
      <c r="AD6" s="16" t="n">
        <v>1333.09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1333.09</v>
      </c>
      <c r="U7" s="17" t="n">
        <v>1333.09</v>
      </c>
      <c r="V7" s="16" t="n">
        <v>1333.09</v>
      </c>
      <c r="W7" s="16" t="n">
        <v>1333.09</v>
      </c>
      <c r="X7" s="16" t="n">
        <v>1333.09</v>
      </c>
      <c r="Y7" s="16" t="n">
        <v>1333.09</v>
      </c>
      <c r="Z7" s="11" t="n"/>
      <c r="AA7" s="16" t="n">
        <v>1333.09</v>
      </c>
      <c r="AB7" s="16" t="n">
        <v>1333.09</v>
      </c>
      <c r="AC7" s="16" t="n">
        <v>1333.09</v>
      </c>
      <c r="AD7" s="16" t="n">
        <v>1333.09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849.51</v>
      </c>
      <c r="U8" s="17" t="n">
        <v>918.8099999999999</v>
      </c>
      <c r="V8" s="16" t="n">
        <v>840.54</v>
      </c>
      <c r="W8" s="16" t="n">
        <v>840.54</v>
      </c>
      <c r="X8" s="16" t="n">
        <v>840.54</v>
      </c>
      <c r="Y8" s="16" t="n">
        <v>840.54</v>
      </c>
      <c r="Z8" s="11" t="n"/>
      <c r="AA8" s="16" t="n">
        <v>840.54</v>
      </c>
      <c r="AB8" s="16" t="n">
        <v>840.54</v>
      </c>
      <c r="AC8" s="16" t="n">
        <v>840.54</v>
      </c>
      <c r="AD8" s="16" t="n">
        <v>840.54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840.54</v>
      </c>
      <c r="U9" s="17" t="n">
        <v>840.54</v>
      </c>
      <c r="V9" s="16" t="n">
        <v>840.54</v>
      </c>
      <c r="W9" s="16" t="n">
        <v>840.54</v>
      </c>
      <c r="X9" s="16" t="n">
        <v>840.54</v>
      </c>
      <c r="Y9" s="16" t="n">
        <v>840.54</v>
      </c>
      <c r="Z9" s="11" t="n"/>
      <c r="AA9" s="16" t="n">
        <v>840.54</v>
      </c>
      <c r="AB9" s="16" t="n">
        <v>840.54</v>
      </c>
      <c r="AC9" s="16" t="n">
        <v>840.54</v>
      </c>
      <c r="AD9" s="16" t="n">
        <v>840.54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1507.34</v>
      </c>
      <c r="U10" s="17" t="n">
        <v>1688.95</v>
      </c>
      <c r="V10" s="16" t="n">
        <v>1490.54</v>
      </c>
      <c r="W10" s="16" t="n">
        <v>1490.54</v>
      </c>
      <c r="X10" s="16" t="n">
        <v>1490.54</v>
      </c>
      <c r="Y10" s="16" t="n">
        <v>1490.54</v>
      </c>
      <c r="Z10" s="11" t="n"/>
      <c r="AA10" s="16" t="n">
        <v>1490.54</v>
      </c>
      <c r="AB10" s="16" t="n">
        <v>1490.54</v>
      </c>
      <c r="AC10" s="16" t="n">
        <v>1490.54</v>
      </c>
      <c r="AD10" s="16" t="n">
        <v>1490.54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1490.54</v>
      </c>
      <c r="U11" s="17" t="n">
        <v>1490.54</v>
      </c>
      <c r="V11" s="16" t="n">
        <v>1490.54</v>
      </c>
      <c r="W11" s="16" t="n">
        <v>1490.54</v>
      </c>
      <c r="X11" s="16" t="n">
        <v>1490.54</v>
      </c>
      <c r="Y11" s="16" t="n">
        <v>1490.54</v>
      </c>
      <c r="Z11" s="11" t="n"/>
      <c r="AA11" s="16" t="n">
        <v>1490.54</v>
      </c>
      <c r="AB11" s="16" t="n">
        <v>1490.54</v>
      </c>
      <c r="AC11" s="16" t="n">
        <v>1490.54</v>
      </c>
      <c r="AD11" s="16" t="n">
        <v>1490.54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200.5</v>
      </c>
      <c r="U12" s="17" t="n">
        <v>213.68</v>
      </c>
      <c r="V12" s="16" t="n">
        <v>199.18</v>
      </c>
      <c r="W12" s="16" t="n">
        <v>199.18</v>
      </c>
      <c r="X12" s="16" t="n">
        <v>199.18</v>
      </c>
      <c r="Y12" s="16" t="n">
        <v>199.18</v>
      </c>
      <c r="Z12" s="11" t="n"/>
      <c r="AA12" s="16" t="n">
        <v>199.18</v>
      </c>
      <c r="AB12" s="16" t="n">
        <v>199.18</v>
      </c>
      <c r="AC12" s="16" t="n">
        <v>199.18</v>
      </c>
      <c r="AD12" s="16" t="n">
        <v>199.18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199.18</v>
      </c>
      <c r="U13" s="17" t="n">
        <v>199.18</v>
      </c>
      <c r="V13" s="16" t="n">
        <v>199.18</v>
      </c>
      <c r="W13" s="16" t="n">
        <v>199.18</v>
      </c>
      <c r="X13" s="16" t="n">
        <v>199.18</v>
      </c>
      <c r="Y13" s="16" t="n">
        <v>199.18</v>
      </c>
      <c r="Z13" s="11" t="n"/>
      <c r="AA13" s="16" t="n">
        <v>199.18</v>
      </c>
      <c r="AB13" s="16" t="n">
        <v>199.18</v>
      </c>
      <c r="AC13" s="16" t="n">
        <v>199.18</v>
      </c>
      <c r="AD13" s="16" t="n">
        <v>199.18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11670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11260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12544.3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0.169915</v>
      </c>
      <c r="Y21" s="24" t="n">
        <v>0.193511401</v>
      </c>
      <c r="Z21" s="25" t="n"/>
      <c r="AA21" s="24" t="n">
        <v>0.189083636</v>
      </c>
      <c r="AB21" s="24" t="n">
        <v>0.174858373</v>
      </c>
      <c r="AC21" s="24" t="n">
        <v>0.163376388</v>
      </c>
      <c r="AD21" s="24" t="n">
        <v>0.169832536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0.118046382</v>
      </c>
      <c r="Y23" s="24" t="n">
        <v>0.118043274</v>
      </c>
      <c r="Z23" s="25">
        <f>IFERROR(subQ!Z9/subQ!Z5,"")</f>
        <v/>
      </c>
      <c r="AA23" s="24" t="n">
        <v>0.118046164</v>
      </c>
      <c r="AB23" s="24" t="n">
        <v>0.118048323</v>
      </c>
      <c r="AC23" s="24" t="n">
        <v>0.118049057</v>
      </c>
      <c r="AD23" s="24" t="n">
        <v>0.118039549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-0.003815323</v>
      </c>
      <c r="T29" s="30" t="n">
        <v>0.0004886270000000001</v>
      </c>
      <c r="U29" s="31" t="n"/>
      <c r="V29" s="30" t="n">
        <v>0.000284271</v>
      </c>
      <c r="W29" s="30" t="n">
        <v>46.1702411</v>
      </c>
      <c r="X29" s="30" t="n">
        <v>-0.002168172</v>
      </c>
      <c r="Y29" s="30" t="n">
        <v>0.007313775</v>
      </c>
      <c r="Z29" s="31" t="n"/>
      <c r="AA29" s="30" t="n">
        <v>-0.003966136</v>
      </c>
      <c r="AB29" s="30" t="n">
        <v>46.162466735</v>
      </c>
      <c r="AC29" s="30" t="n">
        <v>0.004444141</v>
      </c>
      <c r="AD29" s="30" t="n">
        <v>0.001298879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-0.003815323</v>
      </c>
      <c r="T30" s="30" t="n">
        <v>0.0004886270000000001</v>
      </c>
      <c r="U30" s="31" t="n"/>
      <c r="V30" s="30" t="n">
        <v>0.000284271</v>
      </c>
      <c r="W30" s="30" t="n">
        <v>46.1702411</v>
      </c>
      <c r="X30" s="30" t="n">
        <v>-0.002168172</v>
      </c>
      <c r="Y30" s="30" t="n">
        <v>0.007313775</v>
      </c>
      <c r="Z30" s="31" t="n"/>
      <c r="AA30" s="30" t="n">
        <v>-0.003966136</v>
      </c>
      <c r="AB30" s="30" t="n">
        <v>46.162466735</v>
      </c>
      <c r="AC30" s="30" t="n">
        <v>0.004444141</v>
      </c>
      <c r="AD30" s="30" t="n">
        <v>0.001298879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0.164548037</v>
      </c>
      <c r="Y32" s="24" t="n">
        <v>0.158677303</v>
      </c>
      <c r="Z32" s="25" t="n"/>
      <c r="AA32" s="24" t="n">
        <v>0.132244233</v>
      </c>
      <c r="AB32" s="24" t="n">
        <v>0.065043299</v>
      </c>
      <c r="AC32" s="24" t="n">
        <v>0.11907068</v>
      </c>
      <c r="AD32" s="24" t="n">
        <v>0.119976312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0.111791968</v>
      </c>
      <c r="Y33" s="24" t="n">
        <v>0.112891986</v>
      </c>
      <c r="Z33" s="25" t="n"/>
      <c r="AA33" s="24" t="n">
        <v>0.09796778</v>
      </c>
      <c r="AB33" s="24" t="n">
        <v>0.049699295</v>
      </c>
      <c r="AC33" s="24" t="n">
        <v>0.09229203900000001</v>
      </c>
      <c r="AD33" s="24" t="n">
        <v>0.095264795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11670</v>
      </c>
      <c r="E41" s="2" t="inlineStr">
        <is>
          <t>원 — 네이버 정규장 종가(aik 확정종가 대조 · aik 12,350원)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20261013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0.1906149585556724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0.03759508399642228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0.02144872604258016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0.03991714193834061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14.22</v>
      </c>
    </row>
    <row r="32">
      <c r="C32" s="2" t="inlineStr">
        <is>
          <t>pbr_now</t>
        </is>
      </c>
      <c r="D32" t="n">
        <v>1.57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