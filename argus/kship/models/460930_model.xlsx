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287556억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299289억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309186억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320615억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336507억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287556억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299289억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309186억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320615억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336507억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1346.2</v>
      </c>
      <c r="U6" s="17" t="n">
        <v>1458.38</v>
      </c>
      <c r="V6" s="16" t="n">
        <v>1338.69</v>
      </c>
      <c r="W6" s="16" t="n">
        <v>1338.69</v>
      </c>
      <c r="X6" s="16" t="n">
        <v>1338.69</v>
      </c>
      <c r="Y6" s="16" t="n">
        <v>1338.69</v>
      </c>
      <c r="Z6" s="11" t="n"/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1338.69</v>
      </c>
      <c r="U7" s="17" t="n">
        <v>1338.69</v>
      </c>
      <c r="V7" s="16" t="n">
        <v>1338.69</v>
      </c>
      <c r="W7" s="16" t="n">
        <v>1338.69</v>
      </c>
      <c r="X7" s="16" t="n">
        <v>1338.69</v>
      </c>
      <c r="Y7" s="16" t="n">
        <v>1338.69</v>
      </c>
      <c r="Z7" s="11" t="n"/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851.8099999999999</v>
      </c>
      <c r="U8" s="17" t="n">
        <v>919.9299999999999</v>
      </c>
      <c r="V8" s="16" t="n">
        <v>846.04</v>
      </c>
      <c r="W8" s="16" t="n">
        <v>846.04</v>
      </c>
      <c r="X8" s="16" t="n">
        <v>846.04</v>
      </c>
      <c r="Y8" s="16" t="n">
        <v>846.04</v>
      </c>
      <c r="Z8" s="11" t="n"/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846.04</v>
      </c>
      <c r="U9" s="17" t="n">
        <v>846.04</v>
      </c>
      <c r="V9" s="16" t="n">
        <v>846.04</v>
      </c>
      <c r="W9" s="16" t="n">
        <v>846.04</v>
      </c>
      <c r="X9" s="16" t="n">
        <v>846.04</v>
      </c>
      <c r="Y9" s="16" t="n">
        <v>846.04</v>
      </c>
      <c r="Z9" s="11" t="n"/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1512.43</v>
      </c>
      <c r="U10" s="17" t="n">
        <v>1691.86</v>
      </c>
      <c r="V10" s="16" t="n">
        <v>1496.26</v>
      </c>
      <c r="W10" s="16" t="n">
        <v>1496.26</v>
      </c>
      <c r="X10" s="16" t="n">
        <v>1496.26</v>
      </c>
      <c r="Y10" s="16" t="n">
        <v>1496.26</v>
      </c>
      <c r="Z10" s="11" t="n"/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1496.26</v>
      </c>
      <c r="U11" s="17" t="n">
        <v>1496.26</v>
      </c>
      <c r="V11" s="16" t="n">
        <v>1496.26</v>
      </c>
      <c r="W11" s="16" t="n">
        <v>1496.26</v>
      </c>
      <c r="X11" s="16" t="n">
        <v>1496.26</v>
      </c>
      <c r="Y11" s="16" t="n">
        <v>1496.26</v>
      </c>
      <c r="Z11" s="11" t="n"/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200.79</v>
      </c>
      <c r="U12" s="17" t="n">
        <v>213.89</v>
      </c>
      <c r="V12" s="16" t="n">
        <v>199.67</v>
      </c>
      <c r="W12" s="16" t="n">
        <v>199.67</v>
      </c>
      <c r="X12" s="16" t="n">
        <v>199.67</v>
      </c>
      <c r="Y12" s="16" t="n">
        <v>199.67</v>
      </c>
      <c r="Z12" s="11" t="n"/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199.67</v>
      </c>
      <c r="U13" s="17" t="n">
        <v>199.67</v>
      </c>
      <c r="V13" s="16" t="n">
        <v>199.67</v>
      </c>
      <c r="W13" s="16" t="n">
        <v>199.67</v>
      </c>
      <c r="X13" s="16" t="n">
        <v>199.67</v>
      </c>
      <c r="Y13" s="16" t="n">
        <v>199.67</v>
      </c>
      <c r="Z13" s="11" t="n"/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12340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12300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12886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0.193563518</v>
      </c>
      <c r="Z21" s="25" t="n"/>
      <c r="AA21" s="24" t="n">
        <v>0.189245801</v>
      </c>
      <c r="AB21" s="24" t="n">
        <v>0.175139791</v>
      </c>
      <c r="AC21" s="24" t="n">
        <v>0.163780028</v>
      </c>
      <c r="AD21" s="24" t="n">
        <v>0.170229024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0.118049036</v>
      </c>
      <c r="Z23" s="25">
        <f>IFERROR(subQ!Z9/subQ!Z5,"")</f>
        <v/>
      </c>
      <c r="AA23" s="24" t="n">
        <v>0.11804143</v>
      </c>
      <c r="AB23" s="24" t="n">
        <v>0.118040878</v>
      </c>
      <c r="AC23" s="24" t="n">
        <v>0.118039644</v>
      </c>
      <c r="AD23" s="24" t="n">
        <v>0.118041045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-0.004971177</v>
      </c>
      <c r="T29" s="30" t="n">
        <v>-0.0008165270000000001</v>
      </c>
      <c r="U29" s="31" t="n"/>
      <c r="V29" s="30" t="n">
        <v>-0.001006453</v>
      </c>
      <c r="W29" s="30" t="n">
        <v>46.168784052</v>
      </c>
      <c r="X29" s="30" t="n">
        <v>-0.003640558</v>
      </c>
      <c r="Y29" s="30" t="n">
        <v>0.00372869</v>
      </c>
      <c r="Z29" s="31" t="n"/>
      <c r="AA29" s="30" t="n">
        <v>-0.007485879</v>
      </c>
      <c r="AB29" s="30" t="n">
        <v>46.166907025</v>
      </c>
      <c r="AC29" s="30" t="n">
        <v>-0.012984898</v>
      </c>
      <c r="AD29" s="30" t="n">
        <v>-2.013e-05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-0.004971177</v>
      </c>
      <c r="T30" s="30" t="n">
        <v>-0.0008165270000000001</v>
      </c>
      <c r="U30" s="31" t="n"/>
      <c r="V30" s="30" t="n">
        <v>-0.001006453</v>
      </c>
      <c r="W30" s="30" t="n">
        <v>46.168784052</v>
      </c>
      <c r="X30" s="30" t="n">
        <v>-0.003640558</v>
      </c>
      <c r="Y30" s="30" t="n">
        <v>0.00372869</v>
      </c>
      <c r="Z30" s="31" t="n"/>
      <c r="AA30" s="30" t="n">
        <v>-0.007485879</v>
      </c>
      <c r="AB30" s="30" t="n">
        <v>46.166907025</v>
      </c>
      <c r="AC30" s="30" t="n">
        <v>-0.012984898</v>
      </c>
      <c r="AD30" s="30" t="n">
        <v>-2.013e-05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0.132259601</v>
      </c>
      <c r="AB32" s="24" t="n">
        <v>0.065083135</v>
      </c>
      <c r="AC32" s="24" t="n">
        <v>0.119102842</v>
      </c>
      <c r="AD32" s="24" t="n">
        <v>0.120012298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0.112904656</v>
      </c>
      <c r="Z33" s="25" t="n"/>
      <c r="AA33" s="24" t="n">
        <v>0.09797805</v>
      </c>
      <c r="AB33" s="24" t="n">
        <v>0.049708633</v>
      </c>
      <c r="AC33" s="24" t="n">
        <v>0.09232881599999999</v>
      </c>
      <c r="AD33" s="24" t="n">
        <v>0.095294937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12340</v>
      </c>
      <c r="E41" s="2" t="inlineStr">
        <is>
          <t>원 — 네이버 정규장 종가(aik 확정종가 대조 · aik 13,140원)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0.1906296432086139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0.0375936361084497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0.0214468855494068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0.03991210525190161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15.04</v>
      </c>
    </row>
    <row r="32">
      <c r="C32" s="2" t="inlineStr">
        <is>
          <t>pbr_now</t>
        </is>
      </c>
      <c r="D32" t="n">
        <v>1.66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