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287551억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299297억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309209억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320652억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336563억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287551억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299297억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309209억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320652억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336563억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1106억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964억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1012억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1106억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1345.14</v>
      </c>
      <c r="U6" s="17" t="n">
        <v>1457.21</v>
      </c>
      <c r="V6" s="16" t="n">
        <v>1341.49</v>
      </c>
      <c r="W6" s="16" t="n">
        <v>1341.49</v>
      </c>
      <c r="X6" s="16" t="n">
        <v>1341.49</v>
      </c>
      <c r="Y6" s="16" t="n">
        <v>1341.49</v>
      </c>
      <c r="Z6" s="11" t="n"/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1341.49</v>
      </c>
      <c r="U7" s="17" t="n">
        <v>1341.49</v>
      </c>
      <c r="V7" s="16" t="n">
        <v>1341.49</v>
      </c>
      <c r="W7" s="16" t="n">
        <v>1341.49</v>
      </c>
      <c r="X7" s="16" t="n">
        <v>1341.49</v>
      </c>
      <c r="Y7" s="16" t="n">
        <v>1341.49</v>
      </c>
      <c r="Z7" s="11" t="n"/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850.79</v>
      </c>
      <c r="U8" s="17" t="n">
        <v>919.21</v>
      </c>
      <c r="V8" s="16" t="n">
        <v>847.7</v>
      </c>
      <c r="W8" s="16" t="n">
        <v>847.7</v>
      </c>
      <c r="X8" s="16" t="n">
        <v>847.7</v>
      </c>
      <c r="Y8" s="16" t="n">
        <v>847.7</v>
      </c>
      <c r="Z8" s="11" t="n"/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847.7</v>
      </c>
      <c r="U9" s="17" t="n">
        <v>847.7</v>
      </c>
      <c r="V9" s="16" t="n">
        <v>847.7</v>
      </c>
      <c r="W9" s="16" t="n">
        <v>847.7</v>
      </c>
      <c r="X9" s="16" t="n">
        <v>847.7</v>
      </c>
      <c r="Y9" s="16" t="n">
        <v>847.7</v>
      </c>
      <c r="Z9" s="11" t="n"/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1509.74</v>
      </c>
      <c r="U10" s="17" t="n">
        <v>1689.95</v>
      </c>
      <c r="V10" s="16" t="n">
        <v>1503.27</v>
      </c>
      <c r="W10" s="16" t="n">
        <v>1503.27</v>
      </c>
      <c r="X10" s="16" t="n">
        <v>1503.27</v>
      </c>
      <c r="Y10" s="16" t="n">
        <v>1503.27</v>
      </c>
      <c r="Z10" s="11" t="n"/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1503.27</v>
      </c>
      <c r="U11" s="17" t="n">
        <v>1503.27</v>
      </c>
      <c r="V11" s="16" t="n">
        <v>1503.27</v>
      </c>
      <c r="W11" s="16" t="n">
        <v>1503.27</v>
      </c>
      <c r="X11" s="16" t="n">
        <v>1503.27</v>
      </c>
      <c r="Y11" s="16" t="n">
        <v>1503.27</v>
      </c>
      <c r="Z11" s="11" t="n"/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200.69</v>
      </c>
      <c r="U12" s="17" t="n">
        <v>213.75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12320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12300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12882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0.193537459</v>
      </c>
      <c r="Z21" s="25" t="n"/>
      <c r="AA21" s="24" t="n">
        <v>0.189286342</v>
      </c>
      <c r="AB21" s="24" t="n">
        <v>0.17522544</v>
      </c>
      <c r="AC21" s="24" t="n">
        <v>0.163914575</v>
      </c>
      <c r="AD21" s="24" t="n">
        <v>0.170451072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0.118040697</v>
      </c>
      <c r="Z23" s="25">
        <f>IFERROR(subQ!Z9/subQ!Z5,"")</f>
        <v/>
      </c>
      <c r="AA23" s="24" t="n">
        <v>0.118048769</v>
      </c>
      <c r="AB23" s="24" t="n">
        <v>0.118042686</v>
      </c>
      <c r="AC23" s="24" t="n">
        <v>0.118047017</v>
      </c>
      <c r="AD23" s="24" t="n">
        <v>0.118039881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-0.003098439</v>
      </c>
      <c r="T29" s="30" t="n">
        <v>0.00124291</v>
      </c>
      <c r="U29" s="31" t="n"/>
      <c r="V29" s="30" t="n">
        <v>0.000984256</v>
      </c>
      <c r="W29" s="30" t="n">
        <v>46.170984705</v>
      </c>
      <c r="X29" s="30" t="n">
        <v>-0.00143723</v>
      </c>
      <c r="Y29" s="30" t="n">
        <v>-0.001895081</v>
      </c>
      <c r="Z29" s="31" t="n"/>
      <c r="AA29" s="30" t="n">
        <v>0.002987549</v>
      </c>
      <c r="AB29" s="30" t="n">
        <v>46.167598952</v>
      </c>
      <c r="AC29" s="30" t="n">
        <v>0.005824078</v>
      </c>
      <c r="AD29" s="30" t="n">
        <v>-0.010885789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-0.003098439</v>
      </c>
      <c r="T30" s="30" t="n">
        <v>0.00124291</v>
      </c>
      <c r="U30" s="31" t="n"/>
      <c r="V30" s="30" t="n">
        <v>0.000984256</v>
      </c>
      <c r="W30" s="30" t="n">
        <v>46.170984705</v>
      </c>
      <c r="X30" s="30" t="n">
        <v>-0.00143723</v>
      </c>
      <c r="Y30" s="30" t="n">
        <v>-0.001895081</v>
      </c>
      <c r="Z30" s="31" t="n"/>
      <c r="AA30" s="30" t="n">
        <v>0.002987549</v>
      </c>
      <c r="AB30" s="30" t="n">
        <v>46.167598952</v>
      </c>
      <c r="AC30" s="30" t="n">
        <v>0.005824078</v>
      </c>
      <c r="AD30" s="30" t="n">
        <v>-0.010885789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0.158677303</v>
      </c>
      <c r="Z32" s="25" t="n"/>
      <c r="AA32" s="24" t="n">
        <v>0.132259601</v>
      </c>
      <c r="AB32" s="24" t="n">
        <v>0.065096709</v>
      </c>
      <c r="AC32" s="24" t="n">
        <v>0.119114068</v>
      </c>
      <c r="AD32" s="24" t="n">
        <v>0.120020952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0.112904656</v>
      </c>
      <c r="Z33" s="25" t="n"/>
      <c r="AA33" s="24" t="n">
        <v>0.09797805</v>
      </c>
      <c r="AB33" s="24" t="n">
        <v>0.049719002</v>
      </c>
      <c r="AC33" s="24" t="n">
        <v>0.092327904</v>
      </c>
      <c r="AD33" s="24" t="n">
        <v>0.09532120400000001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12320</v>
      </c>
      <c r="E41" s="2" t="inlineStr">
        <is>
          <t>원 — 네이버 정규장 종가(aik 확정종가 대조 · aik 12,820원)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0.1906071218392135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0.03759318263274067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0.02144658781719191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0.03991128074800268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15.01</v>
      </c>
    </row>
    <row r="32">
      <c r="C32" s="2" t="inlineStr">
        <is>
          <t>pbr_now</t>
        </is>
      </c>
      <c r="D32" t="n">
        <v>1.66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