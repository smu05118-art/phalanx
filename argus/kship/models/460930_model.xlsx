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변수!$C$1:$AE$1</definedName>
    <definedName name="환율">변수!$C$6:$AE$13</definedName>
    <definedName name="BS연결H">BS연결!$C$1:$AE$1</definedName>
    <definedName name="BS연결">BS연결!$C$5:$AE$96</definedName>
    <definedName name="BS별도H">BS별도!$C$1:$AE$1</definedName>
    <definedName name="BS별도">BS별도!$C$5:$AE$85</definedName>
    <definedName name="SUBQH">subQ!$A$1:$AE$1</definedName>
    <definedName name="subQ">subQ!$A$5:$AE$40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S6" authorId="0" shapeId="0">
      <text>
        <t>모델 assumptions.fx — 가정 — 마지막 ECB 관측치를 2028Q4 까지 평평하게 둔다. 선도환율·컨센서스 아님.</t>
      </text>
    </comment>
    <comment ref="T6" authorId="0" shapeId="0">
      <text>
        <t>모델 assumptions.fx — 가정 — 마지막 ECB 관측치를 2028Q4 까지 평평하게 둔다. 선도환율·컨센서스 아님.</t>
      </text>
    </comment>
    <comment ref="V6" authorId="0" shapeId="0">
      <text>
        <t>모델 assumptions.fx — 가정 — 마지막 ECB 관측치를 2028Q4 까지 평평하게 둔다. 선도환율·컨센서스 아님.</t>
      </text>
    </comment>
    <comment ref="W6" authorId="0" shapeId="0">
      <text>
        <t>모델 assumptions.fx — 가정 — 마지막 ECB 관측치를 2028Q4 까지 평평하게 둔다. 선도환율·컨센서스 아님.</t>
      </text>
    </comment>
    <comment ref="X6" authorId="0" shapeId="0">
      <text>
        <t>모델 assumptions.fx — 가정 — 마지막 ECB 관측치를 2028Q4 까지 평평하게 둔다. 선도환율·컨센서스 아님.</t>
      </text>
    </comment>
    <comment ref="Y6" authorId="0" shapeId="0">
      <text>
        <t>모델 assumptions.fx — 가정 — 마지막 ECB 관측치를 2028Q4 까지 평평하게 둔다. 선도환율·컨센서스 아님.</t>
      </text>
    </comment>
    <comment ref="AA6" authorId="0" shapeId="0">
      <text>
        <t>모델 assumptions.fx — 가정 — 마지막 ECB 관측치를 2028Q4 까지 평평하게 둔다. 선도환율·컨센서스 아님.</t>
      </text>
    </comment>
    <comment ref="AB6" authorId="0" shapeId="0">
      <text>
        <t>모델 assumptions.fx — 가정 — 마지막 ECB 관측치를 2028Q4 까지 평평하게 둔다. 선도환율·컨센서스 아님.</t>
      </text>
    </commen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S7" authorId="0" shapeId="0">
      <text>
        <t>모델 assumptions.fx — 가정 — 마지막 ECB 관측치를 2028Q4 까지 평평하게 둔다. 선도환율·컨센서스 아님.</t>
      </text>
    </comment>
    <comment ref="T7" authorId="0" shapeId="0">
      <text>
        <t>모델 assumptions.fx — 가정 — 마지막 ECB 관측치를 2028Q4 까지 평평하게 둔다. 선도환율·컨센서스 아님.</t>
      </text>
    </comment>
    <comment ref="V7" authorId="0" shapeId="0">
      <text>
        <t>모델 assumptions.fx — 가정 — 마지막 ECB 관측치를 2028Q4 까지 평평하게 둔다. 선도환율·컨센서스 아님.</t>
      </text>
    </comment>
    <comment ref="W7" authorId="0" shapeId="0">
      <text>
        <t>모델 assumptions.fx — 가정 — 마지막 ECB 관측치를 2028Q4 까지 평평하게 둔다. 선도환율·컨센서스 아님.</t>
      </text>
    </comment>
    <comment ref="X7" authorId="0" shapeId="0">
      <text>
        <t>모델 assumptions.fx — 가정 — 마지막 ECB 관측치를 2028Q4 까지 평평하게 둔다. 선도환율·컨센서스 아님.</t>
      </text>
    </comment>
    <comment ref="Y7" authorId="0" shapeId="0">
      <text>
        <t>모델 assumptions.fx — 가정 — 마지막 ECB 관측치를 2028Q4 까지 평평하게 둔다. 선도환율·컨센서스 아님.</t>
      </text>
    </comment>
    <comment ref="AA7" authorId="0" shapeId="0">
      <text>
        <t>모델 assumptions.fx — 가정 — 마지막 ECB 관측치를 2028Q4 까지 평평하게 둔다. 선도환율·컨센서스 아님.</t>
      </text>
    </comment>
    <comment ref="AB7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T8" authorId="0" shapeId="0">
      <text>
        <t>fx.json quarters(partial — 분기 진행 중 실측 평균)</t>
      </text>
    </comment>
    <comment ref="V8" authorId="0" shapeId="0">
      <text>
        <t>fx.json forward(flat_last_end) — 가정</t>
      </text>
    </comment>
    <comment ref="W8" authorId="0" shapeId="0">
      <text>
        <t>fx.json forward(flat_last_end) — 가정</t>
      </text>
    </comment>
    <comment ref="X8" authorId="0" shapeId="0">
      <text>
        <t>fx.json forward(flat_last_end) — 가정</t>
      </text>
    </comment>
    <comment ref="Y8" authorId="0" shapeId="0">
      <text>
        <t>fx.json forward(flat_last_end) — 가정</t>
      </text>
    </comment>
    <comment ref="AA8" authorId="0" shapeId="0">
      <text>
        <t>fx.json forward(flat_last_end) — 가정</t>
      </text>
    </comment>
    <comment ref="AB8" authorId="0" shapeId="0">
      <text>
        <t>fx.json forward(flat_last_end) — 가정</t>
      </text>
    </comment>
    <comment ref="AC8" authorId="0" shapeId="0">
      <text>
        <t>fx.json forward(flat_last_end) — 가정</t>
      </text>
    </comment>
    <comment ref="AD8" authorId="0" shapeId="0">
      <text>
        <t>fx.json forward(flat_last_end) — 가정</t>
      </text>
    </comment>
    <comment ref="T9" authorId="0" shapeId="0">
      <text>
        <t>fx.json quarters(partial — 분기 진행 중 실측 평균)</t>
      </text>
    </comment>
    <comment ref="V9" authorId="0" shapeId="0">
      <text>
        <t>fx.json forward(flat_last_end) — 가정</t>
      </text>
    </comment>
    <comment ref="W9" authorId="0" shapeId="0">
      <text>
        <t>fx.json forward(flat_last_end) — 가정</t>
      </text>
    </comment>
    <comment ref="X9" authorId="0" shapeId="0">
      <text>
        <t>fx.json forward(flat_last_end) — 가정</t>
      </text>
    </comment>
    <comment ref="Y9" authorId="0" shapeId="0">
      <text>
        <t>fx.json forward(flat_last_end) — 가정</t>
      </text>
    </comment>
    <comment ref="AA9" authorId="0" shapeId="0">
      <text>
        <t>fx.json forward(flat_last_end) — 가정</t>
      </text>
    </comment>
    <comment ref="AB9" authorId="0" shapeId="0">
      <text>
        <t>fx.json forward(flat_last_end) — 가정</t>
      </text>
    </comment>
    <comment ref="AC9" authorId="0" shapeId="0">
      <text>
        <t>fx.json forward(flat_last_end) — 가정</t>
      </text>
    </comment>
    <comment ref="AD9" authorId="0" shapeId="0">
      <text>
        <t>fx.json forward(flat_last_end) — 가정</t>
      </text>
    </comment>
    <comment ref="T10" authorId="0" shapeId="0">
      <text>
        <t>fx.json quarters(partial — 분기 진행 중 실측 평균)</t>
      </text>
    </comment>
    <comment ref="V10" authorId="0" shapeId="0">
      <text>
        <t>fx.json forward(flat_last_end) — 가정</t>
      </text>
    </comment>
    <comment ref="W10" authorId="0" shapeId="0">
      <text>
        <t>fx.json forward(flat_last_end) — 가정</t>
      </text>
    </comment>
    <comment ref="X10" authorId="0" shapeId="0">
      <text>
        <t>fx.json forward(flat_last_end) — 가정</t>
      </text>
    </comment>
    <comment ref="Y10" authorId="0" shapeId="0">
      <text>
        <t>fx.json forward(flat_last_end) — 가정</t>
      </text>
    </comment>
    <comment ref="AA10" authorId="0" shapeId="0">
      <text>
        <t>fx.json forward(flat_last_end) — 가정</t>
      </text>
    </comment>
    <comment ref="AB10" authorId="0" shapeId="0">
      <text>
        <t>fx.json forward(flat_last_end) — 가정</t>
      </text>
    </comment>
    <comment ref="AC10" authorId="0" shapeId="0">
      <text>
        <t>fx.json forward(flat_last_end) — 가정</t>
      </text>
    </comment>
    <comment ref="AD10" authorId="0" shapeId="0">
      <text>
        <t>fx.json forward(flat_last_end) — 가정</t>
      </text>
    </comment>
    <comment ref="T11" authorId="0" shapeId="0">
      <text>
        <t>fx.json quarters(partial — 분기 진행 중 실측 평균)</t>
      </text>
    </comment>
    <comment ref="V11" authorId="0" shapeId="0">
      <text>
        <t>fx.json forward(flat_last_end) — 가정</t>
      </text>
    </comment>
    <comment ref="W11" authorId="0" shapeId="0">
      <text>
        <t>fx.json forward(flat_last_end) — 가정</t>
      </text>
    </comment>
    <comment ref="X11" authorId="0" shapeId="0">
      <text>
        <t>fx.json forward(flat_last_end) — 가정</t>
      </text>
    </comment>
    <comment ref="Y11" authorId="0" shapeId="0">
      <text>
        <t>fx.json forward(flat_last_end) — 가정</t>
      </text>
    </comment>
    <comment ref="AA11" authorId="0" shapeId="0">
      <text>
        <t>fx.json forward(flat_last_end) — 가정</t>
      </text>
    </comment>
    <comment ref="AB11" authorId="0" shapeId="0">
      <text>
        <t>fx.json forward(flat_last_end) — 가정</t>
      </text>
    </comment>
    <comment ref="AC11" authorId="0" shapeId="0">
      <text>
        <t>fx.json forward(flat_last_end) — 가정</t>
      </text>
    </comment>
    <comment ref="AD11" authorId="0" shapeId="0">
      <text>
        <t>fx.json forward(flat_last_end) — 가정</t>
      </text>
    </comment>
    <comment ref="T12" authorId="0" shapeId="0">
      <text>
        <t>fx.json quarters(partial — 분기 진행 중 실측 평균)</t>
      </text>
    </comment>
    <comment ref="V12" authorId="0" shapeId="0">
      <text>
        <t>fx.json forward(flat_last_end) — 가정</t>
      </text>
    </comment>
    <comment ref="W12" authorId="0" shapeId="0">
      <text>
        <t>fx.json forward(flat_last_end) — 가정</t>
      </text>
    </comment>
    <comment ref="X12" authorId="0" shapeId="0">
      <text>
        <t>fx.json forward(flat_last_end) — 가정</t>
      </text>
    </comment>
    <comment ref="Y12" authorId="0" shapeId="0">
      <text>
        <t>fx.json forward(flat_last_end) — 가정</t>
      </text>
    </comment>
    <comment ref="AA12" authorId="0" shapeId="0">
      <text>
        <t>fx.json forward(flat_last_end) — 가정</t>
      </text>
    </comment>
    <comment ref="AB12" authorId="0" shapeId="0">
      <text>
        <t>fx.json forward(flat_last_end) — 가정</t>
      </text>
    </comment>
    <comment ref="AC12" authorId="0" shapeId="0">
      <text>
        <t>fx.json forward(flat_last_end) — 가정</t>
      </text>
    </comment>
    <comment ref="AD12" authorId="0" shapeId="0">
      <text>
        <t>fx.json forward(flat_last_end) — 가정</t>
      </text>
    </comment>
    <comment ref="T13" authorId="0" shapeId="0">
      <text>
        <t>fx.json quarters(partial — 분기 진행 중 실측 평균)</t>
      </text>
    </comment>
    <comment ref="V13" authorId="0" shapeId="0">
      <text>
        <t>fx.json forward(flat_last_end) — 가정</t>
      </text>
    </comment>
    <comment ref="W13" authorId="0" shapeId="0">
      <text>
        <t>fx.json forward(flat_last_end) — 가정</t>
      </text>
    </comment>
    <comment ref="X13" authorId="0" shapeId="0">
      <text>
        <t>fx.json forward(flat_last_end) — 가정</t>
      </text>
    </comment>
    <comment ref="Y13" authorId="0" shapeId="0">
      <text>
        <t>fx.json forward(flat_last_end) — 가정</t>
      </text>
    </comment>
    <comment ref="AA13" authorId="0" shapeId="0">
      <text>
        <t>fx.json forward(flat_last_end) — 가정</t>
      </text>
    </comment>
    <comment ref="AB13" authorId="0" shapeId="0">
      <text>
        <t>fx.json forward(flat_last_end) — 가정</t>
      </text>
    </comment>
    <comment ref="AC13" authorId="0" shapeId="0">
      <text>
        <t>fx.json forward(flat_last_end) — 가정</t>
      </text>
    </comment>
    <comment ref="AD13" authorId="0" shapeId="0">
      <text>
        <t>fx.json forward(flat_last_end) — 가정</t>
      </text>
    </comment>
    <comment ref="T15" authorId="0" shapeId="0">
      <text>
        <t>분기 진행 중(partial) — aikstockdata/토스 일봉</t>
      </text>
    </comment>
    <comment ref="T16" authorId="0" shapeId="0">
      <text>
        <t>분기 진행 중(partial) — aikstockdata/토스 일봉</t>
      </text>
    </comment>
    <comment ref="T17" authorId="0" shapeId="0">
      <text>
        <t>분기 진행 중(partial) — aikstockdata/토스 일봉</t>
      </text>
    </comment>
    <comment ref="T18" authorId="0" shapeId="0">
      <text>
        <t>분기 진행 중(partial) — aikstockdata/토스 일봉</t>
      </text>
    </comment>
    <comment ref="S21" authorId="0" shapeId="0">
      <text>
        <t>모델값 역산(implied): v / 전년동기 − 1
고객지수 4분기 이동합(t−4) 235484억 × 비례계수 0.0122 × 계절비중 Q3 0.243(계절비중 — 최근 2개 연도(2026, 2025) 분기/연간 비중 평균; 격자 lag0~4×창8/12/19×수준·YoY·4Q합 중 최대 r=0.98, n=8, 창 8)</t>
      </text>
    </comment>
    <comment ref="T21" authorId="0" shapeId="0">
      <text>
        <t>모델값 역산(implied): v / 전년동기 − 1
고객지수 4분기 이동합(t−4) 240922억 × 비례계수 0.0122 × 계절비중 Q4 0.261(계절비중 — 최근 2개 연도(2026, 2025) 분기/연간 비중 평균; 격자 lag0~4×창8/12/19×수준·YoY·4Q합 중 최대 r=0.98, n=8, 창 8)</t>
      </text>
    </comment>
    <comment ref="V21" authorId="0" shapeId="0">
      <text>
        <t>모델값 역산(implied): v / 전년동기 − 1
고객지수 4분기 이동합(t−4) 251660억 × 비례계수 0.0122 × 계절비중 Q1 0.241(계절비중 — 최근 2개 연도(2026, 2025) 분기/연간 비중 평균; 격자 lag0~4×창8/12/19×수준·YoY·4Q합 중 최대 r=0.98, n=8, 창 8)</t>
      </text>
    </comment>
    <comment ref="W21" authorId="0" shapeId="0">
      <text>
        <t>모델값 역산(implied): v / 전년동기 − 1
고객지수 4분기 이동합(t−4) 263106억 × 비례계수 0.0122 × 계절비중 Q2 0.255(계절비중 — 최근 2개 연도(2026, 2025) 분기/연간 비중 평균; 격자 lag0~4×창8/12/19×수준·YoY·4Q합 중 최대 r=0.98, n=8, 창 8)</t>
      </text>
    </comment>
    <comment ref="X21" authorId="0" shapeId="0">
      <text>
        <t>모델값 역산(implied): v / 전년동기 − 1
고객지수 4분기 이동합(t−4) 275496억 × 비례계수 0.0122 × 계절비중 Q3 0.243(계절비중 — 최근 2개 연도(2026, 2025) 분기/연간 비중 평균; 격자 lag0~4×창8/12/19×수준·YoY·4Q합 중 최대 r=0.98, n=8, 창 8)</t>
      </text>
    </comment>
    <comment ref="Y21" authorId="0" shapeId="0">
      <text>
        <t>모델값 역산(implied): v / 전년동기 − 1
고객지수 4분기 이동합(t−4) 287947억 × 비례계수 0.0122 × 계절비중 Q4 0.261(계절비중 — 최근 2개 연도(2026, 2025) 분기/연간 비중 평균; 격자 lag0~4×창8/12/19×수준·YoY·4Q합 중 최대 r=0.98, n=8, 창 8)</t>
      </text>
    </comment>
    <comment ref="AA21" authorId="0" shapeId="0">
      <text>
        <t>모델값 역산(implied): v / 전년동기 − 1
고객지수 4분기 이동합(t−4) 299966억 × 비례계수 0.0122 × 계절비중 Q1 0.241(계절비중 — 최근 2개 연도(2026, 2025) 분기/연간 비중 평균; 격자 lag0~4×창8/12/19×수준·YoY·4Q합 중 최대 r=0.98, n=8, 창 8)</t>
      </text>
    </comment>
    <comment ref="AB21" authorId="0" shapeId="0">
      <text>
        <t>모델값 역산(implied): v / 전년동기 − 1
고객지수 4분기 이동합(t−4) 309896억 × 비례계수 0.0122 × 계절비중 Q2 0.255(계절비중 — 최근 2개 연도(2026, 2025) 분기/연간 비중 평균; 격자 lag0~4×창8/12/19×수준·YoY·4Q합 중 최대 r=0.98, n=8, 창 8)</t>
      </text>
    </comment>
    <comment ref="AC21" authorId="0" shapeId="0">
      <text>
        <t>모델값 역산(implied): v / 전년동기 − 1
고객지수 4분기 이동합(t−4) 321155억 × 비례계수 0.0122 × 계절비중 Q3 0.243(계절비중 — 최근 2개 연도(2026, 2025) 분기/연간 비중 평균; 격자 lag0~4×창8/12/19×수준·YoY·4Q합 중 최대 r=0.98, n=8, 창 8)</t>
      </text>
    </comment>
    <comment ref="AD21" authorId="0" shapeId="0">
      <text>
        <t>모델값 역산(implied): v / 전년동기 − 1
고객지수 4분기 이동합(t−4) 336338억 × 비례계수 0.0122 × 계절비중 Q4 0.261(계절비중 — 최근 2개 연도(2026, 2025) 분기/연간 비중 평균; 격자 lag0~4×창8/12/19×수준·YoY·4Q합 중 최대 r=0.98, n=8, 창 8)</t>
      </text>
    </comment>
    <comment ref="S22" authorId="0" shapeId="0">
      <text>
        <t>3절 스칼라 '판관비율' 참조 — 숫자로 덮어쓰면 이 분기만 바뀐다
매출액 × 판관비율 3.76%(최근 4분기 중위)</t>
      </text>
    </comment>
    <comment ref="T22" authorId="0" shapeId="0">
      <text>
        <t>3절 스칼라 '판관비율' 참조 — 숫자로 덮어쓰면 이 분기만 바뀐다
매출액 × 판관비율 3.76%(최근 4분기 중위)</t>
      </text>
    </comment>
    <comment ref="V22" authorId="0" shapeId="0">
      <text>
        <t>3절 스칼라 '판관비율' 참조 — 숫자로 덮어쓰면 이 분기만 바뀐다
매출액 × 판관비율 3.76%(최근 4분기 중위)</t>
      </text>
    </comment>
    <comment ref="W22" authorId="0" shapeId="0">
      <text>
        <t>3절 스칼라 '판관비율' 참조 — 숫자로 덮어쓰면 이 분기만 바뀐다
매출액 × 판관비율 3.76%(최근 4분기 중위)</t>
      </text>
    </comment>
    <comment ref="X22" authorId="0" shapeId="0">
      <text>
        <t>3절 스칼라 '판관비율' 참조 — 숫자로 덮어쓰면 이 분기만 바뀐다
매출액 × 판관비율 3.76%(최근 4분기 중위)</t>
      </text>
    </comment>
    <comment ref="Y22" authorId="0" shapeId="0">
      <text>
        <t>3절 스칼라 '판관비율' 참조 — 숫자로 덮어쓰면 이 분기만 바뀐다
매출액 × 판관비율 3.76%(최근 4분기 중위)</t>
      </text>
    </comment>
    <comment ref="AA22" authorId="0" shapeId="0">
      <text>
        <t>3절 스칼라 '판관비율' 참조 — 숫자로 덮어쓰면 이 분기만 바뀐다
매출액 × 판관비율 3.76%(최근 4분기 중위)</t>
      </text>
    </comment>
    <comment ref="AB22" authorId="0" shapeId="0">
      <text>
        <t>3절 스칼라 '판관비율' 참조 — 숫자로 덮어쓰면 이 분기만 바뀐다
매출액 × 판관비율 3.76%(최근 4분기 중위)</t>
      </text>
    </comment>
    <comment ref="AC22" authorId="0" shapeId="0">
      <text>
        <t>3절 스칼라 '판관비율' 참조 — 숫자로 덮어쓰면 이 분기만 바뀐다
매출액 × 판관비율 3.76%(최근 4분기 중위)</t>
      </text>
    </comment>
    <comment ref="AD22" authorId="0" shapeId="0">
      <text>
        <t>3절 스칼라 '판관비율' 참조 — 숫자로 덮어쓰면 이 분기만 바뀐다
매출액 × 판관비율 3.76%(최근 4분기 중위)</t>
      </text>
    </comment>
    <comment ref="S23" authorId="0" shapeId="0">
      <text>
        <t>모델값 역산(implied): v / 매출액
매출액 × OPM(최근 8분기 OPM 중위 11.8% 유지)</t>
      </text>
    </comment>
    <comment ref="T23" authorId="0" shapeId="0">
      <text>
        <t>모델값 역산(implied): v / 매출액
매출액 × OPM(최근 8분기 OPM 중위 11.8% 유지)</t>
      </text>
    </comment>
    <comment ref="V23" authorId="0" shapeId="0">
      <text>
        <t>모델값 역산(implied): v / 매출액
매출액 × OPM(최근 8분기 OPM 중위 11.8% 유지)</t>
      </text>
    </comment>
    <comment ref="W23" authorId="0" shapeId="0">
      <text>
        <t>모델값 역산(implied): v / 매출액
매출액 × OPM(최근 8분기 OPM 중위 11.8% 유지)</t>
      </text>
    </comment>
    <comment ref="X23" authorId="0" shapeId="0">
      <text>
        <t>모델값 역산(implied): v / 매출액
매출액 × OPM(최근 8분기 OPM 중위 11.8% 유지)</t>
      </text>
    </comment>
    <comment ref="Y23" authorId="0" shapeId="0">
      <text>
        <t>모델값 역산(implied): v / 매출액
매출액 × OPM(최근 8분기 OPM 중위 11.8% 유지)</t>
      </text>
    </comment>
    <comment ref="AA23" authorId="0" shapeId="0">
      <text>
        <t>모델값 역산(implied): v / 매출액
매출액 × OPM(최근 8분기 OPM 중위 11.8% 유지)</t>
      </text>
    </comment>
    <comment ref="AB23" authorId="0" shapeId="0">
      <text>
        <t>모델값 역산(implied): v / 매출액
매출액 × OPM(최근 8분기 OPM 중위 11.8% 유지)</t>
      </text>
    </comment>
    <comment ref="AC23" authorId="0" shapeId="0">
      <text>
        <t>모델값 역산(implied): v / 매출액
매출액 × OPM(최근 8분기 OPM 중위 11.8% 유지)</t>
      </text>
    </comment>
    <comment ref="AD23" authorId="0" shapeId="0">
      <text>
        <t>모델값 역산(implied): v / 매출액
매출액 × OPM(최근 8분기 OPM 중위 11.8% 유지)</t>
      </text>
    </comment>
    <comment ref="S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T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V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W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X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Y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A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B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S25" authorId="0" shapeId="0">
      <text>
        <t>모델값 역산(implied): 모델 v 그대로
일회성 미가정 → 0</t>
      </text>
    </comment>
    <comment ref="T25" authorId="0" shapeId="0">
      <text>
        <t>모델값 역산(implied): 모델 v 그대로
일회성 미가정 → 0</t>
      </text>
    </comment>
    <comment ref="V25" authorId="0" shapeId="0">
      <text>
        <t>모델값 역산(implied): 모델 v 그대로
일회성 미가정 → 0</t>
      </text>
    </comment>
    <comment ref="W25" authorId="0" shapeId="0">
      <text>
        <t>모델값 역산(implied): 모델 v 그대로
일회성 미가정 → 0</t>
      </text>
    </comment>
    <comment ref="X25" authorId="0" shapeId="0">
      <text>
        <t>모델값 역산(implied): 모델 v 그대로
일회성 미가정 → 0</t>
      </text>
    </comment>
    <comment ref="Y25" authorId="0" shapeId="0">
      <text>
        <t>모델값 역산(implied): 모델 v 그대로
일회성 미가정 → 0</t>
      </text>
    </comment>
    <comment ref="AA25" authorId="0" shapeId="0">
      <text>
        <t>모델값 역산(implied): 모델 v 그대로
일회성 미가정 → 0</t>
      </text>
    </comment>
    <comment ref="AB25" authorId="0" shapeId="0">
      <text>
        <t>모델값 역산(implied): 모델 v 그대로
일회성 미가정 → 0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S26" authorId="0" shapeId="0">
      <text>
        <t>3절 스칼라 '세율' 참조 — 숫자로 덮어쓰면 이 분기만 바뀐다
max(세전, 0) × 세율 19.1%(최근 11분기 유효세율 19.1%(5~27% 안 — 그대로))</t>
      </text>
    </comment>
    <comment ref="T26" authorId="0" shapeId="0">
      <text>
        <t>3절 스칼라 '세율' 참조 — 숫자로 덮어쓰면 이 분기만 바뀐다
max(세전, 0) × 세율 19.1%(최근 11분기 유효세율 19.1%(5~27% 안 — 그대로))</t>
      </text>
    </comment>
    <comment ref="V26" authorId="0" shapeId="0">
      <text>
        <t>3절 스칼라 '세율' 참조 — 숫자로 덮어쓰면 이 분기만 바뀐다
max(세전, 0) × 세율 19.1%(최근 11분기 유효세율 19.1%(5~27% 안 — 그대로))</t>
      </text>
    </comment>
    <comment ref="W26" authorId="0" shapeId="0">
      <text>
        <t>3절 스칼라 '세율' 참조 — 숫자로 덮어쓰면 이 분기만 바뀐다
max(세전, 0) × 세율 19.1%(최근 11분기 유효세율 19.1%(5~27% 안 — 그대로))</t>
      </text>
    </comment>
    <comment ref="X26" authorId="0" shapeId="0">
      <text>
        <t>3절 스칼라 '세율' 참조 — 숫자로 덮어쓰면 이 분기만 바뀐다
max(세전, 0) × 세율 19.1%(최근 11분기 유효세율 19.1%(5~27% 안 — 그대로))</t>
      </text>
    </comment>
    <comment ref="Y26" authorId="0" shapeId="0">
      <text>
        <t>3절 스칼라 '세율' 참조 — 숫자로 덮어쓰면 이 분기만 바뀐다
max(세전, 0) × 세율 19.1%(최근 11분기 유효세율 19.1%(5~27% 안 — 그대로))</t>
      </text>
    </comment>
    <comment ref="AA26" authorId="0" shapeId="0">
      <text>
        <t>3절 스칼라 '세율' 참조 — 숫자로 덮어쓰면 이 분기만 바뀐다
max(세전, 0) × 세율 19.1%(최근 11분기 유효세율 19.1%(5~27% 안 — 그대로))</t>
      </text>
    </comment>
    <comment ref="AB26" authorId="0" shapeId="0">
      <text>
        <t>3절 스칼라 '세율' 참조 — 숫자로 덮어쓰면 이 분기만 바뀐다
max(세전, 0) × 세율 19.1%(최근 11분기 유효세율 19.1%(5~27% 안 — 그대로))</t>
      </text>
    </comment>
    <comment ref="AC26" authorId="0" shapeId="0">
      <text>
        <t>3절 스칼라 '세율' 참조 — 숫자로 덮어쓰면 이 분기만 바뀐다
max(세전, 0) × 세율 19.1%(최근 11분기 유효세율 19.1%(5~27% 안 — 그대로))</t>
      </text>
    </comment>
    <comment ref="AD26" authorId="0" shapeId="0">
      <text>
        <t>3절 스칼라 '세율' 참조 — 숫자로 덮어쓰면 이 분기만 바뀐다
max(세전, 0) × 세율 19.1%(최근 11분기 유효세율 19.1%(5~27% 안 — 그대로))</t>
      </text>
    </comment>
    <comment ref="S27" authorId="0" shapeId="0">
      <text>
        <t>3절 스칼라 '지배주주비중' 참조 — 숫자로 덮어쓰면 이 분기만 바뀐다
당기순이익 × (1 − 비지배 비중 0.0%, 최근 8분기 실측)</t>
      </text>
    </comment>
    <comment ref="T27" authorId="0" shapeId="0">
      <text>
        <t>3절 스칼라 '지배주주비중' 참조 — 숫자로 덮어쓰면 이 분기만 바뀐다
당기순이익 × (1 − 비지배 비중 0.0%, 최근 8분기 실측)</t>
      </text>
    </comment>
    <comment ref="V27" authorId="0" shapeId="0">
      <text>
        <t>3절 스칼라 '지배주주비중' 참조 — 숫자로 덮어쓰면 이 분기만 바뀐다
당기순이익 × (1 − 비지배 비중 0.0%, 최근 8분기 실측)</t>
      </text>
    </comment>
    <comment ref="W27" authorId="0" shapeId="0">
      <text>
        <t>3절 스칼라 '지배주주비중' 참조 — 숫자로 덮어쓰면 이 분기만 바뀐다
당기순이익 × (1 − 비지배 비중 0.0%, 최근 8분기 실측)</t>
      </text>
    </comment>
    <comment ref="X27" authorId="0" shapeId="0">
      <text>
        <t>3절 스칼라 '지배주주비중' 참조 — 숫자로 덮어쓰면 이 분기만 바뀐다
당기순이익 × (1 − 비지배 비중 0.0%, 최근 8분기 실측)</t>
      </text>
    </comment>
    <comment ref="Y27" authorId="0" shapeId="0">
      <text>
        <t>3절 스칼라 '지배주주비중' 참조 — 숫자로 덮어쓰면 이 분기만 바뀐다
당기순이익 × (1 − 비지배 비중 0.0%, 최근 8분기 실측)</t>
      </text>
    </comment>
    <comment ref="AA27" authorId="0" shapeId="0">
      <text>
        <t>3절 스칼라 '지배주주비중' 참조 — 숫자로 덮어쓰면 이 분기만 바뀐다
당기순이익 × (1 − 비지배 비중 0.0%, 최근 8분기 실측)</t>
      </text>
    </comment>
    <comment ref="AB27" authorId="0" shapeId="0">
      <text>
        <t>3절 스칼라 '지배주주비중' 참조 — 숫자로 덮어쓰면 이 분기만 바뀐다
당기순이익 × (1 − 비지배 비중 0.0%, 최근 8분기 실측)</t>
      </text>
    </comment>
    <comment ref="AC27" authorId="0" shapeId="0">
      <text>
        <t>3절 스칼라 '지배주주비중' 참조 — 숫자로 덮어쓰면 이 분기만 바뀐다
당기순이익 × (1 − 비지배 비중 0.0%, 최근 8분기 실측)</t>
      </text>
    </comment>
    <comment ref="AD27" authorId="0" shapeId="0">
      <text>
        <t>3절 스칼라 '지배주주비중' 참조 — 숫자로 덮어쓰면 이 분기만 바뀐다
당기순이익 × (1 − 비지배 비중 0.0%, 최근 8분기 실측)</t>
      </text>
    </comment>
    <comment ref="S28" authorId="0" shapeId="0">
      <text>
        <t>모델값 역산(implied): v / 전분기 − 1
마지막 실적 유지(가정)</t>
      </text>
    </comment>
    <comment ref="T28" authorId="0" shapeId="0">
      <text>
        <t>모델값 역산(implied): v / 전분기 − 1
마지막 실적 유지(가정)</t>
      </text>
    </comment>
    <comment ref="V28" authorId="0" shapeId="0">
      <text>
        <t>모델값 역산(implied): v / 전분기 − 1
마지막 실적 유지(가정)</t>
      </text>
    </comment>
    <comment ref="W28" authorId="0" shapeId="0">
      <text>
        <t>모델값 역산(implied): v / 전분기 − 1
마지막 실적 유지(가정)</t>
      </text>
    </comment>
    <comment ref="X28" authorId="0" shapeId="0">
      <text>
        <t>모델값 역산(implied): v / 전분기 − 1
마지막 실적 유지(가정)</t>
      </text>
    </comment>
    <comment ref="Y28" authorId="0" shapeId="0">
      <text>
        <t>모델값 역산(implied): v / 전분기 − 1
마지막 실적 유지(가정)</t>
      </text>
    </comment>
    <comment ref="AA28" authorId="0" shapeId="0">
      <text>
        <t>모델값 역산(implied): v / 전분기 − 1
마지막 실적 유지(가정)</t>
      </text>
    </comment>
    <comment ref="AB28" authorId="0" shapeId="0">
      <text>
        <t>모델값 역산(implied): v / 전분기 − 1
마지막 실적 유지(가정)</t>
      </text>
    </comment>
    <comment ref="AC28" authorId="0" shapeId="0">
      <text>
        <t>모델값 역산(implied): v / 전분기 − 1
마지막 실적 유지(가정)</t>
      </text>
    </comment>
    <comment ref="AD28" authorId="0" shapeId="0">
      <text>
        <t>모델값 역산(implied): v / 전분기 − 1
마지막 실적 유지(가정)</t>
      </text>
    </comment>
    <comment ref="S29" authorId="0" shapeId="0">
      <text>
        <t>모델값 역산(implied): 전분기(시트값) + 당기순이익(시트 수식값) − v
전분기 + 당기순이익 − 배당(Q2 지급 가정)</t>
      </text>
    </comment>
    <comment ref="T29" authorId="0" shapeId="0">
      <text>
        <t>모델값 역산(implied): 전분기(시트값) + 당기순이익(시트 수식값) − v
전분기 + 당기순이익 − 배당(Q2 지급 가정)</t>
      </text>
    </comment>
    <comment ref="V29" authorId="0" shapeId="0">
      <text>
        <t>모델값 역산(implied): 전분기(시트값) + 당기순이익(시트 수식값) − v
전분기 + 당기순이익 − 배당(Q2 지급 가정)</t>
      </text>
    </comment>
    <comment ref="W29" authorId="0" shapeId="0">
      <text>
        <t>모델값 역산(implied): 전분기(시트값) + 당기순이익(시트 수식값) − v
전분기 + 당기순이익 − 배당(Q2 지급 가정)</t>
      </text>
    </comment>
    <comment ref="X29" authorId="0" shapeId="0">
      <text>
        <t>모델값 역산(implied): 전분기(시트값) + 당기순이익(시트 수식값) − v
전분기 + 당기순이익 − 배당(Q2 지급 가정)</t>
      </text>
    </comment>
    <comment ref="Y29" authorId="0" shapeId="0">
      <text>
        <t>모델값 역산(implied): 전분기(시트값) + 당기순이익(시트 수식값) − v
전분기 + 당기순이익 − 배당(Q2 지급 가정)</t>
      </text>
    </comment>
    <comment ref="AA29" authorId="0" shapeId="0">
      <text>
        <t>모델값 역산(implied): 전분기(시트값) + 당기순이익(시트 수식값) − v
전분기 + 당기순이익 − 배당(Q2 지급 가정)</t>
      </text>
    </comment>
    <comment ref="AB29" authorId="0" shapeId="0">
      <text>
        <t>모델값 역산(implied): 전분기(시트값) + 당기순이익(시트 수식값) − v
전분기 + 당기순이익 − 배당(Q2 지급 가정)</t>
      </text>
    </comment>
    <comment ref="AC29" authorId="0" shapeId="0">
      <text>
        <t>모델값 역산(implied): 전분기(시트값) + 당기순이익(시트 수식값) − v
전분기 + 당기순이익 − 배당(Q2 지급 가정)</t>
      </text>
    </comment>
    <comment ref="AD29" authorId="0" shapeId="0">
      <text>
        <t>모델값 역산(implied): 전분기(시트값) + 당기순이익(시트 수식값) − v
전분기 + 당기순이익 − 배당(Q2 지급 가정)</t>
      </text>
    </comment>
    <comment ref="S30" authorId="0" shapeId="0">
      <text>
        <t>모델값 역산(implied): 전분기(시트값) + 지배주주순이익(시트 수식값) − v
전분기 + 지배주주순이익 − 배당</t>
      </text>
    </comment>
    <comment ref="T30" authorId="0" shapeId="0">
      <text>
        <t>모델값 역산(implied): 전분기(시트값) + 지배주주순이익(시트 수식값) − v
전분기 + 지배주주순이익 − 배당</t>
      </text>
    </comment>
    <comment ref="V30" authorId="0" shapeId="0">
      <text>
        <t>모델값 역산(implied): 전분기(시트값) + 지배주주순이익(시트 수식값) − v
전분기 + 지배주주순이익 − 배당</t>
      </text>
    </comment>
    <comment ref="W30" authorId="0" shapeId="0">
      <text>
        <t>모델값 역산(implied): 전분기(시트값) + 지배주주순이익(시트 수식값) − v
전분기 + 지배주주순이익 − 배당</t>
      </text>
    </comment>
    <comment ref="X30" authorId="0" shapeId="0">
      <text>
        <t>모델값 역산(implied): 전분기(시트값) + 지배주주순이익(시트 수식값) − v
전분기 + 지배주주순이익 − 배당</t>
      </text>
    </comment>
    <comment ref="Y30" authorId="0" shapeId="0">
      <text>
        <t>모델값 역산(implied): 전분기(시트값) + 지배주주순이익(시트 수식값) − v
전분기 + 지배주주순이익 − 배당</t>
      </text>
    </comment>
    <comment ref="AA30" authorId="0" shapeId="0">
      <text>
        <t>모델값 역산(implied): 전분기(시트값) + 지배주주순이익(시트 수식값) − v
전분기 + 지배주주순이익 − 배당</t>
      </text>
    </comment>
    <comment ref="AB30" authorId="0" shapeId="0">
      <text>
        <t>모델값 역산(implied): 전분기(시트값) + 지배주주순이익(시트 수식값) − v
전분기 + 지배주주순이익 − 배당</t>
      </text>
    </comment>
    <comment ref="AC30" authorId="0" shapeId="0">
      <text>
        <t>모델값 역산(implied): 전분기(시트값) + 지배주주순이익(시트 수식값) − v
전분기 + 지배주주순이익 − 배당</t>
      </text>
    </comment>
    <comment ref="AD30" authorId="0" shapeId="0">
      <text>
        <t>모델값 역산(implied): 전분기(시트값) + 지배주주순이익(시트 수식값) − v
전분기 + 지배주주순이익 − 배당</t>
      </text>
    </comment>
    <comment ref="S31" authorId="0" shapeId="0">
      <text>
        <t>모델값 역산(implied): v / 전분기 − 1
마지막 실적 유지(가정)</t>
      </text>
    </comment>
    <comment ref="T31" authorId="0" shapeId="0">
      <text>
        <t>모델값 역산(implied): v / 전분기 − 1
마지막 실적 유지(가정)</t>
      </text>
    </comment>
    <comment ref="V31" authorId="0" shapeId="0">
      <text>
        <t>모델값 역산(implied): v / 전분기 − 1
마지막 실적 유지(가정)</t>
      </text>
    </comment>
    <comment ref="W31" authorId="0" shapeId="0">
      <text>
        <t>모델값 역산(implied): v / 전분기 − 1
마지막 실적 유지(가정)</t>
      </text>
    </comment>
    <comment ref="X31" authorId="0" shapeId="0">
      <text>
        <t>모델값 역산(implied): v / 전분기 − 1
마지막 실적 유지(가정)</t>
      </text>
    </comment>
    <comment ref="Y31" authorId="0" shapeId="0">
      <text>
        <t>모델값 역산(implied): v / 전분기 − 1
마지막 실적 유지(가정)</t>
      </text>
    </comment>
    <comment ref="AA31" authorId="0" shapeId="0">
      <text>
        <t>모델값 역산(implied): v / 전분기 − 1
마지막 실적 유지(가정)</t>
      </text>
    </comment>
    <comment ref="AB31" authorId="0" shapeId="0">
      <text>
        <t>모델값 역산(implied): v / 전분기 − 1
마지막 실적 유지(가정)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S32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T32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V32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W32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X32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Y32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A32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B32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C32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D32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S33" authorId="0" shapeId="0">
      <text>
        <t>모델값 역산(implied): v / 전분기 − 1
전분기 + FCF 근사 — 순차입금 롤과 같은 가정</t>
      </text>
    </comment>
    <comment ref="T33" authorId="0" shapeId="0">
      <text>
        <t>모델값 역산(implied): v / 전분기 − 1
전분기 + FCF 근사 — 순차입금 롤과 같은 가정</t>
      </text>
    </comment>
    <comment ref="V33" authorId="0" shapeId="0">
      <text>
        <t>모델값 역산(implied): v / 전분기 − 1
전분기 + FCF 근사 — 순차입금 롤과 같은 가정</t>
      </text>
    </comment>
    <comment ref="W33" authorId="0" shapeId="0">
      <text>
        <t>모델값 역산(implied): v / 전분기 − 1
전분기 + FCF 근사 — 순차입금 롤과 같은 가정</t>
      </text>
    </comment>
    <comment ref="X33" authorId="0" shapeId="0">
      <text>
        <t>모델값 역산(implied): v / 전분기 − 1
전분기 + FCF 근사 — 순차입금 롤과 같은 가정</t>
      </text>
    </comment>
    <comment ref="Y33" authorId="0" shapeId="0">
      <text>
        <t>모델값 역산(implied): v / 전분기 − 1
전분기 + FCF 근사 — 순차입금 롤과 같은 가정</t>
      </text>
    </comment>
    <comment ref="AA33" authorId="0" shapeId="0">
      <text>
        <t>모델값 역산(implied): v / 전분기 − 1
전분기 + FCF 근사 — 순차입금 롤과 같은 가정</t>
      </text>
    </comment>
    <comment ref="AB33" authorId="0" shapeId="0">
      <text>
        <t>모델값 역산(implied): v / 전분기 − 1
전분기 + FCF 근사 — 순차입금 롤과 같은 가정</t>
      </text>
    </comment>
    <comment ref="AC33" authorId="0" shapeId="0">
      <text>
        <t>모델값 역산(implied): v / 전분기 − 1
전분기 + FCF 근사 — 순차입금 롤과 같은 가정</t>
      </text>
    </comment>
    <comment ref="AD33" authorId="0" shapeId="0">
      <text>
        <t>모델값 역산(implied): v / 전분기 − 1
전분기 + FCF 근사 — 순차입금 롤과 같은 가정</t>
      </text>
    </comment>
    <comment ref="S35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T35" authorId="0" shapeId="0">
      <text>
        <t>모델값 역산(implied): v / 전분기 − 1 (전년동기 없음 → 전분기 대비)
최근 4분기(2024Q4~2025Q3) CAPEX 중위 유지 — 순차입금 롤에 미반영(감가상각비 없음 → CAPEX≈감가 가정)</t>
      </text>
    </comment>
    <comment ref="V35" authorId="0" shapeId="0">
      <text>
        <t>모델값 역산(implied): v / 전분기 − 1 (전년동기 없음 → 전분기 대비)
최근 4분기(2024Q4~2025Q3) CAPEX 중위 유지 — 순차입금 롤에 미반영(감가상각비 없음 → CAPEX≈감가 가정)</t>
      </text>
    </comment>
    <comment ref="W35" authorId="0" shapeId="0">
      <text>
        <t>모델값 역산(implied): v / 전분기 − 1 (전년동기 없음 → 전분기 대비)
최근 4분기(2024Q4~2025Q3) CAPEX 중위 유지 — 순차입금 롤에 미반영(감가상각비 없음 → CAPEX≈감가 가정)</t>
      </text>
    </comment>
    <comment ref="X35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Y35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A35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B35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C35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AD35" authorId="0" shapeId="0">
      <text>
        <t>모델값 역산(implied): v / 전년동기 − 1
최근 4분기(2024Q4~2025Q3) CAPEX 중위 유지 — 순차입금 롤에 미반영(감가상각비 없음 → CAPEX≈감가 가정)</t>
      </text>
    </comment>
    <comment ref="S37" authorId="0" shapeId="0">
      <text>
        <t>모델값 역산(implied): v / 전분기 − 1
유통주식수 유지 — fin.shares.common_outstanding(2026Q2)</t>
      </text>
    </comment>
    <comment ref="T37" authorId="0" shapeId="0">
      <text>
        <t>모델값 역산(implied): v / 전분기 − 1
유통주식수 유지 — fin.shares.common_outstanding(2026Q2)</t>
      </text>
    </comment>
    <comment ref="V37" authorId="0" shapeId="0">
      <text>
        <t>모델값 역산(implied): v / 전분기 − 1
유통주식수 유지 — fin.shares.common_outstanding(2026Q2)</t>
      </text>
    </comment>
    <comment ref="W37" authorId="0" shapeId="0">
      <text>
        <t>모델값 역산(implied): v / 전분기 − 1
유통주식수 유지 — fin.shares.common_outstanding(2026Q2)</t>
      </text>
    </comment>
    <comment ref="X37" authorId="0" shapeId="0">
      <text>
        <t>모델값 역산(implied): v / 전분기 − 1
유통주식수 유지 — fin.shares.common_outstanding(2026Q2)</t>
      </text>
    </comment>
    <comment ref="Y37" authorId="0" shapeId="0">
      <text>
        <t>모델값 역산(implied): v / 전분기 − 1
유통주식수 유지 — fin.shares.common_outstanding(2026Q2)</t>
      </text>
    </comment>
    <comment ref="AA37" authorId="0" shapeId="0">
      <text>
        <t>모델값 역산(implied): v / 전분기 − 1
유통주식수 유지 — fin.shares.common_outstanding(2026Q2)</t>
      </text>
    </comment>
    <comment ref="AB37" authorId="0" shapeId="0">
      <text>
        <t>모델값 역산(implied): v / 전분기 − 1
유통주식수 유지 — fin.shares.common_outstanding(2026Q2)</t>
      </text>
    </comment>
    <comment ref="AC37" authorId="0" shapeId="0">
      <text>
        <t>모델값 역산(implied): v / 전분기 − 1
유통주식수 유지 — fin.shares.common_outstanding(2026Q2)</t>
      </text>
    </comment>
    <comment ref="AD37" authorId="0" shapeId="0">
      <text>
        <t>모델값 역산(implied): v / 전분기 − 1
유통주식수 유지 — fin.shares.common_outstanding(2026Q2)</t>
      </text>
    </comment>
    <comment ref="T38" authorId="0" shapeId="0">
      <text>
        <t>모델값 역산(implied): 모델 v 그대로
직전 결산 DPS 130원 유지</t>
      </text>
    </comment>
    <comment ref="Y38" authorId="0" shapeId="0">
      <text>
        <t>모델값 역산(implied): 모델 v 그대로
직전 결산 DPS 130원 유지</t>
      </text>
    </comment>
    <comment ref="AD38" authorId="0" shapeId="0">
      <text>
        <t>모델값 역산(implied): 모델 v 그대로
직전 결산 DPS 130원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S5" authorId="0" shapeId="0">
      <text>
        <t>추정: 고객지수 4분기 이동합(t−4) 235484억 × 비례계수 0.0122 × 계절비중 Q3 0.243(계절비중 — 최근 2개 연도(2026, 2025) 분기/연간 비중 평균; 격자 lag0~4×창8/12/19×수준·YoY·4Q합 중 최대 r=0.98, n=8, 창 8)
[yoy]</t>
      </text>
    </comment>
    <comment ref="T5" authorId="0" shapeId="0">
      <text>
        <t>추정: 고객지수 4분기 이동합(t−4) 240922억 × 비례계수 0.0122 × 계절비중 Q4 0.261(계절비중 — 최근 2개 연도(2026, 2025) 분기/연간 비중 평균; 격자 lag0~4×창8/12/19×수준·YoY·4Q합 중 최대 r=0.98, n=8, 창 8)
[yoy]</t>
      </text>
    </comment>
    <comment ref="V5" authorId="0" shapeId="0">
      <text>
        <t>추정: 고객지수 4분기 이동합(t−4) 251660억 × 비례계수 0.0122 × 계절비중 Q1 0.241(계절비중 — 최근 2개 연도(2026, 2025) 분기/연간 비중 평균; 격자 lag0~4×창8/12/19×수준·YoY·4Q합 중 최대 r=0.98, n=8, 창 8)
[yoy]</t>
      </text>
    </comment>
    <comment ref="W5" authorId="0" shapeId="0">
      <text>
        <t>추정: 고객지수 4분기 이동합(t−4) 263106억 × 비례계수 0.0122 × 계절비중 Q2 0.255(계절비중 — 최근 2개 연도(2026, 2025) 분기/연간 비중 평균; 격자 lag0~4×창8/12/19×수준·YoY·4Q합 중 최대 r=0.98, n=8, 창 8)
[yoy]</t>
      </text>
    </comment>
    <comment ref="X5" authorId="0" shapeId="0">
      <text>
        <t>추정: 고객지수 4분기 이동합(t−4) 275496억 × 비례계수 0.0122 × 계절비중 Q3 0.243(계절비중 — 최근 2개 연도(2026, 2025) 분기/연간 비중 평균; 격자 lag0~4×창8/12/19×수준·YoY·4Q합 중 최대 r=0.98, n=8, 창 8)
[yoy]</t>
      </text>
    </comment>
    <comment ref="Y5" authorId="0" shapeId="0">
      <text>
        <t>추정: 고객지수 4분기 이동합(t−4) 287947억 × 비례계수 0.0122 × 계절비중 Q4 0.261(계절비중 — 최근 2개 연도(2026, 2025) 분기/연간 비중 평균; 격자 lag0~4×창8/12/19×수준·YoY·4Q합 중 최대 r=0.98, n=8, 창 8)
[yoy]</t>
      </text>
    </comment>
    <comment ref="AA5" authorId="0" shapeId="0">
      <text>
        <t>추정: 고객지수 4분기 이동합(t−4) 299966억 × 비례계수 0.0122 × 계절비중 Q1 0.241(계절비중 — 최근 2개 연도(2026, 2025) 분기/연간 비중 평균; 격자 lag0~4×창8/12/19×수준·YoY·4Q합 중 최대 r=0.98, n=8, 창 8)
[yoy]</t>
      </text>
    </comment>
    <comment ref="AB5" authorId="0" shapeId="0">
      <text>
        <t>추정: 고객지수 4분기 이동합(t−4) 309896억 × 비례계수 0.0122 × 계절비중 Q2 0.255(계절비중 — 최근 2개 연도(2026, 2025) 분기/연간 비중 평균; 격자 lag0~4×창8/12/19×수준·YoY·4Q합 중 최대 r=0.98, n=8, 창 8)
[yoy]</t>
      </text>
    </comment>
    <comment ref="AC5" authorId="0" shapeId="0">
      <text>
        <t>추정: 고객지수 4분기 이동합(t−4) 321155억 × 비례계수 0.0122 × 계절비중 Q3 0.243(계절비중 — 최근 2개 연도(2026, 2025) 분기/연간 비중 평균; 격자 lag0~4×창8/12/19×수준·YoY·4Q합 중 최대 r=0.98, n=8, 창 8)
[yoy]</t>
      </text>
    </comment>
    <comment ref="AD5" authorId="0" shapeId="0">
      <text>
        <t>추정: 고객지수 4분기 이동합(t−4) 336338억 × 비례계수 0.0122 × 계절비중 Q4 0.261(계절비중 — 최근 2개 연도(2026, 2025) 분기/연간 비중 평균; 격자 lag0~4×창8/12/19×수준·YoY·4Q합 중 최대 r=0.98, n=8, 창 8)
[yoy]</t>
      </text>
    </comment>
    <comment ref="S6" authorId="0" shapeId="0">
      <text>
        <t>추정: 매출액 − 매출총이익(항등식)
[identity]</t>
      </text>
    </comment>
    <comment ref="T6" authorId="0" shapeId="0">
      <text>
        <t>추정: 매출액 − 매출총이익(항등식)
[identity]</t>
      </text>
    </comment>
    <comment ref="V6" authorId="0" shapeId="0">
      <text>
        <t>추정: 매출액 − 매출총이익(항등식)
[identity]</t>
      </text>
    </comment>
    <comment ref="W6" authorId="0" shapeId="0">
      <text>
        <t>추정: 매출액 − 매출총이익(항등식)
[identity]</t>
      </text>
    </comment>
    <comment ref="X6" authorId="0" shapeId="0">
      <text>
        <t>추정: 매출액 − 매출총이익(항등식)
[identity]</t>
      </text>
    </comment>
    <comment ref="Y6" authorId="0" shapeId="0">
      <text>
        <t>추정: 매출액 − 매출총이익(항등식)
[identity]</t>
      </text>
    </comment>
    <comment ref="AA6" authorId="0" shapeId="0">
      <text>
        <t>추정: 매출액 − 매출총이익(항등식)
[identity]</t>
      </text>
    </comment>
    <comment ref="AB6" authorId="0" shapeId="0">
      <text>
        <t>추정: 매출액 − 매출총이익(항등식)
[identity]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S7" authorId="0" shapeId="0">
      <text>
        <t>추정: 영업이익 + 판관비 − 기타영업손익(항등식)
[identity]</t>
      </text>
    </comment>
    <comment ref="T7" authorId="0" shapeId="0">
      <text>
        <t>추정: 영업이익 + 판관비 − 기타영업손익(항등식)
[identity]</t>
      </text>
    </comment>
    <comment ref="V7" authorId="0" shapeId="0">
      <text>
        <t>추정: 영업이익 + 판관비 − 기타영업손익(항등식)
[identity]</t>
      </text>
    </comment>
    <comment ref="W7" authorId="0" shapeId="0">
      <text>
        <t>추정: 영업이익 + 판관비 − 기타영업손익(항등식)
[identity]</t>
      </text>
    </comment>
    <comment ref="X7" authorId="0" shapeId="0">
      <text>
        <t>추정: 영업이익 + 판관비 − 기타영업손익(항등식)
[identity]</t>
      </text>
    </comment>
    <comment ref="Y7" authorId="0" shapeId="0">
      <text>
        <t>추정: 영업이익 + 판관비 − 기타영업손익(항등식)
[identity]</t>
      </text>
    </comment>
    <comment ref="AA7" authorId="0" shapeId="0">
      <text>
        <t>추정: 영업이익 + 판관비 − 기타영업손익(항등식)
[identity]</t>
      </text>
    </comment>
    <comment ref="AB7" authorId="0" shapeId="0">
      <text>
        <t>추정: 영업이익 + 판관비 − 기타영업손익(항등식)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S8" authorId="0" shapeId="0">
      <text>
        <t>추정: 매출액 × 판관비율 3.76%(최근 4분기 중위)
[ratio]</t>
      </text>
    </comment>
    <comment ref="T8" authorId="0" shapeId="0">
      <text>
        <t>추정: 매출액 × 판관비율 3.76%(최근 4분기 중위)
[ratio]</t>
      </text>
    </comment>
    <comment ref="V8" authorId="0" shapeId="0">
      <text>
        <t>추정: 매출액 × 판관비율 3.76%(최근 4분기 중위)
[ratio]</t>
      </text>
    </comment>
    <comment ref="W8" authorId="0" shapeId="0">
      <text>
        <t>추정: 매출액 × 판관비율 3.76%(최근 4분기 중위)
[ratio]</t>
      </text>
    </comment>
    <comment ref="X8" authorId="0" shapeId="0">
      <text>
        <t>추정: 매출액 × 판관비율 3.76%(최근 4분기 중위)
[ratio]</t>
      </text>
    </comment>
    <comment ref="Y8" authorId="0" shapeId="0">
      <text>
        <t>추정: 매출액 × 판관비율 3.76%(최근 4분기 중위)
[ratio]</t>
      </text>
    </comment>
    <comment ref="AA8" authorId="0" shapeId="0">
      <text>
        <t>추정: 매출액 × 판관비율 3.76%(최근 4분기 중위)
[ratio]</t>
      </text>
    </comment>
    <comment ref="AB8" authorId="0" shapeId="0">
      <text>
        <t>추정: 매출액 × 판관비율 3.76%(최근 4분기 중위)
[ratio]</t>
      </text>
    </comment>
    <comment ref="AC8" authorId="0" shapeId="0">
      <text>
        <t>추정: 매출액 × 판관비율 3.76%(최근 4분기 중위)
[ratio]</t>
      </text>
    </comment>
    <comment ref="AD8" authorId="0" shapeId="0">
      <text>
        <t>추정: 매출액 × 판관비율 3.76%(최근 4분기 중위)
[ratio]</t>
      </text>
    </comment>
    <comment ref="S9" authorId="0" shapeId="0">
      <text>
        <t>추정: 매출액 × OPM(최근 8분기 OPM 중위 11.8% 유지)
[ratio]</t>
      </text>
    </comment>
    <comment ref="T9" authorId="0" shapeId="0">
      <text>
        <t>추정: 매출액 × OPM(최근 8분기 OPM 중위 11.8% 유지)
[ratio]</t>
      </text>
    </comment>
    <comment ref="V9" authorId="0" shapeId="0">
      <text>
        <t>추정: 매출액 × OPM(최근 8분기 OPM 중위 11.8% 유지)
[ratio]</t>
      </text>
    </comment>
    <comment ref="W9" authorId="0" shapeId="0">
      <text>
        <t>추정: 매출액 × OPM(최근 8분기 OPM 중위 11.8% 유지)
[ratio]</t>
      </text>
    </comment>
    <comment ref="X9" authorId="0" shapeId="0">
      <text>
        <t>추정: 매출액 × OPM(최근 8분기 OPM 중위 11.8% 유지)
[ratio]</t>
      </text>
    </comment>
    <comment ref="Y9" authorId="0" shapeId="0">
      <text>
        <t>추정: 매출액 × OPM(최근 8분기 OPM 중위 11.8% 유지)
[ratio]</t>
      </text>
    </comment>
    <comment ref="AA9" authorId="0" shapeId="0">
      <text>
        <t>추정: 매출액 × OPM(최근 8분기 OPM 중위 11.8% 유지)
[ratio]</t>
      </text>
    </comment>
    <comment ref="AB9" authorId="0" shapeId="0">
      <text>
        <t>추정: 매출액 × OPM(최근 8분기 OPM 중위 11.8% 유지)
[ratio]</t>
      </text>
    </comment>
    <comment ref="AC9" authorId="0" shapeId="0">
      <text>
        <t>추정: 매출액 × OPM(최근 8분기 OPM 중위 11.8% 유지)
[ratio]</t>
      </text>
    </comment>
    <comment ref="AD9" authorId="0" shapeId="0">
      <text>
        <t>추정: 매출액 × OPM(최근 8분기 OPM 중위 11.8% 유지)
[ratio]</t>
      </text>
    </comment>
    <comment ref="S10" authorId="0" shapeId="0">
      <text>
        <t>추정: 최근 8분기 OPM 중위 11.8% 유지
[divide]</t>
      </text>
    </comment>
    <comment ref="T10" authorId="0" shapeId="0">
      <text>
        <t>추정: 최근 8분기 OPM 중위 11.8% 유지
[divide]</t>
      </text>
    </comment>
    <comment ref="V10" authorId="0" shapeId="0">
      <text>
        <t>추정: 최근 8분기 OPM 중위 11.8% 유지
[divide]</t>
      </text>
    </comment>
    <comment ref="W10" authorId="0" shapeId="0">
      <text>
        <t>추정: 최근 8분기 OPM 중위 11.8% 유지
[divide]</t>
      </text>
    </comment>
    <comment ref="X10" authorId="0" shapeId="0">
      <text>
        <t>추정: 최근 8분기 OPM 중위 11.8% 유지
[divide]</t>
      </text>
    </comment>
    <comment ref="Y10" authorId="0" shapeId="0">
      <text>
        <t>추정: 최근 8분기 OPM 중위 11.8% 유지
[divide]</t>
      </text>
    </comment>
    <comment ref="AA10" authorId="0" shapeId="0">
      <text>
        <t>추정: 최근 8분기 OPM 중위 11.8% 유지
[divide]</t>
      </text>
    </comment>
    <comment ref="AB10" authorId="0" shapeId="0">
      <text>
        <t>추정: 최근 8분기 OPM 중위 11.8% 유지
[divide]</t>
      </text>
    </comment>
    <comment ref="AC10" authorId="0" shapeId="0">
      <text>
        <t>추정: 최근 8분기 OPM 중위 11.8% 유지
[divide]</t>
      </text>
    </comment>
    <comment ref="AD10" authorId="0" shapeId="0">
      <text>
        <t>추정: 최근 8분기 OPM 중위 11.8% 유지
[divide]</t>
      </text>
    </comment>
    <comment ref="S11" authorId="0" shapeId="0">
      <text>
        <t>추정: 이자손익 + 외환손익 0 + 파생상품손익 0 + 기타금융손익 +0.00억(잔차 실측 0분기 &lt; 4 → 0) (항등식); 이자손익 = 이자발생자산 465억 × 2.15%(주석 이자수익 ÷ 평균 이자발생자산(2025Q2~2026Q2)) − 총차입금 227억 × 4.00%(주석 이자비용 ÷ 평균 총차입금(2025Q2~2026Q2)) (연율) ÷ 4; 환율 효과는 환관련손익 행 별도
[identity]</t>
      </text>
    </comment>
    <comment ref="T11" authorId="0" shapeId="0">
      <text>
        <t>추정: 이자손익 + 외환손익 0 + 파생상품손익 0 + 기타금융손익 +0.00억(잔차 실측 0분기 &lt; 4 → 0) (항등식); 이자손익 = 이자발생자산 532억 × 2.15%(주석 이자수익 ÷ 평균 이자발생자산(2025Q2~2026Q2)) − 총차입금 227억 × 4.00%(주석 이자비용 ÷ 평균 총차입금(2025Q2~2026Q2)) (연율) ÷ 4; 환율 효과는 환관련손익 행 별도
[identity]</t>
      </text>
    </comment>
    <comment ref="V11" authorId="0" shapeId="0">
      <text>
        <t>추정: 이자손익 + 외환손익 0 + 파생상품손익 0 + 기타금융손익 +0.00억(잔차 실측 0분기 &lt; 4 → 0) (항등식); 이자손익 = 이자발생자산 605억 × 2.15%(주석 이자수익 ÷ 평균 이자발생자산(2025Q2~2026Q2)) − 총차입금 227억 × 4.00%(주석 이자비용 ÷ 평균 총차입금(2025Q2~2026Q2)) (연율) ÷ 4; 환율 효과는 환관련손익 행 별도
[identity]</t>
      </text>
    </comment>
    <comment ref="W11" authorId="0" shapeId="0">
      <text>
        <t>추정: 이자손익 + 외환손익 0 + 파생상품손익 0 + 기타금융손익 +0.00억(잔차 실측 0분기 &lt; 4 → 0) (항등식); 이자손익 = 이자발생자산 677억 × 2.15%(주석 이자수익 ÷ 평균 이자발생자산(2025Q2~2026Q2)) − 총차입금 227억 × 4.00%(주석 이자비용 ÷ 평균 총차입금(2025Q2~2026Q2)) (연율) ÷ 4; 환율 효과는 환관련손익 행 별도
[identity]</t>
      </text>
    </comment>
    <comment ref="X11" authorId="0" shapeId="0">
      <text>
        <t>추정: 이자손익 + 외환손익 0 + 파생상품손익 0 + 기타금융손익 +0.00억(잔차 실측 0분기 &lt; 4 → 0) (항등식); 이자손익 = 이자발생자산 710억 × 2.15%(주석 이자수익 ÷ 평균 이자발생자산(2025Q2~2026Q2)) − 총차입금 227억 × 4.00%(주석 이자비용 ÷ 평균 총차입금(2025Q2~2026Q2)) (연율) ÷ 4; 환율 효과는 환관련손익 행 별도
[identity]</t>
      </text>
    </comment>
    <comment ref="Y11" authorId="0" shapeId="0">
      <text>
        <t>추정: 이자손익 + 외환손익 0 + 파생상품손익 0 + 기타금융손익 +0.00억(잔차 실측 0분기 &lt; 4 → 0) (항등식); 이자손익 = 이자발생자산 789억 × 2.15%(주석 이자수익 ÷ 평균 이자발생자산(2025Q2~2026Q2)) − 총차입금 227억 × 4.00%(주석 이자비용 ÷ 평균 총차입금(2025Q2~2026Q2)) (연율) ÷ 4; 환율 효과는 환관련손익 행 별도
[identity]</t>
      </text>
    </comment>
    <comment ref="AA11" authorId="0" shapeId="0">
      <text>
        <t>추정: 이자손익 + 외환손익 0 + 파생상품손익 0 + 기타금융손익 +0.00억(잔차 실측 0분기 &lt; 4 → 0) (항등식); 이자손익 = 이자발생자산 878억 × 2.15%(주석 이자수익 ÷ 평균 이자발생자산(2025Q2~2026Q2)) − 총차입금 227억 × 4.00%(주석 이자비용 ÷ 평균 총차입금(2025Q2~2026Q2)) (연율) ÷ 4; 환율 효과는 환관련손익 행 별도
[identity]</t>
      </text>
    </comment>
    <comment ref="AB11" authorId="0" shapeId="0">
      <text>
        <t>추정: 이자손익 + 외환손익 0 + 파생상품손익 0 + 기타금융손익 +0.00억(잔차 실측 0분기 &lt; 4 → 0) (항등식); 이자손익 = 이자발생자산 965억 × 2.15%(주석 이자수익 ÷ 평균 이자발생자산(2025Q2~2026Q2)) − 총차입금 227억 × 4.00%(주석 이자비용 ÷ 평균 총차입금(2025Q2~2026Q2)) (연율) ÷ 4; 환율 효과는 환관련손익 행 별도
[identity]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1013억 × 2.15%(주석 이자수익 ÷ 평균 이자발생자산(2025Q2~2026Q2)) − 총차입금 227억 × 4.00%(주석 이자비용 ÷ 평균 총차입금(2025Q2~2026Q2))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1107억 × 2.15%(주석 이자수익 ÷ 평균 이자발생자산(2025Q2~2026Q2)) − 총차입금 227억 × 4.00%(주석 이자비용 ÷ 평균 총차입금(2025Q2~2026Q2)) (연율) ÷ 4; 환율 효과는 환관련손익 행 별도
[identity]</t>
      </text>
    </comment>
    <comment ref="S12" authorId="0" shapeId="0">
      <text>
        <t>추정: 이자발생자산 465억 × 2.15%(주석 이자수익 ÷ 평균 이자발생자산(2025Q2~2026Q2)) − 총차입금 227억 × 4.00%(주석 이자비용 ÷ 평균 총차입금(2025Q2~2026Q2)) (연율) ÷ 4
[interest]</t>
      </text>
    </comment>
    <comment ref="T12" authorId="0" shapeId="0">
      <text>
        <t>추정: 이자발생자산 532억 × 2.15%(주석 이자수익 ÷ 평균 이자발생자산(2025Q2~2026Q2)) − 총차입금 227억 × 4.00%(주석 이자비용 ÷ 평균 총차입금(2025Q2~2026Q2)) (연율) ÷ 4
[interest]</t>
      </text>
    </comment>
    <comment ref="V12" authorId="0" shapeId="0">
      <text>
        <t>추정: 이자발생자산 605억 × 2.15%(주석 이자수익 ÷ 평균 이자발생자산(2025Q2~2026Q2)) − 총차입금 227억 × 4.00%(주석 이자비용 ÷ 평균 총차입금(2025Q2~2026Q2)) (연율) ÷ 4
[interest]</t>
      </text>
    </comment>
    <comment ref="W12" authorId="0" shapeId="0">
      <text>
        <t>추정: 이자발생자산 677억 × 2.15%(주석 이자수익 ÷ 평균 이자발생자산(2025Q2~2026Q2)) − 총차입금 227억 × 4.00%(주석 이자비용 ÷ 평균 총차입금(2025Q2~2026Q2)) (연율) ÷ 4
[interest]</t>
      </text>
    </comment>
    <comment ref="X12" authorId="0" shapeId="0">
      <text>
        <t>추정: 이자발생자산 710억 × 2.15%(주석 이자수익 ÷ 평균 이자발생자산(2025Q2~2026Q2)) − 총차입금 227억 × 4.00%(주석 이자비용 ÷ 평균 총차입금(2025Q2~2026Q2)) (연율) ÷ 4
[interest]</t>
      </text>
    </comment>
    <comment ref="Y12" authorId="0" shapeId="0">
      <text>
        <t>추정: 이자발생자산 789억 × 2.15%(주석 이자수익 ÷ 평균 이자발생자산(2025Q2~2026Q2)) − 총차입금 227억 × 4.00%(주석 이자비용 ÷ 평균 총차입금(2025Q2~2026Q2)) (연율) ÷ 4
[interest]</t>
      </text>
    </comment>
    <comment ref="AA12" authorId="0" shapeId="0">
      <text>
        <t>추정: 이자발생자산 878억 × 2.15%(주석 이자수익 ÷ 평균 이자발생자산(2025Q2~2026Q2)) − 총차입금 227억 × 4.00%(주석 이자비용 ÷ 평균 총차입금(2025Q2~2026Q2)) (연율) ÷ 4
[interest]</t>
      </text>
    </comment>
    <comment ref="AB12" authorId="0" shapeId="0">
      <text>
        <t>추정: 이자발생자산 965억 × 2.15%(주석 이자수익 ÷ 평균 이자발생자산(2025Q2~2026Q2)) − 총차입금 227억 × 4.00%(주석 이자비용 ÷ 평균 총차입금(2025Q2~2026Q2)) (연율) ÷ 4
[interest]</t>
      </text>
    </comment>
    <comment ref="AC12" authorId="0" shapeId="0">
      <text>
        <t>추정: 이자발생자산 1013억 × 2.15%(주석 이자수익 ÷ 평균 이자발생자산(2025Q2~2026Q2)) − 총차입금 227억 × 4.00%(주석 이자비용 ÷ 평균 총차입금(2025Q2~2026Q2)) (연율) ÷ 4
[interest]</t>
      </text>
    </comment>
    <comment ref="AD12" authorId="0" shapeId="0">
      <text>
        <t>추정: 이자발생자산 1107억 × 2.15%(주석 이자수익 ÷ 평균 이자발생자산(2025Q2~2026Q2)) − 총차입금 227억 × 4.00%(주석 이자비용 ÷ 평균 총차입금(2025Q2~2026Q2)) (연율) ÷ 4
[interest]</t>
      </text>
    </comment>
    <comment ref="E13" authorId="0" shapeId="0">
      <text>
        <t>BS 계정 합·차: +외환차익 -외환차손 +외화환산이익 -외화환산손실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T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V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W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X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Y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A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B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S14" authorId="0" shapeId="0">
      <text>
        <t>추정: 일회성 미가정 → 0
[abs]</t>
      </text>
    </comment>
    <comment ref="T14" authorId="0" shapeId="0">
      <text>
        <t>추정: 일회성 미가정 → 0
[abs]</t>
      </text>
    </comment>
    <comment ref="V14" authorId="0" shapeId="0">
      <text>
        <t>추정: 일회성 미가정 → 0
[abs]</t>
      </text>
    </comment>
    <comment ref="W14" authorId="0" shapeId="0">
      <text>
        <t>추정: 일회성 미가정 → 0
[abs]</t>
      </text>
    </comment>
    <comment ref="X14" authorId="0" shapeId="0">
      <text>
        <t>추정: 일회성 미가정 → 0
[abs]</t>
      </text>
    </comment>
    <comment ref="Y14" authorId="0" shapeId="0">
      <text>
        <t>추정: 일회성 미가정 → 0
[abs]</t>
      </text>
    </comment>
    <comment ref="AA14" authorId="0" shapeId="0">
      <text>
        <t>추정: 일회성 미가정 → 0
[abs]</t>
      </text>
    </comment>
    <comment ref="AB14" authorId="0" shapeId="0">
      <text>
        <t>추정: 일회성 미가정 → 0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S15" authorId="0" shapeId="0">
      <text>
        <t>추정: 영업이익 + 금융손익 + 기타영업외 + 지분법 + 환관련(항등식)
[identity]</t>
      </text>
    </comment>
    <comment ref="T15" authorId="0" shapeId="0">
      <text>
        <t>추정: 영업이익 + 금융손익 + 기타영업외 + 지분법 + 환관련(항등식)
[identity]</t>
      </text>
    </comment>
    <comment ref="V15" authorId="0" shapeId="0">
      <text>
        <t>추정: 영업이익 + 금융손익 + 기타영업외 + 지분법 + 환관련(항등식)
[identity]</t>
      </text>
    </comment>
    <comment ref="W15" authorId="0" shapeId="0">
      <text>
        <t>추정: 영업이익 + 금융손익 + 기타영업외 + 지분법 + 환관련(항등식)
[identity]</t>
      </text>
    </comment>
    <comment ref="X15" authorId="0" shapeId="0">
      <text>
        <t>추정: 영업이익 + 금융손익 + 기타영업외 + 지분법 + 환관련(항등식)
[identity]</t>
      </text>
    </comment>
    <comment ref="Y15" authorId="0" shapeId="0">
      <text>
        <t>추정: 영업이익 + 금융손익 + 기타영업외 + 지분법 + 환관련(항등식)
[identity]</t>
      </text>
    </comment>
    <comment ref="AA15" authorId="0" shapeId="0">
      <text>
        <t>추정: 영업이익 + 금융손익 + 기타영업외 + 지분법 + 환관련(항등식)
[identity]</t>
      </text>
    </comment>
    <comment ref="AB15" authorId="0" shapeId="0">
      <text>
        <t>추정: 영업이익 + 금융손익 + 기타영업외 + 지분법 + 환관련(항등식)
[identity]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S16" authorId="0" shapeId="0">
      <text>
        <t>추정: max(세전, 0) × 세율 19.1%(최근 11분기 유효세율 19.1%(5~27% 안 — 그대로))
[tax]</t>
      </text>
    </comment>
    <comment ref="T16" authorId="0" shapeId="0">
      <text>
        <t>추정: max(세전, 0) × 세율 19.1%(최근 11분기 유효세율 19.1%(5~27% 안 — 그대로))
[tax]</t>
      </text>
    </comment>
    <comment ref="V16" authorId="0" shapeId="0">
      <text>
        <t>추정: max(세전, 0) × 세율 19.1%(최근 11분기 유효세율 19.1%(5~27% 안 — 그대로))
[tax]</t>
      </text>
    </comment>
    <comment ref="W16" authorId="0" shapeId="0">
      <text>
        <t>추정: max(세전, 0) × 세율 19.1%(최근 11분기 유효세율 19.1%(5~27% 안 — 그대로))
[tax]</t>
      </text>
    </comment>
    <comment ref="X16" authorId="0" shapeId="0">
      <text>
        <t>추정: max(세전, 0) × 세율 19.1%(최근 11분기 유효세율 19.1%(5~27% 안 — 그대로))
[tax]</t>
      </text>
    </comment>
    <comment ref="Y16" authorId="0" shapeId="0">
      <text>
        <t>추정: max(세전, 0) × 세율 19.1%(최근 11분기 유효세율 19.1%(5~27% 안 — 그대로))
[tax]</t>
      </text>
    </comment>
    <comment ref="AA16" authorId="0" shapeId="0">
      <text>
        <t>추정: max(세전, 0) × 세율 19.1%(최근 11분기 유효세율 19.1%(5~27% 안 — 그대로))
[tax]</t>
      </text>
    </comment>
    <comment ref="AB16" authorId="0" shapeId="0">
      <text>
        <t>추정: max(세전, 0) × 세율 19.1%(최근 11분기 유효세율 19.1%(5~27% 안 — 그대로))
[tax]</t>
      </text>
    </comment>
    <comment ref="AC16" authorId="0" shapeId="0">
      <text>
        <t>추정: max(세전, 0) × 세율 19.1%(최근 11분기 유효세율 19.1%(5~27% 안 — 그대로))
[tax]</t>
      </text>
    </comment>
    <comment ref="AD16" authorId="0" shapeId="0">
      <text>
        <t>추정: max(세전, 0) × 세율 19.1%(최근 11분기 유효세율 19.1%(5~27% 안 — 그대로))
[tax]</t>
      </text>
    </comment>
    <comment ref="S17" authorId="0" shapeId="0">
      <text>
        <t>추정: 세전이익 − 법인세비용(항등식)
[identity]</t>
      </text>
    </comment>
    <comment ref="T17" authorId="0" shapeId="0">
      <text>
        <t>추정: 세전이익 − 법인세비용(항등식)
[identity]</t>
      </text>
    </comment>
    <comment ref="V17" authorId="0" shapeId="0">
      <text>
        <t>추정: 세전이익 − 법인세비용(항등식)
[identity]</t>
      </text>
    </comment>
    <comment ref="W17" authorId="0" shapeId="0">
      <text>
        <t>추정: 세전이익 − 법인세비용(항등식)
[identity]</t>
      </text>
    </comment>
    <comment ref="X17" authorId="0" shapeId="0">
      <text>
        <t>추정: 세전이익 − 법인세비용(항등식)
[identity]</t>
      </text>
    </comment>
    <comment ref="Y17" authorId="0" shapeId="0">
      <text>
        <t>추정: 세전이익 − 법인세비용(항등식)
[identity]</t>
      </text>
    </comment>
    <comment ref="AA17" authorId="0" shapeId="0">
      <text>
        <t>추정: 세전이익 − 법인세비용(항등식)
[identity]</t>
      </text>
    </comment>
    <comment ref="AB17" authorId="0" shapeId="0">
      <text>
        <t>추정: 세전이익 − 법인세비용(항등식)
[identity]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S18" authorId="0" shapeId="0">
      <text>
        <t>추정: 당기순이익 × (1 − 비지배 비중 0.0%, 최근 8분기 실측)
[ratio]</t>
      </text>
    </comment>
    <comment ref="T18" authorId="0" shapeId="0">
      <text>
        <t>추정: 당기순이익 × (1 − 비지배 비중 0.0%, 최근 8분기 실측)
[ratio]</t>
      </text>
    </comment>
    <comment ref="V18" authorId="0" shapeId="0">
      <text>
        <t>추정: 당기순이익 × (1 − 비지배 비중 0.0%, 최근 8분기 실측)
[ratio]</t>
      </text>
    </comment>
    <comment ref="W18" authorId="0" shapeId="0">
      <text>
        <t>추정: 당기순이익 × (1 − 비지배 비중 0.0%, 최근 8분기 실측)
[ratio]</t>
      </text>
    </comment>
    <comment ref="X18" authorId="0" shapeId="0">
      <text>
        <t>추정: 당기순이익 × (1 − 비지배 비중 0.0%, 최근 8분기 실측)
[ratio]</t>
      </text>
    </comment>
    <comment ref="Y18" authorId="0" shapeId="0">
      <text>
        <t>추정: 당기순이익 × (1 − 비지배 비중 0.0%, 최근 8분기 실측)
[ratio]</t>
      </text>
    </comment>
    <comment ref="AA18" authorId="0" shapeId="0">
      <text>
        <t>추정: 당기순이익 × (1 − 비지배 비중 0.0%, 최근 8분기 실측)
[ratio]</t>
      </text>
    </comment>
    <comment ref="AB18" authorId="0" shapeId="0">
      <text>
        <t>추정: 당기순이익 × (1 − 비지배 비중 0.0%, 최근 8분기 실측)
[ratio]</t>
      </text>
    </comment>
    <comment ref="AC18" authorId="0" shapeId="0">
      <text>
        <t>추정: 당기순이익 × (1 − 비지배 비중 0.0%, 최근 8분기 실측)
[ratio]</t>
      </text>
    </comment>
    <comment ref="AD18" authorId="0" shapeId="0">
      <text>
        <t>추정: 당기순이익 × (1 − 비지배 비중 0.0%, 최근 8분기 실측)
[ratio]</t>
      </text>
    </comment>
    <comment ref="S19" authorId="0" shapeId="0">
      <text>
        <t>추정: 부채총계 + 자본총계(항등식)
[identity]</t>
      </text>
    </comment>
    <comment ref="T19" authorId="0" shapeId="0">
      <text>
        <t>추정: 부채총계 + 자본총계(항등식)
[identity]</t>
      </text>
    </comment>
    <comment ref="V19" authorId="0" shapeId="0">
      <text>
        <t>추정: 부채총계 + 자본총계(항등식)
[identity]</t>
      </text>
    </comment>
    <comment ref="W19" authorId="0" shapeId="0">
      <text>
        <t>추정: 부채총계 + 자본총계(항등식)
[identity]</t>
      </text>
    </comment>
    <comment ref="X19" authorId="0" shapeId="0">
      <text>
        <t>추정: 부채총계 + 자본총계(항등식)
[identity]</t>
      </text>
    </comment>
    <comment ref="Y19" authorId="0" shapeId="0">
      <text>
        <t>추정: 부채총계 + 자본총계(항등식)
[identity]</t>
      </text>
    </comment>
    <comment ref="AA19" authorId="0" shapeId="0">
      <text>
        <t>추정: 부채총계 + 자본총계(항등식)
[identity]</t>
      </text>
    </comment>
    <comment ref="AB19" authorId="0" shapeId="0">
      <text>
        <t>추정: 부채총계 + 자본총계(항등식)
[identity]</t>
      </text>
    </comment>
    <comment ref="AC19" authorId="0" shapeId="0">
      <text>
        <t>추정: 부채총계 + 자본총계(항등식)
[identity]</t>
      </text>
    </comment>
    <comment ref="AD19" authorId="0" shapeId="0">
      <text>
        <t>추정: 부채총계 + 자본총계(항등식)
[identity]</t>
      </text>
    </comment>
    <comment ref="S20" authorId="0" shapeId="0">
      <text>
        <t>추정: 마지막 실적 유지(가정)
[qoq]</t>
      </text>
    </comment>
    <comment ref="T20" authorId="0" shapeId="0">
      <text>
        <t>추정: 마지막 실적 유지(가정)
[qoq]</t>
      </text>
    </comment>
    <comment ref="V20" authorId="0" shapeId="0">
      <text>
        <t>추정: 마지막 실적 유지(가정)
[qoq]</t>
      </text>
    </comment>
    <comment ref="W20" authorId="0" shapeId="0">
      <text>
        <t>추정: 마지막 실적 유지(가정)
[qoq]</t>
      </text>
    </comment>
    <comment ref="X20" authorId="0" shapeId="0">
      <text>
        <t>추정: 마지막 실적 유지(가정)
[qoq]</t>
      </text>
    </comment>
    <comment ref="Y20" authorId="0" shapeId="0">
      <text>
        <t>추정: 마지막 실적 유지(가정)
[qoq]</t>
      </text>
    </comment>
    <comment ref="AA20" authorId="0" shapeId="0">
      <text>
        <t>추정: 마지막 실적 유지(가정)
[qoq]</t>
      </text>
    </comment>
    <comment ref="AB20" authorId="0" shapeId="0">
      <text>
        <t>추정: 마지막 실적 유지(가정)
[qoq]</t>
      </text>
    </comment>
    <comment ref="AC20" authorId="0" shapeId="0">
      <text>
        <t>추정: 마지막 실적 유지(가정)
[qoq]</t>
      </text>
    </comment>
    <comment ref="AD20" authorId="0" shapeId="0">
      <text>
        <t>추정: 마지막 실적 유지(가정)
[qoq]</t>
      </text>
    </comment>
    <comment ref="S21" authorId="0" shapeId="0">
      <text>
        <t>추정: 전분기 + 당기순이익 − 배당(Q2 지급 가정)
[roll]</t>
      </text>
    </comment>
    <comment ref="T21" authorId="0" shapeId="0">
      <text>
        <t>추정: 전분기 + 당기순이익 − 배당(Q2 지급 가정)
[roll]</t>
      </text>
    </comment>
    <comment ref="V21" authorId="0" shapeId="0">
      <text>
        <t>추정: 전분기 + 당기순이익 − 배당(Q2 지급 가정)
[roll]</t>
      </text>
    </comment>
    <comment ref="W21" authorId="0" shapeId="0">
      <text>
        <t>추정: 전분기 + 당기순이익 − 배당(Q2 지급 가정)
[roll]</t>
      </text>
    </comment>
    <comment ref="X21" authorId="0" shapeId="0">
      <text>
        <t>추정: 전분기 + 당기순이익 − 배당(Q2 지급 가정)
[roll]</t>
      </text>
    </comment>
    <comment ref="Y21" authorId="0" shapeId="0">
      <text>
        <t>추정: 전분기 + 당기순이익 − 배당(Q2 지급 가정)
[roll]</t>
      </text>
    </comment>
    <comment ref="AA21" authorId="0" shapeId="0">
      <text>
        <t>추정: 전분기 + 당기순이익 − 배당(Q2 지급 가정)
[roll]</t>
      </text>
    </comment>
    <comment ref="AB21" authorId="0" shapeId="0">
      <text>
        <t>추정: 전분기 + 당기순이익 − 배당(Q2 지급 가정)
[roll]</t>
      </text>
    </comment>
    <comment ref="AC21" authorId="0" shapeId="0">
      <text>
        <t>추정: 전분기 + 당기순이익 − 배당(Q2 지급 가정)
[roll]</t>
      </text>
    </comment>
    <comment ref="AD21" authorId="0" shapeId="0">
      <text>
        <t>추정: 전분기 + 당기순이익 − 배당(Q2 지급 가정)
[roll]</t>
      </text>
    </comment>
    <comment ref="S22" authorId="0" shapeId="0">
      <text>
        <t>추정: 전분기 + 지배주주순이익 − 배당
[roll]</t>
      </text>
    </comment>
    <comment ref="T22" authorId="0" shapeId="0">
      <text>
        <t>추정: 전분기 + 지배주주순이익 − 배당
[roll]</t>
      </text>
    </comment>
    <comment ref="V22" authorId="0" shapeId="0">
      <text>
        <t>추정: 전분기 + 지배주주순이익 − 배당
[roll]</t>
      </text>
    </comment>
    <comment ref="W22" authorId="0" shapeId="0">
      <text>
        <t>추정: 전분기 + 지배주주순이익 − 배당
[roll]</t>
      </text>
    </comment>
    <comment ref="X22" authorId="0" shapeId="0">
      <text>
        <t>추정: 전분기 + 지배주주순이익 − 배당
[roll]</t>
      </text>
    </comment>
    <comment ref="Y22" authorId="0" shapeId="0">
      <text>
        <t>추정: 전분기 + 지배주주순이익 − 배당
[roll]</t>
      </text>
    </comment>
    <comment ref="AA22" authorId="0" shapeId="0">
      <text>
        <t>추정: 전분기 + 지배주주순이익 − 배당
[roll]</t>
      </text>
    </comment>
    <comment ref="AB22" authorId="0" shapeId="0">
      <text>
        <t>추정: 전분기 + 지배주주순이익 − 배당
[roll]</t>
      </text>
    </comment>
    <comment ref="AC22" authorId="0" shapeId="0">
      <text>
        <t>추정: 전분기 + 지배주주순이익 − 배당
[roll]</t>
      </text>
    </comment>
    <comment ref="AD22" authorId="0" shapeId="0">
      <text>
        <t>추정: 전분기 + 지배주주순이익 − 배당
[roll]</t>
      </text>
    </comment>
    <comment ref="S23" authorId="0" shapeId="0">
      <text>
        <t>추정: 마지막 실적 유지(가정)
[qoq]</t>
      </text>
    </comment>
    <comment ref="T23" authorId="0" shapeId="0">
      <text>
        <t>추정: 마지막 실적 유지(가정)
[qoq]</t>
      </text>
    </comment>
    <comment ref="V23" authorId="0" shapeId="0">
      <text>
        <t>추정: 마지막 실적 유지(가정)
[qoq]</t>
      </text>
    </comment>
    <comment ref="W23" authorId="0" shapeId="0">
      <text>
        <t>추정: 마지막 실적 유지(가정)
[qoq]</t>
      </text>
    </comment>
    <comment ref="X23" authorId="0" shapeId="0">
      <text>
        <t>추정: 마지막 실적 유지(가정)
[qoq]</t>
      </text>
    </comment>
    <comment ref="Y23" authorId="0" shapeId="0">
      <text>
        <t>추정: 마지막 실적 유지(가정)
[qoq]</t>
      </text>
    </comment>
    <comment ref="AA23" authorId="0" shapeId="0">
      <text>
        <t>추정: 마지막 실적 유지(가정)
[qoq]</t>
      </text>
    </comment>
    <comment ref="AB23" authorId="0" shapeId="0">
      <text>
        <t>추정: 마지막 실적 유지(가정)
[qoq]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S24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T24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V24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W24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X24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Y24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A24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B24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C24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D24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S25" authorId="0" shapeId="0">
      <text>
        <t>추정: 전분기 + FCF 근사 — 순차입금 롤과 같은 가정
[qoq]</t>
      </text>
    </comment>
    <comment ref="T25" authorId="0" shapeId="0">
      <text>
        <t>추정: 전분기 + FCF 근사 — 순차입금 롤과 같은 가정
[qoq]</t>
      </text>
    </comment>
    <comment ref="V25" authorId="0" shapeId="0">
      <text>
        <t>추정: 전분기 + FCF 근사 — 순차입금 롤과 같은 가정
[qoq]</t>
      </text>
    </comment>
    <comment ref="W25" authorId="0" shapeId="0">
      <text>
        <t>추정: 전분기 + FCF 근사 — 순차입금 롤과 같은 가정
[qoq]</t>
      </text>
    </comment>
    <comment ref="X25" authorId="0" shapeId="0">
      <text>
        <t>추정: 전분기 + FCF 근사 — 순차입금 롤과 같은 가정
[qoq]</t>
      </text>
    </comment>
    <comment ref="Y25" authorId="0" shapeId="0">
      <text>
        <t>추정: 전분기 + FCF 근사 — 순차입금 롤과 같은 가정
[qoq]</t>
      </text>
    </comment>
    <comment ref="AA25" authorId="0" shapeId="0">
      <text>
        <t>추정: 전분기 + FCF 근사 — 순차입금 롤과 같은 가정
[qoq]</t>
      </text>
    </comment>
    <comment ref="AB25" authorId="0" shapeId="0">
      <text>
        <t>추정: 전분기 + FCF 근사 — 순차입금 롤과 같은 가정
[qoq]</t>
      </text>
    </comment>
    <comment ref="AC25" authorId="0" shapeId="0">
      <text>
        <t>추정: 전분기 + FCF 근사 — 순차입금 롤과 같은 가정
[qoq]</t>
      </text>
    </comment>
    <comment ref="AD25" authorId="0" shapeId="0">
      <text>
        <t>추정: 전분기 + FCF 근사 — 순차입금 롤과 같은 가정
[qoq]</t>
      </text>
    </comment>
    <comment ref="S27" authorId="0" shapeId="0">
      <text>
        <t>추정: 최근 4분기(2024Q4~2025Q3) CAPEX 중위 유지 — 순차입금 롤에 미반영(감가상각비 없음 → CAPEX≈감가 가정)
[yoy]</t>
      </text>
    </comment>
    <comment ref="T27" authorId="0" shapeId="0">
      <text>
        <t>추정: 최근 4분기(2024Q4~2025Q3) CAPEX 중위 유지 — 순차입금 롤에 미반영(감가상각비 없음 → CAPEX≈감가 가정)
[yoy]</t>
      </text>
    </comment>
    <comment ref="V27" authorId="0" shapeId="0">
      <text>
        <t>추정: 최근 4분기(2024Q4~2025Q3) CAPEX 중위 유지 — 순차입금 롤에 미반영(감가상각비 없음 → CAPEX≈감가 가정)
[yoy]</t>
      </text>
    </comment>
    <comment ref="W27" authorId="0" shapeId="0">
      <text>
        <t>추정: 최근 4분기(2024Q4~2025Q3) CAPEX 중위 유지 — 순차입금 롤에 미반영(감가상각비 없음 → CAPEX≈감가 가정)
[yoy]</t>
      </text>
    </comment>
    <comment ref="X27" authorId="0" shapeId="0">
      <text>
        <t>추정: 최근 4분기(2024Q4~2025Q3) CAPEX 중위 유지 — 순차입금 롤에 미반영(감가상각비 없음 → CAPEX≈감가 가정)
[yoy]</t>
      </text>
    </comment>
    <comment ref="Y27" authorId="0" shapeId="0">
      <text>
        <t>추정: 최근 4분기(2024Q4~2025Q3) CAPEX 중위 유지 — 순차입금 롤에 미반영(감가상각비 없음 → CAPEX≈감가 가정)
[yoy]</t>
      </text>
    </comment>
    <comment ref="AA27" authorId="0" shapeId="0">
      <text>
        <t>추정: 최근 4분기(2024Q4~2025Q3) CAPEX 중위 유지 — 순차입금 롤에 미반영(감가상각비 없음 → CAPEX≈감가 가정)
[yoy]</t>
      </text>
    </comment>
    <comment ref="AB27" authorId="0" shapeId="0">
      <text>
        <t>추정: 최근 4분기(2024Q4~2025Q3) CAPEX 중위 유지 — 순차입금 롤에 미반영(감가상각비 없음 → CAPEX≈감가 가정)
[yoy]</t>
      </text>
    </comment>
    <comment ref="AC27" authorId="0" shapeId="0">
      <text>
        <t>추정: 최근 4분기(2024Q4~2025Q3) CAPEX 중위 유지 — 순차입금 롤에 미반영(감가상각비 없음 → CAPEX≈감가 가정)
[yoy]</t>
      </text>
    </comment>
    <comment ref="AD27" authorId="0" shapeId="0">
      <text>
        <t>추정: 최근 4분기(2024Q4~2025Q3) CAPEX 중위 유지 — 순차입금 롤에 미반영(감가상각비 없음 → CAPEX≈감가 가정)
[yoy]</t>
      </text>
    </comment>
    <comment ref="E29" authorId="0" shapeId="0">
      <text>
        <t>실측(계정 매핑 없음(파생·부문·시세 행) — 모델값 직접) — fin.shares.common_outstanding</t>
      </text>
    </comment>
    <comment ref="G29" authorId="0" shapeId="0">
      <text>
        <t>실측(계정 매핑 없음(파생·부문·시세 행) — 모델값 직접) — fin.shares.common_outstanding</t>
      </text>
    </comment>
    <comment ref="H29" authorId="0" shapeId="0">
      <text>
        <t>실측(계정 매핑 없음(파생·부문·시세 행) — 모델값 직접) — fin.shares.common_outstanding</t>
      </text>
    </comment>
    <comment ref="I29" authorId="0" shapeId="0">
      <text>
        <t>실측(계정 매핑 없음(파생·부문·시세 행) — 모델값 직접) — fin.shares.common_outstanding</t>
      </text>
    </comment>
    <comment ref="J29" authorId="0" shapeId="0">
      <text>
        <t>실측(계정 매핑 없음(파생·부문·시세 행) — 모델값 직접) — fin.shares.common_outstanding</t>
      </text>
    </comment>
    <comment ref="L29" authorId="0" shapeId="0">
      <text>
        <t>실측(계정 매핑 없음(파생·부문·시세 행) — 모델값 직접) — fin.shares.common_outstanding</t>
      </text>
    </comment>
    <comment ref="M29" authorId="0" shapeId="0">
      <text>
        <t>실측(계정 매핑 없음(파생·부문·시세 행) — 모델값 직접) — fin.shares.common_outstanding</t>
      </text>
    </comment>
    <comment ref="N29" authorId="0" shapeId="0">
      <text>
        <t>실측(계정 매핑 없음(파생·부문·시세 행) — 모델값 직접) — fin.shares.common_outstanding</t>
      </text>
    </comment>
    <comment ref="O29" authorId="0" shapeId="0">
      <text>
        <t>실측(계정 매핑 없음(파생·부문·시세 행) — 모델값 직접) — fin.shares.common_outstanding</t>
      </text>
    </comment>
    <comment ref="Q29" authorId="0" shapeId="0">
      <text>
        <t>실측(계정 매핑 없음(파생·부문·시세 행) — 모델값 직접) — fin.shares.common_outstanding</t>
      </text>
    </comment>
    <comment ref="R29" authorId="0" shapeId="0">
      <text>
        <t>실측(계정 매핑 없음(파생·부문·시세 행) — 모델값 직접) — fin.shares.common_outstanding</t>
      </text>
    </comment>
    <comment ref="S29" authorId="0" shapeId="0">
      <text>
        <t>추정: 유통주식수 유지 — fin.shares.common_outstanding(2026Q2)
[qoq]</t>
      </text>
    </comment>
    <comment ref="T29" authorId="0" shapeId="0">
      <text>
        <t>추정: 유통주식수 유지 — fin.shares.common_outstanding(2026Q2)
[qoq]</t>
      </text>
    </comment>
    <comment ref="V29" authorId="0" shapeId="0">
      <text>
        <t>추정: 유통주식수 유지 — fin.shares.common_outstanding(2026Q2)
[qoq]</t>
      </text>
    </comment>
    <comment ref="W29" authorId="0" shapeId="0">
      <text>
        <t>추정: 유통주식수 유지 — fin.shares.common_outstanding(2026Q2)
[qoq]</t>
      </text>
    </comment>
    <comment ref="X29" authorId="0" shapeId="0">
      <text>
        <t>추정: 유통주식수 유지 — fin.shares.common_outstanding(2026Q2)
[qoq]</t>
      </text>
    </comment>
    <comment ref="Y29" authorId="0" shapeId="0">
      <text>
        <t>추정: 유통주식수 유지 — fin.shares.common_outstanding(2026Q2)
[qoq]</t>
      </text>
    </comment>
    <comment ref="AA29" authorId="0" shapeId="0">
      <text>
        <t>추정: 유통주식수 유지 — fin.shares.common_outstanding(2026Q2)
[qoq]</t>
      </text>
    </comment>
    <comment ref="AB29" authorId="0" shapeId="0">
      <text>
        <t>추정: 유통주식수 유지 — fin.shares.common_outstanding(2026Q2)
[qoq]</t>
      </text>
    </comment>
    <comment ref="AC29" authorId="0" shapeId="0">
      <text>
        <t>추정: 유통주식수 유지 — fin.shares.common_outstanding(2026Q2)
[qoq]</t>
      </text>
    </comment>
    <comment ref="AD29" authorId="0" shapeId="0">
      <text>
        <t>추정: 유통주식수 유지 — fin.shares.common_outstanding(2026Q2)
[qoq]</t>
      </text>
    </comment>
    <comment ref="S30" authorId="0" shapeId="0">
      <text>
        <t>추정: 지배주주순이익 ÷ 유통주식수
[per_share]</t>
      </text>
    </comment>
    <comment ref="T30" authorId="0" shapeId="0">
      <text>
        <t>추정: 지배주주순이익 ÷ 유통주식수
[per_share]</t>
      </text>
    </comment>
    <comment ref="V30" authorId="0" shapeId="0">
      <text>
        <t>추정: 지배주주순이익 ÷ 유통주식수
[per_share]</t>
      </text>
    </comment>
    <comment ref="W30" authorId="0" shapeId="0">
      <text>
        <t>추정: 지배주주순이익 ÷ 유통주식수
[per_share]</t>
      </text>
    </comment>
    <comment ref="X30" authorId="0" shapeId="0">
      <text>
        <t>추정: 지배주주순이익 ÷ 유통주식수
[per_share]</t>
      </text>
    </comment>
    <comment ref="Y30" authorId="0" shapeId="0">
      <text>
        <t>추정: 지배주주순이익 ÷ 유통주식수
[per_share]</t>
      </text>
    </comment>
    <comment ref="AA30" authorId="0" shapeId="0">
      <text>
        <t>추정: 지배주주순이익 ÷ 유통주식수
[per_share]</t>
      </text>
    </comment>
    <comment ref="AB30" authorId="0" shapeId="0">
      <text>
        <t>추정: 지배주주순이익 ÷ 유통주식수
[per_share]</t>
      </text>
    </comment>
    <comment ref="AC30" authorId="0" shapeId="0">
      <text>
        <t>추정: 지배주주순이익 ÷ 유통주식수
[per_share]</t>
      </text>
    </comment>
    <comment ref="AD30" authorId="0" shapeId="0">
      <text>
        <t>추정: 지배주주순이익 ÷ 유통주식수
[per_share]</t>
      </text>
    </comment>
    <comment ref="S31" authorId="0" shapeId="0">
      <text>
        <t>추정: 지배주주지분 ÷ 유통주식수
[per_share]</t>
      </text>
    </comment>
    <comment ref="T31" authorId="0" shapeId="0">
      <text>
        <t>추정: 지배주주지분 ÷ 유통주식수
[per_share]</t>
      </text>
    </comment>
    <comment ref="V31" authorId="0" shapeId="0">
      <text>
        <t>추정: 지배주주지분 ÷ 유통주식수
[per_share]</t>
      </text>
    </comment>
    <comment ref="W31" authorId="0" shapeId="0">
      <text>
        <t>추정: 지배주주지분 ÷ 유통주식수
[per_share]</t>
      </text>
    </comment>
    <comment ref="X31" authorId="0" shapeId="0">
      <text>
        <t>추정: 지배주주지분 ÷ 유통주식수
[per_share]</t>
      </text>
    </comment>
    <comment ref="Y31" authorId="0" shapeId="0">
      <text>
        <t>추정: 지배주주지분 ÷ 유통주식수
[per_share]</t>
      </text>
    </comment>
    <comment ref="AA31" authorId="0" shapeId="0">
      <text>
        <t>추정: 지배주주지분 ÷ 유통주식수
[per_share]</t>
      </text>
    </comment>
    <comment ref="AB31" authorId="0" shapeId="0">
      <text>
        <t>추정: 지배주주지분 ÷ 유통주식수
[per_share]</t>
      </text>
    </comment>
    <comment ref="AC31" authorId="0" shapeId="0">
      <text>
        <t>추정: 지배주주지분 ÷ 유통주식수
[per_share]</t>
      </text>
    </comment>
    <comment ref="AD31" authorId="0" shapeId="0">
      <text>
        <t>추정: 지배주주지분 ÷ 유통주식수
[per_share]</t>
      </text>
    </comment>
    <comment ref="E32" authorId="0" shapeId="0">
      <text>
        <t>실측(계정 매핑 없음(파생·부문·시세 행) — 모델값 직접) — fin.dividend.dps_common(연간, Q4 에 표기)</t>
      </text>
    </comment>
    <comment ref="F32" authorId="0" shapeId="0">
      <text>
        <t>연간(actual) — 분기 미완 연도, 모델 a 값 직접</t>
      </text>
    </comment>
    <comment ref="J32" authorId="0" shapeId="0">
      <text>
        <t>실측(계정 매핑 없음(파생·부문·시세 행) — 모델값 직접) — fin.dividend.dps_common(연간, Q4 에 표기)</t>
      </text>
    </comment>
    <comment ref="O32" authorId="0" shapeId="0">
      <text>
        <t>실측(계정 매핑 없음(파생·부문·시세 행) — 모델값 직접) — fin.dividend.dps_common(연간, Q4 에 표기)</t>
      </text>
    </comment>
    <comment ref="T32" authorId="0" shapeId="0">
      <text>
        <t>추정: 직전 결산 DPS 130원 유지
[abs]</t>
      </text>
    </comment>
    <comment ref="Y32" authorId="0" shapeId="0">
      <text>
        <t>추정: 직전 결산 DPS 130원 유지
[abs]</t>
      </text>
    </comment>
    <comment ref="AD32" authorId="0" shapeId="0">
      <text>
        <t>추정: 직전 결산 DPS 130원 유지
[abs]</t>
      </text>
    </comment>
    <comment ref="S33" authorId="0" shapeId="0">
      <text>
        <t>추정: 현재 종가 ÷ TTM EPS(추정 포함)
[valuation]</t>
      </text>
    </comment>
    <comment ref="T33" authorId="0" shapeId="0">
      <text>
        <t>추정: 현재 종가 ÷ TTM EPS(추정 포함)
[valuation]</t>
      </text>
    </comment>
    <comment ref="V33" authorId="0" shapeId="0">
      <text>
        <t>추정: 현재 종가 ÷ TTM EPS(추정 포함)
[valuation]</t>
      </text>
    </comment>
    <comment ref="W33" authorId="0" shapeId="0">
      <text>
        <t>추정: 현재 종가 ÷ TTM EPS(추정 포함)
[valuation]</t>
      </text>
    </comment>
    <comment ref="X33" authorId="0" shapeId="0">
      <text>
        <t>추정: 현재 종가 ÷ TTM EPS(추정 포함)
[valuation]</t>
      </text>
    </comment>
    <comment ref="Y33" authorId="0" shapeId="0">
      <text>
        <t>추정: 현재 종가 ÷ TTM EPS(추정 포함)
[valuation]</t>
      </text>
    </comment>
    <comment ref="AA33" authorId="0" shapeId="0">
      <text>
        <t>추정: 현재 종가 ÷ TTM EPS(추정 포함)
[valuation]</t>
      </text>
    </comment>
    <comment ref="AB33" authorId="0" shapeId="0">
      <text>
        <t>추정: 현재 종가 ÷ TTM EPS(추정 포함)
[valuation]</t>
      </text>
    </comment>
    <comment ref="AC33" authorId="0" shapeId="0">
      <text>
        <t>추정: 현재 종가 ÷ TTM EPS(추정 포함)
[valuation]</t>
      </text>
    </comment>
    <comment ref="AD33" authorId="0" shapeId="0">
      <text>
        <t>추정: 현재 종가 ÷ TTM EPS(추정 포함)
[valuation]</t>
      </text>
    </comment>
    <comment ref="S34" authorId="0" shapeId="0">
      <text>
        <t>추정: 현재 종가 ÷ BPS(추정 포함)
[valuation]</t>
      </text>
    </comment>
    <comment ref="T34" authorId="0" shapeId="0">
      <text>
        <t>추정: 현재 종가 ÷ BPS(추정 포함)
[valuation]</t>
      </text>
    </comment>
    <comment ref="V34" authorId="0" shapeId="0">
      <text>
        <t>추정: 현재 종가 ÷ BPS(추정 포함)
[valuation]</t>
      </text>
    </comment>
    <comment ref="W34" authorId="0" shapeId="0">
      <text>
        <t>추정: 현재 종가 ÷ BPS(추정 포함)
[valuation]</t>
      </text>
    </comment>
    <comment ref="X34" authorId="0" shapeId="0">
      <text>
        <t>추정: 현재 종가 ÷ BPS(추정 포함)
[valuation]</t>
      </text>
    </comment>
    <comment ref="Y34" authorId="0" shapeId="0">
      <text>
        <t>추정: 현재 종가 ÷ BPS(추정 포함)
[valuation]</t>
      </text>
    </comment>
    <comment ref="AA34" authorId="0" shapeId="0">
      <text>
        <t>추정: 현재 종가 ÷ BPS(추정 포함)
[valuation]</t>
      </text>
    </comment>
    <comment ref="AB34" authorId="0" shapeId="0">
      <text>
        <t>추정: 현재 종가 ÷ BPS(추정 포함)
[valuation]</t>
      </text>
    </comment>
    <comment ref="AC34" authorId="0" shapeId="0">
      <text>
        <t>추정: 현재 종가 ÷ BPS(추정 포함)
[valuation]</t>
      </text>
    </comment>
    <comment ref="AD34" authorId="0" shapeId="0">
      <text>
        <t>추정: 현재 종가 ÷ BPS(추정 포함)
[valuation]</t>
      </text>
    </comment>
    <comment ref="E35" authorId="0" shapeId="0">
      <text>
        <t>실측(계정 매핑 없음(파생·부문·시세 행) — 모델값 직접) — = 매출액(부문 미분리)</t>
      </text>
    </comment>
    <comment ref="G35" authorId="0" shapeId="0">
      <text>
        <t>실측(계정 매핑 없음(파생·부문·시세 행) — 모델값 직접) — = 매출액(부문 미분리)</t>
      </text>
    </comment>
    <comment ref="H35" authorId="0" shapeId="0">
      <text>
        <t>실측(계정 매핑 없음(파생·부문·시세 행) — 모델값 직접) — = 매출액(부문 미분리)</t>
      </text>
    </comment>
    <comment ref="I35" authorId="0" shapeId="0">
      <text>
        <t>실측(계정 매핑 없음(파생·부문·시세 행) — 모델값 직접) — = 매출액(부문 미분리)</t>
      </text>
    </comment>
    <comment ref="J35" authorId="0" shapeId="0">
      <text>
        <t>실측(계정 매핑 없음(파생·부문·시세 행) — 모델값 직접) — = 매출액(부문 미분리)</t>
      </text>
    </comment>
    <comment ref="L35" authorId="0" shapeId="0">
      <text>
        <t>실측(계정 매핑 없음(파생·부문·시세 행) — 모델값 직접) — = 매출액(부문 미분리)</t>
      </text>
    </comment>
    <comment ref="M35" authorId="0" shapeId="0">
      <text>
        <t>실측(계정 매핑 없음(파생·부문·시세 행) — 모델값 직접) — = 매출액(부문 미분리)</t>
      </text>
    </comment>
    <comment ref="N35" authorId="0" shapeId="0">
      <text>
        <t>실측(계정 매핑 없음(파생·부문·시세 행) — 모델값 직접) — = 매출액(부문 미분리)</t>
      </text>
    </comment>
    <comment ref="O35" authorId="0" shapeId="0">
      <text>
        <t>실측(계정 매핑 없음(파생·부문·시세 행) — 모델값 직접) — = 매출액(부문 미분리)</t>
      </text>
    </comment>
    <comment ref="Q35" authorId="0" shapeId="0">
      <text>
        <t>실측(계정 매핑 없음(파생·부문·시세 행) — 모델값 직접) — = 매출액(부문 미분리)</t>
      </text>
    </comment>
    <comment ref="R35" authorId="0" shapeId="0">
      <text>
        <t>실측(계정 매핑 없음(파생·부문·시세 행) — 모델값 직접) — = 매출액(부문 미분리)</t>
      </text>
    </comment>
    <comment ref="S35" authorId="0" shapeId="0">
      <text>
        <t>추정: = 매출액 추정(부문 미분리)
[identity]</t>
      </text>
    </comment>
    <comment ref="T35" authorId="0" shapeId="0">
      <text>
        <t>추정: = 매출액 추정(부문 미분리)
[identity]</t>
      </text>
    </comment>
    <comment ref="V35" authorId="0" shapeId="0">
      <text>
        <t>추정: = 매출액 추정(부문 미분리)
[identity]</t>
      </text>
    </comment>
    <comment ref="W35" authorId="0" shapeId="0">
      <text>
        <t>추정: = 매출액 추정(부문 미분리)
[identity]</t>
      </text>
    </comment>
    <comment ref="X35" authorId="0" shapeId="0">
      <text>
        <t>추정: = 매출액 추정(부문 미분리)
[identity]</t>
      </text>
    </comment>
    <comment ref="Y35" authorId="0" shapeId="0">
      <text>
        <t>추정: = 매출액 추정(부문 미분리)
[identity]</t>
      </text>
    </comment>
    <comment ref="AA35" authorId="0" shapeId="0">
      <text>
        <t>추정: = 매출액 추정(부문 미분리)
[identity]</t>
      </text>
    </comment>
    <comment ref="AB35" authorId="0" shapeId="0">
      <text>
        <t>추정: = 매출액 추정(부문 미분리)
[identity]</t>
      </text>
    </comment>
    <comment ref="AC35" authorId="0" shapeId="0">
      <text>
        <t>추정: = 매출액 추정(부문 미분리)
[identity]</t>
      </text>
    </comment>
    <comment ref="AD35" authorId="0" shapeId="0">
      <text>
        <t>추정: = 매출액 추정(부문 미분리)
[identity]</t>
      </text>
    </comment>
    <comment ref="E36" authorId="0" shapeId="0">
      <text>
        <t>실측(계정 매핑 없음(파생·부문·시세 행) — 모델값 직접) — = 영업이익(부문 미분리)</t>
      </text>
    </comment>
    <comment ref="G36" authorId="0" shapeId="0">
      <text>
        <t>실측(계정 매핑 없음(파생·부문·시세 행) — 모델값 직접) — = 영업이익(부문 미분리)</t>
      </text>
    </comment>
    <comment ref="H36" authorId="0" shapeId="0">
      <text>
        <t>실측(계정 매핑 없음(파생·부문·시세 행) — 모델값 직접) — = 영업이익(부문 미분리)</t>
      </text>
    </comment>
    <comment ref="I36" authorId="0" shapeId="0">
      <text>
        <t>실측(계정 매핑 없음(파생·부문·시세 행) — 모델값 직접) — = 영업이익(부문 미분리)</t>
      </text>
    </comment>
    <comment ref="J36" authorId="0" shapeId="0">
      <text>
        <t>실측(계정 매핑 없음(파생·부문·시세 행) — 모델값 직접) — = 영업이익(부문 미분리)</t>
      </text>
    </comment>
    <comment ref="L36" authorId="0" shapeId="0">
      <text>
        <t>실측(계정 매핑 없음(파생·부문·시세 행) — 모델값 직접) — = 영업이익(부문 미분리)</t>
      </text>
    </comment>
    <comment ref="M36" authorId="0" shapeId="0">
      <text>
        <t>실측(계정 매핑 없음(파생·부문·시세 행) — 모델값 직접) — = 영업이익(부문 미분리)</t>
      </text>
    </comment>
    <comment ref="N36" authorId="0" shapeId="0">
      <text>
        <t>실측(계정 매핑 없음(파생·부문·시세 행) — 모델값 직접) — = 영업이익(부문 미분리)</t>
      </text>
    </comment>
    <comment ref="O36" authorId="0" shapeId="0">
      <text>
        <t>실측(계정 매핑 없음(파생·부문·시세 행) — 모델값 직접) — = 영업이익(부문 미분리)</t>
      </text>
    </comment>
    <comment ref="Q36" authorId="0" shapeId="0">
      <text>
        <t>실측(계정 매핑 없음(파생·부문·시세 행) — 모델값 직접) — = 영업이익(부문 미분리)</t>
      </text>
    </comment>
    <comment ref="R36" authorId="0" shapeId="0">
      <text>
        <t>실측(계정 매핑 없음(파생·부문·시세 행) — 모델값 직접) — = 영업이익(부문 미분리)</t>
      </text>
    </comment>
    <comment ref="S36" authorId="0" shapeId="0">
      <text>
        <t>추정: = 매출액 × OPM(부문 미분리)
[identity]</t>
      </text>
    </comment>
    <comment ref="T36" authorId="0" shapeId="0">
      <text>
        <t>추정: = 매출액 × OPM(부문 미분리)
[identity]</t>
      </text>
    </comment>
    <comment ref="V36" authorId="0" shapeId="0">
      <text>
        <t>추정: = 매출액 × OPM(부문 미분리)
[identity]</t>
      </text>
    </comment>
    <comment ref="W36" authorId="0" shapeId="0">
      <text>
        <t>추정: = 매출액 × OPM(부문 미분리)
[identity]</t>
      </text>
    </comment>
    <comment ref="X36" authorId="0" shapeId="0">
      <text>
        <t>추정: = 매출액 × OPM(부문 미분리)
[identity]</t>
      </text>
    </comment>
    <comment ref="Y36" authorId="0" shapeId="0">
      <text>
        <t>추정: = 매출액 × OPM(부문 미분리)
[identity]</t>
      </text>
    </comment>
    <comment ref="AA36" authorId="0" shapeId="0">
      <text>
        <t>추정: = 매출액 × OPM(부문 미분리)
[identity]</t>
      </text>
    </comment>
    <comment ref="AB36" authorId="0" shapeId="0">
      <text>
        <t>추정: = 매출액 × OPM(부문 미분리)
[identity]</t>
      </text>
    </comment>
    <comment ref="AC36" authorId="0" shapeId="0">
      <text>
        <t>추정: = 매출액 × OPM(부문 미분리)
[identity]</t>
      </text>
    </comment>
    <comment ref="AD36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현대힘스(460930) 실적 모델 — ARGUS 한국조선</t>
        </is>
      </c>
    </row>
    <row r="2">
      <c r="A2" t="inlineStr">
        <is>
          <t>기준 분기 2026Q2 · 마지막 실적 2026Q2 · 생성 2026-10-19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19.06% — 법인세 = MAX(세전,0) × 세율, 추정 전 분기 연결(Σ법인세/Σmax(세전,0) 역산, 재현 오차 ≤ 0.05억). 모델 가정 19.06% · 근거: 최근 11분기 유효세율 19.1%(5~27% 안 — 그대로)</t>
        </is>
      </c>
    </row>
    <row r="23">
      <c r="A23" t="inlineStr">
        <is>
          <t>· 판관비율 3.76%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2.14% / 부채 3.99% — 이자손익 = (전분기 이자발생자산 × 자산이자율 − 전분기 총차입금 × 부채이자율)/4, 최소자승 역산(모델 assumptions [0.0215, 0.04] 는 4자리 반올림이라 그대로 쓰면 ±1억 어긋남) · 출처: {"asset": "주석 이자수익 ÷ 평균 이자발생자산(2025Q2~2026Q2)", "debt": "주석 이자비용 ÷ 평균 총차입금(2025Q2~2026Q2)"}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10.0/15.0/20.0배(sector_default(레퍼런스 TP_PE PB 예시 10/15/20배; 과거 PER 중위 31.3배가 캡 5~30 밖 — 턴어라운드 초기 TTM EPS 왜곡))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assets/models/460930.json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감가상각비가 face·CF 에 없음(주석 미파싱) → EBITDA·EV/EBITDA 미산출 / 금융손익 실적→추정 단절: 최근 4분기 실적 -4/-3/-2/-2(중위 -3억) → 추정 2026Q3 +0억(차 +3억, +108%)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7.6, "op_wape_pct": 19.5, "n": 4, "note": "단일 회사 4분기 — 통계 아님", "driver_at_freeze": "customer_yard_revenue_weighted", "selection_oos_at_freeze": {"freeze": "2024Q2", "n": 4, "wape_link": null, "wape_trend": null, "adopted": "undetermined", "decision": "undetermined", "note": "동결 2024Q2 이전 실적 3분기(&lt;8) 또는 이후 실측 4분기 → OOS 비교 불가(undetermined), 유의성 조건만으로 채택"},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649.23, "rev_act": 605.92, "op_pred": 69.75, "op_act": 67.88}, {"q": "2025Q4", "rev_pred": 737.31, "rev_act": 669.42, "op_pred": 79.22, "op_act": 64.77}, {"q": "2026Q1", "rev_pred": 699.01, "rev_act": 646.1, "op_pred": 75.1, "op_act": 85.3}, {"q": "2026Q2", "rev_pred": 764.28, "rev_act": 727.68, "op_pred": 82.12, "op_act": 121.83}]}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C1" s="2" t="inlineStr">
        <is>
          <t>이름: 변수H</t>
        </is>
      </c>
      <c r="E1" s="3" t="inlineStr">
        <is>
          <t>4Q23</t>
        </is>
      </c>
      <c r="F1" s="3" t="n">
        <v>2023</v>
      </c>
      <c r="G1" s="3" t="inlineStr">
        <is>
          <t>1Q24</t>
        </is>
      </c>
      <c r="H1" s="3" t="inlineStr">
        <is>
          <t>2Q24</t>
        </is>
      </c>
      <c r="I1" s="3" t="inlineStr">
        <is>
          <t>3Q24</t>
        </is>
      </c>
      <c r="J1" s="3" t="inlineStr">
        <is>
          <t>4Q24</t>
        </is>
      </c>
      <c r="K1" s="3" t="n">
        <v>2024</v>
      </c>
      <c r="L1" s="3" t="inlineStr">
        <is>
          <t>1Q25</t>
        </is>
      </c>
      <c r="M1" s="3" t="inlineStr">
        <is>
          <t>2Q25</t>
        </is>
      </c>
      <c r="N1" s="3" t="inlineStr">
        <is>
          <t>3Q25</t>
        </is>
      </c>
      <c r="O1" s="3" t="inlineStr">
        <is>
          <t>4Q25</t>
        </is>
      </c>
      <c r="P1" s="3" t="n">
        <v>2025</v>
      </c>
      <c r="Q1" s="3" t="inlineStr">
        <is>
          <t>1Q26</t>
        </is>
      </c>
      <c r="R1" s="4" t="inlineStr">
        <is>
          <t>2Q26</t>
        </is>
      </c>
      <c r="S1" s="3" t="inlineStr">
        <is>
          <t>3Q26</t>
        </is>
      </c>
      <c r="T1" s="3" t="inlineStr">
        <is>
          <t>4Q26</t>
        </is>
      </c>
      <c r="U1" s="3" t="n">
        <v>2026</v>
      </c>
      <c r="V1" s="3" t="inlineStr">
        <is>
          <t>1Q27</t>
        </is>
      </c>
      <c r="W1" s="3" t="inlineStr">
        <is>
          <t>2Q27</t>
        </is>
      </c>
      <c r="X1" s="3" t="inlineStr">
        <is>
          <t>3Q27</t>
        </is>
      </c>
      <c r="Y1" s="3" t="inlineStr">
        <is>
          <t>4Q27</t>
        </is>
      </c>
      <c r="Z1" s="3" t="n">
        <v>2027</v>
      </c>
      <c r="AA1" s="3" t="inlineStr">
        <is>
          <t>1Q28</t>
        </is>
      </c>
      <c r="AB1" s="3" t="inlineStr">
        <is>
          <t>2Q28</t>
        </is>
      </c>
      <c r="AC1" s="3" t="inlineStr">
        <is>
          <t>3Q28</t>
        </is>
      </c>
      <c r="AD1" s="3" t="inlineStr">
        <is>
          <t>4Q28</t>
        </is>
      </c>
      <c r="AE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R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6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</row>
    <row r="4">
      <c r="E4" s="7" t="inlineStr">
        <is>
          <t>2023.12</t>
        </is>
      </c>
      <c r="F4" s="7" t="inlineStr">
        <is>
          <t>2023.12A</t>
        </is>
      </c>
      <c r="G4" s="7" t="inlineStr">
        <is>
          <t>2024.03</t>
        </is>
      </c>
      <c r="H4" s="7" t="inlineStr">
        <is>
          <t>2024.06</t>
        </is>
      </c>
      <c r="I4" s="7" t="inlineStr">
        <is>
          <t>2024.09</t>
        </is>
      </c>
      <c r="J4" s="7" t="inlineStr">
        <is>
          <t>2024.12</t>
        </is>
      </c>
      <c r="K4" s="7" t="inlineStr">
        <is>
          <t>2024.12A</t>
        </is>
      </c>
      <c r="L4" s="7" t="inlineStr">
        <is>
          <t>2025.03</t>
        </is>
      </c>
      <c r="M4" s="7" t="inlineStr">
        <is>
          <t>2025.06</t>
        </is>
      </c>
      <c r="N4" s="7" t="inlineStr">
        <is>
          <t>2025.09</t>
        </is>
      </c>
      <c r="O4" s="7" t="inlineStr">
        <is>
          <t>2025.12</t>
        </is>
      </c>
      <c r="P4" s="7" t="inlineStr">
        <is>
          <t>2025.12A</t>
        </is>
      </c>
      <c r="Q4" s="7" t="inlineStr">
        <is>
          <t>2026.03</t>
        </is>
      </c>
      <c r="R4" s="8" t="inlineStr">
        <is>
          <t>2026.06</t>
        </is>
      </c>
      <c r="S4" s="7" t="inlineStr">
        <is>
          <t>2026.09</t>
        </is>
      </c>
      <c r="T4" s="7" t="inlineStr">
        <is>
          <t>2026.12</t>
        </is>
      </c>
      <c r="U4" s="7" t="inlineStr">
        <is>
          <t>2026.12A</t>
        </is>
      </c>
      <c r="V4" s="7" t="inlineStr">
        <is>
          <t>2027.03</t>
        </is>
      </c>
      <c r="W4" s="7" t="inlineStr">
        <is>
          <t>2027.06</t>
        </is>
      </c>
      <c r="X4" s="7" t="inlineStr">
        <is>
          <t>2027.09</t>
        </is>
      </c>
      <c r="Y4" s="7" t="inlineStr">
        <is>
          <t>2027.12</t>
        </is>
      </c>
      <c r="Z4" s="7" t="inlineStr">
        <is>
          <t>2027.12A</t>
        </is>
      </c>
      <c r="AA4" s="7" t="inlineStr">
        <is>
          <t>2028.03</t>
        </is>
      </c>
      <c r="AB4" s="7" t="inlineStr">
        <is>
          <t>2028.06</t>
        </is>
      </c>
      <c r="AC4" s="7" t="inlineStr">
        <is>
          <t>2028.09</t>
        </is>
      </c>
      <c r="AD4" s="7" t="inlineStr">
        <is>
          <t>2028.12</t>
        </is>
      </c>
      <c r="AE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R5" s="5" t="n"/>
      <c r="S5" s="10" t="n"/>
      <c r="T5" s="10" t="n"/>
      <c r="U5" s="11" t="n"/>
      <c r="V5" s="10" t="n"/>
      <c r="W5" s="10" t="n"/>
      <c r="X5" s="10" t="n"/>
      <c r="Y5" s="10" t="n"/>
      <c r="Z5" s="11" t="n"/>
      <c r="AA5" s="10" t="n"/>
      <c r="AB5" s="10" t="n"/>
      <c r="AC5" s="10" t="n"/>
      <c r="AD5" s="10" t="n"/>
      <c r="AE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1322.01</v>
      </c>
      <c r="F6" s="14" t="n">
        <v>1306.85</v>
      </c>
      <c r="G6" s="13" t="n">
        <v>1330.14</v>
      </c>
      <c r="H6" s="13" t="n">
        <v>1371.28</v>
      </c>
      <c r="I6" s="13" t="n">
        <v>1356.22</v>
      </c>
      <c r="J6" s="13" t="n">
        <v>1396.3</v>
      </c>
      <c r="K6" s="14" t="n">
        <v>1363.53</v>
      </c>
      <c r="L6" s="13" t="n">
        <v>1452.28</v>
      </c>
      <c r="M6" s="13" t="n">
        <v>1398.52</v>
      </c>
      <c r="N6" s="13" t="n">
        <v>1386.95</v>
      </c>
      <c r="O6" s="13" t="n">
        <v>1449.19</v>
      </c>
      <c r="P6" s="14" t="n">
        <v>1421.52</v>
      </c>
      <c r="Q6" s="13" t="n">
        <v>1466.12</v>
      </c>
      <c r="R6" s="15" t="n">
        <v>1501.75</v>
      </c>
      <c r="S6" s="16" t="n">
        <v>1418.75</v>
      </c>
      <c r="T6" s="16" t="n">
        <v>1342.11</v>
      </c>
      <c r="U6" s="17" t="n">
        <v>1454.27</v>
      </c>
      <c r="V6" s="16" t="n">
        <v>1332.1</v>
      </c>
      <c r="W6" s="16" t="n">
        <v>1332.1</v>
      </c>
      <c r="X6" s="16" t="n">
        <v>1332.1</v>
      </c>
      <c r="Y6" s="16" t="n">
        <v>1332.1</v>
      </c>
      <c r="Z6" s="11" t="n"/>
      <c r="AA6" s="16" t="n">
        <v>1332.1</v>
      </c>
      <c r="AB6" s="16" t="n">
        <v>1332.1</v>
      </c>
      <c r="AC6" s="16" t="n">
        <v>1332.1</v>
      </c>
      <c r="AD6" s="16" t="n">
        <v>1332.1</v>
      </c>
      <c r="AE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1297.43</v>
      </c>
      <c r="F7" s="14" t="n">
        <v>1297.43</v>
      </c>
      <c r="G7" s="13" t="n">
        <v>1349.25</v>
      </c>
      <c r="H7" s="13" t="n">
        <v>1377.73</v>
      </c>
      <c r="I7" s="13" t="n">
        <v>1312.17</v>
      </c>
      <c r="J7" s="13" t="n">
        <v>1474.78</v>
      </c>
      <c r="K7" s="14" t="n">
        <v>1474.78</v>
      </c>
      <c r="L7" s="13" t="n">
        <v>1474.54</v>
      </c>
      <c r="M7" s="13" t="n">
        <v>1355.13</v>
      </c>
      <c r="N7" s="13" t="n">
        <v>1403.67</v>
      </c>
      <c r="O7" s="13" t="n">
        <v>1444.2</v>
      </c>
      <c r="P7" s="14" t="n">
        <v>1444.2</v>
      </c>
      <c r="Q7" s="13" t="n">
        <v>1524.8</v>
      </c>
      <c r="R7" s="15" t="n">
        <v>1550.89</v>
      </c>
      <c r="S7" s="16" t="n">
        <v>1355.4</v>
      </c>
      <c r="T7" s="16" t="n">
        <v>1332.1</v>
      </c>
      <c r="U7" s="17" t="n">
        <v>1332.1</v>
      </c>
      <c r="V7" s="16" t="n">
        <v>1332.1</v>
      </c>
      <c r="W7" s="16" t="n">
        <v>1332.1</v>
      </c>
      <c r="X7" s="16" t="n">
        <v>1332.1</v>
      </c>
      <c r="Y7" s="16" t="n">
        <v>1332.1</v>
      </c>
      <c r="Z7" s="11" t="n"/>
      <c r="AA7" s="16" t="n">
        <v>1332.1</v>
      </c>
      <c r="AB7" s="16" t="n">
        <v>1332.1</v>
      </c>
      <c r="AC7" s="16" t="n">
        <v>1332.1</v>
      </c>
      <c r="AD7" s="16" t="n">
        <v>1332.1</v>
      </c>
      <c r="AE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893.22</v>
      </c>
      <c r="F8" s="14" t="n">
        <v>931.11</v>
      </c>
      <c r="G8" s="13" t="n">
        <v>896.29</v>
      </c>
      <c r="H8" s="13" t="n">
        <v>880.14</v>
      </c>
      <c r="I8" s="13" t="n">
        <v>909.35</v>
      </c>
      <c r="J8" s="13" t="n">
        <v>917.25</v>
      </c>
      <c r="K8" s="14" t="n">
        <v>900.92</v>
      </c>
      <c r="L8" s="13" t="n">
        <v>952.59</v>
      </c>
      <c r="M8" s="13" t="n">
        <v>967.92</v>
      </c>
      <c r="N8" s="13" t="n">
        <v>940.3200000000001</v>
      </c>
      <c r="O8" s="13" t="n">
        <v>940.77</v>
      </c>
      <c r="P8" s="14" t="n">
        <v>950.17</v>
      </c>
      <c r="Q8" s="13" t="n">
        <v>934.39</v>
      </c>
      <c r="R8" s="15" t="n">
        <v>942.16</v>
      </c>
      <c r="S8" s="16" t="n">
        <v>890.41</v>
      </c>
      <c r="T8" s="16" t="n">
        <v>848.59</v>
      </c>
      <c r="U8" s="17" t="n">
        <v>917.39</v>
      </c>
      <c r="V8" s="16" t="n">
        <v>842.99</v>
      </c>
      <c r="W8" s="16" t="n">
        <v>842.99</v>
      </c>
      <c r="X8" s="16" t="n">
        <v>842.99</v>
      </c>
      <c r="Y8" s="16" t="n">
        <v>842.99</v>
      </c>
      <c r="Z8" s="11" t="n"/>
      <c r="AA8" s="16" t="n">
        <v>842.99</v>
      </c>
      <c r="AB8" s="16" t="n">
        <v>842.99</v>
      </c>
      <c r="AC8" s="16" t="n">
        <v>842.99</v>
      </c>
      <c r="AD8" s="16" t="n">
        <v>842.99</v>
      </c>
      <c r="AE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917.04</v>
      </c>
      <c r="F9" s="14" t="n">
        <v>917.04</v>
      </c>
      <c r="G9" s="13" t="n">
        <v>892.42</v>
      </c>
      <c r="H9" s="13" t="n">
        <v>857.76</v>
      </c>
      <c r="I9" s="13" t="n">
        <v>919.21</v>
      </c>
      <c r="J9" s="13" t="n">
        <v>939.65</v>
      </c>
      <c r="K9" s="14" t="n">
        <v>939.65</v>
      </c>
      <c r="L9" s="13" t="n">
        <v>986.84</v>
      </c>
      <c r="M9" s="13" t="n">
        <v>938.85</v>
      </c>
      <c r="N9" s="13" t="n">
        <v>948.49</v>
      </c>
      <c r="O9" s="13" t="n">
        <v>921.8099999999999</v>
      </c>
      <c r="P9" s="14" t="n">
        <v>921.8099999999999</v>
      </c>
      <c r="Q9" s="13" t="n">
        <v>955.99</v>
      </c>
      <c r="R9" s="15" t="n">
        <v>954.75</v>
      </c>
      <c r="S9" s="16" t="n">
        <v>863.3099999999999</v>
      </c>
      <c r="T9" s="16" t="n">
        <v>842.99</v>
      </c>
      <c r="U9" s="17" t="n">
        <v>842.99</v>
      </c>
      <c r="V9" s="16" t="n">
        <v>842.99</v>
      </c>
      <c r="W9" s="16" t="n">
        <v>842.99</v>
      </c>
      <c r="X9" s="16" t="n">
        <v>842.99</v>
      </c>
      <c r="Y9" s="16" t="n">
        <v>842.99</v>
      </c>
      <c r="Z9" s="11" t="n"/>
      <c r="AA9" s="16" t="n">
        <v>842.99</v>
      </c>
      <c r="AB9" s="16" t="n">
        <v>842.99</v>
      </c>
      <c r="AC9" s="16" t="n">
        <v>842.99</v>
      </c>
      <c r="AD9" s="16" t="n">
        <v>842.99</v>
      </c>
      <c r="AE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1420.91</v>
      </c>
      <c r="F10" s="14" t="n">
        <v>1412.88</v>
      </c>
      <c r="G10" s="13" t="n">
        <v>1444.21</v>
      </c>
      <c r="H10" s="13" t="n">
        <v>1476.42</v>
      </c>
      <c r="I10" s="13" t="n">
        <v>1489.3</v>
      </c>
      <c r="J10" s="13" t="n">
        <v>1490.78</v>
      </c>
      <c r="K10" s="14" t="n">
        <v>1475.4</v>
      </c>
      <c r="L10" s="13" t="n">
        <v>1528.33</v>
      </c>
      <c r="M10" s="13" t="n">
        <v>1585.13</v>
      </c>
      <c r="N10" s="13" t="n">
        <v>1620.04</v>
      </c>
      <c r="O10" s="13" t="n">
        <v>1686.02</v>
      </c>
      <c r="P10" s="14" t="n">
        <v>1605.45</v>
      </c>
      <c r="Q10" s="13" t="n">
        <v>1715.47</v>
      </c>
      <c r="R10" s="15" t="n">
        <v>1746.09</v>
      </c>
      <c r="S10" s="16" t="n">
        <v>1631.97</v>
      </c>
      <c r="T10" s="16" t="n">
        <v>1505.3</v>
      </c>
      <c r="U10" s="17" t="n">
        <v>1685.25</v>
      </c>
      <c r="V10" s="16" t="n">
        <v>1499.02</v>
      </c>
      <c r="W10" s="16" t="n">
        <v>1499.02</v>
      </c>
      <c r="X10" s="16" t="n">
        <v>1499.02</v>
      </c>
      <c r="Y10" s="16" t="n">
        <v>1499.02</v>
      </c>
      <c r="Z10" s="11" t="n"/>
      <c r="AA10" s="16" t="n">
        <v>1499.02</v>
      </c>
      <c r="AB10" s="16" t="n">
        <v>1499.02</v>
      </c>
      <c r="AC10" s="16" t="n">
        <v>1499.02</v>
      </c>
      <c r="AD10" s="16" t="n">
        <v>1499.02</v>
      </c>
      <c r="AE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1433.66</v>
      </c>
      <c r="F11" s="14" t="n">
        <v>1433.66</v>
      </c>
      <c r="G11" s="13" t="n">
        <v>1458.68</v>
      </c>
      <c r="H11" s="13" t="n">
        <v>1474.86</v>
      </c>
      <c r="I11" s="13" t="n">
        <v>1469.1</v>
      </c>
      <c r="J11" s="13" t="n">
        <v>1532.14</v>
      </c>
      <c r="K11" s="14" t="n">
        <v>1532.14</v>
      </c>
      <c r="L11" s="13" t="n">
        <v>1594.72</v>
      </c>
      <c r="M11" s="13" t="n">
        <v>1588.22</v>
      </c>
      <c r="N11" s="13" t="n">
        <v>1648.04</v>
      </c>
      <c r="O11" s="13" t="n">
        <v>1696.94</v>
      </c>
      <c r="P11" s="14" t="n">
        <v>1696.94</v>
      </c>
      <c r="Q11" s="13" t="n">
        <v>1753.21</v>
      </c>
      <c r="R11" s="15" t="n">
        <v>1767.09</v>
      </c>
      <c r="S11" s="16" t="n">
        <v>1539.06</v>
      </c>
      <c r="T11" s="16" t="n">
        <v>1499.02</v>
      </c>
      <c r="U11" s="17" t="n">
        <v>1499.02</v>
      </c>
      <c r="V11" s="16" t="n">
        <v>1499.02</v>
      </c>
      <c r="W11" s="16" t="n">
        <v>1499.02</v>
      </c>
      <c r="X11" s="16" t="n">
        <v>1499.02</v>
      </c>
      <c r="Y11" s="16" t="n">
        <v>1499.02</v>
      </c>
      <c r="Z11" s="11" t="n"/>
      <c r="AA11" s="16" t="n">
        <v>1499.02</v>
      </c>
      <c r="AB11" s="16" t="n">
        <v>1499.02</v>
      </c>
      <c r="AC11" s="16" t="n">
        <v>1499.02</v>
      </c>
      <c r="AD11" s="16" t="n">
        <v>1499.02</v>
      </c>
      <c r="AE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182.86</v>
      </c>
      <c r="F12" s="14" t="n">
        <v>184.52</v>
      </c>
      <c r="G12" s="13" t="n">
        <v>185.04</v>
      </c>
      <c r="H12" s="13" t="n">
        <v>189.35</v>
      </c>
      <c r="I12" s="13" t="n">
        <v>189.24</v>
      </c>
      <c r="J12" s="13" t="n">
        <v>194.24</v>
      </c>
      <c r="K12" s="14" t="n">
        <v>189.49</v>
      </c>
      <c r="L12" s="13" t="n">
        <v>199.63</v>
      </c>
      <c r="M12" s="13" t="n">
        <v>193.41</v>
      </c>
      <c r="N12" s="13" t="n">
        <v>193.79</v>
      </c>
      <c r="O12" s="13" t="n">
        <v>204.38</v>
      </c>
      <c r="P12" s="14" t="n">
        <v>197.8</v>
      </c>
      <c r="Q12" s="13" t="n">
        <v>211.75</v>
      </c>
      <c r="R12" s="15" t="n">
        <v>220.8</v>
      </c>
      <c r="S12" s="16" t="n">
        <v>210.43</v>
      </c>
      <c r="T12" s="16" t="n">
        <v>200.38</v>
      </c>
      <c r="U12" s="17" t="n">
        <v>213.41</v>
      </c>
      <c r="V12" s="16" t="n">
        <v>199.23</v>
      </c>
      <c r="W12" s="16" t="n">
        <v>199.23</v>
      </c>
      <c r="X12" s="16" t="n">
        <v>199.23</v>
      </c>
      <c r="Y12" s="16" t="n">
        <v>199.23</v>
      </c>
      <c r="Z12" s="11" t="n"/>
      <c r="AA12" s="16" t="n">
        <v>199.23</v>
      </c>
      <c r="AB12" s="16" t="n">
        <v>199.23</v>
      </c>
      <c r="AC12" s="16" t="n">
        <v>199.23</v>
      </c>
      <c r="AD12" s="16" t="n">
        <v>199.23</v>
      </c>
      <c r="AE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182.61</v>
      </c>
      <c r="F13" s="14" t="n">
        <v>182.61</v>
      </c>
      <c r="G13" s="13" t="n">
        <v>186.66</v>
      </c>
      <c r="H13" s="13" t="n">
        <v>189.7</v>
      </c>
      <c r="I13" s="13" t="n">
        <v>187.12</v>
      </c>
      <c r="J13" s="13" t="n">
        <v>202.04</v>
      </c>
      <c r="K13" s="14" t="n">
        <v>202.04</v>
      </c>
      <c r="L13" s="13" t="n">
        <v>203.3</v>
      </c>
      <c r="M13" s="13" t="n">
        <v>189.14</v>
      </c>
      <c r="N13" s="13" t="n">
        <v>197.16</v>
      </c>
      <c r="O13" s="13" t="n">
        <v>206.28</v>
      </c>
      <c r="P13" s="14" t="n">
        <v>206.28</v>
      </c>
      <c r="Q13" s="13" t="n">
        <v>220.97</v>
      </c>
      <c r="R13" s="15" t="n">
        <v>228.56</v>
      </c>
      <c r="S13" s="16" t="n">
        <v>202.16</v>
      </c>
      <c r="T13" s="16" t="n">
        <v>199.23</v>
      </c>
      <c r="U13" s="17" t="n">
        <v>199.23</v>
      </c>
      <c r="V13" s="16" t="n">
        <v>199.23</v>
      </c>
      <c r="W13" s="16" t="n">
        <v>199.23</v>
      </c>
      <c r="X13" s="16" t="n">
        <v>199.23</v>
      </c>
      <c r="Y13" s="16" t="n">
        <v>199.23</v>
      </c>
      <c r="Z13" s="11" t="n"/>
      <c r="AA13" s="16" t="n">
        <v>199.23</v>
      </c>
      <c r="AB13" s="16" t="n">
        <v>199.23</v>
      </c>
      <c r="AC13" s="16" t="n">
        <v>199.23</v>
      </c>
      <c r="AD13" s="16" t="n">
        <v>199.23</v>
      </c>
      <c r="AE13" s="11" t="n"/>
    </row>
    <row r="14">
      <c r="B14" s="1" t="inlineStr">
        <is>
          <t>1b. 종가</t>
        </is>
      </c>
      <c r="F14" s="9" t="n"/>
      <c r="K14" s="9" t="n"/>
      <c r="P14" s="9" t="n"/>
      <c r="R14" s="5" t="n"/>
      <c r="S14" s="10" t="n"/>
      <c r="T14" s="10" t="n"/>
      <c r="U14" s="11" t="n"/>
      <c r="V14" s="10" t="n"/>
      <c r="W14" s="10" t="n"/>
      <c r="X14" s="10" t="n"/>
      <c r="Y14" s="10" t="n"/>
      <c r="Z14" s="11" t="n"/>
      <c r="AA14" s="10" t="n"/>
      <c r="AB14" s="10" t="n"/>
      <c r="AC14" s="10" t="n"/>
      <c r="AD14" s="10" t="n"/>
      <c r="AE14" s="11" t="n"/>
    </row>
    <row r="15">
      <c r="A15" s="12" t="inlineStr">
        <is>
          <t>price_close_end</t>
        </is>
      </c>
      <c r="C15" t="inlineStr">
        <is>
          <t>종가(기말)</t>
        </is>
      </c>
      <c r="F15" s="9" t="n"/>
      <c r="G15" s="18" t="n">
        <v>17890</v>
      </c>
      <c r="H15" s="18" t="n">
        <v>15360</v>
      </c>
      <c r="I15" s="18" t="n">
        <v>11140</v>
      </c>
      <c r="J15" s="18" t="n">
        <v>13430</v>
      </c>
      <c r="K15" s="9" t="n"/>
      <c r="L15" s="18" t="n">
        <v>14000</v>
      </c>
      <c r="M15" s="18" t="n">
        <v>18540</v>
      </c>
      <c r="N15" s="18" t="n">
        <v>26550</v>
      </c>
      <c r="O15" s="18" t="n">
        <v>17690</v>
      </c>
      <c r="P15" s="9" t="n"/>
      <c r="Q15" s="18" t="n">
        <v>17810</v>
      </c>
      <c r="R15" s="19" t="n">
        <v>12080</v>
      </c>
      <c r="S15" s="20" t="n">
        <v>12890</v>
      </c>
      <c r="T15" s="20" t="n">
        <v>11470</v>
      </c>
      <c r="U15" s="11" t="n"/>
      <c r="V15" s="10" t="n"/>
      <c r="W15" s="10" t="n"/>
      <c r="X15" s="10" t="n"/>
      <c r="Y15" s="10" t="n"/>
      <c r="Z15" s="11" t="n"/>
      <c r="AA15" s="10" t="n"/>
      <c r="AB15" s="10" t="n"/>
      <c r="AC15" s="10" t="n"/>
      <c r="AD15" s="10" t="n"/>
      <c r="AE15" s="11" t="n"/>
    </row>
    <row r="16">
      <c r="A16" s="12" t="inlineStr">
        <is>
          <t>price_high</t>
        </is>
      </c>
      <c r="C16" t="inlineStr">
        <is>
          <t>종가(최고)</t>
        </is>
      </c>
      <c r="F16" s="9" t="n"/>
      <c r="G16" s="18" t="n">
        <v>29200</v>
      </c>
      <c r="H16" s="18" t="n">
        <v>19700</v>
      </c>
      <c r="I16" s="18" t="n">
        <v>16580</v>
      </c>
      <c r="J16" s="18" t="n">
        <v>17770</v>
      </c>
      <c r="K16" s="9" t="n"/>
      <c r="L16" s="18" t="n">
        <v>22350</v>
      </c>
      <c r="M16" s="18" t="n">
        <v>22600</v>
      </c>
      <c r="N16" s="18" t="n">
        <v>33450</v>
      </c>
      <c r="O16" s="18" t="n">
        <v>27000</v>
      </c>
      <c r="P16" s="9" t="n"/>
      <c r="Q16" s="18" t="n">
        <v>22950</v>
      </c>
      <c r="R16" s="19" t="n">
        <v>21700</v>
      </c>
      <c r="S16" s="20" t="n">
        <v>16730</v>
      </c>
      <c r="T16" s="20" t="n">
        <v>13220</v>
      </c>
      <c r="U16" s="11" t="n"/>
      <c r="V16" s="10" t="n"/>
      <c r="W16" s="10" t="n"/>
      <c r="X16" s="10" t="n"/>
      <c r="Y16" s="10" t="n"/>
      <c r="Z16" s="11" t="n"/>
      <c r="AA16" s="10" t="n"/>
      <c r="AB16" s="10" t="n"/>
      <c r="AC16" s="10" t="n"/>
      <c r="AD16" s="10" t="n"/>
      <c r="AE16" s="11" t="n"/>
    </row>
    <row r="17">
      <c r="A17" s="12" t="inlineStr">
        <is>
          <t>price_low</t>
        </is>
      </c>
      <c r="C17" t="inlineStr">
        <is>
          <t>종가(최저)</t>
        </is>
      </c>
      <c r="F17" s="9" t="n"/>
      <c r="G17" s="18" t="n">
        <v>13890</v>
      </c>
      <c r="H17" s="18" t="n">
        <v>14070</v>
      </c>
      <c r="I17" s="18" t="n">
        <v>10270</v>
      </c>
      <c r="J17" s="18" t="n">
        <v>9580</v>
      </c>
      <c r="K17" s="9" t="n"/>
      <c r="L17" s="18" t="n">
        <v>12880</v>
      </c>
      <c r="M17" s="18" t="n">
        <v>12350</v>
      </c>
      <c r="N17" s="18" t="n">
        <v>17730</v>
      </c>
      <c r="O17" s="18" t="n">
        <v>17550</v>
      </c>
      <c r="P17" s="9" t="n"/>
      <c r="Q17" s="18" t="n">
        <v>15260</v>
      </c>
      <c r="R17" s="19" t="n">
        <v>11240</v>
      </c>
      <c r="S17" s="20" t="n">
        <v>10380</v>
      </c>
      <c r="T17" s="20" t="n">
        <v>10830</v>
      </c>
      <c r="U17" s="11" t="n"/>
      <c r="V17" s="10" t="n"/>
      <c r="W17" s="10" t="n"/>
      <c r="X17" s="10" t="n"/>
      <c r="Y17" s="10" t="n"/>
      <c r="Z17" s="11" t="n"/>
      <c r="AA17" s="10" t="n"/>
      <c r="AB17" s="10" t="n"/>
      <c r="AC17" s="10" t="n"/>
      <c r="AD17" s="10" t="n"/>
      <c r="AE17" s="11" t="n"/>
    </row>
    <row r="18">
      <c r="A18" s="12" t="inlineStr">
        <is>
          <t>price_avg</t>
        </is>
      </c>
      <c r="C18" t="inlineStr">
        <is>
          <t>종가(평균)</t>
        </is>
      </c>
      <c r="F18" s="9" t="n"/>
      <c r="G18" s="18" t="n">
        <v>17793.7</v>
      </c>
      <c r="H18" s="18" t="n">
        <v>16068</v>
      </c>
      <c r="I18" s="18" t="n">
        <v>13288.4</v>
      </c>
      <c r="J18" s="18" t="n">
        <v>12433.6</v>
      </c>
      <c r="K18" s="9" t="n"/>
      <c r="L18" s="18" t="n">
        <v>17395.2</v>
      </c>
      <c r="M18" s="18" t="n">
        <v>17968.2</v>
      </c>
      <c r="N18" s="18" t="n">
        <v>22917.1</v>
      </c>
      <c r="O18" s="18" t="n">
        <v>20329</v>
      </c>
      <c r="P18" s="9" t="n"/>
      <c r="Q18" s="18" t="n">
        <v>18322.2</v>
      </c>
      <c r="R18" s="19" t="n">
        <v>16938</v>
      </c>
      <c r="S18" s="20" t="n">
        <v>13352.1</v>
      </c>
      <c r="T18" s="20" t="n">
        <v>12113.6</v>
      </c>
      <c r="U18" s="11" t="n"/>
      <c r="V18" s="10" t="n"/>
      <c r="W18" s="10" t="n"/>
      <c r="X18" s="10" t="n"/>
      <c r="Y18" s="10" t="n"/>
      <c r="Z18" s="11" t="n"/>
      <c r="AA18" s="10" t="n"/>
      <c r="AB18" s="10" t="n"/>
      <c r="AC18" s="10" t="n"/>
      <c r="AD18" s="10" t="n"/>
      <c r="AE18" s="11" t="n"/>
    </row>
    <row r="19">
      <c r="F19" s="9" t="n"/>
      <c r="K19" s="9" t="n"/>
      <c r="P19" s="9" t="n"/>
      <c r="R19" s="5" t="n"/>
      <c r="S19" s="10" t="n"/>
      <c r="T19" s="10" t="n"/>
      <c r="U19" s="11" t="n"/>
      <c r="V19" s="10" t="n"/>
      <c r="W19" s="10" t="n"/>
      <c r="X19" s="10" t="n"/>
      <c r="Y19" s="10" t="n"/>
      <c r="Z19" s="11" t="n"/>
      <c r="AA19" s="10" t="n"/>
      <c r="AB19" s="10" t="n"/>
      <c r="AC19" s="10" t="n"/>
      <c r="AD19" s="10" t="n"/>
      <c r="AE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R20" s="5" t="n"/>
      <c r="S20" s="10" t="n"/>
      <c r="T20" s="10" t="n"/>
      <c r="U20" s="11" t="n"/>
      <c r="V20" s="10" t="n"/>
      <c r="W20" s="10" t="n"/>
      <c r="X20" s="10" t="n"/>
      <c r="Y20" s="10" t="n"/>
      <c r="Z20" s="11" t="n"/>
      <c r="AA20" s="10" t="n"/>
      <c r="AB20" s="10" t="n"/>
      <c r="AC20" s="10" t="n"/>
      <c r="AD20" s="10" t="n"/>
      <c r="AE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3">
        <f>IFERROR(subQ!R5/subQ!M5-1,"")</f>
        <v/>
      </c>
      <c r="S21" s="24" t="n">
        <v>0.153316002</v>
      </c>
      <c r="T21" s="24" t="n">
        <v>0.146521402</v>
      </c>
      <c r="U21" s="25" t="n"/>
      <c r="V21" s="24" t="n">
        <v>0.145316112</v>
      </c>
      <c r="W21" s="24" t="n">
        <v>0.123141085</v>
      </c>
      <c r="X21" s="24" t="n">
        <v>0.169915</v>
      </c>
      <c r="Y21" s="24" t="n">
        <v>0.195192182</v>
      </c>
      <c r="Z21" s="25" t="n"/>
      <c r="AA21" s="24" t="n">
        <v>0.19194854</v>
      </c>
      <c r="AB21" s="24" t="n">
        <v>0.177831614</v>
      </c>
      <c r="AC21" s="24" t="n">
        <v>0.165737071</v>
      </c>
      <c r="AD21" s="24" t="n">
        <v>0.168045699</v>
      </c>
      <c r="AE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3">
        <f>IFERROR(subQ!R8/subQ!R5,"")</f>
        <v/>
      </c>
      <c r="S22" s="26">
        <f>$D$49</f>
        <v/>
      </c>
      <c r="T22" s="26">
        <f>$D$49</f>
        <v/>
      </c>
      <c r="U22" s="25">
        <f>IFERROR(subQ!U8/subQ!U5,"")</f>
        <v/>
      </c>
      <c r="V22" s="26">
        <f>$D$49</f>
        <v/>
      </c>
      <c r="W22" s="26">
        <f>$D$49</f>
        <v/>
      </c>
      <c r="X22" s="26">
        <f>$D$49</f>
        <v/>
      </c>
      <c r="Y22" s="26">
        <f>$D$49</f>
        <v/>
      </c>
      <c r="Z22" s="25">
        <f>IFERROR(subQ!Z8/subQ!Z5,"")</f>
        <v/>
      </c>
      <c r="AA22" s="26">
        <f>$D$49</f>
        <v/>
      </c>
      <c r="AB22" s="26">
        <f>$D$49</f>
        <v/>
      </c>
      <c r="AC22" s="26">
        <f>$D$49</f>
        <v/>
      </c>
      <c r="AD22" s="26">
        <f>$D$49</f>
        <v/>
      </c>
      <c r="AE22" s="25">
        <f>IFERROR(subQ!AE8/subQ!AE5,"")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3">
        <f>IFERROR(subQ!R9/subQ!R5,"")</f>
        <v/>
      </c>
      <c r="S23" s="24" t="n">
        <v>0.118041842</v>
      </c>
      <c r="T23" s="24" t="n">
        <v>0.118045603</v>
      </c>
      <c r="U23" s="25">
        <f>IFERROR(subQ!U9/subQ!U5,"")</f>
        <v/>
      </c>
      <c r="V23" s="24" t="n">
        <v>0.118042136</v>
      </c>
      <c r="W23" s="24" t="n">
        <v>0.118048673</v>
      </c>
      <c r="X23" s="24" t="n">
        <v>0.118046382</v>
      </c>
      <c r="Y23" s="24" t="n">
        <v>0.118040793</v>
      </c>
      <c r="Z23" s="25">
        <f>IFERROR(subQ!Z9/subQ!Z5,"")</f>
        <v/>
      </c>
      <c r="AA23" s="24" t="n">
        <v>0.118045871</v>
      </c>
      <c r="AB23" s="24" t="n">
        <v>0.1180412</v>
      </c>
      <c r="AC23" s="24" t="n">
        <v>0.118040837</v>
      </c>
      <c r="AD23" s="24" t="n">
        <v>0.118044537</v>
      </c>
      <c r="AE23" s="25">
        <f>IFERROR(subQ!AE9/subQ!AE5,"")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9">
        <f>subQ!R13</f>
        <v/>
      </c>
      <c r="S24" s="30" t="n">
        <v>0</v>
      </c>
      <c r="T24" s="30" t="n">
        <v>0</v>
      </c>
      <c r="U24" s="31">
        <f>subQ!U13</f>
        <v/>
      </c>
      <c r="V24" s="30" t="n">
        <v>0</v>
      </c>
      <c r="W24" s="30" t="n">
        <v>0</v>
      </c>
      <c r="X24" s="30" t="n">
        <v>0</v>
      </c>
      <c r="Y24" s="30" t="n">
        <v>0</v>
      </c>
      <c r="Z24" s="31">
        <f>subQ!Z13</f>
        <v/>
      </c>
      <c r="AA24" s="30" t="n">
        <v>0</v>
      </c>
      <c r="AB24" s="30" t="n">
        <v>0</v>
      </c>
      <c r="AC24" s="30" t="n">
        <v>0</v>
      </c>
      <c r="AD24" s="30" t="n">
        <v>0</v>
      </c>
      <c r="AE24" s="31">
        <f>subQ!AE13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9">
        <f>subQ!R14</f>
        <v/>
      </c>
      <c r="S25" s="30" t="n">
        <v>0</v>
      </c>
      <c r="T25" s="30" t="n">
        <v>0</v>
      </c>
      <c r="U25" s="31">
        <f>subQ!U14</f>
        <v/>
      </c>
      <c r="V25" s="30" t="n">
        <v>0</v>
      </c>
      <c r="W25" s="30" t="n">
        <v>0</v>
      </c>
      <c r="X25" s="30" t="n">
        <v>0</v>
      </c>
      <c r="Y25" s="30" t="n">
        <v>0</v>
      </c>
      <c r="Z25" s="31">
        <f>subQ!Z14</f>
        <v/>
      </c>
      <c r="AA25" s="30" t="n">
        <v>0</v>
      </c>
      <c r="AB25" s="30" t="n">
        <v>0</v>
      </c>
      <c r="AC25" s="30" t="n">
        <v>0</v>
      </c>
      <c r="AD25" s="30" t="n">
        <v>0</v>
      </c>
      <c r="AE25" s="31">
        <f>subQ!AE14</f>
        <v/>
      </c>
    </row>
    <row r="26">
      <c r="A26" s="12" t="inlineStr">
        <is>
          <t>drv:법인세비용</t>
        </is>
      </c>
      <c r="B26" s="2" t="inlineStr">
        <is>
          <t>tax</t>
        </is>
      </c>
      <c r="C26" t="inlineStr">
        <is>
          <t>법인세율(/세전) — 법인세 = MAX(세전,0) × 세율</t>
        </is>
      </c>
      <c r="E26" s="21">
        <f>IFERROR(subQ!E16/subQ!E15,"")</f>
        <v/>
      </c>
      <c r="F26" s="22">
        <f>IFERROR(subQ!F16/subQ!F15,"")</f>
        <v/>
      </c>
      <c r="G26" s="21">
        <f>IFERROR(subQ!G16/subQ!G15,"")</f>
        <v/>
      </c>
      <c r="H26" s="21">
        <f>IFERROR(subQ!H16/subQ!H15,"")</f>
        <v/>
      </c>
      <c r="I26" s="21">
        <f>IFERROR(subQ!I16/subQ!I15,"")</f>
        <v/>
      </c>
      <c r="J26" s="21">
        <f>IFERROR(subQ!J16/subQ!J15,"")</f>
        <v/>
      </c>
      <c r="K26" s="22">
        <f>IFERROR(subQ!K16/subQ!K15,"")</f>
        <v/>
      </c>
      <c r="L26" s="21">
        <f>IFERROR(subQ!L16/subQ!L15,"")</f>
        <v/>
      </c>
      <c r="M26" s="21">
        <f>IFERROR(subQ!M16/subQ!M15,"")</f>
        <v/>
      </c>
      <c r="N26" s="21">
        <f>IFERROR(subQ!N16/subQ!N15,"")</f>
        <v/>
      </c>
      <c r="O26" s="21">
        <f>IFERROR(subQ!O16/subQ!O15,"")</f>
        <v/>
      </c>
      <c r="P26" s="22">
        <f>IFERROR(subQ!P16/subQ!P15,"")</f>
        <v/>
      </c>
      <c r="Q26" s="21">
        <f>IFERROR(subQ!Q16/subQ!Q15,"")</f>
        <v/>
      </c>
      <c r="R26" s="23">
        <f>IFERROR(subQ!R16/subQ!R15,"")</f>
        <v/>
      </c>
      <c r="S26" s="26">
        <f>$D$48</f>
        <v/>
      </c>
      <c r="T26" s="26">
        <f>$D$48</f>
        <v/>
      </c>
      <c r="U26" s="25">
        <f>IFERROR(subQ!U16/subQ!U15,"")</f>
        <v/>
      </c>
      <c r="V26" s="26">
        <f>$D$48</f>
        <v/>
      </c>
      <c r="W26" s="26">
        <f>$D$48</f>
        <v/>
      </c>
      <c r="X26" s="26">
        <f>$D$48</f>
        <v/>
      </c>
      <c r="Y26" s="26">
        <f>$D$48</f>
        <v/>
      </c>
      <c r="Z26" s="25">
        <f>IFERROR(subQ!Z16/subQ!Z15,"")</f>
        <v/>
      </c>
      <c r="AA26" s="26">
        <f>$D$48</f>
        <v/>
      </c>
      <c r="AB26" s="26">
        <f>$D$48</f>
        <v/>
      </c>
      <c r="AC26" s="26">
        <f>$D$48</f>
        <v/>
      </c>
      <c r="AD26" s="26">
        <f>$D$48</f>
        <v/>
      </c>
      <c r="AE26" s="25">
        <f>IFERROR(subQ!AE16/subQ!AE15,"")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IFERROR(subQ!E18/subQ!E17,"")</f>
        <v/>
      </c>
      <c r="F27" s="22">
        <f>IFERROR(subQ!F18/subQ!F17,"")</f>
        <v/>
      </c>
      <c r="G27" s="21">
        <f>IFERROR(subQ!G18/subQ!G17,"")</f>
        <v/>
      </c>
      <c r="H27" s="21">
        <f>IFERROR(subQ!H18/subQ!H17,"")</f>
        <v/>
      </c>
      <c r="I27" s="21">
        <f>IFERROR(subQ!I18/subQ!I17,"")</f>
        <v/>
      </c>
      <c r="J27" s="21">
        <f>IFERROR(subQ!J18/subQ!J17,"")</f>
        <v/>
      </c>
      <c r="K27" s="22">
        <f>IFERROR(subQ!K18/subQ!K17,"")</f>
        <v/>
      </c>
      <c r="L27" s="21">
        <f>IFERROR(subQ!L18/subQ!L17,"")</f>
        <v/>
      </c>
      <c r="M27" s="21">
        <f>IFERROR(subQ!M18/subQ!M17,"")</f>
        <v/>
      </c>
      <c r="N27" s="21">
        <f>IFERROR(subQ!N18/subQ!N17,"")</f>
        <v/>
      </c>
      <c r="O27" s="21">
        <f>IFERROR(subQ!O18/subQ!O17,"")</f>
        <v/>
      </c>
      <c r="P27" s="22">
        <f>IFERROR(subQ!P18/subQ!P17,"")</f>
        <v/>
      </c>
      <c r="Q27" s="21">
        <f>IFERROR(subQ!Q18/subQ!Q17,"")</f>
        <v/>
      </c>
      <c r="R27" s="23">
        <f>IFERROR(subQ!R18/subQ!R17,"")</f>
        <v/>
      </c>
      <c r="S27" s="26">
        <f>$D$50</f>
        <v/>
      </c>
      <c r="T27" s="26">
        <f>$D$50</f>
        <v/>
      </c>
      <c r="U27" s="25">
        <f>IFERROR(subQ!U18/subQ!U17,"")</f>
        <v/>
      </c>
      <c r="V27" s="26">
        <f>$D$50</f>
        <v/>
      </c>
      <c r="W27" s="26">
        <f>$D$50</f>
        <v/>
      </c>
      <c r="X27" s="26">
        <f>$D$50</f>
        <v/>
      </c>
      <c r="Y27" s="26">
        <f>$D$50</f>
        <v/>
      </c>
      <c r="Z27" s="25">
        <f>IFERROR(subQ!Z18/subQ!Z17,"")</f>
        <v/>
      </c>
      <c r="AA27" s="26">
        <f>$D$50</f>
        <v/>
      </c>
      <c r="AB27" s="26">
        <f>$D$50</f>
        <v/>
      </c>
      <c r="AC27" s="26">
        <f>$D$50</f>
        <v/>
      </c>
      <c r="AD27" s="26">
        <f>$D$50</f>
        <v/>
      </c>
      <c r="AE27" s="25">
        <f>IFERROR(subQ!AE18/subQ!AE17,"")</f>
        <v/>
      </c>
    </row>
    <row r="28">
      <c r="A28" s="12" t="inlineStr">
        <is>
          <t>drv:부채총계</t>
        </is>
      </c>
      <c r="B28" s="2" t="inlineStr">
        <is>
          <t>qoq</t>
        </is>
      </c>
      <c r="C28" t="inlineStr">
        <is>
          <t>부채총계 QoQ</t>
        </is>
      </c>
      <c r="E28" s="21" t="n"/>
      <c r="F28" s="22" t="n"/>
      <c r="G28" s="21">
        <f>IFERROR(subQ!G20/subQ!E20-1,"")</f>
        <v/>
      </c>
      <c r="H28" s="21">
        <f>IFERROR(subQ!H20/subQ!G20-1,"")</f>
        <v/>
      </c>
      <c r="I28" s="21">
        <f>IFERROR(subQ!I20/subQ!H20-1,"")</f>
        <v/>
      </c>
      <c r="J28" s="21">
        <f>IFERROR(subQ!J20/subQ!I20-1,"")</f>
        <v/>
      </c>
      <c r="K28" s="22" t="n"/>
      <c r="L28" s="21">
        <f>IFERROR(subQ!L20/subQ!J20-1,"")</f>
        <v/>
      </c>
      <c r="M28" s="21">
        <f>IFERROR(subQ!M20/subQ!L20-1,"")</f>
        <v/>
      </c>
      <c r="N28" s="21">
        <f>IFERROR(subQ!N20/subQ!M20-1,"")</f>
        <v/>
      </c>
      <c r="O28" s="21">
        <f>IFERROR(subQ!O20/subQ!N20-1,"")</f>
        <v/>
      </c>
      <c r="P28" s="22" t="n"/>
      <c r="Q28" s="21">
        <f>IFERROR(subQ!Q20/subQ!O20-1,"")</f>
        <v/>
      </c>
      <c r="R28" s="23">
        <f>IFERROR(subQ!R20/subQ!Q20-1,"")</f>
        <v/>
      </c>
      <c r="S28" s="24" t="n">
        <v>4.805e-06</v>
      </c>
      <c r="T28" s="24" t="n">
        <v>0</v>
      </c>
      <c r="U28" s="25" t="n"/>
      <c r="V28" s="24" t="n">
        <v>0</v>
      </c>
      <c r="W28" s="24" t="n">
        <v>0</v>
      </c>
      <c r="X28" s="24" t="n">
        <v>0</v>
      </c>
      <c r="Y28" s="24" t="n">
        <v>0</v>
      </c>
      <c r="Z28" s="25" t="n"/>
      <c r="AA28" s="24" t="n">
        <v>0</v>
      </c>
      <c r="AB28" s="24" t="n">
        <v>0</v>
      </c>
      <c r="AC28" s="24" t="n">
        <v>0</v>
      </c>
      <c r="AD28" s="24" t="n">
        <v>0</v>
      </c>
      <c r="AE28" s="25" t="n"/>
    </row>
    <row r="29">
      <c r="A29" s="12" t="inlineStr">
        <is>
          <t>drv:자본총계</t>
        </is>
      </c>
      <c r="B29" s="2" t="inlineStr">
        <is>
          <t>roll</t>
        </is>
      </c>
      <c r="C29" t="inlineStr">
        <is>
          <t>자본총계 기타변동(배당 등, 억원)</t>
        </is>
      </c>
      <c r="E29" s="27" t="n"/>
      <c r="F29" s="28" t="n"/>
      <c r="G29" s="27">
        <f>IFERROR(subQ!E21+subQ!G17-subQ!G21,"")</f>
        <v/>
      </c>
      <c r="H29" s="27">
        <f>IFERROR(subQ!G21+subQ!H17-subQ!H21,"")</f>
        <v/>
      </c>
      <c r="I29" s="27">
        <f>IFERROR(subQ!H21+subQ!I17-subQ!I21,"")</f>
        <v/>
      </c>
      <c r="J29" s="27">
        <f>IFERROR(subQ!I21+subQ!J17-subQ!J21,"")</f>
        <v/>
      </c>
      <c r="K29" s="28" t="n"/>
      <c r="L29" s="27">
        <f>IFERROR(subQ!J21+subQ!L17-subQ!L21,"")</f>
        <v/>
      </c>
      <c r="M29" s="27">
        <f>IFERROR(subQ!L21+subQ!M17-subQ!M21,"")</f>
        <v/>
      </c>
      <c r="N29" s="27">
        <f>IFERROR(subQ!M21+subQ!N17-subQ!N21,"")</f>
        <v/>
      </c>
      <c r="O29" s="27">
        <f>IFERROR(subQ!N21+subQ!O17-subQ!O21,"")</f>
        <v/>
      </c>
      <c r="P29" s="28" t="n"/>
      <c r="Q29" s="27">
        <f>IFERROR(subQ!O21+subQ!Q17-subQ!Q21,"")</f>
        <v/>
      </c>
      <c r="R29" s="29">
        <f>IFERROR(subQ!Q21+subQ!R17-subQ!R21,"")</f>
        <v/>
      </c>
      <c r="S29" s="30" t="n">
        <v>-0.00361218</v>
      </c>
      <c r="T29" s="30" t="n">
        <v>0.000316228</v>
      </c>
      <c r="U29" s="31" t="n"/>
      <c r="V29" s="30" t="n">
        <v>-0.000225188</v>
      </c>
      <c r="W29" s="30" t="n">
        <v>46.169327709</v>
      </c>
      <c r="X29" s="30" t="n">
        <v>-0.003241731</v>
      </c>
      <c r="Y29" s="30" t="n">
        <v>-0.002810809</v>
      </c>
      <c r="Z29" s="31" t="n"/>
      <c r="AA29" s="30" t="n">
        <v>-0.002994442</v>
      </c>
      <c r="AB29" s="30" t="n">
        <v>46.158111095</v>
      </c>
      <c r="AC29" s="30" t="n">
        <v>0.002297326</v>
      </c>
      <c r="AD29" s="30" t="n">
        <v>-0.006767971</v>
      </c>
      <c r="AE29" s="31" t="n"/>
    </row>
    <row r="30">
      <c r="A30" s="12" t="inlineStr">
        <is>
          <t>drv:지배주주지분</t>
        </is>
      </c>
      <c r="B30" s="2" t="inlineStr">
        <is>
          <t>roll</t>
        </is>
      </c>
      <c r="C30" t="inlineStr">
        <is>
          <t>지배주주지분 기타변동(배당 등, 억원)</t>
        </is>
      </c>
      <c r="E30" s="27" t="n"/>
      <c r="F30" s="28" t="n"/>
      <c r="G30" s="27">
        <f>IFERROR(subQ!E22+subQ!G18-subQ!G22,"")</f>
        <v/>
      </c>
      <c r="H30" s="27">
        <f>IFERROR(subQ!G22+subQ!H18-subQ!H22,"")</f>
        <v/>
      </c>
      <c r="I30" s="27">
        <f>IFERROR(subQ!H22+subQ!I18-subQ!I22,"")</f>
        <v/>
      </c>
      <c r="J30" s="27">
        <f>IFERROR(subQ!I22+subQ!J18-subQ!J22,"")</f>
        <v/>
      </c>
      <c r="K30" s="28" t="n"/>
      <c r="L30" s="27">
        <f>IFERROR(subQ!J22+subQ!L18-subQ!L22,"")</f>
        <v/>
      </c>
      <c r="M30" s="27">
        <f>IFERROR(subQ!L22+subQ!M18-subQ!M22,"")</f>
        <v/>
      </c>
      <c r="N30" s="27">
        <f>IFERROR(subQ!M22+subQ!N18-subQ!N22,"")</f>
        <v/>
      </c>
      <c r="O30" s="27">
        <f>IFERROR(subQ!N22+subQ!O18-subQ!O22,"")</f>
        <v/>
      </c>
      <c r="P30" s="28" t="n"/>
      <c r="Q30" s="27">
        <f>IFERROR(subQ!O22+subQ!Q18-subQ!Q22,"")</f>
        <v/>
      </c>
      <c r="R30" s="29">
        <f>IFERROR(subQ!Q22+subQ!R18-subQ!R22,"")</f>
        <v/>
      </c>
      <c r="S30" s="30" t="n">
        <v>-0.00361218</v>
      </c>
      <c r="T30" s="30" t="n">
        <v>0.000316228</v>
      </c>
      <c r="U30" s="31" t="n"/>
      <c r="V30" s="30" t="n">
        <v>-0.000225188</v>
      </c>
      <c r="W30" s="30" t="n">
        <v>46.169327709</v>
      </c>
      <c r="X30" s="30" t="n">
        <v>-0.003241731</v>
      </c>
      <c r="Y30" s="30" t="n">
        <v>-0.002810809</v>
      </c>
      <c r="Z30" s="31" t="n"/>
      <c r="AA30" s="30" t="n">
        <v>-0.002994442</v>
      </c>
      <c r="AB30" s="30" t="n">
        <v>46.158111095</v>
      </c>
      <c r="AC30" s="30" t="n">
        <v>0.002297326</v>
      </c>
      <c r="AD30" s="30" t="n">
        <v>-0.006767971</v>
      </c>
      <c r="AE30" s="31" t="n"/>
    </row>
    <row r="31">
      <c r="A31" s="12" t="inlineStr">
        <is>
          <t>drv:총차입금</t>
        </is>
      </c>
      <c r="B31" s="2" t="inlineStr">
        <is>
          <t>qoq</t>
        </is>
      </c>
      <c r="C31" t="inlineStr">
        <is>
          <t>총차입금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3">
        <f>IFERROR(subQ!R23/subQ!Q23-1,"")</f>
        <v/>
      </c>
      <c r="S31" s="24" t="n">
        <v>-1.3191e-05</v>
      </c>
      <c r="T31" s="24" t="n">
        <v>0</v>
      </c>
      <c r="U31" s="25" t="n"/>
      <c r="V31" s="24" t="n">
        <v>0</v>
      </c>
      <c r="W31" s="24" t="n">
        <v>0</v>
      </c>
      <c r="X31" s="24" t="n">
        <v>0</v>
      </c>
      <c r="Y31" s="24" t="n">
        <v>0</v>
      </c>
      <c r="Z31" s="25" t="n"/>
      <c r="AA31" s="24" t="n">
        <v>0</v>
      </c>
      <c r="AB31" s="24" t="n">
        <v>0</v>
      </c>
      <c r="AC31" s="24" t="n">
        <v>0</v>
      </c>
      <c r="AD31" s="24" t="n">
        <v>0</v>
      </c>
      <c r="AE31" s="25" t="n"/>
    </row>
    <row r="32">
      <c r="A32" s="12" t="inlineStr">
        <is>
          <t>drv:순차입금</t>
        </is>
      </c>
      <c r="B32" s="2" t="inlineStr">
        <is>
          <t>qoq</t>
        </is>
      </c>
      <c r="C32" t="inlineStr">
        <is>
          <t>순차입금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3">
        <f>IFERROR(subQ!R24/subQ!Q24-1,"")</f>
        <v/>
      </c>
      <c r="S32" s="24" t="n">
        <v>0.282502498</v>
      </c>
      <c r="T32" s="24" t="n">
        <v>0.24283505</v>
      </c>
      <c r="U32" s="25" t="n"/>
      <c r="V32" s="24" t="n">
        <v>0.189272193</v>
      </c>
      <c r="W32" s="24" t="n">
        <v>0.07353072099999999</v>
      </c>
      <c r="X32" s="24" t="n">
        <v>0.164548037</v>
      </c>
      <c r="Y32" s="24" t="n">
        <v>0.158890986</v>
      </c>
      <c r="Z32" s="25" t="n"/>
      <c r="AA32" s="24" t="n">
        <v>0.132527158</v>
      </c>
      <c r="AB32" s="24" t="n">
        <v>0.065340678</v>
      </c>
      <c r="AC32" s="24" t="n">
        <v>0.119227732</v>
      </c>
      <c r="AD32" s="24" t="n">
        <v>0.119862546</v>
      </c>
      <c r="AE32" s="25" t="n"/>
    </row>
    <row r="33">
      <c r="A33" s="12" t="inlineStr">
        <is>
          <t>drv:이자발생자산</t>
        </is>
      </c>
      <c r="B33" s="2" t="inlineStr">
        <is>
          <t>qoq</t>
        </is>
      </c>
      <c r="C33" t="inlineStr">
        <is>
          <t>이자발생자산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3">
        <f>IFERROR(subQ!R25/subQ!Q25-1,"")</f>
        <v/>
      </c>
      <c r="S33" s="24" t="n">
        <v>0.144092657</v>
      </c>
      <c r="T33" s="24" t="n">
        <v>0.138831408</v>
      </c>
      <c r="U33" s="25" t="n"/>
      <c r="V33" s="24" t="n">
        <v>0.118091116</v>
      </c>
      <c r="W33" s="24" t="n">
        <v>0.048783371</v>
      </c>
      <c r="X33" s="24" t="n">
        <v>0.111791968</v>
      </c>
      <c r="Y33" s="24" t="n">
        <v>0.113056699</v>
      </c>
      <c r="Z33" s="25" t="n"/>
      <c r="AA33" s="24" t="n">
        <v>0.098180949</v>
      </c>
      <c r="AB33" s="24" t="n">
        <v>0.049920703</v>
      </c>
      <c r="AC33" s="24" t="n">
        <v>0.09241872299999999</v>
      </c>
      <c r="AD33" s="24" t="n">
        <v>0.095201085</v>
      </c>
      <c r="AE33" s="25" t="n"/>
    </row>
    <row r="34">
      <c r="A34" s="12" t="inlineStr">
        <is>
          <t>drv:현금및현금성자산</t>
        </is>
      </c>
      <c r="B34" s="2" t="inlineStr">
        <is>
          <t>qoq</t>
        </is>
      </c>
      <c r="C34" t="inlineStr">
        <is>
          <t>현금및현금성자산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3">
        <f>IFERROR(subQ!R26/subQ!Q26-1,"")</f>
        <v/>
      </c>
      <c r="S34" s="32" t="n"/>
      <c r="T34" s="32" t="n"/>
      <c r="U34" s="25" t="n"/>
      <c r="V34" s="32" t="n"/>
      <c r="W34" s="32" t="n"/>
      <c r="X34" s="32" t="n"/>
      <c r="Y34" s="32" t="n"/>
      <c r="Z34" s="25" t="n"/>
      <c r="AA34" s="32" t="n"/>
      <c r="AB34" s="32" t="n"/>
      <c r="AC34" s="32" t="n"/>
      <c r="AD34" s="32" t="n"/>
      <c r="AE34" s="25" t="n"/>
    </row>
    <row r="35">
      <c r="A35" s="12" t="inlineStr">
        <is>
          <t>drv:CAPEX</t>
        </is>
      </c>
      <c r="B35" s="2" t="inlineStr">
        <is>
          <t>yoy</t>
        </is>
      </c>
      <c r="C35" t="inlineStr">
        <is>
          <t>CAPEX YoY</t>
        </is>
      </c>
      <c r="E35" s="21" t="n"/>
      <c r="F35" s="22" t="n"/>
      <c r="G35" s="21" t="n"/>
      <c r="H35" s="21" t="n"/>
      <c r="I35" s="21" t="n"/>
      <c r="J35" s="21">
        <f>IFERROR(subQ!J27/subQ!E27-1,"")</f>
        <v/>
      </c>
      <c r="K35" s="22" t="n"/>
      <c r="L35" s="21">
        <f>IFERROR(subQ!L27/subQ!G27-1,"")</f>
        <v/>
      </c>
      <c r="M35" s="21">
        <f>IFERROR(subQ!M27/subQ!H27-1,"")</f>
        <v/>
      </c>
      <c r="N35" s="21">
        <f>IFERROR(subQ!N27/subQ!I27-1,"")</f>
        <v/>
      </c>
      <c r="O35" s="21">
        <f>IFERROR(subQ!O27/subQ!J27-1,"")</f>
        <v/>
      </c>
      <c r="P35" s="22" t="n"/>
      <c r="Q35" s="21">
        <f>IFERROR(subQ!Q27/subQ!L27-1,"")</f>
        <v/>
      </c>
      <c r="R35" s="23">
        <f>IFERROR(subQ!R27/subQ!M27-1,"")</f>
        <v/>
      </c>
      <c r="S35" s="24" t="n">
        <v>0.047433027</v>
      </c>
      <c r="T35" s="24" t="n">
        <v>0</v>
      </c>
      <c r="U35" s="25" t="n"/>
      <c r="V35" s="24" t="n">
        <v>0</v>
      </c>
      <c r="W35" s="24" t="n">
        <v>0</v>
      </c>
      <c r="X35" s="24" t="n">
        <v>0</v>
      </c>
      <c r="Y35" s="24" t="n">
        <v>0</v>
      </c>
      <c r="Z35" s="25" t="n"/>
      <c r="AA35" s="24" t="n">
        <v>0</v>
      </c>
      <c r="AB35" s="24" t="n">
        <v>0</v>
      </c>
      <c r="AC35" s="24" t="n">
        <v>0</v>
      </c>
      <c r="AD35" s="24" t="n">
        <v>0</v>
      </c>
      <c r="AE35" s="25" t="n"/>
    </row>
    <row r="36">
      <c r="A36" s="12" t="inlineStr">
        <is>
          <t>drv:영업활동현금흐름</t>
        </is>
      </c>
      <c r="B36" s="2" t="inlineStr">
        <is>
          <t>yoy</t>
        </is>
      </c>
      <c r="C36" t="inlineStr">
        <is>
          <t>영업활동현금흐름 YoY</t>
        </is>
      </c>
      <c r="E36" s="21" t="n"/>
      <c r="F36" s="22" t="n"/>
      <c r="G36" s="21" t="n"/>
      <c r="H36" s="21" t="n"/>
      <c r="I36" s="21" t="n"/>
      <c r="J36" s="21">
        <f>IFERROR(subQ!J28/subQ!E28-1,"")</f>
        <v/>
      </c>
      <c r="K36" s="22" t="n"/>
      <c r="L36" s="21">
        <f>IFERROR(subQ!L28/subQ!G28-1,"")</f>
        <v/>
      </c>
      <c r="M36" s="21">
        <f>IFERROR(subQ!M28/subQ!H28-1,"")</f>
        <v/>
      </c>
      <c r="N36" s="21">
        <f>IFERROR(subQ!N28/subQ!I28-1,"")</f>
        <v/>
      </c>
      <c r="O36" s="21">
        <f>IFERROR(subQ!O28/subQ!J28-1,"")</f>
        <v/>
      </c>
      <c r="P36" s="22" t="n"/>
      <c r="Q36" s="21">
        <f>IFERROR(subQ!Q28/subQ!L28-1,"")</f>
        <v/>
      </c>
      <c r="R36" s="23">
        <f>IFERROR(subQ!R28/subQ!M28-1,"")</f>
        <v/>
      </c>
      <c r="S36" s="32" t="n"/>
      <c r="T36" s="32" t="n"/>
      <c r="U36" s="25" t="n"/>
      <c r="V36" s="32" t="n"/>
      <c r="W36" s="32" t="n"/>
      <c r="X36" s="32" t="n"/>
      <c r="Y36" s="32" t="n"/>
      <c r="Z36" s="25" t="n"/>
      <c r="AA36" s="32" t="n"/>
      <c r="AB36" s="32" t="n"/>
      <c r="AC36" s="32" t="n"/>
      <c r="AD36" s="32" t="n"/>
      <c r="AE36" s="25" t="n"/>
    </row>
    <row r="37">
      <c r="A37" s="12" t="inlineStr">
        <is>
          <t>drv:주식수</t>
        </is>
      </c>
      <c r="B37" s="2" t="inlineStr">
        <is>
          <t>qoq</t>
        </is>
      </c>
      <c r="C37" t="inlineStr">
        <is>
          <t>주식수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3">
        <f>IFERROR(subQ!R29/subQ!Q29-1,"")</f>
        <v/>
      </c>
      <c r="S37" s="24" t="n">
        <v>0</v>
      </c>
      <c r="T37" s="24" t="n">
        <v>0</v>
      </c>
      <c r="U37" s="25" t="n"/>
      <c r="V37" s="24" t="n">
        <v>0</v>
      </c>
      <c r="W37" s="24" t="n">
        <v>0</v>
      </c>
      <c r="X37" s="24" t="n">
        <v>0</v>
      </c>
      <c r="Y37" s="24" t="n">
        <v>0</v>
      </c>
      <c r="Z37" s="25" t="n"/>
      <c r="AA37" s="24" t="n">
        <v>0</v>
      </c>
      <c r="AB37" s="24" t="n">
        <v>0</v>
      </c>
      <c r="AC37" s="24" t="n">
        <v>0</v>
      </c>
      <c r="AD37" s="24" t="n">
        <v>0</v>
      </c>
      <c r="AE37" s="25" t="n"/>
    </row>
    <row r="38">
      <c r="A38" s="12" t="inlineStr">
        <is>
          <t>drv:DPS</t>
        </is>
      </c>
      <c r="B38" s="2" t="inlineStr">
        <is>
          <t>abs</t>
        </is>
      </c>
      <c r="C38" t="inlineStr">
        <is>
          <t>DPS (가정, 원)</t>
        </is>
      </c>
      <c r="E38" s="27">
        <f>subQ!E32</f>
        <v/>
      </c>
      <c r="F38" s="28">
        <f>subQ!F32</f>
        <v/>
      </c>
      <c r="G38" s="27">
        <f>subQ!G32</f>
        <v/>
      </c>
      <c r="H38" s="27">
        <f>subQ!H32</f>
        <v/>
      </c>
      <c r="I38" s="27">
        <f>subQ!I32</f>
        <v/>
      </c>
      <c r="J38" s="27">
        <f>subQ!J32</f>
        <v/>
      </c>
      <c r="K38" s="28">
        <f>subQ!K32</f>
        <v/>
      </c>
      <c r="L38" s="27">
        <f>subQ!L32</f>
        <v/>
      </c>
      <c r="M38" s="27">
        <f>subQ!M32</f>
        <v/>
      </c>
      <c r="N38" s="27">
        <f>subQ!N32</f>
        <v/>
      </c>
      <c r="O38" s="27">
        <f>subQ!O32</f>
        <v/>
      </c>
      <c r="P38" s="28">
        <f>subQ!P32</f>
        <v/>
      </c>
      <c r="Q38" s="27">
        <f>subQ!Q32</f>
        <v/>
      </c>
      <c r="R38" s="29">
        <f>subQ!R32</f>
        <v/>
      </c>
      <c r="S38" s="33" t="n"/>
      <c r="T38" s="30" t="n">
        <v>130</v>
      </c>
      <c r="U38" s="31">
        <f>subQ!U32</f>
        <v/>
      </c>
      <c r="V38" s="33" t="n"/>
      <c r="W38" s="33" t="n"/>
      <c r="X38" s="33" t="n"/>
      <c r="Y38" s="30" t="n">
        <v>130</v>
      </c>
      <c r="Z38" s="31">
        <f>subQ!Z32</f>
        <v/>
      </c>
      <c r="AA38" s="33" t="n"/>
      <c r="AB38" s="33" t="n"/>
      <c r="AC38" s="33" t="n"/>
      <c r="AD38" s="30" t="n">
        <v>130</v>
      </c>
      <c r="AE38" s="31">
        <f>subQ!AE32</f>
        <v/>
      </c>
    </row>
    <row r="39">
      <c r="F39" s="9" t="n"/>
      <c r="K39" s="9" t="n"/>
      <c r="P39" s="9" t="n"/>
      <c r="R39" s="5" t="n"/>
      <c r="S39" s="10" t="n"/>
      <c r="T39" s="10" t="n"/>
      <c r="U39" s="11" t="n"/>
      <c r="V39" s="10" t="n"/>
      <c r="W39" s="10" t="n"/>
      <c r="X39" s="10" t="n"/>
      <c r="Y39" s="10" t="n"/>
      <c r="Z39" s="11" t="n"/>
      <c r="AA39" s="10" t="n"/>
      <c r="AB39" s="10" t="n"/>
      <c r="AC39" s="10" t="n"/>
      <c r="AD39" s="10" t="n"/>
      <c r="AE39" s="11" t="n"/>
    </row>
    <row r="40">
      <c r="B40" s="1" t="inlineStr">
        <is>
          <t>3. 밸류에이션·스칼라</t>
        </is>
      </c>
      <c r="C40" s="2" t="inlineStr">
        <is>
          <t>노란 셀 = 가정. '연결' 표시는 추정 전 분기 수식이 이 셀을 참조한다는 뜻</t>
        </is>
      </c>
      <c r="F40" s="9" t="n"/>
      <c r="K40" s="9" t="n"/>
      <c r="P40" s="9" t="n"/>
      <c r="R40" s="5" t="n"/>
      <c r="S40" s="10" t="n"/>
      <c r="T40" s="10" t="n"/>
      <c r="U40" s="11" t="n"/>
      <c r="V40" s="10" t="n"/>
      <c r="W40" s="10" t="n"/>
      <c r="X40" s="10" t="n"/>
      <c r="Y40" s="10" t="n"/>
      <c r="Z40" s="11" t="n"/>
      <c r="AA40" s="10" t="n"/>
      <c r="AB40" s="10" t="n"/>
      <c r="AC40" s="10" t="n"/>
      <c r="AD40" s="10" t="n"/>
      <c r="AE40" s="11" t="n"/>
    </row>
    <row r="41">
      <c r="A41" s="12" t="inlineStr">
        <is>
          <t>sc:종가</t>
        </is>
      </c>
      <c r="C41" t="inlineStr">
        <is>
          <t>종가</t>
        </is>
      </c>
      <c r="D41" s="34" t="n">
        <v>11470</v>
      </c>
      <c r="E41" s="2" t="inlineStr">
        <is>
          <t>원 — 네이버 정규장 종가(aik 확정종가 대조 · aik 11,000원)</t>
        </is>
      </c>
      <c r="F41" s="9" t="n"/>
      <c r="K41" s="9" t="n"/>
      <c r="P41" s="9" t="n"/>
      <c r="R41" s="5" t="n"/>
      <c r="S41" s="10" t="n"/>
      <c r="T41" s="10" t="n"/>
      <c r="U41" s="11" t="n"/>
      <c r="V41" s="10" t="n"/>
      <c r="W41" s="10" t="n"/>
      <c r="X41" s="10" t="n"/>
      <c r="Y41" s="10" t="n"/>
      <c r="Z41" s="11" t="n"/>
      <c r="AA41" s="10" t="n"/>
      <c r="AB41" s="10" t="n"/>
      <c r="AC41" s="10" t="n"/>
      <c r="AD41" s="10" t="n"/>
      <c r="AE41" s="11" t="n"/>
    </row>
    <row r="42">
      <c r="A42" s="12" t="inlineStr">
        <is>
          <t>sc:기준일</t>
        </is>
      </c>
      <c r="C42" t="inlineStr">
        <is>
          <t>기준일</t>
        </is>
      </c>
      <c r="D42" s="35" t="inlineStr">
        <is>
          <t>20261019</t>
        </is>
      </c>
      <c r="E42" s="2" t="inlineStr">
        <is>
          <t>종가 기준일</t>
        </is>
      </c>
      <c r="F42" s="9" t="n"/>
      <c r="K42" s="9" t="n"/>
      <c r="P42" s="9" t="n"/>
      <c r="R42" s="5" t="n"/>
      <c r="S42" s="10" t="n"/>
      <c r="T42" s="10" t="n"/>
      <c r="U42" s="11" t="n"/>
      <c r="V42" s="10" t="n"/>
      <c r="W42" s="10" t="n"/>
      <c r="X42" s="10" t="n"/>
      <c r="Y42" s="10" t="n"/>
      <c r="Z42" s="11" t="n"/>
      <c r="AA42" s="10" t="n"/>
      <c r="AB42" s="10" t="n"/>
      <c r="AC42" s="10" t="n"/>
      <c r="AD42" s="10" t="n"/>
      <c r="AE42" s="11" t="n"/>
    </row>
    <row r="43">
      <c r="A43" s="12" t="inlineStr">
        <is>
          <t>sc:COE</t>
        </is>
      </c>
      <c r="C43" t="inlineStr">
        <is>
          <t>COE</t>
        </is>
      </c>
      <c r="D43" s="24" t="n">
        <v>0.09</v>
      </c>
      <c r="E43" s="2" t="inlineStr">
        <is>
          <t>자기자본비용(가정) — TP 적정 PBR = ROE/COE</t>
        </is>
      </c>
      <c r="F43" s="9" t="n"/>
      <c r="K43" s="9" t="n"/>
      <c r="P43" s="9" t="n"/>
      <c r="R43" s="5" t="n"/>
      <c r="S43" s="10" t="n"/>
      <c r="T43" s="10" t="n"/>
      <c r="U43" s="11" t="n"/>
      <c r="V43" s="10" t="n"/>
      <c r="W43" s="10" t="n"/>
      <c r="X43" s="10" t="n"/>
      <c r="Y43" s="10" t="n"/>
      <c r="Z43" s="11" t="n"/>
      <c r="AA43" s="10" t="n"/>
      <c r="AB43" s="10" t="n"/>
      <c r="AC43" s="10" t="n"/>
      <c r="AD43" s="10" t="n"/>
      <c r="AE43" s="11" t="n"/>
    </row>
    <row r="44">
      <c r="A44" s="12" t="inlineStr">
        <is>
          <t>sc:PER_lo</t>
        </is>
      </c>
      <c r="C44" t="inlineStr">
        <is>
          <t>PER_lo</t>
        </is>
      </c>
      <c r="D44" s="30" t="n">
        <v>10</v>
      </c>
      <c r="E44" s="2" t="inlineStr">
        <is>
          <t>PER 밴드 하단(배) — sector_default(레퍼런스 TP_PE PB 예시 10/15/20배; 과거 PER 중위 31.3배가 캡 5~30 밖 — 턴어라운드 초기 TTM EPS 왜곡)</t>
        </is>
      </c>
      <c r="F44" s="9" t="n"/>
      <c r="K44" s="9" t="n"/>
      <c r="P44" s="9" t="n"/>
      <c r="R44" s="5" t="n"/>
      <c r="S44" s="10" t="n"/>
      <c r="T44" s="10" t="n"/>
      <c r="U44" s="11" t="n"/>
      <c r="V44" s="10" t="n"/>
      <c r="W44" s="10" t="n"/>
      <c r="X44" s="10" t="n"/>
      <c r="Y44" s="10" t="n"/>
      <c r="Z44" s="11" t="n"/>
      <c r="AA44" s="10" t="n"/>
      <c r="AB44" s="10" t="n"/>
      <c r="AC44" s="10" t="n"/>
      <c r="AD44" s="10" t="n"/>
      <c r="AE44" s="11" t="n"/>
    </row>
    <row r="45">
      <c r="A45" s="12" t="inlineStr">
        <is>
          <t>sc:PER_mid</t>
        </is>
      </c>
      <c r="C45" t="inlineStr">
        <is>
          <t>PER_mid</t>
        </is>
      </c>
      <c r="D45" s="30" t="n">
        <v>15</v>
      </c>
      <c r="E45" s="2" t="inlineStr">
        <is>
          <t>PER 밴드 중단(배)</t>
        </is>
      </c>
      <c r="F45" s="9" t="n"/>
      <c r="K45" s="9" t="n"/>
      <c r="P45" s="9" t="n"/>
      <c r="R45" s="5" t="n"/>
      <c r="S45" s="10" t="n"/>
      <c r="T45" s="10" t="n"/>
      <c r="U45" s="11" t="n"/>
      <c r="V45" s="10" t="n"/>
      <c r="W45" s="10" t="n"/>
      <c r="X45" s="10" t="n"/>
      <c r="Y45" s="10" t="n"/>
      <c r="Z45" s="11" t="n"/>
      <c r="AA45" s="10" t="n"/>
      <c r="AB45" s="10" t="n"/>
      <c r="AC45" s="10" t="n"/>
      <c r="AD45" s="10" t="n"/>
      <c r="AE45" s="11" t="n"/>
    </row>
    <row r="46">
      <c r="A46" s="12" t="inlineStr">
        <is>
          <t>sc:PER_hi</t>
        </is>
      </c>
      <c r="C46" t="inlineStr">
        <is>
          <t>PER_hi</t>
        </is>
      </c>
      <c r="D46" s="30" t="n">
        <v>20</v>
      </c>
      <c r="E46" s="2" t="inlineStr">
        <is>
          <t>PER 밴드 상단(배)</t>
        </is>
      </c>
      <c r="F46" s="9" t="n"/>
      <c r="K46" s="9" t="n"/>
      <c r="P46" s="9" t="n"/>
      <c r="R46" s="5" t="n"/>
      <c r="S46" s="10" t="n"/>
      <c r="T46" s="10" t="n"/>
      <c r="U46" s="11" t="n"/>
      <c r="V46" s="10" t="n"/>
      <c r="W46" s="10" t="n"/>
      <c r="X46" s="10" t="n"/>
      <c r="Y46" s="10" t="n"/>
      <c r="Z46" s="11" t="n"/>
      <c r="AA46" s="10" t="n"/>
      <c r="AB46" s="10" t="n"/>
      <c r="AC46" s="10" t="n"/>
      <c r="AD46" s="10" t="n"/>
      <c r="AE46" s="11" t="n"/>
    </row>
    <row r="47">
      <c r="A47" s="12" t="inlineStr">
        <is>
          <t>sc:EPS_Y1가중</t>
        </is>
      </c>
      <c r="C47" t="inlineStr">
        <is>
          <t>EPS_Y1가중</t>
        </is>
      </c>
      <c r="D47" s="24" t="n">
        <v>0.5</v>
      </c>
      <c r="E47" s="2" t="inlineStr">
        <is>
          <t>12M fwd EPS = FY(last_actual연도)E × w + FY+1E × (1−w) — 기준 분기 2Q 이면 0.5(가정)</t>
        </is>
      </c>
      <c r="F47" s="9" t="n"/>
      <c r="K47" s="9" t="n"/>
      <c r="P47" s="9" t="n"/>
      <c r="R47" s="5" t="n"/>
      <c r="S47" s="10" t="n"/>
      <c r="T47" s="10" t="n"/>
      <c r="U47" s="11" t="n"/>
      <c r="V47" s="10" t="n"/>
      <c r="W47" s="10" t="n"/>
      <c r="X47" s="10" t="n"/>
      <c r="Y47" s="10" t="n"/>
      <c r="Z47" s="11" t="n"/>
      <c r="AA47" s="10" t="n"/>
      <c r="AB47" s="10" t="n"/>
      <c r="AC47" s="10" t="n"/>
      <c r="AD47" s="10" t="n"/>
      <c r="AE47" s="11" t="n"/>
    </row>
    <row r="48">
      <c r="A48" s="12" t="inlineStr">
        <is>
          <t>sc:세율</t>
        </is>
      </c>
      <c r="C48" t="inlineStr">
        <is>
          <t>세율</t>
        </is>
      </c>
      <c r="D48" s="36" t="n">
        <v>0.1906212641240215</v>
      </c>
      <c r="E48" s="2" t="inlineStr">
        <is>
          <t>연결 — 법인세 = MAX(세전,0) × 세율(역산, 재현 오차 ≤ 0.05억 · 모델 assumptions 0.1906) · 최근 11분기 유효세율 19.1%(5~27% 안 — 그대로)</t>
        </is>
      </c>
      <c r="F48" s="9" t="n"/>
      <c r="K48" s="9" t="n"/>
      <c r="P48" s="9" t="n"/>
      <c r="R48" s="5" t="n"/>
      <c r="S48" s="10" t="n"/>
      <c r="T48" s="10" t="n"/>
      <c r="U48" s="11" t="n"/>
      <c r="V48" s="10" t="n"/>
      <c r="W48" s="10" t="n"/>
      <c r="X48" s="10" t="n"/>
      <c r="Y48" s="10" t="n"/>
      <c r="Z48" s="11" t="n"/>
      <c r="AA48" s="10" t="n"/>
      <c r="AB48" s="10" t="n"/>
      <c r="AC48" s="10" t="n"/>
      <c r="AD48" s="10" t="n"/>
      <c r="AE48" s="11" t="n"/>
    </row>
    <row r="49">
      <c r="A49" s="12" t="inlineStr">
        <is>
          <t>sc:판관비율</t>
        </is>
      </c>
      <c r="C49" t="inlineStr">
        <is>
          <t>판관비율</t>
        </is>
      </c>
      <c r="D49" s="36" t="n">
        <v>0.03759308734128065</v>
      </c>
      <c r="E49" s="2" t="inlineStr">
        <is>
          <t>연결 — 판관비 = 매출액 × 판관비율(역산, 재현 오차 ≤ 0.05억 · 모델 assumptions 0.0376)</t>
        </is>
      </c>
      <c r="F49" s="9" t="n"/>
      <c r="K49" s="9" t="n"/>
      <c r="P49" s="9" t="n"/>
      <c r="R49" s="5" t="n"/>
      <c r="S49" s="10" t="n"/>
      <c r="T49" s="10" t="n"/>
      <c r="U49" s="11" t="n"/>
      <c r="V49" s="10" t="n"/>
      <c r="W49" s="10" t="n"/>
      <c r="X49" s="10" t="n"/>
      <c r="Y49" s="10" t="n"/>
      <c r="Z49" s="11" t="n"/>
      <c r="AA49" s="10" t="n"/>
      <c r="AB49" s="10" t="n"/>
      <c r="AC49" s="10" t="n"/>
      <c r="AD49" s="10" t="n"/>
      <c r="AE49" s="11" t="n"/>
    </row>
    <row r="50">
      <c r="A50" s="12" t="inlineStr">
        <is>
          <t>sc:지배주주비중</t>
        </is>
      </c>
      <c r="C50" t="inlineStr">
        <is>
          <t>지배주주비중</t>
        </is>
      </c>
      <c r="D50" s="36" t="n">
        <v>1</v>
      </c>
      <c r="E50" s="2" t="inlineStr">
        <is>
          <t>연결 — 지배주주순이익 = 당기순이익 × 비중(역산, 재현 오차 ≤ 0.05억)</t>
        </is>
      </c>
      <c r="F50" s="9" t="n"/>
      <c r="K50" s="9" t="n"/>
      <c r="P50" s="9" t="n"/>
      <c r="R50" s="5" t="n"/>
      <c r="S50" s="10" t="n"/>
      <c r="T50" s="10" t="n"/>
      <c r="U50" s="11" t="n"/>
      <c r="V50" s="10" t="n"/>
      <c r="W50" s="10" t="n"/>
      <c r="X50" s="10" t="n"/>
      <c r="Y50" s="10" t="n"/>
      <c r="Z50" s="11" t="n"/>
      <c r="AA50" s="10" t="n"/>
      <c r="AB50" s="10" t="n"/>
      <c r="AC50" s="10" t="n"/>
      <c r="AD50" s="10" t="n"/>
      <c r="AE50" s="11" t="n"/>
    </row>
    <row r="51">
      <c r="A51" s="12" t="inlineStr">
        <is>
          <t>sc:이자율_자산</t>
        </is>
      </c>
      <c r="C51" t="inlineStr">
        <is>
          <t>이자율_자산</t>
        </is>
      </c>
      <c r="D51" s="36" t="n">
        <v>0.02142494935652891</v>
      </c>
      <c r="E51" s="2" t="inlineStr">
        <is>
          <t>연결 — 이자손익 = (전분기 이자발생자산 × 자산이자율 − 전분기 총차입금 × 부채이자율)/4(역산, 재현 오차 ≤ 0.05억 · 모델 assumptions 0.0215)</t>
        </is>
      </c>
      <c r="F51" s="9" t="n"/>
      <c r="K51" s="9" t="n"/>
      <c r="P51" s="9" t="n"/>
      <c r="R51" s="5" t="n"/>
      <c r="S51" s="10" t="n"/>
      <c r="T51" s="10" t="n"/>
      <c r="U51" s="11" t="n"/>
      <c r="V51" s="10" t="n"/>
      <c r="W51" s="10" t="n"/>
      <c r="X51" s="10" t="n"/>
      <c r="Y51" s="10" t="n"/>
      <c r="Z51" s="11" t="n"/>
      <c r="AA51" s="10" t="n"/>
      <c r="AB51" s="10" t="n"/>
      <c r="AC51" s="10" t="n"/>
      <c r="AD51" s="10" t="n"/>
      <c r="AE51" s="11" t="n"/>
    </row>
    <row r="52">
      <c r="A52" s="12" t="inlineStr">
        <is>
          <t>sc:이자율_부채</t>
        </is>
      </c>
      <c r="C52" t="inlineStr">
        <is>
          <t>이자율_부채</t>
        </is>
      </c>
      <c r="D52" s="36" t="n">
        <v>0.03985281764317002</v>
      </c>
      <c r="E52" s="2" t="inlineStr">
        <is>
          <t>연결 — 같은 수식의 부채 쪽(총차입금 행이 없으면 0)(역산, 재현 오차 ≤ 0.05억 · 모델 assumptions 0.04)</t>
        </is>
      </c>
      <c r="F52" s="9" t="n"/>
      <c r="K52" s="9" t="n"/>
      <c r="P52" s="9" t="n"/>
      <c r="R52" s="5" t="n"/>
      <c r="S52" s="10" t="n"/>
      <c r="T52" s="10" t="n"/>
      <c r="U52" s="11" t="n"/>
      <c r="V52" s="10" t="n"/>
      <c r="W52" s="10" t="n"/>
      <c r="X52" s="10" t="n"/>
      <c r="Y52" s="10" t="n"/>
      <c r="Z52" s="11" t="n"/>
      <c r="AA52" s="10" t="n"/>
      <c r="AB52" s="10" t="n"/>
      <c r="AC52" s="10" t="n"/>
      <c r="AD52" s="10" t="n"/>
      <c r="AE52" s="11" t="n"/>
    </row>
    <row r="53">
      <c r="A53" s="12" t="inlineStr">
        <is>
          <t>sc:배당성향</t>
        </is>
      </c>
      <c r="C53" t="inlineStr">
        <is>
          <t>배당성향</t>
        </is>
      </c>
      <c r="D53" s="24" t="n">
        <v>0.2157</v>
      </c>
      <c r="E53" s="2" t="inlineStr">
        <is>
          <t>배당성향(참고 — 모델은 직전 DPS 유지·Q2 지급 가정)</t>
        </is>
      </c>
      <c r="F53" s="9" t="n"/>
      <c r="K53" s="9" t="n"/>
      <c r="P53" s="9" t="n"/>
      <c r="R53" s="5" t="n"/>
      <c r="S53" s="10" t="n"/>
      <c r="T53" s="10" t="n"/>
      <c r="U53" s="11" t="n"/>
      <c r="V53" s="10" t="n"/>
      <c r="W53" s="10" t="n"/>
      <c r="X53" s="10" t="n"/>
      <c r="Y53" s="10" t="n"/>
      <c r="Z53" s="11" t="n"/>
      <c r="AA53" s="10" t="n"/>
      <c r="AB53" s="10" t="n"/>
      <c r="AC53" s="10" t="n"/>
      <c r="AD53" s="10" t="n"/>
      <c r="AE53" s="11" t="n"/>
    </row>
    <row r="54">
      <c r="A54" s="12" t="inlineStr">
        <is>
          <t>sc:외화순노출_백만$</t>
        </is>
      </c>
      <c r="C54" t="inlineStr">
        <is>
          <t>외화순노출_백만$</t>
        </is>
      </c>
      <c r="D54" s="30" t="n"/>
      <c r="E54" s="2" t="inlineStr">
        <is>
          <t>외화 순노출 × Δ기말환율 (외화 시트 방식) — 외화 순노출 미공시(face) → 0 + 표기</t>
        </is>
      </c>
      <c r="F54" s="9" t="n"/>
      <c r="K54" s="9" t="n"/>
      <c r="P54" s="9" t="n"/>
      <c r="R54" s="5" t="n"/>
      <c r="S54" s="10" t="n"/>
      <c r="T54" s="10" t="n"/>
      <c r="U54" s="11" t="n"/>
      <c r="V54" s="10" t="n"/>
      <c r="W54" s="10" t="n"/>
      <c r="X54" s="10" t="n"/>
      <c r="Y54" s="10" t="n"/>
      <c r="Z54" s="11" t="n"/>
      <c r="AA54" s="10" t="n"/>
      <c r="AB54" s="10" t="n"/>
      <c r="AC54" s="10" t="n"/>
      <c r="AD54" s="10" t="n"/>
      <c r="AE54" s="11" t="n"/>
    </row>
    <row r="55">
      <c r="A55" s="12" t="inlineStr">
        <is>
          <t>sc:헤지비율</t>
        </is>
      </c>
      <c r="C55" t="inlineStr">
        <is>
          <t>헤지비율</t>
        </is>
      </c>
      <c r="D55" s="24" t="n"/>
      <c r="E55" s="2" t="inlineStr">
        <is>
          <t>sls 없음</t>
        </is>
      </c>
      <c r="F55" s="9" t="n"/>
      <c r="K55" s="9" t="n"/>
      <c r="P55" s="9" t="n"/>
      <c r="R55" s="5" t="n"/>
      <c r="S55" s="10" t="n"/>
      <c r="T55" s="10" t="n"/>
      <c r="U55" s="11" t="n"/>
      <c r="V55" s="10" t="n"/>
      <c r="W55" s="10" t="n"/>
      <c r="X55" s="10" t="n"/>
      <c r="Y55" s="10" t="n"/>
      <c r="Z55" s="11" t="n"/>
      <c r="AA55" s="10" t="n"/>
      <c r="AB55" s="10" t="n"/>
      <c r="AC55" s="10" t="n"/>
      <c r="AD55" s="10" t="n"/>
      <c r="AE55" s="11" t="n"/>
    </row>
    <row r="56">
      <c r="A56" s="12" t="inlineStr">
        <is>
          <t>sc:헤지환율_약정</t>
        </is>
      </c>
      <c r="C56" t="inlineStr">
        <is>
          <t>헤지환율_약정</t>
        </is>
      </c>
      <c r="D56" s="16" t="n"/>
      <c r="E56" s="2" t="inlineStr">
        <is>
          <t>sls 없음</t>
        </is>
      </c>
      <c r="F56" s="9" t="n"/>
      <c r="K56" s="9" t="n"/>
      <c r="P56" s="9" t="n"/>
      <c r="R56" s="5" t="n"/>
      <c r="S56" s="10" t="n"/>
      <c r="T56" s="10" t="n"/>
      <c r="U56" s="11" t="n"/>
      <c r="V56" s="10" t="n"/>
      <c r="W56" s="10" t="n"/>
      <c r="X56" s="10" t="n"/>
      <c r="Y56" s="10" t="n"/>
      <c r="Z56" s="11" t="n"/>
      <c r="AA56" s="10" t="n"/>
      <c r="AB56" s="10" t="n"/>
      <c r="AC56" s="10" t="n"/>
      <c r="AD56" s="10" t="n"/>
      <c r="AE56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4Q23</t>
        </is>
      </c>
      <c r="F1" s="3" t="n">
        <v>2023</v>
      </c>
      <c r="G1" s="3" t="inlineStr">
        <is>
          <t>1Q24</t>
        </is>
      </c>
      <c r="H1" s="3" t="inlineStr">
        <is>
          <t>2Q24</t>
        </is>
      </c>
      <c r="I1" s="3" t="inlineStr">
        <is>
          <t>3Q24</t>
        </is>
      </c>
      <c r="J1" s="3" t="inlineStr">
        <is>
          <t>4Q24</t>
        </is>
      </c>
      <c r="K1" s="3" t="n">
        <v>2024</v>
      </c>
      <c r="L1" s="3" t="inlineStr">
        <is>
          <t>1Q25</t>
        </is>
      </c>
      <c r="M1" s="3" t="inlineStr">
        <is>
          <t>2Q25</t>
        </is>
      </c>
      <c r="N1" s="3" t="inlineStr">
        <is>
          <t>3Q25</t>
        </is>
      </c>
      <c r="O1" s="3" t="inlineStr">
        <is>
          <t>4Q25</t>
        </is>
      </c>
      <c r="P1" s="3" t="n">
        <v>2025</v>
      </c>
      <c r="Q1" s="3" t="inlineStr">
        <is>
          <t>1Q26</t>
        </is>
      </c>
      <c r="R1" s="4" t="inlineStr">
        <is>
          <t>2Q26</t>
        </is>
      </c>
      <c r="S1" s="3" t="inlineStr">
        <is>
          <t>3Q26</t>
        </is>
      </c>
      <c r="T1" s="3" t="inlineStr">
        <is>
          <t>4Q26</t>
        </is>
      </c>
      <c r="U1" s="3" t="n">
        <v>2026</v>
      </c>
      <c r="V1" s="3" t="inlineStr">
        <is>
          <t>1Q27</t>
        </is>
      </c>
      <c r="W1" s="3" t="inlineStr">
        <is>
          <t>2Q27</t>
        </is>
      </c>
      <c r="X1" s="3" t="inlineStr">
        <is>
          <t>3Q27</t>
        </is>
      </c>
      <c r="Y1" s="3" t="inlineStr">
        <is>
          <t>4Q27</t>
        </is>
      </c>
      <c r="Z1" s="3" t="n">
        <v>2027</v>
      </c>
      <c r="AA1" s="3" t="inlineStr">
        <is>
          <t>1Q28</t>
        </is>
      </c>
      <c r="AB1" s="3" t="inlineStr">
        <is>
          <t>2Q28</t>
        </is>
      </c>
      <c r="AC1" s="3" t="inlineStr">
        <is>
          <t>3Q28</t>
        </is>
      </c>
      <c r="AD1" s="3" t="inlineStr">
        <is>
          <t>4Q28</t>
        </is>
      </c>
      <c r="AE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R2" s="5" t="n"/>
    </row>
    <row r="3">
      <c r="B3" t="inlineStr">
        <is>
          <t>현대힘스(연)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6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2023.12</t>
        </is>
      </c>
      <c r="F4" s="7" t="inlineStr">
        <is>
          <t>2023.12A</t>
        </is>
      </c>
      <c r="G4" s="7" t="inlineStr">
        <is>
          <t>2024.03</t>
        </is>
      </c>
      <c r="H4" s="7" t="inlineStr">
        <is>
          <t>2024.06</t>
        </is>
      </c>
      <c r="I4" s="7" t="inlineStr">
        <is>
          <t>2024.09</t>
        </is>
      </c>
      <c r="J4" s="7" t="inlineStr">
        <is>
          <t>2024.12</t>
        </is>
      </c>
      <c r="K4" s="7" t="inlineStr">
        <is>
          <t>2024.12A</t>
        </is>
      </c>
      <c r="L4" s="7" t="inlineStr">
        <is>
          <t>2025.03</t>
        </is>
      </c>
      <c r="M4" s="7" t="inlineStr">
        <is>
          <t>2025.06</t>
        </is>
      </c>
      <c r="N4" s="7" t="inlineStr">
        <is>
          <t>2025.09</t>
        </is>
      </c>
      <c r="O4" s="7" t="inlineStr">
        <is>
          <t>2025.12</t>
        </is>
      </c>
      <c r="P4" s="7" t="inlineStr">
        <is>
          <t>2025.12A</t>
        </is>
      </c>
      <c r="Q4" s="7" t="inlineStr">
        <is>
          <t>2026.03</t>
        </is>
      </c>
      <c r="R4" s="8" t="inlineStr">
        <is>
          <t>2026.06</t>
        </is>
      </c>
      <c r="S4" s="7" t="inlineStr">
        <is>
          <t>2026.09</t>
        </is>
      </c>
      <c r="T4" s="7" t="inlineStr">
        <is>
          <t>2026.12</t>
        </is>
      </c>
      <c r="U4" s="7" t="inlineStr">
        <is>
          <t>2026.12A</t>
        </is>
      </c>
      <c r="V4" s="7" t="inlineStr">
        <is>
          <t>2027.03</t>
        </is>
      </c>
      <c r="W4" s="7" t="inlineStr">
        <is>
          <t>2027.06</t>
        </is>
      </c>
      <c r="X4" s="7" t="inlineStr">
        <is>
          <t>2027.09</t>
        </is>
      </c>
      <c r="Y4" s="7" t="inlineStr">
        <is>
          <t>2027.12</t>
        </is>
      </c>
      <c r="Z4" s="7" t="inlineStr">
        <is>
          <t>2027.12A</t>
        </is>
      </c>
      <c r="AA4" s="7" t="inlineStr">
        <is>
          <t>2028.03</t>
        </is>
      </c>
      <c r="AB4" s="7" t="inlineStr">
        <is>
          <t>2028.06</t>
        </is>
      </c>
      <c r="AC4" s="7" t="inlineStr">
        <is>
          <t>2028.09</t>
        </is>
      </c>
      <c r="AD4" s="7" t="inlineStr">
        <is>
          <t>2028.12</t>
        </is>
      </c>
      <c r="AE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45057.51</v>
      </c>
      <c r="F5" s="37" t="n">
        <v>45057.51</v>
      </c>
      <c r="G5" s="18" t="n">
        <v>84838.45</v>
      </c>
      <c r="H5" s="18" t="n">
        <v>92716.28</v>
      </c>
      <c r="I5" s="18" t="n">
        <v>67685.72</v>
      </c>
      <c r="J5" s="18" t="n">
        <v>72618.60000000001</v>
      </c>
      <c r="K5" s="37" t="n">
        <v>72618.60000000001</v>
      </c>
      <c r="L5" s="18" t="n">
        <v>76856.5</v>
      </c>
      <c r="M5" s="18" t="n">
        <v>78540.06</v>
      </c>
      <c r="N5" s="18" t="n">
        <v>80587.74000000001</v>
      </c>
      <c r="O5" s="18" t="n">
        <v>85865.98</v>
      </c>
      <c r="P5" s="37" t="n">
        <v>85865.98</v>
      </c>
      <c r="Q5" s="18" t="n">
        <v>87014.83</v>
      </c>
      <c r="R5" s="19" t="n">
        <v>91892.31</v>
      </c>
      <c r="S5" s="10" t="n"/>
      <c r="T5" s="10" t="n"/>
      <c r="U5" s="11" t="n"/>
      <c r="V5" s="10" t="n"/>
      <c r="W5" s="10" t="n"/>
      <c r="X5" s="10" t="n"/>
      <c r="Y5" s="10" t="n"/>
      <c r="Z5" s="11" t="n"/>
      <c r="AA5" s="10" t="n"/>
      <c r="AB5" s="10" t="n"/>
      <c r="AC5" s="10" t="n"/>
      <c r="AD5" s="10" t="n"/>
      <c r="AE5" s="11" t="n"/>
    </row>
    <row r="6">
      <c r="A6" t="n">
        <v>1</v>
      </c>
      <c r="C6" t="inlineStr">
        <is>
          <t>현금및현금성자산</t>
        </is>
      </c>
      <c r="E6" s="18" t="n">
        <v>6483.61</v>
      </c>
      <c r="F6" s="37" t="n">
        <v>6483.61</v>
      </c>
      <c r="G6" s="18" t="n">
        <v>23353.22</v>
      </c>
      <c r="H6" s="18" t="n">
        <v>40086.39</v>
      </c>
      <c r="I6" s="18" t="n">
        <v>28348.53</v>
      </c>
      <c r="J6" s="18" t="n">
        <v>36765.38</v>
      </c>
      <c r="K6" s="37" t="n">
        <v>36765.38</v>
      </c>
      <c r="L6" s="18" t="n">
        <v>39928.09</v>
      </c>
      <c r="M6" s="18" t="n">
        <v>35142.46</v>
      </c>
      <c r="N6" s="18" t="n">
        <v>32177.49</v>
      </c>
      <c r="O6" s="18" t="n">
        <v>33438.64</v>
      </c>
      <c r="P6" s="37" t="n">
        <v>33438.64</v>
      </c>
      <c r="Q6" s="18" t="n">
        <v>42154.45</v>
      </c>
      <c r="R6" s="19" t="n">
        <v>43421.91</v>
      </c>
      <c r="S6" s="10" t="n"/>
      <c r="T6" s="10" t="n"/>
      <c r="U6" s="11" t="n"/>
      <c r="V6" s="10" t="n"/>
      <c r="W6" s="10" t="n"/>
      <c r="X6" s="10" t="n"/>
      <c r="Y6" s="10" t="n"/>
      <c r="Z6" s="11" t="n"/>
      <c r="AA6" s="10" t="n"/>
      <c r="AB6" s="10" t="n"/>
      <c r="AC6" s="10" t="n"/>
      <c r="AD6" s="10" t="n"/>
      <c r="AE6" s="11" t="n"/>
    </row>
    <row r="7">
      <c r="A7" t="n">
        <v>1</v>
      </c>
      <c r="C7" t="inlineStr">
        <is>
          <t>단기금융상품</t>
        </is>
      </c>
      <c r="E7" s="18" t="n">
        <v>500</v>
      </c>
      <c r="F7" s="37" t="n">
        <v>500</v>
      </c>
      <c r="G7" s="18" t="n">
        <v>21948.85</v>
      </c>
      <c r="H7" s="18" t="n">
        <v>18627.12</v>
      </c>
      <c r="I7" s="18" t="n">
        <v>3630.54</v>
      </c>
      <c r="J7" s="18" t="n">
        <v>651.96</v>
      </c>
      <c r="K7" s="37" t="n">
        <v>651.96</v>
      </c>
      <c r="L7" s="18" t="n">
        <v>651.96</v>
      </c>
      <c r="M7" s="18" t="n">
        <v>6675.04</v>
      </c>
      <c r="N7" s="18" t="n">
        <v>10635.59</v>
      </c>
      <c r="O7" s="18" t="n">
        <v>6651.96</v>
      </c>
      <c r="P7" s="37" t="n">
        <v>6651.96</v>
      </c>
      <c r="Q7" s="18" t="n">
        <v>161.66</v>
      </c>
      <c r="R7" s="19" t="n">
        <v>3017.03</v>
      </c>
      <c r="S7" s="10" t="n"/>
      <c r="T7" s="10" t="n"/>
      <c r="U7" s="11" t="n"/>
      <c r="V7" s="10" t="n"/>
      <c r="W7" s="10" t="n"/>
      <c r="X7" s="10" t="n"/>
      <c r="Y7" s="10" t="n"/>
      <c r="Z7" s="11" t="n"/>
      <c r="AA7" s="10" t="n"/>
      <c r="AB7" s="10" t="n"/>
      <c r="AC7" s="10" t="n"/>
      <c r="AD7" s="10" t="n"/>
      <c r="AE7" s="11" t="n"/>
    </row>
    <row r="8">
      <c r="A8" t="n">
        <v>1</v>
      </c>
      <c r="C8" t="inlineStr">
        <is>
          <t>단기금융자산</t>
        </is>
      </c>
      <c r="E8" s="18" t="n">
        <v>500</v>
      </c>
      <c r="F8" s="37" t="n">
        <v>500</v>
      </c>
      <c r="G8" s="18" t="n">
        <v>21948.85</v>
      </c>
      <c r="H8" s="18" t="n">
        <v>18627.12</v>
      </c>
      <c r="I8" s="18" t="n">
        <v>3630.54</v>
      </c>
      <c r="J8" s="18" t="n">
        <v>651.96</v>
      </c>
      <c r="K8" s="37" t="n">
        <v>651.96</v>
      </c>
      <c r="L8" s="18" t="n">
        <v>651.96</v>
      </c>
      <c r="M8" s="18" t="n">
        <v>6675.04</v>
      </c>
      <c r="N8" s="18" t="n">
        <v>10635.59</v>
      </c>
      <c r="O8" s="18" t="n">
        <v>6651.96</v>
      </c>
      <c r="P8" s="37" t="n">
        <v>6651.96</v>
      </c>
      <c r="Q8" s="18" t="n">
        <v>161.66</v>
      </c>
      <c r="R8" s="19" t="n">
        <v>3017.03</v>
      </c>
      <c r="S8" s="10" t="n"/>
      <c r="T8" s="10" t="n"/>
      <c r="U8" s="11" t="n"/>
      <c r="V8" s="10" t="n"/>
      <c r="W8" s="10" t="n"/>
      <c r="X8" s="10" t="n"/>
      <c r="Y8" s="10" t="n"/>
      <c r="Z8" s="11" t="n"/>
      <c r="AA8" s="10" t="n"/>
      <c r="AB8" s="10" t="n"/>
      <c r="AC8" s="10" t="n"/>
      <c r="AD8" s="10" t="n"/>
      <c r="AE8" s="11" t="n"/>
    </row>
    <row r="9">
      <c r="A9" t="n">
        <v>1</v>
      </c>
      <c r="C9" t="inlineStr">
        <is>
          <t>매출채권및기타채권</t>
        </is>
      </c>
      <c r="E9" s="18" t="n">
        <v>13247.97</v>
      </c>
      <c r="F9" s="37" t="n">
        <v>13247.97</v>
      </c>
      <c r="G9" s="18" t="n">
        <v>16515.07</v>
      </c>
      <c r="H9" s="18" t="n">
        <v>12583.79</v>
      </c>
      <c r="I9" s="18" t="n">
        <v>14893.2</v>
      </c>
      <c r="J9" s="18" t="n">
        <v>13451.5</v>
      </c>
      <c r="K9" s="37" t="n">
        <v>13451.5</v>
      </c>
      <c r="L9" s="18" t="n">
        <v>15612.81</v>
      </c>
      <c r="M9" s="18" t="n">
        <v>15164.72</v>
      </c>
      <c r="N9" s="18" t="n">
        <v>11556.05</v>
      </c>
      <c r="O9" s="18" t="n">
        <v>16456.06</v>
      </c>
      <c r="P9" s="37" t="n">
        <v>16456.06</v>
      </c>
      <c r="Q9" s="18" t="n">
        <v>15908.38</v>
      </c>
      <c r="R9" s="19" t="n">
        <v>16649.14</v>
      </c>
      <c r="S9" s="10" t="n"/>
      <c r="T9" s="10" t="n"/>
      <c r="U9" s="11" t="n"/>
      <c r="V9" s="10" t="n"/>
      <c r="W9" s="10" t="n"/>
      <c r="X9" s="10" t="n"/>
      <c r="Y9" s="10" t="n"/>
      <c r="Z9" s="11" t="n"/>
      <c r="AA9" s="10" t="n"/>
      <c r="AB9" s="10" t="n"/>
      <c r="AC9" s="10" t="n"/>
      <c r="AD9" s="10" t="n"/>
      <c r="AE9" s="11" t="n"/>
    </row>
    <row r="10">
      <c r="A10" t="n">
        <v>1</v>
      </c>
      <c r="C10" t="inlineStr">
        <is>
          <t>재고자산</t>
        </is>
      </c>
      <c r="E10" s="18" t="n">
        <v>24644.44</v>
      </c>
      <c r="F10" s="37" t="n">
        <v>24644.44</v>
      </c>
      <c r="G10" s="18" t="n">
        <v>22316.4</v>
      </c>
      <c r="H10" s="18" t="n">
        <v>20787.96</v>
      </c>
      <c r="I10" s="18" t="n">
        <v>20178.03</v>
      </c>
      <c r="J10" s="18" t="n">
        <v>21526.02</v>
      </c>
      <c r="K10" s="37" t="n">
        <v>21526.02</v>
      </c>
      <c r="L10" s="18" t="n">
        <v>19197.14</v>
      </c>
      <c r="M10" s="18" t="n">
        <v>20457.06</v>
      </c>
      <c r="N10" s="18" t="n">
        <v>23367.51</v>
      </c>
      <c r="O10" s="18" t="n">
        <v>22974.81</v>
      </c>
      <c r="P10" s="37" t="n">
        <v>22974.81</v>
      </c>
      <c r="Q10" s="18" t="n">
        <v>23368.1</v>
      </c>
      <c r="R10" s="19" t="n">
        <v>22458.02</v>
      </c>
      <c r="S10" s="10" t="n"/>
      <c r="T10" s="10" t="n"/>
      <c r="U10" s="11" t="n"/>
      <c r="V10" s="10" t="n"/>
      <c r="W10" s="10" t="n"/>
      <c r="X10" s="10" t="n"/>
      <c r="Y10" s="10" t="n"/>
      <c r="Z10" s="11" t="n"/>
      <c r="AA10" s="10" t="n"/>
      <c r="AB10" s="10" t="n"/>
      <c r="AC10" s="10" t="n"/>
      <c r="AD10" s="10" t="n"/>
      <c r="AE10" s="11" t="n"/>
    </row>
    <row r="11">
      <c r="A11" t="n">
        <v>1</v>
      </c>
      <c r="C11" t="inlineStr">
        <is>
          <t>당기법인세자산(선급법인세)</t>
        </is>
      </c>
      <c r="E11" s="18" t="n">
        <v>2.54</v>
      </c>
      <c r="F11" s="37" t="n">
        <v>2.54</v>
      </c>
      <c r="G11" s="18" t="n">
        <v>3.1</v>
      </c>
      <c r="H11" s="18" t="n">
        <v>3.21</v>
      </c>
      <c r="I11" s="18" t="n">
        <v>4.24</v>
      </c>
      <c r="K11" s="9" t="n"/>
      <c r="O11" s="18" t="n">
        <v>13</v>
      </c>
      <c r="P11" s="37" t="n">
        <v>13</v>
      </c>
      <c r="Q11" s="18" t="n">
        <v>13</v>
      </c>
      <c r="R11" s="19" t="n">
        <v>0</v>
      </c>
      <c r="S11" s="10" t="n"/>
      <c r="T11" s="10" t="n"/>
      <c r="U11" s="11" t="n"/>
      <c r="V11" s="10" t="n"/>
      <c r="W11" s="10" t="n"/>
      <c r="X11" s="10" t="n"/>
      <c r="Y11" s="10" t="n"/>
      <c r="Z11" s="11" t="n"/>
      <c r="AA11" s="10" t="n"/>
      <c r="AB11" s="10" t="n"/>
      <c r="AC11" s="10" t="n"/>
      <c r="AD11" s="10" t="n"/>
      <c r="AE11" s="11" t="n"/>
    </row>
    <row r="12">
      <c r="A12" t="n">
        <v>1</v>
      </c>
      <c r="C12" t="inlineStr">
        <is>
          <t>기타유동자산</t>
        </is>
      </c>
      <c r="E12" s="18" t="n">
        <v>178.94</v>
      </c>
      <c r="F12" s="37" t="n">
        <v>178.94</v>
      </c>
      <c r="G12" s="18" t="n">
        <v>701.8099999999999</v>
      </c>
      <c r="H12" s="18" t="n">
        <v>627.8200000000001</v>
      </c>
      <c r="I12" s="18" t="n">
        <v>631.17</v>
      </c>
      <c r="J12" s="18" t="n">
        <v>223.74</v>
      </c>
      <c r="K12" s="37" t="n">
        <v>223.74</v>
      </c>
      <c r="L12" s="18" t="n">
        <v>1466.5</v>
      </c>
      <c r="M12" s="18" t="n">
        <v>1100.79</v>
      </c>
      <c r="N12" s="18" t="n">
        <v>2851.1</v>
      </c>
      <c r="O12" s="18" t="n">
        <v>2476.97</v>
      </c>
      <c r="P12" s="37" t="n">
        <v>2476.97</v>
      </c>
      <c r="Q12" s="18" t="n">
        <v>2914.96</v>
      </c>
      <c r="R12" s="19" t="n">
        <v>3851.92</v>
      </c>
      <c r="S12" s="10" t="n"/>
      <c r="T12" s="10" t="n"/>
      <c r="U12" s="11" t="n"/>
      <c r="V12" s="10" t="n"/>
      <c r="W12" s="10" t="n"/>
      <c r="X12" s="10" t="n"/>
      <c r="Y12" s="10" t="n"/>
      <c r="Z12" s="11" t="n"/>
      <c r="AA12" s="10" t="n"/>
      <c r="AB12" s="10" t="n"/>
      <c r="AC12" s="10" t="n"/>
      <c r="AD12" s="10" t="n"/>
      <c r="AE12" s="11" t="n"/>
    </row>
    <row r="13">
      <c r="A13" t="n">
        <v>1</v>
      </c>
      <c r="C13" t="inlineStr">
        <is>
          <t>비유동자산</t>
        </is>
      </c>
      <c r="E13" s="18" t="n">
        <v>205426.24</v>
      </c>
      <c r="F13" s="37" t="n">
        <v>205426.24</v>
      </c>
      <c r="G13" s="18" t="n">
        <v>233040.91</v>
      </c>
      <c r="H13" s="18" t="n">
        <v>230839.69</v>
      </c>
      <c r="I13" s="18" t="n">
        <v>253434.94</v>
      </c>
      <c r="J13" s="18" t="n">
        <v>253913.36</v>
      </c>
      <c r="K13" s="37" t="n">
        <v>253913.36</v>
      </c>
      <c r="L13" s="18" t="n">
        <v>251055.09</v>
      </c>
      <c r="M13" s="18" t="n">
        <v>253269.84</v>
      </c>
      <c r="N13" s="18" t="n">
        <v>252602.14</v>
      </c>
      <c r="O13" s="18" t="n">
        <v>247491.65</v>
      </c>
      <c r="P13" s="37" t="n">
        <v>247491.65</v>
      </c>
      <c r="Q13" s="18" t="n">
        <v>245254.98</v>
      </c>
      <c r="R13" s="19" t="n">
        <v>242377.39</v>
      </c>
      <c r="S13" s="10" t="n"/>
      <c r="T13" s="10" t="n"/>
      <c r="U13" s="11" t="n"/>
      <c r="V13" s="10" t="n"/>
      <c r="W13" s="10" t="n"/>
      <c r="X13" s="10" t="n"/>
      <c r="Y13" s="10" t="n"/>
      <c r="Z13" s="11" t="n"/>
      <c r="AA13" s="10" t="n"/>
      <c r="AB13" s="10" t="n"/>
      <c r="AC13" s="10" t="n"/>
      <c r="AD13" s="10" t="n"/>
      <c r="AE13" s="11" t="n"/>
    </row>
    <row r="14">
      <c r="A14" t="n">
        <v>1</v>
      </c>
      <c r="C14" t="inlineStr">
        <is>
          <t>장기매출채권및기타채권</t>
        </is>
      </c>
      <c r="E14" s="18" t="n">
        <v>180.2</v>
      </c>
      <c r="F14" s="37" t="n">
        <v>180.2</v>
      </c>
      <c r="G14" s="18" t="n">
        <v>474.9</v>
      </c>
      <c r="H14" s="18" t="n">
        <v>445.02</v>
      </c>
      <c r="K14" s="9" t="n"/>
      <c r="N14" s="18" t="n">
        <v>116.66</v>
      </c>
      <c r="O14" s="18" t="n">
        <v>150.37</v>
      </c>
      <c r="P14" s="37" t="n">
        <v>150.37</v>
      </c>
      <c r="Q14" s="18" t="n">
        <v>444.37</v>
      </c>
      <c r="R14" s="19" t="n">
        <v>454.37</v>
      </c>
      <c r="S14" s="10" t="n"/>
      <c r="T14" s="10" t="n"/>
      <c r="U14" s="11" t="n"/>
      <c r="V14" s="10" t="n"/>
      <c r="W14" s="10" t="n"/>
      <c r="X14" s="10" t="n"/>
      <c r="Y14" s="10" t="n"/>
      <c r="Z14" s="11" t="n"/>
      <c r="AA14" s="10" t="n"/>
      <c r="AB14" s="10" t="n"/>
      <c r="AC14" s="10" t="n"/>
      <c r="AD14" s="10" t="n"/>
      <c r="AE14" s="11" t="n"/>
    </row>
    <row r="15">
      <c r="A15" t="n">
        <v>1</v>
      </c>
      <c r="C15" t="inlineStr">
        <is>
          <t>장기금융자산</t>
        </is>
      </c>
      <c r="E15" s="18" t="n">
        <v>26.04</v>
      </c>
      <c r="F15" s="37" t="n">
        <v>26.04</v>
      </c>
      <c r="G15" s="18" t="n">
        <v>27.87</v>
      </c>
      <c r="H15" s="18" t="n">
        <v>29.55</v>
      </c>
      <c r="I15" s="18" t="n">
        <v>31.23</v>
      </c>
      <c r="J15" s="18" t="n">
        <v>29.87</v>
      </c>
      <c r="K15" s="37" t="n">
        <v>29.87</v>
      </c>
      <c r="L15" s="18" t="n">
        <v>31.47</v>
      </c>
      <c r="M15" s="18" t="n">
        <v>33.07</v>
      </c>
      <c r="N15" s="18" t="n">
        <v>31.7</v>
      </c>
      <c r="O15" s="18" t="n">
        <v>25.39</v>
      </c>
      <c r="P15" s="37" t="n">
        <v>25.39</v>
      </c>
      <c r="Q15" s="18" t="n">
        <v>22.86</v>
      </c>
      <c r="R15" s="19" t="n">
        <v>24.08</v>
      </c>
      <c r="S15" s="10" t="n"/>
      <c r="T15" s="10" t="n"/>
      <c r="U15" s="11" t="n"/>
      <c r="V15" s="10" t="n"/>
      <c r="W15" s="10" t="n"/>
      <c r="X15" s="10" t="n"/>
      <c r="Y15" s="10" t="n"/>
      <c r="Z15" s="11" t="n"/>
      <c r="AA15" s="10" t="n"/>
      <c r="AB15" s="10" t="n"/>
      <c r="AC15" s="10" t="n"/>
      <c r="AD15" s="10" t="n"/>
      <c r="AE15" s="11" t="n"/>
    </row>
    <row r="16">
      <c r="A16" t="n">
        <v>1</v>
      </c>
      <c r="C16" t="inlineStr">
        <is>
          <t>투자자산</t>
        </is>
      </c>
      <c r="E16" s="18" t="n">
        <v>26.04</v>
      </c>
      <c r="F16" s="37" t="n">
        <v>26.04</v>
      </c>
      <c r="G16" s="18" t="n">
        <v>27.87</v>
      </c>
      <c r="H16" s="18" t="n">
        <v>29.55</v>
      </c>
      <c r="I16" s="18" t="n">
        <v>31.23</v>
      </c>
      <c r="J16" s="18" t="n">
        <v>29.87</v>
      </c>
      <c r="K16" s="37" t="n">
        <v>29.87</v>
      </c>
      <c r="L16" s="18" t="n">
        <v>31.47</v>
      </c>
      <c r="M16" s="18" t="n">
        <v>33.07</v>
      </c>
      <c r="N16" s="18" t="n">
        <v>31.7</v>
      </c>
      <c r="O16" s="18" t="n">
        <v>25.39</v>
      </c>
      <c r="P16" s="37" t="n">
        <v>25.39</v>
      </c>
      <c r="Q16" s="18" t="n">
        <v>22.86</v>
      </c>
      <c r="R16" s="19" t="n">
        <v>24.08</v>
      </c>
      <c r="S16" s="10" t="n"/>
      <c r="T16" s="10" t="n"/>
      <c r="U16" s="11" t="n"/>
      <c r="V16" s="10" t="n"/>
      <c r="W16" s="10" t="n"/>
      <c r="X16" s="10" t="n"/>
      <c r="Y16" s="10" t="n"/>
      <c r="Z16" s="11" t="n"/>
      <c r="AA16" s="10" t="n"/>
      <c r="AB16" s="10" t="n"/>
      <c r="AC16" s="10" t="n"/>
      <c r="AD16" s="10" t="n"/>
      <c r="AE16" s="11" t="n"/>
    </row>
    <row r="17">
      <c r="A17" t="n">
        <v>1</v>
      </c>
      <c r="C17" t="inlineStr">
        <is>
          <t>투자부동산</t>
        </is>
      </c>
      <c r="E17" s="18" t="n">
        <v>18892.53</v>
      </c>
      <c r="F17" s="37" t="n">
        <v>18892.53</v>
      </c>
      <c r="G17" s="18" t="n">
        <v>22899.15</v>
      </c>
      <c r="H17" s="18" t="n">
        <v>22795.11</v>
      </c>
      <c r="I17" s="18" t="n">
        <v>40549.25</v>
      </c>
      <c r="J17" s="18" t="n">
        <v>38685.2</v>
      </c>
      <c r="K17" s="37" t="n">
        <v>38685.2</v>
      </c>
      <c r="L17" s="18" t="n">
        <v>19529.67</v>
      </c>
      <c r="M17" s="18" t="n">
        <v>19449.89</v>
      </c>
      <c r="N17" s="18" t="n">
        <v>19370.11</v>
      </c>
      <c r="O17" s="18" t="n">
        <v>19294.19</v>
      </c>
      <c r="P17" s="37" t="n">
        <v>19294.19</v>
      </c>
      <c r="Q17" s="18" t="n">
        <v>19214.38</v>
      </c>
      <c r="R17" s="19" t="n">
        <v>19134.58</v>
      </c>
      <c r="S17" s="10" t="n"/>
      <c r="T17" s="10" t="n"/>
      <c r="U17" s="11" t="n"/>
      <c r="V17" s="10" t="n"/>
      <c r="W17" s="10" t="n"/>
      <c r="X17" s="10" t="n"/>
      <c r="Y17" s="10" t="n"/>
      <c r="Z17" s="11" t="n"/>
      <c r="AA17" s="10" t="n"/>
      <c r="AB17" s="10" t="n"/>
      <c r="AC17" s="10" t="n"/>
      <c r="AD17" s="10" t="n"/>
      <c r="AE17" s="11" t="n"/>
    </row>
    <row r="18">
      <c r="A18" t="n">
        <v>1</v>
      </c>
      <c r="C18" t="inlineStr">
        <is>
          <t>유형자산</t>
        </is>
      </c>
      <c r="E18" s="18" t="n">
        <v>180465.83</v>
      </c>
      <c r="F18" s="37" t="n">
        <v>180465.83</v>
      </c>
      <c r="G18" s="18" t="n">
        <v>176317.43</v>
      </c>
      <c r="H18" s="18" t="n">
        <v>176203.2</v>
      </c>
      <c r="I18" s="18" t="n">
        <v>182557.38</v>
      </c>
      <c r="J18" s="18" t="n">
        <v>184483.17</v>
      </c>
      <c r="K18" s="37" t="n">
        <v>184483.17</v>
      </c>
      <c r="L18" s="18" t="n">
        <v>202926.73</v>
      </c>
      <c r="M18" s="18" t="n">
        <v>207063.4</v>
      </c>
      <c r="N18" s="18" t="n">
        <v>208093.28</v>
      </c>
      <c r="O18" s="18" t="n">
        <v>204079.66</v>
      </c>
      <c r="P18" s="37" t="n">
        <v>204079.66</v>
      </c>
      <c r="Q18" s="18" t="n">
        <v>203569.76</v>
      </c>
      <c r="R18" s="19" t="n">
        <v>202408.29</v>
      </c>
      <c r="S18" s="10" t="n"/>
      <c r="T18" s="10" t="n"/>
      <c r="U18" s="11" t="n"/>
      <c r="V18" s="10" t="n"/>
      <c r="W18" s="10" t="n"/>
      <c r="X18" s="10" t="n"/>
      <c r="Y18" s="10" t="n"/>
      <c r="Z18" s="11" t="n"/>
      <c r="AA18" s="10" t="n"/>
      <c r="AB18" s="10" t="n"/>
      <c r="AC18" s="10" t="n"/>
      <c r="AD18" s="10" t="n"/>
      <c r="AE18" s="11" t="n"/>
    </row>
    <row r="19">
      <c r="A19" t="n">
        <v>1</v>
      </c>
      <c r="C19" t="inlineStr">
        <is>
          <t>무형자산</t>
        </is>
      </c>
      <c r="E19" s="18" t="n">
        <v>1567.3</v>
      </c>
      <c r="F19" s="37" t="n">
        <v>1567.3</v>
      </c>
      <c r="G19" s="18" t="n">
        <v>1491.48</v>
      </c>
      <c r="H19" s="18" t="n">
        <v>1415.67</v>
      </c>
      <c r="I19" s="18" t="n">
        <v>1356.86</v>
      </c>
      <c r="J19" s="18" t="n">
        <v>1341.06</v>
      </c>
      <c r="K19" s="37" t="n">
        <v>1341.06</v>
      </c>
      <c r="L19" s="18" t="n">
        <v>1258.11</v>
      </c>
      <c r="M19" s="18" t="n">
        <v>2426.18</v>
      </c>
      <c r="N19" s="18" t="n">
        <v>2348.83</v>
      </c>
      <c r="O19" s="18" t="n">
        <v>2263.89</v>
      </c>
      <c r="P19" s="37" t="n">
        <v>2263.89</v>
      </c>
      <c r="Q19" s="18" t="n">
        <v>2179.89</v>
      </c>
      <c r="R19" s="5" t="n"/>
      <c r="S19" s="10" t="n"/>
      <c r="T19" s="10" t="n"/>
      <c r="U19" s="11" t="n"/>
      <c r="V19" s="10" t="n"/>
      <c r="W19" s="10" t="n"/>
      <c r="X19" s="10" t="n"/>
      <c r="Y19" s="10" t="n"/>
      <c r="Z19" s="11" t="n"/>
      <c r="AA19" s="10" t="n"/>
      <c r="AB19" s="10" t="n"/>
      <c r="AC19" s="10" t="n"/>
      <c r="AD19" s="10" t="n"/>
      <c r="AE19" s="11" t="n"/>
    </row>
    <row r="20">
      <c r="A20" t="n">
        <v>1</v>
      </c>
      <c r="C20" t="inlineStr">
        <is>
          <t>사용권자산</t>
        </is>
      </c>
      <c r="E20" s="18" t="n">
        <v>1731.22</v>
      </c>
      <c r="F20" s="37" t="n">
        <v>1731.22</v>
      </c>
      <c r="G20" s="18" t="n">
        <v>29523.04</v>
      </c>
      <c r="H20" s="18" t="n">
        <v>28011.86</v>
      </c>
      <c r="I20" s="18" t="n">
        <v>26529.69</v>
      </c>
      <c r="J20" s="18" t="n">
        <v>26987.91</v>
      </c>
      <c r="K20" s="37" t="n">
        <v>26987.91</v>
      </c>
      <c r="L20" s="18" t="n">
        <v>25222.55</v>
      </c>
      <c r="M20" s="18" t="n">
        <v>23629.67</v>
      </c>
      <c r="N20" s="18" t="n">
        <v>22124.28</v>
      </c>
      <c r="O20" s="18" t="n">
        <v>20673.7</v>
      </c>
      <c r="P20" s="37" t="n">
        <v>20673.7</v>
      </c>
      <c r="Q20" s="18" t="n">
        <v>19176.7</v>
      </c>
      <c r="R20" s="19" t="n">
        <v>17670.94</v>
      </c>
      <c r="S20" s="10" t="n"/>
      <c r="T20" s="10" t="n"/>
      <c r="U20" s="11" t="n"/>
      <c r="V20" s="10" t="n"/>
      <c r="W20" s="10" t="n"/>
      <c r="X20" s="10" t="n"/>
      <c r="Y20" s="10" t="n"/>
      <c r="Z20" s="11" t="n"/>
      <c r="AA20" s="10" t="n"/>
      <c r="AB20" s="10" t="n"/>
      <c r="AC20" s="10" t="n"/>
      <c r="AD20" s="10" t="n"/>
      <c r="AE20" s="11" t="n"/>
    </row>
    <row r="21">
      <c r="A21" t="n">
        <v>1</v>
      </c>
      <c r="C21" t="inlineStr">
        <is>
          <t>기타비유동자산</t>
        </is>
      </c>
      <c r="E21" s="18" t="n">
        <v>2674.01</v>
      </c>
      <c r="F21" s="37" t="n">
        <v>2674.01</v>
      </c>
      <c r="G21" s="18" t="n">
        <v>30329.26</v>
      </c>
      <c r="H21" s="18" t="n">
        <v>28670.03</v>
      </c>
      <c r="I21" s="18" t="n">
        <v>27040.04</v>
      </c>
      <c r="J21" s="18" t="n">
        <v>27203.45</v>
      </c>
      <c r="K21" s="37" t="n">
        <v>27203.45</v>
      </c>
      <c r="L21" s="18" t="n">
        <v>25222.55</v>
      </c>
      <c r="M21" s="18" t="n">
        <v>23812.14</v>
      </c>
      <c r="N21" s="18" t="n">
        <v>22124.28</v>
      </c>
      <c r="O21" s="18" t="n">
        <v>21173.09</v>
      </c>
      <c r="P21" s="37" t="n">
        <v>21173.09</v>
      </c>
      <c r="Q21" s="18" t="n">
        <v>19442.64</v>
      </c>
      <c r="R21" s="19" t="n">
        <v>17670.94</v>
      </c>
      <c r="S21" s="10" t="n"/>
      <c r="T21" s="10" t="n"/>
      <c r="U21" s="11" t="n"/>
      <c r="V21" s="10" t="n"/>
      <c r="W21" s="10" t="n"/>
      <c r="X21" s="10" t="n"/>
      <c r="Y21" s="10" t="n"/>
      <c r="Z21" s="11" t="n"/>
      <c r="AA21" s="10" t="n"/>
      <c r="AB21" s="10" t="n"/>
      <c r="AC21" s="10" t="n"/>
      <c r="AD21" s="10" t="n"/>
      <c r="AE21" s="11" t="n"/>
    </row>
    <row r="22">
      <c r="A22" t="n">
        <v>1</v>
      </c>
      <c r="C22" t="inlineStr">
        <is>
          <t>이연법인세자산</t>
        </is>
      </c>
      <c r="E22" s="18" t="n">
        <v>402.61</v>
      </c>
      <c r="F22" s="37" t="n">
        <v>402.61</v>
      </c>
      <c r="G22" s="18" t="n">
        <v>283.08</v>
      </c>
      <c r="H22" s="18" t="n">
        <v>63.4</v>
      </c>
      <c r="I22" s="18" t="n">
        <v>285.32</v>
      </c>
      <c r="J22" s="18" t="n">
        <v>504.64</v>
      </c>
      <c r="K22" s="37" t="n">
        <v>504.64</v>
      </c>
      <c r="L22" s="18" t="n">
        <v>414.06</v>
      </c>
      <c r="M22" s="18" t="n">
        <v>368.5</v>
      </c>
      <c r="N22" s="18" t="n">
        <v>517.28</v>
      </c>
      <c r="O22" s="18" t="n">
        <v>505.06</v>
      </c>
      <c r="P22" s="37" t="n">
        <v>505.06</v>
      </c>
      <c r="Q22" s="18" t="n">
        <v>381.08</v>
      </c>
      <c r="R22" s="19" t="n">
        <v>522.21</v>
      </c>
      <c r="S22" s="10" t="n"/>
      <c r="T22" s="10" t="n"/>
      <c r="U22" s="11" t="n"/>
      <c r="V22" s="10" t="n"/>
      <c r="W22" s="10" t="n"/>
      <c r="X22" s="10" t="n"/>
      <c r="Y22" s="10" t="n"/>
      <c r="Z22" s="11" t="n"/>
      <c r="AA22" s="10" t="n"/>
      <c r="AB22" s="10" t="n"/>
      <c r="AC22" s="10" t="n"/>
      <c r="AD22" s="10" t="n"/>
      <c r="AE22" s="11" t="n"/>
    </row>
    <row r="23">
      <c r="A23" t="n">
        <v>1</v>
      </c>
      <c r="C23" t="inlineStr">
        <is>
          <t>자산총계</t>
        </is>
      </c>
      <c r="E23" s="18" t="n">
        <v>250483.75</v>
      </c>
      <c r="F23" s="37" t="n">
        <v>250483.75</v>
      </c>
      <c r="G23" s="18" t="n">
        <v>317879.36</v>
      </c>
      <c r="H23" s="18" t="n">
        <v>323555.98</v>
      </c>
      <c r="I23" s="18" t="n">
        <v>321120.66</v>
      </c>
      <c r="J23" s="18" t="n">
        <v>326531.97</v>
      </c>
      <c r="K23" s="37" t="n">
        <v>326531.97</v>
      </c>
      <c r="L23" s="18" t="n">
        <v>327911.59</v>
      </c>
      <c r="M23" s="18" t="n">
        <v>331809.9</v>
      </c>
      <c r="N23" s="18" t="n">
        <v>333189.88</v>
      </c>
      <c r="O23" s="18" t="n">
        <v>333357.62</v>
      </c>
      <c r="P23" s="37" t="n">
        <v>333357.62</v>
      </c>
      <c r="Q23" s="18" t="n">
        <v>332269.81</v>
      </c>
      <c r="R23" s="19" t="n">
        <v>334269.7</v>
      </c>
      <c r="S23" s="10" t="n"/>
      <c r="T23" s="10" t="n"/>
      <c r="U23" s="11" t="n"/>
      <c r="V23" s="10" t="n"/>
      <c r="W23" s="10" t="n"/>
      <c r="X23" s="10" t="n"/>
      <c r="Y23" s="10" t="n"/>
      <c r="Z23" s="11" t="n"/>
      <c r="AA23" s="10" t="n"/>
      <c r="AB23" s="10" t="n"/>
      <c r="AC23" s="10" t="n"/>
      <c r="AD23" s="10" t="n"/>
      <c r="AE23" s="11" t="n"/>
    </row>
    <row r="24">
      <c r="A24" t="n">
        <v>1</v>
      </c>
      <c r="C24" t="inlineStr">
        <is>
          <t>유동부채</t>
        </is>
      </c>
      <c r="E24" s="18" t="n">
        <v>34525.89</v>
      </c>
      <c r="F24" s="37" t="n">
        <v>34525.89</v>
      </c>
      <c r="G24" s="18" t="n">
        <v>37473.28</v>
      </c>
      <c r="H24" s="18" t="n">
        <v>38976.85</v>
      </c>
      <c r="I24" s="18" t="n">
        <v>36097.26</v>
      </c>
      <c r="J24" s="18" t="n">
        <v>40284.86</v>
      </c>
      <c r="K24" s="37" t="n">
        <v>40284.86</v>
      </c>
      <c r="L24" s="18" t="n">
        <v>42321.19</v>
      </c>
      <c r="M24" s="18" t="n">
        <v>41439.01</v>
      </c>
      <c r="N24" s="18" t="n">
        <v>44673.96</v>
      </c>
      <c r="O24" s="18" t="n">
        <v>44663.34</v>
      </c>
      <c r="P24" s="37" t="n">
        <v>44663.34</v>
      </c>
      <c r="Q24" s="18" t="n">
        <v>44601.26</v>
      </c>
      <c r="R24" s="19" t="n">
        <v>40567.4</v>
      </c>
      <c r="S24" s="10" t="n"/>
      <c r="T24" s="10" t="n"/>
      <c r="U24" s="11" t="n"/>
      <c r="V24" s="10" t="n"/>
      <c r="W24" s="10" t="n"/>
      <c r="X24" s="10" t="n"/>
      <c r="Y24" s="10" t="n"/>
      <c r="Z24" s="11" t="n"/>
      <c r="AA24" s="10" t="n"/>
      <c r="AB24" s="10" t="n"/>
      <c r="AC24" s="10" t="n"/>
      <c r="AD24" s="10" t="n"/>
      <c r="AE24" s="11" t="n"/>
    </row>
    <row r="25">
      <c r="A25" t="n">
        <v>1</v>
      </c>
      <c r="C25" t="inlineStr">
        <is>
          <t>단기차입금</t>
        </is>
      </c>
      <c r="E25" s="18" t="n">
        <v>2000</v>
      </c>
      <c r="F25" s="37" t="n">
        <v>2000</v>
      </c>
      <c r="G25" s="18" t="n">
        <v>2000</v>
      </c>
      <c r="H25" s="18" t="n">
        <v>2000</v>
      </c>
      <c r="I25" s="18" t="n">
        <v>2000</v>
      </c>
      <c r="J25" s="18" t="n">
        <v>9676.92</v>
      </c>
      <c r="K25" s="37" t="n">
        <v>9676.92</v>
      </c>
      <c r="L25" s="18" t="n">
        <v>9676.92</v>
      </c>
      <c r="M25" s="18" t="n">
        <v>9676.92</v>
      </c>
      <c r="N25" s="18" t="n">
        <v>8498.92</v>
      </c>
      <c r="O25" s="18" t="n">
        <v>5712.92</v>
      </c>
      <c r="P25" s="37" t="n">
        <v>5712.92</v>
      </c>
      <c r="Q25" s="18" t="n">
        <v>5926.92</v>
      </c>
      <c r="R25" s="19" t="n">
        <v>5640.92</v>
      </c>
      <c r="S25" s="10" t="n"/>
      <c r="T25" s="10" t="n"/>
      <c r="U25" s="11" t="n"/>
      <c r="V25" s="10" t="n"/>
      <c r="W25" s="10" t="n"/>
      <c r="X25" s="10" t="n"/>
      <c r="Y25" s="10" t="n"/>
      <c r="Z25" s="11" t="n"/>
      <c r="AA25" s="10" t="n"/>
      <c r="AB25" s="10" t="n"/>
      <c r="AC25" s="10" t="n"/>
      <c r="AD25" s="10" t="n"/>
      <c r="AE25" s="11" t="n"/>
    </row>
    <row r="26">
      <c r="A26" t="n">
        <v>1</v>
      </c>
      <c r="C26" t="inlineStr">
        <is>
          <t>유동리스부채</t>
        </is>
      </c>
      <c r="E26" s="18" t="n">
        <v>157.59</v>
      </c>
      <c r="F26" s="37" t="n">
        <v>157.59</v>
      </c>
      <c r="G26" s="18" t="n">
        <v>5549.06</v>
      </c>
      <c r="H26" s="18" t="n">
        <v>5611.73</v>
      </c>
      <c r="I26" s="18" t="n">
        <v>5681.39</v>
      </c>
      <c r="J26" s="18" t="n">
        <v>5758.74</v>
      </c>
      <c r="K26" s="37" t="n">
        <v>5758.74</v>
      </c>
      <c r="L26" s="18" t="n">
        <v>5814.41</v>
      </c>
      <c r="M26" s="18" t="n">
        <v>5801.67</v>
      </c>
      <c r="N26" s="18" t="n">
        <v>5853.8</v>
      </c>
      <c r="O26" s="18" t="n">
        <v>5965.99</v>
      </c>
      <c r="P26" s="37" t="n">
        <v>5965.99</v>
      </c>
      <c r="Q26" s="18" t="n">
        <v>6026.51</v>
      </c>
      <c r="R26" s="19" t="n">
        <v>6078.45</v>
      </c>
      <c r="S26" s="10" t="n"/>
      <c r="T26" s="10" t="n"/>
      <c r="U26" s="11" t="n"/>
      <c r="V26" s="10" t="n"/>
      <c r="W26" s="10" t="n"/>
      <c r="X26" s="10" t="n"/>
      <c r="Y26" s="10" t="n"/>
      <c r="Z26" s="11" t="n"/>
      <c r="AA26" s="10" t="n"/>
      <c r="AB26" s="10" t="n"/>
      <c r="AC26" s="10" t="n"/>
      <c r="AD26" s="10" t="n"/>
      <c r="AE26" s="11" t="n"/>
    </row>
    <row r="27">
      <c r="A27" t="n">
        <v>1</v>
      </c>
      <c r="C27" t="inlineStr">
        <is>
          <t>리스부채</t>
        </is>
      </c>
      <c r="E27" s="18" t="n">
        <v>1753.55</v>
      </c>
      <c r="F27" s="37" t="n">
        <v>1753.55</v>
      </c>
      <c r="G27" s="18" t="n">
        <v>29707.5</v>
      </c>
      <c r="H27" s="18" t="n">
        <v>28342.91</v>
      </c>
      <c r="I27" s="18" t="n">
        <v>26995.1</v>
      </c>
      <c r="J27" s="18" t="n">
        <v>27578.71</v>
      </c>
      <c r="K27" s="37" t="n">
        <v>27578.71</v>
      </c>
      <c r="L27" s="18" t="n">
        <v>25914.82</v>
      </c>
      <c r="M27" s="18" t="n">
        <v>24406.44</v>
      </c>
      <c r="N27" s="18" t="n">
        <v>22975.34</v>
      </c>
      <c r="O27" s="18" t="n">
        <v>21586.49</v>
      </c>
      <c r="P27" s="37" t="n">
        <v>21586.49</v>
      </c>
      <c r="Q27" s="18" t="n">
        <v>20125.22</v>
      </c>
      <c r="R27" s="19" t="n">
        <v>18639.76</v>
      </c>
      <c r="S27" s="10" t="n"/>
      <c r="T27" s="10" t="n"/>
      <c r="U27" s="11" t="n"/>
      <c r="V27" s="10" t="n"/>
      <c r="W27" s="10" t="n"/>
      <c r="X27" s="10" t="n"/>
      <c r="Y27" s="10" t="n"/>
      <c r="Z27" s="11" t="n"/>
      <c r="AA27" s="10" t="n"/>
      <c r="AB27" s="10" t="n"/>
      <c r="AC27" s="10" t="n"/>
      <c r="AD27" s="10" t="n"/>
      <c r="AE27" s="11" t="n"/>
    </row>
    <row r="28">
      <c r="A28" t="n">
        <v>1</v>
      </c>
      <c r="C28" t="inlineStr">
        <is>
          <t>단기금융부채</t>
        </is>
      </c>
      <c r="E28" s="18" t="n">
        <v>157.59</v>
      </c>
      <c r="F28" s="37" t="n">
        <v>157.59</v>
      </c>
      <c r="G28" s="18" t="n">
        <v>5549.06</v>
      </c>
      <c r="H28" s="18" t="n">
        <v>5611.73</v>
      </c>
      <c r="I28" s="18" t="n">
        <v>5681.39</v>
      </c>
      <c r="J28" s="18" t="n">
        <v>5758.74</v>
      </c>
      <c r="K28" s="37" t="n">
        <v>5758.74</v>
      </c>
      <c r="L28" s="18" t="n">
        <v>5814.41</v>
      </c>
      <c r="M28" s="18" t="n">
        <v>5801.67</v>
      </c>
      <c r="N28" s="18" t="n">
        <v>5853.8</v>
      </c>
      <c r="O28" s="18" t="n">
        <v>5965.99</v>
      </c>
      <c r="P28" s="37" t="n">
        <v>5965.99</v>
      </c>
      <c r="Q28" s="18" t="n">
        <v>6026.51</v>
      </c>
      <c r="R28" s="19" t="n">
        <v>6078.45</v>
      </c>
      <c r="S28" s="10" t="n"/>
      <c r="T28" s="10" t="n"/>
      <c r="U28" s="11" t="n"/>
      <c r="V28" s="10" t="n"/>
      <c r="W28" s="10" t="n"/>
      <c r="X28" s="10" t="n"/>
      <c r="Y28" s="10" t="n"/>
      <c r="Z28" s="11" t="n"/>
      <c r="AA28" s="10" t="n"/>
      <c r="AB28" s="10" t="n"/>
      <c r="AC28" s="10" t="n"/>
      <c r="AD28" s="10" t="n"/>
      <c r="AE28" s="11" t="n"/>
    </row>
    <row r="29">
      <c r="A29" t="n">
        <v>1</v>
      </c>
      <c r="C29" t="inlineStr">
        <is>
          <t>매입채무및기타채무</t>
        </is>
      </c>
      <c r="E29" s="18" t="n">
        <v>20301.54</v>
      </c>
      <c r="F29" s="37" t="n">
        <v>20301.54</v>
      </c>
      <c r="G29" s="18" t="n">
        <v>16978.95</v>
      </c>
      <c r="H29" s="18" t="n">
        <v>18812.97</v>
      </c>
      <c r="I29" s="18" t="n">
        <v>17396.99</v>
      </c>
      <c r="J29" s="18" t="n">
        <v>21064.46</v>
      </c>
      <c r="K29" s="37" t="n">
        <v>21064.46</v>
      </c>
      <c r="L29" s="18" t="n">
        <v>22657.02</v>
      </c>
      <c r="M29" s="18" t="n">
        <v>21267.02</v>
      </c>
      <c r="N29" s="18" t="n">
        <v>23204.56</v>
      </c>
      <c r="O29" s="18" t="n">
        <v>24596.55</v>
      </c>
      <c r="P29" s="37" t="n">
        <v>24596.55</v>
      </c>
      <c r="Q29" s="18" t="n">
        <v>25088.04</v>
      </c>
      <c r="R29" s="19" t="n">
        <v>21825.79</v>
      </c>
      <c r="S29" s="10" t="n"/>
      <c r="T29" s="10" t="n"/>
      <c r="U29" s="11" t="n"/>
      <c r="V29" s="10" t="n"/>
      <c r="W29" s="10" t="n"/>
      <c r="X29" s="10" t="n"/>
      <c r="Y29" s="10" t="n"/>
      <c r="Z29" s="11" t="n"/>
      <c r="AA29" s="10" t="n"/>
      <c r="AB29" s="10" t="n"/>
      <c r="AC29" s="10" t="n"/>
      <c r="AD29" s="10" t="n"/>
      <c r="AE29" s="11" t="n"/>
    </row>
    <row r="30">
      <c r="A30" t="n">
        <v>1</v>
      </c>
      <c r="C30" t="inlineStr">
        <is>
          <t>기타유동부채</t>
        </is>
      </c>
      <c r="E30" s="18" t="n">
        <v>106.96</v>
      </c>
      <c r="F30" s="37" t="n">
        <v>106.96</v>
      </c>
      <c r="G30" s="18" t="n">
        <v>89.64</v>
      </c>
      <c r="H30" s="18" t="n">
        <v>143.69</v>
      </c>
      <c r="I30" s="18" t="n">
        <v>171.05</v>
      </c>
      <c r="J30" s="18" t="n">
        <v>237.49</v>
      </c>
      <c r="K30" s="37" t="n">
        <v>237.49</v>
      </c>
      <c r="L30" s="18" t="n">
        <v>110.85</v>
      </c>
      <c r="M30" s="18" t="n">
        <v>116.55</v>
      </c>
      <c r="N30" s="18" t="n">
        <v>120.28</v>
      </c>
      <c r="O30" s="18" t="n">
        <v>4142.41</v>
      </c>
      <c r="P30" s="37" t="n">
        <v>4142.41</v>
      </c>
      <c r="Q30" s="18" t="n">
        <v>3385.75</v>
      </c>
      <c r="R30" s="19" t="n">
        <v>2477.15</v>
      </c>
      <c r="S30" s="10" t="n"/>
      <c r="T30" s="10" t="n"/>
      <c r="U30" s="11" t="n"/>
      <c r="V30" s="10" t="n"/>
      <c r="W30" s="10" t="n"/>
      <c r="X30" s="10" t="n"/>
      <c r="Y30" s="10" t="n"/>
      <c r="Z30" s="11" t="n"/>
      <c r="AA30" s="10" t="n"/>
      <c r="AB30" s="10" t="n"/>
      <c r="AC30" s="10" t="n"/>
      <c r="AD30" s="10" t="n"/>
      <c r="AE30" s="11" t="n"/>
    </row>
    <row r="31">
      <c r="A31" t="n">
        <v>1</v>
      </c>
      <c r="C31" t="inlineStr">
        <is>
          <t>당기법인세부채(미지급법인세)</t>
        </is>
      </c>
      <c r="E31" s="18" t="n">
        <v>728.13</v>
      </c>
      <c r="F31" s="37" t="n">
        <v>728.13</v>
      </c>
      <c r="G31" s="18" t="n">
        <v>1461.76</v>
      </c>
      <c r="H31" s="18" t="n">
        <v>1383.92</v>
      </c>
      <c r="I31" s="18" t="n">
        <v>827.37</v>
      </c>
      <c r="J31" s="18" t="n">
        <v>1439.3</v>
      </c>
      <c r="K31" s="37" t="n">
        <v>1439.3</v>
      </c>
      <c r="L31" s="18" t="n">
        <v>1853.71</v>
      </c>
      <c r="M31" s="18" t="n">
        <v>2390.11</v>
      </c>
      <c r="N31" s="18" t="n">
        <v>2770.18</v>
      </c>
      <c r="O31" s="18" t="n">
        <v>4245.47</v>
      </c>
      <c r="P31" s="37" t="n">
        <v>4245.47</v>
      </c>
      <c r="Q31" s="18" t="n">
        <v>4174.04</v>
      </c>
      <c r="R31" s="19" t="n">
        <v>4545.1</v>
      </c>
      <c r="S31" s="10" t="n"/>
      <c r="T31" s="10" t="n"/>
      <c r="U31" s="11" t="n"/>
      <c r="V31" s="10" t="n"/>
      <c r="W31" s="10" t="n"/>
      <c r="X31" s="10" t="n"/>
      <c r="Y31" s="10" t="n"/>
      <c r="Z31" s="11" t="n"/>
      <c r="AA31" s="10" t="n"/>
      <c r="AB31" s="10" t="n"/>
      <c r="AC31" s="10" t="n"/>
      <c r="AD31" s="10" t="n"/>
      <c r="AE31" s="11" t="n"/>
    </row>
    <row r="32">
      <c r="A32" t="n">
        <v>1</v>
      </c>
      <c r="C32" t="inlineStr">
        <is>
          <t>비유동부채</t>
        </is>
      </c>
      <c r="E32" s="18" t="n">
        <v>39122.34</v>
      </c>
      <c r="F32" s="37" t="n">
        <v>39122.34</v>
      </c>
      <c r="G32" s="18" t="n">
        <v>62059.06</v>
      </c>
      <c r="H32" s="18" t="n">
        <v>58137.95</v>
      </c>
      <c r="I32" s="18" t="n">
        <v>54422.32</v>
      </c>
      <c r="J32" s="18" t="n">
        <v>52709.41</v>
      </c>
      <c r="K32" s="37" t="n">
        <v>52709.41</v>
      </c>
      <c r="L32" s="18" t="n">
        <v>49923.7</v>
      </c>
      <c r="M32" s="18" t="n">
        <v>48147.78</v>
      </c>
      <c r="N32" s="18" t="n">
        <v>41127.9</v>
      </c>
      <c r="O32" s="18" t="n">
        <v>35795.25</v>
      </c>
      <c r="P32" s="37" t="n">
        <v>35795.25</v>
      </c>
      <c r="Q32" s="18" t="n">
        <v>32815.49</v>
      </c>
      <c r="R32" s="19" t="n">
        <v>30191.26</v>
      </c>
      <c r="S32" s="10" t="n"/>
      <c r="T32" s="10" t="n"/>
      <c r="U32" s="11" t="n"/>
      <c r="V32" s="10" t="n"/>
      <c r="W32" s="10" t="n"/>
      <c r="X32" s="10" t="n"/>
      <c r="Y32" s="10" t="n"/>
      <c r="Z32" s="11" t="n"/>
      <c r="AA32" s="10" t="n"/>
      <c r="AB32" s="10" t="n"/>
      <c r="AC32" s="10" t="n"/>
      <c r="AD32" s="10" t="n"/>
      <c r="AE32" s="11" t="n"/>
    </row>
    <row r="33">
      <c r="A33" t="n">
        <v>1</v>
      </c>
      <c r="C33" t="inlineStr">
        <is>
          <t>장기차입금</t>
        </is>
      </c>
      <c r="E33" s="18" t="n">
        <v>35507.69</v>
      </c>
      <c r="F33" s="37" t="n">
        <v>35507.69</v>
      </c>
      <c r="G33" s="18" t="n">
        <v>35688.46</v>
      </c>
      <c r="H33" s="18" t="n">
        <v>33769.23</v>
      </c>
      <c r="I33" s="18" t="n">
        <v>31850</v>
      </c>
      <c r="J33" s="18" t="n">
        <v>29930.77</v>
      </c>
      <c r="K33" s="37" t="n">
        <v>29930.77</v>
      </c>
      <c r="L33" s="18" t="n">
        <v>28850.54</v>
      </c>
      <c r="M33" s="18" t="n">
        <v>28691.81</v>
      </c>
      <c r="N33" s="18" t="n">
        <v>23193.58</v>
      </c>
      <c r="O33" s="18" t="n">
        <v>19410.35</v>
      </c>
      <c r="P33" s="37" t="n">
        <v>19410.35</v>
      </c>
      <c r="Q33" s="18" t="n">
        <v>18134.62</v>
      </c>
      <c r="R33" s="19" t="n">
        <v>17101.38</v>
      </c>
      <c r="S33" s="10" t="n"/>
      <c r="T33" s="10" t="n"/>
      <c r="U33" s="11" t="n"/>
      <c r="V33" s="10" t="n"/>
      <c r="W33" s="10" t="n"/>
      <c r="X33" s="10" t="n"/>
      <c r="Y33" s="10" t="n"/>
      <c r="Z33" s="11" t="n"/>
      <c r="AA33" s="10" t="n"/>
      <c r="AB33" s="10" t="n"/>
      <c r="AC33" s="10" t="n"/>
      <c r="AD33" s="10" t="n"/>
      <c r="AE33" s="11" t="n"/>
    </row>
    <row r="34">
      <c r="A34" t="n">
        <v>1</v>
      </c>
      <c r="C34" t="inlineStr">
        <is>
          <t>비유동리스부채</t>
        </is>
      </c>
      <c r="E34" s="18" t="n">
        <v>1595.96</v>
      </c>
      <c r="F34" s="37" t="n">
        <v>1595.96</v>
      </c>
      <c r="G34" s="18" t="n">
        <v>24158.44</v>
      </c>
      <c r="H34" s="18" t="n">
        <v>22731.18</v>
      </c>
      <c r="I34" s="18" t="n">
        <v>21313.71</v>
      </c>
      <c r="J34" s="18" t="n">
        <v>21819.97</v>
      </c>
      <c r="K34" s="37" t="n">
        <v>21819.97</v>
      </c>
      <c r="L34" s="18" t="n">
        <v>20100.41</v>
      </c>
      <c r="M34" s="18" t="n">
        <v>18604.77</v>
      </c>
      <c r="N34" s="18" t="n">
        <v>17121.54</v>
      </c>
      <c r="O34" s="18" t="n">
        <v>15620.5</v>
      </c>
      <c r="P34" s="37" t="n">
        <v>15620.5</v>
      </c>
      <c r="Q34" s="18" t="n">
        <v>14098.71</v>
      </c>
      <c r="R34" s="19" t="n">
        <v>12561.31</v>
      </c>
      <c r="S34" s="10" t="n"/>
      <c r="T34" s="10" t="n"/>
      <c r="U34" s="11" t="n"/>
      <c r="V34" s="10" t="n"/>
      <c r="W34" s="10" t="n"/>
      <c r="X34" s="10" t="n"/>
      <c r="Y34" s="10" t="n"/>
      <c r="Z34" s="11" t="n"/>
      <c r="AA34" s="10" t="n"/>
      <c r="AB34" s="10" t="n"/>
      <c r="AC34" s="10" t="n"/>
      <c r="AD34" s="10" t="n"/>
      <c r="AE34" s="11" t="n"/>
    </row>
    <row r="35">
      <c r="A35" t="n">
        <v>1</v>
      </c>
      <c r="C35" t="inlineStr">
        <is>
          <t>장기금융부채</t>
        </is>
      </c>
      <c r="E35" s="18" t="n">
        <v>1595.96</v>
      </c>
      <c r="F35" s="37" t="n">
        <v>1595.96</v>
      </c>
      <c r="G35" s="18" t="n">
        <v>24158.44</v>
      </c>
      <c r="H35" s="18" t="n">
        <v>22731.18</v>
      </c>
      <c r="I35" s="18" t="n">
        <v>21313.71</v>
      </c>
      <c r="J35" s="18" t="n">
        <v>21819.97</v>
      </c>
      <c r="K35" s="37" t="n">
        <v>21819.97</v>
      </c>
      <c r="L35" s="18" t="n">
        <v>20100.41</v>
      </c>
      <c r="M35" s="18" t="n">
        <v>18604.77</v>
      </c>
      <c r="N35" s="18" t="n">
        <v>17121.54</v>
      </c>
      <c r="O35" s="18" t="n">
        <v>15620.5</v>
      </c>
      <c r="P35" s="37" t="n">
        <v>15620.5</v>
      </c>
      <c r="Q35" s="18" t="n">
        <v>14098.71</v>
      </c>
      <c r="R35" s="19" t="n">
        <v>12561.31</v>
      </c>
      <c r="S35" s="10" t="n"/>
      <c r="T35" s="10" t="n"/>
      <c r="U35" s="11" t="n"/>
      <c r="V35" s="10" t="n"/>
      <c r="W35" s="10" t="n"/>
      <c r="X35" s="10" t="n"/>
      <c r="Y35" s="10" t="n"/>
      <c r="Z35" s="11" t="n"/>
      <c r="AA35" s="10" t="n"/>
      <c r="AB35" s="10" t="n"/>
      <c r="AC35" s="10" t="n"/>
      <c r="AD35" s="10" t="n"/>
      <c r="AE35" s="11" t="n"/>
    </row>
    <row r="36">
      <c r="A36" t="n">
        <v>1</v>
      </c>
      <c r="C36" t="inlineStr">
        <is>
          <t>장기매입채무및기타채무</t>
        </is>
      </c>
      <c r="E36" s="18" t="n">
        <v>95</v>
      </c>
      <c r="F36" s="37" t="n">
        <v>95</v>
      </c>
      <c r="G36" s="18" t="n">
        <v>95</v>
      </c>
      <c r="H36" s="18" t="n">
        <v>75</v>
      </c>
      <c r="K36" s="9" t="n"/>
      <c r="O36" s="18" t="n">
        <v>20.67</v>
      </c>
      <c r="P36" s="37" t="n">
        <v>20.67</v>
      </c>
      <c r="Q36" s="18" t="n">
        <v>20.67</v>
      </c>
      <c r="R36" s="19" t="n">
        <v>20.67</v>
      </c>
      <c r="S36" s="10" t="n"/>
      <c r="T36" s="10" t="n"/>
      <c r="U36" s="11" t="n"/>
      <c r="V36" s="10" t="n"/>
      <c r="W36" s="10" t="n"/>
      <c r="X36" s="10" t="n"/>
      <c r="Y36" s="10" t="n"/>
      <c r="Z36" s="11" t="n"/>
      <c r="AA36" s="10" t="n"/>
      <c r="AB36" s="10" t="n"/>
      <c r="AC36" s="10" t="n"/>
      <c r="AD36" s="10" t="n"/>
      <c r="AE36" s="11" t="n"/>
    </row>
    <row r="37">
      <c r="A37" t="n">
        <v>1</v>
      </c>
      <c r="C37" t="inlineStr">
        <is>
          <t>장기선수금</t>
        </is>
      </c>
      <c r="E37" s="18" t="n">
        <v>1497.2</v>
      </c>
      <c r="F37" s="37" t="n">
        <v>1497.2</v>
      </c>
      <c r="G37" s="18" t="n">
        <v>1692.97</v>
      </c>
      <c r="H37" s="18" t="n">
        <v>1141.64</v>
      </c>
      <c r="K37" s="9" t="n"/>
      <c r="N37" s="18" t="n">
        <v>390.54</v>
      </c>
      <c r="P37" s="9" t="n"/>
      <c r="R37" s="5" t="n"/>
      <c r="S37" s="10" t="n"/>
      <c r="T37" s="10" t="n"/>
      <c r="U37" s="11" t="n"/>
      <c r="V37" s="10" t="n"/>
      <c r="W37" s="10" t="n"/>
      <c r="X37" s="10" t="n"/>
      <c r="Y37" s="10" t="n"/>
      <c r="Z37" s="11" t="n"/>
      <c r="AA37" s="10" t="n"/>
      <c r="AB37" s="10" t="n"/>
      <c r="AC37" s="10" t="n"/>
      <c r="AD37" s="10" t="n"/>
      <c r="AE37" s="11" t="n"/>
    </row>
    <row r="38">
      <c r="A38" t="n">
        <v>1</v>
      </c>
      <c r="C38" t="inlineStr">
        <is>
          <t>이연법인세부채</t>
        </is>
      </c>
      <c r="E38" s="18" t="n">
        <v>426.49</v>
      </c>
      <c r="F38" s="37" t="n">
        <v>426.49</v>
      </c>
      <c r="G38" s="18" t="n">
        <v>424.18</v>
      </c>
      <c r="H38" s="18" t="n">
        <v>420.9</v>
      </c>
      <c r="I38" s="18" t="n">
        <v>418.11</v>
      </c>
      <c r="J38" s="18" t="n">
        <v>415.31</v>
      </c>
      <c r="K38" s="37" t="n">
        <v>415.31</v>
      </c>
      <c r="L38" s="18" t="n">
        <v>412.52</v>
      </c>
      <c r="M38" s="18" t="n">
        <v>409.72</v>
      </c>
      <c r="N38" s="18" t="n">
        <v>406.93</v>
      </c>
      <c r="O38" s="18" t="n">
        <v>404.14</v>
      </c>
      <c r="P38" s="37" t="n">
        <v>404.14</v>
      </c>
      <c r="Q38" s="18" t="n">
        <v>272.83</v>
      </c>
      <c r="R38" s="19" t="n">
        <v>270.17</v>
      </c>
      <c r="S38" s="10" t="n"/>
      <c r="T38" s="10" t="n"/>
      <c r="U38" s="11" t="n"/>
      <c r="V38" s="10" t="n"/>
      <c r="W38" s="10" t="n"/>
      <c r="X38" s="10" t="n"/>
      <c r="Y38" s="10" t="n"/>
      <c r="Z38" s="11" t="n"/>
      <c r="AA38" s="10" t="n"/>
      <c r="AB38" s="10" t="n"/>
      <c r="AC38" s="10" t="n"/>
      <c r="AD38" s="10" t="n"/>
      <c r="AE38" s="11" t="n"/>
    </row>
    <row r="39">
      <c r="A39" t="n">
        <v>1</v>
      </c>
      <c r="C39" t="inlineStr">
        <is>
          <t>부채총계</t>
        </is>
      </c>
      <c r="E39" s="18" t="n">
        <v>73648.23</v>
      </c>
      <c r="F39" s="37" t="n">
        <v>73648.23</v>
      </c>
      <c r="G39" s="18" t="n">
        <v>99532.34</v>
      </c>
      <c r="H39" s="18" t="n">
        <v>97114.8</v>
      </c>
      <c r="I39" s="18" t="n">
        <v>90519.57000000001</v>
      </c>
      <c r="J39" s="18" t="n">
        <v>92994.27</v>
      </c>
      <c r="K39" s="37" t="n">
        <v>92994.27</v>
      </c>
      <c r="L39" s="18" t="n">
        <v>92244.89</v>
      </c>
      <c r="M39" s="18" t="n">
        <v>89586.78999999999</v>
      </c>
      <c r="N39" s="18" t="n">
        <v>85801.86</v>
      </c>
      <c r="O39" s="18" t="n">
        <v>80458.59</v>
      </c>
      <c r="P39" s="37" t="n">
        <v>80458.59</v>
      </c>
      <c r="Q39" s="18" t="n">
        <v>77416.75</v>
      </c>
      <c r="R39" s="19" t="n">
        <v>70758.66</v>
      </c>
      <c r="S39" s="10" t="n"/>
      <c r="T39" s="10" t="n"/>
      <c r="U39" s="11" t="n"/>
      <c r="V39" s="10" t="n"/>
      <c r="W39" s="10" t="n"/>
      <c r="X39" s="10" t="n"/>
      <c r="Y39" s="10" t="n"/>
      <c r="Z39" s="11" t="n"/>
      <c r="AA39" s="10" t="n"/>
      <c r="AB39" s="10" t="n"/>
      <c r="AC39" s="10" t="n"/>
      <c r="AD39" s="10" t="n"/>
      <c r="AE39" s="11" t="n"/>
    </row>
    <row r="40">
      <c r="A40" t="n">
        <v>1</v>
      </c>
      <c r="C40" t="inlineStr">
        <is>
          <t>지배주주지분</t>
        </is>
      </c>
      <c r="E40" s="18" t="n">
        <v>176835.52</v>
      </c>
      <c r="F40" s="37" t="n">
        <v>176835.52</v>
      </c>
      <c r="G40" s="18" t="n">
        <v>218347.02</v>
      </c>
      <c r="H40" s="18" t="n">
        <v>226441.18</v>
      </c>
      <c r="I40" s="18" t="n">
        <v>230601.09</v>
      </c>
      <c r="J40" s="18" t="n">
        <v>233537.69</v>
      </c>
      <c r="K40" s="37" t="n">
        <v>233537.69</v>
      </c>
      <c r="L40" s="18" t="n">
        <v>235666.7</v>
      </c>
      <c r="M40" s="18" t="n">
        <v>242223.11</v>
      </c>
      <c r="N40" s="18" t="n">
        <v>247388.02</v>
      </c>
      <c r="O40" s="18" t="n">
        <v>252899.03</v>
      </c>
      <c r="P40" s="37" t="n">
        <v>252899.03</v>
      </c>
      <c r="Q40" s="18" t="n">
        <v>254853.07</v>
      </c>
      <c r="R40" s="19" t="n">
        <v>263511.04</v>
      </c>
      <c r="S40" s="10" t="n"/>
      <c r="T40" s="10" t="n"/>
      <c r="U40" s="11" t="n"/>
      <c r="V40" s="10" t="n"/>
      <c r="W40" s="10" t="n"/>
      <c r="X40" s="10" t="n"/>
      <c r="Y40" s="10" t="n"/>
      <c r="Z40" s="11" t="n"/>
      <c r="AA40" s="10" t="n"/>
      <c r="AB40" s="10" t="n"/>
      <c r="AC40" s="10" t="n"/>
      <c r="AD40" s="10" t="n"/>
      <c r="AE40" s="11" t="n"/>
    </row>
    <row r="41">
      <c r="A41" t="n">
        <v>1</v>
      </c>
      <c r="C41" t="inlineStr">
        <is>
          <t>자본금</t>
        </is>
      </c>
      <c r="E41" s="18" t="n">
        <v>14800</v>
      </c>
      <c r="F41" s="37" t="n">
        <v>14800</v>
      </c>
      <c r="G41" s="18" t="n">
        <v>17412</v>
      </c>
      <c r="H41" s="18" t="n">
        <v>17636.94</v>
      </c>
      <c r="I41" s="18" t="n">
        <v>17666.94</v>
      </c>
      <c r="J41" s="18" t="n">
        <v>17696.14</v>
      </c>
      <c r="K41" s="37" t="n">
        <v>17696.14</v>
      </c>
      <c r="L41" s="18" t="n">
        <v>17712.64</v>
      </c>
      <c r="M41" s="18" t="n">
        <v>17739.94</v>
      </c>
      <c r="N41" s="18" t="n">
        <v>17749.94</v>
      </c>
      <c r="O41" s="18" t="n">
        <v>17755.34</v>
      </c>
      <c r="P41" s="37" t="n">
        <v>17755.34</v>
      </c>
      <c r="Q41" s="18" t="n">
        <v>17755.34</v>
      </c>
      <c r="R41" s="19" t="n">
        <v>17755.34</v>
      </c>
      <c r="S41" s="10" t="n"/>
      <c r="T41" s="10" t="n"/>
      <c r="U41" s="11" t="n"/>
      <c r="V41" s="10" t="n"/>
      <c r="W41" s="10" t="n"/>
      <c r="X41" s="10" t="n"/>
      <c r="Y41" s="10" t="n"/>
      <c r="Z41" s="11" t="n"/>
      <c r="AA41" s="10" t="n"/>
      <c r="AB41" s="10" t="n"/>
      <c r="AC41" s="10" t="n"/>
      <c r="AD41" s="10" t="n"/>
      <c r="AE41" s="11" t="n"/>
    </row>
    <row r="42">
      <c r="A42" t="n">
        <v>1</v>
      </c>
      <c r="C42" t="inlineStr">
        <is>
          <t>자본잉여금</t>
        </is>
      </c>
      <c r="E42" s="18" t="n">
        <v>133200</v>
      </c>
      <c r="F42" s="37" t="n">
        <v>133200</v>
      </c>
      <c r="G42" s="18" t="n">
        <v>167350.53</v>
      </c>
      <c r="H42" s="18" t="n">
        <v>170622.6</v>
      </c>
      <c r="I42" s="18" t="n">
        <v>170925.56</v>
      </c>
      <c r="J42" s="18" t="n">
        <v>171220.05</v>
      </c>
      <c r="K42" s="37" t="n">
        <v>171220.05</v>
      </c>
      <c r="L42" s="18" t="n">
        <v>171427.25</v>
      </c>
      <c r="M42" s="18" t="n">
        <v>171772.09</v>
      </c>
      <c r="N42" s="18" t="n">
        <v>171897.41</v>
      </c>
      <c r="O42" s="18" t="n">
        <v>173107.96</v>
      </c>
      <c r="P42" s="37" t="n">
        <v>173107.96</v>
      </c>
      <c r="Q42" s="18" t="n">
        <v>173107.96</v>
      </c>
      <c r="R42" s="19" t="n">
        <v>173107.96</v>
      </c>
      <c r="S42" s="10" t="n"/>
      <c r="T42" s="10" t="n"/>
      <c r="U42" s="11" t="n"/>
      <c r="V42" s="10" t="n"/>
      <c r="W42" s="10" t="n"/>
      <c r="X42" s="10" t="n"/>
      <c r="Y42" s="10" t="n"/>
      <c r="Z42" s="11" t="n"/>
      <c r="AA42" s="10" t="n"/>
      <c r="AB42" s="10" t="n"/>
      <c r="AC42" s="10" t="n"/>
      <c r="AD42" s="10" t="n"/>
      <c r="AE42" s="11" t="n"/>
    </row>
    <row r="43">
      <c r="A43" t="n">
        <v>1</v>
      </c>
      <c r="C43" t="inlineStr">
        <is>
          <t>기타자본</t>
        </is>
      </c>
      <c r="E43" s="18" t="n">
        <v>202.25</v>
      </c>
      <c r="F43" s="37" t="n">
        <v>202.25</v>
      </c>
      <c r="G43" s="18" t="n">
        <v>677.84</v>
      </c>
      <c r="H43" s="18" t="n">
        <v>204.72</v>
      </c>
      <c r="I43" s="18" t="n">
        <v>176.44</v>
      </c>
      <c r="J43" s="18" t="n">
        <v>149.06</v>
      </c>
      <c r="K43" s="37" t="n">
        <v>149.06</v>
      </c>
      <c r="L43" s="18" t="n">
        <v>111.85</v>
      </c>
      <c r="M43" s="18" t="n">
        <v>39.38</v>
      </c>
      <c r="N43" s="18" t="n">
        <v>13.81</v>
      </c>
      <c r="O43" s="18" t="n">
        <v>0</v>
      </c>
      <c r="P43" s="37" t="n">
        <v>0</v>
      </c>
      <c r="Q43" s="18" t="n">
        <v>0</v>
      </c>
      <c r="R43" s="19" t="n">
        <v>0</v>
      </c>
      <c r="S43" s="10" t="n"/>
      <c r="T43" s="10" t="n"/>
      <c r="U43" s="11" t="n"/>
      <c r="V43" s="10" t="n"/>
      <c r="W43" s="10" t="n"/>
      <c r="X43" s="10" t="n"/>
      <c r="Y43" s="10" t="n"/>
      <c r="Z43" s="11" t="n"/>
      <c r="AA43" s="10" t="n"/>
      <c r="AB43" s="10" t="n"/>
      <c r="AC43" s="10" t="n"/>
      <c r="AD43" s="10" t="n"/>
      <c r="AE43" s="11" t="n"/>
    </row>
    <row r="44">
      <c r="A44" t="n">
        <v>1</v>
      </c>
      <c r="C44" t="inlineStr">
        <is>
          <t>이익잉여금</t>
        </is>
      </c>
      <c r="E44" s="18" t="n">
        <v>28633.27</v>
      </c>
      <c r="F44" s="37" t="n">
        <v>28633.27</v>
      </c>
      <c r="G44" s="18" t="n">
        <v>32906.65</v>
      </c>
      <c r="H44" s="18" t="n">
        <v>37976.93</v>
      </c>
      <c r="I44" s="18" t="n">
        <v>41832.15</v>
      </c>
      <c r="J44" s="18" t="n">
        <v>44472.44</v>
      </c>
      <c r="K44" s="37" t="n">
        <v>44472.44</v>
      </c>
      <c r="L44" s="18" t="n">
        <v>46414.96</v>
      </c>
      <c r="M44" s="18" t="n">
        <v>52671.7</v>
      </c>
      <c r="N44" s="18" t="n">
        <v>57726.86</v>
      </c>
      <c r="O44" s="18" t="n">
        <v>62035.74</v>
      </c>
      <c r="P44" s="37" t="n">
        <v>62035.74</v>
      </c>
      <c r="Q44" s="18" t="n">
        <v>63989.77</v>
      </c>
      <c r="R44" s="19" t="n">
        <v>72647.75</v>
      </c>
      <c r="S44" s="10" t="n"/>
      <c r="T44" s="10" t="n"/>
      <c r="U44" s="11" t="n"/>
      <c r="V44" s="10" t="n"/>
      <c r="W44" s="10" t="n"/>
      <c r="X44" s="10" t="n"/>
      <c r="Y44" s="10" t="n"/>
      <c r="Z44" s="11" t="n"/>
      <c r="AA44" s="10" t="n"/>
      <c r="AB44" s="10" t="n"/>
      <c r="AC44" s="10" t="n"/>
      <c r="AD44" s="10" t="n"/>
      <c r="AE44" s="11" t="n"/>
    </row>
    <row r="45">
      <c r="A45" t="n">
        <v>1</v>
      </c>
      <c r="C45" t="inlineStr">
        <is>
          <t>자본총계</t>
        </is>
      </c>
      <c r="E45" s="18" t="n">
        <v>176835.52</v>
      </c>
      <c r="F45" s="37" t="n">
        <v>176835.52</v>
      </c>
      <c r="G45" s="18" t="n">
        <v>218347.02</v>
      </c>
      <c r="H45" s="18" t="n">
        <v>226441.18</v>
      </c>
      <c r="I45" s="18" t="n">
        <v>230601.09</v>
      </c>
      <c r="J45" s="18" t="n">
        <v>233537.69</v>
      </c>
      <c r="K45" s="37" t="n">
        <v>233537.69</v>
      </c>
      <c r="L45" s="18" t="n">
        <v>235666.7</v>
      </c>
      <c r="M45" s="18" t="n">
        <v>242223.11</v>
      </c>
      <c r="N45" s="18" t="n">
        <v>247388.02</v>
      </c>
      <c r="O45" s="18" t="n">
        <v>252899.03</v>
      </c>
      <c r="P45" s="37" t="n">
        <v>252899.03</v>
      </c>
      <c r="Q45" s="18" t="n">
        <v>254853.07</v>
      </c>
      <c r="R45" s="19" t="n">
        <v>263511.04</v>
      </c>
      <c r="S45" s="10" t="n"/>
      <c r="T45" s="10" t="n"/>
      <c r="U45" s="11" t="n"/>
      <c r="V45" s="10" t="n"/>
      <c r="W45" s="10" t="n"/>
      <c r="X45" s="10" t="n"/>
      <c r="Y45" s="10" t="n"/>
      <c r="Z45" s="11" t="n"/>
      <c r="AA45" s="10" t="n"/>
      <c r="AB45" s="10" t="n"/>
      <c r="AC45" s="10" t="n"/>
      <c r="AD45" s="10" t="n"/>
      <c r="AE45" s="11" t="n"/>
    </row>
    <row r="46">
      <c r="A46" t="n">
        <v>1</v>
      </c>
      <c r="C46" t="inlineStr">
        <is>
          <t>부채와자본총계</t>
        </is>
      </c>
      <c r="E46" s="18" t="n">
        <v>250483.75</v>
      </c>
      <c r="F46" s="37" t="n">
        <v>250483.75</v>
      </c>
      <c r="G46" s="18" t="n">
        <v>317879.36</v>
      </c>
      <c r="H46" s="18" t="n">
        <v>323555.98</v>
      </c>
      <c r="I46" s="18" t="n">
        <v>321120.66</v>
      </c>
      <c r="J46" s="18" t="n">
        <v>326531.97</v>
      </c>
      <c r="K46" s="37" t="n">
        <v>326531.97</v>
      </c>
      <c r="L46" s="18" t="n">
        <v>327911.59</v>
      </c>
      <c r="M46" s="18" t="n">
        <v>331809.9</v>
      </c>
      <c r="N46" s="18" t="n">
        <v>333189.88</v>
      </c>
      <c r="O46" s="18" t="n">
        <v>333357.62</v>
      </c>
      <c r="P46" s="37" t="n">
        <v>333357.62</v>
      </c>
      <c r="Q46" s="18" t="n">
        <v>332269.81</v>
      </c>
      <c r="R46" s="19" t="n">
        <v>334269.7</v>
      </c>
      <c r="S46" s="10" t="n"/>
      <c r="T46" s="10" t="n"/>
      <c r="U46" s="11" t="n"/>
      <c r="V46" s="10" t="n"/>
      <c r="W46" s="10" t="n"/>
      <c r="X46" s="10" t="n"/>
      <c r="Y46" s="10" t="n"/>
      <c r="Z46" s="11" t="n"/>
      <c r="AA46" s="10" t="n"/>
      <c r="AB46" s="10" t="n"/>
      <c r="AC46" s="10" t="n"/>
      <c r="AD46" s="10" t="n"/>
      <c r="AE46" s="11" t="n"/>
    </row>
    <row r="47">
      <c r="A47" t="n">
        <v>1</v>
      </c>
      <c r="C47" t="inlineStr">
        <is>
          <t>총차입금</t>
        </is>
      </c>
      <c r="E47" s="18" t="n">
        <v>44541.02</v>
      </c>
      <c r="F47" s="37" t="n">
        <v>44541.02</v>
      </c>
      <c r="G47" s="18" t="n">
        <v>46246.79</v>
      </c>
      <c r="H47" s="18" t="n">
        <v>44285.9</v>
      </c>
      <c r="I47" s="18" t="n">
        <v>41526.92</v>
      </c>
      <c r="J47" s="18" t="n">
        <v>39607.69</v>
      </c>
      <c r="K47" s="37" t="n">
        <v>39607.69</v>
      </c>
      <c r="L47" s="18" t="n">
        <v>38527.46</v>
      </c>
      <c r="M47" s="18" t="n">
        <v>38368.73</v>
      </c>
      <c r="N47" s="18" t="n">
        <v>31692.5</v>
      </c>
      <c r="O47" s="18" t="n">
        <v>25123.27</v>
      </c>
      <c r="P47" s="37" t="n">
        <v>25123.27</v>
      </c>
      <c r="Q47" s="18" t="n">
        <v>24061.54</v>
      </c>
      <c r="R47" s="19" t="n">
        <v>22742.3</v>
      </c>
      <c r="S47" s="10" t="n"/>
      <c r="T47" s="10" t="n"/>
      <c r="U47" s="11" t="n"/>
      <c r="V47" s="10" t="n"/>
      <c r="W47" s="10" t="n"/>
      <c r="X47" s="10" t="n"/>
      <c r="Y47" s="10" t="n"/>
      <c r="Z47" s="11" t="n"/>
      <c r="AA47" s="10" t="n"/>
      <c r="AB47" s="10" t="n"/>
      <c r="AC47" s="10" t="n"/>
      <c r="AD47" s="10" t="n"/>
      <c r="AE47" s="11" t="n"/>
    </row>
    <row r="48">
      <c r="A48" t="n">
        <v>1</v>
      </c>
      <c r="C48" t="inlineStr">
        <is>
          <t>순차입금</t>
        </is>
      </c>
      <c r="E48" s="18" t="n">
        <v>37557.41</v>
      </c>
      <c r="F48" s="37" t="n">
        <v>37557.41</v>
      </c>
      <c r="G48" s="18" t="n">
        <v>944.72</v>
      </c>
      <c r="H48" s="18" t="n">
        <v>-14427.61</v>
      </c>
      <c r="I48" s="18" t="n">
        <v>9547.85</v>
      </c>
      <c r="J48" s="18" t="n">
        <v>2190.35</v>
      </c>
      <c r="K48" s="37" t="n">
        <v>2190.35</v>
      </c>
      <c r="L48" s="18" t="n">
        <v>-2052.59</v>
      </c>
      <c r="M48" s="18" t="n">
        <v>-3448.77</v>
      </c>
      <c r="N48" s="18" t="n">
        <v>-11120.58</v>
      </c>
      <c r="O48" s="18" t="n">
        <v>-14967.33</v>
      </c>
      <c r="P48" s="37" t="n">
        <v>-14967.33</v>
      </c>
      <c r="Q48" s="18" t="n">
        <v>-18254.57</v>
      </c>
      <c r="R48" s="19" t="n">
        <v>-23696.64</v>
      </c>
      <c r="S48" s="10" t="n"/>
      <c r="T48" s="10" t="n"/>
      <c r="U48" s="11" t="n"/>
      <c r="V48" s="10" t="n"/>
      <c r="W48" s="10" t="n"/>
      <c r="X48" s="10" t="n"/>
      <c r="Y48" s="10" t="n"/>
      <c r="Z48" s="11" t="n"/>
      <c r="AA48" s="10" t="n"/>
      <c r="AB48" s="10" t="n"/>
      <c r="AC48" s="10" t="n"/>
      <c r="AD48" s="10" t="n"/>
      <c r="AE48" s="11" t="n"/>
    </row>
    <row r="49">
      <c r="A49" t="n">
        <v>1</v>
      </c>
      <c r="C49" t="inlineStr">
        <is>
          <t>이자발생자산</t>
        </is>
      </c>
      <c r="E49" s="18" t="n">
        <v>7009.65</v>
      </c>
      <c r="F49" s="37" t="n">
        <v>7009.65</v>
      </c>
      <c r="G49" s="18" t="n">
        <v>45329.94</v>
      </c>
      <c r="H49" s="18" t="n">
        <v>58743.06</v>
      </c>
      <c r="I49" s="18" t="n">
        <v>32010.3</v>
      </c>
      <c r="J49" s="18" t="n">
        <v>37447.21</v>
      </c>
      <c r="K49" s="37" t="n">
        <v>37447.21</v>
      </c>
      <c r="L49" s="18" t="n">
        <v>40611.52</v>
      </c>
      <c r="M49" s="18" t="n">
        <v>41850.57</v>
      </c>
      <c r="N49" s="18" t="n">
        <v>42844.78</v>
      </c>
      <c r="O49" s="18" t="n">
        <v>40115.99</v>
      </c>
      <c r="P49" s="37" t="n">
        <v>40115.99</v>
      </c>
      <c r="Q49" s="18" t="n">
        <v>42338.97</v>
      </c>
      <c r="R49" s="19" t="n">
        <v>46463.02</v>
      </c>
      <c r="S49" s="10" t="n"/>
      <c r="T49" s="10" t="n"/>
      <c r="U49" s="11" t="n"/>
      <c r="V49" s="10" t="n"/>
      <c r="W49" s="10" t="n"/>
      <c r="X49" s="10" t="n"/>
      <c r="Y49" s="10" t="n"/>
      <c r="Z49" s="11" t="n"/>
      <c r="AA49" s="10" t="n"/>
      <c r="AB49" s="10" t="n"/>
      <c r="AC49" s="10" t="n"/>
      <c r="AD49" s="10" t="n"/>
      <c r="AE49" s="11" t="n"/>
    </row>
    <row r="50">
      <c r="A50" t="n">
        <v>1</v>
      </c>
      <c r="C50" t="inlineStr">
        <is>
          <t>유동성장기부채</t>
        </is>
      </c>
      <c r="E50" s="18" t="n">
        <v>7033.33</v>
      </c>
      <c r="F50" s="37" t="n">
        <v>7033.33</v>
      </c>
      <c r="G50" s="18" t="n">
        <v>8558.33</v>
      </c>
      <c r="H50" s="18" t="n">
        <v>8516.67</v>
      </c>
      <c r="I50" s="18" t="n">
        <v>7676.92</v>
      </c>
      <c r="K50" s="9" t="n"/>
      <c r="P50" s="9" t="n"/>
      <c r="R50" s="5" t="n"/>
      <c r="S50" s="10" t="n"/>
      <c r="T50" s="10" t="n"/>
      <c r="U50" s="11" t="n"/>
      <c r="V50" s="10" t="n"/>
      <c r="W50" s="10" t="n"/>
      <c r="X50" s="10" t="n"/>
      <c r="Y50" s="10" t="n"/>
      <c r="Z50" s="11" t="n"/>
      <c r="AA50" s="10" t="n"/>
      <c r="AB50" s="10" t="n"/>
      <c r="AC50" s="10" t="n"/>
      <c r="AD50" s="10" t="n"/>
      <c r="AE50" s="11" t="n"/>
    </row>
    <row r="51">
      <c r="A51" t="n">
        <v>1</v>
      </c>
      <c r="C51" t="inlineStr">
        <is>
          <t>장기금융부채(face)</t>
        </is>
      </c>
      <c r="F51" s="9" t="n"/>
      <c r="I51" s="18" t="n">
        <v>31850</v>
      </c>
      <c r="J51" s="18" t="n">
        <v>29930.77</v>
      </c>
      <c r="K51" s="37" t="n">
        <v>29930.77</v>
      </c>
      <c r="L51" s="18" t="n">
        <v>28850.54</v>
      </c>
      <c r="M51" s="18" t="n">
        <v>28691.81</v>
      </c>
      <c r="N51" s="18" t="n">
        <v>23193.58</v>
      </c>
      <c r="O51" s="18" t="n">
        <v>19410.35</v>
      </c>
      <c r="P51" s="37" t="n">
        <v>19410.35</v>
      </c>
      <c r="Q51" s="18" t="n">
        <v>18134.62</v>
      </c>
      <c r="R51" s="5" t="n"/>
      <c r="S51" s="10" t="n"/>
      <c r="T51" s="10" t="n"/>
      <c r="U51" s="11" t="n"/>
      <c r="V51" s="10" t="n"/>
      <c r="W51" s="10" t="n"/>
      <c r="X51" s="10" t="n"/>
      <c r="Y51" s="10" t="n"/>
      <c r="Z51" s="11" t="n"/>
      <c r="AA51" s="10" t="n"/>
      <c r="AB51" s="10" t="n"/>
      <c r="AC51" s="10" t="n"/>
      <c r="AD51" s="10" t="n"/>
      <c r="AE51" s="11" t="n"/>
    </row>
    <row r="52">
      <c r="A52" t="n">
        <v>1</v>
      </c>
      <c r="C52" t="inlineStr">
        <is>
          <t>단기금융부채(face)</t>
        </is>
      </c>
      <c r="F52" s="9" t="n"/>
      <c r="J52" s="18" t="n">
        <v>9676.92</v>
      </c>
      <c r="K52" s="37" t="n">
        <v>9676.92</v>
      </c>
      <c r="L52" s="18" t="n">
        <v>9676.92</v>
      </c>
      <c r="M52" s="18" t="n">
        <v>9676.92</v>
      </c>
      <c r="N52" s="18" t="n">
        <v>8498.92</v>
      </c>
      <c r="O52" s="18" t="n">
        <v>5712.92</v>
      </c>
      <c r="P52" s="37" t="n">
        <v>5712.92</v>
      </c>
      <c r="Q52" s="18" t="n">
        <v>5926.92</v>
      </c>
      <c r="R52" s="19" t="n">
        <v>5640.92</v>
      </c>
      <c r="S52" s="10" t="n"/>
      <c r="T52" s="10" t="n"/>
      <c r="U52" s="11" t="n"/>
      <c r="V52" s="10" t="n"/>
      <c r="W52" s="10" t="n"/>
      <c r="X52" s="10" t="n"/>
      <c r="Y52" s="10" t="n"/>
      <c r="Z52" s="11" t="n"/>
      <c r="AA52" s="10" t="n"/>
      <c r="AB52" s="10" t="n"/>
      <c r="AC52" s="10" t="n"/>
      <c r="AD52" s="10" t="n"/>
      <c r="AE52" s="11" t="n"/>
    </row>
    <row r="53">
      <c r="A53" t="n">
        <v>1</v>
      </c>
      <c r="C53" t="inlineStr">
        <is>
          <t>기타비유동부채</t>
        </is>
      </c>
      <c r="F53" s="9" t="n"/>
      <c r="K53" s="9" t="n"/>
      <c r="L53" s="18" t="n">
        <v>67.81999999999999</v>
      </c>
      <c r="O53" s="18" t="n">
        <v>339.6</v>
      </c>
      <c r="P53" s="37" t="n">
        <v>339.6</v>
      </c>
      <c r="Q53" s="18" t="n">
        <v>288.66</v>
      </c>
      <c r="R53" s="19" t="n">
        <v>237.72</v>
      </c>
      <c r="S53" s="10" t="n"/>
      <c r="T53" s="10" t="n"/>
      <c r="U53" s="11" t="n"/>
      <c r="V53" s="10" t="n"/>
      <c r="W53" s="10" t="n"/>
      <c r="X53" s="10" t="n"/>
      <c r="Y53" s="10" t="n"/>
      <c r="Z53" s="11" t="n"/>
      <c r="AA53" s="10" t="n"/>
      <c r="AB53" s="10" t="n"/>
      <c r="AC53" s="10" t="n"/>
      <c r="AD53" s="10" t="n"/>
      <c r="AE53" s="11" t="n"/>
    </row>
    <row r="54">
      <c r="A54" t="n">
        <v>1</v>
      </c>
      <c r="C54" t="inlineStr">
        <is>
          <t>확정급여부채</t>
        </is>
      </c>
      <c r="F54" s="9" t="n"/>
      <c r="K54" s="9" t="n"/>
      <c r="N54" s="18" t="n">
        <v>15.31</v>
      </c>
      <c r="P54" s="9" t="n"/>
      <c r="R54" s="5" t="n"/>
      <c r="S54" s="10" t="n"/>
      <c r="T54" s="10" t="n"/>
      <c r="U54" s="11" t="n"/>
      <c r="V54" s="10" t="n"/>
      <c r="W54" s="10" t="n"/>
      <c r="X54" s="10" t="n"/>
      <c r="Y54" s="10" t="n"/>
      <c r="Z54" s="11" t="n"/>
      <c r="AA54" s="10" t="n"/>
      <c r="AB54" s="10" t="n"/>
      <c r="AC54" s="10" t="n"/>
      <c r="AD54" s="10" t="n"/>
      <c r="AE54" s="11" t="n"/>
    </row>
    <row r="55">
      <c r="A55" t="n">
        <v>1</v>
      </c>
      <c r="C55" t="inlineStr">
        <is>
          <t>비지배주주지분</t>
        </is>
      </c>
      <c r="F55" s="9" t="n"/>
      <c r="K55" s="9" t="n"/>
      <c r="P55" s="9" t="n"/>
      <c r="Q55" s="18" t="n">
        <v>0</v>
      </c>
      <c r="R55" s="19" t="n">
        <v>0</v>
      </c>
      <c r="S55" s="10" t="n"/>
      <c r="T55" s="10" t="n"/>
      <c r="U55" s="11" t="n"/>
      <c r="V55" s="10" t="n"/>
      <c r="W55" s="10" t="n"/>
      <c r="X55" s="10" t="n"/>
      <c r="Y55" s="10" t="n"/>
      <c r="Z55" s="11" t="n"/>
      <c r="AA55" s="10" t="n"/>
      <c r="AB55" s="10" t="n"/>
      <c r="AC55" s="10" t="n"/>
      <c r="AD55" s="10" t="n"/>
      <c r="AE55" s="11" t="n"/>
    </row>
    <row r="56">
      <c r="A56" t="n">
        <v>1</v>
      </c>
      <c r="C56" t="inlineStr">
        <is>
          <t>매출액(수익)</t>
        </is>
      </c>
      <c r="E56" s="18" t="n">
        <v>54838.44</v>
      </c>
      <c r="F56" s="9" t="n"/>
      <c r="G56" s="18" t="n">
        <v>55102.9</v>
      </c>
      <c r="H56" s="18" t="n">
        <v>57615.88</v>
      </c>
      <c r="I56" s="18" t="n">
        <v>54087.72</v>
      </c>
      <c r="J56" s="18" t="n">
        <v>56357.3</v>
      </c>
      <c r="K56" s="37" t="n">
        <v>223163.8</v>
      </c>
      <c r="L56" s="18" t="n">
        <v>58357.52</v>
      </c>
      <c r="M56" s="18" t="n">
        <v>62312.45</v>
      </c>
      <c r="N56" s="18" t="n">
        <v>60592.24</v>
      </c>
      <c r="O56" s="18" t="n">
        <v>66941.62</v>
      </c>
      <c r="P56" s="37" t="n">
        <v>248203.83</v>
      </c>
      <c r="Q56" s="18" t="n">
        <v>64610.11</v>
      </c>
      <c r="R56" s="19" t="n">
        <v>72768.24000000001</v>
      </c>
      <c r="S56" s="10" t="n"/>
      <c r="T56" s="10" t="n"/>
      <c r="U56" s="11" t="n"/>
      <c r="V56" s="10" t="n"/>
      <c r="W56" s="10" t="n"/>
      <c r="X56" s="10" t="n"/>
      <c r="Y56" s="10" t="n"/>
      <c r="Z56" s="11" t="n"/>
      <c r="AA56" s="10" t="n"/>
      <c r="AB56" s="10" t="n"/>
      <c r="AC56" s="10" t="n"/>
      <c r="AD56" s="10" t="n"/>
      <c r="AE56" s="11" t="n"/>
    </row>
    <row r="57">
      <c r="A57" t="n">
        <v>1</v>
      </c>
      <c r="C57" t="inlineStr">
        <is>
          <t>매출원가</t>
        </is>
      </c>
      <c r="E57" s="18" t="n">
        <v>49253.04</v>
      </c>
      <c r="F57" s="9" t="n"/>
      <c r="G57" s="18" t="n">
        <v>46955.04</v>
      </c>
      <c r="H57" s="18" t="n">
        <v>48573.14</v>
      </c>
      <c r="I57" s="18" t="n">
        <v>47808.87</v>
      </c>
      <c r="J57" s="18" t="n">
        <v>49104.36</v>
      </c>
      <c r="K57" s="37" t="n">
        <v>192441.41</v>
      </c>
      <c r="L57" s="18" t="n">
        <v>49097.02</v>
      </c>
      <c r="M57" s="18" t="n">
        <v>51879.26</v>
      </c>
      <c r="N57" s="18" t="n">
        <v>51512</v>
      </c>
      <c r="O57" s="18" t="n">
        <v>57902.61</v>
      </c>
      <c r="P57" s="37" t="n">
        <v>210390.89</v>
      </c>
      <c r="Q57" s="18" t="n">
        <v>53666.83</v>
      </c>
      <c r="R57" s="19" t="n">
        <v>58106.38</v>
      </c>
      <c r="S57" s="10" t="n"/>
      <c r="T57" s="10" t="n"/>
      <c r="U57" s="11" t="n"/>
      <c r="V57" s="10" t="n"/>
      <c r="W57" s="10" t="n"/>
      <c r="X57" s="10" t="n"/>
      <c r="Y57" s="10" t="n"/>
      <c r="Z57" s="11" t="n"/>
      <c r="AA57" s="10" t="n"/>
      <c r="AB57" s="10" t="n"/>
      <c r="AC57" s="10" t="n"/>
      <c r="AD57" s="10" t="n"/>
      <c r="AE57" s="11" t="n"/>
    </row>
    <row r="58">
      <c r="A58" t="n">
        <v>1</v>
      </c>
      <c r="C58" t="inlineStr">
        <is>
          <t>매출총이익</t>
        </is>
      </c>
      <c r="E58" s="18" t="n">
        <v>5585.4</v>
      </c>
      <c r="F58" s="9" t="n"/>
      <c r="G58" s="18" t="n">
        <v>8147.85</v>
      </c>
      <c r="H58" s="18" t="n">
        <v>9042.74</v>
      </c>
      <c r="I58" s="18" t="n">
        <v>6278.85</v>
      </c>
      <c r="J58" s="18" t="n">
        <v>7252.93</v>
      </c>
      <c r="K58" s="37" t="n">
        <v>30722.37</v>
      </c>
      <c r="L58" s="18" t="n">
        <v>9260.5</v>
      </c>
      <c r="M58" s="18" t="n">
        <v>10433.19</v>
      </c>
      <c r="N58" s="18" t="n">
        <v>9080.24</v>
      </c>
      <c r="O58" s="18" t="n">
        <v>9039.01</v>
      </c>
      <c r="P58" s="37" t="n">
        <v>37812.94</v>
      </c>
      <c r="Q58" s="18" t="n">
        <v>10943.27</v>
      </c>
      <c r="R58" s="19" t="n">
        <v>14661.86</v>
      </c>
      <c r="S58" s="10" t="n"/>
      <c r="T58" s="10" t="n"/>
      <c r="U58" s="11" t="n"/>
      <c r="V58" s="10" t="n"/>
      <c r="W58" s="10" t="n"/>
      <c r="X58" s="10" t="n"/>
      <c r="Y58" s="10" t="n"/>
      <c r="Z58" s="11" t="n"/>
      <c r="AA58" s="10" t="n"/>
      <c r="AB58" s="10" t="n"/>
      <c r="AC58" s="10" t="n"/>
      <c r="AD58" s="10" t="n"/>
      <c r="AE58" s="11" t="n"/>
    </row>
    <row r="59">
      <c r="A59" t="n">
        <v>1</v>
      </c>
      <c r="C59" t="inlineStr">
        <is>
          <t>판관비</t>
        </is>
      </c>
      <c r="E59" s="18" t="n">
        <v>2214.72</v>
      </c>
      <c r="F59" s="9" t="n"/>
      <c r="G59" s="18" t="n">
        <v>2227.44</v>
      </c>
      <c r="H59" s="18" t="n">
        <v>2179.23</v>
      </c>
      <c r="I59" s="18" t="n">
        <v>2134.4</v>
      </c>
      <c r="J59" s="18" t="n">
        <v>2632.64</v>
      </c>
      <c r="K59" s="37" t="n">
        <v>9173.709999999999</v>
      </c>
      <c r="L59" s="18" t="n">
        <v>2020.67</v>
      </c>
      <c r="M59" s="18" t="n">
        <v>2174.55</v>
      </c>
      <c r="N59" s="18" t="n">
        <v>2292.22</v>
      </c>
      <c r="O59" s="18" t="n">
        <v>2561.89</v>
      </c>
      <c r="P59" s="37" t="n">
        <v>9049.33</v>
      </c>
      <c r="Q59" s="18" t="n">
        <v>2413.65</v>
      </c>
      <c r="R59" s="19" t="n">
        <v>2478.57</v>
      </c>
      <c r="S59" s="10" t="n"/>
      <c r="T59" s="10" t="n"/>
      <c r="U59" s="11" t="n"/>
      <c r="V59" s="10" t="n"/>
      <c r="W59" s="10" t="n"/>
      <c r="X59" s="10" t="n"/>
      <c r="Y59" s="10" t="n"/>
      <c r="Z59" s="11" t="n"/>
      <c r="AA59" s="10" t="n"/>
      <c r="AB59" s="10" t="n"/>
      <c r="AC59" s="10" t="n"/>
      <c r="AD59" s="10" t="n"/>
      <c r="AE59" s="11" t="n"/>
    </row>
    <row r="60">
      <c r="A60" t="n">
        <v>1</v>
      </c>
      <c r="C60" t="inlineStr">
        <is>
          <t>영업이익</t>
        </is>
      </c>
      <c r="E60" s="18" t="n">
        <v>3370.69</v>
      </c>
      <c r="F60" s="9" t="n"/>
      <c r="G60" s="18" t="n">
        <v>5920.41</v>
      </c>
      <c r="H60" s="18" t="n">
        <v>6863.52</v>
      </c>
      <c r="I60" s="18" t="n">
        <v>4144.45</v>
      </c>
      <c r="J60" s="18" t="n">
        <v>4620.29</v>
      </c>
      <c r="K60" s="37" t="n">
        <v>21548.67</v>
      </c>
      <c r="L60" s="18" t="n">
        <v>7239.83</v>
      </c>
      <c r="M60" s="18" t="n">
        <v>8258.629999999999</v>
      </c>
      <c r="N60" s="18" t="n">
        <v>6788.02</v>
      </c>
      <c r="O60" s="18" t="n">
        <v>6477.12</v>
      </c>
      <c r="P60" s="37" t="n">
        <v>28763.6</v>
      </c>
      <c r="Q60" s="18" t="n">
        <v>8529.620000000001</v>
      </c>
      <c r="R60" s="19" t="n">
        <v>12183.28</v>
      </c>
      <c r="S60" s="10" t="n"/>
      <c r="T60" s="10" t="n"/>
      <c r="U60" s="11" t="n"/>
      <c r="V60" s="10" t="n"/>
      <c r="W60" s="10" t="n"/>
      <c r="X60" s="10" t="n"/>
      <c r="Y60" s="10" t="n"/>
      <c r="Z60" s="11" t="n"/>
      <c r="AA60" s="10" t="n"/>
      <c r="AB60" s="10" t="n"/>
      <c r="AC60" s="10" t="n"/>
      <c r="AD60" s="10" t="n"/>
      <c r="AE60" s="11" t="n"/>
    </row>
    <row r="61">
      <c r="A61" t="n">
        <v>1</v>
      </c>
      <c r="C61" t="inlineStr">
        <is>
          <t>기타영업외수익</t>
        </is>
      </c>
      <c r="E61" s="18" t="n">
        <v>108.63</v>
      </c>
      <c r="F61" s="9" t="n"/>
      <c r="G61" s="18" t="n">
        <v>0.84</v>
      </c>
      <c r="H61" s="18" t="n">
        <v>6.13</v>
      </c>
      <c r="I61" s="18" t="n">
        <v>42.35</v>
      </c>
      <c r="J61" s="18" t="n">
        <v>257.67</v>
      </c>
      <c r="K61" s="37" t="n">
        <v>306.99</v>
      </c>
      <c r="L61" s="18" t="n">
        <v>55.15</v>
      </c>
      <c r="M61" s="18" t="n">
        <v>42.4</v>
      </c>
      <c r="N61" s="18" t="n">
        <v>32.89</v>
      </c>
      <c r="O61" s="18" t="n">
        <v>107.69</v>
      </c>
      <c r="P61" s="37" t="n">
        <v>238.13</v>
      </c>
      <c r="Q61" s="18" t="n">
        <v>174.02</v>
      </c>
      <c r="R61" s="19" t="n">
        <v>15.3</v>
      </c>
      <c r="S61" s="10" t="n"/>
      <c r="T61" s="10" t="n"/>
      <c r="U61" s="11" t="n"/>
      <c r="V61" s="10" t="n"/>
      <c r="W61" s="10" t="n"/>
      <c r="X61" s="10" t="n"/>
      <c r="Y61" s="10" t="n"/>
      <c r="Z61" s="11" t="n"/>
      <c r="AA61" s="10" t="n"/>
      <c r="AB61" s="10" t="n"/>
      <c r="AC61" s="10" t="n"/>
      <c r="AD61" s="10" t="n"/>
      <c r="AE61" s="11" t="n"/>
    </row>
    <row r="62">
      <c r="A62" t="n">
        <v>1</v>
      </c>
      <c r="C62" t="inlineStr">
        <is>
          <t>기타영업외비용</t>
        </is>
      </c>
      <c r="E62" s="18" t="n">
        <v>11.42</v>
      </c>
      <c r="F62" s="9" t="n"/>
      <c r="G62" s="18" t="n">
        <v>48.15</v>
      </c>
      <c r="H62" s="18" t="n">
        <v>0.77</v>
      </c>
      <c r="I62" s="18" t="n">
        <v>5.66</v>
      </c>
      <c r="J62" s="18" t="n">
        <v>43.31</v>
      </c>
      <c r="K62" s="37" t="n">
        <v>97.89</v>
      </c>
      <c r="L62" s="18" t="n">
        <v>45.67</v>
      </c>
      <c r="M62" s="18" t="n">
        <v>106.72</v>
      </c>
      <c r="N62" s="18" t="n">
        <v>77.06999999999999</v>
      </c>
      <c r="O62" s="18" t="n">
        <v>373.7</v>
      </c>
      <c r="P62" s="37" t="n">
        <v>603.16</v>
      </c>
      <c r="Q62" s="18" t="n">
        <v>63.37</v>
      </c>
      <c r="R62" s="19" t="n">
        <v>654.78</v>
      </c>
      <c r="S62" s="10" t="n"/>
      <c r="T62" s="10" t="n"/>
      <c r="U62" s="11" t="n"/>
      <c r="V62" s="10" t="n"/>
      <c r="W62" s="10" t="n"/>
      <c r="X62" s="10" t="n"/>
      <c r="Y62" s="10" t="n"/>
      <c r="Z62" s="11" t="n"/>
      <c r="AA62" s="10" t="n"/>
      <c r="AB62" s="10" t="n"/>
      <c r="AC62" s="10" t="n"/>
      <c r="AD62" s="10" t="n"/>
      <c r="AE62" s="11" t="n"/>
    </row>
    <row r="63">
      <c r="A63" t="n">
        <v>1</v>
      </c>
      <c r="C63" t="inlineStr">
        <is>
          <t>금융수익</t>
        </is>
      </c>
      <c r="E63" s="18" t="n">
        <v>47.58</v>
      </c>
      <c r="F63" s="9" t="n"/>
      <c r="G63" s="18" t="n">
        <v>343.14</v>
      </c>
      <c r="H63" s="18" t="n">
        <v>451.79</v>
      </c>
      <c r="I63" s="18" t="n">
        <v>483.19</v>
      </c>
      <c r="J63" s="18" t="n">
        <v>253.84</v>
      </c>
      <c r="K63" s="37" t="n">
        <v>1531.96</v>
      </c>
      <c r="L63" s="18" t="n">
        <v>238.64</v>
      </c>
      <c r="M63" s="18" t="n">
        <v>286.81</v>
      </c>
      <c r="N63" s="18" t="n">
        <v>228.09</v>
      </c>
      <c r="O63" s="18" t="n">
        <v>247.83</v>
      </c>
      <c r="P63" s="37" t="n">
        <v>1001.37</v>
      </c>
      <c r="Q63" s="18" t="n">
        <v>220.11</v>
      </c>
      <c r="R63" s="19" t="n">
        <v>241.23</v>
      </c>
      <c r="S63" s="10" t="n"/>
      <c r="T63" s="10" t="n"/>
      <c r="U63" s="11" t="n"/>
      <c r="V63" s="10" t="n"/>
      <c r="W63" s="10" t="n"/>
      <c r="X63" s="10" t="n"/>
      <c r="Y63" s="10" t="n"/>
      <c r="Z63" s="11" t="n"/>
      <c r="AA63" s="10" t="n"/>
      <c r="AB63" s="10" t="n"/>
      <c r="AC63" s="10" t="n"/>
      <c r="AD63" s="10" t="n"/>
      <c r="AE63" s="11" t="n"/>
    </row>
    <row r="64">
      <c r="A64" t="n">
        <v>1</v>
      </c>
      <c r="C64" t="inlineStr">
        <is>
          <t>금융비용</t>
        </is>
      </c>
      <c r="E64" s="18" t="n">
        <v>623.29</v>
      </c>
      <c r="F64" s="9" t="n"/>
      <c r="G64" s="18" t="n">
        <v>913.2</v>
      </c>
      <c r="H64" s="18" t="n">
        <v>881.96</v>
      </c>
      <c r="I64" s="18" t="n">
        <v>843.58</v>
      </c>
      <c r="J64" s="18" t="n">
        <v>815.66</v>
      </c>
      <c r="K64" s="37" t="n">
        <v>3454.4</v>
      </c>
      <c r="L64" s="18" t="n">
        <v>712.11</v>
      </c>
      <c r="M64" s="18" t="n">
        <v>673.47</v>
      </c>
      <c r="N64" s="18" t="n">
        <v>658.6900000000001</v>
      </c>
      <c r="O64" s="18" t="n">
        <v>559.66</v>
      </c>
      <c r="P64" s="37" t="n">
        <v>2603.93</v>
      </c>
      <c r="Q64" s="18" t="n">
        <v>464.37</v>
      </c>
      <c r="R64" s="19" t="n">
        <v>438.76</v>
      </c>
      <c r="S64" s="10" t="n"/>
      <c r="T64" s="10" t="n"/>
      <c r="U64" s="11" t="n"/>
      <c r="V64" s="10" t="n"/>
      <c r="W64" s="10" t="n"/>
      <c r="X64" s="10" t="n"/>
      <c r="Y64" s="10" t="n"/>
      <c r="Z64" s="11" t="n"/>
      <c r="AA64" s="10" t="n"/>
      <c r="AB64" s="10" t="n"/>
      <c r="AC64" s="10" t="n"/>
      <c r="AD64" s="10" t="n"/>
      <c r="AE64" s="11" t="n"/>
    </row>
    <row r="65">
      <c r="A65" t="n">
        <v>1</v>
      </c>
      <c r="C65" t="inlineStr">
        <is>
          <t>법인세비용차감전계속사업이익</t>
        </is>
      </c>
      <c r="E65" s="18" t="n">
        <v>2892.19</v>
      </c>
      <c r="F65" s="9" t="n"/>
      <c r="G65" s="18" t="n">
        <v>5303.04</v>
      </c>
      <c r="H65" s="18" t="n">
        <v>6438.7</v>
      </c>
      <c r="I65" s="18" t="n">
        <v>3820.75</v>
      </c>
      <c r="J65" s="18" t="n">
        <v>4272.83</v>
      </c>
      <c r="K65" s="37" t="n">
        <v>19835.32</v>
      </c>
      <c r="L65" s="18" t="n">
        <v>6775.83</v>
      </c>
      <c r="M65" s="18" t="n">
        <v>7807.65</v>
      </c>
      <c r="N65" s="18" t="n">
        <v>6313.24</v>
      </c>
      <c r="O65" s="18" t="n">
        <v>5899.28</v>
      </c>
      <c r="P65" s="37" t="n">
        <v>26796</v>
      </c>
      <c r="Q65" s="18" t="n">
        <v>8396</v>
      </c>
      <c r="R65" s="19" t="n">
        <v>11346.27</v>
      </c>
      <c r="S65" s="10" t="n"/>
      <c r="T65" s="10" t="n"/>
      <c r="U65" s="11" t="n"/>
      <c r="V65" s="10" t="n"/>
      <c r="W65" s="10" t="n"/>
      <c r="X65" s="10" t="n"/>
      <c r="Y65" s="10" t="n"/>
      <c r="Z65" s="11" t="n"/>
      <c r="AA65" s="10" t="n"/>
      <c r="AB65" s="10" t="n"/>
      <c r="AC65" s="10" t="n"/>
      <c r="AD65" s="10" t="n"/>
      <c r="AE65" s="11" t="n"/>
    </row>
    <row r="66">
      <c r="A66" t="n">
        <v>1</v>
      </c>
      <c r="C66" t="inlineStr">
        <is>
          <t>법인세비용</t>
        </is>
      </c>
      <c r="E66" s="18" t="n">
        <v>51.98</v>
      </c>
      <c r="F66" s="9" t="n"/>
      <c r="G66" s="18" t="n">
        <v>1019.33</v>
      </c>
      <c r="H66" s="18" t="n">
        <v>1367.81</v>
      </c>
      <c r="I66" s="18" t="n">
        <v>-34.85</v>
      </c>
      <c r="J66" s="18" t="n">
        <v>924.55</v>
      </c>
      <c r="K66" s="37" t="n">
        <v>3276.84</v>
      </c>
      <c r="L66" s="18" t="n">
        <v>1277.57</v>
      </c>
      <c r="M66" s="18" t="n">
        <v>1551.47</v>
      </c>
      <c r="N66" s="18" t="n">
        <v>1260.01</v>
      </c>
      <c r="O66" s="18" t="n">
        <v>1308.7</v>
      </c>
      <c r="P66" s="37" t="n">
        <v>5397.75</v>
      </c>
      <c r="Q66" s="18" t="n">
        <v>1843.87</v>
      </c>
      <c r="R66" s="19" t="n">
        <v>2632</v>
      </c>
      <c r="S66" s="10" t="n"/>
      <c r="T66" s="10" t="n"/>
      <c r="U66" s="11" t="n"/>
      <c r="V66" s="10" t="n"/>
      <c r="W66" s="10" t="n"/>
      <c r="X66" s="10" t="n"/>
      <c r="Y66" s="10" t="n"/>
      <c r="Z66" s="11" t="n"/>
      <c r="AA66" s="10" t="n"/>
      <c r="AB66" s="10" t="n"/>
      <c r="AC66" s="10" t="n"/>
      <c r="AD66" s="10" t="n"/>
      <c r="AE66" s="11" t="n"/>
    </row>
    <row r="67">
      <c r="A67" t="n">
        <v>1</v>
      </c>
      <c r="C67" t="inlineStr">
        <is>
          <t>당기순이익</t>
        </is>
      </c>
      <c r="E67" s="18" t="n">
        <v>2840.21</v>
      </c>
      <c r="F67" s="9" t="n"/>
      <c r="G67" s="18" t="n">
        <v>4283.71</v>
      </c>
      <c r="H67" s="18" t="n">
        <v>5070.89</v>
      </c>
      <c r="I67" s="18" t="n">
        <v>3855.59</v>
      </c>
      <c r="J67" s="18" t="n">
        <v>3348.28</v>
      </c>
      <c r="K67" s="37" t="n">
        <v>16558.47</v>
      </c>
      <c r="L67" s="18" t="n">
        <v>5498.26</v>
      </c>
      <c r="M67" s="18" t="n">
        <v>6256.19</v>
      </c>
      <c r="N67" s="18" t="n">
        <v>5053.23</v>
      </c>
      <c r="O67" s="18" t="n">
        <v>4590.58</v>
      </c>
      <c r="P67" s="37" t="n">
        <v>21398.26</v>
      </c>
      <c r="Q67" s="18" t="n">
        <v>6552.13</v>
      </c>
      <c r="R67" s="19" t="n">
        <v>8714.27</v>
      </c>
      <c r="S67" s="10" t="n"/>
      <c r="T67" s="10" t="n"/>
      <c r="U67" s="11" t="n"/>
      <c r="V67" s="10" t="n"/>
      <c r="W67" s="10" t="n"/>
      <c r="X67" s="10" t="n"/>
      <c r="Y67" s="10" t="n"/>
      <c r="Z67" s="11" t="n"/>
      <c r="AA67" s="10" t="n"/>
      <c r="AB67" s="10" t="n"/>
      <c r="AC67" s="10" t="n"/>
      <c r="AD67" s="10" t="n"/>
      <c r="AE67" s="11" t="n"/>
    </row>
    <row r="68">
      <c r="A68" t="n">
        <v>1</v>
      </c>
      <c r="C68" t="inlineStr">
        <is>
          <t>(지배주주지분)당기순이익</t>
        </is>
      </c>
      <c r="E68" s="18" t="n">
        <v>2840.21</v>
      </c>
      <c r="F68" s="9" t="n"/>
      <c r="G68" s="18" t="n">
        <v>4283.71</v>
      </c>
      <c r="H68" s="18" t="n">
        <v>5070.89</v>
      </c>
      <c r="I68" s="18" t="n">
        <v>3855.59</v>
      </c>
      <c r="J68" s="18" t="n">
        <v>3348.28</v>
      </c>
      <c r="K68" s="37" t="n">
        <v>16558.47</v>
      </c>
      <c r="L68" s="18" t="n">
        <v>5498.26</v>
      </c>
      <c r="M68" s="18" t="n">
        <v>6256.19</v>
      </c>
      <c r="N68" s="18" t="n">
        <v>5053.23</v>
      </c>
      <c r="O68" s="18" t="n">
        <v>4590.58</v>
      </c>
      <c r="P68" s="37" t="n">
        <v>21398.26</v>
      </c>
      <c r="Q68" s="18" t="n">
        <v>6552.13</v>
      </c>
      <c r="R68" s="19" t="n">
        <v>8714.27</v>
      </c>
      <c r="S68" s="10" t="n"/>
      <c r="T68" s="10" t="n"/>
      <c r="U68" s="11" t="n"/>
      <c r="V68" s="10" t="n"/>
      <c r="W68" s="10" t="n"/>
      <c r="X68" s="10" t="n"/>
      <c r="Y68" s="10" t="n"/>
      <c r="Z68" s="11" t="n"/>
      <c r="AA68" s="10" t="n"/>
      <c r="AB68" s="10" t="n"/>
      <c r="AC68" s="10" t="n"/>
      <c r="AD68" s="10" t="n"/>
      <c r="AE68" s="11" t="n"/>
    </row>
    <row r="69">
      <c r="A69" t="n">
        <v>1</v>
      </c>
      <c r="C69" t="inlineStr">
        <is>
          <t>총포괄손익</t>
        </is>
      </c>
      <c r="E69" s="18" t="n">
        <v>1836.48</v>
      </c>
      <c r="F69" s="9" t="n"/>
      <c r="G69" s="18" t="n">
        <v>4273.38</v>
      </c>
      <c r="H69" s="18" t="n">
        <v>5070.28</v>
      </c>
      <c r="I69" s="18" t="n">
        <v>3855.22</v>
      </c>
      <c r="J69" s="18" t="n">
        <v>2640.3</v>
      </c>
      <c r="K69" s="37" t="n">
        <v>15839.18</v>
      </c>
      <c r="L69" s="18" t="n">
        <v>5481.74</v>
      </c>
      <c r="M69" s="18" t="n">
        <v>6256.74</v>
      </c>
      <c r="N69" s="18" t="n">
        <v>5055.16</v>
      </c>
      <c r="O69" s="18" t="n">
        <v>5131.58</v>
      </c>
      <c r="P69" s="37" t="n">
        <v>21925.22</v>
      </c>
      <c r="Q69" s="18" t="n">
        <v>6570.42</v>
      </c>
      <c r="R69" s="19" t="n">
        <v>8657.98</v>
      </c>
      <c r="S69" s="10" t="n"/>
      <c r="T69" s="10" t="n"/>
      <c r="U69" s="11" t="n"/>
      <c r="V69" s="10" t="n"/>
      <c r="W69" s="10" t="n"/>
      <c r="X69" s="10" t="n"/>
      <c r="Y69" s="10" t="n"/>
      <c r="Z69" s="11" t="n"/>
      <c r="AA69" s="10" t="n"/>
      <c r="AB69" s="10" t="n"/>
      <c r="AC69" s="10" t="n"/>
      <c r="AD69" s="10" t="n"/>
      <c r="AE69" s="11" t="n"/>
    </row>
    <row r="70">
      <c r="A70" t="n">
        <v>1</v>
      </c>
      <c r="C70" t="inlineStr">
        <is>
          <t>금융손익</t>
        </is>
      </c>
      <c r="E70" s="18" t="n">
        <v>-575.71</v>
      </c>
      <c r="F70" s="9" t="n"/>
      <c r="G70" s="18" t="n">
        <v>-570.0599999999999</v>
      </c>
      <c r="H70" s="18" t="n">
        <v>-430.17</v>
      </c>
      <c r="I70" s="18" t="n">
        <v>-360.39</v>
      </c>
      <c r="J70" s="18" t="n">
        <v>-561.8200000000001</v>
      </c>
      <c r="K70" s="37" t="n">
        <v>-1922.44</v>
      </c>
      <c r="L70" s="18" t="n">
        <v>-473.47</v>
      </c>
      <c r="M70" s="18" t="n">
        <v>-386.66</v>
      </c>
      <c r="N70" s="18" t="n">
        <v>-430.6</v>
      </c>
      <c r="O70" s="18" t="n">
        <v>-311.83</v>
      </c>
      <c r="P70" s="37" t="n">
        <v>-1602.56</v>
      </c>
      <c r="Q70" s="18" t="n">
        <v>-244.26</v>
      </c>
      <c r="R70" s="19" t="n">
        <v>-197.53</v>
      </c>
      <c r="S70" s="10" t="n"/>
      <c r="T70" s="10" t="n"/>
      <c r="U70" s="11" t="n"/>
      <c r="V70" s="10" t="n"/>
      <c r="W70" s="10" t="n"/>
      <c r="X70" s="10" t="n"/>
      <c r="Y70" s="10" t="n"/>
      <c r="Z70" s="11" t="n"/>
      <c r="AA70" s="10" t="n"/>
      <c r="AB70" s="10" t="n"/>
      <c r="AC70" s="10" t="n"/>
      <c r="AD70" s="10" t="n"/>
      <c r="AE70" s="11" t="n"/>
    </row>
    <row r="71">
      <c r="A71" t="n">
        <v>1</v>
      </c>
      <c r="C71" t="inlineStr">
        <is>
          <t>기타영업외손익</t>
        </is>
      </c>
      <c r="E71" s="18" t="n">
        <v>97.20999999999999</v>
      </c>
      <c r="F71" s="9" t="n"/>
      <c r="G71" s="18" t="n">
        <v>-47.31</v>
      </c>
      <c r="H71" s="18" t="n">
        <v>5.36</v>
      </c>
      <c r="I71" s="18" t="n">
        <v>36.69</v>
      </c>
      <c r="J71" s="18" t="n">
        <v>214.36</v>
      </c>
      <c r="K71" s="37" t="n">
        <v>209.1</v>
      </c>
      <c r="L71" s="18" t="n">
        <v>9.48</v>
      </c>
      <c r="M71" s="18" t="n">
        <v>-64.31999999999999</v>
      </c>
      <c r="N71" s="18" t="n">
        <v>-44.18</v>
      </c>
      <c r="O71" s="18" t="n">
        <v>-266.01</v>
      </c>
      <c r="P71" s="37" t="n">
        <v>-365.03</v>
      </c>
      <c r="Q71" s="18" t="n">
        <v>110.65</v>
      </c>
      <c r="R71" s="19" t="n">
        <v>-639.48</v>
      </c>
      <c r="S71" s="10" t="n"/>
      <c r="T71" s="10" t="n"/>
      <c r="U71" s="11" t="n"/>
      <c r="V71" s="10" t="n"/>
      <c r="W71" s="10" t="n"/>
      <c r="X71" s="10" t="n"/>
      <c r="Y71" s="10" t="n"/>
      <c r="Z71" s="11" t="n"/>
      <c r="AA71" s="10" t="n"/>
      <c r="AB71" s="10" t="n"/>
      <c r="AC71" s="10" t="n"/>
      <c r="AD71" s="10" t="n"/>
      <c r="AE71" s="11" t="n"/>
    </row>
    <row r="72">
      <c r="A72" t="n">
        <v>1</v>
      </c>
      <c r="C72" t="inlineStr">
        <is>
          <t>계속사업이익</t>
        </is>
      </c>
      <c r="E72" s="18" t="n">
        <v>2840.21</v>
      </c>
      <c r="F72" s="9" t="n"/>
      <c r="G72" s="18" t="n">
        <v>4283.71</v>
      </c>
      <c r="H72" s="18" t="n">
        <v>5070.89</v>
      </c>
      <c r="I72" s="18" t="n">
        <v>3855.59</v>
      </c>
      <c r="J72" s="18" t="n">
        <v>3348.28</v>
      </c>
      <c r="K72" s="37" t="n">
        <v>16558.47</v>
      </c>
      <c r="L72" s="18" t="n">
        <v>5498.26</v>
      </c>
      <c r="M72" s="18" t="n">
        <v>6256.19</v>
      </c>
      <c r="N72" s="18" t="n">
        <v>5053.23</v>
      </c>
      <c r="O72" s="18" t="n">
        <v>4590.58</v>
      </c>
      <c r="P72" s="37" t="n">
        <v>21398.26</v>
      </c>
      <c r="Q72" s="18" t="n">
        <v>6552.13</v>
      </c>
      <c r="R72" s="19" t="n">
        <v>8714.27</v>
      </c>
      <c r="S72" s="10" t="n"/>
      <c r="T72" s="10" t="n"/>
      <c r="U72" s="11" t="n"/>
      <c r="V72" s="10" t="n"/>
      <c r="W72" s="10" t="n"/>
      <c r="X72" s="10" t="n"/>
      <c r="Y72" s="10" t="n"/>
      <c r="Z72" s="11" t="n"/>
      <c r="AA72" s="10" t="n"/>
      <c r="AB72" s="10" t="n"/>
      <c r="AC72" s="10" t="n"/>
      <c r="AD72" s="10" t="n"/>
      <c r="AE72" s="11" t="n"/>
    </row>
    <row r="73">
      <c r="A73" t="n">
        <v>1</v>
      </c>
      <c r="C73" t="inlineStr">
        <is>
          <t>이자수익</t>
        </is>
      </c>
      <c r="E73" s="18" t="n">
        <v>44.07</v>
      </c>
      <c r="F73" s="9" t="n"/>
      <c r="G73" s="18" t="n">
        <v>273.64</v>
      </c>
      <c r="H73" s="18" t="n">
        <v>418.47</v>
      </c>
      <c r="I73" s="18" t="n">
        <v>460.88</v>
      </c>
      <c r="J73" s="18" t="n">
        <v>242.79</v>
      </c>
      <c r="K73" s="37" t="n">
        <v>1395.78</v>
      </c>
      <c r="L73" s="18" t="n">
        <v>236.82</v>
      </c>
      <c r="M73" s="18" t="n">
        <v>235.78</v>
      </c>
      <c r="N73" s="18" t="n">
        <v>219.71</v>
      </c>
      <c r="O73" s="18" t="n">
        <v>242.13</v>
      </c>
      <c r="P73" s="37" t="n">
        <v>934.4400000000001</v>
      </c>
      <c r="R73" s="19" t="n">
        <v>221.42</v>
      </c>
      <c r="S73" s="10" t="n"/>
      <c r="T73" s="10" t="n"/>
      <c r="U73" s="11" t="n"/>
      <c r="V73" s="10" t="n"/>
      <c r="W73" s="10" t="n"/>
      <c r="X73" s="10" t="n"/>
      <c r="Y73" s="10" t="n"/>
      <c r="Z73" s="11" t="n"/>
      <c r="AA73" s="10" t="n"/>
      <c r="AB73" s="10" t="n"/>
      <c r="AC73" s="10" t="n"/>
      <c r="AD73" s="10" t="n"/>
      <c r="AE73" s="11" t="n"/>
    </row>
    <row r="74">
      <c r="A74" t="n">
        <v>1</v>
      </c>
      <c r="C74" t="inlineStr">
        <is>
          <t>이자비용</t>
        </is>
      </c>
      <c r="E74" s="18" t="n">
        <v>596.37</v>
      </c>
      <c r="F74" s="9" t="n"/>
      <c r="G74" s="18" t="n">
        <v>554.76</v>
      </c>
      <c r="H74" s="18" t="n">
        <v>520.45</v>
      </c>
      <c r="I74" s="18" t="n">
        <v>499.9</v>
      </c>
      <c r="J74" s="18" t="n">
        <v>462.8</v>
      </c>
      <c r="K74" s="37" t="n">
        <v>2037.91</v>
      </c>
      <c r="L74" s="18" t="n">
        <v>402.43</v>
      </c>
      <c r="M74" s="18" t="n">
        <v>377.12</v>
      </c>
      <c r="N74" s="18" t="n">
        <v>319.01</v>
      </c>
      <c r="O74" s="18" t="n">
        <v>276.21</v>
      </c>
      <c r="P74" s="37" t="n">
        <v>1374.77</v>
      </c>
      <c r="R74" s="19" t="n">
        <v>206.32</v>
      </c>
      <c r="S74" s="10" t="n"/>
      <c r="T74" s="10" t="n"/>
      <c r="U74" s="11" t="n"/>
      <c r="V74" s="10" t="n"/>
      <c r="W74" s="10" t="n"/>
      <c r="X74" s="10" t="n"/>
      <c r="Y74" s="10" t="n"/>
      <c r="Z74" s="11" t="n"/>
      <c r="AA74" s="10" t="n"/>
      <c r="AB74" s="10" t="n"/>
      <c r="AC74" s="10" t="n"/>
      <c r="AD74" s="10" t="n"/>
      <c r="AE74" s="11" t="n"/>
    </row>
    <row r="75">
      <c r="A75" t="n">
        <v>1</v>
      </c>
      <c r="C75" t="inlineStr">
        <is>
          <t>외환차익</t>
        </is>
      </c>
      <c r="E75" s="18" t="n">
        <v>2.83</v>
      </c>
      <c r="F75" s="9" t="n"/>
      <c r="G75" s="18" t="n">
        <v>33.24</v>
      </c>
      <c r="H75" s="18" t="n">
        <v>24.06</v>
      </c>
      <c r="I75" s="18" t="n">
        <v>14.9</v>
      </c>
      <c r="J75" s="18" t="n">
        <v>11.03</v>
      </c>
      <c r="K75" s="37" t="n">
        <v>83.23</v>
      </c>
      <c r="L75" s="18" t="n">
        <v>1.82</v>
      </c>
      <c r="M75" s="18" t="n">
        <v>7.04</v>
      </c>
      <c r="N75" s="18" t="n">
        <v>1.85</v>
      </c>
      <c r="O75" s="18" t="n">
        <v>2.85</v>
      </c>
      <c r="P75" s="37" t="n">
        <v>13.56</v>
      </c>
      <c r="R75" s="19" t="n">
        <v>4.78</v>
      </c>
      <c r="S75" s="10" t="n"/>
      <c r="T75" s="10" t="n"/>
      <c r="U75" s="11" t="n"/>
      <c r="V75" s="10" t="n"/>
      <c r="W75" s="10" t="n"/>
      <c r="X75" s="10" t="n"/>
      <c r="Y75" s="10" t="n"/>
      <c r="Z75" s="11" t="n"/>
      <c r="AA75" s="10" t="n"/>
      <c r="AB75" s="10" t="n"/>
      <c r="AC75" s="10" t="n"/>
      <c r="AD75" s="10" t="n"/>
      <c r="AE75" s="11" t="n"/>
    </row>
    <row r="76">
      <c r="A76" t="n">
        <v>1</v>
      </c>
      <c r="C76" t="inlineStr">
        <is>
          <t>외환차손</t>
        </is>
      </c>
      <c r="E76" s="18" t="n">
        <v>4.51</v>
      </c>
      <c r="F76" s="9" t="n"/>
      <c r="G76" s="18" t="n">
        <v>2.31</v>
      </c>
      <c r="H76" s="18" t="n">
        <v>2.48</v>
      </c>
      <c r="I76" s="18" t="n">
        <v>2.75</v>
      </c>
      <c r="J76" s="18" t="n">
        <v>2.75</v>
      </c>
      <c r="K76" s="37" t="n">
        <v>10.29</v>
      </c>
      <c r="L76" s="18" t="n">
        <v>1.92</v>
      </c>
      <c r="M76" s="18" t="n">
        <v>3.65</v>
      </c>
      <c r="N76" s="18" t="n">
        <v>6.87</v>
      </c>
      <c r="O76" s="18" t="n">
        <v>12.7</v>
      </c>
      <c r="P76" s="37" t="n">
        <v>25.14</v>
      </c>
      <c r="R76" s="19" t="n">
        <v>6.46</v>
      </c>
      <c r="S76" s="10" t="n"/>
      <c r="T76" s="10" t="n"/>
      <c r="U76" s="11" t="n"/>
      <c r="V76" s="10" t="n"/>
      <c r="W76" s="10" t="n"/>
      <c r="X76" s="10" t="n"/>
      <c r="Y76" s="10" t="n"/>
      <c r="Z76" s="11" t="n"/>
      <c r="AA76" s="10" t="n"/>
      <c r="AB76" s="10" t="n"/>
      <c r="AC76" s="10" t="n"/>
      <c r="AD76" s="10" t="n"/>
      <c r="AE76" s="11" t="n"/>
    </row>
    <row r="77">
      <c r="A77" t="n">
        <v>1</v>
      </c>
      <c r="C77" t="inlineStr">
        <is>
          <t>외화환산이익</t>
        </is>
      </c>
      <c r="E77" s="18" t="n">
        <v>0.67</v>
      </c>
      <c r="F77" s="9" t="n"/>
      <c r="G77" s="18" t="n">
        <v>16.69</v>
      </c>
      <c r="H77" s="18" t="n">
        <v>6.73</v>
      </c>
      <c r="I77" s="18" t="n">
        <v>0.31</v>
      </c>
      <c r="J77" s="18" t="n">
        <v>0</v>
      </c>
      <c r="K77" s="37" t="n">
        <v>23.73</v>
      </c>
      <c r="M77" s="18" t="n">
        <v>1.97</v>
      </c>
      <c r="N77" s="18" t="n">
        <v>-1.56</v>
      </c>
      <c r="O77" s="18" t="n">
        <v>0.58</v>
      </c>
      <c r="P77" s="9" t="n"/>
      <c r="R77" s="19" t="n">
        <v>-2.17</v>
      </c>
      <c r="S77" s="10" t="n"/>
      <c r="T77" s="10" t="n"/>
      <c r="U77" s="11" t="n"/>
      <c r="V77" s="10" t="n"/>
      <c r="W77" s="10" t="n"/>
      <c r="X77" s="10" t="n"/>
      <c r="Y77" s="10" t="n"/>
      <c r="Z77" s="11" t="n"/>
      <c r="AA77" s="10" t="n"/>
      <c r="AB77" s="10" t="n"/>
      <c r="AC77" s="10" t="n"/>
      <c r="AD77" s="10" t="n"/>
      <c r="AE77" s="11" t="n"/>
    </row>
    <row r="78">
      <c r="A78" t="n">
        <v>1</v>
      </c>
      <c r="C78" t="inlineStr">
        <is>
          <t>외화환산손실</t>
        </is>
      </c>
      <c r="E78" s="18" t="n">
        <v>0</v>
      </c>
      <c r="F78" s="9" t="n"/>
      <c r="G78" s="18" t="n">
        <v>0.89</v>
      </c>
      <c r="H78" s="18" t="n">
        <v>0.2</v>
      </c>
      <c r="I78" s="18" t="n">
        <v>11.46</v>
      </c>
      <c r="J78" s="18" t="n">
        <v>10.15</v>
      </c>
      <c r="K78" s="37" t="n">
        <v>22.7</v>
      </c>
      <c r="L78" s="18" t="n">
        <v>0.58</v>
      </c>
      <c r="M78" s="18" t="n">
        <v>-0.49</v>
      </c>
      <c r="N78" s="18" t="n">
        <v>0.96</v>
      </c>
      <c r="O78" s="18" t="n">
        <v>1.12</v>
      </c>
      <c r="P78" s="37" t="n">
        <v>2.17</v>
      </c>
      <c r="R78" s="19" t="n">
        <v>1.07</v>
      </c>
      <c r="S78" s="10" t="n"/>
      <c r="T78" s="10" t="n"/>
      <c r="U78" s="11" t="n"/>
      <c r="V78" s="10" t="n"/>
      <c r="W78" s="10" t="n"/>
      <c r="X78" s="10" t="n"/>
      <c r="Y78" s="10" t="n"/>
      <c r="Z78" s="11" t="n"/>
      <c r="AA78" s="10" t="n"/>
      <c r="AB78" s="10" t="n"/>
      <c r="AC78" s="10" t="n"/>
      <c r="AD78" s="10" t="n"/>
      <c r="AE78" s="11" t="n"/>
    </row>
    <row r="79">
      <c r="A79" t="n">
        <v>1</v>
      </c>
      <c r="C79" t="inlineStr">
        <is>
          <t>이자손익</t>
        </is>
      </c>
      <c r="E79" s="18" t="n">
        <v>-552.3</v>
      </c>
      <c r="F79" s="9" t="n"/>
      <c r="G79" s="18" t="n">
        <v>-281.12</v>
      </c>
      <c r="H79" s="18" t="n">
        <v>-101.98</v>
      </c>
      <c r="I79" s="18" t="n">
        <v>-39.02</v>
      </c>
      <c r="J79" s="18" t="n">
        <v>-220.01</v>
      </c>
      <c r="K79" s="37" t="n">
        <v>-642.13</v>
      </c>
      <c r="L79" s="18" t="n">
        <v>-165.61</v>
      </c>
      <c r="M79" s="18" t="n">
        <v>-141.34</v>
      </c>
      <c r="N79" s="18" t="n">
        <v>-99.3</v>
      </c>
      <c r="O79" s="18" t="n">
        <v>-34.08</v>
      </c>
      <c r="P79" s="37" t="n">
        <v>-440.33</v>
      </c>
      <c r="R79" s="19" t="n">
        <v>15.1</v>
      </c>
      <c r="S79" s="10" t="n"/>
      <c r="T79" s="10" t="n"/>
      <c r="U79" s="11" t="n"/>
      <c r="V79" s="10" t="n"/>
      <c r="W79" s="10" t="n"/>
      <c r="X79" s="10" t="n"/>
      <c r="Y79" s="10" t="n"/>
      <c r="Z79" s="11" t="n"/>
      <c r="AA79" s="10" t="n"/>
      <c r="AB79" s="10" t="n"/>
      <c r="AC79" s="10" t="n"/>
      <c r="AD79" s="10" t="n"/>
      <c r="AE79" s="11" t="n"/>
    </row>
    <row r="80">
      <c r="A80" t="n">
        <v>1</v>
      </c>
      <c r="C80" t="inlineStr">
        <is>
          <t>(비지배주주지분)당기순이익</t>
        </is>
      </c>
      <c r="F80" s="9" t="n"/>
      <c r="K80" s="9" t="n"/>
      <c r="P80" s="9" t="n"/>
      <c r="Q80" s="18" t="n">
        <v>0</v>
      </c>
      <c r="R80" s="19" t="n">
        <v>0</v>
      </c>
      <c r="S80" s="10" t="n"/>
      <c r="T80" s="10" t="n"/>
      <c r="U80" s="11" t="n"/>
      <c r="V80" s="10" t="n"/>
      <c r="W80" s="10" t="n"/>
      <c r="X80" s="10" t="n"/>
      <c r="Y80" s="10" t="n"/>
      <c r="Z80" s="11" t="n"/>
      <c r="AA80" s="10" t="n"/>
      <c r="AB80" s="10" t="n"/>
      <c r="AC80" s="10" t="n"/>
      <c r="AD80" s="10" t="n"/>
      <c r="AE80" s="11" t="n"/>
    </row>
    <row r="81">
      <c r="A81" t="n">
        <v>1</v>
      </c>
      <c r="C81" t="inlineStr">
        <is>
          <t>영업활동으로인한현금흐름</t>
        </is>
      </c>
      <c r="E81" s="18" t="n">
        <v>2314.46</v>
      </c>
      <c r="F81" s="9" t="n"/>
      <c r="G81" s="18" t="n">
        <v>2688.39</v>
      </c>
      <c r="H81" s="18" t="n">
        <v>15647.19</v>
      </c>
      <c r="I81" s="18" t="n">
        <v>2938.3</v>
      </c>
      <c r="J81" s="18" t="n">
        <v>10103.9</v>
      </c>
      <c r="K81" s="37" t="n">
        <v>31377.78</v>
      </c>
      <c r="L81" s="18" t="n">
        <v>10071.76</v>
      </c>
      <c r="M81" s="18" t="n">
        <v>7964.27</v>
      </c>
      <c r="N81" s="18" t="n">
        <v>12079.76</v>
      </c>
      <c r="O81" s="18" t="n">
        <v>6901.99</v>
      </c>
      <c r="P81" s="37" t="n">
        <v>37017.78</v>
      </c>
      <c r="Q81" s="18" t="n">
        <v>8954.08</v>
      </c>
      <c r="R81" s="19" t="n">
        <v>10475.1</v>
      </c>
      <c r="S81" s="10" t="n"/>
      <c r="T81" s="10" t="n"/>
      <c r="U81" s="11" t="n"/>
      <c r="V81" s="10" t="n"/>
      <c r="W81" s="10" t="n"/>
      <c r="X81" s="10" t="n"/>
      <c r="Y81" s="10" t="n"/>
      <c r="Z81" s="11" t="n"/>
      <c r="AA81" s="10" t="n"/>
      <c r="AB81" s="10" t="n"/>
      <c r="AC81" s="10" t="n"/>
      <c r="AD81" s="10" t="n"/>
      <c r="AE81" s="11" t="n"/>
    </row>
    <row r="82">
      <c r="A82" t="n">
        <v>1</v>
      </c>
      <c r="C82" t="inlineStr">
        <is>
          <t>이자수취(CF)</t>
        </is>
      </c>
      <c r="E82" s="18" t="n">
        <v>40.76</v>
      </c>
      <c r="F82" s="9" t="n"/>
      <c r="G82" s="18" t="n">
        <v>110.88</v>
      </c>
      <c r="H82" s="18" t="n">
        <v>268.43</v>
      </c>
      <c r="I82" s="18" t="n">
        <v>752.84</v>
      </c>
      <c r="J82" s="18" t="n">
        <v>244.72</v>
      </c>
      <c r="K82" s="37" t="n">
        <v>1376.87</v>
      </c>
      <c r="L82" s="18" t="n">
        <v>249.93</v>
      </c>
      <c r="M82" s="18" t="n">
        <v>154.91</v>
      </c>
      <c r="N82" s="18" t="n">
        <v>284.67</v>
      </c>
      <c r="O82" s="18" t="n">
        <v>200.48</v>
      </c>
      <c r="P82" s="37" t="n">
        <v>889.99</v>
      </c>
      <c r="Q82" s="18" t="n">
        <v>276.05</v>
      </c>
      <c r="R82" s="19" t="n">
        <v>208.22</v>
      </c>
      <c r="S82" s="10" t="n"/>
      <c r="T82" s="10" t="n"/>
      <c r="U82" s="11" t="n"/>
      <c r="V82" s="10" t="n"/>
      <c r="W82" s="10" t="n"/>
      <c r="X82" s="10" t="n"/>
      <c r="Y82" s="10" t="n"/>
      <c r="Z82" s="11" t="n"/>
      <c r="AA82" s="10" t="n"/>
      <c r="AB82" s="10" t="n"/>
      <c r="AC82" s="10" t="n"/>
      <c r="AD82" s="10" t="n"/>
      <c r="AE82" s="11" t="n"/>
    </row>
    <row r="83">
      <c r="A83" t="n">
        <v>1</v>
      </c>
      <c r="C83" t="inlineStr">
        <is>
          <t>법인세납부(CF)</t>
        </is>
      </c>
      <c r="E83" s="18" t="n">
        <v>-492.18</v>
      </c>
      <c r="F83" s="9" t="n"/>
      <c r="G83" s="18" t="n">
        <v>-169.27</v>
      </c>
      <c r="H83" s="18" t="n">
        <v>-981.99</v>
      </c>
      <c r="I83" s="18" t="n">
        <v>-695.25</v>
      </c>
      <c r="J83" s="18" t="n">
        <v>-248.75</v>
      </c>
      <c r="K83" s="37" t="n">
        <v>-2095.26</v>
      </c>
      <c r="L83" s="18" t="n">
        <v>-664.97</v>
      </c>
      <c r="M83" s="18" t="n">
        <v>-830.21</v>
      </c>
      <c r="N83" s="18" t="n">
        <v>-904.71</v>
      </c>
      <c r="O83" s="18" t="n">
        <v>-44.36</v>
      </c>
      <c r="P83" s="37" t="n">
        <v>-2444.25</v>
      </c>
      <c r="Q83" s="18" t="n">
        <v>-1927.77</v>
      </c>
      <c r="R83" s="19" t="n">
        <v>-2388.87</v>
      </c>
      <c r="S83" s="10" t="n"/>
      <c r="T83" s="10" t="n"/>
      <c r="U83" s="11" t="n"/>
      <c r="V83" s="10" t="n"/>
      <c r="W83" s="10" t="n"/>
      <c r="X83" s="10" t="n"/>
      <c r="Y83" s="10" t="n"/>
      <c r="Z83" s="11" t="n"/>
      <c r="AA83" s="10" t="n"/>
      <c r="AB83" s="10" t="n"/>
      <c r="AC83" s="10" t="n"/>
      <c r="AD83" s="10" t="n"/>
      <c r="AE83" s="11" t="n"/>
    </row>
    <row r="84">
      <c r="A84" t="n">
        <v>1</v>
      </c>
      <c r="C84" t="inlineStr">
        <is>
          <t>투자활동으로인한현금흐름</t>
        </is>
      </c>
      <c r="E84" s="18" t="n">
        <v>-5324.78</v>
      </c>
      <c r="F84" s="9" t="n"/>
      <c r="G84" s="18" t="n">
        <v>-22956.9</v>
      </c>
      <c r="H84" s="18" t="n">
        <v>1960.95</v>
      </c>
      <c r="I84" s="18" t="n">
        <v>-10774.79</v>
      </c>
      <c r="J84" s="18" t="n">
        <v>1360.91</v>
      </c>
      <c r="K84" s="37" t="n">
        <v>-30409.83</v>
      </c>
      <c r="L84" s="18" t="n">
        <v>-1050</v>
      </c>
      <c r="M84" s="18" t="n">
        <v>-11463.3</v>
      </c>
      <c r="N84" s="18" t="n">
        <v>-7046.15</v>
      </c>
      <c r="O84" s="18" t="n">
        <v>2301.1</v>
      </c>
      <c r="P84" s="37" t="n">
        <v>-17258.35</v>
      </c>
      <c r="Q84" s="18" t="n">
        <v>6919.52</v>
      </c>
      <c r="R84" s="19" t="n">
        <v>-6399.3</v>
      </c>
      <c r="S84" s="10" t="n"/>
      <c r="T84" s="10" t="n"/>
      <c r="U84" s="11" t="n"/>
      <c r="V84" s="10" t="n"/>
      <c r="W84" s="10" t="n"/>
      <c r="X84" s="10" t="n"/>
      <c r="Y84" s="10" t="n"/>
      <c r="Z84" s="11" t="n"/>
      <c r="AA84" s="10" t="n"/>
      <c r="AB84" s="10" t="n"/>
      <c r="AC84" s="10" t="n"/>
      <c r="AD84" s="10" t="n"/>
      <c r="AE84" s="11" t="n"/>
    </row>
    <row r="85">
      <c r="A85" t="n">
        <v>1</v>
      </c>
      <c r="C85" t="inlineStr">
        <is>
          <t>유형자산의증가</t>
        </is>
      </c>
      <c r="E85" s="18" t="n">
        <v>4928.9</v>
      </c>
      <c r="F85" s="9" t="n"/>
      <c r="G85" s="18" t="n">
        <v>1386.73</v>
      </c>
      <c r="H85" s="18" t="n">
        <v>1391.09</v>
      </c>
      <c r="I85" s="18" t="n">
        <v>4903.72</v>
      </c>
      <c r="J85" s="18" t="n">
        <v>3382.74</v>
      </c>
      <c r="K85" s="37" t="n">
        <v>11064.28</v>
      </c>
      <c r="L85" s="18" t="n">
        <v>1076.04</v>
      </c>
      <c r="M85" s="18" t="n">
        <v>5491.14</v>
      </c>
      <c r="N85" s="18" t="n">
        <v>3141.15</v>
      </c>
      <c r="P85" s="9" t="n"/>
      <c r="R85" s="5" t="n"/>
      <c r="S85" s="10" t="n"/>
      <c r="T85" s="10" t="n"/>
      <c r="U85" s="11" t="n"/>
      <c r="V85" s="10" t="n"/>
      <c r="W85" s="10" t="n"/>
      <c r="X85" s="10" t="n"/>
      <c r="Y85" s="10" t="n"/>
      <c r="Z85" s="11" t="n"/>
      <c r="AA85" s="10" t="n"/>
      <c r="AB85" s="10" t="n"/>
      <c r="AC85" s="10" t="n"/>
      <c r="AD85" s="10" t="n"/>
      <c r="AE85" s="11" t="n"/>
    </row>
    <row r="86">
      <c r="A86" t="n">
        <v>1</v>
      </c>
      <c r="C86" t="inlineStr">
        <is>
          <t>CAPEX</t>
        </is>
      </c>
      <c r="E86" s="18" t="n">
        <v>4933.4</v>
      </c>
      <c r="F86" s="9" t="n"/>
      <c r="G86" s="18" t="n">
        <v>1386.73</v>
      </c>
      <c r="H86" s="18" t="n">
        <v>1391.09</v>
      </c>
      <c r="I86" s="18" t="n">
        <v>4920.72</v>
      </c>
      <c r="J86" s="18" t="n">
        <v>3447.5</v>
      </c>
      <c r="K86" s="37" t="n">
        <v>11146.04</v>
      </c>
      <c r="L86" s="18" t="n">
        <v>1076.04</v>
      </c>
      <c r="M86" s="18" t="n">
        <v>5526.14</v>
      </c>
      <c r="N86" s="18" t="n">
        <v>3148.65</v>
      </c>
      <c r="P86" s="9" t="n"/>
      <c r="R86" s="5" t="n"/>
      <c r="S86" s="10" t="n"/>
      <c r="T86" s="10" t="n"/>
      <c r="U86" s="11" t="n"/>
      <c r="V86" s="10" t="n"/>
      <c r="W86" s="10" t="n"/>
      <c r="X86" s="10" t="n"/>
      <c r="Y86" s="10" t="n"/>
      <c r="Z86" s="11" t="n"/>
      <c r="AA86" s="10" t="n"/>
      <c r="AB86" s="10" t="n"/>
      <c r="AC86" s="10" t="n"/>
      <c r="AD86" s="10" t="n"/>
      <c r="AE86" s="11" t="n"/>
    </row>
    <row r="87">
      <c r="A87" t="n">
        <v>1</v>
      </c>
      <c r="C87" t="inlineStr">
        <is>
          <t>무형자산의증가</t>
        </is>
      </c>
      <c r="E87" s="18" t="n">
        <v>4.5</v>
      </c>
      <c r="F87" s="9" t="n"/>
      <c r="J87" s="18" t="n">
        <v>64.76000000000001</v>
      </c>
      <c r="K87" s="9" t="n"/>
      <c r="N87" s="18" t="n">
        <v>7.5</v>
      </c>
      <c r="P87" s="9" t="n"/>
      <c r="R87" s="5" t="n"/>
      <c r="S87" s="10" t="n"/>
      <c r="T87" s="10" t="n"/>
      <c r="U87" s="11" t="n"/>
      <c r="V87" s="10" t="n"/>
      <c r="W87" s="10" t="n"/>
      <c r="X87" s="10" t="n"/>
      <c r="Y87" s="10" t="n"/>
      <c r="Z87" s="11" t="n"/>
      <c r="AA87" s="10" t="n"/>
      <c r="AB87" s="10" t="n"/>
      <c r="AC87" s="10" t="n"/>
      <c r="AD87" s="10" t="n"/>
      <c r="AE87" s="11" t="n"/>
    </row>
    <row r="88">
      <c r="A88" t="n">
        <v>1</v>
      </c>
      <c r="C88" t="inlineStr">
        <is>
          <t>재무활동으로인한현금흐름</t>
        </is>
      </c>
      <c r="E88" s="18" t="n">
        <v>-1342.74</v>
      </c>
      <c r="F88" s="9" t="n"/>
      <c r="G88" s="18" t="n">
        <v>37137.41</v>
      </c>
      <c r="H88" s="18" t="n">
        <v>-881.7</v>
      </c>
      <c r="I88" s="18" t="n">
        <v>-3912.2</v>
      </c>
      <c r="J88" s="18" t="n">
        <v>-3026.29</v>
      </c>
      <c r="K88" s="37" t="n">
        <v>29317.22</v>
      </c>
      <c r="L88" s="18" t="n">
        <v>-5859.05</v>
      </c>
      <c r="M88" s="18" t="n">
        <v>-1286.61</v>
      </c>
      <c r="N88" s="18" t="n">
        <v>-7998.58</v>
      </c>
      <c r="O88" s="18" t="n">
        <v>-7941.38</v>
      </c>
      <c r="P88" s="37" t="n">
        <v>-23085.62</v>
      </c>
      <c r="Q88" s="18" t="n">
        <v>-7155.62</v>
      </c>
      <c r="R88" s="19" t="n">
        <v>-2812.68</v>
      </c>
      <c r="S88" s="10" t="n"/>
      <c r="T88" s="10" t="n"/>
      <c r="U88" s="11" t="n"/>
      <c r="V88" s="10" t="n"/>
      <c r="W88" s="10" t="n"/>
      <c r="X88" s="10" t="n"/>
      <c r="Y88" s="10" t="n"/>
      <c r="Z88" s="11" t="n"/>
      <c r="AA88" s="10" t="n"/>
      <c r="AB88" s="10" t="n"/>
      <c r="AC88" s="10" t="n"/>
      <c r="AD88" s="10" t="n"/>
      <c r="AE88" s="11" t="n"/>
    </row>
    <row r="89">
      <c r="A89" t="n">
        <v>1</v>
      </c>
      <c r="C89" t="inlineStr">
        <is>
          <t>단기차입금의증가</t>
        </is>
      </c>
      <c r="E89" s="18" t="n">
        <v>21000</v>
      </c>
      <c r="F89" s="9" t="n"/>
      <c r="G89" s="18" t="n">
        <v>10500</v>
      </c>
      <c r="H89" s="18" t="n">
        <v>0</v>
      </c>
      <c r="I89" s="18" t="n">
        <v>0</v>
      </c>
      <c r="J89" s="18" t="n">
        <v>1000</v>
      </c>
      <c r="K89" s="37" t="n">
        <v>11500</v>
      </c>
      <c r="P89" s="9" t="n"/>
      <c r="R89" s="5" t="n"/>
      <c r="S89" s="10" t="n"/>
      <c r="T89" s="10" t="n"/>
      <c r="U89" s="11" t="n"/>
      <c r="V89" s="10" t="n"/>
      <c r="W89" s="10" t="n"/>
      <c r="X89" s="10" t="n"/>
      <c r="Y89" s="10" t="n"/>
      <c r="Z89" s="11" t="n"/>
      <c r="AA89" s="10" t="n"/>
      <c r="AB89" s="10" t="n"/>
      <c r="AC89" s="10" t="n"/>
      <c r="AD89" s="10" t="n"/>
      <c r="AE89" s="11" t="n"/>
    </row>
    <row r="90">
      <c r="A90" t="n">
        <v>1</v>
      </c>
      <c r="C90" t="inlineStr">
        <is>
          <t>단기차입금의감소</t>
        </is>
      </c>
      <c r="E90" s="18" t="n">
        <v>21477.56</v>
      </c>
      <c r="F90" s="9" t="n"/>
      <c r="G90" s="18" t="n">
        <v>10894.23</v>
      </c>
      <c r="H90" s="18" t="n">
        <v>1960.9</v>
      </c>
      <c r="I90" s="18" t="n">
        <v>2758.97</v>
      </c>
      <c r="J90" s="18" t="n">
        <v>2919.23</v>
      </c>
      <c r="K90" s="37" t="n">
        <v>18533.33</v>
      </c>
      <c r="L90" s="18" t="n">
        <v>1919.23</v>
      </c>
      <c r="M90" s="18" t="n">
        <v>1919.23</v>
      </c>
      <c r="N90" s="18" t="n">
        <v>2969.23</v>
      </c>
      <c r="O90" s="18" t="n">
        <v>3819.23</v>
      </c>
      <c r="P90" s="37" t="n">
        <v>10626.92</v>
      </c>
      <c r="Q90" s="18" t="n">
        <v>819.23</v>
      </c>
      <c r="R90" s="19" t="n">
        <v>1319.23</v>
      </c>
      <c r="S90" s="10" t="n"/>
      <c r="T90" s="10" t="n"/>
      <c r="U90" s="11" t="n"/>
      <c r="V90" s="10" t="n"/>
      <c r="W90" s="10" t="n"/>
      <c r="X90" s="10" t="n"/>
      <c r="Y90" s="10" t="n"/>
      <c r="Z90" s="11" t="n"/>
      <c r="AA90" s="10" t="n"/>
      <c r="AB90" s="10" t="n"/>
      <c r="AC90" s="10" t="n"/>
      <c r="AD90" s="10" t="n"/>
      <c r="AE90" s="11" t="n"/>
    </row>
    <row r="91">
      <c r="A91" t="n">
        <v>1</v>
      </c>
      <c r="C91" t="inlineStr">
        <is>
          <t>장기차입금의증가</t>
        </is>
      </c>
      <c r="E91" s="18" t="n">
        <v>777</v>
      </c>
      <c r="F91" s="9" t="n"/>
      <c r="G91" s="18" t="n">
        <v>2100</v>
      </c>
      <c r="H91" s="18" t="n">
        <v>0</v>
      </c>
      <c r="I91" s="18" t="n">
        <v>0</v>
      </c>
      <c r="J91" s="18" t="n">
        <v>0</v>
      </c>
      <c r="K91" s="37" t="n">
        <v>2100</v>
      </c>
      <c r="L91" s="18" t="n">
        <v>839</v>
      </c>
      <c r="M91" s="18" t="n">
        <v>1760.5</v>
      </c>
      <c r="N91" s="18" t="n">
        <v>143</v>
      </c>
      <c r="O91" s="18" t="n">
        <v>0</v>
      </c>
      <c r="P91" s="37" t="n">
        <v>2742.5</v>
      </c>
      <c r="Q91" s="18" t="n">
        <v>257.5</v>
      </c>
      <c r="R91" s="19" t="n">
        <v>0</v>
      </c>
      <c r="S91" s="10" t="n"/>
      <c r="T91" s="10" t="n"/>
      <c r="U91" s="11" t="n"/>
      <c r="V91" s="10" t="n"/>
      <c r="W91" s="10" t="n"/>
      <c r="X91" s="10" t="n"/>
      <c r="Y91" s="10" t="n"/>
      <c r="Z91" s="11" t="n"/>
      <c r="AA91" s="10" t="n"/>
      <c r="AB91" s="10" t="n"/>
      <c r="AC91" s="10" t="n"/>
      <c r="AD91" s="10" t="n"/>
      <c r="AE91" s="11" t="n"/>
    </row>
    <row r="92">
      <c r="A92" t="n">
        <v>1</v>
      </c>
      <c r="C92" t="inlineStr">
        <is>
          <t>현금및현금성자산의증감</t>
        </is>
      </c>
      <c r="E92" s="18" t="n">
        <v>-4353.06</v>
      </c>
      <c r="F92" s="9" t="n"/>
      <c r="G92" s="18" t="n">
        <v>16869.61</v>
      </c>
      <c r="H92" s="18" t="n">
        <v>16733.17</v>
      </c>
      <c r="I92" s="18" t="n">
        <v>-11737.86</v>
      </c>
      <c r="J92" s="18" t="n">
        <v>8416.85</v>
      </c>
      <c r="K92" s="37" t="n">
        <v>30281.77</v>
      </c>
      <c r="L92" s="18" t="n">
        <v>3162.71</v>
      </c>
      <c r="M92" s="18" t="n">
        <v>-4785.64</v>
      </c>
      <c r="N92" s="18" t="n">
        <v>-2964.96</v>
      </c>
      <c r="O92" s="18" t="n">
        <v>1261.15</v>
      </c>
      <c r="P92" s="37" t="n">
        <v>-3326.74</v>
      </c>
      <c r="Q92" s="18" t="n">
        <v>8715.809999999999</v>
      </c>
      <c r="R92" s="19" t="n">
        <v>1267.46</v>
      </c>
      <c r="S92" s="10" t="n"/>
      <c r="T92" s="10" t="n"/>
      <c r="U92" s="11" t="n"/>
      <c r="V92" s="10" t="n"/>
      <c r="W92" s="10" t="n"/>
      <c r="X92" s="10" t="n"/>
      <c r="Y92" s="10" t="n"/>
      <c r="Z92" s="11" t="n"/>
      <c r="AA92" s="10" t="n"/>
      <c r="AB92" s="10" t="n"/>
      <c r="AC92" s="10" t="n"/>
      <c r="AD92" s="10" t="n"/>
      <c r="AE92" s="11" t="n"/>
    </row>
    <row r="93">
      <c r="A93" t="n">
        <v>1</v>
      </c>
      <c r="C93" t="inlineStr">
        <is>
          <t>기말현금및현금성자산</t>
        </is>
      </c>
      <c r="E93" s="18" t="n">
        <v>-4353.06</v>
      </c>
      <c r="F93" s="9" t="n"/>
      <c r="G93" s="18" t="n">
        <v>23353.22</v>
      </c>
      <c r="H93" s="18" t="n">
        <v>16733.17</v>
      </c>
      <c r="I93" s="18" t="n">
        <v>-11737.86</v>
      </c>
      <c r="J93" s="18" t="n">
        <v>8416.85</v>
      </c>
      <c r="K93" s="37" t="n">
        <v>36765.38</v>
      </c>
      <c r="L93" s="18" t="n">
        <v>39928.09</v>
      </c>
      <c r="M93" s="18" t="n">
        <v>-4785.63</v>
      </c>
      <c r="N93" s="18" t="n">
        <v>-2964.97</v>
      </c>
      <c r="O93" s="18" t="n">
        <v>1261.15</v>
      </c>
      <c r="P93" s="37" t="n">
        <v>33438.64</v>
      </c>
      <c r="Q93" s="18" t="n">
        <v>42154.45</v>
      </c>
      <c r="R93" s="19" t="n">
        <v>1267.46</v>
      </c>
      <c r="S93" s="10" t="n"/>
      <c r="T93" s="10" t="n"/>
      <c r="U93" s="11" t="n"/>
      <c r="V93" s="10" t="n"/>
      <c r="W93" s="10" t="n"/>
      <c r="X93" s="10" t="n"/>
      <c r="Y93" s="10" t="n"/>
      <c r="Z93" s="11" t="n"/>
      <c r="AA93" s="10" t="n"/>
      <c r="AB93" s="10" t="n"/>
      <c r="AC93" s="10" t="n"/>
      <c r="AD93" s="10" t="n"/>
      <c r="AE93" s="11" t="n"/>
    </row>
    <row r="94">
      <c r="A94" t="n">
        <v>1</v>
      </c>
      <c r="C94" t="inlineStr">
        <is>
          <t>유형자산의감소</t>
        </is>
      </c>
      <c r="F94" s="9" t="n"/>
      <c r="G94" s="18" t="n">
        <v>6.66</v>
      </c>
      <c r="H94" s="18" t="n">
        <v>5.44</v>
      </c>
      <c r="I94" s="18" t="n">
        <v>32.41</v>
      </c>
      <c r="J94" s="18" t="n">
        <v>65.53</v>
      </c>
      <c r="K94" s="37" t="n">
        <v>110.04</v>
      </c>
      <c r="L94" s="18" t="n">
        <v>1.86</v>
      </c>
      <c r="M94" s="18" t="n">
        <v>9.5</v>
      </c>
      <c r="N94" s="18" t="n">
        <v>82.62</v>
      </c>
      <c r="P94" s="9" t="n"/>
      <c r="R94" s="5" t="n"/>
      <c r="S94" s="10" t="n"/>
      <c r="T94" s="10" t="n"/>
      <c r="U94" s="11" t="n"/>
      <c r="V94" s="10" t="n"/>
      <c r="W94" s="10" t="n"/>
      <c r="X94" s="10" t="n"/>
      <c r="Y94" s="10" t="n"/>
      <c r="Z94" s="11" t="n"/>
      <c r="AA94" s="10" t="n"/>
      <c r="AB94" s="10" t="n"/>
      <c r="AC94" s="10" t="n"/>
      <c r="AD94" s="10" t="n"/>
      <c r="AE94" s="11" t="n"/>
    </row>
    <row r="95">
      <c r="A95" t="n">
        <v>1</v>
      </c>
      <c r="C95" t="inlineStr">
        <is>
          <t>배당금지급</t>
        </is>
      </c>
      <c r="F95" s="9" t="n"/>
      <c r="K95" s="9" t="n"/>
      <c r="L95" s="18" t="n">
        <v>3539.23</v>
      </c>
      <c r="M95" s="18" t="n">
        <v>0</v>
      </c>
      <c r="N95" s="18" t="n">
        <v>0</v>
      </c>
      <c r="O95" s="18" t="n">
        <v>0</v>
      </c>
      <c r="P95" s="37" t="n">
        <v>3539.23</v>
      </c>
      <c r="Q95" s="18" t="n">
        <v>4616.39</v>
      </c>
      <c r="R95" s="19" t="n">
        <v>0</v>
      </c>
      <c r="S95" s="10" t="n"/>
      <c r="T95" s="10" t="n"/>
      <c r="U95" s="11" t="n"/>
      <c r="V95" s="10" t="n"/>
      <c r="W95" s="10" t="n"/>
      <c r="X95" s="10" t="n"/>
      <c r="Y95" s="10" t="n"/>
      <c r="Z95" s="11" t="n"/>
      <c r="AA95" s="10" t="n"/>
      <c r="AB95" s="10" t="n"/>
      <c r="AC95" s="10" t="n"/>
      <c r="AD95" s="10" t="n"/>
      <c r="AE95" s="11" t="n"/>
    </row>
    <row r="96">
      <c r="A96" t="n">
        <v>1</v>
      </c>
      <c r="C96" t="inlineStr">
        <is>
          <t>장기차입금의감소</t>
        </is>
      </c>
      <c r="F96" s="9" t="n"/>
      <c r="K96" s="9" t="n"/>
      <c r="O96" s="18" t="n">
        <v>2750</v>
      </c>
      <c r="P96" s="9" t="n"/>
      <c r="Q96" s="18" t="n">
        <v>500</v>
      </c>
      <c r="R96" s="19" t="n">
        <v>0</v>
      </c>
      <c r="S96" s="10" t="n"/>
      <c r="T96" s="10" t="n"/>
      <c r="U96" s="11" t="n"/>
      <c r="V96" s="10" t="n"/>
      <c r="W96" s="10" t="n"/>
      <c r="X96" s="10" t="n"/>
      <c r="Y96" s="10" t="n"/>
      <c r="Z96" s="11" t="n"/>
      <c r="AA96" s="10" t="n"/>
      <c r="AB96" s="10" t="n"/>
      <c r="AC96" s="10" t="n"/>
      <c r="AD96" s="10" t="n"/>
      <c r="AE96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4Q23</t>
        </is>
      </c>
      <c r="F1" s="3" t="n">
        <v>2023</v>
      </c>
      <c r="G1" s="3" t="inlineStr">
        <is>
          <t>1Q24</t>
        </is>
      </c>
      <c r="H1" s="3" t="inlineStr">
        <is>
          <t>2Q24</t>
        </is>
      </c>
      <c r="I1" s="3" t="inlineStr">
        <is>
          <t>3Q24</t>
        </is>
      </c>
      <c r="J1" s="3" t="inlineStr">
        <is>
          <t>4Q24</t>
        </is>
      </c>
      <c r="K1" s="3" t="n">
        <v>2024</v>
      </c>
      <c r="L1" s="3" t="inlineStr">
        <is>
          <t>1Q25</t>
        </is>
      </c>
      <c r="M1" s="3" t="inlineStr">
        <is>
          <t>2Q25</t>
        </is>
      </c>
      <c r="N1" s="3" t="inlineStr">
        <is>
          <t>3Q25</t>
        </is>
      </c>
      <c r="O1" s="3" t="inlineStr">
        <is>
          <t>4Q25</t>
        </is>
      </c>
      <c r="P1" s="3" t="n">
        <v>2025</v>
      </c>
      <c r="Q1" s="3" t="inlineStr">
        <is>
          <t>1Q26</t>
        </is>
      </c>
      <c r="R1" s="4" t="inlineStr">
        <is>
          <t>2Q26</t>
        </is>
      </c>
      <c r="S1" s="3" t="inlineStr">
        <is>
          <t>3Q26</t>
        </is>
      </c>
      <c r="T1" s="3" t="inlineStr">
        <is>
          <t>4Q26</t>
        </is>
      </c>
      <c r="U1" s="3" t="n">
        <v>2026</v>
      </c>
      <c r="V1" s="3" t="inlineStr">
        <is>
          <t>1Q27</t>
        </is>
      </c>
      <c r="W1" s="3" t="inlineStr">
        <is>
          <t>2Q27</t>
        </is>
      </c>
      <c r="X1" s="3" t="inlineStr">
        <is>
          <t>3Q27</t>
        </is>
      </c>
      <c r="Y1" s="3" t="inlineStr">
        <is>
          <t>4Q27</t>
        </is>
      </c>
      <c r="Z1" s="3" t="n">
        <v>2027</v>
      </c>
      <c r="AA1" s="3" t="inlineStr">
        <is>
          <t>1Q28</t>
        </is>
      </c>
      <c r="AB1" s="3" t="inlineStr">
        <is>
          <t>2Q28</t>
        </is>
      </c>
      <c r="AC1" s="3" t="inlineStr">
        <is>
          <t>3Q28</t>
        </is>
      </c>
      <c r="AD1" s="3" t="inlineStr">
        <is>
          <t>4Q28</t>
        </is>
      </c>
      <c r="AE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R2" s="5" t="n"/>
    </row>
    <row r="3">
      <c r="B3" t="inlineStr">
        <is>
          <t>현대힘스(별)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6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2023.12</t>
        </is>
      </c>
      <c r="F4" s="7" t="inlineStr">
        <is>
          <t>2023.12A</t>
        </is>
      </c>
      <c r="G4" s="7" t="inlineStr">
        <is>
          <t>2024.03</t>
        </is>
      </c>
      <c r="H4" s="7" t="inlineStr">
        <is>
          <t>2024.06</t>
        </is>
      </c>
      <c r="I4" s="7" t="inlineStr">
        <is>
          <t>2024.09</t>
        </is>
      </c>
      <c r="J4" s="7" t="inlineStr">
        <is>
          <t>2024.12</t>
        </is>
      </c>
      <c r="K4" s="7" t="inlineStr">
        <is>
          <t>2024.12A</t>
        </is>
      </c>
      <c r="L4" s="7" t="inlineStr">
        <is>
          <t>2025.03</t>
        </is>
      </c>
      <c r="M4" s="7" t="inlineStr">
        <is>
          <t>2025.06</t>
        </is>
      </c>
      <c r="N4" s="7" t="inlineStr">
        <is>
          <t>2025.09</t>
        </is>
      </c>
      <c r="O4" s="7" t="inlineStr">
        <is>
          <t>2025.12</t>
        </is>
      </c>
      <c r="P4" s="7" t="inlineStr">
        <is>
          <t>2025.12A</t>
        </is>
      </c>
      <c r="Q4" s="7" t="inlineStr">
        <is>
          <t>2026.03</t>
        </is>
      </c>
      <c r="R4" s="8" t="inlineStr">
        <is>
          <t>2026.06</t>
        </is>
      </c>
      <c r="S4" s="7" t="inlineStr">
        <is>
          <t>2026.09</t>
        </is>
      </c>
      <c r="T4" s="7" t="inlineStr">
        <is>
          <t>2026.12</t>
        </is>
      </c>
      <c r="U4" s="7" t="inlineStr">
        <is>
          <t>2026.12A</t>
        </is>
      </c>
      <c r="V4" s="7" t="inlineStr">
        <is>
          <t>2027.03</t>
        </is>
      </c>
      <c r="W4" s="7" t="inlineStr">
        <is>
          <t>2027.06</t>
        </is>
      </c>
      <c r="X4" s="7" t="inlineStr">
        <is>
          <t>2027.09</t>
        </is>
      </c>
      <c r="Y4" s="7" t="inlineStr">
        <is>
          <t>2027.12</t>
        </is>
      </c>
      <c r="Z4" s="7" t="inlineStr">
        <is>
          <t>2027.12A</t>
        </is>
      </c>
      <c r="AA4" s="7" t="inlineStr">
        <is>
          <t>2028.03</t>
        </is>
      </c>
      <c r="AB4" s="7" t="inlineStr">
        <is>
          <t>2028.06</t>
        </is>
      </c>
      <c r="AC4" s="7" t="inlineStr">
        <is>
          <t>2028.09</t>
        </is>
      </c>
      <c r="AD4" s="7" t="inlineStr">
        <is>
          <t>2028.12</t>
        </is>
      </c>
      <c r="AE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37106.17</v>
      </c>
      <c r="F5" s="37" t="n">
        <v>37106.17</v>
      </c>
      <c r="G5" s="18" t="n">
        <v>78148.57000000001</v>
      </c>
      <c r="H5" s="18" t="n">
        <v>86222.45</v>
      </c>
      <c r="I5" s="18" t="n">
        <v>61184.73</v>
      </c>
      <c r="J5" s="18" t="n">
        <v>67385.44</v>
      </c>
      <c r="K5" s="37" t="n">
        <v>67385.44</v>
      </c>
      <c r="L5" s="18" t="n">
        <v>71994.06</v>
      </c>
      <c r="M5" s="18" t="n">
        <v>73918.02</v>
      </c>
      <c r="N5" s="18" t="n">
        <v>76672.11</v>
      </c>
      <c r="O5" s="18" t="n">
        <v>78466.33</v>
      </c>
      <c r="P5" s="37" t="n">
        <v>78466.33</v>
      </c>
      <c r="Q5" s="18" t="n">
        <v>80742.64999999999</v>
      </c>
      <c r="R5" s="19" t="n">
        <v>85867.46000000001</v>
      </c>
      <c r="S5" s="10" t="n"/>
      <c r="T5" s="10" t="n"/>
      <c r="U5" s="11" t="n"/>
      <c r="V5" s="10" t="n"/>
      <c r="W5" s="10" t="n"/>
      <c r="X5" s="10" t="n"/>
      <c r="Y5" s="10" t="n"/>
      <c r="Z5" s="11" t="n"/>
      <c r="AA5" s="10" t="n"/>
      <c r="AB5" s="10" t="n"/>
      <c r="AC5" s="10" t="n"/>
      <c r="AD5" s="10" t="n"/>
      <c r="AE5" s="11" t="n"/>
    </row>
    <row r="6">
      <c r="A6" t="n">
        <v>1</v>
      </c>
      <c r="C6" t="inlineStr">
        <is>
          <t>현금및현금성자산</t>
        </is>
      </c>
      <c r="E6" s="18" t="n">
        <v>3958.7</v>
      </c>
      <c r="F6" s="37" t="n">
        <v>3958.7</v>
      </c>
      <c r="G6" s="18" t="n">
        <v>20489.27</v>
      </c>
      <c r="H6" s="18" t="n">
        <v>36038.81</v>
      </c>
      <c r="I6" s="18" t="n">
        <v>23911.47</v>
      </c>
      <c r="J6" s="18" t="n">
        <v>34042.86</v>
      </c>
      <c r="K6" s="37" t="n">
        <v>34042.86</v>
      </c>
      <c r="L6" s="18" t="n">
        <v>36962.21</v>
      </c>
      <c r="M6" s="18" t="n">
        <v>33777.84</v>
      </c>
      <c r="N6" s="18" t="n">
        <v>31181.21</v>
      </c>
      <c r="O6" s="18" t="n">
        <v>32385.17</v>
      </c>
      <c r="P6" s="37" t="n">
        <v>32385.17</v>
      </c>
      <c r="Q6" s="18" t="n">
        <v>40274.82</v>
      </c>
      <c r="R6" s="19" t="n">
        <v>42293.9</v>
      </c>
      <c r="S6" s="10" t="n"/>
      <c r="T6" s="10" t="n"/>
      <c r="U6" s="11" t="n"/>
      <c r="V6" s="10" t="n"/>
      <c r="W6" s="10" t="n"/>
      <c r="X6" s="10" t="n"/>
      <c r="Y6" s="10" t="n"/>
      <c r="Z6" s="11" t="n"/>
      <c r="AA6" s="10" t="n"/>
      <c r="AB6" s="10" t="n"/>
      <c r="AC6" s="10" t="n"/>
      <c r="AD6" s="10" t="n"/>
      <c r="AE6" s="11" t="n"/>
    </row>
    <row r="7">
      <c r="A7" t="n">
        <v>1</v>
      </c>
      <c r="C7" t="inlineStr">
        <is>
          <t>매출채권및기타채권</t>
        </is>
      </c>
      <c r="E7" s="18" t="n">
        <v>12542.25</v>
      </c>
      <c r="F7" s="37" t="n">
        <v>12542.25</v>
      </c>
      <c r="G7" s="18" t="n">
        <v>14389.71</v>
      </c>
      <c r="H7" s="18" t="n">
        <v>11266.82</v>
      </c>
      <c r="I7" s="18" t="n">
        <v>14113.63</v>
      </c>
      <c r="J7" s="18" t="n">
        <v>12115.68</v>
      </c>
      <c r="K7" s="37" t="n">
        <v>12115.68</v>
      </c>
      <c r="L7" s="18" t="n">
        <v>14917.28</v>
      </c>
      <c r="M7" s="18" t="n">
        <v>14093.19</v>
      </c>
      <c r="N7" s="18" t="n">
        <v>10747.07</v>
      </c>
      <c r="O7" s="18" t="n">
        <v>15155.37</v>
      </c>
      <c r="P7" s="37" t="n">
        <v>15155.37</v>
      </c>
      <c r="Q7" s="18" t="n">
        <v>15393.31</v>
      </c>
      <c r="R7" s="19" t="n">
        <v>15929.43</v>
      </c>
      <c r="S7" s="10" t="n"/>
      <c r="T7" s="10" t="n"/>
      <c r="U7" s="11" t="n"/>
      <c r="V7" s="10" t="n"/>
      <c r="W7" s="10" t="n"/>
      <c r="X7" s="10" t="n"/>
      <c r="Y7" s="10" t="n"/>
      <c r="Z7" s="11" t="n"/>
      <c r="AA7" s="10" t="n"/>
      <c r="AB7" s="10" t="n"/>
      <c r="AC7" s="10" t="n"/>
      <c r="AD7" s="10" t="n"/>
      <c r="AE7" s="11" t="n"/>
    </row>
    <row r="8">
      <c r="A8" t="n">
        <v>1</v>
      </c>
      <c r="C8" t="inlineStr">
        <is>
          <t>재고자산</t>
        </is>
      </c>
      <c r="E8" s="18" t="n">
        <v>20459.14</v>
      </c>
      <c r="F8" s="37" t="n">
        <v>20459.14</v>
      </c>
      <c r="G8" s="18" t="n">
        <v>21154.83</v>
      </c>
      <c r="H8" s="18" t="n">
        <v>19740.58</v>
      </c>
      <c r="I8" s="18" t="n">
        <v>18941.87</v>
      </c>
      <c r="J8" s="18" t="n">
        <v>20379.31</v>
      </c>
      <c r="K8" s="37" t="n">
        <v>20379.31</v>
      </c>
      <c r="L8" s="18" t="n">
        <v>18056.83</v>
      </c>
      <c r="M8" s="18" t="n">
        <v>18643.66</v>
      </c>
      <c r="N8" s="18" t="n">
        <v>21658.51</v>
      </c>
      <c r="O8" s="18" t="n">
        <v>22177.17</v>
      </c>
      <c r="P8" s="37" t="n">
        <v>22177.17</v>
      </c>
      <c r="Q8" s="18" t="n">
        <v>22342.94</v>
      </c>
      <c r="R8" s="19" t="n">
        <v>20881.49</v>
      </c>
      <c r="S8" s="10" t="n"/>
      <c r="T8" s="10" t="n"/>
      <c r="U8" s="11" t="n"/>
      <c r="V8" s="10" t="n"/>
      <c r="W8" s="10" t="n"/>
      <c r="X8" s="10" t="n"/>
      <c r="Y8" s="10" t="n"/>
      <c r="Z8" s="11" t="n"/>
      <c r="AA8" s="10" t="n"/>
      <c r="AB8" s="10" t="n"/>
      <c r="AC8" s="10" t="n"/>
      <c r="AD8" s="10" t="n"/>
      <c r="AE8" s="11" t="n"/>
    </row>
    <row r="9">
      <c r="A9" t="n">
        <v>1</v>
      </c>
      <c r="C9" t="inlineStr">
        <is>
          <t>기타유동자산</t>
        </is>
      </c>
      <c r="E9" s="18" t="n">
        <v>146.07</v>
      </c>
      <c r="F9" s="37" t="n">
        <v>146.07</v>
      </c>
      <c r="G9" s="18" t="n">
        <v>665.91</v>
      </c>
      <c r="H9" s="18" t="n">
        <v>549.13</v>
      </c>
      <c r="I9" s="18" t="n">
        <v>587.22</v>
      </c>
      <c r="J9" s="18" t="n">
        <v>195.62</v>
      </c>
      <c r="K9" s="37" t="n">
        <v>195.62</v>
      </c>
      <c r="L9" s="18" t="n">
        <v>1405.78</v>
      </c>
      <c r="M9" s="18" t="n">
        <v>728.29</v>
      </c>
      <c r="N9" s="18" t="n">
        <v>2449.73</v>
      </c>
      <c r="O9" s="18" t="n">
        <v>2096.66</v>
      </c>
      <c r="P9" s="37" t="n">
        <v>2096.66</v>
      </c>
      <c r="Q9" s="18" t="n">
        <v>2569.92</v>
      </c>
      <c r="R9" s="19" t="n">
        <v>3745.61</v>
      </c>
      <c r="S9" s="10" t="n"/>
      <c r="T9" s="10" t="n"/>
      <c r="U9" s="11" t="n"/>
      <c r="V9" s="10" t="n"/>
      <c r="W9" s="10" t="n"/>
      <c r="X9" s="10" t="n"/>
      <c r="Y9" s="10" t="n"/>
      <c r="Z9" s="11" t="n"/>
      <c r="AA9" s="10" t="n"/>
      <c r="AB9" s="10" t="n"/>
      <c r="AC9" s="10" t="n"/>
      <c r="AD9" s="10" t="n"/>
      <c r="AE9" s="11" t="n"/>
    </row>
    <row r="10">
      <c r="A10" t="n">
        <v>1</v>
      </c>
      <c r="C10" t="inlineStr">
        <is>
          <t>비유동자산</t>
        </is>
      </c>
      <c r="E10" s="18" t="n">
        <v>204913.1</v>
      </c>
      <c r="F10" s="37" t="n">
        <v>204913.1</v>
      </c>
      <c r="G10" s="18" t="n">
        <v>232401.29</v>
      </c>
      <c r="H10" s="18" t="n">
        <v>229701.6</v>
      </c>
      <c r="I10" s="18" t="n">
        <v>252295.78</v>
      </c>
      <c r="J10" s="18" t="n">
        <v>252697.71</v>
      </c>
      <c r="K10" s="37" t="n">
        <v>252697.71</v>
      </c>
      <c r="L10" s="18" t="n">
        <v>249379.44</v>
      </c>
      <c r="M10" s="18" t="n">
        <v>249215.17</v>
      </c>
      <c r="N10" s="18" t="n">
        <v>247153.11</v>
      </c>
      <c r="O10" s="18" t="n">
        <v>245842.44</v>
      </c>
      <c r="P10" s="37" t="n">
        <v>245842.44</v>
      </c>
      <c r="Q10" s="18" t="n">
        <v>243171.16</v>
      </c>
      <c r="R10" s="19" t="n">
        <v>240355.36</v>
      </c>
      <c r="S10" s="10" t="n"/>
      <c r="T10" s="10" t="n"/>
      <c r="U10" s="11" t="n"/>
      <c r="V10" s="10" t="n"/>
      <c r="W10" s="10" t="n"/>
      <c r="X10" s="10" t="n"/>
      <c r="Y10" s="10" t="n"/>
      <c r="Z10" s="11" t="n"/>
      <c r="AA10" s="10" t="n"/>
      <c r="AB10" s="10" t="n"/>
      <c r="AC10" s="10" t="n"/>
      <c r="AD10" s="10" t="n"/>
      <c r="AE10" s="11" t="n"/>
    </row>
    <row r="11">
      <c r="A11" t="n">
        <v>1</v>
      </c>
      <c r="C11" t="inlineStr">
        <is>
          <t>종속기업및관계기업투자</t>
        </is>
      </c>
      <c r="E11" s="18" t="n">
        <v>8297.129999999999</v>
      </c>
      <c r="F11" s="37" t="n">
        <v>8297.129999999999</v>
      </c>
      <c r="G11" s="18" t="n">
        <v>8297.129999999999</v>
      </c>
      <c r="H11" s="18" t="n">
        <v>8297.129999999999</v>
      </c>
      <c r="I11" s="18" t="n">
        <v>8297.129999999999</v>
      </c>
      <c r="J11" s="18" t="n">
        <v>8297.129999999999</v>
      </c>
      <c r="K11" s="37" t="n">
        <v>8297.129999999999</v>
      </c>
      <c r="L11" s="18" t="n">
        <v>8297.129999999999</v>
      </c>
      <c r="M11" s="18" t="n">
        <v>8297.129999999999</v>
      </c>
      <c r="N11" s="18" t="n">
        <v>8297.129999999999</v>
      </c>
      <c r="O11" s="18" t="n">
        <v>8297.129999999999</v>
      </c>
      <c r="P11" s="37" t="n">
        <v>8297.129999999999</v>
      </c>
      <c r="Q11" s="18" t="n">
        <v>8297.129999999999</v>
      </c>
      <c r="R11" s="5" t="n"/>
      <c r="S11" s="10" t="n"/>
      <c r="T11" s="10" t="n"/>
      <c r="U11" s="11" t="n"/>
      <c r="V11" s="10" t="n"/>
      <c r="W11" s="10" t="n"/>
      <c r="X11" s="10" t="n"/>
      <c r="Y11" s="10" t="n"/>
      <c r="Z11" s="11" t="n"/>
      <c r="AA11" s="10" t="n"/>
      <c r="AB11" s="10" t="n"/>
      <c r="AC11" s="10" t="n"/>
      <c r="AD11" s="10" t="n"/>
      <c r="AE11" s="11" t="n"/>
    </row>
    <row r="12">
      <c r="A12" t="n">
        <v>1</v>
      </c>
      <c r="C12" t="inlineStr">
        <is>
          <t>투자자산</t>
        </is>
      </c>
      <c r="E12" s="18" t="n">
        <v>8297.129999999999</v>
      </c>
      <c r="F12" s="37" t="n">
        <v>8297.129999999999</v>
      </c>
      <c r="G12" s="18" t="n">
        <v>8297.129999999999</v>
      </c>
      <c r="H12" s="18" t="n">
        <v>8297.129999999999</v>
      </c>
      <c r="I12" s="18" t="n">
        <v>8297.129999999999</v>
      </c>
      <c r="J12" s="18" t="n">
        <v>8297.129999999999</v>
      </c>
      <c r="K12" s="37" t="n">
        <v>8297.129999999999</v>
      </c>
      <c r="L12" s="18" t="n">
        <v>8297.129999999999</v>
      </c>
      <c r="M12" s="18" t="n">
        <v>8297.129999999999</v>
      </c>
      <c r="N12" s="18" t="n">
        <v>8297.129999999999</v>
      </c>
      <c r="O12" s="18" t="n">
        <v>8297.129999999999</v>
      </c>
      <c r="P12" s="37" t="n">
        <v>8297.129999999999</v>
      </c>
      <c r="Q12" s="18" t="n">
        <v>8297.129999999999</v>
      </c>
      <c r="R12" s="5" t="n"/>
      <c r="S12" s="10" t="n"/>
      <c r="T12" s="10" t="n"/>
      <c r="U12" s="11" t="n"/>
      <c r="V12" s="10" t="n"/>
      <c r="W12" s="10" t="n"/>
      <c r="X12" s="10" t="n"/>
      <c r="Y12" s="10" t="n"/>
      <c r="Z12" s="11" t="n"/>
      <c r="AA12" s="10" t="n"/>
      <c r="AB12" s="10" t="n"/>
      <c r="AC12" s="10" t="n"/>
      <c r="AD12" s="10" t="n"/>
      <c r="AE12" s="11" t="n"/>
    </row>
    <row r="13">
      <c r="A13" t="n">
        <v>1</v>
      </c>
      <c r="C13" t="inlineStr">
        <is>
          <t>장기매출채권및기타채권</t>
        </is>
      </c>
      <c r="E13" s="18" t="n">
        <v>165.11</v>
      </c>
      <c r="F13" s="37" t="n">
        <v>165.11</v>
      </c>
      <c r="G13" s="18" t="n">
        <v>465.11</v>
      </c>
      <c r="H13" s="18" t="n">
        <v>435.11</v>
      </c>
      <c r="K13" s="9" t="n"/>
      <c r="N13" s="18" t="n">
        <v>105</v>
      </c>
      <c r="O13" s="18" t="n">
        <v>139.37</v>
      </c>
      <c r="P13" s="37" t="n">
        <v>139.37</v>
      </c>
      <c r="Q13" s="18" t="n">
        <v>434.37</v>
      </c>
      <c r="R13" s="19" t="n">
        <v>434.37</v>
      </c>
      <c r="S13" s="10" t="n"/>
      <c r="T13" s="10" t="n"/>
      <c r="U13" s="11" t="n"/>
      <c r="V13" s="10" t="n"/>
      <c r="W13" s="10" t="n"/>
      <c r="X13" s="10" t="n"/>
      <c r="Y13" s="10" t="n"/>
      <c r="Z13" s="11" t="n"/>
      <c r="AA13" s="10" t="n"/>
      <c r="AB13" s="10" t="n"/>
      <c r="AC13" s="10" t="n"/>
      <c r="AD13" s="10" t="n"/>
      <c r="AE13" s="11" t="n"/>
    </row>
    <row r="14">
      <c r="A14" t="n">
        <v>1</v>
      </c>
      <c r="C14" t="inlineStr">
        <is>
          <t>투자부동산</t>
        </is>
      </c>
      <c r="E14" s="18" t="n">
        <v>16327.01</v>
      </c>
      <c r="F14" s="37" t="n">
        <v>16327.01</v>
      </c>
      <c r="G14" s="18" t="n">
        <v>20338.06</v>
      </c>
      <c r="H14" s="18" t="n">
        <v>20259.23</v>
      </c>
      <c r="I14" s="18" t="n">
        <v>40549.25</v>
      </c>
      <c r="J14" s="18" t="n">
        <v>38685.2</v>
      </c>
      <c r="K14" s="37" t="n">
        <v>38685.2</v>
      </c>
      <c r="L14" s="18" t="n">
        <v>19529.67</v>
      </c>
      <c r="M14" s="18" t="n">
        <v>19449.89</v>
      </c>
      <c r="N14" s="18" t="n">
        <v>19370.11</v>
      </c>
      <c r="O14" s="18" t="n">
        <v>19294.19</v>
      </c>
      <c r="P14" s="37" t="n">
        <v>19294.19</v>
      </c>
      <c r="Q14" s="18" t="n">
        <v>19214.38</v>
      </c>
      <c r="R14" s="19" t="n">
        <v>19134.58</v>
      </c>
      <c r="S14" s="10" t="n"/>
      <c r="T14" s="10" t="n"/>
      <c r="U14" s="11" t="n"/>
      <c r="V14" s="10" t="n"/>
      <c r="W14" s="10" t="n"/>
      <c r="X14" s="10" t="n"/>
      <c r="Y14" s="10" t="n"/>
      <c r="Z14" s="11" t="n"/>
      <c r="AA14" s="10" t="n"/>
      <c r="AB14" s="10" t="n"/>
      <c r="AC14" s="10" t="n"/>
      <c r="AD14" s="10" t="n"/>
      <c r="AE14" s="11" t="n"/>
    </row>
    <row r="15">
      <c r="A15" t="n">
        <v>1</v>
      </c>
      <c r="C15" t="inlineStr">
        <is>
          <t>유형자산</t>
        </is>
      </c>
      <c r="E15" s="18" t="n">
        <v>175764.69</v>
      </c>
      <c r="F15" s="37" t="n">
        <v>175764.69</v>
      </c>
      <c r="G15" s="18" t="n">
        <v>171452.91</v>
      </c>
      <c r="H15" s="18" t="n">
        <v>170808.6</v>
      </c>
      <c r="I15" s="18" t="n">
        <v>174615.65</v>
      </c>
      <c r="J15" s="18" t="n">
        <v>176514.17</v>
      </c>
      <c r="K15" s="37" t="n">
        <v>176514.17</v>
      </c>
      <c r="L15" s="18" t="n">
        <v>194484.09</v>
      </c>
      <c r="M15" s="18" t="n">
        <v>196227.92</v>
      </c>
      <c r="N15" s="18" t="n">
        <v>195833.7</v>
      </c>
      <c r="O15" s="18" t="n">
        <v>195614.52</v>
      </c>
      <c r="P15" s="37" t="n">
        <v>195614.52</v>
      </c>
      <c r="Q15" s="18" t="n">
        <v>194641.66</v>
      </c>
      <c r="R15" s="19" t="n">
        <v>193545.23</v>
      </c>
      <c r="S15" s="10" t="n"/>
      <c r="T15" s="10" t="n"/>
      <c r="U15" s="11" t="n"/>
      <c r="V15" s="10" t="n"/>
      <c r="W15" s="10" t="n"/>
      <c r="X15" s="10" t="n"/>
      <c r="Y15" s="10" t="n"/>
      <c r="Z15" s="11" t="n"/>
      <c r="AA15" s="10" t="n"/>
      <c r="AB15" s="10" t="n"/>
      <c r="AC15" s="10" t="n"/>
      <c r="AD15" s="10" t="n"/>
      <c r="AE15" s="11" t="n"/>
    </row>
    <row r="16">
      <c r="A16" t="n">
        <v>1</v>
      </c>
      <c r="C16" t="inlineStr">
        <is>
          <t>무형자산</t>
        </is>
      </c>
      <c r="E16" s="18" t="n">
        <v>1335.98</v>
      </c>
      <c r="F16" s="37" t="n">
        <v>1335.98</v>
      </c>
      <c r="G16" s="18" t="n">
        <v>1273.24</v>
      </c>
      <c r="H16" s="18" t="n">
        <v>1210.51</v>
      </c>
      <c r="I16" s="18" t="n">
        <v>1164.78</v>
      </c>
      <c r="J16" s="18" t="n">
        <v>1119.09</v>
      </c>
      <c r="K16" s="37" t="n">
        <v>1119.09</v>
      </c>
      <c r="L16" s="18" t="n">
        <v>1052.9</v>
      </c>
      <c r="M16" s="18" t="n">
        <v>1020</v>
      </c>
      <c r="N16" s="18" t="n">
        <v>959.42</v>
      </c>
      <c r="O16" s="18" t="n">
        <v>891.24</v>
      </c>
      <c r="P16" s="37" t="n">
        <v>891.24</v>
      </c>
      <c r="Q16" s="18" t="n">
        <v>824.01</v>
      </c>
      <c r="R16" s="19" t="n">
        <v>819.95</v>
      </c>
      <c r="S16" s="10" t="n"/>
      <c r="T16" s="10" t="n"/>
      <c r="U16" s="11" t="n"/>
      <c r="V16" s="10" t="n"/>
      <c r="W16" s="10" t="n"/>
      <c r="X16" s="10" t="n"/>
      <c r="Y16" s="10" t="n"/>
      <c r="Z16" s="11" t="n"/>
      <c r="AA16" s="10" t="n"/>
      <c r="AB16" s="10" t="n"/>
      <c r="AC16" s="10" t="n"/>
      <c r="AD16" s="10" t="n"/>
      <c r="AE16" s="11" t="n"/>
    </row>
    <row r="17">
      <c r="A17" t="n">
        <v>1</v>
      </c>
      <c r="C17" t="inlineStr">
        <is>
          <t>사용권자산</t>
        </is>
      </c>
      <c r="E17" s="18" t="n">
        <v>1730.17</v>
      </c>
      <c r="F17" s="37" t="n">
        <v>1730.17</v>
      </c>
      <c r="G17" s="18" t="n">
        <v>29513.92</v>
      </c>
      <c r="H17" s="18" t="n">
        <v>28005.78</v>
      </c>
      <c r="I17" s="18" t="n">
        <v>26526.65</v>
      </c>
      <c r="J17" s="18" t="n">
        <v>26987.91</v>
      </c>
      <c r="K17" s="37" t="n">
        <v>26987.91</v>
      </c>
      <c r="L17" s="18" t="n">
        <v>25222.55</v>
      </c>
      <c r="M17" s="18" t="n">
        <v>23629.67</v>
      </c>
      <c r="N17" s="18" t="n">
        <v>22124.28</v>
      </c>
      <c r="O17" s="18" t="n">
        <v>20673.7</v>
      </c>
      <c r="P17" s="37" t="n">
        <v>20673.7</v>
      </c>
      <c r="Q17" s="18" t="n">
        <v>19176.7</v>
      </c>
      <c r="R17" s="19" t="n">
        <v>17670.94</v>
      </c>
      <c r="S17" s="10" t="n"/>
      <c r="T17" s="10" t="n"/>
      <c r="U17" s="11" t="n"/>
      <c r="V17" s="10" t="n"/>
      <c r="W17" s="10" t="n"/>
      <c r="X17" s="10" t="n"/>
      <c r="Y17" s="10" t="n"/>
      <c r="Z17" s="11" t="n"/>
      <c r="AA17" s="10" t="n"/>
      <c r="AB17" s="10" t="n"/>
      <c r="AC17" s="10" t="n"/>
      <c r="AD17" s="10" t="n"/>
      <c r="AE17" s="11" t="n"/>
    </row>
    <row r="18">
      <c r="A18" t="n">
        <v>1</v>
      </c>
      <c r="C18" t="inlineStr">
        <is>
          <t>기타비유동자산</t>
        </is>
      </c>
      <c r="E18" s="18" t="n">
        <v>2672.96</v>
      </c>
      <c r="F18" s="37" t="n">
        <v>2672.96</v>
      </c>
      <c r="G18" s="18" t="n">
        <v>30320.14</v>
      </c>
      <c r="H18" s="18" t="n">
        <v>28663.95</v>
      </c>
      <c r="I18" s="18" t="n">
        <v>27037</v>
      </c>
      <c r="J18" s="18" t="n">
        <v>27203.45</v>
      </c>
      <c r="K18" s="37" t="n">
        <v>27203.45</v>
      </c>
      <c r="L18" s="18" t="n">
        <v>25222.55</v>
      </c>
      <c r="M18" s="18" t="n">
        <v>23812.14</v>
      </c>
      <c r="N18" s="18" t="n">
        <v>22124.28</v>
      </c>
      <c r="O18" s="18" t="n">
        <v>21173.09</v>
      </c>
      <c r="P18" s="37" t="n">
        <v>21173.09</v>
      </c>
      <c r="Q18" s="18" t="n">
        <v>19442.64</v>
      </c>
      <c r="R18" s="19" t="n">
        <v>17670.94</v>
      </c>
      <c r="S18" s="10" t="n"/>
      <c r="T18" s="10" t="n"/>
      <c r="U18" s="11" t="n"/>
      <c r="V18" s="10" t="n"/>
      <c r="W18" s="10" t="n"/>
      <c r="X18" s="10" t="n"/>
      <c r="Y18" s="10" t="n"/>
      <c r="Z18" s="11" t="n"/>
      <c r="AA18" s="10" t="n"/>
      <c r="AB18" s="10" t="n"/>
      <c r="AC18" s="10" t="n"/>
      <c r="AD18" s="10" t="n"/>
      <c r="AE18" s="11" t="n"/>
    </row>
    <row r="19">
      <c r="A19" t="n">
        <v>1</v>
      </c>
      <c r="C19" t="inlineStr">
        <is>
          <t>이연법인세자산</t>
        </is>
      </c>
      <c r="E19" s="18" t="n">
        <v>350.23</v>
      </c>
      <c r="F19" s="37" t="n">
        <v>350.23</v>
      </c>
      <c r="G19" s="18" t="n">
        <v>254.7</v>
      </c>
      <c r="H19" s="18" t="n">
        <v>27.08</v>
      </c>
      <c r="I19" s="18" t="n">
        <v>244.87</v>
      </c>
      <c r="J19" s="18" t="n">
        <v>430.56</v>
      </c>
      <c r="K19" s="37" t="n">
        <v>430.56</v>
      </c>
      <c r="L19" s="18" t="n">
        <v>339.99</v>
      </c>
      <c r="M19" s="18" t="n">
        <v>303.09</v>
      </c>
      <c r="N19" s="18" t="n">
        <v>463.46</v>
      </c>
      <c r="O19" s="18" t="n">
        <v>432.9</v>
      </c>
      <c r="P19" s="37" t="n">
        <v>432.9</v>
      </c>
      <c r="Q19" s="18" t="n">
        <v>316.98</v>
      </c>
      <c r="R19" s="19" t="n">
        <v>449.3</v>
      </c>
      <c r="S19" s="10" t="n"/>
      <c r="T19" s="10" t="n"/>
      <c r="U19" s="11" t="n"/>
      <c r="V19" s="10" t="n"/>
      <c r="W19" s="10" t="n"/>
      <c r="X19" s="10" t="n"/>
      <c r="Y19" s="10" t="n"/>
      <c r="Z19" s="11" t="n"/>
      <c r="AA19" s="10" t="n"/>
      <c r="AB19" s="10" t="n"/>
      <c r="AC19" s="10" t="n"/>
      <c r="AD19" s="10" t="n"/>
      <c r="AE19" s="11" t="n"/>
    </row>
    <row r="20">
      <c r="A20" t="n">
        <v>1</v>
      </c>
      <c r="C20" t="inlineStr">
        <is>
          <t>자산총계</t>
        </is>
      </c>
      <c r="E20" s="18" t="n">
        <v>242019.27</v>
      </c>
      <c r="F20" s="37" t="n">
        <v>242019.27</v>
      </c>
      <c r="G20" s="18" t="n">
        <v>310549.86</v>
      </c>
      <c r="H20" s="18" t="n">
        <v>315924.06</v>
      </c>
      <c r="I20" s="18" t="n">
        <v>313480.51</v>
      </c>
      <c r="J20" s="18" t="n">
        <v>320083.16</v>
      </c>
      <c r="K20" s="37" t="n">
        <v>320083.16</v>
      </c>
      <c r="L20" s="18" t="n">
        <v>321373.5</v>
      </c>
      <c r="M20" s="18" t="n">
        <v>323133.2</v>
      </c>
      <c r="N20" s="18" t="n">
        <v>323825.21</v>
      </c>
      <c r="O20" s="18" t="n">
        <v>324308.78</v>
      </c>
      <c r="P20" s="37" t="n">
        <v>324308.78</v>
      </c>
      <c r="Q20" s="18" t="n">
        <v>323913.81</v>
      </c>
      <c r="R20" s="19" t="n">
        <v>326222.82</v>
      </c>
      <c r="S20" s="10" t="n"/>
      <c r="T20" s="10" t="n"/>
      <c r="U20" s="11" t="n"/>
      <c r="V20" s="10" t="n"/>
      <c r="W20" s="10" t="n"/>
      <c r="X20" s="10" t="n"/>
      <c r="Y20" s="10" t="n"/>
      <c r="Z20" s="11" t="n"/>
      <c r="AA20" s="10" t="n"/>
      <c r="AB20" s="10" t="n"/>
      <c r="AC20" s="10" t="n"/>
      <c r="AD20" s="10" t="n"/>
      <c r="AE20" s="11" t="n"/>
    </row>
    <row r="21">
      <c r="A21" t="n">
        <v>1</v>
      </c>
      <c r="C21" t="inlineStr">
        <is>
          <t>유동부채</t>
        </is>
      </c>
      <c r="E21" s="18" t="n">
        <v>28760.81</v>
      </c>
      <c r="F21" s="37" t="n">
        <v>28760.81</v>
      </c>
      <c r="G21" s="18" t="n">
        <v>33982.71</v>
      </c>
      <c r="H21" s="18" t="n">
        <v>35461.06</v>
      </c>
      <c r="I21" s="18" t="n">
        <v>32782.06</v>
      </c>
      <c r="J21" s="18" t="n">
        <v>36125.24</v>
      </c>
      <c r="K21" s="37" t="n">
        <v>36125.24</v>
      </c>
      <c r="L21" s="18" t="n">
        <v>39011.11</v>
      </c>
      <c r="M21" s="18" t="n">
        <v>37797.42</v>
      </c>
      <c r="N21" s="18" t="n">
        <v>40579.43</v>
      </c>
      <c r="O21" s="18" t="n">
        <v>40811.8</v>
      </c>
      <c r="P21" s="37" t="n">
        <v>40811.8</v>
      </c>
      <c r="Q21" s="18" t="n">
        <v>41193.1</v>
      </c>
      <c r="R21" s="19" t="n">
        <v>37567.79</v>
      </c>
      <c r="S21" s="10" t="n"/>
      <c r="T21" s="10" t="n"/>
      <c r="U21" s="11" t="n"/>
      <c r="V21" s="10" t="n"/>
      <c r="W21" s="10" t="n"/>
      <c r="X21" s="10" t="n"/>
      <c r="Y21" s="10" t="n"/>
      <c r="Z21" s="11" t="n"/>
      <c r="AA21" s="10" t="n"/>
      <c r="AB21" s="10" t="n"/>
      <c r="AC21" s="10" t="n"/>
      <c r="AD21" s="10" t="n"/>
      <c r="AE21" s="11" t="n"/>
    </row>
    <row r="22">
      <c r="A22" t="n">
        <v>1</v>
      </c>
      <c r="C22" t="inlineStr">
        <is>
          <t>단기차입금</t>
        </is>
      </c>
      <c r="E22" s="18" t="n">
        <v>7033.33</v>
      </c>
      <c r="F22" s="37" t="n">
        <v>7033.33</v>
      </c>
      <c r="G22" s="18" t="n">
        <v>8558.33</v>
      </c>
      <c r="H22" s="18" t="n">
        <v>8516.67</v>
      </c>
      <c r="I22" s="18" t="n">
        <v>7676.92</v>
      </c>
      <c r="J22" s="18" t="n">
        <v>7676.92</v>
      </c>
      <c r="K22" s="37" t="n">
        <v>7676.92</v>
      </c>
      <c r="L22" s="18" t="n">
        <v>7676.92</v>
      </c>
      <c r="M22" s="18" t="n">
        <v>7676.92</v>
      </c>
      <c r="N22" s="18" t="n">
        <v>6498.92</v>
      </c>
      <c r="O22" s="18" t="n">
        <v>3712.92</v>
      </c>
      <c r="P22" s="37" t="n">
        <v>3712.92</v>
      </c>
      <c r="Q22" s="18" t="n">
        <v>3926.92</v>
      </c>
      <c r="R22" s="19" t="n">
        <v>4140.92</v>
      </c>
      <c r="S22" s="10" t="n"/>
      <c r="T22" s="10" t="n"/>
      <c r="U22" s="11" t="n"/>
      <c r="V22" s="10" t="n"/>
      <c r="W22" s="10" t="n"/>
      <c r="X22" s="10" t="n"/>
      <c r="Y22" s="10" t="n"/>
      <c r="Z22" s="11" t="n"/>
      <c r="AA22" s="10" t="n"/>
      <c r="AB22" s="10" t="n"/>
      <c r="AC22" s="10" t="n"/>
      <c r="AD22" s="10" t="n"/>
      <c r="AE22" s="11" t="n"/>
    </row>
    <row r="23">
      <c r="A23" t="n">
        <v>1</v>
      </c>
      <c r="C23" t="inlineStr">
        <is>
          <t>단기금융부채(face)</t>
        </is>
      </c>
      <c r="E23" s="18" t="n">
        <v>7033.33</v>
      </c>
      <c r="F23" s="37" t="n">
        <v>7033.33</v>
      </c>
      <c r="G23" s="18" t="n">
        <v>8558.33</v>
      </c>
      <c r="H23" s="18" t="n">
        <v>8516.67</v>
      </c>
      <c r="I23" s="18" t="n">
        <v>7676.92</v>
      </c>
      <c r="J23" s="18" t="n">
        <v>7676.92</v>
      </c>
      <c r="K23" s="37" t="n">
        <v>7676.92</v>
      </c>
      <c r="L23" s="18" t="n">
        <v>7676.92</v>
      </c>
      <c r="M23" s="18" t="n">
        <v>7676.92</v>
      </c>
      <c r="N23" s="18" t="n">
        <v>6498.92</v>
      </c>
      <c r="O23" s="18" t="n">
        <v>3712.92</v>
      </c>
      <c r="P23" s="37" t="n">
        <v>3712.92</v>
      </c>
      <c r="Q23" s="18" t="n">
        <v>3926.92</v>
      </c>
      <c r="R23" s="19" t="n">
        <v>4140.92</v>
      </c>
      <c r="S23" s="10" t="n"/>
      <c r="T23" s="10" t="n"/>
      <c r="U23" s="11" t="n"/>
      <c r="V23" s="10" t="n"/>
      <c r="W23" s="10" t="n"/>
      <c r="X23" s="10" t="n"/>
      <c r="Y23" s="10" t="n"/>
      <c r="Z23" s="11" t="n"/>
      <c r="AA23" s="10" t="n"/>
      <c r="AB23" s="10" t="n"/>
      <c r="AC23" s="10" t="n"/>
      <c r="AD23" s="10" t="n"/>
      <c r="AE23" s="11" t="n"/>
    </row>
    <row r="24">
      <c r="A24" t="n">
        <v>1</v>
      </c>
      <c r="C24" t="inlineStr">
        <is>
          <t>유동리스부채</t>
        </is>
      </c>
      <c r="E24" s="18" t="n">
        <v>156.56</v>
      </c>
      <c r="F24" s="37" t="n">
        <v>156.56</v>
      </c>
      <c r="G24" s="18" t="n">
        <v>5540.23</v>
      </c>
      <c r="H24" s="18" t="n">
        <v>5605.81</v>
      </c>
      <c r="I24" s="18" t="n">
        <v>5678.41</v>
      </c>
      <c r="J24" s="18" t="n">
        <v>5758.74</v>
      </c>
      <c r="K24" s="37" t="n">
        <v>5758.74</v>
      </c>
      <c r="L24" s="18" t="n">
        <v>5814.41</v>
      </c>
      <c r="M24" s="18" t="n">
        <v>5801.67</v>
      </c>
      <c r="N24" s="18" t="n">
        <v>5853.8</v>
      </c>
      <c r="O24" s="18" t="n">
        <v>5965.99</v>
      </c>
      <c r="P24" s="37" t="n">
        <v>5965.99</v>
      </c>
      <c r="Q24" s="18" t="n">
        <v>6026.51</v>
      </c>
      <c r="R24" s="19" t="n">
        <v>6078.45</v>
      </c>
      <c r="S24" s="10" t="n"/>
      <c r="T24" s="10" t="n"/>
      <c r="U24" s="11" t="n"/>
      <c r="V24" s="10" t="n"/>
      <c r="W24" s="10" t="n"/>
      <c r="X24" s="10" t="n"/>
      <c r="Y24" s="10" t="n"/>
      <c r="Z24" s="11" t="n"/>
      <c r="AA24" s="10" t="n"/>
      <c r="AB24" s="10" t="n"/>
      <c r="AC24" s="10" t="n"/>
      <c r="AD24" s="10" t="n"/>
      <c r="AE24" s="11" t="n"/>
    </row>
    <row r="25">
      <c r="A25" t="n">
        <v>1</v>
      </c>
      <c r="C25" t="inlineStr">
        <is>
          <t>리스부채</t>
        </is>
      </c>
      <c r="E25" s="18" t="n">
        <v>1752.52</v>
      </c>
      <c r="F25" s="37" t="n">
        <v>1752.52</v>
      </c>
      <c r="G25" s="18" t="n">
        <v>29698.67</v>
      </c>
      <c r="H25" s="18" t="n">
        <v>28336.99</v>
      </c>
      <c r="I25" s="18" t="n">
        <v>26992.12</v>
      </c>
      <c r="J25" s="18" t="n">
        <v>27578.71</v>
      </c>
      <c r="K25" s="37" t="n">
        <v>27578.71</v>
      </c>
      <c r="L25" s="18" t="n">
        <v>25914.82</v>
      </c>
      <c r="M25" s="18" t="n">
        <v>24406.44</v>
      </c>
      <c r="N25" s="18" t="n">
        <v>22975.34</v>
      </c>
      <c r="O25" s="18" t="n">
        <v>21586.49</v>
      </c>
      <c r="P25" s="37" t="n">
        <v>21586.49</v>
      </c>
      <c r="Q25" s="18" t="n">
        <v>20125.22</v>
      </c>
      <c r="R25" s="19" t="n">
        <v>18639.76</v>
      </c>
      <c r="S25" s="10" t="n"/>
      <c r="T25" s="10" t="n"/>
      <c r="U25" s="11" t="n"/>
      <c r="V25" s="10" t="n"/>
      <c r="W25" s="10" t="n"/>
      <c r="X25" s="10" t="n"/>
      <c r="Y25" s="10" t="n"/>
      <c r="Z25" s="11" t="n"/>
      <c r="AA25" s="10" t="n"/>
      <c r="AB25" s="10" t="n"/>
      <c r="AC25" s="10" t="n"/>
      <c r="AD25" s="10" t="n"/>
      <c r="AE25" s="11" t="n"/>
    </row>
    <row r="26">
      <c r="A26" t="n">
        <v>1</v>
      </c>
      <c r="C26" t="inlineStr">
        <is>
          <t>단기금융부채</t>
        </is>
      </c>
      <c r="E26" s="18" t="n">
        <v>156.56</v>
      </c>
      <c r="F26" s="37" t="n">
        <v>156.56</v>
      </c>
      <c r="G26" s="18" t="n">
        <v>5540.23</v>
      </c>
      <c r="H26" s="18" t="n">
        <v>5605.81</v>
      </c>
      <c r="I26" s="18" t="n">
        <v>5678.41</v>
      </c>
      <c r="J26" s="18" t="n">
        <v>5758.74</v>
      </c>
      <c r="K26" s="37" t="n">
        <v>5758.74</v>
      </c>
      <c r="L26" s="18" t="n">
        <v>5814.41</v>
      </c>
      <c r="M26" s="18" t="n">
        <v>5801.67</v>
      </c>
      <c r="N26" s="18" t="n">
        <v>5853.8</v>
      </c>
      <c r="O26" s="18" t="n">
        <v>5965.99</v>
      </c>
      <c r="P26" s="37" t="n">
        <v>5965.99</v>
      </c>
      <c r="Q26" s="18" t="n">
        <v>6026.51</v>
      </c>
      <c r="R26" s="19" t="n">
        <v>6078.45</v>
      </c>
      <c r="S26" s="10" t="n"/>
      <c r="T26" s="10" t="n"/>
      <c r="U26" s="11" t="n"/>
      <c r="V26" s="10" t="n"/>
      <c r="W26" s="10" t="n"/>
      <c r="X26" s="10" t="n"/>
      <c r="Y26" s="10" t="n"/>
      <c r="Z26" s="11" t="n"/>
      <c r="AA26" s="10" t="n"/>
      <c r="AB26" s="10" t="n"/>
      <c r="AC26" s="10" t="n"/>
      <c r="AD26" s="10" t="n"/>
      <c r="AE26" s="11" t="n"/>
    </row>
    <row r="27">
      <c r="A27" t="n">
        <v>1</v>
      </c>
      <c r="C27" t="inlineStr">
        <is>
          <t>매입채무및기타채무</t>
        </is>
      </c>
      <c r="E27" s="18" t="n">
        <v>18869.87</v>
      </c>
      <c r="F27" s="37" t="n">
        <v>18869.87</v>
      </c>
      <c r="G27" s="18" t="n">
        <v>16171.12</v>
      </c>
      <c r="H27" s="18" t="n">
        <v>17885.55</v>
      </c>
      <c r="I27" s="18" t="n">
        <v>16819.89</v>
      </c>
      <c r="J27" s="18" t="n">
        <v>19551.23</v>
      </c>
      <c r="K27" s="37" t="n">
        <v>19551.23</v>
      </c>
      <c r="L27" s="18" t="n">
        <v>21622.34</v>
      </c>
      <c r="M27" s="18" t="n">
        <v>20156.98</v>
      </c>
      <c r="N27" s="18" t="n">
        <v>21730.04</v>
      </c>
      <c r="O27" s="18" t="n">
        <v>23347.06</v>
      </c>
      <c r="P27" s="37" t="n">
        <v>23347.06</v>
      </c>
      <c r="Q27" s="18" t="n">
        <v>24503.53</v>
      </c>
      <c r="R27" s="19" t="n">
        <v>21271.22</v>
      </c>
      <c r="S27" s="10" t="n"/>
      <c r="T27" s="10" t="n"/>
      <c r="U27" s="11" t="n"/>
      <c r="V27" s="10" t="n"/>
      <c r="W27" s="10" t="n"/>
      <c r="X27" s="10" t="n"/>
      <c r="Y27" s="10" t="n"/>
      <c r="Z27" s="11" t="n"/>
      <c r="AA27" s="10" t="n"/>
      <c r="AB27" s="10" t="n"/>
      <c r="AC27" s="10" t="n"/>
      <c r="AD27" s="10" t="n"/>
      <c r="AE27" s="11" t="n"/>
    </row>
    <row r="28">
      <c r="A28" t="n">
        <v>1</v>
      </c>
      <c r="C28" t="inlineStr">
        <is>
          <t>기타유동부채</t>
        </is>
      </c>
      <c r="E28" s="18" t="n">
        <v>95.2</v>
      </c>
      <c r="F28" s="37" t="n">
        <v>95.2</v>
      </c>
      <c r="G28" s="18" t="n">
        <v>78.33</v>
      </c>
      <c r="H28" s="18" t="n">
        <v>98.14</v>
      </c>
      <c r="I28" s="18" t="n">
        <v>101.27</v>
      </c>
      <c r="J28" s="18" t="n">
        <v>176.36</v>
      </c>
      <c r="K28" s="37" t="n">
        <v>176.36</v>
      </c>
      <c r="L28" s="18" t="n">
        <v>92.66</v>
      </c>
      <c r="M28" s="18" t="n">
        <v>106.33</v>
      </c>
      <c r="N28" s="18" t="n">
        <v>102.6</v>
      </c>
      <c r="O28" s="18" t="n">
        <v>3543.49</v>
      </c>
      <c r="P28" s="37" t="n">
        <v>3543.49</v>
      </c>
      <c r="Q28" s="18" t="n">
        <v>2672.22</v>
      </c>
      <c r="R28" s="19" t="n">
        <v>1678.43</v>
      </c>
      <c r="S28" s="10" t="n"/>
      <c r="T28" s="10" t="n"/>
      <c r="U28" s="11" t="n"/>
      <c r="V28" s="10" t="n"/>
      <c r="W28" s="10" t="n"/>
      <c r="X28" s="10" t="n"/>
      <c r="Y28" s="10" t="n"/>
      <c r="Z28" s="11" t="n"/>
      <c r="AA28" s="10" t="n"/>
      <c r="AB28" s="10" t="n"/>
      <c r="AC28" s="10" t="n"/>
      <c r="AD28" s="10" t="n"/>
      <c r="AE28" s="11" t="n"/>
    </row>
    <row r="29">
      <c r="A29" t="n">
        <v>1</v>
      </c>
      <c r="C29" t="inlineStr">
        <is>
          <t>당기법인세부채(미지급법인세)</t>
        </is>
      </c>
      <c r="E29" s="18" t="n">
        <v>566.99</v>
      </c>
      <c r="F29" s="37" t="n">
        <v>566.99</v>
      </c>
      <c r="G29" s="18" t="n">
        <v>1234.57</v>
      </c>
      <c r="H29" s="18" t="n">
        <v>1121.46</v>
      </c>
      <c r="I29" s="18" t="n">
        <v>540.8099999999999</v>
      </c>
      <c r="J29" s="18" t="n">
        <v>1173.43</v>
      </c>
      <c r="K29" s="37" t="n">
        <v>1173.43</v>
      </c>
      <c r="L29" s="18" t="n">
        <v>1705.98</v>
      </c>
      <c r="M29" s="18" t="n">
        <v>2364.65</v>
      </c>
      <c r="N29" s="18" t="n">
        <v>2746.69</v>
      </c>
      <c r="O29" s="18" t="n">
        <v>4242.33</v>
      </c>
      <c r="P29" s="37" t="n">
        <v>4242.33</v>
      </c>
      <c r="Q29" s="18" t="n">
        <v>4063.92</v>
      </c>
      <c r="R29" s="19" t="n">
        <v>4398.77</v>
      </c>
      <c r="S29" s="10" t="n"/>
      <c r="T29" s="10" t="n"/>
      <c r="U29" s="11" t="n"/>
      <c r="V29" s="10" t="n"/>
      <c r="W29" s="10" t="n"/>
      <c r="X29" s="10" t="n"/>
      <c r="Y29" s="10" t="n"/>
      <c r="Z29" s="11" t="n"/>
      <c r="AA29" s="10" t="n"/>
      <c r="AB29" s="10" t="n"/>
      <c r="AC29" s="10" t="n"/>
      <c r="AD29" s="10" t="n"/>
      <c r="AE29" s="11" t="n"/>
    </row>
    <row r="30">
      <c r="A30" t="n">
        <v>1</v>
      </c>
      <c r="C30" t="inlineStr">
        <is>
          <t>비유동부채</t>
        </is>
      </c>
      <c r="E30" s="18" t="n">
        <v>38600.85</v>
      </c>
      <c r="F30" s="37" t="n">
        <v>38600.85</v>
      </c>
      <c r="G30" s="18" t="n">
        <v>61539.88</v>
      </c>
      <c r="H30" s="18" t="n">
        <v>57642.05</v>
      </c>
      <c r="I30" s="18" t="n">
        <v>54004.21</v>
      </c>
      <c r="J30" s="18" t="n">
        <v>52294.1</v>
      </c>
      <c r="K30" s="37" t="n">
        <v>52294.1</v>
      </c>
      <c r="L30" s="18" t="n">
        <v>48672.18</v>
      </c>
      <c r="M30" s="18" t="n">
        <v>45138.56</v>
      </c>
      <c r="N30" s="18" t="n">
        <v>37978.47</v>
      </c>
      <c r="O30" s="18" t="n">
        <v>32648.62</v>
      </c>
      <c r="P30" s="37" t="n">
        <v>32648.62</v>
      </c>
      <c r="Q30" s="18" t="n">
        <v>30042.65</v>
      </c>
      <c r="R30" s="19" t="n">
        <v>27421.09</v>
      </c>
      <c r="S30" s="10" t="n"/>
      <c r="T30" s="10" t="n"/>
      <c r="U30" s="11" t="n"/>
      <c r="V30" s="10" t="n"/>
      <c r="W30" s="10" t="n"/>
      <c r="X30" s="10" t="n"/>
      <c r="Y30" s="10" t="n"/>
      <c r="Z30" s="11" t="n"/>
      <c r="AA30" s="10" t="n"/>
      <c r="AB30" s="10" t="n"/>
      <c r="AC30" s="10" t="n"/>
      <c r="AD30" s="10" t="n"/>
      <c r="AE30" s="11" t="n"/>
    </row>
    <row r="31">
      <c r="A31" t="n">
        <v>1</v>
      </c>
      <c r="C31" t="inlineStr">
        <is>
          <t>장기차입금</t>
        </is>
      </c>
      <c r="E31" s="18" t="n">
        <v>35507.69</v>
      </c>
      <c r="F31" s="37" t="n">
        <v>35507.69</v>
      </c>
      <c r="G31" s="18" t="n">
        <v>35688.46</v>
      </c>
      <c r="H31" s="18" t="n">
        <v>33769.23</v>
      </c>
      <c r="I31" s="18" t="n">
        <v>31850</v>
      </c>
      <c r="J31" s="18" t="n">
        <v>29930.77</v>
      </c>
      <c r="K31" s="37" t="n">
        <v>29930.77</v>
      </c>
      <c r="L31" s="18" t="n">
        <v>28011.54</v>
      </c>
      <c r="M31" s="18" t="n">
        <v>26092.31</v>
      </c>
      <c r="N31" s="18" t="n">
        <v>20451.08</v>
      </c>
      <c r="O31" s="18" t="n">
        <v>16667.85</v>
      </c>
      <c r="P31" s="37" t="n">
        <v>16667.85</v>
      </c>
      <c r="Q31" s="18" t="n">
        <v>15634.62</v>
      </c>
      <c r="R31" s="19" t="n">
        <v>14601.38</v>
      </c>
      <c r="S31" s="10" t="n"/>
      <c r="T31" s="10" t="n"/>
      <c r="U31" s="11" t="n"/>
      <c r="V31" s="10" t="n"/>
      <c r="W31" s="10" t="n"/>
      <c r="X31" s="10" t="n"/>
      <c r="Y31" s="10" t="n"/>
      <c r="Z31" s="11" t="n"/>
      <c r="AA31" s="10" t="n"/>
      <c r="AB31" s="10" t="n"/>
      <c r="AC31" s="10" t="n"/>
      <c r="AD31" s="10" t="n"/>
      <c r="AE31" s="11" t="n"/>
    </row>
    <row r="32">
      <c r="A32" t="n">
        <v>1</v>
      </c>
      <c r="C32" t="inlineStr">
        <is>
          <t>비유동리스부채</t>
        </is>
      </c>
      <c r="E32" s="18" t="n">
        <v>1595.96</v>
      </c>
      <c r="F32" s="37" t="n">
        <v>1595.96</v>
      </c>
      <c r="G32" s="18" t="n">
        <v>24158.44</v>
      </c>
      <c r="H32" s="18" t="n">
        <v>22731.18</v>
      </c>
      <c r="I32" s="18" t="n">
        <v>21313.71</v>
      </c>
      <c r="J32" s="18" t="n">
        <v>21819.97</v>
      </c>
      <c r="K32" s="37" t="n">
        <v>21819.97</v>
      </c>
      <c r="L32" s="18" t="n">
        <v>20100.41</v>
      </c>
      <c r="M32" s="18" t="n">
        <v>18604.77</v>
      </c>
      <c r="N32" s="18" t="n">
        <v>17121.54</v>
      </c>
      <c r="O32" s="18" t="n">
        <v>15620.5</v>
      </c>
      <c r="P32" s="37" t="n">
        <v>15620.5</v>
      </c>
      <c r="Q32" s="18" t="n">
        <v>14098.71</v>
      </c>
      <c r="R32" s="19" t="n">
        <v>12561.31</v>
      </c>
      <c r="S32" s="10" t="n"/>
      <c r="T32" s="10" t="n"/>
      <c r="U32" s="11" t="n"/>
      <c r="V32" s="10" t="n"/>
      <c r="W32" s="10" t="n"/>
      <c r="X32" s="10" t="n"/>
      <c r="Y32" s="10" t="n"/>
      <c r="Z32" s="11" t="n"/>
      <c r="AA32" s="10" t="n"/>
      <c r="AB32" s="10" t="n"/>
      <c r="AC32" s="10" t="n"/>
      <c r="AD32" s="10" t="n"/>
      <c r="AE32" s="11" t="n"/>
    </row>
    <row r="33">
      <c r="A33" t="n">
        <v>1</v>
      </c>
      <c r="C33" t="inlineStr">
        <is>
          <t>장기금융부채</t>
        </is>
      </c>
      <c r="E33" s="18" t="n">
        <v>1595.96</v>
      </c>
      <c r="F33" s="37" t="n">
        <v>1595.96</v>
      </c>
      <c r="G33" s="18" t="n">
        <v>24158.44</v>
      </c>
      <c r="H33" s="18" t="n">
        <v>22731.18</v>
      </c>
      <c r="I33" s="18" t="n">
        <v>21313.71</v>
      </c>
      <c r="J33" s="18" t="n">
        <v>21819.97</v>
      </c>
      <c r="K33" s="37" t="n">
        <v>21819.97</v>
      </c>
      <c r="L33" s="18" t="n">
        <v>20100.41</v>
      </c>
      <c r="M33" s="18" t="n">
        <v>18604.77</v>
      </c>
      <c r="N33" s="18" t="n">
        <v>17121.54</v>
      </c>
      <c r="O33" s="18" t="n">
        <v>15620.5</v>
      </c>
      <c r="P33" s="37" t="n">
        <v>15620.5</v>
      </c>
      <c r="Q33" s="18" t="n">
        <v>14098.71</v>
      </c>
      <c r="R33" s="19" t="n">
        <v>12561.31</v>
      </c>
      <c r="S33" s="10" t="n"/>
      <c r="T33" s="10" t="n"/>
      <c r="U33" s="11" t="n"/>
      <c r="V33" s="10" t="n"/>
      <c r="W33" s="10" t="n"/>
      <c r="X33" s="10" t="n"/>
      <c r="Y33" s="10" t="n"/>
      <c r="Z33" s="11" t="n"/>
      <c r="AA33" s="10" t="n"/>
      <c r="AB33" s="10" t="n"/>
      <c r="AC33" s="10" t="n"/>
      <c r="AD33" s="10" t="n"/>
      <c r="AE33" s="11" t="n"/>
    </row>
    <row r="34">
      <c r="A34" t="n">
        <v>1</v>
      </c>
      <c r="C34" t="inlineStr">
        <is>
          <t>장기선수금</t>
        </is>
      </c>
      <c r="E34" s="18" t="n">
        <v>1497.2</v>
      </c>
      <c r="F34" s="37" t="n">
        <v>1497.2</v>
      </c>
      <c r="G34" s="18" t="n">
        <v>1692.97</v>
      </c>
      <c r="H34" s="18" t="n">
        <v>1141.64</v>
      </c>
      <c r="K34" s="9" t="n"/>
      <c r="N34" s="18" t="n">
        <v>390.54</v>
      </c>
      <c r="P34" s="9" t="n"/>
      <c r="R34" s="5" t="n"/>
      <c r="S34" s="10" t="n"/>
      <c r="T34" s="10" t="n"/>
      <c r="U34" s="11" t="n"/>
      <c r="V34" s="10" t="n"/>
      <c r="W34" s="10" t="n"/>
      <c r="X34" s="10" t="n"/>
      <c r="Y34" s="10" t="n"/>
      <c r="Z34" s="11" t="n"/>
      <c r="AA34" s="10" t="n"/>
      <c r="AB34" s="10" t="n"/>
      <c r="AC34" s="10" t="n"/>
      <c r="AD34" s="10" t="n"/>
      <c r="AE34" s="11" t="n"/>
    </row>
    <row r="35">
      <c r="A35" t="n">
        <v>1</v>
      </c>
      <c r="C35" t="inlineStr">
        <is>
          <t>부채총계</t>
        </is>
      </c>
      <c r="E35" s="18" t="n">
        <v>67361.66</v>
      </c>
      <c r="F35" s="37" t="n">
        <v>67361.66</v>
      </c>
      <c r="G35" s="18" t="n">
        <v>95522.59</v>
      </c>
      <c r="H35" s="18" t="n">
        <v>93103.11</v>
      </c>
      <c r="I35" s="18" t="n">
        <v>86786.27</v>
      </c>
      <c r="J35" s="18" t="n">
        <v>88419.34</v>
      </c>
      <c r="K35" s="37" t="n">
        <v>88419.34</v>
      </c>
      <c r="L35" s="18" t="n">
        <v>87683.28999999999</v>
      </c>
      <c r="M35" s="18" t="n">
        <v>82935.97</v>
      </c>
      <c r="N35" s="18" t="n">
        <v>78557.89999999999</v>
      </c>
      <c r="O35" s="18" t="n">
        <v>73460.42</v>
      </c>
      <c r="P35" s="37" t="n">
        <v>73460.42</v>
      </c>
      <c r="Q35" s="18" t="n">
        <v>71235.75999999999</v>
      </c>
      <c r="R35" s="19" t="n">
        <v>64988.88</v>
      </c>
      <c r="S35" s="10" t="n"/>
      <c r="T35" s="10" t="n"/>
      <c r="U35" s="11" t="n"/>
      <c r="V35" s="10" t="n"/>
      <c r="W35" s="10" t="n"/>
      <c r="X35" s="10" t="n"/>
      <c r="Y35" s="10" t="n"/>
      <c r="Z35" s="11" t="n"/>
      <c r="AA35" s="10" t="n"/>
      <c r="AB35" s="10" t="n"/>
      <c r="AC35" s="10" t="n"/>
      <c r="AD35" s="10" t="n"/>
      <c r="AE35" s="11" t="n"/>
    </row>
    <row r="36">
      <c r="A36" t="n">
        <v>1</v>
      </c>
      <c r="C36" t="inlineStr">
        <is>
          <t>자본금</t>
        </is>
      </c>
      <c r="E36" s="18" t="n">
        <v>14800</v>
      </c>
      <c r="F36" s="37" t="n">
        <v>14800</v>
      </c>
      <c r="G36" s="18" t="n">
        <v>17412</v>
      </c>
      <c r="H36" s="18" t="n">
        <v>17636.94</v>
      </c>
      <c r="I36" s="18" t="n">
        <v>17666.94</v>
      </c>
      <c r="J36" s="18" t="n">
        <v>17696.14</v>
      </c>
      <c r="K36" s="37" t="n">
        <v>17696.14</v>
      </c>
      <c r="L36" s="18" t="n">
        <v>17712.64</v>
      </c>
      <c r="M36" s="18" t="n">
        <v>17739.94</v>
      </c>
      <c r="N36" s="18" t="n">
        <v>17749.94</v>
      </c>
      <c r="O36" s="18" t="n">
        <v>17755.34</v>
      </c>
      <c r="P36" s="37" t="n">
        <v>17755.34</v>
      </c>
      <c r="Q36" s="18" t="n">
        <v>17755.34</v>
      </c>
      <c r="R36" s="19" t="n">
        <v>17755.34</v>
      </c>
      <c r="S36" s="10" t="n"/>
      <c r="T36" s="10" t="n"/>
      <c r="U36" s="11" t="n"/>
      <c r="V36" s="10" t="n"/>
      <c r="W36" s="10" t="n"/>
      <c r="X36" s="10" t="n"/>
      <c r="Y36" s="10" t="n"/>
      <c r="Z36" s="11" t="n"/>
      <c r="AA36" s="10" t="n"/>
      <c r="AB36" s="10" t="n"/>
      <c r="AC36" s="10" t="n"/>
      <c r="AD36" s="10" t="n"/>
      <c r="AE36" s="11" t="n"/>
    </row>
    <row r="37">
      <c r="A37" t="n">
        <v>1</v>
      </c>
      <c r="C37" t="inlineStr">
        <is>
          <t>자본잉여금</t>
        </is>
      </c>
      <c r="E37" s="18" t="n">
        <v>133200</v>
      </c>
      <c r="F37" s="37" t="n">
        <v>133200</v>
      </c>
      <c r="G37" s="18" t="n">
        <v>167350.53</v>
      </c>
      <c r="H37" s="18" t="n">
        <v>170622.6</v>
      </c>
      <c r="I37" s="18" t="n">
        <v>170925.56</v>
      </c>
      <c r="J37" s="18" t="n">
        <v>171220.05</v>
      </c>
      <c r="K37" s="37" t="n">
        <v>171220.05</v>
      </c>
      <c r="L37" s="18" t="n">
        <v>171427.25</v>
      </c>
      <c r="M37" s="18" t="n">
        <v>171772.09</v>
      </c>
      <c r="N37" s="18" t="n">
        <v>171897.41</v>
      </c>
      <c r="O37" s="18" t="n">
        <v>173107.96</v>
      </c>
      <c r="P37" s="37" t="n">
        <v>173107.96</v>
      </c>
      <c r="Q37" s="18" t="n">
        <v>173107.96</v>
      </c>
      <c r="R37" s="19" t="n">
        <v>173107.96</v>
      </c>
      <c r="S37" s="10" t="n"/>
      <c r="T37" s="10" t="n"/>
      <c r="U37" s="11" t="n"/>
      <c r="V37" s="10" t="n"/>
      <c r="W37" s="10" t="n"/>
      <c r="X37" s="10" t="n"/>
      <c r="Y37" s="10" t="n"/>
      <c r="Z37" s="11" t="n"/>
      <c r="AA37" s="10" t="n"/>
      <c r="AB37" s="10" t="n"/>
      <c r="AC37" s="10" t="n"/>
      <c r="AD37" s="10" t="n"/>
      <c r="AE37" s="11" t="n"/>
    </row>
    <row r="38">
      <c r="A38" t="n">
        <v>1</v>
      </c>
      <c r="C38" t="inlineStr">
        <is>
          <t>기타자본</t>
        </is>
      </c>
      <c r="E38" s="18" t="n">
        <v>202.25</v>
      </c>
      <c r="F38" s="37" t="n">
        <v>202.25</v>
      </c>
      <c r="G38" s="18" t="n">
        <v>677.84</v>
      </c>
      <c r="H38" s="18" t="n">
        <v>204.72</v>
      </c>
      <c r="I38" s="18" t="n">
        <v>176.44</v>
      </c>
      <c r="J38" s="18" t="n">
        <v>149.06</v>
      </c>
      <c r="K38" s="37" t="n">
        <v>149.06</v>
      </c>
      <c r="L38" s="18" t="n">
        <v>111.85</v>
      </c>
      <c r="M38" s="18" t="n">
        <v>39.38</v>
      </c>
      <c r="N38" s="18" t="n">
        <v>13.81</v>
      </c>
      <c r="O38" s="18" t="n">
        <v>0</v>
      </c>
      <c r="P38" s="37" t="n">
        <v>0</v>
      </c>
      <c r="Q38" s="18" t="n">
        <v>0</v>
      </c>
      <c r="R38" s="19" t="n">
        <v>0</v>
      </c>
      <c r="S38" s="10" t="n"/>
      <c r="T38" s="10" t="n"/>
      <c r="U38" s="11" t="n"/>
      <c r="V38" s="10" t="n"/>
      <c r="W38" s="10" t="n"/>
      <c r="X38" s="10" t="n"/>
      <c r="Y38" s="10" t="n"/>
      <c r="Z38" s="11" t="n"/>
      <c r="AA38" s="10" t="n"/>
      <c r="AB38" s="10" t="n"/>
      <c r="AC38" s="10" t="n"/>
      <c r="AD38" s="10" t="n"/>
      <c r="AE38" s="11" t="n"/>
    </row>
    <row r="39">
      <c r="A39" t="n">
        <v>1</v>
      </c>
      <c r="C39" t="inlineStr">
        <is>
          <t>이익잉여금</t>
        </is>
      </c>
      <c r="E39" s="18" t="n">
        <v>26455.36</v>
      </c>
      <c r="F39" s="37" t="n">
        <v>26455.36</v>
      </c>
      <c r="G39" s="18" t="n">
        <v>29586.9</v>
      </c>
      <c r="H39" s="18" t="n">
        <v>34356.69</v>
      </c>
      <c r="I39" s="18" t="n">
        <v>37925.3</v>
      </c>
      <c r="J39" s="18" t="n">
        <v>42598.56</v>
      </c>
      <c r="K39" s="37" t="n">
        <v>42598.56</v>
      </c>
      <c r="L39" s="18" t="n">
        <v>44438.48</v>
      </c>
      <c r="M39" s="18" t="n">
        <v>50645.81</v>
      </c>
      <c r="N39" s="18" t="n">
        <v>55606.15</v>
      </c>
      <c r="O39" s="18" t="n">
        <v>59985.07</v>
      </c>
      <c r="P39" s="37" t="n">
        <v>59985.07</v>
      </c>
      <c r="Q39" s="18" t="n">
        <v>61814.76</v>
      </c>
      <c r="R39" s="19" t="n">
        <v>70370.64999999999</v>
      </c>
      <c r="S39" s="10" t="n"/>
      <c r="T39" s="10" t="n"/>
      <c r="U39" s="11" t="n"/>
      <c r="V39" s="10" t="n"/>
      <c r="W39" s="10" t="n"/>
      <c r="X39" s="10" t="n"/>
      <c r="Y39" s="10" t="n"/>
      <c r="Z39" s="11" t="n"/>
      <c r="AA39" s="10" t="n"/>
      <c r="AB39" s="10" t="n"/>
      <c r="AC39" s="10" t="n"/>
      <c r="AD39" s="10" t="n"/>
      <c r="AE39" s="11" t="n"/>
    </row>
    <row r="40">
      <c r="A40" t="n">
        <v>1</v>
      </c>
      <c r="C40" t="inlineStr">
        <is>
          <t>자본총계</t>
        </is>
      </c>
      <c r="E40" s="18" t="n">
        <v>174657.62</v>
      </c>
      <c r="F40" s="37" t="n">
        <v>174657.62</v>
      </c>
      <c r="G40" s="18" t="n">
        <v>215027.27</v>
      </c>
      <c r="H40" s="18" t="n">
        <v>222820.95</v>
      </c>
      <c r="I40" s="18" t="n">
        <v>226694.24</v>
      </c>
      <c r="J40" s="18" t="n">
        <v>231663.82</v>
      </c>
      <c r="K40" s="37" t="n">
        <v>231663.82</v>
      </c>
      <c r="L40" s="18" t="n">
        <v>233690.21</v>
      </c>
      <c r="M40" s="18" t="n">
        <v>240197.22</v>
      </c>
      <c r="N40" s="18" t="n">
        <v>245267.31</v>
      </c>
      <c r="O40" s="18" t="n">
        <v>250848.36</v>
      </c>
      <c r="P40" s="37" t="n">
        <v>250848.36</v>
      </c>
      <c r="Q40" s="18" t="n">
        <v>252678.05</v>
      </c>
      <c r="R40" s="19" t="n">
        <v>261233.94</v>
      </c>
      <c r="S40" s="10" t="n"/>
      <c r="T40" s="10" t="n"/>
      <c r="U40" s="11" t="n"/>
      <c r="V40" s="10" t="n"/>
      <c r="W40" s="10" t="n"/>
      <c r="X40" s="10" t="n"/>
      <c r="Y40" s="10" t="n"/>
      <c r="Z40" s="11" t="n"/>
      <c r="AA40" s="10" t="n"/>
      <c r="AB40" s="10" t="n"/>
      <c r="AC40" s="10" t="n"/>
      <c r="AD40" s="10" t="n"/>
      <c r="AE40" s="11" t="n"/>
    </row>
    <row r="41">
      <c r="A41" t="n">
        <v>1</v>
      </c>
      <c r="C41" t="inlineStr">
        <is>
          <t>부채와자본총계</t>
        </is>
      </c>
      <c r="E41" s="18" t="n">
        <v>242019.27</v>
      </c>
      <c r="F41" s="37" t="n">
        <v>242019.27</v>
      </c>
      <c r="G41" s="18" t="n">
        <v>310549.86</v>
      </c>
      <c r="H41" s="18" t="n">
        <v>315924.06</v>
      </c>
      <c r="I41" s="18" t="n">
        <v>313480.51</v>
      </c>
      <c r="J41" s="18" t="n">
        <v>320083.16</v>
      </c>
      <c r="K41" s="37" t="n">
        <v>320083.16</v>
      </c>
      <c r="L41" s="18" t="n">
        <v>321373.5</v>
      </c>
      <c r="M41" s="18" t="n">
        <v>323133.2</v>
      </c>
      <c r="N41" s="18" t="n">
        <v>323825.21</v>
      </c>
      <c r="O41" s="18" t="n">
        <v>324308.78</v>
      </c>
      <c r="P41" s="37" t="n">
        <v>324308.78</v>
      </c>
      <c r="Q41" s="18" t="n">
        <v>323913.81</v>
      </c>
      <c r="R41" s="19" t="n">
        <v>326222.82</v>
      </c>
      <c r="S41" s="10" t="n"/>
      <c r="T41" s="10" t="n"/>
      <c r="U41" s="11" t="n"/>
      <c r="V41" s="10" t="n"/>
      <c r="W41" s="10" t="n"/>
      <c r="X41" s="10" t="n"/>
      <c r="Y41" s="10" t="n"/>
      <c r="Z41" s="11" t="n"/>
      <c r="AA41" s="10" t="n"/>
      <c r="AB41" s="10" t="n"/>
      <c r="AC41" s="10" t="n"/>
      <c r="AD41" s="10" t="n"/>
      <c r="AE41" s="11" t="n"/>
    </row>
    <row r="42">
      <c r="A42" t="n">
        <v>1</v>
      </c>
      <c r="C42" t="inlineStr">
        <is>
          <t>지배주주지분</t>
        </is>
      </c>
      <c r="E42" s="18" t="n">
        <v>174657.62</v>
      </c>
      <c r="F42" s="37" t="n">
        <v>174657.62</v>
      </c>
      <c r="G42" s="18" t="n">
        <v>215027.27</v>
      </c>
      <c r="H42" s="18" t="n">
        <v>222820.95</v>
      </c>
      <c r="I42" s="18" t="n">
        <v>226694.24</v>
      </c>
      <c r="J42" s="18" t="n">
        <v>231663.82</v>
      </c>
      <c r="K42" s="37" t="n">
        <v>231663.82</v>
      </c>
      <c r="L42" s="18" t="n">
        <v>233690.21</v>
      </c>
      <c r="M42" s="18" t="n">
        <v>240197.22</v>
      </c>
      <c r="N42" s="18" t="n">
        <v>245267.31</v>
      </c>
      <c r="O42" s="18" t="n">
        <v>250848.36</v>
      </c>
      <c r="P42" s="37" t="n">
        <v>250848.36</v>
      </c>
      <c r="Q42" s="18" t="n">
        <v>252678.05</v>
      </c>
      <c r="R42" s="19" t="n">
        <v>261233.94</v>
      </c>
      <c r="S42" s="10" t="n"/>
      <c r="T42" s="10" t="n"/>
      <c r="U42" s="11" t="n"/>
      <c r="V42" s="10" t="n"/>
      <c r="W42" s="10" t="n"/>
      <c r="X42" s="10" t="n"/>
      <c r="Y42" s="10" t="n"/>
      <c r="Z42" s="11" t="n"/>
      <c r="AA42" s="10" t="n"/>
      <c r="AB42" s="10" t="n"/>
      <c r="AC42" s="10" t="n"/>
      <c r="AD42" s="10" t="n"/>
      <c r="AE42" s="11" t="n"/>
    </row>
    <row r="43">
      <c r="A43" t="n">
        <v>1</v>
      </c>
      <c r="C43" t="inlineStr">
        <is>
          <t>총차입금</t>
        </is>
      </c>
      <c r="E43" s="18" t="n">
        <v>42541.02</v>
      </c>
      <c r="F43" s="37" t="n">
        <v>42541.02</v>
      </c>
      <c r="G43" s="18" t="n">
        <v>44246.79</v>
      </c>
      <c r="H43" s="18" t="n">
        <v>42285.9</v>
      </c>
      <c r="I43" s="18" t="n">
        <v>39526.92</v>
      </c>
      <c r="J43" s="18" t="n">
        <v>37607.69</v>
      </c>
      <c r="K43" s="37" t="n">
        <v>37607.69</v>
      </c>
      <c r="L43" s="18" t="n">
        <v>35688.46</v>
      </c>
      <c r="M43" s="18" t="n">
        <v>33769.23</v>
      </c>
      <c r="N43" s="18" t="n">
        <v>26950</v>
      </c>
      <c r="O43" s="18" t="n">
        <v>20380.77</v>
      </c>
      <c r="P43" s="37" t="n">
        <v>20380.77</v>
      </c>
      <c r="Q43" s="18" t="n">
        <v>19561.54</v>
      </c>
      <c r="R43" s="19" t="n">
        <v>18742.3</v>
      </c>
      <c r="S43" s="10" t="n"/>
      <c r="T43" s="10" t="n"/>
      <c r="U43" s="11" t="n"/>
      <c r="V43" s="10" t="n"/>
      <c r="W43" s="10" t="n"/>
      <c r="X43" s="10" t="n"/>
      <c r="Y43" s="10" t="n"/>
      <c r="Z43" s="11" t="n"/>
      <c r="AA43" s="10" t="n"/>
      <c r="AB43" s="10" t="n"/>
      <c r="AC43" s="10" t="n"/>
      <c r="AD43" s="10" t="n"/>
      <c r="AE43" s="11" t="n"/>
    </row>
    <row r="44">
      <c r="A44" t="n">
        <v>1</v>
      </c>
      <c r="C44" t="inlineStr">
        <is>
          <t>순차입금</t>
        </is>
      </c>
      <c r="E44" s="18" t="n">
        <v>38582.32</v>
      </c>
      <c r="F44" s="37" t="n">
        <v>38582.32</v>
      </c>
      <c r="G44" s="18" t="n">
        <v>2308.67</v>
      </c>
      <c r="H44" s="18" t="n">
        <v>-12380.03</v>
      </c>
      <c r="I44" s="18" t="n">
        <v>11984.91</v>
      </c>
      <c r="J44" s="18" t="n">
        <v>2912.87</v>
      </c>
      <c r="K44" s="37" t="n">
        <v>2912.87</v>
      </c>
      <c r="L44" s="18" t="n">
        <v>-1925.71</v>
      </c>
      <c r="M44" s="18" t="n">
        <v>-6683.65</v>
      </c>
      <c r="N44" s="18" t="n">
        <v>-14866.8</v>
      </c>
      <c r="O44" s="18" t="n">
        <v>-18656.36</v>
      </c>
      <c r="P44" s="37" t="n">
        <v>-18656.36</v>
      </c>
      <c r="Q44" s="18" t="n">
        <v>-20874.94</v>
      </c>
      <c r="R44" s="19" t="n">
        <v>-26568.63</v>
      </c>
      <c r="S44" s="10" t="n"/>
      <c r="T44" s="10" t="n"/>
      <c r="U44" s="11" t="n"/>
      <c r="V44" s="10" t="n"/>
      <c r="W44" s="10" t="n"/>
      <c r="X44" s="10" t="n"/>
      <c r="Y44" s="10" t="n"/>
      <c r="Z44" s="11" t="n"/>
      <c r="AA44" s="10" t="n"/>
      <c r="AB44" s="10" t="n"/>
      <c r="AC44" s="10" t="n"/>
      <c r="AD44" s="10" t="n"/>
      <c r="AE44" s="11" t="n"/>
    </row>
    <row r="45">
      <c r="A45" t="n">
        <v>1</v>
      </c>
      <c r="C45" t="inlineStr">
        <is>
          <t>이자발생자산</t>
        </is>
      </c>
      <c r="E45" s="18" t="n">
        <v>3958.7</v>
      </c>
      <c r="F45" s="37" t="n">
        <v>3958.7</v>
      </c>
      <c r="G45" s="18" t="n">
        <v>41938.12</v>
      </c>
      <c r="H45" s="18" t="n">
        <v>54665.93</v>
      </c>
      <c r="I45" s="18" t="n">
        <v>27542.01</v>
      </c>
      <c r="J45" s="18" t="n">
        <v>34694.82</v>
      </c>
      <c r="K45" s="37" t="n">
        <v>34694.82</v>
      </c>
      <c r="L45" s="18" t="n">
        <v>37614.17</v>
      </c>
      <c r="M45" s="18" t="n">
        <v>40452.88</v>
      </c>
      <c r="N45" s="18" t="n">
        <v>41816.8</v>
      </c>
      <c r="O45" s="18" t="n">
        <v>39037.13</v>
      </c>
      <c r="P45" s="37" t="n">
        <v>39037.13</v>
      </c>
      <c r="Q45" s="18" t="n">
        <v>40436.48</v>
      </c>
      <c r="R45" s="19" t="n">
        <v>45310.93</v>
      </c>
      <c r="S45" s="10" t="n"/>
      <c r="T45" s="10" t="n"/>
      <c r="U45" s="11" t="n"/>
      <c r="V45" s="10" t="n"/>
      <c r="W45" s="10" t="n"/>
      <c r="X45" s="10" t="n"/>
      <c r="Y45" s="10" t="n"/>
      <c r="Z45" s="11" t="n"/>
      <c r="AA45" s="10" t="n"/>
      <c r="AB45" s="10" t="n"/>
      <c r="AC45" s="10" t="n"/>
      <c r="AD45" s="10" t="n"/>
      <c r="AE45" s="11" t="n"/>
    </row>
    <row r="46">
      <c r="A46" t="n">
        <v>1</v>
      </c>
      <c r="C46" t="inlineStr">
        <is>
          <t>단기금융상품</t>
        </is>
      </c>
      <c r="F46" s="9" t="n"/>
      <c r="G46" s="18" t="n">
        <v>21448.85</v>
      </c>
      <c r="H46" s="18" t="n">
        <v>18627.12</v>
      </c>
      <c r="I46" s="18" t="n">
        <v>3630.54</v>
      </c>
      <c r="J46" s="18" t="n">
        <v>651.96</v>
      </c>
      <c r="K46" s="37" t="n">
        <v>651.96</v>
      </c>
      <c r="L46" s="18" t="n">
        <v>651.96</v>
      </c>
      <c r="M46" s="18" t="n">
        <v>6675.04</v>
      </c>
      <c r="N46" s="18" t="n">
        <v>10635.59</v>
      </c>
      <c r="O46" s="18" t="n">
        <v>6651.96</v>
      </c>
      <c r="P46" s="37" t="n">
        <v>6651.96</v>
      </c>
      <c r="Q46" s="18" t="n">
        <v>161.66</v>
      </c>
      <c r="R46" s="19" t="n">
        <v>3017.03</v>
      </c>
      <c r="S46" s="10" t="n"/>
      <c r="T46" s="10" t="n"/>
      <c r="U46" s="11" t="n"/>
      <c r="V46" s="10" t="n"/>
      <c r="W46" s="10" t="n"/>
      <c r="X46" s="10" t="n"/>
      <c r="Y46" s="10" t="n"/>
      <c r="Z46" s="11" t="n"/>
      <c r="AA46" s="10" t="n"/>
      <c r="AB46" s="10" t="n"/>
      <c r="AC46" s="10" t="n"/>
      <c r="AD46" s="10" t="n"/>
      <c r="AE46" s="11" t="n"/>
    </row>
    <row r="47">
      <c r="A47" t="n">
        <v>1</v>
      </c>
      <c r="C47" t="inlineStr">
        <is>
          <t>단기금융자산</t>
        </is>
      </c>
      <c r="F47" s="9" t="n"/>
      <c r="G47" s="18" t="n">
        <v>21448.85</v>
      </c>
      <c r="H47" s="18" t="n">
        <v>18627.12</v>
      </c>
      <c r="I47" s="18" t="n">
        <v>3630.54</v>
      </c>
      <c r="J47" s="18" t="n">
        <v>651.96</v>
      </c>
      <c r="K47" s="37" t="n">
        <v>651.96</v>
      </c>
      <c r="L47" s="18" t="n">
        <v>651.96</v>
      </c>
      <c r="M47" s="18" t="n">
        <v>6675.04</v>
      </c>
      <c r="N47" s="18" t="n">
        <v>10635.59</v>
      </c>
      <c r="O47" s="18" t="n">
        <v>6651.96</v>
      </c>
      <c r="P47" s="37" t="n">
        <v>6651.96</v>
      </c>
      <c r="Q47" s="18" t="n">
        <v>161.66</v>
      </c>
      <c r="R47" s="19" t="n">
        <v>3017.03</v>
      </c>
      <c r="S47" s="10" t="n"/>
      <c r="T47" s="10" t="n"/>
      <c r="U47" s="11" t="n"/>
      <c r="V47" s="10" t="n"/>
      <c r="W47" s="10" t="n"/>
      <c r="X47" s="10" t="n"/>
      <c r="Y47" s="10" t="n"/>
      <c r="Z47" s="11" t="n"/>
      <c r="AA47" s="10" t="n"/>
      <c r="AB47" s="10" t="n"/>
      <c r="AC47" s="10" t="n"/>
      <c r="AD47" s="10" t="n"/>
      <c r="AE47" s="11" t="n"/>
    </row>
    <row r="48">
      <c r="A48" t="n">
        <v>1</v>
      </c>
      <c r="C48" t="inlineStr">
        <is>
          <t>장기금융부채(face)</t>
        </is>
      </c>
      <c r="F48" s="9" t="n"/>
      <c r="I48" s="18" t="n">
        <v>31850</v>
      </c>
      <c r="J48" s="18" t="n">
        <v>29930.77</v>
      </c>
      <c r="K48" s="37" t="n">
        <v>29930.77</v>
      </c>
      <c r="L48" s="18" t="n">
        <v>28011.54</v>
      </c>
      <c r="M48" s="18" t="n">
        <v>26092.31</v>
      </c>
      <c r="N48" s="18" t="n">
        <v>20451.08</v>
      </c>
      <c r="O48" s="18" t="n">
        <v>16667.85</v>
      </c>
      <c r="P48" s="37" t="n">
        <v>16667.85</v>
      </c>
      <c r="Q48" s="18" t="n">
        <v>15634.62</v>
      </c>
      <c r="R48" s="19" t="n">
        <v>14601.38</v>
      </c>
      <c r="S48" s="10" t="n"/>
      <c r="T48" s="10" t="n"/>
      <c r="U48" s="11" t="n"/>
      <c r="V48" s="10" t="n"/>
      <c r="W48" s="10" t="n"/>
      <c r="X48" s="10" t="n"/>
      <c r="Y48" s="10" t="n"/>
      <c r="Z48" s="11" t="n"/>
      <c r="AA48" s="10" t="n"/>
      <c r="AB48" s="10" t="n"/>
      <c r="AC48" s="10" t="n"/>
      <c r="AD48" s="10" t="n"/>
      <c r="AE48" s="11" t="n"/>
    </row>
    <row r="49">
      <c r="A49" t="n">
        <v>1</v>
      </c>
      <c r="C49" t="inlineStr">
        <is>
          <t>확정급여부채</t>
        </is>
      </c>
      <c r="F49" s="9" t="n"/>
      <c r="K49" s="9" t="n"/>
      <c r="L49" s="18" t="n">
        <v>67.81999999999999</v>
      </c>
      <c r="N49" s="18" t="n">
        <v>15.31</v>
      </c>
      <c r="P49" s="9" t="n"/>
      <c r="R49" s="5" t="n"/>
      <c r="S49" s="10" t="n"/>
      <c r="T49" s="10" t="n"/>
      <c r="U49" s="11" t="n"/>
      <c r="V49" s="10" t="n"/>
      <c r="W49" s="10" t="n"/>
      <c r="X49" s="10" t="n"/>
      <c r="Y49" s="10" t="n"/>
      <c r="Z49" s="11" t="n"/>
      <c r="AA49" s="10" t="n"/>
      <c r="AB49" s="10" t="n"/>
      <c r="AC49" s="10" t="n"/>
      <c r="AD49" s="10" t="n"/>
      <c r="AE49" s="11" t="n"/>
    </row>
    <row r="50">
      <c r="A50" t="n">
        <v>1</v>
      </c>
      <c r="C50" t="inlineStr">
        <is>
          <t>장기매입채무및기타채무</t>
        </is>
      </c>
      <c r="F50" s="9" t="n"/>
      <c r="K50" s="9" t="n"/>
      <c r="O50" s="18" t="n">
        <v>20.67</v>
      </c>
      <c r="P50" s="37" t="n">
        <v>20.67</v>
      </c>
      <c r="Q50" s="18" t="n">
        <v>20.67</v>
      </c>
      <c r="R50" s="19" t="n">
        <v>20.67</v>
      </c>
      <c r="S50" s="10" t="n"/>
      <c r="T50" s="10" t="n"/>
      <c r="U50" s="11" t="n"/>
      <c r="V50" s="10" t="n"/>
      <c r="W50" s="10" t="n"/>
      <c r="X50" s="10" t="n"/>
      <c r="Y50" s="10" t="n"/>
      <c r="Z50" s="11" t="n"/>
      <c r="AA50" s="10" t="n"/>
      <c r="AB50" s="10" t="n"/>
      <c r="AC50" s="10" t="n"/>
      <c r="AD50" s="10" t="n"/>
      <c r="AE50" s="11" t="n"/>
    </row>
    <row r="51">
      <c r="A51" t="n">
        <v>1</v>
      </c>
      <c r="C51" t="inlineStr">
        <is>
          <t>기타비유동부채</t>
        </is>
      </c>
      <c r="F51" s="9" t="n"/>
      <c r="K51" s="9" t="n"/>
      <c r="O51" s="18" t="n">
        <v>339.6</v>
      </c>
      <c r="P51" s="37" t="n">
        <v>339.6</v>
      </c>
      <c r="Q51" s="18" t="n">
        <v>288.66</v>
      </c>
      <c r="R51" s="19" t="n">
        <v>237.72</v>
      </c>
      <c r="S51" s="10" t="n"/>
      <c r="T51" s="10" t="n"/>
      <c r="U51" s="11" t="n"/>
      <c r="V51" s="10" t="n"/>
      <c r="W51" s="10" t="n"/>
      <c r="X51" s="10" t="n"/>
      <c r="Y51" s="10" t="n"/>
      <c r="Z51" s="11" t="n"/>
      <c r="AA51" s="10" t="n"/>
      <c r="AB51" s="10" t="n"/>
      <c r="AC51" s="10" t="n"/>
      <c r="AD51" s="10" t="n"/>
      <c r="AE51" s="11" t="n"/>
    </row>
    <row r="52">
      <c r="A52" t="n">
        <v>1</v>
      </c>
      <c r="C52" t="inlineStr">
        <is>
          <t>매출액(수익)</t>
        </is>
      </c>
      <c r="E52" s="18" t="n">
        <v>50916.93</v>
      </c>
      <c r="F52" s="9" t="n"/>
      <c r="G52" s="18" t="n">
        <v>49531.24</v>
      </c>
      <c r="H52" s="18" t="n">
        <v>55636.15</v>
      </c>
      <c r="I52" s="18" t="n">
        <v>52348.94</v>
      </c>
      <c r="J52" s="18" t="n">
        <v>54199.16</v>
      </c>
      <c r="K52" s="37" t="n">
        <v>211715.49</v>
      </c>
      <c r="L52" s="18" t="n">
        <v>56933.75</v>
      </c>
      <c r="M52" s="18" t="n">
        <v>61118.16</v>
      </c>
      <c r="N52" s="18" t="n">
        <v>58812.05</v>
      </c>
      <c r="O52" s="18" t="n">
        <v>64638.13</v>
      </c>
      <c r="P52" s="37" t="n">
        <v>241502.09</v>
      </c>
      <c r="Q52" s="18" t="n">
        <v>63391.75</v>
      </c>
      <c r="R52" s="19" t="n">
        <v>71533.53</v>
      </c>
      <c r="S52" s="10" t="n"/>
      <c r="T52" s="10" t="n"/>
      <c r="U52" s="11" t="n"/>
      <c r="V52" s="10" t="n"/>
      <c r="W52" s="10" t="n"/>
      <c r="X52" s="10" t="n"/>
      <c r="Y52" s="10" t="n"/>
      <c r="Z52" s="11" t="n"/>
      <c r="AA52" s="10" t="n"/>
      <c r="AB52" s="10" t="n"/>
      <c r="AC52" s="10" t="n"/>
      <c r="AD52" s="10" t="n"/>
      <c r="AE52" s="11" t="n"/>
    </row>
    <row r="53">
      <c r="A53" t="n">
        <v>1</v>
      </c>
      <c r="C53" t="inlineStr">
        <is>
          <t>매출원가</t>
        </is>
      </c>
      <c r="E53" s="18" t="n">
        <v>46401.03</v>
      </c>
      <c r="F53" s="9" t="n"/>
      <c r="G53" s="18" t="n">
        <v>42868.95</v>
      </c>
      <c r="H53" s="18" t="n">
        <v>47102.08</v>
      </c>
      <c r="I53" s="18" t="n">
        <v>46590.36</v>
      </c>
      <c r="J53" s="18" t="n">
        <v>47230.08</v>
      </c>
      <c r="K53" s="37" t="n">
        <v>183791.47</v>
      </c>
      <c r="L53" s="18" t="n">
        <v>47989.4</v>
      </c>
      <c r="M53" s="18" t="n">
        <v>51030.12</v>
      </c>
      <c r="N53" s="18" t="n">
        <v>50002.22</v>
      </c>
      <c r="O53" s="18" t="n">
        <v>55819.39</v>
      </c>
      <c r="P53" s="37" t="n">
        <v>204841.13</v>
      </c>
      <c r="Q53" s="18" t="n">
        <v>52691.89</v>
      </c>
      <c r="R53" s="19" t="n">
        <v>57255.01</v>
      </c>
      <c r="S53" s="10" t="n"/>
      <c r="T53" s="10" t="n"/>
      <c r="U53" s="11" t="n"/>
      <c r="V53" s="10" t="n"/>
      <c r="W53" s="10" t="n"/>
      <c r="X53" s="10" t="n"/>
      <c r="Y53" s="10" t="n"/>
      <c r="Z53" s="11" t="n"/>
      <c r="AA53" s="10" t="n"/>
      <c r="AB53" s="10" t="n"/>
      <c r="AC53" s="10" t="n"/>
      <c r="AD53" s="10" t="n"/>
      <c r="AE53" s="11" t="n"/>
    </row>
    <row r="54">
      <c r="A54" t="n">
        <v>1</v>
      </c>
      <c r="C54" t="inlineStr">
        <is>
          <t>매출총이익</t>
        </is>
      </c>
      <c r="E54" s="18" t="n">
        <v>4515.88</v>
      </c>
      <c r="F54" s="9" t="n"/>
      <c r="G54" s="18" t="n">
        <v>6662.29</v>
      </c>
      <c r="H54" s="18" t="n">
        <v>8534.07</v>
      </c>
      <c r="I54" s="18" t="n">
        <v>5758.57</v>
      </c>
      <c r="J54" s="18" t="n">
        <v>6969.07</v>
      </c>
      <c r="K54" s="37" t="n">
        <v>27924</v>
      </c>
      <c r="L54" s="18" t="n">
        <v>8944.35</v>
      </c>
      <c r="M54" s="18" t="n">
        <v>10088.04</v>
      </c>
      <c r="N54" s="18" t="n">
        <v>8809.83</v>
      </c>
      <c r="O54" s="18" t="n">
        <v>8818.74</v>
      </c>
      <c r="P54" s="37" t="n">
        <v>36660.96</v>
      </c>
      <c r="Q54" s="18" t="n">
        <v>10699.86</v>
      </c>
      <c r="R54" s="19" t="n">
        <v>14278.52</v>
      </c>
      <c r="S54" s="10" t="n"/>
      <c r="T54" s="10" t="n"/>
      <c r="U54" s="11" t="n"/>
      <c r="V54" s="10" t="n"/>
      <c r="W54" s="10" t="n"/>
      <c r="X54" s="10" t="n"/>
      <c r="Y54" s="10" t="n"/>
      <c r="Z54" s="11" t="n"/>
      <c r="AA54" s="10" t="n"/>
      <c r="AB54" s="10" t="n"/>
      <c r="AC54" s="10" t="n"/>
      <c r="AD54" s="10" t="n"/>
      <c r="AE54" s="11" t="n"/>
    </row>
    <row r="55">
      <c r="A55" t="n">
        <v>1</v>
      </c>
      <c r="C55" t="inlineStr">
        <is>
          <t>판관비</t>
        </is>
      </c>
      <c r="E55" s="18" t="n">
        <v>2067.94</v>
      </c>
      <c r="F55" s="9" t="n"/>
      <c r="G55" s="18" t="n">
        <v>2081.36</v>
      </c>
      <c r="H55" s="18" t="n">
        <v>1988.59</v>
      </c>
      <c r="I55" s="18" t="n">
        <v>1949.38</v>
      </c>
      <c r="J55" s="18" t="n">
        <v>2308.65</v>
      </c>
      <c r="K55" s="37" t="n">
        <v>8327.98</v>
      </c>
      <c r="L55" s="18" t="n">
        <v>1841.14</v>
      </c>
      <c r="M55" s="18" t="n">
        <v>1942.04</v>
      </c>
      <c r="N55" s="18" t="n">
        <v>2162.81</v>
      </c>
      <c r="O55" s="18" t="n">
        <v>2291.15</v>
      </c>
      <c r="P55" s="37" t="n">
        <v>8237.139999999999</v>
      </c>
      <c r="Q55" s="18" t="n">
        <v>2159.21</v>
      </c>
      <c r="R55" s="19" t="n">
        <v>2258.84</v>
      </c>
      <c r="S55" s="10" t="n"/>
      <c r="T55" s="10" t="n"/>
      <c r="U55" s="11" t="n"/>
      <c r="V55" s="10" t="n"/>
      <c r="W55" s="10" t="n"/>
      <c r="X55" s="10" t="n"/>
      <c r="Y55" s="10" t="n"/>
      <c r="Z55" s="11" t="n"/>
      <c r="AA55" s="10" t="n"/>
      <c r="AB55" s="10" t="n"/>
      <c r="AC55" s="10" t="n"/>
      <c r="AD55" s="10" t="n"/>
      <c r="AE55" s="11" t="n"/>
    </row>
    <row r="56">
      <c r="A56" t="n">
        <v>1</v>
      </c>
      <c r="C56" t="inlineStr">
        <is>
          <t>영업이익</t>
        </is>
      </c>
      <c r="E56" s="18" t="n">
        <v>2447.96</v>
      </c>
      <c r="F56" s="9" t="n"/>
      <c r="G56" s="18" t="n">
        <v>4580.92</v>
      </c>
      <c r="H56" s="18" t="n">
        <v>6545.48</v>
      </c>
      <c r="I56" s="18" t="n">
        <v>3809.2</v>
      </c>
      <c r="J56" s="18" t="n">
        <v>4660.42</v>
      </c>
      <c r="K56" s="37" t="n">
        <v>19596.02</v>
      </c>
      <c r="L56" s="18" t="n">
        <v>7103.21</v>
      </c>
      <c r="M56" s="18" t="n">
        <v>8146</v>
      </c>
      <c r="N56" s="18" t="n">
        <v>6647.02</v>
      </c>
      <c r="O56" s="18" t="n">
        <v>6527.6</v>
      </c>
      <c r="P56" s="37" t="n">
        <v>28423.83</v>
      </c>
      <c r="Q56" s="18" t="n">
        <v>8540.65</v>
      </c>
      <c r="R56" s="19" t="n">
        <v>12019.68</v>
      </c>
      <c r="S56" s="10" t="n"/>
      <c r="T56" s="10" t="n"/>
      <c r="U56" s="11" t="n"/>
      <c r="V56" s="10" t="n"/>
      <c r="W56" s="10" t="n"/>
      <c r="X56" s="10" t="n"/>
      <c r="Y56" s="10" t="n"/>
      <c r="Z56" s="11" t="n"/>
      <c r="AA56" s="10" t="n"/>
      <c r="AB56" s="10" t="n"/>
      <c r="AC56" s="10" t="n"/>
      <c r="AD56" s="10" t="n"/>
      <c r="AE56" s="11" t="n"/>
    </row>
    <row r="57">
      <c r="A57" t="n">
        <v>1</v>
      </c>
      <c r="C57" t="inlineStr">
        <is>
          <t>금융수익</t>
        </is>
      </c>
      <c r="E57" s="18" t="n">
        <v>28.16</v>
      </c>
      <c r="F57" s="9" t="n"/>
      <c r="G57" s="18" t="n">
        <v>273.35</v>
      </c>
      <c r="H57" s="18" t="n">
        <v>393.64</v>
      </c>
      <c r="I57" s="18" t="n">
        <v>440.16</v>
      </c>
      <c r="J57" s="18" t="n">
        <v>2228.1</v>
      </c>
      <c r="K57" s="37" t="n">
        <v>3335.25</v>
      </c>
      <c r="L57" s="18" t="n">
        <v>224.3</v>
      </c>
      <c r="M57" s="18" t="n">
        <v>272.68</v>
      </c>
      <c r="N57" s="18" t="n">
        <v>226.59</v>
      </c>
      <c r="O57" s="18" t="n">
        <v>243.09</v>
      </c>
      <c r="P57" s="37" t="n">
        <v>966.66</v>
      </c>
      <c r="Q57" s="18" t="n">
        <v>210.6</v>
      </c>
      <c r="R57" s="19" t="n">
        <v>232.47</v>
      </c>
      <c r="S57" s="10" t="n"/>
      <c r="T57" s="10" t="n"/>
      <c r="U57" s="11" t="n"/>
      <c r="V57" s="10" t="n"/>
      <c r="W57" s="10" t="n"/>
      <c r="X57" s="10" t="n"/>
      <c r="Y57" s="10" t="n"/>
      <c r="Z57" s="11" t="n"/>
      <c r="AA57" s="10" t="n"/>
      <c r="AB57" s="10" t="n"/>
      <c r="AC57" s="10" t="n"/>
      <c r="AD57" s="10" t="n"/>
      <c r="AE57" s="11" t="n"/>
    </row>
    <row r="58">
      <c r="A58" t="n">
        <v>1</v>
      </c>
      <c r="C58" t="inlineStr">
        <is>
          <t>금융비용</t>
        </is>
      </c>
      <c r="E58" s="18" t="n">
        <v>595.1</v>
      </c>
      <c r="F58" s="9" t="n"/>
      <c r="G58" s="18" t="n">
        <v>886.5</v>
      </c>
      <c r="H58" s="18" t="n">
        <v>858.5599999999999</v>
      </c>
      <c r="I58" s="18" t="n">
        <v>809.6799999999999</v>
      </c>
      <c r="J58" s="18" t="n">
        <v>783.8</v>
      </c>
      <c r="K58" s="37" t="n">
        <v>3338.54</v>
      </c>
      <c r="L58" s="18" t="n">
        <v>691.46</v>
      </c>
      <c r="M58" s="18" t="n">
        <v>641.84</v>
      </c>
      <c r="N58" s="18" t="n">
        <v>626.79</v>
      </c>
      <c r="O58" s="18" t="n">
        <v>511.89</v>
      </c>
      <c r="P58" s="37" t="n">
        <v>2471.98</v>
      </c>
      <c r="Q58" s="18" t="n">
        <v>414.28</v>
      </c>
      <c r="R58" s="19" t="n">
        <v>397.27</v>
      </c>
      <c r="S58" s="10" t="n"/>
      <c r="T58" s="10" t="n"/>
      <c r="U58" s="11" t="n"/>
      <c r="V58" s="10" t="n"/>
      <c r="W58" s="10" t="n"/>
      <c r="X58" s="10" t="n"/>
      <c r="Y58" s="10" t="n"/>
      <c r="Z58" s="11" t="n"/>
      <c r="AA58" s="10" t="n"/>
      <c r="AB58" s="10" t="n"/>
      <c r="AC58" s="10" t="n"/>
      <c r="AD58" s="10" t="n"/>
      <c r="AE58" s="11" t="n"/>
    </row>
    <row r="59">
      <c r="A59" t="n">
        <v>1</v>
      </c>
      <c r="C59" t="inlineStr">
        <is>
          <t>기타영업외수익</t>
        </is>
      </c>
      <c r="E59" s="18" t="n">
        <v>46.98</v>
      </c>
      <c r="F59" s="9" t="n"/>
      <c r="G59" s="18" t="n">
        <v>0.63</v>
      </c>
      <c r="H59" s="18" t="n">
        <v>6.08</v>
      </c>
      <c r="I59" s="18" t="n">
        <v>42.29</v>
      </c>
      <c r="J59" s="18" t="n">
        <v>257.56</v>
      </c>
      <c r="K59" s="37" t="n">
        <v>306.56</v>
      </c>
      <c r="L59" s="18" t="n">
        <v>51.39</v>
      </c>
      <c r="M59" s="18" t="n">
        <v>42.62</v>
      </c>
      <c r="N59" s="18" t="n">
        <v>23.79</v>
      </c>
      <c r="O59" s="18" t="n">
        <v>105.19</v>
      </c>
      <c r="P59" s="37" t="n">
        <v>222.99</v>
      </c>
      <c r="Q59" s="18" t="n">
        <v>13.69</v>
      </c>
      <c r="R59" s="19" t="n">
        <v>15.27</v>
      </c>
      <c r="S59" s="10" t="n"/>
      <c r="T59" s="10" t="n"/>
      <c r="U59" s="11" t="n"/>
      <c r="V59" s="10" t="n"/>
      <c r="W59" s="10" t="n"/>
      <c r="X59" s="10" t="n"/>
      <c r="Y59" s="10" t="n"/>
      <c r="Z59" s="11" t="n"/>
      <c r="AA59" s="10" t="n"/>
      <c r="AB59" s="10" t="n"/>
      <c r="AC59" s="10" t="n"/>
      <c r="AD59" s="10" t="n"/>
      <c r="AE59" s="11" t="n"/>
    </row>
    <row r="60">
      <c r="A60" t="n">
        <v>1</v>
      </c>
      <c r="C60" t="inlineStr">
        <is>
          <t>기타영업외비용</t>
        </is>
      </c>
      <c r="E60" s="18" t="n">
        <v>11.12</v>
      </c>
      <c r="F60" s="9" t="n"/>
      <c r="G60" s="18" t="n">
        <v>47.66</v>
      </c>
      <c r="H60" s="18" t="n">
        <v>0.37</v>
      </c>
      <c r="I60" s="18" t="n">
        <v>5.66</v>
      </c>
      <c r="J60" s="18" t="n">
        <v>43.3</v>
      </c>
      <c r="K60" s="37" t="n">
        <v>96.98999999999999</v>
      </c>
      <c r="L60" s="18" t="n">
        <v>41.51</v>
      </c>
      <c r="M60" s="18" t="n">
        <v>106.38</v>
      </c>
      <c r="N60" s="18" t="n">
        <v>77</v>
      </c>
      <c r="O60" s="18" t="n">
        <v>357.36</v>
      </c>
      <c r="P60" s="37" t="n">
        <v>582.25</v>
      </c>
      <c r="Q60" s="18" t="n">
        <v>63.34</v>
      </c>
      <c r="R60" s="19" t="n">
        <v>654.77</v>
      </c>
      <c r="S60" s="10" t="n"/>
      <c r="T60" s="10" t="n"/>
      <c r="U60" s="11" t="n"/>
      <c r="V60" s="10" t="n"/>
      <c r="W60" s="10" t="n"/>
      <c r="X60" s="10" t="n"/>
      <c r="Y60" s="10" t="n"/>
      <c r="Z60" s="11" t="n"/>
      <c r="AA60" s="10" t="n"/>
      <c r="AB60" s="10" t="n"/>
      <c r="AC60" s="10" t="n"/>
      <c r="AD60" s="10" t="n"/>
      <c r="AE60" s="11" t="n"/>
    </row>
    <row r="61">
      <c r="A61" t="n">
        <v>1</v>
      </c>
      <c r="C61" t="inlineStr">
        <is>
          <t>법인세비용차감전계속사업이익</t>
        </is>
      </c>
      <c r="E61" s="18" t="n">
        <v>1916.89</v>
      </c>
      <c r="F61" s="9" t="n"/>
      <c r="G61" s="18" t="n">
        <v>3920.74</v>
      </c>
      <c r="H61" s="18" t="n">
        <v>6086.28</v>
      </c>
      <c r="I61" s="18" t="n">
        <v>3476.31</v>
      </c>
      <c r="J61" s="18" t="n">
        <v>6318.97</v>
      </c>
      <c r="K61" s="37" t="n">
        <v>19802.3</v>
      </c>
      <c r="L61" s="18" t="n">
        <v>6645.93</v>
      </c>
      <c r="M61" s="18" t="n">
        <v>7713.09</v>
      </c>
      <c r="N61" s="18" t="n">
        <v>6193.6</v>
      </c>
      <c r="O61" s="18" t="n">
        <v>6006.62</v>
      </c>
      <c r="P61" s="37" t="n">
        <v>26559.24</v>
      </c>
      <c r="Q61" s="18" t="n">
        <v>8287.34</v>
      </c>
      <c r="R61" s="19" t="n">
        <v>11215.38</v>
      </c>
      <c r="S61" s="10" t="n"/>
      <c r="T61" s="10" t="n"/>
      <c r="U61" s="11" t="n"/>
      <c r="V61" s="10" t="n"/>
      <c r="W61" s="10" t="n"/>
      <c r="X61" s="10" t="n"/>
      <c r="Y61" s="10" t="n"/>
      <c r="Z61" s="11" t="n"/>
      <c r="AA61" s="10" t="n"/>
      <c r="AB61" s="10" t="n"/>
      <c r="AC61" s="10" t="n"/>
      <c r="AD61" s="10" t="n"/>
      <c r="AE61" s="11" t="n"/>
    </row>
    <row r="62">
      <c r="A62" t="n">
        <v>1</v>
      </c>
      <c r="C62" t="inlineStr">
        <is>
          <t>법인세비용</t>
        </is>
      </c>
      <c r="E62" s="18" t="n">
        <v>-77.72</v>
      </c>
      <c r="F62" s="9" t="n"/>
      <c r="G62" s="18" t="n">
        <v>778.88</v>
      </c>
      <c r="H62" s="18" t="n">
        <v>1315.87</v>
      </c>
      <c r="I62" s="18" t="n">
        <v>-92.68000000000001</v>
      </c>
      <c r="J62" s="18" t="n">
        <v>937.72</v>
      </c>
      <c r="K62" s="37" t="n">
        <v>2939.79</v>
      </c>
      <c r="L62" s="18" t="n">
        <v>1250.28</v>
      </c>
      <c r="M62" s="18" t="n">
        <v>1506.3</v>
      </c>
      <c r="N62" s="18" t="n">
        <v>1235.19</v>
      </c>
      <c r="O62" s="18" t="n">
        <v>1346.01</v>
      </c>
      <c r="P62" s="37" t="n">
        <v>5337.78</v>
      </c>
      <c r="Q62" s="18" t="n">
        <v>1859.54</v>
      </c>
      <c r="R62" s="19" t="n">
        <v>2603.21</v>
      </c>
      <c r="S62" s="10" t="n"/>
      <c r="T62" s="10" t="n"/>
      <c r="U62" s="11" t="n"/>
      <c r="V62" s="10" t="n"/>
      <c r="W62" s="10" t="n"/>
      <c r="X62" s="10" t="n"/>
      <c r="Y62" s="10" t="n"/>
      <c r="Z62" s="11" t="n"/>
      <c r="AA62" s="10" t="n"/>
      <c r="AB62" s="10" t="n"/>
      <c r="AC62" s="10" t="n"/>
      <c r="AD62" s="10" t="n"/>
      <c r="AE62" s="11" t="n"/>
    </row>
    <row r="63">
      <c r="A63" t="n">
        <v>1</v>
      </c>
      <c r="C63" t="inlineStr">
        <is>
          <t>당기순이익</t>
        </is>
      </c>
      <c r="E63" s="18" t="n">
        <v>1994.6</v>
      </c>
      <c r="F63" s="9" t="n"/>
      <c r="G63" s="18" t="n">
        <v>3141.86</v>
      </c>
      <c r="H63" s="18" t="n">
        <v>4770.41</v>
      </c>
      <c r="I63" s="18" t="n">
        <v>3568.98</v>
      </c>
      <c r="J63" s="18" t="n">
        <v>5381.25</v>
      </c>
      <c r="K63" s="37" t="n">
        <v>16862.5</v>
      </c>
      <c r="L63" s="18" t="n">
        <v>5395.66</v>
      </c>
      <c r="M63" s="18" t="n">
        <v>6206.78</v>
      </c>
      <c r="N63" s="18" t="n">
        <v>4958.41</v>
      </c>
      <c r="O63" s="18" t="n">
        <v>4660.61</v>
      </c>
      <c r="P63" s="37" t="n">
        <v>21221.46</v>
      </c>
      <c r="Q63" s="18" t="n">
        <v>6427.79</v>
      </c>
      <c r="R63" s="19" t="n">
        <v>8612.18</v>
      </c>
      <c r="S63" s="10" t="n"/>
      <c r="T63" s="10" t="n"/>
      <c r="U63" s="11" t="n"/>
      <c r="V63" s="10" t="n"/>
      <c r="W63" s="10" t="n"/>
      <c r="X63" s="10" t="n"/>
      <c r="Y63" s="10" t="n"/>
      <c r="Z63" s="11" t="n"/>
      <c r="AA63" s="10" t="n"/>
      <c r="AB63" s="10" t="n"/>
      <c r="AC63" s="10" t="n"/>
      <c r="AD63" s="10" t="n"/>
      <c r="AE63" s="11" t="n"/>
    </row>
    <row r="64">
      <c r="A64" t="n">
        <v>1</v>
      </c>
      <c r="C64" t="inlineStr">
        <is>
          <t>총포괄손익</t>
        </is>
      </c>
      <c r="E64" s="18" t="n">
        <v>990.87</v>
      </c>
      <c r="F64" s="9" t="n"/>
      <c r="G64" s="18" t="n">
        <v>3131.54</v>
      </c>
      <c r="H64" s="18" t="n">
        <v>4769.79</v>
      </c>
      <c r="I64" s="18" t="n">
        <v>3568.61</v>
      </c>
      <c r="J64" s="18" t="n">
        <v>4673.26</v>
      </c>
      <c r="K64" s="37" t="n">
        <v>16143.2</v>
      </c>
      <c r="L64" s="18" t="n">
        <v>5379.14</v>
      </c>
      <c r="M64" s="18" t="n">
        <v>6207.33</v>
      </c>
      <c r="N64" s="18" t="n">
        <v>4960.34</v>
      </c>
      <c r="O64" s="18" t="n">
        <v>5201.62</v>
      </c>
      <c r="P64" s="37" t="n">
        <v>21748.43</v>
      </c>
      <c r="Q64" s="18" t="n">
        <v>6446.08</v>
      </c>
      <c r="R64" s="19" t="n">
        <v>8555.889999999999</v>
      </c>
      <c r="S64" s="10" t="n"/>
      <c r="T64" s="10" t="n"/>
      <c r="U64" s="11" t="n"/>
      <c r="V64" s="10" t="n"/>
      <c r="W64" s="10" t="n"/>
      <c r="X64" s="10" t="n"/>
      <c r="Y64" s="10" t="n"/>
      <c r="Z64" s="11" t="n"/>
      <c r="AA64" s="10" t="n"/>
      <c r="AB64" s="10" t="n"/>
      <c r="AC64" s="10" t="n"/>
      <c r="AD64" s="10" t="n"/>
      <c r="AE64" s="11" t="n"/>
    </row>
    <row r="65">
      <c r="A65" t="n">
        <v>1</v>
      </c>
      <c r="C65" t="inlineStr">
        <is>
          <t>금융손익</t>
        </is>
      </c>
      <c r="E65" s="18" t="n">
        <v>-566.9400000000001</v>
      </c>
      <c r="F65" s="9" t="n"/>
      <c r="G65" s="18" t="n">
        <v>-613.15</v>
      </c>
      <c r="H65" s="18" t="n">
        <v>-464.92</v>
      </c>
      <c r="I65" s="18" t="n">
        <v>-369.52</v>
      </c>
      <c r="J65" s="18" t="n">
        <v>1444.3</v>
      </c>
      <c r="K65" s="37" t="n">
        <v>-3.29</v>
      </c>
      <c r="L65" s="18" t="n">
        <v>-467.16</v>
      </c>
      <c r="M65" s="18" t="n">
        <v>-369.16</v>
      </c>
      <c r="N65" s="18" t="n">
        <v>-400.2</v>
      </c>
      <c r="O65" s="18" t="n">
        <v>-268.8</v>
      </c>
      <c r="P65" s="37" t="n">
        <v>-1505.32</v>
      </c>
      <c r="Q65" s="18" t="n">
        <v>-203.68</v>
      </c>
      <c r="R65" s="19" t="n">
        <v>-164.8</v>
      </c>
      <c r="S65" s="10" t="n"/>
      <c r="T65" s="10" t="n"/>
      <c r="U65" s="11" t="n"/>
      <c r="V65" s="10" t="n"/>
      <c r="W65" s="10" t="n"/>
      <c r="X65" s="10" t="n"/>
      <c r="Y65" s="10" t="n"/>
      <c r="Z65" s="11" t="n"/>
      <c r="AA65" s="10" t="n"/>
      <c r="AB65" s="10" t="n"/>
      <c r="AC65" s="10" t="n"/>
      <c r="AD65" s="10" t="n"/>
      <c r="AE65" s="11" t="n"/>
    </row>
    <row r="66">
      <c r="A66" t="n">
        <v>1</v>
      </c>
      <c r="C66" t="inlineStr">
        <is>
          <t>기타영업외손익</t>
        </is>
      </c>
      <c r="E66" s="18" t="n">
        <v>35.86</v>
      </c>
      <c r="F66" s="9" t="n"/>
      <c r="G66" s="18" t="n">
        <v>-47.03</v>
      </c>
      <c r="H66" s="18" t="n">
        <v>5.71</v>
      </c>
      <c r="I66" s="18" t="n">
        <v>36.63</v>
      </c>
      <c r="J66" s="18" t="n">
        <v>214.26</v>
      </c>
      <c r="K66" s="37" t="n">
        <v>209.57</v>
      </c>
      <c r="L66" s="18" t="n">
        <v>9.880000000000001</v>
      </c>
      <c r="M66" s="18" t="n">
        <v>-63.76</v>
      </c>
      <c r="N66" s="18" t="n">
        <v>-53.21</v>
      </c>
      <c r="O66" s="18" t="n">
        <v>-252.17</v>
      </c>
      <c r="P66" s="37" t="n">
        <v>-359.26</v>
      </c>
      <c r="Q66" s="18" t="n">
        <v>-49.65</v>
      </c>
      <c r="R66" s="19" t="n">
        <v>-639.5</v>
      </c>
      <c r="S66" s="10" t="n"/>
      <c r="T66" s="10" t="n"/>
      <c r="U66" s="11" t="n"/>
      <c r="V66" s="10" t="n"/>
      <c r="W66" s="10" t="n"/>
      <c r="X66" s="10" t="n"/>
      <c r="Y66" s="10" t="n"/>
      <c r="Z66" s="11" t="n"/>
      <c r="AA66" s="10" t="n"/>
      <c r="AB66" s="10" t="n"/>
      <c r="AC66" s="10" t="n"/>
      <c r="AD66" s="10" t="n"/>
      <c r="AE66" s="11" t="n"/>
    </row>
    <row r="67">
      <c r="A67" t="n">
        <v>1</v>
      </c>
      <c r="C67" t="inlineStr">
        <is>
          <t>(지배주주지분)당기순이익</t>
        </is>
      </c>
      <c r="E67" s="18" t="n">
        <v>1994.6</v>
      </c>
      <c r="F67" s="9" t="n"/>
      <c r="G67" s="18" t="n">
        <v>3141.86</v>
      </c>
      <c r="H67" s="18" t="n">
        <v>4770.41</v>
      </c>
      <c r="I67" s="18" t="n">
        <v>3568.98</v>
      </c>
      <c r="J67" s="18" t="n">
        <v>5381.25</v>
      </c>
      <c r="K67" s="37" t="n">
        <v>16862.5</v>
      </c>
      <c r="L67" s="18" t="n">
        <v>5395.66</v>
      </c>
      <c r="M67" s="18" t="n">
        <v>6206.78</v>
      </c>
      <c r="N67" s="18" t="n">
        <v>4958.41</v>
      </c>
      <c r="O67" s="18" t="n">
        <v>4660.61</v>
      </c>
      <c r="P67" s="37" t="n">
        <v>21221.46</v>
      </c>
      <c r="Q67" s="18" t="n">
        <v>6427.79</v>
      </c>
      <c r="R67" s="19" t="n">
        <v>8612.18</v>
      </c>
      <c r="S67" s="10" t="n"/>
      <c r="T67" s="10" t="n"/>
      <c r="U67" s="11" t="n"/>
      <c r="V67" s="10" t="n"/>
      <c r="W67" s="10" t="n"/>
      <c r="X67" s="10" t="n"/>
      <c r="Y67" s="10" t="n"/>
      <c r="Z67" s="11" t="n"/>
      <c r="AA67" s="10" t="n"/>
      <c r="AB67" s="10" t="n"/>
      <c r="AC67" s="10" t="n"/>
      <c r="AD67" s="10" t="n"/>
      <c r="AE67" s="11" t="n"/>
    </row>
    <row r="68">
      <c r="A68" t="n">
        <v>1</v>
      </c>
      <c r="C68" t="inlineStr">
        <is>
          <t>계속사업이익</t>
        </is>
      </c>
      <c r="E68" s="18" t="n">
        <v>1994.6</v>
      </c>
      <c r="F68" s="9" t="n"/>
      <c r="G68" s="18" t="n">
        <v>3141.86</v>
      </c>
      <c r="H68" s="18" t="n">
        <v>4770.41</v>
      </c>
      <c r="I68" s="18" t="n">
        <v>3568.98</v>
      </c>
      <c r="J68" s="18" t="n">
        <v>5381.25</v>
      </c>
      <c r="K68" s="37" t="n">
        <v>16862.5</v>
      </c>
      <c r="L68" s="18" t="n">
        <v>5395.66</v>
      </c>
      <c r="M68" s="18" t="n">
        <v>6206.78</v>
      </c>
      <c r="N68" s="18" t="n">
        <v>4958.41</v>
      </c>
      <c r="O68" s="18" t="n">
        <v>4660.61</v>
      </c>
      <c r="P68" s="37" t="n">
        <v>21221.46</v>
      </c>
      <c r="Q68" s="18" t="n">
        <v>6427.79</v>
      </c>
      <c r="R68" s="19" t="n">
        <v>8612.18</v>
      </c>
      <c r="S68" s="10" t="n"/>
      <c r="T68" s="10" t="n"/>
      <c r="U68" s="11" t="n"/>
      <c r="V68" s="10" t="n"/>
      <c r="W68" s="10" t="n"/>
      <c r="X68" s="10" t="n"/>
      <c r="Y68" s="10" t="n"/>
      <c r="Z68" s="11" t="n"/>
      <c r="AA68" s="10" t="n"/>
      <c r="AB68" s="10" t="n"/>
      <c r="AC68" s="10" t="n"/>
      <c r="AD68" s="10" t="n"/>
      <c r="AE68" s="11" t="n"/>
    </row>
    <row r="69">
      <c r="A69" t="n">
        <v>1</v>
      </c>
      <c r="C69" t="inlineStr">
        <is>
          <t>영업활동으로인한현금흐름</t>
        </is>
      </c>
      <c r="E69" s="18" t="n">
        <v>3204.27</v>
      </c>
      <c r="F69" s="9" t="n"/>
      <c r="G69" s="18" t="n">
        <v>2173.51</v>
      </c>
      <c r="H69" s="18" t="n">
        <v>14424.28</v>
      </c>
      <c r="I69" s="18" t="n">
        <v>2448.21</v>
      </c>
      <c r="J69" s="18" t="n">
        <v>11713.1</v>
      </c>
      <c r="K69" s="37" t="n">
        <v>30759.1</v>
      </c>
      <c r="L69" s="18" t="n">
        <v>10170</v>
      </c>
      <c r="M69" s="18" t="n">
        <v>8900.91</v>
      </c>
      <c r="N69" s="18" t="n">
        <v>11133.49</v>
      </c>
      <c r="O69" s="18" t="n">
        <v>7179.4</v>
      </c>
      <c r="P69" s="37" t="n">
        <v>37383.8</v>
      </c>
      <c r="Q69" s="18" t="n">
        <v>8887.52</v>
      </c>
      <c r="R69" s="19" t="n">
        <v>10718.56</v>
      </c>
      <c r="S69" s="10" t="n"/>
      <c r="T69" s="10" t="n"/>
      <c r="U69" s="11" t="n"/>
      <c r="V69" s="10" t="n"/>
      <c r="W69" s="10" t="n"/>
      <c r="X69" s="10" t="n"/>
      <c r="Y69" s="10" t="n"/>
      <c r="Z69" s="11" t="n"/>
      <c r="AA69" s="10" t="n"/>
      <c r="AB69" s="10" t="n"/>
      <c r="AC69" s="10" t="n"/>
      <c r="AD69" s="10" t="n"/>
      <c r="AE69" s="11" t="n"/>
    </row>
    <row r="70">
      <c r="A70" t="n">
        <v>1</v>
      </c>
      <c r="C70" t="inlineStr">
        <is>
          <t>이자수취(CF)</t>
        </is>
      </c>
      <c r="E70" s="18" t="n">
        <v>28.47</v>
      </c>
      <c r="F70" s="9" t="n"/>
      <c r="G70" s="18" t="n">
        <v>96.13</v>
      </c>
      <c r="H70" s="18" t="n">
        <v>232.75</v>
      </c>
      <c r="I70" s="18" t="n">
        <v>725.13</v>
      </c>
      <c r="J70" s="18" t="n">
        <v>230.13</v>
      </c>
      <c r="K70" s="37" t="n">
        <v>1284.14</v>
      </c>
      <c r="L70" s="18" t="n">
        <v>237.42</v>
      </c>
      <c r="M70" s="18" t="n">
        <v>149.8</v>
      </c>
      <c r="N70" s="18" t="n">
        <v>283.44</v>
      </c>
      <c r="O70" s="18" t="n">
        <v>199.18</v>
      </c>
      <c r="P70" s="37" t="n">
        <v>869.84</v>
      </c>
      <c r="Q70" s="18" t="n">
        <v>272.21</v>
      </c>
      <c r="R70" s="19" t="n">
        <v>202.23</v>
      </c>
      <c r="S70" s="10" t="n"/>
      <c r="T70" s="10" t="n"/>
      <c r="U70" s="11" t="n"/>
      <c r="V70" s="10" t="n"/>
      <c r="W70" s="10" t="n"/>
      <c r="X70" s="10" t="n"/>
      <c r="Y70" s="10" t="n"/>
      <c r="Z70" s="11" t="n"/>
      <c r="AA70" s="10" t="n"/>
      <c r="AB70" s="10" t="n"/>
      <c r="AC70" s="10" t="n"/>
      <c r="AD70" s="10" t="n"/>
      <c r="AE70" s="11" t="n"/>
    </row>
    <row r="71">
      <c r="A71" t="n">
        <v>1</v>
      </c>
      <c r="C71" t="inlineStr">
        <is>
          <t>법인세납부(CF)</t>
        </is>
      </c>
      <c r="E71" s="18" t="n">
        <v>-481.78</v>
      </c>
      <c r="F71" s="9" t="n"/>
      <c r="G71" s="18" t="n">
        <v>-13.04</v>
      </c>
      <c r="H71" s="18" t="n">
        <v>-956.97</v>
      </c>
      <c r="I71" s="18" t="n">
        <v>-653.54</v>
      </c>
      <c r="J71" s="18" t="n">
        <v>-216.97</v>
      </c>
      <c r="K71" s="37" t="n">
        <v>-1840.52</v>
      </c>
      <c r="L71" s="18" t="n">
        <v>-516.74</v>
      </c>
      <c r="M71" s="18" t="n">
        <v>-668.65</v>
      </c>
      <c r="N71" s="18" t="n">
        <v>-886.71</v>
      </c>
      <c r="O71" s="18" t="n">
        <v>-27.18</v>
      </c>
      <c r="P71" s="37" t="n">
        <v>-2099.28</v>
      </c>
      <c r="Q71" s="18" t="n">
        <v>-1927.18</v>
      </c>
      <c r="R71" s="19" t="n">
        <v>-2384.81</v>
      </c>
      <c r="S71" s="10" t="n"/>
      <c r="T71" s="10" t="n"/>
      <c r="U71" s="11" t="n"/>
      <c r="V71" s="10" t="n"/>
      <c r="W71" s="10" t="n"/>
      <c r="X71" s="10" t="n"/>
      <c r="Y71" s="10" t="n"/>
      <c r="Z71" s="11" t="n"/>
      <c r="AA71" s="10" t="n"/>
      <c r="AB71" s="10" t="n"/>
      <c r="AC71" s="10" t="n"/>
      <c r="AD71" s="10" t="n"/>
      <c r="AE71" s="11" t="n"/>
    </row>
    <row r="72">
      <c r="A72" t="n">
        <v>1</v>
      </c>
      <c r="C72" t="inlineStr">
        <is>
          <t>투자활동으로인한현금흐름</t>
        </is>
      </c>
      <c r="E72" s="18" t="n">
        <v>-4809.65</v>
      </c>
      <c r="F72" s="9" t="n"/>
      <c r="G72" s="18" t="n">
        <v>-22784.4</v>
      </c>
      <c r="H72" s="18" t="n">
        <v>1984.19</v>
      </c>
      <c r="I72" s="18" t="n">
        <v>-10741.29</v>
      </c>
      <c r="J72" s="18" t="n">
        <v>1441.6</v>
      </c>
      <c r="K72" s="37" t="n">
        <v>-30099.9</v>
      </c>
      <c r="L72" s="18" t="n">
        <v>-552.59</v>
      </c>
      <c r="M72" s="18" t="n">
        <v>-9038.190000000001</v>
      </c>
      <c r="N72" s="18" t="n">
        <v>-5588.54</v>
      </c>
      <c r="O72" s="18" t="n">
        <v>1965.95</v>
      </c>
      <c r="P72" s="37" t="n">
        <v>-13213.37</v>
      </c>
      <c r="Q72" s="18" t="n">
        <v>5915.24</v>
      </c>
      <c r="R72" s="19" t="n">
        <v>-6386.79</v>
      </c>
      <c r="S72" s="10" t="n"/>
      <c r="T72" s="10" t="n"/>
      <c r="U72" s="11" t="n"/>
      <c r="V72" s="10" t="n"/>
      <c r="W72" s="10" t="n"/>
      <c r="X72" s="10" t="n"/>
      <c r="Y72" s="10" t="n"/>
      <c r="Z72" s="11" t="n"/>
      <c r="AA72" s="10" t="n"/>
      <c r="AB72" s="10" t="n"/>
      <c r="AC72" s="10" t="n"/>
      <c r="AD72" s="10" t="n"/>
      <c r="AE72" s="11" t="n"/>
    </row>
    <row r="73">
      <c r="A73" t="n">
        <v>1</v>
      </c>
      <c r="C73" t="inlineStr">
        <is>
          <t>유형자산의증가</t>
        </is>
      </c>
      <c r="E73" s="18" t="n">
        <v>4918.68</v>
      </c>
      <c r="F73" s="9" t="n"/>
      <c r="G73" s="18" t="n">
        <v>1211.07</v>
      </c>
      <c r="H73" s="18" t="n">
        <v>869.53</v>
      </c>
      <c r="I73" s="18" t="n">
        <v>4871.88</v>
      </c>
      <c r="J73" s="18" t="n">
        <v>3334.9</v>
      </c>
      <c r="K73" s="37" t="n">
        <v>10287.38</v>
      </c>
      <c r="L73" s="18" t="n">
        <v>581.76</v>
      </c>
      <c r="M73" s="18" t="n">
        <v>3077.62</v>
      </c>
      <c r="N73" s="18" t="n">
        <v>1685.15</v>
      </c>
      <c r="O73" s="18" t="n">
        <v>2036.08</v>
      </c>
      <c r="P73" s="37" t="n">
        <v>7380.61</v>
      </c>
      <c r="Q73" s="18" t="n">
        <v>709.3200000000001</v>
      </c>
      <c r="R73" s="19" t="n">
        <v>1401.97</v>
      </c>
      <c r="S73" s="10" t="n"/>
      <c r="T73" s="10" t="n"/>
      <c r="U73" s="11" t="n"/>
      <c r="V73" s="10" t="n"/>
      <c r="W73" s="10" t="n"/>
      <c r="X73" s="10" t="n"/>
      <c r="Y73" s="10" t="n"/>
      <c r="Z73" s="11" t="n"/>
      <c r="AA73" s="10" t="n"/>
      <c r="AB73" s="10" t="n"/>
      <c r="AC73" s="10" t="n"/>
      <c r="AD73" s="10" t="n"/>
      <c r="AE73" s="11" t="n"/>
    </row>
    <row r="74">
      <c r="A74" t="n">
        <v>1</v>
      </c>
      <c r="C74" t="inlineStr">
        <is>
          <t>CAPEX</t>
        </is>
      </c>
      <c r="E74" s="18" t="n">
        <v>4923.18</v>
      </c>
      <c r="F74" s="9" t="n"/>
      <c r="G74" s="18" t="n">
        <v>1211.07</v>
      </c>
      <c r="H74" s="18" t="n">
        <v>869.53</v>
      </c>
      <c r="I74" s="18" t="n">
        <v>4888.88</v>
      </c>
      <c r="J74" s="18" t="n">
        <v>3355.46</v>
      </c>
      <c r="K74" s="37" t="n">
        <v>10324.94</v>
      </c>
      <c r="L74" s="18" t="n">
        <v>581.76</v>
      </c>
      <c r="M74" s="18" t="n">
        <v>3112.62</v>
      </c>
      <c r="N74" s="18" t="n">
        <v>1692.65</v>
      </c>
      <c r="O74" s="18" t="n">
        <v>2036.08</v>
      </c>
      <c r="P74" s="37" t="n">
        <v>7423.11</v>
      </c>
      <c r="Q74" s="18" t="n">
        <v>709.3200000000001</v>
      </c>
      <c r="R74" s="19" t="n">
        <v>1425.86</v>
      </c>
      <c r="S74" s="10" t="n"/>
      <c r="T74" s="10" t="n"/>
      <c r="U74" s="11" t="n"/>
      <c r="V74" s="10" t="n"/>
      <c r="W74" s="10" t="n"/>
      <c r="X74" s="10" t="n"/>
      <c r="Y74" s="10" t="n"/>
      <c r="Z74" s="11" t="n"/>
      <c r="AA74" s="10" t="n"/>
      <c r="AB74" s="10" t="n"/>
      <c r="AC74" s="10" t="n"/>
      <c r="AD74" s="10" t="n"/>
      <c r="AE74" s="11" t="n"/>
    </row>
    <row r="75">
      <c r="A75" t="n">
        <v>1</v>
      </c>
      <c r="C75" t="inlineStr">
        <is>
          <t>무형자산의증가</t>
        </is>
      </c>
      <c r="E75" s="18" t="n">
        <v>4.5</v>
      </c>
      <c r="F75" s="9" t="n"/>
      <c r="J75" s="18" t="n">
        <v>20.56</v>
      </c>
      <c r="K75" s="9" t="n"/>
      <c r="N75" s="18" t="n">
        <v>7.5</v>
      </c>
      <c r="O75" s="18" t="n">
        <v>0</v>
      </c>
      <c r="P75" s="9" t="n"/>
      <c r="R75" s="5" t="n"/>
      <c r="S75" s="10" t="n"/>
      <c r="T75" s="10" t="n"/>
      <c r="U75" s="11" t="n"/>
      <c r="V75" s="10" t="n"/>
      <c r="W75" s="10" t="n"/>
      <c r="X75" s="10" t="n"/>
      <c r="Y75" s="10" t="n"/>
      <c r="Z75" s="11" t="n"/>
      <c r="AA75" s="10" t="n"/>
      <c r="AB75" s="10" t="n"/>
      <c r="AC75" s="10" t="n"/>
      <c r="AD75" s="10" t="n"/>
      <c r="AE75" s="11" t="n"/>
    </row>
    <row r="76">
      <c r="A76" t="n">
        <v>1</v>
      </c>
      <c r="C76" t="inlineStr">
        <is>
          <t>재무활동으로인한현금흐름</t>
        </is>
      </c>
      <c r="E76" s="18" t="n">
        <v>-1351.22</v>
      </c>
      <c r="F76" s="9" t="n"/>
      <c r="G76" s="18" t="n">
        <v>37141.45</v>
      </c>
      <c r="H76" s="18" t="n">
        <v>-858.92</v>
      </c>
      <c r="I76" s="18" t="n">
        <v>-3834.26</v>
      </c>
      <c r="J76" s="18" t="n">
        <v>-3023.32</v>
      </c>
      <c r="K76" s="37" t="n">
        <v>29424.95</v>
      </c>
      <c r="L76" s="18" t="n">
        <v>-6698.05</v>
      </c>
      <c r="M76" s="18" t="n">
        <v>-3047.11</v>
      </c>
      <c r="N76" s="18" t="n">
        <v>-8141.58</v>
      </c>
      <c r="O76" s="18" t="n">
        <v>-7941.38</v>
      </c>
      <c r="P76" s="37" t="n">
        <v>-25828.12</v>
      </c>
      <c r="Q76" s="18" t="n">
        <v>-6913.12</v>
      </c>
      <c r="R76" s="19" t="n">
        <v>-2312.68</v>
      </c>
      <c r="S76" s="10" t="n"/>
      <c r="T76" s="10" t="n"/>
      <c r="U76" s="11" t="n"/>
      <c r="V76" s="10" t="n"/>
      <c r="W76" s="10" t="n"/>
      <c r="X76" s="10" t="n"/>
      <c r="Y76" s="10" t="n"/>
      <c r="Z76" s="11" t="n"/>
      <c r="AA76" s="10" t="n"/>
      <c r="AB76" s="10" t="n"/>
      <c r="AC76" s="10" t="n"/>
      <c r="AD76" s="10" t="n"/>
      <c r="AE76" s="11" t="n"/>
    </row>
    <row r="77">
      <c r="A77" t="n">
        <v>1</v>
      </c>
      <c r="C77" t="inlineStr">
        <is>
          <t>단기차입금의증가</t>
        </is>
      </c>
      <c r="E77" s="18" t="n">
        <v>21000</v>
      </c>
      <c r="F77" s="9" t="n"/>
      <c r="G77" s="18" t="n">
        <v>10500</v>
      </c>
      <c r="H77" s="18" t="n">
        <v>0</v>
      </c>
      <c r="I77" s="18" t="n">
        <v>0</v>
      </c>
      <c r="J77" s="18" t="n">
        <v>1000</v>
      </c>
      <c r="K77" s="37" t="n">
        <v>11500</v>
      </c>
      <c r="P77" s="9" t="n"/>
      <c r="R77" s="5" t="n"/>
      <c r="S77" s="10" t="n"/>
      <c r="T77" s="10" t="n"/>
      <c r="U77" s="11" t="n"/>
      <c r="V77" s="10" t="n"/>
      <c r="W77" s="10" t="n"/>
      <c r="X77" s="10" t="n"/>
      <c r="Y77" s="10" t="n"/>
      <c r="Z77" s="11" t="n"/>
      <c r="AA77" s="10" t="n"/>
      <c r="AB77" s="10" t="n"/>
      <c r="AC77" s="10" t="n"/>
      <c r="AD77" s="10" t="n"/>
      <c r="AE77" s="11" t="n"/>
    </row>
    <row r="78">
      <c r="A78" t="n">
        <v>1</v>
      </c>
      <c r="C78" t="inlineStr">
        <is>
          <t>단기차입금의감소</t>
        </is>
      </c>
      <c r="E78" s="18" t="n">
        <v>21477.56</v>
      </c>
      <c r="F78" s="9" t="n"/>
      <c r="G78" s="18" t="n">
        <v>10894.23</v>
      </c>
      <c r="H78" s="18" t="n">
        <v>1960.9</v>
      </c>
      <c r="I78" s="18" t="n">
        <v>2758.97</v>
      </c>
      <c r="J78" s="18" t="n">
        <v>2919.23</v>
      </c>
      <c r="K78" s="37" t="n">
        <v>18533.33</v>
      </c>
      <c r="L78" s="18" t="n">
        <v>1919.23</v>
      </c>
      <c r="M78" s="18" t="n">
        <v>1919.23</v>
      </c>
      <c r="N78" s="18" t="n">
        <v>2969.23</v>
      </c>
      <c r="O78" s="18" t="n">
        <v>3819.23</v>
      </c>
      <c r="P78" s="37" t="n">
        <v>10626.92</v>
      </c>
      <c r="Q78" s="18" t="n">
        <v>819.23</v>
      </c>
      <c r="R78" s="19" t="n">
        <v>819.23</v>
      </c>
      <c r="S78" s="10" t="n"/>
      <c r="T78" s="10" t="n"/>
      <c r="U78" s="11" t="n"/>
      <c r="V78" s="10" t="n"/>
      <c r="W78" s="10" t="n"/>
      <c r="X78" s="10" t="n"/>
      <c r="Y78" s="10" t="n"/>
      <c r="Z78" s="11" t="n"/>
      <c r="AA78" s="10" t="n"/>
      <c r="AB78" s="10" t="n"/>
      <c r="AC78" s="10" t="n"/>
      <c r="AD78" s="10" t="n"/>
      <c r="AE78" s="11" t="n"/>
    </row>
    <row r="79">
      <c r="A79" t="n">
        <v>1</v>
      </c>
      <c r="C79" t="inlineStr">
        <is>
          <t>장기차입금의증가</t>
        </is>
      </c>
      <c r="E79" s="18" t="n">
        <v>777</v>
      </c>
      <c r="F79" s="9" t="n"/>
      <c r="G79" s="18" t="n">
        <v>2100</v>
      </c>
      <c r="H79" s="18" t="n">
        <v>0</v>
      </c>
      <c r="I79" s="18" t="n">
        <v>0</v>
      </c>
      <c r="J79" s="18" t="n">
        <v>0</v>
      </c>
      <c r="K79" s="37" t="n">
        <v>2100</v>
      </c>
      <c r="P79" s="9" t="n"/>
      <c r="R79" s="5" t="n"/>
      <c r="S79" s="10" t="n"/>
      <c r="T79" s="10" t="n"/>
      <c r="U79" s="11" t="n"/>
      <c r="V79" s="10" t="n"/>
      <c r="W79" s="10" t="n"/>
      <c r="X79" s="10" t="n"/>
      <c r="Y79" s="10" t="n"/>
      <c r="Z79" s="11" t="n"/>
      <c r="AA79" s="10" t="n"/>
      <c r="AB79" s="10" t="n"/>
      <c r="AC79" s="10" t="n"/>
      <c r="AD79" s="10" t="n"/>
      <c r="AE79" s="11" t="n"/>
    </row>
    <row r="80">
      <c r="A80" t="n">
        <v>1</v>
      </c>
      <c r="C80" t="inlineStr">
        <is>
          <t>현금및현금성자산의증감</t>
        </is>
      </c>
      <c r="E80" s="18" t="n">
        <v>-2956.61</v>
      </c>
      <c r="F80" s="9" t="n"/>
      <c r="G80" s="18" t="n">
        <v>16530.56</v>
      </c>
      <c r="H80" s="18" t="n">
        <v>15549.55</v>
      </c>
      <c r="I80" s="18" t="n">
        <v>-12127.34</v>
      </c>
      <c r="J80" s="18" t="n">
        <v>10131.39</v>
      </c>
      <c r="K80" s="37" t="n">
        <v>30084.16</v>
      </c>
      <c r="L80" s="18" t="n">
        <v>2919.35</v>
      </c>
      <c r="M80" s="18" t="n">
        <v>-3184.37</v>
      </c>
      <c r="N80" s="18" t="n">
        <v>-2596.63</v>
      </c>
      <c r="O80" s="18" t="n">
        <v>1203.96</v>
      </c>
      <c r="P80" s="37" t="n">
        <v>-1657.69</v>
      </c>
      <c r="Q80" s="18" t="n">
        <v>7889.65</v>
      </c>
      <c r="R80" s="19" t="n">
        <v>2019.08</v>
      </c>
      <c r="S80" s="10" t="n"/>
      <c r="T80" s="10" t="n"/>
      <c r="U80" s="11" t="n"/>
      <c r="V80" s="10" t="n"/>
      <c r="W80" s="10" t="n"/>
      <c r="X80" s="10" t="n"/>
      <c r="Y80" s="10" t="n"/>
      <c r="Z80" s="11" t="n"/>
      <c r="AA80" s="10" t="n"/>
      <c r="AB80" s="10" t="n"/>
      <c r="AC80" s="10" t="n"/>
      <c r="AD80" s="10" t="n"/>
      <c r="AE80" s="11" t="n"/>
    </row>
    <row r="81">
      <c r="A81" t="n">
        <v>1</v>
      </c>
      <c r="C81" t="inlineStr">
        <is>
          <t>기말현금및현금성자산</t>
        </is>
      </c>
      <c r="E81" s="18" t="n">
        <v>-2956.61</v>
      </c>
      <c r="F81" s="9" t="n"/>
      <c r="G81" s="18" t="n">
        <v>20489.27</v>
      </c>
      <c r="H81" s="18" t="n">
        <v>15549.54</v>
      </c>
      <c r="I81" s="18" t="n">
        <v>-12127.34</v>
      </c>
      <c r="J81" s="18" t="n">
        <v>10131.39</v>
      </c>
      <c r="K81" s="37" t="n">
        <v>34042.86</v>
      </c>
      <c r="L81" s="18" t="n">
        <v>36962.21</v>
      </c>
      <c r="M81" s="18" t="n">
        <v>-3184.37</v>
      </c>
      <c r="N81" s="18" t="n">
        <v>-2596.63</v>
      </c>
      <c r="O81" s="18" t="n">
        <v>1203.96</v>
      </c>
      <c r="P81" s="37" t="n">
        <v>32385.17</v>
      </c>
      <c r="Q81" s="18" t="n">
        <v>40274.82</v>
      </c>
      <c r="R81" s="19" t="n">
        <v>2019.08</v>
      </c>
      <c r="S81" s="10" t="n"/>
      <c r="T81" s="10" t="n"/>
      <c r="U81" s="11" t="n"/>
      <c r="V81" s="10" t="n"/>
      <c r="W81" s="10" t="n"/>
      <c r="X81" s="10" t="n"/>
      <c r="Y81" s="10" t="n"/>
      <c r="Z81" s="11" t="n"/>
      <c r="AA81" s="10" t="n"/>
      <c r="AB81" s="10" t="n"/>
      <c r="AC81" s="10" t="n"/>
      <c r="AD81" s="10" t="n"/>
      <c r="AE81" s="11" t="n"/>
    </row>
    <row r="82">
      <c r="A82" t="n">
        <v>1</v>
      </c>
      <c r="C82" t="inlineStr">
        <is>
          <t>유형자산의감소</t>
        </is>
      </c>
      <c r="F82" s="9" t="n"/>
      <c r="G82" s="18" t="n">
        <v>6.66</v>
      </c>
      <c r="H82" s="18" t="n">
        <v>5.44</v>
      </c>
      <c r="I82" s="18" t="n">
        <v>32.41</v>
      </c>
      <c r="J82" s="18" t="n">
        <v>65.53</v>
      </c>
      <c r="K82" s="37" t="n">
        <v>110.04</v>
      </c>
      <c r="L82" s="18" t="n">
        <v>1.86</v>
      </c>
      <c r="M82" s="18" t="n">
        <v>9.5</v>
      </c>
      <c r="N82" s="18" t="n">
        <v>82.62</v>
      </c>
      <c r="O82" s="18" t="n">
        <v>28.08</v>
      </c>
      <c r="P82" s="37" t="n">
        <v>122.06</v>
      </c>
      <c r="Q82" s="18" t="n">
        <v>34.26</v>
      </c>
      <c r="R82" s="19" t="n">
        <v>29.95</v>
      </c>
      <c r="S82" s="10" t="n"/>
      <c r="T82" s="10" t="n"/>
      <c r="U82" s="11" t="n"/>
      <c r="V82" s="10" t="n"/>
      <c r="W82" s="10" t="n"/>
      <c r="X82" s="10" t="n"/>
      <c r="Y82" s="10" t="n"/>
      <c r="Z82" s="11" t="n"/>
      <c r="AA82" s="10" t="n"/>
      <c r="AB82" s="10" t="n"/>
      <c r="AC82" s="10" t="n"/>
      <c r="AD82" s="10" t="n"/>
      <c r="AE82" s="11" t="n"/>
    </row>
    <row r="83">
      <c r="A83" t="n">
        <v>1</v>
      </c>
      <c r="C83" t="inlineStr">
        <is>
          <t>배당금지급</t>
        </is>
      </c>
      <c r="F83" s="9" t="n"/>
      <c r="K83" s="9" t="n"/>
      <c r="L83" s="18" t="n">
        <v>3539.23</v>
      </c>
      <c r="M83" s="18" t="n">
        <v>0</v>
      </c>
      <c r="N83" s="18" t="n">
        <v>0</v>
      </c>
      <c r="O83" s="18" t="n">
        <v>0</v>
      </c>
      <c r="P83" s="37" t="n">
        <v>3539.23</v>
      </c>
      <c r="Q83" s="18" t="n">
        <v>4616.39</v>
      </c>
      <c r="R83" s="19" t="n">
        <v>0</v>
      </c>
      <c r="S83" s="10" t="n"/>
      <c r="T83" s="10" t="n"/>
      <c r="U83" s="11" t="n"/>
      <c r="V83" s="10" t="n"/>
      <c r="W83" s="10" t="n"/>
      <c r="X83" s="10" t="n"/>
      <c r="Y83" s="10" t="n"/>
      <c r="Z83" s="11" t="n"/>
      <c r="AA83" s="10" t="n"/>
      <c r="AB83" s="10" t="n"/>
      <c r="AC83" s="10" t="n"/>
      <c r="AD83" s="10" t="n"/>
      <c r="AE83" s="11" t="n"/>
    </row>
    <row r="84">
      <c r="A84" t="n">
        <v>1</v>
      </c>
      <c r="C84" t="inlineStr">
        <is>
          <t>장기차입금의감소</t>
        </is>
      </c>
      <c r="F84" s="9" t="n"/>
      <c r="K84" s="9" t="n"/>
      <c r="O84" s="18" t="n">
        <v>2750</v>
      </c>
      <c r="P84" s="9" t="n"/>
      <c r="R84" s="5" t="n"/>
      <c r="S84" s="10" t="n"/>
      <c r="T84" s="10" t="n"/>
      <c r="U84" s="11" t="n"/>
      <c r="V84" s="10" t="n"/>
      <c r="W84" s="10" t="n"/>
      <c r="X84" s="10" t="n"/>
      <c r="Y84" s="10" t="n"/>
      <c r="Z84" s="11" t="n"/>
      <c r="AA84" s="10" t="n"/>
      <c r="AB84" s="10" t="n"/>
      <c r="AC84" s="10" t="n"/>
      <c r="AD84" s="10" t="n"/>
      <c r="AE84" s="11" t="n"/>
    </row>
    <row r="85">
      <c r="A85" t="n">
        <v>1</v>
      </c>
      <c r="C85" t="inlineStr">
        <is>
          <t>배당금수취(CF)</t>
        </is>
      </c>
      <c r="F85" s="9" t="n"/>
      <c r="K85" s="9" t="n"/>
      <c r="P85" s="9" t="n"/>
      <c r="Q85" s="18" t="n">
        <v>0</v>
      </c>
      <c r="R85" s="19" t="n">
        <v>0</v>
      </c>
      <c r="S85" s="10" t="n"/>
      <c r="T85" s="10" t="n"/>
      <c r="U85" s="11" t="n"/>
      <c r="V85" s="10" t="n"/>
      <c r="W85" s="10" t="n"/>
      <c r="X85" s="10" t="n"/>
      <c r="Y85" s="10" t="n"/>
      <c r="Z85" s="11" t="n"/>
      <c r="AA85" s="10" t="n"/>
      <c r="AB85" s="10" t="n"/>
      <c r="AC85" s="10" t="n"/>
      <c r="AD85" s="10" t="n"/>
      <c r="AE85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4Q23</t>
        </is>
      </c>
      <c r="F1" s="3" t="n">
        <v>2023</v>
      </c>
      <c r="G1" s="3" t="inlineStr">
        <is>
          <t>1Q24</t>
        </is>
      </c>
      <c r="H1" s="3" t="inlineStr">
        <is>
          <t>2Q24</t>
        </is>
      </c>
      <c r="I1" s="3" t="inlineStr">
        <is>
          <t>3Q24</t>
        </is>
      </c>
      <c r="J1" s="3" t="inlineStr">
        <is>
          <t>4Q24</t>
        </is>
      </c>
      <c r="K1" s="3" t="n">
        <v>2024</v>
      </c>
      <c r="L1" s="3" t="inlineStr">
        <is>
          <t>1Q25</t>
        </is>
      </c>
      <c r="M1" s="3" t="inlineStr">
        <is>
          <t>2Q25</t>
        </is>
      </c>
      <c r="N1" s="3" t="inlineStr">
        <is>
          <t>3Q25</t>
        </is>
      </c>
      <c r="O1" s="3" t="inlineStr">
        <is>
          <t>4Q25</t>
        </is>
      </c>
      <c r="P1" s="3" t="n">
        <v>2025</v>
      </c>
      <c r="Q1" s="3" t="inlineStr">
        <is>
          <t>1Q26</t>
        </is>
      </c>
      <c r="R1" s="4" t="inlineStr">
        <is>
          <t>2Q26</t>
        </is>
      </c>
      <c r="S1" s="3" t="inlineStr">
        <is>
          <t>3Q26</t>
        </is>
      </c>
      <c r="T1" s="3" t="inlineStr">
        <is>
          <t>4Q26</t>
        </is>
      </c>
      <c r="U1" s="3" t="n">
        <v>2026</v>
      </c>
      <c r="V1" s="3" t="inlineStr">
        <is>
          <t>1Q27</t>
        </is>
      </c>
      <c r="W1" s="3" t="inlineStr">
        <is>
          <t>2Q27</t>
        </is>
      </c>
      <c r="X1" s="3" t="inlineStr">
        <is>
          <t>3Q27</t>
        </is>
      </c>
      <c r="Y1" s="3" t="inlineStr">
        <is>
          <t>4Q27</t>
        </is>
      </c>
      <c r="Z1" s="3" t="n">
        <v>2027</v>
      </c>
      <c r="AA1" s="3" t="inlineStr">
        <is>
          <t>1Q28</t>
        </is>
      </c>
      <c r="AB1" s="3" t="inlineStr">
        <is>
          <t>2Q28</t>
        </is>
      </c>
      <c r="AC1" s="3" t="inlineStr">
        <is>
          <t>3Q28</t>
        </is>
      </c>
      <c r="AD1" s="3" t="inlineStr">
        <is>
          <t>4Q28</t>
        </is>
      </c>
      <c r="AE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R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6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</row>
    <row r="4">
      <c r="E4" s="7" t="inlineStr">
        <is>
          <t>2023.12</t>
        </is>
      </c>
      <c r="F4" s="7" t="inlineStr">
        <is>
          <t>2023.12A</t>
        </is>
      </c>
      <c r="G4" s="7" t="inlineStr">
        <is>
          <t>2024.03</t>
        </is>
      </c>
      <c r="H4" s="7" t="inlineStr">
        <is>
          <t>2024.06</t>
        </is>
      </c>
      <c r="I4" s="7" t="inlineStr">
        <is>
          <t>2024.09</t>
        </is>
      </c>
      <c r="J4" s="7" t="inlineStr">
        <is>
          <t>2024.12</t>
        </is>
      </c>
      <c r="K4" s="7" t="inlineStr">
        <is>
          <t>2024.12A</t>
        </is>
      </c>
      <c r="L4" s="7" t="inlineStr">
        <is>
          <t>2025.03</t>
        </is>
      </c>
      <c r="M4" s="7" t="inlineStr">
        <is>
          <t>2025.06</t>
        </is>
      </c>
      <c r="N4" s="7" t="inlineStr">
        <is>
          <t>2025.09</t>
        </is>
      </c>
      <c r="O4" s="7" t="inlineStr">
        <is>
          <t>2025.12</t>
        </is>
      </c>
      <c r="P4" s="7" t="inlineStr">
        <is>
          <t>2025.12A</t>
        </is>
      </c>
      <c r="Q4" s="7" t="inlineStr">
        <is>
          <t>2026.03</t>
        </is>
      </c>
      <c r="R4" s="8" t="inlineStr">
        <is>
          <t>2026.06</t>
        </is>
      </c>
      <c r="S4" s="7" t="inlineStr">
        <is>
          <t>2026.09</t>
        </is>
      </c>
      <c r="T4" s="7" t="inlineStr">
        <is>
          <t>2026.12</t>
        </is>
      </c>
      <c r="U4" s="7" t="inlineStr">
        <is>
          <t>2026.12A</t>
        </is>
      </c>
      <c r="V4" s="7" t="inlineStr">
        <is>
          <t>2027.03</t>
        </is>
      </c>
      <c r="W4" s="7" t="inlineStr">
        <is>
          <t>2027.06</t>
        </is>
      </c>
      <c r="X4" s="7" t="inlineStr">
        <is>
          <t>2027.09</t>
        </is>
      </c>
      <c r="Y4" s="7" t="inlineStr">
        <is>
          <t>2027.12</t>
        </is>
      </c>
      <c r="Z4" s="7" t="inlineStr">
        <is>
          <t>2027.12A</t>
        </is>
      </c>
      <c r="AA4" s="7" t="inlineStr">
        <is>
          <t>2028.03</t>
        </is>
      </c>
      <c r="AB4" s="7" t="inlineStr">
        <is>
          <t>2028.06</t>
        </is>
      </c>
      <c r="AC4" s="7" t="inlineStr">
        <is>
          <t>2028.09</t>
        </is>
      </c>
      <c r="AD4" s="7" t="inlineStr">
        <is>
          <t>2028.12</t>
        </is>
      </c>
      <c r="AE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9">
        <f>IFERROR(VLOOKUP($D5,BS연결,MATCH(R$1,BS연결H,0),0)/100,"")</f>
        <v/>
      </c>
      <c r="S5" s="20">
        <f>IFERROR(N5*(1+변수!S21),"")</f>
        <v/>
      </c>
      <c r="T5" s="20">
        <f>IFERROR(O5*(1+변수!T21),"")</f>
        <v/>
      </c>
      <c r="U5" s="38">
        <f>SUM(Q5:T5)</f>
        <v/>
      </c>
      <c r="V5" s="20">
        <f>IFERROR(Q5*(1+변수!V21),"")</f>
        <v/>
      </c>
      <c r="W5" s="20">
        <f>IFERROR(R5*(1+변수!W21),"")</f>
        <v/>
      </c>
      <c r="X5" s="20">
        <f>IFERROR(S5*(1+변수!X21),"")</f>
        <v/>
      </c>
      <c r="Y5" s="20">
        <f>IFERROR(T5*(1+변수!Y21),"")</f>
        <v/>
      </c>
      <c r="Z5" s="38">
        <f>SUM(V5:Y5)</f>
        <v/>
      </c>
      <c r="AA5" s="20">
        <f>IFERROR(V5*(1+변수!AA21),"")</f>
        <v/>
      </c>
      <c r="AB5" s="20">
        <f>IFERROR(W5*(1+변수!AB21),"")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9">
        <f>IFERROR(VLOOKUP($D6,BS연결,MATCH(R$1,BS연결H,0),0)/100,"")</f>
        <v/>
      </c>
      <c r="S6" s="20">
        <f>IFERROR(S5-S7,"")</f>
        <v/>
      </c>
      <c r="T6" s="20">
        <f>IFERROR(T5-T7,"")</f>
        <v/>
      </c>
      <c r="U6" s="38">
        <f>SUM(Q6:T6)</f>
        <v/>
      </c>
      <c r="V6" s="20">
        <f>IFERROR(V5-V7,"")</f>
        <v/>
      </c>
      <c r="W6" s="20">
        <f>IFERROR(W5-W7,"")</f>
        <v/>
      </c>
      <c r="X6" s="20">
        <f>IFERROR(X5-X7,"")</f>
        <v/>
      </c>
      <c r="Y6" s="20">
        <f>IFERROR(Y5-Y7,"")</f>
        <v/>
      </c>
      <c r="Z6" s="38">
        <f>SUM(V6:Y6)</f>
        <v/>
      </c>
      <c r="AA6" s="20">
        <f>IFERROR(AA5-AA7,"")</f>
        <v/>
      </c>
      <c r="AB6" s="20">
        <f>IFERROR(AB5-AB7,"")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9">
        <f>IFERROR(VLOOKUP($D7,BS연결,MATCH(R$1,BS연결H,0),0)/100,"")</f>
        <v/>
      </c>
      <c r="S7" s="20">
        <f>IFERROR(S9+S8,"")</f>
        <v/>
      </c>
      <c r="T7" s="20">
        <f>IFERROR(T9+T8,"")</f>
        <v/>
      </c>
      <c r="U7" s="38">
        <f>SUM(Q7:T7)</f>
        <v/>
      </c>
      <c r="V7" s="20">
        <f>IFERROR(V9+V8,"")</f>
        <v/>
      </c>
      <c r="W7" s="20">
        <f>IFERROR(W9+W8,"")</f>
        <v/>
      </c>
      <c r="X7" s="20">
        <f>IFERROR(X9+X8,"")</f>
        <v/>
      </c>
      <c r="Y7" s="20">
        <f>IFERROR(Y9+Y8,"")</f>
        <v/>
      </c>
      <c r="Z7" s="38">
        <f>SUM(V7:Y7)</f>
        <v/>
      </c>
      <c r="AA7" s="20">
        <f>IFERROR(AA9+AA8,"")</f>
        <v/>
      </c>
      <c r="AB7" s="20">
        <f>IFERROR(AB9+AB8,"")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9">
        <f>IFERROR(VLOOKUP($D8,BS연결,MATCH(R$1,BS연결H,0),0)/100,"")</f>
        <v/>
      </c>
      <c r="S8" s="20">
        <f>IFERROR(S5*변수!S22,"")</f>
        <v/>
      </c>
      <c r="T8" s="20">
        <f>IFERROR(T5*변수!T22,"")</f>
        <v/>
      </c>
      <c r="U8" s="38">
        <f>SUM(Q8:T8)</f>
        <v/>
      </c>
      <c r="V8" s="20">
        <f>IFERROR(V5*변수!V22,"")</f>
        <v/>
      </c>
      <c r="W8" s="20">
        <f>IFERROR(W5*변수!W22,"")</f>
        <v/>
      </c>
      <c r="X8" s="20">
        <f>IFERROR(X5*변수!X22,"")</f>
        <v/>
      </c>
      <c r="Y8" s="20">
        <f>IFERROR(Y5*변수!Y22,"")</f>
        <v/>
      </c>
      <c r="Z8" s="38">
        <f>SUM(V8:Y8)</f>
        <v/>
      </c>
      <c r="AA8" s="20">
        <f>IFERROR(AA5*변수!AA22,"")</f>
        <v/>
      </c>
      <c r="AB8" s="20">
        <f>IFERROR(AB5*변수!AB22,"")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9">
        <f>IFERROR(VLOOKUP($D9,BS연결,MATCH(R$1,BS연결H,0),0)/100,"")</f>
        <v/>
      </c>
      <c r="S9" s="20">
        <f>IFERROR(S5*변수!S23,"")</f>
        <v/>
      </c>
      <c r="T9" s="20">
        <f>IFERROR(T5*변수!T23,"")</f>
        <v/>
      </c>
      <c r="U9" s="38">
        <f>SUM(Q9:T9)</f>
        <v/>
      </c>
      <c r="V9" s="20">
        <f>IFERROR(V5*변수!V23,"")</f>
        <v/>
      </c>
      <c r="W9" s="20">
        <f>IFERROR(W5*변수!W23,"")</f>
        <v/>
      </c>
      <c r="X9" s="20">
        <f>IFERROR(X5*변수!X23,"")</f>
        <v/>
      </c>
      <c r="Y9" s="20">
        <f>IFERROR(Y5*변수!Y23,"")</f>
        <v/>
      </c>
      <c r="Z9" s="38">
        <f>SUM(V9:Y9)</f>
        <v/>
      </c>
      <c r="AA9" s="20">
        <f>IFERROR(AA5*변수!AA23,"")</f>
        <v/>
      </c>
      <c r="AB9" s="20">
        <f>IFERROR(AB5*변수!AB23,"")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3">
        <f>IFERROR(R9/R5,"")</f>
        <v/>
      </c>
      <c r="S10" s="32">
        <f>IFERROR(S9/S5,"")</f>
        <v/>
      </c>
      <c r="T10" s="32">
        <f>IFERROR(T9/T5,"")</f>
        <v/>
      </c>
      <c r="U10" s="25">
        <f>IFERROR(U9/U5,"")</f>
        <v/>
      </c>
      <c r="V10" s="32">
        <f>IFERROR(V9/V5,"")</f>
        <v/>
      </c>
      <c r="W10" s="32">
        <f>IFERROR(W9/W5,"")</f>
        <v/>
      </c>
      <c r="X10" s="32">
        <f>IFERROR(X9/X5,"")</f>
        <v/>
      </c>
      <c r="Y10" s="32">
        <f>IFERROR(Y9/Y5,"")</f>
        <v/>
      </c>
      <c r="Z10" s="25">
        <f>IFERROR(Z9/Z5,"")</f>
        <v/>
      </c>
      <c r="AA10" s="32">
        <f>IFERROR(AA9/AA5,"")</f>
        <v/>
      </c>
      <c r="AB10" s="32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9">
        <f>IFERROR(VLOOKUP($D11,BS연결,MATCH(R$1,BS연결H,0),0)/100,"")</f>
        <v/>
      </c>
      <c r="S11" s="20">
        <f>IFERROR(S12+S13,"")</f>
        <v/>
      </c>
      <c r="T11" s="20">
        <f>IFERROR(T12+T13,"")</f>
        <v/>
      </c>
      <c r="U11" s="38">
        <f>SUM(Q11:T11)</f>
        <v/>
      </c>
      <c r="V11" s="20">
        <f>IFERROR(V12+V13,"")</f>
        <v/>
      </c>
      <c r="W11" s="20">
        <f>IFERROR(W12+W13,"")</f>
        <v/>
      </c>
      <c r="X11" s="20">
        <f>IFERROR(X12+X13,"")</f>
        <v/>
      </c>
      <c r="Y11" s="20">
        <f>IFERROR(Y12+Y13,"")</f>
        <v/>
      </c>
      <c r="Z11" s="38">
        <f>SUM(V11:Y11)</f>
        <v/>
      </c>
      <c r="AA11" s="20">
        <f>IFERROR(AA12+AA13,"")</f>
        <v/>
      </c>
      <c r="AB11" s="20">
        <f>IFERROR(AB12+AB13,"")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>
        <f>IFERROR(VLOOKUP($D12,BS연결,MATCH(E$1,BS연결H,0),0)/100,"")</f>
        <v/>
      </c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 t="n"/>
      <c r="R12" s="19">
        <f>IFERROR(VLOOKUP($D12,BS연결,MATCH(R$1,BS연결H,0),0)/100,"")</f>
        <v/>
      </c>
      <c r="S12" s="20">
        <f>IFERROR((R25*변수!$D$51-R23*변수!$D$52)/4,"")</f>
        <v/>
      </c>
      <c r="T12" s="20">
        <f>IFERROR((S25*변수!$D$51-S23*변수!$D$52)/4,"")</f>
        <v/>
      </c>
      <c r="U12" s="38">
        <f>SUM(Q12:T12)</f>
        <v/>
      </c>
      <c r="V12" s="20">
        <f>IFERROR((T25*변수!$D$51-T23*변수!$D$52)/4,"")</f>
        <v/>
      </c>
      <c r="W12" s="20">
        <f>IFERROR((V25*변수!$D$51-V23*변수!$D$52)/4,"")</f>
        <v/>
      </c>
      <c r="X12" s="20">
        <f>IFERROR((W25*변수!$D$51-W23*변수!$D$52)/4,"")</f>
        <v/>
      </c>
      <c r="Y12" s="20">
        <f>IFERROR((X25*변수!$D$51-X23*변수!$D$52)/4,"")</f>
        <v/>
      </c>
      <c r="Z12" s="38">
        <f>SUM(V12:Y12)</f>
        <v/>
      </c>
      <c r="AA12" s="20">
        <f>IFERROR((Y25*변수!$D$51-Y23*변수!$D$52)/4,"")</f>
        <v/>
      </c>
      <c r="AB12" s="20">
        <f>IFERROR((AA25*변수!$D$51-AA23*변수!$D$52)/4,"")</f>
        <v/>
      </c>
      <c r="AC12" s="20">
        <f>IFERROR((AB25*변수!$D$51-AB23*변수!$D$52)/4,"")</f>
        <v/>
      </c>
      <c r="AD12" s="20">
        <f>IFERROR((AC25*변수!$D$51-AC23*변수!$D$52)/4,"")</f>
        <v/>
      </c>
      <c r="AE12" s="38">
        <f>SUM(AA12:AD12)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>
        <f>IFERROR((VLOOKUP("외환차익",BS연결,MATCH(E$1,BS연결H,0),0)-VLOOKUP("외환차손",BS연결,MATCH(E$1,BS연결H,0),0)+VLOOKUP("외화환산이익",BS연결,MATCH(E$1,BS연결H,0),0)-VLOOKUP("외화환산손실",BS연결,MATCH(E$1,BS연결H,0),0))/100,"")</f>
        <v/>
      </c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 t="n"/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 t="n"/>
      <c r="R13" s="19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20">
        <f>변수!S24</f>
        <v/>
      </c>
      <c r="T13" s="20">
        <f>변수!T24</f>
        <v/>
      </c>
      <c r="U13" s="38">
        <f>SUM(Q13:T13)</f>
        <v/>
      </c>
      <c r="V13" s="20">
        <f>변수!V24</f>
        <v/>
      </c>
      <c r="W13" s="20">
        <f>변수!W24</f>
        <v/>
      </c>
      <c r="X13" s="20">
        <f>변수!X24</f>
        <v/>
      </c>
      <c r="Y13" s="20">
        <f>변수!Y24</f>
        <v/>
      </c>
      <c r="Z13" s="38">
        <f>SUM(V13:Y13)</f>
        <v/>
      </c>
      <c r="AA13" s="20">
        <f>변수!AA24</f>
        <v/>
      </c>
      <c r="AB13" s="20">
        <f>변수!AB24</f>
        <v/>
      </c>
      <c r="AC13" s="20">
        <f>변수!AC24</f>
        <v/>
      </c>
      <c r="AD13" s="20">
        <f>변수!AD24</f>
        <v/>
      </c>
      <c r="AE13" s="38">
        <f>SUM(AA13:AD13)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9">
        <f>IFERROR(VLOOKUP($D14,BS연결,MATCH(R$1,BS연결H,0),0)/100,"")</f>
        <v/>
      </c>
      <c r="S14" s="20">
        <f>변수!S25</f>
        <v/>
      </c>
      <c r="T14" s="20">
        <f>변수!T25</f>
        <v/>
      </c>
      <c r="U14" s="38">
        <f>SUM(Q14:T14)</f>
        <v/>
      </c>
      <c r="V14" s="20">
        <f>변수!V25</f>
        <v/>
      </c>
      <c r="W14" s="20">
        <f>변수!W25</f>
        <v/>
      </c>
      <c r="X14" s="20">
        <f>변수!X25</f>
        <v/>
      </c>
      <c r="Y14" s="20">
        <f>변수!Y25</f>
        <v/>
      </c>
      <c r="Z14" s="38">
        <f>SUM(V14:Y14)</f>
        <v/>
      </c>
      <c r="AA14" s="20">
        <f>변수!AA25</f>
        <v/>
      </c>
      <c r="AB14" s="20">
        <f>변수!AB25</f>
        <v/>
      </c>
      <c r="AC14" s="20">
        <f>변수!AC25</f>
        <v/>
      </c>
      <c r="AD14" s="20">
        <f>변수!AD25</f>
        <v/>
      </c>
      <c r="AE14" s="38">
        <f>SUM(AA14:AD14)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9">
        <f>IFERROR(VLOOKUP($D15,BS연결,MATCH(R$1,BS연결H,0),0)/100,"")</f>
        <v/>
      </c>
      <c r="S15" s="20">
        <f>IFERROR(S9+S11+S14,"")</f>
        <v/>
      </c>
      <c r="T15" s="20">
        <f>IFERROR(T9+T11+T14,"")</f>
        <v/>
      </c>
      <c r="U15" s="38">
        <f>SUM(Q15:T15)</f>
        <v/>
      </c>
      <c r="V15" s="20">
        <f>IFERROR(V9+V11+V14,"")</f>
        <v/>
      </c>
      <c r="W15" s="20">
        <f>IFERROR(W9+W11+W14,"")</f>
        <v/>
      </c>
      <c r="X15" s="20">
        <f>IFERROR(X9+X11+X14,"")</f>
        <v/>
      </c>
      <c r="Y15" s="20">
        <f>IFERROR(Y9+Y11+Y14,"")</f>
        <v/>
      </c>
      <c r="Z15" s="38">
        <f>SUM(V15:Y15)</f>
        <v/>
      </c>
      <c r="AA15" s="20">
        <f>IFERROR(AA9+AA11+AA14,"")</f>
        <v/>
      </c>
      <c r="AB15" s="20">
        <f>IFERROR(AB9+AB11+AB14,"")</f>
        <v/>
      </c>
      <c r="AC15" s="20">
        <f>IFERROR(AC9+AC11+AC14,"")</f>
        <v/>
      </c>
      <c r="AD15" s="20">
        <f>IFERROR(AD9+AD11+AD14,"")</f>
        <v/>
      </c>
      <c r="AE15" s="38">
        <f>SUM(AA15:AD15)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9">
        <f>IFERROR(VLOOKUP($D16,BS연결,MATCH(R$1,BS연결H,0),0)/100,"")</f>
        <v/>
      </c>
      <c r="S16" s="20">
        <f>IFERROR(MAX(S15,0)*변수!S26,"")</f>
        <v/>
      </c>
      <c r="T16" s="20">
        <f>IFERROR(MAX(T15,0)*변수!T26,"")</f>
        <v/>
      </c>
      <c r="U16" s="38">
        <f>SUM(Q16:T16)</f>
        <v/>
      </c>
      <c r="V16" s="20">
        <f>IFERROR(MAX(V15,0)*변수!V26,"")</f>
        <v/>
      </c>
      <c r="W16" s="20">
        <f>IFERROR(MAX(W15,0)*변수!W26,"")</f>
        <v/>
      </c>
      <c r="X16" s="20">
        <f>IFERROR(MAX(X15,0)*변수!X26,"")</f>
        <v/>
      </c>
      <c r="Y16" s="20">
        <f>IFERROR(MAX(Y15,0)*변수!Y26,"")</f>
        <v/>
      </c>
      <c r="Z16" s="38">
        <f>SUM(V16:Y16)</f>
        <v/>
      </c>
      <c r="AA16" s="20">
        <f>IFERROR(MAX(AA15,0)*변수!AA26,"")</f>
        <v/>
      </c>
      <c r="AB16" s="20">
        <f>IFERROR(MAX(AB15,0)*변수!AB26,"")</f>
        <v/>
      </c>
      <c r="AC16" s="20">
        <f>IFERROR(MAX(AC15,0)*변수!AC26,"")</f>
        <v/>
      </c>
      <c r="AD16" s="20">
        <f>IFERROR(MAX(AD15,0)*변수!AD26,"")</f>
        <v/>
      </c>
      <c r="AE16" s="38">
        <f>SUM(AA16:AD16)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9">
        <f>IFERROR(VLOOKUP($D17,BS연결,MATCH(R$1,BS연결H,0),0)/100,"")</f>
        <v/>
      </c>
      <c r="S17" s="20">
        <f>IFERROR(S15-S16,"")</f>
        <v/>
      </c>
      <c r="T17" s="20">
        <f>IFERROR(T15-T16,"")</f>
        <v/>
      </c>
      <c r="U17" s="38">
        <f>SUM(Q17:T17)</f>
        <v/>
      </c>
      <c r="V17" s="20">
        <f>IFERROR(V15-V16,"")</f>
        <v/>
      </c>
      <c r="W17" s="20">
        <f>IFERROR(W15-W16,"")</f>
        <v/>
      </c>
      <c r="X17" s="20">
        <f>IFERROR(X15-X16,"")</f>
        <v/>
      </c>
      <c r="Y17" s="20">
        <f>IFERROR(Y15-Y16,"")</f>
        <v/>
      </c>
      <c r="Z17" s="38">
        <f>SUM(V17:Y17)</f>
        <v/>
      </c>
      <c r="AA17" s="20">
        <f>IFERROR(AA15-AA16,"")</f>
        <v/>
      </c>
      <c r="AB17" s="20">
        <f>IFERROR(AB15-AB16,"")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9">
        <f>IFERROR(VLOOKUP($D18,BS연결,MATCH(R$1,BS연결H,0),0)/100,"")</f>
        <v/>
      </c>
      <c r="S18" s="20">
        <f>IFERROR(S17*변수!S27,"")</f>
        <v/>
      </c>
      <c r="T18" s="20">
        <f>IFERROR(T17*변수!T27,"")</f>
        <v/>
      </c>
      <c r="U18" s="38">
        <f>SUM(Q18:T18)</f>
        <v/>
      </c>
      <c r="V18" s="20">
        <f>IFERROR(V17*변수!V27,"")</f>
        <v/>
      </c>
      <c r="W18" s="20">
        <f>IFERROR(W17*변수!W27,"")</f>
        <v/>
      </c>
      <c r="X18" s="20">
        <f>IFERROR(X17*변수!X27,"")</f>
        <v/>
      </c>
      <c r="Y18" s="20">
        <f>IFERROR(Y17*변수!Y27,"")</f>
        <v/>
      </c>
      <c r="Z18" s="38">
        <f>SUM(V18:Y18)</f>
        <v/>
      </c>
      <c r="AA18" s="20">
        <f>IFERROR(AA17*변수!AA27,"")</f>
        <v/>
      </c>
      <c r="AB18" s="20">
        <f>IFERROR(AB17*변수!AB27,"")</f>
        <v/>
      </c>
      <c r="AC18" s="20">
        <f>IFERROR(AC17*변수!AC27,"")</f>
        <v/>
      </c>
      <c r="AD18" s="20">
        <f>IFERROR(AD17*변수!AD27,"")</f>
        <v/>
      </c>
      <c r="AE18" s="38">
        <f>SUM(AA18:AD18)</f>
        <v/>
      </c>
    </row>
    <row r="19">
      <c r="A19" s="12" t="inlineStr">
        <is>
          <t>자산총계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자산총계</t>
        </is>
      </c>
      <c r="E19" s="18">
        <f>IFERROR(VLOOKUP($D19,BS연결,MATCH(E$1,BS연결H,0),0)/100,"")</f>
        <v/>
      </c>
      <c r="F19" s="37">
        <f>IFERROR(VLOOKUP($D19,BS연결,MATCH(F$1,BS연결H,0),0)/100,"")</f>
        <v/>
      </c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9">
        <f>IFERROR(VLOOKUP($D19,BS연결,MATCH(R$1,BS연결H,0),0)/100,"")</f>
        <v/>
      </c>
      <c r="S19" s="20">
        <f>IFERROR(S20+S21,"")</f>
        <v/>
      </c>
      <c r="T19" s="20">
        <f>IFERROR(T20+T21,"")</f>
        <v/>
      </c>
      <c r="U19" s="38">
        <f>T19</f>
        <v/>
      </c>
      <c r="V19" s="20">
        <f>IFERROR(V20+V21,"")</f>
        <v/>
      </c>
      <c r="W19" s="20">
        <f>IFERROR(W20+W21,"")</f>
        <v/>
      </c>
      <c r="X19" s="20">
        <f>IFERROR(X20+X21,"")</f>
        <v/>
      </c>
      <c r="Y19" s="20">
        <f>IFERROR(Y20+Y21,"")</f>
        <v/>
      </c>
      <c r="Z19" s="38">
        <f>Y19</f>
        <v/>
      </c>
      <c r="AA19" s="20">
        <f>IFERROR(AA20+AA21,"")</f>
        <v/>
      </c>
      <c r="AB19" s="20">
        <f>IFERROR(AB20+AB21,"")</f>
        <v/>
      </c>
      <c r="AC19" s="20">
        <f>IFERROR(AC20+AC21,"")</f>
        <v/>
      </c>
      <c r="AD19" s="20">
        <f>IFERROR(AD20+AD21,"")</f>
        <v/>
      </c>
      <c r="AE19" s="38">
        <f>AD19</f>
        <v/>
      </c>
    </row>
    <row r="20">
      <c r="A20" s="12" t="inlineStr">
        <is>
          <t>부채총계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부채총계</t>
        </is>
      </c>
      <c r="E20" s="18">
        <f>IFERROR(VLOOKUP($D20,BS연결,MATCH(E$1,BS연결H,0),0)/100,"")</f>
        <v/>
      </c>
      <c r="F20" s="37">
        <f>IFERROR(VLOOKUP($D20,BS연결,MATCH(F$1,BS연결H,0),0)/100,"")</f>
        <v/>
      </c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9">
        <f>IFERROR(VLOOKUP($D20,BS연결,MATCH(R$1,BS연결H,0),0)/100,"")</f>
        <v/>
      </c>
      <c r="S20" s="20">
        <f>IFERROR(R20*(1+변수!S28),"")</f>
        <v/>
      </c>
      <c r="T20" s="20">
        <f>IFERROR(S20*(1+변수!T28),"")</f>
        <v/>
      </c>
      <c r="U20" s="38">
        <f>T20</f>
        <v/>
      </c>
      <c r="V20" s="20">
        <f>IFERROR(T20*(1+변수!V28),"")</f>
        <v/>
      </c>
      <c r="W20" s="20">
        <f>IFERROR(V20*(1+변수!W28),"")</f>
        <v/>
      </c>
      <c r="X20" s="20">
        <f>IFERROR(W20*(1+변수!X28),"")</f>
        <v/>
      </c>
      <c r="Y20" s="20">
        <f>IFERROR(X20*(1+변수!Y28),"")</f>
        <v/>
      </c>
      <c r="Z20" s="38">
        <f>Y20</f>
        <v/>
      </c>
      <c r="AA20" s="20">
        <f>IFERROR(Y20*(1+변수!AA28),"")</f>
        <v/>
      </c>
      <c r="AB20" s="20">
        <f>IFERROR(AA20*(1+변수!AB28),"")</f>
        <v/>
      </c>
      <c r="AC20" s="20">
        <f>IFERROR(AB20*(1+변수!AC28),"")</f>
        <v/>
      </c>
      <c r="AD20" s="20">
        <f>IFERROR(AC20*(1+변수!AD28),"")</f>
        <v/>
      </c>
      <c r="AE20" s="38">
        <f>AD20</f>
        <v/>
      </c>
    </row>
    <row r="21">
      <c r="A21" s="12" t="inlineStr">
        <is>
          <t>자본총계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자본총계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9">
        <f>IFERROR(VLOOKUP($D21,BS연결,MATCH(R$1,BS연결H,0),0)/100,"")</f>
        <v/>
      </c>
      <c r="S21" s="20">
        <f>IFERROR(R21+S17-변수!S29,"")</f>
        <v/>
      </c>
      <c r="T21" s="20">
        <f>IFERROR(S21+T17-변수!T29,"")</f>
        <v/>
      </c>
      <c r="U21" s="38">
        <f>T21</f>
        <v/>
      </c>
      <c r="V21" s="20">
        <f>IFERROR(T21+V17-변수!V29,"")</f>
        <v/>
      </c>
      <c r="W21" s="20">
        <f>IFERROR(V21+W17-변수!W29,"")</f>
        <v/>
      </c>
      <c r="X21" s="20">
        <f>IFERROR(W21+X17-변수!X29,"")</f>
        <v/>
      </c>
      <c r="Y21" s="20">
        <f>IFERROR(X21+Y17-변수!Y29,"")</f>
        <v/>
      </c>
      <c r="Z21" s="38">
        <f>Y21</f>
        <v/>
      </c>
      <c r="AA21" s="20">
        <f>IFERROR(Y21+AA17-변수!AA29,"")</f>
        <v/>
      </c>
      <c r="AB21" s="20">
        <f>IFERROR(AA21+AB17-변수!AB29,"")</f>
        <v/>
      </c>
      <c r="AC21" s="20">
        <f>IFERROR(AB21+AC17-변수!AC29,"")</f>
        <v/>
      </c>
      <c r="AD21" s="20">
        <f>IFERROR(AC21+AD17-변수!AD29,"")</f>
        <v/>
      </c>
      <c r="AE21" s="38">
        <f>AD21</f>
        <v/>
      </c>
    </row>
    <row r="22">
      <c r="A22" s="12" t="inlineStr">
        <is>
          <t>지배주주지분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지배주주지분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9">
        <f>IFERROR(VLOOKUP($D22,BS연결,MATCH(R$1,BS연결H,0),0)/100,"")</f>
        <v/>
      </c>
      <c r="S22" s="20">
        <f>IFERROR(R22+S18-변수!S30,"")</f>
        <v/>
      </c>
      <c r="T22" s="20">
        <f>IFERROR(S22+T18-변수!T30,"")</f>
        <v/>
      </c>
      <c r="U22" s="38">
        <f>T22</f>
        <v/>
      </c>
      <c r="V22" s="20">
        <f>IFERROR(T22+V18-변수!V30,"")</f>
        <v/>
      </c>
      <c r="W22" s="20">
        <f>IFERROR(V22+W18-변수!W30,"")</f>
        <v/>
      </c>
      <c r="X22" s="20">
        <f>IFERROR(W22+X18-변수!X30,"")</f>
        <v/>
      </c>
      <c r="Y22" s="20">
        <f>IFERROR(X22+Y18-변수!Y30,"")</f>
        <v/>
      </c>
      <c r="Z22" s="38">
        <f>Y22</f>
        <v/>
      </c>
      <c r="AA22" s="20">
        <f>IFERROR(Y22+AA18-변수!AA30,"")</f>
        <v/>
      </c>
      <c r="AB22" s="20">
        <f>IFERROR(AA22+AB18-변수!AB30,"")</f>
        <v/>
      </c>
      <c r="AC22" s="20">
        <f>IFERROR(AB22+AC18-변수!AC30,"")</f>
        <v/>
      </c>
      <c r="AD22" s="20">
        <f>IFERROR(AC22+AD18-변수!AD30,"")</f>
        <v/>
      </c>
      <c r="AE22" s="38">
        <f>AD22</f>
        <v/>
      </c>
    </row>
    <row r="23">
      <c r="A23" s="12" t="inlineStr">
        <is>
          <t>총차입금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총차입금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9">
        <f>IFERROR(VLOOKUP($D23,BS연결,MATCH(R$1,BS연결H,0),0)/100,"")</f>
        <v/>
      </c>
      <c r="S23" s="20">
        <f>IFERROR(R23*(1+변수!S31),"")</f>
        <v/>
      </c>
      <c r="T23" s="20">
        <f>IFERROR(S23*(1+변수!T31),"")</f>
        <v/>
      </c>
      <c r="U23" s="38">
        <f>T23</f>
        <v/>
      </c>
      <c r="V23" s="20">
        <f>IFERROR(T23*(1+변수!V31),"")</f>
        <v/>
      </c>
      <c r="W23" s="20">
        <f>IFERROR(V23*(1+변수!W31),"")</f>
        <v/>
      </c>
      <c r="X23" s="20">
        <f>IFERROR(W23*(1+변수!X31),"")</f>
        <v/>
      </c>
      <c r="Y23" s="20">
        <f>IFERROR(X23*(1+변수!Y31),"")</f>
        <v/>
      </c>
      <c r="Z23" s="38">
        <f>Y23</f>
        <v/>
      </c>
      <c r="AA23" s="20">
        <f>IFERROR(Y23*(1+변수!AA31),"")</f>
        <v/>
      </c>
      <c r="AB23" s="20">
        <f>IFERROR(AA23*(1+변수!AB31),"")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</row>
    <row r="24">
      <c r="A24" s="12" t="inlineStr">
        <is>
          <t>순차입금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순차입금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9">
        <f>IFERROR(VLOOKUP($D24,BS연결,MATCH(R$1,BS연결H,0),0)/100,"")</f>
        <v/>
      </c>
      <c r="S24" s="20">
        <f>IFERROR(R24*(1+변수!S32),"")</f>
        <v/>
      </c>
      <c r="T24" s="20">
        <f>IFERROR(S24*(1+변수!T32),"")</f>
        <v/>
      </c>
      <c r="U24" s="38">
        <f>T24</f>
        <v/>
      </c>
      <c r="V24" s="20">
        <f>IFERROR(T24*(1+변수!V32),"")</f>
        <v/>
      </c>
      <c r="W24" s="20">
        <f>IFERROR(V24*(1+변수!W32),"")</f>
        <v/>
      </c>
      <c r="X24" s="20">
        <f>IFERROR(W24*(1+변수!X32),"")</f>
        <v/>
      </c>
      <c r="Y24" s="20">
        <f>IFERROR(X24*(1+변수!Y32),"")</f>
        <v/>
      </c>
      <c r="Z24" s="38">
        <f>Y24</f>
        <v/>
      </c>
      <c r="AA24" s="20">
        <f>IFERROR(Y24*(1+변수!AA32),"")</f>
        <v/>
      </c>
      <c r="AB24" s="20">
        <f>IFERROR(AA24*(1+변수!AB32),"")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</row>
    <row r="25">
      <c r="A25" s="12" t="inlineStr">
        <is>
          <t>이자발생자산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이자발생자산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9">
        <f>IFERROR(VLOOKUP($D25,BS연결,MATCH(R$1,BS연결H,0),0)/100,"")</f>
        <v/>
      </c>
      <c r="S25" s="20">
        <f>IFERROR(R25*(1+변수!S33),"")</f>
        <v/>
      </c>
      <c r="T25" s="20">
        <f>IFERROR(S25*(1+변수!T33),"")</f>
        <v/>
      </c>
      <c r="U25" s="38">
        <f>T25</f>
        <v/>
      </c>
      <c r="V25" s="20">
        <f>IFERROR(T25*(1+변수!V33),"")</f>
        <v/>
      </c>
      <c r="W25" s="20">
        <f>IFERROR(V25*(1+변수!W33),"")</f>
        <v/>
      </c>
      <c r="X25" s="20">
        <f>IFERROR(W25*(1+변수!X33),"")</f>
        <v/>
      </c>
      <c r="Y25" s="20">
        <f>IFERROR(X25*(1+변수!Y33),"")</f>
        <v/>
      </c>
      <c r="Z25" s="38">
        <f>Y25</f>
        <v/>
      </c>
      <c r="AA25" s="20">
        <f>IFERROR(Y25*(1+변수!AA33),"")</f>
        <v/>
      </c>
      <c r="AB25" s="20">
        <f>IFERROR(AA25*(1+변수!AB33),"")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</row>
    <row r="26">
      <c r="A26" s="12" t="inlineStr">
        <is>
          <t>현금및현금성자산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현금및현금성자산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9">
        <f>IFERROR(VLOOKUP($D26,BS연결,MATCH(R$1,BS연결H,0),0)/100,"")</f>
        <v/>
      </c>
      <c r="S26" s="20" t="n"/>
      <c r="T26" s="20" t="n"/>
      <c r="U26" s="38">
        <f>T26</f>
        <v/>
      </c>
      <c r="V26" s="20" t="n"/>
      <c r="W26" s="20" t="n"/>
      <c r="X26" s="20" t="n"/>
      <c r="Y26" s="20" t="n"/>
      <c r="Z26" s="38">
        <f>Y26</f>
        <v/>
      </c>
      <c r="AA26" s="20" t="n"/>
      <c r="AB26" s="20" t="n"/>
      <c r="AC26" s="20" t="n"/>
      <c r="AD26" s="20" t="n"/>
      <c r="AE26" s="38">
        <f>AD26</f>
        <v/>
      </c>
    </row>
    <row r="27">
      <c r="A27" s="12" t="inlineStr">
        <is>
          <t>CAPEX</t>
        </is>
      </c>
      <c r="B27" t="inlineStr">
        <is>
          <t>현금흐름</t>
        </is>
      </c>
      <c r="C27" t="inlineStr">
        <is>
          <t>억원</t>
        </is>
      </c>
      <c r="D27" t="inlineStr">
        <is>
          <t>CAPEX</t>
        </is>
      </c>
      <c r="E27" s="18">
        <f>IFERROR(VLOOKUP($D27,BS연결,MATCH(E$1,BS연결H,0),0)/100,"")</f>
        <v/>
      </c>
      <c r="F27" s="37" t="n"/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 t="n"/>
      <c r="P27" s="37">
        <f>SUM(L27:O27)</f>
        <v/>
      </c>
      <c r="Q27" s="18" t="n"/>
      <c r="R27" s="19" t="n"/>
      <c r="S27" s="20">
        <f>IFERROR(N27*(1+변수!S35),"")</f>
        <v/>
      </c>
      <c r="T27" s="20">
        <f>IFERROR(S27*(1+변수!T35),"")</f>
        <v/>
      </c>
      <c r="U27" s="38">
        <f>SUM(Q27:T27)</f>
        <v/>
      </c>
      <c r="V27" s="20">
        <f>IFERROR(T27*(1+변수!V35),"")</f>
        <v/>
      </c>
      <c r="W27" s="20">
        <f>IFERROR(V27*(1+변수!W35),"")</f>
        <v/>
      </c>
      <c r="X27" s="20">
        <f>IFERROR(S27*(1+변수!X35),"")</f>
        <v/>
      </c>
      <c r="Y27" s="20">
        <f>IFERROR(T27*(1+변수!Y35),"")</f>
        <v/>
      </c>
      <c r="Z27" s="38">
        <f>SUM(V27:Y27)</f>
        <v/>
      </c>
      <c r="AA27" s="20">
        <f>IFERROR(V27*(1+변수!AA35),"")</f>
        <v/>
      </c>
      <c r="AB27" s="20">
        <f>IFERROR(W27*(1+변수!AB35),"")</f>
        <v/>
      </c>
      <c r="AC27" s="20">
        <f>IFERROR(X27*(1+변수!AC35),"")</f>
        <v/>
      </c>
      <c r="AD27" s="20">
        <f>IFERROR(Y27*(1+변수!AD35),"")</f>
        <v/>
      </c>
      <c r="AE27" s="38">
        <f>SUM(AA27:AD27)</f>
        <v/>
      </c>
    </row>
    <row r="28">
      <c r="A28" s="12" t="inlineStr">
        <is>
          <t>영업활동현금흐름</t>
        </is>
      </c>
      <c r="B28" t="inlineStr">
        <is>
          <t>현금흐름</t>
        </is>
      </c>
      <c r="C28" t="inlineStr">
        <is>
          <t>억원</t>
        </is>
      </c>
      <c r="D28" t="inlineStr">
        <is>
          <t>영업활동으로인한현금흐름</t>
        </is>
      </c>
      <c r="E28" s="18">
        <f>IFERROR(VLOOKUP($D28,BS연결,MATCH(E$1,BS연결H,0),0)/100,"")</f>
        <v/>
      </c>
      <c r="F28" s="37" t="n"/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9">
        <f>IFERROR(VLOOKUP($D28,BS연결,MATCH(R$1,BS연결H,0),0)/100,"")</f>
        <v/>
      </c>
      <c r="S28" s="20" t="n"/>
      <c r="T28" s="20" t="n"/>
      <c r="U28" s="38">
        <f>SUM(Q28:T28)</f>
        <v/>
      </c>
      <c r="V28" s="20" t="n"/>
      <c r="W28" s="20" t="n"/>
      <c r="X28" s="20" t="n"/>
      <c r="Y28" s="20" t="n"/>
      <c r="Z28" s="38">
        <f>SUM(V28:Y28)</f>
        <v/>
      </c>
      <c r="AA28" s="20" t="n"/>
      <c r="AB28" s="20" t="n"/>
      <c r="AC28" s="20" t="n"/>
      <c r="AD28" s="20" t="n"/>
      <c r="AE28" s="38">
        <f>SUM(AA28:AD28)</f>
        <v/>
      </c>
    </row>
    <row r="29">
      <c r="A29" s="12" t="inlineStr">
        <is>
          <t>주식수</t>
        </is>
      </c>
      <c r="B29" t="inlineStr">
        <is>
          <t>주당</t>
        </is>
      </c>
      <c r="C29" t="inlineStr">
        <is>
          <t>백만주</t>
        </is>
      </c>
      <c r="D29" t="inlineStr">
        <is>
          <t>유통주식수</t>
        </is>
      </c>
      <c r="E29" s="27" t="n">
        <v>29.6</v>
      </c>
      <c r="F29" s="28">
        <f>E29</f>
        <v/>
      </c>
      <c r="G29" s="27" t="n">
        <v>34.824</v>
      </c>
      <c r="H29" s="27" t="n">
        <v>35.274</v>
      </c>
      <c r="I29" s="27" t="n">
        <v>35.334</v>
      </c>
      <c r="J29" s="27" t="n">
        <v>35.392</v>
      </c>
      <c r="K29" s="28">
        <f>J29</f>
        <v/>
      </c>
      <c r="L29" s="27" t="n">
        <v>35.425</v>
      </c>
      <c r="M29" s="27" t="n">
        <v>35.48</v>
      </c>
      <c r="N29" s="27" t="n">
        <v>35.48</v>
      </c>
      <c r="O29" s="27" t="n">
        <v>35.511</v>
      </c>
      <c r="P29" s="28">
        <f>O29</f>
        <v/>
      </c>
      <c r="Q29" s="27" t="n">
        <v>35.511</v>
      </c>
      <c r="R29" s="29" t="n">
        <v>35.511</v>
      </c>
      <c r="S29" s="33">
        <f>IFERROR(R29*(1+변수!S37),"")</f>
        <v/>
      </c>
      <c r="T29" s="33">
        <f>IFERROR(S29*(1+변수!T37),"")</f>
        <v/>
      </c>
      <c r="U29" s="31">
        <f>T29</f>
        <v/>
      </c>
      <c r="V29" s="33">
        <f>IFERROR(T29*(1+변수!V37),"")</f>
        <v/>
      </c>
      <c r="W29" s="33">
        <f>IFERROR(V29*(1+변수!W37),"")</f>
        <v/>
      </c>
      <c r="X29" s="33">
        <f>IFERROR(W29*(1+변수!X37),"")</f>
        <v/>
      </c>
      <c r="Y29" s="33">
        <f>IFERROR(X29*(1+변수!Y37),"")</f>
        <v/>
      </c>
      <c r="Z29" s="31">
        <f>Y29</f>
        <v/>
      </c>
      <c r="AA29" s="33">
        <f>IFERROR(Y29*(1+변수!AA37),"")</f>
        <v/>
      </c>
      <c r="AB29" s="33">
        <f>IFERROR(AA29*(1+변수!AB37),"")</f>
        <v/>
      </c>
      <c r="AC29" s="33">
        <f>IFERROR(AB29*(1+변수!AC37),"")</f>
        <v/>
      </c>
      <c r="AD29" s="33">
        <f>IFERROR(AC29*(1+변수!AD37),"")</f>
        <v/>
      </c>
      <c r="AE29" s="31">
        <f>AD29</f>
        <v/>
      </c>
    </row>
    <row r="30">
      <c r="A30" s="12" t="inlineStr">
        <is>
          <t>EPS</t>
        </is>
      </c>
      <c r="B30" t="inlineStr">
        <is>
          <t>주당</t>
        </is>
      </c>
      <c r="C30" t="inlineStr">
        <is>
          <t>원</t>
        </is>
      </c>
      <c r="D30" t="inlineStr">
        <is>
          <t>EPS</t>
        </is>
      </c>
      <c r="E30" s="18">
        <f>IFERROR(E18*100/E29,"")</f>
        <v/>
      </c>
      <c r="F30" s="37" t="n"/>
      <c r="G30" s="18">
        <f>IFERROR(G18*100/G29,"")</f>
        <v/>
      </c>
      <c r="H30" s="18">
        <f>IFERROR(H18*100/H29,"")</f>
        <v/>
      </c>
      <c r="I30" s="18">
        <f>IFERROR(I18*100/I29,"")</f>
        <v/>
      </c>
      <c r="J30" s="18">
        <f>IFERROR(J18*100/J29,"")</f>
        <v/>
      </c>
      <c r="K30" s="37">
        <f>SUM(G30:J30)</f>
        <v/>
      </c>
      <c r="L30" s="18">
        <f>IFERROR(L18*100/L29,"")</f>
        <v/>
      </c>
      <c r="M30" s="18">
        <f>IFERROR(M18*100/M29,"")</f>
        <v/>
      </c>
      <c r="N30" s="18">
        <f>IFERROR(N18*100/N29,"")</f>
        <v/>
      </c>
      <c r="O30" s="18">
        <f>IFERROR(O18*100/O29,"")</f>
        <v/>
      </c>
      <c r="P30" s="37">
        <f>SUM(L30:O30)</f>
        <v/>
      </c>
      <c r="Q30" s="18">
        <f>IFERROR(Q18*100/Q29,"")</f>
        <v/>
      </c>
      <c r="R30" s="19">
        <f>IFERROR(R18*100/R29,"")</f>
        <v/>
      </c>
      <c r="S30" s="20">
        <f>IFERROR(S18*100/S29,"")</f>
        <v/>
      </c>
      <c r="T30" s="20">
        <f>IFERROR(T18*100/T29,"")</f>
        <v/>
      </c>
      <c r="U30" s="38">
        <f>SUM(Q30:T30)</f>
        <v/>
      </c>
      <c r="V30" s="20">
        <f>IFERROR(V18*100/V29,"")</f>
        <v/>
      </c>
      <c r="W30" s="20">
        <f>IFERROR(W18*100/W29,"")</f>
        <v/>
      </c>
      <c r="X30" s="20">
        <f>IFERROR(X18*100/X29,"")</f>
        <v/>
      </c>
      <c r="Y30" s="20">
        <f>IFERROR(Y18*100/Y29,"")</f>
        <v/>
      </c>
      <c r="Z30" s="38">
        <f>SUM(V30:Y30)</f>
        <v/>
      </c>
      <c r="AA30" s="20">
        <f>IFERROR(AA18*100/AA29,"")</f>
        <v/>
      </c>
      <c r="AB30" s="20">
        <f>IFERROR(AB18*100/AB29,"")</f>
        <v/>
      </c>
      <c r="AC30" s="20">
        <f>IFERROR(AC18*100/AC29,"")</f>
        <v/>
      </c>
      <c r="AD30" s="20">
        <f>IFERROR(AD18*100/AD29,"")</f>
        <v/>
      </c>
      <c r="AE30" s="38">
        <f>SUM(AA30:AD30)</f>
        <v/>
      </c>
    </row>
    <row r="31">
      <c r="A31" s="12" t="inlineStr">
        <is>
          <t>BPS</t>
        </is>
      </c>
      <c r="B31" t="inlineStr">
        <is>
          <t>주당</t>
        </is>
      </c>
      <c r="C31" t="inlineStr">
        <is>
          <t>원</t>
        </is>
      </c>
      <c r="D31" t="inlineStr">
        <is>
          <t>BPS</t>
        </is>
      </c>
      <c r="E31" s="18">
        <f>IFERROR(E22*100/E29,"")</f>
        <v/>
      </c>
      <c r="F31" s="37">
        <f>E31</f>
        <v/>
      </c>
      <c r="G31" s="18">
        <f>IFERROR(G22*100/G29,"")</f>
        <v/>
      </c>
      <c r="H31" s="18">
        <f>IFERROR(H22*100/H29,"")</f>
        <v/>
      </c>
      <c r="I31" s="18">
        <f>IFERROR(I22*100/I29,"")</f>
        <v/>
      </c>
      <c r="J31" s="18">
        <f>IFERROR(J22*100/J29,"")</f>
        <v/>
      </c>
      <c r="K31" s="37">
        <f>J31</f>
        <v/>
      </c>
      <c r="L31" s="18">
        <f>IFERROR(L22*100/L29,"")</f>
        <v/>
      </c>
      <c r="M31" s="18">
        <f>IFERROR(M22*100/M29,"")</f>
        <v/>
      </c>
      <c r="N31" s="18">
        <f>IFERROR(N22*100/N29,"")</f>
        <v/>
      </c>
      <c r="O31" s="18">
        <f>IFERROR(O22*100/O29,"")</f>
        <v/>
      </c>
      <c r="P31" s="37">
        <f>O31</f>
        <v/>
      </c>
      <c r="Q31" s="18">
        <f>IFERROR(Q22*100/Q29,"")</f>
        <v/>
      </c>
      <c r="R31" s="19">
        <f>IFERROR(R22*100/R29,"")</f>
        <v/>
      </c>
      <c r="S31" s="20">
        <f>IFERROR(S22*100/S29,"")</f>
        <v/>
      </c>
      <c r="T31" s="20">
        <f>IFERROR(T22*100/T29,"")</f>
        <v/>
      </c>
      <c r="U31" s="38">
        <f>T31</f>
        <v/>
      </c>
      <c r="V31" s="20">
        <f>IFERROR(V22*100/V29,"")</f>
        <v/>
      </c>
      <c r="W31" s="20">
        <f>IFERROR(W22*100/W29,"")</f>
        <v/>
      </c>
      <c r="X31" s="20">
        <f>IFERROR(X22*100/X29,"")</f>
        <v/>
      </c>
      <c r="Y31" s="20">
        <f>IFERROR(Y22*100/Y29,"")</f>
        <v/>
      </c>
      <c r="Z31" s="38">
        <f>Y31</f>
        <v/>
      </c>
      <c r="AA31" s="20">
        <f>IFERROR(AA22*100/AA29,"")</f>
        <v/>
      </c>
      <c r="AB31" s="20">
        <f>IFERROR(AB22*100/AB29,"")</f>
        <v/>
      </c>
      <c r="AC31" s="20">
        <f>IFERROR(AC22*100/AC29,"")</f>
        <v/>
      </c>
      <c r="AD31" s="20">
        <f>IFERROR(AD22*100/AD29,"")</f>
        <v/>
      </c>
      <c r="AE31" s="38">
        <f>AD31</f>
        <v/>
      </c>
    </row>
    <row r="32">
      <c r="A32" s="12" t="inlineStr">
        <is>
          <t>DPS</t>
        </is>
      </c>
      <c r="B32" t="inlineStr">
        <is>
          <t>주당</t>
        </is>
      </c>
      <c r="C32" t="inlineStr">
        <is>
          <t>원</t>
        </is>
      </c>
      <c r="D32" t="inlineStr">
        <is>
          <t>DPS(보통주)</t>
        </is>
      </c>
      <c r="E32" s="18" t="n">
        <v>0</v>
      </c>
      <c r="F32" s="37" t="n">
        <v>0</v>
      </c>
      <c r="G32" s="18" t="n"/>
      <c r="H32" s="18" t="n"/>
      <c r="I32" s="18" t="n"/>
      <c r="J32" s="18" t="n">
        <v>100</v>
      </c>
      <c r="K32" s="37">
        <f>SUM(G32:J32)</f>
        <v/>
      </c>
      <c r="L32" s="18" t="n"/>
      <c r="M32" s="18" t="n"/>
      <c r="N32" s="18" t="n"/>
      <c r="O32" s="18" t="n">
        <v>130</v>
      </c>
      <c r="P32" s="37">
        <f>SUM(L32:O32)</f>
        <v/>
      </c>
      <c r="Q32" s="18" t="n"/>
      <c r="R32" s="19" t="n"/>
      <c r="S32" s="20" t="n"/>
      <c r="T32" s="20">
        <f>변수!T38</f>
        <v/>
      </c>
      <c r="U32" s="38">
        <f>SUM(Q32:T32)</f>
        <v/>
      </c>
      <c r="V32" s="20" t="n"/>
      <c r="W32" s="20" t="n"/>
      <c r="X32" s="20" t="n"/>
      <c r="Y32" s="20">
        <f>변수!Y38</f>
        <v/>
      </c>
      <c r="Z32" s="38">
        <f>SUM(V32:Y32)</f>
        <v/>
      </c>
      <c r="AA32" s="20" t="n"/>
      <c r="AB32" s="20" t="n"/>
      <c r="AC32" s="20" t="n"/>
      <c r="AD32" s="20">
        <f>변수!AD38</f>
        <v/>
      </c>
      <c r="AE32" s="38">
        <f>SUM(AA32:AD32)</f>
        <v/>
      </c>
    </row>
    <row r="33">
      <c r="A33" s="12" t="inlineStr">
        <is>
          <t>PER</t>
        </is>
      </c>
      <c r="B33" t="inlineStr">
        <is>
          <t>주당</t>
        </is>
      </c>
      <c r="C33" t="inlineStr">
        <is>
          <t>배</t>
        </is>
      </c>
      <c r="D33" t="inlineStr">
        <is>
          <t>PER</t>
        </is>
      </c>
      <c r="E33" s="13" t="n"/>
      <c r="F33" s="14">
        <f>E33</f>
        <v/>
      </c>
      <c r="G33" s="13" t="n"/>
      <c r="H33" s="13" t="n"/>
      <c r="I33" s="13">
        <f>IFERROR(변수!I18/(E30+G30+H30+I30),"")</f>
        <v/>
      </c>
      <c r="J33" s="13">
        <f>IFERROR(변수!J18/(G30+H30+I30+J30),"")</f>
        <v/>
      </c>
      <c r="K33" s="14">
        <f>J33</f>
        <v/>
      </c>
      <c r="L33" s="13">
        <f>IFERROR(변수!L18/(H30+I30+J30+L30),"")</f>
        <v/>
      </c>
      <c r="M33" s="13">
        <f>IFERROR(변수!M18/(I30+J30+L30+M30),"")</f>
        <v/>
      </c>
      <c r="N33" s="13">
        <f>IFERROR(변수!N18/(J30+L30+M30+N30),"")</f>
        <v/>
      </c>
      <c r="O33" s="13">
        <f>IFERROR(변수!O18/(L30+M30+N30+O30),"")</f>
        <v/>
      </c>
      <c r="P33" s="14">
        <f>O33</f>
        <v/>
      </c>
      <c r="Q33" s="13">
        <f>IFERROR(변수!Q18/(M30+N30+O30+Q30),"")</f>
        <v/>
      </c>
      <c r="R33" s="15">
        <f>IFERROR(변수!R18/(N30+O30+Q30+R30),"")</f>
        <v/>
      </c>
      <c r="S33" s="39">
        <f>IFERROR(변수!$D$41/(O30+Q30+R30+S30),"")</f>
        <v/>
      </c>
      <c r="T33" s="39">
        <f>IFERROR(변수!$D$41/(Q30+R30+S30+T30),"")</f>
        <v/>
      </c>
      <c r="U33" s="40">
        <f>T33</f>
        <v/>
      </c>
      <c r="V33" s="39">
        <f>IFERROR(변수!$D$41/(R30+S30+T30+V30),"")</f>
        <v/>
      </c>
      <c r="W33" s="39">
        <f>IFERROR(변수!$D$41/(S30+T30+V30+W30),"")</f>
        <v/>
      </c>
      <c r="X33" s="39">
        <f>IFERROR(변수!$D$41/(T30+V30+W30+X30),"")</f>
        <v/>
      </c>
      <c r="Y33" s="39">
        <f>IFERROR(변수!$D$41/(V30+W30+X30+Y30),"")</f>
        <v/>
      </c>
      <c r="Z33" s="40">
        <f>Y33</f>
        <v/>
      </c>
      <c r="AA33" s="39">
        <f>IFERROR(변수!$D$41/(W30+X30+Y30+AA30),"")</f>
        <v/>
      </c>
      <c r="AB33" s="39">
        <f>IFERROR(변수!$D$41/(X30+Y30+AA30+AB30),"")</f>
        <v/>
      </c>
      <c r="AC33" s="39">
        <f>IFERROR(변수!$D$41/(Y30+AA30+AB30+AC30),"")</f>
        <v/>
      </c>
      <c r="AD33" s="39">
        <f>IFERROR(변수!$D$41/(AA30+AB30+AC30+AD30),"")</f>
        <v/>
      </c>
      <c r="AE33" s="40">
        <f>AD33</f>
        <v/>
      </c>
    </row>
    <row r="34">
      <c r="A34" s="12" t="inlineStr">
        <is>
          <t>PBR</t>
        </is>
      </c>
      <c r="B34" t="inlineStr">
        <is>
          <t>주당</t>
        </is>
      </c>
      <c r="C34" t="inlineStr">
        <is>
          <t>배</t>
        </is>
      </c>
      <c r="D34" t="inlineStr">
        <is>
          <t>PBR</t>
        </is>
      </c>
      <c r="E34" s="13" t="n"/>
      <c r="F34" s="14">
        <f>E34</f>
        <v/>
      </c>
      <c r="G34" s="13">
        <f>IFERROR(변수!G18/G31,"")</f>
        <v/>
      </c>
      <c r="H34" s="13">
        <f>IFERROR(변수!H18/H31,"")</f>
        <v/>
      </c>
      <c r="I34" s="13">
        <f>IFERROR(변수!I18/I31,"")</f>
        <v/>
      </c>
      <c r="J34" s="13">
        <f>IFERROR(변수!J18/J31,"")</f>
        <v/>
      </c>
      <c r="K34" s="14">
        <f>J34</f>
        <v/>
      </c>
      <c r="L34" s="13">
        <f>IFERROR(변수!L18/L31,"")</f>
        <v/>
      </c>
      <c r="M34" s="13">
        <f>IFERROR(변수!M18/M31,"")</f>
        <v/>
      </c>
      <c r="N34" s="13">
        <f>IFERROR(변수!N18/N31,"")</f>
        <v/>
      </c>
      <c r="O34" s="13">
        <f>IFERROR(변수!O18/O31,"")</f>
        <v/>
      </c>
      <c r="P34" s="14">
        <f>O34</f>
        <v/>
      </c>
      <c r="Q34" s="13">
        <f>IFERROR(변수!Q18/Q31,"")</f>
        <v/>
      </c>
      <c r="R34" s="15">
        <f>IFERROR(변수!R18/R31,"")</f>
        <v/>
      </c>
      <c r="S34" s="39">
        <f>IFERROR(변수!$D$41/S31,"")</f>
        <v/>
      </c>
      <c r="T34" s="39">
        <f>IFERROR(변수!$D$41/T31,"")</f>
        <v/>
      </c>
      <c r="U34" s="40">
        <f>T34</f>
        <v/>
      </c>
      <c r="V34" s="39">
        <f>IFERROR(변수!$D$41/V31,"")</f>
        <v/>
      </c>
      <c r="W34" s="39">
        <f>IFERROR(변수!$D$41/W31,"")</f>
        <v/>
      </c>
      <c r="X34" s="39">
        <f>IFERROR(변수!$D$41/X31,"")</f>
        <v/>
      </c>
      <c r="Y34" s="39">
        <f>IFERROR(변수!$D$41/Y31,"")</f>
        <v/>
      </c>
      <c r="Z34" s="40">
        <f>Y34</f>
        <v/>
      </c>
      <c r="AA34" s="39">
        <f>IFERROR(변수!$D$41/AA31,"")</f>
        <v/>
      </c>
      <c r="AB34" s="39">
        <f>IFERROR(변수!$D$41/AB31,"")</f>
        <v/>
      </c>
      <c r="AC34" s="39">
        <f>IFERROR(변수!$D$41/AC31,"")</f>
        <v/>
      </c>
      <c r="AD34" s="39">
        <f>IFERROR(변수!$D$41/AD31,"")</f>
        <v/>
      </c>
      <c r="AE34" s="40">
        <f>AD34</f>
        <v/>
      </c>
    </row>
    <row r="35">
      <c r="A35" s="12" t="inlineStr">
        <is>
          <t>매출전사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매출 전사(부문 미분리)</t>
        </is>
      </c>
      <c r="E35" s="18" t="n">
        <v>548.38</v>
      </c>
      <c r="F35" s="37" t="n"/>
      <c r="G35" s="18" t="n">
        <v>551.03</v>
      </c>
      <c r="H35" s="18" t="n">
        <v>576.16</v>
      </c>
      <c r="I35" s="18" t="n">
        <v>540.88</v>
      </c>
      <c r="J35" s="18" t="n">
        <v>563.5700000000001</v>
      </c>
      <c r="K35" s="37">
        <f>SUM(G35:J35)</f>
        <v/>
      </c>
      <c r="L35" s="18" t="n">
        <v>583.58</v>
      </c>
      <c r="M35" s="18" t="n">
        <v>623.12</v>
      </c>
      <c r="N35" s="18" t="n">
        <v>605.92</v>
      </c>
      <c r="O35" s="18" t="n">
        <v>669.42</v>
      </c>
      <c r="P35" s="37">
        <f>SUM(L35:O35)</f>
        <v/>
      </c>
      <c r="Q35" s="18" t="n">
        <v>646.1</v>
      </c>
      <c r="R35" s="19" t="n">
        <v>727.6799999999999</v>
      </c>
      <c r="S35" s="20">
        <f>IFERROR(S5,"")</f>
        <v/>
      </c>
      <c r="T35" s="20">
        <f>IFERROR(T5,"")</f>
        <v/>
      </c>
      <c r="U35" s="38">
        <f>SUM(Q35:T35)</f>
        <v/>
      </c>
      <c r="V35" s="20">
        <f>IFERROR(V5,"")</f>
        <v/>
      </c>
      <c r="W35" s="20">
        <f>IFERROR(W5,"")</f>
        <v/>
      </c>
      <c r="X35" s="20">
        <f>IFERROR(X5,"")</f>
        <v/>
      </c>
      <c r="Y35" s="20">
        <f>IFERROR(Y5,"")</f>
        <v/>
      </c>
      <c r="Z35" s="38">
        <f>SUM(V35:Y35)</f>
        <v/>
      </c>
      <c r="AA35" s="20">
        <f>IFERROR(AA5,"")</f>
        <v/>
      </c>
      <c r="AB35" s="20">
        <f>IFERROR(AB5,"")</f>
        <v/>
      </c>
      <c r="AC35" s="20">
        <f>IFERROR(AC5,"")</f>
        <v/>
      </c>
      <c r="AD35" s="20">
        <f>IFERROR(AD5,"")</f>
        <v/>
      </c>
      <c r="AE35" s="38">
        <f>SUM(AA35:AD35)</f>
        <v/>
      </c>
    </row>
    <row r="36">
      <c r="A36" s="12" t="inlineStr">
        <is>
          <t>OP전사</t>
        </is>
      </c>
      <c r="B36" t="inlineStr">
        <is>
          <t>사업부</t>
        </is>
      </c>
      <c r="C36" t="inlineStr">
        <is>
          <t>억원</t>
        </is>
      </c>
      <c r="D36" t="inlineStr">
        <is>
          <t>OP 전사(부문 미분리)</t>
        </is>
      </c>
      <c r="E36" s="18" t="n">
        <v>33.71</v>
      </c>
      <c r="F36" s="37" t="n"/>
      <c r="G36" s="18" t="n">
        <v>59.2</v>
      </c>
      <c r="H36" s="18" t="n">
        <v>68.64</v>
      </c>
      <c r="I36" s="18" t="n">
        <v>41.44</v>
      </c>
      <c r="J36" s="18" t="n">
        <v>46.2</v>
      </c>
      <c r="K36" s="37">
        <f>SUM(G36:J36)</f>
        <v/>
      </c>
      <c r="L36" s="18" t="n">
        <v>72.40000000000001</v>
      </c>
      <c r="M36" s="18" t="n">
        <v>82.59</v>
      </c>
      <c r="N36" s="18" t="n">
        <v>67.88</v>
      </c>
      <c r="O36" s="18" t="n">
        <v>64.77</v>
      </c>
      <c r="P36" s="37">
        <f>SUM(L36:O36)</f>
        <v/>
      </c>
      <c r="Q36" s="18" t="n">
        <v>85.3</v>
      </c>
      <c r="R36" s="19" t="n">
        <v>121.83</v>
      </c>
      <c r="S36" s="20">
        <f>IFERROR(S9,"")</f>
        <v/>
      </c>
      <c r="T36" s="20">
        <f>IFERROR(T9,"")</f>
        <v/>
      </c>
      <c r="U36" s="38">
        <f>SUM(Q36:T36)</f>
        <v/>
      </c>
      <c r="V36" s="20">
        <f>IFERROR(V9,"")</f>
        <v/>
      </c>
      <c r="W36" s="20">
        <f>IFERROR(W9,"")</f>
        <v/>
      </c>
      <c r="X36" s="20">
        <f>IFERROR(X9,"")</f>
        <v/>
      </c>
      <c r="Y36" s="20">
        <f>IFERROR(Y9,"")</f>
        <v/>
      </c>
      <c r="Z36" s="38">
        <f>SUM(V36:Y36)</f>
        <v/>
      </c>
      <c r="AA36" s="20">
        <f>IFERROR(AA9,"")</f>
        <v/>
      </c>
      <c r="AB36" s="20">
        <f>IFERROR(AB9,"")</f>
        <v/>
      </c>
      <c r="AC36" s="20">
        <f>IFERROR(AC9,"")</f>
        <v/>
      </c>
      <c r="AD36" s="20">
        <f>IFERROR(AD9,"")</f>
        <v/>
      </c>
      <c r="AE36" s="38">
        <f>SUM(AA36:AD36)</f>
        <v/>
      </c>
    </row>
    <row r="37">
      <c r="B37" s="2" t="inlineStr">
        <is>
          <t>비율(참고)</t>
        </is>
      </c>
      <c r="F37" s="9" t="n"/>
      <c r="K37" s="9" t="n"/>
      <c r="P37" s="9" t="n"/>
      <c r="R37" s="5" t="n"/>
      <c r="S37" s="10" t="n"/>
      <c r="T37" s="10" t="n"/>
      <c r="U37" s="11" t="n"/>
      <c r="V37" s="10" t="n"/>
      <c r="W37" s="10" t="n"/>
      <c r="X37" s="10" t="n"/>
      <c r="Y37" s="10" t="n"/>
      <c r="Z37" s="11" t="n"/>
      <c r="AA37" s="10" t="n"/>
      <c r="AB37" s="10" t="n"/>
      <c r="AC37" s="10" t="n"/>
      <c r="AD37" s="10" t="n"/>
      <c r="AE37" s="11" t="n"/>
    </row>
    <row r="38">
      <c r="A38" s="12" t="inlineStr">
        <is>
          <t>NPM</t>
        </is>
      </c>
      <c r="C38" t="inlineStr">
        <is>
          <t>%</t>
        </is>
      </c>
      <c r="D38" t="inlineStr">
        <is>
          <t>지배주주순이익 / 매출액</t>
        </is>
      </c>
      <c r="E38" s="21">
        <f>IFERROR(E18/E5,"")</f>
        <v/>
      </c>
      <c r="F38" s="22">
        <f>IFERROR(F18/F5,"")</f>
        <v/>
      </c>
      <c r="G38" s="21">
        <f>IFERROR(G18/G5,"")</f>
        <v/>
      </c>
      <c r="H38" s="21">
        <f>IFERROR(H18/H5,"")</f>
        <v/>
      </c>
      <c r="I38" s="21">
        <f>IFERROR(I18/I5,"")</f>
        <v/>
      </c>
      <c r="J38" s="21">
        <f>IFERROR(J18/J5,"")</f>
        <v/>
      </c>
      <c r="K38" s="22">
        <f>IFERROR(K18/K5,"")</f>
        <v/>
      </c>
      <c r="L38" s="21">
        <f>IFERROR(L18/L5,"")</f>
        <v/>
      </c>
      <c r="M38" s="21">
        <f>IFERROR(M18/M5,"")</f>
        <v/>
      </c>
      <c r="N38" s="21">
        <f>IFERROR(N18/N5,"")</f>
        <v/>
      </c>
      <c r="O38" s="21">
        <f>IFERROR(O18/O5,"")</f>
        <v/>
      </c>
      <c r="P38" s="22">
        <f>IFERROR(P18/P5,"")</f>
        <v/>
      </c>
      <c r="Q38" s="21">
        <f>IFERROR(Q18/Q5,"")</f>
        <v/>
      </c>
      <c r="R38" s="23">
        <f>IFERROR(R18/R5,"")</f>
        <v/>
      </c>
      <c r="S38" s="32">
        <f>IFERROR(S18/S5,"")</f>
        <v/>
      </c>
      <c r="T38" s="32">
        <f>IFERROR(T18/T5,"")</f>
        <v/>
      </c>
      <c r="U38" s="25">
        <f>IFERROR(U18/U5,"")</f>
        <v/>
      </c>
      <c r="V38" s="32">
        <f>IFERROR(V18/V5,"")</f>
        <v/>
      </c>
      <c r="W38" s="32">
        <f>IFERROR(W18/W5,"")</f>
        <v/>
      </c>
      <c r="X38" s="32">
        <f>IFERROR(X18/X5,"")</f>
        <v/>
      </c>
      <c r="Y38" s="32">
        <f>IFERROR(Y18/Y5,"")</f>
        <v/>
      </c>
      <c r="Z38" s="25">
        <f>IFERROR(Z18/Z5,"")</f>
        <v/>
      </c>
      <c r="AA38" s="32">
        <f>IFERROR(AA18/AA5,"")</f>
        <v/>
      </c>
      <c r="AB38" s="32">
        <f>IFERROR(AB18/AB5,"")</f>
        <v/>
      </c>
      <c r="AC38" s="32">
        <f>IFERROR(AC18/AC5,"")</f>
        <v/>
      </c>
      <c r="AD38" s="32">
        <f>IFERROR(AD18/AD5,"")</f>
        <v/>
      </c>
      <c r="AE38" s="25">
        <f>IFERROR(AE18/AE5,"")</f>
        <v/>
      </c>
    </row>
    <row r="39">
      <c r="A39" s="12" t="inlineStr">
        <is>
          <t>매출원가율</t>
        </is>
      </c>
      <c r="C39" t="inlineStr">
        <is>
          <t>%</t>
        </is>
      </c>
      <c r="D39" t="inlineStr">
        <is>
          <t>매출원가 / 매출액</t>
        </is>
      </c>
      <c r="E39" s="21">
        <f>IFERROR(E6/E5,"")</f>
        <v/>
      </c>
      <c r="F39" s="22">
        <f>IFERROR(F6/F5,"")</f>
        <v/>
      </c>
      <c r="G39" s="21">
        <f>IFERROR(G6/G5,"")</f>
        <v/>
      </c>
      <c r="H39" s="21">
        <f>IFERROR(H6/H5,"")</f>
        <v/>
      </c>
      <c r="I39" s="21">
        <f>IFERROR(I6/I5,"")</f>
        <v/>
      </c>
      <c r="J39" s="21">
        <f>IFERROR(J6/J5,"")</f>
        <v/>
      </c>
      <c r="K39" s="22">
        <f>IFERROR(K6/K5,"")</f>
        <v/>
      </c>
      <c r="L39" s="21">
        <f>IFERROR(L6/L5,"")</f>
        <v/>
      </c>
      <c r="M39" s="21">
        <f>IFERROR(M6/M5,"")</f>
        <v/>
      </c>
      <c r="N39" s="21">
        <f>IFERROR(N6/N5,"")</f>
        <v/>
      </c>
      <c r="O39" s="21">
        <f>IFERROR(O6/O5,"")</f>
        <v/>
      </c>
      <c r="P39" s="22">
        <f>IFERROR(P6/P5,"")</f>
        <v/>
      </c>
      <c r="Q39" s="21">
        <f>IFERROR(Q6/Q5,"")</f>
        <v/>
      </c>
      <c r="R39" s="23">
        <f>IFERROR(R6/R5,"")</f>
        <v/>
      </c>
      <c r="S39" s="32">
        <f>IFERROR(S6/S5,"")</f>
        <v/>
      </c>
      <c r="T39" s="32">
        <f>IFERROR(T6/T5,"")</f>
        <v/>
      </c>
      <c r="U39" s="25">
        <f>IFERROR(U6/U5,"")</f>
        <v/>
      </c>
      <c r="V39" s="32">
        <f>IFERROR(V6/V5,"")</f>
        <v/>
      </c>
      <c r="W39" s="32">
        <f>IFERROR(W6/W5,"")</f>
        <v/>
      </c>
      <c r="X39" s="32">
        <f>IFERROR(X6/X5,"")</f>
        <v/>
      </c>
      <c r="Y39" s="32">
        <f>IFERROR(Y6/Y5,"")</f>
        <v/>
      </c>
      <c r="Z39" s="25">
        <f>IFERROR(Z6/Z5,"")</f>
        <v/>
      </c>
      <c r="AA39" s="32">
        <f>IFERROR(AA6/AA5,"")</f>
        <v/>
      </c>
      <c r="AB39" s="32">
        <f>IFERROR(AB6/AB5,"")</f>
        <v/>
      </c>
      <c r="AC39" s="32">
        <f>IFERROR(AC6/AC5,"")</f>
        <v/>
      </c>
      <c r="AD39" s="32">
        <f>IFERROR(AD6/AD5,"")</f>
        <v/>
      </c>
      <c r="AE39" s="25">
        <f>IFERROR(AE6/AE5,"")</f>
        <v/>
      </c>
    </row>
    <row r="40">
      <c r="A40" s="12" t="inlineStr">
        <is>
          <t>판관비율</t>
        </is>
      </c>
      <c r="C40" t="inlineStr">
        <is>
          <t>%</t>
        </is>
      </c>
      <c r="D40" t="inlineStr">
        <is>
          <t>판관비 / 매출액</t>
        </is>
      </c>
      <c r="E40" s="21">
        <f>IFERROR(E8/E5,"")</f>
        <v/>
      </c>
      <c r="F40" s="22">
        <f>IFERROR(F8/F5,"")</f>
        <v/>
      </c>
      <c r="G40" s="21">
        <f>IFERROR(G8/G5,"")</f>
        <v/>
      </c>
      <c r="H40" s="21">
        <f>IFERROR(H8/H5,"")</f>
        <v/>
      </c>
      <c r="I40" s="21">
        <f>IFERROR(I8/I5,"")</f>
        <v/>
      </c>
      <c r="J40" s="21">
        <f>IFERROR(J8/J5,"")</f>
        <v/>
      </c>
      <c r="K40" s="22">
        <f>IFERROR(K8/K5,"")</f>
        <v/>
      </c>
      <c r="L40" s="21">
        <f>IFERROR(L8/L5,"")</f>
        <v/>
      </c>
      <c r="M40" s="21">
        <f>IFERROR(M8/M5,"")</f>
        <v/>
      </c>
      <c r="N40" s="21">
        <f>IFERROR(N8/N5,"")</f>
        <v/>
      </c>
      <c r="O40" s="21">
        <f>IFERROR(O8/O5,"")</f>
        <v/>
      </c>
      <c r="P40" s="22">
        <f>IFERROR(P8/P5,"")</f>
        <v/>
      </c>
      <c r="Q40" s="21">
        <f>IFERROR(Q8/Q5,"")</f>
        <v/>
      </c>
      <c r="R40" s="23">
        <f>IFERROR(R8/R5,"")</f>
        <v/>
      </c>
      <c r="S40" s="32">
        <f>IFERROR(S8/S5,"")</f>
        <v/>
      </c>
      <c r="T40" s="32">
        <f>IFERROR(T8/T5,"")</f>
        <v/>
      </c>
      <c r="U40" s="25">
        <f>IFERROR(U8/U5,"")</f>
        <v/>
      </c>
      <c r="V40" s="32">
        <f>IFERROR(V8/V5,"")</f>
        <v/>
      </c>
      <c r="W40" s="32">
        <f>IFERROR(W8/W5,"")</f>
        <v/>
      </c>
      <c r="X40" s="32">
        <f>IFERROR(X8/X5,"")</f>
        <v/>
      </c>
      <c r="Y40" s="32">
        <f>IFERROR(Y8/Y5,"")</f>
        <v/>
      </c>
      <c r="Z40" s="25">
        <f>IFERROR(Z8/Z5,"")</f>
        <v/>
      </c>
      <c r="AA40" s="32">
        <f>IFERROR(AA8/AA5,"")</f>
        <v/>
      </c>
      <c r="AB40" s="32">
        <f>IFERROR(AB8/AB5,"")</f>
        <v/>
      </c>
      <c r="AC40" s="32">
        <f>IFERROR(AC8/AC5,"")</f>
        <v/>
      </c>
      <c r="AD40" s="32">
        <f>IFERROR(AD8/AD5,"")</f>
        <v/>
      </c>
      <c r="AE40" s="25">
        <f>IFERROR(AE8/AE5,"")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C1" s="2" t="inlineStr">
        <is>
          <t>이름: 분기H — subQ 를 이름으로 VLOOKUP(억원)</t>
        </is>
      </c>
      <c r="E1" s="3" t="inlineStr">
        <is>
          <t>4Q23</t>
        </is>
      </c>
      <c r="F1" s="3" t="inlineStr">
        <is>
          <t>1Q24</t>
        </is>
      </c>
      <c r="G1" s="3" t="inlineStr">
        <is>
          <t>2Q24</t>
        </is>
      </c>
      <c r="H1" s="3" t="inlineStr">
        <is>
          <t>3Q24</t>
        </is>
      </c>
      <c r="I1" s="3" t="inlineStr">
        <is>
          <t>4Q24</t>
        </is>
      </c>
      <c r="J1" s="3" t="inlineStr">
        <is>
          <t>1Q25</t>
        </is>
      </c>
      <c r="K1" s="3" t="inlineStr">
        <is>
          <t>2Q25</t>
        </is>
      </c>
      <c r="L1" s="3" t="inlineStr">
        <is>
          <t>3Q25</t>
        </is>
      </c>
      <c r="M1" s="3" t="inlineStr">
        <is>
          <t>4Q25</t>
        </is>
      </c>
      <c r="N1" s="3" t="inlineStr">
        <is>
          <t>1Q26</t>
        </is>
      </c>
      <c r="O1" s="41" t="inlineStr">
        <is>
          <t>2Q26</t>
        </is>
      </c>
      <c r="P1" s="3" t="inlineStr">
        <is>
          <t>3Q26</t>
        </is>
      </c>
      <c r="Q1" s="3" t="inlineStr">
        <is>
          <t>4Q26</t>
        </is>
      </c>
      <c r="R1" s="3" t="inlineStr">
        <is>
          <t>1Q27</t>
        </is>
      </c>
      <c r="S1" s="3" t="inlineStr">
        <is>
          <t>2Q27</t>
        </is>
      </c>
      <c r="T1" s="3" t="inlineStr">
        <is>
          <t>3Q27</t>
        </is>
      </c>
      <c r="U1" s="3" t="inlineStr">
        <is>
          <t>4Q27</t>
        </is>
      </c>
      <c r="V1" s="3" t="inlineStr">
        <is>
          <t>1Q28</t>
        </is>
      </c>
      <c r="W1" s="3" t="inlineStr">
        <is>
          <t>2Q28</t>
        </is>
      </c>
      <c r="X1" s="3" t="inlineStr">
        <is>
          <t>3Q28</t>
        </is>
      </c>
      <c r="Y1" s="3" t="inlineStr">
        <is>
          <t>4Q28</t>
        </is>
      </c>
    </row>
    <row r="2">
      <c r="C2" t="inlineStr">
        <is>
          <t>종가:</t>
        </is>
      </c>
      <c r="D2" s="18">
        <f>변수!D41</f>
        <v/>
      </c>
      <c r="O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43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</row>
    <row r="4">
      <c r="E4" s="7" t="inlineStr">
        <is>
          <t>2023.12</t>
        </is>
      </c>
      <c r="F4" s="7" t="inlineStr">
        <is>
          <t>2024.03</t>
        </is>
      </c>
      <c r="G4" s="7" t="inlineStr">
        <is>
          <t>2024.06</t>
        </is>
      </c>
      <c r="H4" s="7" t="inlineStr">
        <is>
          <t>2024.09</t>
        </is>
      </c>
      <c r="I4" s="7" t="inlineStr">
        <is>
          <t>2024.12</t>
        </is>
      </c>
      <c r="J4" s="7" t="inlineStr">
        <is>
          <t>2025.03</t>
        </is>
      </c>
      <c r="K4" s="7" t="inlineStr">
        <is>
          <t>2025.06</t>
        </is>
      </c>
      <c r="L4" s="7" t="inlineStr">
        <is>
          <t>2025.09</t>
        </is>
      </c>
      <c r="M4" s="7" t="inlineStr">
        <is>
          <t>2025.12</t>
        </is>
      </c>
      <c r="N4" s="7" t="inlineStr">
        <is>
          <t>2026.03</t>
        </is>
      </c>
      <c r="O4" s="44" t="inlineStr">
        <is>
          <t>2026.06</t>
        </is>
      </c>
      <c r="P4" s="7" t="inlineStr">
        <is>
          <t>2026.09</t>
        </is>
      </c>
      <c r="Q4" s="7" t="inlineStr">
        <is>
          <t>2026.12</t>
        </is>
      </c>
      <c r="R4" s="7" t="inlineStr">
        <is>
          <t>2027.03</t>
        </is>
      </c>
      <c r="S4" s="7" t="inlineStr">
        <is>
          <t>2027.06</t>
        </is>
      </c>
      <c r="T4" s="7" t="inlineStr">
        <is>
          <t>2027.09</t>
        </is>
      </c>
      <c r="U4" s="7" t="inlineStr">
        <is>
          <t>2027.12</t>
        </is>
      </c>
      <c r="V4" s="7" t="inlineStr">
        <is>
          <t>2028.03</t>
        </is>
      </c>
      <c r="W4" s="7" t="inlineStr">
        <is>
          <t>2028.06</t>
        </is>
      </c>
      <c r="X4" s="7" t="inlineStr">
        <is>
          <t>2028.09</t>
        </is>
      </c>
      <c r="Y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45">
        <f>IFERROR(VLOOKUP($A5,subQ,MATCH(O$1,SUBQH,0),0),"")</f>
        <v/>
      </c>
      <c r="P5" s="20">
        <f>IFERROR(VLOOKUP($A5,subQ,MATCH(P$1,SUBQH,0),0),"")</f>
        <v/>
      </c>
      <c r="Q5" s="20">
        <f>IFERROR(VLOOKUP($A5,subQ,MATCH(Q$1,SUBQH,0),0),"")</f>
        <v/>
      </c>
      <c r="R5" s="20">
        <f>IFERROR(VLOOKUP($A5,subQ,MATCH(R$1,SUBQH,0),0),"")</f>
        <v/>
      </c>
      <c r="S5" s="20">
        <f>IFERROR(VLOOKUP($A5,subQ,MATCH(S$1,SUBQH,0),0),"")</f>
        <v/>
      </c>
      <c r="T5" s="20">
        <f>IFERROR(VLOOKUP($A5,subQ,MATCH(T$1,SUBQH,0),0),"")</f>
        <v/>
      </c>
      <c r="U5" s="20">
        <f>IFERROR(VLOOKUP($A5,subQ,MATCH(U$1,SUBQH,0),0),"")</f>
        <v/>
      </c>
      <c r="V5" s="20">
        <f>IFERROR(VLOOKUP($A5,subQ,MATCH(V$1,SUBQH,0),0),"")</f>
        <v/>
      </c>
      <c r="W5" s="20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45">
        <f>IFERROR(VLOOKUP($A6,subQ,MATCH(O$1,SUBQH,0),0),"")</f>
        <v/>
      </c>
      <c r="P6" s="20">
        <f>IFERROR(VLOOKUP($A6,subQ,MATCH(P$1,SUBQH,0),0),"")</f>
        <v/>
      </c>
      <c r="Q6" s="20">
        <f>IFERROR(VLOOKUP($A6,subQ,MATCH(Q$1,SUBQH,0),0),"")</f>
        <v/>
      </c>
      <c r="R6" s="20">
        <f>IFERROR(VLOOKUP($A6,subQ,MATCH(R$1,SUBQH,0),0),"")</f>
        <v/>
      </c>
      <c r="S6" s="20">
        <f>IFERROR(VLOOKUP($A6,subQ,MATCH(S$1,SUBQH,0),0),"")</f>
        <v/>
      </c>
      <c r="T6" s="20">
        <f>IFERROR(VLOOKUP($A6,subQ,MATCH(T$1,SUBQH,0),0),"")</f>
        <v/>
      </c>
      <c r="U6" s="20">
        <f>IFERROR(VLOOKUP($A6,subQ,MATCH(U$1,SUBQH,0),0),"")</f>
        <v/>
      </c>
      <c r="V6" s="20">
        <f>IFERROR(VLOOKUP($A6,subQ,MATCH(V$1,SUBQH,0),0),"")</f>
        <v/>
      </c>
      <c r="W6" s="20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45">
        <f>IFERROR(VLOOKUP($A7,subQ,MATCH(O$1,SUBQH,0),0),"")</f>
        <v/>
      </c>
      <c r="P7" s="20">
        <f>IFERROR(VLOOKUP($A7,subQ,MATCH(P$1,SUBQH,0),0),"")</f>
        <v/>
      </c>
      <c r="Q7" s="20">
        <f>IFERROR(VLOOKUP($A7,subQ,MATCH(Q$1,SUBQH,0),0),"")</f>
        <v/>
      </c>
      <c r="R7" s="20">
        <f>IFERROR(VLOOKUP($A7,subQ,MATCH(R$1,SUBQH,0),0),"")</f>
        <v/>
      </c>
      <c r="S7" s="20">
        <f>IFERROR(VLOOKUP($A7,subQ,MATCH(S$1,SUBQH,0),0),"")</f>
        <v/>
      </c>
      <c r="T7" s="20">
        <f>IFERROR(VLOOKUP($A7,subQ,MATCH(T$1,SUBQH,0),0),"")</f>
        <v/>
      </c>
      <c r="U7" s="20">
        <f>IFERROR(VLOOKUP($A7,subQ,MATCH(U$1,SUBQH,0),0),"")</f>
        <v/>
      </c>
      <c r="V7" s="20">
        <f>IFERROR(VLOOKUP($A7,subQ,MATCH(V$1,SUBQH,0),0),"")</f>
        <v/>
      </c>
      <c r="W7" s="20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45">
        <f>IFERROR(VLOOKUP($A8,subQ,MATCH(O$1,SUBQH,0),0),"")</f>
        <v/>
      </c>
      <c r="P8" s="20">
        <f>IFERROR(VLOOKUP($A8,subQ,MATCH(P$1,SUBQH,0),0),"")</f>
        <v/>
      </c>
      <c r="Q8" s="20">
        <f>IFERROR(VLOOKUP($A8,subQ,MATCH(Q$1,SUBQH,0),0),"")</f>
        <v/>
      </c>
      <c r="R8" s="20">
        <f>IFERROR(VLOOKUP($A8,subQ,MATCH(R$1,SUBQH,0),0),"")</f>
        <v/>
      </c>
      <c r="S8" s="20">
        <f>IFERROR(VLOOKUP($A8,subQ,MATCH(S$1,SUBQH,0),0),"")</f>
        <v/>
      </c>
      <c r="T8" s="20">
        <f>IFERROR(VLOOKUP($A8,subQ,MATCH(T$1,SUBQH,0),0),"")</f>
        <v/>
      </c>
      <c r="U8" s="20">
        <f>IFERROR(VLOOKUP($A8,subQ,MATCH(U$1,SUBQH,0),0),"")</f>
        <v/>
      </c>
      <c r="V8" s="20">
        <f>IFERROR(VLOOKUP($A8,subQ,MATCH(V$1,SUBQH,0),0),"")</f>
        <v/>
      </c>
      <c r="W8" s="20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45">
        <f>IFERROR(VLOOKUP($A9,subQ,MATCH(O$1,SUBQH,0),0),"")</f>
        <v/>
      </c>
      <c r="P9" s="20">
        <f>IFERROR(VLOOKUP($A9,subQ,MATCH(P$1,SUBQH,0),0),"")</f>
        <v/>
      </c>
      <c r="Q9" s="20">
        <f>IFERROR(VLOOKUP($A9,subQ,MATCH(Q$1,SUBQH,0),0),"")</f>
        <v/>
      </c>
      <c r="R9" s="20">
        <f>IFERROR(VLOOKUP($A9,subQ,MATCH(R$1,SUBQH,0),0),"")</f>
        <v/>
      </c>
      <c r="S9" s="20">
        <f>IFERROR(VLOOKUP($A9,subQ,MATCH(S$1,SUBQH,0),0),"")</f>
        <v/>
      </c>
      <c r="T9" s="20">
        <f>IFERROR(VLOOKUP($A9,subQ,MATCH(T$1,SUBQH,0),0),"")</f>
        <v/>
      </c>
      <c r="U9" s="20">
        <f>IFERROR(VLOOKUP($A9,subQ,MATCH(U$1,SUBQH,0),0),"")</f>
        <v/>
      </c>
      <c r="V9" s="20">
        <f>IFERROR(VLOOKUP($A9,subQ,MATCH(V$1,SUBQH,0),0),"")</f>
        <v/>
      </c>
      <c r="W9" s="20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46">
        <f>IFERROR(VLOOKUP($A10,subQ,MATCH(O$1,SUBQH,0),0),"")</f>
        <v/>
      </c>
      <c r="P10" s="32">
        <f>IFERROR(VLOOKUP($A10,subQ,MATCH(P$1,SUBQH,0),0),"")</f>
        <v/>
      </c>
      <c r="Q10" s="32">
        <f>IFERROR(VLOOKUP($A10,subQ,MATCH(Q$1,SUBQH,0),0),"")</f>
        <v/>
      </c>
      <c r="R10" s="32">
        <f>IFERROR(VLOOKUP($A10,subQ,MATCH(R$1,SUBQH,0),0),"")</f>
        <v/>
      </c>
      <c r="S10" s="32">
        <f>IFERROR(VLOOKUP($A10,subQ,MATCH(S$1,SUBQH,0),0),"")</f>
        <v/>
      </c>
      <c r="T10" s="32">
        <f>IFERROR(VLOOKUP($A10,subQ,MATCH(T$1,SUBQH,0),0),"")</f>
        <v/>
      </c>
      <c r="U10" s="32">
        <f>IFERROR(VLOOKUP($A10,subQ,MATCH(U$1,SUBQH,0),0),"")</f>
        <v/>
      </c>
      <c r="V10" s="32">
        <f>IFERROR(VLOOKUP($A10,subQ,MATCH(V$1,SUBQH,0),0),"")</f>
        <v/>
      </c>
      <c r="W10" s="32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45">
        <f>IFERROR(VLOOKUP($A11,subQ,MATCH(O$1,SUBQH,0),0),"")</f>
        <v/>
      </c>
      <c r="P11" s="20">
        <f>IFERROR(VLOOKUP($A11,subQ,MATCH(P$1,SUBQH,0),0),"")</f>
        <v/>
      </c>
      <c r="Q11" s="20">
        <f>IFERROR(VLOOKUP($A11,subQ,MATCH(Q$1,SUBQH,0),0),"")</f>
        <v/>
      </c>
      <c r="R11" s="20">
        <f>IFERROR(VLOOKUP($A11,subQ,MATCH(R$1,SUBQH,0),0),"")</f>
        <v/>
      </c>
      <c r="S11" s="20">
        <f>IFERROR(VLOOKUP($A11,subQ,MATCH(S$1,SUBQH,0),0),"")</f>
        <v/>
      </c>
      <c r="T11" s="20">
        <f>IFERROR(VLOOKUP($A11,subQ,MATCH(T$1,SUBQH,0),0),"")</f>
        <v/>
      </c>
      <c r="U11" s="20">
        <f>IFERROR(VLOOKUP($A11,subQ,MATCH(U$1,SUBQH,0),0),"")</f>
        <v/>
      </c>
      <c r="V11" s="20">
        <f>IFERROR(VLOOKUP($A11,subQ,MATCH(V$1,SUBQH,0),0),"")</f>
        <v/>
      </c>
      <c r="W11" s="20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45">
        <f>IFERROR(VLOOKUP($A12,subQ,MATCH(O$1,SUBQH,0),0),"")</f>
        <v/>
      </c>
      <c r="P12" s="20">
        <f>IFERROR(VLOOKUP($A12,subQ,MATCH(P$1,SUBQH,0),0),"")</f>
        <v/>
      </c>
      <c r="Q12" s="20">
        <f>IFERROR(VLOOKUP($A12,subQ,MATCH(Q$1,SUBQH,0),0),"")</f>
        <v/>
      </c>
      <c r="R12" s="20">
        <f>IFERROR(VLOOKUP($A12,subQ,MATCH(R$1,SUBQH,0),0),"")</f>
        <v/>
      </c>
      <c r="S12" s="20">
        <f>IFERROR(VLOOKUP($A12,subQ,MATCH(S$1,SUBQH,0),0),"")</f>
        <v/>
      </c>
      <c r="T12" s="20">
        <f>IFERROR(VLOOKUP($A12,subQ,MATCH(T$1,SUBQH,0),0),"")</f>
        <v/>
      </c>
      <c r="U12" s="20">
        <f>IFERROR(VLOOKUP($A12,subQ,MATCH(U$1,SUBQH,0),0),"")</f>
        <v/>
      </c>
      <c r="V12" s="20">
        <f>IFERROR(VLOOKUP($A12,subQ,MATCH(V$1,SUBQH,0),0),"")</f>
        <v/>
      </c>
      <c r="W12" s="20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45">
        <f>IFERROR(VLOOKUP($A13,subQ,MATCH(O$1,SUBQH,0),0),"")</f>
        <v/>
      </c>
      <c r="P13" s="20">
        <f>IFERROR(VLOOKUP($A13,subQ,MATCH(P$1,SUBQH,0),0),"")</f>
        <v/>
      </c>
      <c r="Q13" s="20">
        <f>IFERROR(VLOOKUP($A13,subQ,MATCH(Q$1,SUBQH,0),0),"")</f>
        <v/>
      </c>
      <c r="R13" s="20">
        <f>IFERROR(VLOOKUP($A13,subQ,MATCH(R$1,SUBQH,0),0),"")</f>
        <v/>
      </c>
      <c r="S13" s="20">
        <f>IFERROR(VLOOKUP($A13,subQ,MATCH(S$1,SUBQH,0),0),"")</f>
        <v/>
      </c>
      <c r="T13" s="20">
        <f>IFERROR(VLOOKUP($A13,subQ,MATCH(T$1,SUBQH,0),0),"")</f>
        <v/>
      </c>
      <c r="U13" s="20">
        <f>IFERROR(VLOOKUP($A13,subQ,MATCH(U$1,SUBQH,0),0),"")</f>
        <v/>
      </c>
      <c r="V13" s="20">
        <f>IFERROR(VLOOKUP($A13,subQ,MATCH(V$1,SUBQH,0),0),"")</f>
        <v/>
      </c>
      <c r="W13" s="20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45">
        <f>IFERROR(VLOOKUP($A14,subQ,MATCH(O$1,SUBQH,0),0),"")</f>
        <v/>
      </c>
      <c r="P14" s="20">
        <f>IFERROR(VLOOKUP($A14,subQ,MATCH(P$1,SUBQH,0),0),"")</f>
        <v/>
      </c>
      <c r="Q14" s="20">
        <f>IFERROR(VLOOKUP($A14,subQ,MATCH(Q$1,SUBQH,0),0),"")</f>
        <v/>
      </c>
      <c r="R14" s="20">
        <f>IFERROR(VLOOKUP($A14,subQ,MATCH(R$1,SUBQH,0),0),"")</f>
        <v/>
      </c>
      <c r="S14" s="20">
        <f>IFERROR(VLOOKUP($A14,subQ,MATCH(S$1,SUBQH,0),0),"")</f>
        <v/>
      </c>
      <c r="T14" s="20">
        <f>IFERROR(VLOOKUP($A14,subQ,MATCH(T$1,SUBQH,0),0),"")</f>
        <v/>
      </c>
      <c r="U14" s="20">
        <f>IFERROR(VLOOKUP($A14,subQ,MATCH(U$1,SUBQH,0),0),"")</f>
        <v/>
      </c>
      <c r="V14" s="20">
        <f>IFERROR(VLOOKUP($A14,subQ,MATCH(V$1,SUBQH,0),0),"")</f>
        <v/>
      </c>
      <c r="W14" s="20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45">
        <f>IFERROR(VLOOKUP($A15,subQ,MATCH(O$1,SUBQH,0),0),"")</f>
        <v/>
      </c>
      <c r="P15" s="20">
        <f>IFERROR(VLOOKUP($A15,subQ,MATCH(P$1,SUBQH,0),0),"")</f>
        <v/>
      </c>
      <c r="Q15" s="20">
        <f>IFERROR(VLOOKUP($A15,subQ,MATCH(Q$1,SUBQH,0),0),"")</f>
        <v/>
      </c>
      <c r="R15" s="20">
        <f>IFERROR(VLOOKUP($A15,subQ,MATCH(R$1,SUBQH,0),0),"")</f>
        <v/>
      </c>
      <c r="S15" s="20">
        <f>IFERROR(VLOOKUP($A15,subQ,MATCH(S$1,SUBQH,0),0),"")</f>
        <v/>
      </c>
      <c r="T15" s="20">
        <f>IFERROR(VLOOKUP($A15,subQ,MATCH(T$1,SUBQH,0),0),"")</f>
        <v/>
      </c>
      <c r="U15" s="20">
        <f>IFERROR(VLOOKUP($A15,subQ,MATCH(U$1,SUBQH,0),0),"")</f>
        <v/>
      </c>
      <c r="V15" s="20">
        <f>IFERROR(VLOOKUP($A15,subQ,MATCH(V$1,SUBQH,0),0),"")</f>
        <v/>
      </c>
      <c r="W15" s="20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45">
        <f>IFERROR(VLOOKUP($A16,subQ,MATCH(O$1,SUBQH,0),0),"")</f>
        <v/>
      </c>
      <c r="P16" s="20">
        <f>IFERROR(VLOOKUP($A16,subQ,MATCH(P$1,SUBQH,0),0),"")</f>
        <v/>
      </c>
      <c r="Q16" s="20">
        <f>IFERROR(VLOOKUP($A16,subQ,MATCH(Q$1,SUBQH,0),0),"")</f>
        <v/>
      </c>
      <c r="R16" s="20">
        <f>IFERROR(VLOOKUP($A16,subQ,MATCH(R$1,SUBQH,0),0),"")</f>
        <v/>
      </c>
      <c r="S16" s="20">
        <f>IFERROR(VLOOKUP($A16,subQ,MATCH(S$1,SUBQH,0),0),"")</f>
        <v/>
      </c>
      <c r="T16" s="20">
        <f>IFERROR(VLOOKUP($A16,subQ,MATCH(T$1,SUBQH,0),0),"")</f>
        <v/>
      </c>
      <c r="U16" s="20">
        <f>IFERROR(VLOOKUP($A16,subQ,MATCH(U$1,SUBQH,0),0),"")</f>
        <v/>
      </c>
      <c r="V16" s="20">
        <f>IFERROR(VLOOKUP($A16,subQ,MATCH(V$1,SUBQH,0),0),"")</f>
        <v/>
      </c>
      <c r="W16" s="20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45">
        <f>IFERROR(VLOOKUP($A17,subQ,MATCH(O$1,SUBQH,0),0),"")</f>
        <v/>
      </c>
      <c r="P17" s="20">
        <f>IFERROR(VLOOKUP($A17,subQ,MATCH(P$1,SUBQH,0),0),"")</f>
        <v/>
      </c>
      <c r="Q17" s="20">
        <f>IFERROR(VLOOKUP($A17,subQ,MATCH(Q$1,SUBQH,0),0),"")</f>
        <v/>
      </c>
      <c r="R17" s="20">
        <f>IFERROR(VLOOKUP($A17,subQ,MATCH(R$1,SUBQH,0),0),"")</f>
        <v/>
      </c>
      <c r="S17" s="20">
        <f>IFERROR(VLOOKUP($A17,subQ,MATCH(S$1,SUBQH,0),0),"")</f>
        <v/>
      </c>
      <c r="T17" s="20">
        <f>IFERROR(VLOOKUP($A17,subQ,MATCH(T$1,SUBQH,0),0),"")</f>
        <v/>
      </c>
      <c r="U17" s="20">
        <f>IFERROR(VLOOKUP($A17,subQ,MATCH(U$1,SUBQH,0),0),"")</f>
        <v/>
      </c>
      <c r="V17" s="20">
        <f>IFERROR(VLOOKUP($A17,subQ,MATCH(V$1,SUBQH,0),0),"")</f>
        <v/>
      </c>
      <c r="W17" s="20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45">
        <f>IFERROR(VLOOKUP($A18,subQ,MATCH(O$1,SUBQH,0),0),"")</f>
        <v/>
      </c>
      <c r="P18" s="20">
        <f>IFERROR(VLOOKUP($A18,subQ,MATCH(P$1,SUBQH,0),0),"")</f>
        <v/>
      </c>
      <c r="Q18" s="20">
        <f>IFERROR(VLOOKUP($A18,subQ,MATCH(Q$1,SUBQH,0),0),"")</f>
        <v/>
      </c>
      <c r="R18" s="20">
        <f>IFERROR(VLOOKUP($A18,subQ,MATCH(R$1,SUBQH,0),0),"")</f>
        <v/>
      </c>
      <c r="S18" s="20">
        <f>IFERROR(VLOOKUP($A18,subQ,MATCH(S$1,SUBQH,0),0),"")</f>
        <v/>
      </c>
      <c r="T18" s="20">
        <f>IFERROR(VLOOKUP($A18,subQ,MATCH(T$1,SUBQH,0),0),"")</f>
        <v/>
      </c>
      <c r="U18" s="20">
        <f>IFERROR(VLOOKUP($A18,subQ,MATCH(U$1,SUBQH,0),0),"")</f>
        <v/>
      </c>
      <c r="V18" s="20">
        <f>IFERROR(VLOOKUP($A18,subQ,MATCH(V$1,SUBQH,0),0),"")</f>
        <v/>
      </c>
      <c r="W18" s="20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</row>
    <row r="19">
      <c r="A19" s="12" t="inlineStr">
        <is>
          <t>자산총계</t>
        </is>
      </c>
      <c r="D19" t="inlineStr">
        <is>
          <t>자산총계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45">
        <f>IFERROR(VLOOKUP($A19,subQ,MATCH(O$1,SUBQH,0),0),"")</f>
        <v/>
      </c>
      <c r="P19" s="20">
        <f>IFERROR(VLOOKUP($A19,subQ,MATCH(P$1,SUBQH,0),0),"")</f>
        <v/>
      </c>
      <c r="Q19" s="20">
        <f>IFERROR(VLOOKUP($A19,subQ,MATCH(Q$1,SUBQH,0),0),"")</f>
        <v/>
      </c>
      <c r="R19" s="20">
        <f>IFERROR(VLOOKUP($A19,subQ,MATCH(R$1,SUBQH,0),0),"")</f>
        <v/>
      </c>
      <c r="S19" s="20">
        <f>IFERROR(VLOOKUP($A19,subQ,MATCH(S$1,SUBQH,0),0),"")</f>
        <v/>
      </c>
      <c r="T19" s="20">
        <f>IFERROR(VLOOKUP($A19,subQ,MATCH(T$1,SUBQH,0),0),"")</f>
        <v/>
      </c>
      <c r="U19" s="20">
        <f>IFERROR(VLOOKUP($A19,subQ,MATCH(U$1,SUBQH,0),0),"")</f>
        <v/>
      </c>
      <c r="V19" s="20">
        <f>IFERROR(VLOOKUP($A19,subQ,MATCH(V$1,SUBQH,0),0),"")</f>
        <v/>
      </c>
      <c r="W19" s="20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</row>
    <row r="20">
      <c r="A20" s="12" t="inlineStr">
        <is>
          <t>부채총계</t>
        </is>
      </c>
      <c r="D20" t="inlineStr">
        <is>
          <t>부채총계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45">
        <f>IFERROR(VLOOKUP($A20,subQ,MATCH(O$1,SUBQH,0),0),"")</f>
        <v/>
      </c>
      <c r="P20" s="20">
        <f>IFERROR(VLOOKUP($A20,subQ,MATCH(P$1,SUBQH,0),0),"")</f>
        <v/>
      </c>
      <c r="Q20" s="20">
        <f>IFERROR(VLOOKUP($A20,subQ,MATCH(Q$1,SUBQH,0),0),"")</f>
        <v/>
      </c>
      <c r="R20" s="20">
        <f>IFERROR(VLOOKUP($A20,subQ,MATCH(R$1,SUBQH,0),0),"")</f>
        <v/>
      </c>
      <c r="S20" s="20">
        <f>IFERROR(VLOOKUP($A20,subQ,MATCH(S$1,SUBQH,0),0),"")</f>
        <v/>
      </c>
      <c r="T20" s="20">
        <f>IFERROR(VLOOKUP($A20,subQ,MATCH(T$1,SUBQH,0),0),"")</f>
        <v/>
      </c>
      <c r="U20" s="20">
        <f>IFERROR(VLOOKUP($A20,subQ,MATCH(U$1,SUBQH,0),0),"")</f>
        <v/>
      </c>
      <c r="V20" s="20">
        <f>IFERROR(VLOOKUP($A20,subQ,MATCH(V$1,SUBQH,0),0),"")</f>
        <v/>
      </c>
      <c r="W20" s="20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</row>
    <row r="21">
      <c r="A21" s="12" t="inlineStr">
        <is>
          <t>자본총계</t>
        </is>
      </c>
      <c r="D21" t="inlineStr">
        <is>
          <t>자본총계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45">
        <f>IFERROR(VLOOKUP($A21,subQ,MATCH(O$1,SUBQH,0),0),"")</f>
        <v/>
      </c>
      <c r="P21" s="20">
        <f>IFERROR(VLOOKUP($A21,subQ,MATCH(P$1,SUBQH,0),0),"")</f>
        <v/>
      </c>
      <c r="Q21" s="20">
        <f>IFERROR(VLOOKUP($A21,subQ,MATCH(Q$1,SUBQH,0),0),"")</f>
        <v/>
      </c>
      <c r="R21" s="20">
        <f>IFERROR(VLOOKUP($A21,subQ,MATCH(R$1,SUBQH,0),0),"")</f>
        <v/>
      </c>
      <c r="S21" s="20">
        <f>IFERROR(VLOOKUP($A21,subQ,MATCH(S$1,SUBQH,0),0),"")</f>
        <v/>
      </c>
      <c r="T21" s="20">
        <f>IFERROR(VLOOKUP($A21,subQ,MATCH(T$1,SUBQH,0),0),"")</f>
        <v/>
      </c>
      <c r="U21" s="20">
        <f>IFERROR(VLOOKUP($A21,subQ,MATCH(U$1,SUBQH,0),0),"")</f>
        <v/>
      </c>
      <c r="V21" s="20">
        <f>IFERROR(VLOOKUP($A21,subQ,MATCH(V$1,SUBQH,0),0),"")</f>
        <v/>
      </c>
      <c r="W21" s="20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</row>
    <row r="22">
      <c r="A22" s="12" t="inlineStr">
        <is>
          <t>지배주주지분</t>
        </is>
      </c>
      <c r="D22" t="inlineStr">
        <is>
          <t>지배주주지분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45">
        <f>IFERROR(VLOOKUP($A22,subQ,MATCH(O$1,SUBQH,0),0),"")</f>
        <v/>
      </c>
      <c r="P22" s="20">
        <f>IFERROR(VLOOKUP($A22,subQ,MATCH(P$1,SUBQH,0),0),"")</f>
        <v/>
      </c>
      <c r="Q22" s="20">
        <f>IFERROR(VLOOKUP($A22,subQ,MATCH(Q$1,SUBQH,0),0),"")</f>
        <v/>
      </c>
      <c r="R22" s="20">
        <f>IFERROR(VLOOKUP($A22,subQ,MATCH(R$1,SUBQH,0),0),"")</f>
        <v/>
      </c>
      <c r="S22" s="20">
        <f>IFERROR(VLOOKUP($A22,subQ,MATCH(S$1,SUBQH,0),0),"")</f>
        <v/>
      </c>
      <c r="T22" s="20">
        <f>IFERROR(VLOOKUP($A22,subQ,MATCH(T$1,SUBQH,0),0),"")</f>
        <v/>
      </c>
      <c r="U22" s="20">
        <f>IFERROR(VLOOKUP($A22,subQ,MATCH(U$1,SUBQH,0),0),"")</f>
        <v/>
      </c>
      <c r="V22" s="20">
        <f>IFERROR(VLOOKUP($A22,subQ,MATCH(V$1,SUBQH,0),0),"")</f>
        <v/>
      </c>
      <c r="W22" s="20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</row>
    <row r="23">
      <c r="A23" s="12" t="inlineStr">
        <is>
          <t>총차입금</t>
        </is>
      </c>
      <c r="D23" t="inlineStr">
        <is>
          <t>총차입금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45">
        <f>IFERROR(VLOOKUP($A23,subQ,MATCH(O$1,SUBQH,0),0),"")</f>
        <v/>
      </c>
      <c r="P23" s="20">
        <f>IFERROR(VLOOKUP($A23,subQ,MATCH(P$1,SUBQH,0),0),"")</f>
        <v/>
      </c>
      <c r="Q23" s="20">
        <f>IFERROR(VLOOKUP($A23,subQ,MATCH(Q$1,SUBQH,0),0),"")</f>
        <v/>
      </c>
      <c r="R23" s="20">
        <f>IFERROR(VLOOKUP($A23,subQ,MATCH(R$1,SUBQH,0),0),"")</f>
        <v/>
      </c>
      <c r="S23" s="20">
        <f>IFERROR(VLOOKUP($A23,subQ,MATCH(S$1,SUBQH,0),0),"")</f>
        <v/>
      </c>
      <c r="T23" s="20">
        <f>IFERROR(VLOOKUP($A23,subQ,MATCH(T$1,SUBQH,0),0),"")</f>
        <v/>
      </c>
      <c r="U23" s="20">
        <f>IFERROR(VLOOKUP($A23,subQ,MATCH(U$1,SUBQH,0),0),"")</f>
        <v/>
      </c>
      <c r="V23" s="20">
        <f>IFERROR(VLOOKUP($A23,subQ,MATCH(V$1,SUBQH,0),0),"")</f>
        <v/>
      </c>
      <c r="W23" s="20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</row>
    <row r="24">
      <c r="A24" s="12" t="inlineStr">
        <is>
          <t>순차입금</t>
        </is>
      </c>
      <c r="D24" t="inlineStr">
        <is>
          <t>순차입금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45">
        <f>IFERROR(VLOOKUP($A24,subQ,MATCH(O$1,SUBQH,0),0),"")</f>
        <v/>
      </c>
      <c r="P24" s="20">
        <f>IFERROR(VLOOKUP($A24,subQ,MATCH(P$1,SUBQH,0),0),"")</f>
        <v/>
      </c>
      <c r="Q24" s="20">
        <f>IFERROR(VLOOKUP($A24,subQ,MATCH(Q$1,SUBQH,0),0),"")</f>
        <v/>
      </c>
      <c r="R24" s="20">
        <f>IFERROR(VLOOKUP($A24,subQ,MATCH(R$1,SUBQH,0),0),"")</f>
        <v/>
      </c>
      <c r="S24" s="20">
        <f>IFERROR(VLOOKUP($A24,subQ,MATCH(S$1,SUBQH,0),0),"")</f>
        <v/>
      </c>
      <c r="T24" s="20">
        <f>IFERROR(VLOOKUP($A24,subQ,MATCH(T$1,SUBQH,0),0),"")</f>
        <v/>
      </c>
      <c r="U24" s="20">
        <f>IFERROR(VLOOKUP($A24,subQ,MATCH(U$1,SUBQH,0),0),"")</f>
        <v/>
      </c>
      <c r="V24" s="20">
        <f>IFERROR(VLOOKUP($A24,subQ,MATCH(V$1,SUBQH,0),0),"")</f>
        <v/>
      </c>
      <c r="W24" s="20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</row>
    <row r="25">
      <c r="A25" s="12" t="inlineStr">
        <is>
          <t>이자발생자산</t>
        </is>
      </c>
      <c r="D25" t="inlineStr">
        <is>
          <t>이자발생자산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45">
        <f>IFERROR(VLOOKUP($A25,subQ,MATCH(O$1,SUBQH,0),0),"")</f>
        <v/>
      </c>
      <c r="P25" s="20">
        <f>IFERROR(VLOOKUP($A25,subQ,MATCH(P$1,SUBQH,0),0),"")</f>
        <v/>
      </c>
      <c r="Q25" s="20">
        <f>IFERROR(VLOOKUP($A25,subQ,MATCH(Q$1,SUBQH,0),0),"")</f>
        <v/>
      </c>
      <c r="R25" s="20">
        <f>IFERROR(VLOOKUP($A25,subQ,MATCH(R$1,SUBQH,0),0),"")</f>
        <v/>
      </c>
      <c r="S25" s="20">
        <f>IFERROR(VLOOKUP($A25,subQ,MATCH(S$1,SUBQH,0),0),"")</f>
        <v/>
      </c>
      <c r="T25" s="20">
        <f>IFERROR(VLOOKUP($A25,subQ,MATCH(T$1,SUBQH,0),0),"")</f>
        <v/>
      </c>
      <c r="U25" s="20">
        <f>IFERROR(VLOOKUP($A25,subQ,MATCH(U$1,SUBQH,0),0),"")</f>
        <v/>
      </c>
      <c r="V25" s="20">
        <f>IFERROR(VLOOKUP($A25,subQ,MATCH(V$1,SUBQH,0),0),"")</f>
        <v/>
      </c>
      <c r="W25" s="20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</row>
    <row r="26">
      <c r="A26" s="12" t="inlineStr">
        <is>
          <t>현금및현금성자산</t>
        </is>
      </c>
      <c r="D26" t="inlineStr">
        <is>
          <t>현금및현금성자산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45">
        <f>IFERROR(VLOOKUP($A26,subQ,MATCH(O$1,SUBQH,0),0),"")</f>
        <v/>
      </c>
      <c r="P26" s="20">
        <f>IFERROR(VLOOKUP($A26,subQ,MATCH(P$1,SUBQH,0),0),"")</f>
        <v/>
      </c>
      <c r="Q26" s="20">
        <f>IFERROR(VLOOKUP($A26,subQ,MATCH(Q$1,SUBQH,0),0),"")</f>
        <v/>
      </c>
      <c r="R26" s="20">
        <f>IFERROR(VLOOKUP($A26,subQ,MATCH(R$1,SUBQH,0),0),"")</f>
        <v/>
      </c>
      <c r="S26" s="20">
        <f>IFERROR(VLOOKUP($A26,subQ,MATCH(S$1,SUBQH,0),0),"")</f>
        <v/>
      </c>
      <c r="T26" s="20">
        <f>IFERROR(VLOOKUP($A26,subQ,MATCH(T$1,SUBQH,0),0),"")</f>
        <v/>
      </c>
      <c r="U26" s="20">
        <f>IFERROR(VLOOKUP($A26,subQ,MATCH(U$1,SUBQH,0),0),"")</f>
        <v/>
      </c>
      <c r="V26" s="20">
        <f>IFERROR(VLOOKUP($A26,subQ,MATCH(V$1,SUBQH,0),0),"")</f>
        <v/>
      </c>
      <c r="W26" s="20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</row>
    <row r="27">
      <c r="A27" s="12" t="inlineStr">
        <is>
          <t>CAPEX</t>
        </is>
      </c>
      <c r="D27" t="inlineStr">
        <is>
          <t>CAPEX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45">
        <f>IFERROR(VLOOKUP($A27,subQ,MATCH(O$1,SUBQH,0),0),"")</f>
        <v/>
      </c>
      <c r="P27" s="20">
        <f>IFERROR(VLOOKUP($A27,subQ,MATCH(P$1,SUBQH,0),0),"")</f>
        <v/>
      </c>
      <c r="Q27" s="20">
        <f>IFERROR(VLOOKUP($A27,subQ,MATCH(Q$1,SUBQH,0),0),"")</f>
        <v/>
      </c>
      <c r="R27" s="20">
        <f>IFERROR(VLOOKUP($A27,subQ,MATCH(R$1,SUBQH,0),0),"")</f>
        <v/>
      </c>
      <c r="S27" s="20">
        <f>IFERROR(VLOOKUP($A27,subQ,MATCH(S$1,SUBQH,0),0),"")</f>
        <v/>
      </c>
      <c r="T27" s="20">
        <f>IFERROR(VLOOKUP($A27,subQ,MATCH(T$1,SUBQH,0),0),"")</f>
        <v/>
      </c>
      <c r="U27" s="20">
        <f>IFERROR(VLOOKUP($A27,subQ,MATCH(U$1,SUBQH,0),0),"")</f>
        <v/>
      </c>
      <c r="V27" s="20">
        <f>IFERROR(VLOOKUP($A27,subQ,MATCH(V$1,SUBQH,0),0),"")</f>
        <v/>
      </c>
      <c r="W27" s="20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</row>
    <row r="28">
      <c r="A28" s="12" t="inlineStr">
        <is>
          <t>영업활동현금흐름</t>
        </is>
      </c>
      <c r="D28" t="inlineStr">
        <is>
          <t>영업활동현금흐름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45">
        <f>IFERROR(VLOOKUP($A28,subQ,MATCH(O$1,SUBQH,0),0),"")</f>
        <v/>
      </c>
      <c r="P28" s="20">
        <f>IFERROR(VLOOKUP($A28,subQ,MATCH(P$1,SUBQH,0),0),"")</f>
        <v/>
      </c>
      <c r="Q28" s="20">
        <f>IFERROR(VLOOKUP($A28,subQ,MATCH(Q$1,SUBQH,0),0),"")</f>
        <v/>
      </c>
      <c r="R28" s="20">
        <f>IFERROR(VLOOKUP($A28,subQ,MATCH(R$1,SUBQH,0),0),"")</f>
        <v/>
      </c>
      <c r="S28" s="20">
        <f>IFERROR(VLOOKUP($A28,subQ,MATCH(S$1,SUBQH,0),0),"")</f>
        <v/>
      </c>
      <c r="T28" s="20">
        <f>IFERROR(VLOOKUP($A28,subQ,MATCH(T$1,SUBQH,0),0),"")</f>
        <v/>
      </c>
      <c r="U28" s="20">
        <f>IFERROR(VLOOKUP($A28,subQ,MATCH(U$1,SUBQH,0),0),"")</f>
        <v/>
      </c>
      <c r="V28" s="20">
        <f>IFERROR(VLOOKUP($A28,subQ,MATCH(V$1,SUBQH,0),0),"")</f>
        <v/>
      </c>
      <c r="W28" s="20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</row>
    <row r="29">
      <c r="A29" s="12" t="inlineStr">
        <is>
          <t>주식수</t>
        </is>
      </c>
      <c r="D29" t="inlineStr">
        <is>
          <t>유통주식수</t>
        </is>
      </c>
      <c r="E29" s="27">
        <f>IFERROR(VLOOKUP($A29,subQ,MATCH(E$1,SUBQH,0),0),"")</f>
        <v/>
      </c>
      <c r="F29" s="27">
        <f>IFERROR(VLOOKUP($A29,subQ,MATCH(F$1,SUBQH,0),0),"")</f>
        <v/>
      </c>
      <c r="G29" s="27">
        <f>IFERROR(VLOOKUP($A29,subQ,MATCH(G$1,SUBQH,0),0),"")</f>
        <v/>
      </c>
      <c r="H29" s="27">
        <f>IFERROR(VLOOKUP($A29,subQ,MATCH(H$1,SUBQH,0),0),"")</f>
        <v/>
      </c>
      <c r="I29" s="27">
        <f>IFERROR(VLOOKUP($A29,subQ,MATCH(I$1,SUBQH,0),0),"")</f>
        <v/>
      </c>
      <c r="J29" s="27">
        <f>IFERROR(VLOOKUP($A29,subQ,MATCH(J$1,SUBQH,0),0),"")</f>
        <v/>
      </c>
      <c r="K29" s="27">
        <f>IFERROR(VLOOKUP($A29,subQ,MATCH(K$1,SUBQH,0),0),"")</f>
        <v/>
      </c>
      <c r="L29" s="27">
        <f>IFERROR(VLOOKUP($A29,subQ,MATCH(L$1,SUBQH,0),0),"")</f>
        <v/>
      </c>
      <c r="M29" s="27">
        <f>IFERROR(VLOOKUP($A29,subQ,MATCH(M$1,SUBQH,0),0),"")</f>
        <v/>
      </c>
      <c r="N29" s="27">
        <f>IFERROR(VLOOKUP($A29,subQ,MATCH(N$1,SUBQH,0),0),"")</f>
        <v/>
      </c>
      <c r="O29" s="47">
        <f>IFERROR(VLOOKUP($A29,subQ,MATCH(O$1,SUBQH,0),0),"")</f>
        <v/>
      </c>
      <c r="P29" s="33">
        <f>IFERROR(VLOOKUP($A29,subQ,MATCH(P$1,SUBQH,0),0),"")</f>
        <v/>
      </c>
      <c r="Q29" s="33">
        <f>IFERROR(VLOOKUP($A29,subQ,MATCH(Q$1,SUBQH,0),0),"")</f>
        <v/>
      </c>
      <c r="R29" s="33">
        <f>IFERROR(VLOOKUP($A29,subQ,MATCH(R$1,SUBQH,0),0),"")</f>
        <v/>
      </c>
      <c r="S29" s="33">
        <f>IFERROR(VLOOKUP($A29,subQ,MATCH(S$1,SUBQH,0),0),"")</f>
        <v/>
      </c>
      <c r="T29" s="33">
        <f>IFERROR(VLOOKUP($A29,subQ,MATCH(T$1,SUBQH,0),0),"")</f>
        <v/>
      </c>
      <c r="U29" s="33">
        <f>IFERROR(VLOOKUP($A29,subQ,MATCH(U$1,SUBQH,0),0),"")</f>
        <v/>
      </c>
      <c r="V29" s="33">
        <f>IFERROR(VLOOKUP($A29,subQ,MATCH(V$1,SUBQH,0),0),"")</f>
        <v/>
      </c>
      <c r="W29" s="33">
        <f>IFERROR(VLOOKUP($A29,subQ,MATCH(W$1,SUBQH,0),0),"")</f>
        <v/>
      </c>
      <c r="X29" s="33">
        <f>IFERROR(VLOOKUP($A29,subQ,MATCH(X$1,SUBQH,0),0),"")</f>
        <v/>
      </c>
      <c r="Y29" s="33">
        <f>IFERROR(VLOOKUP($A29,subQ,MATCH(Y$1,SUBQH,0),0),"")</f>
        <v/>
      </c>
    </row>
    <row r="30">
      <c r="A30" s="12" t="inlineStr">
        <is>
          <t>EPS</t>
        </is>
      </c>
      <c r="D30" t="inlineStr">
        <is>
          <t>EPS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45">
        <f>IFERROR(VLOOKUP($A30,subQ,MATCH(O$1,SUBQH,0),0),"")</f>
        <v/>
      </c>
      <c r="P30" s="20">
        <f>IFERROR(VLOOKUP($A30,subQ,MATCH(P$1,SUBQH,0),0),"")</f>
        <v/>
      </c>
      <c r="Q30" s="20">
        <f>IFERROR(VLOOKUP($A30,subQ,MATCH(Q$1,SUBQH,0),0),"")</f>
        <v/>
      </c>
      <c r="R30" s="20">
        <f>IFERROR(VLOOKUP($A30,subQ,MATCH(R$1,SUBQH,0),0),"")</f>
        <v/>
      </c>
      <c r="S30" s="20">
        <f>IFERROR(VLOOKUP($A30,subQ,MATCH(S$1,SUBQH,0),0),"")</f>
        <v/>
      </c>
      <c r="T30" s="20">
        <f>IFERROR(VLOOKUP($A30,subQ,MATCH(T$1,SUBQH,0),0),"")</f>
        <v/>
      </c>
      <c r="U30" s="20">
        <f>IFERROR(VLOOKUP($A30,subQ,MATCH(U$1,SUBQH,0),0),"")</f>
        <v/>
      </c>
      <c r="V30" s="20">
        <f>IFERROR(VLOOKUP($A30,subQ,MATCH(V$1,SUBQH,0),0),"")</f>
        <v/>
      </c>
      <c r="W30" s="20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</row>
    <row r="31">
      <c r="A31" s="12" t="inlineStr">
        <is>
          <t>BPS</t>
        </is>
      </c>
      <c r="D31" t="inlineStr">
        <is>
          <t>BPS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45">
        <f>IFERROR(VLOOKUP($A31,subQ,MATCH(O$1,SUBQH,0),0),"")</f>
        <v/>
      </c>
      <c r="P31" s="20">
        <f>IFERROR(VLOOKUP($A31,subQ,MATCH(P$1,SUBQH,0),0),"")</f>
        <v/>
      </c>
      <c r="Q31" s="20">
        <f>IFERROR(VLOOKUP($A31,subQ,MATCH(Q$1,SUBQH,0),0),"")</f>
        <v/>
      </c>
      <c r="R31" s="20">
        <f>IFERROR(VLOOKUP($A31,subQ,MATCH(R$1,SUBQH,0),0),"")</f>
        <v/>
      </c>
      <c r="S31" s="20">
        <f>IFERROR(VLOOKUP($A31,subQ,MATCH(S$1,SUBQH,0),0),"")</f>
        <v/>
      </c>
      <c r="T31" s="20">
        <f>IFERROR(VLOOKUP($A31,subQ,MATCH(T$1,SUBQH,0),0),"")</f>
        <v/>
      </c>
      <c r="U31" s="20">
        <f>IFERROR(VLOOKUP($A31,subQ,MATCH(U$1,SUBQH,0),0),"")</f>
        <v/>
      </c>
      <c r="V31" s="20">
        <f>IFERROR(VLOOKUP($A31,subQ,MATCH(V$1,SUBQH,0),0),"")</f>
        <v/>
      </c>
      <c r="W31" s="20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</row>
    <row r="32">
      <c r="A32" s="12" t="inlineStr">
        <is>
          <t>DPS</t>
        </is>
      </c>
      <c r="D32" t="inlineStr">
        <is>
          <t>DPS(보통주)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45">
        <f>IFERROR(VLOOKUP($A32,subQ,MATCH(O$1,SUBQH,0),0),"")</f>
        <v/>
      </c>
      <c r="P32" s="20">
        <f>IFERROR(VLOOKUP($A32,subQ,MATCH(P$1,SUBQH,0),0),"")</f>
        <v/>
      </c>
      <c r="Q32" s="20">
        <f>IFERROR(VLOOKUP($A32,subQ,MATCH(Q$1,SUBQH,0),0),"")</f>
        <v/>
      </c>
      <c r="R32" s="20">
        <f>IFERROR(VLOOKUP($A32,subQ,MATCH(R$1,SUBQH,0),0),"")</f>
        <v/>
      </c>
      <c r="S32" s="20">
        <f>IFERROR(VLOOKUP($A32,subQ,MATCH(S$1,SUBQH,0),0),"")</f>
        <v/>
      </c>
      <c r="T32" s="20">
        <f>IFERROR(VLOOKUP($A32,subQ,MATCH(T$1,SUBQH,0),0),"")</f>
        <v/>
      </c>
      <c r="U32" s="20">
        <f>IFERROR(VLOOKUP($A32,subQ,MATCH(U$1,SUBQH,0),0),"")</f>
        <v/>
      </c>
      <c r="V32" s="20">
        <f>IFERROR(VLOOKUP($A32,subQ,MATCH(V$1,SUBQH,0),0),"")</f>
        <v/>
      </c>
      <c r="W32" s="20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</row>
    <row r="33">
      <c r="A33" s="12" t="inlineStr">
        <is>
          <t>PER</t>
        </is>
      </c>
      <c r="D33" t="inlineStr">
        <is>
          <t>PER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13">
        <f>IFERROR(VLOOKUP($A33,subQ,MATCH(I$1,SUBQH,0),0),"")</f>
        <v/>
      </c>
      <c r="J33" s="13">
        <f>IFERROR(VLOOKUP($A33,subQ,MATCH(J$1,SUBQH,0),0),"")</f>
        <v/>
      </c>
      <c r="K33" s="13">
        <f>IFERROR(VLOOKUP($A33,subQ,MATCH(K$1,SUBQH,0),0),"")</f>
        <v/>
      </c>
      <c r="L33" s="13">
        <f>IFERROR(VLOOKUP($A33,subQ,MATCH(L$1,SUBQH,0),0),"")</f>
        <v/>
      </c>
      <c r="M33" s="13">
        <f>IFERROR(VLOOKUP($A33,subQ,MATCH(M$1,SUBQH,0),0),"")</f>
        <v/>
      </c>
      <c r="N33" s="13">
        <f>IFERROR(VLOOKUP($A33,subQ,MATCH(N$1,SUBQH,0),0),"")</f>
        <v/>
      </c>
      <c r="O33" s="48">
        <f>IFERROR(VLOOKUP($A33,subQ,MATCH(O$1,SUBQH,0),0),"")</f>
        <v/>
      </c>
      <c r="P33" s="39">
        <f>IFERROR(VLOOKUP($A33,subQ,MATCH(P$1,SUBQH,0),0),"")</f>
        <v/>
      </c>
      <c r="Q33" s="39">
        <f>IFERROR(VLOOKUP($A33,subQ,MATCH(Q$1,SUBQH,0),0),"")</f>
        <v/>
      </c>
      <c r="R33" s="39">
        <f>IFERROR(VLOOKUP($A33,subQ,MATCH(R$1,SUBQH,0),0),"")</f>
        <v/>
      </c>
      <c r="S33" s="39">
        <f>IFERROR(VLOOKUP($A33,subQ,MATCH(S$1,SUBQH,0),0),"")</f>
        <v/>
      </c>
      <c r="T33" s="39">
        <f>IFERROR(VLOOKUP($A33,subQ,MATCH(T$1,SUBQH,0),0),"")</f>
        <v/>
      </c>
      <c r="U33" s="39">
        <f>IFERROR(VLOOKUP($A33,subQ,MATCH(U$1,SUBQH,0),0),"")</f>
        <v/>
      </c>
      <c r="V33" s="39">
        <f>IFERROR(VLOOKUP($A33,subQ,MATCH(V$1,SUBQH,0),0),"")</f>
        <v/>
      </c>
      <c r="W33" s="39">
        <f>IFERROR(VLOOKUP($A33,subQ,MATCH(W$1,SUBQH,0),0),"")</f>
        <v/>
      </c>
      <c r="X33" s="39">
        <f>IFERROR(VLOOKUP($A33,subQ,MATCH(X$1,SUBQH,0),0),"")</f>
        <v/>
      </c>
      <c r="Y33" s="39">
        <f>IFERROR(VLOOKUP($A33,subQ,MATCH(Y$1,SUBQH,0),0),"")</f>
        <v/>
      </c>
    </row>
    <row r="34">
      <c r="A34" s="12" t="inlineStr">
        <is>
          <t>PBR</t>
        </is>
      </c>
      <c r="D34" t="inlineStr">
        <is>
          <t>PBR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13">
        <f>IFERROR(VLOOKUP($A34,subQ,MATCH(I$1,SUBQH,0),0),"")</f>
        <v/>
      </c>
      <c r="J34" s="13">
        <f>IFERROR(VLOOKUP($A34,subQ,MATCH(J$1,SUBQH,0),0),"")</f>
        <v/>
      </c>
      <c r="K34" s="13">
        <f>IFERROR(VLOOKUP($A34,subQ,MATCH(K$1,SUBQH,0),0),"")</f>
        <v/>
      </c>
      <c r="L34" s="13">
        <f>IFERROR(VLOOKUP($A34,subQ,MATCH(L$1,SUBQH,0),0),"")</f>
        <v/>
      </c>
      <c r="M34" s="13">
        <f>IFERROR(VLOOKUP($A34,subQ,MATCH(M$1,SUBQH,0),0),"")</f>
        <v/>
      </c>
      <c r="N34" s="13">
        <f>IFERROR(VLOOKUP($A34,subQ,MATCH(N$1,SUBQH,0),0),"")</f>
        <v/>
      </c>
      <c r="O34" s="48">
        <f>IFERROR(VLOOKUP($A34,subQ,MATCH(O$1,SUBQH,0),0),"")</f>
        <v/>
      </c>
      <c r="P34" s="39">
        <f>IFERROR(VLOOKUP($A34,subQ,MATCH(P$1,SUBQH,0),0),"")</f>
        <v/>
      </c>
      <c r="Q34" s="39">
        <f>IFERROR(VLOOKUP($A34,subQ,MATCH(Q$1,SUBQH,0),0),"")</f>
        <v/>
      </c>
      <c r="R34" s="39">
        <f>IFERROR(VLOOKUP($A34,subQ,MATCH(R$1,SUBQH,0),0),"")</f>
        <v/>
      </c>
      <c r="S34" s="39">
        <f>IFERROR(VLOOKUP($A34,subQ,MATCH(S$1,SUBQH,0),0),"")</f>
        <v/>
      </c>
      <c r="T34" s="39">
        <f>IFERROR(VLOOKUP($A34,subQ,MATCH(T$1,SUBQH,0),0),"")</f>
        <v/>
      </c>
      <c r="U34" s="39">
        <f>IFERROR(VLOOKUP($A34,subQ,MATCH(U$1,SUBQH,0),0),"")</f>
        <v/>
      </c>
      <c r="V34" s="39">
        <f>IFERROR(VLOOKUP($A34,subQ,MATCH(V$1,SUBQH,0),0),"")</f>
        <v/>
      </c>
      <c r="W34" s="39">
        <f>IFERROR(VLOOKUP($A34,subQ,MATCH(W$1,SUBQH,0),0),"")</f>
        <v/>
      </c>
      <c r="X34" s="39">
        <f>IFERROR(VLOOKUP($A34,subQ,MATCH(X$1,SUBQH,0),0),"")</f>
        <v/>
      </c>
      <c r="Y34" s="39">
        <f>IFERROR(VLOOKUP($A34,subQ,MATCH(Y$1,SUBQH,0),0),"")</f>
        <v/>
      </c>
    </row>
    <row r="35">
      <c r="A35" s="12" t="inlineStr">
        <is>
          <t>매출전사</t>
        </is>
      </c>
      <c r="D35" t="inlineStr">
        <is>
          <t>매출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45">
        <f>IFERROR(VLOOKUP($A35,subQ,MATCH(O$1,SUBQH,0),0),"")</f>
        <v/>
      </c>
      <c r="P35" s="20">
        <f>IFERROR(VLOOKUP($A35,subQ,MATCH(P$1,SUBQH,0),0),"")</f>
        <v/>
      </c>
      <c r="Q35" s="20">
        <f>IFERROR(VLOOKUP($A35,subQ,MATCH(Q$1,SUBQH,0),0),"")</f>
        <v/>
      </c>
      <c r="R35" s="20">
        <f>IFERROR(VLOOKUP($A35,subQ,MATCH(R$1,SUBQH,0),0),"")</f>
        <v/>
      </c>
      <c r="S35" s="20">
        <f>IFERROR(VLOOKUP($A35,subQ,MATCH(S$1,SUBQH,0),0),"")</f>
        <v/>
      </c>
      <c r="T35" s="20">
        <f>IFERROR(VLOOKUP($A35,subQ,MATCH(T$1,SUBQH,0),0),"")</f>
        <v/>
      </c>
      <c r="U35" s="20">
        <f>IFERROR(VLOOKUP($A35,subQ,MATCH(U$1,SUBQH,0),0),"")</f>
        <v/>
      </c>
      <c r="V35" s="20">
        <f>IFERROR(VLOOKUP($A35,subQ,MATCH(V$1,SUBQH,0),0),"")</f>
        <v/>
      </c>
      <c r="W35" s="20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</row>
    <row r="36">
      <c r="A36" s="12" t="inlineStr">
        <is>
          <t>OP전사</t>
        </is>
      </c>
      <c r="D36" t="inlineStr">
        <is>
          <t>OP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45">
        <f>IFERROR(VLOOKUP($A36,subQ,MATCH(O$1,SUBQH,0),0),"")</f>
        <v/>
      </c>
      <c r="P36" s="20">
        <f>IFERROR(VLOOKUP($A36,subQ,MATCH(P$1,SUBQH,0),0),"")</f>
        <v/>
      </c>
      <c r="Q36" s="20">
        <f>IFERROR(VLOOKUP($A36,subQ,MATCH(Q$1,SUBQH,0),0),"")</f>
        <v/>
      </c>
      <c r="R36" s="20">
        <f>IFERROR(VLOOKUP($A36,subQ,MATCH(R$1,SUBQH,0),0),"")</f>
        <v/>
      </c>
      <c r="S36" s="20">
        <f>IFERROR(VLOOKUP($A36,subQ,MATCH(S$1,SUBQH,0),0),"")</f>
        <v/>
      </c>
      <c r="T36" s="20">
        <f>IFERROR(VLOOKUP($A36,subQ,MATCH(T$1,SUBQH,0),0),"")</f>
        <v/>
      </c>
      <c r="U36" s="20">
        <f>IFERROR(VLOOKUP($A36,subQ,MATCH(U$1,SUBQH,0),0),"")</f>
        <v/>
      </c>
      <c r="V36" s="20">
        <f>IFERROR(VLOOKUP($A36,subQ,MATCH(V$1,SUBQH,0),0),"")</f>
        <v/>
      </c>
      <c r="W36" s="20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</row>
    <row r="37">
      <c r="A37" s="12" t="inlineStr">
        <is>
          <t>NPM</t>
        </is>
      </c>
      <c r="D37" t="inlineStr">
        <is>
          <t>NPM</t>
        </is>
      </c>
      <c r="E37" s="21">
        <f>IFERROR(VLOOKUP($A37,subQ,MATCH(E$1,SUBQH,0),0),"")</f>
        <v/>
      </c>
      <c r="F37" s="21">
        <f>IFERROR(VLOOKUP($A37,subQ,MATCH(F$1,SUBQH,0),0),"")</f>
        <v/>
      </c>
      <c r="G37" s="21">
        <f>IFERROR(VLOOKUP($A37,subQ,MATCH(G$1,SUBQH,0),0),"")</f>
        <v/>
      </c>
      <c r="H37" s="21">
        <f>IFERROR(VLOOKUP($A37,subQ,MATCH(H$1,SUBQH,0),0),"")</f>
        <v/>
      </c>
      <c r="I37" s="21">
        <f>IFERROR(VLOOKUP($A37,subQ,MATCH(I$1,SUBQH,0),0),"")</f>
        <v/>
      </c>
      <c r="J37" s="21">
        <f>IFERROR(VLOOKUP($A37,subQ,MATCH(J$1,SUBQH,0),0),"")</f>
        <v/>
      </c>
      <c r="K37" s="21">
        <f>IFERROR(VLOOKUP($A37,subQ,MATCH(K$1,SUBQH,0),0),"")</f>
        <v/>
      </c>
      <c r="L37" s="21">
        <f>IFERROR(VLOOKUP($A37,subQ,MATCH(L$1,SUBQH,0),0),"")</f>
        <v/>
      </c>
      <c r="M37" s="21">
        <f>IFERROR(VLOOKUP($A37,subQ,MATCH(M$1,SUBQH,0),0),"")</f>
        <v/>
      </c>
      <c r="N37" s="21">
        <f>IFERROR(VLOOKUP($A37,subQ,MATCH(N$1,SUBQH,0),0),"")</f>
        <v/>
      </c>
      <c r="O37" s="46">
        <f>IFERROR(VLOOKUP($A37,subQ,MATCH(O$1,SUBQH,0),0),"")</f>
        <v/>
      </c>
      <c r="P37" s="32">
        <f>IFERROR(VLOOKUP($A37,subQ,MATCH(P$1,SUBQH,0),0),"")</f>
        <v/>
      </c>
      <c r="Q37" s="32">
        <f>IFERROR(VLOOKUP($A37,subQ,MATCH(Q$1,SUBQH,0),0),"")</f>
        <v/>
      </c>
      <c r="R37" s="32">
        <f>IFERROR(VLOOKUP($A37,subQ,MATCH(R$1,SUBQH,0),0),"")</f>
        <v/>
      </c>
      <c r="S37" s="32">
        <f>IFERROR(VLOOKUP($A37,subQ,MATCH(S$1,SUBQH,0),0),"")</f>
        <v/>
      </c>
      <c r="T37" s="32">
        <f>IFERROR(VLOOKUP($A37,subQ,MATCH(T$1,SUBQH,0),0),"")</f>
        <v/>
      </c>
      <c r="U37" s="32">
        <f>IFERROR(VLOOKUP($A37,subQ,MATCH(U$1,SUBQH,0),0),"")</f>
        <v/>
      </c>
      <c r="V37" s="32">
        <f>IFERROR(VLOOKUP($A37,subQ,MATCH(V$1,SUBQH,0),0),"")</f>
        <v/>
      </c>
      <c r="W37" s="32">
        <f>IFERROR(VLOOKUP($A37,subQ,MATCH(W$1,SUBQH,0),0),"")</f>
        <v/>
      </c>
      <c r="X37" s="32">
        <f>IFERROR(VLOOKUP($A37,subQ,MATCH(X$1,SUBQH,0),0),"")</f>
        <v/>
      </c>
      <c r="Y37" s="32">
        <f>IFERROR(VLOOKUP($A37,subQ,MATCH(Y$1,SUBQH,0),0),"")</f>
        <v/>
      </c>
    </row>
    <row r="38">
      <c r="A38" s="12" t="inlineStr">
        <is>
          <t>매출액 YoY</t>
        </is>
      </c>
      <c r="D38" t="inlineStr">
        <is>
          <t>매출액 YoY</t>
        </is>
      </c>
      <c r="I38" s="21">
        <f>IFERROR(I5/E5-1,"")</f>
        <v/>
      </c>
      <c r="J38" s="21">
        <f>IFERROR(J5/F5-1,"")</f>
        <v/>
      </c>
      <c r="K38" s="21">
        <f>IFERROR(K5/G5-1,"")</f>
        <v/>
      </c>
      <c r="L38" s="21">
        <f>IFERROR(L5/H5-1,"")</f>
        <v/>
      </c>
      <c r="M38" s="21">
        <f>IFERROR(M5/I5-1,"")</f>
        <v/>
      </c>
      <c r="N38" s="21">
        <f>IFERROR(N5/J5-1,"")</f>
        <v/>
      </c>
      <c r="O38" s="46">
        <f>IFERROR(O5/K5-1,"")</f>
        <v/>
      </c>
      <c r="P38" s="32">
        <f>IFERROR(P5/L5-1,"")</f>
        <v/>
      </c>
      <c r="Q38" s="32">
        <f>IFERROR(Q5/M5-1,"")</f>
        <v/>
      </c>
      <c r="R38" s="32">
        <f>IFERROR(R5/N5-1,"")</f>
        <v/>
      </c>
      <c r="S38" s="32">
        <f>IFERROR(S5/O5-1,"")</f>
        <v/>
      </c>
      <c r="T38" s="32">
        <f>IFERROR(T5/P5-1,"")</f>
        <v/>
      </c>
      <c r="U38" s="32">
        <f>IFERROR(U5/Q5-1,"")</f>
        <v/>
      </c>
      <c r="V38" s="32">
        <f>IFERROR(V5/R5-1,"")</f>
        <v/>
      </c>
      <c r="W38" s="32">
        <f>IFERROR(W5/S5-1,"")</f>
        <v/>
      </c>
      <c r="X38" s="32">
        <f>IFERROR(X5/T5-1,"")</f>
        <v/>
      </c>
      <c r="Y38" s="32">
        <f>IFERROR(Y5/U5-1,"")</f>
        <v/>
      </c>
    </row>
    <row r="39">
      <c r="A39" s="12" t="inlineStr">
        <is>
          <t>영업이익 YoY</t>
        </is>
      </c>
      <c r="D39" t="inlineStr">
        <is>
          <t>영업이익 YoY</t>
        </is>
      </c>
      <c r="I39" s="21">
        <f>IFERROR(I9/E9-1,"")</f>
        <v/>
      </c>
      <c r="J39" s="21">
        <f>IFERROR(J9/F9-1,"")</f>
        <v/>
      </c>
      <c r="K39" s="21">
        <f>IFERROR(K9/G9-1,"")</f>
        <v/>
      </c>
      <c r="L39" s="21">
        <f>IFERROR(L9/H9-1,"")</f>
        <v/>
      </c>
      <c r="M39" s="21">
        <f>IFERROR(M9/I9-1,"")</f>
        <v/>
      </c>
      <c r="N39" s="21">
        <f>IFERROR(N9/J9-1,"")</f>
        <v/>
      </c>
      <c r="O39" s="46">
        <f>IFERROR(O9/K9-1,"")</f>
        <v/>
      </c>
      <c r="P39" s="32">
        <f>IFERROR(P9/L9-1,"")</f>
        <v/>
      </c>
      <c r="Q39" s="32">
        <f>IFERROR(Q9/M9-1,"")</f>
        <v/>
      </c>
      <c r="R39" s="32">
        <f>IFERROR(R9/N9-1,"")</f>
        <v/>
      </c>
      <c r="S39" s="32">
        <f>IFERROR(S9/O9-1,"")</f>
        <v/>
      </c>
      <c r="T39" s="32">
        <f>IFERROR(T9/P9-1,"")</f>
        <v/>
      </c>
      <c r="U39" s="32">
        <f>IFERROR(U9/Q9-1,"")</f>
        <v/>
      </c>
      <c r="V39" s="32">
        <f>IFERROR(V9/R9-1,"")</f>
        <v/>
      </c>
      <c r="W39" s="32">
        <f>IFERROR(W9/S9-1,"")</f>
        <v/>
      </c>
      <c r="X39" s="32">
        <f>IFERROR(X9/T9-1,"")</f>
        <v/>
      </c>
      <c r="Y39" s="32">
        <f>IFERROR(Y9/U9-1,"")</f>
        <v/>
      </c>
    </row>
    <row r="40">
      <c r="A40" s="12" t="inlineStr">
        <is>
          <t>지배주주순이익 YoY</t>
        </is>
      </c>
      <c r="D40" t="inlineStr">
        <is>
          <t>지배주주순이익 YoY</t>
        </is>
      </c>
      <c r="I40" s="21">
        <f>IFERROR(I18/E18-1,"")</f>
        <v/>
      </c>
      <c r="J40" s="21">
        <f>IFERROR(J18/F18-1,"")</f>
        <v/>
      </c>
      <c r="K40" s="21">
        <f>IFERROR(K18/G18-1,"")</f>
        <v/>
      </c>
      <c r="L40" s="21">
        <f>IFERROR(L18/H18-1,"")</f>
        <v/>
      </c>
      <c r="M40" s="21">
        <f>IFERROR(M18/I18-1,"")</f>
        <v/>
      </c>
      <c r="N40" s="21">
        <f>IFERROR(N18/J18-1,"")</f>
        <v/>
      </c>
      <c r="O40" s="46">
        <f>IFERROR(O18/K18-1,"")</f>
        <v/>
      </c>
      <c r="P40" s="32">
        <f>IFERROR(P18/L18-1,"")</f>
        <v/>
      </c>
      <c r="Q40" s="32">
        <f>IFERROR(Q18/M18-1,"")</f>
        <v/>
      </c>
      <c r="R40" s="32">
        <f>IFERROR(R18/N18-1,"")</f>
        <v/>
      </c>
      <c r="S40" s="32">
        <f>IFERROR(S18/O18-1,"")</f>
        <v/>
      </c>
      <c r="T40" s="32">
        <f>IFERROR(T18/P18-1,"")</f>
        <v/>
      </c>
      <c r="U40" s="32">
        <f>IFERROR(U18/Q18-1,"")</f>
        <v/>
      </c>
      <c r="V40" s="32">
        <f>IFERROR(V18/R18-1,"")</f>
        <v/>
      </c>
      <c r="W40" s="32">
        <f>IFERROR(W18/S18-1,"")</f>
        <v/>
      </c>
      <c r="X40" s="32">
        <f>IFERROR(X18/T18-1,"")</f>
        <v/>
      </c>
      <c r="Y40" s="32">
        <f>IFERROR(Y18/U18-1,"")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C1" s="2" t="inlineStr">
        <is>
          <t>이름: 연간예상H — subQ 를 이름으로 VLOOKUP(억원)</t>
        </is>
      </c>
      <c r="E1" s="3" t="n">
        <v>2023</v>
      </c>
      <c r="F1" s="3" t="n">
        <v>2024</v>
      </c>
      <c r="G1" s="41" t="n">
        <v>2025</v>
      </c>
      <c r="H1" s="3" t="n">
        <v>2026</v>
      </c>
      <c r="I1" s="3" t="n">
        <v>2027</v>
      </c>
      <c r="J1" s="3" t="n">
        <v>2028</v>
      </c>
    </row>
    <row r="2">
      <c r="C2" t="inlineStr">
        <is>
          <t>종가:</t>
        </is>
      </c>
      <c r="D2" s="18">
        <f>변수!D41</f>
        <v/>
      </c>
      <c r="G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43" t="n">
        <v>3</v>
      </c>
      <c r="H3" s="2" t="n">
        <v>4</v>
      </c>
      <c r="I3" s="2" t="n">
        <v>5</v>
      </c>
      <c r="J3" s="2" t="n">
        <v>6</v>
      </c>
    </row>
    <row r="4">
      <c r="E4" s="7" t="inlineStr">
        <is>
          <t>2023.12A</t>
        </is>
      </c>
      <c r="F4" s="7" t="inlineStr">
        <is>
          <t>2024.12A</t>
        </is>
      </c>
      <c r="G4" s="44" t="inlineStr">
        <is>
          <t>2025.12A</t>
        </is>
      </c>
      <c r="H4" s="7" t="inlineStr">
        <is>
          <t>2026.12A</t>
        </is>
      </c>
      <c r="I4" s="7" t="inlineStr">
        <is>
          <t>2027.12A</t>
        </is>
      </c>
      <c r="J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45">
        <f>IFERROR(VLOOKUP($A5,subQ,MATCH(G$1,SUBQH,0),0),"")</f>
        <v/>
      </c>
      <c r="H5" s="20">
        <f>IFERROR(VLOOKUP($A5,subQ,MATCH(H$1,SUBQH,0),0),"")</f>
        <v/>
      </c>
      <c r="I5" s="20">
        <f>IFERROR(VLOOKUP($A5,subQ,MATCH(I$1,SUBQH,0),0),"")</f>
        <v/>
      </c>
      <c r="J5" s="20">
        <f>IFERROR(VLOOKUP($A5,subQ,MATCH(J$1,SUBQH,0),0),"")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45">
        <f>IFERROR(VLOOKUP($A6,subQ,MATCH(G$1,SUBQH,0),0),"")</f>
        <v/>
      </c>
      <c r="H6" s="20">
        <f>IFERROR(VLOOKUP($A6,subQ,MATCH(H$1,SUBQH,0),0),"")</f>
        <v/>
      </c>
      <c r="I6" s="20">
        <f>IFERROR(VLOOKUP($A6,subQ,MATCH(I$1,SUBQH,0),0),"")</f>
        <v/>
      </c>
      <c r="J6" s="20">
        <f>IFERROR(VLOOKUP($A6,subQ,MATCH(J$1,SUBQH,0),0),"")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45">
        <f>IFERROR(VLOOKUP($A7,subQ,MATCH(G$1,SUBQH,0),0),"")</f>
        <v/>
      </c>
      <c r="H7" s="20">
        <f>IFERROR(VLOOKUP($A7,subQ,MATCH(H$1,SUBQH,0),0),"")</f>
        <v/>
      </c>
      <c r="I7" s="20">
        <f>IFERROR(VLOOKUP($A7,subQ,MATCH(I$1,SUBQH,0),0),"")</f>
        <v/>
      </c>
      <c r="J7" s="20">
        <f>IFERROR(VLOOKUP($A7,subQ,MATCH(J$1,SUBQH,0),0),"")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45">
        <f>IFERROR(VLOOKUP($A8,subQ,MATCH(G$1,SUBQH,0),0),"")</f>
        <v/>
      </c>
      <c r="H8" s="20">
        <f>IFERROR(VLOOKUP($A8,subQ,MATCH(H$1,SUBQH,0),0),"")</f>
        <v/>
      </c>
      <c r="I8" s="20">
        <f>IFERROR(VLOOKUP($A8,subQ,MATCH(I$1,SUBQH,0),0),"")</f>
        <v/>
      </c>
      <c r="J8" s="20">
        <f>IFERROR(VLOOKUP($A8,subQ,MATCH(J$1,SUBQH,0),0),"")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45">
        <f>IFERROR(VLOOKUP($A9,subQ,MATCH(G$1,SUBQH,0),0),"")</f>
        <v/>
      </c>
      <c r="H9" s="20">
        <f>IFERROR(VLOOKUP($A9,subQ,MATCH(H$1,SUBQH,0),0),"")</f>
        <v/>
      </c>
      <c r="I9" s="20">
        <f>IFERROR(VLOOKUP($A9,subQ,MATCH(I$1,SUBQH,0),0),"")</f>
        <v/>
      </c>
      <c r="J9" s="20">
        <f>IFERROR(VLOOKUP($A9,subQ,MATCH(J$1,SUBQH,0),0),"")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46">
        <f>IFERROR(VLOOKUP($A10,subQ,MATCH(G$1,SUBQH,0),0),"")</f>
        <v/>
      </c>
      <c r="H10" s="32">
        <f>IFERROR(VLOOKUP($A10,subQ,MATCH(H$1,SUBQH,0),0),"")</f>
        <v/>
      </c>
      <c r="I10" s="32">
        <f>IFERROR(VLOOKUP($A10,subQ,MATCH(I$1,SUBQH,0),0),"")</f>
        <v/>
      </c>
      <c r="J10" s="32">
        <f>IFERROR(VLOOKUP($A10,subQ,MATCH(J$1,SUBQH,0),0),"")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45">
        <f>IFERROR(VLOOKUP($A11,subQ,MATCH(G$1,SUBQH,0),0),"")</f>
        <v/>
      </c>
      <c r="H11" s="20">
        <f>IFERROR(VLOOKUP($A11,subQ,MATCH(H$1,SUBQH,0),0),"")</f>
        <v/>
      </c>
      <c r="I11" s="20">
        <f>IFERROR(VLOOKUP($A11,subQ,MATCH(I$1,SUBQH,0),0),"")</f>
        <v/>
      </c>
      <c r="J11" s="20">
        <f>IFERROR(VLOOKUP($A11,subQ,MATCH(J$1,SUBQH,0),0),"")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45">
        <f>IFERROR(VLOOKUP($A12,subQ,MATCH(G$1,SUBQH,0),0),"")</f>
        <v/>
      </c>
      <c r="H12" s="20">
        <f>IFERROR(VLOOKUP($A12,subQ,MATCH(H$1,SUBQH,0),0),"")</f>
        <v/>
      </c>
      <c r="I12" s="20">
        <f>IFERROR(VLOOKUP($A12,subQ,MATCH(I$1,SUBQH,0),0),"")</f>
        <v/>
      </c>
      <c r="J12" s="20">
        <f>IFERROR(VLOOKUP($A12,subQ,MATCH(J$1,SUBQH,0),0),"")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45">
        <f>IFERROR(VLOOKUP($A13,subQ,MATCH(G$1,SUBQH,0),0),"")</f>
        <v/>
      </c>
      <c r="H13" s="20">
        <f>IFERROR(VLOOKUP($A13,subQ,MATCH(H$1,SUBQH,0),0),"")</f>
        <v/>
      </c>
      <c r="I13" s="20">
        <f>IFERROR(VLOOKUP($A13,subQ,MATCH(I$1,SUBQH,0),0),"")</f>
        <v/>
      </c>
      <c r="J13" s="20">
        <f>IFERROR(VLOOKUP($A13,subQ,MATCH(J$1,SUBQH,0),0),"")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45">
        <f>IFERROR(VLOOKUP($A14,subQ,MATCH(G$1,SUBQH,0),0),"")</f>
        <v/>
      </c>
      <c r="H14" s="20">
        <f>IFERROR(VLOOKUP($A14,subQ,MATCH(H$1,SUBQH,0),0),"")</f>
        <v/>
      </c>
      <c r="I14" s="20">
        <f>IFERROR(VLOOKUP($A14,subQ,MATCH(I$1,SUBQH,0),0),"")</f>
        <v/>
      </c>
      <c r="J14" s="20">
        <f>IFERROR(VLOOKUP($A14,subQ,MATCH(J$1,SUBQH,0),0),"")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45">
        <f>IFERROR(VLOOKUP($A15,subQ,MATCH(G$1,SUBQH,0),0),"")</f>
        <v/>
      </c>
      <c r="H15" s="20">
        <f>IFERROR(VLOOKUP($A15,subQ,MATCH(H$1,SUBQH,0),0),"")</f>
        <v/>
      </c>
      <c r="I15" s="20">
        <f>IFERROR(VLOOKUP($A15,subQ,MATCH(I$1,SUBQH,0),0),"")</f>
        <v/>
      </c>
      <c r="J15" s="20">
        <f>IFERROR(VLOOKUP($A15,subQ,MATCH(J$1,SUBQH,0),0),"")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45">
        <f>IFERROR(VLOOKUP($A16,subQ,MATCH(G$1,SUBQH,0),0),"")</f>
        <v/>
      </c>
      <c r="H16" s="20">
        <f>IFERROR(VLOOKUP($A16,subQ,MATCH(H$1,SUBQH,0),0),"")</f>
        <v/>
      </c>
      <c r="I16" s="20">
        <f>IFERROR(VLOOKUP($A16,subQ,MATCH(I$1,SUBQH,0),0),"")</f>
        <v/>
      </c>
      <c r="J16" s="20">
        <f>IFERROR(VLOOKUP($A16,subQ,MATCH(J$1,SUBQH,0),0),"")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45">
        <f>IFERROR(VLOOKUP($A17,subQ,MATCH(G$1,SUBQH,0),0),"")</f>
        <v/>
      </c>
      <c r="H17" s="20">
        <f>IFERROR(VLOOKUP($A17,subQ,MATCH(H$1,SUBQH,0),0),"")</f>
        <v/>
      </c>
      <c r="I17" s="20">
        <f>IFERROR(VLOOKUP($A17,subQ,MATCH(I$1,SUBQH,0),0),"")</f>
        <v/>
      </c>
      <c r="J17" s="20">
        <f>IFERROR(VLOOKUP($A17,subQ,MATCH(J$1,SUBQH,0),0),"")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45">
        <f>IFERROR(VLOOKUP($A18,subQ,MATCH(G$1,SUBQH,0),0),"")</f>
        <v/>
      </c>
      <c r="H18" s="20">
        <f>IFERROR(VLOOKUP($A18,subQ,MATCH(H$1,SUBQH,0),0),"")</f>
        <v/>
      </c>
      <c r="I18" s="20">
        <f>IFERROR(VLOOKUP($A18,subQ,MATCH(I$1,SUBQH,0),0),"")</f>
        <v/>
      </c>
      <c r="J18" s="20">
        <f>IFERROR(VLOOKUP($A18,subQ,MATCH(J$1,SUBQH,0),0),"")</f>
        <v/>
      </c>
    </row>
    <row r="19">
      <c r="A19" s="12" t="inlineStr">
        <is>
          <t>자산총계</t>
        </is>
      </c>
      <c r="D19" t="inlineStr">
        <is>
          <t>자산총계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45">
        <f>IFERROR(VLOOKUP($A19,subQ,MATCH(G$1,SUBQH,0),0),"")</f>
        <v/>
      </c>
      <c r="H19" s="20">
        <f>IFERROR(VLOOKUP($A19,subQ,MATCH(H$1,SUBQH,0),0),"")</f>
        <v/>
      </c>
      <c r="I19" s="20">
        <f>IFERROR(VLOOKUP($A19,subQ,MATCH(I$1,SUBQH,0),0),"")</f>
        <v/>
      </c>
      <c r="J19" s="20">
        <f>IFERROR(VLOOKUP($A19,subQ,MATCH(J$1,SUBQH,0),0),"")</f>
        <v/>
      </c>
    </row>
    <row r="20">
      <c r="A20" s="12" t="inlineStr">
        <is>
          <t>부채총계</t>
        </is>
      </c>
      <c r="D20" t="inlineStr">
        <is>
          <t>부채총계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45">
        <f>IFERROR(VLOOKUP($A20,subQ,MATCH(G$1,SUBQH,0),0),"")</f>
        <v/>
      </c>
      <c r="H20" s="20">
        <f>IFERROR(VLOOKUP($A20,subQ,MATCH(H$1,SUBQH,0),0),"")</f>
        <v/>
      </c>
      <c r="I20" s="20">
        <f>IFERROR(VLOOKUP($A20,subQ,MATCH(I$1,SUBQH,0),0),"")</f>
        <v/>
      </c>
      <c r="J20" s="20">
        <f>IFERROR(VLOOKUP($A20,subQ,MATCH(J$1,SUBQH,0),0),"")</f>
        <v/>
      </c>
    </row>
    <row r="21">
      <c r="A21" s="12" t="inlineStr">
        <is>
          <t>자본총계</t>
        </is>
      </c>
      <c r="D21" t="inlineStr">
        <is>
          <t>자본총계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45">
        <f>IFERROR(VLOOKUP($A21,subQ,MATCH(G$1,SUBQH,0),0),"")</f>
        <v/>
      </c>
      <c r="H21" s="20">
        <f>IFERROR(VLOOKUP($A21,subQ,MATCH(H$1,SUBQH,0),0),"")</f>
        <v/>
      </c>
      <c r="I21" s="20">
        <f>IFERROR(VLOOKUP($A21,subQ,MATCH(I$1,SUBQH,0),0),"")</f>
        <v/>
      </c>
      <c r="J21" s="20">
        <f>IFERROR(VLOOKUP($A21,subQ,MATCH(J$1,SUBQH,0),0),"")</f>
        <v/>
      </c>
    </row>
    <row r="22">
      <c r="A22" s="12" t="inlineStr">
        <is>
          <t>지배주주지분</t>
        </is>
      </c>
      <c r="D22" t="inlineStr">
        <is>
          <t>지배주주지분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45">
        <f>IFERROR(VLOOKUP($A22,subQ,MATCH(G$1,SUBQH,0),0),"")</f>
        <v/>
      </c>
      <c r="H22" s="20">
        <f>IFERROR(VLOOKUP($A22,subQ,MATCH(H$1,SUBQH,0),0),"")</f>
        <v/>
      </c>
      <c r="I22" s="20">
        <f>IFERROR(VLOOKUP($A22,subQ,MATCH(I$1,SUBQH,0),0),"")</f>
        <v/>
      </c>
      <c r="J22" s="20">
        <f>IFERROR(VLOOKUP($A22,subQ,MATCH(J$1,SUBQH,0),0),"")</f>
        <v/>
      </c>
    </row>
    <row r="23">
      <c r="A23" s="12" t="inlineStr">
        <is>
          <t>총차입금</t>
        </is>
      </c>
      <c r="D23" t="inlineStr">
        <is>
          <t>총차입금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45">
        <f>IFERROR(VLOOKUP($A23,subQ,MATCH(G$1,SUBQH,0),0),"")</f>
        <v/>
      </c>
      <c r="H23" s="20">
        <f>IFERROR(VLOOKUP($A23,subQ,MATCH(H$1,SUBQH,0),0),"")</f>
        <v/>
      </c>
      <c r="I23" s="20">
        <f>IFERROR(VLOOKUP($A23,subQ,MATCH(I$1,SUBQH,0),0),"")</f>
        <v/>
      </c>
      <c r="J23" s="20">
        <f>IFERROR(VLOOKUP($A23,subQ,MATCH(J$1,SUBQH,0),0),"")</f>
        <v/>
      </c>
    </row>
    <row r="24">
      <c r="A24" s="12" t="inlineStr">
        <is>
          <t>순차입금</t>
        </is>
      </c>
      <c r="D24" t="inlineStr">
        <is>
          <t>순차입금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45">
        <f>IFERROR(VLOOKUP($A24,subQ,MATCH(G$1,SUBQH,0),0),"")</f>
        <v/>
      </c>
      <c r="H24" s="20">
        <f>IFERROR(VLOOKUP($A24,subQ,MATCH(H$1,SUBQH,0),0),"")</f>
        <v/>
      </c>
      <c r="I24" s="20">
        <f>IFERROR(VLOOKUP($A24,subQ,MATCH(I$1,SUBQH,0),0),"")</f>
        <v/>
      </c>
      <c r="J24" s="20">
        <f>IFERROR(VLOOKUP($A24,subQ,MATCH(J$1,SUBQH,0),0),"")</f>
        <v/>
      </c>
    </row>
    <row r="25">
      <c r="A25" s="12" t="inlineStr">
        <is>
          <t>이자발생자산</t>
        </is>
      </c>
      <c r="D25" t="inlineStr">
        <is>
          <t>이자발생자산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45">
        <f>IFERROR(VLOOKUP($A25,subQ,MATCH(G$1,SUBQH,0),0),"")</f>
        <v/>
      </c>
      <c r="H25" s="20">
        <f>IFERROR(VLOOKUP($A25,subQ,MATCH(H$1,SUBQH,0),0),"")</f>
        <v/>
      </c>
      <c r="I25" s="20">
        <f>IFERROR(VLOOKUP($A25,subQ,MATCH(I$1,SUBQH,0),0),"")</f>
        <v/>
      </c>
      <c r="J25" s="20">
        <f>IFERROR(VLOOKUP($A25,subQ,MATCH(J$1,SUBQH,0),0),"")</f>
        <v/>
      </c>
    </row>
    <row r="26">
      <c r="A26" s="12" t="inlineStr">
        <is>
          <t>현금및현금성자산</t>
        </is>
      </c>
      <c r="D26" t="inlineStr">
        <is>
          <t>현금및현금성자산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45">
        <f>IFERROR(VLOOKUP($A26,subQ,MATCH(G$1,SUBQH,0),0),"")</f>
        <v/>
      </c>
      <c r="H26" s="20">
        <f>IFERROR(VLOOKUP($A26,subQ,MATCH(H$1,SUBQH,0),0),"")</f>
        <v/>
      </c>
      <c r="I26" s="20">
        <f>IFERROR(VLOOKUP($A26,subQ,MATCH(I$1,SUBQH,0),0),"")</f>
        <v/>
      </c>
      <c r="J26" s="20">
        <f>IFERROR(VLOOKUP($A26,subQ,MATCH(J$1,SUBQH,0),0),"")</f>
        <v/>
      </c>
    </row>
    <row r="27">
      <c r="A27" s="12" t="inlineStr">
        <is>
          <t>CAPEX</t>
        </is>
      </c>
      <c r="D27" t="inlineStr">
        <is>
          <t>CAPEX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45">
        <f>IFERROR(VLOOKUP($A27,subQ,MATCH(G$1,SUBQH,0),0),"")</f>
        <v/>
      </c>
      <c r="H27" s="20">
        <f>IFERROR(VLOOKUP($A27,subQ,MATCH(H$1,SUBQH,0),0),"")</f>
        <v/>
      </c>
      <c r="I27" s="20">
        <f>IFERROR(VLOOKUP($A27,subQ,MATCH(I$1,SUBQH,0),0),"")</f>
        <v/>
      </c>
      <c r="J27" s="20">
        <f>IFERROR(VLOOKUP($A27,subQ,MATCH(J$1,SUBQH,0),0),"")</f>
        <v/>
      </c>
    </row>
    <row r="28">
      <c r="A28" s="12" t="inlineStr">
        <is>
          <t>영업활동현금흐름</t>
        </is>
      </c>
      <c r="D28" t="inlineStr">
        <is>
          <t>영업활동현금흐름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45">
        <f>IFERROR(VLOOKUP($A28,subQ,MATCH(G$1,SUBQH,0),0),"")</f>
        <v/>
      </c>
      <c r="H28" s="20">
        <f>IFERROR(VLOOKUP($A28,subQ,MATCH(H$1,SUBQH,0),0),"")</f>
        <v/>
      </c>
      <c r="I28" s="20">
        <f>IFERROR(VLOOKUP($A28,subQ,MATCH(I$1,SUBQH,0),0),"")</f>
        <v/>
      </c>
      <c r="J28" s="20">
        <f>IFERROR(VLOOKUP($A28,subQ,MATCH(J$1,SUBQH,0),0),"")</f>
        <v/>
      </c>
    </row>
    <row r="29">
      <c r="A29" s="12" t="inlineStr">
        <is>
          <t>주식수</t>
        </is>
      </c>
      <c r="D29" t="inlineStr">
        <is>
          <t>유통주식수</t>
        </is>
      </c>
      <c r="E29" s="27">
        <f>IFERROR(VLOOKUP($A29,subQ,MATCH(E$1,SUBQH,0),0),"")</f>
        <v/>
      </c>
      <c r="F29" s="27">
        <f>IFERROR(VLOOKUP($A29,subQ,MATCH(F$1,SUBQH,0),0),"")</f>
        <v/>
      </c>
      <c r="G29" s="47">
        <f>IFERROR(VLOOKUP($A29,subQ,MATCH(G$1,SUBQH,0),0),"")</f>
        <v/>
      </c>
      <c r="H29" s="33">
        <f>IFERROR(VLOOKUP($A29,subQ,MATCH(H$1,SUBQH,0),0),"")</f>
        <v/>
      </c>
      <c r="I29" s="33">
        <f>IFERROR(VLOOKUP($A29,subQ,MATCH(I$1,SUBQH,0),0),"")</f>
        <v/>
      </c>
      <c r="J29" s="33">
        <f>IFERROR(VLOOKUP($A29,subQ,MATCH(J$1,SUBQH,0),0),"")</f>
        <v/>
      </c>
    </row>
    <row r="30">
      <c r="A30" s="12" t="inlineStr">
        <is>
          <t>EPS</t>
        </is>
      </c>
      <c r="D30" t="inlineStr">
        <is>
          <t>EPS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45">
        <f>IFERROR(VLOOKUP($A30,subQ,MATCH(G$1,SUBQH,0),0),"")</f>
        <v/>
      </c>
      <c r="H30" s="20">
        <f>IFERROR(VLOOKUP($A30,subQ,MATCH(H$1,SUBQH,0),0),"")</f>
        <v/>
      </c>
      <c r="I30" s="20">
        <f>IFERROR(VLOOKUP($A30,subQ,MATCH(I$1,SUBQH,0),0),"")</f>
        <v/>
      </c>
      <c r="J30" s="20">
        <f>IFERROR(VLOOKUP($A30,subQ,MATCH(J$1,SUBQH,0),0),"")</f>
        <v/>
      </c>
    </row>
    <row r="31">
      <c r="A31" s="12" t="inlineStr">
        <is>
          <t>BPS</t>
        </is>
      </c>
      <c r="D31" t="inlineStr">
        <is>
          <t>BPS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45">
        <f>IFERROR(VLOOKUP($A31,subQ,MATCH(G$1,SUBQH,0),0),"")</f>
        <v/>
      </c>
      <c r="H31" s="20">
        <f>IFERROR(VLOOKUP($A31,subQ,MATCH(H$1,SUBQH,0),0),"")</f>
        <v/>
      </c>
      <c r="I31" s="20">
        <f>IFERROR(VLOOKUP($A31,subQ,MATCH(I$1,SUBQH,0),0),"")</f>
        <v/>
      </c>
      <c r="J31" s="20">
        <f>IFERROR(VLOOKUP($A31,subQ,MATCH(J$1,SUBQH,0),0),"")</f>
        <v/>
      </c>
    </row>
    <row r="32">
      <c r="A32" s="12" t="inlineStr">
        <is>
          <t>DPS</t>
        </is>
      </c>
      <c r="D32" t="inlineStr">
        <is>
          <t>DPS(보통주)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45">
        <f>IFERROR(VLOOKUP($A32,subQ,MATCH(G$1,SUBQH,0),0),"")</f>
        <v/>
      </c>
      <c r="H32" s="20">
        <f>IFERROR(VLOOKUP($A32,subQ,MATCH(H$1,SUBQH,0),0),"")</f>
        <v/>
      </c>
      <c r="I32" s="20">
        <f>IFERROR(VLOOKUP($A32,subQ,MATCH(I$1,SUBQH,0),0),"")</f>
        <v/>
      </c>
      <c r="J32" s="20">
        <f>IFERROR(VLOOKUP($A32,subQ,MATCH(J$1,SUBQH,0),0),"")</f>
        <v/>
      </c>
    </row>
    <row r="33">
      <c r="A33" s="12" t="inlineStr">
        <is>
          <t>PER</t>
        </is>
      </c>
      <c r="D33" t="inlineStr">
        <is>
          <t>PER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48">
        <f>IFERROR(VLOOKUP($A33,subQ,MATCH(G$1,SUBQH,0),0),"")</f>
        <v/>
      </c>
      <c r="H33" s="39">
        <f>IFERROR(VLOOKUP($A33,subQ,MATCH(H$1,SUBQH,0),0),"")</f>
        <v/>
      </c>
      <c r="I33" s="39">
        <f>IFERROR(VLOOKUP($A33,subQ,MATCH(I$1,SUBQH,0),0),"")</f>
        <v/>
      </c>
      <c r="J33" s="39">
        <f>IFERROR(VLOOKUP($A33,subQ,MATCH(J$1,SUBQH,0),0),"")</f>
        <v/>
      </c>
    </row>
    <row r="34">
      <c r="A34" s="12" t="inlineStr">
        <is>
          <t>PBR</t>
        </is>
      </c>
      <c r="D34" t="inlineStr">
        <is>
          <t>PBR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48">
        <f>IFERROR(VLOOKUP($A34,subQ,MATCH(G$1,SUBQH,0),0),"")</f>
        <v/>
      </c>
      <c r="H34" s="39">
        <f>IFERROR(VLOOKUP($A34,subQ,MATCH(H$1,SUBQH,0),0),"")</f>
        <v/>
      </c>
      <c r="I34" s="39">
        <f>IFERROR(VLOOKUP($A34,subQ,MATCH(I$1,SUBQH,0),0),"")</f>
        <v/>
      </c>
      <c r="J34" s="39">
        <f>IFERROR(VLOOKUP($A34,subQ,MATCH(J$1,SUBQH,0),0),"")</f>
        <v/>
      </c>
    </row>
    <row r="35">
      <c r="A35" s="12" t="inlineStr">
        <is>
          <t>매출전사</t>
        </is>
      </c>
      <c r="D35" t="inlineStr">
        <is>
          <t>매출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45">
        <f>IFERROR(VLOOKUP($A35,subQ,MATCH(G$1,SUBQH,0),0),"")</f>
        <v/>
      </c>
      <c r="H35" s="20">
        <f>IFERROR(VLOOKUP($A35,subQ,MATCH(H$1,SUBQH,0),0),"")</f>
        <v/>
      </c>
      <c r="I35" s="20">
        <f>IFERROR(VLOOKUP($A35,subQ,MATCH(I$1,SUBQH,0),0),"")</f>
        <v/>
      </c>
      <c r="J35" s="20">
        <f>IFERROR(VLOOKUP($A35,subQ,MATCH(J$1,SUBQH,0),0),"")</f>
        <v/>
      </c>
    </row>
    <row r="36">
      <c r="A36" s="12" t="inlineStr">
        <is>
          <t>OP전사</t>
        </is>
      </c>
      <c r="D36" t="inlineStr">
        <is>
          <t>OP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45">
        <f>IFERROR(VLOOKUP($A36,subQ,MATCH(G$1,SUBQH,0),0),"")</f>
        <v/>
      </c>
      <c r="H36" s="20">
        <f>IFERROR(VLOOKUP($A36,subQ,MATCH(H$1,SUBQH,0),0),"")</f>
        <v/>
      </c>
      <c r="I36" s="20">
        <f>IFERROR(VLOOKUP($A36,subQ,MATCH(I$1,SUBQH,0),0),"")</f>
        <v/>
      </c>
      <c r="J36" s="20">
        <f>IFERROR(VLOOKUP($A36,subQ,MATCH(J$1,SUBQH,0),0),"")</f>
        <v/>
      </c>
    </row>
    <row r="37">
      <c r="A37" s="12" t="inlineStr">
        <is>
          <t>NPM</t>
        </is>
      </c>
      <c r="D37" t="inlineStr">
        <is>
          <t>NPM</t>
        </is>
      </c>
      <c r="E37" s="21">
        <f>IFERROR(VLOOKUP($A37,subQ,MATCH(E$1,SUBQH,0),0),"")</f>
        <v/>
      </c>
      <c r="F37" s="21">
        <f>IFERROR(VLOOKUP($A37,subQ,MATCH(F$1,SUBQH,0),0),"")</f>
        <v/>
      </c>
      <c r="G37" s="46">
        <f>IFERROR(VLOOKUP($A37,subQ,MATCH(G$1,SUBQH,0),0),"")</f>
        <v/>
      </c>
      <c r="H37" s="32">
        <f>IFERROR(VLOOKUP($A37,subQ,MATCH(H$1,SUBQH,0),0),"")</f>
        <v/>
      </c>
      <c r="I37" s="32">
        <f>IFERROR(VLOOKUP($A37,subQ,MATCH(I$1,SUBQH,0),0),"")</f>
        <v/>
      </c>
      <c r="J37" s="32">
        <f>IFERROR(VLOOKUP($A37,subQ,MATCH(J$1,SUBQH,0),0),"")</f>
        <v/>
      </c>
    </row>
    <row r="38">
      <c r="A38" s="12" t="inlineStr">
        <is>
          <t>매출액 YoY</t>
        </is>
      </c>
      <c r="D38" t="inlineStr">
        <is>
          <t>매출액 YoY</t>
        </is>
      </c>
      <c r="F38" s="21">
        <f>IFERROR(F5/E5-1,"")</f>
        <v/>
      </c>
      <c r="G38" s="46">
        <f>IFERROR(G5/F5-1,"")</f>
        <v/>
      </c>
      <c r="H38" s="32">
        <f>IFERROR(H5/G5-1,"")</f>
        <v/>
      </c>
      <c r="I38" s="32">
        <f>IFERROR(I5/H5-1,"")</f>
        <v/>
      </c>
      <c r="J38" s="32">
        <f>IFERROR(J5/I5-1,"")</f>
        <v/>
      </c>
    </row>
    <row r="39">
      <c r="A39" s="12" t="inlineStr">
        <is>
          <t>영업이익 YoY</t>
        </is>
      </c>
      <c r="D39" t="inlineStr">
        <is>
          <t>영업이익 YoY</t>
        </is>
      </c>
      <c r="F39" s="21">
        <f>IFERROR(F9/E9-1,"")</f>
        <v/>
      </c>
      <c r="G39" s="46">
        <f>IFERROR(G9/F9-1,"")</f>
        <v/>
      </c>
      <c r="H39" s="32">
        <f>IFERROR(H9/G9-1,"")</f>
        <v/>
      </c>
      <c r="I39" s="32">
        <f>IFERROR(I9/H9-1,"")</f>
        <v/>
      </c>
      <c r="J39" s="32">
        <f>IFERROR(J9/I9-1,"")</f>
        <v/>
      </c>
    </row>
    <row r="40">
      <c r="A40" s="12" t="inlineStr">
        <is>
          <t>지배주주순이익 YoY</t>
        </is>
      </c>
      <c r="D40" t="inlineStr">
        <is>
          <t>지배주주순이익 YoY</t>
        </is>
      </c>
      <c r="F40" s="21">
        <f>IFERROR(F18/E18-1,"")</f>
        <v/>
      </c>
      <c r="G40" s="46">
        <f>IFERROR(G18/F18-1,"")</f>
        <v/>
      </c>
      <c r="H40" s="32">
        <f>IFERROR(H18/G18-1,"")</f>
        <v/>
      </c>
      <c r="I40" s="32">
        <f>IFERROR(I18/H18-1,"")</f>
        <v/>
      </c>
      <c r="J40" s="32">
        <f>IFERROR(J18/I18-1,"")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변수!D41</f>
        <v/>
      </c>
    </row>
    <row r="2">
      <c r="B2" s="1" t="inlineStr">
        <is>
          <t>기준일</t>
        </is>
      </c>
      <c r="C2">
        <f>변수!D42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IFERROR(E7*변수!D47+F7*(1-변수!D47),"")</f>
        <v/>
      </c>
    </row>
    <row r="15">
      <c r="C15" t="inlineStr">
        <is>
          <t>적정가치 @PER_lo</t>
        </is>
      </c>
      <c r="D15" s="27">
        <f>변수!D44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변수!D45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변수!D46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변수!D43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820.6</v>
      </c>
    </row>
    <row r="30">
      <c r="C30" s="2" t="inlineStr">
        <is>
          <t>bps_latest</t>
        </is>
      </c>
      <c r="D30" t="n">
        <v>7420.6</v>
      </c>
    </row>
    <row r="31">
      <c r="C31" s="2" t="inlineStr">
        <is>
          <t>per_now</t>
        </is>
      </c>
      <c r="D31" t="n">
        <v>13.98</v>
      </c>
    </row>
    <row r="32">
      <c r="C32" s="2" t="inlineStr">
        <is>
          <t>pbr_now</t>
        </is>
      </c>
      <c r="D32" t="n">
        <v>1.55</v>
      </c>
    </row>
    <row r="33">
      <c r="C33" s="2" t="inlineStr">
        <is>
          <t>roe_fwd</t>
        </is>
      </c>
      <c r="D33" t="n">
        <v>0.1106</v>
      </c>
    </row>
    <row r="34">
      <c r="C34" s="2" t="inlineStr">
        <is>
          <t>fair_pbr</t>
        </is>
      </c>
      <c r="D34" t="n">
        <v>1.23</v>
      </c>
    </row>
    <row r="35">
      <c r="C35" s="2" t="inlineStr">
        <is>
          <t>fair_value_pbr</t>
        </is>
      </c>
      <c r="D35" t="n">
        <v>9100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C1" s="2" t="inlineStr">
        <is>
          <t>이름: 외화QH — 환율 QoQ · 외화 순노출 × Δ기말환율</t>
        </is>
      </c>
      <c r="E1" s="3" t="inlineStr">
        <is>
          <t>4Q23</t>
        </is>
      </c>
      <c r="F1" s="3" t="inlineStr">
        <is>
          <t>1Q24</t>
        </is>
      </c>
      <c r="G1" s="3" t="inlineStr">
        <is>
          <t>2Q24</t>
        </is>
      </c>
      <c r="H1" s="3" t="inlineStr">
        <is>
          <t>3Q24</t>
        </is>
      </c>
      <c r="I1" s="3" t="inlineStr">
        <is>
          <t>4Q24</t>
        </is>
      </c>
      <c r="J1" s="3" t="inlineStr">
        <is>
          <t>1Q25</t>
        </is>
      </c>
      <c r="K1" s="3" t="inlineStr">
        <is>
          <t>2Q25</t>
        </is>
      </c>
      <c r="L1" s="3" t="inlineStr">
        <is>
          <t>3Q25</t>
        </is>
      </c>
      <c r="M1" s="3" t="inlineStr">
        <is>
          <t>4Q25</t>
        </is>
      </c>
      <c r="N1" s="3" t="inlineStr">
        <is>
          <t>1Q26</t>
        </is>
      </c>
      <c r="O1" s="3" t="inlineStr">
        <is>
          <t>2Q26</t>
        </is>
      </c>
      <c r="P1" s="3" t="inlineStr">
        <is>
          <t>3Q26</t>
        </is>
      </c>
      <c r="Q1" s="3" t="inlineStr">
        <is>
          <t>4Q26</t>
        </is>
      </c>
      <c r="R1" s="3" t="inlineStr">
        <is>
          <t>1Q27</t>
        </is>
      </c>
      <c r="S1" s="3" t="inlineStr">
        <is>
          <t>2Q27</t>
        </is>
      </c>
      <c r="T1" s="3" t="inlineStr">
        <is>
          <t>3Q27</t>
        </is>
      </c>
      <c r="U1" s="3" t="inlineStr">
        <is>
          <t>4Q27</t>
        </is>
      </c>
      <c r="V1" s="3" t="inlineStr">
        <is>
          <t>1Q28</t>
        </is>
      </c>
      <c r="W1" s="3" t="inlineStr">
        <is>
          <t>2Q28</t>
        </is>
      </c>
      <c r="X1" s="3" t="inlineStr">
        <is>
          <t>3Q28</t>
        </is>
      </c>
      <c r="Y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</row>
    <row r="4">
      <c r="E4" s="7" t="inlineStr">
        <is>
          <t>2023.12</t>
        </is>
      </c>
      <c r="F4" s="7" t="inlineStr">
        <is>
          <t>2024.03</t>
        </is>
      </c>
      <c r="G4" s="7" t="inlineStr">
        <is>
          <t>2024.06</t>
        </is>
      </c>
      <c r="H4" s="7" t="inlineStr">
        <is>
          <t>2024.09</t>
        </is>
      </c>
      <c r="I4" s="7" t="inlineStr">
        <is>
          <t>2024.12</t>
        </is>
      </c>
      <c r="J4" s="7" t="inlineStr">
        <is>
          <t>2025.03</t>
        </is>
      </c>
      <c r="K4" s="7" t="inlineStr">
        <is>
          <t>2025.06</t>
        </is>
      </c>
      <c r="L4" s="7" t="inlineStr">
        <is>
          <t>2025.09</t>
        </is>
      </c>
      <c r="M4" s="7" t="inlineStr">
        <is>
          <t>2025.12</t>
        </is>
      </c>
      <c r="N4" s="7" t="inlineStr">
        <is>
          <t>2026.03</t>
        </is>
      </c>
      <c r="O4" s="7" t="inlineStr">
        <is>
          <t>2026.06</t>
        </is>
      </c>
      <c r="P4" s="7" t="inlineStr">
        <is>
          <t>2026.09</t>
        </is>
      </c>
      <c r="Q4" s="7" t="inlineStr">
        <is>
          <t>2026.12</t>
        </is>
      </c>
      <c r="R4" s="7" t="inlineStr">
        <is>
          <t>2027.03</t>
        </is>
      </c>
      <c r="S4" s="7" t="inlineStr">
        <is>
          <t>2027.06</t>
        </is>
      </c>
      <c r="T4" s="7" t="inlineStr">
        <is>
          <t>2027.09</t>
        </is>
      </c>
      <c r="U4" s="7" t="inlineStr">
        <is>
          <t>2027.12</t>
        </is>
      </c>
      <c r="V4" s="7" t="inlineStr">
        <is>
          <t>2028.03</t>
        </is>
      </c>
      <c r="W4" s="7" t="inlineStr">
        <is>
          <t>2028.06</t>
        </is>
      </c>
      <c r="X4" s="7" t="inlineStr">
        <is>
          <t>2028.09</t>
        </is>
      </c>
      <c r="Y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39">
        <f>IFERROR(VLOOKUP($D5,환율,MATCH(P$1,변수H,0),0),"")</f>
        <v/>
      </c>
      <c r="Q5" s="39">
        <f>IFERROR(VLOOKUP($D5,환율,MATCH(Q$1,변수H,0),0),"")</f>
        <v/>
      </c>
      <c r="R5" s="39">
        <f>IFERROR(VLOOKUP($D5,환율,MATCH(R$1,변수H,0),0),"")</f>
        <v/>
      </c>
      <c r="S5" s="39">
        <f>IFERROR(VLOOKUP($D5,환율,MATCH(S$1,변수H,0),0),"")</f>
        <v/>
      </c>
      <c r="T5" s="39">
        <f>IFERROR(VLOOKUP($D5,환율,MATCH(T$1,변수H,0),0),"")</f>
        <v/>
      </c>
      <c r="U5" s="39">
        <f>IFERROR(VLOOKUP($D5,환율,MATCH(U$1,변수H,0),0),"")</f>
        <v/>
      </c>
      <c r="V5" s="39">
        <f>IFERROR(VLOOKUP($D5,환율,MATCH(V$1,변수H,0),0),"")</f>
        <v/>
      </c>
      <c r="W5" s="39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32">
        <f>IFERROR(P5/O5-1,"")</f>
        <v/>
      </c>
      <c r="Q6" s="32">
        <f>IFERROR(Q5/P5-1,"")</f>
        <v/>
      </c>
      <c r="R6" s="32">
        <f>IFERROR(R5/Q5-1,"")</f>
        <v/>
      </c>
      <c r="S6" s="32">
        <f>IFERROR(S5/R5-1,"")</f>
        <v/>
      </c>
      <c r="T6" s="32">
        <f>IFERROR(T5/S5-1,"")</f>
        <v/>
      </c>
      <c r="U6" s="32">
        <f>IFERROR(U5/T5-1,"")</f>
        <v/>
      </c>
      <c r="V6" s="32">
        <f>IFERROR(V5/U5-1,"")</f>
        <v/>
      </c>
      <c r="W6" s="32">
        <f>IFERROR(W5/V5-1,"")</f>
        <v/>
      </c>
      <c r="X6" s="32">
        <f>IFERROR(X5/W5-1,"")</f>
        <v/>
      </c>
      <c r="Y6" s="32">
        <f>IFERROR(Y5/X5-1,"")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39">
        <f>IFERROR(VLOOKUP($D7,환율,MATCH(P$1,변수H,0),0),"")</f>
        <v/>
      </c>
      <c r="Q7" s="39">
        <f>IFERROR(VLOOKUP($D7,환율,MATCH(Q$1,변수H,0),0),"")</f>
        <v/>
      </c>
      <c r="R7" s="39">
        <f>IFERROR(VLOOKUP($D7,환율,MATCH(R$1,변수H,0),0),"")</f>
        <v/>
      </c>
      <c r="S7" s="39">
        <f>IFERROR(VLOOKUP($D7,환율,MATCH(S$1,변수H,0),0),"")</f>
        <v/>
      </c>
      <c r="T7" s="39">
        <f>IFERROR(VLOOKUP($D7,환율,MATCH(T$1,변수H,0),0),"")</f>
        <v/>
      </c>
      <c r="U7" s="39">
        <f>IFERROR(VLOOKUP($D7,환율,MATCH(U$1,변수H,0),0),"")</f>
        <v/>
      </c>
      <c r="V7" s="39">
        <f>IFERROR(VLOOKUP($D7,환율,MATCH(V$1,변수H,0),0),"")</f>
        <v/>
      </c>
      <c r="W7" s="39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32">
        <f>IFERROR(P7/O7-1,"")</f>
        <v/>
      </c>
      <c r="Q8" s="32">
        <f>IFERROR(Q7/P7-1,"")</f>
        <v/>
      </c>
      <c r="R8" s="32">
        <f>IFERROR(R7/Q7-1,"")</f>
        <v/>
      </c>
      <c r="S8" s="32">
        <f>IFERROR(S7/R7-1,"")</f>
        <v/>
      </c>
      <c r="T8" s="32">
        <f>IFERROR(T7/S7-1,"")</f>
        <v/>
      </c>
      <c r="U8" s="32">
        <f>IFERROR(U7/T7-1,"")</f>
        <v/>
      </c>
      <c r="V8" s="32">
        <f>IFERROR(V7/U7-1,"")</f>
        <v/>
      </c>
      <c r="W8" s="32">
        <f>IFERROR(W7/V7-1,"")</f>
        <v/>
      </c>
      <c r="X8" s="32">
        <f>IFERROR(X7/W7-1,"")</f>
        <v/>
      </c>
      <c r="Y8" s="32">
        <f>IFERROR(Y7/X7-1,"")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39">
        <f>IFERROR(VLOOKUP($D9,환율,MATCH(P$1,변수H,0),0),"")</f>
        <v/>
      </c>
      <c r="Q9" s="39">
        <f>IFERROR(VLOOKUP($D9,환율,MATCH(Q$1,변수H,0),0),"")</f>
        <v/>
      </c>
      <c r="R9" s="39">
        <f>IFERROR(VLOOKUP($D9,환율,MATCH(R$1,변수H,0),0),"")</f>
        <v/>
      </c>
      <c r="S9" s="39">
        <f>IFERROR(VLOOKUP($D9,환율,MATCH(S$1,변수H,0),0),"")</f>
        <v/>
      </c>
      <c r="T9" s="39">
        <f>IFERROR(VLOOKUP($D9,환율,MATCH(T$1,변수H,0),0),"")</f>
        <v/>
      </c>
      <c r="U9" s="39">
        <f>IFERROR(VLOOKUP($D9,환율,MATCH(U$1,변수H,0),0),"")</f>
        <v/>
      </c>
      <c r="V9" s="39">
        <f>IFERROR(VLOOKUP($D9,환율,MATCH(V$1,변수H,0),0),"")</f>
        <v/>
      </c>
      <c r="W9" s="39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32">
        <f>IFERROR(P9/O9-1,"")</f>
        <v/>
      </c>
      <c r="Q10" s="32">
        <f>IFERROR(Q9/P9-1,"")</f>
        <v/>
      </c>
      <c r="R10" s="32">
        <f>IFERROR(R9/Q9-1,"")</f>
        <v/>
      </c>
      <c r="S10" s="32">
        <f>IFERROR(S9/R9-1,"")</f>
        <v/>
      </c>
      <c r="T10" s="32">
        <f>IFERROR(T9/S9-1,"")</f>
        <v/>
      </c>
      <c r="U10" s="32">
        <f>IFERROR(U9/T9-1,"")</f>
        <v/>
      </c>
      <c r="V10" s="32">
        <f>IFERROR(V9/U9-1,"")</f>
        <v/>
      </c>
      <c r="W10" s="32">
        <f>IFERROR(W9/V9-1,"")</f>
        <v/>
      </c>
      <c r="X10" s="32">
        <f>IFERROR(X9/W9-1,"")</f>
        <v/>
      </c>
      <c r="Y10" s="32">
        <f>IFERROR(Y9/X9-1,"")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39">
        <f>IFERROR(VLOOKUP($D11,환율,MATCH(P$1,변수H,0),0),"")</f>
        <v/>
      </c>
      <c r="Q11" s="39">
        <f>IFERROR(VLOOKUP($D11,환율,MATCH(Q$1,변수H,0),0),"")</f>
        <v/>
      </c>
      <c r="R11" s="39">
        <f>IFERROR(VLOOKUP($D11,환율,MATCH(R$1,변수H,0),0),"")</f>
        <v/>
      </c>
      <c r="S11" s="39">
        <f>IFERROR(VLOOKUP($D11,환율,MATCH(S$1,변수H,0),0),"")</f>
        <v/>
      </c>
      <c r="T11" s="39">
        <f>IFERROR(VLOOKUP($D11,환율,MATCH(T$1,변수H,0),0),"")</f>
        <v/>
      </c>
      <c r="U11" s="39">
        <f>IFERROR(VLOOKUP($D11,환율,MATCH(U$1,변수H,0),0),"")</f>
        <v/>
      </c>
      <c r="V11" s="39">
        <f>IFERROR(VLOOKUP($D11,환율,MATCH(V$1,변수H,0),0),"")</f>
        <v/>
      </c>
      <c r="W11" s="39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32">
        <f>IFERROR(P11/O11-1,"")</f>
        <v/>
      </c>
      <c r="Q12" s="32">
        <f>IFERROR(Q11/P11-1,"")</f>
        <v/>
      </c>
      <c r="R12" s="32">
        <f>IFERROR(R11/Q11-1,"")</f>
        <v/>
      </c>
      <c r="S12" s="32">
        <f>IFERROR(S11/R11-1,"")</f>
        <v/>
      </c>
      <c r="T12" s="32">
        <f>IFERROR(T11/S11-1,"")</f>
        <v/>
      </c>
      <c r="U12" s="32">
        <f>IFERROR(U11/T11-1,"")</f>
        <v/>
      </c>
      <c r="V12" s="32">
        <f>IFERROR(V11/U11-1,"")</f>
        <v/>
      </c>
      <c r="W12" s="32">
        <f>IFERROR(W11/V11-1,"")</f>
        <v/>
      </c>
      <c r="X12" s="32">
        <f>IFERROR(X11/W11-1,"")</f>
        <v/>
      </c>
      <c r="Y12" s="32">
        <f>IFERROR(Y11/X11-1,"")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39">
        <f>IFERROR(VLOOKUP($D13,환율,MATCH(P$1,변수H,0),0),"")</f>
        <v/>
      </c>
      <c r="Q13" s="39">
        <f>IFERROR(VLOOKUP($D13,환율,MATCH(Q$1,변수H,0),0),"")</f>
        <v/>
      </c>
      <c r="R13" s="39">
        <f>IFERROR(VLOOKUP($D13,환율,MATCH(R$1,변수H,0),0),"")</f>
        <v/>
      </c>
      <c r="S13" s="39">
        <f>IFERROR(VLOOKUP($D13,환율,MATCH(S$1,변수H,0),0),"")</f>
        <v/>
      </c>
      <c r="T13" s="39">
        <f>IFERROR(VLOOKUP($D13,환율,MATCH(T$1,변수H,0),0),"")</f>
        <v/>
      </c>
      <c r="U13" s="39">
        <f>IFERROR(VLOOKUP($D13,환율,MATCH(U$1,변수H,0),0),"")</f>
        <v/>
      </c>
      <c r="V13" s="39">
        <f>IFERROR(VLOOKUP($D13,환율,MATCH(V$1,변수H,0),0),"")</f>
        <v/>
      </c>
      <c r="W13" s="39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32">
        <f>IFERROR(P13/O13-1,"")</f>
        <v/>
      </c>
      <c r="Q14" s="32">
        <f>IFERROR(Q13/P13-1,"")</f>
        <v/>
      </c>
      <c r="R14" s="32">
        <f>IFERROR(R13/Q13-1,"")</f>
        <v/>
      </c>
      <c r="S14" s="32">
        <f>IFERROR(S13/R13-1,"")</f>
        <v/>
      </c>
      <c r="T14" s="32">
        <f>IFERROR(T13/S13-1,"")</f>
        <v/>
      </c>
      <c r="U14" s="32">
        <f>IFERROR(U13/T13-1,"")</f>
        <v/>
      </c>
      <c r="V14" s="32">
        <f>IFERROR(V13/U13-1,"")</f>
        <v/>
      </c>
      <c r="W14" s="32">
        <f>IFERROR(W13/V13-1,"")</f>
        <v/>
      </c>
      <c r="X14" s="32">
        <f>IFERROR(X13/W13-1,"")</f>
        <v/>
      </c>
      <c r="Y14" s="32">
        <f>IFERROR(Y13/X13-1,"")</f>
        <v/>
      </c>
    </row>
    <row r="15"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변수!D54</f>
        <v/>
      </c>
      <c r="E16" s="2" t="inlineStr">
        <is>
          <t>외화 순노출 × Δ기말환율 (외화 시트 방식)</t>
        </is>
      </c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20">
        <f>IFERROR($D$16*(P7-O7)/100,"")</f>
        <v/>
      </c>
      <c r="Q17" s="20">
        <f>IFERROR($D$16*(Q7-P7)/100,"")</f>
        <v/>
      </c>
      <c r="R17" s="20">
        <f>IFERROR($D$16*(R7-Q7)/100,"")</f>
        <v/>
      </c>
      <c r="S17" s="20">
        <f>IFERROR($D$16*(S7-R7)/100,"")</f>
        <v/>
      </c>
      <c r="T17" s="20">
        <f>IFERROR($D$16*(T7-S7)/100,"")</f>
        <v/>
      </c>
      <c r="U17" s="20">
        <f>IFERROR($D$16*(U7-T7)/100,"")</f>
        <v/>
      </c>
      <c r="V17" s="20">
        <f>IFERROR($D$16*(V7-U7)/100,"")</f>
        <v/>
      </c>
      <c r="W17" s="20">
        <f>IFERROR($D$16*(W7-V7)/100,"")</f>
        <v/>
      </c>
      <c r="X17" s="20">
        <f>IFERROR($D$16*(X7-W7)/100,"")</f>
        <v/>
      </c>
      <c r="Y17" s="20">
        <f>IFERROR($D$16*(Y7-X7)/100,"")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C19" s="2" t="inlineStr">
        <is>
          <t>외화 순노출 미공시(face) → 0 + 표기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2026-10-19T00:00:00Z</dcterms:created>
  <dcterms:modified xsi:type="dcterms:W3CDTF">2026-10-19T00:00:00Z</dcterms:modified>
</cp:coreProperties>
</file>