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274867억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286111억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297590억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307651억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320174억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337547억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274867억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286111억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297590억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307651억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320174억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337547억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1011억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963억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1011억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1104억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2.15%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1.9, "op_wape_pct": 19.1,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614.67, "rev_act": 605.92, "op_pred": 66.04, "op_act": 67.88}, {"q": "2025Q4", "rev_pred": 673.57, "rev_act": 669.42, "op_pred": 72.37, "op_act": 64.77}, {"q": "2026Q1", "rev_pred": 675.97, "rev_act": 646.1, "op_pred": 72.63, "op_act": 85.3}, {"q": "2026Q2", "rev_pred": 735.12, "rev_act": 727.68, "op_pred": 78.98,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1348.08</v>
      </c>
      <c r="U6" s="17" t="n">
        <v>1458.99</v>
      </c>
      <c r="V6" s="16" t="n">
        <v>1338.78</v>
      </c>
      <c r="W6" s="16" t="n">
        <v>1338.78</v>
      </c>
      <c r="X6" s="16" t="n">
        <v>1338.78</v>
      </c>
      <c r="Y6" s="16" t="n">
        <v>1338.78</v>
      </c>
      <c r="Z6" s="11" t="n"/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1338.78</v>
      </c>
      <c r="U7" s="17" t="n">
        <v>1338.78</v>
      </c>
      <c r="V7" s="16" t="n">
        <v>1338.78</v>
      </c>
      <c r="W7" s="16" t="n">
        <v>1338.78</v>
      </c>
      <c r="X7" s="16" t="n">
        <v>1338.78</v>
      </c>
      <c r="Y7" s="16" t="n">
        <v>1338.78</v>
      </c>
      <c r="Z7" s="11" t="n"/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853.26</v>
      </c>
      <c r="U8" s="17" t="n">
        <v>920.3099999999999</v>
      </c>
      <c r="V8" s="16" t="n">
        <v>846.85</v>
      </c>
      <c r="W8" s="16" t="n">
        <v>846.85</v>
      </c>
      <c r="X8" s="16" t="n">
        <v>846.85</v>
      </c>
      <c r="Y8" s="16" t="n">
        <v>846.85</v>
      </c>
      <c r="Z8" s="11" t="n"/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846.85</v>
      </c>
      <c r="U9" s="17" t="n">
        <v>846.85</v>
      </c>
      <c r="V9" s="16" t="n">
        <v>846.85</v>
      </c>
      <c r="W9" s="16" t="n">
        <v>846.85</v>
      </c>
      <c r="X9" s="16" t="n">
        <v>846.85</v>
      </c>
      <c r="Y9" s="16" t="n">
        <v>846.85</v>
      </c>
      <c r="Z9" s="11" t="n"/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1516.47</v>
      </c>
      <c r="U10" s="17" t="n">
        <v>1692.86</v>
      </c>
      <c r="V10" s="16" t="n">
        <v>1508.67</v>
      </c>
      <c r="W10" s="16" t="n">
        <v>1508.67</v>
      </c>
      <c r="X10" s="16" t="n">
        <v>1508.67</v>
      </c>
      <c r="Y10" s="16" t="n">
        <v>1508.67</v>
      </c>
      <c r="Z10" s="11" t="n"/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1508.67</v>
      </c>
      <c r="U11" s="17" t="n">
        <v>1508.67</v>
      </c>
      <c r="V11" s="16" t="n">
        <v>1508.67</v>
      </c>
      <c r="W11" s="16" t="n">
        <v>1508.67</v>
      </c>
      <c r="X11" s="16" t="n">
        <v>1508.67</v>
      </c>
      <c r="Y11" s="16" t="n">
        <v>1508.67</v>
      </c>
      <c r="Z11" s="11" t="n"/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201.07</v>
      </c>
      <c r="U12" s="17" t="n">
        <v>213.96</v>
      </c>
      <c r="V12" s="16" t="n">
        <v>199.68</v>
      </c>
      <c r="W12" s="16" t="n">
        <v>199.68</v>
      </c>
      <c r="X12" s="16" t="n">
        <v>199.68</v>
      </c>
      <c r="Y12" s="16" t="n">
        <v>199.68</v>
      </c>
      <c r="Z12" s="11" t="n"/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199.68</v>
      </c>
      <c r="U13" s="17" t="n">
        <v>199.68</v>
      </c>
      <c r="V13" s="16" t="n">
        <v>199.68</v>
      </c>
      <c r="W13" s="16" t="n">
        <v>199.68</v>
      </c>
      <c r="X13" s="16" t="n">
        <v>199.68</v>
      </c>
      <c r="Y13" s="16" t="n">
        <v>199.68</v>
      </c>
      <c r="Z13" s="11" t="n"/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12830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12775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13037.5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0.16723906</v>
      </c>
      <c r="Y21" s="24" t="n">
        <v>0.187570033</v>
      </c>
      <c r="Z21" s="25" t="n"/>
      <c r="AA21" s="24" t="n">
        <v>0.182502466</v>
      </c>
      <c r="AB21" s="24" t="n">
        <v>0.16930343</v>
      </c>
      <c r="AC21" s="24" t="n">
        <v>0.164842036</v>
      </c>
      <c r="AD21" s="24" t="n">
        <v>0.1797775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0.118047297</v>
      </c>
      <c r="Y23" s="24" t="n">
        <v>0.118041384</v>
      </c>
      <c r="Z23" s="25">
        <f>IFERROR(subQ!Z9/subQ!Z5,"")</f>
        <v/>
      </c>
      <c r="AA23" s="24" t="n">
        <v>0.118040318</v>
      </c>
      <c r="AB23" s="24" t="n">
        <v>0.118044074</v>
      </c>
      <c r="AC23" s="24" t="n">
        <v>0.118044519</v>
      </c>
      <c r="AD23" s="24" t="n">
        <v>0.118039281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-0.00340929</v>
      </c>
      <c r="T29" s="30" t="n">
        <v>0.000995431</v>
      </c>
      <c r="U29" s="31" t="n"/>
      <c r="V29" s="30" t="n">
        <v>0.000871044</v>
      </c>
      <c r="W29" s="30" t="n">
        <v>46.17093667</v>
      </c>
      <c r="X29" s="30" t="n">
        <v>0.000501352</v>
      </c>
      <c r="Y29" s="30" t="n">
        <v>0.000322763</v>
      </c>
      <c r="Z29" s="31" t="n"/>
      <c r="AA29" s="30" t="n">
        <v>-0.005103965</v>
      </c>
      <c r="AB29" s="30" t="n">
        <v>46.171791438</v>
      </c>
      <c r="AC29" s="30" t="n">
        <v>-0.008187292000000001</v>
      </c>
      <c r="AD29" s="30" t="n">
        <v>0.001681177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-0.00340929</v>
      </c>
      <c r="T30" s="30" t="n">
        <v>0.000995431</v>
      </c>
      <c r="U30" s="31" t="n"/>
      <c r="V30" s="30" t="n">
        <v>0.000871044</v>
      </c>
      <c r="W30" s="30" t="n">
        <v>46.17093667</v>
      </c>
      <c r="X30" s="30" t="n">
        <v>0.000501352</v>
      </c>
      <c r="Y30" s="30" t="n">
        <v>0.000322763</v>
      </c>
      <c r="Z30" s="31" t="n"/>
      <c r="AA30" s="30" t="n">
        <v>-0.005103965</v>
      </c>
      <c r="AB30" s="30" t="n">
        <v>46.171791438</v>
      </c>
      <c r="AC30" s="30" t="n">
        <v>-0.008187292000000001</v>
      </c>
      <c r="AD30" s="30" t="n">
        <v>0.001681177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0.164174771</v>
      </c>
      <c r="Y32" s="24" t="n">
        <v>0.157962237</v>
      </c>
      <c r="Z32" s="25" t="n"/>
      <c r="AA32" s="24" t="n">
        <v>0.131629953</v>
      </c>
      <c r="AB32" s="24" t="n">
        <v>0.064555155</v>
      </c>
      <c r="AC32" s="24" t="n">
        <v>0.119174094</v>
      </c>
      <c r="AD32" s="24" t="n">
        <v>0.120597396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0.111538407</v>
      </c>
      <c r="Y33" s="24" t="n">
        <v>0.112372793</v>
      </c>
      <c r="Z33" s="25" t="n"/>
      <c r="AA33" s="24" t="n">
        <v>0.097500399</v>
      </c>
      <c r="AB33" s="24" t="n">
        <v>0.049287879</v>
      </c>
      <c r="AC33" s="24" t="n">
        <v>0.092342699</v>
      </c>
      <c r="AD33" s="24" t="n">
        <v>0.095721557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12830</v>
      </c>
      <c r="E41" s="2" t="inlineStr">
        <is>
          <t>원 — 네이버 정규장 종가(aik 확정종가 대조 · aik 13,110원)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0.1906124066217614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0.03759416841332323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0.02145456888744193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0.0399248424745088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15.63</v>
      </c>
    </row>
    <row r="32">
      <c r="C32" s="2" t="inlineStr">
        <is>
          <t>pbr_now</t>
        </is>
      </c>
      <c r="D32" t="n">
        <v>1.73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