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275496억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288262억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300545억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310545억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321725억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336402억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275496억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288262억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300545억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310545억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321725억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336402억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1013억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879억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965억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1013억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1107억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2.14%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7.6, "op_wape_pct": 19.5,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649.23, "rev_act": 605.92, "op_pred": 69.75, "op_act": 67.88}, {"q": "2025Q4", "rev_pred": 737.31, "rev_act": 669.42, "op_pred": 79.22, "op_act": 64.77}, {"q": "2026Q1", "rev_pred": 699.01, "rev_act": 646.1, "op_pred": 75.1, "op_act": 85.3}, {"q": "2026Q2", "rev_pred": 764.28, "rev_act": 727.68, "op_pred": 82.12,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1337.49</v>
      </c>
      <c r="U6" s="17" t="n">
        <v>1451.19</v>
      </c>
      <c r="V6" s="16" t="n">
        <v>1324.45</v>
      </c>
      <c r="W6" s="16" t="n">
        <v>1324.45</v>
      </c>
      <c r="X6" s="16" t="n">
        <v>1324.45</v>
      </c>
      <c r="Y6" s="16" t="n">
        <v>1324.45</v>
      </c>
      <c r="Z6" s="11" t="n"/>
      <c r="AA6" s="16" t="n">
        <v>1324.45</v>
      </c>
      <c r="AB6" s="16" t="n">
        <v>1324.45</v>
      </c>
      <c r="AC6" s="16" t="n">
        <v>1324.45</v>
      </c>
      <c r="AD6" s="16" t="n">
        <v>1324.45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1324.45</v>
      </c>
      <c r="U7" s="17" t="n">
        <v>1324.45</v>
      </c>
      <c r="V7" s="16" t="n">
        <v>1324.45</v>
      </c>
      <c r="W7" s="16" t="n">
        <v>1324.45</v>
      </c>
      <c r="X7" s="16" t="n">
        <v>1324.45</v>
      </c>
      <c r="Y7" s="16" t="n">
        <v>1324.45</v>
      </c>
      <c r="Z7" s="11" t="n"/>
      <c r="AA7" s="16" t="n">
        <v>1324.45</v>
      </c>
      <c r="AB7" s="16" t="n">
        <v>1324.45</v>
      </c>
      <c r="AC7" s="16" t="n">
        <v>1324.45</v>
      </c>
      <c r="AD7" s="16" t="n">
        <v>1324.45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846.51</v>
      </c>
      <c r="U8" s="17" t="n">
        <v>915.5700000000001</v>
      </c>
      <c r="V8" s="16" t="n">
        <v>844.67</v>
      </c>
      <c r="W8" s="16" t="n">
        <v>844.67</v>
      </c>
      <c r="X8" s="16" t="n">
        <v>844.67</v>
      </c>
      <c r="Y8" s="16" t="n">
        <v>844.67</v>
      </c>
      <c r="Z8" s="11" t="n"/>
      <c r="AA8" s="16" t="n">
        <v>844.67</v>
      </c>
      <c r="AB8" s="16" t="n">
        <v>844.67</v>
      </c>
      <c r="AC8" s="16" t="n">
        <v>844.67</v>
      </c>
      <c r="AD8" s="16" t="n">
        <v>844.67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844.67</v>
      </c>
      <c r="U9" s="17" t="n">
        <v>844.67</v>
      </c>
      <c r="V9" s="16" t="n">
        <v>844.67</v>
      </c>
      <c r="W9" s="16" t="n">
        <v>844.67</v>
      </c>
      <c r="X9" s="16" t="n">
        <v>844.67</v>
      </c>
      <c r="Y9" s="16" t="n">
        <v>844.67</v>
      </c>
      <c r="Z9" s="11" t="n"/>
      <c r="AA9" s="16" t="n">
        <v>844.67</v>
      </c>
      <c r="AB9" s="16" t="n">
        <v>844.67</v>
      </c>
      <c r="AC9" s="16" t="n">
        <v>844.67</v>
      </c>
      <c r="AD9" s="16" t="n">
        <v>844.67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1500.06</v>
      </c>
      <c r="U10" s="17" t="n">
        <v>1680.5</v>
      </c>
      <c r="V10" s="16" t="n">
        <v>1482.45</v>
      </c>
      <c r="W10" s="16" t="n">
        <v>1482.45</v>
      </c>
      <c r="X10" s="16" t="n">
        <v>1482.45</v>
      </c>
      <c r="Y10" s="16" t="n">
        <v>1482.45</v>
      </c>
      <c r="Z10" s="11" t="n"/>
      <c r="AA10" s="16" t="n">
        <v>1482.45</v>
      </c>
      <c r="AB10" s="16" t="n">
        <v>1482.45</v>
      </c>
      <c r="AC10" s="16" t="n">
        <v>1482.45</v>
      </c>
      <c r="AD10" s="16" t="n">
        <v>1482.45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1482.45</v>
      </c>
      <c r="U11" s="17" t="n">
        <v>1482.45</v>
      </c>
      <c r="V11" s="16" t="n">
        <v>1482.45</v>
      </c>
      <c r="W11" s="16" t="n">
        <v>1482.45</v>
      </c>
      <c r="X11" s="16" t="n">
        <v>1482.45</v>
      </c>
      <c r="Y11" s="16" t="n">
        <v>1482.45</v>
      </c>
      <c r="Z11" s="11" t="n"/>
      <c r="AA11" s="16" t="n">
        <v>1482.45</v>
      </c>
      <c r="AB11" s="16" t="n">
        <v>1482.45</v>
      </c>
      <c r="AC11" s="16" t="n">
        <v>1482.45</v>
      </c>
      <c r="AD11" s="16" t="n">
        <v>1482.45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199.88</v>
      </c>
      <c r="U12" s="17" t="n">
        <v>213.06</v>
      </c>
      <c r="V12" s="16" t="n">
        <v>198.56</v>
      </c>
      <c r="W12" s="16" t="n">
        <v>198.56</v>
      </c>
      <c r="X12" s="16" t="n">
        <v>198.56</v>
      </c>
      <c r="Y12" s="16" t="n">
        <v>198.56</v>
      </c>
      <c r="Z12" s="11" t="n"/>
      <c r="AA12" s="16" t="n">
        <v>198.56</v>
      </c>
      <c r="AB12" s="16" t="n">
        <v>198.56</v>
      </c>
      <c r="AC12" s="16" t="n">
        <v>198.56</v>
      </c>
      <c r="AD12" s="16" t="n">
        <v>198.56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198.56</v>
      </c>
      <c r="U13" s="17" t="n">
        <v>198.56</v>
      </c>
      <c r="V13" s="16" t="n">
        <v>198.56</v>
      </c>
      <c r="W13" s="16" t="n">
        <v>198.56</v>
      </c>
      <c r="X13" s="16" t="n">
        <v>198.56</v>
      </c>
      <c r="Y13" s="16" t="n">
        <v>198.56</v>
      </c>
      <c r="Z13" s="11" t="n"/>
      <c r="AA13" s="16" t="n">
        <v>198.56</v>
      </c>
      <c r="AB13" s="16" t="n">
        <v>198.56</v>
      </c>
      <c r="AC13" s="16" t="n">
        <v>198.56</v>
      </c>
      <c r="AD13" s="16" t="n">
        <v>198.56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10010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10010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11632.5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0.169915</v>
      </c>
      <c r="Y21" s="24" t="n">
        <v>0.196495114</v>
      </c>
      <c r="Z21" s="25" t="n"/>
      <c r="AA21" s="24" t="n">
        <v>0.194245868</v>
      </c>
      <c r="AB21" s="24" t="n">
        <v>0.180303197</v>
      </c>
      <c r="AC21" s="24" t="n">
        <v>0.167804198</v>
      </c>
      <c r="AD21" s="24" t="n">
        <v>0.167002428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0.118046382</v>
      </c>
      <c r="Y23" s="24" t="n">
        <v>0.118042927</v>
      </c>
      <c r="Z23" s="25">
        <f>IFERROR(subQ!Z9/subQ!Z5,"")</f>
        <v/>
      </c>
      <c r="AA23" s="24" t="n">
        <v>0.118045104</v>
      </c>
      <c r="AB23" s="24" t="n">
        <v>0.118042813</v>
      </c>
      <c r="AC23" s="24" t="n">
        <v>0.118041372</v>
      </c>
      <c r="AD23" s="24" t="n">
        <v>0.118040068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-0.004029815</v>
      </c>
      <c r="T29" s="30" t="n">
        <v>9.5202e-05</v>
      </c>
      <c r="U29" s="31" t="n"/>
      <c r="V29" s="30" t="n">
        <v>-0.000258838</v>
      </c>
      <c r="W29" s="30" t="n">
        <v>46.169505106</v>
      </c>
      <c r="X29" s="30" t="n">
        <v>-0.002976927</v>
      </c>
      <c r="Y29" s="30" t="n">
        <v>0.004818353</v>
      </c>
      <c r="Z29" s="31" t="n"/>
      <c r="AA29" s="30" t="n">
        <v>1.317e-06</v>
      </c>
      <c r="AB29" s="30" t="n">
        <v>46.154426415</v>
      </c>
      <c r="AC29" s="30" t="n">
        <v>-0.002769851</v>
      </c>
      <c r="AD29" s="30" t="n">
        <v>-0.006504938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-0.004029815</v>
      </c>
      <c r="T30" s="30" t="n">
        <v>9.5202e-05</v>
      </c>
      <c r="U30" s="31" t="n"/>
      <c r="V30" s="30" t="n">
        <v>-0.000258838</v>
      </c>
      <c r="W30" s="30" t="n">
        <v>46.169505106</v>
      </c>
      <c r="X30" s="30" t="n">
        <v>-0.002976927</v>
      </c>
      <c r="Y30" s="30" t="n">
        <v>0.004818353</v>
      </c>
      <c r="Z30" s="31" t="n"/>
      <c r="AA30" s="30" t="n">
        <v>1.317e-06</v>
      </c>
      <c r="AB30" s="30" t="n">
        <v>46.154426415</v>
      </c>
      <c r="AC30" s="30" t="n">
        <v>-0.002769851</v>
      </c>
      <c r="AD30" s="30" t="n">
        <v>-0.006504938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0.164548037</v>
      </c>
      <c r="Y32" s="24" t="n">
        <v>0.159069055</v>
      </c>
      <c r="Z32" s="25" t="n"/>
      <c r="AA32" s="24" t="n">
        <v>0.132752608</v>
      </c>
      <c r="AB32" s="24" t="n">
        <v>0.065575327</v>
      </c>
      <c r="AC32" s="24" t="n">
        <v>0.119375819</v>
      </c>
      <c r="AD32" s="24" t="n">
        <v>0.119800787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0.111791968</v>
      </c>
      <c r="Y33" s="24" t="n">
        <v>0.113170732</v>
      </c>
      <c r="Z33" s="25" t="n"/>
      <c r="AA33" s="24" t="n">
        <v>0.09835300499999999</v>
      </c>
      <c r="AB33" s="24" t="n">
        <v>0.050115028</v>
      </c>
      <c r="AC33" s="24" t="n">
        <v>0.092545444</v>
      </c>
      <c r="AD33" s="24" t="n">
        <v>0.095165836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10010</v>
      </c>
      <c r="E41" s="2" t="inlineStr">
        <is>
          <t>원 — 네이버 정규장 종가(aik 확정종가 대조 · aik 10,700원)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20261026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0.190618858618165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0.03759206047529207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0.02143795695451982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0.0398927915996193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12.2</v>
      </c>
    </row>
    <row r="32">
      <c r="C32" s="2" t="inlineStr">
        <is>
          <t>pbr_now</t>
        </is>
      </c>
      <c r="D32" t="n">
        <v>1.35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