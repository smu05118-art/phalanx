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BS연결!$C$5:$AE$87</definedName>
    <definedName name="BS별도H">BS별도!$C$1:$AE$1</definedName>
    <definedName name="BS별도">BS별도!$C$5:$AE$84</definedName>
    <definedName name="SUBQH">subQ!$A$1:$AE$1</definedName>
    <definedName name="subQ">subQ!$A$5:$AE$39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S15" authorId="0" shapeId="0">
      <text>
        <t>분기 진행 중(partial) — aikstockdata/토스 일봉</t>
      </text>
    </comment>
    <comment ref="S16" authorId="0" shapeId="0">
      <text>
        <t>분기 진행 중(partial) — aikstockdata/토스 일봉</t>
      </text>
    </comment>
    <comment ref="S17" authorId="0" shapeId="0">
      <text>
        <t>분기 진행 중(partial) — aikstockdata/토스 일봉</t>
      </text>
    </comment>
    <comment ref="S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213605억 × 비례계수 0.0135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217556억 × 비례계수 0.0135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227163억 × 비례계수 0.0135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237312억 × 비례계수 0.0135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248041억 × 비례계수 0.0135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258903억 × 비례계수 0.0135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266379억 × 비례계수 0.0135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267740억 × 비례계수 0.0135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266428억 × 비례계수 0.0135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264185억 × 비례계수 0.0135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모델값 역산(implied): v / 매출액
매출액 × 판관비율 3.76%(최근 4분기 중위)</t>
      </text>
    </comment>
    <comment ref="T22" authorId="0" shapeId="0">
      <text>
        <t>모델값 역산(implied): v / 매출액
매출액 × 판관비율 3.76%(최근 4분기 중위)</t>
      </text>
    </comment>
    <comment ref="V22" authorId="0" shapeId="0">
      <text>
        <t>모델값 역산(implied): v / 매출액
매출액 × 판관비율 3.76%(최근 4분기 중위)</t>
      </text>
    </comment>
    <comment ref="W22" authorId="0" shapeId="0">
      <text>
        <t>모델값 역산(implied): v / 매출액
매출액 × 판관비율 3.76%(최근 4분기 중위)</t>
      </text>
    </comment>
    <comment ref="X22" authorId="0" shapeId="0">
      <text>
        <t>모델값 역산(implied): v / 매출액
매출액 × 판관비율 3.76%(최근 4분기 중위)</t>
      </text>
    </comment>
    <comment ref="Y22" authorId="0" shapeId="0">
      <text>
        <t>모델값 역산(implied): v / 매출액
매출액 × 판관비율 3.76%(최근 4분기 중위)</t>
      </text>
    </comment>
    <comment ref="AA22" authorId="0" shapeId="0">
      <text>
        <t>모델값 역산(implied): v / 매출액
매출액 × 판관비율 3.76%(최근 4분기 중위)</t>
      </text>
    </comment>
    <comment ref="AB22" authorId="0" shapeId="0">
      <text>
        <t>모델값 역산(implied): v / 매출액
매출액 × 판관비율 3.76%(최근 4분기 중위)</t>
      </text>
    </comment>
    <comment ref="AC22" authorId="0" shapeId="0">
      <text>
        <t>모델값 역산(implied): v / 매출액
매출액 × 판관비율 3.76%(최근 4분기 중위)</t>
      </text>
    </comment>
    <comment ref="AD22" authorId="0" shapeId="0">
      <text>
        <t>모델값 역산(implied): v / 매출액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v / 전년동기 − 1
최근 8분기 OPM 중위 11.8% 유지</t>
      </text>
    </comment>
    <comment ref="T24" authorId="0" shapeId="0">
      <text>
        <t>모델값 역산(implied): v / 전년동기 − 1
최근 8분기 OPM 중위 11.8% 유지</t>
      </text>
    </comment>
    <comment ref="V24" authorId="0" shapeId="0">
      <text>
        <t>모델값 역산(implied): v / 전년동기 − 1
최근 8분기 OPM 중위 11.8% 유지</t>
      </text>
    </comment>
    <comment ref="W24" authorId="0" shapeId="0">
      <text>
        <t>모델값 역산(implied): v / 전년동기 − 1
최근 8분기 OPM 중위 11.8% 유지</t>
      </text>
    </comment>
    <comment ref="X24" authorId="0" shapeId="0">
      <text>
        <t>모델값 역산(implied): v / 전년동기 − 1
최근 8분기 OPM 중위 11.8% 유지</t>
      </text>
    </comment>
    <comment ref="Y24" authorId="0" shapeId="0">
      <text>
        <t>모델값 역산(implied): v / 전년동기 − 1
최근 8분기 OPM 중위 11.8% 유지</t>
      </text>
    </comment>
    <comment ref="AA24" authorId="0" shapeId="0">
      <text>
        <t>모델값 역산(implied): v / 전년동기 − 1
최근 8분기 OPM 중위 11.8% 유지</t>
      </text>
    </comment>
    <comment ref="AB24" authorId="0" shapeId="0">
      <text>
        <t>모델값 역산(implied): v / 전년동기 − 1
최근 8분기 OPM 중위 11.8% 유지</t>
      </text>
    </comment>
    <comment ref="AC24" authorId="0" shapeId="0">
      <text>
        <t>모델값 역산(implied): v / 전년동기 − 1
최근 8분기 OPM 중위 11.8% 유지</t>
      </text>
    </comment>
    <comment ref="AD24" authorId="0" shapeId="0">
      <text>
        <t>모델값 역산(implied): v / 전년동기 − 1
최근 8분기 OPM 중위 11.8% 유지</t>
      </text>
    </comment>
    <comment ref="S25" authorId="0" shapeId="0">
      <text>
        <t>모델값 역산(implied): 모델 v 그대로
이자손익 = 이자발생자산 465억 × 2.26% − 총차입금 0억 × 0.00% (연율, CF 실측) ÷ 4; 환·평가손익 0 가정</t>
      </text>
    </comment>
    <comment ref="T25" authorId="0" shapeId="0">
      <text>
        <t>모델값 역산(implied): 모델 v 그대로
이자손익 = 이자발생자산 534억 × 2.26% − 총차입금 0억 × 0.00% (연율, CF 실측) ÷ 4; 환·평가손익 0 가정</t>
      </text>
    </comment>
    <comment ref="V25" authorId="0" shapeId="0">
      <text>
        <t>모델값 역산(implied): 모델 v 그대로
이자손익 = 이자발생자산 609억 × 2.26% − 총차입금 0억 × 0.00% (연율, CF 실측) ÷ 4; 환·평가손익 0 가정</t>
      </text>
    </comment>
    <comment ref="W25" authorId="0" shapeId="0">
      <text>
        <t>모델값 역산(implied): 모델 v 그대로
이자손익 = 이자발생자산 683억 × 2.26% − 총차입금 0억 × 0.00% (연율, CF 실측) ÷ 4; 환·평가손익 0 가정</t>
      </text>
    </comment>
    <comment ref="X25" authorId="0" shapeId="0">
      <text>
        <t>모델값 역산(implied): 모델 v 그대로
이자손익 = 이자발생자산 718억 × 2.26% − 총차입금 0억 × 0.00% (연율, CF 실측) ÷ 4; 환·평가손익 0 가정</t>
      </text>
    </comment>
    <comment ref="Y25" authorId="0" shapeId="0">
      <text>
        <t>모델값 역산(implied): 모델 v 그대로
이자손익 = 이자발생자산 799억 × 2.26% − 총차입금 0억 × 0.00% (연율, CF 실측) ÷ 4; 환·평가손익 0 가정</t>
      </text>
    </comment>
    <comment ref="AA25" authorId="0" shapeId="0">
      <text>
        <t>모델값 역산(implied): 모델 v 그대로
이자손익 = 이자발생자산 890억 × 2.26% − 총차입금 0억 × 0.00% (연율, CF 실측) ÷ 4; 환·평가손익 0 가정</t>
      </text>
    </comment>
    <comment ref="AB25" authorId="0" shapeId="0">
      <text>
        <t>모델값 역산(implied): 모델 v 그대로
이자손익 = 이자발생자산 977억 × 2.26% − 총차입금 0억 × 0.00% (연율, CF 실측) ÷ 4; 환·평가손익 0 가정</t>
      </text>
    </comment>
    <comment ref="AC25" authorId="0" shapeId="0">
      <text>
        <t>모델값 역산(implied): 모델 v 그대로
이자손익 = 이자발생자산 1023억 × 2.26% − 총차입금 0억 × 0.00% (연율, CF 실측) ÷ 4; 환·평가손익 0 가정</t>
      </text>
    </comment>
    <comment ref="AD25" authorId="0" shapeId="0">
      <text>
        <t>모델값 역산(implied): 모델 v 그대로
이자손익 = 이자발생자산 1111억 × 2.26% − 총차입금 0억 × 0.00% (연율, CF 실측) ÷ 4; 환·평가손익 0 가정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V26" authorId="0" shapeId="0">
      <text>
        <t>모델값 역산(implied): 모델 v 그대로
일회성 미가정 → 0</t>
      </text>
    </comment>
    <comment ref="W26" authorId="0" shapeId="0">
      <text>
        <t>모델값 역산(implied): 모델 v 그대로
일회성 미가정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S27" authorId="0" shapeId="0">
      <text>
        <t>모델값 역산(implied): v / 세전이익
max(세전, 0) × 세율 19.1%(최근 11분기 유효세율 19.1% → 5~27% 클립)</t>
      </text>
    </comment>
    <comment ref="T27" authorId="0" shapeId="0">
      <text>
        <t>모델값 역산(implied): v / 세전이익
max(세전, 0) × 세율 19.1%(최근 11분기 유효세율 19.1% → 5~27% 클립)</t>
      </text>
    </comment>
    <comment ref="V27" authorId="0" shapeId="0">
      <text>
        <t>모델값 역산(implied): v / 세전이익
max(세전, 0) × 세율 19.1%(최근 11분기 유효세율 19.1% → 5~27% 클립)</t>
      </text>
    </comment>
    <comment ref="W27" authorId="0" shapeId="0">
      <text>
        <t>모델값 역산(implied): v / 세전이익
max(세전, 0) × 세율 19.1%(최근 11분기 유효세율 19.1% → 5~27% 클립)</t>
      </text>
    </comment>
    <comment ref="X27" authorId="0" shapeId="0">
      <text>
        <t>모델값 역산(implied): v / 세전이익
max(세전, 0) × 세율 19.1%(최근 11분기 유효세율 19.1% → 5~27% 클립)</t>
      </text>
    </comment>
    <comment ref="Y27" authorId="0" shapeId="0">
      <text>
        <t>모델값 역산(implied): v / 세전이익
max(세전, 0) × 세율 19.1%(최근 11분기 유효세율 19.1% → 5~27% 클립)</t>
      </text>
    </comment>
    <comment ref="AA27" authorId="0" shapeId="0">
      <text>
        <t>모델값 역산(implied): v / 세전이익
max(세전, 0) × 세율 19.1%(최근 11분기 유효세율 19.1% → 5~27% 클립)</t>
      </text>
    </comment>
    <comment ref="AB27" authorId="0" shapeId="0">
      <text>
        <t>모델값 역산(implied): v / 세전이익
max(세전, 0) × 세율 19.1%(최근 11분기 유효세율 19.1% → 5~27% 클립)</t>
      </text>
    </comment>
    <comment ref="AC27" authorId="0" shapeId="0">
      <text>
        <t>모델값 역산(implied): v / 세전이익
max(세전, 0) × 세율 19.1%(최근 11분기 유효세율 19.1% → 5~27% 클립)</t>
      </text>
    </comment>
    <comment ref="AD27" authorId="0" shapeId="0">
      <text>
        <t>모델값 역산(implied): v / 세전이익
max(세전, 0) × 세율 19.1%(최근 11분기 유효세율 19.1% → 5~27% 클립)</t>
      </text>
    </comment>
    <comment ref="S28" authorId="0" shapeId="0">
      <text>
        <t>모델값 역산(implied): v / 당기순이익
당기순이익 × (1 − 비지배 비중 0.0%, 최근 8분기 실측)</t>
      </text>
    </comment>
    <comment ref="T28" authorId="0" shapeId="0">
      <text>
        <t>모델값 역산(implied): v / 당기순이익
당기순이익 × (1 − 비지배 비중 0.0%, 최근 8분기 실측)</t>
      </text>
    </comment>
    <comment ref="V28" authorId="0" shapeId="0">
      <text>
        <t>모델값 역산(implied): v / 당기순이익
당기순이익 × (1 − 비지배 비중 0.0%, 최근 8분기 실측)</t>
      </text>
    </comment>
    <comment ref="W28" authorId="0" shapeId="0">
      <text>
        <t>모델값 역산(implied): v / 당기순이익
당기순이익 × (1 − 비지배 비중 0.0%, 최근 8분기 실측)</t>
      </text>
    </comment>
    <comment ref="X28" authorId="0" shapeId="0">
      <text>
        <t>모델값 역산(implied): v / 당기순이익
당기순이익 × (1 − 비지배 비중 0.0%, 최근 8분기 실측)</t>
      </text>
    </comment>
    <comment ref="Y28" authorId="0" shapeId="0">
      <text>
        <t>모델값 역산(implied): v / 당기순이익
당기순이익 × (1 − 비지배 비중 0.0%, 최근 8분기 실측)</t>
      </text>
    </comment>
    <comment ref="AA28" authorId="0" shapeId="0">
      <text>
        <t>모델값 역산(implied): v / 당기순이익
당기순이익 × (1 − 비지배 비중 0.0%, 최근 8분기 실측)</t>
      </text>
    </comment>
    <comment ref="AB28" authorId="0" shapeId="0">
      <text>
        <t>모델값 역산(implied): v / 당기순이익
당기순이익 × (1 − 비지배 비중 0.0%, 최근 8분기 실측)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S29" authorId="0" shapeId="0">
      <text>
        <t>모델값 역산(implied): v / 전분기 − 1
마지막 실적 유지(가정)</t>
      </text>
    </comment>
    <comment ref="T29" authorId="0" shapeId="0">
      <text>
        <t>모델값 역산(implied): v / 전분기 − 1
마지막 실적 유지(가정)</t>
      </text>
    </comment>
    <comment ref="V29" authorId="0" shapeId="0">
      <text>
        <t>모델값 역산(implied): v / 전분기 − 1
마지막 실적 유지(가정)</t>
      </text>
    </comment>
    <comment ref="W29" authorId="0" shapeId="0">
      <text>
        <t>모델값 역산(implied): v / 전분기 − 1
마지막 실적 유지(가정)</t>
      </text>
    </comment>
    <comment ref="X29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마지막 실적 유지(가정)</t>
      </text>
    </comment>
    <comment ref="AA29" authorId="0" shapeId="0">
      <text>
        <t>모델값 역산(implied): v / 전분기 − 1
마지막 실적 유지(가정)</t>
      </text>
    </comment>
    <comment ref="AB29" authorId="0" shapeId="0">
      <text>
        <t>모델값 역산(implied): v / 전분기 − 1
마지막 실적 유지(가정)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S30" authorId="0" shapeId="0">
      <text>
        <t>모델값 역산(implied): 전분기 + 당기순이익 − v
전분기 + 당기순이익 − 배당(Q2 지급 가정)</t>
      </text>
    </comment>
    <comment ref="T30" authorId="0" shapeId="0">
      <text>
        <t>모델값 역산(implied): 전분기 + 당기순이익 − v
전분기 + 당기순이익 − 배당(Q2 지급 가정)</t>
      </text>
    </comment>
    <comment ref="V30" authorId="0" shapeId="0">
      <text>
        <t>모델값 역산(implied): 전분기 + 당기순이익 − v
전분기 + 당기순이익 − 배당(Q2 지급 가정)</t>
      </text>
    </comment>
    <comment ref="W30" authorId="0" shapeId="0">
      <text>
        <t>모델값 역산(implied): 전분기 + 당기순이익 − v
전분기 + 당기순이익 − 배당(Q2 지급 가정)</t>
      </text>
    </comment>
    <comment ref="X30" authorId="0" shapeId="0">
      <text>
        <t>모델값 역산(implied): 전분기 + 당기순이익 − v
전분기 + 당기순이익 − 배당(Q2 지급 가정)</t>
      </text>
    </comment>
    <comment ref="Y30" authorId="0" shapeId="0">
      <text>
        <t>모델값 역산(implied): 전분기 + 당기순이익 − v
전분기 + 당기순이익 − 배당(Q2 지급 가정)</t>
      </text>
    </comment>
    <comment ref="AA30" authorId="0" shapeId="0">
      <text>
        <t>모델값 역산(implied): 전분기 + 당기순이익 − v
전분기 + 당기순이익 − 배당(Q2 지급 가정)</t>
      </text>
    </comment>
    <comment ref="AB30" authorId="0" shapeId="0">
      <text>
        <t>모델값 역산(implied): 전분기 + 당기순이익 − v
전분기 + 당기순이익 − 배당(Q2 지급 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S31" authorId="0" shapeId="0">
      <text>
        <t>모델값 역산(implied): 전분기 + 지배주주순이익 − v
전분기 + 지배주주순이익 − 배당</t>
      </text>
    </comment>
    <comment ref="T31" authorId="0" shapeId="0">
      <text>
        <t>모델값 역산(implied): 전분기 + 지배주주순이익 − v
전분기 + 지배주주순이익 − 배당</t>
      </text>
    </comment>
    <comment ref="V31" authorId="0" shapeId="0">
      <text>
        <t>모델값 역산(implied): 전분기 + 지배주주순이익 − v
전분기 + 지배주주순이익 − 배당</t>
      </text>
    </comment>
    <comment ref="W31" authorId="0" shapeId="0">
      <text>
        <t>모델값 역산(implied): 전분기 + 지배주주순이익 − v
전분기 + 지배주주순이익 − 배당</t>
      </text>
    </comment>
    <comment ref="X31" authorId="0" shapeId="0">
      <text>
        <t>모델값 역산(implied): 전분기 + 지배주주순이익 − v
전분기 + 지배주주순이익 − 배당</t>
      </text>
    </comment>
    <comment ref="Y31" authorId="0" shapeId="0">
      <text>
        <t>모델값 역산(implied): 전분기 + 지배주주순이익 − v
전분기 + 지배주주순이익 − 배당</t>
      </text>
    </comment>
    <comment ref="AA31" authorId="0" shapeId="0">
      <text>
        <t>모델값 역산(implied): 전분기 + 지배주주순이익 − v
전분기 + 지배주주순이익 − 배당</t>
      </text>
    </comment>
    <comment ref="AB31" authorId="0" shapeId="0">
      <text>
        <t>모델값 역산(implied): 전분기 + 지배주주순이익 − v
전분기 + 지배주주순이익 − 배당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S34" authorId="0" shapeId="0">
      <text>
        <t>모델값 역산(implied): v / 전분기 − 1
전분기 + (순이익 − 배당) — 순차입금 롤과 같은 가정</t>
      </text>
    </comment>
    <comment ref="T34" authorId="0" shapeId="0">
      <text>
        <t>모델값 역산(implied): v / 전분기 − 1
전분기 + (순이익 − 배당) — 순차입금 롤과 같은 가정</t>
      </text>
    </comment>
    <comment ref="V34" authorId="0" shapeId="0">
      <text>
        <t>모델값 역산(implied): v / 전분기 − 1
전분기 + (순이익 − 배당) — 순차입금 롤과 같은 가정</t>
      </text>
    </comment>
    <comment ref="W34" authorId="0" shapeId="0">
      <text>
        <t>모델값 역산(implied): v / 전분기 − 1
전분기 + (순이익 − 배당) — 순차입금 롤과 같은 가정</t>
      </text>
    </comment>
    <comment ref="X34" authorId="0" shapeId="0">
      <text>
        <t>모델값 역산(implied): v / 전분기 − 1
전분기 + (순이익 − 배당) — 순차입금 롤과 같은 가정</t>
      </text>
    </comment>
    <comment ref="Y34" authorId="0" shapeId="0">
      <text>
        <t>모델값 역산(implied): v / 전분기 − 1
전분기 + (순이익 − 배당) — 순차입금 롤과 같은 가정</t>
      </text>
    </comment>
    <comment ref="AA34" authorId="0" shapeId="0">
      <text>
        <t>모델값 역산(implied): v / 전분기 − 1
전분기 + (순이익 − 배당) — 순차입금 롤과 같은 가정</t>
      </text>
    </comment>
    <comment ref="AB34" authorId="0" shapeId="0">
      <text>
        <t>모델값 역산(implied): v / 전분기 − 1
전분기 + (순이익 − 배당) — 순차입금 롤과 같은 가정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S38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v / 전분기 − 1
유통주식수 유지 — fin.shares.common_outstanding(2026Q2)</t>
      </text>
    </comment>
    <comment ref="V38" authorId="0" shapeId="0">
      <text>
        <t>모델값 역산(implied): v / 전분기 − 1
유통주식수 유지 — fin.shares.common_outstanding(2026Q2)</t>
      </text>
    </comment>
    <comment ref="W38" authorId="0" shapeId="0">
      <text>
        <t>모델값 역산(implied): v / 전분기 − 1
유통주식수 유지 — fin.shares.common_outstanding(2026Q2)</t>
      </text>
    </comment>
    <comment ref="X38" authorId="0" shapeId="0">
      <text>
        <t>모델값 역산(implied): v / 전분기 − 1
유통주식수 유지 — fin.shares.common_outstanding(2026Q2)</t>
      </text>
    </comment>
    <comment ref="Y38" authorId="0" shapeId="0">
      <text>
        <t>모델값 역산(implied): v / 전분기 − 1
유통주식수 유지 — fin.shares.common_outstanding(2026Q2)</t>
      </text>
    </comment>
    <comment ref="AA38" authorId="0" shapeId="0">
      <text>
        <t>모델값 역산(implied): v / 전분기 − 1
유통주식수 유지 — fin.shares.common_outstanding(2026Q2)</t>
      </text>
    </comment>
    <comment ref="AB38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T39" authorId="0" shapeId="0">
      <text>
        <t>모델값 역산(implied): v / 전년동기 − 1
직전 결산 DPS 130원 유지</t>
      </text>
    </comment>
    <comment ref="Y39" authorId="0" shapeId="0">
      <text>
        <t>모델값 역산(implied): v / 전년동기 − 1
직전 결산 DPS 130원 유지</t>
      </text>
    </comment>
    <comment ref="AD39" authorId="0" shapeId="0">
      <text>
        <t>모델값 역산(implied): v / 전년동기 − 1
직전 결산 DPS 130원 유지</t>
      </text>
    </comment>
    <comment ref="S40" authorId="0" shapeId="0">
      <text>
        <t>모델값 역산(implied): v / 전년동기 − 1
현재 종가 ÷ TTM EPS(추정 포함)</t>
      </text>
    </comment>
    <comment ref="T40" authorId="0" shapeId="0">
      <text>
        <t>모델값 역산(implied): v / 전년동기 − 1
현재 종가 ÷ TTM EPS(추정 포함)</t>
      </text>
    </comment>
    <comment ref="V40" authorId="0" shapeId="0">
      <text>
        <t>모델값 역산(implied): v / 전년동기 − 1
현재 종가 ÷ TTM EPS(추정 포함)</t>
      </text>
    </comment>
    <comment ref="W40" authorId="0" shapeId="0">
      <text>
        <t>모델값 역산(implied): v / 전년동기 − 1
현재 종가 ÷ TTM EPS(추정 포함)</t>
      </text>
    </comment>
    <comment ref="X40" authorId="0" shapeId="0">
      <text>
        <t>모델값 역산(implied): v / 전년동기 − 1
현재 종가 ÷ TTM EPS(추정 포함)</t>
      </text>
    </comment>
    <comment ref="Y40" authorId="0" shapeId="0">
      <text>
        <t>모델값 역산(implied): v / 전년동기 − 1
현재 종가 ÷ TTM EPS(추정 포함)</t>
      </text>
    </comment>
    <comment ref="AA40" authorId="0" shapeId="0">
      <text>
        <t>모델값 역산(implied): v / 전년동기 − 1
현재 종가 ÷ TTM EPS(추정 포함)</t>
      </text>
    </comment>
    <comment ref="AB40" authorId="0" shapeId="0">
      <text>
        <t>모델값 역산(implied): v / 전년동기 − 1
현재 종가 ÷ TTM EPS(추정 포함)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S41" authorId="0" shapeId="0">
      <text>
        <t>모델값 역산(implied): v / 전년동기 − 1
현재 종가 ÷ BPS(추정 포함)</t>
      </text>
    </comment>
    <comment ref="T41" authorId="0" shapeId="0">
      <text>
        <t>모델값 역산(implied): v / 전년동기 − 1
현재 종가 ÷ BPS(추정 포함)</t>
      </text>
    </comment>
    <comment ref="V41" authorId="0" shapeId="0">
      <text>
        <t>모델값 역산(implied): v / 전년동기 − 1
현재 종가 ÷ BPS(추정 포함)</t>
      </text>
    </comment>
    <comment ref="W41" authorId="0" shapeId="0">
      <text>
        <t>모델값 역산(implied): v / 전년동기 − 1
현재 종가 ÷ BPS(추정 포함)</t>
      </text>
    </comment>
    <comment ref="X41" authorId="0" shapeId="0">
      <text>
        <t>모델값 역산(implied): v / 전년동기 − 1
현재 종가 ÷ BPS(추정 포함)</t>
      </text>
    </comment>
    <comment ref="Y41" authorId="0" shapeId="0">
      <text>
        <t>모델값 역산(implied): v / 전년동기 − 1
현재 종가 ÷ BPS(추정 포함)</t>
      </text>
    </comment>
    <comment ref="AA41" authorId="0" shapeId="0">
      <text>
        <t>모델값 역산(implied): v / 전년동기 − 1
현재 종가 ÷ BPS(추정 포함)</t>
      </text>
    </comment>
    <comment ref="AB41" authorId="0" shapeId="0">
      <text>
        <t>모델값 역산(implied): v / 전년동기 − 1
현재 종가 ÷ BPS(추정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S42" authorId="0" shapeId="0">
      <text>
        <t>모델값 역산(implied): v / 매출액
= 매출액 추정(부문 미분리)</t>
      </text>
    </comment>
    <comment ref="T42" authorId="0" shapeId="0">
      <text>
        <t>모델값 역산(implied): v / 매출액
= 매출액 추정(부문 미분리)</t>
      </text>
    </comment>
    <comment ref="V42" authorId="0" shapeId="0">
      <text>
        <t>모델값 역산(implied): v / 매출액
= 매출액 추정(부문 미분리)</t>
      </text>
    </comment>
    <comment ref="W42" authorId="0" shapeId="0">
      <text>
        <t>모델값 역산(implied): v / 매출액
= 매출액 추정(부문 미분리)</t>
      </text>
    </comment>
    <comment ref="X42" authorId="0" shapeId="0">
      <text>
        <t>모델값 역산(implied): v / 매출액
= 매출액 추정(부문 미분리)</t>
      </text>
    </comment>
    <comment ref="Y42" authorId="0" shapeId="0">
      <text>
        <t>모델값 역산(implied): v / 매출액
= 매출액 추정(부문 미분리)</t>
      </text>
    </comment>
    <comment ref="AA42" authorId="0" shapeId="0">
      <text>
        <t>모델값 역산(implied): v / 매출액
= 매출액 추정(부문 미분리)</t>
      </text>
    </comment>
    <comment ref="AB42" authorId="0" shapeId="0">
      <text>
        <t>모델값 역산(implied): v / 매출액
= 매출액 추정(부문 미분리)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S43" authorId="0" shapeId="0">
      <text>
        <t>모델값 역산(implied): v / 매출전사
= 매출액 × OPM(부문 미분리)</t>
      </text>
    </comment>
    <comment ref="T43" authorId="0" shapeId="0">
      <text>
        <t>모델값 역산(implied): v / 매출전사
= 매출액 × OPM(부문 미분리)</t>
      </text>
    </comment>
    <comment ref="V43" authorId="0" shapeId="0">
      <text>
        <t>모델값 역산(implied): v / 매출전사
= 매출액 × OPM(부문 미분리)</t>
      </text>
    </comment>
    <comment ref="W43" authorId="0" shapeId="0">
      <text>
        <t>모델값 역산(implied): v / 매출전사
= 매출액 × OPM(부문 미분리)</t>
      </text>
    </comment>
    <comment ref="X43" authorId="0" shapeId="0">
      <text>
        <t>모델값 역산(implied): v / 매출전사
= 매출액 × OPM(부문 미분리)</t>
      </text>
    </comment>
    <comment ref="Y43" authorId="0" shapeId="0">
      <text>
        <t>모델값 역산(implied): v / 매출전사
= 매출액 × OPM(부문 미분리)</t>
      </text>
    </comment>
    <comment ref="AA43" authorId="0" shapeId="0">
      <text>
        <t>모델값 역산(implied): v / 매출전사
= 매출액 × OPM(부문 미분리)</t>
      </text>
    </comment>
    <comment ref="AB43" authorId="0" shapeId="0">
      <text>
        <t>모델값 역산(implied): v / 매출전사
= 매출액 × OPM(부문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213605억 × 비례계수 0.0135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217556억 × 비례계수 0.0135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227163억 × 비례계수 0.0135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237312억 × 비례계수 0.0135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248041억 × 비례계수 0.0135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258903억 × 비례계수 0.0135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266379억 × 비례계수 0.0135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267740억 × 비례계수 0.0135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266428억 × 비례계수 0.0135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264185억 × 비례계수 0.0135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추정: 최근 8분기 OPM 중위 11.8% 유지
[yoy]</t>
      </text>
    </comment>
    <comment ref="T10" authorId="0" shapeId="0">
      <text>
        <t>추정: 최근 8분기 OPM 중위 11.8% 유지
[yoy]</t>
      </text>
    </comment>
    <comment ref="V10" authorId="0" shapeId="0">
      <text>
        <t>추정: 최근 8분기 OPM 중위 11.8% 유지
[yoy]</t>
      </text>
    </comment>
    <comment ref="W10" authorId="0" shapeId="0">
      <text>
        <t>추정: 최근 8분기 OPM 중위 11.8% 유지
[yoy]</t>
      </text>
    </comment>
    <comment ref="X10" authorId="0" shapeId="0">
      <text>
        <t>추정: 최근 8분기 OPM 중위 11.8% 유지
[yoy]</t>
      </text>
    </comment>
    <comment ref="Y10" authorId="0" shapeId="0">
      <text>
        <t>추정: 최근 8분기 OPM 중위 11.8% 유지
[yoy]</t>
      </text>
    </comment>
    <comment ref="AA10" authorId="0" shapeId="0">
      <text>
        <t>추정: 최근 8분기 OPM 중위 11.8% 유지
[yoy]</t>
      </text>
    </comment>
    <comment ref="AB10" authorId="0" shapeId="0">
      <text>
        <t>추정: 최근 8분기 OPM 중위 11.8% 유지
[yoy]</t>
      </text>
    </comment>
    <comment ref="AC10" authorId="0" shapeId="0">
      <text>
        <t>추정: 최근 8분기 OPM 중위 11.8% 유지
[yoy]</t>
      </text>
    </comment>
    <comment ref="AD10" authorId="0" shapeId="0">
      <text>
        <t>추정: 최근 8분기 OPM 중위 11.8% 유지
[yoy]</t>
      </text>
    </comment>
    <comment ref="S11" authorId="0" shapeId="0">
      <text>
        <t>추정: 이자손익 = 이자발생자산 465억 × 2.26% − 총차입금 0억 × 0.00% (연율, CF 실측) ÷ 4; 환·평가손익 0 가정
[abs]</t>
      </text>
    </comment>
    <comment ref="T11" authorId="0" shapeId="0">
      <text>
        <t>추정: 이자손익 = 이자발생자산 534억 × 2.26% − 총차입금 0억 × 0.00% (연율, CF 실측) ÷ 4; 환·평가손익 0 가정
[abs]</t>
      </text>
    </comment>
    <comment ref="V11" authorId="0" shapeId="0">
      <text>
        <t>추정: 이자손익 = 이자발생자산 609억 × 2.26% − 총차입금 0억 × 0.00% (연율, CF 실측) ÷ 4; 환·평가손익 0 가정
[abs]</t>
      </text>
    </comment>
    <comment ref="W11" authorId="0" shapeId="0">
      <text>
        <t>추정: 이자손익 = 이자발생자산 683억 × 2.26% − 총차입금 0억 × 0.00% (연율, CF 실측) ÷ 4; 환·평가손익 0 가정
[abs]</t>
      </text>
    </comment>
    <comment ref="X11" authorId="0" shapeId="0">
      <text>
        <t>추정: 이자손익 = 이자발생자산 718억 × 2.26% − 총차입금 0억 × 0.00% (연율, CF 실측) ÷ 4; 환·평가손익 0 가정
[abs]</t>
      </text>
    </comment>
    <comment ref="Y11" authorId="0" shapeId="0">
      <text>
        <t>추정: 이자손익 = 이자발생자산 799억 × 2.26% − 총차입금 0억 × 0.00% (연율, CF 실측) ÷ 4; 환·평가손익 0 가정
[abs]</t>
      </text>
    </comment>
    <comment ref="AA11" authorId="0" shapeId="0">
      <text>
        <t>추정: 이자손익 = 이자발생자산 890억 × 2.26% − 총차입금 0억 × 0.00% (연율, CF 실측) ÷ 4; 환·평가손익 0 가정
[abs]</t>
      </text>
    </comment>
    <comment ref="AB11" authorId="0" shapeId="0">
      <text>
        <t>추정: 이자손익 = 이자발생자산 977억 × 2.26% − 총차입금 0억 × 0.00% (연율, CF 실측) ÷ 4; 환·평가손익 0 가정
[abs]</t>
      </text>
    </comment>
    <comment ref="AC11" authorId="0" shapeId="0">
      <text>
        <t>추정: 이자손익 = 이자발생자산 1023억 × 2.26% − 총차입금 0억 × 0.00% (연율, CF 실측) ÷ 4; 환·평가손익 0 가정
[abs]</t>
      </text>
    </comment>
    <comment ref="AD11" authorId="0" shapeId="0">
      <text>
        <t>추정: 이자손익 = 이자발생자산 1111억 × 2.26% − 총차입금 0억 × 0.00% (연율, CF 실측) ÷ 4; 환·평가손익 0 가정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V12" authorId="0" shapeId="0">
      <text>
        <t>추정: 일회성 미가정 → 0
[abs]</t>
      </text>
    </comment>
    <comment ref="W12" authorId="0" shapeId="0">
      <text>
        <t>추정: 일회성 미가정 → 0
[abs]</t>
      </text>
    </comment>
    <comment ref="X12" authorId="0" shapeId="0">
      <text>
        <t>추정: 일회성 미가정 → 0
[abs]</t>
      </text>
    </comment>
    <comment ref="Y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AB12" authorId="0" shapeId="0">
      <text>
        <t>추정: 일회성 미가정 → 0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S13" authorId="0" shapeId="0">
      <text>
        <t>추정: 영업이익 + 금융손익 + 기타영업외 + 지분법 + 환관련(항등식)
[identity]</t>
      </text>
    </comment>
    <comment ref="T13" authorId="0" shapeId="0">
      <text>
        <t>추정: 영업이익 + 금융손익 + 기타영업외 + 지분법 + 환관련(항등식)
[identity]</t>
      </text>
    </comment>
    <comment ref="V13" authorId="0" shapeId="0">
      <text>
        <t>추정: 영업이익 + 금융손익 + 기타영업외 + 지분법 + 환관련(항등식)
[identity]</t>
      </text>
    </comment>
    <comment ref="W13" authorId="0" shapeId="0">
      <text>
        <t>추정: 영업이익 + 금융손익 + 기타영업외 + 지분법 + 환관련(항등식)
[identity]</t>
      </text>
    </comment>
    <comment ref="X13" authorId="0" shapeId="0">
      <text>
        <t>추정: 영업이익 + 금융손익 + 기타영업외 + 지분법 + 환관련(항등식)
[identity]</t>
      </text>
    </comment>
    <comment ref="Y13" authorId="0" shapeId="0">
      <text>
        <t>추정: 영업이익 + 금융손익 + 기타영업외 + 지분법 + 환관련(항등식)
[identity]</t>
      </text>
    </comment>
    <comment ref="AA13" authorId="0" shapeId="0">
      <text>
        <t>추정: 영업이익 + 금융손익 + 기타영업외 + 지분법 + 환관련(항등식)
[identity]</t>
      </text>
    </comment>
    <comment ref="AB13" authorId="0" shapeId="0">
      <text>
        <t>추정: 영업이익 + 금융손익 + 기타영업외 + 지분법 + 환관련(항등식)
[identity]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S14" authorId="0" shapeId="0">
      <text>
        <t>추정: max(세전, 0) × 세율 19.1%(최근 11분기 유효세율 19.1% → 5~27% 클립)
[ratio]</t>
      </text>
    </comment>
    <comment ref="T14" authorId="0" shapeId="0">
      <text>
        <t>추정: max(세전, 0) × 세율 19.1%(최근 11분기 유효세율 19.1% → 5~27% 클립)
[ratio]</t>
      </text>
    </comment>
    <comment ref="V14" authorId="0" shapeId="0">
      <text>
        <t>추정: max(세전, 0) × 세율 19.1%(최근 11분기 유효세율 19.1% → 5~27% 클립)
[ratio]</t>
      </text>
    </comment>
    <comment ref="W14" authorId="0" shapeId="0">
      <text>
        <t>추정: max(세전, 0) × 세율 19.1%(최근 11분기 유효세율 19.1% → 5~27% 클립)
[ratio]</t>
      </text>
    </comment>
    <comment ref="X14" authorId="0" shapeId="0">
      <text>
        <t>추정: max(세전, 0) × 세율 19.1%(최근 11분기 유효세율 19.1% → 5~27% 클립)
[ratio]</t>
      </text>
    </comment>
    <comment ref="Y14" authorId="0" shapeId="0">
      <text>
        <t>추정: max(세전, 0) × 세율 19.1%(최근 11분기 유효세율 19.1% → 5~27% 클립)
[ratio]</t>
      </text>
    </comment>
    <comment ref="AA14" authorId="0" shapeId="0">
      <text>
        <t>추정: max(세전, 0) × 세율 19.1%(최근 11분기 유효세율 19.1% → 5~27% 클립)
[ratio]</t>
      </text>
    </comment>
    <comment ref="AB14" authorId="0" shapeId="0">
      <text>
        <t>추정: max(세전, 0) × 세율 19.1%(최근 11분기 유효세율 19.1% → 5~27% 클립)
[ratio]</t>
      </text>
    </comment>
    <comment ref="AC14" authorId="0" shapeId="0">
      <text>
        <t>추정: max(세전, 0) × 세율 19.1%(최근 11분기 유효세율 19.1% → 5~27% 클립)
[ratio]</t>
      </text>
    </comment>
    <comment ref="AD14" authorId="0" shapeId="0">
      <text>
        <t>추정: max(세전, 0) × 세율 19.1%(최근 11분기 유효세율 19.1% → 5~27% 클립)
[ratio]</t>
      </text>
    </comment>
    <comment ref="S15" authorId="0" shapeId="0">
      <text>
        <t>추정: 세전이익 − 법인세비용(항등식)
[identity]</t>
      </text>
    </comment>
    <comment ref="T15" authorId="0" shapeId="0">
      <text>
        <t>추정: 세전이익 − 법인세비용(항등식)
[identity]</t>
      </text>
    </comment>
    <comment ref="V15" authorId="0" shapeId="0">
      <text>
        <t>추정: 세전이익 − 법인세비용(항등식)
[identity]</t>
      </text>
    </comment>
    <comment ref="W15" authorId="0" shapeId="0">
      <text>
        <t>추정: 세전이익 − 법인세비용(항등식)
[identity]</t>
      </text>
    </comment>
    <comment ref="X15" authorId="0" shapeId="0">
      <text>
        <t>추정: 세전이익 − 법인세비용(항등식)
[identity]</t>
      </text>
    </comment>
    <comment ref="Y15" authorId="0" shapeId="0">
      <text>
        <t>추정: 세전이익 − 법인세비용(항등식)
[identity]</t>
      </text>
    </comment>
    <comment ref="AA15" authorId="0" shapeId="0">
      <text>
        <t>추정: 세전이익 − 법인세비용(항등식)
[identity]</t>
      </text>
    </comment>
    <comment ref="AB15" authorId="0" shapeId="0">
      <text>
        <t>추정: 세전이익 − 법인세비용(항등식)
[identity]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S16" authorId="0" shapeId="0">
      <text>
        <t>추정: 당기순이익 × (1 − 비지배 비중 0.0%, 최근 8분기 실측)
[ratio]</t>
      </text>
    </comment>
    <comment ref="T16" authorId="0" shapeId="0">
      <text>
        <t>추정: 당기순이익 × (1 − 비지배 비중 0.0%, 최근 8분기 실측)
[ratio]</t>
      </text>
    </comment>
    <comment ref="V16" authorId="0" shapeId="0">
      <text>
        <t>추정: 당기순이익 × (1 − 비지배 비중 0.0%, 최근 8분기 실측)
[ratio]</t>
      </text>
    </comment>
    <comment ref="W16" authorId="0" shapeId="0">
      <text>
        <t>추정: 당기순이익 × (1 − 비지배 비중 0.0%, 최근 8분기 실측)
[ratio]</t>
      </text>
    </comment>
    <comment ref="X16" authorId="0" shapeId="0">
      <text>
        <t>추정: 당기순이익 × (1 − 비지배 비중 0.0%, 최근 8분기 실측)
[ratio]</t>
      </text>
    </comment>
    <comment ref="Y16" authorId="0" shapeId="0">
      <text>
        <t>추정: 당기순이익 × (1 − 비지배 비중 0.0%, 최근 8분기 실측)
[ratio]</t>
      </text>
    </comment>
    <comment ref="AA16" authorId="0" shapeId="0">
      <text>
        <t>추정: 당기순이익 × (1 − 비지배 비중 0.0%, 최근 8분기 실측)
[ratio]</t>
      </text>
    </comment>
    <comment ref="AB16" authorId="0" shapeId="0">
      <text>
        <t>추정: 당기순이익 × (1 − 비지배 비중 0.0%, 최근 8분기 실측)
[ratio]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S17" authorId="0" shapeId="0">
      <text>
        <t>추정: 부채총계 + 자본총계(항등식)
[identity]</t>
      </text>
    </comment>
    <comment ref="T17" authorId="0" shapeId="0">
      <text>
        <t>추정: 부채총계 + 자본총계(항등식)
[identity]</t>
      </text>
    </comment>
    <comment ref="V17" authorId="0" shapeId="0">
      <text>
        <t>추정: 부채총계 + 자본총계(항등식)
[identity]</t>
      </text>
    </comment>
    <comment ref="W17" authorId="0" shapeId="0">
      <text>
        <t>추정: 부채총계 + 자본총계(항등식)
[identity]</t>
      </text>
    </comment>
    <comment ref="X17" authorId="0" shapeId="0">
      <text>
        <t>추정: 부채총계 + 자본총계(항등식)
[identity]</t>
      </text>
    </comment>
    <comment ref="Y17" authorId="0" shapeId="0">
      <text>
        <t>추정: 부채총계 + 자본총계(항등식)
[identity]</t>
      </text>
    </comment>
    <comment ref="AA17" authorId="0" shapeId="0">
      <text>
        <t>추정: 부채총계 + 자본총계(항등식)
[identity]</t>
      </text>
    </comment>
    <comment ref="AB17" authorId="0" shapeId="0">
      <text>
        <t>추정: 부채총계 + 자본총계(항등식)
[identity]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S18" authorId="0" shapeId="0">
      <text>
        <t>추정: 마지막 실적 유지(가정)
[qoq]</t>
      </text>
    </comment>
    <comment ref="T18" authorId="0" shapeId="0">
      <text>
        <t>추정: 마지막 실적 유지(가정)
[qoq]</t>
      </text>
    </comment>
    <comment ref="V18" authorId="0" shapeId="0">
      <text>
        <t>추정: 마지막 실적 유지(가정)
[qoq]</t>
      </text>
    </comment>
    <comment ref="W18" authorId="0" shapeId="0">
      <text>
        <t>추정: 마지막 실적 유지(가정)
[qoq]</t>
      </text>
    </comment>
    <comment ref="X18" authorId="0" shapeId="0">
      <text>
        <t>추정: 마지막 실적 유지(가정)
[qoq]</t>
      </text>
    </comment>
    <comment ref="Y18" authorId="0" shapeId="0">
      <text>
        <t>추정: 마지막 실적 유지(가정)
[qoq]</t>
      </text>
    </comment>
    <comment ref="AA18" authorId="0" shapeId="0">
      <text>
        <t>추정: 마지막 실적 유지(가정)
[qoq]</t>
      </text>
    </comment>
    <comment ref="AB18" authorId="0" shapeId="0">
      <text>
        <t>추정: 마지막 실적 유지(가정)
[qoq]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S19" authorId="0" shapeId="0">
      <text>
        <t>추정: 전분기 + 당기순이익 − 배당(Q2 지급 가정)
[roll]</t>
      </text>
    </comment>
    <comment ref="T19" authorId="0" shapeId="0">
      <text>
        <t>추정: 전분기 + 당기순이익 − 배당(Q2 지급 가정)
[roll]</t>
      </text>
    </comment>
    <comment ref="V19" authorId="0" shapeId="0">
      <text>
        <t>추정: 전분기 + 당기순이익 − 배당(Q2 지급 가정)
[roll]</t>
      </text>
    </comment>
    <comment ref="W19" authorId="0" shapeId="0">
      <text>
        <t>추정: 전분기 + 당기순이익 − 배당(Q2 지급 가정)
[roll]</t>
      </text>
    </comment>
    <comment ref="X19" authorId="0" shapeId="0">
      <text>
        <t>추정: 전분기 + 당기순이익 − 배당(Q2 지급 가정)
[roll]</t>
      </text>
    </comment>
    <comment ref="Y19" authorId="0" shapeId="0">
      <text>
        <t>추정: 전분기 + 당기순이익 − 배당(Q2 지급 가정)
[roll]</t>
      </text>
    </comment>
    <comment ref="AA19" authorId="0" shapeId="0">
      <text>
        <t>추정: 전분기 + 당기순이익 − 배당(Q2 지급 가정)
[roll]</t>
      </text>
    </comment>
    <comment ref="AB19" authorId="0" shapeId="0">
      <text>
        <t>추정: 전분기 + 당기순이익 − 배당(Q2 지급 가정)
[roll]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S20" authorId="0" shapeId="0">
      <text>
        <t>추정: 전분기 + 지배주주순이익 − 배당
[roll]</t>
      </text>
    </comment>
    <comment ref="T20" authorId="0" shapeId="0">
      <text>
        <t>추정: 전분기 + 지배주주순이익 − 배당
[roll]</t>
      </text>
    </comment>
    <comment ref="V20" authorId="0" shapeId="0">
      <text>
        <t>추정: 전분기 + 지배주주순이익 − 배당
[roll]</t>
      </text>
    </comment>
    <comment ref="W20" authorId="0" shapeId="0">
      <text>
        <t>추정: 전분기 + 지배주주순이익 − 배당
[roll]</t>
      </text>
    </comment>
    <comment ref="X20" authorId="0" shapeId="0">
      <text>
        <t>추정: 전분기 + 지배주주순이익 − 배당
[roll]</t>
      </text>
    </comment>
    <comment ref="Y20" authorId="0" shapeId="0">
      <text>
        <t>추정: 전분기 + 지배주주순이익 − 배당
[roll]</t>
      </text>
    </comment>
    <comment ref="AA20" authorId="0" shapeId="0">
      <text>
        <t>추정: 전분기 + 지배주주순이익 − 배당
[roll]</t>
      </text>
    </comment>
    <comment ref="AB20" authorId="0" shapeId="0">
      <text>
        <t>추정: 전분기 + 지배주주순이익 − 배당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S23" authorId="0" shapeId="0">
      <text>
        <t>추정: 전분기 + (순이익 − 배당) — 순차입금 롤과 같은 가정
[qoq]</t>
      </text>
    </comment>
    <comment ref="T23" authorId="0" shapeId="0">
      <text>
        <t>추정: 전분기 + (순이익 − 배당) — 순차입금 롤과 같은 가정
[qoq]</t>
      </text>
    </comment>
    <comment ref="V23" authorId="0" shapeId="0">
      <text>
        <t>추정: 전분기 + (순이익 − 배당) — 순차입금 롤과 같은 가정
[qoq]</t>
      </text>
    </comment>
    <comment ref="W23" authorId="0" shapeId="0">
      <text>
        <t>추정: 전분기 + (순이익 − 배당) — 순차입금 롤과 같은 가정
[qoq]</t>
      </text>
    </comment>
    <comment ref="X23" authorId="0" shapeId="0">
      <text>
        <t>추정: 전분기 + (순이익 − 배당) — 순차입금 롤과 같은 가정
[qoq]</t>
      </text>
    </comment>
    <comment ref="Y23" authorId="0" shapeId="0">
      <text>
        <t>추정: 전분기 + (순이익 − 배당) — 순차입금 롤과 같은 가정
[qoq]</t>
      </text>
    </comment>
    <comment ref="AA23" authorId="0" shapeId="0">
      <text>
        <t>추정: 전분기 + (순이익 − 배당) — 순차입금 롤과 같은 가정
[qoq]</t>
      </text>
    </comment>
    <comment ref="AB23" authorId="0" shapeId="0">
      <text>
        <t>추정: 전분기 + (순이익 − 배당) — 순차입금 롤과 같은 가정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추정: 유통주식수 유지 — fin.shares.common_outstanding(2026Q2)
[qoq]</t>
      </text>
    </comment>
    <comment ref="T27" authorId="0" shapeId="0">
      <text>
        <t>추정: 유통주식수 유지 — fin.shares.common_outstanding(2026Q2)
[qoq]</t>
      </text>
    </comment>
    <comment ref="V27" authorId="0" shapeId="0">
      <text>
        <t>추정: 유통주식수 유지 — fin.shares.common_outstanding(2026Q2)
[qoq]</t>
      </text>
    </comment>
    <comment ref="W27" authorId="0" shapeId="0">
      <text>
        <t>추정: 유통주식수 유지 — fin.shares.common_outstanding(2026Q2)
[qoq]</t>
      </text>
    </comment>
    <comment ref="X27" authorId="0" shapeId="0">
      <text>
        <t>추정: 유통주식수 유지 — fin.shares.common_outstanding(2026Q2)
[qoq]</t>
      </text>
    </comment>
    <comment ref="Y27" authorId="0" shapeId="0">
      <text>
        <t>추정: 유통주식수 유지 — fin.shares.common_outstanding(2026Q2)
[qoq]</t>
      </text>
    </comment>
    <comment ref="AA27" authorId="0" shapeId="0">
      <text>
        <t>추정: 유통주식수 유지 — fin.shares.common_outstanding(2026Q2)
[qoq]</t>
      </text>
    </comment>
    <comment ref="AB27" authorId="0" shapeId="0">
      <text>
        <t>추정: 유통주식수 유지 — fin.shares.common_outstanding(2026Q2)
[qoq]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S28" authorId="0" shapeId="0">
      <text>
        <t>추정: 지배주주순이익 ÷ 유통주식수
[per_share]</t>
      </text>
    </comment>
    <comment ref="T28" authorId="0" shapeId="0">
      <text>
        <t>추정: 지배주주순이익 ÷ 유통주식수
[per_share]</t>
      </text>
    </comment>
    <comment ref="V28" authorId="0" shapeId="0">
      <text>
        <t>추정: 지배주주순이익 ÷ 유통주식수
[per_share]</t>
      </text>
    </comment>
    <comment ref="W28" authorId="0" shapeId="0">
      <text>
        <t>추정: 지배주주순이익 ÷ 유통주식수
[per_share]</t>
      </text>
    </comment>
    <comment ref="X28" authorId="0" shapeId="0">
      <text>
        <t>추정: 지배주주순이익 ÷ 유통주식수
[per_share]</t>
      </text>
    </comment>
    <comment ref="Y28" authorId="0" shapeId="0">
      <text>
        <t>추정: 지배주주순이익 ÷ 유통주식수
[per_share]</t>
      </text>
    </comment>
    <comment ref="AA28" authorId="0" shapeId="0">
      <text>
        <t>추정: 지배주주순이익 ÷ 유통주식수
[per_share]</t>
      </text>
    </comment>
    <comment ref="AB28" authorId="0" shapeId="0">
      <text>
        <t>추정: 지배주주순이익 ÷ 유통주식수
[per_share]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S29" authorId="0" shapeId="0">
      <text>
        <t>추정: 지배주주지분 ÷ 유통주식수
[per_share]</t>
      </text>
    </comment>
    <comment ref="T29" authorId="0" shapeId="0">
      <text>
        <t>추정: 지배주주지분 ÷ 유통주식수
[per_share]</t>
      </text>
    </comment>
    <comment ref="V29" authorId="0" shapeId="0">
      <text>
        <t>추정: 지배주주지분 ÷ 유통주식수
[per_share]</t>
      </text>
    </comment>
    <comment ref="W29" authorId="0" shapeId="0">
      <text>
        <t>추정: 지배주주지분 ÷ 유통주식수
[per_share]</t>
      </text>
    </comment>
    <comment ref="X29" authorId="0" shapeId="0">
      <text>
        <t>추정: 지배주주지분 ÷ 유통주식수
[per_share]</t>
      </text>
    </comment>
    <comment ref="Y29" authorId="0" shapeId="0">
      <text>
        <t>추정: 지배주주지분 ÷ 유통주식수
[per_share]</t>
      </text>
    </comment>
    <comment ref="AA29" authorId="0" shapeId="0">
      <text>
        <t>추정: 지배주주지분 ÷ 유통주식수
[per_share]</t>
      </text>
    </comment>
    <comment ref="AB29" authorId="0" shapeId="0">
      <text>
        <t>추정: 지배주주지분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추정: 직전 결산 DPS 130원 유지
[yoy]</t>
      </text>
    </comment>
    <comment ref="Y30" authorId="0" shapeId="0">
      <text>
        <t>추정: 직전 결산 DPS 130원 유지
[yoy]</t>
      </text>
    </comment>
    <comment ref="AD30" authorId="0" shapeId="0">
      <text>
        <t>추정: 직전 결산 DPS 130원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추정: 현재 종가 ÷ TTM EPS(추정 포함)
[yoy]</t>
      </text>
    </comment>
    <comment ref="T31" authorId="0" shapeId="0">
      <text>
        <t>추정: 현재 종가 ÷ TTM EPS(추정 포함)
[yoy]</t>
      </text>
    </comment>
    <comment ref="V31" authorId="0" shapeId="0">
      <text>
        <t>추정: 현재 종가 ÷ TTM EPS(추정 포함)
[yoy]</t>
      </text>
    </comment>
    <comment ref="W31" authorId="0" shapeId="0">
      <text>
        <t>추정: 현재 종가 ÷ TTM EPS(추정 포함)
[yoy]</t>
      </text>
    </comment>
    <comment ref="X31" authorId="0" shapeId="0">
      <text>
        <t>추정: 현재 종가 ÷ TTM EPS(추정 포함)
[yoy]</t>
      </text>
    </comment>
    <comment ref="Y31" authorId="0" shapeId="0">
      <text>
        <t>추정: 현재 종가 ÷ TTM EPS(추정 포함)
[yoy]</t>
      </text>
    </comment>
    <comment ref="AA31" authorId="0" shapeId="0">
      <text>
        <t>추정: 현재 종가 ÷ TTM EPS(추정 포함)
[yoy]</t>
      </text>
    </comment>
    <comment ref="AB31" authorId="0" shapeId="0">
      <text>
        <t>추정: 현재 종가 ÷ TTM EPS(추정 포함)
[yoy]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추정: 현재 종가 ÷ BPS(추정 포함)
[yoy]</t>
      </text>
    </comment>
    <comment ref="T32" authorId="0" shapeId="0">
      <text>
        <t>추정: 현재 종가 ÷ BPS(추정 포함)
[yoy]</t>
      </text>
    </comment>
    <comment ref="V32" authorId="0" shapeId="0">
      <text>
        <t>추정: 현재 종가 ÷ BPS(추정 포함)
[yoy]</t>
      </text>
    </comment>
    <comment ref="W32" authorId="0" shapeId="0">
      <text>
        <t>추정: 현재 종가 ÷ BPS(추정 포함)
[yoy]</t>
      </text>
    </comment>
    <comment ref="X32" authorId="0" shapeId="0">
      <text>
        <t>추정: 현재 종가 ÷ BPS(추정 포함)
[yoy]</t>
      </text>
    </comment>
    <comment ref="Y32" authorId="0" shapeId="0">
      <text>
        <t>추정: 현재 종가 ÷ BPS(추정 포함)
[yoy]</t>
      </text>
    </comment>
    <comment ref="AA32" authorId="0" shapeId="0">
      <text>
        <t>추정: 현재 종가 ÷ BPS(추정 포함)
[yoy]</t>
      </text>
    </comment>
    <comment ref="AB32" authorId="0" shapeId="0">
      <text>
        <t>추정: 현재 종가 ÷ BPS(추정 포함)
[yoy]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추정: = 매출액 추정(부문 미분리)
[ratio]</t>
      </text>
    </comment>
    <comment ref="T33" authorId="0" shapeId="0">
      <text>
        <t>추정: = 매출액 추정(부문 미분리)
[ratio]</t>
      </text>
    </comment>
    <comment ref="V33" authorId="0" shapeId="0">
      <text>
        <t>추정: = 매출액 추정(부문 미분리)
[ratio]</t>
      </text>
    </comment>
    <comment ref="W33" authorId="0" shapeId="0">
      <text>
        <t>추정: = 매출액 추정(부문 미분리)
[ratio]</t>
      </text>
    </comment>
    <comment ref="X33" authorId="0" shapeId="0">
      <text>
        <t>추정: = 매출액 추정(부문 미분리)
[ratio]</t>
      </text>
    </comment>
    <comment ref="Y33" authorId="0" shapeId="0">
      <text>
        <t>추정: = 매출액 추정(부문 미분리)
[ratio]</t>
      </text>
    </comment>
    <comment ref="AA33" authorId="0" shapeId="0">
      <text>
        <t>추정: = 매출액 추정(부문 미분리)
[ratio]</t>
      </text>
    </comment>
    <comment ref="AB33" authorId="0" shapeId="0">
      <text>
        <t>추정: = 매출액 추정(부문 미분리)
[ratio]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추정: = 매출액 × OPM(부문 미분리)
[ratio]</t>
      </text>
    </comment>
    <comment ref="T34" authorId="0" shapeId="0">
      <text>
        <t>추정: = 매출액 × OPM(부문 미분리)
[ratio]</t>
      </text>
    </comment>
    <comment ref="V34" authorId="0" shapeId="0">
      <text>
        <t>추정: = 매출액 × OPM(부문 미분리)
[ratio]</t>
      </text>
    </comment>
    <comment ref="W34" authorId="0" shapeId="0">
      <text>
        <t>추정: = 매출액 × OPM(부문 미분리)
[ratio]</t>
      </text>
    </comment>
    <comment ref="X34" authorId="0" shapeId="0">
      <text>
        <t>추정: = 매출액 × OPM(부문 미분리)
[ratio]</t>
      </text>
    </comment>
    <comment ref="Y34" authorId="0" shapeId="0">
      <text>
        <t>추정: = 매출액 × OPM(부문 미분리)
[ratio]</t>
      </text>
    </comment>
    <comment ref="AA34" authorId="0" shapeId="0">
      <text>
        <t>추정: = 매출액 × OPM(부문 미분리)
[ratio]</t>
      </text>
    </comment>
    <comment ref="AB34" authorId="0" shapeId="0">
      <text>
        <t>추정: = 매출액 × OPM(부문 미분리)
[ratio]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assets/models/460930.json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1.5, "op_wape_pct": 19.3,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612.63, "rev_act": 605.92, "op_pred": 65.82, "op_act": 67.88}, {"q": "2025Q4", "rev_pred": 671.82, "rev_act": 669.42, "op_pred": 72.18, "op_act": 64.77}, {"q": "2026Q1", "rev_pred": 673.26, "rev_act": 646.1, "op_pred": 72.34, "op_act": 85.3}, {"q": "2026Q2", "rev_pred": 731.64, "rev_act": 727.68, "op_pred": 78.61,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1419.72</v>
      </c>
      <c r="T6" s="16" t="n">
        <v>1353.36</v>
      </c>
      <c r="U6" s="17" t="n">
        <v>1461.87</v>
      </c>
      <c r="V6" s="16" t="n">
        <v>1353.36</v>
      </c>
      <c r="W6" s="16" t="n">
        <v>1353.36</v>
      </c>
      <c r="X6" s="16" t="n">
        <v>1353.36</v>
      </c>
      <c r="Y6" s="16" t="n">
        <v>1353.36</v>
      </c>
      <c r="Z6" s="11" t="n"/>
      <c r="AA6" s="16" t="n">
        <v>1353.36</v>
      </c>
      <c r="AB6" s="16" t="n">
        <v>1353.36</v>
      </c>
      <c r="AC6" s="16" t="n">
        <v>1353.36</v>
      </c>
      <c r="AD6" s="16" t="n">
        <v>1353.36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1353.36</v>
      </c>
      <c r="T7" s="16" t="n">
        <v>1353.36</v>
      </c>
      <c r="U7" s="17" t="n">
        <v>1353.36</v>
      </c>
      <c r="V7" s="16" t="n">
        <v>1353.36</v>
      </c>
      <c r="W7" s="16" t="n">
        <v>1353.36</v>
      </c>
      <c r="X7" s="16" t="n">
        <v>1353.36</v>
      </c>
      <c r="Y7" s="16" t="n">
        <v>1353.36</v>
      </c>
      <c r="Z7" s="11" t="n"/>
      <c r="AA7" s="16" t="n">
        <v>1353.36</v>
      </c>
      <c r="AB7" s="16" t="n">
        <v>1353.36</v>
      </c>
      <c r="AC7" s="16" t="n">
        <v>1353.36</v>
      </c>
      <c r="AD7" s="16" t="n">
        <v>1353.36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890.83</v>
      </c>
      <c r="T8" s="16" t="n">
        <v>861.35</v>
      </c>
      <c r="U8" s="17" t="n">
        <v>922.02</v>
      </c>
      <c r="V8" s="16" t="n">
        <v>861.35</v>
      </c>
      <c r="W8" s="16" t="n">
        <v>861.35</v>
      </c>
      <c r="X8" s="16" t="n">
        <v>861.35</v>
      </c>
      <c r="Y8" s="16" t="n">
        <v>861.35</v>
      </c>
      <c r="Z8" s="11" t="n"/>
      <c r="AA8" s="16" t="n">
        <v>861.35</v>
      </c>
      <c r="AB8" s="16" t="n">
        <v>861.35</v>
      </c>
      <c r="AC8" s="16" t="n">
        <v>861.35</v>
      </c>
      <c r="AD8" s="16" t="n">
        <v>861.35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861.35</v>
      </c>
      <c r="T9" s="16" t="n">
        <v>861.35</v>
      </c>
      <c r="U9" s="17" t="n">
        <v>861.35</v>
      </c>
      <c r="V9" s="16" t="n">
        <v>861.35</v>
      </c>
      <c r="W9" s="16" t="n">
        <v>861.35</v>
      </c>
      <c r="X9" s="16" t="n">
        <v>861.35</v>
      </c>
      <c r="Y9" s="16" t="n">
        <v>861.35</v>
      </c>
      <c r="Z9" s="11" t="n"/>
      <c r="AA9" s="16" t="n">
        <v>861.35</v>
      </c>
      <c r="AB9" s="16" t="n">
        <v>861.35</v>
      </c>
      <c r="AC9" s="16" t="n">
        <v>861.35</v>
      </c>
      <c r="AD9" s="16" t="n">
        <v>861.35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1633.4</v>
      </c>
      <c r="T10" s="16" t="n">
        <v>1536.74</v>
      </c>
      <c r="U10" s="17" t="n">
        <v>1697.39</v>
      </c>
      <c r="V10" s="16" t="n">
        <v>1536.74</v>
      </c>
      <c r="W10" s="16" t="n">
        <v>1536.74</v>
      </c>
      <c r="X10" s="16" t="n">
        <v>1536.74</v>
      </c>
      <c r="Y10" s="16" t="n">
        <v>1536.74</v>
      </c>
      <c r="Z10" s="11" t="n"/>
      <c r="AA10" s="16" t="n">
        <v>1536.74</v>
      </c>
      <c r="AB10" s="16" t="n">
        <v>1536.74</v>
      </c>
      <c r="AC10" s="16" t="n">
        <v>1536.74</v>
      </c>
      <c r="AD10" s="16" t="n">
        <v>1536.74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1536.74</v>
      </c>
      <c r="T11" s="16" t="n">
        <v>1536.74</v>
      </c>
      <c r="U11" s="17" t="n">
        <v>1536.74</v>
      </c>
      <c r="V11" s="16" t="n">
        <v>1536.74</v>
      </c>
      <c r="W11" s="16" t="n">
        <v>1536.74</v>
      </c>
      <c r="X11" s="16" t="n">
        <v>1536.74</v>
      </c>
      <c r="Y11" s="16" t="n">
        <v>1536.74</v>
      </c>
      <c r="Z11" s="11" t="n"/>
      <c r="AA11" s="16" t="n">
        <v>1536.74</v>
      </c>
      <c r="AB11" s="16" t="n">
        <v>1536.74</v>
      </c>
      <c r="AC11" s="16" t="n">
        <v>1536.74</v>
      </c>
      <c r="AD11" s="16" t="n">
        <v>1536.74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210.55</v>
      </c>
      <c r="T12" s="16" t="n">
        <v>201.89</v>
      </c>
      <c r="U12" s="17" t="n">
        <v>214.29</v>
      </c>
      <c r="V12" s="16" t="n">
        <v>201.89</v>
      </c>
      <c r="W12" s="16" t="n">
        <v>201.89</v>
      </c>
      <c r="X12" s="16" t="n">
        <v>201.89</v>
      </c>
      <c r="Y12" s="16" t="n">
        <v>201.89</v>
      </c>
      <c r="Z12" s="11" t="n"/>
      <c r="AA12" s="16" t="n">
        <v>201.89</v>
      </c>
      <c r="AB12" s="16" t="n">
        <v>201.89</v>
      </c>
      <c r="AC12" s="16" t="n">
        <v>201.89</v>
      </c>
      <c r="AD12" s="16" t="n">
        <v>201.89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201.89</v>
      </c>
      <c r="T13" s="16" t="n">
        <v>201.89</v>
      </c>
      <c r="U13" s="17" t="n">
        <v>201.89</v>
      </c>
      <c r="V13" s="16" t="n">
        <v>201.89</v>
      </c>
      <c r="W13" s="16" t="n">
        <v>201.89</v>
      </c>
      <c r="X13" s="16" t="n">
        <v>201.89</v>
      </c>
      <c r="Y13" s="16" t="n">
        <v>201.89</v>
      </c>
      <c r="Z13" s="11" t="n"/>
      <c r="AA13" s="16" t="n">
        <v>201.89</v>
      </c>
      <c r="AB13" s="16" t="n">
        <v>201.89</v>
      </c>
      <c r="AC13" s="16" t="n">
        <v>201.89</v>
      </c>
      <c r="AD13" s="16" t="n">
        <v>201.89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13920</v>
      </c>
      <c r="M15" s="18" t="n">
        <v>18700</v>
      </c>
      <c r="N15" s="18" t="n">
        <v>26550</v>
      </c>
      <c r="O15" s="18" t="n">
        <v>17690</v>
      </c>
      <c r="P15" s="9" t="n"/>
      <c r="Q15" s="18" t="n">
        <v>17650</v>
      </c>
      <c r="R15" s="19" t="n">
        <v>12150</v>
      </c>
      <c r="S15" s="20" t="n">
        <v>12890</v>
      </c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22900</v>
      </c>
      <c r="N16" s="18" t="n">
        <v>33450</v>
      </c>
      <c r="O16" s="18" t="n">
        <v>27000</v>
      </c>
      <c r="P16" s="9" t="n"/>
      <c r="Q16" s="18" t="n">
        <v>23350</v>
      </c>
      <c r="R16" s="19" t="n">
        <v>22000</v>
      </c>
      <c r="S16" s="20" t="n">
        <v>16880</v>
      </c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15250</v>
      </c>
      <c r="R17" s="19" t="n">
        <v>11240</v>
      </c>
      <c r="S17" s="20" t="n">
        <v>10380</v>
      </c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17393.8</v>
      </c>
      <c r="M18" s="18" t="n">
        <v>18004.8</v>
      </c>
      <c r="N18" s="18" t="n">
        <v>22935.1</v>
      </c>
      <c r="O18" s="18" t="n">
        <v>20329</v>
      </c>
      <c r="P18" s="9" t="n"/>
      <c r="Q18" s="18" t="n">
        <v>18394.1</v>
      </c>
      <c r="R18" s="19" t="n">
        <v>16963.6</v>
      </c>
      <c r="S18" s="20" t="n">
        <v>13345</v>
      </c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0.15764</v>
      </c>
      <c r="T21" s="24" t="n">
        <v>0.145655</v>
      </c>
      <c r="U21" s="25" t="n"/>
      <c r="V21" s="24" t="n">
        <v>0.143985</v>
      </c>
      <c r="W21" s="24" t="n">
        <v>0.120984</v>
      </c>
      <c r="X21" s="24" t="n">
        <v>0.161211</v>
      </c>
      <c r="Y21" s="24" t="n">
        <v>0.190046</v>
      </c>
      <c r="Z21" s="25" t="n"/>
      <c r="AA21" s="24" t="n">
        <v>0.172635</v>
      </c>
      <c r="AB21" s="24" t="n">
        <v>0.128218</v>
      </c>
      <c r="AC21" s="24" t="n">
        <v>0.07413</v>
      </c>
      <c r="AD21" s="24" t="n">
        <v>0.020402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4" t="n">
        <v>0.037594</v>
      </c>
      <c r="T22" s="24" t="n">
        <v>0.037592</v>
      </c>
      <c r="U22" s="25">
        <f>IFERROR(subQ!U8/subQ!U5,"")</f>
        <v/>
      </c>
      <c r="V22" s="24" t="n">
        <v>0.037598</v>
      </c>
      <c r="W22" s="24" t="n">
        <v>0.037599</v>
      </c>
      <c r="X22" s="24" t="n">
        <v>0.037593</v>
      </c>
      <c r="Y22" s="24" t="n">
        <v>0.037593</v>
      </c>
      <c r="Z22" s="25">
        <f>IFERROR(subQ!Z8/subQ!Z5,"")</f>
        <v/>
      </c>
      <c r="AA22" s="24" t="n">
        <v>0.03759</v>
      </c>
      <c r="AB22" s="24" t="n">
        <v>0.037596</v>
      </c>
      <c r="AC22" s="24" t="n">
        <v>0.037593</v>
      </c>
      <c r="AD22" s="24" t="n">
        <v>0.037593</v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0.118043</v>
      </c>
      <c r="T23" s="24" t="n">
        <v>0.118044</v>
      </c>
      <c r="U23" s="25">
        <f>IFERROR(subQ!U9/subQ!U5,"")</f>
        <v/>
      </c>
      <c r="V23" s="24" t="n">
        <v>0.118044</v>
      </c>
      <c r="W23" s="24" t="n">
        <v>0.118043</v>
      </c>
      <c r="X23" s="24" t="n">
        <v>0.118045</v>
      </c>
      <c r="Y23" s="24" t="n">
        <v>0.118038</v>
      </c>
      <c r="Z23" s="25">
        <f>IFERROR(subQ!Z9/subQ!Z5,"")</f>
        <v/>
      </c>
      <c r="AA23" s="24" t="n">
        <v>0.118041</v>
      </c>
      <c r="AB23" s="24" t="n">
        <v>0.118047</v>
      </c>
      <c r="AC23" s="24" t="n">
        <v>0.118048</v>
      </c>
      <c r="AD23" s="24" t="n">
        <v>0.118041</v>
      </c>
      <c r="AE23" s="25">
        <f>IFERROR(subQ!AE9/subQ!AE5,"")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3">
        <f>IFERROR(subQ!R36/subQ!M36-1,"")</f>
        <v/>
      </c>
      <c r="S24" s="24" t="n">
        <v>0.053571</v>
      </c>
      <c r="T24" s="24" t="n">
        <v>0.219008</v>
      </c>
      <c r="U24" s="25" t="n"/>
      <c r="V24" s="24" t="n">
        <v>-0.106061</v>
      </c>
      <c r="W24" s="24" t="n">
        <v>-0.295102</v>
      </c>
      <c r="X24" s="24" t="n">
        <v>0</v>
      </c>
      <c r="Y24" s="24" t="n">
        <v>0</v>
      </c>
      <c r="Z24" s="25" t="n"/>
      <c r="AA24" s="24" t="n">
        <v>0</v>
      </c>
      <c r="AB24" s="24" t="n">
        <v>0</v>
      </c>
      <c r="AC24" s="24" t="n">
        <v>0</v>
      </c>
      <c r="AD24" s="24" t="n">
        <v>0</v>
      </c>
      <c r="AE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8">
        <f>subQ!R11</f>
        <v/>
      </c>
      <c r="S25" s="29" t="n">
        <v>2.62</v>
      </c>
      <c r="T25" s="29" t="n">
        <v>3.01</v>
      </c>
      <c r="U25" s="30">
        <f>subQ!U11</f>
        <v/>
      </c>
      <c r="V25" s="29" t="n">
        <v>3.44</v>
      </c>
      <c r="W25" s="29" t="n">
        <v>3.85</v>
      </c>
      <c r="X25" s="29" t="n">
        <v>4.05</v>
      </c>
      <c r="Y25" s="29" t="n">
        <v>4.51</v>
      </c>
      <c r="Z25" s="30">
        <f>subQ!Z11</f>
        <v/>
      </c>
      <c r="AA25" s="29" t="n">
        <v>5.02</v>
      </c>
      <c r="AB25" s="29" t="n">
        <v>5.51</v>
      </c>
      <c r="AC25" s="29" t="n">
        <v>5.77</v>
      </c>
      <c r="AD25" s="29" t="n">
        <v>6.27</v>
      </c>
      <c r="AE25" s="30">
        <f>subQ!AE11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8">
        <f>subQ!R12</f>
        <v/>
      </c>
      <c r="S26" s="29" t="n">
        <v>0</v>
      </c>
      <c r="T26" s="29" t="n">
        <v>0</v>
      </c>
      <c r="U26" s="30">
        <f>subQ!U12</f>
        <v/>
      </c>
      <c r="V26" s="29" t="n">
        <v>0</v>
      </c>
      <c r="W26" s="29" t="n">
        <v>0</v>
      </c>
      <c r="X26" s="29" t="n">
        <v>0</v>
      </c>
      <c r="Y26" s="29" t="n">
        <v>0</v>
      </c>
      <c r="Z26" s="30">
        <f>subQ!Z12</f>
        <v/>
      </c>
      <c r="AA26" s="29" t="n">
        <v>0</v>
      </c>
      <c r="AB26" s="29" t="n">
        <v>0</v>
      </c>
      <c r="AC26" s="29" t="n">
        <v>0</v>
      </c>
      <c r="AD26" s="29" t="n">
        <v>0</v>
      </c>
      <c r="AE26" s="30">
        <f>subQ!AE12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3">
        <f>IFERROR(subQ!R14/subQ!R13,"")</f>
        <v/>
      </c>
      <c r="S27" s="24" t="n">
        <v>0.190588</v>
      </c>
      <c r="T27" s="24" t="n">
        <v>0.190614</v>
      </c>
      <c r="U27" s="25">
        <f>IFERROR(subQ!U14/subQ!U13,"")</f>
        <v/>
      </c>
      <c r="V27" s="24" t="n">
        <v>0.190649</v>
      </c>
      <c r="W27" s="24" t="n">
        <v>0.190633</v>
      </c>
      <c r="X27" s="24" t="n">
        <v>0.190619</v>
      </c>
      <c r="Y27" s="24" t="n">
        <v>0.190574</v>
      </c>
      <c r="Z27" s="25">
        <f>IFERROR(subQ!Z14/subQ!Z13,"")</f>
        <v/>
      </c>
      <c r="AA27" s="24" t="n">
        <v>0.190627</v>
      </c>
      <c r="AB27" s="24" t="n">
        <v>0.190626</v>
      </c>
      <c r="AC27" s="24" t="n">
        <v>0.190646</v>
      </c>
      <c r="AD27" s="24" t="n">
        <v>0.19062</v>
      </c>
      <c r="AE27" s="25">
        <f>IFERROR(subQ!AE14/subQ!AE13,"")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3">
        <f>IFERROR(subQ!R16/subQ!R15,"")</f>
        <v/>
      </c>
      <c r="S28" s="24" t="n">
        <v>1</v>
      </c>
      <c r="T28" s="24" t="n">
        <v>1</v>
      </c>
      <c r="U28" s="25">
        <f>IFERROR(subQ!U16/subQ!U15,"")</f>
        <v/>
      </c>
      <c r="V28" s="24" t="n">
        <v>1</v>
      </c>
      <c r="W28" s="24" t="n">
        <v>1</v>
      </c>
      <c r="X28" s="24" t="n">
        <v>1</v>
      </c>
      <c r="Y28" s="24" t="n">
        <v>1</v>
      </c>
      <c r="Z28" s="25">
        <f>IFERROR(subQ!Z16/subQ!Z15,"")</f>
        <v/>
      </c>
      <c r="AA28" s="24" t="n">
        <v>1</v>
      </c>
      <c r="AB28" s="24" t="n">
        <v>1</v>
      </c>
      <c r="AC28" s="24" t="n">
        <v>1</v>
      </c>
      <c r="AD28" s="24" t="n">
        <v>1</v>
      </c>
      <c r="AE28" s="25">
        <f>IFERROR(subQ!AE16/subQ!AE15,"")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3">
        <f>IFERROR(subQ!R18/subQ!Q18-1,"")</f>
        <v/>
      </c>
      <c r="S29" s="24" t="n">
        <v>5e-06</v>
      </c>
      <c r="T29" s="24" t="n">
        <v>0</v>
      </c>
      <c r="U29" s="25" t="n"/>
      <c r="V29" s="24" t="n">
        <v>0</v>
      </c>
      <c r="W29" s="24" t="n">
        <v>0</v>
      </c>
      <c r="X29" s="24" t="n">
        <v>0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8">
        <f>IFERROR(subQ!Q19+subQ!R15-subQ!R19,"")</f>
        <v/>
      </c>
      <c r="S30" s="29" t="n">
        <v>0.0004</v>
      </c>
      <c r="T30" s="29" t="n">
        <v>0</v>
      </c>
      <c r="U30" s="30" t="n"/>
      <c r="V30" s="29" t="n">
        <v>-0.01</v>
      </c>
      <c r="W30" s="29" t="n">
        <v>46.17</v>
      </c>
      <c r="X30" s="29" t="n">
        <v>0</v>
      </c>
      <c r="Y30" s="29" t="n">
        <v>0</v>
      </c>
      <c r="Z30" s="30" t="n"/>
      <c r="AA30" s="29" t="n">
        <v>0</v>
      </c>
      <c r="AB30" s="29" t="n">
        <v>46.17</v>
      </c>
      <c r="AC30" s="29" t="n">
        <v>-0.01</v>
      </c>
      <c r="AD30" s="29" t="n">
        <v>0</v>
      </c>
      <c r="AE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8">
        <f>IFERROR(subQ!Q20+subQ!R16-subQ!R20,"")</f>
        <v/>
      </c>
      <c r="S31" s="29" t="n">
        <v>0.0004</v>
      </c>
      <c r="T31" s="29" t="n">
        <v>0</v>
      </c>
      <c r="U31" s="30" t="n"/>
      <c r="V31" s="29" t="n">
        <v>-0.01</v>
      </c>
      <c r="W31" s="29" t="n">
        <v>46.17</v>
      </c>
      <c r="X31" s="29" t="n">
        <v>0</v>
      </c>
      <c r="Y31" s="29" t="n">
        <v>0</v>
      </c>
      <c r="Z31" s="30" t="n"/>
      <c r="AA31" s="29" t="n">
        <v>0</v>
      </c>
      <c r="AB31" s="29" t="n">
        <v>46.17</v>
      </c>
      <c r="AC31" s="29" t="n">
        <v>-0.01</v>
      </c>
      <c r="AD31" s="29" t="n">
        <v>0</v>
      </c>
      <c r="AE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3">
        <f>IFERROR(subQ!R21/subQ!Q21-1,"")</f>
        <v/>
      </c>
      <c r="S32" s="31" t="n"/>
      <c r="T32" s="31" t="n"/>
      <c r="U32" s="25" t="n"/>
      <c r="V32" s="31" t="n"/>
      <c r="W32" s="31" t="n"/>
      <c r="X32" s="31" t="n"/>
      <c r="Y32" s="31" t="n"/>
      <c r="Z32" s="25" t="n"/>
      <c r="AA32" s="31" t="n"/>
      <c r="AB32" s="31" t="n"/>
      <c r="AC32" s="31" t="n"/>
      <c r="AD32" s="31" t="n"/>
      <c r="AE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3">
        <f>IFERROR(subQ!R22/subQ!Q22-1,"")</f>
        <v/>
      </c>
      <c r="S33" s="31" t="n"/>
      <c r="T33" s="31" t="n"/>
      <c r="U33" s="25" t="n"/>
      <c r="V33" s="31" t="n"/>
      <c r="W33" s="31" t="n"/>
      <c r="X33" s="31" t="n"/>
      <c r="Y33" s="31" t="n"/>
      <c r="Z33" s="25" t="n"/>
      <c r="AA33" s="31" t="n"/>
      <c r="AB33" s="31" t="n"/>
      <c r="AC33" s="31" t="n"/>
      <c r="AD33" s="31" t="n"/>
      <c r="AE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3">
        <f>IFERROR(subQ!R23/subQ!Q23-1,"")</f>
        <v/>
      </c>
      <c r="S34" s="24" t="n">
        <v>0.148806</v>
      </c>
      <c r="T34" s="24" t="n">
        <v>0.14184</v>
      </c>
      <c r="U34" s="25" t="n"/>
      <c r="V34" s="24" t="n">
        <v>0.120447</v>
      </c>
      <c r="W34" s="24" t="n">
        <v>0.051092</v>
      </c>
      <c r="X34" s="24" t="n">
        <v>0.112987</v>
      </c>
      <c r="Y34" s="24" t="n">
        <v>0.113722</v>
      </c>
      <c r="Z34" s="25" t="n"/>
      <c r="AA34" s="24" t="n">
        <v>0.097648</v>
      </c>
      <c r="AB34" s="24" t="n">
        <v>0.047327</v>
      </c>
      <c r="AC34" s="24" t="n">
        <v>0.0863</v>
      </c>
      <c r="AD34" s="24" t="n">
        <v>0.084646</v>
      </c>
      <c r="AE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3">
        <f>IFERROR(subQ!R24/subQ!Q24-1,"")</f>
        <v/>
      </c>
      <c r="S35" s="31" t="n"/>
      <c r="T35" s="31" t="n"/>
      <c r="U35" s="25" t="n"/>
      <c r="V35" s="31" t="n"/>
      <c r="W35" s="31" t="n"/>
      <c r="X35" s="31" t="n"/>
      <c r="Y35" s="31" t="n"/>
      <c r="Z35" s="25" t="n"/>
      <c r="AA35" s="31" t="n"/>
      <c r="AB35" s="31" t="n"/>
      <c r="AC35" s="31" t="n"/>
      <c r="AD35" s="31" t="n"/>
      <c r="AE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3">
        <f>IFERROR(subQ!R25/subQ!M25-1,"")</f>
        <v/>
      </c>
      <c r="S36" s="31" t="n"/>
      <c r="T36" s="31" t="n"/>
      <c r="U36" s="25" t="n"/>
      <c r="V36" s="31" t="n"/>
      <c r="W36" s="31" t="n"/>
      <c r="X36" s="31" t="n"/>
      <c r="Y36" s="31" t="n"/>
      <c r="Z36" s="25" t="n"/>
      <c r="AA36" s="31" t="n"/>
      <c r="AB36" s="31" t="n"/>
      <c r="AC36" s="31" t="n"/>
      <c r="AD36" s="31" t="n"/>
      <c r="AE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3">
        <f>IFERROR(subQ!R26/subQ!M26-1,"")</f>
        <v/>
      </c>
      <c r="S37" s="31" t="n"/>
      <c r="T37" s="31" t="n"/>
      <c r="U37" s="25" t="n"/>
      <c r="V37" s="31" t="n"/>
      <c r="W37" s="31" t="n"/>
      <c r="X37" s="31" t="n"/>
      <c r="Y37" s="31" t="n"/>
      <c r="Z37" s="25" t="n"/>
      <c r="AA37" s="31" t="n"/>
      <c r="AB37" s="31" t="n"/>
      <c r="AC37" s="31" t="n"/>
      <c r="AD37" s="31" t="n"/>
      <c r="AE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3">
        <f>IFERROR(subQ!R27/subQ!Q27-1,"")</f>
        <v/>
      </c>
      <c r="S38" s="24" t="n">
        <v>0</v>
      </c>
      <c r="T38" s="24" t="n">
        <v>0</v>
      </c>
      <c r="U38" s="25" t="n"/>
      <c r="V38" s="24" t="n">
        <v>0</v>
      </c>
      <c r="W38" s="24" t="n">
        <v>0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3">
        <f>IFERROR(subQ!R30/subQ!M30-1,"")</f>
        <v/>
      </c>
      <c r="S39" s="31" t="n"/>
      <c r="T39" s="24" t="n">
        <v>0</v>
      </c>
      <c r="U39" s="25" t="n"/>
      <c r="V39" s="31" t="n"/>
      <c r="W39" s="31" t="n"/>
      <c r="X39" s="31" t="n"/>
      <c r="Y39" s="24" t="n">
        <v>0</v>
      </c>
      <c r="Z39" s="25" t="n"/>
      <c r="AA39" s="31" t="n"/>
      <c r="AB39" s="31" t="n"/>
      <c r="AC39" s="31" t="n"/>
      <c r="AD39" s="24" t="n">
        <v>0</v>
      </c>
      <c r="AE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3">
        <f>IFERROR(subQ!R31/subQ!M31-1,"")</f>
        <v/>
      </c>
      <c r="S40" s="24" t="n">
        <v>-0.584779</v>
      </c>
      <c r="T40" s="24" t="n">
        <v>-0.552522</v>
      </c>
      <c r="U40" s="25" t="n"/>
      <c r="V40" s="24" t="n">
        <v>-0.494842</v>
      </c>
      <c r="W40" s="24" t="n">
        <v>-0.38048</v>
      </c>
      <c r="X40" s="24" t="n">
        <v>-0.139701</v>
      </c>
      <c r="Y40" s="24" t="n">
        <v>-0.08885899999999999</v>
      </c>
      <c r="Z40" s="25" t="n"/>
      <c r="AA40" s="24" t="n">
        <v>-0.10143</v>
      </c>
      <c r="AB40" s="24" t="n">
        <v>-0.14753</v>
      </c>
      <c r="AC40" s="24" t="n">
        <v>-0.131853</v>
      </c>
      <c r="AD40" s="24" t="n">
        <v>-0.097525</v>
      </c>
      <c r="AE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3">
        <f>IFERROR(subQ!R32/subQ!M32-1,"")</f>
        <v/>
      </c>
      <c r="S41" s="24" t="n">
        <v>-0.495441</v>
      </c>
      <c r="T41" s="24" t="n">
        <v>-0.435088</v>
      </c>
      <c r="U41" s="25" t="n"/>
      <c r="V41" s="24" t="n">
        <v>-0.386719</v>
      </c>
      <c r="W41" s="24" t="n">
        <v>-0.323144</v>
      </c>
      <c r="X41" s="24" t="n">
        <v>-0.090361</v>
      </c>
      <c r="Y41" s="24" t="n">
        <v>-0.08695700000000001</v>
      </c>
      <c r="Z41" s="25" t="n"/>
      <c r="AA41" s="24" t="n">
        <v>-0.089172</v>
      </c>
      <c r="AB41" s="24" t="n">
        <v>-0.096774</v>
      </c>
      <c r="AC41" s="24" t="n">
        <v>-0.09271500000000001</v>
      </c>
      <c r="AD41" s="24" t="n">
        <v>-0.095238</v>
      </c>
      <c r="AE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3">
        <f>IFERROR(subQ!R33/subQ!R5,"")</f>
        <v/>
      </c>
      <c r="S42" s="24" t="n">
        <v>1</v>
      </c>
      <c r="T42" s="24" t="n">
        <v>1</v>
      </c>
      <c r="U42" s="25">
        <f>IFERROR(subQ!U33/subQ!U5,"")</f>
        <v/>
      </c>
      <c r="V42" s="24" t="n">
        <v>1</v>
      </c>
      <c r="W42" s="24" t="n">
        <v>1</v>
      </c>
      <c r="X42" s="24" t="n">
        <v>1</v>
      </c>
      <c r="Y42" s="24" t="n">
        <v>1</v>
      </c>
      <c r="Z42" s="25">
        <f>IFERROR(subQ!Z33/subQ!Z5,"")</f>
        <v/>
      </c>
      <c r="AA42" s="24" t="n">
        <v>1</v>
      </c>
      <c r="AB42" s="24" t="n">
        <v>1</v>
      </c>
      <c r="AC42" s="24" t="n">
        <v>1</v>
      </c>
      <c r="AD42" s="24" t="n">
        <v>1</v>
      </c>
      <c r="AE42" s="25">
        <f>IFERROR(subQ!AE33/subQ!AE5,"")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3">
        <f>IFERROR(subQ!R34/subQ!R33,"")</f>
        <v/>
      </c>
      <c r="S43" s="24" t="n">
        <v>0.118043</v>
      </c>
      <c r="T43" s="24" t="n">
        <v>0.118044</v>
      </c>
      <c r="U43" s="25">
        <f>IFERROR(subQ!U34/subQ!U33,"")</f>
        <v/>
      </c>
      <c r="V43" s="24" t="n">
        <v>0.118044</v>
      </c>
      <c r="W43" s="24" t="n">
        <v>0.118043</v>
      </c>
      <c r="X43" s="24" t="n">
        <v>0.118045</v>
      </c>
      <c r="Y43" s="24" t="n">
        <v>0.118038</v>
      </c>
      <c r="Z43" s="25">
        <f>IFERROR(subQ!Z34/subQ!Z33,"")</f>
        <v/>
      </c>
      <c r="AA43" s="24" t="n">
        <v>0.118041</v>
      </c>
      <c r="AB43" s="24" t="n">
        <v>0.118047</v>
      </c>
      <c r="AC43" s="24" t="n">
        <v>0.118048</v>
      </c>
      <c r="AD43" s="24" t="n">
        <v>0.118041</v>
      </c>
      <c r="AE43" s="25">
        <f>IFERROR(subQ!AE34/subQ!AE33,"")</f>
        <v/>
      </c>
    </row>
    <row r="44"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B45" s="1" t="inlineStr">
        <is>
          <t>3. 밸류에이션·스칼라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12630</v>
      </c>
      <c r="E46" s="2" t="inlineStr">
        <is>
          <t>원 — aikstockdata(금융위 T+1)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31.4배가 캡 5~30 밖 — 턴어라운드 초기 TTM EPS 왜곡)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0.1906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0.0376</v>
      </c>
      <c r="E54" s="2" t="inlineStr">
        <is>
          <t>판관비율 가정(참고)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0.2157</v>
      </c>
      <c r="E55" s="2" t="inlineStr">
        <is>
          <t>배당성향 가정(참고)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4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4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4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4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4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4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4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4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4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4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4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4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4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4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4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4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4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4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4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4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4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4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4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4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4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4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4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4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4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4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4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4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4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4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4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4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4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4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4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4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4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4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4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4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4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4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4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4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4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4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4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4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4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4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4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4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4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4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9033.33</v>
      </c>
      <c r="F25" s="34" t="n">
        <v>9033.33</v>
      </c>
      <c r="G25" s="18" t="n">
        <v>10558.33</v>
      </c>
      <c r="H25" s="18" t="n">
        <v>10516.67</v>
      </c>
      <c r="K25" s="9" t="n"/>
      <c r="N25" s="18" t="n">
        <v>8498.92</v>
      </c>
      <c r="P25" s="9" t="n"/>
      <c r="R25" s="5" t="n"/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단기금융부채(face)</t>
        </is>
      </c>
      <c r="E26" s="18" t="n">
        <v>9033.33</v>
      </c>
      <c r="F26" s="34" t="n">
        <v>9033.33</v>
      </c>
      <c r="G26" s="18" t="n">
        <v>10558.33</v>
      </c>
      <c r="H26" s="18" t="n">
        <v>10516.67</v>
      </c>
      <c r="K26" s="9" t="n"/>
      <c r="N26" s="18" t="n">
        <v>8498.92</v>
      </c>
      <c r="P26" s="9" t="n"/>
      <c r="R26" s="5" t="n"/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유동리스부채</t>
        </is>
      </c>
      <c r="E27" s="18" t="n">
        <v>157.59</v>
      </c>
      <c r="F27" s="34" t="n">
        <v>157.59</v>
      </c>
      <c r="G27" s="18" t="n">
        <v>5549.06</v>
      </c>
      <c r="H27" s="18" t="n">
        <v>5611.73</v>
      </c>
      <c r="I27" s="18" t="n">
        <v>5681.39</v>
      </c>
      <c r="J27" s="18" t="n">
        <v>5758.74</v>
      </c>
      <c r="K27" s="34" t="n">
        <v>5758.74</v>
      </c>
      <c r="L27" s="18" t="n">
        <v>5814.41</v>
      </c>
      <c r="M27" s="18" t="n">
        <v>5801.67</v>
      </c>
      <c r="N27" s="18" t="n">
        <v>5853.8</v>
      </c>
      <c r="O27" s="18" t="n">
        <v>5965.99</v>
      </c>
      <c r="P27" s="34" t="n">
        <v>5965.99</v>
      </c>
      <c r="Q27" s="18" t="n">
        <v>6026.51</v>
      </c>
      <c r="R27" s="19" t="n">
        <v>6078.45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리스부채</t>
        </is>
      </c>
      <c r="E28" s="18" t="n">
        <v>1753.55</v>
      </c>
      <c r="F28" s="34" t="n">
        <v>1753.55</v>
      </c>
      <c r="G28" s="18" t="n">
        <v>29707.5</v>
      </c>
      <c r="H28" s="18" t="n">
        <v>28342.91</v>
      </c>
      <c r="I28" s="18" t="n">
        <v>26995.1</v>
      </c>
      <c r="J28" s="18" t="n">
        <v>27578.71</v>
      </c>
      <c r="K28" s="34" t="n">
        <v>27578.71</v>
      </c>
      <c r="L28" s="18" t="n">
        <v>25914.82</v>
      </c>
      <c r="M28" s="18" t="n">
        <v>24406.44</v>
      </c>
      <c r="N28" s="18" t="n">
        <v>22975.34</v>
      </c>
      <c r="O28" s="18" t="n">
        <v>21586.49</v>
      </c>
      <c r="P28" s="34" t="n">
        <v>21586.49</v>
      </c>
      <c r="Q28" s="18" t="n">
        <v>20125.22</v>
      </c>
      <c r="R28" s="19" t="n">
        <v>18639.76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단기금융부채</t>
        </is>
      </c>
      <c r="E29" s="18" t="n">
        <v>157.59</v>
      </c>
      <c r="F29" s="34" t="n">
        <v>157.59</v>
      </c>
      <c r="G29" s="18" t="n">
        <v>5549.06</v>
      </c>
      <c r="H29" s="18" t="n">
        <v>5611.73</v>
      </c>
      <c r="I29" s="18" t="n">
        <v>5681.39</v>
      </c>
      <c r="J29" s="18" t="n">
        <v>5758.74</v>
      </c>
      <c r="K29" s="34" t="n">
        <v>5758.74</v>
      </c>
      <c r="L29" s="18" t="n">
        <v>5814.41</v>
      </c>
      <c r="M29" s="18" t="n">
        <v>5801.67</v>
      </c>
      <c r="N29" s="18" t="n">
        <v>5853.8</v>
      </c>
      <c r="O29" s="18" t="n">
        <v>5965.99</v>
      </c>
      <c r="P29" s="34" t="n">
        <v>5965.99</v>
      </c>
      <c r="Q29" s="18" t="n">
        <v>6026.51</v>
      </c>
      <c r="R29" s="19" t="n">
        <v>6078.45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매입채무및기타채무</t>
        </is>
      </c>
      <c r="E30" s="18" t="n">
        <v>20301.54</v>
      </c>
      <c r="F30" s="34" t="n">
        <v>20301.54</v>
      </c>
      <c r="G30" s="18" t="n">
        <v>16978.95</v>
      </c>
      <c r="H30" s="18" t="n">
        <v>18812.97</v>
      </c>
      <c r="I30" s="18" t="n">
        <v>17396.99</v>
      </c>
      <c r="J30" s="18" t="n">
        <v>21064.46</v>
      </c>
      <c r="K30" s="34" t="n">
        <v>21064.46</v>
      </c>
      <c r="L30" s="18" t="n">
        <v>22657.02</v>
      </c>
      <c r="M30" s="18" t="n">
        <v>21267.02</v>
      </c>
      <c r="N30" s="18" t="n">
        <v>23204.56</v>
      </c>
      <c r="O30" s="18" t="n">
        <v>24596.55</v>
      </c>
      <c r="P30" s="34" t="n">
        <v>24596.55</v>
      </c>
      <c r="Q30" s="18" t="n">
        <v>25088.04</v>
      </c>
      <c r="R30" s="19" t="n">
        <v>21825.79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기타유동부채</t>
        </is>
      </c>
      <c r="E31" s="18" t="n">
        <v>106.96</v>
      </c>
      <c r="F31" s="34" t="n">
        <v>106.96</v>
      </c>
      <c r="G31" s="18" t="n">
        <v>89.64</v>
      </c>
      <c r="H31" s="18" t="n">
        <v>143.69</v>
      </c>
      <c r="I31" s="18" t="n">
        <v>171.05</v>
      </c>
      <c r="J31" s="18" t="n">
        <v>237.49</v>
      </c>
      <c r="K31" s="34" t="n">
        <v>237.49</v>
      </c>
      <c r="L31" s="18" t="n">
        <v>110.85</v>
      </c>
      <c r="M31" s="18" t="n">
        <v>116.55</v>
      </c>
      <c r="N31" s="18" t="n">
        <v>120.28</v>
      </c>
      <c r="O31" s="18" t="n">
        <v>4142.41</v>
      </c>
      <c r="P31" s="34" t="n">
        <v>4142.41</v>
      </c>
      <c r="Q31" s="18" t="n">
        <v>3385.75</v>
      </c>
      <c r="R31" s="19" t="n">
        <v>2477.15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당기법인세부채(미지급법인세)</t>
        </is>
      </c>
      <c r="E32" s="18" t="n">
        <v>728.13</v>
      </c>
      <c r="F32" s="34" t="n">
        <v>728.13</v>
      </c>
      <c r="G32" s="18" t="n">
        <v>1461.76</v>
      </c>
      <c r="H32" s="18" t="n">
        <v>1383.92</v>
      </c>
      <c r="I32" s="18" t="n">
        <v>827.37</v>
      </c>
      <c r="J32" s="18" t="n">
        <v>1439.3</v>
      </c>
      <c r="K32" s="34" t="n">
        <v>1439.3</v>
      </c>
      <c r="L32" s="18" t="n">
        <v>1853.71</v>
      </c>
      <c r="M32" s="18" t="n">
        <v>2390.11</v>
      </c>
      <c r="N32" s="18" t="n">
        <v>2770.18</v>
      </c>
      <c r="O32" s="18" t="n">
        <v>4245.47</v>
      </c>
      <c r="P32" s="34" t="n">
        <v>4245.47</v>
      </c>
      <c r="Q32" s="18" t="n">
        <v>4174.04</v>
      </c>
      <c r="R32" s="19" t="n">
        <v>4545.1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비유동부채</t>
        </is>
      </c>
      <c r="E33" s="18" t="n">
        <v>39122.34</v>
      </c>
      <c r="F33" s="34" t="n">
        <v>39122.34</v>
      </c>
      <c r="G33" s="18" t="n">
        <v>62059.06</v>
      </c>
      <c r="H33" s="18" t="n">
        <v>58137.95</v>
      </c>
      <c r="I33" s="18" t="n">
        <v>54422.32</v>
      </c>
      <c r="J33" s="18" t="n">
        <v>52709.41</v>
      </c>
      <c r="K33" s="34" t="n">
        <v>52709.41</v>
      </c>
      <c r="L33" s="18" t="n">
        <v>49923.7</v>
      </c>
      <c r="M33" s="18" t="n">
        <v>48147.78</v>
      </c>
      <c r="N33" s="18" t="n">
        <v>41127.9</v>
      </c>
      <c r="O33" s="18" t="n">
        <v>35795.25</v>
      </c>
      <c r="P33" s="34" t="n">
        <v>35795.25</v>
      </c>
      <c r="Q33" s="18" t="n">
        <v>32815.49</v>
      </c>
      <c r="R33" s="19" t="n">
        <v>30191.26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장기차입금</t>
        </is>
      </c>
      <c r="E34" s="18" t="n">
        <v>35507.69</v>
      </c>
      <c r="F34" s="34" t="n">
        <v>35507.69</v>
      </c>
      <c r="G34" s="18" t="n">
        <v>35688.46</v>
      </c>
      <c r="H34" s="18" t="n">
        <v>33769.23</v>
      </c>
      <c r="K34" s="9" t="n"/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비유동리스부채</t>
        </is>
      </c>
      <c r="E35" s="18" t="n">
        <v>1595.96</v>
      </c>
      <c r="F35" s="34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4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4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장기금융부채</t>
        </is>
      </c>
      <c r="E36" s="18" t="n">
        <v>1595.96</v>
      </c>
      <c r="F36" s="34" t="n">
        <v>1595.96</v>
      </c>
      <c r="G36" s="18" t="n">
        <v>24158.44</v>
      </c>
      <c r="H36" s="18" t="n">
        <v>22731.18</v>
      </c>
      <c r="I36" s="18" t="n">
        <v>21313.71</v>
      </c>
      <c r="J36" s="18" t="n">
        <v>21819.97</v>
      </c>
      <c r="K36" s="34" t="n">
        <v>21819.97</v>
      </c>
      <c r="L36" s="18" t="n">
        <v>20100.41</v>
      </c>
      <c r="M36" s="18" t="n">
        <v>18604.77</v>
      </c>
      <c r="N36" s="18" t="n">
        <v>17121.54</v>
      </c>
      <c r="O36" s="18" t="n">
        <v>15620.5</v>
      </c>
      <c r="P36" s="34" t="n">
        <v>15620.5</v>
      </c>
      <c r="Q36" s="18" t="n">
        <v>14098.71</v>
      </c>
      <c r="R36" s="19" t="n">
        <v>12561.31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장기매입채무및기타채무</t>
        </is>
      </c>
      <c r="E37" s="18" t="n">
        <v>95</v>
      </c>
      <c r="F37" s="34" t="n">
        <v>95</v>
      </c>
      <c r="G37" s="18" t="n">
        <v>95</v>
      </c>
      <c r="H37" s="18" t="n">
        <v>75</v>
      </c>
      <c r="K37" s="9" t="n"/>
      <c r="O37" s="18" t="n">
        <v>20.67</v>
      </c>
      <c r="P37" s="34" t="n">
        <v>20.67</v>
      </c>
      <c r="Q37" s="18" t="n">
        <v>20.67</v>
      </c>
      <c r="R37" s="19" t="n">
        <v>20.67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장기선수금</t>
        </is>
      </c>
      <c r="E38" s="18" t="n">
        <v>1497.2</v>
      </c>
      <c r="F38" s="34" t="n">
        <v>1497.2</v>
      </c>
      <c r="G38" s="18" t="n">
        <v>1692.97</v>
      </c>
      <c r="H38" s="18" t="n">
        <v>1141.64</v>
      </c>
      <c r="K38" s="9" t="n"/>
      <c r="N38" s="18" t="n">
        <v>390.54</v>
      </c>
      <c r="P38" s="9" t="n"/>
      <c r="R38" s="5" t="n"/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이연법인세부채</t>
        </is>
      </c>
      <c r="E39" s="18" t="n">
        <v>426.49</v>
      </c>
      <c r="F39" s="34" t="n">
        <v>426.49</v>
      </c>
      <c r="G39" s="18" t="n">
        <v>424.18</v>
      </c>
      <c r="H39" s="18" t="n">
        <v>420.9</v>
      </c>
      <c r="I39" s="18" t="n">
        <v>418.11</v>
      </c>
      <c r="J39" s="18" t="n">
        <v>415.31</v>
      </c>
      <c r="K39" s="34" t="n">
        <v>415.31</v>
      </c>
      <c r="L39" s="18" t="n">
        <v>412.52</v>
      </c>
      <c r="M39" s="18" t="n">
        <v>409.72</v>
      </c>
      <c r="N39" s="18" t="n">
        <v>406.93</v>
      </c>
      <c r="O39" s="18" t="n">
        <v>404.14</v>
      </c>
      <c r="P39" s="34" t="n">
        <v>404.14</v>
      </c>
      <c r="Q39" s="18" t="n">
        <v>272.83</v>
      </c>
      <c r="R39" s="19" t="n">
        <v>270.17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부채총계</t>
        </is>
      </c>
      <c r="E40" s="18" t="n">
        <v>73648.23</v>
      </c>
      <c r="F40" s="34" t="n">
        <v>73648.23</v>
      </c>
      <c r="G40" s="18" t="n">
        <v>99532.34</v>
      </c>
      <c r="H40" s="18" t="n">
        <v>97114.8</v>
      </c>
      <c r="I40" s="18" t="n">
        <v>90519.57000000001</v>
      </c>
      <c r="J40" s="18" t="n">
        <v>92994.27</v>
      </c>
      <c r="K40" s="34" t="n">
        <v>92994.27</v>
      </c>
      <c r="L40" s="18" t="n">
        <v>92244.89</v>
      </c>
      <c r="M40" s="18" t="n">
        <v>89586.78999999999</v>
      </c>
      <c r="N40" s="18" t="n">
        <v>85801.86</v>
      </c>
      <c r="O40" s="18" t="n">
        <v>80458.59</v>
      </c>
      <c r="P40" s="34" t="n">
        <v>80458.59</v>
      </c>
      <c r="Q40" s="18" t="n">
        <v>77416.75</v>
      </c>
      <c r="R40" s="19" t="n">
        <v>70758.66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176835.52</v>
      </c>
      <c r="F41" s="34" t="n">
        <v>176835.52</v>
      </c>
      <c r="G41" s="18" t="n">
        <v>218347.02</v>
      </c>
      <c r="H41" s="18" t="n">
        <v>226441.18</v>
      </c>
      <c r="I41" s="18" t="n">
        <v>230601.09</v>
      </c>
      <c r="J41" s="18" t="n">
        <v>233537.69</v>
      </c>
      <c r="K41" s="34" t="n">
        <v>233537.69</v>
      </c>
      <c r="L41" s="18" t="n">
        <v>235666.7</v>
      </c>
      <c r="M41" s="18" t="n">
        <v>242223.11</v>
      </c>
      <c r="N41" s="18" t="n">
        <v>247388.02</v>
      </c>
      <c r="O41" s="18" t="n">
        <v>252899.03</v>
      </c>
      <c r="P41" s="34" t="n">
        <v>252899.03</v>
      </c>
      <c r="Q41" s="18" t="n">
        <v>254853.07</v>
      </c>
      <c r="R41" s="19" t="n">
        <v>263511.04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자본금</t>
        </is>
      </c>
      <c r="E42" s="18" t="n">
        <v>14800</v>
      </c>
      <c r="F42" s="34" t="n">
        <v>14800</v>
      </c>
      <c r="G42" s="18" t="n">
        <v>17412</v>
      </c>
      <c r="H42" s="18" t="n">
        <v>17636.94</v>
      </c>
      <c r="I42" s="18" t="n">
        <v>17666.94</v>
      </c>
      <c r="J42" s="18" t="n">
        <v>17696.14</v>
      </c>
      <c r="K42" s="34" t="n">
        <v>17696.14</v>
      </c>
      <c r="L42" s="18" t="n">
        <v>17712.64</v>
      </c>
      <c r="M42" s="18" t="n">
        <v>17739.94</v>
      </c>
      <c r="N42" s="18" t="n">
        <v>17749.94</v>
      </c>
      <c r="O42" s="18" t="n">
        <v>17755.34</v>
      </c>
      <c r="P42" s="34" t="n">
        <v>17755.34</v>
      </c>
      <c r="Q42" s="18" t="n">
        <v>17755.34</v>
      </c>
      <c r="R42" s="19" t="n">
        <v>17755.34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자본잉여금</t>
        </is>
      </c>
      <c r="E43" s="18" t="n">
        <v>133200</v>
      </c>
      <c r="F43" s="34" t="n">
        <v>133200</v>
      </c>
      <c r="G43" s="18" t="n">
        <v>167350.53</v>
      </c>
      <c r="H43" s="18" t="n">
        <v>170622.6</v>
      </c>
      <c r="I43" s="18" t="n">
        <v>170925.56</v>
      </c>
      <c r="J43" s="18" t="n">
        <v>171220.05</v>
      </c>
      <c r="K43" s="34" t="n">
        <v>171220.05</v>
      </c>
      <c r="L43" s="18" t="n">
        <v>171427.25</v>
      </c>
      <c r="M43" s="18" t="n">
        <v>171772.09</v>
      </c>
      <c r="N43" s="18" t="n">
        <v>171897.41</v>
      </c>
      <c r="O43" s="18" t="n">
        <v>173107.96</v>
      </c>
      <c r="P43" s="34" t="n">
        <v>173107.96</v>
      </c>
      <c r="Q43" s="18" t="n">
        <v>173107.96</v>
      </c>
      <c r="R43" s="19" t="n">
        <v>173107.96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기타자본</t>
        </is>
      </c>
      <c r="E44" s="18" t="n">
        <v>202.25</v>
      </c>
      <c r="F44" s="34" t="n">
        <v>202.25</v>
      </c>
      <c r="G44" s="18" t="n">
        <v>677.84</v>
      </c>
      <c r="H44" s="18" t="n">
        <v>204.72</v>
      </c>
      <c r="I44" s="18" t="n">
        <v>176.44</v>
      </c>
      <c r="J44" s="18" t="n">
        <v>149.06</v>
      </c>
      <c r="K44" s="34" t="n">
        <v>149.06</v>
      </c>
      <c r="L44" s="18" t="n">
        <v>111.85</v>
      </c>
      <c r="M44" s="18" t="n">
        <v>39.38</v>
      </c>
      <c r="N44" s="18" t="n">
        <v>13.81</v>
      </c>
      <c r="O44" s="18" t="n">
        <v>0</v>
      </c>
      <c r="P44" s="34" t="n">
        <v>0</v>
      </c>
      <c r="Q44" s="18" t="n">
        <v>0</v>
      </c>
      <c r="R44" s="19" t="n">
        <v>0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이익잉여금</t>
        </is>
      </c>
      <c r="E45" s="18" t="n">
        <v>28633.27</v>
      </c>
      <c r="F45" s="34" t="n">
        <v>28633.27</v>
      </c>
      <c r="G45" s="18" t="n">
        <v>32906.65</v>
      </c>
      <c r="H45" s="18" t="n">
        <v>37976.93</v>
      </c>
      <c r="I45" s="18" t="n">
        <v>41832.15</v>
      </c>
      <c r="J45" s="18" t="n">
        <v>44472.44</v>
      </c>
      <c r="K45" s="34" t="n">
        <v>44472.44</v>
      </c>
      <c r="L45" s="18" t="n">
        <v>46414.96</v>
      </c>
      <c r="M45" s="18" t="n">
        <v>52671.7</v>
      </c>
      <c r="N45" s="18" t="n">
        <v>57726.86</v>
      </c>
      <c r="O45" s="18" t="n">
        <v>62035.74</v>
      </c>
      <c r="P45" s="34" t="n">
        <v>62035.74</v>
      </c>
      <c r="Q45" s="18" t="n">
        <v>63989.77</v>
      </c>
      <c r="R45" s="19" t="n">
        <v>72647.75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자본총계</t>
        </is>
      </c>
      <c r="E46" s="18" t="n">
        <v>176835.52</v>
      </c>
      <c r="F46" s="34" t="n">
        <v>176835.52</v>
      </c>
      <c r="G46" s="18" t="n">
        <v>218347.02</v>
      </c>
      <c r="H46" s="18" t="n">
        <v>226441.18</v>
      </c>
      <c r="I46" s="18" t="n">
        <v>230601.09</v>
      </c>
      <c r="J46" s="18" t="n">
        <v>233537.69</v>
      </c>
      <c r="K46" s="34" t="n">
        <v>233537.69</v>
      </c>
      <c r="L46" s="18" t="n">
        <v>235666.7</v>
      </c>
      <c r="M46" s="18" t="n">
        <v>242223.11</v>
      </c>
      <c r="N46" s="18" t="n">
        <v>247388.02</v>
      </c>
      <c r="O46" s="18" t="n">
        <v>252899.03</v>
      </c>
      <c r="P46" s="34" t="n">
        <v>252899.03</v>
      </c>
      <c r="Q46" s="18" t="n">
        <v>254853.07</v>
      </c>
      <c r="R46" s="19" t="n">
        <v>263511.04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부채와자본총계</t>
        </is>
      </c>
      <c r="E47" s="18" t="n">
        <v>250483.75</v>
      </c>
      <c r="F47" s="34" t="n">
        <v>250483.75</v>
      </c>
      <c r="G47" s="18" t="n">
        <v>317879.36</v>
      </c>
      <c r="H47" s="18" t="n">
        <v>323555.98</v>
      </c>
      <c r="I47" s="18" t="n">
        <v>321120.66</v>
      </c>
      <c r="J47" s="18" t="n">
        <v>326531.97</v>
      </c>
      <c r="K47" s="34" t="n">
        <v>326531.97</v>
      </c>
      <c r="L47" s="18" t="n">
        <v>327911.59</v>
      </c>
      <c r="M47" s="18" t="n">
        <v>331809.9</v>
      </c>
      <c r="N47" s="18" t="n">
        <v>333189.88</v>
      </c>
      <c r="O47" s="18" t="n">
        <v>333357.62</v>
      </c>
      <c r="P47" s="34" t="n">
        <v>333357.62</v>
      </c>
      <c r="Q47" s="18" t="n">
        <v>332269.81</v>
      </c>
      <c r="R47" s="19" t="n">
        <v>334269.7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총차입금</t>
        </is>
      </c>
      <c r="E48" s="18" t="n">
        <v>44541.02</v>
      </c>
      <c r="F48" s="34" t="n">
        <v>44541.02</v>
      </c>
      <c r="G48" s="18" t="n">
        <v>46246.79</v>
      </c>
      <c r="H48" s="18" t="n">
        <v>44285.9</v>
      </c>
      <c r="K48" s="9" t="n"/>
      <c r="N48" s="18" t="n">
        <v>8498.92</v>
      </c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순차입금</t>
        </is>
      </c>
      <c r="E49" s="18" t="n">
        <v>37557.41</v>
      </c>
      <c r="F49" s="34" t="n">
        <v>37557.41</v>
      </c>
      <c r="G49" s="18" t="n">
        <v>944.72</v>
      </c>
      <c r="H49" s="18" t="n">
        <v>-14427.61</v>
      </c>
      <c r="K49" s="9" t="n"/>
      <c r="N49" s="18" t="n">
        <v>-34314.16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이자발생자산</t>
        </is>
      </c>
      <c r="E50" s="18" t="n">
        <v>7009.65</v>
      </c>
      <c r="F50" s="34" t="n">
        <v>7009.65</v>
      </c>
      <c r="G50" s="18" t="n">
        <v>45329.94</v>
      </c>
      <c r="H50" s="18" t="n">
        <v>58743.06</v>
      </c>
      <c r="I50" s="18" t="n">
        <v>32010.3</v>
      </c>
      <c r="J50" s="18" t="n">
        <v>37447.21</v>
      </c>
      <c r="K50" s="34" t="n">
        <v>37447.21</v>
      </c>
      <c r="L50" s="18" t="n">
        <v>40611.52</v>
      </c>
      <c r="M50" s="18" t="n">
        <v>41850.57</v>
      </c>
      <c r="N50" s="18" t="n">
        <v>42844.78</v>
      </c>
      <c r="O50" s="18" t="n">
        <v>40115.99</v>
      </c>
      <c r="P50" s="34" t="n">
        <v>40115.99</v>
      </c>
      <c r="Q50" s="18" t="n">
        <v>42338.97</v>
      </c>
      <c r="R50" s="19" t="n">
        <v>46463.02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L51" s="18" t="n">
        <v>67.81999999999999</v>
      </c>
      <c r="O51" s="18" t="n">
        <v>339.6</v>
      </c>
      <c r="P51" s="34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확정급여부채</t>
        </is>
      </c>
      <c r="F52" s="9" t="n"/>
      <c r="K52" s="9" t="n"/>
      <c r="N52" s="18" t="n">
        <v>15.31</v>
      </c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비지배주주지분</t>
        </is>
      </c>
      <c r="F53" s="9" t="n"/>
      <c r="K53" s="9" t="n"/>
      <c r="P53" s="9" t="n"/>
      <c r="Q53" s="18" t="n">
        <v>0</v>
      </c>
      <c r="R53" s="19" t="n">
        <v>0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매출액(수익)</t>
        </is>
      </c>
      <c r="E54" s="18" t="n">
        <v>54838.44</v>
      </c>
      <c r="F54" s="9" t="n"/>
      <c r="G54" s="18" t="n">
        <v>55102.9</v>
      </c>
      <c r="H54" s="18" t="n">
        <v>57615.88</v>
      </c>
      <c r="I54" s="18" t="n">
        <v>54087.72</v>
      </c>
      <c r="J54" s="18" t="n">
        <v>56357.3</v>
      </c>
      <c r="K54" s="34" t="n">
        <v>223163.8</v>
      </c>
      <c r="L54" s="18" t="n">
        <v>58357.52</v>
      </c>
      <c r="M54" s="18" t="n">
        <v>62312.45</v>
      </c>
      <c r="N54" s="18" t="n">
        <v>60592.24</v>
      </c>
      <c r="O54" s="18" t="n">
        <v>66941.62</v>
      </c>
      <c r="P54" s="34" t="n">
        <v>248203.83</v>
      </c>
      <c r="Q54" s="18" t="n">
        <v>64610.11</v>
      </c>
      <c r="R54" s="19" t="n">
        <v>72768.24000000001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매출원가</t>
        </is>
      </c>
      <c r="E55" s="18" t="n">
        <v>49253.04</v>
      </c>
      <c r="F55" s="9" t="n"/>
      <c r="G55" s="18" t="n">
        <v>46955.04</v>
      </c>
      <c r="H55" s="18" t="n">
        <v>48573.14</v>
      </c>
      <c r="I55" s="18" t="n">
        <v>47808.87</v>
      </c>
      <c r="J55" s="18" t="n">
        <v>49104.36</v>
      </c>
      <c r="K55" s="34" t="n">
        <v>192441.41</v>
      </c>
      <c r="L55" s="18" t="n">
        <v>49097.02</v>
      </c>
      <c r="M55" s="18" t="n">
        <v>51879.26</v>
      </c>
      <c r="N55" s="18" t="n">
        <v>51512</v>
      </c>
      <c r="O55" s="18" t="n">
        <v>57902.61</v>
      </c>
      <c r="P55" s="34" t="n">
        <v>210390.89</v>
      </c>
      <c r="Q55" s="18" t="n">
        <v>53666.83</v>
      </c>
      <c r="R55" s="19" t="n">
        <v>58106.38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매출총이익</t>
        </is>
      </c>
      <c r="E56" s="18" t="n">
        <v>5585.4</v>
      </c>
      <c r="F56" s="9" t="n"/>
      <c r="G56" s="18" t="n">
        <v>8147.85</v>
      </c>
      <c r="H56" s="18" t="n">
        <v>9042.74</v>
      </c>
      <c r="I56" s="18" t="n">
        <v>6278.85</v>
      </c>
      <c r="J56" s="18" t="n">
        <v>7252.93</v>
      </c>
      <c r="K56" s="34" t="n">
        <v>30722.37</v>
      </c>
      <c r="L56" s="18" t="n">
        <v>9260.5</v>
      </c>
      <c r="M56" s="18" t="n">
        <v>10433.19</v>
      </c>
      <c r="N56" s="18" t="n">
        <v>9080.24</v>
      </c>
      <c r="O56" s="18" t="n">
        <v>9039.01</v>
      </c>
      <c r="P56" s="34" t="n">
        <v>37812.94</v>
      </c>
      <c r="Q56" s="18" t="n">
        <v>10943.27</v>
      </c>
      <c r="R56" s="19" t="n">
        <v>14661.86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판관비</t>
        </is>
      </c>
      <c r="E57" s="18" t="n">
        <v>2214.72</v>
      </c>
      <c r="F57" s="9" t="n"/>
      <c r="G57" s="18" t="n">
        <v>2227.44</v>
      </c>
      <c r="H57" s="18" t="n">
        <v>2179.23</v>
      </c>
      <c r="I57" s="18" t="n">
        <v>2134.4</v>
      </c>
      <c r="J57" s="18" t="n">
        <v>2632.64</v>
      </c>
      <c r="K57" s="34" t="n">
        <v>9173.709999999999</v>
      </c>
      <c r="L57" s="18" t="n">
        <v>2020.67</v>
      </c>
      <c r="M57" s="18" t="n">
        <v>2174.55</v>
      </c>
      <c r="N57" s="18" t="n">
        <v>2292.22</v>
      </c>
      <c r="O57" s="18" t="n">
        <v>2561.89</v>
      </c>
      <c r="P57" s="34" t="n">
        <v>9049.33</v>
      </c>
      <c r="Q57" s="18" t="n">
        <v>2413.65</v>
      </c>
      <c r="R57" s="19" t="n">
        <v>2478.57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영업이익</t>
        </is>
      </c>
      <c r="E58" s="18" t="n">
        <v>3370.69</v>
      </c>
      <c r="F58" s="9" t="n"/>
      <c r="G58" s="18" t="n">
        <v>5920.41</v>
      </c>
      <c r="H58" s="18" t="n">
        <v>6863.52</v>
      </c>
      <c r="I58" s="18" t="n">
        <v>4144.45</v>
      </c>
      <c r="J58" s="18" t="n">
        <v>4620.29</v>
      </c>
      <c r="K58" s="34" t="n">
        <v>21548.67</v>
      </c>
      <c r="L58" s="18" t="n">
        <v>7239.83</v>
      </c>
      <c r="M58" s="18" t="n">
        <v>8258.629999999999</v>
      </c>
      <c r="N58" s="18" t="n">
        <v>6788.02</v>
      </c>
      <c r="O58" s="18" t="n">
        <v>6477.12</v>
      </c>
      <c r="P58" s="34" t="n">
        <v>28763.6</v>
      </c>
      <c r="Q58" s="18" t="n">
        <v>8529.620000000001</v>
      </c>
      <c r="R58" s="19" t="n">
        <v>12183.28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108.63</v>
      </c>
      <c r="F59" s="9" t="n"/>
      <c r="G59" s="18" t="n">
        <v>0.84</v>
      </c>
      <c r="H59" s="18" t="n">
        <v>6.13</v>
      </c>
      <c r="I59" s="18" t="n">
        <v>42.35</v>
      </c>
      <c r="J59" s="18" t="n">
        <v>257.67</v>
      </c>
      <c r="K59" s="34" t="n">
        <v>306.99</v>
      </c>
      <c r="L59" s="18" t="n">
        <v>55.15</v>
      </c>
      <c r="M59" s="18" t="n">
        <v>42.4</v>
      </c>
      <c r="N59" s="18" t="n">
        <v>32.89</v>
      </c>
      <c r="O59" s="18" t="n">
        <v>107.69</v>
      </c>
      <c r="P59" s="34" t="n">
        <v>238.13</v>
      </c>
      <c r="Q59" s="18" t="n">
        <v>174.02</v>
      </c>
      <c r="R59" s="19" t="n">
        <v>15.3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11.42</v>
      </c>
      <c r="F60" s="9" t="n"/>
      <c r="G60" s="18" t="n">
        <v>48.15</v>
      </c>
      <c r="H60" s="18" t="n">
        <v>0.77</v>
      </c>
      <c r="I60" s="18" t="n">
        <v>5.66</v>
      </c>
      <c r="J60" s="18" t="n">
        <v>43.31</v>
      </c>
      <c r="K60" s="34" t="n">
        <v>97.89</v>
      </c>
      <c r="L60" s="18" t="n">
        <v>45.67</v>
      </c>
      <c r="M60" s="18" t="n">
        <v>106.72</v>
      </c>
      <c r="N60" s="18" t="n">
        <v>77.06999999999999</v>
      </c>
      <c r="O60" s="18" t="n">
        <v>373.7</v>
      </c>
      <c r="P60" s="34" t="n">
        <v>603.16</v>
      </c>
      <c r="Q60" s="18" t="n">
        <v>63.37</v>
      </c>
      <c r="R60" s="19" t="n">
        <v>654.78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금융수익</t>
        </is>
      </c>
      <c r="E61" s="18" t="n">
        <v>47.58</v>
      </c>
      <c r="F61" s="9" t="n"/>
      <c r="G61" s="18" t="n">
        <v>343.14</v>
      </c>
      <c r="H61" s="18" t="n">
        <v>451.79</v>
      </c>
      <c r="I61" s="18" t="n">
        <v>483.19</v>
      </c>
      <c r="J61" s="18" t="n">
        <v>253.84</v>
      </c>
      <c r="K61" s="34" t="n">
        <v>1531.96</v>
      </c>
      <c r="L61" s="18" t="n">
        <v>238.64</v>
      </c>
      <c r="M61" s="18" t="n">
        <v>286.81</v>
      </c>
      <c r="N61" s="18" t="n">
        <v>228.09</v>
      </c>
      <c r="O61" s="18" t="n">
        <v>247.83</v>
      </c>
      <c r="P61" s="34" t="n">
        <v>1001.37</v>
      </c>
      <c r="Q61" s="18" t="n">
        <v>220.11</v>
      </c>
      <c r="R61" s="19" t="n">
        <v>241.23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금융비용</t>
        </is>
      </c>
      <c r="E62" s="18" t="n">
        <v>623.29</v>
      </c>
      <c r="F62" s="9" t="n"/>
      <c r="G62" s="18" t="n">
        <v>913.2</v>
      </c>
      <c r="H62" s="18" t="n">
        <v>881.96</v>
      </c>
      <c r="I62" s="18" t="n">
        <v>843.58</v>
      </c>
      <c r="J62" s="18" t="n">
        <v>815.66</v>
      </c>
      <c r="K62" s="34" t="n">
        <v>3454.4</v>
      </c>
      <c r="L62" s="18" t="n">
        <v>712.11</v>
      </c>
      <c r="M62" s="18" t="n">
        <v>673.47</v>
      </c>
      <c r="N62" s="18" t="n">
        <v>658.6900000000001</v>
      </c>
      <c r="O62" s="18" t="n">
        <v>559.66</v>
      </c>
      <c r="P62" s="34" t="n">
        <v>2603.93</v>
      </c>
      <c r="Q62" s="18" t="n">
        <v>464.37</v>
      </c>
      <c r="R62" s="19" t="n">
        <v>438.76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법인세비용차감전계속사업이익</t>
        </is>
      </c>
      <c r="E63" s="18" t="n">
        <v>2892.19</v>
      </c>
      <c r="F63" s="9" t="n"/>
      <c r="G63" s="18" t="n">
        <v>5303.04</v>
      </c>
      <c r="H63" s="18" t="n">
        <v>6438.7</v>
      </c>
      <c r="I63" s="18" t="n">
        <v>3820.75</v>
      </c>
      <c r="J63" s="18" t="n">
        <v>4272.83</v>
      </c>
      <c r="K63" s="34" t="n">
        <v>19835.32</v>
      </c>
      <c r="L63" s="18" t="n">
        <v>6775.83</v>
      </c>
      <c r="M63" s="18" t="n">
        <v>7807.65</v>
      </c>
      <c r="N63" s="18" t="n">
        <v>6313.24</v>
      </c>
      <c r="O63" s="18" t="n">
        <v>5899.28</v>
      </c>
      <c r="P63" s="34" t="n">
        <v>26796</v>
      </c>
      <c r="Q63" s="18" t="n">
        <v>8396</v>
      </c>
      <c r="R63" s="19" t="n">
        <v>11346.27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법인세비용</t>
        </is>
      </c>
      <c r="E64" s="18" t="n">
        <v>51.98</v>
      </c>
      <c r="F64" s="9" t="n"/>
      <c r="G64" s="18" t="n">
        <v>1019.33</v>
      </c>
      <c r="H64" s="18" t="n">
        <v>1367.81</v>
      </c>
      <c r="I64" s="18" t="n">
        <v>-34.85</v>
      </c>
      <c r="J64" s="18" t="n">
        <v>924.55</v>
      </c>
      <c r="K64" s="34" t="n">
        <v>3276.84</v>
      </c>
      <c r="L64" s="18" t="n">
        <v>1277.57</v>
      </c>
      <c r="M64" s="18" t="n">
        <v>1551.47</v>
      </c>
      <c r="N64" s="18" t="n">
        <v>1260.01</v>
      </c>
      <c r="O64" s="18" t="n">
        <v>1308.7</v>
      </c>
      <c r="P64" s="34" t="n">
        <v>5397.75</v>
      </c>
      <c r="Q64" s="18" t="n">
        <v>1843.87</v>
      </c>
      <c r="R64" s="19" t="n">
        <v>2632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당기순이익</t>
        </is>
      </c>
      <c r="E65" s="18" t="n">
        <v>2840.21</v>
      </c>
      <c r="F65" s="9" t="n"/>
      <c r="G65" s="18" t="n">
        <v>4283.71</v>
      </c>
      <c r="H65" s="18" t="n">
        <v>5070.89</v>
      </c>
      <c r="I65" s="18" t="n">
        <v>3855.59</v>
      </c>
      <c r="J65" s="18" t="n">
        <v>3348.28</v>
      </c>
      <c r="K65" s="34" t="n">
        <v>16558.47</v>
      </c>
      <c r="L65" s="18" t="n">
        <v>5498.26</v>
      </c>
      <c r="M65" s="18" t="n">
        <v>6256.19</v>
      </c>
      <c r="N65" s="18" t="n">
        <v>5053.23</v>
      </c>
      <c r="O65" s="18" t="n">
        <v>4590.58</v>
      </c>
      <c r="P65" s="34" t="n">
        <v>21398.26</v>
      </c>
      <c r="Q65" s="18" t="n">
        <v>6552.13</v>
      </c>
      <c r="R65" s="19" t="n">
        <v>8714.27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(지배주주지분)당기순이익</t>
        </is>
      </c>
      <c r="E66" s="18" t="n">
        <v>2840.21</v>
      </c>
      <c r="F66" s="9" t="n"/>
      <c r="G66" s="18" t="n">
        <v>4283.71</v>
      </c>
      <c r="H66" s="18" t="n">
        <v>5070.89</v>
      </c>
      <c r="I66" s="18" t="n">
        <v>3855.59</v>
      </c>
      <c r="J66" s="18" t="n">
        <v>3348.28</v>
      </c>
      <c r="K66" s="34" t="n">
        <v>16558.47</v>
      </c>
      <c r="L66" s="18" t="n">
        <v>5498.26</v>
      </c>
      <c r="M66" s="18" t="n">
        <v>6256.19</v>
      </c>
      <c r="N66" s="18" t="n">
        <v>5053.23</v>
      </c>
      <c r="O66" s="18" t="n">
        <v>4590.58</v>
      </c>
      <c r="P66" s="34" t="n">
        <v>21398.26</v>
      </c>
      <c r="Q66" s="18" t="n">
        <v>6552.13</v>
      </c>
      <c r="R66" s="19" t="n">
        <v>8714.27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총포괄손익</t>
        </is>
      </c>
      <c r="E67" s="18" t="n">
        <v>1836.48</v>
      </c>
      <c r="F67" s="9" t="n"/>
      <c r="G67" s="18" t="n">
        <v>4273.38</v>
      </c>
      <c r="H67" s="18" t="n">
        <v>5070.28</v>
      </c>
      <c r="I67" s="18" t="n">
        <v>3855.22</v>
      </c>
      <c r="J67" s="18" t="n">
        <v>2640.3</v>
      </c>
      <c r="K67" s="34" t="n">
        <v>15839.18</v>
      </c>
      <c r="L67" s="18" t="n">
        <v>5481.74</v>
      </c>
      <c r="M67" s="18" t="n">
        <v>6256.74</v>
      </c>
      <c r="N67" s="18" t="n">
        <v>5055.16</v>
      </c>
      <c r="O67" s="18" t="n">
        <v>5131.58</v>
      </c>
      <c r="P67" s="34" t="n">
        <v>21925.22</v>
      </c>
      <c r="Q67" s="18" t="n">
        <v>6570.42</v>
      </c>
      <c r="R67" s="19" t="n">
        <v>8657.98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금융손익</t>
        </is>
      </c>
      <c r="E68" s="18" t="n">
        <v>-575.71</v>
      </c>
      <c r="F68" s="9" t="n"/>
      <c r="G68" s="18" t="n">
        <v>-570.0599999999999</v>
      </c>
      <c r="H68" s="18" t="n">
        <v>-430.17</v>
      </c>
      <c r="I68" s="18" t="n">
        <v>-360.39</v>
      </c>
      <c r="J68" s="18" t="n">
        <v>-561.8200000000001</v>
      </c>
      <c r="K68" s="34" t="n">
        <v>-1922.44</v>
      </c>
      <c r="L68" s="18" t="n">
        <v>-473.47</v>
      </c>
      <c r="M68" s="18" t="n">
        <v>-386.66</v>
      </c>
      <c r="N68" s="18" t="n">
        <v>-430.6</v>
      </c>
      <c r="O68" s="18" t="n">
        <v>-311.83</v>
      </c>
      <c r="P68" s="34" t="n">
        <v>-1602.56</v>
      </c>
      <c r="Q68" s="18" t="n">
        <v>-244.26</v>
      </c>
      <c r="R68" s="19" t="n">
        <v>-197.53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기타영업외손익</t>
        </is>
      </c>
      <c r="E69" s="18" t="n">
        <v>97.20999999999999</v>
      </c>
      <c r="F69" s="9" t="n"/>
      <c r="G69" s="18" t="n">
        <v>-47.31</v>
      </c>
      <c r="H69" s="18" t="n">
        <v>5.36</v>
      </c>
      <c r="I69" s="18" t="n">
        <v>36.69</v>
      </c>
      <c r="J69" s="18" t="n">
        <v>214.36</v>
      </c>
      <c r="K69" s="34" t="n">
        <v>209.1</v>
      </c>
      <c r="L69" s="18" t="n">
        <v>9.48</v>
      </c>
      <c r="M69" s="18" t="n">
        <v>-64.31999999999999</v>
      </c>
      <c r="N69" s="18" t="n">
        <v>-44.18</v>
      </c>
      <c r="O69" s="18" t="n">
        <v>-266.01</v>
      </c>
      <c r="P69" s="34" t="n">
        <v>-365.03</v>
      </c>
      <c r="Q69" s="18" t="n">
        <v>110.65</v>
      </c>
      <c r="R69" s="19" t="n">
        <v>-639.48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계속사업이익</t>
        </is>
      </c>
      <c r="E70" s="18" t="n">
        <v>2840.21</v>
      </c>
      <c r="F70" s="9" t="n"/>
      <c r="G70" s="18" t="n">
        <v>4283.71</v>
      </c>
      <c r="H70" s="18" t="n">
        <v>5070.89</v>
      </c>
      <c r="I70" s="18" t="n">
        <v>3855.59</v>
      </c>
      <c r="J70" s="18" t="n">
        <v>3348.28</v>
      </c>
      <c r="K70" s="34" t="n">
        <v>16558.47</v>
      </c>
      <c r="L70" s="18" t="n">
        <v>5498.26</v>
      </c>
      <c r="M70" s="18" t="n">
        <v>6256.19</v>
      </c>
      <c r="N70" s="18" t="n">
        <v>5053.23</v>
      </c>
      <c r="O70" s="18" t="n">
        <v>4590.58</v>
      </c>
      <c r="P70" s="34" t="n">
        <v>21398.26</v>
      </c>
      <c r="Q70" s="18" t="n">
        <v>6552.13</v>
      </c>
      <c r="R70" s="19" t="n">
        <v>8714.27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(비지배주주지분)당기순이익</t>
        </is>
      </c>
      <c r="F71" s="9" t="n"/>
      <c r="K71" s="9" t="n"/>
      <c r="P71" s="9" t="n"/>
      <c r="Q71" s="18" t="n">
        <v>0</v>
      </c>
      <c r="R71" s="19" t="n">
        <v>0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영업활동으로인한현금흐름</t>
        </is>
      </c>
      <c r="E72" s="18" t="n">
        <v>2314.46</v>
      </c>
      <c r="F72" s="9" t="n"/>
      <c r="G72" s="18" t="n">
        <v>2688.39</v>
      </c>
      <c r="H72" s="18" t="n">
        <v>15647.19</v>
      </c>
      <c r="I72" s="18" t="n">
        <v>2938.3</v>
      </c>
      <c r="J72" s="18" t="n">
        <v>10103.9</v>
      </c>
      <c r="K72" s="34" t="n">
        <v>31377.78</v>
      </c>
      <c r="L72" s="18" t="n">
        <v>10071.76</v>
      </c>
      <c r="M72" s="18" t="n">
        <v>7964.27</v>
      </c>
      <c r="N72" s="18" t="n">
        <v>12079.76</v>
      </c>
      <c r="O72" s="18" t="n">
        <v>6901.99</v>
      </c>
      <c r="P72" s="34" t="n">
        <v>37017.78</v>
      </c>
      <c r="Q72" s="18" t="n">
        <v>8954.08</v>
      </c>
      <c r="R72" s="19" t="n">
        <v>10475.1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이자수취(CF)</t>
        </is>
      </c>
      <c r="E73" s="18" t="n">
        <v>40.76</v>
      </c>
      <c r="F73" s="9" t="n"/>
      <c r="G73" s="18" t="n">
        <v>110.88</v>
      </c>
      <c r="H73" s="18" t="n">
        <v>268.43</v>
      </c>
      <c r="I73" s="18" t="n">
        <v>752.84</v>
      </c>
      <c r="J73" s="18" t="n">
        <v>244.72</v>
      </c>
      <c r="K73" s="34" t="n">
        <v>1376.87</v>
      </c>
      <c r="L73" s="18" t="n">
        <v>249.93</v>
      </c>
      <c r="M73" s="18" t="n">
        <v>154.91</v>
      </c>
      <c r="N73" s="18" t="n">
        <v>284.67</v>
      </c>
      <c r="O73" s="18" t="n">
        <v>200.48</v>
      </c>
      <c r="P73" s="34" t="n">
        <v>889.99</v>
      </c>
      <c r="Q73" s="18" t="n">
        <v>276.05</v>
      </c>
      <c r="R73" s="19" t="n">
        <v>208.22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법인세납부(CF)</t>
        </is>
      </c>
      <c r="E74" s="18" t="n">
        <v>-492.18</v>
      </c>
      <c r="F74" s="9" t="n"/>
      <c r="G74" s="18" t="n">
        <v>-169.27</v>
      </c>
      <c r="H74" s="18" t="n">
        <v>-981.99</v>
      </c>
      <c r="I74" s="18" t="n">
        <v>-695.25</v>
      </c>
      <c r="J74" s="18" t="n">
        <v>-248.75</v>
      </c>
      <c r="K74" s="34" t="n">
        <v>-2095.26</v>
      </c>
      <c r="L74" s="18" t="n">
        <v>-664.97</v>
      </c>
      <c r="M74" s="18" t="n">
        <v>-830.21</v>
      </c>
      <c r="N74" s="18" t="n">
        <v>-904.71</v>
      </c>
      <c r="O74" s="18" t="n">
        <v>-44.36</v>
      </c>
      <c r="P74" s="34" t="n">
        <v>-2444.25</v>
      </c>
      <c r="Q74" s="18" t="n">
        <v>-1927.77</v>
      </c>
      <c r="R74" s="19" t="n">
        <v>-2388.87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투자활동으로인한현금흐름</t>
        </is>
      </c>
      <c r="E75" s="18" t="n">
        <v>-5324.78</v>
      </c>
      <c r="F75" s="9" t="n"/>
      <c r="G75" s="18" t="n">
        <v>-22956.9</v>
      </c>
      <c r="H75" s="18" t="n">
        <v>1960.95</v>
      </c>
      <c r="I75" s="18" t="n">
        <v>-10774.79</v>
      </c>
      <c r="J75" s="18" t="n">
        <v>1360.91</v>
      </c>
      <c r="K75" s="34" t="n">
        <v>-30409.83</v>
      </c>
      <c r="L75" s="18" t="n">
        <v>-1050</v>
      </c>
      <c r="M75" s="18" t="n">
        <v>-11463.3</v>
      </c>
      <c r="N75" s="18" t="n">
        <v>-7046.15</v>
      </c>
      <c r="O75" s="18" t="n">
        <v>2301.1</v>
      </c>
      <c r="P75" s="34" t="n">
        <v>-17258.35</v>
      </c>
      <c r="Q75" s="18" t="n">
        <v>6919.52</v>
      </c>
      <c r="R75" s="19" t="n">
        <v>-6399.3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유형자산의증가</t>
        </is>
      </c>
      <c r="E76" s="18" t="n">
        <v>4928.9</v>
      </c>
      <c r="F76" s="9" t="n"/>
      <c r="G76" s="18" t="n">
        <v>1386.73</v>
      </c>
      <c r="H76" s="18" t="n">
        <v>1391.09</v>
      </c>
      <c r="I76" s="18" t="n">
        <v>4903.72</v>
      </c>
      <c r="J76" s="18" t="n">
        <v>3382.74</v>
      </c>
      <c r="K76" s="34" t="n">
        <v>11064.28</v>
      </c>
      <c r="L76" s="18" t="n">
        <v>1076.04</v>
      </c>
      <c r="M76" s="18" t="n">
        <v>5491.14</v>
      </c>
      <c r="N76" s="18" t="n">
        <v>3141.15</v>
      </c>
      <c r="P76" s="9" t="n"/>
      <c r="R76" s="5" t="n"/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CAPEX</t>
        </is>
      </c>
      <c r="E77" s="18" t="n">
        <v>4933.4</v>
      </c>
      <c r="F77" s="9" t="n"/>
      <c r="G77" s="18" t="n">
        <v>1386.73</v>
      </c>
      <c r="H77" s="18" t="n">
        <v>1391.09</v>
      </c>
      <c r="I77" s="18" t="n">
        <v>4920.72</v>
      </c>
      <c r="J77" s="18" t="n">
        <v>3447.5</v>
      </c>
      <c r="K77" s="34" t="n">
        <v>11146.04</v>
      </c>
      <c r="L77" s="18" t="n">
        <v>1076.04</v>
      </c>
      <c r="M77" s="18" t="n">
        <v>5526.14</v>
      </c>
      <c r="N77" s="18" t="n">
        <v>3148.65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무형자산의증가</t>
        </is>
      </c>
      <c r="E78" s="18" t="n">
        <v>4.5</v>
      </c>
      <c r="F78" s="9" t="n"/>
      <c r="J78" s="18" t="n">
        <v>64.76000000000001</v>
      </c>
      <c r="K78" s="9" t="n"/>
      <c r="N78" s="18" t="n">
        <v>7.5</v>
      </c>
      <c r="P78" s="9" t="n"/>
      <c r="R78" s="5" t="n"/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재무활동으로인한현금흐름</t>
        </is>
      </c>
      <c r="E79" s="18" t="n">
        <v>-1342.74</v>
      </c>
      <c r="F79" s="9" t="n"/>
      <c r="G79" s="18" t="n">
        <v>37137.41</v>
      </c>
      <c r="H79" s="18" t="n">
        <v>-881.7</v>
      </c>
      <c r="I79" s="18" t="n">
        <v>-3912.2</v>
      </c>
      <c r="J79" s="18" t="n">
        <v>-3026.29</v>
      </c>
      <c r="K79" s="34" t="n">
        <v>29317.22</v>
      </c>
      <c r="L79" s="18" t="n">
        <v>-5859.05</v>
      </c>
      <c r="M79" s="18" t="n">
        <v>-1286.61</v>
      </c>
      <c r="N79" s="18" t="n">
        <v>-7998.58</v>
      </c>
      <c r="O79" s="18" t="n">
        <v>-7941.38</v>
      </c>
      <c r="P79" s="34" t="n">
        <v>-23085.62</v>
      </c>
      <c r="Q79" s="18" t="n">
        <v>-7155.62</v>
      </c>
      <c r="R79" s="19" t="n">
        <v>-2812.68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단기차입금의증가</t>
        </is>
      </c>
      <c r="E80" s="18" t="n">
        <v>21000</v>
      </c>
      <c r="F80" s="9" t="n"/>
      <c r="G80" s="18" t="n">
        <v>10500</v>
      </c>
      <c r="H80" s="18" t="n">
        <v>0</v>
      </c>
      <c r="I80" s="18" t="n">
        <v>0</v>
      </c>
      <c r="J80" s="18" t="n">
        <v>1000</v>
      </c>
      <c r="K80" s="34" t="n">
        <v>11500</v>
      </c>
      <c r="P80" s="9" t="n"/>
      <c r="R80" s="5" t="n"/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단기차입금의감소</t>
        </is>
      </c>
      <c r="E81" s="18" t="n">
        <v>21477.56</v>
      </c>
      <c r="F81" s="9" t="n"/>
      <c r="G81" s="18" t="n">
        <v>10894.23</v>
      </c>
      <c r="H81" s="18" t="n">
        <v>1960.9</v>
      </c>
      <c r="I81" s="18" t="n">
        <v>2758.97</v>
      </c>
      <c r="J81" s="18" t="n">
        <v>2919.23</v>
      </c>
      <c r="K81" s="34" t="n">
        <v>18533.33</v>
      </c>
      <c r="L81" s="18" t="n">
        <v>1919.23</v>
      </c>
      <c r="M81" s="18" t="n">
        <v>1919.23</v>
      </c>
      <c r="N81" s="18" t="n">
        <v>2969.23</v>
      </c>
      <c r="O81" s="18" t="n">
        <v>3819.23</v>
      </c>
      <c r="P81" s="34" t="n">
        <v>10626.92</v>
      </c>
      <c r="Q81" s="18" t="n">
        <v>819.23</v>
      </c>
      <c r="R81" s="19" t="n">
        <v>1319.23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장기차입금의증가</t>
        </is>
      </c>
      <c r="E82" s="18" t="n">
        <v>777</v>
      </c>
      <c r="F82" s="9" t="n"/>
      <c r="G82" s="18" t="n">
        <v>2100</v>
      </c>
      <c r="H82" s="18" t="n">
        <v>0</v>
      </c>
      <c r="I82" s="18" t="n">
        <v>0</v>
      </c>
      <c r="J82" s="18" t="n">
        <v>0</v>
      </c>
      <c r="K82" s="34" t="n">
        <v>2100</v>
      </c>
      <c r="L82" s="18" t="n">
        <v>839</v>
      </c>
      <c r="M82" s="18" t="n">
        <v>1760.5</v>
      </c>
      <c r="N82" s="18" t="n">
        <v>143</v>
      </c>
      <c r="O82" s="18" t="n">
        <v>0</v>
      </c>
      <c r="P82" s="34" t="n">
        <v>2742.5</v>
      </c>
      <c r="Q82" s="18" t="n">
        <v>257.5</v>
      </c>
      <c r="R82" s="19" t="n">
        <v>0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현금및현금성자산의증감</t>
        </is>
      </c>
      <c r="E83" s="18" t="n">
        <v>-4353.06</v>
      </c>
      <c r="F83" s="9" t="n"/>
      <c r="G83" s="18" t="n">
        <v>16869.61</v>
      </c>
      <c r="H83" s="18" t="n">
        <v>16733.17</v>
      </c>
      <c r="I83" s="18" t="n">
        <v>-11737.86</v>
      </c>
      <c r="J83" s="18" t="n">
        <v>8416.85</v>
      </c>
      <c r="K83" s="34" t="n">
        <v>30281.77</v>
      </c>
      <c r="L83" s="18" t="n">
        <v>3162.71</v>
      </c>
      <c r="M83" s="18" t="n">
        <v>-4785.64</v>
      </c>
      <c r="N83" s="18" t="n">
        <v>-2964.96</v>
      </c>
      <c r="O83" s="18" t="n">
        <v>1261.15</v>
      </c>
      <c r="P83" s="34" t="n">
        <v>-3326.74</v>
      </c>
      <c r="Q83" s="18" t="n">
        <v>8715.809999999999</v>
      </c>
      <c r="R83" s="19" t="n">
        <v>1267.46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기말현금및현금성자산</t>
        </is>
      </c>
      <c r="E84" s="18" t="n">
        <v>-4353.06</v>
      </c>
      <c r="F84" s="9" t="n"/>
      <c r="G84" s="18" t="n">
        <v>23353.22</v>
      </c>
      <c r="H84" s="18" t="n">
        <v>16733.17</v>
      </c>
      <c r="I84" s="18" t="n">
        <v>-11737.86</v>
      </c>
      <c r="J84" s="18" t="n">
        <v>8416.85</v>
      </c>
      <c r="K84" s="34" t="n">
        <v>36765.38</v>
      </c>
      <c r="L84" s="18" t="n">
        <v>39928.09</v>
      </c>
      <c r="M84" s="18" t="n">
        <v>-4785.63</v>
      </c>
      <c r="N84" s="18" t="n">
        <v>-2964.97</v>
      </c>
      <c r="O84" s="18" t="n">
        <v>1261.15</v>
      </c>
      <c r="P84" s="34" t="n">
        <v>33438.64</v>
      </c>
      <c r="Q84" s="18" t="n">
        <v>42154.45</v>
      </c>
      <c r="R84" s="19" t="n">
        <v>1267.46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6.66</v>
      </c>
      <c r="H85" s="18" t="n">
        <v>5.44</v>
      </c>
      <c r="I85" s="18" t="n">
        <v>32.41</v>
      </c>
      <c r="J85" s="18" t="n">
        <v>65.53</v>
      </c>
      <c r="K85" s="34" t="n">
        <v>110.04</v>
      </c>
      <c r="L85" s="18" t="n">
        <v>1.86</v>
      </c>
      <c r="M85" s="18" t="n">
        <v>9.5</v>
      </c>
      <c r="N85" s="18" t="n">
        <v>82.62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배당금지급</t>
        </is>
      </c>
      <c r="F86" s="9" t="n"/>
      <c r="K86" s="9" t="n"/>
      <c r="L86" s="18" t="n">
        <v>3539.23</v>
      </c>
      <c r="M86" s="18" t="n">
        <v>0</v>
      </c>
      <c r="N86" s="18" t="n">
        <v>0</v>
      </c>
      <c r="O86" s="18" t="n">
        <v>0</v>
      </c>
      <c r="P86" s="34" t="n">
        <v>3539.23</v>
      </c>
      <c r="Q86" s="18" t="n">
        <v>4616.39</v>
      </c>
      <c r="R86" s="19" t="n">
        <v>0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O87" s="18" t="n">
        <v>2750</v>
      </c>
      <c r="P87" s="9" t="n"/>
      <c r="Q87" s="18" t="n">
        <v>500</v>
      </c>
      <c r="R87" s="19" t="n">
        <v>0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4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4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4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4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4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4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4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4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4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4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4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4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4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4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4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4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4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4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4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4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4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4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4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4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4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4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4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4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4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4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4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4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4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4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4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4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4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4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4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4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4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4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4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4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4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4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4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4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4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4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4" t="n">
        <v>7033.33</v>
      </c>
      <c r="G22" s="18" t="n">
        <v>8558.33</v>
      </c>
      <c r="H22" s="18" t="n">
        <v>8516.67</v>
      </c>
      <c r="K22" s="9" t="n"/>
      <c r="P22" s="9" t="n"/>
      <c r="R22" s="5" t="n"/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4" t="n">
        <v>7033.33</v>
      </c>
      <c r="G23" s="18" t="n">
        <v>8558.33</v>
      </c>
      <c r="H23" s="18" t="n">
        <v>8516.67</v>
      </c>
      <c r="K23" s="9" t="n"/>
      <c r="P23" s="9" t="n"/>
      <c r="R23" s="5" t="n"/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4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4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4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4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4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4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4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4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4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4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4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4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4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4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4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4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4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4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4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4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4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4" t="n">
        <v>35507.69</v>
      </c>
      <c r="G31" s="18" t="n">
        <v>35688.46</v>
      </c>
      <c r="H31" s="18" t="n">
        <v>33769.23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4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4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4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4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4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4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4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4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4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4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4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4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4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4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4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4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4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4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4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4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4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4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4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4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4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4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4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4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4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4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4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4" t="n">
        <v>42541.02</v>
      </c>
      <c r="G43" s="18" t="n">
        <v>44246.79</v>
      </c>
      <c r="H43" s="18" t="n">
        <v>42285.9</v>
      </c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4" t="n">
        <v>38582.32</v>
      </c>
      <c r="G44" s="18" t="n">
        <v>2308.67</v>
      </c>
      <c r="H44" s="18" t="n">
        <v>-12380.03</v>
      </c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4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4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4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4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4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4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4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확정급여부채</t>
        </is>
      </c>
      <c r="F48" s="9" t="n"/>
      <c r="K48" s="9" t="n"/>
      <c r="L48" s="18" t="n">
        <v>67.81999999999999</v>
      </c>
      <c r="N48" s="18" t="n">
        <v>15.31</v>
      </c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장기매입채무및기타채무</t>
        </is>
      </c>
      <c r="F49" s="9" t="n"/>
      <c r="K49" s="9" t="n"/>
      <c r="O49" s="18" t="n">
        <v>20.67</v>
      </c>
      <c r="P49" s="34" t="n">
        <v>20.67</v>
      </c>
      <c r="Q49" s="18" t="n">
        <v>20.67</v>
      </c>
      <c r="R49" s="19" t="n">
        <v>20.67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기타비유동부채</t>
        </is>
      </c>
      <c r="F50" s="9" t="n"/>
      <c r="K50" s="9" t="n"/>
      <c r="O50" s="18" t="n">
        <v>339.6</v>
      </c>
      <c r="P50" s="34" t="n">
        <v>339.6</v>
      </c>
      <c r="Q50" s="18" t="n">
        <v>288.66</v>
      </c>
      <c r="R50" s="19" t="n">
        <v>237.72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매출액(수익)</t>
        </is>
      </c>
      <c r="E51" s="18" t="n">
        <v>50916.93</v>
      </c>
      <c r="F51" s="9" t="n"/>
      <c r="G51" s="18" t="n">
        <v>49531.24</v>
      </c>
      <c r="H51" s="18" t="n">
        <v>55636.15</v>
      </c>
      <c r="I51" s="18" t="n">
        <v>52348.94</v>
      </c>
      <c r="J51" s="18" t="n">
        <v>54199.16</v>
      </c>
      <c r="K51" s="34" t="n">
        <v>211715.49</v>
      </c>
      <c r="L51" s="18" t="n">
        <v>56933.75</v>
      </c>
      <c r="M51" s="18" t="n">
        <v>61118.16</v>
      </c>
      <c r="N51" s="18" t="n">
        <v>58812.05</v>
      </c>
      <c r="O51" s="18" t="n">
        <v>64638.13</v>
      </c>
      <c r="P51" s="34" t="n">
        <v>241502.09</v>
      </c>
      <c r="Q51" s="18" t="n">
        <v>63391.75</v>
      </c>
      <c r="R51" s="19" t="n">
        <v>71533.53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매출원가</t>
        </is>
      </c>
      <c r="E52" s="18" t="n">
        <v>46401.03</v>
      </c>
      <c r="F52" s="9" t="n"/>
      <c r="G52" s="18" t="n">
        <v>42868.95</v>
      </c>
      <c r="H52" s="18" t="n">
        <v>47102.08</v>
      </c>
      <c r="I52" s="18" t="n">
        <v>46590.36</v>
      </c>
      <c r="J52" s="18" t="n">
        <v>47230.08</v>
      </c>
      <c r="K52" s="34" t="n">
        <v>183791.47</v>
      </c>
      <c r="L52" s="18" t="n">
        <v>47989.4</v>
      </c>
      <c r="M52" s="18" t="n">
        <v>51030.12</v>
      </c>
      <c r="N52" s="18" t="n">
        <v>50002.22</v>
      </c>
      <c r="O52" s="18" t="n">
        <v>55819.39</v>
      </c>
      <c r="P52" s="34" t="n">
        <v>204841.13</v>
      </c>
      <c r="Q52" s="18" t="n">
        <v>52691.89</v>
      </c>
      <c r="R52" s="19" t="n">
        <v>57255.01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매출총이익</t>
        </is>
      </c>
      <c r="E53" s="18" t="n">
        <v>4515.88</v>
      </c>
      <c r="F53" s="9" t="n"/>
      <c r="G53" s="18" t="n">
        <v>6662.29</v>
      </c>
      <c r="H53" s="18" t="n">
        <v>8534.07</v>
      </c>
      <c r="I53" s="18" t="n">
        <v>5758.57</v>
      </c>
      <c r="J53" s="18" t="n">
        <v>6969.07</v>
      </c>
      <c r="K53" s="34" t="n">
        <v>27924</v>
      </c>
      <c r="L53" s="18" t="n">
        <v>8944.35</v>
      </c>
      <c r="M53" s="18" t="n">
        <v>10088.04</v>
      </c>
      <c r="N53" s="18" t="n">
        <v>8809.83</v>
      </c>
      <c r="O53" s="18" t="n">
        <v>8818.74</v>
      </c>
      <c r="P53" s="34" t="n">
        <v>36660.96</v>
      </c>
      <c r="Q53" s="18" t="n">
        <v>10699.86</v>
      </c>
      <c r="R53" s="19" t="n">
        <v>14278.52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판관비</t>
        </is>
      </c>
      <c r="E54" s="18" t="n">
        <v>2067.94</v>
      </c>
      <c r="F54" s="9" t="n"/>
      <c r="G54" s="18" t="n">
        <v>2081.36</v>
      </c>
      <c r="H54" s="18" t="n">
        <v>1988.59</v>
      </c>
      <c r="I54" s="18" t="n">
        <v>1949.38</v>
      </c>
      <c r="J54" s="18" t="n">
        <v>2308.65</v>
      </c>
      <c r="K54" s="34" t="n">
        <v>8327.98</v>
      </c>
      <c r="L54" s="18" t="n">
        <v>1841.14</v>
      </c>
      <c r="M54" s="18" t="n">
        <v>1942.04</v>
      </c>
      <c r="N54" s="18" t="n">
        <v>2162.81</v>
      </c>
      <c r="O54" s="18" t="n">
        <v>2291.15</v>
      </c>
      <c r="P54" s="34" t="n">
        <v>8237.139999999999</v>
      </c>
      <c r="Q54" s="18" t="n">
        <v>2159.21</v>
      </c>
      <c r="R54" s="19" t="n">
        <v>2258.84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영업이익</t>
        </is>
      </c>
      <c r="E55" s="18" t="n">
        <v>2447.96</v>
      </c>
      <c r="F55" s="9" t="n"/>
      <c r="G55" s="18" t="n">
        <v>4580.92</v>
      </c>
      <c r="H55" s="18" t="n">
        <v>6545.48</v>
      </c>
      <c r="I55" s="18" t="n">
        <v>3809.2</v>
      </c>
      <c r="J55" s="18" t="n">
        <v>4660.42</v>
      </c>
      <c r="K55" s="34" t="n">
        <v>19596.02</v>
      </c>
      <c r="L55" s="18" t="n">
        <v>7103.21</v>
      </c>
      <c r="M55" s="18" t="n">
        <v>8146</v>
      </c>
      <c r="N55" s="18" t="n">
        <v>6647.02</v>
      </c>
      <c r="O55" s="18" t="n">
        <v>6527.6</v>
      </c>
      <c r="P55" s="34" t="n">
        <v>28423.83</v>
      </c>
      <c r="Q55" s="18" t="n">
        <v>8540.65</v>
      </c>
      <c r="R55" s="19" t="n">
        <v>12019.68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금융수익</t>
        </is>
      </c>
      <c r="E56" s="18" t="n">
        <v>28.16</v>
      </c>
      <c r="F56" s="9" t="n"/>
      <c r="G56" s="18" t="n">
        <v>273.35</v>
      </c>
      <c r="H56" s="18" t="n">
        <v>393.64</v>
      </c>
      <c r="I56" s="18" t="n">
        <v>440.16</v>
      </c>
      <c r="J56" s="18" t="n">
        <v>2228.1</v>
      </c>
      <c r="K56" s="34" t="n">
        <v>3335.25</v>
      </c>
      <c r="L56" s="18" t="n">
        <v>224.3</v>
      </c>
      <c r="M56" s="18" t="n">
        <v>272.68</v>
      </c>
      <c r="N56" s="18" t="n">
        <v>226.59</v>
      </c>
      <c r="O56" s="18" t="n">
        <v>243.09</v>
      </c>
      <c r="P56" s="34" t="n">
        <v>966.66</v>
      </c>
      <c r="Q56" s="18" t="n">
        <v>210.6</v>
      </c>
      <c r="R56" s="19" t="n">
        <v>232.47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595.1</v>
      </c>
      <c r="F57" s="9" t="n"/>
      <c r="G57" s="18" t="n">
        <v>886.5</v>
      </c>
      <c r="H57" s="18" t="n">
        <v>858.5599999999999</v>
      </c>
      <c r="I57" s="18" t="n">
        <v>809.6799999999999</v>
      </c>
      <c r="J57" s="18" t="n">
        <v>783.8</v>
      </c>
      <c r="K57" s="34" t="n">
        <v>3338.54</v>
      </c>
      <c r="L57" s="18" t="n">
        <v>691.46</v>
      </c>
      <c r="M57" s="18" t="n">
        <v>641.84</v>
      </c>
      <c r="N57" s="18" t="n">
        <v>626.79</v>
      </c>
      <c r="O57" s="18" t="n">
        <v>511.89</v>
      </c>
      <c r="P57" s="34" t="n">
        <v>2471.98</v>
      </c>
      <c r="Q57" s="18" t="n">
        <v>414.28</v>
      </c>
      <c r="R57" s="19" t="n">
        <v>397.27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기타영업외수익</t>
        </is>
      </c>
      <c r="E58" s="18" t="n">
        <v>46.98</v>
      </c>
      <c r="F58" s="9" t="n"/>
      <c r="G58" s="18" t="n">
        <v>0.63</v>
      </c>
      <c r="H58" s="18" t="n">
        <v>6.08</v>
      </c>
      <c r="I58" s="18" t="n">
        <v>42.29</v>
      </c>
      <c r="J58" s="18" t="n">
        <v>257.56</v>
      </c>
      <c r="K58" s="34" t="n">
        <v>306.56</v>
      </c>
      <c r="L58" s="18" t="n">
        <v>51.39</v>
      </c>
      <c r="M58" s="18" t="n">
        <v>42.62</v>
      </c>
      <c r="N58" s="18" t="n">
        <v>23.79</v>
      </c>
      <c r="O58" s="18" t="n">
        <v>105.19</v>
      </c>
      <c r="P58" s="34" t="n">
        <v>222.99</v>
      </c>
      <c r="Q58" s="18" t="n">
        <v>13.69</v>
      </c>
      <c r="R58" s="19" t="n">
        <v>15.27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기타영업외비용</t>
        </is>
      </c>
      <c r="E59" s="18" t="n">
        <v>11.12</v>
      </c>
      <c r="F59" s="9" t="n"/>
      <c r="G59" s="18" t="n">
        <v>47.66</v>
      </c>
      <c r="H59" s="18" t="n">
        <v>0.37</v>
      </c>
      <c r="I59" s="18" t="n">
        <v>5.66</v>
      </c>
      <c r="J59" s="18" t="n">
        <v>43.3</v>
      </c>
      <c r="K59" s="34" t="n">
        <v>96.98999999999999</v>
      </c>
      <c r="L59" s="18" t="n">
        <v>41.51</v>
      </c>
      <c r="M59" s="18" t="n">
        <v>106.38</v>
      </c>
      <c r="N59" s="18" t="n">
        <v>77</v>
      </c>
      <c r="O59" s="18" t="n">
        <v>357.36</v>
      </c>
      <c r="P59" s="34" t="n">
        <v>582.25</v>
      </c>
      <c r="Q59" s="18" t="n">
        <v>63.34</v>
      </c>
      <c r="R59" s="19" t="n">
        <v>654.77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법인세비용차감전계속사업이익</t>
        </is>
      </c>
      <c r="E60" s="18" t="n">
        <v>1916.89</v>
      </c>
      <c r="F60" s="9" t="n"/>
      <c r="G60" s="18" t="n">
        <v>3920.74</v>
      </c>
      <c r="H60" s="18" t="n">
        <v>6086.28</v>
      </c>
      <c r="I60" s="18" t="n">
        <v>3476.31</v>
      </c>
      <c r="J60" s="18" t="n">
        <v>6318.97</v>
      </c>
      <c r="K60" s="34" t="n">
        <v>19802.3</v>
      </c>
      <c r="L60" s="18" t="n">
        <v>6645.93</v>
      </c>
      <c r="M60" s="18" t="n">
        <v>7713.09</v>
      </c>
      <c r="N60" s="18" t="n">
        <v>6193.6</v>
      </c>
      <c r="O60" s="18" t="n">
        <v>6006.62</v>
      </c>
      <c r="P60" s="34" t="n">
        <v>26559.24</v>
      </c>
      <c r="Q60" s="18" t="n">
        <v>8287.34</v>
      </c>
      <c r="R60" s="19" t="n">
        <v>11215.38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</t>
        </is>
      </c>
      <c r="E61" s="18" t="n">
        <v>-77.72</v>
      </c>
      <c r="F61" s="9" t="n"/>
      <c r="G61" s="18" t="n">
        <v>778.88</v>
      </c>
      <c r="H61" s="18" t="n">
        <v>1315.87</v>
      </c>
      <c r="I61" s="18" t="n">
        <v>-92.68000000000001</v>
      </c>
      <c r="J61" s="18" t="n">
        <v>937.72</v>
      </c>
      <c r="K61" s="34" t="n">
        <v>2939.79</v>
      </c>
      <c r="L61" s="18" t="n">
        <v>1250.28</v>
      </c>
      <c r="M61" s="18" t="n">
        <v>1506.3</v>
      </c>
      <c r="N61" s="18" t="n">
        <v>1235.19</v>
      </c>
      <c r="O61" s="18" t="n">
        <v>1346.01</v>
      </c>
      <c r="P61" s="34" t="n">
        <v>5337.78</v>
      </c>
      <c r="Q61" s="18" t="n">
        <v>1859.54</v>
      </c>
      <c r="R61" s="19" t="n">
        <v>2603.21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당기순이익</t>
        </is>
      </c>
      <c r="E62" s="18" t="n">
        <v>1994.6</v>
      </c>
      <c r="F62" s="9" t="n"/>
      <c r="G62" s="18" t="n">
        <v>3141.86</v>
      </c>
      <c r="H62" s="18" t="n">
        <v>4770.41</v>
      </c>
      <c r="I62" s="18" t="n">
        <v>3568.98</v>
      </c>
      <c r="J62" s="18" t="n">
        <v>5381.25</v>
      </c>
      <c r="K62" s="34" t="n">
        <v>16862.5</v>
      </c>
      <c r="L62" s="18" t="n">
        <v>5395.66</v>
      </c>
      <c r="M62" s="18" t="n">
        <v>6206.78</v>
      </c>
      <c r="N62" s="18" t="n">
        <v>4958.41</v>
      </c>
      <c r="O62" s="18" t="n">
        <v>4660.61</v>
      </c>
      <c r="P62" s="34" t="n">
        <v>21221.46</v>
      </c>
      <c r="Q62" s="18" t="n">
        <v>6427.79</v>
      </c>
      <c r="R62" s="19" t="n">
        <v>8612.18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총포괄손익</t>
        </is>
      </c>
      <c r="E63" s="18" t="n">
        <v>990.87</v>
      </c>
      <c r="F63" s="9" t="n"/>
      <c r="G63" s="18" t="n">
        <v>3131.54</v>
      </c>
      <c r="H63" s="18" t="n">
        <v>4769.79</v>
      </c>
      <c r="I63" s="18" t="n">
        <v>3568.61</v>
      </c>
      <c r="J63" s="18" t="n">
        <v>4673.26</v>
      </c>
      <c r="K63" s="34" t="n">
        <v>16143.2</v>
      </c>
      <c r="L63" s="18" t="n">
        <v>5379.14</v>
      </c>
      <c r="M63" s="18" t="n">
        <v>6207.33</v>
      </c>
      <c r="N63" s="18" t="n">
        <v>4960.34</v>
      </c>
      <c r="O63" s="18" t="n">
        <v>5201.62</v>
      </c>
      <c r="P63" s="34" t="n">
        <v>21748.43</v>
      </c>
      <c r="Q63" s="18" t="n">
        <v>6446.08</v>
      </c>
      <c r="R63" s="19" t="n">
        <v>8555.889999999999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금융손익</t>
        </is>
      </c>
      <c r="E64" s="18" t="n">
        <v>-566.9400000000001</v>
      </c>
      <c r="F64" s="9" t="n"/>
      <c r="G64" s="18" t="n">
        <v>-613.15</v>
      </c>
      <c r="H64" s="18" t="n">
        <v>-464.92</v>
      </c>
      <c r="I64" s="18" t="n">
        <v>-369.52</v>
      </c>
      <c r="J64" s="18" t="n">
        <v>1444.3</v>
      </c>
      <c r="K64" s="34" t="n">
        <v>-3.29</v>
      </c>
      <c r="L64" s="18" t="n">
        <v>-467.16</v>
      </c>
      <c r="M64" s="18" t="n">
        <v>-369.16</v>
      </c>
      <c r="N64" s="18" t="n">
        <v>-400.2</v>
      </c>
      <c r="O64" s="18" t="n">
        <v>-268.8</v>
      </c>
      <c r="P64" s="34" t="n">
        <v>-1505.32</v>
      </c>
      <c r="Q64" s="18" t="n">
        <v>-203.68</v>
      </c>
      <c r="R64" s="19" t="n">
        <v>-164.8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기타영업외손익</t>
        </is>
      </c>
      <c r="E65" s="18" t="n">
        <v>35.86</v>
      </c>
      <c r="F65" s="9" t="n"/>
      <c r="G65" s="18" t="n">
        <v>-47.03</v>
      </c>
      <c r="H65" s="18" t="n">
        <v>5.71</v>
      </c>
      <c r="I65" s="18" t="n">
        <v>36.63</v>
      </c>
      <c r="J65" s="18" t="n">
        <v>214.26</v>
      </c>
      <c r="K65" s="34" t="n">
        <v>209.57</v>
      </c>
      <c r="L65" s="18" t="n">
        <v>9.880000000000001</v>
      </c>
      <c r="M65" s="18" t="n">
        <v>-63.76</v>
      </c>
      <c r="N65" s="18" t="n">
        <v>-53.21</v>
      </c>
      <c r="O65" s="18" t="n">
        <v>-252.17</v>
      </c>
      <c r="P65" s="34" t="n">
        <v>-359.26</v>
      </c>
      <c r="Q65" s="18" t="n">
        <v>-49.65</v>
      </c>
      <c r="R65" s="19" t="n">
        <v>-639.5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(지배주주지분)당기순이익</t>
        </is>
      </c>
      <c r="E66" s="18" t="n">
        <v>1994.6</v>
      </c>
      <c r="F66" s="9" t="n"/>
      <c r="G66" s="18" t="n">
        <v>3141.86</v>
      </c>
      <c r="H66" s="18" t="n">
        <v>4770.41</v>
      </c>
      <c r="I66" s="18" t="n">
        <v>3568.98</v>
      </c>
      <c r="J66" s="18" t="n">
        <v>5381.25</v>
      </c>
      <c r="K66" s="34" t="n">
        <v>16862.5</v>
      </c>
      <c r="L66" s="18" t="n">
        <v>5395.66</v>
      </c>
      <c r="M66" s="18" t="n">
        <v>6206.78</v>
      </c>
      <c r="N66" s="18" t="n">
        <v>4958.41</v>
      </c>
      <c r="O66" s="18" t="n">
        <v>4660.61</v>
      </c>
      <c r="P66" s="34" t="n">
        <v>21221.46</v>
      </c>
      <c r="Q66" s="18" t="n">
        <v>6427.79</v>
      </c>
      <c r="R66" s="19" t="n">
        <v>8612.18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계속사업이익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4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4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영업활동으로인한현금흐름</t>
        </is>
      </c>
      <c r="E68" s="18" t="n">
        <v>3204.27</v>
      </c>
      <c r="F68" s="9" t="n"/>
      <c r="G68" s="18" t="n">
        <v>2173.51</v>
      </c>
      <c r="H68" s="18" t="n">
        <v>14424.28</v>
      </c>
      <c r="I68" s="18" t="n">
        <v>2448.21</v>
      </c>
      <c r="J68" s="18" t="n">
        <v>11713.1</v>
      </c>
      <c r="K68" s="34" t="n">
        <v>30759.1</v>
      </c>
      <c r="L68" s="18" t="n">
        <v>10170</v>
      </c>
      <c r="M68" s="18" t="n">
        <v>8900.91</v>
      </c>
      <c r="N68" s="18" t="n">
        <v>11133.49</v>
      </c>
      <c r="O68" s="18" t="n">
        <v>7179.4</v>
      </c>
      <c r="P68" s="34" t="n">
        <v>37383.8</v>
      </c>
      <c r="Q68" s="18" t="n">
        <v>8887.52</v>
      </c>
      <c r="R68" s="19" t="n">
        <v>10718.56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이자수취(CF)</t>
        </is>
      </c>
      <c r="E69" s="18" t="n">
        <v>28.47</v>
      </c>
      <c r="F69" s="9" t="n"/>
      <c r="G69" s="18" t="n">
        <v>96.13</v>
      </c>
      <c r="H69" s="18" t="n">
        <v>232.75</v>
      </c>
      <c r="I69" s="18" t="n">
        <v>725.13</v>
      </c>
      <c r="J69" s="18" t="n">
        <v>230.13</v>
      </c>
      <c r="K69" s="34" t="n">
        <v>1284.14</v>
      </c>
      <c r="L69" s="18" t="n">
        <v>237.42</v>
      </c>
      <c r="M69" s="18" t="n">
        <v>149.8</v>
      </c>
      <c r="N69" s="18" t="n">
        <v>283.44</v>
      </c>
      <c r="O69" s="18" t="n">
        <v>199.18</v>
      </c>
      <c r="P69" s="34" t="n">
        <v>869.84</v>
      </c>
      <c r="Q69" s="18" t="n">
        <v>272.21</v>
      </c>
      <c r="R69" s="19" t="n">
        <v>202.23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법인세납부(CF)</t>
        </is>
      </c>
      <c r="E70" s="18" t="n">
        <v>-481.78</v>
      </c>
      <c r="F70" s="9" t="n"/>
      <c r="G70" s="18" t="n">
        <v>-13.04</v>
      </c>
      <c r="H70" s="18" t="n">
        <v>-956.97</v>
      </c>
      <c r="I70" s="18" t="n">
        <v>-653.54</v>
      </c>
      <c r="J70" s="18" t="n">
        <v>-216.97</v>
      </c>
      <c r="K70" s="34" t="n">
        <v>-1840.52</v>
      </c>
      <c r="L70" s="18" t="n">
        <v>-516.74</v>
      </c>
      <c r="M70" s="18" t="n">
        <v>-668.65</v>
      </c>
      <c r="N70" s="18" t="n">
        <v>-886.71</v>
      </c>
      <c r="O70" s="18" t="n">
        <v>-27.18</v>
      </c>
      <c r="P70" s="34" t="n">
        <v>-2099.28</v>
      </c>
      <c r="Q70" s="18" t="n">
        <v>-1927.18</v>
      </c>
      <c r="R70" s="19" t="n">
        <v>-2384.81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투자활동으로인한현금흐름</t>
        </is>
      </c>
      <c r="E71" s="18" t="n">
        <v>-4809.65</v>
      </c>
      <c r="F71" s="9" t="n"/>
      <c r="G71" s="18" t="n">
        <v>-22784.4</v>
      </c>
      <c r="H71" s="18" t="n">
        <v>1984.19</v>
      </c>
      <c r="I71" s="18" t="n">
        <v>-10741.29</v>
      </c>
      <c r="J71" s="18" t="n">
        <v>1441.6</v>
      </c>
      <c r="K71" s="34" t="n">
        <v>-30099.9</v>
      </c>
      <c r="L71" s="18" t="n">
        <v>-552.59</v>
      </c>
      <c r="M71" s="18" t="n">
        <v>-9038.190000000001</v>
      </c>
      <c r="N71" s="18" t="n">
        <v>-5588.54</v>
      </c>
      <c r="O71" s="18" t="n">
        <v>1965.95</v>
      </c>
      <c r="P71" s="34" t="n">
        <v>-13213.37</v>
      </c>
      <c r="Q71" s="18" t="n">
        <v>5915.24</v>
      </c>
      <c r="R71" s="19" t="n">
        <v>-6386.79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유형자산의증가</t>
        </is>
      </c>
      <c r="E72" s="18" t="n">
        <v>4918.68</v>
      </c>
      <c r="F72" s="9" t="n"/>
      <c r="G72" s="18" t="n">
        <v>1211.07</v>
      </c>
      <c r="H72" s="18" t="n">
        <v>869.53</v>
      </c>
      <c r="I72" s="18" t="n">
        <v>4871.88</v>
      </c>
      <c r="J72" s="18" t="n">
        <v>3334.9</v>
      </c>
      <c r="K72" s="34" t="n">
        <v>10287.38</v>
      </c>
      <c r="L72" s="18" t="n">
        <v>581.76</v>
      </c>
      <c r="M72" s="18" t="n">
        <v>3077.62</v>
      </c>
      <c r="N72" s="18" t="n">
        <v>1685.15</v>
      </c>
      <c r="O72" s="18" t="n">
        <v>2036.08</v>
      </c>
      <c r="P72" s="34" t="n">
        <v>7380.61</v>
      </c>
      <c r="Q72" s="18" t="n">
        <v>709.3200000000001</v>
      </c>
      <c r="R72" s="19" t="n">
        <v>1401.97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CAPEX</t>
        </is>
      </c>
      <c r="E73" s="18" t="n">
        <v>4923.18</v>
      </c>
      <c r="F73" s="9" t="n"/>
      <c r="G73" s="18" t="n">
        <v>1211.07</v>
      </c>
      <c r="H73" s="18" t="n">
        <v>869.53</v>
      </c>
      <c r="I73" s="18" t="n">
        <v>4888.88</v>
      </c>
      <c r="J73" s="18" t="n">
        <v>3355.46</v>
      </c>
      <c r="K73" s="34" t="n">
        <v>10324.94</v>
      </c>
      <c r="L73" s="18" t="n">
        <v>581.76</v>
      </c>
      <c r="M73" s="18" t="n">
        <v>3112.62</v>
      </c>
      <c r="N73" s="18" t="n">
        <v>1692.65</v>
      </c>
      <c r="O73" s="18" t="n">
        <v>2036.08</v>
      </c>
      <c r="P73" s="34" t="n">
        <v>7423.11</v>
      </c>
      <c r="Q73" s="18" t="n">
        <v>709.3200000000001</v>
      </c>
      <c r="R73" s="19" t="n">
        <v>1425.86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무형자산의증가</t>
        </is>
      </c>
      <c r="E74" s="18" t="n">
        <v>4.5</v>
      </c>
      <c r="F74" s="9" t="n"/>
      <c r="J74" s="18" t="n">
        <v>20.56</v>
      </c>
      <c r="K74" s="9" t="n"/>
      <c r="N74" s="18" t="n">
        <v>7.5</v>
      </c>
      <c r="O74" s="18" t="n">
        <v>0</v>
      </c>
      <c r="P74" s="9" t="n"/>
      <c r="R74" s="5" t="n"/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재무활동으로인한현금흐름</t>
        </is>
      </c>
      <c r="E75" s="18" t="n">
        <v>-1351.22</v>
      </c>
      <c r="F75" s="9" t="n"/>
      <c r="G75" s="18" t="n">
        <v>37141.45</v>
      </c>
      <c r="H75" s="18" t="n">
        <v>-858.92</v>
      </c>
      <c r="I75" s="18" t="n">
        <v>-3834.26</v>
      </c>
      <c r="J75" s="18" t="n">
        <v>-3023.32</v>
      </c>
      <c r="K75" s="34" t="n">
        <v>29424.95</v>
      </c>
      <c r="L75" s="18" t="n">
        <v>-6698.05</v>
      </c>
      <c r="M75" s="18" t="n">
        <v>-3047.11</v>
      </c>
      <c r="N75" s="18" t="n">
        <v>-8141.58</v>
      </c>
      <c r="O75" s="18" t="n">
        <v>-7941.38</v>
      </c>
      <c r="P75" s="34" t="n">
        <v>-25828.12</v>
      </c>
      <c r="Q75" s="18" t="n">
        <v>-6913.12</v>
      </c>
      <c r="R75" s="19" t="n">
        <v>-2312.68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단기차입금의증가</t>
        </is>
      </c>
      <c r="E76" s="18" t="n">
        <v>21000</v>
      </c>
      <c r="F76" s="9" t="n"/>
      <c r="G76" s="18" t="n">
        <v>10500</v>
      </c>
      <c r="H76" s="18" t="n">
        <v>0</v>
      </c>
      <c r="I76" s="18" t="n">
        <v>0</v>
      </c>
      <c r="J76" s="18" t="n">
        <v>1000</v>
      </c>
      <c r="K76" s="34" t="n">
        <v>11500</v>
      </c>
      <c r="P76" s="9" t="n"/>
      <c r="R76" s="5" t="n"/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단기차입금의감소</t>
        </is>
      </c>
      <c r="E77" s="18" t="n">
        <v>21477.56</v>
      </c>
      <c r="F77" s="9" t="n"/>
      <c r="G77" s="18" t="n">
        <v>10894.23</v>
      </c>
      <c r="H77" s="18" t="n">
        <v>1960.9</v>
      </c>
      <c r="I77" s="18" t="n">
        <v>2758.97</v>
      </c>
      <c r="J77" s="18" t="n">
        <v>2919.23</v>
      </c>
      <c r="K77" s="34" t="n">
        <v>18533.33</v>
      </c>
      <c r="L77" s="18" t="n">
        <v>1919.23</v>
      </c>
      <c r="M77" s="18" t="n">
        <v>1919.23</v>
      </c>
      <c r="N77" s="18" t="n">
        <v>2969.23</v>
      </c>
      <c r="O77" s="18" t="n">
        <v>3819.23</v>
      </c>
      <c r="P77" s="34" t="n">
        <v>10626.92</v>
      </c>
      <c r="Q77" s="18" t="n">
        <v>819.23</v>
      </c>
      <c r="R77" s="19" t="n">
        <v>819.23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장기차입금의증가</t>
        </is>
      </c>
      <c r="E78" s="18" t="n">
        <v>777</v>
      </c>
      <c r="F78" s="9" t="n"/>
      <c r="G78" s="18" t="n">
        <v>2100</v>
      </c>
      <c r="H78" s="18" t="n">
        <v>0</v>
      </c>
      <c r="I78" s="18" t="n">
        <v>0</v>
      </c>
      <c r="J78" s="18" t="n">
        <v>0</v>
      </c>
      <c r="K78" s="34" t="n">
        <v>2100</v>
      </c>
      <c r="P78" s="9" t="n"/>
      <c r="R78" s="5" t="n"/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현금및현금성자산의증감</t>
        </is>
      </c>
      <c r="E79" s="18" t="n">
        <v>-2956.61</v>
      </c>
      <c r="F79" s="9" t="n"/>
      <c r="G79" s="18" t="n">
        <v>16530.56</v>
      </c>
      <c r="H79" s="18" t="n">
        <v>15549.55</v>
      </c>
      <c r="I79" s="18" t="n">
        <v>-12127.34</v>
      </c>
      <c r="J79" s="18" t="n">
        <v>10131.39</v>
      </c>
      <c r="K79" s="34" t="n">
        <v>30084.16</v>
      </c>
      <c r="L79" s="18" t="n">
        <v>2919.35</v>
      </c>
      <c r="M79" s="18" t="n">
        <v>-3184.37</v>
      </c>
      <c r="N79" s="18" t="n">
        <v>-2596.63</v>
      </c>
      <c r="O79" s="18" t="n">
        <v>1203.96</v>
      </c>
      <c r="P79" s="34" t="n">
        <v>-1657.69</v>
      </c>
      <c r="Q79" s="18" t="n">
        <v>7889.65</v>
      </c>
      <c r="R79" s="19" t="n">
        <v>2019.08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기말현금및현금성자산</t>
        </is>
      </c>
      <c r="E80" s="18" t="n">
        <v>-2956.61</v>
      </c>
      <c r="F80" s="9" t="n"/>
      <c r="G80" s="18" t="n">
        <v>20489.27</v>
      </c>
      <c r="H80" s="18" t="n">
        <v>15549.54</v>
      </c>
      <c r="I80" s="18" t="n">
        <v>-12127.34</v>
      </c>
      <c r="J80" s="18" t="n">
        <v>10131.39</v>
      </c>
      <c r="K80" s="34" t="n">
        <v>34042.86</v>
      </c>
      <c r="L80" s="18" t="n">
        <v>36962.21</v>
      </c>
      <c r="M80" s="18" t="n">
        <v>-3184.37</v>
      </c>
      <c r="N80" s="18" t="n">
        <v>-2596.63</v>
      </c>
      <c r="O80" s="18" t="n">
        <v>1203.96</v>
      </c>
      <c r="P80" s="34" t="n">
        <v>32385.17</v>
      </c>
      <c r="Q80" s="18" t="n">
        <v>40274.82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유형자산의감소</t>
        </is>
      </c>
      <c r="F81" s="9" t="n"/>
      <c r="G81" s="18" t="n">
        <v>6.66</v>
      </c>
      <c r="H81" s="18" t="n">
        <v>5.44</v>
      </c>
      <c r="I81" s="18" t="n">
        <v>32.41</v>
      </c>
      <c r="J81" s="18" t="n">
        <v>65.53</v>
      </c>
      <c r="K81" s="34" t="n">
        <v>110.04</v>
      </c>
      <c r="L81" s="18" t="n">
        <v>1.86</v>
      </c>
      <c r="M81" s="18" t="n">
        <v>9.5</v>
      </c>
      <c r="N81" s="18" t="n">
        <v>82.62</v>
      </c>
      <c r="O81" s="18" t="n">
        <v>28.08</v>
      </c>
      <c r="P81" s="34" t="n">
        <v>122.06</v>
      </c>
      <c r="Q81" s="18" t="n">
        <v>34.26</v>
      </c>
      <c r="R81" s="19" t="n">
        <v>29.95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배당금지급</t>
        </is>
      </c>
      <c r="F82" s="9" t="n"/>
      <c r="K82" s="9" t="n"/>
      <c r="L82" s="18" t="n">
        <v>3539.23</v>
      </c>
      <c r="M82" s="18" t="n">
        <v>0</v>
      </c>
      <c r="N82" s="18" t="n">
        <v>0</v>
      </c>
      <c r="O82" s="18" t="n">
        <v>0</v>
      </c>
      <c r="P82" s="34" t="n">
        <v>3539.23</v>
      </c>
      <c r="Q82" s="18" t="n">
        <v>4616.39</v>
      </c>
      <c r="R82" s="19" t="n">
        <v>0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장기차입금의감소</t>
        </is>
      </c>
      <c r="F83" s="9" t="n"/>
      <c r="K83" s="9" t="n"/>
      <c r="O83" s="18" t="n">
        <v>2750</v>
      </c>
      <c r="P83" s="9" t="n"/>
      <c r="R83" s="5" t="n"/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배당금수취(CF)</t>
        </is>
      </c>
      <c r="F84" s="9" t="n"/>
      <c r="K84" s="9" t="n"/>
      <c r="P84" s="9" t="n"/>
      <c r="Q84" s="18" t="n">
        <v>0</v>
      </c>
      <c r="R84" s="19" t="n">
        <v>0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5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5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5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5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5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5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5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5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5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5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0.0615</v>
      </c>
      <c r="F10" s="34" t="n"/>
      <c r="G10" s="18" t="n">
        <v>0.1074</v>
      </c>
      <c r="H10" s="18" t="n">
        <v>0.1191</v>
      </c>
      <c r="I10" s="18" t="n">
        <v>0.0766</v>
      </c>
      <c r="J10" s="18" t="n">
        <v>0.082</v>
      </c>
      <c r="K10" s="34">
        <f>SUM(G10:J10)</f>
        <v/>
      </c>
      <c r="L10" s="18" t="n">
        <v>0.1241</v>
      </c>
      <c r="M10" s="18" t="n">
        <v>0.1325</v>
      </c>
      <c r="N10" s="18" t="n">
        <v>0.112</v>
      </c>
      <c r="O10" s="18" t="n">
        <v>0.0968</v>
      </c>
      <c r="P10" s="34">
        <f>SUM(L10:O10)</f>
        <v/>
      </c>
      <c r="Q10" s="18" t="n">
        <v>0.132</v>
      </c>
      <c r="R10" s="19" t="n">
        <v>0.1674</v>
      </c>
      <c r="S10" s="20">
        <f>IFERROR(N10*(1+변수!S24),"")</f>
        <v/>
      </c>
      <c r="T10" s="20">
        <f>IFERROR(O10*(1+변수!T24),"")</f>
        <v/>
      </c>
      <c r="U10" s="35">
        <f>SUM(Q10:T10)</f>
        <v/>
      </c>
      <c r="V10" s="20">
        <f>IFERROR(Q10*(1+변수!V24),"")</f>
        <v/>
      </c>
      <c r="W10" s="20">
        <f>IFERROR(R10*(1+변수!W24),"")</f>
        <v/>
      </c>
      <c r="X10" s="20">
        <f>IFERROR(S10*(1+변수!X24),"")</f>
        <v/>
      </c>
      <c r="Y10" s="20">
        <f>IFERROR(T10*(1+변수!Y24),"")</f>
        <v/>
      </c>
      <c r="Z10" s="35">
        <f>SUM(V10:Y10)</f>
        <v/>
      </c>
      <c r="AA10" s="20">
        <f>IFERROR(V10*(1+변수!AA24),"")</f>
        <v/>
      </c>
      <c r="AB10" s="20">
        <f>IFERROR(W10*(1+변수!AB24),"")</f>
        <v/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변수!S25</f>
        <v/>
      </c>
      <c r="T11" s="20">
        <f>변수!T25</f>
        <v/>
      </c>
      <c r="U11" s="35">
        <f>SUM(Q11:T11)</f>
        <v/>
      </c>
      <c r="V11" s="20">
        <f>변수!V25</f>
        <v/>
      </c>
      <c r="W11" s="20">
        <f>변수!W25</f>
        <v/>
      </c>
      <c r="X11" s="20">
        <f>변수!X25</f>
        <v/>
      </c>
      <c r="Y11" s="20">
        <f>변수!Y25</f>
        <v/>
      </c>
      <c r="Z11" s="35">
        <f>SUM(V11:Y11)</f>
        <v/>
      </c>
      <c r="AA11" s="20">
        <f>변수!AA25</f>
        <v/>
      </c>
      <c r="AB11" s="20">
        <f>변수!AB25</f>
        <v/>
      </c>
      <c r="AC11" s="20">
        <f>변수!AC25</f>
        <v/>
      </c>
      <c r="AD11" s="20">
        <f>변수!AD25</f>
        <v/>
      </c>
      <c r="AE11" s="35">
        <f>SUM(AA11:AD11)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9">
        <f>IFERROR(VLOOKUP($D12,BS연결,MATCH(R$1,BS연결H,0),0)/100,"")</f>
        <v/>
      </c>
      <c r="S12" s="20">
        <f>변수!S26</f>
        <v/>
      </c>
      <c r="T12" s="20">
        <f>변수!T26</f>
        <v/>
      </c>
      <c r="U12" s="35">
        <f>SUM(Q12:T12)</f>
        <v/>
      </c>
      <c r="V12" s="20">
        <f>변수!V26</f>
        <v/>
      </c>
      <c r="W12" s="20">
        <f>변수!W26</f>
        <v/>
      </c>
      <c r="X12" s="20">
        <f>변수!X26</f>
        <v/>
      </c>
      <c r="Y12" s="20">
        <f>변수!Y26</f>
        <v/>
      </c>
      <c r="Z12" s="35">
        <f>SUM(V12:Y12)</f>
        <v/>
      </c>
      <c r="AA12" s="20">
        <f>변수!AA26</f>
        <v/>
      </c>
      <c r="AB12" s="20">
        <f>변수!AB26</f>
        <v/>
      </c>
      <c r="AC12" s="20">
        <f>변수!AC26</f>
        <v/>
      </c>
      <c r="AD12" s="20">
        <f>변수!AD26</f>
        <v/>
      </c>
      <c r="AE12" s="35">
        <f>SUM(AA12:AD12)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9">
        <f>IFERROR(VLOOKUP($D13,BS연결,MATCH(R$1,BS연결H,0),0)/100,"")</f>
        <v/>
      </c>
      <c r="S13" s="20">
        <f>IFERROR(S9+S11+S12,"")</f>
        <v/>
      </c>
      <c r="T13" s="20">
        <f>IFERROR(T9+T11+T12,"")</f>
        <v/>
      </c>
      <c r="U13" s="35">
        <f>SUM(Q13:T13)</f>
        <v/>
      </c>
      <c r="V13" s="20">
        <f>IFERROR(V9+V11+V12,"")</f>
        <v/>
      </c>
      <c r="W13" s="20">
        <f>IFERROR(W9+W11+W12,"")</f>
        <v/>
      </c>
      <c r="X13" s="20">
        <f>IFERROR(X9+X11+X12,"")</f>
        <v/>
      </c>
      <c r="Y13" s="20">
        <f>IFERROR(Y9+Y11+Y12,"")</f>
        <v/>
      </c>
      <c r="Z13" s="35">
        <f>SUM(V13:Y13)</f>
        <v/>
      </c>
      <c r="AA13" s="20">
        <f>IFERROR(AA9+AA11+AA12,"")</f>
        <v/>
      </c>
      <c r="AB13" s="20">
        <f>IFERROR(AB9+AB11+AB12,"")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IFERROR(S13*변수!S27,"")</f>
        <v/>
      </c>
      <c r="T14" s="20">
        <f>IFERROR(T13*변수!T27,"")</f>
        <v/>
      </c>
      <c r="U14" s="35">
        <f>SUM(Q14:T14)</f>
        <v/>
      </c>
      <c r="V14" s="20">
        <f>IFERROR(V13*변수!V27,"")</f>
        <v/>
      </c>
      <c r="W14" s="20">
        <f>IFERROR(W13*변수!W27,"")</f>
        <v/>
      </c>
      <c r="X14" s="20">
        <f>IFERROR(X13*변수!X27,"")</f>
        <v/>
      </c>
      <c r="Y14" s="20">
        <f>IFERROR(Y13*변수!Y27,"")</f>
        <v/>
      </c>
      <c r="Z14" s="35">
        <f>SUM(V14:Y14)</f>
        <v/>
      </c>
      <c r="AA14" s="20">
        <f>IFERROR(AA13*변수!AA27,"")</f>
        <v/>
      </c>
      <c r="AB14" s="20">
        <f>IFERROR(AB13*변수!AB27,"")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IFERROR(S13-S14,"")</f>
        <v/>
      </c>
      <c r="T15" s="20">
        <f>IFERROR(T13-T14,"")</f>
        <v/>
      </c>
      <c r="U15" s="35">
        <f>SUM(Q15:T15)</f>
        <v/>
      </c>
      <c r="V15" s="20">
        <f>IFERROR(V13-V14,"")</f>
        <v/>
      </c>
      <c r="W15" s="20">
        <f>IFERROR(W13-W14,"")</f>
        <v/>
      </c>
      <c r="X15" s="20">
        <f>IFERROR(X13-X14,"")</f>
        <v/>
      </c>
      <c r="Y15" s="20">
        <f>IFERROR(Y13-Y14,"")</f>
        <v/>
      </c>
      <c r="Z15" s="35">
        <f>SUM(V15:Y15)</f>
        <v/>
      </c>
      <c r="AA15" s="20">
        <f>IFERROR(AA13-AA14,"")</f>
        <v/>
      </c>
      <c r="AB15" s="20">
        <f>IFERROR(AB13-AB14,"")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IFERROR(S15*변수!S28,"")</f>
        <v/>
      </c>
      <c r="T16" s="20">
        <f>IFERROR(T15*변수!T28,"")</f>
        <v/>
      </c>
      <c r="U16" s="35">
        <f>SUM(Q16:T16)</f>
        <v/>
      </c>
      <c r="V16" s="20">
        <f>IFERROR(V15*변수!V28,"")</f>
        <v/>
      </c>
      <c r="W16" s="20">
        <f>IFERROR(W15*변수!W28,"")</f>
        <v/>
      </c>
      <c r="X16" s="20">
        <f>IFERROR(X15*변수!X28,"")</f>
        <v/>
      </c>
      <c r="Y16" s="20">
        <f>IFERROR(Y15*변수!Y28,"")</f>
        <v/>
      </c>
      <c r="Z16" s="35">
        <f>SUM(V16:Y16)</f>
        <v/>
      </c>
      <c r="AA16" s="20">
        <f>IFERROR(AA15*변수!AA28,"")</f>
        <v/>
      </c>
      <c r="AB16" s="20">
        <f>IFERROR(AB15*변수!AB28,"")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IFERROR(S18+S19,"")</f>
        <v/>
      </c>
      <c r="T17" s="20">
        <f>IFERROR(T18+T19,"")</f>
        <v/>
      </c>
      <c r="U17" s="35">
        <f>T17</f>
        <v/>
      </c>
      <c r="V17" s="20">
        <f>IFERROR(V18+V19,"")</f>
        <v/>
      </c>
      <c r="W17" s="20">
        <f>IFERROR(W18+W19,"")</f>
        <v/>
      </c>
      <c r="X17" s="20">
        <f>IFERROR(X18+X19,"")</f>
        <v/>
      </c>
      <c r="Y17" s="20">
        <f>IFERROR(Y18+Y19,"")</f>
        <v/>
      </c>
      <c r="Z17" s="35">
        <f>Y17</f>
        <v/>
      </c>
      <c r="AA17" s="20">
        <f>IFERROR(AA18+AA19,"")</f>
        <v/>
      </c>
      <c r="AB17" s="20">
        <f>IFERROR(AB18+AB19,"")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IFERROR(R18*(1+변수!S29),"")</f>
        <v/>
      </c>
      <c r="T18" s="20">
        <f>IFERROR(S18*(1+변수!T29),"")</f>
        <v/>
      </c>
      <c r="U18" s="35">
        <f>T18</f>
        <v/>
      </c>
      <c r="V18" s="20">
        <f>IFERROR(T18*(1+변수!V29),"")</f>
        <v/>
      </c>
      <c r="W18" s="20">
        <f>IFERROR(V18*(1+변수!W29),"")</f>
        <v/>
      </c>
      <c r="X18" s="20">
        <f>IFERROR(W18*(1+변수!X29),"")</f>
        <v/>
      </c>
      <c r="Y18" s="20">
        <f>IFERROR(X18*(1+변수!Y29),"")</f>
        <v/>
      </c>
      <c r="Z18" s="35">
        <f>Y18</f>
        <v/>
      </c>
      <c r="AA18" s="20">
        <f>IFERROR(Y18*(1+변수!AA29),"")</f>
        <v/>
      </c>
      <c r="AB18" s="20">
        <f>IFERROR(AA18*(1+변수!AB29),"")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IFERROR(R19+S15-변수!S30,"")</f>
        <v/>
      </c>
      <c r="T19" s="20">
        <f>IFERROR(S19+T15-변수!T30,"")</f>
        <v/>
      </c>
      <c r="U19" s="35">
        <f>T19</f>
        <v/>
      </c>
      <c r="V19" s="20">
        <f>IFERROR(T19+V15-변수!V30,"")</f>
        <v/>
      </c>
      <c r="W19" s="20">
        <f>IFERROR(V19+W15-변수!W30,"")</f>
        <v/>
      </c>
      <c r="X19" s="20">
        <f>IFERROR(W19+X15-변수!X30,"")</f>
        <v/>
      </c>
      <c r="Y19" s="20">
        <f>IFERROR(X19+Y15-변수!Y30,"")</f>
        <v/>
      </c>
      <c r="Z19" s="35">
        <f>Y19</f>
        <v/>
      </c>
      <c r="AA19" s="20">
        <f>IFERROR(Y19+AA15-변수!AA30,"")</f>
        <v/>
      </c>
      <c r="AB19" s="20">
        <f>IFERROR(AA19+AB15-변수!AB30,"")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IFERROR(R20+S16-변수!S31,"")</f>
        <v/>
      </c>
      <c r="T20" s="20">
        <f>IFERROR(S20+T16-변수!T31,"")</f>
        <v/>
      </c>
      <c r="U20" s="35">
        <f>T20</f>
        <v/>
      </c>
      <c r="V20" s="20">
        <f>IFERROR(T20+V16-변수!V31,"")</f>
        <v/>
      </c>
      <c r="W20" s="20">
        <f>IFERROR(V20+W16-변수!W31,"")</f>
        <v/>
      </c>
      <c r="X20" s="20">
        <f>IFERROR(W20+X16-변수!X31,"")</f>
        <v/>
      </c>
      <c r="Y20" s="20">
        <f>IFERROR(X20+Y16-변수!Y31,"")</f>
        <v/>
      </c>
      <c r="Z20" s="35">
        <f>Y20</f>
        <v/>
      </c>
      <c r="AA20" s="20">
        <f>IFERROR(Y20+AA16-변수!AA31,"")</f>
        <v/>
      </c>
      <c r="AB20" s="20">
        <f>IFERROR(AA20+AB16-변수!AB31,"")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 t="n"/>
      <c r="J21" s="18" t="n"/>
      <c r="K21" s="34">
        <f>J21</f>
        <v/>
      </c>
      <c r="L21" s="18" t="n"/>
      <c r="M21" s="18" t="n"/>
      <c r="N21" s="18">
        <f>IFERROR(VLOOKUP($D21,BS연결,MATCH(N$1,BS연결H,0),0)/100,"")</f>
        <v/>
      </c>
      <c r="O21" s="18" t="n"/>
      <c r="P21" s="34">
        <f>O21</f>
        <v/>
      </c>
      <c r="Q21" s="18" t="n"/>
      <c r="R21" s="19" t="n"/>
      <c r="S21" s="20" t="n"/>
      <c r="T21" s="20" t="n"/>
      <c r="U21" s="35">
        <f>T21</f>
        <v/>
      </c>
      <c r="V21" s="20" t="n"/>
      <c r="W21" s="20" t="n"/>
      <c r="X21" s="20" t="n"/>
      <c r="Y21" s="20" t="n"/>
      <c r="Z21" s="35">
        <f>Y21</f>
        <v/>
      </c>
      <c r="AA21" s="20" t="n"/>
      <c r="AB21" s="20" t="n"/>
      <c r="AC21" s="20" t="n"/>
      <c r="AD21" s="20" t="n"/>
      <c r="AE21" s="35">
        <f>AD21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 t="n"/>
      <c r="J22" s="18" t="n"/>
      <c r="K22" s="34">
        <f>J22</f>
        <v/>
      </c>
      <c r="L22" s="18" t="n"/>
      <c r="M22" s="18" t="n"/>
      <c r="N22" s="18">
        <f>IFERROR(VLOOKUP($D22,BS연결,MATCH(N$1,BS연결H,0),0)/100,"")</f>
        <v/>
      </c>
      <c r="O22" s="18" t="n"/>
      <c r="P22" s="34">
        <f>O22</f>
        <v/>
      </c>
      <c r="Q22" s="18" t="n"/>
      <c r="R22" s="19" t="n"/>
      <c r="S22" s="20" t="n"/>
      <c r="T22" s="20" t="n"/>
      <c r="U22" s="35">
        <f>T22</f>
        <v/>
      </c>
      <c r="V22" s="20" t="n"/>
      <c r="W22" s="20" t="n"/>
      <c r="X22" s="20" t="n"/>
      <c r="Y22" s="20" t="n"/>
      <c r="Z22" s="35">
        <f>Y22</f>
        <v/>
      </c>
      <c r="AA22" s="20" t="n"/>
      <c r="AB22" s="20" t="n"/>
      <c r="AC22" s="20" t="n"/>
      <c r="AD22" s="20" t="n"/>
      <c r="AE22" s="35">
        <f>AD22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IFERROR(R23*(1+변수!S34),"")</f>
        <v/>
      </c>
      <c r="T23" s="20">
        <f>IFERROR(S23*(1+변수!T34),"")</f>
        <v/>
      </c>
      <c r="U23" s="35">
        <f>T23</f>
        <v/>
      </c>
      <c r="V23" s="20">
        <f>IFERROR(T23*(1+변수!V34),"")</f>
        <v/>
      </c>
      <c r="W23" s="20">
        <f>IFERROR(V23*(1+변수!W34),"")</f>
        <v/>
      </c>
      <c r="X23" s="20">
        <f>IFERROR(W23*(1+변수!X34),"")</f>
        <v/>
      </c>
      <c r="Y23" s="20">
        <f>IFERROR(X23*(1+변수!Y34),"")</f>
        <v/>
      </c>
      <c r="Z23" s="35">
        <f>Y23</f>
        <v/>
      </c>
      <c r="AA23" s="20">
        <f>IFERROR(Y23*(1+변수!AA34),"")</f>
        <v/>
      </c>
      <c r="AB23" s="20">
        <f>IFERROR(AA23*(1+변수!AB34),"")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 t="n"/>
      <c r="T24" s="20" t="n"/>
      <c r="U24" s="35">
        <f>T24</f>
        <v/>
      </c>
      <c r="V24" s="20" t="n"/>
      <c r="W24" s="20" t="n"/>
      <c r="X24" s="20" t="n"/>
      <c r="Y24" s="20" t="n"/>
      <c r="Z24" s="35">
        <f>Y24</f>
        <v/>
      </c>
      <c r="AA24" s="20" t="n"/>
      <c r="AB24" s="20" t="n"/>
      <c r="AC24" s="20" t="n"/>
      <c r="AD24" s="20" t="n"/>
      <c r="AE24" s="35">
        <f>AD24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 t="n"/>
      <c r="P25" s="34">
        <f>SUM(L25:O25)</f>
        <v/>
      </c>
      <c r="Q25" s="18" t="n"/>
      <c r="R25" s="19" t="n"/>
      <c r="S25" s="20" t="n"/>
      <c r="T25" s="20" t="n"/>
      <c r="U25" s="35">
        <f>SUM(Q25:T25)</f>
        <v/>
      </c>
      <c r="V25" s="20" t="n"/>
      <c r="W25" s="20" t="n"/>
      <c r="X25" s="20" t="n"/>
      <c r="Y25" s="20" t="n"/>
      <c r="Z25" s="35">
        <f>SUM(V25:Y25)</f>
        <v/>
      </c>
      <c r="AA25" s="20" t="n"/>
      <c r="AB25" s="20" t="n"/>
      <c r="AC25" s="20" t="n"/>
      <c r="AD25" s="20" t="n"/>
      <c r="AE25" s="35">
        <f>SUM(AA25:AD25)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23.14</v>
      </c>
      <c r="F26" s="34" t="n"/>
      <c r="G26" s="18" t="n">
        <v>26.88</v>
      </c>
      <c r="H26" s="18" t="n">
        <v>156.47</v>
      </c>
      <c r="I26" s="18" t="n">
        <v>29.38</v>
      </c>
      <c r="J26" s="18" t="n">
        <v>101.04</v>
      </c>
      <c r="K26" s="34">
        <f>SUM(G26:J26)</f>
        <v/>
      </c>
      <c r="L26" s="18" t="n">
        <v>100.72</v>
      </c>
      <c r="M26" s="18" t="n">
        <v>79.64</v>
      </c>
      <c r="N26" s="18" t="n">
        <v>120.8</v>
      </c>
      <c r="O26" s="18" t="n">
        <v>69.02</v>
      </c>
      <c r="P26" s="34">
        <f>SUM(L26:O26)</f>
        <v/>
      </c>
      <c r="Q26" s="18" t="n">
        <v>89.54000000000001</v>
      </c>
      <c r="R26" s="19" t="n">
        <v>104.75</v>
      </c>
      <c r="S26" s="20" t="n"/>
      <c r="T26" s="20" t="n"/>
      <c r="U26" s="35">
        <f>SUM(Q26:T26)</f>
        <v/>
      </c>
      <c r="V26" s="20" t="n"/>
      <c r="W26" s="20" t="n"/>
      <c r="X26" s="20" t="n"/>
      <c r="Y26" s="20" t="n"/>
      <c r="Z26" s="35">
        <f>SUM(V26:Y26)</f>
        <v/>
      </c>
      <c r="AA26" s="20" t="n"/>
      <c r="AB26" s="20" t="n"/>
      <c r="AC26" s="20" t="n"/>
      <c r="AD26" s="20" t="n"/>
      <c r="AE26" s="35">
        <f>SUM(AA26:AD26)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29.6</v>
      </c>
      <c r="F27" s="27">
        <f>E27</f>
        <v/>
      </c>
      <c r="G27" s="26" t="n">
        <v>34.824</v>
      </c>
      <c r="H27" s="26" t="n">
        <v>35.274</v>
      </c>
      <c r="I27" s="26" t="n">
        <v>35.334</v>
      </c>
      <c r="J27" s="26" t="n">
        <v>35.392</v>
      </c>
      <c r="K27" s="27">
        <f>J27</f>
        <v/>
      </c>
      <c r="L27" s="26" t="n">
        <v>35.425</v>
      </c>
      <c r="M27" s="26" t="n">
        <v>35.48</v>
      </c>
      <c r="N27" s="26" t="n">
        <v>35.48</v>
      </c>
      <c r="O27" s="26" t="n">
        <v>35.511</v>
      </c>
      <c r="P27" s="27">
        <f>O27</f>
        <v/>
      </c>
      <c r="Q27" s="26" t="n">
        <v>35.511</v>
      </c>
      <c r="R27" s="28" t="n">
        <v>35.511</v>
      </c>
      <c r="S27" s="36">
        <f>IFERROR(R27*(1+변수!S38),"")</f>
        <v/>
      </c>
      <c r="T27" s="36">
        <f>IFERROR(S27*(1+변수!T38),"")</f>
        <v/>
      </c>
      <c r="U27" s="30">
        <f>T27</f>
        <v/>
      </c>
      <c r="V27" s="36">
        <f>IFERROR(T27*(1+변수!V38),"")</f>
        <v/>
      </c>
      <c r="W27" s="36">
        <f>IFERROR(V27*(1+변수!W38),"")</f>
        <v/>
      </c>
      <c r="X27" s="36">
        <f>IFERROR(W27*(1+변수!X38),"")</f>
        <v/>
      </c>
      <c r="Y27" s="36">
        <f>IFERROR(X27*(1+변수!Y38),"")</f>
        <v/>
      </c>
      <c r="Z27" s="30">
        <f>Y27</f>
        <v/>
      </c>
      <c r="AA27" s="36">
        <f>IFERROR(Y27*(1+변수!AA38),"")</f>
        <v/>
      </c>
      <c r="AB27" s="36">
        <f>IFERROR(AA27*(1+변수!AB38),"")</f>
        <v/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9">
        <f>IFERROR(R16*100/R27,"")</f>
        <v/>
      </c>
      <c r="S28" s="20">
        <f>IFERROR(S16*100/S27,"")</f>
        <v/>
      </c>
      <c r="T28" s="20">
        <f>IFERROR(T16*100/T27,"")</f>
        <v/>
      </c>
      <c r="U28" s="35">
        <f>SUM(Q28:T28)</f>
        <v/>
      </c>
      <c r="V28" s="20">
        <f>IFERROR(V16*100/V27,"")</f>
        <v/>
      </c>
      <c r="W28" s="20">
        <f>IFERROR(W16*100/W27,"")</f>
        <v/>
      </c>
      <c r="X28" s="20">
        <f>IFERROR(X16*100/X27,"")</f>
        <v/>
      </c>
      <c r="Y28" s="20">
        <f>IFERROR(Y16*100/Y27,"")</f>
        <v/>
      </c>
      <c r="Z28" s="35">
        <f>SUM(V28:Y28)</f>
        <v/>
      </c>
      <c r="AA28" s="20">
        <f>IFERROR(AA16*100/AA27,"")</f>
        <v/>
      </c>
      <c r="AB28" s="20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9">
        <f>IFERROR(R20*100/R27,"")</f>
        <v/>
      </c>
      <c r="S29" s="20">
        <f>IFERROR(S20*100/S27,"")</f>
        <v/>
      </c>
      <c r="T29" s="20">
        <f>IFERROR(T20*100/T27,"")</f>
        <v/>
      </c>
      <c r="U29" s="35">
        <f>T29</f>
        <v/>
      </c>
      <c r="V29" s="20">
        <f>IFERROR(V20*100/V27,"")</f>
        <v/>
      </c>
      <c r="W29" s="20">
        <f>IFERROR(W20*100/W27,"")</f>
        <v/>
      </c>
      <c r="X29" s="20">
        <f>IFERROR(X20*100/X27,"")</f>
        <v/>
      </c>
      <c r="Y29" s="20">
        <f>IFERROR(Y20*100/Y27,"")</f>
        <v/>
      </c>
      <c r="Z29" s="35">
        <f>Y29</f>
        <v/>
      </c>
      <c r="AA29" s="20">
        <f>IFERROR(AA20*100/AA27,"")</f>
        <v/>
      </c>
      <c r="AB29" s="20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100</v>
      </c>
      <c r="K30" s="34">
        <f>SUM(G30:J30)</f>
        <v/>
      </c>
      <c r="L30" s="18" t="n"/>
      <c r="M30" s="18" t="n"/>
      <c r="N30" s="18" t="n"/>
      <c r="O30" s="18" t="n">
        <v>130</v>
      </c>
      <c r="P30" s="34">
        <f>SUM(L30:O30)</f>
        <v/>
      </c>
      <c r="Q30" s="18" t="n"/>
      <c r="R30" s="19" t="n"/>
      <c r="S30" s="20" t="n"/>
      <c r="T30" s="20">
        <f>IFERROR(O30*(1+변수!T39),"")</f>
        <v/>
      </c>
      <c r="U30" s="35">
        <f>SUM(Q30:T30)</f>
        <v/>
      </c>
      <c r="V30" s="20" t="n"/>
      <c r="W30" s="20" t="n"/>
      <c r="X30" s="20" t="n"/>
      <c r="Y30" s="20">
        <f>IFERROR(T30*(1+변수!Y39),"")</f>
        <v/>
      </c>
      <c r="Z30" s="35">
        <f>SUM(V30:Y30)</f>
        <v/>
      </c>
      <c r="AA30" s="20" t="n"/>
      <c r="AB30" s="20" t="n"/>
      <c r="AC30" s="20" t="n"/>
      <c r="AD30" s="20">
        <f>IFERROR(Y30*(1+변수!AD39),"")</f>
        <v/>
      </c>
      <c r="AE30" s="35">
        <f>SUM(AA30:AD30)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28.16</v>
      </c>
      <c r="J31" s="18" t="n">
        <v>26.43</v>
      </c>
      <c r="K31" s="34">
        <f>SUM(G31:J31)</f>
        <v/>
      </c>
      <c r="L31" s="18" t="n">
        <v>34.6</v>
      </c>
      <c r="M31" s="18" t="n">
        <v>33.64</v>
      </c>
      <c r="N31" s="18" t="n">
        <v>40.34</v>
      </c>
      <c r="O31" s="18" t="n">
        <v>33.7</v>
      </c>
      <c r="P31" s="34">
        <f>SUM(L31:O31)</f>
        <v/>
      </c>
      <c r="Q31" s="18" t="n">
        <v>29.08</v>
      </c>
      <c r="R31" s="19" t="n">
        <v>24.18</v>
      </c>
      <c r="S31" s="20">
        <f>IFERROR(N31*(1+변수!S40),"")</f>
        <v/>
      </c>
      <c r="T31" s="20">
        <f>IFERROR(O31*(1+변수!T40),"")</f>
        <v/>
      </c>
      <c r="U31" s="35">
        <f>SUM(Q31:T31)</f>
        <v/>
      </c>
      <c r="V31" s="20">
        <f>IFERROR(Q31*(1+변수!V40),"")</f>
        <v/>
      </c>
      <c r="W31" s="20">
        <f>IFERROR(R31*(1+변수!W40),"")</f>
        <v/>
      </c>
      <c r="X31" s="20">
        <f>IFERROR(S31*(1+변수!X40),"")</f>
        <v/>
      </c>
      <c r="Y31" s="20">
        <f>IFERROR(T31*(1+변수!Y40),"")</f>
        <v/>
      </c>
      <c r="Z31" s="35">
        <f>SUM(V31:Y31)</f>
        <v/>
      </c>
      <c r="AA31" s="20">
        <f>IFERROR(V31*(1+변수!AA40),"")</f>
        <v/>
      </c>
      <c r="AB31" s="20">
        <f>IFERROR(W31*(1+변수!AB40),"")</f>
        <v/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/>
      <c r="F32" s="34" t="n"/>
      <c r="G32" s="18" t="n">
        <v>2.84</v>
      </c>
      <c r="H32" s="18" t="n">
        <v>2.5</v>
      </c>
      <c r="I32" s="18" t="n">
        <v>2.04</v>
      </c>
      <c r="J32" s="18" t="n">
        <v>1.88</v>
      </c>
      <c r="K32" s="34">
        <f>SUM(G32:J32)</f>
        <v/>
      </c>
      <c r="L32" s="18" t="n">
        <v>2.61</v>
      </c>
      <c r="M32" s="18" t="n">
        <v>2.64</v>
      </c>
      <c r="N32" s="18" t="n">
        <v>3.29</v>
      </c>
      <c r="O32" s="18" t="n">
        <v>2.85</v>
      </c>
      <c r="P32" s="34">
        <f>SUM(L32:O32)</f>
        <v/>
      </c>
      <c r="Q32" s="18" t="n">
        <v>2.56</v>
      </c>
      <c r="R32" s="19" t="n">
        <v>2.29</v>
      </c>
      <c r="S32" s="20">
        <f>IFERROR(N32*(1+변수!S41),"")</f>
        <v/>
      </c>
      <c r="T32" s="20">
        <f>IFERROR(O32*(1+변수!T41),"")</f>
        <v/>
      </c>
      <c r="U32" s="35">
        <f>SUM(Q32:T32)</f>
        <v/>
      </c>
      <c r="V32" s="20">
        <f>IFERROR(Q32*(1+변수!V41),"")</f>
        <v/>
      </c>
      <c r="W32" s="20">
        <f>IFERROR(R32*(1+변수!W41),"")</f>
        <v/>
      </c>
      <c r="X32" s="20">
        <f>IFERROR(S32*(1+변수!X41),"")</f>
        <v/>
      </c>
      <c r="Y32" s="20">
        <f>IFERROR(T32*(1+변수!Y41),"")</f>
        <v/>
      </c>
      <c r="Z32" s="35">
        <f>SUM(V32:Y32)</f>
        <v/>
      </c>
      <c r="AA32" s="20">
        <f>IFERROR(V32*(1+변수!AA41),"")</f>
        <v/>
      </c>
      <c r="AB32" s="20">
        <f>IFERROR(W32*(1+변수!AB41),"")</f>
        <v/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548.38</v>
      </c>
      <c r="F33" s="34" t="n"/>
      <c r="G33" s="18" t="n">
        <v>551.03</v>
      </c>
      <c r="H33" s="18" t="n">
        <v>576.16</v>
      </c>
      <c r="I33" s="18" t="n">
        <v>540.88</v>
      </c>
      <c r="J33" s="18" t="n">
        <v>563.5700000000001</v>
      </c>
      <c r="K33" s="34">
        <f>SUM(G33:J33)</f>
        <v/>
      </c>
      <c r="L33" s="18" t="n">
        <v>583.58</v>
      </c>
      <c r="M33" s="18" t="n">
        <v>623.12</v>
      </c>
      <c r="N33" s="18" t="n">
        <v>605.92</v>
      </c>
      <c r="O33" s="18" t="n">
        <v>669.42</v>
      </c>
      <c r="P33" s="34">
        <f>SUM(L33:O33)</f>
        <v/>
      </c>
      <c r="Q33" s="18" t="n">
        <v>646.1</v>
      </c>
      <c r="R33" s="19" t="n">
        <v>727.6799999999999</v>
      </c>
      <c r="S33" s="20">
        <f>IFERROR(S5*변수!S42,"")</f>
        <v/>
      </c>
      <c r="T33" s="20">
        <f>IFERROR(T5*변수!T42,"")</f>
        <v/>
      </c>
      <c r="U33" s="35">
        <f>SUM(Q33:T33)</f>
        <v/>
      </c>
      <c r="V33" s="20">
        <f>IFERROR(V5*변수!V42,"")</f>
        <v/>
      </c>
      <c r="W33" s="20">
        <f>IFERROR(W5*변수!W42,"")</f>
        <v/>
      </c>
      <c r="X33" s="20">
        <f>IFERROR(X5*변수!X42,"")</f>
        <v/>
      </c>
      <c r="Y33" s="20">
        <f>IFERROR(Y5*변수!Y42,"")</f>
        <v/>
      </c>
      <c r="Z33" s="35">
        <f>SUM(V33:Y33)</f>
        <v/>
      </c>
      <c r="AA33" s="20">
        <f>IFERROR(AA5*변수!AA42,"")</f>
        <v/>
      </c>
      <c r="AB33" s="20">
        <f>IFERROR(AB5*변수!AB42,"")</f>
        <v/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33.71</v>
      </c>
      <c r="F34" s="34" t="n"/>
      <c r="G34" s="18" t="n">
        <v>59.2</v>
      </c>
      <c r="H34" s="18" t="n">
        <v>68.64</v>
      </c>
      <c r="I34" s="18" t="n">
        <v>41.44</v>
      </c>
      <c r="J34" s="18" t="n">
        <v>46.2</v>
      </c>
      <c r="K34" s="34">
        <f>SUM(G34:J34)</f>
        <v/>
      </c>
      <c r="L34" s="18" t="n">
        <v>72.40000000000001</v>
      </c>
      <c r="M34" s="18" t="n">
        <v>82.59</v>
      </c>
      <c r="N34" s="18" t="n">
        <v>67.88</v>
      </c>
      <c r="O34" s="18" t="n">
        <v>64.77</v>
      </c>
      <c r="P34" s="34">
        <f>SUM(L34:O34)</f>
        <v/>
      </c>
      <c r="Q34" s="18" t="n">
        <v>85.3</v>
      </c>
      <c r="R34" s="19" t="n">
        <v>121.83</v>
      </c>
      <c r="S34" s="20">
        <f>IFERROR(S33*변수!S43,"")</f>
        <v/>
      </c>
      <c r="T34" s="20">
        <f>IFERROR(T33*변수!T43,"")</f>
        <v/>
      </c>
      <c r="U34" s="35">
        <f>SUM(Q34:T34)</f>
        <v/>
      </c>
      <c r="V34" s="20">
        <f>IFERROR(V33*변수!V43,"")</f>
        <v/>
      </c>
      <c r="W34" s="20">
        <f>IFERROR(W33*변수!W43,"")</f>
        <v/>
      </c>
      <c r="X34" s="20">
        <f>IFERROR(X33*변수!X43,"")</f>
        <v/>
      </c>
      <c r="Y34" s="20">
        <f>IFERROR(Y33*변수!Y43,"")</f>
        <v/>
      </c>
      <c r="Z34" s="35">
        <f>SUM(V34:Y34)</f>
        <v/>
      </c>
      <c r="AA34" s="20">
        <f>IFERROR(AA33*변수!AA43,"")</f>
        <v/>
      </c>
      <c r="AB34" s="20">
        <f>IFERROR(AB33*변수!AB43,"")</f>
        <v/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</row>
    <row r="35">
      <c r="B35" s="2" t="inlineStr">
        <is>
          <t>비율(참고)</t>
        </is>
      </c>
      <c r="F35" s="9" t="n"/>
      <c r="K35" s="9" t="n"/>
      <c r="P35" s="9" t="n"/>
      <c r="R35" s="5" t="n"/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3">
        <f>IFERROR(R9/R5,"")</f>
        <v/>
      </c>
      <c r="S36" s="31">
        <f>IFERROR(S9/S5,"")</f>
        <v/>
      </c>
      <c r="T36" s="31">
        <f>IFERROR(T9/T5,"")</f>
        <v/>
      </c>
      <c r="U36" s="25">
        <f>IFERROR(U9/U5,"")</f>
        <v/>
      </c>
      <c r="V36" s="31">
        <f>IFERROR(V9/V5,"")</f>
        <v/>
      </c>
      <c r="W36" s="31">
        <f>IFERROR(W9/W5,"")</f>
        <v/>
      </c>
      <c r="X36" s="31">
        <f>IFERROR(X9/X5,"")</f>
        <v/>
      </c>
      <c r="Y36" s="31">
        <f>IFERROR(Y9/Y5,"")</f>
        <v/>
      </c>
      <c r="Z36" s="25">
        <f>IFERROR(Z9/Z5,"")</f>
        <v/>
      </c>
      <c r="AA36" s="31">
        <f>IFERROR(AA9/AA5,"")</f>
        <v/>
      </c>
      <c r="AB36" s="31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3">
        <f>IFERROR(R16/R5,"")</f>
        <v/>
      </c>
      <c r="S37" s="31">
        <f>IFERROR(S16/S5,"")</f>
        <v/>
      </c>
      <c r="T37" s="31">
        <f>IFERROR(T16/T5,"")</f>
        <v/>
      </c>
      <c r="U37" s="25">
        <f>IFERROR(U16/U5,"")</f>
        <v/>
      </c>
      <c r="V37" s="31">
        <f>IFERROR(V16/V5,"")</f>
        <v/>
      </c>
      <c r="W37" s="31">
        <f>IFERROR(W16/W5,"")</f>
        <v/>
      </c>
      <c r="X37" s="31">
        <f>IFERROR(X16/X5,"")</f>
        <v/>
      </c>
      <c r="Y37" s="31">
        <f>IFERROR(Y16/Y5,"")</f>
        <v/>
      </c>
      <c r="Z37" s="25">
        <f>IFERROR(Z16/Z5,"")</f>
        <v/>
      </c>
      <c r="AA37" s="31">
        <f>IFERROR(AA16/AA5,"")</f>
        <v/>
      </c>
      <c r="AB37" s="31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3">
        <f>IFERROR(R6/R5,"")</f>
        <v/>
      </c>
      <c r="S38" s="31">
        <f>IFERROR(S6/S5,"")</f>
        <v/>
      </c>
      <c r="T38" s="31">
        <f>IFERROR(T6/T5,"")</f>
        <v/>
      </c>
      <c r="U38" s="25">
        <f>IFERROR(U6/U5,"")</f>
        <v/>
      </c>
      <c r="V38" s="31">
        <f>IFERROR(V6/V5,"")</f>
        <v/>
      </c>
      <c r="W38" s="31">
        <f>IFERROR(W6/W5,"")</f>
        <v/>
      </c>
      <c r="X38" s="31">
        <f>IFERROR(X6/X5,"")</f>
        <v/>
      </c>
      <c r="Y38" s="31">
        <f>IFERROR(Y6/Y5,"")</f>
        <v/>
      </c>
      <c r="Z38" s="25">
        <f>IFERROR(Z6/Z5,"")</f>
        <v/>
      </c>
      <c r="AA38" s="31">
        <f>IFERROR(AA6/AA5,"")</f>
        <v/>
      </c>
      <c r="AB38" s="31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3">
        <f>IFERROR(R8/R5,"")</f>
        <v/>
      </c>
      <c r="S39" s="31">
        <f>IFERROR(S8/S5,"")</f>
        <v/>
      </c>
      <c r="T39" s="31">
        <f>IFERROR(T8/T5,"")</f>
        <v/>
      </c>
      <c r="U39" s="25">
        <f>IFERROR(U8/U5,"")</f>
        <v/>
      </c>
      <c r="V39" s="31">
        <f>IFERROR(V8/V5,"")</f>
        <v/>
      </c>
      <c r="W39" s="31">
        <f>IFERROR(W8/W5,"")</f>
        <v/>
      </c>
      <c r="X39" s="31">
        <f>IFERROR(X8/X5,"")</f>
        <v/>
      </c>
      <c r="Y39" s="31">
        <f>IFERROR(Y8/Y5,"")</f>
        <v/>
      </c>
      <c r="Z39" s="25">
        <f>IFERROR(Z8/Z5,"")</f>
        <v/>
      </c>
      <c r="AA39" s="31">
        <f>IFERROR(AA8/AA5,"")</f>
        <v/>
      </c>
      <c r="AB39" s="31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7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O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39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0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1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1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1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1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1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2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1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1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1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1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1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1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1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1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1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1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1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1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1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1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1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1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43">
        <f>IFERROR(VLOOKUP($A27,subQ,MATCH(O$1,SUBQH,0),0),"")</f>
        <v/>
      </c>
      <c r="P27" s="36">
        <f>IFERROR(VLOOKUP($A27,subQ,MATCH(P$1,SUBQH,0),0),"")</f>
        <v/>
      </c>
      <c r="Q27" s="36">
        <f>IFERROR(VLOOKUP($A27,subQ,MATCH(Q$1,SUBQH,0),0),"")</f>
        <v/>
      </c>
      <c r="R27" s="36">
        <f>IFERROR(VLOOKUP($A27,subQ,MATCH(R$1,SUBQH,0),0),"")</f>
        <v/>
      </c>
      <c r="S27" s="36">
        <f>IFERROR(VLOOKUP($A27,subQ,MATCH(S$1,SUBQH,0),0),"")</f>
        <v/>
      </c>
      <c r="T27" s="36">
        <f>IFERROR(VLOOKUP($A27,subQ,MATCH(T$1,SUBQH,0),0),"")</f>
        <v/>
      </c>
      <c r="U27" s="36">
        <f>IFERROR(VLOOKUP($A27,subQ,MATCH(U$1,SUBQH,0),0),"")</f>
        <v/>
      </c>
      <c r="V27" s="36">
        <f>IFERROR(VLOOKUP($A27,subQ,MATCH(V$1,SUBQH,0),0),"")</f>
        <v/>
      </c>
      <c r="W27" s="36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1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1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1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1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1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41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1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42">
        <f>IFERROR(VLOOKUP($A35,subQ,MATCH(O$1,SUBQH,0),0),"")</f>
        <v/>
      </c>
      <c r="P35" s="31">
        <f>IFERROR(VLOOKUP($A35,subQ,MATCH(P$1,SUBQH,0),0),"")</f>
        <v/>
      </c>
      <c r="Q35" s="31">
        <f>IFERROR(VLOOKUP($A35,subQ,MATCH(Q$1,SUBQH,0),0),"")</f>
        <v/>
      </c>
      <c r="R35" s="31">
        <f>IFERROR(VLOOKUP($A35,subQ,MATCH(R$1,SUBQH,0),0),"")</f>
        <v/>
      </c>
      <c r="S35" s="31">
        <f>IFERROR(VLOOKUP($A35,subQ,MATCH(S$1,SUBQH,0),0),"")</f>
        <v/>
      </c>
      <c r="T35" s="31">
        <f>IFERROR(VLOOKUP($A35,subQ,MATCH(T$1,SUBQH,0),0),"")</f>
        <v/>
      </c>
      <c r="U35" s="31">
        <f>IFERROR(VLOOKUP($A35,subQ,MATCH(U$1,SUBQH,0),0),"")</f>
        <v/>
      </c>
      <c r="V35" s="31">
        <f>IFERROR(VLOOKUP($A35,subQ,MATCH(V$1,SUBQH,0),0),"")</f>
        <v/>
      </c>
      <c r="W35" s="31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42">
        <f>IFERROR(VLOOKUP($A36,subQ,MATCH(O$1,SUBQH,0),0),"")</f>
        <v/>
      </c>
      <c r="P36" s="31">
        <f>IFERROR(VLOOKUP($A36,subQ,MATCH(P$1,SUBQH,0),0),"")</f>
        <v/>
      </c>
      <c r="Q36" s="31">
        <f>IFERROR(VLOOKUP($A36,subQ,MATCH(Q$1,SUBQH,0),0),"")</f>
        <v/>
      </c>
      <c r="R36" s="31">
        <f>IFERROR(VLOOKUP($A36,subQ,MATCH(R$1,SUBQH,0),0),"")</f>
        <v/>
      </c>
      <c r="S36" s="31">
        <f>IFERROR(VLOOKUP($A36,subQ,MATCH(S$1,SUBQH,0),0),"")</f>
        <v/>
      </c>
      <c r="T36" s="31">
        <f>IFERROR(VLOOKUP($A36,subQ,MATCH(T$1,SUBQH,0),0),"")</f>
        <v/>
      </c>
      <c r="U36" s="31">
        <f>IFERROR(VLOOKUP($A36,subQ,MATCH(U$1,SUBQH,0),0),"")</f>
        <v/>
      </c>
      <c r="V36" s="31">
        <f>IFERROR(VLOOKUP($A36,subQ,MATCH(V$1,SUBQH,0),0),"")</f>
        <v/>
      </c>
      <c r="W36" s="31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42">
        <f>IFERROR(O5/K5-1,"")</f>
        <v/>
      </c>
      <c r="P37" s="31">
        <f>IFERROR(P5/L5-1,"")</f>
        <v/>
      </c>
      <c r="Q37" s="31">
        <f>IFERROR(Q5/M5-1,"")</f>
        <v/>
      </c>
      <c r="R37" s="31">
        <f>IFERROR(R5/N5-1,"")</f>
        <v/>
      </c>
      <c r="S37" s="31">
        <f>IFERROR(S5/O5-1,"")</f>
        <v/>
      </c>
      <c r="T37" s="31">
        <f>IFERROR(T5/P5-1,"")</f>
        <v/>
      </c>
      <c r="U37" s="31">
        <f>IFERROR(U5/Q5-1,"")</f>
        <v/>
      </c>
      <c r="V37" s="31">
        <f>IFERROR(V5/R5-1,"")</f>
        <v/>
      </c>
      <c r="W37" s="31">
        <f>IFERROR(W5/S5-1,"")</f>
        <v/>
      </c>
      <c r="X37" s="31">
        <f>IFERROR(X5/T5-1,"")</f>
        <v/>
      </c>
      <c r="Y37" s="31">
        <f>IFERROR(Y5/U5-1,"")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42">
        <f>IFERROR(O9/K9-1,"")</f>
        <v/>
      </c>
      <c r="P38" s="31">
        <f>IFERROR(P9/L9-1,"")</f>
        <v/>
      </c>
      <c r="Q38" s="31">
        <f>IFERROR(Q9/M9-1,"")</f>
        <v/>
      </c>
      <c r="R38" s="31">
        <f>IFERROR(R9/N9-1,"")</f>
        <v/>
      </c>
      <c r="S38" s="31">
        <f>IFERROR(S9/O9-1,"")</f>
        <v/>
      </c>
      <c r="T38" s="31">
        <f>IFERROR(T9/P9-1,"")</f>
        <v/>
      </c>
      <c r="U38" s="31">
        <f>IFERROR(U9/Q9-1,"")</f>
        <v/>
      </c>
      <c r="V38" s="31">
        <f>IFERROR(V9/R9-1,"")</f>
        <v/>
      </c>
      <c r="W38" s="31">
        <f>IFERROR(W9/S9-1,"")</f>
        <v/>
      </c>
      <c r="X38" s="31">
        <f>IFERROR(X9/T9-1,"")</f>
        <v/>
      </c>
      <c r="Y38" s="31">
        <f>IFERROR(Y9/U9-1,"")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42">
        <f>IFERROR(O16/K16-1,"")</f>
        <v/>
      </c>
      <c r="P39" s="31">
        <f>IFERROR(P16/L16-1,"")</f>
        <v/>
      </c>
      <c r="Q39" s="31">
        <f>IFERROR(Q16/M16-1,"")</f>
        <v/>
      </c>
      <c r="R39" s="31">
        <f>IFERROR(R16/N16-1,"")</f>
        <v/>
      </c>
      <c r="S39" s="31">
        <f>IFERROR(S16/O16-1,"")</f>
        <v/>
      </c>
      <c r="T39" s="31">
        <f>IFERROR(T16/P16-1,"")</f>
        <v/>
      </c>
      <c r="U39" s="31">
        <f>IFERROR(U16/Q16-1,"")</f>
        <v/>
      </c>
      <c r="V39" s="31">
        <f>IFERROR(V16/R16-1,"")</f>
        <v/>
      </c>
      <c r="W39" s="31">
        <f>IFERROR(W16/S16-1,"")</f>
        <v/>
      </c>
      <c r="X39" s="31">
        <f>IFERROR(X16/T16-1,"")</f>
        <v/>
      </c>
      <c r="Y39" s="31">
        <f>IFERROR(Y16/U16-1,"")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37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변수!D46</f>
        <v/>
      </c>
      <c r="G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39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0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1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1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1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1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1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2">
        <f>IFERROR(VLOOKUP($A10,subQ,MATCH(G$1,SUBQH,0),0),"")</f>
        <v/>
      </c>
      <c r="H10" s="31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1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1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1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1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1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1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1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1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1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1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1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1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1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1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1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1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43">
        <f>IFERROR(VLOOKUP($A27,subQ,MATCH(G$1,SUBQH,0),0),"")</f>
        <v/>
      </c>
      <c r="H27" s="36">
        <f>IFERROR(VLOOKUP($A27,subQ,MATCH(H$1,SUBQH,0),0),"")</f>
        <v/>
      </c>
      <c r="I27" s="36">
        <f>IFERROR(VLOOKUP($A27,subQ,MATCH(I$1,SUBQH,0),0),"")</f>
        <v/>
      </c>
      <c r="J27" s="36">
        <f>IFERROR(VLOOKUP($A27,subQ,MATCH(J$1,SUBQH,0),0),"")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1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1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1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1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1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41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1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42">
        <f>IFERROR(VLOOKUP($A35,subQ,MATCH(G$1,SUBQH,0),0),"")</f>
        <v/>
      </c>
      <c r="H35" s="31">
        <f>IFERROR(VLOOKUP($A35,subQ,MATCH(H$1,SUBQH,0),0),"")</f>
        <v/>
      </c>
      <c r="I35" s="31">
        <f>IFERROR(VLOOKUP($A35,subQ,MATCH(I$1,SUBQH,0),0),"")</f>
        <v/>
      </c>
      <c r="J35" s="31">
        <f>IFERROR(VLOOKUP($A35,subQ,MATCH(J$1,SUBQH,0),0),"")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42">
        <f>IFERROR(VLOOKUP($A36,subQ,MATCH(G$1,SUBQH,0),0),"")</f>
        <v/>
      </c>
      <c r="H36" s="31">
        <f>IFERROR(VLOOKUP($A36,subQ,MATCH(H$1,SUBQH,0),0),"")</f>
        <v/>
      </c>
      <c r="I36" s="31">
        <f>IFERROR(VLOOKUP($A36,subQ,MATCH(I$1,SUBQH,0),0),"")</f>
        <v/>
      </c>
      <c r="J36" s="31">
        <f>IFERROR(VLOOKUP($A36,subQ,MATCH(J$1,SUBQH,0),0),"")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42">
        <f>IFERROR(G5/F5-1,"")</f>
        <v/>
      </c>
      <c r="H37" s="31">
        <f>IFERROR(H5/G5-1,"")</f>
        <v/>
      </c>
      <c r="I37" s="31">
        <f>IFERROR(I5/H5-1,"")</f>
        <v/>
      </c>
      <c r="J37" s="31">
        <f>IFERROR(J5/I5-1,"")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42">
        <f>IFERROR(G9/F9-1,"")</f>
        <v/>
      </c>
      <c r="H38" s="31">
        <f>IFERROR(H9/G9-1,"")</f>
        <v/>
      </c>
      <c r="I38" s="31">
        <f>IFERROR(I9/H9-1,"")</f>
        <v/>
      </c>
      <c r="J38" s="31">
        <f>IFERROR(J9/I9-1,"")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42">
        <f>IFERROR(G16/F16-1,"")</f>
        <v/>
      </c>
      <c r="H39" s="31">
        <f>IFERROR(H16/G16-1,"")</f>
        <v/>
      </c>
      <c r="I39" s="31">
        <f>IFERROR(I16/H16-1,"")</f>
        <v/>
      </c>
      <c r="J39" s="31">
        <f>IFERROR(J16/I16-1,"")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842.9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14.98</v>
      </c>
    </row>
    <row r="32">
      <c r="C32" s="2" t="inlineStr">
        <is>
          <t>pbr_now</t>
        </is>
      </c>
      <c r="D32" t="n">
        <v>1.7</v>
      </c>
    </row>
    <row r="33">
      <c r="C33" s="2" t="inlineStr">
        <is>
          <t>roe_fwd</t>
        </is>
      </c>
      <c r="D33" t="n">
        <v>0.1136</v>
      </c>
    </row>
    <row r="34">
      <c r="C34" s="2" t="inlineStr">
        <is>
          <t>fair_pbr</t>
        </is>
      </c>
      <c r="D34" t="n">
        <v>1.26</v>
      </c>
    </row>
    <row r="35">
      <c r="C35" s="2" t="inlineStr">
        <is>
          <t>fair_value_pbr</t>
        </is>
      </c>
      <c r="D35" t="n">
        <v>9300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  <c r="X6" s="31">
        <f>IFERROR(X5/W5-1,"")</f>
        <v/>
      </c>
      <c r="Y6" s="31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  <c r="X8" s="31">
        <f>IFERROR(X7/W7-1,"")</f>
        <v/>
      </c>
      <c r="Y8" s="31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  <c r="X10" s="31">
        <f>IFERROR(X9/W9-1,"")</f>
        <v/>
      </c>
      <c r="Y10" s="31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  <c r="X12" s="31">
        <f>IFERROR(X11/W11-1,"")</f>
        <v/>
      </c>
      <c r="Y12" s="31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  <c r="X14" s="31">
        <f>IFERROR(X13/W13-1,"")</f>
        <v/>
      </c>
      <c r="Y14" s="31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