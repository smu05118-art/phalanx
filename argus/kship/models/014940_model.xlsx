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239209억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248423억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258809억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265067억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275213억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289200억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305627억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321366억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335348억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347110억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3절 스칼라 '판관비율' 참조 — 숫자로 덮어쓰면 이 분기만 바뀐다
매출액 × 판관비율 5.62%(최근 4분기 중위)</t>
      </text>
    </comment>
    <comment ref="AD22" authorId="0" shapeId="0">
      <text>
        <t>3절 스칼라 '판관비율' 참조 — 숫자로 덮어쓰면 이 분기만 바뀐다
매출액 × 판관비율 5.62%(최근 4분기 중위)</t>
      </text>
    </comment>
    <comment ref="AF22" authorId="0" shapeId="0">
      <text>
        <t>3절 스칼라 '판관비율' 참조 — 숫자로 덮어쓰면 이 분기만 바뀐다
매출액 × 판관비율 5.62%(최근 4분기 중위)</t>
      </text>
    </comment>
    <comment ref="AG22" authorId="0" shapeId="0">
      <text>
        <t>3절 스칼라 '판관비율' 참조 — 숫자로 덮어쓰면 이 분기만 바뀐다
매출액 × 판관비율 5.62%(최근 4분기 중위)</t>
      </text>
    </comment>
    <comment ref="AH22" authorId="0" shapeId="0">
      <text>
        <t>3절 스칼라 '판관비율' 참조 — 숫자로 덮어쓰면 이 분기만 바뀐다
매출액 × 판관비율 5.62%(최근 4분기 중위)</t>
      </text>
    </comment>
    <comment ref="AI22" authorId="0" shapeId="0">
      <text>
        <t>3절 스칼라 '판관비율' 참조 — 숫자로 덮어쓰면 이 분기만 바뀐다
매출액 × 판관비율 5.62%(최근 4분기 중위)</t>
      </text>
    </comment>
    <comment ref="AK22" authorId="0" shapeId="0">
      <text>
        <t>3절 스칼라 '판관비율' 참조 — 숫자로 덮어쓰면 이 분기만 바뀐다
매출액 × 판관비율 5.62%(최근 4분기 중위)</t>
      </text>
    </comment>
    <comment ref="AL22" authorId="0" shapeId="0">
      <text>
        <t>3절 스칼라 '판관비율' 참조 — 숫자로 덮어쓰면 이 분기만 바뀐다
매출액 × 판관비율 5.62%(최근 4분기 중위)</t>
      </text>
    </comment>
    <comment ref="AM22" authorId="0" shapeId="0">
      <text>
        <t>3절 스칼라 '판관비율' 참조 — 숫자로 덮어쓰면 이 분기만 바뀐다
매출액 × 판관비율 5.62%(최근 4분기 중위)</t>
      </text>
    </comment>
    <comment ref="AN22" authorId="0" shapeId="0">
      <text>
        <t>3절 스칼라 '판관비율' 참조 — 숫자로 덮어쓰면 이 분기만 바뀐다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D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F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G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H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I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K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L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M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N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239209억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248423억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258809억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265067억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275213억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289200억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305627억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321366억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335348억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347110억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AC10" authorId="0" shapeId="0">
      <text>
        <t>추정: 최근 8분기 OPM 중위 13.1% 유지
[divide]</t>
      </text>
    </comment>
    <comment ref="AD10" authorId="0" shapeId="0">
      <text>
        <t>추정: 최근 8분기 OPM 중위 13.1% 유지
[divide]</t>
      </text>
    </comment>
    <comment ref="AF10" authorId="0" shapeId="0">
      <text>
        <t>추정: 최근 8분기 OPM 중위 13.1% 유지
[divide]</t>
      </text>
    </comment>
    <comment ref="AG10" authorId="0" shapeId="0">
      <text>
        <t>추정: 최근 8분기 OPM 중위 13.1% 유지
[divide]</t>
      </text>
    </comment>
    <comment ref="AH10" authorId="0" shapeId="0">
      <text>
        <t>추정: 최근 8분기 OPM 중위 13.1% 유지
[divide]</t>
      </text>
    </comment>
    <comment ref="AI10" authorId="0" shapeId="0">
      <text>
        <t>추정: 최근 8분기 OPM 중위 13.1% 유지
[divide]</t>
      </text>
    </comment>
    <comment ref="AK10" authorId="0" shapeId="0">
      <text>
        <t>추정: 최근 8분기 OPM 중위 13.1% 유지
[divide]</t>
      </text>
    </comment>
    <comment ref="AL10" authorId="0" shapeId="0">
      <text>
        <t>추정: 최근 8분기 OPM 중위 13.1% 유지
[divide]</t>
      </text>
    </comment>
    <comment ref="AM10" authorId="0" shapeId="0">
      <text>
        <t>추정: 최근 8분기 OPM 중위 13.1% 유지
[divide]</t>
      </text>
    </comment>
    <comment ref="AN10" authorId="0" shapeId="0">
      <text>
        <t>추정: 최근 8분기 OPM 중위 13.1% 유지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137억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203억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278억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344억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424억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505억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596억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677억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779억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881억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C12" authorId="0" shapeId="0">
      <text>
        <t>추정: 이자발생자산 137억 × 5.88%(주석 이자수익 ÷ 평균 이자발생자산(2025Q3~2026Q2)) − 총차입금 250억 × 4.06%(주석 이자비용 ÷ 평균 총차입금(2025Q3~2026Q2)) (연율) ÷ 4
[interest]</t>
      </text>
    </comment>
    <comment ref="AD12" authorId="0" shapeId="0">
      <text>
        <t>추정: 이자발생자산 203억 × 5.88%(주석 이자수익 ÷ 평균 이자발생자산(2025Q3~2026Q2)) − 총차입금 250억 × 4.06%(주석 이자비용 ÷ 평균 총차입금(2025Q3~2026Q2)) (연율) ÷ 4
[interest]</t>
      </text>
    </comment>
    <comment ref="AF12" authorId="0" shapeId="0">
      <text>
        <t>추정: 이자발생자산 278억 × 5.88%(주석 이자수익 ÷ 평균 이자발생자산(2025Q3~2026Q2)) − 총차입금 250억 × 4.06%(주석 이자비용 ÷ 평균 총차입금(2025Q3~2026Q2)) (연율) ÷ 4
[interest]</t>
      </text>
    </comment>
    <comment ref="AG12" authorId="0" shapeId="0">
      <text>
        <t>추정: 이자발생자산 344억 × 5.88%(주석 이자수익 ÷ 평균 이자발생자산(2025Q3~2026Q2)) − 총차입금 250억 × 4.06%(주석 이자비용 ÷ 평균 총차입금(2025Q3~2026Q2)) (연율) ÷ 4
[interest]</t>
      </text>
    </comment>
    <comment ref="AH12" authorId="0" shapeId="0">
      <text>
        <t>추정: 이자발생자산 424억 × 5.88%(주석 이자수익 ÷ 평균 이자발생자산(2025Q3~2026Q2)) − 총차입금 250억 × 4.06%(주석 이자비용 ÷ 평균 총차입금(2025Q3~2026Q2)) (연율) ÷ 4
[interest]</t>
      </text>
    </comment>
    <comment ref="AI12" authorId="0" shapeId="0">
      <text>
        <t>추정: 이자발생자산 505억 × 5.88%(주석 이자수익 ÷ 평균 이자발생자산(2025Q3~2026Q2)) − 총차입금 250억 × 4.06%(주석 이자비용 ÷ 평균 총차입금(2025Q3~2026Q2)) (연율) ÷ 4
[interest]</t>
      </text>
    </comment>
    <comment ref="AK12" authorId="0" shapeId="0">
      <text>
        <t>추정: 이자발생자산 596억 × 5.88%(주석 이자수익 ÷ 평균 이자발생자산(2025Q3~2026Q2)) − 총차입금 250억 × 4.06%(주석 이자비용 ÷ 평균 총차입금(2025Q3~2026Q2)) (연율) ÷ 4
[interest]</t>
      </text>
    </comment>
    <comment ref="AL12" authorId="0" shapeId="0">
      <text>
        <t>추정: 이자발생자산 677억 × 5.88%(주석 이자수익 ÷ 평균 이자발생자산(2025Q3~2026Q2)) − 총차입금 250억 × 4.06%(주석 이자비용 ÷ 평균 총차입금(2025Q3~2026Q2)) (연율) ÷ 4
[interest]</t>
      </text>
    </comment>
    <comment ref="AM12" authorId="0" shapeId="0">
      <text>
        <t>추정: 이자발생자산 779억 × 5.88%(주석 이자수익 ÷ 평균 이자발생자산(2025Q3~2026Q2)) − 총차입금 250억 × 4.06%(주석 이자비용 ÷ 평균 총차입금(2025Q3~2026Q2)) (연율) ÷ 4
[interest]</t>
      </text>
    </comment>
    <comment ref="AN12" authorId="0" shapeId="0">
      <text>
        <t>추정: 이자발생자산 881억 × 5.88%(주석 이자수익 ÷ 평균 이자발생자산(2025Q3~2026Q2)) − 총차입금 250억 × 4.06%(주석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19.6%(최근 12분기 유효세율 19.6%(5~27% 안 — 그대로))
[tax]</t>
      </text>
    </comment>
    <comment ref="AD19" authorId="0" shapeId="0">
      <text>
        <t>추정: max(세전, 0) × 세율 19.6%(최근 12분기 유효세율 19.6%(5~27% 안 — 그대로))
[tax]</t>
      </text>
    </comment>
    <comment ref="AF19" authorId="0" shapeId="0">
      <text>
        <t>추정: max(세전, 0) × 세율 19.6%(최근 12분기 유효세율 19.6%(5~27% 안 — 그대로))
[tax]</t>
      </text>
    </comment>
    <comment ref="AG19" authorId="0" shapeId="0">
      <text>
        <t>추정: max(세전, 0) × 세율 19.6%(최근 12분기 유효세율 19.6%(5~27% 안 — 그대로))
[tax]</t>
      </text>
    </comment>
    <comment ref="AH19" authorId="0" shapeId="0">
      <text>
        <t>추정: max(세전, 0) × 세율 19.6%(최근 12분기 유효세율 19.6%(5~27% 안 — 그대로))
[tax]</t>
      </text>
    </comment>
    <comment ref="AI19" authorId="0" shapeId="0">
      <text>
        <t>추정: max(세전, 0) × 세율 19.6%(최근 12분기 유효세율 19.6%(5~27% 안 — 그대로))
[tax]</t>
      </text>
    </comment>
    <comment ref="AK19" authorId="0" shapeId="0">
      <text>
        <t>추정: max(세전, 0) × 세율 19.6%(최근 12분기 유효세율 19.6%(5~27% 안 — 그대로))
[tax]</t>
      </text>
    </comment>
    <comment ref="AL19" authorId="0" shapeId="0">
      <text>
        <t>추정: max(세전, 0) × 세율 19.6%(최근 12분기 유효세율 19.6%(5~27% 안 — 그대로))
[tax]</t>
      </text>
    </comment>
    <comment ref="AM19" authorId="0" shapeId="0">
      <text>
        <t>추정: max(세전, 0) × 세율 19.6%(최근 12분기 유효세율 19.6%(5~27% 안 — 그대로))
[tax]</t>
      </text>
    </comment>
    <comment ref="AN19" authorId="0" shapeId="0">
      <text>
        <t>추정: max(세전, 0) × 세율 19.6%(최근 12분기 유효세율 19.6%(5~27%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19.61% · 근거: 최근 12분기 유효세율 19.6%(5~27% 안 — 그대로)</t>
        </is>
      </c>
    </row>
    <row r="23">
      <c r="A23" t="inlineStr">
        <is>
          <t>· 판관비율 5.62%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5.88% / 부채 4.06% — 이자손익 = (전분기 이자발생자산 × 자산이자율 − 전분기 총차입금 × 부채이자율)/4, 최소자승 역산(모델 assumptions [0.0588, 0.0406]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12.1/13.4/17.4배(hist_quarterly(분기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assets/models/014940.json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-1/-1/+1/+1(중위 +0억) → 추정 2026Q3 -1억(차 -1억, -1692%)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8.6, "op_wape_pct": 29.9, "n": 4, "note": "단일 회사 4분기 — 통계 아님", "driver_at_freeze": "customer_yard_revenue_weighted", "selection_oos_at_freeze": {"freeze": "2024Q2", "n": 4, "wape_link": 14.5, "wape_trend": 13.2,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20" t="n">
        <v>4590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20" t="n">
        <v>4630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20" t="n">
        <v>4390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20" t="n">
        <v>4537.5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0.240359799</v>
      </c>
      <c r="AD21" s="24" t="n">
        <v>0.410313967</v>
      </c>
      <c r="AE21" s="25" t="n"/>
      <c r="AF21" s="24" t="n">
        <v>0.113508687</v>
      </c>
      <c r="AG21" s="24" t="n">
        <v>0.283042732</v>
      </c>
      <c r="AH21" s="24" t="n">
        <v>0.15052352</v>
      </c>
      <c r="AI21" s="24" t="n">
        <v>0.164155226</v>
      </c>
      <c r="AJ21" s="25" t="n"/>
      <c r="AK21" s="24" t="n">
        <v>0.180898286</v>
      </c>
      <c r="AL21" s="24" t="n">
        <v>0.212399436</v>
      </c>
      <c r="AM21" s="24" t="n">
        <v>0.218492969</v>
      </c>
      <c r="AN21" s="24" t="n">
        <v>0.200230217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0.131353216</v>
      </c>
      <c r="AD23" s="24" t="n">
        <v>0.131351529</v>
      </c>
      <c r="AE23" s="25">
        <f>IFERROR(subQ!AE9/subQ!AE5,"")</f>
        <v/>
      </c>
      <c r="AF23" s="24" t="n">
        <v>0.131354112</v>
      </c>
      <c r="AG23" s="24" t="n">
        <v>0.131347299</v>
      </c>
      <c r="AH23" s="24" t="n">
        <v>0.131347838</v>
      </c>
      <c r="AI23" s="24" t="n">
        <v>0.13134125</v>
      </c>
      <c r="AJ23" s="25">
        <f>IFERROR(subQ!AJ9/subQ!AJ5,"")</f>
        <v/>
      </c>
      <c r="AK23" s="24" t="n">
        <v>0.131347426</v>
      </c>
      <c r="AL23" s="24" t="n">
        <v>0.13134621</v>
      </c>
      <c r="AM23" s="24" t="n">
        <v>0.131344584</v>
      </c>
      <c r="AN23" s="24" t="n">
        <v>0.131351288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-2.88</v>
      </c>
      <c r="AD28" s="30" t="n">
        <v>-2.88</v>
      </c>
      <c r="AE28" s="31">
        <f>subQ!AE17</f>
        <v/>
      </c>
      <c r="AF28" s="30" t="n">
        <v>-2.88</v>
      </c>
      <c r="AG28" s="30" t="n">
        <v>-2.88</v>
      </c>
      <c r="AH28" s="30" t="n">
        <v>-2.88</v>
      </c>
      <c r="AI28" s="30" t="n">
        <v>-2.88</v>
      </c>
      <c r="AJ28" s="31">
        <f>subQ!AJ17</f>
        <v/>
      </c>
      <c r="AK28" s="30" t="n">
        <v>-2.88</v>
      </c>
      <c r="AL28" s="30" t="n">
        <v>-2.88</v>
      </c>
      <c r="AM28" s="30" t="n">
        <v>-2.88</v>
      </c>
      <c r="AN28" s="30" t="n">
        <v>-2.88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3.345e-06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0.005606275</v>
      </c>
      <c r="AD33" s="30" t="n">
        <v>-0.008337078</v>
      </c>
      <c r="AE33" s="31" t="n"/>
      <c r="AF33" s="30" t="n">
        <v>0.008295912000000001</v>
      </c>
      <c r="AG33" s="30" t="n">
        <v>-0.011181375</v>
      </c>
      <c r="AH33" s="30" t="n">
        <v>0.006809397</v>
      </c>
      <c r="AI33" s="30" t="n">
        <v>-0.006377216</v>
      </c>
      <c r="AJ33" s="31" t="n"/>
      <c r="AK33" s="30" t="n">
        <v>-0.005065187</v>
      </c>
      <c r="AL33" s="30" t="n">
        <v>0.0008242189999999999</v>
      </c>
      <c r="AM33" s="30" t="n">
        <v>-0.004516325</v>
      </c>
      <c r="AN33" s="30" t="n">
        <v>-0.003636207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0.005606275</v>
      </c>
      <c r="AD34" s="30" t="n">
        <v>-0.008337078</v>
      </c>
      <c r="AE34" s="31" t="n"/>
      <c r="AF34" s="30" t="n">
        <v>0.008295912000000001</v>
      </c>
      <c r="AG34" s="30" t="n">
        <v>-0.011181375</v>
      </c>
      <c r="AH34" s="30" t="n">
        <v>0.006809397</v>
      </c>
      <c r="AI34" s="30" t="n">
        <v>-0.006377216</v>
      </c>
      <c r="AJ34" s="31" t="n"/>
      <c r="AK34" s="30" t="n">
        <v>-0.005065187</v>
      </c>
      <c r="AL34" s="30" t="n">
        <v>0.0008242189999999999</v>
      </c>
      <c r="AM34" s="30" t="n">
        <v>-0.004516325</v>
      </c>
      <c r="AN34" s="30" t="n">
        <v>-0.003636207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-0.577145716</v>
      </c>
      <c r="AD36" s="24" t="n">
        <v>-1.546425637</v>
      </c>
      <c r="AE36" s="25" t="n"/>
      <c r="AF36" s="24" t="n">
        <v>2.454887218</v>
      </c>
      <c r="AG36" s="24" t="n">
        <v>0.876605005</v>
      </c>
      <c r="AH36" s="24" t="n">
        <v>0.465383277</v>
      </c>
      <c r="AI36" s="24" t="n">
        <v>0.362100348</v>
      </c>
      <c r="AJ36" s="25" t="n"/>
      <c r="AK36" s="24" t="n">
        <v>0.235511141</v>
      </c>
      <c r="AL36" s="24" t="n">
        <v>0.239054785</v>
      </c>
      <c r="AM36" s="24" t="n">
        <v>0.193255783</v>
      </c>
      <c r="AN36" s="24" t="n">
        <v>0.181231215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0.485834779</v>
      </c>
      <c r="AD37" s="24" t="n">
        <v>0.370386773</v>
      </c>
      <c r="AE37" s="25" t="n"/>
      <c r="AF37" s="24" t="n">
        <v>0.234514704</v>
      </c>
      <c r="AG37" s="24" t="n">
        <v>0.23432228</v>
      </c>
      <c r="AH37" s="24" t="n">
        <v>0.189131869</v>
      </c>
      <c r="AI37" s="24" t="n">
        <v>0.181344378</v>
      </c>
      <c r="AJ37" s="25" t="n"/>
      <c r="AK37" s="24" t="n">
        <v>0.135977052</v>
      </c>
      <c r="AL37" s="24" t="n">
        <v>0.150149884</v>
      </c>
      <c r="AM37" s="24" t="n">
        <v>0.130753528</v>
      </c>
      <c r="AN37" s="24" t="n">
        <v>0.129384247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0.473758615</v>
      </c>
      <c r="AD39" s="24" t="n">
        <v>-0.925158567</v>
      </c>
      <c r="AE39" s="25" t="n"/>
      <c r="AF39" s="24" t="n">
        <v>1.178341953</v>
      </c>
      <c r="AG39" s="24" t="n">
        <v>-0.244305105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4590</v>
      </c>
      <c r="E45" s="2" t="inlineStr">
        <is>
          <t>원 — 네이버 정규장 종가(aik 확정종가 대조 · aik 4,500원)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20261002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12.1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13.4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17.4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0.1960773289102546</v>
      </c>
      <c r="E52" s="2" t="inlineStr">
        <is>
          <t>연결 — 법인세 = MAX(세전,0) × 세율(역산, 재현 오차 ≤ 0.05억 · 모델 assumptions 0.1961) · 최근 12분기 유효세율 19.6%(5~27%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0.05619025705410691</v>
      </c>
      <c r="E53" s="2" t="inlineStr">
        <is>
          <t>연결 — 판관비 = 매출액 × 판관비율(역산, 재현 오차 ≤ 0.05억 · 모델 assumptions 0.0562)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0.05880487019539181</v>
      </c>
      <c r="E55" s="2" t="inlineStr">
        <is>
          <t>연결 — 이자손익 = (전분기 이자발생자산 × 자산이자율 − 전분기 총차입금 × 부채이자율)/4(역산, 재현 오차 ≤ 0.05억 · 모델 assumptions 0.0588)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0.04059367867583755</v>
      </c>
      <c r="E56" s="2" t="inlineStr">
        <is>
          <t>연결 — 같은 수식의 부채 쪽(총차입금 행이 없으면 0)(역산, 재현 오차 ≤ 0.05억 · 모델 assumptions 0.0406)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7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7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7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7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7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7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7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7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7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7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7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7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7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7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7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7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7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7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7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7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7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7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7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7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7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7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7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7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7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7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7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7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7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7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7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7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7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7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7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7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7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7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7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7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7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7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7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7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7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7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7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7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7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7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7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7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7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7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7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7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7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7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7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7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7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7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7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7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7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7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7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7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7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7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7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7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7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7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7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7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7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7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7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7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7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7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7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7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7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7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7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7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7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7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7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7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7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7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7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7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7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7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7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7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7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7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7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7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7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7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7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7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7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7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7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7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7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7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7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7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7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7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7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7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7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7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7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7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7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7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7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7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7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7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7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7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7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7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7" t="n">
        <v>28000</v>
      </c>
      <c r="Q36" s="18" t="n">
        <v>27500</v>
      </c>
      <c r="R36" s="18" t="n">
        <v>0</v>
      </c>
      <c r="S36" s="18" t="n">
        <v>0</v>
      </c>
      <c r="T36" s="18" t="n">
        <v>0</v>
      </c>
      <c r="U36" s="37" t="n">
        <v>0</v>
      </c>
      <c r="Y36" s="18" t="n">
        <v>0</v>
      </c>
      <c r="Z36" s="37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7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7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7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7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7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7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7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7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7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7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7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7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7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7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7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7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7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7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7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7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7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7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7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7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7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7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7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7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7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7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7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7" t="n">
        <v>0</v>
      </c>
      <c r="J45" s="18" t="n">
        <v>0</v>
      </c>
      <c r="K45" s="37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7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7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7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7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7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7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7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7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7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7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7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7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7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7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7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7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7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7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7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7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7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7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7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7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7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7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7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7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7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7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62234.18</v>
      </c>
      <c r="F53" s="37" t="n">
        <v>62234.18</v>
      </c>
      <c r="G53" s="18" t="n">
        <v>57197.61</v>
      </c>
      <c r="H53" s="18" t="n">
        <v>56791.76</v>
      </c>
      <c r="I53" s="18" t="n">
        <v>56384.93</v>
      </c>
      <c r="J53" s="18" t="n">
        <v>55712.44</v>
      </c>
      <c r="K53" s="37" t="n">
        <v>55712.44</v>
      </c>
      <c r="L53" s="18" t="n">
        <v>55300.1</v>
      </c>
      <c r="M53" s="18" t="n">
        <v>54881.56</v>
      </c>
      <c r="N53" s="18" t="n">
        <v>51500</v>
      </c>
      <c r="O53" s="18" t="n">
        <v>52500</v>
      </c>
      <c r="P53" s="37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7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7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43157.57</v>
      </c>
      <c r="F54" s="37" t="n">
        <v>43157.57</v>
      </c>
      <c r="G54" s="18" t="n">
        <v>39921.11</v>
      </c>
      <c r="H54" s="18" t="n">
        <v>37701.37</v>
      </c>
      <c r="I54" s="18" t="n">
        <v>36160.47</v>
      </c>
      <c r="J54" s="18" t="n">
        <v>32671.14</v>
      </c>
      <c r="K54" s="37" t="n">
        <v>32671.14</v>
      </c>
      <c r="L54" s="18" t="n">
        <v>35663.9</v>
      </c>
      <c r="M54" s="18" t="n">
        <v>30384.59</v>
      </c>
      <c r="N54" s="18" t="n">
        <v>41693.26</v>
      </c>
      <c r="O54" s="18" t="n">
        <v>40369.17</v>
      </c>
      <c r="P54" s="37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7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7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7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7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7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7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7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E56" s="18" t="n">
        <v>1632.15</v>
      </c>
      <c r="F56" s="37" t="n">
        <v>1632.15</v>
      </c>
      <c r="G56" s="18" t="n">
        <v>49146.33</v>
      </c>
      <c r="H56" s="18" t="n">
        <v>49159.72</v>
      </c>
      <c r="I56" s="18" t="n">
        <v>49169.12</v>
      </c>
      <c r="J56" s="18" t="n">
        <v>19684.05</v>
      </c>
      <c r="K56" s="37" t="n">
        <v>19684.05</v>
      </c>
      <c r="L56" s="18" t="n">
        <v>1709</v>
      </c>
      <c r="M56" s="18" t="n">
        <v>1732.84</v>
      </c>
      <c r="O56" s="18" t="n">
        <v>1500</v>
      </c>
      <c r="P56" s="37" t="n">
        <v>1500</v>
      </c>
      <c r="Q56" s="18" t="n">
        <v>2000</v>
      </c>
      <c r="R56" s="18" t="n">
        <v>0</v>
      </c>
      <c r="S56" s="18" t="n">
        <v>0</v>
      </c>
      <c r="T56" s="18" t="n">
        <v>0</v>
      </c>
      <c r="U56" s="37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23000</v>
      </c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0</v>
      </c>
      <c r="T60" s="18" t="n">
        <v>0</v>
      </c>
      <c r="U60" s="37" t="n">
        <v>0</v>
      </c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T61" s="18" t="n">
        <v>155.64</v>
      </c>
      <c r="U61" s="37" t="n">
        <v>155.64</v>
      </c>
      <c r="V61" s="18" t="n">
        <v>104.5</v>
      </c>
      <c r="W61" s="18" t="n">
        <v>0</v>
      </c>
      <c r="X61" s="18" t="n">
        <v>0</v>
      </c>
      <c r="Y61" s="18" t="n">
        <v>0</v>
      </c>
      <c r="Z61" s="37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28703.88</v>
      </c>
      <c r="F62" s="9" t="n"/>
      <c r="G62" s="18" t="n">
        <v>32359.2</v>
      </c>
      <c r="H62" s="18" t="n">
        <v>36067.54</v>
      </c>
      <c r="I62" s="18" t="n">
        <v>30491.74</v>
      </c>
      <c r="J62" s="18" t="n">
        <v>32649.54</v>
      </c>
      <c r="K62" s="37" t="n">
        <v>131568.02</v>
      </c>
      <c r="L62" s="18" t="n">
        <v>32778.49</v>
      </c>
      <c r="M62" s="18" t="n">
        <v>43012.3</v>
      </c>
      <c r="N62" s="18" t="n">
        <v>37846.16</v>
      </c>
      <c r="O62" s="18" t="n">
        <v>43895.77</v>
      </c>
      <c r="P62" s="37" t="n">
        <v>157532.72</v>
      </c>
      <c r="Q62" s="18" t="n">
        <v>43114.87</v>
      </c>
      <c r="R62" s="18" t="n">
        <v>55166.38</v>
      </c>
      <c r="S62" s="18" t="n">
        <v>52216.5</v>
      </c>
      <c r="T62" s="18" t="n">
        <v>56807.56</v>
      </c>
      <c r="U62" s="37" t="n">
        <v>207305.31</v>
      </c>
      <c r="V62" s="18" t="n">
        <v>51042.98</v>
      </c>
      <c r="W62" s="18" t="n">
        <v>51535.9</v>
      </c>
      <c r="X62" s="18" t="n">
        <v>52821.77</v>
      </c>
      <c r="Y62" s="18" t="n">
        <v>51855.12</v>
      </c>
      <c r="Z62" s="37" t="n">
        <v>207255.77</v>
      </c>
      <c r="AA62" s="18" t="n">
        <v>56445.9</v>
      </c>
      <c r="AB62" s="19" t="n">
        <v>59676.89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26509.8</v>
      </c>
      <c r="F63" s="9" t="n"/>
      <c r="G63" s="18" t="n">
        <v>29068.94</v>
      </c>
      <c r="H63" s="18" t="n">
        <v>29141.37</v>
      </c>
      <c r="I63" s="18" t="n">
        <v>26719.38</v>
      </c>
      <c r="J63" s="18" t="n">
        <v>29077.43</v>
      </c>
      <c r="K63" s="37" t="n">
        <v>114007.12</v>
      </c>
      <c r="L63" s="18" t="n">
        <v>28120.59</v>
      </c>
      <c r="M63" s="18" t="n">
        <v>35754.67</v>
      </c>
      <c r="N63" s="18" t="n">
        <v>32558.75</v>
      </c>
      <c r="O63" s="18" t="n">
        <v>38407.05</v>
      </c>
      <c r="P63" s="37" t="n">
        <v>134841.06</v>
      </c>
      <c r="Q63" s="18" t="n">
        <v>36393.95</v>
      </c>
      <c r="R63" s="18" t="n">
        <v>43476.7</v>
      </c>
      <c r="S63" s="18" t="n">
        <v>39667.56</v>
      </c>
      <c r="T63" s="18" t="n">
        <v>47977.91</v>
      </c>
      <c r="U63" s="37" t="n">
        <v>167516.12</v>
      </c>
      <c r="V63" s="18" t="n">
        <v>40199.67</v>
      </c>
      <c r="W63" s="18" t="n">
        <v>42273.82</v>
      </c>
      <c r="X63" s="18" t="n">
        <v>43411.18</v>
      </c>
      <c r="Y63" s="18" t="n">
        <v>45180.91</v>
      </c>
      <c r="Z63" s="37" t="n">
        <v>171065.58</v>
      </c>
      <c r="AA63" s="18" t="n">
        <v>45437.28</v>
      </c>
      <c r="AB63" s="19" t="n">
        <v>47543.89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2194.08</v>
      </c>
      <c r="F64" s="9" t="n"/>
      <c r="G64" s="18" t="n">
        <v>3290.26</v>
      </c>
      <c r="H64" s="18" t="n">
        <v>6926.17</v>
      </c>
      <c r="I64" s="18" t="n">
        <v>3772.36</v>
      </c>
      <c r="J64" s="18" t="n">
        <v>3572.11</v>
      </c>
      <c r="K64" s="37" t="n">
        <v>17560.9</v>
      </c>
      <c r="L64" s="18" t="n">
        <v>4657.9</v>
      </c>
      <c r="M64" s="18" t="n">
        <v>7257.63</v>
      </c>
      <c r="N64" s="18" t="n">
        <v>5287.41</v>
      </c>
      <c r="O64" s="18" t="n">
        <v>5488.72</v>
      </c>
      <c r="P64" s="37" t="n">
        <v>22691.66</v>
      </c>
      <c r="Q64" s="18" t="n">
        <v>6720.92</v>
      </c>
      <c r="R64" s="18" t="n">
        <v>11689.67</v>
      </c>
      <c r="S64" s="18" t="n">
        <v>12548.94</v>
      </c>
      <c r="T64" s="18" t="n">
        <v>8829.65</v>
      </c>
      <c r="U64" s="37" t="n">
        <v>39789.18</v>
      </c>
      <c r="V64" s="18" t="n">
        <v>10843.31</v>
      </c>
      <c r="W64" s="18" t="n">
        <v>9262.08</v>
      </c>
      <c r="X64" s="18" t="n">
        <v>9410.59</v>
      </c>
      <c r="Y64" s="18" t="n">
        <v>6674.21</v>
      </c>
      <c r="Z64" s="37" t="n">
        <v>36190.19</v>
      </c>
      <c r="AA64" s="18" t="n">
        <v>11008.62</v>
      </c>
      <c r="AB64" s="19" t="n">
        <v>12133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2444.45</v>
      </c>
      <c r="F65" s="9" t="n"/>
      <c r="G65" s="18" t="n">
        <v>1924.13</v>
      </c>
      <c r="H65" s="18" t="n">
        <v>2055.31</v>
      </c>
      <c r="I65" s="18" t="n">
        <v>2139.68</v>
      </c>
      <c r="J65" s="18" t="n">
        <v>2261.61</v>
      </c>
      <c r="K65" s="37" t="n">
        <v>8380.73</v>
      </c>
      <c r="L65" s="18" t="n">
        <v>2165.4</v>
      </c>
      <c r="M65" s="18" t="n">
        <v>2402.78</v>
      </c>
      <c r="N65" s="18" t="n">
        <v>2277.73</v>
      </c>
      <c r="O65" s="18" t="n">
        <v>3082.37</v>
      </c>
      <c r="P65" s="37" t="n">
        <v>9928.280000000001</v>
      </c>
      <c r="Q65" s="18" t="n">
        <v>2523.25</v>
      </c>
      <c r="R65" s="18" t="n">
        <v>4798.82</v>
      </c>
      <c r="S65" s="18" t="n">
        <v>2850.61</v>
      </c>
      <c r="T65" s="18" t="n">
        <v>4748.91</v>
      </c>
      <c r="U65" s="37" t="n">
        <v>14921.59</v>
      </c>
      <c r="V65" s="18" t="n">
        <v>2646.42</v>
      </c>
      <c r="W65" s="18" t="n">
        <v>3023.35</v>
      </c>
      <c r="X65" s="18" t="n">
        <v>3002.96</v>
      </c>
      <c r="Y65" s="18" t="n">
        <v>3239.03</v>
      </c>
      <c r="Z65" s="37" t="n">
        <v>11911.76</v>
      </c>
      <c r="AA65" s="18" t="n">
        <v>3027.99</v>
      </c>
      <c r="AB65" s="19" t="n">
        <v>3313.72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-250.36</v>
      </c>
      <c r="F66" s="9" t="n"/>
      <c r="G66" s="18" t="n">
        <v>1366.14</v>
      </c>
      <c r="H66" s="18" t="n">
        <v>4870.87</v>
      </c>
      <c r="I66" s="18" t="n">
        <v>1632.68</v>
      </c>
      <c r="J66" s="18" t="n">
        <v>1310.5</v>
      </c>
      <c r="K66" s="37" t="n">
        <v>9180.190000000001</v>
      </c>
      <c r="L66" s="18" t="n">
        <v>2492.5</v>
      </c>
      <c r="M66" s="18" t="n">
        <v>4854.85</v>
      </c>
      <c r="N66" s="18" t="n">
        <v>3009.69</v>
      </c>
      <c r="O66" s="18" t="n">
        <v>2406.36</v>
      </c>
      <c r="P66" s="37" t="n">
        <v>12763.4</v>
      </c>
      <c r="Q66" s="18" t="n">
        <v>4197.66</v>
      </c>
      <c r="R66" s="18" t="n">
        <v>6890.85</v>
      </c>
      <c r="S66" s="18" t="n">
        <v>9698.32</v>
      </c>
      <c r="T66" s="18" t="n">
        <v>4080.74</v>
      </c>
      <c r="U66" s="37" t="n">
        <v>24867.57</v>
      </c>
      <c r="V66" s="18" t="n">
        <v>8196.889999999999</v>
      </c>
      <c r="W66" s="18" t="n">
        <v>6238.73</v>
      </c>
      <c r="X66" s="18" t="n">
        <v>6407.63</v>
      </c>
      <c r="Y66" s="18" t="n">
        <v>3435.18</v>
      </c>
      <c r="Z66" s="37" t="n">
        <v>24278.43</v>
      </c>
      <c r="AA66" s="18" t="n">
        <v>7980.64</v>
      </c>
      <c r="AB66" s="19" t="n">
        <v>8819.280000000001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101.68</v>
      </c>
      <c r="F67" s="9" t="n"/>
      <c r="G67" s="18" t="n">
        <v>84.76000000000001</v>
      </c>
      <c r="H67" s="18" t="n">
        <v>94.78</v>
      </c>
      <c r="I67" s="18" t="n">
        <v>116.16</v>
      </c>
      <c r="J67" s="18" t="n">
        <v>427.68</v>
      </c>
      <c r="K67" s="37" t="n">
        <v>723.38</v>
      </c>
      <c r="L67" s="18" t="n">
        <v>271.51</v>
      </c>
      <c r="M67" s="18" t="n">
        <v>188.52</v>
      </c>
      <c r="N67" s="18" t="n">
        <v>282.8</v>
      </c>
      <c r="O67" s="18" t="n">
        <v>260.3</v>
      </c>
      <c r="P67" s="37" t="n">
        <v>1003.13</v>
      </c>
      <c r="Q67" s="18" t="n">
        <v>500.63</v>
      </c>
      <c r="R67" s="18" t="n">
        <v>294.81</v>
      </c>
      <c r="S67" s="18" t="n">
        <v>319.02</v>
      </c>
      <c r="T67" s="18" t="n">
        <v>470.88</v>
      </c>
      <c r="U67" s="37" t="n">
        <v>1585.34</v>
      </c>
      <c r="V67" s="18" t="n">
        <v>324.91</v>
      </c>
      <c r="W67" s="18" t="n">
        <v>343.13</v>
      </c>
      <c r="X67" s="18" t="n">
        <v>260.27</v>
      </c>
      <c r="Y67" s="18" t="n">
        <v>318.41</v>
      </c>
      <c r="Z67" s="37" t="n">
        <v>1246.72</v>
      </c>
      <c r="AA67" s="18" t="n">
        <v>503.92</v>
      </c>
      <c r="AB67" s="19" t="n">
        <v>403.25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683.23</v>
      </c>
      <c r="F68" s="9" t="n"/>
      <c r="G68" s="18" t="n">
        <v>622.03</v>
      </c>
      <c r="H68" s="18" t="n">
        <v>514.1799999999999</v>
      </c>
      <c r="I68" s="18" t="n">
        <v>557.12</v>
      </c>
      <c r="J68" s="18" t="n">
        <v>930.6900000000001</v>
      </c>
      <c r="K68" s="37" t="n">
        <v>2624.02</v>
      </c>
      <c r="L68" s="18" t="n">
        <v>751.5</v>
      </c>
      <c r="M68" s="18" t="n">
        <v>827.42</v>
      </c>
      <c r="N68" s="18" t="n">
        <v>915.4400000000001</v>
      </c>
      <c r="O68" s="18" t="n">
        <v>1110.81</v>
      </c>
      <c r="P68" s="37" t="n">
        <v>3605.17</v>
      </c>
      <c r="Q68" s="18" t="n">
        <v>727.8099999999999</v>
      </c>
      <c r="R68" s="18" t="n">
        <v>655.25</v>
      </c>
      <c r="S68" s="18" t="n">
        <v>635.87</v>
      </c>
      <c r="T68" s="18" t="n">
        <v>740.74</v>
      </c>
      <c r="U68" s="37" t="n">
        <v>2759.67</v>
      </c>
      <c r="V68" s="18" t="n">
        <v>567.95</v>
      </c>
      <c r="W68" s="18" t="n">
        <v>476.73</v>
      </c>
      <c r="X68" s="18" t="n">
        <v>361.58</v>
      </c>
      <c r="Y68" s="18" t="n">
        <v>410.92</v>
      </c>
      <c r="Z68" s="37" t="n">
        <v>1817.18</v>
      </c>
      <c r="AA68" s="18" t="n">
        <v>398.18</v>
      </c>
      <c r="AB68" s="19" t="n">
        <v>304.08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7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7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7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-157.17</v>
      </c>
      <c r="F70" s="9" t="n"/>
      <c r="G70" s="18" t="n">
        <v>-70.97</v>
      </c>
      <c r="H70" s="18" t="n">
        <v>-28.21</v>
      </c>
      <c r="I70" s="18" t="n">
        <v>-88.86</v>
      </c>
      <c r="J70" s="18" t="n">
        <v>-1516.68</v>
      </c>
      <c r="K70" s="37" t="n">
        <v>-1704.72</v>
      </c>
      <c r="L70" s="18" t="n">
        <v>-137.36</v>
      </c>
      <c r="M70" s="18" t="n">
        <v>79.13</v>
      </c>
      <c r="N70" s="18" t="n">
        <v>-39.29</v>
      </c>
      <c r="O70" s="18" t="n">
        <v>133.41</v>
      </c>
      <c r="P70" s="37" t="n">
        <v>35.89</v>
      </c>
      <c r="Q70" s="18" t="n">
        <v>-89.77</v>
      </c>
      <c r="R70" s="18" t="n">
        <v>-506.98</v>
      </c>
      <c r="S70" s="18" t="n">
        <v>-331.73</v>
      </c>
      <c r="T70" s="18" t="n">
        <v>-418.24</v>
      </c>
      <c r="U70" s="37" t="n">
        <v>-1346.72</v>
      </c>
      <c r="V70" s="18" t="n">
        <v>-243.75</v>
      </c>
      <c r="Z70" s="9" t="n"/>
      <c r="AB70" s="19" t="n">
        <v>279.54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1039.11</v>
      </c>
      <c r="F71" s="9" t="n"/>
      <c r="G71" s="18" t="n">
        <v>740.89</v>
      </c>
      <c r="H71" s="18" t="n">
        <v>2069.54</v>
      </c>
      <c r="I71" s="18" t="n">
        <v>508.01</v>
      </c>
      <c r="J71" s="18" t="n">
        <v>338.57</v>
      </c>
      <c r="K71" s="37" t="n">
        <v>3657.01</v>
      </c>
      <c r="L71" s="18" t="n">
        <v>471.66</v>
      </c>
      <c r="M71" s="18" t="n">
        <v>472.48</v>
      </c>
      <c r="N71" s="18" t="n">
        <v>454.94</v>
      </c>
      <c r="O71" s="18" t="n">
        <v>471.37</v>
      </c>
      <c r="P71" s="37" t="n">
        <v>1870.45</v>
      </c>
      <c r="Q71" s="18" t="n">
        <v>484.17</v>
      </c>
      <c r="R71" s="18" t="n">
        <v>534.37</v>
      </c>
      <c r="S71" s="18" t="n">
        <v>419.22</v>
      </c>
      <c r="T71" s="18" t="n">
        <v>675.66</v>
      </c>
      <c r="U71" s="37" t="n">
        <v>2113.42</v>
      </c>
      <c r="V71" s="18" t="n">
        <v>448.88</v>
      </c>
      <c r="W71" s="18" t="n">
        <v>1538.5</v>
      </c>
      <c r="X71" s="18" t="n">
        <v>3364.6</v>
      </c>
      <c r="Y71" s="18" t="n">
        <v>676.13</v>
      </c>
      <c r="Z71" s="37" t="n">
        <v>6028.11</v>
      </c>
      <c r="AA71" s="18" t="n">
        <v>703.26</v>
      </c>
      <c r="AB71" s="19" t="n">
        <v>740.76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129.73</v>
      </c>
      <c r="F72" s="9" t="n"/>
      <c r="G72" s="18" t="n">
        <v>55.63</v>
      </c>
      <c r="H72" s="18" t="n">
        <v>65.26000000000001</v>
      </c>
      <c r="I72" s="18" t="n">
        <v>112.97</v>
      </c>
      <c r="J72" s="18" t="n">
        <v>257.87</v>
      </c>
      <c r="K72" s="37" t="n">
        <v>491.73</v>
      </c>
      <c r="L72" s="18" t="n">
        <v>85.08</v>
      </c>
      <c r="M72" s="18" t="n">
        <v>107.99</v>
      </c>
      <c r="N72" s="18" t="n">
        <v>136.43</v>
      </c>
      <c r="O72" s="18" t="n">
        <v>2649.09</v>
      </c>
      <c r="P72" s="37" t="n">
        <v>2978.59</v>
      </c>
      <c r="Q72" s="18" t="n">
        <v>146.81</v>
      </c>
      <c r="R72" s="18" t="n">
        <v>807.3099999999999</v>
      </c>
      <c r="S72" s="18" t="n">
        <v>231.18</v>
      </c>
      <c r="T72" s="18" t="n">
        <v>386.68</v>
      </c>
      <c r="U72" s="37" t="n">
        <v>1571.98</v>
      </c>
      <c r="V72" s="18" t="n">
        <v>81.18000000000001</v>
      </c>
      <c r="W72" s="18" t="n">
        <v>255.31</v>
      </c>
      <c r="X72" s="18" t="n">
        <v>1258.31</v>
      </c>
      <c r="Y72" s="18" t="n">
        <v>228.92</v>
      </c>
      <c r="Z72" s="37" t="n">
        <v>1823.72</v>
      </c>
      <c r="AA72" s="18" t="n">
        <v>149.27</v>
      </c>
      <c r="AB72" s="19" t="n">
        <v>277.06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-79.70999999999999</v>
      </c>
      <c r="F73" s="9" t="n"/>
      <c r="G73" s="18" t="n">
        <v>1443.16</v>
      </c>
      <c r="H73" s="18" t="n">
        <v>6427.53</v>
      </c>
      <c r="I73" s="18" t="n">
        <v>1497.9</v>
      </c>
      <c r="J73" s="18" t="n">
        <v>-628.49</v>
      </c>
      <c r="K73" s="37" t="n">
        <v>8740.1</v>
      </c>
      <c r="L73" s="18" t="n">
        <v>2261.74</v>
      </c>
      <c r="M73" s="18" t="n">
        <v>4659.59</v>
      </c>
      <c r="N73" s="18" t="n">
        <v>2656.27</v>
      </c>
      <c r="O73" s="18" t="n">
        <v>-560.25</v>
      </c>
      <c r="P73" s="37" t="n">
        <v>9017.35</v>
      </c>
      <c r="Q73" s="18" t="n">
        <v>4397.61</v>
      </c>
      <c r="R73" s="18" t="n">
        <v>6764.46</v>
      </c>
      <c r="S73" s="18" t="n">
        <v>9901.25</v>
      </c>
      <c r="T73" s="18" t="n">
        <v>4518.11</v>
      </c>
      <c r="U73" s="37" t="n">
        <v>25581.43</v>
      </c>
      <c r="V73" s="18" t="n">
        <v>8565.309999999999</v>
      </c>
      <c r="W73" s="18" t="n">
        <v>7665.31</v>
      </c>
      <c r="X73" s="18" t="n">
        <v>8669.57</v>
      </c>
      <c r="Y73" s="18" t="n">
        <v>4012.19</v>
      </c>
      <c r="Z73" s="37" t="n">
        <v>28912.38</v>
      </c>
      <c r="AA73" s="18" t="n">
        <v>8834.01</v>
      </c>
      <c r="AB73" s="19" t="n">
        <v>9661.700000000001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367.76</v>
      </c>
      <c r="F74" s="9" t="n"/>
      <c r="G74" s="18" t="n">
        <v>243.77</v>
      </c>
      <c r="H74" s="18" t="n">
        <v>342.32</v>
      </c>
      <c r="I74" s="18" t="n">
        <v>113.18</v>
      </c>
      <c r="J74" s="18" t="n">
        <v>-330.91</v>
      </c>
      <c r="K74" s="37" t="n">
        <v>368.36</v>
      </c>
      <c r="L74" s="18" t="n">
        <v>63.03</v>
      </c>
      <c r="M74" s="18" t="n">
        <v>176.74</v>
      </c>
      <c r="N74" s="18" t="n">
        <v>80.73999999999999</v>
      </c>
      <c r="O74" s="18" t="n">
        <v>-212.01</v>
      </c>
      <c r="P74" s="37" t="n">
        <v>108.5</v>
      </c>
      <c r="Q74" s="18" t="n">
        <v>320.24</v>
      </c>
      <c r="R74" s="18" t="n">
        <v>83.66</v>
      </c>
      <c r="S74" s="18" t="n">
        <v>1884.93</v>
      </c>
      <c r="T74" s="18" t="n">
        <v>-2760.86</v>
      </c>
      <c r="U74" s="37" t="n">
        <v>-472.03</v>
      </c>
      <c r="V74" s="18" t="n">
        <v>1653.37</v>
      </c>
      <c r="W74" s="18" t="n">
        <v>3561.91</v>
      </c>
      <c r="X74" s="18" t="n">
        <v>2797.76</v>
      </c>
      <c r="Y74" s="18" t="n">
        <v>1756.83</v>
      </c>
      <c r="Z74" s="37" t="n">
        <v>9769.870000000001</v>
      </c>
      <c r="AA74" s="18" t="n">
        <v>2678.25</v>
      </c>
      <c r="AB74" s="19" t="n">
        <v>2877.51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-447.47</v>
      </c>
      <c r="F75" s="9" t="n"/>
      <c r="G75" s="18" t="n">
        <v>1199.39</v>
      </c>
      <c r="H75" s="18" t="n">
        <v>6085.21</v>
      </c>
      <c r="I75" s="18" t="n">
        <v>1384.72</v>
      </c>
      <c r="J75" s="18" t="n">
        <v>-297.59</v>
      </c>
      <c r="K75" s="37" t="n">
        <v>8371.73</v>
      </c>
      <c r="L75" s="18" t="n">
        <v>2198.71</v>
      </c>
      <c r="M75" s="18" t="n">
        <v>4482.86</v>
      </c>
      <c r="N75" s="18" t="n">
        <v>2575.53</v>
      </c>
      <c r="O75" s="18" t="n">
        <v>-348.24</v>
      </c>
      <c r="P75" s="37" t="n">
        <v>8908.860000000001</v>
      </c>
      <c r="Q75" s="18" t="n">
        <v>4077.37</v>
      </c>
      <c r="R75" s="18" t="n">
        <v>6680.8</v>
      </c>
      <c r="S75" s="18" t="n">
        <v>8016.33</v>
      </c>
      <c r="T75" s="18" t="n">
        <v>7278.97</v>
      </c>
      <c r="U75" s="37" t="n">
        <v>26053.47</v>
      </c>
      <c r="V75" s="18" t="n">
        <v>6911.93</v>
      </c>
      <c r="W75" s="18" t="n">
        <v>4103.4</v>
      </c>
      <c r="X75" s="18" t="n">
        <v>5871.81</v>
      </c>
      <c r="Y75" s="18" t="n">
        <v>2255.36</v>
      </c>
      <c r="Z75" s="37" t="n">
        <v>19142.5</v>
      </c>
      <c r="AA75" s="18" t="n">
        <v>6155.76</v>
      </c>
      <c r="AB75" s="19" t="n">
        <v>6784.19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M76" s="18" t="n">
        <v>0</v>
      </c>
      <c r="N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-447.47</v>
      </c>
      <c r="F77" s="9" t="n"/>
      <c r="G77" s="18" t="n">
        <v>1199.39</v>
      </c>
      <c r="H77" s="18" t="n">
        <v>6085.21</v>
      </c>
      <c r="I77" s="18" t="n">
        <v>1384.72</v>
      </c>
      <c r="J77" s="18" t="n">
        <v>-297.59</v>
      </c>
      <c r="K77" s="37" t="n">
        <v>8371.73</v>
      </c>
      <c r="L77" s="18" t="n">
        <v>2198.71</v>
      </c>
      <c r="M77" s="18" t="n">
        <v>4482.86</v>
      </c>
      <c r="N77" s="18" t="n">
        <v>2575.53</v>
      </c>
      <c r="O77" s="18" t="n">
        <v>-348.24</v>
      </c>
      <c r="P77" s="37" t="n">
        <v>8908.860000000001</v>
      </c>
      <c r="Q77" s="18" t="n">
        <v>4077.37</v>
      </c>
      <c r="R77" s="18" t="n">
        <v>6680.8</v>
      </c>
      <c r="S77" s="18" t="n">
        <v>8016.33</v>
      </c>
      <c r="T77" s="18" t="n">
        <v>7278.97</v>
      </c>
      <c r="U77" s="37" t="n">
        <v>26053.47</v>
      </c>
      <c r="V77" s="18" t="n">
        <v>6911.93</v>
      </c>
      <c r="W77" s="18" t="n">
        <v>4103.4</v>
      </c>
      <c r="X77" s="18" t="n">
        <v>5871.81</v>
      </c>
      <c r="Y77" s="18" t="n">
        <v>2255.36</v>
      </c>
      <c r="Z77" s="37" t="n">
        <v>19142.5</v>
      </c>
      <c r="AA77" s="18" t="n">
        <v>6155.76</v>
      </c>
      <c r="AB77" s="19" t="n">
        <v>6784.19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9879.219999999999</v>
      </c>
      <c r="F78" s="9" t="n"/>
      <c r="G78" s="18" t="n">
        <v>1178.6</v>
      </c>
      <c r="H78" s="18" t="n">
        <v>6141.53</v>
      </c>
      <c r="I78" s="18" t="n">
        <v>1366.86</v>
      </c>
      <c r="J78" s="18" t="n">
        <v>876.6900000000001</v>
      </c>
      <c r="K78" s="37" t="n">
        <v>9563.68</v>
      </c>
      <c r="L78" s="18" t="n">
        <v>2246.99</v>
      </c>
      <c r="M78" s="18" t="n">
        <v>4407.28</v>
      </c>
      <c r="N78" s="18" t="n">
        <v>2559.21</v>
      </c>
      <c r="O78" s="18" t="n">
        <v>-4854.47</v>
      </c>
      <c r="P78" s="37" t="n">
        <v>4359.01</v>
      </c>
      <c r="Q78" s="18" t="n">
        <v>4090.81</v>
      </c>
      <c r="R78" s="18" t="n">
        <v>6669.57</v>
      </c>
      <c r="S78" s="18" t="n">
        <v>7996.36</v>
      </c>
      <c r="T78" s="18" t="n">
        <v>6770.75</v>
      </c>
      <c r="U78" s="37" t="n">
        <v>25527.49</v>
      </c>
      <c r="V78" s="18" t="n">
        <v>6921.95</v>
      </c>
      <c r="W78" s="18" t="n">
        <v>4009.22</v>
      </c>
      <c r="X78" s="18" t="n">
        <v>5926.09</v>
      </c>
      <c r="Y78" s="18" t="n">
        <v>2911.82</v>
      </c>
      <c r="Z78" s="37" t="n">
        <v>19769.08</v>
      </c>
      <c r="AA78" s="18" t="n">
        <v>6260.56</v>
      </c>
      <c r="AB78" s="19" t="n">
        <v>6889.33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-447.47</v>
      </c>
      <c r="F79" s="9" t="n"/>
      <c r="G79" s="18" t="n">
        <v>1199.39</v>
      </c>
      <c r="H79" s="18" t="n">
        <v>6085.21</v>
      </c>
      <c r="I79" s="18" t="n">
        <v>1384.72</v>
      </c>
      <c r="J79" s="18" t="n">
        <v>-297.59</v>
      </c>
      <c r="K79" s="37" t="n">
        <v>8371.73</v>
      </c>
      <c r="L79" s="18" t="n">
        <v>2198.71</v>
      </c>
      <c r="M79" s="18" t="n">
        <v>4482.86</v>
      </c>
      <c r="N79" s="18" t="n">
        <v>2575.53</v>
      </c>
      <c r="O79" s="18" t="n">
        <v>-348.24</v>
      </c>
      <c r="P79" s="37" t="n">
        <v>8908.860000000001</v>
      </c>
      <c r="Q79" s="18" t="n">
        <v>4077.37</v>
      </c>
      <c r="R79" s="18" t="n">
        <v>6680.8</v>
      </c>
      <c r="S79" s="18" t="n">
        <v>8016.33</v>
      </c>
      <c r="T79" s="18" t="n">
        <v>7278.97</v>
      </c>
      <c r="U79" s="37" t="n">
        <v>26053.47</v>
      </c>
      <c r="V79" s="18" t="n">
        <v>6911.93</v>
      </c>
      <c r="W79" s="18" t="n">
        <v>6680.8</v>
      </c>
      <c r="X79" s="18" t="n">
        <v>5871.81</v>
      </c>
      <c r="Y79" s="18" t="n">
        <v>2255.36</v>
      </c>
      <c r="Z79" s="37" t="n">
        <v>21719.9</v>
      </c>
      <c r="AA79" s="18" t="n">
        <v>6155.76</v>
      </c>
      <c r="AB79" s="19" t="n">
        <v>6155.76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M80" s="18" t="n">
        <v>0</v>
      </c>
      <c r="N80" s="18" t="n">
        <v>0</v>
      </c>
      <c r="O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-581.55</v>
      </c>
      <c r="F81" s="9" t="n"/>
      <c r="G81" s="18" t="n">
        <v>-537.27</v>
      </c>
      <c r="H81" s="18" t="n">
        <v>-419.4</v>
      </c>
      <c r="I81" s="18" t="n">
        <v>-440.96</v>
      </c>
      <c r="J81" s="18" t="n">
        <v>-503.01</v>
      </c>
      <c r="K81" s="37" t="n">
        <v>-1900.64</v>
      </c>
      <c r="L81" s="18" t="n">
        <v>-479.99</v>
      </c>
      <c r="M81" s="18" t="n">
        <v>-638.9</v>
      </c>
      <c r="N81" s="18" t="n">
        <v>-632.64</v>
      </c>
      <c r="O81" s="18" t="n">
        <v>-850.51</v>
      </c>
      <c r="P81" s="37" t="n">
        <v>-2602.04</v>
      </c>
      <c r="Q81" s="18" t="n">
        <v>-227.18</v>
      </c>
      <c r="R81" s="18" t="n">
        <v>-360.44</v>
      </c>
      <c r="S81" s="18" t="n">
        <v>-316.85</v>
      </c>
      <c r="T81" s="18" t="n">
        <v>-269.86</v>
      </c>
      <c r="U81" s="37" t="n">
        <v>-1174.33</v>
      </c>
      <c r="V81" s="18" t="n">
        <v>-243.04</v>
      </c>
      <c r="W81" s="18" t="n">
        <v>-133.6</v>
      </c>
      <c r="X81" s="18" t="n">
        <v>-101.31</v>
      </c>
      <c r="Y81" s="18" t="n">
        <v>-92.51000000000001</v>
      </c>
      <c r="Z81" s="37" t="n">
        <v>-570.46</v>
      </c>
      <c r="AA81" s="18" t="n">
        <v>105.74</v>
      </c>
      <c r="AB81" s="19" t="n">
        <v>99.17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909.38</v>
      </c>
      <c r="F82" s="9" t="n"/>
      <c r="G82" s="18" t="n">
        <v>685.26</v>
      </c>
      <c r="H82" s="18" t="n">
        <v>2004.28</v>
      </c>
      <c r="I82" s="18" t="n">
        <v>395.04</v>
      </c>
      <c r="J82" s="18" t="n">
        <v>80.7</v>
      </c>
      <c r="K82" s="37" t="n">
        <v>3165.28</v>
      </c>
      <c r="L82" s="18" t="n">
        <v>386.58</v>
      </c>
      <c r="M82" s="18" t="n">
        <v>364.49</v>
      </c>
      <c r="N82" s="18" t="n">
        <v>318.51</v>
      </c>
      <c r="O82" s="18" t="n">
        <v>-2177.72</v>
      </c>
      <c r="P82" s="37" t="n">
        <v>-1108.14</v>
      </c>
      <c r="Q82" s="18" t="n">
        <v>337.36</v>
      </c>
      <c r="R82" s="18" t="n">
        <v>-272.94</v>
      </c>
      <c r="S82" s="18" t="n">
        <v>188.04</v>
      </c>
      <c r="T82" s="18" t="n">
        <v>288.98</v>
      </c>
      <c r="U82" s="37" t="n">
        <v>541.4400000000001</v>
      </c>
      <c r="V82" s="18" t="n">
        <v>367.7</v>
      </c>
      <c r="W82" s="18" t="n">
        <v>1283.19</v>
      </c>
      <c r="X82" s="18" t="n">
        <v>2106.29</v>
      </c>
      <c r="Y82" s="18" t="n">
        <v>447.21</v>
      </c>
      <c r="Z82" s="37" t="n">
        <v>4204.39</v>
      </c>
      <c r="AA82" s="18" t="n">
        <v>553.99</v>
      </c>
      <c r="AB82" s="19" t="n">
        <v>463.7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52.2</v>
      </c>
      <c r="H83" s="18" t="n">
        <v>41.87</v>
      </c>
      <c r="I83" s="18" t="n">
        <v>55.77</v>
      </c>
      <c r="J83" s="18" t="n">
        <v>427.81</v>
      </c>
      <c r="K83" s="37" t="n">
        <v>577.65</v>
      </c>
      <c r="L83" s="18" t="n">
        <v>139.54</v>
      </c>
      <c r="M83" s="18" t="n">
        <v>121.09</v>
      </c>
      <c r="N83" s="18" t="n">
        <v>214.6</v>
      </c>
      <c r="O83" s="18" t="n">
        <v>262.1</v>
      </c>
      <c r="P83" s="37" t="n">
        <v>737.33</v>
      </c>
      <c r="Q83" s="18" t="n">
        <v>279.71</v>
      </c>
      <c r="R83" s="18" t="n">
        <v>270.92</v>
      </c>
      <c r="S83" s="18" t="n">
        <v>289.77</v>
      </c>
      <c r="T83" s="18" t="n">
        <v>420.55</v>
      </c>
      <c r="U83" s="37" t="n">
        <v>1260.95</v>
      </c>
      <c r="V83" s="18" t="n">
        <v>238.34</v>
      </c>
      <c r="W83" s="18" t="n">
        <v>228.12</v>
      </c>
      <c r="X83" s="18" t="n">
        <v>231.32</v>
      </c>
      <c r="Y83" s="18" t="n">
        <v>276.72</v>
      </c>
      <c r="Z83" s="37" t="n">
        <v>974.5</v>
      </c>
      <c r="AA83" s="18" t="n">
        <v>303.67</v>
      </c>
      <c r="AB83" s="19" t="n">
        <v>275.17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577.99</v>
      </c>
      <c r="H84" s="18" t="n">
        <v>547.1</v>
      </c>
      <c r="I84" s="18" t="n">
        <v>555.99</v>
      </c>
      <c r="J84" s="18" t="n">
        <v>827.5700000000001</v>
      </c>
      <c r="K84" s="37" t="n">
        <v>2508.65</v>
      </c>
      <c r="L84" s="18" t="n">
        <v>743.04</v>
      </c>
      <c r="M84" s="18" t="n">
        <v>823.83</v>
      </c>
      <c r="N84" s="18" t="n">
        <v>920.86</v>
      </c>
      <c r="O84" s="18" t="n">
        <v>1012.65</v>
      </c>
      <c r="P84" s="37" t="n">
        <v>3500.38</v>
      </c>
      <c r="Q84" s="18" t="n">
        <v>727.8099999999999</v>
      </c>
      <c r="R84" s="18" t="n">
        <v>654.12</v>
      </c>
      <c r="S84" s="18" t="n">
        <v>582.83</v>
      </c>
      <c r="T84" s="18" t="n">
        <v>548.0700000000001</v>
      </c>
      <c r="U84" s="37" t="n">
        <v>2512.83</v>
      </c>
      <c r="V84" s="18" t="n">
        <v>517.66</v>
      </c>
      <c r="W84" s="18" t="n">
        <v>424.3</v>
      </c>
      <c r="X84" s="18" t="n">
        <v>384.74</v>
      </c>
      <c r="Y84" s="18" t="n">
        <v>386.05</v>
      </c>
      <c r="Z84" s="37" t="n">
        <v>1712.75</v>
      </c>
      <c r="AA84" s="18" t="n">
        <v>398.18</v>
      </c>
      <c r="AB84" s="19" t="n">
        <v>302.33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G85" s="18" t="n">
        <v>32.11</v>
      </c>
      <c r="H85" s="18" t="n">
        <v>53.36</v>
      </c>
      <c r="I85" s="18" t="n">
        <v>60.26</v>
      </c>
      <c r="J85" s="18" t="n">
        <v>0</v>
      </c>
      <c r="K85" s="37" t="n">
        <v>145.73</v>
      </c>
      <c r="L85" s="18" t="n">
        <v>113.53</v>
      </c>
      <c r="M85" s="18" t="n">
        <v>85.88</v>
      </c>
      <c r="N85" s="18" t="n">
        <v>66.08</v>
      </c>
      <c r="O85" s="18" t="n">
        <v>0.3</v>
      </c>
      <c r="P85" s="37" t="n">
        <v>265.79</v>
      </c>
      <c r="Q85" s="18" t="n">
        <v>167.47</v>
      </c>
      <c r="R85" s="18" t="n">
        <v>15.34</v>
      </c>
      <c r="S85" s="18" t="n">
        <v>1.24</v>
      </c>
      <c r="T85" s="18" t="n">
        <v>52.59</v>
      </c>
      <c r="U85" s="37" t="n">
        <v>236.64</v>
      </c>
      <c r="V85" s="18" t="n">
        <v>36.26</v>
      </c>
      <c r="W85" s="18" t="n">
        <v>9.27</v>
      </c>
      <c r="X85" s="18" t="n">
        <v>28.28</v>
      </c>
      <c r="Y85" s="18" t="n">
        <v>47.92</v>
      </c>
      <c r="Z85" s="37" t="n">
        <v>121.73</v>
      </c>
      <c r="AA85" s="18" t="n">
        <v>10.56</v>
      </c>
      <c r="AB85" s="19" t="n">
        <v>241.22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G86" s="18" t="n">
        <v>0.33</v>
      </c>
      <c r="H86" s="18" t="n">
        <v>0</v>
      </c>
      <c r="I86" s="18" t="n">
        <v>1.52</v>
      </c>
      <c r="J86" s="18" t="n">
        <v>74.34</v>
      </c>
      <c r="K86" s="37" t="n">
        <v>76.19</v>
      </c>
      <c r="L86" s="18" t="n">
        <v>5.45</v>
      </c>
      <c r="M86" s="18" t="n">
        <v>0.99</v>
      </c>
      <c r="N86" s="18" t="n">
        <v>0.18</v>
      </c>
      <c r="O86" s="18" t="n">
        <v>0.82</v>
      </c>
      <c r="P86" s="37" t="n">
        <v>7.44</v>
      </c>
      <c r="R86" s="18" t="n">
        <v>1.12</v>
      </c>
      <c r="S86" s="18" t="n">
        <v>36.33</v>
      </c>
      <c r="T86" s="18" t="n">
        <v>0</v>
      </c>
      <c r="U86" s="9" t="n"/>
      <c r="V86" s="18" t="n">
        <v>11.51</v>
      </c>
      <c r="W86" s="18" t="n">
        <v>45.7</v>
      </c>
      <c r="X86" s="18" t="n">
        <v>21.98</v>
      </c>
      <c r="Y86" s="18" t="n">
        <v>0</v>
      </c>
      <c r="Z86" s="37" t="n">
        <v>79.19</v>
      </c>
      <c r="AB86" s="19" t="n">
        <v>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G87" s="18" t="n">
        <v>0.45</v>
      </c>
      <c r="H87" s="18" t="n">
        <v>-0.45</v>
      </c>
      <c r="I87" s="18" t="n">
        <v>0.13</v>
      </c>
      <c r="K87" s="9" t="n"/>
      <c r="L87" s="18" t="n">
        <v>18.44</v>
      </c>
      <c r="M87" s="18" t="n">
        <v>-18.44</v>
      </c>
      <c r="N87" s="18" t="n">
        <v>2.12</v>
      </c>
      <c r="P87" s="9" t="n"/>
      <c r="Q87" s="18" t="n">
        <v>9.550000000000001</v>
      </c>
      <c r="R87" s="18" t="n">
        <v>-4.41</v>
      </c>
      <c r="S87" s="18" t="n">
        <v>-5.14</v>
      </c>
      <c r="U87" s="9" t="n"/>
      <c r="V87" s="18" t="n">
        <v>0.41</v>
      </c>
      <c r="W87" s="18" t="n">
        <v>-0.41</v>
      </c>
      <c r="X87" s="18" t="n">
        <v>4.53</v>
      </c>
      <c r="Z87" s="9" t="n"/>
      <c r="AA87" s="18" t="n">
        <v>189.69</v>
      </c>
      <c r="AB87" s="19" t="n">
        <v>-113.13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G88" s="18" t="n">
        <v>33.97</v>
      </c>
      <c r="H88" s="18" t="n">
        <v>-33.58</v>
      </c>
      <c r="I88" s="18" t="n">
        <v>-0.39</v>
      </c>
      <c r="K88" s="9" t="n"/>
      <c r="L88" s="18" t="n">
        <v>3.01</v>
      </c>
      <c r="M88" s="18" t="n">
        <v>2.6</v>
      </c>
      <c r="N88" s="18" t="n">
        <v>-5.6</v>
      </c>
      <c r="P88" s="9" t="n"/>
      <c r="S88" s="18" t="n">
        <v>16.71</v>
      </c>
      <c r="U88" s="9" t="n"/>
      <c r="W88" s="18" t="n">
        <v>45.53</v>
      </c>
      <c r="X88" s="18" t="n">
        <v>-45.14</v>
      </c>
      <c r="Y88" s="18" t="n">
        <v>24.86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이자손익</t>
        </is>
      </c>
      <c r="F89" s="9" t="n"/>
      <c r="G89" s="18" t="n">
        <v>-525.79</v>
      </c>
      <c r="H89" s="18" t="n">
        <v>-505.23</v>
      </c>
      <c r="I89" s="18" t="n">
        <v>-500.22</v>
      </c>
      <c r="J89" s="18" t="n">
        <v>-399.76</v>
      </c>
      <c r="K89" s="37" t="n">
        <v>-1931</v>
      </c>
      <c r="L89" s="18" t="n">
        <v>-603.5</v>
      </c>
      <c r="M89" s="18" t="n">
        <v>-702.74</v>
      </c>
      <c r="N89" s="18" t="n">
        <v>-706.26</v>
      </c>
      <c r="O89" s="18" t="n">
        <v>-750.55</v>
      </c>
      <c r="P89" s="37" t="n">
        <v>-2763.05</v>
      </c>
      <c r="Q89" s="18" t="n">
        <v>-448.1</v>
      </c>
      <c r="R89" s="18" t="n">
        <v>-383.2</v>
      </c>
      <c r="S89" s="18" t="n">
        <v>-293.06</v>
      </c>
      <c r="T89" s="18" t="n">
        <v>-127.52</v>
      </c>
      <c r="U89" s="37" t="n">
        <v>-1251.88</v>
      </c>
      <c r="V89" s="18" t="n">
        <v>-279.32</v>
      </c>
      <c r="W89" s="18" t="n">
        <v>-196.18</v>
      </c>
      <c r="X89" s="18" t="n">
        <v>-153.42</v>
      </c>
      <c r="Y89" s="18" t="n">
        <v>-109.33</v>
      </c>
      <c r="Z89" s="37" t="n">
        <v>-738.25</v>
      </c>
      <c r="AA89" s="18" t="n">
        <v>-94.51000000000001</v>
      </c>
      <c r="AB89" s="19" t="n">
        <v>-27.16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파생상품이익</t>
        </is>
      </c>
      <c r="F90" s="9" t="n"/>
      <c r="K90" s="9" t="n"/>
      <c r="P90" s="9" t="n"/>
      <c r="Q90" s="18" t="n">
        <v>32.13</v>
      </c>
      <c r="R90" s="18" t="n">
        <v>12.95</v>
      </c>
      <c r="S90" s="18" t="n">
        <v>-33.02</v>
      </c>
      <c r="U90" s="9" t="n"/>
      <c r="W90" s="18" t="n">
        <v>33.28</v>
      </c>
      <c r="X90" s="18" t="n">
        <v>-31.6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파생상품손실</t>
        </is>
      </c>
      <c r="F91" s="9" t="n"/>
      <c r="K91" s="9" t="n"/>
      <c r="P91" s="9" t="n"/>
      <c r="U91" s="9" t="n"/>
      <c r="V91" s="18" t="n">
        <v>38.78</v>
      </c>
      <c r="W91" s="18" t="n">
        <v>-38.78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-1779.07</v>
      </c>
      <c r="F92" s="9" t="n"/>
      <c r="G92" s="18" t="n">
        <v>3263.95</v>
      </c>
      <c r="H92" s="18" t="n">
        <v>2341.78</v>
      </c>
      <c r="I92" s="18" t="n">
        <v>1650.59</v>
      </c>
      <c r="J92" s="18" t="n">
        <v>3888.35</v>
      </c>
      <c r="K92" s="37" t="n">
        <v>11144.67</v>
      </c>
      <c r="L92" s="18" t="n">
        <v>11144.67</v>
      </c>
      <c r="M92" s="18" t="n">
        <v>-5961.12</v>
      </c>
      <c r="N92" s="18" t="n">
        <v>6184.69</v>
      </c>
      <c r="O92" s="18" t="n">
        <v>7580.66</v>
      </c>
      <c r="P92" s="37" t="n">
        <v>18948.9</v>
      </c>
      <c r="Q92" s="18" t="n">
        <v>2232.06</v>
      </c>
      <c r="R92" s="18" t="n">
        <v>7101.31</v>
      </c>
      <c r="S92" s="18" t="n">
        <v>9836.959999999999</v>
      </c>
      <c r="T92" s="18" t="n">
        <v>6015.92</v>
      </c>
      <c r="U92" s="37" t="n">
        <v>25186.25</v>
      </c>
      <c r="V92" s="18" t="n">
        <v>6171.15</v>
      </c>
      <c r="W92" s="18" t="n">
        <v>8438.110000000001</v>
      </c>
      <c r="X92" s="18" t="n">
        <v>10748.71</v>
      </c>
      <c r="Y92" s="18" t="n">
        <v>2551.65</v>
      </c>
      <c r="Z92" s="37" t="n">
        <v>27909.62</v>
      </c>
      <c r="AA92" s="18" t="n">
        <v>2309.68</v>
      </c>
      <c r="AB92" s="19" t="n">
        <v>8919.75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-6.17</v>
      </c>
      <c r="F93" s="9" t="n"/>
      <c r="G93" s="18" t="n">
        <v>-63.68</v>
      </c>
      <c r="H93" s="18" t="n">
        <v>-118.02</v>
      </c>
      <c r="I93" s="18" t="n">
        <v>-370.72</v>
      </c>
      <c r="J93" s="18" t="n">
        <v>-15.98</v>
      </c>
      <c r="K93" s="37" t="n">
        <v>-568.4</v>
      </c>
      <c r="L93" s="18" t="n">
        <v>-568.4</v>
      </c>
      <c r="M93" s="18" t="n">
        <v>171.99</v>
      </c>
      <c r="N93" s="18" t="n">
        <v>-296.51</v>
      </c>
      <c r="O93" s="18" t="n">
        <v>-26.91</v>
      </c>
      <c r="P93" s="37" t="n">
        <v>-719.83</v>
      </c>
      <c r="Q93" s="18" t="n">
        <v>-33.41</v>
      </c>
      <c r="R93" s="18" t="n">
        <v>-42.86</v>
      </c>
      <c r="S93" s="18" t="n">
        <v>-113.05</v>
      </c>
      <c r="T93" s="18" t="n">
        <v>-119.54</v>
      </c>
      <c r="U93" s="37" t="n">
        <v>-308.86</v>
      </c>
      <c r="V93" s="18" t="n">
        <v>-851.88</v>
      </c>
      <c r="W93" s="18" t="n">
        <v>-1009.19</v>
      </c>
      <c r="X93" s="18" t="n">
        <v>-471.78</v>
      </c>
      <c r="Y93" s="18" t="n">
        <v>-472.04</v>
      </c>
      <c r="Z93" s="37" t="n">
        <v>-2804.89</v>
      </c>
      <c r="AA93" s="18" t="n">
        <v>-2509.37</v>
      </c>
      <c r="AB93" s="19" t="n">
        <v>-3081.19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-323.49</v>
      </c>
      <c r="F94" s="9" t="n"/>
      <c r="G94" s="18" t="n">
        <v>2423.43</v>
      </c>
      <c r="H94" s="18" t="n">
        <v>-243.1</v>
      </c>
      <c r="I94" s="18" t="n">
        <v>-247.25</v>
      </c>
      <c r="J94" s="18" t="n">
        <v>-4592.53</v>
      </c>
      <c r="K94" s="37" t="n">
        <v>-2659.45</v>
      </c>
      <c r="L94" s="18" t="n">
        <v>-2659.45</v>
      </c>
      <c r="M94" s="18" t="n">
        <v>-428.02</v>
      </c>
      <c r="N94" s="18" t="n">
        <v>-4665.26</v>
      </c>
      <c r="O94" s="18" t="n">
        <v>-3033.98</v>
      </c>
      <c r="P94" s="37" t="n">
        <v>-10786.71</v>
      </c>
      <c r="Q94" s="18" t="n">
        <v>-5730.31</v>
      </c>
      <c r="R94" s="18" t="n">
        <v>-2392.38</v>
      </c>
      <c r="S94" s="18" t="n">
        <v>-6221.4</v>
      </c>
      <c r="T94" s="18" t="n">
        <v>3031.72</v>
      </c>
      <c r="U94" s="37" t="n">
        <v>-11312.37</v>
      </c>
      <c r="V94" s="18" t="n">
        <v>-610.6799999999999</v>
      </c>
      <c r="W94" s="18" t="n">
        <v>-2046.58</v>
      </c>
      <c r="X94" s="18" t="n">
        <v>-8569.879999999999</v>
      </c>
      <c r="Y94" s="18" t="n">
        <v>-4588.41</v>
      </c>
      <c r="Z94" s="37" t="n">
        <v>-15815.55</v>
      </c>
      <c r="AA94" s="18" t="n">
        <v>1910.8</v>
      </c>
      <c r="AB94" s="19" t="n">
        <v>-2391.87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1.54</v>
      </c>
      <c r="F95" s="9" t="n"/>
      <c r="G95" s="18" t="n">
        <v>50.6</v>
      </c>
      <c r="H95" s="18" t="n">
        <v>2.38</v>
      </c>
      <c r="I95" s="18" t="n">
        <v>1.33</v>
      </c>
      <c r="J95" s="18" t="n">
        <v>2.55</v>
      </c>
      <c r="K95" s="37" t="n">
        <v>56.86</v>
      </c>
      <c r="L95" s="18" t="n">
        <v>56.86</v>
      </c>
      <c r="N95" s="18" t="n">
        <v>2.65</v>
      </c>
      <c r="O95" s="18" t="n">
        <v>1.99</v>
      </c>
      <c r="P95" s="9" t="n"/>
      <c r="Q95" s="18" t="n">
        <v>0.59</v>
      </c>
      <c r="R95" s="18" t="n">
        <v>2.13</v>
      </c>
      <c r="S95" s="18" t="n">
        <v>1.35</v>
      </c>
      <c r="T95" s="18" t="n">
        <v>0.68</v>
      </c>
      <c r="U95" s="37" t="n">
        <v>4.75</v>
      </c>
      <c r="V95" s="18" t="n">
        <v>0.5</v>
      </c>
      <c r="W95" s="18" t="n">
        <v>2.5</v>
      </c>
      <c r="X95" s="18" t="n">
        <v>5.97</v>
      </c>
      <c r="Y95" s="18" t="n">
        <v>1.36</v>
      </c>
      <c r="Z95" s="37" t="n">
        <v>10.33</v>
      </c>
      <c r="AA95" s="18" t="n">
        <v>3.47</v>
      </c>
      <c r="AB95" s="19" t="n">
        <v>0.77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75.34999999999999</v>
      </c>
      <c r="F96" s="9" t="n"/>
      <c r="G96" s="18" t="n">
        <v>48.49</v>
      </c>
      <c r="H96" s="18" t="n">
        <v>119.08</v>
      </c>
      <c r="I96" s="18" t="n">
        <v>109.52</v>
      </c>
      <c r="J96" s="18" t="n">
        <v>111.25</v>
      </c>
      <c r="K96" s="37" t="n">
        <v>388.34</v>
      </c>
      <c r="L96" s="18" t="n">
        <v>388.34</v>
      </c>
      <c r="M96" s="18" t="n">
        <v>53.35</v>
      </c>
      <c r="N96" s="18" t="n">
        <v>1183.77</v>
      </c>
      <c r="O96" s="18" t="n">
        <v>242.65</v>
      </c>
      <c r="P96" s="37" t="n">
        <v>1868.11</v>
      </c>
      <c r="Q96" s="18" t="n">
        <v>333.29</v>
      </c>
      <c r="R96" s="18" t="n">
        <v>223.82</v>
      </c>
      <c r="S96" s="18" t="n">
        <v>100.7</v>
      </c>
      <c r="T96" s="18" t="n">
        <v>4802.07</v>
      </c>
      <c r="U96" s="37" t="n">
        <v>5459.88</v>
      </c>
      <c r="V96" s="18" t="n">
        <v>99.31</v>
      </c>
      <c r="W96" s="18" t="n">
        <v>3178.34</v>
      </c>
      <c r="X96" s="18" t="n">
        <v>282.95</v>
      </c>
      <c r="Y96" s="18" t="n">
        <v>5534.56</v>
      </c>
      <c r="Z96" s="37" t="n">
        <v>9095.16</v>
      </c>
      <c r="AA96" s="18" t="n">
        <v>191.43</v>
      </c>
      <c r="AB96" s="19" t="n">
        <v>551.8099999999999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75.34999999999999</v>
      </c>
      <c r="F97" s="9" t="n"/>
      <c r="G97" s="18" t="n">
        <v>48.49</v>
      </c>
      <c r="H97" s="18" t="n">
        <v>119.08</v>
      </c>
      <c r="I97" s="18" t="n">
        <v>109.52</v>
      </c>
      <c r="J97" s="18" t="n">
        <v>150.4</v>
      </c>
      <c r="K97" s="37" t="n">
        <v>427.49</v>
      </c>
      <c r="L97" s="18" t="n">
        <v>427.49</v>
      </c>
      <c r="M97" s="18" t="n">
        <v>16.08</v>
      </c>
      <c r="N97" s="18" t="n">
        <v>1183.77</v>
      </c>
      <c r="O97" s="18" t="n">
        <v>242.65</v>
      </c>
      <c r="P97" s="37" t="n">
        <v>1869.99</v>
      </c>
      <c r="Q97" s="18" t="n">
        <v>799.3099999999999</v>
      </c>
      <c r="R97" s="18" t="n">
        <v>233.13</v>
      </c>
      <c r="S97" s="18" t="n">
        <v>100.7</v>
      </c>
      <c r="T97" s="18" t="n">
        <v>4802.07</v>
      </c>
      <c r="U97" s="37" t="n">
        <v>5935.21</v>
      </c>
      <c r="V97" s="18" t="n">
        <v>99.31</v>
      </c>
      <c r="W97" s="18" t="n">
        <v>3178.34</v>
      </c>
      <c r="X97" s="18" t="n">
        <v>282.95</v>
      </c>
      <c r="Y97" s="18" t="n">
        <v>5571.78</v>
      </c>
      <c r="Z97" s="37" t="n">
        <v>9132.379999999999</v>
      </c>
      <c r="AA97" s="18" t="n">
        <v>191.43</v>
      </c>
      <c r="AB97" s="19" t="n">
        <v>551.8099999999999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-409.86</v>
      </c>
      <c r="F98" s="9" t="n"/>
      <c r="G98" s="18" t="n">
        <v>-5046.53</v>
      </c>
      <c r="H98" s="18" t="n">
        <v>-415.91</v>
      </c>
      <c r="I98" s="18" t="n">
        <v>-416.84</v>
      </c>
      <c r="J98" s="18" t="n">
        <v>-683.66</v>
      </c>
      <c r="K98" s="37" t="n">
        <v>-6562.94</v>
      </c>
      <c r="L98" s="18" t="n">
        <v>-6562.94</v>
      </c>
      <c r="M98" s="18" t="n">
        <v>3228.42</v>
      </c>
      <c r="N98" s="18" t="n">
        <v>-396.02</v>
      </c>
      <c r="O98" s="18" t="n">
        <v>-2215.06</v>
      </c>
      <c r="P98" s="37" t="n">
        <v>-5945.6</v>
      </c>
      <c r="Q98" s="18" t="n">
        <v>-117.44</v>
      </c>
      <c r="R98" s="18" t="n">
        <v>-2896.64</v>
      </c>
      <c r="S98" s="18" t="n">
        <v>-5121.12</v>
      </c>
      <c r="T98" s="18" t="n">
        <v>-3123</v>
      </c>
      <c r="U98" s="37" t="n">
        <v>-11258.2</v>
      </c>
      <c r="V98" s="18" t="n">
        <v>-124.91</v>
      </c>
      <c r="W98" s="18" t="n">
        <v>-8681.58</v>
      </c>
      <c r="X98" s="18" t="n">
        <v>-128.82</v>
      </c>
      <c r="Y98" s="18" t="n">
        <v>-130.83</v>
      </c>
      <c r="Z98" s="37" t="n">
        <v>-9066.139999999999</v>
      </c>
      <c r="AA98" s="18" t="n">
        <v>-12.23</v>
      </c>
      <c r="AB98" s="19" t="n">
        <v>-15012.43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0</v>
      </c>
      <c r="K99" s="37" t="n">
        <v>0</v>
      </c>
      <c r="O99" s="18" t="n">
        <v>0</v>
      </c>
      <c r="P99" s="9" t="n"/>
      <c r="Q99" s="18" t="n">
        <v>23000</v>
      </c>
      <c r="R99" s="18" t="n">
        <v>29000</v>
      </c>
      <c r="T99" s="18" t="n">
        <v>0</v>
      </c>
      <c r="U99" s="9" t="n"/>
      <c r="V99" s="18" t="n">
        <v>5000</v>
      </c>
      <c r="W99" s="18" t="n">
        <v>35000</v>
      </c>
      <c r="X99" s="18" t="n">
        <v>0</v>
      </c>
      <c r="Y99" s="18" t="n">
        <v>0</v>
      </c>
      <c r="Z99" s="37" t="n">
        <v>40000</v>
      </c>
      <c r="AA99" s="18" t="n">
        <v>0</v>
      </c>
      <c r="AB99" s="19" t="n">
        <v>10000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135</v>
      </c>
      <c r="H100" s="18" t="n">
        <v>0</v>
      </c>
      <c r="I100" s="18" t="n">
        <v>0</v>
      </c>
      <c r="J100" s="18" t="n">
        <v>765</v>
      </c>
      <c r="K100" s="37" t="n">
        <v>900</v>
      </c>
      <c r="L100" s="18" t="n">
        <v>900</v>
      </c>
      <c r="M100" s="18" t="n">
        <v>6100</v>
      </c>
      <c r="O100" s="18" t="n">
        <v>0</v>
      </c>
      <c r="P100" s="9" t="n"/>
      <c r="Q100" s="18" t="n">
        <v>23000</v>
      </c>
      <c r="R100" s="18" t="n">
        <v>0</v>
      </c>
      <c r="T100" s="18" t="n">
        <v>3000</v>
      </c>
      <c r="U100" s="9" t="n"/>
      <c r="V100" s="18" t="n">
        <v>5000</v>
      </c>
      <c r="W100" s="18" t="n">
        <v>39000</v>
      </c>
      <c r="X100" s="18" t="n">
        <v>0</v>
      </c>
      <c r="Y100" s="18" t="n">
        <v>0</v>
      </c>
      <c r="Z100" s="37" t="n">
        <v>44000</v>
      </c>
      <c r="AA100" s="18" t="n">
        <v>0</v>
      </c>
      <c r="AB100" s="19" t="n">
        <v>25000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0</v>
      </c>
      <c r="H101" s="18" t="n">
        <v>0</v>
      </c>
      <c r="I101" s="18" t="n">
        <v>0</v>
      </c>
      <c r="J101" s="18" t="n">
        <v>30000</v>
      </c>
      <c r="K101" s="37" t="n">
        <v>30000</v>
      </c>
      <c r="L101" s="18" t="n">
        <v>30000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400.01</v>
      </c>
      <c r="F102" s="9" t="n"/>
      <c r="G102" s="18" t="n">
        <v>4500</v>
      </c>
      <c r="H102" s="18" t="n">
        <v>0</v>
      </c>
      <c r="I102" s="18" t="n">
        <v>0</v>
      </c>
      <c r="J102" s="18" t="n">
        <v>29500</v>
      </c>
      <c r="K102" s="37" t="n">
        <v>34000</v>
      </c>
      <c r="L102" s="18" t="n">
        <v>34000</v>
      </c>
      <c r="N102" s="18" t="n">
        <v>0</v>
      </c>
      <c r="O102" s="18" t="n">
        <v>1528.39</v>
      </c>
      <c r="P102" s="9" t="n"/>
      <c r="S102" s="18" t="n">
        <v>0</v>
      </c>
      <c r="T102" s="18" t="n">
        <v>0</v>
      </c>
      <c r="U102" s="9" t="n"/>
      <c r="X102" s="18" t="n">
        <v>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-2535.39</v>
      </c>
      <c r="F103" s="9" t="n"/>
      <c r="G103" s="18" t="n">
        <v>638.13</v>
      </c>
      <c r="H103" s="18" t="n">
        <v>1685.09</v>
      </c>
      <c r="I103" s="18" t="n">
        <v>987.03</v>
      </c>
      <c r="J103" s="18" t="n">
        <v>-1416.76</v>
      </c>
      <c r="K103" s="37" t="n">
        <v>1893.49</v>
      </c>
      <c r="L103" s="18" t="n">
        <v>1893.49</v>
      </c>
      <c r="M103" s="18" t="n">
        <v>-3137.53</v>
      </c>
      <c r="N103" s="18" t="n">
        <v>1131.13</v>
      </c>
      <c r="O103" s="18" t="n">
        <v>2324.09</v>
      </c>
      <c r="P103" s="37" t="n">
        <v>2211.18</v>
      </c>
      <c r="Q103" s="18" t="n">
        <v>-3606.13</v>
      </c>
      <c r="R103" s="18" t="n">
        <v>1807.87</v>
      </c>
      <c r="S103" s="18" t="n">
        <v>-1527.41</v>
      </c>
      <c r="T103" s="18" t="n">
        <v>5947.65</v>
      </c>
      <c r="U103" s="37" t="n">
        <v>2621.98</v>
      </c>
      <c r="V103" s="18" t="n">
        <v>5435.96</v>
      </c>
      <c r="W103" s="18" t="n">
        <v>-2295.88</v>
      </c>
      <c r="X103" s="18" t="n">
        <v>2059.58</v>
      </c>
      <c r="Y103" s="18" t="n">
        <v>-2196.98</v>
      </c>
      <c r="Z103" s="37" t="n">
        <v>3002.68</v>
      </c>
      <c r="AA103" s="18" t="n">
        <v>4215.53</v>
      </c>
      <c r="AB103" s="19" t="n">
        <v>-8483.26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-2535.38</v>
      </c>
      <c r="F104" s="9" t="n"/>
      <c r="G104" s="18" t="n">
        <v>8664.299999999999</v>
      </c>
      <c r="H104" s="18" t="n">
        <v>1685.09</v>
      </c>
      <c r="I104" s="18" t="n">
        <v>987.02</v>
      </c>
      <c r="J104" s="18" t="n">
        <v>-1416.76</v>
      </c>
      <c r="K104" s="37" t="n">
        <v>9919.65</v>
      </c>
      <c r="L104" s="18" t="n">
        <v>9919.65</v>
      </c>
      <c r="M104" s="18" t="n">
        <v>-1244.04</v>
      </c>
      <c r="N104" s="18" t="n">
        <v>1131.13</v>
      </c>
      <c r="O104" s="18" t="n">
        <v>2324.09</v>
      </c>
      <c r="P104" s="37" t="n">
        <v>12130.83</v>
      </c>
      <c r="Q104" s="18" t="n">
        <v>8524.690000000001</v>
      </c>
      <c r="R104" s="18" t="n">
        <v>1807.88</v>
      </c>
      <c r="S104" s="18" t="n">
        <v>-1527.42</v>
      </c>
      <c r="T104" s="18" t="n">
        <v>5947.66</v>
      </c>
      <c r="U104" s="37" t="n">
        <v>14752.81</v>
      </c>
      <c r="V104" s="18" t="n">
        <v>20188.77</v>
      </c>
      <c r="W104" s="18" t="n">
        <v>-2295.88</v>
      </c>
      <c r="X104" s="18" t="n">
        <v>2059.58</v>
      </c>
      <c r="Y104" s="18" t="n">
        <v>-2196.98</v>
      </c>
      <c r="Z104" s="37" t="n">
        <v>17755.49</v>
      </c>
      <c r="AA104" s="18" t="n">
        <v>21971.02</v>
      </c>
      <c r="AB104" s="19" t="n">
        <v>-8483.26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F105" s="9" t="n"/>
      <c r="G105" s="18" t="n">
        <v>401.58</v>
      </c>
      <c r="H105" s="18" t="n">
        <v>405.84</v>
      </c>
      <c r="I105" s="18" t="n">
        <v>406.83</v>
      </c>
      <c r="J105" s="18" t="n">
        <v>407.49</v>
      </c>
      <c r="K105" s="37" t="n">
        <v>1621.74</v>
      </c>
      <c r="L105" s="18" t="n">
        <v>1621.74</v>
      </c>
      <c r="M105" s="18" t="n">
        <v>17209.15</v>
      </c>
      <c r="N105" s="18" t="n">
        <v>282.14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G106" s="18" t="n">
        <v>9.960000000000001</v>
      </c>
      <c r="H106" s="18" t="n">
        <v>10.06</v>
      </c>
      <c r="I106" s="18" t="n">
        <v>10.01</v>
      </c>
      <c r="J106" s="18" t="n">
        <v>11.18</v>
      </c>
      <c r="K106" s="37" t="n">
        <v>41.21</v>
      </c>
      <c r="L106" s="18" t="n">
        <v>41.21</v>
      </c>
      <c r="M106" s="18" t="n">
        <v>185.05</v>
      </c>
      <c r="N106" s="18" t="n">
        <v>113.88</v>
      </c>
      <c r="O106" s="18" t="n">
        <v>115.65</v>
      </c>
      <c r="P106" s="37" t="n">
        <v>455.79</v>
      </c>
      <c r="Q106" s="18" t="n">
        <v>117.44</v>
      </c>
      <c r="R106" s="18" t="n">
        <v>119.27</v>
      </c>
      <c r="S106" s="18" t="n">
        <v>121.12</v>
      </c>
      <c r="T106" s="18" t="n">
        <v>123.01</v>
      </c>
      <c r="U106" s="37" t="n">
        <v>480.84</v>
      </c>
      <c r="V106" s="18" t="n">
        <v>124.91</v>
      </c>
      <c r="W106" s="18" t="n">
        <v>126.85</v>
      </c>
      <c r="X106" s="18" t="n">
        <v>128.82</v>
      </c>
      <c r="Y106" s="18" t="n">
        <v>130.83</v>
      </c>
      <c r="Z106" s="37" t="n">
        <v>511.41</v>
      </c>
      <c r="AA106" s="18" t="n">
        <v>12.23</v>
      </c>
      <c r="AB106" s="19" t="n">
        <v>12.43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L107" s="18" t="n">
        <v>39.15</v>
      </c>
      <c r="N107" s="18" t="n">
        <v>0</v>
      </c>
      <c r="O107" s="18" t="n">
        <v>0</v>
      </c>
      <c r="P107" s="9" t="n"/>
      <c r="Q107" s="18" t="n">
        <v>466.02</v>
      </c>
      <c r="R107" s="18" t="n">
        <v>9.31</v>
      </c>
      <c r="S107" s="18" t="n">
        <v>0</v>
      </c>
      <c r="T107" s="18" t="n">
        <v>0</v>
      </c>
      <c r="U107" s="37" t="n">
        <v>475.33</v>
      </c>
      <c r="V107" s="18" t="n">
        <v>0</v>
      </c>
      <c r="W107" s="18" t="n">
        <v>0</v>
      </c>
      <c r="X107" s="18" t="n">
        <v>0</v>
      </c>
      <c r="Y107" s="18" t="n">
        <v>37.22</v>
      </c>
      <c r="Z107" s="37" t="n">
        <v>37.22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배당금지급</t>
        </is>
      </c>
      <c r="F108" s="9" t="n"/>
      <c r="K108" s="9" t="n"/>
      <c r="N108" s="18" t="n">
        <v>0</v>
      </c>
      <c r="O108" s="18" t="n">
        <v>0</v>
      </c>
      <c r="P108" s="9" t="n"/>
      <c r="S108" s="18" t="n">
        <v>0</v>
      </c>
      <c r="T108" s="18" t="n">
        <v>0</v>
      </c>
      <c r="U108" s="9" t="n"/>
      <c r="X108" s="18" t="n">
        <v>0</v>
      </c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176.88</v>
      </c>
      <c r="P109" s="9" t="n"/>
      <c r="Q109" s="18" t="n">
        <v>219.37</v>
      </c>
      <c r="R109" s="18" t="n">
        <v>221.03</v>
      </c>
      <c r="S109" s="18" t="n">
        <v>261.44</v>
      </c>
      <c r="T109" s="18" t="n">
        <v>304.13</v>
      </c>
      <c r="U109" s="37" t="n">
        <v>1005.97</v>
      </c>
      <c r="V109" s="18" t="n">
        <v>243.91</v>
      </c>
      <c r="W109" s="18" t="n">
        <v>203.77</v>
      </c>
      <c r="X109" s="18" t="n">
        <v>217.82</v>
      </c>
      <c r="Y109" s="18" t="n">
        <v>255.34</v>
      </c>
      <c r="Z109" s="37" t="n">
        <v>920.84</v>
      </c>
      <c r="AA109" s="18" t="n">
        <v>253.88</v>
      </c>
      <c r="AB109" s="19" t="n">
        <v>-840.45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7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7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7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7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7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7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7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7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7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7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7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7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7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7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7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7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7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7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7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7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7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7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7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7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K11" s="9" t="n"/>
      <c r="M11" s="18" t="n">
        <v>1.88</v>
      </c>
      <c r="N11" s="18" t="n">
        <v>271.53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7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7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7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7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7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7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7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7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7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7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7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7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7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7" t="n">
        <v>183.69</v>
      </c>
      <c r="L15" s="18" t="n">
        <v>180.83</v>
      </c>
      <c r="M15" s="18" t="n">
        <v>189.02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7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7" t="n">
        <v>30815.3</v>
      </c>
      <c r="L16" s="18" t="n">
        <v>30812.44</v>
      </c>
      <c r="M16" s="18" t="n">
        <v>30820.63</v>
      </c>
      <c r="N16" s="18" t="n">
        <v>30821.01</v>
      </c>
      <c r="O16" s="18" t="n">
        <v>30821.01</v>
      </c>
      <c r="P16" s="37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7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7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7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7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7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7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7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7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7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7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7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7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7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7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7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7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7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7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7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7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7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7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7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7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7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7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7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7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7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7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7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7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7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7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7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7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7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7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7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7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7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7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7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7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7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7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7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7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7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7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7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7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7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7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7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7" t="n">
        <v>0</v>
      </c>
      <c r="R29" s="18" t="n">
        <v>101.87</v>
      </c>
      <c r="S29" s="18" t="n">
        <v>115.78</v>
      </c>
      <c r="T29" s="18" t="n">
        <v>32.8</v>
      </c>
      <c r="U29" s="37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7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7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7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7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7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7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7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7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7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7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7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7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7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7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7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7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7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7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7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7" t="n">
        <v>0</v>
      </c>
      <c r="O34" s="18" t="n">
        <v>216</v>
      </c>
      <c r="P34" s="37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7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7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7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7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7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7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7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7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7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7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7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7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7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7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7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7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7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7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7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7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7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7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7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7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7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7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7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7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7" t="n">
        <v>0</v>
      </c>
      <c r="J42" s="18" t="n">
        <v>0</v>
      </c>
      <c r="K42" s="37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7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7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7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7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7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7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7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7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7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7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7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7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7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7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7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7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7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7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7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7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7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7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7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7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7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7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7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7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7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7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7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7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7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7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7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7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7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7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7" t="n">
        <v>26224.81</v>
      </c>
      <c r="L52" s="18" t="n">
        <v>24626.83</v>
      </c>
      <c r="M52" s="18" t="n">
        <v>23086.67</v>
      </c>
      <c r="N52" s="18" t="n">
        <v>8267.139999999999</v>
      </c>
      <c r="O52" s="18" t="n">
        <v>6456.18</v>
      </c>
      <c r="P52" s="37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7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7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7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7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7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7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7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7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7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7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7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7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7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7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7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7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7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7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7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7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7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7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7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7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7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7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7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7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7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7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7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7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7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7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7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7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7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7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7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7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7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7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7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7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7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7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7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7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7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7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7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7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7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7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7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7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7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7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7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7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7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7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7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7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7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7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7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7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7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7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7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7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7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7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7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7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7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7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7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7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7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7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7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7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7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7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7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7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7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7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7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7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7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7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7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7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7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7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7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7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7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7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7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7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7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7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7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7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7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7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7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7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7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7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7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7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 t="n"/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45.547</v>
      </c>
      <c r="F33" s="28">
        <f>E33</f>
        <v/>
      </c>
      <c r="G33" s="27" t="n">
        <v>45.547</v>
      </c>
      <c r="H33" s="27" t="n">
        <v>45.547</v>
      </c>
      <c r="I33" s="27" t="n">
        <v>45.547</v>
      </c>
      <c r="J33" s="27" t="n">
        <v>45.547</v>
      </c>
      <c r="K33" s="28">
        <f>J33</f>
        <v/>
      </c>
      <c r="L33" s="27" t="n">
        <v>45.547</v>
      </c>
      <c r="M33" s="27" t="n">
        <v>45.547</v>
      </c>
      <c r="N33" s="27" t="n">
        <v>45.547</v>
      </c>
      <c r="O33" s="27" t="n">
        <v>45.547</v>
      </c>
      <c r="P33" s="28">
        <f>O33</f>
        <v/>
      </c>
      <c r="Q33" s="27" t="n">
        <v>45.547</v>
      </c>
      <c r="R33" s="27" t="n">
        <v>45.547</v>
      </c>
      <c r="S33" s="27" t="n">
        <v>45.547</v>
      </c>
      <c r="T33" s="27" t="n">
        <v>45.547</v>
      </c>
      <c r="U33" s="28">
        <f>T33</f>
        <v/>
      </c>
      <c r="V33" s="27" t="n">
        <v>45.547</v>
      </c>
      <c r="W33" s="27" t="n">
        <v>45.547</v>
      </c>
      <c r="X33" s="27" t="n">
        <v>45.547</v>
      </c>
      <c r="Y33" s="27" t="n">
        <v>45.547</v>
      </c>
      <c r="Z33" s="28">
        <f>Y33</f>
        <v/>
      </c>
      <c r="AA33" s="27" t="n">
        <v>45.547</v>
      </c>
      <c r="AB33" s="29" t="n">
        <v>45.547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50</v>
      </c>
      <c r="K36" s="37">
        <f>SUM(G36:J36)</f>
        <v/>
      </c>
      <c r="L36" s="18" t="n"/>
      <c r="M36" s="18" t="n"/>
      <c r="N36" s="18" t="n"/>
      <c r="O36" s="18" t="n">
        <v>50</v>
      </c>
      <c r="P36" s="37">
        <f>SUM(L36:O36)</f>
        <v/>
      </c>
      <c r="Q36" s="18" t="n"/>
      <c r="R36" s="18" t="n"/>
      <c r="S36" s="18" t="n"/>
      <c r="T36" s="18" t="n">
        <v>100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287.04</v>
      </c>
      <c r="F39" s="37" t="n"/>
      <c r="G39" s="18" t="n">
        <v>323.59</v>
      </c>
      <c r="H39" s="18" t="n">
        <v>360.68</v>
      </c>
      <c r="I39" s="18" t="n">
        <v>304.92</v>
      </c>
      <c r="J39" s="18" t="n">
        <v>326.5</v>
      </c>
      <c r="K39" s="37">
        <f>SUM(G39:J39)</f>
        <v/>
      </c>
      <c r="L39" s="18" t="n">
        <v>327.78</v>
      </c>
      <c r="M39" s="18" t="n">
        <v>430.12</v>
      </c>
      <c r="N39" s="18" t="n">
        <v>378.46</v>
      </c>
      <c r="O39" s="18" t="n">
        <v>438.96</v>
      </c>
      <c r="P39" s="37">
        <f>SUM(L39:O39)</f>
        <v/>
      </c>
      <c r="Q39" s="18" t="n">
        <v>431.15</v>
      </c>
      <c r="R39" s="18" t="n">
        <v>551.66</v>
      </c>
      <c r="S39" s="18" t="n">
        <v>522.16</v>
      </c>
      <c r="T39" s="18" t="n">
        <v>568.08</v>
      </c>
      <c r="U39" s="37">
        <f>SUM(Q39:T39)</f>
        <v/>
      </c>
      <c r="V39" s="18" t="n">
        <v>510.43</v>
      </c>
      <c r="W39" s="18" t="n">
        <v>515.36</v>
      </c>
      <c r="X39" s="18" t="n">
        <v>528.22</v>
      </c>
      <c r="Y39" s="18" t="n">
        <v>518.55</v>
      </c>
      <c r="Z39" s="37">
        <f>SUM(V39:Y39)</f>
        <v/>
      </c>
      <c r="AA39" s="18" t="n">
        <v>564.46</v>
      </c>
      <c r="AB39" s="19" t="n">
        <v>596.77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-2.5</v>
      </c>
      <c r="F40" s="37" t="n"/>
      <c r="G40" s="18" t="n">
        <v>13.66</v>
      </c>
      <c r="H40" s="18" t="n">
        <v>48.71</v>
      </c>
      <c r="I40" s="18" t="n">
        <v>16.33</v>
      </c>
      <c r="J40" s="18" t="n">
        <v>13.11</v>
      </c>
      <c r="K40" s="37">
        <f>SUM(G40:J40)</f>
        <v/>
      </c>
      <c r="L40" s="18" t="n">
        <v>24.93</v>
      </c>
      <c r="M40" s="18" t="n">
        <v>48.55</v>
      </c>
      <c r="N40" s="18" t="n">
        <v>30.1</v>
      </c>
      <c r="O40" s="18" t="n">
        <v>24.06</v>
      </c>
      <c r="P40" s="37">
        <f>SUM(L40:O40)</f>
        <v/>
      </c>
      <c r="Q40" s="18" t="n">
        <v>41.98</v>
      </c>
      <c r="R40" s="18" t="n">
        <v>68.91</v>
      </c>
      <c r="S40" s="18" t="n">
        <v>96.98</v>
      </c>
      <c r="T40" s="18" t="n">
        <v>40.81</v>
      </c>
      <c r="U40" s="37">
        <f>SUM(Q40:T40)</f>
        <v/>
      </c>
      <c r="V40" s="18" t="n">
        <v>81.97</v>
      </c>
      <c r="W40" s="18" t="n">
        <v>62.39</v>
      </c>
      <c r="X40" s="18" t="n">
        <v>64.08</v>
      </c>
      <c r="Y40" s="18" t="n">
        <v>34.35</v>
      </c>
      <c r="Z40" s="37">
        <f>SUM(V40:Y40)</f>
        <v/>
      </c>
      <c r="AA40" s="18" t="n">
        <v>79.81</v>
      </c>
      <c r="AB40" s="19" t="n">
        <v>88.19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631.5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7.27</v>
      </c>
    </row>
    <row r="32">
      <c r="C32" s="2" t="inlineStr">
        <is>
          <t>pbr_now</t>
        </is>
      </c>
      <c r="D32" t="n">
        <v>1.51</v>
      </c>
    </row>
    <row r="33">
      <c r="C33" s="2" t="inlineStr">
        <is>
          <t>roe_fwd</t>
        </is>
      </c>
      <c r="D33" t="n">
        <v>0.2077</v>
      </c>
    </row>
    <row r="34">
      <c r="C34" s="2" t="inlineStr">
        <is>
          <t>fair_pbr</t>
        </is>
      </c>
      <c r="D34" t="n">
        <v>2.31</v>
      </c>
    </row>
    <row r="35">
      <c r="C35" s="2" t="inlineStr">
        <is>
          <t>fair_value_pbr</t>
        </is>
      </c>
      <c r="D35" t="n">
        <v>7000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