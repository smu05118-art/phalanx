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239209억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248386억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258722억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264931억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275028억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289006억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305439억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321185억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335176억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346949억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239209억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248386억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258722억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264931억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275028억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289006억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305439억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321185억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335176억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346949억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677억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278억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344억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424억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504억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596억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677억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779억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880억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4360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4535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0.240359799</v>
      </c>
      <c r="AD21" s="24" t="n">
        <v>0.410121122</v>
      </c>
      <c r="AE21" s="25" t="n"/>
      <c r="AF21" s="24" t="n">
        <v>0.113136649</v>
      </c>
      <c r="AG21" s="24" t="n">
        <v>0.282389213</v>
      </c>
      <c r="AH21" s="24" t="n">
        <v>0.149745108</v>
      </c>
      <c r="AI21" s="24" t="n">
        <v>0.163521238</v>
      </c>
      <c r="AJ21" s="25" t="n"/>
      <c r="AK21" s="24" t="n">
        <v>0.180560861</v>
      </c>
      <c r="AL21" s="24" t="n">
        <v>0.21232474</v>
      </c>
      <c r="AM21" s="24" t="n">
        <v>0.218693996</v>
      </c>
      <c r="AN21" s="24" t="n">
        <v>0.20049601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0.131353216</v>
      </c>
      <c r="AD23" s="24" t="n">
        <v>0.131342141</v>
      </c>
      <c r="AE23" s="25">
        <f>IFERROR(subQ!AE9/subQ!AE5,"")</f>
        <v/>
      </c>
      <c r="AF23" s="24" t="n">
        <v>0.131350267</v>
      </c>
      <c r="AG23" s="24" t="n">
        <v>0.1313489</v>
      </c>
      <c r="AH23" s="24" t="n">
        <v>0.131343838</v>
      </c>
      <c r="AI23" s="24" t="n">
        <v>0.131348511</v>
      </c>
      <c r="AJ23" s="25">
        <f>IFERROR(subQ!AJ9/subQ!AJ5,"")</f>
        <v/>
      </c>
      <c r="AK23" s="24" t="n">
        <v>0.131347992</v>
      </c>
      <c r="AL23" s="24" t="n">
        <v>0.131345793</v>
      </c>
      <c r="AM23" s="24" t="n">
        <v>0.13134647</v>
      </c>
      <c r="AN23" s="24" t="n">
        <v>0.131343196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0.004990651</v>
      </c>
      <c r="AD33" s="30" t="n">
        <v>-0.014708745</v>
      </c>
      <c r="AE33" s="31" t="n"/>
      <c r="AF33" s="30" t="n">
        <v>0.004085883</v>
      </c>
      <c r="AG33" s="30" t="n">
        <v>-0.001492675</v>
      </c>
      <c r="AH33" s="30" t="n">
        <v>0.000312006</v>
      </c>
      <c r="AI33" s="30" t="n">
        <v>-0.003074955</v>
      </c>
      <c r="AJ33" s="31" t="n"/>
      <c r="AK33" s="30" t="n">
        <v>-0.00415874</v>
      </c>
      <c r="AL33" s="30" t="n">
        <v>0.003633887</v>
      </c>
      <c r="AM33" s="30" t="n">
        <v>-0.003914239</v>
      </c>
      <c r="AN33" s="30" t="n">
        <v>-0.001291564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0.004990651</v>
      </c>
      <c r="AD34" s="30" t="n">
        <v>-0.014708745</v>
      </c>
      <c r="AE34" s="31" t="n"/>
      <c r="AF34" s="30" t="n">
        <v>0.004085883</v>
      </c>
      <c r="AG34" s="30" t="n">
        <v>-0.001492675</v>
      </c>
      <c r="AH34" s="30" t="n">
        <v>0.000312006</v>
      </c>
      <c r="AI34" s="30" t="n">
        <v>-0.003074955</v>
      </c>
      <c r="AJ34" s="31" t="n"/>
      <c r="AK34" s="30" t="n">
        <v>-0.00415874</v>
      </c>
      <c r="AL34" s="30" t="n">
        <v>0.003633887</v>
      </c>
      <c r="AM34" s="30" t="n">
        <v>-0.003914239</v>
      </c>
      <c r="AN34" s="30" t="n">
        <v>-0.001291564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-0.577145716</v>
      </c>
      <c r="AD36" s="24" t="n">
        <v>-1.54601479</v>
      </c>
      <c r="AE36" s="25" t="n"/>
      <c r="AF36" s="24" t="n">
        <v>2.456358164</v>
      </c>
      <c r="AG36" s="24" t="n">
        <v>0.876455862</v>
      </c>
      <c r="AH36" s="24" t="n">
        <v>0.465224201</v>
      </c>
      <c r="AI36" s="24" t="n">
        <v>0.362049171</v>
      </c>
      <c r="AJ36" s="25" t="n"/>
      <c r="AK36" s="24" t="n">
        <v>0.235495873</v>
      </c>
      <c r="AL36" s="24" t="n">
        <v>0.239048605</v>
      </c>
      <c r="AM36" s="24" t="n">
        <v>0.193270929</v>
      </c>
      <c r="AN36" s="24" t="n">
        <v>0.181236674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0.485834779</v>
      </c>
      <c r="AD37" s="24" t="n">
        <v>0.370337565</v>
      </c>
      <c r="AE37" s="25" t="n"/>
      <c r="AF37" s="24" t="n">
        <v>0.234415398</v>
      </c>
      <c r="AG37" s="24" t="n">
        <v>0.234233186</v>
      </c>
      <c r="AH37" s="24" t="n">
        <v>0.189049684</v>
      </c>
      <c r="AI37" s="24" t="n">
        <v>0.181252354</v>
      </c>
      <c r="AJ37" s="25" t="n"/>
      <c r="AK37" s="24" t="n">
        <v>0.135955565</v>
      </c>
      <c r="AL37" s="24" t="n">
        <v>0.150114484</v>
      </c>
      <c r="AM37" s="24" t="n">
        <v>0.130726845</v>
      </c>
      <c r="AN37" s="24" t="n">
        <v>0.129391719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4490</v>
      </c>
      <c r="E45" s="2" t="inlineStr">
        <is>
          <t>원 — 네이버 정규장 종가(aik 확정종가 대조 · aik 4,590원)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0.196075490094972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0.05618888432936654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0.05882749414775901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0.04062133315992117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631.2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7.11</v>
      </c>
    </row>
    <row r="32">
      <c r="C32" s="2" t="inlineStr">
        <is>
          <t>pbr_now</t>
        </is>
      </c>
      <c r="D32" t="n">
        <v>1.48</v>
      </c>
    </row>
    <row r="33">
      <c r="C33" s="2" t="inlineStr">
        <is>
          <t>roe_fwd</t>
        </is>
      </c>
      <c r="D33" t="n">
        <v>0.2076</v>
      </c>
    </row>
    <row r="34">
      <c r="C34" s="2" t="inlineStr">
        <is>
          <t>fair_pbr</t>
        </is>
      </c>
      <c r="D34" t="n">
        <v>2.31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