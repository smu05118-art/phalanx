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239820억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249909억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260669억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267036억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276636억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289965억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306540억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323156억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338664억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352503억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239820억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249909억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260669억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267036억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276636억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289965억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306540억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323156억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338664억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352503억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782억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279억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345억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426억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507억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599억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680억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782억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4160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3900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4351.9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0.243540305</v>
      </c>
      <c r="AD21" s="24" t="n">
        <v>0.418760578</v>
      </c>
      <c r="AE21" s="25" t="n"/>
      <c r="AF21" s="24" t="n">
        <v>0.121516355</v>
      </c>
      <c r="AG21" s="24" t="n">
        <v>0.292577411</v>
      </c>
      <c r="AH21" s="24" t="n">
        <v>0.15350303</v>
      </c>
      <c r="AI21" s="24" t="n">
        <v>0.160282724</v>
      </c>
      <c r="AJ21" s="25" t="n"/>
      <c r="AK21" s="24" t="n">
        <v>0.175973462</v>
      </c>
      <c r="AL21" s="24" t="n">
        <v>0.210158549</v>
      </c>
      <c r="AM21" s="24" t="n">
        <v>0.224234185</v>
      </c>
      <c r="AN21" s="24" t="n">
        <v>0.215669736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0.131352191</v>
      </c>
      <c r="AD23" s="24" t="n">
        <v>0.131344298</v>
      </c>
      <c r="AE23" s="25">
        <f>IFERROR(subQ!AE9/subQ!AE5,"")</f>
        <v/>
      </c>
      <c r="AF23" s="24" t="n">
        <v>0.131348235</v>
      </c>
      <c r="AG23" s="24" t="n">
        <v>0.131350714</v>
      </c>
      <c r="AH23" s="24" t="n">
        <v>0.131346593</v>
      </c>
      <c r="AI23" s="24" t="n">
        <v>0.131346501</v>
      </c>
      <c r="AJ23" s="25">
        <f>IFERROR(subQ!AJ9/subQ!AJ5,"")</f>
        <v/>
      </c>
      <c r="AK23" s="24" t="n">
        <v>0.131345288</v>
      </c>
      <c r="AL23" s="24" t="n">
        <v>0.131347217</v>
      </c>
      <c r="AM23" s="24" t="n">
        <v>0.131340355</v>
      </c>
      <c r="AN23" s="24" t="n">
        <v>0.131345642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0.001833055</v>
      </c>
      <c r="AD33" s="30" t="n">
        <v>-0.008674167</v>
      </c>
      <c r="AE33" s="31" t="n"/>
      <c r="AF33" s="30" t="n">
        <v>-0.000456501</v>
      </c>
      <c r="AG33" s="30" t="n">
        <v>0.004455161</v>
      </c>
      <c r="AH33" s="30" t="n">
        <v>-0.003165412</v>
      </c>
      <c r="AI33" s="30" t="n">
        <v>-0.010027495</v>
      </c>
      <c r="AJ33" s="31" t="n"/>
      <c r="AK33" s="30" t="n">
        <v>-0.003732628</v>
      </c>
      <c r="AL33" s="30" t="n">
        <v>-0.001002801</v>
      </c>
      <c r="AM33" s="30" t="n">
        <v>-0.009596225999999999</v>
      </c>
      <c r="AN33" s="30" t="n">
        <v>-0.001329128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0.001833055</v>
      </c>
      <c r="AD34" s="30" t="n">
        <v>-0.008674167</v>
      </c>
      <c r="AE34" s="31" t="n"/>
      <c r="AF34" s="30" t="n">
        <v>-0.000456501</v>
      </c>
      <c r="AG34" s="30" t="n">
        <v>0.004455161</v>
      </c>
      <c r="AH34" s="30" t="n">
        <v>-0.003165412</v>
      </c>
      <c r="AI34" s="30" t="n">
        <v>-0.010027495</v>
      </c>
      <c r="AJ34" s="31" t="n"/>
      <c r="AK34" s="30" t="n">
        <v>-0.003732628</v>
      </c>
      <c r="AL34" s="30" t="n">
        <v>-0.001002801</v>
      </c>
      <c r="AM34" s="30" t="n">
        <v>-0.009596225999999999</v>
      </c>
      <c r="AN34" s="30" t="n">
        <v>-0.001329128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-0.578709269</v>
      </c>
      <c r="AD36" s="24" t="n">
        <v>-1.561649485</v>
      </c>
      <c r="AE36" s="25" t="n"/>
      <c r="AF36" s="24" t="n">
        <v>2.415198238</v>
      </c>
      <c r="AG36" s="24" t="n">
        <v>0.872514243</v>
      </c>
      <c r="AH36" s="24" t="n">
        <v>0.463203215</v>
      </c>
      <c r="AI36" s="24" t="n">
        <v>0.360076896</v>
      </c>
      <c r="AJ36" s="25" t="n"/>
      <c r="AK36" s="24" t="n">
        <v>0.234603513</v>
      </c>
      <c r="AL36" s="24" t="n">
        <v>0.238901869</v>
      </c>
      <c r="AM36" s="24" t="n">
        <v>0.193946252</v>
      </c>
      <c r="AN36" s="24" t="n">
        <v>0.182722836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0.487077727</v>
      </c>
      <c r="AD37" s="24" t="n">
        <v>0.372388023</v>
      </c>
      <c r="AE37" s="25" t="n"/>
      <c r="AF37" s="24" t="n">
        <v>0.235696629</v>
      </c>
      <c r="AG37" s="24" t="n">
        <v>0.235358924</v>
      </c>
      <c r="AH37" s="24" t="n">
        <v>0.189368693</v>
      </c>
      <c r="AI37" s="24" t="n">
        <v>0.181080921</v>
      </c>
      <c r="AJ37" s="25" t="n"/>
      <c r="AK37" s="24" t="n">
        <v>0.135876103</v>
      </c>
      <c r="AL37" s="24" t="n">
        <v>0.150391975</v>
      </c>
      <c r="AM37" s="24" t="n">
        <v>0.131485412</v>
      </c>
      <c r="AN37" s="24" t="n">
        <v>0.130714818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4160</v>
      </c>
      <c r="E45" s="2" t="inlineStr">
        <is>
          <t>원 — 네이버 정규장 종가(aik 확정종가 대조 · aik 4,125원)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20261014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0.1960729573794901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0.05618807853910995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0.05880521700434227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0.04061374172750618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635.2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6.55</v>
      </c>
    </row>
    <row r="32">
      <c r="C32" s="2" t="inlineStr">
        <is>
          <t>pbr_now</t>
        </is>
      </c>
      <c r="D32" t="n">
        <v>1.37</v>
      </c>
    </row>
    <row r="33">
      <c r="C33" s="2" t="inlineStr">
        <is>
          <t>roe_fwd</t>
        </is>
      </c>
      <c r="D33" t="n">
        <v>0.2089</v>
      </c>
    </row>
    <row r="34">
      <c r="C34" s="2" t="inlineStr">
        <is>
          <t>fair_pbr</t>
        </is>
      </c>
      <c r="D34" t="n">
        <v>2.32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