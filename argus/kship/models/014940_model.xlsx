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239825억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250208억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261772억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269220억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279952억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293972억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310408억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326143억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340120억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351874억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모델값 역산(implied): v / 매출액
매출액 × 판관비율 5.62%(최근 4분기 중위)</t>
      </text>
    </comment>
    <comment ref="AD22" authorId="0" shapeId="0">
      <text>
        <t>모델값 역산(implied): v / 매출액
매출액 × 판관비율 5.62%(최근 4분기 중위)</t>
      </text>
    </comment>
    <comment ref="AF22" authorId="0" shapeId="0">
      <text>
        <t>모델값 역산(implied): v / 매출액
매출액 × 판관비율 5.62%(최근 4분기 중위)</t>
      </text>
    </comment>
    <comment ref="AG22" authorId="0" shapeId="0">
      <text>
        <t>모델값 역산(implied): v / 매출액
매출액 × 판관비율 5.62%(최근 4분기 중위)</t>
      </text>
    </comment>
    <comment ref="AH22" authorId="0" shapeId="0">
      <text>
        <t>모델값 역산(implied): v / 매출액
매출액 × 판관비율 5.62%(최근 4분기 중위)</t>
      </text>
    </comment>
    <comment ref="AI22" authorId="0" shapeId="0">
      <text>
        <t>모델값 역산(implied): v / 매출액
매출액 × 판관비율 5.62%(최근 4분기 중위)</t>
      </text>
    </comment>
    <comment ref="AK22" authorId="0" shapeId="0">
      <text>
        <t>모델값 역산(implied): v / 매출액
매출액 × 판관비율 5.62%(최근 4분기 중위)</t>
      </text>
    </comment>
    <comment ref="AL22" authorId="0" shapeId="0">
      <text>
        <t>모델값 역산(implied): v / 매출액
매출액 × 판관비율 5.62%(최근 4분기 중위)</t>
      </text>
    </comment>
    <comment ref="AM22" authorId="0" shapeId="0">
      <text>
        <t>모델값 역산(implied): v / 매출액
매출액 × 판관비율 5.62%(최근 4분기 중위)</t>
      </text>
    </comment>
    <comment ref="AN22" authorId="0" shapeId="0">
      <text>
        <t>모델값 역산(implied): v / 매출액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v / 전년동기 − 1
최근 8분기 OPM 중위 13.1% 유지</t>
      </text>
    </comment>
    <comment ref="AD24" authorId="0" shapeId="0">
      <text>
        <t>모델값 역산(implied): v / 전년동기 − 1
최근 8분기 OPM 중위 13.1% 유지</t>
      </text>
    </comment>
    <comment ref="AF24" authorId="0" shapeId="0">
      <text>
        <t>모델값 역산(implied): v / 전년동기 − 1
최근 8분기 OPM 중위 13.1% 유지</t>
      </text>
    </comment>
    <comment ref="AG24" authorId="0" shapeId="0">
      <text>
        <t>모델값 역산(implied): v / 전년동기 − 1
최근 8분기 OPM 중위 13.1% 유지</t>
      </text>
    </comment>
    <comment ref="AH24" authorId="0" shapeId="0">
      <text>
        <t>모델값 역산(implied): v / 전년동기 − 1
최근 8분기 OPM 중위 13.1% 유지</t>
      </text>
    </comment>
    <comment ref="AI24" authorId="0" shapeId="0">
      <text>
        <t>모델값 역산(implied): v / 전년동기 − 1
최근 8분기 OPM 중위 13.1% 유지</t>
      </text>
    </comment>
    <comment ref="AK24" authorId="0" shapeId="0">
      <text>
        <t>모델값 역산(implied): v / 전년동기 − 1
최근 8분기 OPM 중위 13.1% 유지</t>
      </text>
    </comment>
    <comment ref="AL24" authorId="0" shapeId="0">
      <text>
        <t>모델값 역산(implied): v / 전년동기 − 1
최근 8분기 OPM 중위 13.1% 유지</t>
      </text>
    </comment>
    <comment ref="AM24" authorId="0" shapeId="0">
      <text>
        <t>모델값 역산(implied): v / 전년동기 − 1
최근 8분기 OPM 중위 13.1% 유지</t>
      </text>
    </comment>
    <comment ref="AN24" authorId="0" shapeId="0">
      <text>
        <t>모델값 역산(implied): v / 전년동기 − 1
최근 8분기 OPM 중위 13.1% 유지</t>
      </text>
    </comment>
    <comment ref="AC25" authorId="0" shapeId="0">
      <text>
        <t>모델값 역산(implied): 모델 v 그대로
이자손익 = 이자발생자산 137억 × 8.48% − 총차입금 250억 × 0.00% (연율, CF 실측) ÷ 4; 환·평가손익 0 가정</t>
      </text>
    </comment>
    <comment ref="AD25" authorId="0" shapeId="0">
      <text>
        <t>모델값 역산(implied): 모델 v 그대로
이자손익 = 이자발생자산 206억 × 8.48% − 총차입금 250억 × 0.00% (연율, CF 실측) ÷ 4; 환·평가손익 0 가정</t>
      </text>
    </comment>
    <comment ref="AF25" authorId="0" shapeId="0">
      <text>
        <t>모델값 역산(implied): 모델 v 그대로
이자손익 = 이자발생자산 285억 × 8.48% − 총차입금 250억 × 0.00% (연율, CF 실측) ÷ 4; 환·평가손익 0 가정</t>
      </text>
    </comment>
    <comment ref="AG25" authorId="0" shapeId="0">
      <text>
        <t>모델값 역산(implied): 모델 v 그대로
이자손익 = 이자발생자산 355억 × 8.48% − 총차입금 250억 × 0.00% (연율, CF 실측) ÷ 4; 환·평가손익 0 가정</t>
      </text>
    </comment>
    <comment ref="AH25" authorId="0" shapeId="0">
      <text>
        <t>모델값 역산(implied): 모델 v 그대로
이자손익 = 이자발생자산 441억 × 8.48% − 총차입금 250억 × 0.00% (연율, CF 실측) ÷ 4; 환·평가손익 0 가정</t>
      </text>
    </comment>
    <comment ref="AI25" authorId="0" shapeId="0">
      <text>
        <t>모델값 역산(implied): 모델 v 그대로
이자손익 = 이자발생자산 527억 × 8.48% − 총차입금 250억 × 0.00% (연율, CF 실측) ÷ 4; 환·평가손익 0 가정</t>
      </text>
    </comment>
    <comment ref="AK25" authorId="0" shapeId="0">
      <text>
        <t>모델값 역산(implied): 모델 v 그대로
이자손익 = 이자발생자산 625억 × 8.48% − 총차입금 250억 × 0.00% (연율, CF 실측) ÷ 4; 환·평가손익 0 가정</t>
      </text>
    </comment>
    <comment ref="AL25" authorId="0" shapeId="0">
      <text>
        <t>모델값 역산(implied): 모델 v 그대로
이자손익 = 이자발생자산 713억 × 8.48% − 총차입금 250억 × 0.00% (연율, CF 실측) ÷ 4; 환·평가손익 0 가정</t>
      </text>
    </comment>
    <comment ref="AM25" authorId="0" shapeId="0">
      <text>
        <t>모델값 역산(implied): 모델 v 그대로
이자손익 = 이자발생자산 822억 × 8.48% − 총차입금 250억 × 0.00% (연율, CF 실측) ÷ 4; 환·평가손익 0 가정</t>
      </text>
    </comment>
    <comment ref="AN25" authorId="0" shapeId="0">
      <text>
        <t>모델값 역산(implied): 모델 v 그대로
이자손익 = 이자발생자산 932억 × 8.48% − 총차입금 250억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19.6%(최근 12분기 유효세율 19.6% → 5~27% 클립)</t>
      </text>
    </comment>
    <comment ref="AD28" authorId="0" shapeId="0">
      <text>
        <t>모델값 역산(implied): v / 세전이익
max(세전, 0) × 세율 19.6%(최근 12분기 유효세율 19.6% → 5~27% 클립)</t>
      </text>
    </comment>
    <comment ref="AF28" authorId="0" shapeId="0">
      <text>
        <t>모델값 역산(implied): v / 세전이익
max(세전, 0) × 세율 19.6%(최근 12분기 유효세율 19.6% → 5~27% 클립)</t>
      </text>
    </comment>
    <comment ref="AG28" authorId="0" shapeId="0">
      <text>
        <t>모델값 역산(implied): v / 세전이익
max(세전, 0) × 세율 19.6%(최근 12분기 유효세율 19.6% → 5~27% 클립)</t>
      </text>
    </comment>
    <comment ref="AH28" authorId="0" shapeId="0">
      <text>
        <t>모델값 역산(implied): v / 세전이익
max(세전, 0) × 세율 19.6%(최근 12분기 유효세율 19.6% → 5~27% 클립)</t>
      </text>
    </comment>
    <comment ref="AI28" authorId="0" shapeId="0">
      <text>
        <t>모델값 역산(implied): v / 세전이익
max(세전, 0) × 세율 19.6%(최근 12분기 유효세율 19.6% → 5~27% 클립)</t>
      </text>
    </comment>
    <comment ref="AK28" authorId="0" shapeId="0">
      <text>
        <t>모델값 역산(implied): v / 세전이익
max(세전, 0) × 세율 19.6%(최근 12분기 유효세율 19.6% → 5~27% 클립)</t>
      </text>
    </comment>
    <comment ref="AL28" authorId="0" shapeId="0">
      <text>
        <t>모델값 역산(implied): v / 세전이익
max(세전, 0) × 세율 19.6%(최근 12분기 유효세율 19.6% → 5~27% 클립)</t>
      </text>
    </comment>
    <comment ref="AM28" authorId="0" shapeId="0">
      <text>
        <t>모델값 역산(implied): v / 세전이익
max(세전, 0) × 세율 19.6%(최근 12분기 유효세율 19.6% → 5~27% 클립)</t>
      </text>
    </comment>
    <comment ref="AN28" authorId="0" shapeId="0">
      <text>
        <t>모델값 역산(implied): v / 세전이익
max(세전, 0) × 세율 19.6%(최근 12분기 유효세율 19.6%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239825억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250208억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261772억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269220억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279952억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293972억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310408억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326143억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340120억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351874억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13.1% 유지
[yoy]</t>
      </text>
    </comment>
    <comment ref="AD10" authorId="0" shapeId="0">
      <text>
        <t>추정: 최근 8분기 OPM 중위 13.1% 유지
[yoy]</t>
      </text>
    </comment>
    <comment ref="AF10" authorId="0" shapeId="0">
      <text>
        <t>추정: 최근 8분기 OPM 중위 13.1% 유지
[yoy]</t>
      </text>
    </comment>
    <comment ref="AG10" authorId="0" shapeId="0">
      <text>
        <t>추정: 최근 8분기 OPM 중위 13.1% 유지
[yoy]</t>
      </text>
    </comment>
    <comment ref="AH10" authorId="0" shapeId="0">
      <text>
        <t>추정: 최근 8분기 OPM 중위 13.1% 유지
[yoy]</t>
      </text>
    </comment>
    <comment ref="AI10" authorId="0" shapeId="0">
      <text>
        <t>추정: 최근 8분기 OPM 중위 13.1% 유지
[yoy]</t>
      </text>
    </comment>
    <comment ref="AK10" authorId="0" shapeId="0">
      <text>
        <t>추정: 최근 8분기 OPM 중위 13.1% 유지
[yoy]</t>
      </text>
    </comment>
    <comment ref="AL10" authorId="0" shapeId="0">
      <text>
        <t>추정: 최근 8분기 OPM 중위 13.1% 유지
[yoy]</t>
      </text>
    </comment>
    <comment ref="AM10" authorId="0" shapeId="0">
      <text>
        <t>추정: 최근 8분기 OPM 중위 13.1% 유지
[yoy]</t>
      </text>
    </comment>
    <comment ref="AN10" authorId="0" shapeId="0">
      <text>
        <t>추정: 최근 8분기 OPM 중위 13.1% 유지
[yoy]</t>
      </text>
    </comment>
    <comment ref="AC11" authorId="0" shapeId="0">
      <text>
        <t>추정: 이자손익 = 이자발생자산 137억 × 8.48% − 총차입금 250억 × 0.00% (연율, CF 실측) ÷ 4; 환·평가손익 0 가정
[abs]</t>
      </text>
    </comment>
    <comment ref="AD11" authorId="0" shapeId="0">
      <text>
        <t>추정: 이자손익 = 이자발생자산 206억 × 8.48% − 총차입금 250억 × 0.00% (연율, CF 실측) ÷ 4; 환·평가손익 0 가정
[abs]</t>
      </text>
    </comment>
    <comment ref="AF11" authorId="0" shapeId="0">
      <text>
        <t>추정: 이자손익 = 이자발생자산 285억 × 8.48% − 총차입금 250억 × 0.00% (연율, CF 실측) ÷ 4; 환·평가손익 0 가정
[abs]</t>
      </text>
    </comment>
    <comment ref="AG11" authorId="0" shapeId="0">
      <text>
        <t>추정: 이자손익 = 이자발생자산 355억 × 8.48% − 총차입금 250억 × 0.00% (연율, CF 실측) ÷ 4; 환·평가손익 0 가정
[abs]</t>
      </text>
    </comment>
    <comment ref="AH11" authorId="0" shapeId="0">
      <text>
        <t>추정: 이자손익 = 이자발생자산 441억 × 8.48% − 총차입금 250억 × 0.00% (연율, CF 실측) ÷ 4; 환·평가손익 0 가정
[abs]</t>
      </text>
    </comment>
    <comment ref="AI11" authorId="0" shapeId="0">
      <text>
        <t>추정: 이자손익 = 이자발생자산 527억 × 8.48% − 총차입금 250억 × 0.00% (연율, CF 실측) ÷ 4; 환·평가손익 0 가정
[abs]</t>
      </text>
    </comment>
    <comment ref="AK11" authorId="0" shapeId="0">
      <text>
        <t>추정: 이자손익 = 이자발생자산 625억 × 8.48% − 총차입금 250억 × 0.00% (연율, CF 실측) ÷ 4; 환·평가손익 0 가정
[abs]</t>
      </text>
    </comment>
    <comment ref="AL11" authorId="0" shapeId="0">
      <text>
        <t>추정: 이자손익 = 이자발생자산 713억 × 8.48% − 총차입금 250억 × 0.00% (연율, CF 실측) ÷ 4; 환·평가손익 0 가정
[abs]</t>
      </text>
    </comment>
    <comment ref="AM11" authorId="0" shapeId="0">
      <text>
        <t>추정: 이자손익 = 이자발생자산 822억 × 8.48% − 총차입금 250억 × 0.00% (연율, CF 실측) ÷ 4; 환·평가손익 0 가정
[abs]</t>
      </text>
    </comment>
    <comment ref="AN11" authorId="0" shapeId="0">
      <text>
        <t>추정: 이자손익 = 이자발생자산 932억 × 8.48% − 총차입금 250억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19.6% → 5~27% 클립)
[ratio]</t>
      </text>
    </comment>
    <comment ref="AD15" authorId="0" shapeId="0">
      <text>
        <t>추정: max(세전, 0) × 세율 19.6%(최근 12분기 유효세율 19.6% → 5~27% 클립)
[ratio]</t>
      </text>
    </comment>
    <comment ref="AF15" authorId="0" shapeId="0">
      <text>
        <t>추정: max(세전, 0) × 세율 19.6%(최근 12분기 유효세율 19.6% → 5~27% 클립)
[ratio]</t>
      </text>
    </comment>
    <comment ref="AG15" authorId="0" shapeId="0">
      <text>
        <t>추정: max(세전, 0) × 세율 19.6%(최근 12분기 유효세율 19.6% → 5~27% 클립)
[ratio]</t>
      </text>
    </comment>
    <comment ref="AH15" authorId="0" shapeId="0">
      <text>
        <t>추정: max(세전, 0) × 세율 19.6%(최근 12분기 유효세율 19.6% → 5~27% 클립)
[ratio]</t>
      </text>
    </comment>
    <comment ref="AI15" authorId="0" shapeId="0">
      <text>
        <t>추정: max(세전, 0) × 세율 19.6%(최근 12분기 유효세율 19.6% → 5~27% 클립)
[ratio]</t>
      </text>
    </comment>
    <comment ref="AK15" authorId="0" shapeId="0">
      <text>
        <t>추정: max(세전, 0) × 세율 19.6%(최근 12분기 유효세율 19.6% → 5~27% 클립)
[ratio]</t>
      </text>
    </comment>
    <comment ref="AL15" authorId="0" shapeId="0">
      <text>
        <t>추정: max(세전, 0) × 세율 19.6%(최근 12분기 유효세율 19.6% → 5~27% 클립)
[ratio]</t>
      </text>
    </comment>
    <comment ref="AM15" authorId="0" shapeId="0">
      <text>
        <t>추정: max(세전, 0) × 세율 19.6%(최근 12분기 유효세율 19.6% → 5~27% 클립)
[ratio]</t>
      </text>
    </comment>
    <comment ref="AN15" authorId="0" shapeId="0">
      <text>
        <t>추정: max(세전, 0) × 세율 19.6%(최근 12분기 유효세율 19.6%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assets/models/014940.json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10.7, "wape_trend": 13.2,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0.243559</v>
      </c>
      <c r="AD21" s="24" t="n">
        <v>0.420458</v>
      </c>
      <c r="AE21" s="25" t="n"/>
      <c r="AF21" s="24" t="n">
        <v>0.126264</v>
      </c>
      <c r="AG21" s="24" t="n">
        <v>0.303151</v>
      </c>
      <c r="AH21" s="24" t="n">
        <v>0.167324</v>
      </c>
      <c r="AI21" s="24" t="n">
        <v>0.174903</v>
      </c>
      <c r="AJ21" s="25" t="n"/>
      <c r="AK21" s="24" t="n">
        <v>0.185786</v>
      </c>
      <c r="AL21" s="24" t="n">
        <v>0.211437</v>
      </c>
      <c r="AM21" s="24" t="n">
        <v>0.214912</v>
      </c>
      <c r="AN21" s="24" t="n">
        <v>0.19697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0.056191</v>
      </c>
      <c r="AD22" s="24" t="n">
        <v>0.056192</v>
      </c>
      <c r="AE22" s="25">
        <f>IFERROR(subQ!AE8/subQ!AE5,"")</f>
        <v/>
      </c>
      <c r="AF22" s="24" t="n">
        <v>0.056187</v>
      </c>
      <c r="AG22" s="24" t="n">
        <v>0.056193</v>
      </c>
      <c r="AH22" s="24" t="n">
        <v>0.056183</v>
      </c>
      <c r="AI22" s="24" t="n">
        <v>0.056193</v>
      </c>
      <c r="AJ22" s="25">
        <f>IFERROR(subQ!AJ8/subQ!AJ5,"")</f>
        <v/>
      </c>
      <c r="AK22" s="24" t="n">
        <v>0.056192</v>
      </c>
      <c r="AL22" s="24" t="n">
        <v>0.056193</v>
      </c>
      <c r="AM22" s="24" t="n">
        <v>0.056185</v>
      </c>
      <c r="AN22" s="24" t="n">
        <v>0.056185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</v>
      </c>
      <c r="AD23" s="24" t="n">
        <v>0.13135</v>
      </c>
      <c r="AE23" s="25">
        <f>IFERROR(subQ!AE9/subQ!AE5,"")</f>
        <v/>
      </c>
      <c r="AF23" s="24" t="n">
        <v>0.131345</v>
      </c>
      <c r="AG23" s="24" t="n">
        <v>0.131339</v>
      </c>
      <c r="AH23" s="24" t="n">
        <v>0.131341</v>
      </c>
      <c r="AI23" s="24" t="n">
        <v>0.131348</v>
      </c>
      <c r="AJ23" s="25">
        <f>IFERROR(subQ!AJ9/subQ!AJ5,"")</f>
        <v/>
      </c>
      <c r="AK23" s="24" t="n">
        <v>0.131341</v>
      </c>
      <c r="AL23" s="24" t="n">
        <v>0.131343</v>
      </c>
      <c r="AM23" s="24" t="n">
        <v>0.131348</v>
      </c>
      <c r="AN23" s="24" t="n">
        <v>0.131349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0.08244</v>
      </c>
      <c r="AD24" s="24" t="n">
        <v>0.983384</v>
      </c>
      <c r="AE24" s="25" t="n"/>
      <c r="AF24" s="24" t="n">
        <v>-0.07142900000000001</v>
      </c>
      <c r="AG24" s="24" t="n">
        <v>-0.111637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2.9</v>
      </c>
      <c r="AD25" s="29" t="n">
        <v>4.37</v>
      </c>
      <c r="AE25" s="30">
        <f>subQ!AE11</f>
        <v/>
      </c>
      <c r="AF25" s="29" t="n">
        <v>6.05</v>
      </c>
      <c r="AG25" s="29" t="n">
        <v>7.52</v>
      </c>
      <c r="AH25" s="29" t="n">
        <v>9.34</v>
      </c>
      <c r="AI25" s="29" t="n">
        <v>11.17</v>
      </c>
      <c r="AJ25" s="30">
        <f>subQ!AJ11</f>
        <v/>
      </c>
      <c r="AK25" s="29" t="n">
        <v>13.25</v>
      </c>
      <c r="AL25" s="29" t="n">
        <v>15.11</v>
      </c>
      <c r="AM25" s="29" t="n">
        <v>17.43</v>
      </c>
      <c r="AN25" s="29" t="n">
        <v>19.77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-2.88</v>
      </c>
      <c r="AD27" s="29" t="n">
        <v>-2.88</v>
      </c>
      <c r="AE27" s="30">
        <f>subQ!AE13</f>
        <v/>
      </c>
      <c r="AF27" s="29" t="n">
        <v>-2.88</v>
      </c>
      <c r="AG27" s="29" t="n">
        <v>-2.88</v>
      </c>
      <c r="AH27" s="29" t="n">
        <v>-2.88</v>
      </c>
      <c r="AI27" s="29" t="n">
        <v>-2.88</v>
      </c>
      <c r="AJ27" s="30">
        <f>subQ!AJ13</f>
        <v/>
      </c>
      <c r="AK27" s="29" t="n">
        <v>-2.88</v>
      </c>
      <c r="AL27" s="29" t="n">
        <v>-2.88</v>
      </c>
      <c r="AM27" s="29" t="n">
        <v>-2.88</v>
      </c>
      <c r="AN27" s="29" t="n">
        <v>-2.88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0.19606</v>
      </c>
      <c r="AD28" s="24" t="n">
        <v>0.19605</v>
      </c>
      <c r="AE28" s="25">
        <f>IFERROR(subQ!AE15/subQ!AE14,"")</f>
        <v/>
      </c>
      <c r="AF28" s="24" t="n">
        <v>0.196031</v>
      </c>
      <c r="AG28" s="24" t="n">
        <v>0.196086</v>
      </c>
      <c r="AH28" s="24" t="n">
        <v>0.196119</v>
      </c>
      <c r="AI28" s="24" t="n">
        <v>0.196048</v>
      </c>
      <c r="AJ28" s="25">
        <f>IFERROR(subQ!AJ15/subQ!AJ14,"")</f>
        <v/>
      </c>
      <c r="AK28" s="24" t="n">
        <v>0.196087</v>
      </c>
      <c r="AL28" s="24" t="n">
        <v>0.196058</v>
      </c>
      <c r="AM28" s="24" t="n">
        <v>0.196114</v>
      </c>
      <c r="AN28" s="24" t="n">
        <v>0.196077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-0.0015</v>
      </c>
      <c r="AD32" s="29" t="n">
        <v>0</v>
      </c>
      <c r="AE32" s="30" t="n"/>
      <c r="AF32" s="29" t="n">
        <v>0</v>
      </c>
      <c r="AG32" s="29" t="n">
        <v>-0</v>
      </c>
      <c r="AH32" s="29" t="n">
        <v>-0.01</v>
      </c>
      <c r="AI32" s="29" t="n">
        <v>0.01</v>
      </c>
      <c r="AJ32" s="30" t="n"/>
      <c r="AK32" s="29" t="n">
        <v>0</v>
      </c>
      <c r="AL32" s="29" t="n">
        <v>0</v>
      </c>
      <c r="AM32" s="29" t="n">
        <v>0</v>
      </c>
      <c r="AN32" s="29" t="n">
        <v>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-0.0015</v>
      </c>
      <c r="AD33" s="29" t="n">
        <v>0</v>
      </c>
      <c r="AE33" s="30" t="n"/>
      <c r="AF33" s="29" t="n">
        <v>0</v>
      </c>
      <c r="AG33" s="29" t="n">
        <v>-0</v>
      </c>
      <c r="AH33" s="29" t="n">
        <v>-0.01</v>
      </c>
      <c r="AI33" s="29" t="n">
        <v>0.01</v>
      </c>
      <c r="AJ33" s="30" t="n"/>
      <c r="AK33" s="29" t="n">
        <v>0</v>
      </c>
      <c r="AL33" s="29" t="n">
        <v>0</v>
      </c>
      <c r="AM33" s="29" t="n">
        <v>0</v>
      </c>
      <c r="AN33" s="29" t="n">
        <v>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-0.602684</v>
      </c>
      <c r="AD35" s="24" t="n">
        <v>-1.726498</v>
      </c>
      <c r="AE35" s="25" t="n"/>
      <c r="AF35" s="24" t="n">
        <v>2.0969</v>
      </c>
      <c r="AG35" s="24" t="n">
        <v>0.834224</v>
      </c>
      <c r="AH35" s="24" t="n">
        <v>0.456453</v>
      </c>
      <c r="AI35" s="24" t="n">
        <v>0.356649</v>
      </c>
      <c r="AJ35" s="25" t="n"/>
      <c r="AK35" s="24" t="n">
        <v>0.235783</v>
      </c>
      <c r="AL35" s="24" t="n">
        <v>0.237183</v>
      </c>
      <c r="AM35" s="24" t="n">
        <v>0.193027</v>
      </c>
      <c r="AN35" s="24" t="n">
        <v>0.180729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0.507257</v>
      </c>
      <c r="AD36" s="24" t="n">
        <v>0.383119</v>
      </c>
      <c r="AE36" s="25" t="n"/>
      <c r="AF36" s="24" t="n">
        <v>0.244345</v>
      </c>
      <c r="AG36" s="24" t="n">
        <v>0.241967</v>
      </c>
      <c r="AH36" s="24" t="n">
        <v>0.195552</v>
      </c>
      <c r="AI36" s="24" t="n">
        <v>0.186117</v>
      </c>
      <c r="AJ36" s="25" t="n"/>
      <c r="AK36" s="24" t="n">
        <v>0.140733</v>
      </c>
      <c r="AL36" s="24" t="n">
        <v>0.153351</v>
      </c>
      <c r="AM36" s="24" t="n">
        <v>0.133886</v>
      </c>
      <c r="AN36" s="24" t="n">
        <v>0.131904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-0.269442</v>
      </c>
      <c r="AD42" s="24" t="n">
        <v>-0.613851</v>
      </c>
      <c r="AE42" s="25" t="n"/>
      <c r="AF42" s="24" t="n">
        <v>-0.575919</v>
      </c>
      <c r="AG42" s="24" t="n">
        <v>-0.546832</v>
      </c>
      <c r="AH42" s="24" t="n">
        <v>-0.330108</v>
      </c>
      <c r="AI42" s="24" t="n">
        <v>-0.201087</v>
      </c>
      <c r="AJ42" s="25" t="n"/>
      <c r="AK42" s="24" t="n">
        <v>-0.21958</v>
      </c>
      <c r="AL42" s="24" t="n">
        <v>-0.203647</v>
      </c>
      <c r="AM42" s="24" t="n">
        <v>-0.208668</v>
      </c>
      <c r="AN42" s="24" t="n">
        <v>-0.209184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-0.507194</v>
      </c>
      <c r="AD43" s="24" t="n">
        <v>-0.606061</v>
      </c>
      <c r="AE43" s="25" t="n"/>
      <c r="AF43" s="24" t="n">
        <v>-0.535316</v>
      </c>
      <c r="AG43" s="24" t="n">
        <v>-0.448598</v>
      </c>
      <c r="AH43" s="24" t="n">
        <v>-0.175182</v>
      </c>
      <c r="AI43" s="24" t="n">
        <v>-0.176923</v>
      </c>
      <c r="AJ43" s="25" t="n"/>
      <c r="AK43" s="24" t="n">
        <v>-0.184</v>
      </c>
      <c r="AL43" s="24" t="n">
        <v>-0.177966</v>
      </c>
      <c r="AM43" s="24" t="n">
        <v>-0.185841</v>
      </c>
      <c r="AN43" s="24" t="n">
        <v>-0.186916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0.13135</v>
      </c>
      <c r="AD45" s="24" t="n">
        <v>0.13135</v>
      </c>
      <c r="AE45" s="25">
        <f>IFERROR(subQ!AE36/subQ!AE35,"")</f>
        <v/>
      </c>
      <c r="AF45" s="24" t="n">
        <v>0.131345</v>
      </c>
      <c r="AG45" s="24" t="n">
        <v>0.131339</v>
      </c>
      <c r="AH45" s="24" t="n">
        <v>0.131341</v>
      </c>
      <c r="AI45" s="24" t="n">
        <v>0.131348</v>
      </c>
      <c r="AJ45" s="25">
        <f>IFERROR(subQ!AJ36/subQ!AJ35,"")</f>
        <v/>
      </c>
      <c r="AK45" s="24" t="n">
        <v>0.131341</v>
      </c>
      <c r="AL45" s="24" t="n">
        <v>0.131343</v>
      </c>
      <c r="AM45" s="24" t="n">
        <v>0.131348</v>
      </c>
      <c r="AN45" s="24" t="n">
        <v>0.131349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4390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12.1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13.4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17.4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0.1961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0.0562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4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4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4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4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4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4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4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4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4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4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4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4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4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4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4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4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4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4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4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4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4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4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4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4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4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4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4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4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4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4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4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4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4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4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4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4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4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4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4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4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4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4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4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4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4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4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4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4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4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4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4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4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4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4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4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4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4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4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4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4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4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4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4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4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4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4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4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4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4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4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4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4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4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4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4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4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4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4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4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4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4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4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4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4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4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4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4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4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4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4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4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4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4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4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4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4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4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4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4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4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4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4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4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4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4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4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4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4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4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4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4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4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4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4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4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4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4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4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4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4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4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4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4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4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4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4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4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4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4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4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4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4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4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4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4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4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4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4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4" t="n">
        <v>28000</v>
      </c>
      <c r="Q36" s="18" t="n">
        <v>27500</v>
      </c>
      <c r="R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4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4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4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4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4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4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4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4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4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4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4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4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4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4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4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4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4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4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4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4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4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4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4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4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4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4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4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4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4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4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4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4" t="n">
        <v>0</v>
      </c>
      <c r="J45" s="18" t="n">
        <v>0</v>
      </c>
      <c r="K45" s="34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4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4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4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4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4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4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4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4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4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4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4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4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4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4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4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4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4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4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4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4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4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4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4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4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4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4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4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4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4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4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4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4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4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4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4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60602.03</v>
      </c>
      <c r="F53" s="34" t="n">
        <v>60602.03</v>
      </c>
      <c r="G53" s="18" t="n">
        <v>8051.28</v>
      </c>
      <c r="H53" s="18" t="n">
        <v>7632.04</v>
      </c>
      <c r="I53" s="18" t="n">
        <v>7215.81</v>
      </c>
      <c r="J53" s="18" t="n">
        <v>36028.39</v>
      </c>
      <c r="K53" s="34" t="n">
        <v>36028.39</v>
      </c>
      <c r="L53" s="18" t="n">
        <v>53591.1</v>
      </c>
      <c r="M53" s="18" t="n">
        <v>53148.72</v>
      </c>
      <c r="N53" s="18" t="n">
        <v>51500</v>
      </c>
      <c r="O53" s="18" t="n">
        <v>52500</v>
      </c>
      <c r="P53" s="34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4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4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41525.42</v>
      </c>
      <c r="F54" s="34" t="n">
        <v>41525.42</v>
      </c>
      <c r="G54" s="18" t="n">
        <v>-9225.219999999999</v>
      </c>
      <c r="H54" s="18" t="n">
        <v>-11458.35</v>
      </c>
      <c r="I54" s="18" t="n">
        <v>-13008.65</v>
      </c>
      <c r="J54" s="18" t="n">
        <v>12987.09</v>
      </c>
      <c r="K54" s="34" t="n">
        <v>12987.09</v>
      </c>
      <c r="L54" s="18" t="n">
        <v>33954.9</v>
      </c>
      <c r="M54" s="18" t="n">
        <v>28651.75</v>
      </c>
      <c r="N54" s="18" t="n">
        <v>41693.26</v>
      </c>
      <c r="O54" s="18" t="n">
        <v>40369.17</v>
      </c>
      <c r="P54" s="34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4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4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4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4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4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4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4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23000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1500</v>
      </c>
      <c r="P57" s="34" t="n">
        <v>1500</v>
      </c>
      <c r="Q57" s="18" t="n">
        <v>2000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T60" s="18" t="n">
        <v>155.64</v>
      </c>
      <c r="U60" s="34" t="n">
        <v>155.64</v>
      </c>
      <c r="V60" s="18" t="n">
        <v>104.5</v>
      </c>
      <c r="W60" s="18" t="n">
        <v>0</v>
      </c>
      <c r="X60" s="18" t="n">
        <v>0</v>
      </c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28703.88</v>
      </c>
      <c r="F61" s="9" t="n"/>
      <c r="G61" s="18" t="n">
        <v>32359.2</v>
      </c>
      <c r="H61" s="18" t="n">
        <v>36067.54</v>
      </c>
      <c r="I61" s="18" t="n">
        <v>30491.74</v>
      </c>
      <c r="J61" s="18" t="n">
        <v>32649.54</v>
      </c>
      <c r="K61" s="34" t="n">
        <v>131568.02</v>
      </c>
      <c r="L61" s="18" t="n">
        <v>32778.49</v>
      </c>
      <c r="M61" s="18" t="n">
        <v>43012.3</v>
      </c>
      <c r="N61" s="18" t="n">
        <v>37846.16</v>
      </c>
      <c r="O61" s="18" t="n">
        <v>43895.77</v>
      </c>
      <c r="P61" s="34" t="n">
        <v>157532.72</v>
      </c>
      <c r="Q61" s="18" t="n">
        <v>43114.87</v>
      </c>
      <c r="R61" s="18" t="n">
        <v>55166.38</v>
      </c>
      <c r="S61" s="18" t="n">
        <v>52216.5</v>
      </c>
      <c r="T61" s="18" t="n">
        <v>56807.56</v>
      </c>
      <c r="U61" s="34" t="n">
        <v>207305.31</v>
      </c>
      <c r="V61" s="18" t="n">
        <v>51042.98</v>
      </c>
      <c r="W61" s="18" t="n">
        <v>51535.9</v>
      </c>
      <c r="X61" s="18" t="n">
        <v>52821.77</v>
      </c>
      <c r="Y61" s="18" t="n">
        <v>51855.12</v>
      </c>
      <c r="Z61" s="34" t="n">
        <v>207255.77</v>
      </c>
      <c r="AA61" s="18" t="n">
        <v>56445.9</v>
      </c>
      <c r="AB61" s="19" t="n">
        <v>59676.89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26509.8</v>
      </c>
      <c r="F62" s="9" t="n"/>
      <c r="G62" s="18" t="n">
        <v>29068.94</v>
      </c>
      <c r="H62" s="18" t="n">
        <v>29141.37</v>
      </c>
      <c r="I62" s="18" t="n">
        <v>26719.38</v>
      </c>
      <c r="J62" s="18" t="n">
        <v>29077.43</v>
      </c>
      <c r="K62" s="34" t="n">
        <v>114007.12</v>
      </c>
      <c r="L62" s="18" t="n">
        <v>28120.59</v>
      </c>
      <c r="M62" s="18" t="n">
        <v>35754.67</v>
      </c>
      <c r="N62" s="18" t="n">
        <v>32558.75</v>
      </c>
      <c r="O62" s="18" t="n">
        <v>38407.05</v>
      </c>
      <c r="P62" s="34" t="n">
        <v>134841.06</v>
      </c>
      <c r="Q62" s="18" t="n">
        <v>36393.95</v>
      </c>
      <c r="R62" s="18" t="n">
        <v>43476.7</v>
      </c>
      <c r="S62" s="18" t="n">
        <v>39667.56</v>
      </c>
      <c r="T62" s="18" t="n">
        <v>47977.91</v>
      </c>
      <c r="U62" s="34" t="n">
        <v>167516.12</v>
      </c>
      <c r="V62" s="18" t="n">
        <v>40199.67</v>
      </c>
      <c r="W62" s="18" t="n">
        <v>42273.82</v>
      </c>
      <c r="X62" s="18" t="n">
        <v>43411.18</v>
      </c>
      <c r="Y62" s="18" t="n">
        <v>45180.91</v>
      </c>
      <c r="Z62" s="34" t="n">
        <v>171065.58</v>
      </c>
      <c r="AA62" s="18" t="n">
        <v>45437.28</v>
      </c>
      <c r="AB62" s="19" t="n">
        <v>47543.89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2194.08</v>
      </c>
      <c r="F63" s="9" t="n"/>
      <c r="G63" s="18" t="n">
        <v>3290.26</v>
      </c>
      <c r="H63" s="18" t="n">
        <v>6926.17</v>
      </c>
      <c r="I63" s="18" t="n">
        <v>3772.36</v>
      </c>
      <c r="J63" s="18" t="n">
        <v>3572.11</v>
      </c>
      <c r="K63" s="34" t="n">
        <v>17560.9</v>
      </c>
      <c r="L63" s="18" t="n">
        <v>4657.9</v>
      </c>
      <c r="M63" s="18" t="n">
        <v>7257.63</v>
      </c>
      <c r="N63" s="18" t="n">
        <v>5287.41</v>
      </c>
      <c r="O63" s="18" t="n">
        <v>5488.72</v>
      </c>
      <c r="P63" s="34" t="n">
        <v>22691.66</v>
      </c>
      <c r="Q63" s="18" t="n">
        <v>6720.92</v>
      </c>
      <c r="R63" s="18" t="n">
        <v>11689.67</v>
      </c>
      <c r="S63" s="18" t="n">
        <v>12548.94</v>
      </c>
      <c r="T63" s="18" t="n">
        <v>8829.65</v>
      </c>
      <c r="U63" s="34" t="n">
        <v>39789.18</v>
      </c>
      <c r="V63" s="18" t="n">
        <v>10843.31</v>
      </c>
      <c r="W63" s="18" t="n">
        <v>9262.08</v>
      </c>
      <c r="X63" s="18" t="n">
        <v>9410.59</v>
      </c>
      <c r="Y63" s="18" t="n">
        <v>6674.21</v>
      </c>
      <c r="Z63" s="34" t="n">
        <v>36190.19</v>
      </c>
      <c r="AA63" s="18" t="n">
        <v>11008.62</v>
      </c>
      <c r="AB63" s="19" t="n">
        <v>12133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2444.45</v>
      </c>
      <c r="F64" s="9" t="n"/>
      <c r="G64" s="18" t="n">
        <v>1924.13</v>
      </c>
      <c r="H64" s="18" t="n">
        <v>2055.31</v>
      </c>
      <c r="I64" s="18" t="n">
        <v>2139.68</v>
      </c>
      <c r="J64" s="18" t="n">
        <v>2261.61</v>
      </c>
      <c r="K64" s="34" t="n">
        <v>8380.73</v>
      </c>
      <c r="L64" s="18" t="n">
        <v>2165.4</v>
      </c>
      <c r="M64" s="18" t="n">
        <v>2402.78</v>
      </c>
      <c r="N64" s="18" t="n">
        <v>2277.73</v>
      </c>
      <c r="O64" s="18" t="n">
        <v>3082.37</v>
      </c>
      <c r="P64" s="34" t="n">
        <v>9928.280000000001</v>
      </c>
      <c r="Q64" s="18" t="n">
        <v>2523.25</v>
      </c>
      <c r="R64" s="18" t="n">
        <v>4798.82</v>
      </c>
      <c r="S64" s="18" t="n">
        <v>2850.61</v>
      </c>
      <c r="T64" s="18" t="n">
        <v>4748.91</v>
      </c>
      <c r="U64" s="34" t="n">
        <v>14921.59</v>
      </c>
      <c r="V64" s="18" t="n">
        <v>2646.42</v>
      </c>
      <c r="W64" s="18" t="n">
        <v>3023.35</v>
      </c>
      <c r="X64" s="18" t="n">
        <v>3002.96</v>
      </c>
      <c r="Y64" s="18" t="n">
        <v>3239.03</v>
      </c>
      <c r="Z64" s="34" t="n">
        <v>11911.76</v>
      </c>
      <c r="AA64" s="18" t="n">
        <v>3027.99</v>
      </c>
      <c r="AB64" s="19" t="n">
        <v>3313.72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-250.36</v>
      </c>
      <c r="F65" s="9" t="n"/>
      <c r="G65" s="18" t="n">
        <v>1366.14</v>
      </c>
      <c r="H65" s="18" t="n">
        <v>4870.87</v>
      </c>
      <c r="I65" s="18" t="n">
        <v>1632.68</v>
      </c>
      <c r="J65" s="18" t="n">
        <v>1310.5</v>
      </c>
      <c r="K65" s="34" t="n">
        <v>9180.190000000001</v>
      </c>
      <c r="L65" s="18" t="n">
        <v>2492.5</v>
      </c>
      <c r="M65" s="18" t="n">
        <v>4854.85</v>
      </c>
      <c r="N65" s="18" t="n">
        <v>3009.69</v>
      </c>
      <c r="O65" s="18" t="n">
        <v>2406.36</v>
      </c>
      <c r="P65" s="34" t="n">
        <v>12763.4</v>
      </c>
      <c r="Q65" s="18" t="n">
        <v>4197.66</v>
      </c>
      <c r="R65" s="18" t="n">
        <v>6890.85</v>
      </c>
      <c r="S65" s="18" t="n">
        <v>9698.32</v>
      </c>
      <c r="T65" s="18" t="n">
        <v>4080.74</v>
      </c>
      <c r="U65" s="34" t="n">
        <v>24867.57</v>
      </c>
      <c r="V65" s="18" t="n">
        <v>8196.889999999999</v>
      </c>
      <c r="W65" s="18" t="n">
        <v>6238.73</v>
      </c>
      <c r="X65" s="18" t="n">
        <v>6407.63</v>
      </c>
      <c r="Y65" s="18" t="n">
        <v>3435.18</v>
      </c>
      <c r="Z65" s="34" t="n">
        <v>24278.43</v>
      </c>
      <c r="AA65" s="18" t="n">
        <v>7980.64</v>
      </c>
      <c r="AB65" s="19" t="n">
        <v>8819.280000000001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101.68</v>
      </c>
      <c r="F66" s="9" t="n"/>
      <c r="G66" s="18" t="n">
        <v>84.76000000000001</v>
      </c>
      <c r="H66" s="18" t="n">
        <v>94.78</v>
      </c>
      <c r="I66" s="18" t="n">
        <v>116.16</v>
      </c>
      <c r="J66" s="18" t="n">
        <v>427.68</v>
      </c>
      <c r="K66" s="34" t="n">
        <v>723.38</v>
      </c>
      <c r="L66" s="18" t="n">
        <v>271.51</v>
      </c>
      <c r="M66" s="18" t="n">
        <v>188.52</v>
      </c>
      <c r="N66" s="18" t="n">
        <v>282.8</v>
      </c>
      <c r="O66" s="18" t="n">
        <v>260.3</v>
      </c>
      <c r="P66" s="34" t="n">
        <v>1003.13</v>
      </c>
      <c r="Q66" s="18" t="n">
        <v>500.63</v>
      </c>
      <c r="R66" s="18" t="n">
        <v>294.81</v>
      </c>
      <c r="S66" s="18" t="n">
        <v>319.02</v>
      </c>
      <c r="T66" s="18" t="n">
        <v>470.88</v>
      </c>
      <c r="U66" s="34" t="n">
        <v>1585.34</v>
      </c>
      <c r="V66" s="18" t="n">
        <v>324.91</v>
      </c>
      <c r="W66" s="18" t="n">
        <v>343.13</v>
      </c>
      <c r="X66" s="18" t="n">
        <v>260.27</v>
      </c>
      <c r="Y66" s="18" t="n">
        <v>318.41</v>
      </c>
      <c r="Z66" s="34" t="n">
        <v>1246.72</v>
      </c>
      <c r="AA66" s="18" t="n">
        <v>503.92</v>
      </c>
      <c r="AB66" s="19" t="n">
        <v>403.25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683.23</v>
      </c>
      <c r="F67" s="9" t="n"/>
      <c r="G67" s="18" t="n">
        <v>622.03</v>
      </c>
      <c r="H67" s="18" t="n">
        <v>514.1799999999999</v>
      </c>
      <c r="I67" s="18" t="n">
        <v>557.12</v>
      </c>
      <c r="J67" s="18" t="n">
        <v>930.6900000000001</v>
      </c>
      <c r="K67" s="34" t="n">
        <v>2624.02</v>
      </c>
      <c r="L67" s="18" t="n">
        <v>751.5</v>
      </c>
      <c r="M67" s="18" t="n">
        <v>827.42</v>
      </c>
      <c r="N67" s="18" t="n">
        <v>915.4400000000001</v>
      </c>
      <c r="O67" s="18" t="n">
        <v>1110.81</v>
      </c>
      <c r="P67" s="34" t="n">
        <v>3605.17</v>
      </c>
      <c r="Q67" s="18" t="n">
        <v>727.8099999999999</v>
      </c>
      <c r="R67" s="18" t="n">
        <v>655.25</v>
      </c>
      <c r="S67" s="18" t="n">
        <v>635.87</v>
      </c>
      <c r="T67" s="18" t="n">
        <v>740.74</v>
      </c>
      <c r="U67" s="34" t="n">
        <v>2759.67</v>
      </c>
      <c r="V67" s="18" t="n">
        <v>567.95</v>
      </c>
      <c r="W67" s="18" t="n">
        <v>476.73</v>
      </c>
      <c r="X67" s="18" t="n">
        <v>361.58</v>
      </c>
      <c r="Y67" s="18" t="n">
        <v>410.92</v>
      </c>
      <c r="Z67" s="34" t="n">
        <v>1817.18</v>
      </c>
      <c r="AA67" s="18" t="n">
        <v>398.18</v>
      </c>
      <c r="AB67" s="19" t="n">
        <v>304.08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-157.17</v>
      </c>
      <c r="F68" s="9" t="n"/>
      <c r="G68" s="18" t="n">
        <v>-70.97</v>
      </c>
      <c r="H68" s="18" t="n">
        <v>-28.21</v>
      </c>
      <c r="I68" s="18" t="n">
        <v>-88.86</v>
      </c>
      <c r="J68" s="18" t="n">
        <v>-1516.68</v>
      </c>
      <c r="K68" s="34" t="n">
        <v>-1704.72</v>
      </c>
      <c r="L68" s="18" t="n">
        <v>-137.36</v>
      </c>
      <c r="M68" s="18" t="n">
        <v>79.13</v>
      </c>
      <c r="N68" s="18" t="n">
        <v>-39.29</v>
      </c>
      <c r="O68" s="18" t="n">
        <v>133.41</v>
      </c>
      <c r="P68" s="34" t="n">
        <v>35.89</v>
      </c>
      <c r="Q68" s="18" t="n">
        <v>-89.77</v>
      </c>
      <c r="R68" s="18" t="n">
        <v>-506.98</v>
      </c>
      <c r="S68" s="18" t="n">
        <v>-331.73</v>
      </c>
      <c r="T68" s="18" t="n">
        <v>-418.24</v>
      </c>
      <c r="U68" s="34" t="n">
        <v>-1346.72</v>
      </c>
      <c r="V68" s="18" t="n">
        <v>-243.75</v>
      </c>
      <c r="Z68" s="9" t="n"/>
      <c r="AB68" s="19" t="n">
        <v>279.54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4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4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4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1039.11</v>
      </c>
      <c r="F70" s="9" t="n"/>
      <c r="G70" s="18" t="n">
        <v>740.89</v>
      </c>
      <c r="H70" s="18" t="n">
        <v>2069.54</v>
      </c>
      <c r="I70" s="18" t="n">
        <v>508.01</v>
      </c>
      <c r="J70" s="18" t="n">
        <v>338.57</v>
      </c>
      <c r="K70" s="34" t="n">
        <v>3657.01</v>
      </c>
      <c r="L70" s="18" t="n">
        <v>471.66</v>
      </c>
      <c r="M70" s="18" t="n">
        <v>472.48</v>
      </c>
      <c r="N70" s="18" t="n">
        <v>454.94</v>
      </c>
      <c r="O70" s="18" t="n">
        <v>471.37</v>
      </c>
      <c r="P70" s="34" t="n">
        <v>1870.45</v>
      </c>
      <c r="Q70" s="18" t="n">
        <v>484.17</v>
      </c>
      <c r="R70" s="18" t="n">
        <v>534.37</v>
      </c>
      <c r="S70" s="18" t="n">
        <v>419.22</v>
      </c>
      <c r="T70" s="18" t="n">
        <v>675.66</v>
      </c>
      <c r="U70" s="34" t="n">
        <v>2113.42</v>
      </c>
      <c r="V70" s="18" t="n">
        <v>448.88</v>
      </c>
      <c r="W70" s="18" t="n">
        <v>1538.5</v>
      </c>
      <c r="X70" s="18" t="n">
        <v>3364.6</v>
      </c>
      <c r="Y70" s="18" t="n">
        <v>676.13</v>
      </c>
      <c r="Z70" s="34" t="n">
        <v>6028.11</v>
      </c>
      <c r="AA70" s="18" t="n">
        <v>703.26</v>
      </c>
      <c r="AB70" s="19" t="n">
        <v>740.76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129.73</v>
      </c>
      <c r="F71" s="9" t="n"/>
      <c r="G71" s="18" t="n">
        <v>55.63</v>
      </c>
      <c r="H71" s="18" t="n">
        <v>65.26000000000001</v>
      </c>
      <c r="I71" s="18" t="n">
        <v>112.97</v>
      </c>
      <c r="J71" s="18" t="n">
        <v>257.87</v>
      </c>
      <c r="K71" s="34" t="n">
        <v>491.73</v>
      </c>
      <c r="L71" s="18" t="n">
        <v>85.08</v>
      </c>
      <c r="M71" s="18" t="n">
        <v>107.99</v>
      </c>
      <c r="N71" s="18" t="n">
        <v>136.43</v>
      </c>
      <c r="O71" s="18" t="n">
        <v>2649.09</v>
      </c>
      <c r="P71" s="34" t="n">
        <v>2978.59</v>
      </c>
      <c r="Q71" s="18" t="n">
        <v>146.81</v>
      </c>
      <c r="R71" s="18" t="n">
        <v>807.3099999999999</v>
      </c>
      <c r="S71" s="18" t="n">
        <v>231.18</v>
      </c>
      <c r="T71" s="18" t="n">
        <v>386.68</v>
      </c>
      <c r="U71" s="34" t="n">
        <v>1571.98</v>
      </c>
      <c r="V71" s="18" t="n">
        <v>81.18000000000001</v>
      </c>
      <c r="W71" s="18" t="n">
        <v>255.31</v>
      </c>
      <c r="X71" s="18" t="n">
        <v>1258.31</v>
      </c>
      <c r="Y71" s="18" t="n">
        <v>228.92</v>
      </c>
      <c r="Z71" s="34" t="n">
        <v>1823.72</v>
      </c>
      <c r="AA71" s="18" t="n">
        <v>149.27</v>
      </c>
      <c r="AB71" s="19" t="n">
        <v>277.06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-79.70999999999999</v>
      </c>
      <c r="F72" s="9" t="n"/>
      <c r="G72" s="18" t="n">
        <v>1443.16</v>
      </c>
      <c r="H72" s="18" t="n">
        <v>6427.53</v>
      </c>
      <c r="I72" s="18" t="n">
        <v>1497.9</v>
      </c>
      <c r="J72" s="18" t="n">
        <v>-628.49</v>
      </c>
      <c r="K72" s="34" t="n">
        <v>8740.1</v>
      </c>
      <c r="L72" s="18" t="n">
        <v>2261.74</v>
      </c>
      <c r="M72" s="18" t="n">
        <v>4659.59</v>
      </c>
      <c r="N72" s="18" t="n">
        <v>2656.27</v>
      </c>
      <c r="O72" s="18" t="n">
        <v>-560.25</v>
      </c>
      <c r="P72" s="34" t="n">
        <v>9017.35</v>
      </c>
      <c r="Q72" s="18" t="n">
        <v>4397.61</v>
      </c>
      <c r="R72" s="18" t="n">
        <v>6764.46</v>
      </c>
      <c r="S72" s="18" t="n">
        <v>9901.25</v>
      </c>
      <c r="T72" s="18" t="n">
        <v>4518.11</v>
      </c>
      <c r="U72" s="34" t="n">
        <v>25581.43</v>
      </c>
      <c r="V72" s="18" t="n">
        <v>8565.309999999999</v>
      </c>
      <c r="W72" s="18" t="n">
        <v>7665.31</v>
      </c>
      <c r="X72" s="18" t="n">
        <v>8669.57</v>
      </c>
      <c r="Y72" s="18" t="n">
        <v>4012.19</v>
      </c>
      <c r="Z72" s="34" t="n">
        <v>28912.38</v>
      </c>
      <c r="AA72" s="18" t="n">
        <v>8834.01</v>
      </c>
      <c r="AB72" s="19" t="n">
        <v>9661.700000000001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367.76</v>
      </c>
      <c r="F73" s="9" t="n"/>
      <c r="G73" s="18" t="n">
        <v>243.77</v>
      </c>
      <c r="H73" s="18" t="n">
        <v>342.32</v>
      </c>
      <c r="I73" s="18" t="n">
        <v>113.18</v>
      </c>
      <c r="J73" s="18" t="n">
        <v>-330.91</v>
      </c>
      <c r="K73" s="34" t="n">
        <v>368.36</v>
      </c>
      <c r="L73" s="18" t="n">
        <v>63.03</v>
      </c>
      <c r="M73" s="18" t="n">
        <v>176.74</v>
      </c>
      <c r="N73" s="18" t="n">
        <v>80.73999999999999</v>
      </c>
      <c r="O73" s="18" t="n">
        <v>-212.01</v>
      </c>
      <c r="P73" s="34" t="n">
        <v>108.5</v>
      </c>
      <c r="Q73" s="18" t="n">
        <v>320.24</v>
      </c>
      <c r="R73" s="18" t="n">
        <v>83.66</v>
      </c>
      <c r="S73" s="18" t="n">
        <v>1884.93</v>
      </c>
      <c r="T73" s="18" t="n">
        <v>-2760.86</v>
      </c>
      <c r="U73" s="34" t="n">
        <v>-472.03</v>
      </c>
      <c r="V73" s="18" t="n">
        <v>1653.37</v>
      </c>
      <c r="W73" s="18" t="n">
        <v>3561.91</v>
      </c>
      <c r="X73" s="18" t="n">
        <v>2797.76</v>
      </c>
      <c r="Y73" s="18" t="n">
        <v>1756.83</v>
      </c>
      <c r="Z73" s="34" t="n">
        <v>9769.870000000001</v>
      </c>
      <c r="AA73" s="18" t="n">
        <v>2678.25</v>
      </c>
      <c r="AB73" s="19" t="n">
        <v>2877.51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-447.47</v>
      </c>
      <c r="F74" s="9" t="n"/>
      <c r="G74" s="18" t="n">
        <v>1199.39</v>
      </c>
      <c r="H74" s="18" t="n">
        <v>6085.21</v>
      </c>
      <c r="I74" s="18" t="n">
        <v>1384.72</v>
      </c>
      <c r="J74" s="18" t="n">
        <v>-297.59</v>
      </c>
      <c r="K74" s="34" t="n">
        <v>8371.73</v>
      </c>
      <c r="L74" s="18" t="n">
        <v>2198.71</v>
      </c>
      <c r="M74" s="18" t="n">
        <v>4482.86</v>
      </c>
      <c r="N74" s="18" t="n">
        <v>2575.53</v>
      </c>
      <c r="O74" s="18" t="n">
        <v>-348.24</v>
      </c>
      <c r="P74" s="34" t="n">
        <v>8908.860000000001</v>
      </c>
      <c r="Q74" s="18" t="n">
        <v>4077.37</v>
      </c>
      <c r="R74" s="18" t="n">
        <v>6680.8</v>
      </c>
      <c r="S74" s="18" t="n">
        <v>8016.33</v>
      </c>
      <c r="T74" s="18" t="n">
        <v>7278.97</v>
      </c>
      <c r="U74" s="34" t="n">
        <v>26053.47</v>
      </c>
      <c r="V74" s="18" t="n">
        <v>6911.93</v>
      </c>
      <c r="W74" s="18" t="n">
        <v>4103.4</v>
      </c>
      <c r="X74" s="18" t="n">
        <v>5871.81</v>
      </c>
      <c r="Y74" s="18" t="n">
        <v>2255.36</v>
      </c>
      <c r="Z74" s="34" t="n">
        <v>19142.5</v>
      </c>
      <c r="AA74" s="18" t="n">
        <v>6155.76</v>
      </c>
      <c r="AB74" s="19" t="n">
        <v>6784.19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E75" s="18" t="n">
        <v>0</v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M75" s="18" t="n">
        <v>0</v>
      </c>
      <c r="N75" s="18" t="n">
        <v>0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-447.47</v>
      </c>
      <c r="F76" s="9" t="n"/>
      <c r="G76" s="18" t="n">
        <v>1199.39</v>
      </c>
      <c r="H76" s="18" t="n">
        <v>6085.21</v>
      </c>
      <c r="I76" s="18" t="n">
        <v>1384.72</v>
      </c>
      <c r="J76" s="18" t="n">
        <v>-297.59</v>
      </c>
      <c r="K76" s="34" t="n">
        <v>8371.73</v>
      </c>
      <c r="L76" s="18" t="n">
        <v>2198.71</v>
      </c>
      <c r="M76" s="18" t="n">
        <v>4482.86</v>
      </c>
      <c r="N76" s="18" t="n">
        <v>2575.53</v>
      </c>
      <c r="O76" s="18" t="n">
        <v>-348.24</v>
      </c>
      <c r="P76" s="34" t="n">
        <v>8908.860000000001</v>
      </c>
      <c r="Q76" s="18" t="n">
        <v>4077.37</v>
      </c>
      <c r="R76" s="18" t="n">
        <v>6680.8</v>
      </c>
      <c r="S76" s="18" t="n">
        <v>8016.33</v>
      </c>
      <c r="T76" s="18" t="n">
        <v>7278.97</v>
      </c>
      <c r="U76" s="34" t="n">
        <v>26053.47</v>
      </c>
      <c r="V76" s="18" t="n">
        <v>6911.93</v>
      </c>
      <c r="W76" s="18" t="n">
        <v>4103.4</v>
      </c>
      <c r="X76" s="18" t="n">
        <v>5871.81</v>
      </c>
      <c r="Y76" s="18" t="n">
        <v>2255.36</v>
      </c>
      <c r="Z76" s="34" t="n">
        <v>19142.5</v>
      </c>
      <c r="AA76" s="18" t="n">
        <v>6155.76</v>
      </c>
      <c r="AB76" s="19" t="n">
        <v>6784.19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9879.219999999999</v>
      </c>
      <c r="F77" s="9" t="n"/>
      <c r="G77" s="18" t="n">
        <v>1178.6</v>
      </c>
      <c r="H77" s="18" t="n">
        <v>6141.53</v>
      </c>
      <c r="I77" s="18" t="n">
        <v>1366.86</v>
      </c>
      <c r="J77" s="18" t="n">
        <v>876.6900000000001</v>
      </c>
      <c r="K77" s="34" t="n">
        <v>9563.68</v>
      </c>
      <c r="L77" s="18" t="n">
        <v>2246.99</v>
      </c>
      <c r="M77" s="18" t="n">
        <v>4407.28</v>
      </c>
      <c r="N77" s="18" t="n">
        <v>2559.21</v>
      </c>
      <c r="O77" s="18" t="n">
        <v>-4854.47</v>
      </c>
      <c r="P77" s="34" t="n">
        <v>4359.01</v>
      </c>
      <c r="Q77" s="18" t="n">
        <v>4090.81</v>
      </c>
      <c r="R77" s="18" t="n">
        <v>6669.57</v>
      </c>
      <c r="S77" s="18" t="n">
        <v>7996.36</v>
      </c>
      <c r="T77" s="18" t="n">
        <v>6770.75</v>
      </c>
      <c r="U77" s="34" t="n">
        <v>25527.49</v>
      </c>
      <c r="V77" s="18" t="n">
        <v>6921.95</v>
      </c>
      <c r="W77" s="18" t="n">
        <v>4009.22</v>
      </c>
      <c r="X77" s="18" t="n">
        <v>5926.09</v>
      </c>
      <c r="Y77" s="18" t="n">
        <v>2911.82</v>
      </c>
      <c r="Z77" s="34" t="n">
        <v>19769.08</v>
      </c>
      <c r="AA77" s="18" t="n">
        <v>6260.56</v>
      </c>
      <c r="AB77" s="19" t="n">
        <v>6889.33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-447.47</v>
      </c>
      <c r="F78" s="9" t="n"/>
      <c r="G78" s="18" t="n">
        <v>1199.39</v>
      </c>
      <c r="H78" s="18" t="n">
        <v>6085.21</v>
      </c>
      <c r="I78" s="18" t="n">
        <v>1384.72</v>
      </c>
      <c r="J78" s="18" t="n">
        <v>-297.59</v>
      </c>
      <c r="K78" s="34" t="n">
        <v>8371.73</v>
      </c>
      <c r="L78" s="18" t="n">
        <v>2198.71</v>
      </c>
      <c r="M78" s="18" t="n">
        <v>4482.86</v>
      </c>
      <c r="N78" s="18" t="n">
        <v>2575.53</v>
      </c>
      <c r="O78" s="18" t="n">
        <v>-348.24</v>
      </c>
      <c r="P78" s="34" t="n">
        <v>8908.860000000001</v>
      </c>
      <c r="Q78" s="18" t="n">
        <v>4077.37</v>
      </c>
      <c r="R78" s="18" t="n">
        <v>6680.8</v>
      </c>
      <c r="S78" s="18" t="n">
        <v>8016.33</v>
      </c>
      <c r="T78" s="18" t="n">
        <v>7278.97</v>
      </c>
      <c r="U78" s="34" t="n">
        <v>26053.47</v>
      </c>
      <c r="V78" s="18" t="n">
        <v>6911.93</v>
      </c>
      <c r="W78" s="18" t="n">
        <v>6680.8</v>
      </c>
      <c r="X78" s="18" t="n">
        <v>5871.81</v>
      </c>
      <c r="Y78" s="18" t="n">
        <v>2255.36</v>
      </c>
      <c r="Z78" s="34" t="n">
        <v>21719.9</v>
      </c>
      <c r="AA78" s="18" t="n">
        <v>6155.76</v>
      </c>
      <c r="AB78" s="19" t="n">
        <v>6155.76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0</v>
      </c>
      <c r="J79" s="18" t="n">
        <v>0</v>
      </c>
      <c r="K79" s="34" t="n">
        <v>0</v>
      </c>
      <c r="M79" s="18" t="n">
        <v>0</v>
      </c>
      <c r="N79" s="18" t="n">
        <v>0</v>
      </c>
      <c r="O79" s="18" t="n">
        <v>0</v>
      </c>
      <c r="P79" s="9" t="n"/>
      <c r="Q79" s="18" t="n">
        <v>0</v>
      </c>
      <c r="R79" s="18" t="n">
        <v>0</v>
      </c>
      <c r="S79" s="18" t="n">
        <v>0</v>
      </c>
      <c r="T79" s="18" t="n">
        <v>0</v>
      </c>
      <c r="U79" s="34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-581.55</v>
      </c>
      <c r="F80" s="9" t="n"/>
      <c r="G80" s="18" t="n">
        <v>-537.27</v>
      </c>
      <c r="H80" s="18" t="n">
        <v>-419.4</v>
      </c>
      <c r="I80" s="18" t="n">
        <v>-440.96</v>
      </c>
      <c r="J80" s="18" t="n">
        <v>-503.01</v>
      </c>
      <c r="K80" s="34" t="n">
        <v>-1900.64</v>
      </c>
      <c r="L80" s="18" t="n">
        <v>-479.99</v>
      </c>
      <c r="M80" s="18" t="n">
        <v>-638.9</v>
      </c>
      <c r="N80" s="18" t="n">
        <v>-632.64</v>
      </c>
      <c r="O80" s="18" t="n">
        <v>-850.51</v>
      </c>
      <c r="P80" s="34" t="n">
        <v>-2602.04</v>
      </c>
      <c r="Q80" s="18" t="n">
        <v>-227.18</v>
      </c>
      <c r="R80" s="18" t="n">
        <v>-360.44</v>
      </c>
      <c r="S80" s="18" t="n">
        <v>-316.85</v>
      </c>
      <c r="T80" s="18" t="n">
        <v>-269.86</v>
      </c>
      <c r="U80" s="34" t="n">
        <v>-1174.33</v>
      </c>
      <c r="V80" s="18" t="n">
        <v>-243.04</v>
      </c>
      <c r="W80" s="18" t="n">
        <v>-133.6</v>
      </c>
      <c r="X80" s="18" t="n">
        <v>-101.31</v>
      </c>
      <c r="Y80" s="18" t="n">
        <v>-92.51000000000001</v>
      </c>
      <c r="Z80" s="34" t="n">
        <v>-570.46</v>
      </c>
      <c r="AA80" s="18" t="n">
        <v>105.74</v>
      </c>
      <c r="AB80" s="19" t="n">
        <v>99.17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909.38</v>
      </c>
      <c r="F81" s="9" t="n"/>
      <c r="G81" s="18" t="n">
        <v>685.26</v>
      </c>
      <c r="H81" s="18" t="n">
        <v>2004.28</v>
      </c>
      <c r="I81" s="18" t="n">
        <v>395.04</v>
      </c>
      <c r="J81" s="18" t="n">
        <v>80.7</v>
      </c>
      <c r="K81" s="34" t="n">
        <v>3165.28</v>
      </c>
      <c r="L81" s="18" t="n">
        <v>386.58</v>
      </c>
      <c r="M81" s="18" t="n">
        <v>364.49</v>
      </c>
      <c r="N81" s="18" t="n">
        <v>318.51</v>
      </c>
      <c r="O81" s="18" t="n">
        <v>-2177.72</v>
      </c>
      <c r="P81" s="34" t="n">
        <v>-1108.14</v>
      </c>
      <c r="Q81" s="18" t="n">
        <v>337.36</v>
      </c>
      <c r="R81" s="18" t="n">
        <v>-272.94</v>
      </c>
      <c r="S81" s="18" t="n">
        <v>188.04</v>
      </c>
      <c r="T81" s="18" t="n">
        <v>288.98</v>
      </c>
      <c r="U81" s="34" t="n">
        <v>541.4400000000001</v>
      </c>
      <c r="V81" s="18" t="n">
        <v>367.7</v>
      </c>
      <c r="W81" s="18" t="n">
        <v>1283.19</v>
      </c>
      <c r="X81" s="18" t="n">
        <v>2106.29</v>
      </c>
      <c r="Y81" s="18" t="n">
        <v>447.21</v>
      </c>
      <c r="Z81" s="34" t="n">
        <v>4204.39</v>
      </c>
      <c r="AA81" s="18" t="n">
        <v>553.99</v>
      </c>
      <c r="AB81" s="19" t="n">
        <v>463.7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-1779.07</v>
      </c>
      <c r="F82" s="9" t="n"/>
      <c r="G82" s="18" t="n">
        <v>3263.95</v>
      </c>
      <c r="H82" s="18" t="n">
        <v>2341.78</v>
      </c>
      <c r="I82" s="18" t="n">
        <v>1650.59</v>
      </c>
      <c r="J82" s="18" t="n">
        <v>3888.35</v>
      </c>
      <c r="K82" s="34" t="n">
        <v>11144.67</v>
      </c>
      <c r="L82" s="18" t="n">
        <v>11144.67</v>
      </c>
      <c r="M82" s="18" t="n">
        <v>-5961.12</v>
      </c>
      <c r="N82" s="18" t="n">
        <v>6184.69</v>
      </c>
      <c r="O82" s="18" t="n">
        <v>7580.66</v>
      </c>
      <c r="P82" s="34" t="n">
        <v>18948.9</v>
      </c>
      <c r="Q82" s="18" t="n">
        <v>2232.06</v>
      </c>
      <c r="R82" s="18" t="n">
        <v>7101.31</v>
      </c>
      <c r="S82" s="18" t="n">
        <v>9836.959999999999</v>
      </c>
      <c r="T82" s="18" t="n">
        <v>6015.92</v>
      </c>
      <c r="U82" s="34" t="n">
        <v>25186.25</v>
      </c>
      <c r="V82" s="18" t="n">
        <v>6171.15</v>
      </c>
      <c r="W82" s="18" t="n">
        <v>8438.110000000001</v>
      </c>
      <c r="X82" s="18" t="n">
        <v>10748.71</v>
      </c>
      <c r="Y82" s="18" t="n">
        <v>2551.65</v>
      </c>
      <c r="Z82" s="34" t="n">
        <v>27909.62</v>
      </c>
      <c r="AA82" s="18" t="n">
        <v>2309.68</v>
      </c>
      <c r="AB82" s="19" t="n">
        <v>8919.75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-6.17</v>
      </c>
      <c r="F83" s="9" t="n"/>
      <c r="G83" s="18" t="n">
        <v>-63.68</v>
      </c>
      <c r="H83" s="18" t="n">
        <v>-118.02</v>
      </c>
      <c r="I83" s="18" t="n">
        <v>-370.72</v>
      </c>
      <c r="J83" s="18" t="n">
        <v>-15.98</v>
      </c>
      <c r="K83" s="34" t="n">
        <v>-568.4</v>
      </c>
      <c r="L83" s="18" t="n">
        <v>-568.4</v>
      </c>
      <c r="M83" s="18" t="n">
        <v>171.99</v>
      </c>
      <c r="N83" s="18" t="n">
        <v>-296.51</v>
      </c>
      <c r="O83" s="18" t="n">
        <v>-26.91</v>
      </c>
      <c r="P83" s="34" t="n">
        <v>-719.83</v>
      </c>
      <c r="Q83" s="18" t="n">
        <v>-33.41</v>
      </c>
      <c r="R83" s="18" t="n">
        <v>-42.86</v>
      </c>
      <c r="S83" s="18" t="n">
        <v>-113.05</v>
      </c>
      <c r="T83" s="18" t="n">
        <v>-119.54</v>
      </c>
      <c r="U83" s="34" t="n">
        <v>-308.86</v>
      </c>
      <c r="V83" s="18" t="n">
        <v>-851.88</v>
      </c>
      <c r="W83" s="18" t="n">
        <v>-1009.19</v>
      </c>
      <c r="X83" s="18" t="n">
        <v>-471.78</v>
      </c>
      <c r="Y83" s="18" t="n">
        <v>-472.04</v>
      </c>
      <c r="Z83" s="34" t="n">
        <v>-2804.89</v>
      </c>
      <c r="AA83" s="18" t="n">
        <v>-2509.37</v>
      </c>
      <c r="AB83" s="19" t="n">
        <v>-3081.19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-323.49</v>
      </c>
      <c r="F84" s="9" t="n"/>
      <c r="G84" s="18" t="n">
        <v>2423.43</v>
      </c>
      <c r="H84" s="18" t="n">
        <v>-243.1</v>
      </c>
      <c r="I84" s="18" t="n">
        <v>-247.25</v>
      </c>
      <c r="J84" s="18" t="n">
        <v>-4592.53</v>
      </c>
      <c r="K84" s="34" t="n">
        <v>-2659.45</v>
      </c>
      <c r="L84" s="18" t="n">
        <v>-2659.45</v>
      </c>
      <c r="M84" s="18" t="n">
        <v>-428.02</v>
      </c>
      <c r="N84" s="18" t="n">
        <v>-4665.26</v>
      </c>
      <c r="O84" s="18" t="n">
        <v>-3033.98</v>
      </c>
      <c r="P84" s="34" t="n">
        <v>-10786.71</v>
      </c>
      <c r="Q84" s="18" t="n">
        <v>-5730.31</v>
      </c>
      <c r="R84" s="18" t="n">
        <v>-2392.38</v>
      </c>
      <c r="S84" s="18" t="n">
        <v>-6221.4</v>
      </c>
      <c r="T84" s="18" t="n">
        <v>3031.72</v>
      </c>
      <c r="U84" s="34" t="n">
        <v>-11312.37</v>
      </c>
      <c r="V84" s="18" t="n">
        <v>-610.6799999999999</v>
      </c>
      <c r="W84" s="18" t="n">
        <v>-2046.58</v>
      </c>
      <c r="X84" s="18" t="n">
        <v>-8569.879999999999</v>
      </c>
      <c r="Y84" s="18" t="n">
        <v>-4588.41</v>
      </c>
      <c r="Z84" s="34" t="n">
        <v>-15815.55</v>
      </c>
      <c r="AA84" s="18" t="n">
        <v>1910.8</v>
      </c>
      <c r="AB84" s="19" t="n">
        <v>-2391.87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1.54</v>
      </c>
      <c r="F85" s="9" t="n"/>
      <c r="G85" s="18" t="n">
        <v>50.6</v>
      </c>
      <c r="H85" s="18" t="n">
        <v>2.38</v>
      </c>
      <c r="I85" s="18" t="n">
        <v>1.33</v>
      </c>
      <c r="J85" s="18" t="n">
        <v>2.55</v>
      </c>
      <c r="K85" s="34" t="n">
        <v>56.86</v>
      </c>
      <c r="L85" s="18" t="n">
        <v>56.86</v>
      </c>
      <c r="N85" s="18" t="n">
        <v>2.65</v>
      </c>
      <c r="O85" s="18" t="n">
        <v>1.99</v>
      </c>
      <c r="P85" s="9" t="n"/>
      <c r="Q85" s="18" t="n">
        <v>0.59</v>
      </c>
      <c r="R85" s="18" t="n">
        <v>2.13</v>
      </c>
      <c r="S85" s="18" t="n">
        <v>1.35</v>
      </c>
      <c r="T85" s="18" t="n">
        <v>0.68</v>
      </c>
      <c r="U85" s="34" t="n">
        <v>4.75</v>
      </c>
      <c r="V85" s="18" t="n">
        <v>0.5</v>
      </c>
      <c r="W85" s="18" t="n">
        <v>2.5</v>
      </c>
      <c r="X85" s="18" t="n">
        <v>5.97</v>
      </c>
      <c r="Y85" s="18" t="n">
        <v>1.36</v>
      </c>
      <c r="Z85" s="34" t="n">
        <v>10.33</v>
      </c>
      <c r="AA85" s="18" t="n">
        <v>3.47</v>
      </c>
      <c r="AB85" s="19" t="n">
        <v>0.77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75.34999999999999</v>
      </c>
      <c r="F86" s="9" t="n"/>
      <c r="G86" s="18" t="n">
        <v>48.49</v>
      </c>
      <c r="H86" s="18" t="n">
        <v>119.08</v>
      </c>
      <c r="I86" s="18" t="n">
        <v>109.52</v>
      </c>
      <c r="J86" s="18" t="n">
        <v>111.25</v>
      </c>
      <c r="K86" s="34" t="n">
        <v>388.34</v>
      </c>
      <c r="L86" s="18" t="n">
        <v>388.34</v>
      </c>
      <c r="M86" s="18" t="n">
        <v>53.35</v>
      </c>
      <c r="N86" s="18" t="n">
        <v>1183.77</v>
      </c>
      <c r="O86" s="18" t="n">
        <v>242.65</v>
      </c>
      <c r="P86" s="34" t="n">
        <v>1868.11</v>
      </c>
      <c r="Q86" s="18" t="n">
        <v>333.29</v>
      </c>
      <c r="R86" s="18" t="n">
        <v>223.82</v>
      </c>
      <c r="S86" s="18" t="n">
        <v>100.7</v>
      </c>
      <c r="T86" s="18" t="n">
        <v>4802.07</v>
      </c>
      <c r="U86" s="34" t="n">
        <v>5459.88</v>
      </c>
      <c r="V86" s="18" t="n">
        <v>99.31</v>
      </c>
      <c r="W86" s="18" t="n">
        <v>3178.34</v>
      </c>
      <c r="X86" s="18" t="n">
        <v>282.95</v>
      </c>
      <c r="Y86" s="18" t="n">
        <v>5534.56</v>
      </c>
      <c r="Z86" s="34" t="n">
        <v>9095.16</v>
      </c>
      <c r="AA86" s="18" t="n">
        <v>191.43</v>
      </c>
      <c r="AB86" s="19" t="n">
        <v>551.8099999999999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75.34999999999999</v>
      </c>
      <c r="F87" s="9" t="n"/>
      <c r="G87" s="18" t="n">
        <v>48.49</v>
      </c>
      <c r="H87" s="18" t="n">
        <v>119.08</v>
      </c>
      <c r="I87" s="18" t="n">
        <v>109.52</v>
      </c>
      <c r="J87" s="18" t="n">
        <v>150.4</v>
      </c>
      <c r="K87" s="34" t="n">
        <v>427.49</v>
      </c>
      <c r="L87" s="18" t="n">
        <v>427.49</v>
      </c>
      <c r="M87" s="18" t="n">
        <v>16.08</v>
      </c>
      <c r="N87" s="18" t="n">
        <v>1183.77</v>
      </c>
      <c r="O87" s="18" t="n">
        <v>242.65</v>
      </c>
      <c r="P87" s="34" t="n">
        <v>1869.99</v>
      </c>
      <c r="Q87" s="18" t="n">
        <v>799.3099999999999</v>
      </c>
      <c r="R87" s="18" t="n">
        <v>233.13</v>
      </c>
      <c r="S87" s="18" t="n">
        <v>100.7</v>
      </c>
      <c r="T87" s="18" t="n">
        <v>4802.07</v>
      </c>
      <c r="U87" s="34" t="n">
        <v>5935.21</v>
      </c>
      <c r="V87" s="18" t="n">
        <v>99.31</v>
      </c>
      <c r="W87" s="18" t="n">
        <v>3178.34</v>
      </c>
      <c r="X87" s="18" t="n">
        <v>282.95</v>
      </c>
      <c r="Y87" s="18" t="n">
        <v>5571.78</v>
      </c>
      <c r="Z87" s="34" t="n">
        <v>9132.379999999999</v>
      </c>
      <c r="AA87" s="18" t="n">
        <v>191.43</v>
      </c>
      <c r="AB87" s="19" t="n">
        <v>551.8099999999999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-409.86</v>
      </c>
      <c r="F88" s="9" t="n"/>
      <c r="G88" s="18" t="n">
        <v>-5046.53</v>
      </c>
      <c r="H88" s="18" t="n">
        <v>-415.91</v>
      </c>
      <c r="I88" s="18" t="n">
        <v>-416.84</v>
      </c>
      <c r="J88" s="18" t="n">
        <v>-683.66</v>
      </c>
      <c r="K88" s="34" t="n">
        <v>-6562.94</v>
      </c>
      <c r="L88" s="18" t="n">
        <v>-6562.94</v>
      </c>
      <c r="M88" s="18" t="n">
        <v>3228.42</v>
      </c>
      <c r="N88" s="18" t="n">
        <v>-396.02</v>
      </c>
      <c r="O88" s="18" t="n">
        <v>-2215.06</v>
      </c>
      <c r="P88" s="34" t="n">
        <v>-5945.6</v>
      </c>
      <c r="Q88" s="18" t="n">
        <v>-117.44</v>
      </c>
      <c r="R88" s="18" t="n">
        <v>-2896.64</v>
      </c>
      <c r="S88" s="18" t="n">
        <v>-5121.12</v>
      </c>
      <c r="T88" s="18" t="n">
        <v>-3123</v>
      </c>
      <c r="U88" s="34" t="n">
        <v>-11258.2</v>
      </c>
      <c r="V88" s="18" t="n">
        <v>-124.91</v>
      </c>
      <c r="W88" s="18" t="n">
        <v>-8681.58</v>
      </c>
      <c r="X88" s="18" t="n">
        <v>-128.82</v>
      </c>
      <c r="Y88" s="18" t="n">
        <v>-130.83</v>
      </c>
      <c r="Z88" s="34" t="n">
        <v>-9066.139999999999</v>
      </c>
      <c r="AA88" s="18" t="n">
        <v>-12.23</v>
      </c>
      <c r="AB88" s="19" t="n">
        <v>-15012.43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O89" s="18" t="n">
        <v>0</v>
      </c>
      <c r="P89" s="9" t="n"/>
      <c r="Q89" s="18" t="n">
        <v>23000</v>
      </c>
      <c r="R89" s="18" t="n">
        <v>29000</v>
      </c>
      <c r="T89" s="18" t="n">
        <v>0</v>
      </c>
      <c r="U89" s="9" t="n"/>
      <c r="V89" s="18" t="n">
        <v>5000</v>
      </c>
      <c r="W89" s="18" t="n">
        <v>35000</v>
      </c>
      <c r="X89" s="18" t="n">
        <v>0</v>
      </c>
      <c r="Y89" s="18" t="n">
        <v>0</v>
      </c>
      <c r="Z89" s="34" t="n">
        <v>40000</v>
      </c>
      <c r="AA89" s="18" t="n">
        <v>0</v>
      </c>
      <c r="AB89" s="19" t="n">
        <v>10000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135</v>
      </c>
      <c r="H90" s="18" t="n">
        <v>0</v>
      </c>
      <c r="I90" s="18" t="n">
        <v>0</v>
      </c>
      <c r="J90" s="18" t="n">
        <v>765</v>
      </c>
      <c r="K90" s="34" t="n">
        <v>900</v>
      </c>
      <c r="L90" s="18" t="n">
        <v>900</v>
      </c>
      <c r="M90" s="18" t="n">
        <v>6100</v>
      </c>
      <c r="O90" s="18" t="n">
        <v>0</v>
      </c>
      <c r="P90" s="9" t="n"/>
      <c r="Q90" s="18" t="n">
        <v>23000</v>
      </c>
      <c r="R90" s="18" t="n">
        <v>0</v>
      </c>
      <c r="T90" s="18" t="n">
        <v>3000</v>
      </c>
      <c r="U90" s="9" t="n"/>
      <c r="V90" s="18" t="n">
        <v>5000</v>
      </c>
      <c r="W90" s="18" t="n">
        <v>39000</v>
      </c>
      <c r="X90" s="18" t="n">
        <v>0</v>
      </c>
      <c r="Y90" s="18" t="n">
        <v>0</v>
      </c>
      <c r="Z90" s="34" t="n">
        <v>44000</v>
      </c>
      <c r="AA90" s="18" t="n">
        <v>0</v>
      </c>
      <c r="AB90" s="19" t="n">
        <v>25000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30000</v>
      </c>
      <c r="K91" s="34" t="n">
        <v>30000</v>
      </c>
      <c r="L91" s="18" t="n">
        <v>30000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400.01</v>
      </c>
      <c r="F92" s="9" t="n"/>
      <c r="G92" s="18" t="n">
        <v>4500</v>
      </c>
      <c r="H92" s="18" t="n">
        <v>0</v>
      </c>
      <c r="I92" s="18" t="n">
        <v>0</v>
      </c>
      <c r="J92" s="18" t="n">
        <v>29500</v>
      </c>
      <c r="K92" s="34" t="n">
        <v>34000</v>
      </c>
      <c r="L92" s="18" t="n">
        <v>34000</v>
      </c>
      <c r="N92" s="18" t="n">
        <v>0</v>
      </c>
      <c r="O92" s="18" t="n">
        <v>1528.39</v>
      </c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-2535.39</v>
      </c>
      <c r="F93" s="9" t="n"/>
      <c r="G93" s="18" t="n">
        <v>638.13</v>
      </c>
      <c r="H93" s="18" t="n">
        <v>1685.09</v>
      </c>
      <c r="I93" s="18" t="n">
        <v>987.03</v>
      </c>
      <c r="J93" s="18" t="n">
        <v>-1416.76</v>
      </c>
      <c r="K93" s="34" t="n">
        <v>1893.49</v>
      </c>
      <c r="L93" s="18" t="n">
        <v>1893.49</v>
      </c>
      <c r="M93" s="18" t="n">
        <v>-3137.53</v>
      </c>
      <c r="N93" s="18" t="n">
        <v>1131.13</v>
      </c>
      <c r="O93" s="18" t="n">
        <v>2324.09</v>
      </c>
      <c r="P93" s="34" t="n">
        <v>2211.18</v>
      </c>
      <c r="Q93" s="18" t="n">
        <v>-3606.13</v>
      </c>
      <c r="R93" s="18" t="n">
        <v>1807.87</v>
      </c>
      <c r="S93" s="18" t="n">
        <v>-1527.41</v>
      </c>
      <c r="T93" s="18" t="n">
        <v>5947.65</v>
      </c>
      <c r="U93" s="34" t="n">
        <v>2621.98</v>
      </c>
      <c r="V93" s="18" t="n">
        <v>5435.96</v>
      </c>
      <c r="W93" s="18" t="n">
        <v>-2295.88</v>
      </c>
      <c r="X93" s="18" t="n">
        <v>2059.58</v>
      </c>
      <c r="Y93" s="18" t="n">
        <v>-2196.98</v>
      </c>
      <c r="Z93" s="34" t="n">
        <v>3002.68</v>
      </c>
      <c r="AA93" s="18" t="n">
        <v>4215.53</v>
      </c>
      <c r="AB93" s="19" t="n">
        <v>-8483.26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-2535.38</v>
      </c>
      <c r="F94" s="9" t="n"/>
      <c r="G94" s="18" t="n">
        <v>8664.299999999999</v>
      </c>
      <c r="H94" s="18" t="n">
        <v>1685.09</v>
      </c>
      <c r="I94" s="18" t="n">
        <v>987.02</v>
      </c>
      <c r="J94" s="18" t="n">
        <v>-1416.76</v>
      </c>
      <c r="K94" s="34" t="n">
        <v>9919.65</v>
      </c>
      <c r="L94" s="18" t="n">
        <v>9919.65</v>
      </c>
      <c r="M94" s="18" t="n">
        <v>-1244.04</v>
      </c>
      <c r="N94" s="18" t="n">
        <v>1131.13</v>
      </c>
      <c r="O94" s="18" t="n">
        <v>2324.09</v>
      </c>
      <c r="P94" s="34" t="n">
        <v>12130.83</v>
      </c>
      <c r="Q94" s="18" t="n">
        <v>8524.690000000001</v>
      </c>
      <c r="R94" s="18" t="n">
        <v>1807.88</v>
      </c>
      <c r="S94" s="18" t="n">
        <v>-1527.42</v>
      </c>
      <c r="T94" s="18" t="n">
        <v>5947.66</v>
      </c>
      <c r="U94" s="34" t="n">
        <v>14752.81</v>
      </c>
      <c r="V94" s="18" t="n">
        <v>20188.77</v>
      </c>
      <c r="W94" s="18" t="n">
        <v>-2295.88</v>
      </c>
      <c r="X94" s="18" t="n">
        <v>2059.58</v>
      </c>
      <c r="Y94" s="18" t="n">
        <v>-2196.98</v>
      </c>
      <c r="Z94" s="34" t="n">
        <v>17755.49</v>
      </c>
      <c r="AA94" s="18" t="n">
        <v>21971.02</v>
      </c>
      <c r="AB94" s="19" t="n">
        <v>-8483.26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G95" s="18" t="n">
        <v>401.58</v>
      </c>
      <c r="H95" s="18" t="n">
        <v>405.84</v>
      </c>
      <c r="I95" s="18" t="n">
        <v>406.83</v>
      </c>
      <c r="J95" s="18" t="n">
        <v>407.49</v>
      </c>
      <c r="K95" s="34" t="n">
        <v>1621.74</v>
      </c>
      <c r="L95" s="18" t="n">
        <v>1621.74</v>
      </c>
      <c r="M95" s="18" t="n">
        <v>17209.15</v>
      </c>
      <c r="N95" s="18" t="n">
        <v>282.14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F96" s="9" t="n"/>
      <c r="G96" s="18" t="n">
        <v>9.960000000000001</v>
      </c>
      <c r="H96" s="18" t="n">
        <v>10.06</v>
      </c>
      <c r="I96" s="18" t="n">
        <v>10.01</v>
      </c>
      <c r="J96" s="18" t="n">
        <v>11.18</v>
      </c>
      <c r="K96" s="34" t="n">
        <v>41.21</v>
      </c>
      <c r="L96" s="18" t="n">
        <v>41.21</v>
      </c>
      <c r="M96" s="18" t="n">
        <v>185.05</v>
      </c>
      <c r="N96" s="18" t="n">
        <v>113.88</v>
      </c>
      <c r="O96" s="18" t="n">
        <v>115.65</v>
      </c>
      <c r="P96" s="34" t="n">
        <v>455.79</v>
      </c>
      <c r="Q96" s="18" t="n">
        <v>117.44</v>
      </c>
      <c r="R96" s="18" t="n">
        <v>119.27</v>
      </c>
      <c r="S96" s="18" t="n">
        <v>121.12</v>
      </c>
      <c r="T96" s="18" t="n">
        <v>123.01</v>
      </c>
      <c r="U96" s="34" t="n">
        <v>480.84</v>
      </c>
      <c r="V96" s="18" t="n">
        <v>124.91</v>
      </c>
      <c r="W96" s="18" t="n">
        <v>126.85</v>
      </c>
      <c r="X96" s="18" t="n">
        <v>128.82</v>
      </c>
      <c r="Y96" s="18" t="n">
        <v>130.83</v>
      </c>
      <c r="Z96" s="34" t="n">
        <v>511.41</v>
      </c>
      <c r="AA96" s="18" t="n">
        <v>12.23</v>
      </c>
      <c r="AB96" s="19" t="n">
        <v>12.43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F97" s="9" t="n"/>
      <c r="K97" s="9" t="n"/>
      <c r="L97" s="18" t="n">
        <v>39.15</v>
      </c>
      <c r="N97" s="18" t="n">
        <v>0</v>
      </c>
      <c r="O97" s="18" t="n">
        <v>0</v>
      </c>
      <c r="P97" s="9" t="n"/>
      <c r="Q97" s="18" t="n">
        <v>466.02</v>
      </c>
      <c r="R97" s="18" t="n">
        <v>9.31</v>
      </c>
      <c r="S97" s="18" t="n">
        <v>0</v>
      </c>
      <c r="T97" s="18" t="n">
        <v>0</v>
      </c>
      <c r="U97" s="34" t="n">
        <v>475.33</v>
      </c>
      <c r="V97" s="18" t="n">
        <v>0</v>
      </c>
      <c r="W97" s="18" t="n">
        <v>0</v>
      </c>
      <c r="X97" s="18" t="n">
        <v>0</v>
      </c>
      <c r="Y97" s="18" t="n">
        <v>37.22</v>
      </c>
      <c r="Z97" s="34" t="n">
        <v>37.22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N98" s="18" t="n">
        <v>0</v>
      </c>
      <c r="O98" s="18" t="n">
        <v>0</v>
      </c>
      <c r="P98" s="9" t="n"/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O99" s="18" t="n">
        <v>176.88</v>
      </c>
      <c r="P99" s="9" t="n"/>
      <c r="Q99" s="18" t="n">
        <v>219.37</v>
      </c>
      <c r="R99" s="18" t="n">
        <v>221.03</v>
      </c>
      <c r="S99" s="18" t="n">
        <v>261.44</v>
      </c>
      <c r="T99" s="18" t="n">
        <v>304.13</v>
      </c>
      <c r="U99" s="34" t="n">
        <v>1005.97</v>
      </c>
      <c r="V99" s="18" t="n">
        <v>243.91</v>
      </c>
      <c r="W99" s="18" t="n">
        <v>203.77</v>
      </c>
      <c r="X99" s="18" t="n">
        <v>217.82</v>
      </c>
      <c r="Y99" s="18" t="n">
        <v>255.34</v>
      </c>
      <c r="Z99" s="34" t="n">
        <v>920.84</v>
      </c>
      <c r="AA99" s="18" t="n">
        <v>253.88</v>
      </c>
      <c r="AB99" s="19" t="n">
        <v>-840.45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4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4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4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4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4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4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4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4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4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4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4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4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4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4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4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4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4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4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4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4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4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4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4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4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K11" s="9" t="n"/>
      <c r="M11" s="18" t="n">
        <v>1.88</v>
      </c>
      <c r="N11" s="18" t="n">
        <v>271.53</v>
      </c>
      <c r="O11" s="18" t="n">
        <v>286.99</v>
      </c>
      <c r="P11" s="34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4" t="n">
        <v>0</v>
      </c>
      <c r="Y11" s="18" t="n">
        <v>0</v>
      </c>
      <c r="Z11" s="34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4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4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4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4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4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4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4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4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4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4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4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4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4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4" t="n">
        <v>183.69</v>
      </c>
      <c r="L15" s="18" t="n">
        <v>180.83</v>
      </c>
      <c r="M15" s="18" t="n">
        <v>189.02</v>
      </c>
      <c r="O15" s="18" t="n">
        <v>189.4</v>
      </c>
      <c r="P15" s="34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4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4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4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4" t="n">
        <v>30815.3</v>
      </c>
      <c r="L16" s="18" t="n">
        <v>30812.44</v>
      </c>
      <c r="M16" s="18" t="n">
        <v>30820.63</v>
      </c>
      <c r="N16" s="18" t="n">
        <v>30631.61</v>
      </c>
      <c r="O16" s="18" t="n">
        <v>30821.01</v>
      </c>
      <c r="P16" s="34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4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4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4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4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4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4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4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4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4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4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4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4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4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4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4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4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4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4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4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4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4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4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4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4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4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4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4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4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4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4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4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4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4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4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4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4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4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4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4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4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4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4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4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4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4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4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4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4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4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4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4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4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4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4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4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4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4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4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4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4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101.87</v>
      </c>
      <c r="S29" s="18" t="n">
        <v>115.78</v>
      </c>
      <c r="T29" s="18" t="n">
        <v>32.8</v>
      </c>
      <c r="U29" s="34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4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4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4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4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4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4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4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4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4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4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4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4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4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4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4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4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4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4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4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4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4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4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4" t="n">
        <v>0</v>
      </c>
      <c r="O34" s="18" t="n">
        <v>216</v>
      </c>
      <c r="P34" s="34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4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4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4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4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4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4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4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4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4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4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4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4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4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4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4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4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4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4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4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4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4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4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4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4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4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4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4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4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4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4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4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4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4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4" t="n">
        <v>0</v>
      </c>
      <c r="J42" s="18" t="n">
        <v>0</v>
      </c>
      <c r="K42" s="34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4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4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4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4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4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4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4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4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4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4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4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4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4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4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4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4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4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4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4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4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4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4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4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4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4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4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4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4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4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4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4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4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4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4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4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4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4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4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4" t="n">
        <v>26224.81</v>
      </c>
      <c r="L52" s="18" t="n">
        <v>24626.83</v>
      </c>
      <c r="M52" s="18" t="n">
        <v>23086.67</v>
      </c>
      <c r="N52" s="18" t="n">
        <v>8077.74</v>
      </c>
      <c r="O52" s="18" t="n">
        <v>6456.18</v>
      </c>
      <c r="P52" s="34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4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4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4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4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4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4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4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4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4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4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4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4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4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4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4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4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4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4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4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4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4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4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4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4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4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4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4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4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4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4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4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4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4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4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4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4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4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4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4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4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4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4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4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4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4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4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4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4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4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4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4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4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4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4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4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4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4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4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4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4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4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4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4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4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4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4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4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4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4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4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4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4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4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4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4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4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4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4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4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4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4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4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4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4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4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4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4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4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4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4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4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4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4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4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4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4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4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4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4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4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4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4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4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4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4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4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4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4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4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4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4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4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4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4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4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4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4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4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-0.008699999999999999</v>
      </c>
      <c r="F10" s="34" t="n"/>
      <c r="G10" s="18" t="n">
        <v>0.0422</v>
      </c>
      <c r="H10" s="18" t="n">
        <v>0.135</v>
      </c>
      <c r="I10" s="18" t="n">
        <v>0.0535</v>
      </c>
      <c r="J10" s="18" t="n">
        <v>0.0401</v>
      </c>
      <c r="K10" s="34">
        <f>SUM(G10:J10)</f>
        <v/>
      </c>
      <c r="L10" s="18" t="n">
        <v>0.076</v>
      </c>
      <c r="M10" s="18" t="n">
        <v>0.1129</v>
      </c>
      <c r="N10" s="18" t="n">
        <v>0.0795</v>
      </c>
      <c r="O10" s="18" t="n">
        <v>0.0548</v>
      </c>
      <c r="P10" s="34">
        <f>SUM(L10:O10)</f>
        <v/>
      </c>
      <c r="Q10" s="18" t="n">
        <v>0.0974</v>
      </c>
      <c r="R10" s="18" t="n">
        <v>0.1249</v>
      </c>
      <c r="S10" s="18" t="n">
        <v>0.1857</v>
      </c>
      <c r="T10" s="18" t="n">
        <v>0.0718</v>
      </c>
      <c r="U10" s="34">
        <f>SUM(Q10:T10)</f>
        <v/>
      </c>
      <c r="V10" s="18" t="n">
        <v>0.1606</v>
      </c>
      <c r="W10" s="18" t="n">
        <v>0.1211</v>
      </c>
      <c r="X10" s="18" t="n">
        <v>0.1213</v>
      </c>
      <c r="Y10" s="18" t="n">
        <v>0.06619999999999999</v>
      </c>
      <c r="Z10" s="34">
        <f>SUM(V10:Y10)</f>
        <v/>
      </c>
      <c r="AA10" s="18" t="n">
        <v>0.1414</v>
      </c>
      <c r="AB10" s="19" t="n">
        <v>0.1478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 t="n"/>
      <c r="X13" s="18" t="n"/>
      <c r="Y13" s="18" t="n"/>
      <c r="Z13" s="34">
        <f>SUM(V13:Y13)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/>
      <c r="M18" s="18" t="n">
        <v>0</v>
      </c>
      <c r="N18" s="18" t="n">
        <v>0</v>
      </c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-17.79</v>
      </c>
      <c r="F28" s="34" t="n"/>
      <c r="G28" s="18" t="n">
        <v>32.64</v>
      </c>
      <c r="H28" s="18" t="n">
        <v>23.42</v>
      </c>
      <c r="I28" s="18" t="n">
        <v>16.51</v>
      </c>
      <c r="J28" s="18" t="n">
        <v>38.88</v>
      </c>
      <c r="K28" s="34">
        <f>SUM(G28:J28)</f>
        <v/>
      </c>
      <c r="L28" s="18" t="n">
        <v>111.45</v>
      </c>
      <c r="M28" s="18" t="n">
        <v>-59.61</v>
      </c>
      <c r="N28" s="18" t="n">
        <v>61.85</v>
      </c>
      <c r="O28" s="18" t="n">
        <v>75.81</v>
      </c>
      <c r="P28" s="34">
        <f>SUM(L28:O28)</f>
        <v/>
      </c>
      <c r="Q28" s="18" t="n">
        <v>22.32</v>
      </c>
      <c r="R28" s="18" t="n">
        <v>71.01000000000001</v>
      </c>
      <c r="S28" s="18" t="n">
        <v>98.37</v>
      </c>
      <c r="T28" s="18" t="n">
        <v>60.16</v>
      </c>
      <c r="U28" s="34">
        <f>SUM(Q28:T28)</f>
        <v/>
      </c>
      <c r="V28" s="18" t="n">
        <v>61.71</v>
      </c>
      <c r="W28" s="18" t="n">
        <v>84.38</v>
      </c>
      <c r="X28" s="18" t="n">
        <v>107.49</v>
      </c>
      <c r="Y28" s="18" t="n">
        <v>25.52</v>
      </c>
      <c r="Z28" s="34">
        <f>SUM(V28:Y28)</f>
        <v/>
      </c>
      <c r="AA28" s="18" t="n">
        <v>23.1</v>
      </c>
      <c r="AB28" s="19" t="n">
        <v>89.2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45.547</v>
      </c>
      <c r="F29" s="27">
        <f>E29</f>
        <v/>
      </c>
      <c r="G29" s="26" t="n">
        <v>45.547</v>
      </c>
      <c r="H29" s="26" t="n">
        <v>45.547</v>
      </c>
      <c r="I29" s="26" t="n">
        <v>45.547</v>
      </c>
      <c r="J29" s="26" t="n">
        <v>45.547</v>
      </c>
      <c r="K29" s="27">
        <f>J29</f>
        <v/>
      </c>
      <c r="L29" s="26" t="n">
        <v>45.547</v>
      </c>
      <c r="M29" s="26" t="n">
        <v>45.547</v>
      </c>
      <c r="N29" s="26" t="n">
        <v>45.547</v>
      </c>
      <c r="O29" s="26" t="n">
        <v>45.547</v>
      </c>
      <c r="P29" s="27">
        <f>O29</f>
        <v/>
      </c>
      <c r="Q29" s="26" t="n">
        <v>45.547</v>
      </c>
      <c r="R29" s="26" t="n">
        <v>45.547</v>
      </c>
      <c r="S29" s="26" t="n">
        <v>45.547</v>
      </c>
      <c r="T29" s="26" t="n">
        <v>45.547</v>
      </c>
      <c r="U29" s="27">
        <f>T29</f>
        <v/>
      </c>
      <c r="V29" s="26" t="n">
        <v>45.547</v>
      </c>
      <c r="W29" s="26" t="n">
        <v>45.547</v>
      </c>
      <c r="X29" s="26" t="n">
        <v>45.547</v>
      </c>
      <c r="Y29" s="26" t="n">
        <v>45.547</v>
      </c>
      <c r="Z29" s="27">
        <f>Y29</f>
        <v/>
      </c>
      <c r="AA29" s="26" t="n">
        <v>45.547</v>
      </c>
      <c r="AB29" s="28" t="n">
        <v>45.547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50</v>
      </c>
      <c r="K32" s="34">
        <f>SUM(G32:J32)</f>
        <v/>
      </c>
      <c r="L32" s="18" t="n"/>
      <c r="M32" s="18" t="n"/>
      <c r="N32" s="18" t="n"/>
      <c r="O32" s="18" t="n">
        <v>50</v>
      </c>
      <c r="P32" s="34">
        <f>SUM(L32:O32)</f>
        <v/>
      </c>
      <c r="Q32" s="18" t="n"/>
      <c r="R32" s="18" t="n"/>
      <c r="S32" s="18" t="n"/>
      <c r="T32" s="18" t="n">
        <v>100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17.37</v>
      </c>
      <c r="J33" s="18" t="n">
        <v>14.09</v>
      </c>
      <c r="K33" s="34">
        <f>SUM(G33:J33)</f>
        <v/>
      </c>
      <c r="L33" s="18" t="n">
        <v>12.37</v>
      </c>
      <c r="M33" s="18" t="n">
        <v>19.84</v>
      </c>
      <c r="N33" s="18" t="n">
        <v>18.23</v>
      </c>
      <c r="O33" s="18" t="n">
        <v>14.55</v>
      </c>
      <c r="P33" s="34">
        <f>SUM(L33:O33)</f>
        <v/>
      </c>
      <c r="Q33" s="18" t="n">
        <v>12.23</v>
      </c>
      <c r="R33" s="18" t="n">
        <v>12.12</v>
      </c>
      <c r="S33" s="18" t="n">
        <v>10.31</v>
      </c>
      <c r="T33" s="18" t="n">
        <v>7.49</v>
      </c>
      <c r="U33" s="34">
        <f>SUM(Q33:T33)</f>
        <v/>
      </c>
      <c r="V33" s="18" t="n">
        <v>8.609999999999999</v>
      </c>
      <c r="W33" s="18" t="n">
        <v>8.68</v>
      </c>
      <c r="X33" s="18" t="n">
        <v>12.73</v>
      </c>
      <c r="Y33" s="18" t="n">
        <v>19.06</v>
      </c>
      <c r="Z33" s="34">
        <f>SUM(V33:Y33)</f>
        <v/>
      </c>
      <c r="AA33" s="18" t="n">
        <v>16.86</v>
      </c>
      <c r="AB33" s="19" t="n">
        <v>14.52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2.38</v>
      </c>
      <c r="F34" s="34" t="n">
        <v>2.22</v>
      </c>
      <c r="G34" s="18" t="n">
        <v>2.15</v>
      </c>
      <c r="H34" s="18" t="n">
        <v>1.82</v>
      </c>
      <c r="I34" s="18" t="n">
        <v>1.7</v>
      </c>
      <c r="J34" s="18" t="n">
        <v>1.39</v>
      </c>
      <c r="K34" s="34">
        <f>SUM(G34:J34)</f>
        <v/>
      </c>
      <c r="L34" s="18" t="n">
        <v>1.37</v>
      </c>
      <c r="M34" s="18" t="n">
        <v>1.73</v>
      </c>
      <c r="N34" s="18" t="n">
        <v>1.78</v>
      </c>
      <c r="O34" s="18" t="n">
        <v>1.49</v>
      </c>
      <c r="P34" s="34">
        <f>SUM(L34:O34)</f>
        <v/>
      </c>
      <c r="Q34" s="18" t="n">
        <v>1.49</v>
      </c>
      <c r="R34" s="18" t="n">
        <v>1.65</v>
      </c>
      <c r="S34" s="18" t="n">
        <v>1.84</v>
      </c>
      <c r="T34" s="18" t="n">
        <v>1.77</v>
      </c>
      <c r="U34" s="34">
        <f>SUM(Q34:T34)</f>
        <v/>
      </c>
      <c r="V34" s="18" t="n">
        <v>2.21</v>
      </c>
      <c r="W34" s="18" t="n">
        <v>2.15</v>
      </c>
      <c r="X34" s="18" t="n">
        <v>2.78</v>
      </c>
      <c r="Y34" s="18" t="n">
        <v>3.3</v>
      </c>
      <c r="Z34" s="34">
        <f>SUM(V34:Y34)</f>
        <v/>
      </c>
      <c r="AA34" s="18" t="n">
        <v>2.69</v>
      </c>
      <c r="AB34" s="19" t="n">
        <v>2.14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287.04</v>
      </c>
      <c r="F35" s="34" t="n"/>
      <c r="G35" s="18" t="n">
        <v>323.59</v>
      </c>
      <c r="H35" s="18" t="n">
        <v>360.68</v>
      </c>
      <c r="I35" s="18" t="n">
        <v>304.92</v>
      </c>
      <c r="J35" s="18" t="n">
        <v>326.5</v>
      </c>
      <c r="K35" s="34">
        <f>SUM(G35:J35)</f>
        <v/>
      </c>
      <c r="L35" s="18" t="n">
        <v>327.78</v>
      </c>
      <c r="M35" s="18" t="n">
        <v>430.12</v>
      </c>
      <c r="N35" s="18" t="n">
        <v>378.46</v>
      </c>
      <c r="O35" s="18" t="n">
        <v>438.96</v>
      </c>
      <c r="P35" s="34">
        <f>SUM(L35:O35)</f>
        <v/>
      </c>
      <c r="Q35" s="18" t="n">
        <v>431.15</v>
      </c>
      <c r="R35" s="18" t="n">
        <v>551.66</v>
      </c>
      <c r="S35" s="18" t="n">
        <v>522.16</v>
      </c>
      <c r="T35" s="18" t="n">
        <v>568.08</v>
      </c>
      <c r="U35" s="34">
        <f>SUM(Q35:T35)</f>
        <v/>
      </c>
      <c r="V35" s="18" t="n">
        <v>510.43</v>
      </c>
      <c r="W35" s="18" t="n">
        <v>515.36</v>
      </c>
      <c r="X35" s="18" t="n">
        <v>528.22</v>
      </c>
      <c r="Y35" s="18" t="n">
        <v>518.55</v>
      </c>
      <c r="Z35" s="34">
        <f>SUM(V35:Y35)</f>
        <v/>
      </c>
      <c r="AA35" s="18" t="n">
        <v>564.46</v>
      </c>
      <c r="AB35" s="19" t="n">
        <v>596.77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-2.5</v>
      </c>
      <c r="F36" s="34" t="n"/>
      <c r="G36" s="18" t="n">
        <v>13.66</v>
      </c>
      <c r="H36" s="18" t="n">
        <v>48.71</v>
      </c>
      <c r="I36" s="18" t="n">
        <v>16.33</v>
      </c>
      <c r="J36" s="18" t="n">
        <v>13.11</v>
      </c>
      <c r="K36" s="34">
        <f>SUM(G36:J36)</f>
        <v/>
      </c>
      <c r="L36" s="18" t="n">
        <v>24.93</v>
      </c>
      <c r="M36" s="18" t="n">
        <v>48.55</v>
      </c>
      <c r="N36" s="18" t="n">
        <v>30.1</v>
      </c>
      <c r="O36" s="18" t="n">
        <v>24.06</v>
      </c>
      <c r="P36" s="34">
        <f>SUM(L36:O36)</f>
        <v/>
      </c>
      <c r="Q36" s="18" t="n">
        <v>41.98</v>
      </c>
      <c r="R36" s="18" t="n">
        <v>68.91</v>
      </c>
      <c r="S36" s="18" t="n">
        <v>96.98</v>
      </c>
      <c r="T36" s="18" t="n">
        <v>40.81</v>
      </c>
      <c r="U36" s="34">
        <f>SUM(Q36:T36)</f>
        <v/>
      </c>
      <c r="V36" s="18" t="n">
        <v>81.97</v>
      </c>
      <c r="W36" s="18" t="n">
        <v>62.39</v>
      </c>
      <c r="X36" s="18" t="n">
        <v>64.08</v>
      </c>
      <c r="Y36" s="18" t="n">
        <v>34.35</v>
      </c>
      <c r="Z36" s="34">
        <f>SUM(V36:Y36)</f>
        <v/>
      </c>
      <c r="AA36" s="18" t="n">
        <v>79.81</v>
      </c>
      <c r="AB36" s="19" t="n">
        <v>88.19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667.2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6.58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0.2194</v>
      </c>
    </row>
    <row r="34">
      <c r="C34" s="2" t="inlineStr">
        <is>
          <t>fair_pbr</t>
        </is>
      </c>
      <c r="D34" t="n">
        <v>2.44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