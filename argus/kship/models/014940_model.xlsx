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BS연결!$C$5:$AO$109</definedName>
    <definedName name="BS별도H">BS별도!$C$1:$AO$1</definedName>
    <definedName name="BS별도">BS별도!$C$5:$AO$90</definedName>
    <definedName name="SUBQH">subQ!$A$1:$AO$1</definedName>
    <definedName name="subQ">subQ!$A$5:$AO$44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고객지수 4분기 이동합(t−0) 239820억 × 비례계수 0.0110 × 계절비중 Q3 0.249(계절비중 — 최근 3개 연도(2026, 2025, 2024) 분기/연간 비중 평균; 격자 lag0~4×창8/12/19×수준·YoY·4Q합 중 최대 r=0.95, n=16, 창 19)</t>
      </text>
    </comment>
    <comment ref="AD21" authorId="0" shapeId="0">
      <text>
        <t>모델값 역산(implied): v / 전년동기 − 1
고객지수 4분기 이동합(t−0) 249920억 × 비례계수 0.0110 × 계절비중 Q4 0.268(계절비중 — 최근 3개 연도(2026, 2025, 2024) 분기/연간 비중 평균; 격자 lag0~4×창8/12/19×수준·YoY·4Q합 중 최대 r=0.95, n=16, 창 19)</t>
      </text>
    </comment>
    <comment ref="AF21" authorId="0" shapeId="0">
      <text>
        <t>모델값 역산(implied): v / 전년동기 − 1
고객지수 4분기 이동합(t−0) 260680억 × 비례계수 0.0110 × 계절비중 Q1 0.221(계절비중 — 최근 3개 연도(2026, 2025, 2024) 분기/연간 비중 평균; 격자 lag0~4×창8/12/19×수준·YoY·4Q합 중 최대 r=0.95, n=16, 창 19)</t>
      </text>
    </comment>
    <comment ref="AG21" authorId="0" shapeId="0">
      <text>
        <t>모델값 역산(implied): v / 전년동기 − 1
고객지수 4분기 이동합(t−0) 267048억 × 비례계수 0.0110 × 계절비중 Q2 0.263(계절비중 — 최근 3개 연도(2026, 2025, 2024) 분기/연간 비중 평균; 격자 lag0~4×창8/12/19×수준·YoY·4Q합 중 최대 r=0.95, n=16, 창 19)</t>
      </text>
    </comment>
    <comment ref="AH21" authorId="0" shapeId="0">
      <text>
        <t>모델값 역산(implied): v / 전년동기 − 1
고객지수 4분기 이동합(t−0) 276655억 × 비례계수 0.0110 × 계절비중 Q3 0.249(계절비중 — 최근 3개 연도(2026, 2025, 2024) 분기/연간 비중 평균; 격자 lag0~4×창8/12/19×수준·YoY·4Q합 중 최대 r=0.95, n=16, 창 19)</t>
      </text>
    </comment>
    <comment ref="AI21" authorId="0" shapeId="0">
      <text>
        <t>모델값 역산(implied): v / 전년동기 − 1
고객지수 4분기 이동합(t−0) 289980억 × 비례계수 0.0110 × 계절비중 Q4 0.268(계절비중 — 최근 3개 연도(2026, 2025, 2024) 분기/연간 비중 평균; 격자 lag0~4×창8/12/19×수준·YoY·4Q합 중 최대 r=0.95, n=16, 창 19)</t>
      </text>
    </comment>
    <comment ref="AK21" authorId="0" shapeId="0">
      <text>
        <t>모델값 역산(implied): v / 전년동기 − 1
고객지수 4분기 이동합(t−0) 306561억 × 비례계수 0.0110 × 계절비중 Q1 0.221(계절비중 — 최근 3개 연도(2026, 2025, 2024) 분기/연간 비중 평균; 격자 lag0~4×창8/12/19×수준·YoY·4Q합 중 최대 r=0.95, n=16, 창 19)</t>
      </text>
    </comment>
    <comment ref="AL21" authorId="0" shapeId="0">
      <text>
        <t>모델값 역산(implied): v / 전년동기 − 1
고객지수 4분기 이동합(t−0) 323180억 × 비례계수 0.0110 × 계절비중 Q2 0.263(계절비중 — 최근 3개 연도(2026, 2025, 2024) 분기/연간 비중 평균; 격자 lag0~4×창8/12/19×수준·YoY·4Q합 중 최대 r=0.95, n=16, 창 19)</t>
      </text>
    </comment>
    <comment ref="AM21" authorId="0" shapeId="0">
      <text>
        <t>모델값 역산(implied): v / 전년동기 − 1
고객지수 4분기 이동합(t−0) 338688억 × 비례계수 0.0110 × 계절비중 Q3 0.249(계절비중 — 최근 3개 연도(2026, 2025, 2024) 분기/연간 비중 평균; 격자 lag0~4×창8/12/19×수준·YoY·4Q합 중 최대 r=0.95, n=16, 창 19)</t>
      </text>
    </comment>
    <comment ref="AN21" authorId="0" shapeId="0">
      <text>
        <t>모델값 역산(implied): v / 전년동기 − 1
고객지수 4분기 이동합(t−0) 352527억 × 비례계수 0.0110 × 계절비중 Q4 0.268(계절비중 — 최근 3개 연도(2026, 2025, 2024) 분기/연간 비중 평균; 격자 lag0~4×창8/12/19×수준·YoY·4Q합 중 최대 r=0.95, n=16, 창 19)</t>
      </text>
    </comment>
    <comment ref="AC22" authorId="0" shapeId="0">
      <text>
        <t>3절 스칼라 '판관비율' 참조 — 숫자로 덮어쓰면 이 분기만 바뀐다
매출액 × 판관비율 5.62%(최근 4분기 중위)</t>
      </text>
    </comment>
    <comment ref="AD22" authorId="0" shapeId="0">
      <text>
        <t>3절 스칼라 '판관비율' 참조 — 숫자로 덮어쓰면 이 분기만 바뀐다
매출액 × 판관비율 5.62%(최근 4분기 중위)</t>
      </text>
    </comment>
    <comment ref="AF22" authorId="0" shapeId="0">
      <text>
        <t>3절 스칼라 '판관비율' 참조 — 숫자로 덮어쓰면 이 분기만 바뀐다
매출액 × 판관비율 5.62%(최근 4분기 중위)</t>
      </text>
    </comment>
    <comment ref="AG22" authorId="0" shapeId="0">
      <text>
        <t>3절 스칼라 '판관비율' 참조 — 숫자로 덮어쓰면 이 분기만 바뀐다
매출액 × 판관비율 5.62%(최근 4분기 중위)</t>
      </text>
    </comment>
    <comment ref="AH22" authorId="0" shapeId="0">
      <text>
        <t>3절 스칼라 '판관비율' 참조 — 숫자로 덮어쓰면 이 분기만 바뀐다
매출액 × 판관비율 5.62%(최근 4분기 중위)</t>
      </text>
    </comment>
    <comment ref="AI22" authorId="0" shapeId="0">
      <text>
        <t>3절 스칼라 '판관비율' 참조 — 숫자로 덮어쓰면 이 분기만 바뀐다
매출액 × 판관비율 5.62%(최근 4분기 중위)</t>
      </text>
    </comment>
    <comment ref="AK22" authorId="0" shapeId="0">
      <text>
        <t>3절 스칼라 '판관비율' 참조 — 숫자로 덮어쓰면 이 분기만 바뀐다
매출액 × 판관비율 5.62%(최근 4분기 중위)</t>
      </text>
    </comment>
    <comment ref="AL22" authorId="0" shapeId="0">
      <text>
        <t>3절 스칼라 '판관비율' 참조 — 숫자로 덮어쓰면 이 분기만 바뀐다
매출액 × 판관비율 5.62%(최근 4분기 중위)</t>
      </text>
    </comment>
    <comment ref="AM22" authorId="0" shapeId="0">
      <text>
        <t>3절 스칼라 '판관비율' 참조 — 숫자로 덮어쓰면 이 분기만 바뀐다
매출액 × 판관비율 5.62%(최근 4분기 중위)</t>
      </text>
    </comment>
    <comment ref="AN22" authorId="0" shapeId="0">
      <text>
        <t>3절 스칼라 '판관비율' 참조 — 숫자로 덮어쓰면 이 분기만 바뀐다
매출액 × 판관비율 5.62%(최근 4분기 중위)</t>
      </text>
    </comment>
    <comment ref="AC23" authorId="0" shapeId="0">
      <text>
        <t>모델값 역산(implied): v / 매출액
매출액 × OPM(최근 8분기 OPM 중위 13.1% 유지)</t>
      </text>
    </comment>
    <comment ref="AD23" authorId="0" shapeId="0">
      <text>
        <t>모델값 역산(implied): v / 매출액
매출액 × OPM(최근 8분기 OPM 중위 13.1% 유지)</t>
      </text>
    </comment>
    <comment ref="AF23" authorId="0" shapeId="0">
      <text>
        <t>모델값 역산(implied): v / 매출액
매출액 × OPM(최근 8분기 OPM 중위 13.1% 유지)</t>
      </text>
    </comment>
    <comment ref="AG23" authorId="0" shapeId="0">
      <text>
        <t>모델값 역산(implied): v / 매출액
매출액 × OPM(최근 8분기 OPM 중위 13.1% 유지)</t>
      </text>
    </comment>
    <comment ref="AH23" authorId="0" shapeId="0">
      <text>
        <t>모델값 역산(implied): v / 매출액
매출액 × OPM(최근 8분기 OPM 중위 13.1% 유지)</t>
      </text>
    </comment>
    <comment ref="AI23" authorId="0" shapeId="0">
      <text>
        <t>모델값 역산(implied): v / 매출액
매출액 × OPM(최근 8분기 OPM 중위 13.1% 유지)</t>
      </text>
    </comment>
    <comment ref="AK23" authorId="0" shapeId="0">
      <text>
        <t>모델값 역산(implied): v / 매출액
매출액 × OPM(최근 8분기 OPM 중위 13.1% 유지)</t>
      </text>
    </comment>
    <comment ref="AL23" authorId="0" shapeId="0">
      <text>
        <t>모델값 역산(implied): v / 매출액
매출액 × OPM(최근 8분기 OPM 중위 13.1% 유지)</t>
      </text>
    </comment>
    <comment ref="AM23" authorId="0" shapeId="0">
      <text>
        <t>모델값 역산(implied): v / 매출액
매출액 × OPM(최근 8분기 OPM 중위 13.1% 유지)</t>
      </text>
    </comment>
    <comment ref="AN23" authorId="0" shapeId="0">
      <text>
        <t>모델값 역산(implied): v / 매출액
매출액 × OPM(최근 8분기 OPM 중위 13.1% 유지)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잔차 실측 1분기 &lt; 4 → 0</t>
      </text>
    </comment>
    <comment ref="AD26" authorId="0" shapeId="0">
      <text>
        <t>모델값 역산(implied): 모델 v 그대로
잔차 실측 1분기 &lt; 4 → 0</t>
      </text>
    </comment>
    <comment ref="AF26" authorId="0" shapeId="0">
      <text>
        <t>모델값 역산(implied): 모델 v 그대로
잔차 실측 1분기 &lt; 4 → 0</t>
      </text>
    </comment>
    <comment ref="AG26" authorId="0" shapeId="0">
      <text>
        <t>모델값 역산(implied): 모델 v 그대로
잔차 실측 1분기 &lt; 4 → 0</t>
      </text>
    </comment>
    <comment ref="AH26" authorId="0" shapeId="0">
      <text>
        <t>모델값 역산(implied): 모델 v 그대로
잔차 실측 1분기 &lt; 4 → 0</t>
      </text>
    </comment>
    <comment ref="AI26" authorId="0" shapeId="0">
      <text>
        <t>모델값 역산(implied): 모델 v 그대로
잔차 실측 1분기 &lt; 4 → 0</t>
      </text>
    </comment>
    <comment ref="AK26" authorId="0" shapeId="0">
      <text>
        <t>모델값 역산(implied): 모델 v 그대로
잔차 실측 1분기 &lt; 4 → 0</t>
      </text>
    </comment>
    <comment ref="AL26" authorId="0" shapeId="0">
      <text>
        <t>모델값 역산(implied): 모델 v 그대로
잔차 실측 1분기 &lt; 4 → 0</t>
      </text>
    </comment>
    <comment ref="AM26" authorId="0" shapeId="0">
      <text>
        <t>모델값 역산(implied): 모델 v 그대로
잔차 실측 1분기 &lt; 4 → 0</t>
      </text>
    </comment>
    <comment ref="AN26" authorId="0" shapeId="0">
      <text>
        <t>모델값 역산(implied): 모델 v 그대로
잔차 실측 1분기 &lt; 4 → 0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모델값 역산(implied): 모델 v 그대로
최근 4분기 중위</t>
      </text>
    </comment>
    <comment ref="AD28" authorId="0" shapeId="0">
      <text>
        <t>모델값 역산(implied): 모델 v 그대로
최근 4분기 중위</t>
      </text>
    </comment>
    <comment ref="AF28" authorId="0" shapeId="0">
      <text>
        <t>모델값 역산(implied): 모델 v 그대로
최근 4분기 중위</t>
      </text>
    </comment>
    <comment ref="AG28" authorId="0" shapeId="0">
      <text>
        <t>모델값 역산(implied): 모델 v 그대로
최근 4분기 중위</t>
      </text>
    </comment>
    <comment ref="AH28" authorId="0" shapeId="0">
      <text>
        <t>모델값 역산(implied): 모델 v 그대로
최근 4분기 중위</t>
      </text>
    </comment>
    <comment ref="AI28" authorId="0" shapeId="0">
      <text>
        <t>모델값 역산(implied): 모델 v 그대로
최근 4분기 중위</t>
      </text>
    </comment>
    <comment ref="AK28" authorId="0" shapeId="0">
      <text>
        <t>모델값 역산(implied): 모델 v 그대로
최근 4분기 중위</t>
      </text>
    </comment>
    <comment ref="AL28" authorId="0" shapeId="0">
      <text>
        <t>모델값 역산(implied): 모델 v 그대로
최근 4분기 중위</t>
      </text>
    </comment>
    <comment ref="AM28" authorId="0" shapeId="0">
      <text>
        <t>모델값 역산(implied): 모델 v 그대로
최근 4분기 중위</t>
      </text>
    </comment>
    <comment ref="AN28" authorId="0" shapeId="0">
      <text>
        <t>모델값 역산(implied): 모델 v 그대로
최근 4분기 중위</t>
      </text>
    </comment>
    <comment ref="AC29" authorId="0" shapeId="0">
      <text>
        <t>3절 스칼라 '세율' 참조 — 숫자로 덮어쓰면 이 분기만 바뀐다
max(세전, 0) × 세율 19.6%(최근 12분기 유효세율 19.6%(5~27% 안 — 그대로))</t>
      </text>
    </comment>
    <comment ref="AD29" authorId="0" shapeId="0">
      <text>
        <t>3절 스칼라 '세율' 참조 — 숫자로 덮어쓰면 이 분기만 바뀐다
max(세전, 0) × 세율 19.6%(최근 12분기 유효세율 19.6%(5~27% 안 — 그대로))</t>
      </text>
    </comment>
    <comment ref="AF29" authorId="0" shapeId="0">
      <text>
        <t>3절 스칼라 '세율' 참조 — 숫자로 덮어쓰면 이 분기만 바뀐다
max(세전, 0) × 세율 19.6%(최근 12분기 유효세율 19.6%(5~27% 안 — 그대로))</t>
      </text>
    </comment>
    <comment ref="AG29" authorId="0" shapeId="0">
      <text>
        <t>3절 스칼라 '세율' 참조 — 숫자로 덮어쓰면 이 분기만 바뀐다
max(세전, 0) × 세율 19.6%(최근 12분기 유효세율 19.6%(5~27% 안 — 그대로))</t>
      </text>
    </comment>
    <comment ref="AH29" authorId="0" shapeId="0">
      <text>
        <t>3절 스칼라 '세율' 참조 — 숫자로 덮어쓰면 이 분기만 바뀐다
max(세전, 0) × 세율 19.6%(최근 12분기 유효세율 19.6%(5~27% 안 — 그대로))</t>
      </text>
    </comment>
    <comment ref="AI29" authorId="0" shapeId="0">
      <text>
        <t>3절 스칼라 '세율' 참조 — 숫자로 덮어쓰면 이 분기만 바뀐다
max(세전, 0) × 세율 19.6%(최근 12분기 유효세율 19.6%(5~27% 안 — 그대로))</t>
      </text>
    </comment>
    <comment ref="AK29" authorId="0" shapeId="0">
      <text>
        <t>3절 스칼라 '세율' 참조 — 숫자로 덮어쓰면 이 분기만 바뀐다
max(세전, 0) × 세율 19.6%(최근 12분기 유효세율 19.6%(5~27% 안 — 그대로))</t>
      </text>
    </comment>
    <comment ref="AL29" authorId="0" shapeId="0">
      <text>
        <t>3절 스칼라 '세율' 참조 — 숫자로 덮어쓰면 이 분기만 바뀐다
max(세전, 0) × 세율 19.6%(최근 12분기 유효세율 19.6%(5~27% 안 — 그대로))</t>
      </text>
    </comment>
    <comment ref="AM29" authorId="0" shapeId="0">
      <text>
        <t>3절 스칼라 '세율' 참조 — 숫자로 덮어쓰면 이 분기만 바뀐다
max(세전, 0) × 세율 19.6%(최근 12분기 유효세율 19.6%(5~27% 안 — 그대로))</t>
      </text>
    </comment>
    <comment ref="AN29" authorId="0" shapeId="0">
      <text>
        <t>3절 스칼라 '세율' 참조 — 숫자로 덮어쓰면 이 분기만 바뀐다
max(세전, 0) × 세율 19.6%(최근 12분기 유효세율 19.6%(5~27% 안 — 그대로))</t>
      </text>
    </comment>
    <comment ref="AC30" authorId="0" shapeId="0">
      <text>
        <t>3절 스칼라 '지배주주비중' 참조 — 숫자로 덮어쓰면 이 분기만 바뀐다
당기순이익 × (1 − 비지배 비중 0.0%, 최근 8분기 실측)</t>
      </text>
    </comment>
    <comment ref="AD30" authorId="0" shapeId="0">
      <text>
        <t>3절 스칼라 '지배주주비중' 참조 — 숫자로 덮어쓰면 이 분기만 바뀐다
당기순이익 × (1 − 비지배 비중 0.0%, 최근 8분기 실측)</t>
      </text>
    </comment>
    <comment ref="AF30" authorId="0" shapeId="0">
      <text>
        <t>3절 스칼라 '지배주주비중' 참조 — 숫자로 덮어쓰면 이 분기만 바뀐다
당기순이익 × (1 − 비지배 비중 0.0%, 최근 8분기 실측)</t>
      </text>
    </comment>
    <comment ref="AG30" authorId="0" shapeId="0">
      <text>
        <t>3절 스칼라 '지배주주비중' 참조 — 숫자로 덮어쓰면 이 분기만 바뀐다
당기순이익 × (1 − 비지배 비중 0.0%, 최근 8분기 실측)</t>
      </text>
    </comment>
    <comment ref="AH30" authorId="0" shapeId="0">
      <text>
        <t>3절 스칼라 '지배주주비중' 참조 — 숫자로 덮어쓰면 이 분기만 바뀐다
당기순이익 × (1 − 비지배 비중 0.0%, 최근 8분기 실측)</t>
      </text>
    </comment>
    <comment ref="AI30" authorId="0" shapeId="0">
      <text>
        <t>3절 스칼라 '지배주주비중' 참조 — 숫자로 덮어쓰면 이 분기만 바뀐다
당기순이익 × (1 − 비지배 비중 0.0%, 최근 8분기 실측)</t>
      </text>
    </comment>
    <comment ref="AK30" authorId="0" shapeId="0">
      <text>
        <t>3절 스칼라 '지배주주비중' 참조 — 숫자로 덮어쓰면 이 분기만 바뀐다
당기순이익 × (1 − 비지배 비중 0.0%, 최근 8분기 실측)</t>
      </text>
    </comment>
    <comment ref="AL30" authorId="0" shapeId="0">
      <text>
        <t>3절 스칼라 '지배주주비중' 참조 — 숫자로 덮어쓰면 이 분기만 바뀐다
당기순이익 × (1 − 비지배 비중 0.0%, 최근 8분기 실측)</t>
      </text>
    </comment>
    <comment ref="AM30" authorId="0" shapeId="0">
      <text>
        <t>3절 스칼라 '지배주주비중' 참조 — 숫자로 덮어쓰면 이 분기만 바뀐다
당기순이익 × (1 − 비지배 비중 0.0%, 최근 8분기 실측)</t>
      </text>
    </comment>
    <comment ref="AN30" authorId="0" shapeId="0">
      <text>
        <t>3절 스칼라 '지배주주비중' 참조 — 숫자로 덮어쓰면 이 분기만 바뀐다
당기순이익 × (1 − 비지배 비중 0.0%, 최근 8분기 실측)</t>
      </text>
    </comment>
    <comment ref="AC32" authorId="0" shapeId="0">
      <text>
        <t>모델값 역산(implied): v / 전분기 − 1
마지막 실적 유지(가정)</t>
      </text>
    </comment>
    <comment ref="AD32" authorId="0" shapeId="0">
      <text>
        <t>모델값 역산(implied): v / 전분기 − 1
마지막 실적 유지(가정)</t>
      </text>
    </comment>
    <comment ref="AF32" authorId="0" shapeId="0">
      <text>
        <t>모델값 역산(implied): v / 전분기 − 1
마지막 실적 유지(가정)</t>
      </text>
    </comment>
    <comment ref="AG32" authorId="0" shapeId="0">
      <text>
        <t>모델값 역산(implied): v / 전분기 − 1
마지막 실적 유지(가정)</t>
      </text>
    </comment>
    <comment ref="AH32" authorId="0" shapeId="0">
      <text>
        <t>모델값 역산(implied): v / 전분기 − 1
마지막 실적 유지(가정)</t>
      </text>
    </comment>
    <comment ref="AI32" authorId="0" shapeId="0">
      <text>
        <t>모델값 역산(implied): v / 전분기 − 1
마지막 실적 유지(가정)</t>
      </text>
    </comment>
    <comment ref="AK32" authorId="0" shapeId="0">
      <text>
        <t>모델값 역산(implied): v / 전분기 − 1
마지막 실적 유지(가정)</t>
      </text>
    </comment>
    <comment ref="AL32" authorId="0" shapeId="0">
      <text>
        <t>모델값 역산(implied): v / 전분기 − 1
마지막 실적 유지(가정)</t>
      </text>
    </comment>
    <comment ref="AM32" authorId="0" shapeId="0">
      <text>
        <t>모델값 역산(implied): v / 전분기 − 1
마지막 실적 유지(가정)</t>
      </text>
    </comment>
    <comment ref="AN32" authorId="0" shapeId="0">
      <text>
        <t>모델값 역산(implied): v / 전분기 − 1
마지막 실적 유지(가정)</t>
      </text>
    </comment>
    <comment ref="AC33" authorId="0" shapeId="0">
      <text>
        <t>모델값 역산(implied): 전분기(시트값) + 당기순이익(시트 수식값) − v
전분기 + 당기순이익 − 배당(Q2 지급 가정)</t>
      </text>
    </comment>
    <comment ref="AD33" authorId="0" shapeId="0">
      <text>
        <t>모델값 역산(implied): 전분기(시트값) + 당기순이익(시트 수식값) − v
전분기 + 당기순이익 − 배당(Q2 지급 가정)</t>
      </text>
    </comment>
    <comment ref="AF33" authorId="0" shapeId="0">
      <text>
        <t>모델값 역산(implied): 전분기(시트값) + 당기순이익(시트 수식값) − v
전분기 + 당기순이익 − 배당(Q2 지급 가정)</t>
      </text>
    </comment>
    <comment ref="AG33" authorId="0" shapeId="0">
      <text>
        <t>모델값 역산(implied): 전분기(시트값) + 당기순이익(시트 수식값) − v
전분기 + 당기순이익 − 배당(Q2 지급 가정)</t>
      </text>
    </comment>
    <comment ref="AH33" authorId="0" shapeId="0">
      <text>
        <t>모델값 역산(implied): 전분기(시트값) + 당기순이익(시트 수식값) − v
전분기 + 당기순이익 − 배당(Q2 지급 가정)</t>
      </text>
    </comment>
    <comment ref="AI33" authorId="0" shapeId="0">
      <text>
        <t>모델값 역산(implied): 전분기(시트값) + 당기순이익(시트 수식값) − v
전분기 + 당기순이익 − 배당(Q2 지급 가정)</t>
      </text>
    </comment>
    <comment ref="AK33" authorId="0" shapeId="0">
      <text>
        <t>모델값 역산(implied): 전분기(시트값) + 당기순이익(시트 수식값) − v
전분기 + 당기순이익 − 배당(Q2 지급 가정)</t>
      </text>
    </comment>
    <comment ref="AL33" authorId="0" shapeId="0">
      <text>
        <t>모델값 역산(implied): 전분기(시트값) + 당기순이익(시트 수식값) − v
전분기 + 당기순이익 − 배당(Q2 지급 가정)</t>
      </text>
    </comment>
    <comment ref="AM33" authorId="0" shapeId="0">
      <text>
        <t>모델값 역산(implied): 전분기(시트값) + 당기순이익(시트 수식값) − v
전분기 + 당기순이익 − 배당(Q2 지급 가정)</t>
      </text>
    </comment>
    <comment ref="AN33" authorId="0" shapeId="0">
      <text>
        <t>모델값 역산(implied): 전분기(시트값) + 당기순이익(시트 수식값) − v
전분기 + 당기순이익 − 배당(Q2 지급 가정)</t>
      </text>
    </comment>
    <comment ref="AC34" authorId="0" shapeId="0">
      <text>
        <t>모델값 역산(implied): 전분기(시트값) + 지배주주순이익(시트 수식값) − v
전분기 + 지배주주순이익 − 배당</t>
      </text>
    </comment>
    <comment ref="AD34" authorId="0" shapeId="0">
      <text>
        <t>모델값 역산(implied): 전분기(시트값) + 지배주주순이익(시트 수식값) − v
전분기 + 지배주주순이익 − 배당</t>
      </text>
    </comment>
    <comment ref="AF34" authorId="0" shapeId="0">
      <text>
        <t>모델값 역산(implied): 전분기(시트값) + 지배주주순이익(시트 수식값) − v
전분기 + 지배주주순이익 − 배당</t>
      </text>
    </comment>
    <comment ref="AG34" authorId="0" shapeId="0">
      <text>
        <t>모델값 역산(implied): 전분기(시트값) + 지배주주순이익(시트 수식값) − v
전분기 + 지배주주순이익 − 배당</t>
      </text>
    </comment>
    <comment ref="AH34" authorId="0" shapeId="0">
      <text>
        <t>모델값 역산(implied): 전분기(시트값) + 지배주주순이익(시트 수식값) − v
전분기 + 지배주주순이익 − 배당</t>
      </text>
    </comment>
    <comment ref="AI34" authorId="0" shapeId="0">
      <text>
        <t>모델값 역산(implied): 전분기(시트값) + 지배주주순이익(시트 수식값) − v
전분기 + 지배주주순이익 − 배당</t>
      </text>
    </comment>
    <comment ref="AK34" authorId="0" shapeId="0">
      <text>
        <t>모델값 역산(implied): 전분기(시트값) + 지배주주순이익(시트 수식값) − v
전분기 + 지배주주순이익 − 배당</t>
      </text>
    </comment>
    <comment ref="AL34" authorId="0" shapeId="0">
      <text>
        <t>모델값 역산(implied): 전분기(시트값) + 지배주주순이익(시트 수식값) − v
전분기 + 지배주주순이익 − 배당</t>
      </text>
    </comment>
    <comment ref="AM34" authorId="0" shapeId="0">
      <text>
        <t>모델값 역산(implied): 전분기(시트값) + 지배주주순이익(시트 수식값) − v
전분기 + 지배주주순이익 − 배당</t>
      </text>
    </comment>
    <comment ref="AN34" authorId="0" shapeId="0">
      <text>
        <t>모델값 역산(implied): 전분기(시트값) + 지배주주순이익(시트 수식값) − v
전분기 + 지배주주순이익 − 배당</t>
      </text>
    </comment>
    <comment ref="AC35" authorId="0" shapeId="0">
      <text>
        <t>모델값 역산(implied): v / 전분기 − 1
마지막 실적 유지(가정)</t>
      </text>
    </comment>
    <comment ref="AD35" authorId="0" shapeId="0">
      <text>
        <t>모델값 역산(implied): v / 전분기 − 1
마지막 실적 유지(가정)</t>
      </text>
    </comment>
    <comment ref="AF35" authorId="0" shapeId="0">
      <text>
        <t>모델값 역산(implied): v / 전분기 − 1
마지막 실적 유지(가정)</t>
      </text>
    </comment>
    <comment ref="AG35" authorId="0" shapeId="0">
      <text>
        <t>모델값 역산(implied): v / 전분기 − 1
마지막 실적 유지(가정)</t>
      </text>
    </comment>
    <comment ref="AH35" authorId="0" shapeId="0">
      <text>
        <t>모델값 역산(implied): v / 전분기 − 1
마지막 실적 유지(가정)</t>
      </text>
    </comment>
    <comment ref="AI35" authorId="0" shapeId="0">
      <text>
        <t>모델값 역산(implied): v / 전분기 − 1
마지막 실적 유지(가정)</t>
      </text>
    </comment>
    <comment ref="AK35" authorId="0" shapeId="0">
      <text>
        <t>모델값 역산(implied): v / 전분기 − 1
마지막 실적 유지(가정)</t>
      </text>
    </comment>
    <comment ref="AL35" authorId="0" shapeId="0">
      <text>
        <t>모델값 역산(implied): v / 전분기 − 1
마지막 실적 유지(가정)</t>
      </text>
    </comment>
    <comment ref="AM35" authorId="0" shapeId="0">
      <text>
        <t>모델값 역산(implied): v / 전분기 − 1
마지막 실적 유지(가정)</t>
      </text>
    </comment>
    <comment ref="AN35" authorId="0" shapeId="0">
      <text>
        <t>모델값 역산(implied): v / 전분기 − 1
마지막 실적 유지(가정)</t>
      </text>
    </comment>
    <comment ref="AC36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D36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F36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G36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H36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I36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K36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L36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M36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N36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C37" authorId="0" shapeId="0">
      <text>
        <t>모델값 역산(implied): v / 전분기 − 1
전분기 + FCF 근사 — 순차입금 롤과 같은 가정</t>
      </text>
    </comment>
    <comment ref="AD37" authorId="0" shapeId="0">
      <text>
        <t>모델값 역산(implied): v / 전분기 − 1
전분기 + FCF 근사 — 순차입금 롤과 같은 가정</t>
      </text>
    </comment>
    <comment ref="AF37" authorId="0" shapeId="0">
      <text>
        <t>모델값 역산(implied): v / 전분기 − 1
전분기 + FCF 근사 — 순차입금 롤과 같은 가정</t>
      </text>
    </comment>
    <comment ref="AG37" authorId="0" shapeId="0">
      <text>
        <t>모델값 역산(implied): v / 전분기 − 1
전분기 + FCF 근사 — 순차입금 롤과 같은 가정</t>
      </text>
    </comment>
    <comment ref="AH37" authorId="0" shapeId="0">
      <text>
        <t>모델값 역산(implied): v / 전분기 − 1
전분기 + FCF 근사 — 순차입금 롤과 같은 가정</t>
      </text>
    </comment>
    <comment ref="AI37" authorId="0" shapeId="0">
      <text>
        <t>모델값 역산(implied): v / 전분기 − 1
전분기 + FCF 근사 — 순차입금 롤과 같은 가정</t>
      </text>
    </comment>
    <comment ref="AK37" authorId="0" shapeId="0">
      <text>
        <t>모델값 역산(implied): v / 전분기 − 1
전분기 + FCF 근사 — 순차입금 롤과 같은 가정</t>
      </text>
    </comment>
    <comment ref="AL37" authorId="0" shapeId="0">
      <text>
        <t>모델값 역산(implied): v / 전분기 − 1
전분기 + FCF 근사 — 순차입금 롤과 같은 가정</t>
      </text>
    </comment>
    <comment ref="AM37" authorId="0" shapeId="0">
      <text>
        <t>모델값 역산(implied): v / 전분기 − 1
전분기 + FCF 근사 — 순차입금 롤과 같은 가정</t>
      </text>
    </comment>
    <comment ref="AN37" authorId="0" shapeId="0">
      <text>
        <t>모델값 역산(implied): v / 전분기 − 1
전분기 + FCF 근사 — 순차입금 롤과 같은 가정</t>
      </text>
    </comment>
    <comment ref="AC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41" authorId="0" shapeId="0">
      <text>
        <t>모델값 역산(implied): v / 전분기 − 1
유통주식수 유지 — fin.shares.common_outstanding(2026Q2)</t>
      </text>
    </comment>
    <comment ref="AD41" authorId="0" shapeId="0">
      <text>
        <t>모델값 역산(implied): v / 전분기 − 1
유통주식수 유지 — fin.shares.common_outstanding(2026Q2)</t>
      </text>
    </comment>
    <comment ref="AF41" authorId="0" shapeId="0">
      <text>
        <t>모델값 역산(implied): v / 전분기 − 1
유통주식수 유지 — fin.shares.common_outstanding(2026Q2)</t>
      </text>
    </comment>
    <comment ref="AG41" authorId="0" shapeId="0">
      <text>
        <t>모델값 역산(implied): v / 전분기 − 1
유통주식수 유지 — fin.shares.common_outstanding(2026Q2)</t>
      </text>
    </comment>
    <comment ref="AH41" authorId="0" shapeId="0">
      <text>
        <t>모델값 역산(implied): v / 전분기 − 1
유통주식수 유지 — fin.shares.common_outstanding(2026Q2)</t>
      </text>
    </comment>
    <comment ref="AI41" authorId="0" shapeId="0">
      <text>
        <t>모델값 역산(implied): v / 전분기 − 1
유통주식수 유지 — fin.shares.common_outstanding(2026Q2)</t>
      </text>
    </comment>
    <comment ref="AK41" authorId="0" shapeId="0">
      <text>
        <t>모델값 역산(implied): v / 전분기 − 1
유통주식수 유지 — fin.shares.common_outstanding(2026Q2)</t>
      </text>
    </comment>
    <comment ref="AL41" authorId="0" shapeId="0">
      <text>
        <t>모델값 역산(implied): v / 전분기 − 1
유통주식수 유지 — fin.shares.common_outstanding(2026Q2)</t>
      </text>
    </comment>
    <comment ref="AM41" authorId="0" shapeId="0">
      <text>
        <t>모델값 역산(implied): v / 전분기 − 1
유통주식수 유지 — fin.shares.common_outstanding(2026Q2)</t>
      </text>
    </comment>
    <comment ref="AN41" authorId="0" shapeId="0">
      <text>
        <t>모델값 역산(implied): v / 전분기 − 1
유통주식수 유지 — fin.shares.common_outstanding(2026Q2)</t>
      </text>
    </comment>
    <comment ref="AD42" authorId="0" shapeId="0">
      <text>
        <t>모델값 역산(implied): 모델 v 그대로
직전 결산 DPS 0원 유지</t>
      </text>
    </comment>
    <comment ref="AI42" authorId="0" shapeId="0">
      <text>
        <t>모델값 역산(implied): 모델 v 그대로
직전 결산 DPS 0원 유지</t>
      </text>
    </comment>
    <comment ref="AN42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고객지수 4분기 이동합(t−0) 239820억 × 비례계수 0.0110 × 계절비중 Q3 0.249(계절비중 — 최근 3개 연도(2026, 2025, 2024) 분기/연간 비중 평균; 격자 lag0~4×창8/12/19×수준·YoY·4Q합 중 최대 r=0.95, n=16, 창 19)
[yoy]</t>
      </text>
    </comment>
    <comment ref="AD5" authorId="0" shapeId="0">
      <text>
        <t>추정: 고객지수 4분기 이동합(t−0) 249920억 × 비례계수 0.0110 × 계절비중 Q4 0.268(계절비중 — 최근 3개 연도(2026, 2025, 2024) 분기/연간 비중 평균; 격자 lag0~4×창8/12/19×수준·YoY·4Q합 중 최대 r=0.95, n=16, 창 19)
[yoy]</t>
      </text>
    </comment>
    <comment ref="AF5" authorId="0" shapeId="0">
      <text>
        <t>추정: 고객지수 4분기 이동합(t−0) 260680억 × 비례계수 0.0110 × 계절비중 Q1 0.221(계절비중 — 최근 3개 연도(2026, 2025, 2024) 분기/연간 비중 평균; 격자 lag0~4×창8/12/19×수준·YoY·4Q합 중 최대 r=0.95, n=16, 창 19)
[yoy]</t>
      </text>
    </comment>
    <comment ref="AG5" authorId="0" shapeId="0">
      <text>
        <t>추정: 고객지수 4분기 이동합(t−0) 267048억 × 비례계수 0.0110 × 계절비중 Q2 0.263(계절비중 — 최근 3개 연도(2026, 2025, 2024) 분기/연간 비중 평균; 격자 lag0~4×창8/12/19×수준·YoY·4Q합 중 최대 r=0.95, n=16, 창 19)
[yoy]</t>
      </text>
    </comment>
    <comment ref="AH5" authorId="0" shapeId="0">
      <text>
        <t>추정: 고객지수 4분기 이동합(t−0) 276655억 × 비례계수 0.0110 × 계절비중 Q3 0.249(계절비중 — 최근 3개 연도(2026, 2025, 2024) 분기/연간 비중 평균; 격자 lag0~4×창8/12/19×수준·YoY·4Q합 중 최대 r=0.95, n=16, 창 19)
[yoy]</t>
      </text>
    </comment>
    <comment ref="AI5" authorId="0" shapeId="0">
      <text>
        <t>추정: 고객지수 4분기 이동합(t−0) 289980억 × 비례계수 0.0110 × 계절비중 Q4 0.268(계절비중 — 최근 3개 연도(2026, 2025, 2024) 분기/연간 비중 평균; 격자 lag0~4×창8/12/19×수준·YoY·4Q합 중 최대 r=0.95, n=16, 창 19)
[yoy]</t>
      </text>
    </comment>
    <comment ref="AK5" authorId="0" shapeId="0">
      <text>
        <t>추정: 고객지수 4분기 이동합(t−0) 306561억 × 비례계수 0.0110 × 계절비중 Q1 0.221(계절비중 — 최근 3개 연도(2026, 2025, 2024) 분기/연간 비중 평균; 격자 lag0~4×창8/12/19×수준·YoY·4Q합 중 최대 r=0.95, n=16, 창 19)
[yoy]</t>
      </text>
    </comment>
    <comment ref="AL5" authorId="0" shapeId="0">
      <text>
        <t>추정: 고객지수 4분기 이동합(t−0) 323180억 × 비례계수 0.0110 × 계절비중 Q2 0.263(계절비중 — 최근 3개 연도(2026, 2025, 2024) 분기/연간 비중 평균; 격자 lag0~4×창8/12/19×수준·YoY·4Q합 중 최대 r=0.95, n=16, 창 19)
[yoy]</t>
      </text>
    </comment>
    <comment ref="AM5" authorId="0" shapeId="0">
      <text>
        <t>추정: 고객지수 4분기 이동합(t−0) 338688억 × 비례계수 0.0110 × 계절비중 Q3 0.249(계절비중 — 최근 3개 연도(2026, 2025, 2024) 분기/연간 비중 평균; 격자 lag0~4×창8/12/19×수준·YoY·4Q합 중 최대 r=0.95, n=16, 창 19)
[yoy]</t>
      </text>
    </comment>
    <comment ref="AN5" authorId="0" shapeId="0">
      <text>
        <t>추정: 고객지수 4분기 이동합(t−0) 352527억 × 비례계수 0.0110 × 계절비중 Q4 0.268(계절비중 — 최근 3개 연도(2026, 2025, 2024) 분기/연간 비중 평균; 격자 lag0~4×창8/12/19×수준·YoY·4Q합 중 최대 r=0.95, n=16, 창 19)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5.62%(최근 4분기 중위)
[ratio]</t>
      </text>
    </comment>
    <comment ref="AD8" authorId="0" shapeId="0">
      <text>
        <t>추정: 매출액 × 판관비율 5.62%(최근 4분기 중위)
[ratio]</t>
      </text>
    </comment>
    <comment ref="AF8" authorId="0" shapeId="0">
      <text>
        <t>추정: 매출액 × 판관비율 5.62%(최근 4분기 중위)
[ratio]</t>
      </text>
    </comment>
    <comment ref="AG8" authorId="0" shapeId="0">
      <text>
        <t>추정: 매출액 × 판관비율 5.62%(최근 4분기 중위)
[ratio]</t>
      </text>
    </comment>
    <comment ref="AH8" authorId="0" shapeId="0">
      <text>
        <t>추정: 매출액 × 판관비율 5.62%(최근 4분기 중위)
[ratio]</t>
      </text>
    </comment>
    <comment ref="AI8" authorId="0" shapeId="0">
      <text>
        <t>추정: 매출액 × 판관비율 5.62%(최근 4분기 중위)
[ratio]</t>
      </text>
    </comment>
    <comment ref="AK8" authorId="0" shapeId="0">
      <text>
        <t>추정: 매출액 × 판관비율 5.62%(최근 4분기 중위)
[ratio]</t>
      </text>
    </comment>
    <comment ref="AL8" authorId="0" shapeId="0">
      <text>
        <t>추정: 매출액 × 판관비율 5.62%(최근 4분기 중위)
[ratio]</t>
      </text>
    </comment>
    <comment ref="AM8" authorId="0" shapeId="0">
      <text>
        <t>추정: 매출액 × 판관비율 5.62%(최근 4분기 중위)
[ratio]</t>
      </text>
    </comment>
    <comment ref="AN8" authorId="0" shapeId="0">
      <text>
        <t>추정: 매출액 × 판관비율 5.62%(최근 4분기 중위)
[ratio]</t>
      </text>
    </comment>
    <comment ref="AC9" authorId="0" shapeId="0">
      <text>
        <t>추정: 매출액 × OPM(최근 8분기 OPM 중위 13.1% 유지)
[ratio]</t>
      </text>
    </comment>
    <comment ref="AD9" authorId="0" shapeId="0">
      <text>
        <t>추정: 매출액 × OPM(최근 8분기 OPM 중위 13.1% 유지)
[ratio]</t>
      </text>
    </comment>
    <comment ref="AF9" authorId="0" shapeId="0">
      <text>
        <t>추정: 매출액 × OPM(최근 8분기 OPM 중위 13.1% 유지)
[ratio]</t>
      </text>
    </comment>
    <comment ref="AG9" authorId="0" shapeId="0">
      <text>
        <t>추정: 매출액 × OPM(최근 8분기 OPM 중위 13.1% 유지)
[ratio]</t>
      </text>
    </comment>
    <comment ref="AH9" authorId="0" shapeId="0">
      <text>
        <t>추정: 매출액 × OPM(최근 8분기 OPM 중위 13.1% 유지)
[ratio]</t>
      </text>
    </comment>
    <comment ref="AI9" authorId="0" shapeId="0">
      <text>
        <t>추정: 매출액 × OPM(최근 8분기 OPM 중위 13.1% 유지)
[ratio]</t>
      </text>
    </comment>
    <comment ref="AK9" authorId="0" shapeId="0">
      <text>
        <t>추정: 매출액 × OPM(최근 8분기 OPM 중위 13.1% 유지)
[ratio]</t>
      </text>
    </comment>
    <comment ref="AL9" authorId="0" shapeId="0">
      <text>
        <t>추정: 매출액 × OPM(최근 8분기 OPM 중위 13.1% 유지)
[ratio]</t>
      </text>
    </comment>
    <comment ref="AM9" authorId="0" shapeId="0">
      <text>
        <t>추정: 매출액 × OPM(최근 8분기 OPM 중위 13.1% 유지)
[ratio]</t>
      </text>
    </comment>
    <comment ref="AN9" authorId="0" shapeId="0">
      <text>
        <t>추정: 매출액 × OPM(최근 8분기 OPM 중위 13.1% 유지)
[ratio]</t>
      </text>
    </comment>
    <comment ref="AC10" authorId="0" shapeId="0">
      <text>
        <t>추정: 최근 8분기 OPM 중위 13.1% 유지
[divide]</t>
      </text>
    </comment>
    <comment ref="AD10" authorId="0" shapeId="0">
      <text>
        <t>추정: 최근 8분기 OPM 중위 13.1% 유지
[divide]</t>
      </text>
    </comment>
    <comment ref="AF10" authorId="0" shapeId="0">
      <text>
        <t>추정: 최근 8분기 OPM 중위 13.1% 유지
[divide]</t>
      </text>
    </comment>
    <comment ref="AG10" authorId="0" shapeId="0">
      <text>
        <t>추정: 최근 8분기 OPM 중위 13.1% 유지
[divide]</t>
      </text>
    </comment>
    <comment ref="AH10" authorId="0" shapeId="0">
      <text>
        <t>추정: 최근 8분기 OPM 중위 13.1% 유지
[divide]</t>
      </text>
    </comment>
    <comment ref="AI10" authorId="0" shapeId="0">
      <text>
        <t>추정: 최근 8분기 OPM 중위 13.1% 유지
[divide]</t>
      </text>
    </comment>
    <comment ref="AK10" authorId="0" shapeId="0">
      <text>
        <t>추정: 최근 8분기 OPM 중위 13.1% 유지
[divide]</t>
      </text>
    </comment>
    <comment ref="AL10" authorId="0" shapeId="0">
      <text>
        <t>추정: 최근 8분기 OPM 중위 13.1% 유지
[divide]</t>
      </text>
    </comment>
    <comment ref="AM10" authorId="0" shapeId="0">
      <text>
        <t>추정: 최근 8분기 OPM 중위 13.1% 유지
[divide]</t>
      </text>
    </comment>
    <comment ref="AN10" authorId="0" shapeId="0">
      <text>
        <t>추정: 최근 8분기 OPM 중위 13.1% 유지
[divide]</t>
      </text>
    </comment>
    <comment ref="AC11" authorId="0" shapeId="0">
      <text>
        <t>추정: 이자손익 + 외환손익 0 + 파생상품손익 0 + 기타금융손익 +0.00억(잔차 실측 1분기 &lt; 4 → 0) (항등식); 이자손익 = 이자발생자산 137억 × 5.88%(주석 이자수익 ÷ 평균 이자발생자산(2025Q3~2026Q2)) − 총차입금 250억 × 4.06%(주석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1분기 &lt; 4 → 0) (항등식); 이자손익 = 이자발생자산 203억 × 5.88%(주석 이자수익 ÷ 평균 이자발생자산(2025Q3~2026Q2)) − 총차입금 250억 × 4.06%(주석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1분기 &lt; 4 → 0) (항등식); 이자손익 = 이자발생자산 279억 × 5.88%(주석 이자수익 ÷ 평균 이자발생자산(2025Q3~2026Q2)) − 총차입금 250억 × 4.06%(주석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1분기 &lt; 4 → 0) (항등식); 이자손익 = 이자발생자산 345억 × 5.88%(주석 이자수익 ÷ 평균 이자발생자산(2025Q3~2026Q2)) − 총차입금 250억 × 4.06%(주석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1분기 &lt; 4 → 0) (항등식); 이자손익 = 이자발생자산 426억 × 5.88%(주석 이자수익 ÷ 평균 이자발생자산(2025Q3~2026Q2)) − 총차입금 250억 × 4.06%(주석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1분기 &lt; 4 → 0) (항등식); 이자손익 = 이자발생자산 507억 × 5.88%(주석 이자수익 ÷ 평균 이자발생자산(2025Q3~2026Q2)) − 총차입금 250억 × 4.06%(주석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1분기 &lt; 4 → 0) (항등식); 이자손익 = 이자발생자산 599억 × 5.88%(주석 이자수익 ÷ 평균 이자발생자산(2025Q3~2026Q2)) − 총차입금 250억 × 4.06%(주석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1분기 &lt; 4 → 0) (항등식); 이자손익 = 이자발생자산 680억 × 5.88%(주석 이자수익 ÷ 평균 이자발생자산(2025Q3~2026Q2)) − 총차입금 250억 × 4.06%(주석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1분기 &lt; 4 → 0) (항등식); 이자손익 = 이자발생자산 782억 × 5.88%(주석 이자수익 ÷ 평균 이자발생자산(2025Q3~2026Q2)) − 총차입금 250억 × 4.06%(주석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1분기 &lt; 4 → 0) (항등식); 이자손익 = 이자발생자산 885억 × 5.88%(주석 이자수익 ÷ 평균 이자발생자산(2025Q3~2026Q2)) − 총차입금 250억 × 4.06%(주석 이자비용 ÷ 평균 총차입금(2025Q3~2026Q2)) (연율) ÷ 4; 환율 효과는 환관련손익 행 별도
[identity]</t>
      </text>
    </comment>
    <comment ref="AC12" authorId="0" shapeId="0">
      <text>
        <t>추정: 이자발생자산 137억 × 5.88%(주석 이자수익 ÷ 평균 이자발생자산(2025Q3~2026Q2)) − 총차입금 250억 × 4.06%(주석 이자비용 ÷ 평균 총차입금(2025Q3~2026Q2)) (연율) ÷ 4
[interest]</t>
      </text>
    </comment>
    <comment ref="AD12" authorId="0" shapeId="0">
      <text>
        <t>추정: 이자발생자산 203억 × 5.88%(주석 이자수익 ÷ 평균 이자발생자산(2025Q3~2026Q2)) − 총차입금 250억 × 4.06%(주석 이자비용 ÷ 평균 총차입금(2025Q3~2026Q2)) (연율) ÷ 4
[interest]</t>
      </text>
    </comment>
    <comment ref="AF12" authorId="0" shapeId="0">
      <text>
        <t>추정: 이자발생자산 279억 × 5.88%(주석 이자수익 ÷ 평균 이자발생자산(2025Q3~2026Q2)) − 총차입금 250억 × 4.06%(주석 이자비용 ÷ 평균 총차입금(2025Q3~2026Q2)) (연율) ÷ 4
[interest]</t>
      </text>
    </comment>
    <comment ref="AG12" authorId="0" shapeId="0">
      <text>
        <t>추정: 이자발생자산 345억 × 5.88%(주석 이자수익 ÷ 평균 이자발생자산(2025Q3~2026Q2)) − 총차입금 250억 × 4.06%(주석 이자비용 ÷ 평균 총차입금(2025Q3~2026Q2)) (연율) ÷ 4
[interest]</t>
      </text>
    </comment>
    <comment ref="AH12" authorId="0" shapeId="0">
      <text>
        <t>추정: 이자발생자산 426억 × 5.88%(주석 이자수익 ÷ 평균 이자발생자산(2025Q3~2026Q2)) − 총차입금 250억 × 4.06%(주석 이자비용 ÷ 평균 총차입금(2025Q3~2026Q2)) (연율) ÷ 4
[interest]</t>
      </text>
    </comment>
    <comment ref="AI12" authorId="0" shapeId="0">
      <text>
        <t>추정: 이자발생자산 507억 × 5.88%(주석 이자수익 ÷ 평균 이자발생자산(2025Q3~2026Q2)) − 총차입금 250억 × 4.06%(주석 이자비용 ÷ 평균 총차입금(2025Q3~2026Q2)) (연율) ÷ 4
[interest]</t>
      </text>
    </comment>
    <comment ref="AK12" authorId="0" shapeId="0">
      <text>
        <t>추정: 이자발생자산 599억 × 5.88%(주석 이자수익 ÷ 평균 이자발생자산(2025Q3~2026Q2)) − 총차입금 250억 × 4.06%(주석 이자비용 ÷ 평균 총차입금(2025Q3~2026Q2)) (연율) ÷ 4
[interest]</t>
      </text>
    </comment>
    <comment ref="AL12" authorId="0" shapeId="0">
      <text>
        <t>추정: 이자발생자산 680억 × 5.88%(주석 이자수익 ÷ 평균 이자발생자산(2025Q3~2026Q2)) − 총차입금 250억 × 4.06%(주석 이자비용 ÷ 평균 총차입금(2025Q3~2026Q2)) (연율) ÷ 4
[interest]</t>
      </text>
    </comment>
    <comment ref="AM12" authorId="0" shapeId="0">
      <text>
        <t>추정: 이자발생자산 782억 × 5.88%(주석 이자수익 ÷ 평균 이자발생자산(2025Q3~2026Q2)) − 총차입금 250억 × 4.06%(주석 이자비용 ÷ 평균 총차입금(2025Q3~2026Q2)) (연율) ÷ 4
[interest]</t>
      </text>
    </comment>
    <comment ref="AN12" authorId="0" shapeId="0">
      <text>
        <t>추정: 이자발생자산 885억 × 5.88%(주석 이자수익 ÷ 평균 이자발생자산(2025Q3~2026Q2)) − 총차입금 250억 × 4.06%(주석 이자비용 ÷ 평균 총차입금(2025Q3~2026Q2))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W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잔차 실측 1분기 &lt; 4 → 0
[abs]</t>
      </text>
    </comment>
    <comment ref="AD15" authorId="0" shapeId="0">
      <text>
        <t>추정: 잔차 실측 1분기 &lt; 4 → 0
[abs]</t>
      </text>
    </comment>
    <comment ref="AF15" authorId="0" shapeId="0">
      <text>
        <t>추정: 잔차 실측 1분기 &lt; 4 → 0
[abs]</t>
      </text>
    </comment>
    <comment ref="AG15" authorId="0" shapeId="0">
      <text>
        <t>추정: 잔차 실측 1분기 &lt; 4 → 0
[abs]</t>
      </text>
    </comment>
    <comment ref="AH15" authorId="0" shapeId="0">
      <text>
        <t>추정: 잔차 실측 1분기 &lt; 4 → 0
[abs]</t>
      </text>
    </comment>
    <comment ref="AI15" authorId="0" shapeId="0">
      <text>
        <t>추정: 잔차 실측 1분기 &lt; 4 → 0
[abs]</t>
      </text>
    </comment>
    <comment ref="AK15" authorId="0" shapeId="0">
      <text>
        <t>추정: 잔차 실측 1분기 &lt; 4 → 0
[abs]</t>
      </text>
    </comment>
    <comment ref="AL15" authorId="0" shapeId="0">
      <text>
        <t>추정: 잔차 실측 1분기 &lt; 4 → 0
[abs]</t>
      </text>
    </comment>
    <comment ref="AM15" authorId="0" shapeId="0">
      <text>
        <t>추정: 잔차 실측 1분기 &lt; 4 → 0
[abs]</t>
      </text>
    </comment>
    <comment ref="AN15" authorId="0" shapeId="0">
      <text>
        <t>추정: 잔차 실측 1분기 &lt; 4 → 0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최근 4분기 중위
[abs]</t>
      </text>
    </comment>
    <comment ref="AD17" authorId="0" shapeId="0">
      <text>
        <t>추정: 최근 4분기 중위
[abs]</t>
      </text>
    </comment>
    <comment ref="AF17" authorId="0" shapeId="0">
      <text>
        <t>추정: 최근 4분기 중위
[abs]</t>
      </text>
    </comment>
    <comment ref="AG17" authorId="0" shapeId="0">
      <text>
        <t>추정: 최근 4분기 중위
[abs]</t>
      </text>
    </comment>
    <comment ref="AH17" authorId="0" shapeId="0">
      <text>
        <t>추정: 최근 4분기 중위
[abs]</t>
      </text>
    </comment>
    <comment ref="AI17" authorId="0" shapeId="0">
      <text>
        <t>추정: 최근 4분기 중위
[abs]</t>
      </text>
    </comment>
    <comment ref="AK17" authorId="0" shapeId="0">
      <text>
        <t>추정: 최근 4분기 중위
[abs]</t>
      </text>
    </comment>
    <comment ref="AL17" authorId="0" shapeId="0">
      <text>
        <t>추정: 최근 4분기 중위
[abs]</t>
      </text>
    </comment>
    <comment ref="AM17" authorId="0" shapeId="0">
      <text>
        <t>추정: 최근 4분기 중위
[abs]</t>
      </text>
    </comment>
    <comment ref="AN17" authorId="0" shapeId="0">
      <text>
        <t>추정: 최근 4분기 중위
[abs]</t>
      </text>
    </comment>
    <comment ref="AC18" authorId="0" shapeId="0">
      <text>
        <t>추정: 영업이익 + 금융손익 + 기타영업외 + 지분법 + 환관련(항등식)
[identity]</t>
      </text>
    </comment>
    <comment ref="AD18" authorId="0" shapeId="0">
      <text>
        <t>추정: 영업이익 + 금융손익 + 기타영업외 + 지분법 + 환관련(항등식)
[identity]</t>
      </text>
    </comment>
    <comment ref="AF18" authorId="0" shapeId="0">
      <text>
        <t>추정: 영업이익 + 금융손익 + 기타영업외 + 지분법 + 환관련(항등식)
[identity]</t>
      </text>
    </comment>
    <comment ref="AG18" authorId="0" shapeId="0">
      <text>
        <t>추정: 영업이익 + 금융손익 + 기타영업외 + 지분법 + 환관련(항등식)
[identity]</t>
      </text>
    </comment>
    <comment ref="AH18" authorId="0" shapeId="0">
      <text>
        <t>추정: 영업이익 + 금융손익 + 기타영업외 + 지분법 + 환관련(항등식)
[identity]</t>
      </text>
    </comment>
    <comment ref="AI18" authorId="0" shapeId="0">
      <text>
        <t>추정: 영업이익 + 금융손익 + 기타영업외 + 지분법 + 환관련(항등식)
[identity]</t>
      </text>
    </comment>
    <comment ref="AK18" authorId="0" shapeId="0">
      <text>
        <t>추정: 영업이익 + 금융손익 + 기타영업외 + 지분법 + 환관련(항등식)
[identity]</t>
      </text>
    </comment>
    <comment ref="AL18" authorId="0" shapeId="0">
      <text>
        <t>추정: 영업이익 + 금융손익 + 기타영업외 + 지분법 + 환관련(항등식)
[identity]</t>
      </text>
    </comment>
    <comment ref="AM18" authorId="0" shapeId="0">
      <text>
        <t>추정: 영업이익 + 금융손익 + 기타영업외 + 지분법 + 환관련(항등식)
[identity]</t>
      </text>
    </comment>
    <comment ref="AN18" authorId="0" shapeId="0">
      <text>
        <t>추정: 영업이익 + 금융손익 + 기타영업외 + 지분법 + 환관련(항등식)
[identity]</t>
      </text>
    </comment>
    <comment ref="AC19" authorId="0" shapeId="0">
      <text>
        <t>추정: max(세전, 0) × 세율 19.6%(최근 12분기 유효세율 19.6%(5~27% 안 — 그대로))
[tax]</t>
      </text>
    </comment>
    <comment ref="AD19" authorId="0" shapeId="0">
      <text>
        <t>추정: max(세전, 0) × 세율 19.6%(최근 12분기 유효세율 19.6%(5~27% 안 — 그대로))
[tax]</t>
      </text>
    </comment>
    <comment ref="AF19" authorId="0" shapeId="0">
      <text>
        <t>추정: max(세전, 0) × 세율 19.6%(최근 12분기 유효세율 19.6%(5~27% 안 — 그대로))
[tax]</t>
      </text>
    </comment>
    <comment ref="AG19" authorId="0" shapeId="0">
      <text>
        <t>추정: max(세전, 0) × 세율 19.6%(최근 12분기 유효세율 19.6%(5~27% 안 — 그대로))
[tax]</t>
      </text>
    </comment>
    <comment ref="AH19" authorId="0" shapeId="0">
      <text>
        <t>추정: max(세전, 0) × 세율 19.6%(최근 12분기 유효세율 19.6%(5~27% 안 — 그대로))
[tax]</t>
      </text>
    </comment>
    <comment ref="AI19" authorId="0" shapeId="0">
      <text>
        <t>추정: max(세전, 0) × 세율 19.6%(최근 12분기 유효세율 19.6%(5~27% 안 — 그대로))
[tax]</t>
      </text>
    </comment>
    <comment ref="AK19" authorId="0" shapeId="0">
      <text>
        <t>추정: max(세전, 0) × 세율 19.6%(최근 12분기 유효세율 19.6%(5~27% 안 — 그대로))
[tax]</t>
      </text>
    </comment>
    <comment ref="AL19" authorId="0" shapeId="0">
      <text>
        <t>추정: max(세전, 0) × 세율 19.6%(최근 12분기 유효세율 19.6%(5~27% 안 — 그대로))
[tax]</t>
      </text>
    </comment>
    <comment ref="AM19" authorId="0" shapeId="0">
      <text>
        <t>추정: max(세전, 0) × 세율 19.6%(최근 12분기 유효세율 19.6%(5~27% 안 — 그대로))
[tax]</t>
      </text>
    </comment>
    <comment ref="AN19" authorId="0" shapeId="0">
      <text>
        <t>추정: max(세전, 0) × 세율 19.6%(최근 12분기 유효세율 19.6%(5~27% 안 — 그대로))
[tax]</t>
      </text>
    </comment>
    <comment ref="AC20" authorId="0" shapeId="0">
      <text>
        <t>추정: 세전이익 − 법인세비용(항등식)
[identity]</t>
      </text>
    </comment>
    <comment ref="AD20" authorId="0" shapeId="0">
      <text>
        <t>추정: 세전이익 − 법인세비용(항등식)
[identity]</t>
      </text>
    </comment>
    <comment ref="AF20" authorId="0" shapeId="0">
      <text>
        <t>추정: 세전이익 − 법인세비용(항등식)
[identity]</t>
      </text>
    </comment>
    <comment ref="AG20" authorId="0" shapeId="0">
      <text>
        <t>추정: 세전이익 − 법인세비용(항등식)
[identity]</t>
      </text>
    </comment>
    <comment ref="AH20" authorId="0" shapeId="0">
      <text>
        <t>추정: 세전이익 − 법인세비용(항등식)
[identity]</t>
      </text>
    </comment>
    <comment ref="AI20" authorId="0" shapeId="0">
      <text>
        <t>추정: 세전이익 − 법인세비용(항등식)
[identity]</t>
      </text>
    </comment>
    <comment ref="AK20" authorId="0" shapeId="0">
      <text>
        <t>추정: 세전이익 − 법인세비용(항등식)
[identity]</t>
      </text>
    </comment>
    <comment ref="AL20" authorId="0" shapeId="0">
      <text>
        <t>추정: 세전이익 − 법인세비용(항등식)
[identity]</t>
      </text>
    </comment>
    <comment ref="AM20" authorId="0" shapeId="0">
      <text>
        <t>추정: 세전이익 − 법인세비용(항등식)
[identity]</t>
      </text>
    </comment>
    <comment ref="AN20" authorId="0" shapeId="0">
      <text>
        <t>추정: 세전이익 − 법인세비용(항등식)
[identity]</t>
      </text>
    </comment>
    <comment ref="AC21" authorId="0" shapeId="0">
      <text>
        <t>추정: 당기순이익 × (1 − 비지배 비중 0.0%, 최근 8분기 실측)
[ratio]</t>
      </text>
    </comment>
    <comment ref="AD21" authorId="0" shapeId="0">
      <text>
        <t>추정: 당기순이익 × (1 − 비지배 비중 0.0%, 최근 8분기 실측)
[ratio]</t>
      </text>
    </comment>
    <comment ref="AF21" authorId="0" shapeId="0">
      <text>
        <t>추정: 당기순이익 × (1 − 비지배 비중 0.0%, 최근 8분기 실측)
[ratio]</t>
      </text>
    </comment>
    <comment ref="AG21" authorId="0" shapeId="0">
      <text>
        <t>추정: 당기순이익 × (1 − 비지배 비중 0.0%, 최근 8분기 실측)
[ratio]</t>
      </text>
    </comment>
    <comment ref="AH21" authorId="0" shapeId="0">
      <text>
        <t>추정: 당기순이익 × (1 − 비지배 비중 0.0%, 최근 8분기 실측)
[ratio]</t>
      </text>
    </comment>
    <comment ref="AI21" authorId="0" shapeId="0">
      <text>
        <t>추정: 당기순이익 × (1 − 비지배 비중 0.0%, 최근 8분기 실측)
[ratio]</t>
      </text>
    </comment>
    <comment ref="AK21" authorId="0" shapeId="0">
      <text>
        <t>추정: 당기순이익 × (1 − 비지배 비중 0.0%, 최근 8분기 실측)
[ratio]</t>
      </text>
    </comment>
    <comment ref="AL21" authorId="0" shapeId="0">
      <text>
        <t>추정: 당기순이익 × (1 − 비지배 비중 0.0%, 최근 8분기 실측)
[ratio]</t>
      </text>
    </comment>
    <comment ref="AM21" authorId="0" shapeId="0">
      <text>
        <t>추정: 당기순이익 × (1 − 비지배 비중 0.0%, 최근 8분기 실측)
[ratio]</t>
      </text>
    </comment>
    <comment ref="AN21" authorId="0" shapeId="0">
      <text>
        <t>추정: 당기순이익 × (1 − 비지배 비중 0.0%, 최근 8분기 실측)
[ratio]</t>
      </text>
    </comment>
    <comment ref="AC23" authorId="0" shapeId="0">
      <text>
        <t>추정: 부채총계 + 자본총계(항등식)
[identity]</t>
      </text>
    </comment>
    <comment ref="AD23" authorId="0" shapeId="0">
      <text>
        <t>추정: 부채총계 + 자본총계(항등식)
[identity]</t>
      </text>
    </comment>
    <comment ref="AF23" authorId="0" shapeId="0">
      <text>
        <t>추정: 부채총계 + 자본총계(항등식)
[identity]</t>
      </text>
    </comment>
    <comment ref="AG23" authorId="0" shapeId="0">
      <text>
        <t>추정: 부채총계 + 자본총계(항등식)
[identity]</t>
      </text>
    </comment>
    <comment ref="AH23" authorId="0" shapeId="0">
      <text>
        <t>추정: 부채총계 + 자본총계(항등식)
[identity]</t>
      </text>
    </comment>
    <comment ref="AI23" authorId="0" shapeId="0">
      <text>
        <t>추정: 부채총계 + 자본총계(항등식)
[identity]</t>
      </text>
    </comment>
    <comment ref="AK23" authorId="0" shapeId="0">
      <text>
        <t>추정: 부채총계 + 자본총계(항등식)
[identity]</t>
      </text>
    </comment>
    <comment ref="AL23" authorId="0" shapeId="0">
      <text>
        <t>추정: 부채총계 + 자본총계(항등식)
[identity]</t>
      </text>
    </comment>
    <comment ref="AM23" authorId="0" shapeId="0">
      <text>
        <t>추정: 부채총계 + 자본총계(항등식)
[identity]</t>
      </text>
    </comment>
    <comment ref="AN23" authorId="0" shapeId="0">
      <text>
        <t>추정: 부채총계 + 자본총계(항등식)
[identity]</t>
      </text>
    </comment>
    <comment ref="AC24" authorId="0" shapeId="0">
      <text>
        <t>추정: 마지막 실적 유지(가정)
[qoq]</t>
      </text>
    </comment>
    <comment ref="AD24" authorId="0" shapeId="0">
      <text>
        <t>추정: 마지막 실적 유지(가정)
[qoq]</t>
      </text>
    </comment>
    <comment ref="AF24" authorId="0" shapeId="0">
      <text>
        <t>추정: 마지막 실적 유지(가정)
[qoq]</t>
      </text>
    </comment>
    <comment ref="AG24" authorId="0" shapeId="0">
      <text>
        <t>추정: 마지막 실적 유지(가정)
[qoq]</t>
      </text>
    </comment>
    <comment ref="AH24" authorId="0" shapeId="0">
      <text>
        <t>추정: 마지막 실적 유지(가정)
[qoq]</t>
      </text>
    </comment>
    <comment ref="AI24" authorId="0" shapeId="0">
      <text>
        <t>추정: 마지막 실적 유지(가정)
[qoq]</t>
      </text>
    </comment>
    <comment ref="AK24" authorId="0" shapeId="0">
      <text>
        <t>추정: 마지막 실적 유지(가정)
[qoq]</t>
      </text>
    </comment>
    <comment ref="AL24" authorId="0" shapeId="0">
      <text>
        <t>추정: 마지막 실적 유지(가정)
[qoq]</t>
      </text>
    </comment>
    <comment ref="AM24" authorId="0" shapeId="0">
      <text>
        <t>추정: 마지막 실적 유지(가정)
[qoq]</t>
      </text>
    </comment>
    <comment ref="AN24" authorId="0" shapeId="0">
      <text>
        <t>추정: 마지막 실적 유지(가정)
[qoq]</t>
      </text>
    </comment>
    <comment ref="AC25" authorId="0" shapeId="0">
      <text>
        <t>추정: 전분기 + 당기순이익 − 배당(Q2 지급 가정)
[roll]</t>
      </text>
    </comment>
    <comment ref="AD25" authorId="0" shapeId="0">
      <text>
        <t>추정: 전분기 + 당기순이익 − 배당(Q2 지급 가정)
[roll]</t>
      </text>
    </comment>
    <comment ref="AF25" authorId="0" shapeId="0">
      <text>
        <t>추정: 전분기 + 당기순이익 − 배당(Q2 지급 가정)
[roll]</t>
      </text>
    </comment>
    <comment ref="AG25" authorId="0" shapeId="0">
      <text>
        <t>추정: 전분기 + 당기순이익 − 배당(Q2 지급 가정)
[roll]</t>
      </text>
    </comment>
    <comment ref="AH25" authorId="0" shapeId="0">
      <text>
        <t>추정: 전분기 + 당기순이익 − 배당(Q2 지급 가정)
[roll]</t>
      </text>
    </comment>
    <comment ref="AI25" authorId="0" shapeId="0">
      <text>
        <t>추정: 전분기 + 당기순이익 − 배당(Q2 지급 가정)
[roll]</t>
      </text>
    </comment>
    <comment ref="AK25" authorId="0" shapeId="0">
      <text>
        <t>추정: 전분기 + 당기순이익 − 배당(Q2 지급 가정)
[roll]</t>
      </text>
    </comment>
    <comment ref="AL25" authorId="0" shapeId="0">
      <text>
        <t>추정: 전분기 + 당기순이익 − 배당(Q2 지급 가정)
[roll]</t>
      </text>
    </comment>
    <comment ref="AM25" authorId="0" shapeId="0">
      <text>
        <t>추정: 전분기 + 당기순이익 − 배당(Q2 지급 가정)
[roll]</t>
      </text>
    </comment>
    <comment ref="AN25" authorId="0" shapeId="0">
      <text>
        <t>추정: 전분기 + 당기순이익 − 배당(Q2 지급 가정)
[roll]</t>
      </text>
    </comment>
    <comment ref="AC26" authorId="0" shapeId="0">
      <text>
        <t>추정: 전분기 + 지배주주순이익 − 배당
[roll]</t>
      </text>
    </comment>
    <comment ref="AD26" authorId="0" shapeId="0">
      <text>
        <t>추정: 전분기 + 지배주주순이익 − 배당
[roll]</t>
      </text>
    </comment>
    <comment ref="AF26" authorId="0" shapeId="0">
      <text>
        <t>추정: 전분기 + 지배주주순이익 − 배당
[roll]</t>
      </text>
    </comment>
    <comment ref="AG26" authorId="0" shapeId="0">
      <text>
        <t>추정: 전분기 + 지배주주순이익 − 배당
[roll]</t>
      </text>
    </comment>
    <comment ref="AH26" authorId="0" shapeId="0">
      <text>
        <t>추정: 전분기 + 지배주주순이익 − 배당
[roll]</t>
      </text>
    </comment>
    <comment ref="AI26" authorId="0" shapeId="0">
      <text>
        <t>추정: 전분기 + 지배주주순이익 − 배당
[roll]</t>
      </text>
    </comment>
    <comment ref="AK26" authorId="0" shapeId="0">
      <text>
        <t>추정: 전분기 + 지배주주순이익 − 배당
[roll]</t>
      </text>
    </comment>
    <comment ref="AL26" authorId="0" shapeId="0">
      <text>
        <t>추정: 전분기 + 지배주주순이익 − 배당
[roll]</t>
      </text>
    </comment>
    <comment ref="AM26" authorId="0" shapeId="0">
      <text>
        <t>추정: 전분기 + 지배주주순이익 − 배당
[roll]</t>
      </text>
    </comment>
    <comment ref="AN26" authorId="0" shapeId="0">
      <text>
        <t>추정: 전분기 + 지배주주순이익 − 배당
[roll]</t>
      </text>
    </comment>
    <comment ref="AC27" authorId="0" shapeId="0">
      <text>
        <t>추정: 마지막 실적 유지(가정)
[qoq]</t>
      </text>
    </comment>
    <comment ref="AD27" authorId="0" shapeId="0">
      <text>
        <t>추정: 마지막 실적 유지(가정)
[qoq]</t>
      </text>
    </comment>
    <comment ref="AF27" authorId="0" shapeId="0">
      <text>
        <t>추정: 마지막 실적 유지(가정)
[qoq]</t>
      </text>
    </comment>
    <comment ref="AG27" authorId="0" shapeId="0">
      <text>
        <t>추정: 마지막 실적 유지(가정)
[qoq]</t>
      </text>
    </comment>
    <comment ref="AH27" authorId="0" shapeId="0">
      <text>
        <t>추정: 마지막 실적 유지(가정)
[qoq]</t>
      </text>
    </comment>
    <comment ref="AI27" authorId="0" shapeId="0">
      <text>
        <t>추정: 마지막 실적 유지(가정)
[qoq]</t>
      </text>
    </comment>
    <comment ref="AK27" authorId="0" shapeId="0">
      <text>
        <t>추정: 마지막 실적 유지(가정)
[qoq]</t>
      </text>
    </comment>
    <comment ref="AL27" authorId="0" shapeId="0">
      <text>
        <t>추정: 마지막 실적 유지(가정)
[qoq]</t>
      </text>
    </comment>
    <comment ref="AM27" authorId="0" shapeId="0">
      <text>
        <t>추정: 마지막 실적 유지(가정)
[qoq]</t>
      </text>
    </comment>
    <comment ref="AN27" authorId="0" shapeId="0">
      <text>
        <t>추정: 마지막 실적 유지(가정)
[qoq]</t>
      </text>
    </comment>
    <comment ref="AC28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D28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F28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G28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H28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I28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K28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L28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M28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N28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C29" authorId="0" shapeId="0">
      <text>
        <t>추정: 전분기 + FCF 근사 — 순차입금 롤과 같은 가정
[qoq]</t>
      </text>
    </comment>
    <comment ref="AD29" authorId="0" shapeId="0">
      <text>
        <t>추정: 전분기 + FCF 근사 — 순차입금 롤과 같은 가정
[qoq]</t>
      </text>
    </comment>
    <comment ref="AF29" authorId="0" shapeId="0">
      <text>
        <t>추정: 전분기 + FCF 근사 — 순차입금 롤과 같은 가정
[qoq]</t>
      </text>
    </comment>
    <comment ref="AG29" authorId="0" shapeId="0">
      <text>
        <t>추정: 전분기 + FCF 근사 — 순차입금 롤과 같은 가정
[qoq]</t>
      </text>
    </comment>
    <comment ref="AH29" authorId="0" shapeId="0">
      <text>
        <t>추정: 전분기 + FCF 근사 — 순차입금 롤과 같은 가정
[qoq]</t>
      </text>
    </comment>
    <comment ref="AI29" authorId="0" shapeId="0">
      <text>
        <t>추정: 전분기 + FCF 근사 — 순차입금 롤과 같은 가정
[qoq]</t>
      </text>
    </comment>
    <comment ref="AK29" authorId="0" shapeId="0">
      <text>
        <t>추정: 전분기 + FCF 근사 — 순차입금 롤과 같은 가정
[qoq]</t>
      </text>
    </comment>
    <comment ref="AL29" authorId="0" shapeId="0">
      <text>
        <t>추정: 전분기 + FCF 근사 — 순차입금 롤과 같은 가정
[qoq]</t>
      </text>
    </comment>
    <comment ref="AM29" authorId="0" shapeId="0">
      <text>
        <t>추정: 전분기 + FCF 근사 — 순차입금 롤과 같은 가정
[qoq]</t>
      </text>
    </comment>
    <comment ref="AN29" authorId="0" shapeId="0">
      <text>
        <t>추정: 전분기 + FCF 근사 — 순차입금 롤과 같은 가정
[qoq]</t>
      </text>
    </comment>
    <comment ref="AC31" authorId="0" shapeId="0">
      <text>
        <t>추정: 최근 4분기(2025Q3~2026Q2) CAPEX 중위 유지 — 순차입금 롤에 미반영(감가상각비 없음 → CAPEX≈감가 가정)
[yoy]</t>
      </text>
    </comment>
    <comment ref="AD31" authorId="0" shapeId="0">
      <text>
        <t>추정: 최근 4분기(2025Q3~2026Q2) CAPEX 중위 유지 — 순차입금 롤에 미반영(감가상각비 없음 → CAPEX≈감가 가정)
[yoy]</t>
      </text>
    </comment>
    <comment ref="AF31" authorId="0" shapeId="0">
      <text>
        <t>추정: 최근 4분기(2025Q3~2026Q2) CAPEX 중위 유지 — 순차입금 롤에 미반영(감가상각비 없음 → CAPEX≈감가 가정)
[yoy]</t>
      </text>
    </comment>
    <comment ref="AG31" authorId="0" shapeId="0">
      <text>
        <t>추정: 최근 4분기(2025Q3~2026Q2) CAPEX 중위 유지 — 순차입금 롤에 미반영(감가상각비 없음 → CAPEX≈감가 가정)
[yoy]</t>
      </text>
    </comment>
    <comment ref="AH31" authorId="0" shapeId="0">
      <text>
        <t>추정: 최근 4분기(2025Q3~2026Q2) CAPEX 중위 유지 — 순차입금 롤에 미반영(감가상각비 없음 → CAPEX≈감가 가정)
[yoy]</t>
      </text>
    </comment>
    <comment ref="AI31" authorId="0" shapeId="0">
      <text>
        <t>추정: 최근 4분기(2025Q3~2026Q2) CAPEX 중위 유지 — 순차입금 롤에 미반영(감가상각비 없음 → CAPEX≈감가 가정)
[yoy]</t>
      </text>
    </comment>
    <comment ref="AK31" authorId="0" shapeId="0">
      <text>
        <t>추정: 최근 4분기(2025Q3~2026Q2) CAPEX 중위 유지 — 순차입금 롤에 미반영(감가상각비 없음 → CAPEX≈감가 가정)
[yoy]</t>
      </text>
    </comment>
    <comment ref="AL31" authorId="0" shapeId="0">
      <text>
        <t>추정: 최근 4분기(2025Q3~2026Q2) CAPEX 중위 유지 — 순차입금 롤에 미반영(감가상각비 없음 → CAPEX≈감가 가정)
[yoy]</t>
      </text>
    </comment>
    <comment ref="AM31" authorId="0" shapeId="0">
      <text>
        <t>추정: 최근 4분기(2025Q3~2026Q2) CAPEX 중위 유지 — 순차입금 롤에 미반영(감가상각비 없음 → CAPEX≈감가 가정)
[yoy]</t>
      </text>
    </comment>
    <comment ref="AN31" authorId="0" shapeId="0">
      <text>
        <t>추정: 최근 4분기(2025Q3~2026Q2) CAPEX 중위 유지 — 순차입금 롤에 미반영(감가상각비 없음 → CAPEX≈감가 가정)
[yoy]</t>
      </text>
    </comment>
    <comment ref="E33" authorId="0" shapeId="0">
      <text>
        <t>실측(계정 매핑 없음(파생·부문·시세 행) — 모델값 직접) — fin.shares.common_outstanding</t>
      </text>
    </comment>
    <comment ref="G33" authorId="0" shapeId="0">
      <text>
        <t>실측(계정 매핑 없음(파생·부문·시세 행) — 모델값 직접) — fin.shares.common_outstanding</t>
      </text>
    </comment>
    <comment ref="H33" authorId="0" shapeId="0">
      <text>
        <t>실측(계정 매핑 없음(파생·부문·시세 행) — 모델값 직접) — fin.shares.common_outstanding</t>
      </text>
    </comment>
    <comment ref="I33" authorId="0" shapeId="0">
      <text>
        <t>실측(계정 매핑 없음(파생·부문·시세 행) — 모델값 직접) — fin.shares.common_outstanding</t>
      </text>
    </comment>
    <comment ref="J33" authorId="0" shapeId="0">
      <text>
        <t>실측(계정 매핑 없음(파생·부문·시세 행) — 모델값 직접) — fin.shares.common_outstanding</t>
      </text>
    </comment>
    <comment ref="L33" authorId="0" shapeId="0">
      <text>
        <t>실측(계정 매핑 없음(파생·부문·시세 행) — 모델값 직접) — fin.shares.common_outstanding</t>
      </text>
    </comment>
    <comment ref="M33" authorId="0" shapeId="0">
      <text>
        <t>실측(계정 매핑 없음(파생·부문·시세 행) — 모델값 직접) — fin.shares.common_outstanding</t>
      </text>
    </comment>
    <comment ref="N33" authorId="0" shapeId="0">
      <text>
        <t>실측(계정 매핑 없음(파생·부문·시세 행) — 모델값 직접) — fin.shares.common_outstanding</t>
      </text>
    </comment>
    <comment ref="O33" authorId="0" shapeId="0">
      <text>
        <t>실측(계정 매핑 없음(파생·부문·시세 행) — 모델값 직접) — fin.shares.common_outstanding</t>
      </text>
    </comment>
    <comment ref="Q33" authorId="0" shapeId="0">
      <text>
        <t>실측(계정 매핑 없음(파생·부문·시세 행) — 모델값 직접) — fin.shares.common_outstanding</t>
      </text>
    </comment>
    <comment ref="R33" authorId="0" shapeId="0">
      <text>
        <t>실측(계정 매핑 없음(파생·부문·시세 행) — 모델값 직접) — fin.shares.common_outstanding</t>
      </text>
    </comment>
    <comment ref="S33" authorId="0" shapeId="0">
      <text>
        <t>실측(계정 매핑 없음(파생·부문·시세 행) — 모델값 직접) — fin.shares.common_outstanding</t>
      </text>
    </comment>
    <comment ref="T33" authorId="0" shapeId="0">
      <text>
        <t>실측(계정 매핑 없음(파생·부문·시세 행) — 모델값 직접) — fin.shares.common_outstanding</t>
      </text>
    </comment>
    <comment ref="V33" authorId="0" shapeId="0">
      <text>
        <t>실측(계정 매핑 없음(파생·부문·시세 행) — 모델값 직접) — fin.shares.common_outstanding</t>
      </text>
    </comment>
    <comment ref="W33" authorId="0" shapeId="0">
      <text>
        <t>실측(계정 매핑 없음(파생·부문·시세 행) — 모델값 직접) — fin.shares.common_outstanding</t>
      </text>
    </comment>
    <comment ref="X33" authorId="0" shapeId="0">
      <text>
        <t>실측(계정 매핑 없음(파생·부문·시세 행) — 모델값 직접) — fin.shares.common_outstanding</t>
      </text>
    </comment>
    <comment ref="Y33" authorId="0" shapeId="0">
      <text>
        <t>실측(계정 매핑 없음(파생·부문·시세 행) — 모델값 직접) — fin.shares.common_outstanding</t>
      </text>
    </comment>
    <comment ref="AA33" authorId="0" shapeId="0">
      <text>
        <t>실측(계정 매핑 없음(파생·부문·시세 행) — 모델값 직접) — fin.shares.common_outstanding</t>
      </text>
    </comment>
    <comment ref="AB33" authorId="0" shapeId="0">
      <text>
        <t>실측(계정 매핑 없음(파생·부문·시세 행) — 모델값 직접) — fin.shares.common_outstanding</t>
      </text>
    </comment>
    <comment ref="AC33" authorId="0" shapeId="0">
      <text>
        <t>추정: 유통주식수 유지 — fin.shares.common_outstanding(2026Q2)
[qoq]</t>
      </text>
    </comment>
    <comment ref="AD33" authorId="0" shapeId="0">
      <text>
        <t>추정: 유통주식수 유지 — fin.shares.common_outstanding(2026Q2)
[qoq]</t>
      </text>
    </comment>
    <comment ref="AF33" authorId="0" shapeId="0">
      <text>
        <t>추정: 유통주식수 유지 — fin.shares.common_outstanding(2026Q2)
[qoq]</t>
      </text>
    </comment>
    <comment ref="AG33" authorId="0" shapeId="0">
      <text>
        <t>추정: 유통주식수 유지 — fin.shares.common_outstanding(2026Q2)
[qoq]</t>
      </text>
    </comment>
    <comment ref="AH33" authorId="0" shapeId="0">
      <text>
        <t>추정: 유통주식수 유지 — fin.shares.common_outstanding(2026Q2)
[qoq]</t>
      </text>
    </comment>
    <comment ref="AI33" authorId="0" shapeId="0">
      <text>
        <t>추정: 유통주식수 유지 — fin.shares.common_outstanding(2026Q2)
[qoq]</t>
      </text>
    </comment>
    <comment ref="AK33" authorId="0" shapeId="0">
      <text>
        <t>추정: 유통주식수 유지 — fin.shares.common_outstanding(2026Q2)
[qoq]</t>
      </text>
    </comment>
    <comment ref="AL33" authorId="0" shapeId="0">
      <text>
        <t>추정: 유통주식수 유지 — fin.shares.common_outstanding(2026Q2)
[qoq]</t>
      </text>
    </comment>
    <comment ref="AM33" authorId="0" shapeId="0">
      <text>
        <t>추정: 유통주식수 유지 — fin.shares.common_outstanding(2026Q2)
[qoq]</t>
      </text>
    </comment>
    <comment ref="AN33" authorId="0" shapeId="0">
      <text>
        <t>추정: 유통주식수 유지 — fin.shares.common_outstanding(2026Q2)
[qoq]</t>
      </text>
    </comment>
    <comment ref="AC34" authorId="0" shapeId="0">
      <text>
        <t>추정: 지배주주순이익 ÷ 유통주식수
[per_share]</t>
      </text>
    </comment>
    <comment ref="AD34" authorId="0" shapeId="0">
      <text>
        <t>추정: 지배주주순이익 ÷ 유통주식수
[per_share]</t>
      </text>
    </comment>
    <comment ref="AF34" authorId="0" shapeId="0">
      <text>
        <t>추정: 지배주주순이익 ÷ 유통주식수
[per_share]</t>
      </text>
    </comment>
    <comment ref="AG34" authorId="0" shapeId="0">
      <text>
        <t>추정: 지배주주순이익 ÷ 유통주식수
[per_share]</t>
      </text>
    </comment>
    <comment ref="AH34" authorId="0" shapeId="0">
      <text>
        <t>추정: 지배주주순이익 ÷ 유통주식수
[per_share]</t>
      </text>
    </comment>
    <comment ref="AI34" authorId="0" shapeId="0">
      <text>
        <t>추정: 지배주주순이익 ÷ 유통주식수
[per_share]</t>
      </text>
    </comment>
    <comment ref="AK34" authorId="0" shapeId="0">
      <text>
        <t>추정: 지배주주순이익 ÷ 유통주식수
[per_share]</t>
      </text>
    </comment>
    <comment ref="AL34" authorId="0" shapeId="0">
      <text>
        <t>추정: 지배주주순이익 ÷ 유통주식수
[per_share]</t>
      </text>
    </comment>
    <comment ref="AM34" authorId="0" shapeId="0">
      <text>
        <t>추정: 지배주주순이익 ÷ 유통주식수
[per_share]</t>
      </text>
    </comment>
    <comment ref="AN34" authorId="0" shapeId="0">
      <text>
        <t>추정: 지배주주순이익 ÷ 유통주식수
[per_share]</t>
      </text>
    </comment>
    <comment ref="AC35" authorId="0" shapeId="0">
      <text>
        <t>추정: 지배주주지분 ÷ 유통주식수
[per_share]</t>
      </text>
    </comment>
    <comment ref="AD35" authorId="0" shapeId="0">
      <text>
        <t>추정: 지배주주지분 ÷ 유통주식수
[per_share]</t>
      </text>
    </comment>
    <comment ref="AF35" authorId="0" shapeId="0">
      <text>
        <t>추정: 지배주주지분 ÷ 유통주식수
[per_share]</t>
      </text>
    </comment>
    <comment ref="AG35" authorId="0" shapeId="0">
      <text>
        <t>추정: 지배주주지분 ÷ 유통주식수
[per_share]</t>
      </text>
    </comment>
    <comment ref="AH35" authorId="0" shapeId="0">
      <text>
        <t>추정: 지배주주지분 ÷ 유통주식수
[per_share]</t>
      </text>
    </comment>
    <comment ref="AI35" authorId="0" shapeId="0">
      <text>
        <t>추정: 지배주주지분 ÷ 유통주식수
[per_share]</t>
      </text>
    </comment>
    <comment ref="AK35" authorId="0" shapeId="0">
      <text>
        <t>추정: 지배주주지분 ÷ 유통주식수
[per_share]</t>
      </text>
    </comment>
    <comment ref="AL35" authorId="0" shapeId="0">
      <text>
        <t>추정: 지배주주지분 ÷ 유통주식수
[per_share]</t>
      </text>
    </comment>
    <comment ref="AM35" authorId="0" shapeId="0">
      <text>
        <t>추정: 지배주주지분 ÷ 유통주식수
[per_share]</t>
      </text>
    </comment>
    <comment ref="AN35" authorId="0" shapeId="0">
      <text>
        <t>추정: 지배주주지분 ÷ 유통주식수
[per_share]</t>
      </text>
    </comment>
    <comment ref="E36" authorId="0" shapeId="0">
      <text>
        <t>실측(계정 매핑 없음(파생·부문·시세 행) — 모델값 직접) — fin.dividend.dps_common(연간, Q4 에 표기)</t>
      </text>
    </comment>
    <comment ref="F36" authorId="0" shapeId="0">
      <text>
        <t>연간(actual) — 분기 미완 연도, 모델 a 값 직접</t>
      </text>
    </comment>
    <comment ref="J36" authorId="0" shapeId="0">
      <text>
        <t>실측(계정 매핑 없음(파생·부문·시세 행) — 모델값 직접) — fin.dividend.dps_common(연간, Q4 에 표기)</t>
      </text>
    </comment>
    <comment ref="O36" authorId="0" shapeId="0">
      <text>
        <t>실측(계정 매핑 없음(파생·부문·시세 행) — 모델값 직접) — fin.dividend.dps_common(연간, Q4 에 표기)</t>
      </text>
    </comment>
    <comment ref="T36" authorId="0" shapeId="0">
      <text>
        <t>실측(계정 매핑 없음(파생·부문·시세 행) — 모델값 직접) — fin.dividend.dps_common(연간, Q4 에 표기)</t>
      </text>
    </comment>
    <comment ref="Y36" authorId="0" shapeId="0">
      <text>
        <t>실측(계정 매핑 없음(파생·부문·시세 행) — 모델값 직접) — fin.dividend.dps_common(연간, Q4 에 표기)</t>
      </text>
    </comment>
    <comment ref="AD36" authorId="0" shapeId="0">
      <text>
        <t>추정: 직전 결산 DPS 0원 유지
[abs]</t>
      </text>
    </comment>
    <comment ref="AI36" authorId="0" shapeId="0">
      <text>
        <t>추정: 직전 결산 DPS 0원 유지
[abs]</t>
      </text>
    </comment>
    <comment ref="AN36" authorId="0" shapeId="0">
      <text>
        <t>추정: 직전 결산 DPS 0원 유지
[abs]</t>
      </text>
    </comment>
    <comment ref="AC37" authorId="0" shapeId="0">
      <text>
        <t>추정: 현재 종가 ÷ TTM EPS(추정 포함)
[valuation]</t>
      </text>
    </comment>
    <comment ref="AD37" authorId="0" shapeId="0">
      <text>
        <t>추정: 현재 종가 ÷ TTM EPS(추정 포함)
[valuation]</t>
      </text>
    </comment>
    <comment ref="AF37" authorId="0" shapeId="0">
      <text>
        <t>추정: 현재 종가 ÷ TTM EPS(추정 포함)
[valuation]</t>
      </text>
    </comment>
    <comment ref="AG37" authorId="0" shapeId="0">
      <text>
        <t>추정: 현재 종가 ÷ TTM EPS(추정 포함)
[valuation]</t>
      </text>
    </comment>
    <comment ref="AH37" authorId="0" shapeId="0">
      <text>
        <t>추정: 현재 종가 ÷ TTM EPS(추정 포함)
[valuation]</t>
      </text>
    </comment>
    <comment ref="AI37" authorId="0" shapeId="0">
      <text>
        <t>추정: 현재 종가 ÷ TTM EPS(추정 포함)
[valuation]</t>
      </text>
    </comment>
    <comment ref="AK37" authorId="0" shapeId="0">
      <text>
        <t>추정: 현재 종가 ÷ TTM EPS(추정 포함)
[valuation]</t>
      </text>
    </comment>
    <comment ref="AL37" authorId="0" shapeId="0">
      <text>
        <t>추정: 현재 종가 ÷ TTM EPS(추정 포함)
[valuation]</t>
      </text>
    </comment>
    <comment ref="AM37" authorId="0" shapeId="0">
      <text>
        <t>추정: 현재 종가 ÷ TTM EPS(추정 포함)
[valuation]</t>
      </text>
    </comment>
    <comment ref="AN37" authorId="0" shapeId="0">
      <text>
        <t>추정: 현재 종가 ÷ TTM EPS(추정 포함)
[valuation]</t>
      </text>
    </comment>
    <comment ref="AC38" authorId="0" shapeId="0">
      <text>
        <t>추정: 현재 종가 ÷ BPS(추정 포함)
[valuation]</t>
      </text>
    </comment>
    <comment ref="AD38" authorId="0" shapeId="0">
      <text>
        <t>추정: 현재 종가 ÷ BPS(추정 포함)
[valuation]</t>
      </text>
    </comment>
    <comment ref="AF38" authorId="0" shapeId="0">
      <text>
        <t>추정: 현재 종가 ÷ BPS(추정 포함)
[valuation]</t>
      </text>
    </comment>
    <comment ref="AG38" authorId="0" shapeId="0">
      <text>
        <t>추정: 현재 종가 ÷ BPS(추정 포함)
[valuation]</t>
      </text>
    </comment>
    <comment ref="AH38" authorId="0" shapeId="0">
      <text>
        <t>추정: 현재 종가 ÷ BPS(추정 포함)
[valuation]</t>
      </text>
    </comment>
    <comment ref="AI38" authorId="0" shapeId="0">
      <text>
        <t>추정: 현재 종가 ÷ BPS(추정 포함)
[valuation]</t>
      </text>
    </comment>
    <comment ref="AK38" authorId="0" shapeId="0">
      <text>
        <t>추정: 현재 종가 ÷ BPS(추정 포함)
[valuation]</t>
      </text>
    </comment>
    <comment ref="AL38" authorId="0" shapeId="0">
      <text>
        <t>추정: 현재 종가 ÷ BPS(추정 포함)
[valuation]</t>
      </text>
    </comment>
    <comment ref="AM38" authorId="0" shapeId="0">
      <text>
        <t>추정: 현재 종가 ÷ BPS(추정 포함)
[valuation]</t>
      </text>
    </comment>
    <comment ref="AN38" authorId="0" shapeId="0">
      <text>
        <t>추정: 현재 종가 ÷ BPS(추정 포함)
[valuation]</t>
      </text>
    </comment>
    <comment ref="E39" authorId="0" shapeId="0">
      <text>
        <t>실측(계정 매핑 없음(파생·부문·시세 행) — 모델값 직접) — = 매출액(부문 미분리)</t>
      </text>
    </comment>
    <comment ref="G39" authorId="0" shapeId="0">
      <text>
        <t>실측(계정 매핑 없음(파생·부문·시세 행) — 모델값 직접) — = 매출액(부문 미분리)</t>
      </text>
    </comment>
    <comment ref="H39" authorId="0" shapeId="0">
      <text>
        <t>실측(계정 매핑 없음(파생·부문·시세 행) — 모델값 직접) — = 매출액(부문 미분리)</t>
      </text>
    </comment>
    <comment ref="I39" authorId="0" shapeId="0">
      <text>
        <t>실측(계정 매핑 없음(파생·부문·시세 행) — 모델값 직접) — = 매출액(부문 미분리)</t>
      </text>
    </comment>
    <comment ref="J39" authorId="0" shapeId="0">
      <text>
        <t>실측(계정 매핑 없음(파생·부문·시세 행) — 모델값 직접) — = 매출액(부문 미분리)</t>
      </text>
    </comment>
    <comment ref="L39" authorId="0" shapeId="0">
      <text>
        <t>실측(계정 매핑 없음(파생·부문·시세 행) — 모델값 직접) — = 매출액(부문 미분리)</t>
      </text>
    </comment>
    <comment ref="M39" authorId="0" shapeId="0">
      <text>
        <t>실측(계정 매핑 없음(파생·부문·시세 행) — 모델값 직접) — = 매출액(부문 미분리)</t>
      </text>
    </comment>
    <comment ref="N39" authorId="0" shapeId="0">
      <text>
        <t>실측(계정 매핑 없음(파생·부문·시세 행) — 모델값 직접) — = 매출액(부문 미분리)</t>
      </text>
    </comment>
    <comment ref="O39" authorId="0" shapeId="0">
      <text>
        <t>실측(계정 매핑 없음(파생·부문·시세 행) — 모델값 직접) — = 매출액(부문 미분리)</t>
      </text>
    </comment>
    <comment ref="Q39" authorId="0" shapeId="0">
      <text>
        <t>실측(계정 매핑 없음(파생·부문·시세 행) — 모델값 직접) — = 매출액(부문 미분리)</t>
      </text>
    </comment>
    <comment ref="R39" authorId="0" shapeId="0">
      <text>
        <t>실측(계정 매핑 없음(파생·부문·시세 행) — 모델값 직접) — = 매출액(부문 미분리)</t>
      </text>
    </comment>
    <comment ref="S39" authorId="0" shapeId="0">
      <text>
        <t>실측(계정 매핑 없음(파생·부문·시세 행) — 모델값 직접) — = 매출액(부문 미분리)</t>
      </text>
    </comment>
    <comment ref="T39" authorId="0" shapeId="0">
      <text>
        <t>실측(계정 매핑 없음(파생·부문·시세 행) — 모델값 직접) — = 매출액(부문 미분리)</t>
      </text>
    </comment>
    <comment ref="V39" authorId="0" shapeId="0">
      <text>
        <t>실측(계정 매핑 없음(파생·부문·시세 행) — 모델값 직접) — = 매출액(부문 미분리)</t>
      </text>
    </comment>
    <comment ref="W39" authorId="0" shapeId="0">
      <text>
        <t>실측(계정 매핑 없음(파생·부문·시세 행) — 모델값 직접) — = 매출액(부문 미분리)</t>
      </text>
    </comment>
    <comment ref="X39" authorId="0" shapeId="0">
      <text>
        <t>실측(계정 매핑 없음(파생·부문·시세 행) — 모델값 직접) — = 매출액(부문 미분리)</t>
      </text>
    </comment>
    <comment ref="Y39" authorId="0" shapeId="0">
      <text>
        <t>실측(계정 매핑 없음(파생·부문·시세 행) — 모델값 직접) — = 매출액(부문 미분리)</t>
      </text>
    </comment>
    <comment ref="AA39" authorId="0" shapeId="0">
      <text>
        <t>실측(계정 매핑 없음(파생·부문·시세 행) — 모델값 직접) — = 매출액(부문 미분리)</t>
      </text>
    </comment>
    <comment ref="AB39" authorId="0" shapeId="0">
      <text>
        <t>실측(계정 매핑 없음(파생·부문·시세 행) — 모델값 직접) — = 매출액(부문 미분리)</t>
      </text>
    </comment>
    <comment ref="AC39" authorId="0" shapeId="0">
      <text>
        <t>추정: = 매출액 추정(부문 미분리)
[identity]</t>
      </text>
    </comment>
    <comment ref="AD39" authorId="0" shapeId="0">
      <text>
        <t>추정: = 매출액 추정(부문 미분리)
[identity]</t>
      </text>
    </comment>
    <comment ref="AF39" authorId="0" shapeId="0">
      <text>
        <t>추정: = 매출액 추정(부문 미분리)
[identity]</t>
      </text>
    </comment>
    <comment ref="AG39" authorId="0" shapeId="0">
      <text>
        <t>추정: = 매출액 추정(부문 미분리)
[identity]</t>
      </text>
    </comment>
    <comment ref="AH39" authorId="0" shapeId="0">
      <text>
        <t>추정: = 매출액 추정(부문 미분리)
[identity]</t>
      </text>
    </comment>
    <comment ref="AI39" authorId="0" shapeId="0">
      <text>
        <t>추정: = 매출액 추정(부문 미분리)
[identity]</t>
      </text>
    </comment>
    <comment ref="AK39" authorId="0" shapeId="0">
      <text>
        <t>추정: = 매출액 추정(부문 미분리)
[identity]</t>
      </text>
    </comment>
    <comment ref="AL39" authorId="0" shapeId="0">
      <text>
        <t>추정: = 매출액 추정(부문 미분리)
[identity]</t>
      </text>
    </comment>
    <comment ref="AM39" authorId="0" shapeId="0">
      <text>
        <t>추정: = 매출액 추정(부문 미분리)
[identity]</t>
      </text>
    </comment>
    <comment ref="AN39" authorId="0" shapeId="0">
      <text>
        <t>추정: = 매출액 추정(부문 미분리)
[identity]</t>
      </text>
    </comment>
    <comment ref="E40" authorId="0" shapeId="0">
      <text>
        <t>실측(계정 매핑 없음(파생·부문·시세 행) — 모델값 직접) — = 영업이익(부문 미분리)</t>
      </text>
    </comment>
    <comment ref="G40" authorId="0" shapeId="0">
      <text>
        <t>실측(계정 매핑 없음(파생·부문·시세 행) — 모델값 직접) — = 영업이익(부문 미분리)</t>
      </text>
    </comment>
    <comment ref="H40" authorId="0" shapeId="0">
      <text>
        <t>실측(계정 매핑 없음(파생·부문·시세 행) — 모델값 직접) — = 영업이익(부문 미분리)</t>
      </text>
    </comment>
    <comment ref="I40" authorId="0" shapeId="0">
      <text>
        <t>실측(계정 매핑 없음(파생·부문·시세 행) — 모델값 직접) — = 영업이익(부문 미분리)</t>
      </text>
    </comment>
    <comment ref="J40" authorId="0" shapeId="0">
      <text>
        <t>실측(계정 매핑 없음(파생·부문·시세 행) — 모델값 직접) — = 영업이익(부문 미분리)</t>
      </text>
    </comment>
    <comment ref="L40" authorId="0" shapeId="0">
      <text>
        <t>실측(계정 매핑 없음(파생·부문·시세 행) — 모델값 직접) — = 영업이익(부문 미분리)</t>
      </text>
    </comment>
    <comment ref="M40" authorId="0" shapeId="0">
      <text>
        <t>실측(계정 매핑 없음(파생·부문·시세 행) — 모델값 직접) — = 영업이익(부문 미분리)</t>
      </text>
    </comment>
    <comment ref="N40" authorId="0" shapeId="0">
      <text>
        <t>실측(계정 매핑 없음(파생·부문·시세 행) — 모델값 직접) — = 영업이익(부문 미분리)</t>
      </text>
    </comment>
    <comment ref="O40" authorId="0" shapeId="0">
      <text>
        <t>실측(계정 매핑 없음(파생·부문·시세 행) — 모델값 직접) — = 영업이익(부문 미분리)</t>
      </text>
    </comment>
    <comment ref="Q40" authorId="0" shapeId="0">
      <text>
        <t>실측(계정 매핑 없음(파생·부문·시세 행) — 모델값 직접) — = 영업이익(부문 미분리)</t>
      </text>
    </comment>
    <comment ref="R40" authorId="0" shapeId="0">
      <text>
        <t>실측(계정 매핑 없음(파생·부문·시세 행) — 모델값 직접) — = 영업이익(부문 미분리)</t>
      </text>
    </comment>
    <comment ref="S40" authorId="0" shapeId="0">
      <text>
        <t>실측(계정 매핑 없음(파생·부문·시세 행) — 모델값 직접) — = 영업이익(부문 미분리)</t>
      </text>
    </comment>
    <comment ref="T40" authorId="0" shapeId="0">
      <text>
        <t>실측(계정 매핑 없음(파생·부문·시세 행) — 모델값 직접) — = 영업이익(부문 미분리)</t>
      </text>
    </comment>
    <comment ref="V40" authorId="0" shapeId="0">
      <text>
        <t>실측(계정 매핑 없음(파생·부문·시세 행) — 모델값 직접) — = 영업이익(부문 미분리)</t>
      </text>
    </comment>
    <comment ref="W40" authorId="0" shapeId="0">
      <text>
        <t>실측(계정 매핑 없음(파생·부문·시세 행) — 모델값 직접) — = 영업이익(부문 미분리)</t>
      </text>
    </comment>
    <comment ref="X40" authorId="0" shapeId="0">
      <text>
        <t>실측(계정 매핑 없음(파생·부문·시세 행) — 모델값 직접) — = 영업이익(부문 미분리)</t>
      </text>
    </comment>
    <comment ref="Y40" authorId="0" shapeId="0">
      <text>
        <t>실측(계정 매핑 없음(파생·부문·시세 행) — 모델값 직접) — = 영업이익(부문 미분리)</t>
      </text>
    </comment>
    <comment ref="AA40" authorId="0" shapeId="0">
      <text>
        <t>실측(계정 매핑 없음(파생·부문·시세 행) — 모델값 직접) — = 영업이익(부문 미분리)</t>
      </text>
    </comment>
    <comment ref="AB40" authorId="0" shapeId="0">
      <text>
        <t>실측(계정 매핑 없음(파생·부문·시세 행) — 모델값 직접) — = 영업이익(부문 미분리)</t>
      </text>
    </comment>
    <comment ref="AC40" authorId="0" shapeId="0">
      <text>
        <t>추정: = 매출액 × OPM(부문 미분리)
[identity]</t>
      </text>
    </comment>
    <comment ref="AD40" authorId="0" shapeId="0">
      <text>
        <t>추정: = 매출액 × OPM(부문 미분리)
[identity]</t>
      </text>
    </comment>
    <comment ref="AF40" authorId="0" shapeId="0">
      <text>
        <t>추정: = 매출액 × OPM(부문 미분리)
[identity]</t>
      </text>
    </comment>
    <comment ref="AG40" authorId="0" shapeId="0">
      <text>
        <t>추정: = 매출액 × OPM(부문 미분리)
[identity]</t>
      </text>
    </comment>
    <comment ref="AH40" authorId="0" shapeId="0">
      <text>
        <t>추정: = 매출액 × OPM(부문 미분리)
[identity]</t>
      </text>
    </comment>
    <comment ref="AI40" authorId="0" shapeId="0">
      <text>
        <t>추정: = 매출액 × OPM(부문 미분리)
[identity]</t>
      </text>
    </comment>
    <comment ref="AK40" authorId="0" shapeId="0">
      <text>
        <t>추정: = 매출액 × OPM(부문 미분리)
[identity]</t>
      </text>
    </comment>
    <comment ref="AL40" authorId="0" shapeId="0">
      <text>
        <t>추정: = 매출액 × OPM(부문 미분리)
[identity]</t>
      </text>
    </comment>
    <comment ref="AM40" authorId="0" shapeId="0">
      <text>
        <t>추정: = 매출액 × OPM(부문 미분리)
[identity]</t>
      </text>
    </comment>
    <comment ref="AN40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오리엔탈정공(014940) 실적 모델 — ARGUS 한국조선</t>
        </is>
      </c>
    </row>
    <row r="2">
      <c r="A2" t="inlineStr">
        <is>
          <t>기준 분기 2026Q2 · 마지막 실적 2026Q2 · 생성 2026-10-12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19.61% — 법인세 = MAX(세전,0) × 세율, 추정 전 분기 연결(Σ법인세/Σmax(세전,0) 역산, 재현 오차 ≤ 0.05억). 모델 가정 19.61% · 근거: 최근 12분기 유효세율 19.6%(5~27% 안 — 그대로)</t>
        </is>
      </c>
    </row>
    <row r="23">
      <c r="A23" t="inlineStr">
        <is>
          <t>· 판관비율 5.62%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5.88% / 부채 4.06% — 이자손익 = (전분기 이자발생자산 × 자산이자율 − 전분기 총차입금 × 부채이자율)/4, 최소자승 역산(모델 assumptions [0.0588, 0.0406]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12.1/13.4/17.4배(hist_quarterly(분기 평균가 ÷ TTM EPS, 16분기, 25/50/75 백분위))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assets/models/014940.json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감가상각비가 face·CF 에 없음(주석 미파싱) → EBITDA·EV/EBITDA 미산출 / 금융손익 실적→추정 단절: 최근 4분기 실적 -1/-1/+1/+1(중위 +0억) → 추정 2026Q3 -1억(차 -1억, -1692%)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8.6, "op_wape_pct": 29.9, "n": 4, "note": "단일 회사 4분기 — 통계 아님", "driver_at_freeze": "customer_yard_revenue_weighted", "selection_oos_at_freeze": {"freeze": "2024Q2", "n": 4, "wape_link": 14.5, "wape_trend": 13.2, "adopted": true, "decision": "adopted"},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544.1, "rev_act": 528.22, "op_pred": 59.42, "op_act": 64.08}, {"q": "2025Q4", "rev_pred": 608.1, "rev_act": 518.55, "op_pred": 66.41, "op_act": 34.35}, {"q": "2026Q1", "rev_pred": 513.87, "rev_act": 564.46, "op_pred": 56.12, "op_act": 79.81}, {"q": "2026Q2", "rev_pred": 631.06, "rev_act": 596.77, "op_pred": 68.92, "op_act": 88.19}]}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1345.14</v>
      </c>
      <c r="AE6" s="17" t="n">
        <v>1457.21</v>
      </c>
      <c r="AF6" s="16" t="n">
        <v>1341.49</v>
      </c>
      <c r="AG6" s="16" t="n">
        <v>1341.49</v>
      </c>
      <c r="AH6" s="16" t="n">
        <v>1341.49</v>
      </c>
      <c r="AI6" s="16" t="n">
        <v>1341.49</v>
      </c>
      <c r="AJ6" s="11" t="n"/>
      <c r="AK6" s="16" t="n">
        <v>1341.49</v>
      </c>
      <c r="AL6" s="16" t="n">
        <v>1341.49</v>
      </c>
      <c r="AM6" s="16" t="n">
        <v>1341.49</v>
      </c>
      <c r="AN6" s="16" t="n">
        <v>1341.49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1341.49</v>
      </c>
      <c r="AE7" s="17" t="n">
        <v>1341.49</v>
      </c>
      <c r="AF7" s="16" t="n">
        <v>1341.49</v>
      </c>
      <c r="AG7" s="16" t="n">
        <v>1341.49</v>
      </c>
      <c r="AH7" s="16" t="n">
        <v>1341.49</v>
      </c>
      <c r="AI7" s="16" t="n">
        <v>1341.49</v>
      </c>
      <c r="AJ7" s="11" t="n"/>
      <c r="AK7" s="16" t="n">
        <v>1341.49</v>
      </c>
      <c r="AL7" s="16" t="n">
        <v>1341.49</v>
      </c>
      <c r="AM7" s="16" t="n">
        <v>1341.49</v>
      </c>
      <c r="AN7" s="16" t="n">
        <v>1341.49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850.79</v>
      </c>
      <c r="AE8" s="17" t="n">
        <v>919.21</v>
      </c>
      <c r="AF8" s="16" t="n">
        <v>847.7</v>
      </c>
      <c r="AG8" s="16" t="n">
        <v>847.7</v>
      </c>
      <c r="AH8" s="16" t="n">
        <v>847.7</v>
      </c>
      <c r="AI8" s="16" t="n">
        <v>847.7</v>
      </c>
      <c r="AJ8" s="11" t="n"/>
      <c r="AK8" s="16" t="n">
        <v>847.7</v>
      </c>
      <c r="AL8" s="16" t="n">
        <v>847.7</v>
      </c>
      <c r="AM8" s="16" t="n">
        <v>847.7</v>
      </c>
      <c r="AN8" s="16" t="n">
        <v>847.7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847.7</v>
      </c>
      <c r="AE9" s="17" t="n">
        <v>847.7</v>
      </c>
      <c r="AF9" s="16" t="n">
        <v>847.7</v>
      </c>
      <c r="AG9" s="16" t="n">
        <v>847.7</v>
      </c>
      <c r="AH9" s="16" t="n">
        <v>847.7</v>
      </c>
      <c r="AI9" s="16" t="n">
        <v>847.7</v>
      </c>
      <c r="AJ9" s="11" t="n"/>
      <c r="AK9" s="16" t="n">
        <v>847.7</v>
      </c>
      <c r="AL9" s="16" t="n">
        <v>847.7</v>
      </c>
      <c r="AM9" s="16" t="n">
        <v>847.7</v>
      </c>
      <c r="AN9" s="16" t="n">
        <v>847.7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1509.74</v>
      </c>
      <c r="AE10" s="17" t="n">
        <v>1689.95</v>
      </c>
      <c r="AF10" s="16" t="n">
        <v>1503.27</v>
      </c>
      <c r="AG10" s="16" t="n">
        <v>1503.27</v>
      </c>
      <c r="AH10" s="16" t="n">
        <v>1503.27</v>
      </c>
      <c r="AI10" s="16" t="n">
        <v>1503.27</v>
      </c>
      <c r="AJ10" s="11" t="n"/>
      <c r="AK10" s="16" t="n">
        <v>1503.27</v>
      </c>
      <c r="AL10" s="16" t="n">
        <v>1503.27</v>
      </c>
      <c r="AM10" s="16" t="n">
        <v>1503.27</v>
      </c>
      <c r="AN10" s="16" t="n">
        <v>1503.27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1503.27</v>
      </c>
      <c r="AE11" s="17" t="n">
        <v>1503.27</v>
      </c>
      <c r="AF11" s="16" t="n">
        <v>1503.27</v>
      </c>
      <c r="AG11" s="16" t="n">
        <v>1503.27</v>
      </c>
      <c r="AH11" s="16" t="n">
        <v>1503.27</v>
      </c>
      <c r="AI11" s="16" t="n">
        <v>1503.27</v>
      </c>
      <c r="AJ11" s="11" t="n"/>
      <c r="AK11" s="16" t="n">
        <v>1503.27</v>
      </c>
      <c r="AL11" s="16" t="n">
        <v>1503.27</v>
      </c>
      <c r="AM11" s="16" t="n">
        <v>1503.27</v>
      </c>
      <c r="AN11" s="16" t="n">
        <v>1503.27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200.69</v>
      </c>
      <c r="AE12" s="17" t="n">
        <v>213.75</v>
      </c>
      <c r="AF12" s="16" t="n">
        <v>200.46</v>
      </c>
      <c r="AG12" s="16" t="n">
        <v>200.46</v>
      </c>
      <c r="AH12" s="16" t="n">
        <v>200.46</v>
      </c>
      <c r="AI12" s="16" t="n">
        <v>200.46</v>
      </c>
      <c r="AJ12" s="11" t="n"/>
      <c r="AK12" s="16" t="n">
        <v>200.46</v>
      </c>
      <c r="AL12" s="16" t="n">
        <v>200.46</v>
      </c>
      <c r="AM12" s="16" t="n">
        <v>200.46</v>
      </c>
      <c r="AN12" s="16" t="n">
        <v>200.46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200.46</v>
      </c>
      <c r="AE13" s="17" t="n">
        <v>200.46</v>
      </c>
      <c r="AF13" s="16" t="n">
        <v>200.46</v>
      </c>
      <c r="AG13" s="16" t="n">
        <v>200.46</v>
      </c>
      <c r="AH13" s="16" t="n">
        <v>200.46</v>
      </c>
      <c r="AI13" s="16" t="n">
        <v>200.46</v>
      </c>
      <c r="AJ13" s="11" t="n"/>
      <c r="AK13" s="16" t="n">
        <v>200.46</v>
      </c>
      <c r="AL13" s="16" t="n">
        <v>200.46</v>
      </c>
      <c r="AM13" s="16" t="n">
        <v>200.46</v>
      </c>
      <c r="AN13" s="16" t="n">
        <v>200.46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3675</v>
      </c>
      <c r="F15" s="9" t="n"/>
      <c r="G15" s="18" t="n">
        <v>3600</v>
      </c>
      <c r="H15" s="18" t="n">
        <v>2995</v>
      </c>
      <c r="I15" s="18" t="n">
        <v>2690</v>
      </c>
      <c r="J15" s="18" t="n">
        <v>2295</v>
      </c>
      <c r="K15" s="9" t="n"/>
      <c r="L15" s="18" t="n">
        <v>2720</v>
      </c>
      <c r="M15" s="18" t="n">
        <v>3705</v>
      </c>
      <c r="N15" s="18" t="n">
        <v>3050</v>
      </c>
      <c r="O15" s="18" t="n">
        <v>2855</v>
      </c>
      <c r="P15" s="9" t="n"/>
      <c r="Q15" s="18" t="n">
        <v>3225</v>
      </c>
      <c r="R15" s="18" t="n">
        <v>3720</v>
      </c>
      <c r="S15" s="18" t="n">
        <v>3880</v>
      </c>
      <c r="T15" s="18" t="n">
        <v>5210</v>
      </c>
      <c r="U15" s="9" t="n"/>
      <c r="V15" s="18" t="n">
        <v>4695</v>
      </c>
      <c r="W15" s="18" t="n">
        <v>5680</v>
      </c>
      <c r="X15" s="18" t="n">
        <v>9470</v>
      </c>
      <c r="Y15" s="18" t="n">
        <v>7710</v>
      </c>
      <c r="Z15" s="9" t="n"/>
      <c r="AA15" s="18" t="n">
        <v>6110</v>
      </c>
      <c r="AB15" s="19" t="n">
        <v>4825</v>
      </c>
      <c r="AC15" s="20" t="n">
        <v>4450</v>
      </c>
      <c r="AD15" s="20" t="n">
        <v>4165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4870</v>
      </c>
      <c r="F16" s="9" t="n"/>
      <c r="G16" s="18" t="n">
        <v>4660</v>
      </c>
      <c r="H16" s="18" t="n">
        <v>3950</v>
      </c>
      <c r="I16" s="18" t="n">
        <v>3780</v>
      </c>
      <c r="J16" s="18" t="n">
        <v>3095</v>
      </c>
      <c r="K16" s="9" t="n"/>
      <c r="L16" s="18" t="n">
        <v>2955</v>
      </c>
      <c r="M16" s="18" t="n">
        <v>3910</v>
      </c>
      <c r="N16" s="18" t="n">
        <v>4400</v>
      </c>
      <c r="O16" s="18" t="n">
        <v>3295</v>
      </c>
      <c r="P16" s="9" t="n"/>
      <c r="Q16" s="18" t="n">
        <v>3725</v>
      </c>
      <c r="R16" s="18" t="n">
        <v>4095</v>
      </c>
      <c r="S16" s="18" t="n">
        <v>4995</v>
      </c>
      <c r="T16" s="18" t="n">
        <v>6120</v>
      </c>
      <c r="U16" s="9" t="n"/>
      <c r="V16" s="18" t="n">
        <v>6440</v>
      </c>
      <c r="W16" s="18" t="n">
        <v>6980</v>
      </c>
      <c r="X16" s="18" t="n">
        <v>12990</v>
      </c>
      <c r="Y16" s="18" t="n">
        <v>12900</v>
      </c>
      <c r="Z16" s="9" t="n"/>
      <c r="AA16" s="18" t="n">
        <v>8840</v>
      </c>
      <c r="AB16" s="19" t="n">
        <v>8820</v>
      </c>
      <c r="AC16" s="20" t="n">
        <v>5420</v>
      </c>
      <c r="AD16" s="20" t="n">
        <v>4650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3215</v>
      </c>
      <c r="F17" s="9" t="n"/>
      <c r="G17" s="18" t="n">
        <v>3170</v>
      </c>
      <c r="H17" s="18" t="n">
        <v>2515</v>
      </c>
      <c r="I17" s="18" t="n">
        <v>2625</v>
      </c>
      <c r="J17" s="18" t="n">
        <v>2115</v>
      </c>
      <c r="K17" s="9" t="n"/>
      <c r="L17" s="18" t="n">
        <v>2220</v>
      </c>
      <c r="M17" s="18" t="n">
        <v>2610</v>
      </c>
      <c r="N17" s="18" t="n">
        <v>2925</v>
      </c>
      <c r="O17" s="18" t="n">
        <v>2590</v>
      </c>
      <c r="P17" s="9" t="n"/>
      <c r="Q17" s="18" t="n">
        <v>2525</v>
      </c>
      <c r="R17" s="18" t="n">
        <v>2905</v>
      </c>
      <c r="S17" s="18" t="n">
        <v>3595</v>
      </c>
      <c r="T17" s="18" t="n">
        <v>3205</v>
      </c>
      <c r="U17" s="9" t="n"/>
      <c r="V17" s="18" t="n">
        <v>4665</v>
      </c>
      <c r="W17" s="18" t="n">
        <v>4200</v>
      </c>
      <c r="X17" s="18" t="n">
        <v>5050</v>
      </c>
      <c r="Y17" s="18" t="n">
        <v>7590</v>
      </c>
      <c r="Z17" s="9" t="n"/>
      <c r="AA17" s="18" t="n">
        <v>6040</v>
      </c>
      <c r="AB17" s="19" t="n">
        <v>4440</v>
      </c>
      <c r="AC17" s="20" t="n">
        <v>3530</v>
      </c>
      <c r="AD17" s="20" t="n">
        <v>4125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3938</v>
      </c>
      <c r="F18" s="9" t="n"/>
      <c r="G18" s="18" t="n">
        <v>3610.4</v>
      </c>
      <c r="H18" s="18" t="n">
        <v>3301.5</v>
      </c>
      <c r="I18" s="18" t="n">
        <v>3135.5</v>
      </c>
      <c r="J18" s="18" t="n">
        <v>2589.4</v>
      </c>
      <c r="K18" s="9" t="n"/>
      <c r="L18" s="18" t="n">
        <v>2546.1</v>
      </c>
      <c r="M18" s="18" t="n">
        <v>3384.6</v>
      </c>
      <c r="N18" s="18" t="n">
        <v>3585.3</v>
      </c>
      <c r="O18" s="18" t="n">
        <v>2846.3</v>
      </c>
      <c r="P18" s="9" t="n"/>
      <c r="Q18" s="18" t="n">
        <v>2896.6</v>
      </c>
      <c r="R18" s="18" t="n">
        <v>3456.4</v>
      </c>
      <c r="S18" s="18" t="n">
        <v>4170.8</v>
      </c>
      <c r="T18" s="18" t="n">
        <v>4281.6</v>
      </c>
      <c r="U18" s="9" t="n"/>
      <c r="V18" s="18" t="n">
        <v>5459.9</v>
      </c>
      <c r="W18" s="18" t="n">
        <v>5508.8</v>
      </c>
      <c r="X18" s="18" t="n">
        <v>7476.8</v>
      </c>
      <c r="Y18" s="18" t="n">
        <v>9091</v>
      </c>
      <c r="Z18" s="9" t="n"/>
      <c r="AA18" s="18" t="n">
        <v>7761.5</v>
      </c>
      <c r="AB18" s="19" t="n">
        <v>6518.5</v>
      </c>
      <c r="AC18" s="20" t="n">
        <v>4589.8</v>
      </c>
      <c r="AD18" s="20" t="n">
        <v>4433.3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0.243540305</v>
      </c>
      <c r="AD21" s="24" t="n">
        <v>0.418818431</v>
      </c>
      <c r="AE21" s="25" t="n"/>
      <c r="AF21" s="24" t="n">
        <v>0.121551787</v>
      </c>
      <c r="AG21" s="24" t="n">
        <v>0.292627682</v>
      </c>
      <c r="AH21" s="24" t="n">
        <v>0.153594373</v>
      </c>
      <c r="AI21" s="24" t="n">
        <v>0.16028978</v>
      </c>
      <c r="AJ21" s="25" t="n"/>
      <c r="AK21" s="24" t="n">
        <v>0.176015291</v>
      </c>
      <c r="AL21" s="24" t="n">
        <v>0.21020223</v>
      </c>
      <c r="AM21" s="24" t="n">
        <v>0.22421643</v>
      </c>
      <c r="AN21" s="24" t="n">
        <v>0.215694773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$D$53</f>
        <v/>
      </c>
      <c r="AD22" s="26">
        <f>$D$53</f>
        <v/>
      </c>
      <c r="AE22" s="25">
        <f>IFERROR(subQ!AE8/subQ!AE5,"")</f>
        <v/>
      </c>
      <c r="AF22" s="26">
        <f>$D$53</f>
        <v/>
      </c>
      <c r="AG22" s="26">
        <f>$D$53</f>
        <v/>
      </c>
      <c r="AH22" s="26">
        <f>$D$53</f>
        <v/>
      </c>
      <c r="AI22" s="26">
        <f>$D$53</f>
        <v/>
      </c>
      <c r="AJ22" s="25">
        <f>IFERROR(subQ!AJ8/subQ!AJ5,"")</f>
        <v/>
      </c>
      <c r="AK22" s="26">
        <f>$D$53</f>
        <v/>
      </c>
      <c r="AL22" s="26">
        <f>$D$53</f>
        <v/>
      </c>
      <c r="AM22" s="26">
        <f>$D$53</f>
        <v/>
      </c>
      <c r="AN22" s="26">
        <f>$D$53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0.131352191</v>
      </c>
      <c r="AD23" s="24" t="n">
        <v>0.131352534</v>
      </c>
      <c r="AE23" s="25">
        <f>IFERROR(subQ!AE9/subQ!AE5,"")</f>
        <v/>
      </c>
      <c r="AF23" s="24" t="n">
        <v>0.131344085</v>
      </c>
      <c r="AG23" s="24" t="n">
        <v>0.131345605</v>
      </c>
      <c r="AH23" s="24" t="n">
        <v>0.13134939</v>
      </c>
      <c r="AI23" s="24" t="n">
        <v>0.131352061</v>
      </c>
      <c r="AJ23" s="25">
        <f>IFERROR(subQ!AJ9/subQ!AJ5,"")</f>
        <v/>
      </c>
      <c r="AK23" s="24" t="n">
        <v>0.131349899</v>
      </c>
      <c r="AL23" s="24" t="n">
        <v>0.13134808</v>
      </c>
      <c r="AM23" s="24" t="n">
        <v>0.13134264</v>
      </c>
      <c r="AN23" s="24" t="n">
        <v>0.131346419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drv:지분법손익</t>
        </is>
      </c>
      <c r="B28" s="2" t="inlineStr">
        <is>
          <t>abs</t>
        </is>
      </c>
      <c r="C28" t="inlineStr">
        <is>
          <t>지분법손익 (가정, 억원)</t>
        </is>
      </c>
      <c r="E28" s="27">
        <f>subQ!E17</f>
        <v/>
      </c>
      <c r="F28" s="28">
        <f>subQ!F17</f>
        <v/>
      </c>
      <c r="G28" s="27">
        <f>subQ!G17</f>
        <v/>
      </c>
      <c r="H28" s="27">
        <f>subQ!H17</f>
        <v/>
      </c>
      <c r="I28" s="27">
        <f>subQ!I17</f>
        <v/>
      </c>
      <c r="J28" s="27">
        <f>subQ!J17</f>
        <v/>
      </c>
      <c r="K28" s="28">
        <f>subQ!K17</f>
        <v/>
      </c>
      <c r="L28" s="27">
        <f>subQ!L17</f>
        <v/>
      </c>
      <c r="M28" s="27">
        <f>subQ!M17</f>
        <v/>
      </c>
      <c r="N28" s="27">
        <f>subQ!N17</f>
        <v/>
      </c>
      <c r="O28" s="27">
        <f>subQ!O17</f>
        <v/>
      </c>
      <c r="P28" s="28">
        <f>subQ!P17</f>
        <v/>
      </c>
      <c r="Q28" s="27">
        <f>subQ!Q17</f>
        <v/>
      </c>
      <c r="R28" s="27">
        <f>subQ!R17</f>
        <v/>
      </c>
      <c r="S28" s="27">
        <f>subQ!S17</f>
        <v/>
      </c>
      <c r="T28" s="27">
        <f>subQ!T17</f>
        <v/>
      </c>
      <c r="U28" s="28">
        <f>subQ!U17</f>
        <v/>
      </c>
      <c r="V28" s="27">
        <f>subQ!V17</f>
        <v/>
      </c>
      <c r="W28" s="27">
        <f>subQ!W17</f>
        <v/>
      </c>
      <c r="X28" s="27">
        <f>subQ!X17</f>
        <v/>
      </c>
      <c r="Y28" s="27">
        <f>subQ!Y17</f>
        <v/>
      </c>
      <c r="Z28" s="28">
        <f>subQ!Z17</f>
        <v/>
      </c>
      <c r="AA28" s="27">
        <f>subQ!AA17</f>
        <v/>
      </c>
      <c r="AB28" s="29">
        <f>subQ!AB17</f>
        <v/>
      </c>
      <c r="AC28" s="30" t="n">
        <v>-2.88</v>
      </c>
      <c r="AD28" s="30" t="n">
        <v>-2.88</v>
      </c>
      <c r="AE28" s="31">
        <f>subQ!AE17</f>
        <v/>
      </c>
      <c r="AF28" s="30" t="n">
        <v>-2.88</v>
      </c>
      <c r="AG28" s="30" t="n">
        <v>-2.88</v>
      </c>
      <c r="AH28" s="30" t="n">
        <v>-2.88</v>
      </c>
      <c r="AI28" s="30" t="n">
        <v>-2.88</v>
      </c>
      <c r="AJ28" s="31">
        <f>subQ!AJ17</f>
        <v/>
      </c>
      <c r="AK28" s="30" t="n">
        <v>-2.88</v>
      </c>
      <c r="AL28" s="30" t="n">
        <v>-2.88</v>
      </c>
      <c r="AM28" s="30" t="n">
        <v>-2.88</v>
      </c>
      <c r="AN28" s="30" t="n">
        <v>-2.88</v>
      </c>
      <c r="AO28" s="31">
        <f>subQ!AO17</f>
        <v/>
      </c>
    </row>
    <row r="29">
      <c r="A29" s="12" t="inlineStr">
        <is>
          <t>drv:법인세비용</t>
        </is>
      </c>
      <c r="B29" s="2" t="inlineStr">
        <is>
          <t>tax</t>
        </is>
      </c>
      <c r="C29" t="inlineStr">
        <is>
          <t>법인세율(/세전) — 법인세 = MAX(세전,0) × 세율</t>
        </is>
      </c>
      <c r="E29" s="21">
        <f>IFERROR(subQ!E19/subQ!E18,"")</f>
        <v/>
      </c>
      <c r="F29" s="22">
        <f>IFERROR(subQ!F19/subQ!F18,"")</f>
        <v/>
      </c>
      <c r="G29" s="21">
        <f>IFERROR(subQ!G19/subQ!G18,"")</f>
        <v/>
      </c>
      <c r="H29" s="21">
        <f>IFERROR(subQ!H19/subQ!H18,"")</f>
        <v/>
      </c>
      <c r="I29" s="21">
        <f>IFERROR(subQ!I19/subQ!I18,"")</f>
        <v/>
      </c>
      <c r="J29" s="21">
        <f>IFERROR(subQ!J19/subQ!J18,"")</f>
        <v/>
      </c>
      <c r="K29" s="22">
        <f>IFERROR(subQ!K19/subQ!K18,"")</f>
        <v/>
      </c>
      <c r="L29" s="21">
        <f>IFERROR(subQ!L19/subQ!L18,"")</f>
        <v/>
      </c>
      <c r="M29" s="21">
        <f>IFERROR(subQ!M19/subQ!M18,"")</f>
        <v/>
      </c>
      <c r="N29" s="21">
        <f>IFERROR(subQ!N19/subQ!N18,"")</f>
        <v/>
      </c>
      <c r="O29" s="21">
        <f>IFERROR(subQ!O19/subQ!O18,"")</f>
        <v/>
      </c>
      <c r="P29" s="22">
        <f>IFERROR(subQ!P19/subQ!P18,"")</f>
        <v/>
      </c>
      <c r="Q29" s="21">
        <f>IFERROR(subQ!Q19/subQ!Q18,"")</f>
        <v/>
      </c>
      <c r="R29" s="21">
        <f>IFERROR(subQ!R19/subQ!R18,"")</f>
        <v/>
      </c>
      <c r="S29" s="21">
        <f>IFERROR(subQ!S19/subQ!S18,"")</f>
        <v/>
      </c>
      <c r="T29" s="21">
        <f>IFERROR(subQ!T19/subQ!T18,"")</f>
        <v/>
      </c>
      <c r="U29" s="22">
        <f>IFERROR(subQ!U19/subQ!U18,"")</f>
        <v/>
      </c>
      <c r="V29" s="21">
        <f>IFERROR(subQ!V19/subQ!V18,"")</f>
        <v/>
      </c>
      <c r="W29" s="21">
        <f>IFERROR(subQ!W19/subQ!W18,"")</f>
        <v/>
      </c>
      <c r="X29" s="21">
        <f>IFERROR(subQ!X19/subQ!X18,"")</f>
        <v/>
      </c>
      <c r="Y29" s="21">
        <f>IFERROR(subQ!Y19/subQ!Y18,"")</f>
        <v/>
      </c>
      <c r="Z29" s="22">
        <f>IFERROR(subQ!Z19/subQ!Z18,"")</f>
        <v/>
      </c>
      <c r="AA29" s="21">
        <f>IFERROR(subQ!AA19/subQ!AA18,"")</f>
        <v/>
      </c>
      <c r="AB29" s="23">
        <f>IFERROR(subQ!AB19/subQ!AB18,"")</f>
        <v/>
      </c>
      <c r="AC29" s="26">
        <f>$D$52</f>
        <v/>
      </c>
      <c r="AD29" s="26">
        <f>$D$52</f>
        <v/>
      </c>
      <c r="AE29" s="25">
        <f>IFERROR(subQ!AE19/subQ!AE18,"")</f>
        <v/>
      </c>
      <c r="AF29" s="26">
        <f>$D$52</f>
        <v/>
      </c>
      <c r="AG29" s="26">
        <f>$D$52</f>
        <v/>
      </c>
      <c r="AH29" s="26">
        <f>$D$52</f>
        <v/>
      </c>
      <c r="AI29" s="26">
        <f>$D$52</f>
        <v/>
      </c>
      <c r="AJ29" s="25">
        <f>IFERROR(subQ!AJ19/subQ!AJ18,"")</f>
        <v/>
      </c>
      <c r="AK29" s="26">
        <f>$D$52</f>
        <v/>
      </c>
      <c r="AL29" s="26">
        <f>$D$52</f>
        <v/>
      </c>
      <c r="AM29" s="26">
        <f>$D$52</f>
        <v/>
      </c>
      <c r="AN29" s="26">
        <f>$D$52</f>
        <v/>
      </c>
      <c r="AO29" s="25">
        <f>IFERROR(subQ!AO19/subQ!AO18,"")</f>
        <v/>
      </c>
    </row>
    <row r="30">
      <c r="A30" s="12" t="inlineStr">
        <is>
          <t>drv:지배주주순이익</t>
        </is>
      </c>
      <c r="B30" s="2" t="inlineStr">
        <is>
          <t>ratio</t>
        </is>
      </c>
      <c r="C30" t="inlineStr">
        <is>
          <t>지배주주 비중(/당기순이익)</t>
        </is>
      </c>
      <c r="E30" s="21">
        <f>IFERROR(subQ!E21/subQ!E20,"")</f>
        <v/>
      </c>
      <c r="F30" s="22">
        <f>IFERROR(subQ!F21/subQ!F20,"")</f>
        <v/>
      </c>
      <c r="G30" s="21">
        <f>IFERROR(subQ!G21/subQ!G20,"")</f>
        <v/>
      </c>
      <c r="H30" s="21">
        <f>IFERROR(subQ!H21/subQ!H20,"")</f>
        <v/>
      </c>
      <c r="I30" s="21">
        <f>IFERROR(subQ!I21/subQ!I20,"")</f>
        <v/>
      </c>
      <c r="J30" s="21">
        <f>IFERROR(subQ!J21/subQ!J20,"")</f>
        <v/>
      </c>
      <c r="K30" s="22">
        <f>IFERROR(subQ!K21/subQ!K20,"")</f>
        <v/>
      </c>
      <c r="L30" s="21">
        <f>IFERROR(subQ!L21/subQ!L20,"")</f>
        <v/>
      </c>
      <c r="M30" s="21">
        <f>IFERROR(subQ!M21/subQ!M20,"")</f>
        <v/>
      </c>
      <c r="N30" s="21">
        <f>IFERROR(subQ!N21/subQ!N20,"")</f>
        <v/>
      </c>
      <c r="O30" s="21">
        <f>IFERROR(subQ!O21/subQ!O20,"")</f>
        <v/>
      </c>
      <c r="P30" s="22">
        <f>IFERROR(subQ!P21/subQ!P20,"")</f>
        <v/>
      </c>
      <c r="Q30" s="21">
        <f>IFERROR(subQ!Q21/subQ!Q20,"")</f>
        <v/>
      </c>
      <c r="R30" s="21">
        <f>IFERROR(subQ!R21/subQ!R20,"")</f>
        <v/>
      </c>
      <c r="S30" s="21">
        <f>IFERROR(subQ!S21/subQ!S20,"")</f>
        <v/>
      </c>
      <c r="T30" s="21">
        <f>IFERROR(subQ!T21/subQ!T20,"")</f>
        <v/>
      </c>
      <c r="U30" s="22">
        <f>IFERROR(subQ!U21/subQ!U20,"")</f>
        <v/>
      </c>
      <c r="V30" s="21">
        <f>IFERROR(subQ!V21/subQ!V20,"")</f>
        <v/>
      </c>
      <c r="W30" s="21">
        <f>IFERROR(subQ!W21/subQ!W20,"")</f>
        <v/>
      </c>
      <c r="X30" s="21">
        <f>IFERROR(subQ!X21/subQ!X20,"")</f>
        <v/>
      </c>
      <c r="Y30" s="21">
        <f>IFERROR(subQ!Y21/subQ!Y20,"")</f>
        <v/>
      </c>
      <c r="Z30" s="22">
        <f>IFERROR(subQ!Z21/subQ!Z20,"")</f>
        <v/>
      </c>
      <c r="AA30" s="21">
        <f>IFERROR(subQ!AA21/subQ!AA20,"")</f>
        <v/>
      </c>
      <c r="AB30" s="23">
        <f>IFERROR(subQ!AB21/subQ!AB20,"")</f>
        <v/>
      </c>
      <c r="AC30" s="26">
        <f>$D$54</f>
        <v/>
      </c>
      <c r="AD30" s="26">
        <f>$D$54</f>
        <v/>
      </c>
      <c r="AE30" s="25">
        <f>IFERROR(subQ!AE21/subQ!AE20,"")</f>
        <v/>
      </c>
      <c r="AF30" s="26">
        <f>$D$54</f>
        <v/>
      </c>
      <c r="AG30" s="26">
        <f>$D$54</f>
        <v/>
      </c>
      <c r="AH30" s="26">
        <f>$D$54</f>
        <v/>
      </c>
      <c r="AI30" s="26">
        <f>$D$54</f>
        <v/>
      </c>
      <c r="AJ30" s="25">
        <f>IFERROR(subQ!AJ21/subQ!AJ20,"")</f>
        <v/>
      </c>
      <c r="AK30" s="26">
        <f>$D$54</f>
        <v/>
      </c>
      <c r="AL30" s="26">
        <f>$D$54</f>
        <v/>
      </c>
      <c r="AM30" s="26">
        <f>$D$54</f>
        <v/>
      </c>
      <c r="AN30" s="26">
        <f>$D$54</f>
        <v/>
      </c>
      <c r="AO30" s="25">
        <f>IFERROR(subQ!AO21/subQ!AO20,"")</f>
        <v/>
      </c>
    </row>
    <row r="31">
      <c r="A31" s="12" t="inlineStr">
        <is>
          <t>drv:중단사업이익</t>
        </is>
      </c>
      <c r="B31" s="2" t="inlineStr">
        <is>
          <t>abs</t>
        </is>
      </c>
      <c r="C31" t="inlineStr">
        <is>
          <t>중단사업이익 (가정, 억원)</t>
        </is>
      </c>
      <c r="E31" s="27">
        <f>subQ!E22</f>
        <v/>
      </c>
      <c r="F31" s="28">
        <f>subQ!F22</f>
        <v/>
      </c>
      <c r="G31" s="27">
        <f>subQ!G22</f>
        <v/>
      </c>
      <c r="H31" s="27">
        <f>subQ!H22</f>
        <v/>
      </c>
      <c r="I31" s="27">
        <f>subQ!I22</f>
        <v/>
      </c>
      <c r="J31" s="27">
        <f>subQ!J22</f>
        <v/>
      </c>
      <c r="K31" s="28">
        <f>subQ!K22</f>
        <v/>
      </c>
      <c r="L31" s="27">
        <f>subQ!L22</f>
        <v/>
      </c>
      <c r="M31" s="27">
        <f>subQ!M22</f>
        <v/>
      </c>
      <c r="N31" s="27">
        <f>subQ!N22</f>
        <v/>
      </c>
      <c r="O31" s="27">
        <f>subQ!O22</f>
        <v/>
      </c>
      <c r="P31" s="28">
        <f>subQ!P22</f>
        <v/>
      </c>
      <c r="Q31" s="27">
        <f>subQ!Q22</f>
        <v/>
      </c>
      <c r="R31" s="27">
        <f>subQ!R22</f>
        <v/>
      </c>
      <c r="S31" s="27">
        <f>subQ!S22</f>
        <v/>
      </c>
      <c r="T31" s="27">
        <f>subQ!T22</f>
        <v/>
      </c>
      <c r="U31" s="28">
        <f>subQ!U22</f>
        <v/>
      </c>
      <c r="V31" s="27">
        <f>subQ!V22</f>
        <v/>
      </c>
      <c r="W31" s="27">
        <f>subQ!W22</f>
        <v/>
      </c>
      <c r="X31" s="27">
        <f>subQ!X22</f>
        <v/>
      </c>
      <c r="Y31" s="27">
        <f>subQ!Y22</f>
        <v/>
      </c>
      <c r="Z31" s="28">
        <f>subQ!Z22</f>
        <v/>
      </c>
      <c r="AA31" s="27">
        <f>subQ!AA22</f>
        <v/>
      </c>
      <c r="AB31" s="29">
        <f>subQ!AB22</f>
        <v/>
      </c>
      <c r="AC31" s="32" t="n"/>
      <c r="AD31" s="32" t="n"/>
      <c r="AE31" s="31">
        <f>subQ!AE22</f>
        <v/>
      </c>
      <c r="AF31" s="32" t="n"/>
      <c r="AG31" s="32" t="n"/>
      <c r="AH31" s="32" t="n"/>
      <c r="AI31" s="32" t="n"/>
      <c r="AJ31" s="31">
        <f>subQ!AJ22</f>
        <v/>
      </c>
      <c r="AK31" s="32" t="n"/>
      <c r="AL31" s="32" t="n"/>
      <c r="AM31" s="32" t="n"/>
      <c r="AN31" s="32" t="n"/>
      <c r="AO31" s="31">
        <f>subQ!AO22</f>
        <v/>
      </c>
    </row>
    <row r="32">
      <c r="A32" s="12" t="inlineStr">
        <is>
          <t>drv:부채총계</t>
        </is>
      </c>
      <c r="B32" s="2" t="inlineStr">
        <is>
          <t>qoq</t>
        </is>
      </c>
      <c r="C32" t="inlineStr">
        <is>
          <t>부채총계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1">
        <f>IFERROR(subQ!W24/subQ!V24-1,"")</f>
        <v/>
      </c>
      <c r="X32" s="21">
        <f>IFERROR(subQ!X24/subQ!W24-1,"")</f>
        <v/>
      </c>
      <c r="Y32" s="21">
        <f>IFERROR(subQ!Y24/subQ!X24-1,"")</f>
        <v/>
      </c>
      <c r="Z32" s="22" t="n"/>
      <c r="AA32" s="21">
        <f>IFERROR(subQ!AA24/subQ!Y24-1,"")</f>
        <v/>
      </c>
      <c r="AB32" s="23">
        <f>IFERROR(subQ!AB24/subQ!AA24-1,"")</f>
        <v/>
      </c>
      <c r="AC32" s="24" t="n">
        <v>3.345e-06</v>
      </c>
      <c r="AD32" s="24" t="n">
        <v>0</v>
      </c>
      <c r="AE32" s="25" t="n"/>
      <c r="AF32" s="24" t="n">
        <v>0</v>
      </c>
      <c r="AG32" s="24" t="n">
        <v>0</v>
      </c>
      <c r="AH32" s="24" t="n">
        <v>0</v>
      </c>
      <c r="AI32" s="24" t="n">
        <v>0</v>
      </c>
      <c r="AJ32" s="25" t="n"/>
      <c r="AK32" s="24" t="n">
        <v>0</v>
      </c>
      <c r="AL32" s="24" t="n">
        <v>0</v>
      </c>
      <c r="AM32" s="24" t="n">
        <v>0</v>
      </c>
      <c r="AN32" s="24" t="n">
        <v>0</v>
      </c>
      <c r="AO32" s="25" t="n"/>
    </row>
    <row r="33">
      <c r="A33" s="12" t="inlineStr">
        <is>
          <t>drv:자본총계</t>
        </is>
      </c>
      <c r="B33" s="2" t="inlineStr">
        <is>
          <t>roll</t>
        </is>
      </c>
      <c r="C33" t="inlineStr">
        <is>
          <t>자본총계 기타변동(배당 등, 억원)</t>
        </is>
      </c>
      <c r="E33" s="27" t="n"/>
      <c r="F33" s="28" t="n"/>
      <c r="G33" s="27">
        <f>IFERROR(subQ!E25+subQ!G20-subQ!G25,"")</f>
        <v/>
      </c>
      <c r="H33" s="27">
        <f>IFERROR(subQ!G25+subQ!H20-subQ!H25,"")</f>
        <v/>
      </c>
      <c r="I33" s="27">
        <f>IFERROR(subQ!H25+subQ!I20-subQ!I25,"")</f>
        <v/>
      </c>
      <c r="J33" s="27">
        <f>IFERROR(subQ!I25+subQ!J20-subQ!J25,"")</f>
        <v/>
      </c>
      <c r="K33" s="28" t="n"/>
      <c r="L33" s="27">
        <f>IFERROR(subQ!J25+subQ!L20-subQ!L25,"")</f>
        <v/>
      </c>
      <c r="M33" s="27">
        <f>IFERROR(subQ!L25+subQ!M20-subQ!M25,"")</f>
        <v/>
      </c>
      <c r="N33" s="27">
        <f>IFERROR(subQ!M25+subQ!N20-subQ!N25,"")</f>
        <v/>
      </c>
      <c r="O33" s="27">
        <f>IFERROR(subQ!N25+subQ!O20-subQ!O25,"")</f>
        <v/>
      </c>
      <c r="P33" s="28" t="n"/>
      <c r="Q33" s="27">
        <f>IFERROR(subQ!O25+subQ!Q20-subQ!Q25,"")</f>
        <v/>
      </c>
      <c r="R33" s="27">
        <f>IFERROR(subQ!Q25+subQ!R20-subQ!R25,"")</f>
        <v/>
      </c>
      <c r="S33" s="27">
        <f>IFERROR(subQ!R25+subQ!S20-subQ!S25,"")</f>
        <v/>
      </c>
      <c r="T33" s="27">
        <f>IFERROR(subQ!S25+subQ!T20-subQ!T25,"")</f>
        <v/>
      </c>
      <c r="U33" s="28" t="n"/>
      <c r="V33" s="27">
        <f>IFERROR(subQ!T25+subQ!V20-subQ!V25,"")</f>
        <v/>
      </c>
      <c r="W33" s="27">
        <f>IFERROR(subQ!V25+subQ!W20-subQ!W25,"")</f>
        <v/>
      </c>
      <c r="X33" s="27">
        <f>IFERROR(subQ!W25+subQ!X20-subQ!X25,"")</f>
        <v/>
      </c>
      <c r="Y33" s="27">
        <f>IFERROR(subQ!X25+subQ!Y20-subQ!Y25,"")</f>
        <v/>
      </c>
      <c r="Z33" s="28" t="n"/>
      <c r="AA33" s="27">
        <f>IFERROR(subQ!Y25+subQ!AA20-subQ!AA25,"")</f>
        <v/>
      </c>
      <c r="AB33" s="29">
        <f>IFERROR(subQ!AA25+subQ!AB20-subQ!AB25,"")</f>
        <v/>
      </c>
      <c r="AC33" s="30" t="n">
        <v>0.000703187</v>
      </c>
      <c r="AD33" s="30" t="n">
        <v>-0.001435466</v>
      </c>
      <c r="AE33" s="31" t="n"/>
      <c r="AF33" s="30" t="n">
        <v>-0.010877898</v>
      </c>
      <c r="AG33" s="30" t="n">
        <v>0.004475735</v>
      </c>
      <c r="AH33" s="30" t="n">
        <v>-0.004700865</v>
      </c>
      <c r="AI33" s="30" t="n">
        <v>-0.001163893</v>
      </c>
      <c r="AJ33" s="31" t="n"/>
      <c r="AK33" s="30" t="n">
        <v>0.005708335</v>
      </c>
      <c r="AL33" s="30" t="n">
        <v>-0.001043692</v>
      </c>
      <c r="AM33" s="30" t="n">
        <v>-0.009010089000000001</v>
      </c>
      <c r="AN33" s="30" t="n">
        <v>-0.000233757</v>
      </c>
      <c r="AO33" s="31" t="n"/>
    </row>
    <row r="34">
      <c r="A34" s="12" t="inlineStr">
        <is>
          <t>drv:지배주주지분</t>
        </is>
      </c>
      <c r="B34" s="2" t="inlineStr">
        <is>
          <t>roll</t>
        </is>
      </c>
      <c r="C34" t="inlineStr">
        <is>
          <t>지배주주지분 기타변동(배당 등, 억원)</t>
        </is>
      </c>
      <c r="E34" s="27" t="n"/>
      <c r="F34" s="28" t="n"/>
      <c r="G34" s="27">
        <f>IFERROR(subQ!E26+subQ!G21-subQ!G26,"")</f>
        <v/>
      </c>
      <c r="H34" s="27">
        <f>IFERROR(subQ!G26+subQ!H21-subQ!H26,"")</f>
        <v/>
      </c>
      <c r="I34" s="27">
        <f>IFERROR(subQ!H26+subQ!I21-subQ!I26,"")</f>
        <v/>
      </c>
      <c r="J34" s="27">
        <f>IFERROR(subQ!I26+subQ!J21-subQ!J26,"")</f>
        <v/>
      </c>
      <c r="K34" s="28" t="n"/>
      <c r="L34" s="27">
        <f>IFERROR(subQ!J26+subQ!L21-subQ!L26,"")</f>
        <v/>
      </c>
      <c r="M34" s="27">
        <f>IFERROR(subQ!L26+subQ!M21-subQ!M26,"")</f>
        <v/>
      </c>
      <c r="N34" s="27">
        <f>IFERROR(subQ!M26+subQ!N21-subQ!N26,"")</f>
        <v/>
      </c>
      <c r="O34" s="27">
        <f>IFERROR(subQ!N26+subQ!O21-subQ!O26,"")</f>
        <v/>
      </c>
      <c r="P34" s="28" t="n"/>
      <c r="Q34" s="27">
        <f>IFERROR(subQ!O26+subQ!Q21-subQ!Q26,"")</f>
        <v/>
      </c>
      <c r="R34" s="27">
        <f>IFERROR(subQ!Q26+subQ!R21-subQ!R26,"")</f>
        <v/>
      </c>
      <c r="S34" s="27">
        <f>IFERROR(subQ!R26+subQ!S21-subQ!S26,"")</f>
        <v/>
      </c>
      <c r="T34" s="27">
        <f>IFERROR(subQ!S26+subQ!T21-subQ!T26,"")</f>
        <v/>
      </c>
      <c r="U34" s="28" t="n"/>
      <c r="V34" s="27">
        <f>IFERROR(subQ!T26+subQ!V21-subQ!V26,"")</f>
        <v/>
      </c>
      <c r="W34" s="27">
        <f>IFERROR(subQ!V26+subQ!W21-subQ!W26,"")</f>
        <v/>
      </c>
      <c r="X34" s="27">
        <f>IFERROR(subQ!W26+subQ!X21-subQ!X26,"")</f>
        <v/>
      </c>
      <c r="Y34" s="27">
        <f>IFERROR(subQ!X26+subQ!Y21-subQ!Y26,"")</f>
        <v/>
      </c>
      <c r="Z34" s="28" t="n"/>
      <c r="AA34" s="27">
        <f>IFERROR(subQ!Y26+subQ!AA21-subQ!AA26,"")</f>
        <v/>
      </c>
      <c r="AB34" s="29">
        <f>IFERROR(subQ!AA26+subQ!AB21-subQ!AB26,"")</f>
        <v/>
      </c>
      <c r="AC34" s="30" t="n">
        <v>0.000703187</v>
      </c>
      <c r="AD34" s="30" t="n">
        <v>-0.001435466</v>
      </c>
      <c r="AE34" s="31" t="n"/>
      <c r="AF34" s="30" t="n">
        <v>-0.010877898</v>
      </c>
      <c r="AG34" s="30" t="n">
        <v>0.004475735</v>
      </c>
      <c r="AH34" s="30" t="n">
        <v>-0.004700865</v>
      </c>
      <c r="AI34" s="30" t="n">
        <v>-0.001163893</v>
      </c>
      <c r="AJ34" s="31" t="n"/>
      <c r="AK34" s="30" t="n">
        <v>0.005708335</v>
      </c>
      <c r="AL34" s="30" t="n">
        <v>-0.001043692</v>
      </c>
      <c r="AM34" s="30" t="n">
        <v>-0.009010089000000001</v>
      </c>
      <c r="AN34" s="30" t="n">
        <v>-0.000233757</v>
      </c>
      <c r="AO34" s="31" t="n"/>
    </row>
    <row r="35">
      <c r="A35" s="12" t="inlineStr">
        <is>
          <t>drv:총차입금</t>
        </is>
      </c>
      <c r="B35" s="2" t="inlineStr">
        <is>
          <t>qoq</t>
        </is>
      </c>
      <c r="C35" t="inlineStr">
        <is>
          <t>총차입금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24" t="n">
        <v>0</v>
      </c>
      <c r="AD35" s="24" t="n">
        <v>0</v>
      </c>
      <c r="AE35" s="25" t="n"/>
      <c r="AF35" s="24" t="n">
        <v>0</v>
      </c>
      <c r="AG35" s="24" t="n">
        <v>0</v>
      </c>
      <c r="AH35" s="24" t="n">
        <v>0</v>
      </c>
      <c r="AI35" s="24" t="n">
        <v>0</v>
      </c>
      <c r="AJ35" s="25" t="n"/>
      <c r="AK35" s="24" t="n">
        <v>0</v>
      </c>
      <c r="AL35" s="24" t="n">
        <v>0</v>
      </c>
      <c r="AM35" s="24" t="n">
        <v>0</v>
      </c>
      <c r="AN35" s="24" t="n">
        <v>0</v>
      </c>
      <c r="AO35" s="25" t="n"/>
    </row>
    <row r="36">
      <c r="A36" s="12" t="inlineStr">
        <is>
          <t>drv:순차입금</t>
        </is>
      </c>
      <c r="B36" s="2" t="inlineStr">
        <is>
          <t>qoq</t>
        </is>
      </c>
      <c r="C36" t="inlineStr">
        <is>
          <t>순차입금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24" t="n">
        <v>-0.578709269</v>
      </c>
      <c r="AD36" s="24" t="n">
        <v>-1.561649485</v>
      </c>
      <c r="AE36" s="25" t="n"/>
      <c r="AF36" s="24" t="n">
        <v>2.415198238</v>
      </c>
      <c r="AG36" s="24" t="n">
        <v>0.872621735</v>
      </c>
      <c r="AH36" s="24" t="n">
        <v>0.463234028</v>
      </c>
      <c r="AI36" s="24" t="n">
        <v>0.360048645</v>
      </c>
      <c r="AJ36" s="25" t="n"/>
      <c r="AK36" s="24" t="n">
        <v>0.23458998</v>
      </c>
      <c r="AL36" s="24" t="n">
        <v>0.238914069</v>
      </c>
      <c r="AM36" s="24" t="n">
        <v>0.193954137</v>
      </c>
      <c r="AN36" s="24" t="n">
        <v>0.182727086</v>
      </c>
      <c r="AO36" s="25" t="n"/>
    </row>
    <row r="37">
      <c r="A37" s="12" t="inlineStr">
        <is>
          <t>drv:이자발생자산</t>
        </is>
      </c>
      <c r="B37" s="2" t="inlineStr">
        <is>
          <t>qoq</t>
        </is>
      </c>
      <c r="C37" t="inlineStr">
        <is>
          <t>이자발생자산 QoQ</t>
        </is>
      </c>
      <c r="E37" s="21" t="n"/>
      <c r="F37" s="22" t="n"/>
      <c r="G37" s="21">
        <f>IFERROR(subQ!G29/subQ!E29-1,"")</f>
        <v/>
      </c>
      <c r="H37" s="21">
        <f>IFERROR(subQ!H29/subQ!G29-1,"")</f>
        <v/>
      </c>
      <c r="I37" s="21">
        <f>IFERROR(subQ!I29/subQ!H29-1,"")</f>
        <v/>
      </c>
      <c r="J37" s="21">
        <f>IFERROR(subQ!J29/subQ!I29-1,"")</f>
        <v/>
      </c>
      <c r="K37" s="22" t="n"/>
      <c r="L37" s="21">
        <f>IFERROR(subQ!L29/subQ!J29-1,"")</f>
        <v/>
      </c>
      <c r="M37" s="21">
        <f>IFERROR(subQ!M29/subQ!L29-1,"")</f>
        <v/>
      </c>
      <c r="N37" s="21">
        <f>IFERROR(subQ!N29/subQ!M29-1,"")</f>
        <v/>
      </c>
      <c r="O37" s="21">
        <f>IFERROR(subQ!O29/subQ!N29-1,"")</f>
        <v/>
      </c>
      <c r="P37" s="22" t="n"/>
      <c r="Q37" s="21">
        <f>IFERROR(subQ!Q29/subQ!O29-1,"")</f>
        <v/>
      </c>
      <c r="R37" s="21">
        <f>IFERROR(subQ!R29/subQ!Q29-1,"")</f>
        <v/>
      </c>
      <c r="S37" s="21">
        <f>IFERROR(subQ!S29/subQ!R29-1,"")</f>
        <v/>
      </c>
      <c r="T37" s="21">
        <f>IFERROR(subQ!T29/subQ!S29-1,"")</f>
        <v/>
      </c>
      <c r="U37" s="22" t="n"/>
      <c r="V37" s="21">
        <f>IFERROR(subQ!V29/subQ!T29-1,"")</f>
        <v/>
      </c>
      <c r="W37" s="21">
        <f>IFERROR(subQ!W29/subQ!V29-1,"")</f>
        <v/>
      </c>
      <c r="X37" s="21">
        <f>IFERROR(subQ!X29/subQ!W29-1,"")</f>
        <v/>
      </c>
      <c r="Y37" s="21">
        <f>IFERROR(subQ!Y29/subQ!X29-1,"")</f>
        <v/>
      </c>
      <c r="Z37" s="22" t="n"/>
      <c r="AA37" s="21">
        <f>IFERROR(subQ!AA29/subQ!Y29-1,"")</f>
        <v/>
      </c>
      <c r="AB37" s="23">
        <f>IFERROR(subQ!AB29/subQ!AA29-1,"")</f>
        <v/>
      </c>
      <c r="AC37" s="24" t="n">
        <v>0.487077727</v>
      </c>
      <c r="AD37" s="24" t="n">
        <v>0.372388023</v>
      </c>
      <c r="AE37" s="25" t="n"/>
      <c r="AF37" s="24" t="n">
        <v>0.235732454</v>
      </c>
      <c r="AG37" s="24" t="n">
        <v>0.2353521</v>
      </c>
      <c r="AH37" s="24" t="n">
        <v>0.189364249</v>
      </c>
      <c r="AI37" s="24" t="n">
        <v>0.18109708</v>
      </c>
      <c r="AJ37" s="25" t="n"/>
      <c r="AK37" s="24" t="n">
        <v>0.135888269</v>
      </c>
      <c r="AL37" s="24" t="n">
        <v>0.150400047</v>
      </c>
      <c r="AM37" s="24" t="n">
        <v>0.131478688</v>
      </c>
      <c r="AN37" s="24" t="n">
        <v>0.13072021</v>
      </c>
      <c r="AO37" s="25" t="n"/>
    </row>
    <row r="38">
      <c r="A38" s="12" t="inlineStr">
        <is>
          <t>drv:현금및현금성자산</t>
        </is>
      </c>
      <c r="B38" s="2" t="inlineStr">
        <is>
          <t>qoq</t>
        </is>
      </c>
      <c r="C38" t="inlineStr">
        <is>
          <t>현금및현금성자산 QoQ</t>
        </is>
      </c>
      <c r="E38" s="21" t="n"/>
      <c r="F38" s="22" t="n"/>
      <c r="G38" s="21">
        <f>IFERROR(subQ!G30/subQ!E30-1,"")</f>
        <v/>
      </c>
      <c r="H38" s="21">
        <f>IFERROR(subQ!H30/subQ!G30-1,"")</f>
        <v/>
      </c>
      <c r="I38" s="21">
        <f>IFERROR(subQ!I30/subQ!H30-1,"")</f>
        <v/>
      </c>
      <c r="J38" s="21">
        <f>IFERROR(subQ!J30/subQ!I30-1,"")</f>
        <v/>
      </c>
      <c r="K38" s="22" t="n"/>
      <c r="L38" s="21">
        <f>IFERROR(subQ!L30/subQ!J30-1,"")</f>
        <v/>
      </c>
      <c r="M38" s="21">
        <f>IFERROR(subQ!M30/subQ!L30-1,"")</f>
        <v/>
      </c>
      <c r="N38" s="21">
        <f>IFERROR(subQ!N30/subQ!M30-1,"")</f>
        <v/>
      </c>
      <c r="O38" s="21">
        <f>IFERROR(subQ!O30/subQ!N30-1,"")</f>
        <v/>
      </c>
      <c r="P38" s="22" t="n"/>
      <c r="Q38" s="21">
        <f>IFERROR(subQ!Q30/subQ!O30-1,"")</f>
        <v/>
      </c>
      <c r="R38" s="21">
        <f>IFERROR(subQ!R30/subQ!Q30-1,"")</f>
        <v/>
      </c>
      <c r="S38" s="21">
        <f>IFERROR(subQ!S30/subQ!R30-1,"")</f>
        <v/>
      </c>
      <c r="T38" s="21">
        <f>IFERROR(subQ!T30/subQ!S30-1,"")</f>
        <v/>
      </c>
      <c r="U38" s="22" t="n"/>
      <c r="V38" s="21">
        <f>IFERROR(subQ!V30/subQ!T30-1,"")</f>
        <v/>
      </c>
      <c r="W38" s="21">
        <f>IFERROR(subQ!W30/subQ!V30-1,"")</f>
        <v/>
      </c>
      <c r="X38" s="21">
        <f>IFERROR(subQ!X30/subQ!W30-1,"")</f>
        <v/>
      </c>
      <c r="Y38" s="21">
        <f>IFERROR(subQ!Y30/subQ!X30-1,"")</f>
        <v/>
      </c>
      <c r="Z38" s="22" t="n"/>
      <c r="AA38" s="21">
        <f>IFERROR(subQ!AA30/subQ!Y30-1,"")</f>
        <v/>
      </c>
      <c r="AB38" s="23">
        <f>IFERROR(subQ!AB30/subQ!AA30-1,"")</f>
        <v/>
      </c>
      <c r="AC38" s="33" t="n"/>
      <c r="AD38" s="33" t="n"/>
      <c r="AE38" s="25" t="n"/>
      <c r="AF38" s="33" t="n"/>
      <c r="AG38" s="33" t="n"/>
      <c r="AH38" s="33" t="n"/>
      <c r="AI38" s="33" t="n"/>
      <c r="AJ38" s="25" t="n"/>
      <c r="AK38" s="33" t="n"/>
      <c r="AL38" s="33" t="n"/>
      <c r="AM38" s="33" t="n"/>
      <c r="AN38" s="33" t="n"/>
      <c r="AO38" s="25" t="n"/>
    </row>
    <row r="39">
      <c r="A39" s="12" t="inlineStr">
        <is>
          <t>drv:CAPEX</t>
        </is>
      </c>
      <c r="B39" s="2" t="inlineStr">
        <is>
          <t>yoy</t>
        </is>
      </c>
      <c r="C39" t="inlineStr">
        <is>
          <t>CAPEX YoY</t>
        </is>
      </c>
      <c r="E39" s="21" t="n"/>
      <c r="F39" s="22" t="n"/>
      <c r="G39" s="21" t="n"/>
      <c r="H39" s="21" t="n"/>
      <c r="I39" s="21" t="n"/>
      <c r="J39" s="21">
        <f>IFERROR(subQ!J31/subQ!E31-1,"")</f>
        <v/>
      </c>
      <c r="K39" s="22" t="n"/>
      <c r="L39" s="21">
        <f>IFERROR(subQ!L31/subQ!G31-1,"")</f>
        <v/>
      </c>
      <c r="M39" s="21">
        <f>IFERROR(subQ!M31/subQ!H31-1,"")</f>
        <v/>
      </c>
      <c r="N39" s="21">
        <f>IFERROR(subQ!N31/subQ!I31-1,"")</f>
        <v/>
      </c>
      <c r="O39" s="21">
        <f>IFERROR(subQ!O31/subQ!J31-1,"")</f>
        <v/>
      </c>
      <c r="P39" s="22" t="n"/>
      <c r="Q39" s="21">
        <f>IFERROR(subQ!Q31/subQ!L31-1,"")</f>
        <v/>
      </c>
      <c r="R39" s="21">
        <f>IFERROR(subQ!R31/subQ!M31-1,"")</f>
        <v/>
      </c>
      <c r="S39" s="21">
        <f>IFERROR(subQ!S31/subQ!N31-1,"")</f>
        <v/>
      </c>
      <c r="T39" s="21">
        <f>IFERROR(subQ!T31/subQ!O31-1,"")</f>
        <v/>
      </c>
      <c r="U39" s="22" t="n"/>
      <c r="V39" s="21">
        <f>IFERROR(subQ!V31/subQ!Q31-1,"")</f>
        <v/>
      </c>
      <c r="W39" s="21">
        <f>IFERROR(subQ!W31/subQ!R31-1,"")</f>
        <v/>
      </c>
      <c r="X39" s="21">
        <f>IFERROR(subQ!X31/subQ!S31-1,"")</f>
        <v/>
      </c>
      <c r="Y39" s="21">
        <f>IFERROR(subQ!Y31/subQ!T31-1,"")</f>
        <v/>
      </c>
      <c r="Z39" s="22" t="n"/>
      <c r="AA39" s="21">
        <f>IFERROR(subQ!AA31/subQ!V31-1,"")</f>
        <v/>
      </c>
      <c r="AB39" s="23">
        <f>IFERROR(subQ!AB31/subQ!W31-1,"")</f>
        <v/>
      </c>
      <c r="AC39" s="24" t="n">
        <v>0.473758615</v>
      </c>
      <c r="AD39" s="24" t="n">
        <v>-0.925158567</v>
      </c>
      <c r="AE39" s="25" t="n"/>
      <c r="AF39" s="24" t="n">
        <v>1.178341953</v>
      </c>
      <c r="AG39" s="24" t="n">
        <v>-0.244305105</v>
      </c>
      <c r="AH39" s="24" t="n">
        <v>0</v>
      </c>
      <c r="AI39" s="24" t="n">
        <v>0</v>
      </c>
      <c r="AJ39" s="25" t="n"/>
      <c r="AK39" s="24" t="n">
        <v>0</v>
      </c>
      <c r="AL39" s="24" t="n">
        <v>0</v>
      </c>
      <c r="AM39" s="24" t="n">
        <v>0</v>
      </c>
      <c r="AN39" s="24" t="n">
        <v>0</v>
      </c>
      <c r="AO39" s="25" t="n"/>
    </row>
    <row r="40">
      <c r="A40" s="12" t="inlineStr">
        <is>
          <t>drv:영업활동현금흐름</t>
        </is>
      </c>
      <c r="B40" s="2" t="inlineStr">
        <is>
          <t>yoy</t>
        </is>
      </c>
      <c r="C40" t="inlineStr">
        <is>
          <t>영업활동현금흐름 YoY</t>
        </is>
      </c>
      <c r="E40" s="21" t="n"/>
      <c r="F40" s="22" t="n"/>
      <c r="G40" s="21" t="n"/>
      <c r="H40" s="21" t="n"/>
      <c r="I40" s="21" t="n"/>
      <c r="J40" s="21">
        <f>IFERROR(subQ!J32/subQ!E32-1,"")</f>
        <v/>
      </c>
      <c r="K40" s="22" t="n"/>
      <c r="L40" s="21">
        <f>IFERROR(subQ!L32/subQ!G32-1,"")</f>
        <v/>
      </c>
      <c r="M40" s="21">
        <f>IFERROR(subQ!M32/subQ!H32-1,"")</f>
        <v/>
      </c>
      <c r="N40" s="21">
        <f>IFERROR(subQ!N32/subQ!I32-1,"")</f>
        <v/>
      </c>
      <c r="O40" s="21">
        <f>IFERROR(subQ!O32/subQ!J32-1,"")</f>
        <v/>
      </c>
      <c r="P40" s="22" t="n"/>
      <c r="Q40" s="21">
        <f>IFERROR(subQ!Q32/subQ!L32-1,"")</f>
        <v/>
      </c>
      <c r="R40" s="21">
        <f>IFERROR(subQ!R32/subQ!M32-1,"")</f>
        <v/>
      </c>
      <c r="S40" s="21">
        <f>IFERROR(subQ!S32/subQ!N32-1,"")</f>
        <v/>
      </c>
      <c r="T40" s="21">
        <f>IFERROR(subQ!T32/subQ!O32-1,"")</f>
        <v/>
      </c>
      <c r="U40" s="22" t="n"/>
      <c r="V40" s="21">
        <f>IFERROR(subQ!V32/subQ!Q32-1,"")</f>
        <v/>
      </c>
      <c r="W40" s="21">
        <f>IFERROR(subQ!W32/subQ!R32-1,"")</f>
        <v/>
      </c>
      <c r="X40" s="21">
        <f>IFERROR(subQ!X32/subQ!S32-1,"")</f>
        <v/>
      </c>
      <c r="Y40" s="21">
        <f>IFERROR(subQ!Y32/subQ!T32-1,"")</f>
        <v/>
      </c>
      <c r="Z40" s="22" t="n"/>
      <c r="AA40" s="21">
        <f>IFERROR(subQ!AA32/subQ!V32-1,"")</f>
        <v/>
      </c>
      <c r="AB40" s="23">
        <f>IFERROR(subQ!AB32/subQ!W32-1,"")</f>
        <v/>
      </c>
      <c r="AC40" s="33" t="n"/>
      <c r="AD40" s="33" t="n"/>
      <c r="AE40" s="25" t="n"/>
      <c r="AF40" s="33" t="n"/>
      <c r="AG40" s="33" t="n"/>
      <c r="AH40" s="33" t="n"/>
      <c r="AI40" s="33" t="n"/>
      <c r="AJ40" s="25" t="n"/>
      <c r="AK40" s="33" t="n"/>
      <c r="AL40" s="33" t="n"/>
      <c r="AM40" s="33" t="n"/>
      <c r="AN40" s="33" t="n"/>
      <c r="AO40" s="25" t="n"/>
    </row>
    <row r="41">
      <c r="A41" s="12" t="inlineStr">
        <is>
          <t>drv:주식수</t>
        </is>
      </c>
      <c r="B41" s="2" t="inlineStr">
        <is>
          <t>qoq</t>
        </is>
      </c>
      <c r="C41" t="inlineStr">
        <is>
          <t>주식수 QoQ</t>
        </is>
      </c>
      <c r="E41" s="21" t="n"/>
      <c r="F41" s="22" t="n"/>
      <c r="G41" s="21">
        <f>IFERROR(subQ!G33/subQ!E33-1,"")</f>
        <v/>
      </c>
      <c r="H41" s="21">
        <f>IFERROR(subQ!H33/subQ!G33-1,"")</f>
        <v/>
      </c>
      <c r="I41" s="21">
        <f>IFERROR(subQ!I33/subQ!H33-1,"")</f>
        <v/>
      </c>
      <c r="J41" s="21">
        <f>IFERROR(subQ!J33/subQ!I33-1,"")</f>
        <v/>
      </c>
      <c r="K41" s="22" t="n"/>
      <c r="L41" s="21">
        <f>IFERROR(subQ!L33/subQ!J33-1,"")</f>
        <v/>
      </c>
      <c r="M41" s="21">
        <f>IFERROR(subQ!M33/subQ!L33-1,"")</f>
        <v/>
      </c>
      <c r="N41" s="21">
        <f>IFERROR(subQ!N33/subQ!M33-1,"")</f>
        <v/>
      </c>
      <c r="O41" s="21">
        <f>IFERROR(subQ!O33/subQ!N33-1,"")</f>
        <v/>
      </c>
      <c r="P41" s="22" t="n"/>
      <c r="Q41" s="21">
        <f>IFERROR(subQ!Q33/subQ!O33-1,"")</f>
        <v/>
      </c>
      <c r="R41" s="21">
        <f>IFERROR(subQ!R33/subQ!Q33-1,"")</f>
        <v/>
      </c>
      <c r="S41" s="21">
        <f>IFERROR(subQ!S33/subQ!R33-1,"")</f>
        <v/>
      </c>
      <c r="T41" s="21">
        <f>IFERROR(subQ!T33/subQ!S33-1,"")</f>
        <v/>
      </c>
      <c r="U41" s="22" t="n"/>
      <c r="V41" s="21">
        <f>IFERROR(subQ!V33/subQ!T33-1,"")</f>
        <v/>
      </c>
      <c r="W41" s="21">
        <f>IFERROR(subQ!W33/subQ!V33-1,"")</f>
        <v/>
      </c>
      <c r="X41" s="21">
        <f>IFERROR(subQ!X33/subQ!W33-1,"")</f>
        <v/>
      </c>
      <c r="Y41" s="21">
        <f>IFERROR(subQ!Y33/subQ!X33-1,"")</f>
        <v/>
      </c>
      <c r="Z41" s="22" t="n"/>
      <c r="AA41" s="21">
        <f>IFERROR(subQ!AA33/subQ!Y33-1,"")</f>
        <v/>
      </c>
      <c r="AB41" s="23">
        <f>IFERROR(subQ!AB33/subQ!AA33-1,"")</f>
        <v/>
      </c>
      <c r="AC41" s="24" t="n">
        <v>0</v>
      </c>
      <c r="AD41" s="24" t="n">
        <v>0</v>
      </c>
      <c r="AE41" s="25" t="n"/>
      <c r="AF41" s="24" t="n">
        <v>0</v>
      </c>
      <c r="AG41" s="24" t="n">
        <v>0</v>
      </c>
      <c r="AH41" s="24" t="n">
        <v>0</v>
      </c>
      <c r="AI41" s="24" t="n">
        <v>0</v>
      </c>
      <c r="AJ41" s="25" t="n"/>
      <c r="AK41" s="24" t="n">
        <v>0</v>
      </c>
      <c r="AL41" s="24" t="n">
        <v>0</v>
      </c>
      <c r="AM41" s="24" t="n">
        <v>0</v>
      </c>
      <c r="AN41" s="24" t="n">
        <v>0</v>
      </c>
      <c r="AO41" s="25" t="n"/>
    </row>
    <row r="42">
      <c r="A42" s="12" t="inlineStr">
        <is>
          <t>drv:DPS</t>
        </is>
      </c>
      <c r="B42" s="2" t="inlineStr">
        <is>
          <t>abs</t>
        </is>
      </c>
      <c r="C42" t="inlineStr">
        <is>
          <t>DPS (가정, 원)</t>
        </is>
      </c>
      <c r="E42" s="27">
        <f>subQ!E36</f>
        <v/>
      </c>
      <c r="F42" s="28">
        <f>subQ!F36</f>
        <v/>
      </c>
      <c r="G42" s="27">
        <f>subQ!G36</f>
        <v/>
      </c>
      <c r="H42" s="27">
        <f>subQ!H36</f>
        <v/>
      </c>
      <c r="I42" s="27">
        <f>subQ!I36</f>
        <v/>
      </c>
      <c r="J42" s="27">
        <f>subQ!J36</f>
        <v/>
      </c>
      <c r="K42" s="28">
        <f>subQ!K36</f>
        <v/>
      </c>
      <c r="L42" s="27">
        <f>subQ!L36</f>
        <v/>
      </c>
      <c r="M42" s="27">
        <f>subQ!M36</f>
        <v/>
      </c>
      <c r="N42" s="27">
        <f>subQ!N36</f>
        <v/>
      </c>
      <c r="O42" s="27">
        <f>subQ!O36</f>
        <v/>
      </c>
      <c r="P42" s="28">
        <f>subQ!P36</f>
        <v/>
      </c>
      <c r="Q42" s="27">
        <f>subQ!Q36</f>
        <v/>
      </c>
      <c r="R42" s="27">
        <f>subQ!R36</f>
        <v/>
      </c>
      <c r="S42" s="27">
        <f>subQ!S36</f>
        <v/>
      </c>
      <c r="T42" s="27">
        <f>subQ!T36</f>
        <v/>
      </c>
      <c r="U42" s="28">
        <f>subQ!U36</f>
        <v/>
      </c>
      <c r="V42" s="27">
        <f>subQ!V36</f>
        <v/>
      </c>
      <c r="W42" s="27">
        <f>subQ!W36</f>
        <v/>
      </c>
      <c r="X42" s="27">
        <f>subQ!X36</f>
        <v/>
      </c>
      <c r="Y42" s="27">
        <f>subQ!Y36</f>
        <v/>
      </c>
      <c r="Z42" s="28">
        <f>subQ!Z36</f>
        <v/>
      </c>
      <c r="AA42" s="27">
        <f>subQ!AA36</f>
        <v/>
      </c>
      <c r="AB42" s="29">
        <f>subQ!AB36</f>
        <v/>
      </c>
      <c r="AC42" s="32" t="n"/>
      <c r="AD42" s="30" t="n">
        <v>0</v>
      </c>
      <c r="AE42" s="31">
        <f>subQ!AE36</f>
        <v/>
      </c>
      <c r="AF42" s="32" t="n"/>
      <c r="AG42" s="32" t="n"/>
      <c r="AH42" s="32" t="n"/>
      <c r="AI42" s="30" t="n">
        <v>0</v>
      </c>
      <c r="AJ42" s="31">
        <f>subQ!AJ36</f>
        <v/>
      </c>
      <c r="AK42" s="32" t="n"/>
      <c r="AL42" s="32" t="n"/>
      <c r="AM42" s="32" t="n"/>
      <c r="AN42" s="30" t="n">
        <v>0</v>
      </c>
      <c r="AO42" s="31">
        <f>subQ!AO36</f>
        <v/>
      </c>
    </row>
    <row r="43"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B44" s="1" t="inlineStr">
        <is>
          <t>3. 밸류에이션·스칼라</t>
        </is>
      </c>
      <c r="C44" s="2" t="inlineStr">
        <is>
          <t>노란 셀 = 가정. '연결' 표시는 추정 전 분기 수식이 이 셀을 참조한다는 뜻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sc:종가</t>
        </is>
      </c>
      <c r="C45" t="inlineStr">
        <is>
          <t>종가</t>
        </is>
      </c>
      <c r="D45" s="34" t="n">
        <v>4165</v>
      </c>
      <c r="E45" s="2" t="inlineStr">
        <is>
          <t>원 — 네이버 정규장 종가(aik 확정종가 대조 · aik 4,450원)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sc:기준일</t>
        </is>
      </c>
      <c r="C46" t="inlineStr">
        <is>
          <t>기준일</t>
        </is>
      </c>
      <c r="D46" s="35" t="inlineStr">
        <is>
          <t>20261012</t>
        </is>
      </c>
      <c r="E46" s="2" t="inlineStr">
        <is>
          <t>종가 기준일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sc:COE</t>
        </is>
      </c>
      <c r="C47" t="inlineStr">
        <is>
          <t>COE</t>
        </is>
      </c>
      <c r="D47" s="24" t="n">
        <v>0.09</v>
      </c>
      <c r="E47" s="2" t="inlineStr">
        <is>
          <t>자기자본비용(가정) — TP 적정 PBR = ROE/COE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sc:PER_lo</t>
        </is>
      </c>
      <c r="C48" t="inlineStr">
        <is>
          <t>PER_lo</t>
        </is>
      </c>
      <c r="D48" s="30" t="n">
        <v>12.1</v>
      </c>
      <c r="E48" s="2" t="inlineStr">
        <is>
          <t>PER 밴드 하단(배) — hist_quarterly(분기 평균가 ÷ TTM EPS, 16분기, 25/50/75 백분위)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sc:PER_mid</t>
        </is>
      </c>
      <c r="C49" t="inlineStr">
        <is>
          <t>PER_mid</t>
        </is>
      </c>
      <c r="D49" s="30" t="n">
        <v>13.4</v>
      </c>
      <c r="E49" s="2" t="inlineStr">
        <is>
          <t>PER 밴드 중단(배)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sc:PER_hi</t>
        </is>
      </c>
      <c r="C50" t="inlineStr">
        <is>
          <t>PER_hi</t>
        </is>
      </c>
      <c r="D50" s="30" t="n">
        <v>17.4</v>
      </c>
      <c r="E50" s="2" t="inlineStr">
        <is>
          <t>PER 밴드 상단(배)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sc:EPS_Y1가중</t>
        </is>
      </c>
      <c r="C51" t="inlineStr">
        <is>
          <t>EPS_Y1가중</t>
        </is>
      </c>
      <c r="D51" s="24" t="n">
        <v>0.5</v>
      </c>
      <c r="E51" s="2" t="inlineStr">
        <is>
          <t>12M fwd EPS = FY(last_actual연도)E × w + FY+1E × (1−w) — 기준 분기 2Q 이면 0.5(가정)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sc:세율</t>
        </is>
      </c>
      <c r="C52" t="inlineStr">
        <is>
          <t>세율</t>
        </is>
      </c>
      <c r="D52" s="36" t="n">
        <v>0.196073140092123</v>
      </c>
      <c r="E52" s="2" t="inlineStr">
        <is>
          <t>연결 — 법인세 = MAX(세전,0) × 세율(역산, 재현 오차 ≤ 0.05억 · 모델 assumptions 0.1961) · 최근 12분기 유효세율 19.6%(5~27% 안 — 그대로)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sc:판관비율</t>
        </is>
      </c>
      <c r="C53" t="inlineStr">
        <is>
          <t>판관비율</t>
        </is>
      </c>
      <c r="D53" s="36" t="n">
        <v>0.05618880371983964</v>
      </c>
      <c r="E53" s="2" t="inlineStr">
        <is>
          <t>연결 — 판관비 = 매출액 × 판관비율(역산, 재현 오차 ≤ 0.05억 · 모델 assumptions 0.0562)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sc:지배주주비중</t>
        </is>
      </c>
      <c r="C54" t="inlineStr">
        <is>
          <t>지배주주비중</t>
        </is>
      </c>
      <c r="D54" s="36" t="n">
        <v>1</v>
      </c>
      <c r="E54" s="2" t="inlineStr">
        <is>
          <t>연결 — 지배주주순이익 = 당기순이익 × 비중(역산, 재현 오차 ≤ 0.05억)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sc:이자율_자산</t>
        </is>
      </c>
      <c r="C55" t="inlineStr">
        <is>
          <t>이자율_자산</t>
        </is>
      </c>
      <c r="D55" s="36" t="n">
        <v>0.05882998027233148</v>
      </c>
      <c r="E55" s="2" t="inlineStr">
        <is>
          <t>연결 — 이자손익 = (전분기 이자발생자산 × 자산이자율 − 전분기 총차입금 × 부채이자율)/4(역산, 재현 오차 ≤ 0.05억 · 모델 assumptions 0.0588)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sc:이자율_부채</t>
        </is>
      </c>
      <c r="C56" t="inlineStr">
        <is>
          <t>이자율_부채</t>
        </is>
      </c>
      <c r="D56" s="36" t="n">
        <v>0.04064947499608945</v>
      </c>
      <c r="E56" s="2" t="inlineStr">
        <is>
          <t>연결 — 같은 수식의 부채 쪽(총차입금 행이 없으면 0)(역산, 재현 오차 ≤ 0.05억 · 모델 assumptions 0.0406)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sc:배당성향</t>
        </is>
      </c>
      <c r="C57" t="inlineStr">
        <is>
          <t>배당성향</t>
        </is>
      </c>
      <c r="D57" s="24" t="n">
        <v>0</v>
      </c>
      <c r="E57" s="2" t="inlineStr">
        <is>
          <t>배당성향(참고 — 모델은 직전 DPS 유지·Q2 지급 가정)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sc:외화순노출_백만$</t>
        </is>
      </c>
      <c r="C58" t="inlineStr">
        <is>
          <t>외화순노출_백만$</t>
        </is>
      </c>
      <c r="D58" s="30" t="n"/>
      <c r="E58" s="2" t="inlineStr">
        <is>
          <t>외화 순노출 × Δ기말환율 (외화 시트 방식) — 외화 순노출 미공시(face) → 0 + 표기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sc:헤지비율</t>
        </is>
      </c>
      <c r="C59" t="inlineStr">
        <is>
          <t>헤지비율</t>
        </is>
      </c>
      <c r="D59" s="24" t="n"/>
      <c r="E59" s="2" t="inlineStr">
        <is>
          <t>sls 없음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s="12" t="inlineStr">
        <is>
          <t>sc:헤지환율_약정</t>
        </is>
      </c>
      <c r="C60" t="inlineStr">
        <is>
          <t>헤지환율_약정</t>
        </is>
      </c>
      <c r="D60" s="16" t="n"/>
      <c r="E60" s="2" t="inlineStr">
        <is>
          <t>sls 없음</t>
        </is>
      </c>
      <c r="F60" s="9" t="n"/>
      <c r="K60" s="9" t="n"/>
      <c r="P60" s="9" t="n"/>
      <c r="U60" s="9" t="n"/>
      <c r="Z60" s="9" t="n"/>
      <c r="AB60" s="5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오리엔탈정공(연)</t>
        </is>
      </c>
      <c r="C3" s="2" t="inlineStr">
        <is>
          <t>UPDATE: 26-10-12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43109.51</v>
      </c>
      <c r="F5" s="37" t="n">
        <v>43109.51</v>
      </c>
      <c r="G5" s="18" t="n">
        <v>42325.38</v>
      </c>
      <c r="H5" s="18" t="n">
        <v>45883.57</v>
      </c>
      <c r="I5" s="18" t="n">
        <v>44902.03</v>
      </c>
      <c r="J5" s="18" t="n">
        <v>45626.67</v>
      </c>
      <c r="K5" s="37" t="n">
        <v>45626.67</v>
      </c>
      <c r="L5" s="18" t="n">
        <v>48312.1</v>
      </c>
      <c r="M5" s="18" t="n">
        <v>51525.58</v>
      </c>
      <c r="N5" s="18" t="n">
        <v>51044.71</v>
      </c>
      <c r="O5" s="18" t="n">
        <v>55430.49</v>
      </c>
      <c r="P5" s="37" t="n">
        <v>55430.49</v>
      </c>
      <c r="Q5" s="18" t="n">
        <v>61838.05</v>
      </c>
      <c r="R5" s="18" t="n">
        <v>65832.16</v>
      </c>
      <c r="S5" s="18" t="n">
        <v>69407.53</v>
      </c>
      <c r="T5" s="18" t="n">
        <v>68812.36</v>
      </c>
      <c r="U5" s="37" t="n">
        <v>68812.36</v>
      </c>
      <c r="V5" s="18" t="n">
        <v>75415.87</v>
      </c>
      <c r="W5" s="18" t="n">
        <v>75640.45</v>
      </c>
      <c r="X5" s="18" t="n">
        <v>87149.47</v>
      </c>
      <c r="Y5" s="18" t="n">
        <v>86854.60000000001</v>
      </c>
      <c r="Z5" s="37" t="n">
        <v>86854.60000000001</v>
      </c>
      <c r="AA5" s="18" t="n">
        <v>90492.45</v>
      </c>
      <c r="AB5" s="19" t="n">
        <v>79343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8026.17</v>
      </c>
      <c r="F6" s="37" t="n">
        <v>8026.17</v>
      </c>
      <c r="G6" s="18" t="n">
        <v>8664.299999999999</v>
      </c>
      <c r="H6" s="18" t="n">
        <v>10349.39</v>
      </c>
      <c r="I6" s="18" t="n">
        <v>11336.41</v>
      </c>
      <c r="J6" s="18" t="n">
        <v>9919.65</v>
      </c>
      <c r="K6" s="37" t="n">
        <v>9919.65</v>
      </c>
      <c r="L6" s="18" t="n">
        <v>6305.7</v>
      </c>
      <c r="M6" s="18" t="n">
        <v>8675.610000000001</v>
      </c>
      <c r="N6" s="18" t="n">
        <v>9806.74</v>
      </c>
      <c r="O6" s="18" t="n">
        <v>12130.83</v>
      </c>
      <c r="P6" s="37" t="n">
        <v>12130.83</v>
      </c>
      <c r="Q6" s="18" t="n">
        <v>8524.690000000001</v>
      </c>
      <c r="R6" s="18" t="n">
        <v>10332.57</v>
      </c>
      <c r="S6" s="18" t="n">
        <v>8805.15</v>
      </c>
      <c r="T6" s="18" t="n">
        <v>14752.81</v>
      </c>
      <c r="U6" s="37" t="n">
        <v>14752.81</v>
      </c>
      <c r="V6" s="18" t="n">
        <v>20188.77</v>
      </c>
      <c r="W6" s="18" t="n">
        <v>17892.89</v>
      </c>
      <c r="X6" s="18" t="n">
        <v>19952.47</v>
      </c>
      <c r="Y6" s="18" t="n">
        <v>17755.49</v>
      </c>
      <c r="Z6" s="37" t="n">
        <v>17755.49</v>
      </c>
      <c r="AA6" s="18" t="n">
        <v>21971.02</v>
      </c>
      <c r="AB6" s="19" t="n">
        <v>13487.76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7938.65</v>
      </c>
      <c r="F7" s="37" t="n">
        <v>7938.65</v>
      </c>
      <c r="G7" s="18" t="n">
        <v>10023.71</v>
      </c>
      <c r="H7" s="18" t="n">
        <v>8944.27</v>
      </c>
      <c r="I7" s="18" t="n">
        <v>10272.94</v>
      </c>
      <c r="J7" s="18" t="n">
        <v>8146.76</v>
      </c>
      <c r="K7" s="37" t="n">
        <v>8146.76</v>
      </c>
      <c r="L7" s="18" t="n">
        <v>12641.32</v>
      </c>
      <c r="M7" s="18" t="n">
        <v>11209.31</v>
      </c>
      <c r="N7" s="18" t="n">
        <v>6393.4</v>
      </c>
      <c r="O7" s="18" t="n">
        <v>10218.1</v>
      </c>
      <c r="P7" s="37" t="n">
        <v>10218.1</v>
      </c>
      <c r="Q7" s="18" t="n">
        <v>11359.83</v>
      </c>
      <c r="R7" s="18" t="n">
        <v>13057.08</v>
      </c>
      <c r="S7" s="18" t="n">
        <v>10808.61</v>
      </c>
      <c r="T7" s="18" t="n">
        <v>13692.36</v>
      </c>
      <c r="U7" s="37" t="n">
        <v>13692.36</v>
      </c>
      <c r="V7" s="18" t="n">
        <v>12493.93</v>
      </c>
      <c r="W7" s="18" t="n">
        <v>12143.34</v>
      </c>
      <c r="X7" s="18" t="n">
        <v>11619.51</v>
      </c>
      <c r="Y7" s="18" t="n">
        <v>15734.98</v>
      </c>
      <c r="Z7" s="37" t="n">
        <v>15734.98</v>
      </c>
      <c r="AA7" s="18" t="n">
        <v>15272.08</v>
      </c>
      <c r="AB7" s="19" t="n">
        <v>13331.51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계약자산</t>
        </is>
      </c>
      <c r="E8" s="18" t="n">
        <v>4249.87</v>
      </c>
      <c r="F8" s="37" t="n">
        <v>4249.87</v>
      </c>
      <c r="G8" s="18" t="n">
        <v>2834.72</v>
      </c>
      <c r="H8" s="18" t="n">
        <v>6576.01</v>
      </c>
      <c r="I8" s="18" t="n">
        <v>3418.9</v>
      </c>
      <c r="J8" s="18" t="n">
        <v>4594.19</v>
      </c>
      <c r="K8" s="37" t="n">
        <v>4594.19</v>
      </c>
      <c r="L8" s="18" t="n">
        <v>4561.38</v>
      </c>
      <c r="M8" s="18" t="n">
        <v>5683.48</v>
      </c>
      <c r="N8" s="18" t="n">
        <v>5698.46</v>
      </c>
      <c r="O8" s="18" t="n">
        <v>2520.73</v>
      </c>
      <c r="P8" s="37" t="n">
        <v>2520.73</v>
      </c>
      <c r="Q8" s="18" t="n">
        <v>3150.06</v>
      </c>
      <c r="R8" s="18" t="n">
        <v>3218.09</v>
      </c>
      <c r="S8" s="18" t="n">
        <v>3486.47</v>
      </c>
      <c r="T8" s="18" t="n">
        <v>3289.14</v>
      </c>
      <c r="U8" s="37" t="n">
        <v>3289.14</v>
      </c>
      <c r="V8" s="18" t="n">
        <v>4331.51</v>
      </c>
      <c r="W8" s="18" t="n">
        <v>1911.57</v>
      </c>
      <c r="X8" s="18" t="n">
        <v>4062.61</v>
      </c>
      <c r="Y8" s="18" t="n">
        <v>2120.3</v>
      </c>
      <c r="Z8" s="37" t="n">
        <v>2120.3</v>
      </c>
      <c r="AA8" s="18" t="n">
        <v>4436.79</v>
      </c>
      <c r="AB8" s="19" t="n">
        <v>1879.19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단기금융자산</t>
        </is>
      </c>
      <c r="E9" s="18" t="n">
        <v>11050.44</v>
      </c>
      <c r="F9" s="37" t="n">
        <v>11050.44</v>
      </c>
      <c r="G9" s="18" t="n">
        <v>8612.200000000001</v>
      </c>
      <c r="H9" s="18" t="n">
        <v>8741</v>
      </c>
      <c r="I9" s="18" t="n">
        <v>8888.049999999999</v>
      </c>
      <c r="J9" s="18" t="n">
        <v>13121.65</v>
      </c>
      <c r="K9" s="37" t="n">
        <v>13121.65</v>
      </c>
      <c r="L9" s="18" t="n">
        <v>13330.5</v>
      </c>
      <c r="M9" s="18" t="n">
        <v>15821.36</v>
      </c>
      <c r="P9" s="9" t="n"/>
      <c r="R9" s="18" t="n">
        <v>45.08</v>
      </c>
      <c r="S9" s="18" t="n">
        <v>12.06</v>
      </c>
      <c r="U9" s="9" t="n"/>
      <c r="W9" s="18" t="n">
        <v>17.94</v>
      </c>
      <c r="X9" s="18" t="n">
        <v>1.69</v>
      </c>
      <c r="Z9" s="9" t="n"/>
      <c r="AB9" s="5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기타유동자산</t>
        </is>
      </c>
      <c r="E10" s="18" t="n">
        <v>891.3099999999999</v>
      </c>
      <c r="F10" s="37" t="n">
        <v>891.3099999999999</v>
      </c>
      <c r="G10" s="18" t="n">
        <v>1590.34</v>
      </c>
      <c r="H10" s="18" t="n">
        <v>1518.35</v>
      </c>
      <c r="I10" s="18" t="n">
        <v>1328.95</v>
      </c>
      <c r="J10" s="18" t="n">
        <v>1440.85</v>
      </c>
      <c r="K10" s="37" t="n">
        <v>1440.85</v>
      </c>
      <c r="L10" s="18" t="n">
        <v>1568.34</v>
      </c>
      <c r="M10" s="18" t="n">
        <v>1710.36</v>
      </c>
      <c r="N10" s="18" t="n">
        <v>1634.23</v>
      </c>
      <c r="O10" s="18" t="n">
        <v>1371.69</v>
      </c>
      <c r="P10" s="37" t="n">
        <v>1371.69</v>
      </c>
      <c r="Q10" s="18" t="n">
        <v>1567.92</v>
      </c>
      <c r="R10" s="18" t="n">
        <v>1851.07</v>
      </c>
      <c r="S10" s="18" t="n">
        <v>1948.9</v>
      </c>
      <c r="T10" s="18" t="n">
        <v>1749.27</v>
      </c>
      <c r="U10" s="37" t="n">
        <v>1749.27</v>
      </c>
      <c r="V10" s="18" t="n">
        <v>1689.52</v>
      </c>
      <c r="W10" s="18" t="n">
        <v>1881.96</v>
      </c>
      <c r="X10" s="18" t="n">
        <v>1569.14</v>
      </c>
      <c r="Y10" s="18" t="n">
        <v>1755.18</v>
      </c>
      <c r="Z10" s="37" t="n">
        <v>1755.18</v>
      </c>
      <c r="AA10" s="18" t="n">
        <v>1830.85</v>
      </c>
      <c r="AB10" s="19" t="n">
        <v>1663.09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당기법인세자산(선급법인세)</t>
        </is>
      </c>
      <c r="E11" s="18" t="n">
        <v>3.46</v>
      </c>
      <c r="F11" s="37" t="n">
        <v>3.46</v>
      </c>
      <c r="G11" s="18" t="n">
        <v>4.06</v>
      </c>
      <c r="H11" s="18" t="n">
        <v>0</v>
      </c>
      <c r="I11" s="18" t="n">
        <v>65.2</v>
      </c>
      <c r="J11" s="18" t="n">
        <v>90.27</v>
      </c>
      <c r="K11" s="37" t="n">
        <v>90.27</v>
      </c>
      <c r="L11" s="18" t="n">
        <v>25.01</v>
      </c>
      <c r="M11" s="18" t="n">
        <v>1.88</v>
      </c>
      <c r="N11" s="18" t="n">
        <v>284.36</v>
      </c>
      <c r="O11" s="18" t="n">
        <v>286.99</v>
      </c>
      <c r="P11" s="37" t="n">
        <v>286.99</v>
      </c>
      <c r="Q11" s="18" t="n">
        <v>247.84</v>
      </c>
      <c r="R11" s="18" t="n">
        <v>0</v>
      </c>
      <c r="S11" s="18" t="n">
        <v>0</v>
      </c>
      <c r="T11" s="18" t="n">
        <v>0</v>
      </c>
      <c r="U11" s="37" t="n">
        <v>0</v>
      </c>
      <c r="Y11" s="18" t="n">
        <v>0</v>
      </c>
      <c r="Z11" s="37" t="n">
        <v>0</v>
      </c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재고자산</t>
        </is>
      </c>
      <c r="E12" s="18" t="n">
        <v>10949.62</v>
      </c>
      <c r="F12" s="37" t="n">
        <v>10949.62</v>
      </c>
      <c r="G12" s="18" t="n">
        <v>10596.06</v>
      </c>
      <c r="H12" s="18" t="n">
        <v>9754.549999999999</v>
      </c>
      <c r="I12" s="18" t="n">
        <v>9591.58</v>
      </c>
      <c r="J12" s="18" t="n">
        <v>8313.309999999999</v>
      </c>
      <c r="K12" s="37" t="n">
        <v>8313.309999999999</v>
      </c>
      <c r="L12" s="18" t="n">
        <v>9879.860000000001</v>
      </c>
      <c r="M12" s="18" t="n">
        <v>8423.59</v>
      </c>
      <c r="N12" s="18" t="n">
        <v>8205.690000000001</v>
      </c>
      <c r="O12" s="18" t="n">
        <v>7143.3</v>
      </c>
      <c r="P12" s="37" t="n">
        <v>7143.3</v>
      </c>
      <c r="Q12" s="18" t="n">
        <v>10220.67</v>
      </c>
      <c r="R12" s="18" t="n">
        <v>8428.75</v>
      </c>
      <c r="S12" s="18" t="n">
        <v>9263.68</v>
      </c>
      <c r="T12" s="18" t="n">
        <v>8081.82</v>
      </c>
      <c r="U12" s="37" t="n">
        <v>8081.82</v>
      </c>
      <c r="V12" s="18" t="n">
        <v>8933.35</v>
      </c>
      <c r="W12" s="18" t="n">
        <v>10079.53</v>
      </c>
      <c r="X12" s="18" t="n">
        <v>9905.450000000001</v>
      </c>
      <c r="Y12" s="18" t="n">
        <v>10310.39</v>
      </c>
      <c r="Z12" s="37" t="n">
        <v>10310.39</v>
      </c>
      <c r="AA12" s="18" t="n">
        <v>9747.389999999999</v>
      </c>
      <c r="AB12" s="19" t="n">
        <v>10050.79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143575.22</v>
      </c>
      <c r="F13" s="37" t="n">
        <v>143575.22</v>
      </c>
      <c r="G13" s="18" t="n">
        <v>143197.34</v>
      </c>
      <c r="H13" s="18" t="n">
        <v>142913.75</v>
      </c>
      <c r="I13" s="18" t="n">
        <v>142560.73</v>
      </c>
      <c r="J13" s="18" t="n">
        <v>141224.47</v>
      </c>
      <c r="K13" s="37" t="n">
        <v>141224.47</v>
      </c>
      <c r="L13" s="18" t="n">
        <v>141870.88</v>
      </c>
      <c r="M13" s="18" t="n">
        <v>141979.5</v>
      </c>
      <c r="N13" s="18" t="n">
        <v>142833.15</v>
      </c>
      <c r="O13" s="18" t="n">
        <v>142373.98</v>
      </c>
      <c r="P13" s="37" t="n">
        <v>142373.98</v>
      </c>
      <c r="Q13" s="18" t="n">
        <v>142519.99</v>
      </c>
      <c r="R13" s="18" t="n">
        <v>142452.24</v>
      </c>
      <c r="S13" s="18" t="n">
        <v>142195.04</v>
      </c>
      <c r="T13" s="18" t="n">
        <v>146874.49</v>
      </c>
      <c r="U13" s="37" t="n">
        <v>146874.49</v>
      </c>
      <c r="V13" s="18" t="n">
        <v>146722.02</v>
      </c>
      <c r="W13" s="18" t="n">
        <v>145687.26</v>
      </c>
      <c r="X13" s="18" t="n">
        <v>146002.89</v>
      </c>
      <c r="Y13" s="18" t="n">
        <v>151053.22</v>
      </c>
      <c r="Z13" s="37" t="n">
        <v>151053.22</v>
      </c>
      <c r="AA13" s="18" t="n">
        <v>151516.32</v>
      </c>
      <c r="AB13" s="19" t="n">
        <v>151822.54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장기매출채권및기타채권</t>
        </is>
      </c>
      <c r="E14" s="18" t="n">
        <v>388.87</v>
      </c>
      <c r="F14" s="37" t="n">
        <v>388.87</v>
      </c>
      <c r="G14" s="18" t="n">
        <v>392.21</v>
      </c>
      <c r="H14" s="18" t="n">
        <v>390.94</v>
      </c>
      <c r="I14" s="18" t="n">
        <v>394.51</v>
      </c>
      <c r="J14" s="18" t="n">
        <v>312.25</v>
      </c>
      <c r="K14" s="37" t="n">
        <v>312.25</v>
      </c>
      <c r="L14" s="18" t="n">
        <v>317.07</v>
      </c>
      <c r="M14" s="18" t="n">
        <v>326.97</v>
      </c>
      <c r="N14" s="18" t="n">
        <v>331.94</v>
      </c>
      <c r="O14" s="18" t="n">
        <v>389.57</v>
      </c>
      <c r="P14" s="37" t="n">
        <v>389.57</v>
      </c>
      <c r="Q14" s="18" t="n">
        <v>393.07</v>
      </c>
      <c r="R14" s="18" t="n">
        <v>396.59</v>
      </c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939.23</v>
      </c>
      <c r="F15" s="37" t="n">
        <v>939.23</v>
      </c>
      <c r="G15" s="18" t="n">
        <v>957.6900000000001</v>
      </c>
      <c r="H15" s="18" t="n">
        <v>956.02</v>
      </c>
      <c r="I15" s="18" t="n">
        <v>950.54</v>
      </c>
      <c r="J15" s="18" t="n">
        <v>1119.85</v>
      </c>
      <c r="K15" s="37" t="n">
        <v>1119.85</v>
      </c>
      <c r="L15" s="18" t="n">
        <v>1098.14</v>
      </c>
      <c r="M15" s="18" t="n">
        <v>1093.22</v>
      </c>
      <c r="N15" s="18" t="n">
        <v>189.4</v>
      </c>
      <c r="O15" s="18" t="n">
        <v>189.4</v>
      </c>
      <c r="P15" s="37" t="n">
        <v>189.4</v>
      </c>
      <c r="Q15" s="18" t="n">
        <v>189.4</v>
      </c>
      <c r="R15" s="18" t="n">
        <v>189.4</v>
      </c>
      <c r="S15" s="18" t="n">
        <v>189.4</v>
      </c>
      <c r="T15" s="18" t="n">
        <v>189.4</v>
      </c>
      <c r="U15" s="37" t="n">
        <v>189.4</v>
      </c>
      <c r="V15" s="18" t="n">
        <v>189.4</v>
      </c>
      <c r="W15" s="18" t="n">
        <v>189.4</v>
      </c>
      <c r="X15" s="18" t="n">
        <v>189.4</v>
      </c>
      <c r="Y15" s="18" t="n">
        <v>189.4</v>
      </c>
      <c r="Z15" s="37" t="n">
        <v>189.4</v>
      </c>
      <c r="AA15" s="18" t="n">
        <v>189.4</v>
      </c>
      <c r="AB15" s="19" t="n">
        <v>189.4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6465.63</v>
      </c>
      <c r="F16" s="37" t="n">
        <v>6465.63</v>
      </c>
      <c r="G16" s="18" t="n">
        <v>6413.24</v>
      </c>
      <c r="H16" s="18" t="n">
        <v>6466.76</v>
      </c>
      <c r="I16" s="18" t="n">
        <v>6372.25</v>
      </c>
      <c r="J16" s="18" t="n">
        <v>4960.45</v>
      </c>
      <c r="K16" s="37" t="n">
        <v>4960.45</v>
      </c>
      <c r="L16" s="18" t="n">
        <v>4830.55</v>
      </c>
      <c r="M16" s="18" t="n">
        <v>4875.13</v>
      </c>
      <c r="N16" s="18" t="n">
        <v>3938.21</v>
      </c>
      <c r="O16" s="18" t="n">
        <v>3972.34</v>
      </c>
      <c r="P16" s="37" t="n">
        <v>3972.34</v>
      </c>
      <c r="Q16" s="18" t="n">
        <v>4064.93</v>
      </c>
      <c r="R16" s="18" t="n">
        <v>4576.31</v>
      </c>
      <c r="S16" s="18" t="n">
        <v>4894.44</v>
      </c>
      <c r="T16" s="18" t="n">
        <v>5388.6</v>
      </c>
      <c r="U16" s="37" t="n">
        <v>5388.6</v>
      </c>
      <c r="V16" s="18" t="n">
        <v>5629.14</v>
      </c>
      <c r="W16" s="18" t="n">
        <v>1799.33</v>
      </c>
      <c r="X16" s="18" t="n">
        <v>2116.73</v>
      </c>
      <c r="Y16" s="18" t="n">
        <v>2408.17</v>
      </c>
      <c r="Z16" s="37" t="n">
        <v>2408.17</v>
      </c>
      <c r="AA16" s="18" t="n">
        <v>2717.25</v>
      </c>
      <c r="AB16" s="19" t="n">
        <v>189.4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종속기업및관계기업투자</t>
        </is>
      </c>
      <c r="E17" s="18" t="n">
        <v>5526.4</v>
      </c>
      <c r="F17" s="37" t="n">
        <v>5526.4</v>
      </c>
      <c r="G17" s="18" t="n">
        <v>5455.55</v>
      </c>
      <c r="H17" s="18" t="n">
        <v>5510.74</v>
      </c>
      <c r="I17" s="18" t="n">
        <v>5421.71</v>
      </c>
      <c r="J17" s="18" t="n">
        <v>3840.6</v>
      </c>
      <c r="K17" s="37" t="n">
        <v>3840.6</v>
      </c>
      <c r="L17" s="18" t="n">
        <v>3732.41</v>
      </c>
      <c r="M17" s="18" t="n">
        <v>3781.91</v>
      </c>
      <c r="N17" s="18" t="n">
        <v>3748.81</v>
      </c>
      <c r="O17" s="18" t="n">
        <v>3782.94</v>
      </c>
      <c r="P17" s="37" t="n">
        <v>3782.94</v>
      </c>
      <c r="Q17" s="18" t="n">
        <v>3875.53</v>
      </c>
      <c r="R17" s="18" t="n">
        <v>4386.91</v>
      </c>
      <c r="S17" s="18" t="n">
        <v>4705.04</v>
      </c>
      <c r="T17" s="18" t="n">
        <v>5199.2</v>
      </c>
      <c r="U17" s="37" t="n">
        <v>5199.2</v>
      </c>
      <c r="V17" s="18" t="n">
        <v>5439.74</v>
      </c>
      <c r="W17" s="18" t="n">
        <v>1609.93</v>
      </c>
      <c r="X17" s="18" t="n">
        <v>1927.33</v>
      </c>
      <c r="Y17" s="18" t="n">
        <v>2218.77</v>
      </c>
      <c r="Z17" s="37" t="n">
        <v>2218.77</v>
      </c>
      <c r="AA17" s="18" t="n">
        <v>2527.85</v>
      </c>
      <c r="AB17" s="5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136336.45</v>
      </c>
      <c r="F18" s="37" t="n">
        <v>136336.45</v>
      </c>
      <c r="G18" s="18" t="n">
        <v>136017.7</v>
      </c>
      <c r="H18" s="18" t="n">
        <v>135691.95</v>
      </c>
      <c r="I18" s="18" t="n">
        <v>135432.47</v>
      </c>
      <c r="J18" s="18" t="n">
        <v>135151.1</v>
      </c>
      <c r="K18" s="37" t="n">
        <v>135151.1</v>
      </c>
      <c r="L18" s="18" t="n">
        <v>134866.34</v>
      </c>
      <c r="M18" s="18" t="n">
        <v>134768.93</v>
      </c>
      <c r="N18" s="18" t="n">
        <v>135652.54</v>
      </c>
      <c r="O18" s="18" t="n">
        <v>135507.93</v>
      </c>
      <c r="P18" s="37" t="n">
        <v>135507.93</v>
      </c>
      <c r="Q18" s="18" t="n">
        <v>135251.41</v>
      </c>
      <c r="R18" s="18" t="n">
        <v>134541.55</v>
      </c>
      <c r="S18" s="18" t="n">
        <v>134258.66</v>
      </c>
      <c r="T18" s="18" t="n">
        <v>138652.43</v>
      </c>
      <c r="U18" s="37" t="n">
        <v>138652.43</v>
      </c>
      <c r="V18" s="18" t="n">
        <v>138391.52</v>
      </c>
      <c r="W18" s="18" t="n">
        <v>141293.82</v>
      </c>
      <c r="X18" s="18" t="n">
        <v>141397.16</v>
      </c>
      <c r="Y18" s="18" t="n">
        <v>146211.39</v>
      </c>
      <c r="Z18" s="37" t="n">
        <v>146211.39</v>
      </c>
      <c r="AA18" s="18" t="n">
        <v>146351.23</v>
      </c>
      <c r="AB18" s="19" t="n">
        <v>146246.69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무형자산</t>
        </is>
      </c>
      <c r="E19" s="18" t="n">
        <v>336.97</v>
      </c>
      <c r="F19" s="37" t="n">
        <v>336.97</v>
      </c>
      <c r="G19" s="18" t="n">
        <v>336.97</v>
      </c>
      <c r="H19" s="18" t="n">
        <v>336.97</v>
      </c>
      <c r="I19" s="18" t="n">
        <v>336.97</v>
      </c>
      <c r="J19" s="18" t="n">
        <v>376.76</v>
      </c>
      <c r="K19" s="37" t="n">
        <v>376.76</v>
      </c>
      <c r="L19" s="18" t="n">
        <v>375.48</v>
      </c>
      <c r="M19" s="18" t="n">
        <v>374.19</v>
      </c>
      <c r="N19" s="18" t="n">
        <v>372.91</v>
      </c>
      <c r="O19" s="18" t="n">
        <v>371.63</v>
      </c>
      <c r="P19" s="37" t="n">
        <v>371.63</v>
      </c>
      <c r="Q19" s="18" t="n">
        <v>836.37</v>
      </c>
      <c r="R19" s="18" t="n">
        <v>844.4</v>
      </c>
      <c r="S19" s="18" t="n">
        <v>843.12</v>
      </c>
      <c r="T19" s="18" t="n">
        <v>841.84</v>
      </c>
      <c r="U19" s="37" t="n">
        <v>841.84</v>
      </c>
      <c r="V19" s="18" t="n">
        <v>840.55</v>
      </c>
      <c r="W19" s="18" t="n">
        <v>839.27</v>
      </c>
      <c r="X19" s="18" t="n">
        <v>837.99</v>
      </c>
      <c r="Y19" s="18" t="n">
        <v>872.77</v>
      </c>
      <c r="Z19" s="37" t="n">
        <v>872.77</v>
      </c>
      <c r="AA19" s="18" t="n">
        <v>889.9299999999999</v>
      </c>
      <c r="AB19" s="19" t="n">
        <v>886.85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사용권자산</t>
        </is>
      </c>
      <c r="E20" s="18" t="n">
        <v>47.3</v>
      </c>
      <c r="F20" s="37" t="n">
        <v>47.3</v>
      </c>
      <c r="G20" s="18" t="n">
        <v>37.22</v>
      </c>
      <c r="H20" s="18" t="n">
        <v>27.13</v>
      </c>
      <c r="I20" s="18" t="n">
        <v>24.54</v>
      </c>
      <c r="J20" s="18" t="n">
        <v>179.48</v>
      </c>
      <c r="K20" s="37" t="n">
        <v>179.48</v>
      </c>
      <c r="L20" s="18" t="n">
        <v>1365.92</v>
      </c>
      <c r="M20" s="18" t="n">
        <v>1243.46</v>
      </c>
      <c r="N20" s="18" t="n">
        <v>1122.84</v>
      </c>
      <c r="O20" s="18" t="n">
        <v>1002.22</v>
      </c>
      <c r="P20" s="37" t="n">
        <v>1002.22</v>
      </c>
      <c r="Q20" s="18" t="n">
        <v>881.6</v>
      </c>
      <c r="R20" s="18" t="n">
        <v>760.98</v>
      </c>
      <c r="S20" s="18" t="n">
        <v>640.37</v>
      </c>
      <c r="T20" s="18" t="n">
        <v>519.75</v>
      </c>
      <c r="U20" s="37" t="n">
        <v>519.75</v>
      </c>
      <c r="V20" s="18" t="n">
        <v>399.13</v>
      </c>
      <c r="W20" s="18" t="n">
        <v>278.51</v>
      </c>
      <c r="X20" s="18" t="n">
        <v>157.9</v>
      </c>
      <c r="Y20" s="18" t="n">
        <v>37.28</v>
      </c>
      <c r="Z20" s="37" t="n">
        <v>37.28</v>
      </c>
      <c r="AA20" s="18" t="n">
        <v>26.99</v>
      </c>
      <c r="AB20" s="19" t="n">
        <v>16.7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기타비유동자산</t>
        </is>
      </c>
      <c r="E21" s="18" t="n">
        <v>47.3</v>
      </c>
      <c r="F21" s="37" t="n">
        <v>47.3</v>
      </c>
      <c r="G21" s="18" t="n">
        <v>37.22</v>
      </c>
      <c r="H21" s="18" t="n">
        <v>27.13</v>
      </c>
      <c r="I21" s="18" t="n">
        <v>24.54</v>
      </c>
      <c r="J21" s="18" t="n">
        <v>423.91</v>
      </c>
      <c r="K21" s="37" t="n">
        <v>423.91</v>
      </c>
      <c r="L21" s="18" t="n">
        <v>1481.44</v>
      </c>
      <c r="M21" s="18" t="n">
        <v>1634.28</v>
      </c>
      <c r="N21" s="18" t="n">
        <v>1394.21</v>
      </c>
      <c r="O21" s="18" t="n">
        <v>1002.22</v>
      </c>
      <c r="P21" s="37" t="n">
        <v>1002.22</v>
      </c>
      <c r="Q21" s="18" t="n">
        <v>881.6</v>
      </c>
      <c r="R21" s="18" t="n">
        <v>995.8200000000001</v>
      </c>
      <c r="S21" s="18" t="n">
        <v>735.79</v>
      </c>
      <c r="T21" s="18" t="n">
        <v>519.75</v>
      </c>
      <c r="U21" s="37" t="n">
        <v>519.75</v>
      </c>
      <c r="V21" s="18" t="n">
        <v>399.13</v>
      </c>
      <c r="W21" s="18" t="n">
        <v>278.51</v>
      </c>
      <c r="X21" s="18" t="n">
        <v>157.9</v>
      </c>
      <c r="Y21" s="18" t="n">
        <v>62.17</v>
      </c>
      <c r="Z21" s="37" t="n">
        <v>62.17</v>
      </c>
      <c r="AA21" s="18" t="n">
        <v>26.99</v>
      </c>
      <c r="AB21" s="19" t="n">
        <v>16.7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186684.73</v>
      </c>
      <c r="F22" s="37" t="n">
        <v>186684.73</v>
      </c>
      <c r="G22" s="18" t="n">
        <v>185522.72</v>
      </c>
      <c r="H22" s="18" t="n">
        <v>188797.32</v>
      </c>
      <c r="I22" s="18" t="n">
        <v>187462.77</v>
      </c>
      <c r="J22" s="18" t="n">
        <v>186851.14</v>
      </c>
      <c r="K22" s="37" t="n">
        <v>186851.14</v>
      </c>
      <c r="L22" s="18" t="n">
        <v>190182.98</v>
      </c>
      <c r="M22" s="18" t="n">
        <v>193505.08</v>
      </c>
      <c r="N22" s="18" t="n">
        <v>193877.85</v>
      </c>
      <c r="O22" s="18" t="n">
        <v>197804.46</v>
      </c>
      <c r="P22" s="37" t="n">
        <v>197804.46</v>
      </c>
      <c r="Q22" s="18" t="n">
        <v>204358.04</v>
      </c>
      <c r="R22" s="18" t="n">
        <v>208284.4</v>
      </c>
      <c r="S22" s="18" t="n">
        <v>211602.57</v>
      </c>
      <c r="T22" s="18" t="n">
        <v>215686.85</v>
      </c>
      <c r="U22" s="37" t="n">
        <v>215686.85</v>
      </c>
      <c r="V22" s="18" t="n">
        <v>222137.9</v>
      </c>
      <c r="W22" s="18" t="n">
        <v>221327.71</v>
      </c>
      <c r="X22" s="18" t="n">
        <v>233152.37</v>
      </c>
      <c r="Y22" s="18" t="n">
        <v>237907.82</v>
      </c>
      <c r="Z22" s="37" t="n">
        <v>237907.82</v>
      </c>
      <c r="AA22" s="18" t="n">
        <v>242008.78</v>
      </c>
      <c r="AB22" s="19" t="n">
        <v>231165.54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29227.23</v>
      </c>
      <c r="F23" s="37" t="n">
        <v>29227.23</v>
      </c>
      <c r="G23" s="18" t="n">
        <v>79533.24000000001</v>
      </c>
      <c r="H23" s="18" t="n">
        <v>77009.73</v>
      </c>
      <c r="I23" s="18" t="n">
        <v>74638.07000000001</v>
      </c>
      <c r="J23" s="18" t="n">
        <v>45323</v>
      </c>
      <c r="K23" s="37" t="n">
        <v>45323</v>
      </c>
      <c r="L23" s="18" t="n">
        <v>48635.12</v>
      </c>
      <c r="M23" s="18" t="n">
        <v>47772.65</v>
      </c>
      <c r="N23" s="18" t="n">
        <v>47014.8</v>
      </c>
      <c r="O23" s="18" t="n">
        <v>52290.12</v>
      </c>
      <c r="P23" s="37" t="n">
        <v>52290.12</v>
      </c>
      <c r="Q23" s="18" t="n">
        <v>57855.82</v>
      </c>
      <c r="R23" s="18" t="n">
        <v>82790.45</v>
      </c>
      <c r="S23" s="18" t="n">
        <v>78083.09</v>
      </c>
      <c r="T23" s="18" t="n">
        <v>78987.28</v>
      </c>
      <c r="U23" s="37" t="n">
        <v>78987.28</v>
      </c>
      <c r="V23" s="18" t="n">
        <v>83160.48</v>
      </c>
      <c r="W23" s="18" t="n">
        <v>77690.13</v>
      </c>
      <c r="X23" s="18" t="n">
        <v>82741.71000000001</v>
      </c>
      <c r="Y23" s="18" t="n">
        <v>84637.88</v>
      </c>
      <c r="Z23" s="37" t="n">
        <v>84637.88</v>
      </c>
      <c r="AA23" s="18" t="n">
        <v>81832.53999999999</v>
      </c>
      <c r="AB23" s="19" t="n">
        <v>64606.34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13409.37</v>
      </c>
      <c r="F24" s="37" t="n">
        <v>13409.37</v>
      </c>
      <c r="G24" s="18" t="n">
        <v>16136.26</v>
      </c>
      <c r="H24" s="18" t="n">
        <v>14865.34</v>
      </c>
      <c r="I24" s="18" t="n">
        <v>12700.15</v>
      </c>
      <c r="J24" s="18" t="n">
        <v>14500.96</v>
      </c>
      <c r="K24" s="37" t="n">
        <v>14500.96</v>
      </c>
      <c r="L24" s="18" t="n">
        <v>14493.99</v>
      </c>
      <c r="M24" s="18" t="n">
        <v>16841.74</v>
      </c>
      <c r="N24" s="18" t="n">
        <v>15355.42</v>
      </c>
      <c r="O24" s="18" t="n">
        <v>17317.99</v>
      </c>
      <c r="P24" s="37" t="n">
        <v>17317.99</v>
      </c>
      <c r="Q24" s="18" t="n">
        <v>18410.06</v>
      </c>
      <c r="R24" s="18" t="n">
        <v>21697.51</v>
      </c>
      <c r="S24" s="18" t="n">
        <v>19448.77</v>
      </c>
      <c r="T24" s="18" t="n">
        <v>23589.37</v>
      </c>
      <c r="U24" s="37" t="n">
        <v>23589.37</v>
      </c>
      <c r="V24" s="18" t="n">
        <v>19650.52</v>
      </c>
      <c r="W24" s="18" t="n">
        <v>20307.47</v>
      </c>
      <c r="X24" s="18" t="n">
        <v>19888.87</v>
      </c>
      <c r="Y24" s="18" t="n">
        <v>23485.57</v>
      </c>
      <c r="Z24" s="37" t="n">
        <v>23485.57</v>
      </c>
      <c r="AA24" s="18" t="n">
        <v>19298.37</v>
      </c>
      <c r="AB24" s="19" t="n">
        <v>19841.07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계약부채</t>
        </is>
      </c>
      <c r="E25" s="18" t="n">
        <v>4900.41</v>
      </c>
      <c r="F25" s="37" t="n">
        <v>4900.41</v>
      </c>
      <c r="G25" s="18" t="n">
        <v>4674.3</v>
      </c>
      <c r="H25" s="18" t="n">
        <v>4557.15</v>
      </c>
      <c r="I25" s="18" t="n">
        <v>4988.83</v>
      </c>
      <c r="J25" s="18" t="n">
        <v>4351.07</v>
      </c>
      <c r="K25" s="37" t="n">
        <v>4351.07</v>
      </c>
      <c r="L25" s="18" t="n">
        <v>5377.35</v>
      </c>
      <c r="M25" s="18" t="n">
        <v>4443.56</v>
      </c>
      <c r="N25" s="18" t="n">
        <v>3722.64</v>
      </c>
      <c r="O25" s="18" t="n">
        <v>5689.52</v>
      </c>
      <c r="P25" s="37" t="n">
        <v>5689.52</v>
      </c>
      <c r="Q25" s="18" t="n">
        <v>7267.02</v>
      </c>
      <c r="R25" s="18" t="n">
        <v>5979.39</v>
      </c>
      <c r="S25" s="18" t="n">
        <v>5761</v>
      </c>
      <c r="T25" s="18" t="n">
        <v>6228.13</v>
      </c>
      <c r="U25" s="37" t="n">
        <v>6228.13</v>
      </c>
      <c r="V25" s="18" t="n">
        <v>9234.25</v>
      </c>
      <c r="W25" s="18" t="n">
        <v>10602.03</v>
      </c>
      <c r="X25" s="18" t="n">
        <v>11103.29</v>
      </c>
      <c r="Y25" s="18" t="n">
        <v>11756.31</v>
      </c>
      <c r="Z25" s="37" t="n">
        <v>11756.31</v>
      </c>
      <c r="AA25" s="18" t="n">
        <v>15622.42</v>
      </c>
      <c r="AB25" s="19" t="n">
        <v>14082.87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단기차입금</t>
        </is>
      </c>
      <c r="E26" s="18" t="n">
        <v>5900</v>
      </c>
      <c r="F26" s="37" t="n">
        <v>5900</v>
      </c>
      <c r="G26" s="18" t="n">
        <v>5765</v>
      </c>
      <c r="H26" s="18" t="n">
        <v>5765</v>
      </c>
      <c r="I26" s="18" t="n">
        <v>5765</v>
      </c>
      <c r="J26" s="18" t="n">
        <v>5000</v>
      </c>
      <c r="K26" s="37" t="n">
        <v>5000</v>
      </c>
      <c r="L26" s="18" t="n">
        <v>23000</v>
      </c>
      <c r="M26" s="18" t="n">
        <v>23000</v>
      </c>
      <c r="N26" s="18" t="n">
        <v>23000</v>
      </c>
      <c r="O26" s="18" t="n">
        <v>23000</v>
      </c>
      <c r="P26" s="37" t="n">
        <v>23000</v>
      </c>
      <c r="Q26" s="18" t="n">
        <v>23000</v>
      </c>
      <c r="R26" s="18" t="n">
        <v>52000</v>
      </c>
      <c r="S26" s="18" t="n">
        <v>47000</v>
      </c>
      <c r="T26" s="18" t="n">
        <v>44000</v>
      </c>
      <c r="U26" s="37" t="n">
        <v>44000</v>
      </c>
      <c r="V26" s="18" t="n">
        <v>44000</v>
      </c>
      <c r="W26" s="18" t="n">
        <v>40000</v>
      </c>
      <c r="X26" s="18" t="n">
        <v>40000</v>
      </c>
      <c r="Y26" s="18" t="n">
        <v>40000</v>
      </c>
      <c r="Z26" s="37" t="n">
        <v>40000</v>
      </c>
      <c r="AA26" s="18" t="n">
        <v>40000</v>
      </c>
      <c r="AB26" s="19" t="n">
        <v>25000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기타유동부채</t>
        </is>
      </c>
      <c r="E27" s="18" t="n">
        <v>986</v>
      </c>
      <c r="F27" s="37" t="n">
        <v>986</v>
      </c>
      <c r="G27" s="18" t="n">
        <v>1377.76</v>
      </c>
      <c r="H27" s="18" t="n">
        <v>1414.86</v>
      </c>
      <c r="I27" s="18" t="n">
        <v>1083.84</v>
      </c>
      <c r="J27" s="18" t="n">
        <v>936.86</v>
      </c>
      <c r="K27" s="37" t="n">
        <v>936.86</v>
      </c>
      <c r="L27" s="18" t="n">
        <v>3008.3</v>
      </c>
      <c r="M27" s="18" t="n">
        <v>828.14</v>
      </c>
      <c r="N27" s="18" t="n">
        <v>835.33</v>
      </c>
      <c r="O27" s="18" t="n">
        <v>1138.02</v>
      </c>
      <c r="P27" s="37" t="n">
        <v>1138.02</v>
      </c>
      <c r="Q27" s="18" t="n">
        <v>3170.31</v>
      </c>
      <c r="R27" s="18" t="n">
        <v>541.34</v>
      </c>
      <c r="S27" s="18" t="n">
        <v>802.53</v>
      </c>
      <c r="T27" s="18" t="n">
        <v>1029.97</v>
      </c>
      <c r="U27" s="37" t="n">
        <v>1029.97</v>
      </c>
      <c r="V27" s="18" t="n">
        <v>5384.53</v>
      </c>
      <c r="W27" s="18" t="n">
        <v>878.22</v>
      </c>
      <c r="X27" s="18" t="n">
        <v>1717.96</v>
      </c>
      <c r="Y27" s="18" t="n">
        <v>1636.31</v>
      </c>
      <c r="Z27" s="37" t="n">
        <v>1636.31</v>
      </c>
      <c r="AA27" s="18" t="n">
        <v>710.64</v>
      </c>
      <c r="AB27" s="19" t="n">
        <v>894.95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단기충당부채</t>
        </is>
      </c>
      <c r="E28" s="18" t="n">
        <v>2199.66</v>
      </c>
      <c r="F28" s="37" t="n">
        <v>2199.66</v>
      </c>
      <c r="G28" s="18" t="n">
        <v>2056.91</v>
      </c>
      <c r="H28" s="18" t="n">
        <v>657.3</v>
      </c>
      <c r="I28" s="18" t="n">
        <v>535.8099999999999</v>
      </c>
      <c r="J28" s="18" t="n">
        <v>418.05</v>
      </c>
      <c r="K28" s="37" t="n">
        <v>418.05</v>
      </c>
      <c r="L28" s="18" t="n">
        <v>345.17</v>
      </c>
      <c r="M28" s="18" t="n">
        <v>243.4</v>
      </c>
      <c r="N28" s="18" t="n">
        <v>245.07</v>
      </c>
      <c r="O28" s="18" t="n">
        <v>2853.47</v>
      </c>
      <c r="P28" s="37" t="n">
        <v>2853.47</v>
      </c>
      <c r="Q28" s="18" t="n">
        <v>2962.17</v>
      </c>
      <c r="R28" s="18" t="n">
        <v>1725.42</v>
      </c>
      <c r="S28" s="18" t="n">
        <v>2444.41</v>
      </c>
      <c r="T28" s="18" t="n">
        <v>1679.47</v>
      </c>
      <c r="U28" s="37" t="n">
        <v>1679.47</v>
      </c>
      <c r="V28" s="18" t="n">
        <v>1639.12</v>
      </c>
      <c r="W28" s="18" t="n">
        <v>1702.89</v>
      </c>
      <c r="X28" s="18" t="n">
        <v>4046.77</v>
      </c>
      <c r="Y28" s="18" t="n">
        <v>2240.5</v>
      </c>
      <c r="Z28" s="37" t="n">
        <v>2240.5</v>
      </c>
      <c r="AA28" s="18" t="n">
        <v>1368.77</v>
      </c>
      <c r="AB28" s="19" t="n">
        <v>1309.19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당기법인세부채(미지급법인세)</t>
        </is>
      </c>
      <c r="E29" s="18" t="n">
        <v>160.44</v>
      </c>
      <c r="F29" s="37" t="n">
        <v>160.44</v>
      </c>
      <c r="G29" s="18" t="n">
        <v>341.14</v>
      </c>
      <c r="H29" s="18" t="n">
        <v>561.38</v>
      </c>
      <c r="I29" s="18" t="n">
        <v>369.04</v>
      </c>
      <c r="J29" s="18" t="n">
        <v>424.08</v>
      </c>
      <c r="K29" s="37" t="n">
        <v>424.08</v>
      </c>
      <c r="L29" s="18" t="n">
        <v>239.73</v>
      </c>
      <c r="M29" s="18" t="n">
        <v>216.73</v>
      </c>
      <c r="N29" s="18" t="n">
        <v>283.44</v>
      </c>
      <c r="O29" s="18" t="n">
        <v>310.28</v>
      </c>
      <c r="P29" s="37" t="n">
        <v>310.28</v>
      </c>
      <c r="Q29" s="18" t="n">
        <v>557.96</v>
      </c>
      <c r="R29" s="18" t="n">
        <v>350.92</v>
      </c>
      <c r="S29" s="18" t="n">
        <v>2122.8</v>
      </c>
      <c r="T29" s="18" t="n">
        <v>1793.28</v>
      </c>
      <c r="U29" s="37" t="n">
        <v>1793.28</v>
      </c>
      <c r="V29" s="18" t="n">
        <v>2748.82</v>
      </c>
      <c r="W29" s="18" t="n">
        <v>3915.21</v>
      </c>
      <c r="X29" s="18" t="n">
        <v>5816.71</v>
      </c>
      <c r="Y29" s="18" t="n">
        <v>5476.63</v>
      </c>
      <c r="Z29" s="37" t="n">
        <v>5476.63</v>
      </c>
      <c r="AA29" s="18" t="n">
        <v>4802.02</v>
      </c>
      <c r="AB29" s="19" t="n">
        <v>3460.37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유동리스부채</t>
        </is>
      </c>
      <c r="E30" s="18" t="n">
        <v>36.6</v>
      </c>
      <c r="F30" s="37" t="n">
        <v>36.6</v>
      </c>
      <c r="G30" s="18" t="n">
        <v>35.02</v>
      </c>
      <c r="H30" s="18" t="n">
        <v>28.42</v>
      </c>
      <c r="I30" s="18" t="n">
        <v>25.72</v>
      </c>
      <c r="J30" s="18" t="n">
        <v>6.15</v>
      </c>
      <c r="K30" s="37" t="n">
        <v>6.15</v>
      </c>
      <c r="L30" s="18" t="n">
        <v>461.05</v>
      </c>
      <c r="M30" s="18" t="n">
        <v>466.24</v>
      </c>
      <c r="N30" s="18" t="n">
        <v>473.48</v>
      </c>
      <c r="O30" s="18" t="n">
        <v>480.84</v>
      </c>
      <c r="P30" s="37" t="n">
        <v>480.84</v>
      </c>
      <c r="Q30" s="18" t="n">
        <v>488.3</v>
      </c>
      <c r="R30" s="18" t="n">
        <v>495.89</v>
      </c>
      <c r="S30" s="18" t="n">
        <v>503.59</v>
      </c>
      <c r="T30" s="18" t="n">
        <v>511.41</v>
      </c>
      <c r="U30" s="37" t="n">
        <v>511.41</v>
      </c>
      <c r="V30" s="18" t="n">
        <v>398.73</v>
      </c>
      <c r="W30" s="18" t="n">
        <v>284.3</v>
      </c>
      <c r="X30" s="18" t="n">
        <v>168.1</v>
      </c>
      <c r="Y30" s="18" t="n">
        <v>42.55</v>
      </c>
      <c r="Z30" s="37" t="n">
        <v>42.55</v>
      </c>
      <c r="AA30" s="18" t="n">
        <v>30.32</v>
      </c>
      <c r="AB30" s="19" t="n">
        <v>17.89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리스부채</t>
        </is>
      </c>
      <c r="E31" s="18" t="n">
        <v>48.44</v>
      </c>
      <c r="F31" s="37" t="n">
        <v>48.44</v>
      </c>
      <c r="G31" s="18" t="n">
        <v>38.48</v>
      </c>
      <c r="H31" s="18" t="n">
        <v>28.42</v>
      </c>
      <c r="I31" s="18" t="n">
        <v>25.72</v>
      </c>
      <c r="J31" s="18" t="n">
        <v>181.71</v>
      </c>
      <c r="K31" s="37" t="n">
        <v>181.71</v>
      </c>
      <c r="L31" s="18" t="n">
        <v>1378.4</v>
      </c>
      <c r="M31" s="18" t="n">
        <v>1264.32</v>
      </c>
      <c r="N31" s="18" t="n">
        <v>1150.44</v>
      </c>
      <c r="O31" s="18" t="n">
        <v>1034.8</v>
      </c>
      <c r="P31" s="37" t="n">
        <v>1034.8</v>
      </c>
      <c r="Q31" s="18" t="n">
        <v>917.35</v>
      </c>
      <c r="R31" s="18" t="n">
        <v>798.09</v>
      </c>
      <c r="S31" s="18" t="n">
        <v>676.97</v>
      </c>
      <c r="T31" s="18" t="n">
        <v>553.96</v>
      </c>
      <c r="U31" s="37" t="n">
        <v>553.96</v>
      </c>
      <c r="V31" s="18" t="n">
        <v>429.05</v>
      </c>
      <c r="W31" s="18" t="n">
        <v>302.19</v>
      </c>
      <c r="X31" s="18" t="n">
        <v>173.38</v>
      </c>
      <c r="Y31" s="18" t="n">
        <v>42.55</v>
      </c>
      <c r="Z31" s="37" t="n">
        <v>42.55</v>
      </c>
      <c r="AA31" s="18" t="n">
        <v>30.32</v>
      </c>
      <c r="AB31" s="19" t="n">
        <v>17.89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단기금융부채</t>
        </is>
      </c>
      <c r="E32" s="18" t="n">
        <v>36.6</v>
      </c>
      <c r="F32" s="37" t="n">
        <v>36.6</v>
      </c>
      <c r="G32" s="18" t="n">
        <v>35.02</v>
      </c>
      <c r="H32" s="18" t="n">
        <v>28.42</v>
      </c>
      <c r="I32" s="18" t="n">
        <v>25.72</v>
      </c>
      <c r="J32" s="18" t="n">
        <v>6.15</v>
      </c>
      <c r="K32" s="37" t="n">
        <v>6.15</v>
      </c>
      <c r="L32" s="18" t="n">
        <v>461.05</v>
      </c>
      <c r="M32" s="18" t="n">
        <v>466.24</v>
      </c>
      <c r="N32" s="18" t="n">
        <v>473.48</v>
      </c>
      <c r="O32" s="18" t="n">
        <v>480.84</v>
      </c>
      <c r="P32" s="37" t="n">
        <v>480.84</v>
      </c>
      <c r="Q32" s="18" t="n">
        <v>488.3</v>
      </c>
      <c r="R32" s="18" t="n">
        <v>495.89</v>
      </c>
      <c r="S32" s="18" t="n">
        <v>503.59</v>
      </c>
      <c r="T32" s="18" t="n">
        <v>667.05</v>
      </c>
      <c r="U32" s="37" t="n">
        <v>667.05</v>
      </c>
      <c r="V32" s="18" t="n">
        <v>503.23</v>
      </c>
      <c r="W32" s="18" t="n">
        <v>284.3</v>
      </c>
      <c r="X32" s="18" t="n">
        <v>168.1</v>
      </c>
      <c r="Y32" s="18" t="n">
        <v>42.55</v>
      </c>
      <c r="Z32" s="37" t="n">
        <v>42.55</v>
      </c>
      <c r="AA32" s="18" t="n">
        <v>30.32</v>
      </c>
      <c r="AB32" s="19" t="n">
        <v>17.89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비유동부채</t>
        </is>
      </c>
      <c r="E33" s="18" t="n">
        <v>82220.78999999999</v>
      </c>
      <c r="F33" s="37" t="n">
        <v>82220.78999999999</v>
      </c>
      <c r="G33" s="18" t="n">
        <v>29574.17</v>
      </c>
      <c r="H33" s="18" t="n">
        <v>29230.75</v>
      </c>
      <c r="I33" s="18" t="n">
        <v>28901</v>
      </c>
      <c r="J33" s="18" t="n">
        <v>56727.74</v>
      </c>
      <c r="K33" s="37" t="n">
        <v>56727.74</v>
      </c>
      <c r="L33" s="18" t="n">
        <v>56777.85</v>
      </c>
      <c r="M33" s="18" t="n">
        <v>56555.13</v>
      </c>
      <c r="N33" s="18" t="n">
        <v>55126.54</v>
      </c>
      <c r="O33" s="18" t="n">
        <v>58632.3</v>
      </c>
      <c r="P33" s="37" t="n">
        <v>58632.3</v>
      </c>
      <c r="Q33" s="18" t="n">
        <v>57806.73</v>
      </c>
      <c r="R33" s="18" t="n">
        <v>30128.89</v>
      </c>
      <c r="S33" s="18" t="n">
        <v>30158.06</v>
      </c>
      <c r="T33" s="18" t="n">
        <v>26567.41</v>
      </c>
      <c r="U33" s="37" t="n">
        <v>26567.41</v>
      </c>
      <c r="V33" s="18" t="n">
        <v>26478.03</v>
      </c>
      <c r="W33" s="18" t="n">
        <v>27122.53</v>
      </c>
      <c r="X33" s="18" t="n">
        <v>27969.52</v>
      </c>
      <c r="Y33" s="18" t="n">
        <v>27916.98</v>
      </c>
      <c r="Z33" s="37" t="n">
        <v>27916.98</v>
      </c>
      <c r="AA33" s="18" t="n">
        <v>28562.71</v>
      </c>
      <c r="AB33" s="19" t="n">
        <v>28056.35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확정급여부채</t>
        </is>
      </c>
      <c r="E34" s="18" t="n">
        <v>8088.23</v>
      </c>
      <c r="F34" s="37" t="n">
        <v>8088.23</v>
      </c>
      <c r="G34" s="18" t="n">
        <v>8344.35</v>
      </c>
      <c r="H34" s="18" t="n">
        <v>8393.09</v>
      </c>
      <c r="I34" s="18" t="n">
        <v>8448.76</v>
      </c>
      <c r="J34" s="18" t="n">
        <v>7515.61</v>
      </c>
      <c r="K34" s="37" t="n">
        <v>7515.61</v>
      </c>
      <c r="L34" s="18" t="n">
        <v>7786.79</v>
      </c>
      <c r="M34" s="18" t="n">
        <v>8083.58</v>
      </c>
      <c r="N34" s="18" t="n">
        <v>8379.49</v>
      </c>
      <c r="O34" s="18" t="n">
        <v>11902.59</v>
      </c>
      <c r="P34" s="37" t="n">
        <v>11902.59</v>
      </c>
      <c r="Q34" s="18" t="n">
        <v>12191.97</v>
      </c>
      <c r="R34" s="18" t="n">
        <v>12120.43</v>
      </c>
      <c r="S34" s="18" t="n">
        <v>12261.82</v>
      </c>
      <c r="T34" s="18" t="n">
        <v>11780.77</v>
      </c>
      <c r="U34" s="37" t="n">
        <v>11780.77</v>
      </c>
      <c r="V34" s="18" t="n">
        <v>12381.84</v>
      </c>
      <c r="W34" s="18" t="n">
        <v>11923.64</v>
      </c>
      <c r="X34" s="18" t="n">
        <v>12472.22</v>
      </c>
      <c r="Y34" s="18" t="n">
        <v>10238.08</v>
      </c>
      <c r="Z34" s="37" t="n">
        <v>10238.08</v>
      </c>
      <c r="AA34" s="18" t="n">
        <v>10733.67</v>
      </c>
      <c r="AB34" s="19" t="n">
        <v>9236.799999999999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장기매입채무및기타채무</t>
        </is>
      </c>
      <c r="E35" s="18" t="n">
        <v>3589.38</v>
      </c>
      <c r="F35" s="37" t="n">
        <v>3589.38</v>
      </c>
      <c r="G35" s="18" t="n">
        <v>3108.69</v>
      </c>
      <c r="H35" s="18" t="n">
        <v>3137.13</v>
      </c>
      <c r="I35" s="18" t="n">
        <v>3165.83</v>
      </c>
      <c r="J35" s="18" t="n">
        <v>2878.82</v>
      </c>
      <c r="K35" s="37" t="n">
        <v>2878.82</v>
      </c>
      <c r="L35" s="18" t="n">
        <v>2421.25</v>
      </c>
      <c r="M35" s="18" t="n">
        <v>2459.98</v>
      </c>
      <c r="N35" s="18" t="n">
        <v>2501.9</v>
      </c>
      <c r="O35" s="18" t="n">
        <v>2786.31</v>
      </c>
      <c r="P35" s="37" t="n">
        <v>2786.31</v>
      </c>
      <c r="Q35" s="18" t="n">
        <v>2290.75</v>
      </c>
      <c r="R35" s="18" t="n">
        <v>2311.26</v>
      </c>
      <c r="S35" s="18" t="n">
        <v>2336.72</v>
      </c>
      <c r="T35" s="18" t="n">
        <v>3520.76</v>
      </c>
      <c r="U35" s="37" t="n">
        <v>3520.76</v>
      </c>
      <c r="V35" s="18" t="n">
        <v>3028.58</v>
      </c>
      <c r="W35" s="18" t="n">
        <v>2760.4</v>
      </c>
      <c r="X35" s="18" t="n">
        <v>2640.9</v>
      </c>
      <c r="Y35" s="18" t="n">
        <v>2520.09</v>
      </c>
      <c r="Z35" s="37" t="n">
        <v>2520.09</v>
      </c>
      <c r="AA35" s="18" t="n">
        <v>1867.94</v>
      </c>
      <c r="AB35" s="19" t="n">
        <v>1739.68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장기차입금</t>
        </is>
      </c>
      <c r="E36" s="18" t="n">
        <v>54702.03</v>
      </c>
      <c r="F36" s="37" t="n">
        <v>54702.03</v>
      </c>
      <c r="G36" s="18" t="n">
        <v>2286.28</v>
      </c>
      <c r="H36" s="18" t="n">
        <v>1867.04</v>
      </c>
      <c r="I36" s="18" t="n">
        <v>1450.81</v>
      </c>
      <c r="J36" s="18" t="n">
        <v>31028.39</v>
      </c>
      <c r="K36" s="37" t="n">
        <v>31028.39</v>
      </c>
      <c r="L36" s="18" t="n">
        <v>30591.1</v>
      </c>
      <c r="M36" s="18" t="n">
        <v>30148.72</v>
      </c>
      <c r="N36" s="18" t="n">
        <v>28500</v>
      </c>
      <c r="O36" s="18" t="n">
        <v>28000</v>
      </c>
      <c r="P36" s="37" t="n">
        <v>28000</v>
      </c>
      <c r="Q36" s="18" t="n">
        <v>27500</v>
      </c>
      <c r="R36" s="18" t="n">
        <v>0</v>
      </c>
      <c r="S36" s="18" t="n">
        <v>0</v>
      </c>
      <c r="T36" s="18" t="n">
        <v>0</v>
      </c>
      <c r="U36" s="37" t="n">
        <v>0</v>
      </c>
      <c r="Y36" s="18" t="n">
        <v>0</v>
      </c>
      <c r="Z36" s="37" t="n">
        <v>0</v>
      </c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비유동리스부채</t>
        </is>
      </c>
      <c r="E37" s="18" t="n">
        <v>11.84</v>
      </c>
      <c r="F37" s="37" t="n">
        <v>11.84</v>
      </c>
      <c r="G37" s="18" t="n">
        <v>3.46</v>
      </c>
      <c r="H37" s="18" t="n">
        <v>0</v>
      </c>
      <c r="I37" s="18" t="n">
        <v>0</v>
      </c>
      <c r="J37" s="18" t="n">
        <v>175.56</v>
      </c>
      <c r="K37" s="37" t="n">
        <v>175.56</v>
      </c>
      <c r="L37" s="18" t="n">
        <v>917.35</v>
      </c>
      <c r="M37" s="18" t="n">
        <v>798.08</v>
      </c>
      <c r="N37" s="18" t="n">
        <v>676.96</v>
      </c>
      <c r="O37" s="18" t="n">
        <v>553.96</v>
      </c>
      <c r="P37" s="37" t="n">
        <v>553.96</v>
      </c>
      <c r="Q37" s="18" t="n">
        <v>429.05</v>
      </c>
      <c r="R37" s="18" t="n">
        <v>302.2</v>
      </c>
      <c r="S37" s="18" t="n">
        <v>173.38</v>
      </c>
      <c r="T37" s="18" t="n">
        <v>42.55</v>
      </c>
      <c r="U37" s="37" t="n">
        <v>42.55</v>
      </c>
      <c r="V37" s="18" t="n">
        <v>30.32</v>
      </c>
      <c r="W37" s="18" t="n">
        <v>17.89</v>
      </c>
      <c r="X37" s="18" t="n">
        <v>5.28</v>
      </c>
      <c r="Y37" s="18" t="n">
        <v>0</v>
      </c>
      <c r="Z37" s="37" t="n">
        <v>0</v>
      </c>
      <c r="AB37" s="5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장기금융부채</t>
        </is>
      </c>
      <c r="E38" s="18" t="n">
        <v>11.84</v>
      </c>
      <c r="F38" s="37" t="n">
        <v>11.84</v>
      </c>
      <c r="G38" s="18" t="n">
        <v>3.46</v>
      </c>
      <c r="H38" s="18" t="n">
        <v>0</v>
      </c>
      <c r="I38" s="18" t="n">
        <v>0</v>
      </c>
      <c r="J38" s="18" t="n">
        <v>175.56</v>
      </c>
      <c r="K38" s="37" t="n">
        <v>175.56</v>
      </c>
      <c r="L38" s="18" t="n">
        <v>917.35</v>
      </c>
      <c r="M38" s="18" t="n">
        <v>798.08</v>
      </c>
      <c r="N38" s="18" t="n">
        <v>676.96</v>
      </c>
      <c r="O38" s="18" t="n">
        <v>553.96</v>
      </c>
      <c r="P38" s="37" t="n">
        <v>553.96</v>
      </c>
      <c r="Q38" s="18" t="n">
        <v>429.05</v>
      </c>
      <c r="R38" s="18" t="n">
        <v>302.2</v>
      </c>
      <c r="S38" s="18" t="n">
        <v>173.38</v>
      </c>
      <c r="T38" s="18" t="n">
        <v>42.55</v>
      </c>
      <c r="U38" s="37" t="n">
        <v>42.55</v>
      </c>
      <c r="V38" s="18" t="n">
        <v>30.32</v>
      </c>
      <c r="W38" s="18" t="n">
        <v>17.89</v>
      </c>
      <c r="X38" s="18" t="n">
        <v>5.28</v>
      </c>
      <c r="Y38" s="18" t="n">
        <v>0</v>
      </c>
      <c r="Z38" s="37" t="n">
        <v>0</v>
      </c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기타비유동부채</t>
        </is>
      </c>
      <c r="E39" s="18" t="n">
        <v>120.96</v>
      </c>
      <c r="F39" s="37" t="n">
        <v>120.96</v>
      </c>
      <c r="G39" s="18" t="n">
        <v>123.06</v>
      </c>
      <c r="H39" s="18" t="n">
        <v>125.16</v>
      </c>
      <c r="I39" s="18" t="n">
        <v>127.25</v>
      </c>
      <c r="J39" s="18" t="n">
        <v>135.02</v>
      </c>
      <c r="K39" s="37" t="n">
        <v>135.02</v>
      </c>
      <c r="L39" s="18" t="n">
        <v>138.44</v>
      </c>
      <c r="M39" s="18" t="n">
        <v>141.85</v>
      </c>
      <c r="N39" s="18" t="n">
        <v>145.26</v>
      </c>
      <c r="O39" s="18" t="n">
        <v>729.65</v>
      </c>
      <c r="P39" s="37" t="n">
        <v>729.65</v>
      </c>
      <c r="Q39" s="18" t="n">
        <v>735.1799999999999</v>
      </c>
      <c r="R39" s="18" t="n">
        <v>735.2</v>
      </c>
      <c r="S39" s="18" t="n">
        <v>726.35</v>
      </c>
      <c r="T39" s="18" t="n">
        <v>596.98</v>
      </c>
      <c r="U39" s="37" t="n">
        <v>596.98</v>
      </c>
      <c r="V39" s="18" t="n">
        <v>565</v>
      </c>
      <c r="W39" s="18" t="n">
        <v>560.63</v>
      </c>
      <c r="X39" s="18" t="n">
        <v>566.38</v>
      </c>
      <c r="Y39" s="18" t="n">
        <v>710.0599999999999</v>
      </c>
      <c r="Z39" s="37" t="n">
        <v>710.0599999999999</v>
      </c>
      <c r="AA39" s="18" t="n">
        <v>671.87</v>
      </c>
      <c r="AB39" s="19" t="n">
        <v>659.3099999999999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이연법인세부채</t>
        </is>
      </c>
      <c r="E40" s="18" t="n">
        <v>15708.34</v>
      </c>
      <c r="F40" s="37" t="n">
        <v>15708.34</v>
      </c>
      <c r="G40" s="18" t="n">
        <v>15708.34</v>
      </c>
      <c r="H40" s="18" t="n">
        <v>15708.34</v>
      </c>
      <c r="I40" s="18" t="n">
        <v>15708.34</v>
      </c>
      <c r="J40" s="18" t="n">
        <v>14994.32</v>
      </c>
      <c r="K40" s="37" t="n">
        <v>14994.32</v>
      </c>
      <c r="L40" s="18" t="n">
        <v>14922.92</v>
      </c>
      <c r="M40" s="18" t="n">
        <v>14922.92</v>
      </c>
      <c r="N40" s="18" t="n">
        <v>14922.92</v>
      </c>
      <c r="O40" s="18" t="n">
        <v>14659.79</v>
      </c>
      <c r="P40" s="37" t="n">
        <v>14659.79</v>
      </c>
      <c r="Q40" s="18" t="n">
        <v>14659.79</v>
      </c>
      <c r="R40" s="18" t="n">
        <v>14659.79</v>
      </c>
      <c r="S40" s="18" t="n">
        <v>14659.79</v>
      </c>
      <c r="T40" s="18" t="n">
        <v>10626.34</v>
      </c>
      <c r="U40" s="37" t="n">
        <v>10626.34</v>
      </c>
      <c r="V40" s="18" t="n">
        <v>10472.29</v>
      </c>
      <c r="W40" s="18" t="n">
        <v>11859.97</v>
      </c>
      <c r="X40" s="18" t="n">
        <v>12284.74</v>
      </c>
      <c r="Y40" s="18" t="n">
        <v>14448.75</v>
      </c>
      <c r="Z40" s="37" t="n">
        <v>14448.75</v>
      </c>
      <c r="AA40" s="18" t="n">
        <v>15289.24</v>
      </c>
      <c r="AB40" s="19" t="n">
        <v>16420.56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부채총계</t>
        </is>
      </c>
      <c r="E41" s="18" t="n">
        <v>111448.02</v>
      </c>
      <c r="F41" s="37" t="n">
        <v>111448.02</v>
      </c>
      <c r="G41" s="18" t="n">
        <v>109107.42</v>
      </c>
      <c r="H41" s="18" t="n">
        <v>106240.48</v>
      </c>
      <c r="I41" s="18" t="n">
        <v>103539.07</v>
      </c>
      <c r="J41" s="18" t="n">
        <v>102050.74</v>
      </c>
      <c r="K41" s="37" t="n">
        <v>102050.74</v>
      </c>
      <c r="L41" s="18" t="n">
        <v>105412.96</v>
      </c>
      <c r="M41" s="18" t="n">
        <v>104327.78</v>
      </c>
      <c r="N41" s="18" t="n">
        <v>102141.34</v>
      </c>
      <c r="O41" s="18" t="n">
        <v>110922.42</v>
      </c>
      <c r="P41" s="37" t="n">
        <v>110922.42</v>
      </c>
      <c r="Q41" s="18" t="n">
        <v>115662.55</v>
      </c>
      <c r="R41" s="18" t="n">
        <v>112919.35</v>
      </c>
      <c r="S41" s="18" t="n">
        <v>108241.16</v>
      </c>
      <c r="T41" s="18" t="n">
        <v>105554.68</v>
      </c>
      <c r="U41" s="37" t="n">
        <v>105554.68</v>
      </c>
      <c r="V41" s="18" t="n">
        <v>109638.5</v>
      </c>
      <c r="W41" s="18" t="n">
        <v>104812.66</v>
      </c>
      <c r="X41" s="18" t="n">
        <v>110711.23</v>
      </c>
      <c r="Y41" s="18" t="n">
        <v>112554.86</v>
      </c>
      <c r="Z41" s="37" t="n">
        <v>112554.86</v>
      </c>
      <c r="AA41" s="18" t="n">
        <v>110395.25</v>
      </c>
      <c r="AB41" s="19" t="n">
        <v>92662.69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지배주주지분</t>
        </is>
      </c>
      <c r="E42" s="18" t="n">
        <v>75236.71000000001</v>
      </c>
      <c r="F42" s="37" t="n">
        <v>75236.71000000001</v>
      </c>
      <c r="G42" s="18" t="n">
        <v>76415.31</v>
      </c>
      <c r="H42" s="18" t="n">
        <v>82556.84</v>
      </c>
      <c r="I42" s="18" t="n">
        <v>83923.7</v>
      </c>
      <c r="J42" s="18" t="n">
        <v>84800.39</v>
      </c>
      <c r="K42" s="37" t="n">
        <v>84800.39</v>
      </c>
      <c r="L42" s="18" t="n">
        <v>84770.02</v>
      </c>
      <c r="M42" s="18" t="n">
        <v>89177.3</v>
      </c>
      <c r="N42" s="18" t="n">
        <v>91736.50999999999</v>
      </c>
      <c r="O42" s="18" t="n">
        <v>86882.03999999999</v>
      </c>
      <c r="P42" s="37" t="n">
        <v>86882.03999999999</v>
      </c>
      <c r="Q42" s="18" t="n">
        <v>88695.49000000001</v>
      </c>
      <c r="R42" s="18" t="n">
        <v>95365.06</v>
      </c>
      <c r="S42" s="18" t="n">
        <v>103361.41</v>
      </c>
      <c r="T42" s="18" t="n">
        <v>110132.17</v>
      </c>
      <c r="U42" s="37" t="n">
        <v>110132.17</v>
      </c>
      <c r="V42" s="18" t="n">
        <v>112499.39</v>
      </c>
      <c r="W42" s="18" t="n">
        <v>116515.05</v>
      </c>
      <c r="X42" s="18" t="n">
        <v>122441.14</v>
      </c>
      <c r="Y42" s="18" t="n">
        <v>125352.96</v>
      </c>
      <c r="Z42" s="37" t="n">
        <v>125352.96</v>
      </c>
      <c r="AA42" s="18" t="n">
        <v>131613.52</v>
      </c>
      <c r="AB42" s="19" t="n">
        <v>138502.85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자본금</t>
        </is>
      </c>
      <c r="E43" s="18" t="n">
        <v>22786.83</v>
      </c>
      <c r="F43" s="37" t="n">
        <v>22786.83</v>
      </c>
      <c r="G43" s="18" t="n">
        <v>22786.83</v>
      </c>
      <c r="H43" s="18" t="n">
        <v>22786.83</v>
      </c>
      <c r="I43" s="18" t="n">
        <v>22786.83</v>
      </c>
      <c r="J43" s="18" t="n">
        <v>22786.83</v>
      </c>
      <c r="K43" s="37" t="n">
        <v>22786.83</v>
      </c>
      <c r="L43" s="18" t="n">
        <v>22786.83</v>
      </c>
      <c r="M43" s="18" t="n">
        <v>22786.83</v>
      </c>
      <c r="N43" s="18" t="n">
        <v>22786.83</v>
      </c>
      <c r="O43" s="18" t="n">
        <v>22786.83</v>
      </c>
      <c r="P43" s="37" t="n">
        <v>22786.83</v>
      </c>
      <c r="Q43" s="18" t="n">
        <v>22786.83</v>
      </c>
      <c r="R43" s="18" t="n">
        <v>22786.83</v>
      </c>
      <c r="S43" s="18" t="n">
        <v>22786.83</v>
      </c>
      <c r="T43" s="18" t="n">
        <v>22786.83</v>
      </c>
      <c r="U43" s="37" t="n">
        <v>22786.83</v>
      </c>
      <c r="V43" s="18" t="n">
        <v>22786.83</v>
      </c>
      <c r="W43" s="18" t="n">
        <v>22786.83</v>
      </c>
      <c r="X43" s="18" t="n">
        <v>22786.83</v>
      </c>
      <c r="Y43" s="18" t="n">
        <v>22786.83</v>
      </c>
      <c r="Z43" s="37" t="n">
        <v>22786.83</v>
      </c>
      <c r="AA43" s="18" t="n">
        <v>22786.83</v>
      </c>
      <c r="AB43" s="19" t="n">
        <v>22786.83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보통주자본금</t>
        </is>
      </c>
      <c r="E44" s="18" t="n">
        <v>22786.83</v>
      </c>
      <c r="F44" s="37" t="n">
        <v>22786.83</v>
      </c>
      <c r="G44" s="18" t="n">
        <v>22786.83</v>
      </c>
      <c r="H44" s="18" t="n">
        <v>22786.83</v>
      </c>
      <c r="I44" s="18" t="n">
        <v>22786.83</v>
      </c>
      <c r="J44" s="18" t="n">
        <v>22786.83</v>
      </c>
      <c r="K44" s="37" t="n">
        <v>22786.83</v>
      </c>
      <c r="L44" s="18" t="n">
        <v>22786.83</v>
      </c>
      <c r="M44" s="18" t="n">
        <v>22786.83</v>
      </c>
      <c r="N44" s="18" t="n">
        <v>22786.83</v>
      </c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우선주자본금</t>
        </is>
      </c>
      <c r="E45" s="18" t="n">
        <v>0</v>
      </c>
      <c r="F45" s="37" t="n">
        <v>0</v>
      </c>
      <c r="J45" s="18" t="n">
        <v>0</v>
      </c>
      <c r="K45" s="37" t="n">
        <v>0</v>
      </c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자본잉여금</t>
        </is>
      </c>
      <c r="E46" s="18" t="n">
        <v>1832.93</v>
      </c>
      <c r="F46" s="37" t="n">
        <v>1832.93</v>
      </c>
      <c r="G46" s="18" t="n">
        <v>1832.93</v>
      </c>
      <c r="H46" s="18" t="n">
        <v>1832.93</v>
      </c>
      <c r="I46" s="18" t="n">
        <v>1832.93</v>
      </c>
      <c r="J46" s="18" t="n">
        <v>1832.93</v>
      </c>
      <c r="K46" s="37" t="n">
        <v>1832.93</v>
      </c>
      <c r="L46" s="18" t="n">
        <v>1832.93</v>
      </c>
      <c r="M46" s="18" t="n">
        <v>1832.93</v>
      </c>
      <c r="N46" s="18" t="n">
        <v>1832.93</v>
      </c>
      <c r="O46" s="18" t="n">
        <v>1832.93</v>
      </c>
      <c r="P46" s="37" t="n">
        <v>1832.93</v>
      </c>
      <c r="Q46" s="18" t="n">
        <v>1832.93</v>
      </c>
      <c r="R46" s="18" t="n">
        <v>1832.93</v>
      </c>
      <c r="S46" s="18" t="n">
        <v>1832.93</v>
      </c>
      <c r="T46" s="18" t="n">
        <v>1832.93</v>
      </c>
      <c r="U46" s="37" t="n">
        <v>1832.93</v>
      </c>
      <c r="V46" s="18" t="n">
        <v>1832.93</v>
      </c>
      <c r="W46" s="18" t="n">
        <v>1832.93</v>
      </c>
      <c r="X46" s="18" t="n">
        <v>1832.93</v>
      </c>
      <c r="Y46" s="18" t="n">
        <v>1832.93</v>
      </c>
      <c r="Z46" s="37" t="n">
        <v>1832.93</v>
      </c>
      <c r="AA46" s="18" t="n">
        <v>1832.93</v>
      </c>
      <c r="AB46" s="19" t="n">
        <v>1832.93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기타자본</t>
        </is>
      </c>
      <c r="E47" s="18" t="n">
        <v>-12347.9</v>
      </c>
      <c r="F47" s="37" t="n">
        <v>-12347.9</v>
      </c>
      <c r="G47" s="18" t="n">
        <v>-12347.9</v>
      </c>
      <c r="H47" s="18" t="n">
        <v>-12347.9</v>
      </c>
      <c r="I47" s="18" t="n">
        <v>-12347.9</v>
      </c>
      <c r="J47" s="18" t="n">
        <v>-12347.9</v>
      </c>
      <c r="K47" s="37" t="n">
        <v>-12347.9</v>
      </c>
      <c r="L47" s="18" t="n">
        <v>-12347.9</v>
      </c>
      <c r="M47" s="18" t="n">
        <v>-12347.9</v>
      </c>
      <c r="N47" s="18" t="n">
        <v>-12347.9</v>
      </c>
      <c r="O47" s="18" t="n">
        <v>-12347.9</v>
      </c>
      <c r="P47" s="37" t="n">
        <v>-12347.9</v>
      </c>
      <c r="Q47" s="18" t="n">
        <v>-12347.9</v>
      </c>
      <c r="R47" s="18" t="n">
        <v>-12347.9</v>
      </c>
      <c r="S47" s="18" t="n">
        <v>-12347.9</v>
      </c>
      <c r="T47" s="18" t="n">
        <v>-12347.9</v>
      </c>
      <c r="U47" s="37" t="n">
        <v>-12347.9</v>
      </c>
      <c r="V47" s="18" t="n">
        <v>-12347.9</v>
      </c>
      <c r="W47" s="18" t="n">
        <v>-12347.9</v>
      </c>
      <c r="X47" s="18" t="n">
        <v>-12347.9</v>
      </c>
      <c r="Y47" s="18" t="n">
        <v>-12347.9</v>
      </c>
      <c r="Z47" s="37" t="n">
        <v>-12347.9</v>
      </c>
      <c r="AA47" s="18" t="n">
        <v>-12347.9</v>
      </c>
      <c r="AB47" s="19" t="n">
        <v>-12347.9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기타포괄이익누계액</t>
        </is>
      </c>
      <c r="E48" s="18" t="n">
        <v>26924.49</v>
      </c>
      <c r="F48" s="37" t="n">
        <v>26924.49</v>
      </c>
      <c r="G48" s="18" t="n">
        <v>26924.49</v>
      </c>
      <c r="H48" s="18" t="n">
        <v>27007.76</v>
      </c>
      <c r="I48" s="18" t="n">
        <v>27007.27</v>
      </c>
      <c r="J48" s="18" t="n">
        <v>27291.31</v>
      </c>
      <c r="K48" s="37" t="n">
        <v>27291.31</v>
      </c>
      <c r="L48" s="18" t="n">
        <v>27356.41</v>
      </c>
      <c r="M48" s="18" t="n">
        <v>27329.5</v>
      </c>
      <c r="N48" s="18" t="n">
        <v>27338.42</v>
      </c>
      <c r="O48" s="18" t="n">
        <v>27327.89</v>
      </c>
      <c r="P48" s="37" t="n">
        <v>27327.89</v>
      </c>
      <c r="Q48" s="18" t="n">
        <v>27342.12</v>
      </c>
      <c r="R48" s="18" t="n">
        <v>27357.93</v>
      </c>
      <c r="S48" s="18" t="n">
        <v>27351.93</v>
      </c>
      <c r="T48" s="18" t="n">
        <v>27417.76</v>
      </c>
      <c r="U48" s="37" t="n">
        <v>27417.76</v>
      </c>
      <c r="V48" s="18" t="n">
        <v>27420.98</v>
      </c>
      <c r="W48" s="18" t="n">
        <v>26997.91</v>
      </c>
      <c r="X48" s="18" t="n">
        <v>27058.36</v>
      </c>
      <c r="Y48" s="18" t="n">
        <v>26756.63</v>
      </c>
      <c r="Z48" s="37" t="n">
        <v>26756.63</v>
      </c>
      <c r="AA48" s="18" t="n">
        <v>26872.07</v>
      </c>
      <c r="AB48" s="19" t="n">
        <v>27000.8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이익잉여금</t>
        </is>
      </c>
      <c r="E49" s="18" t="n">
        <v>36040.35</v>
      </c>
      <c r="F49" s="37" t="n">
        <v>36040.35</v>
      </c>
      <c r="G49" s="18" t="n">
        <v>37218.95</v>
      </c>
      <c r="H49" s="18" t="n">
        <v>43277.21</v>
      </c>
      <c r="I49" s="18" t="n">
        <v>44644.56</v>
      </c>
      <c r="J49" s="18" t="n">
        <v>45237.21</v>
      </c>
      <c r="K49" s="37" t="n">
        <v>45237.21</v>
      </c>
      <c r="L49" s="18" t="n">
        <v>45141.74</v>
      </c>
      <c r="M49" s="18" t="n">
        <v>49575.93</v>
      </c>
      <c r="N49" s="18" t="n">
        <v>52126.23</v>
      </c>
      <c r="O49" s="18" t="n">
        <v>47282.29</v>
      </c>
      <c r="P49" s="37" t="n">
        <v>47282.29</v>
      </c>
      <c r="Q49" s="18" t="n">
        <v>49081.51</v>
      </c>
      <c r="R49" s="18" t="n">
        <v>55735.26</v>
      </c>
      <c r="S49" s="18" t="n">
        <v>63737.61</v>
      </c>
      <c r="T49" s="18" t="n">
        <v>70442.53999999999</v>
      </c>
      <c r="U49" s="37" t="n">
        <v>70442.53999999999</v>
      </c>
      <c r="V49" s="18" t="n">
        <v>72806.55</v>
      </c>
      <c r="W49" s="18" t="n">
        <v>77245.27</v>
      </c>
      <c r="X49" s="18" t="n">
        <v>83110.92</v>
      </c>
      <c r="Y49" s="18" t="n">
        <v>86324.47</v>
      </c>
      <c r="Z49" s="37" t="n">
        <v>86324.47</v>
      </c>
      <c r="AA49" s="18" t="n">
        <v>92469.58</v>
      </c>
      <c r="AB49" s="19" t="n">
        <v>99230.19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비지배주주지분</t>
        </is>
      </c>
      <c r="E50" s="18" t="n">
        <v>0</v>
      </c>
      <c r="F50" s="37" t="n">
        <v>0</v>
      </c>
      <c r="G50" s="18" t="n">
        <v>0</v>
      </c>
      <c r="H50" s="18" t="n">
        <v>0</v>
      </c>
      <c r="I50" s="18" t="n">
        <v>0</v>
      </c>
      <c r="J50" s="18" t="n">
        <v>0</v>
      </c>
      <c r="K50" s="37" t="n">
        <v>0</v>
      </c>
      <c r="L50" s="18" t="n">
        <v>0</v>
      </c>
      <c r="M50" s="18" t="n">
        <v>0</v>
      </c>
      <c r="N50" s="18" t="n">
        <v>0</v>
      </c>
      <c r="O50" s="18" t="n">
        <v>0</v>
      </c>
      <c r="P50" s="37" t="n">
        <v>0</v>
      </c>
      <c r="Q50" s="18" t="n">
        <v>0</v>
      </c>
      <c r="R50" s="18" t="n">
        <v>0</v>
      </c>
      <c r="S50" s="18" t="n">
        <v>0</v>
      </c>
      <c r="T50" s="18" t="n">
        <v>0</v>
      </c>
      <c r="U50" s="37" t="n">
        <v>0</v>
      </c>
      <c r="V50" s="18" t="n">
        <v>0</v>
      </c>
      <c r="W50" s="18" t="n">
        <v>0</v>
      </c>
      <c r="X50" s="18" t="n">
        <v>0</v>
      </c>
      <c r="Y50" s="18" t="n">
        <v>0</v>
      </c>
      <c r="Z50" s="37" t="n">
        <v>0</v>
      </c>
      <c r="AA50" s="18" t="n">
        <v>0</v>
      </c>
      <c r="AB50" s="19" t="n">
        <v>0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자본총계</t>
        </is>
      </c>
      <c r="E51" s="18" t="n">
        <v>75236.71000000001</v>
      </c>
      <c r="F51" s="37" t="n">
        <v>75236.71000000001</v>
      </c>
      <c r="G51" s="18" t="n">
        <v>76415.31</v>
      </c>
      <c r="H51" s="18" t="n">
        <v>82556.84</v>
      </c>
      <c r="I51" s="18" t="n">
        <v>83923.7</v>
      </c>
      <c r="J51" s="18" t="n">
        <v>84800.39</v>
      </c>
      <c r="K51" s="37" t="n">
        <v>84800.39</v>
      </c>
      <c r="L51" s="18" t="n">
        <v>84770.02</v>
      </c>
      <c r="M51" s="18" t="n">
        <v>89177.3</v>
      </c>
      <c r="N51" s="18" t="n">
        <v>91736.50999999999</v>
      </c>
      <c r="O51" s="18" t="n">
        <v>86882.03999999999</v>
      </c>
      <c r="P51" s="37" t="n">
        <v>86882.03999999999</v>
      </c>
      <c r="Q51" s="18" t="n">
        <v>88695.49000000001</v>
      </c>
      <c r="R51" s="18" t="n">
        <v>95365.06</v>
      </c>
      <c r="S51" s="18" t="n">
        <v>103361.41</v>
      </c>
      <c r="T51" s="18" t="n">
        <v>110132.17</v>
      </c>
      <c r="U51" s="37" t="n">
        <v>110132.17</v>
      </c>
      <c r="V51" s="18" t="n">
        <v>112499.39</v>
      </c>
      <c r="W51" s="18" t="n">
        <v>116515.05</v>
      </c>
      <c r="X51" s="18" t="n">
        <v>122441.14</v>
      </c>
      <c r="Y51" s="18" t="n">
        <v>125352.96</v>
      </c>
      <c r="Z51" s="37" t="n">
        <v>125352.96</v>
      </c>
      <c r="AA51" s="18" t="n">
        <v>131613.52</v>
      </c>
      <c r="AB51" s="19" t="n">
        <v>138502.85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부채와자본총계</t>
        </is>
      </c>
      <c r="E52" s="18" t="n">
        <v>186684.73</v>
      </c>
      <c r="F52" s="37" t="n">
        <v>186684.73</v>
      </c>
      <c r="G52" s="18" t="n">
        <v>185522.72</v>
      </c>
      <c r="H52" s="18" t="n">
        <v>188797.32</v>
      </c>
      <c r="I52" s="18" t="n">
        <v>187462.77</v>
      </c>
      <c r="J52" s="18" t="n">
        <v>186851.14</v>
      </c>
      <c r="K52" s="37" t="n">
        <v>186851.14</v>
      </c>
      <c r="L52" s="18" t="n">
        <v>190182.98</v>
      </c>
      <c r="M52" s="18" t="n">
        <v>193505.08</v>
      </c>
      <c r="N52" s="18" t="n">
        <v>193877.85</v>
      </c>
      <c r="O52" s="18" t="n">
        <v>197804.46</v>
      </c>
      <c r="P52" s="37" t="n">
        <v>197804.46</v>
      </c>
      <c r="Q52" s="18" t="n">
        <v>204358.04</v>
      </c>
      <c r="R52" s="18" t="n">
        <v>208284.4</v>
      </c>
      <c r="S52" s="18" t="n">
        <v>211602.57</v>
      </c>
      <c r="T52" s="18" t="n">
        <v>215686.85</v>
      </c>
      <c r="U52" s="37" t="n">
        <v>215686.85</v>
      </c>
      <c r="V52" s="18" t="n">
        <v>222137.9</v>
      </c>
      <c r="W52" s="18" t="n">
        <v>221327.71</v>
      </c>
      <c r="X52" s="18" t="n">
        <v>233152.37</v>
      </c>
      <c r="Y52" s="18" t="n">
        <v>237907.82</v>
      </c>
      <c r="Z52" s="37" t="n">
        <v>237907.82</v>
      </c>
      <c r="AA52" s="18" t="n">
        <v>242008.78</v>
      </c>
      <c r="AB52" s="19" t="n">
        <v>231165.54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총차입금</t>
        </is>
      </c>
      <c r="E53" s="18" t="n">
        <v>62234.18</v>
      </c>
      <c r="F53" s="37" t="n">
        <v>62234.18</v>
      </c>
      <c r="G53" s="18" t="n">
        <v>57197.61</v>
      </c>
      <c r="H53" s="18" t="n">
        <v>56791.76</v>
      </c>
      <c r="I53" s="18" t="n">
        <v>56384.93</v>
      </c>
      <c r="J53" s="18" t="n">
        <v>55712.44</v>
      </c>
      <c r="K53" s="37" t="n">
        <v>55712.44</v>
      </c>
      <c r="L53" s="18" t="n">
        <v>55300.1</v>
      </c>
      <c r="M53" s="18" t="n">
        <v>54881.56</v>
      </c>
      <c r="N53" s="18" t="n">
        <v>51500</v>
      </c>
      <c r="O53" s="18" t="n">
        <v>52500</v>
      </c>
      <c r="P53" s="37" t="n">
        <v>52500</v>
      </c>
      <c r="Q53" s="18" t="n">
        <v>52500</v>
      </c>
      <c r="R53" s="18" t="n">
        <v>52000</v>
      </c>
      <c r="S53" s="18" t="n">
        <v>47000</v>
      </c>
      <c r="T53" s="18" t="n">
        <v>44000</v>
      </c>
      <c r="U53" s="37" t="n">
        <v>44000</v>
      </c>
      <c r="V53" s="18" t="n">
        <v>44000</v>
      </c>
      <c r="W53" s="18" t="n">
        <v>40000</v>
      </c>
      <c r="X53" s="18" t="n">
        <v>40000</v>
      </c>
      <c r="Y53" s="18" t="n">
        <v>40000</v>
      </c>
      <c r="Z53" s="37" t="n">
        <v>40000</v>
      </c>
      <c r="AA53" s="18" t="n">
        <v>40000</v>
      </c>
      <c r="AB53" s="19" t="n">
        <v>25000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순차입금</t>
        </is>
      </c>
      <c r="E54" s="18" t="n">
        <v>43157.57</v>
      </c>
      <c r="F54" s="37" t="n">
        <v>43157.57</v>
      </c>
      <c r="G54" s="18" t="n">
        <v>39921.11</v>
      </c>
      <c r="H54" s="18" t="n">
        <v>37701.37</v>
      </c>
      <c r="I54" s="18" t="n">
        <v>36160.47</v>
      </c>
      <c r="J54" s="18" t="n">
        <v>32671.14</v>
      </c>
      <c r="K54" s="37" t="n">
        <v>32671.14</v>
      </c>
      <c r="L54" s="18" t="n">
        <v>35663.9</v>
      </c>
      <c r="M54" s="18" t="n">
        <v>30384.59</v>
      </c>
      <c r="N54" s="18" t="n">
        <v>41693.26</v>
      </c>
      <c r="O54" s="18" t="n">
        <v>40369.17</v>
      </c>
      <c r="P54" s="37" t="n">
        <v>40369.17</v>
      </c>
      <c r="Q54" s="18" t="n">
        <v>43975.31</v>
      </c>
      <c r="R54" s="18" t="n">
        <v>41622.35</v>
      </c>
      <c r="S54" s="18" t="n">
        <v>38182.79</v>
      </c>
      <c r="T54" s="18" t="n">
        <v>29247.19</v>
      </c>
      <c r="U54" s="37" t="n">
        <v>29247.19</v>
      </c>
      <c r="V54" s="18" t="n">
        <v>23811.23</v>
      </c>
      <c r="W54" s="18" t="n">
        <v>22089.17</v>
      </c>
      <c r="X54" s="18" t="n">
        <v>20045.84</v>
      </c>
      <c r="Y54" s="18" t="n">
        <v>22244.51</v>
      </c>
      <c r="Z54" s="37" t="n">
        <v>22244.51</v>
      </c>
      <c r="AA54" s="18" t="n">
        <v>18028.98</v>
      </c>
      <c r="AB54" s="19" t="n">
        <v>11512.24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이자발생자산</t>
        </is>
      </c>
      <c r="E55" s="18" t="n">
        <v>20015.84</v>
      </c>
      <c r="F55" s="37" t="n">
        <v>20015.84</v>
      </c>
      <c r="G55" s="18" t="n">
        <v>18234.19</v>
      </c>
      <c r="H55" s="18" t="n">
        <v>20046.41</v>
      </c>
      <c r="I55" s="18" t="n">
        <v>21175</v>
      </c>
      <c r="J55" s="18" t="n">
        <v>24161.15</v>
      </c>
      <c r="K55" s="37" t="n">
        <v>24161.15</v>
      </c>
      <c r="L55" s="18" t="n">
        <v>20734.34</v>
      </c>
      <c r="M55" s="18" t="n">
        <v>25590.19</v>
      </c>
      <c r="N55" s="18" t="n">
        <v>9996.139999999999</v>
      </c>
      <c r="O55" s="18" t="n">
        <v>12320.23</v>
      </c>
      <c r="P55" s="37" t="n">
        <v>12320.23</v>
      </c>
      <c r="Q55" s="18" t="n">
        <v>8714.09</v>
      </c>
      <c r="R55" s="18" t="n">
        <v>10567.05</v>
      </c>
      <c r="S55" s="18" t="n">
        <v>9006.610000000001</v>
      </c>
      <c r="T55" s="18" t="n">
        <v>14942.21</v>
      </c>
      <c r="U55" s="37" t="n">
        <v>14942.21</v>
      </c>
      <c r="V55" s="18" t="n">
        <v>20378.17</v>
      </c>
      <c r="W55" s="18" t="n">
        <v>18100.23</v>
      </c>
      <c r="X55" s="18" t="n">
        <v>20143.56</v>
      </c>
      <c r="Y55" s="18" t="n">
        <v>17944.89</v>
      </c>
      <c r="Z55" s="37" t="n">
        <v>17944.89</v>
      </c>
      <c r="AA55" s="18" t="n">
        <v>22160.42</v>
      </c>
      <c r="AB55" s="19" t="n">
        <v>13677.16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유동성장기부채</t>
        </is>
      </c>
      <c r="E56" s="18" t="n">
        <v>1632.15</v>
      </c>
      <c r="F56" s="37" t="n">
        <v>1632.15</v>
      </c>
      <c r="G56" s="18" t="n">
        <v>49146.33</v>
      </c>
      <c r="H56" s="18" t="n">
        <v>49159.72</v>
      </c>
      <c r="I56" s="18" t="n">
        <v>49169.12</v>
      </c>
      <c r="J56" s="18" t="n">
        <v>19684.05</v>
      </c>
      <c r="K56" s="37" t="n">
        <v>19684.05</v>
      </c>
      <c r="L56" s="18" t="n">
        <v>1709</v>
      </c>
      <c r="M56" s="18" t="n">
        <v>1732.84</v>
      </c>
      <c r="O56" s="18" t="n">
        <v>1500</v>
      </c>
      <c r="P56" s="37" t="n">
        <v>1500</v>
      </c>
      <c r="Q56" s="18" t="n">
        <v>2000</v>
      </c>
      <c r="R56" s="18" t="n">
        <v>0</v>
      </c>
      <c r="S56" s="18" t="n">
        <v>0</v>
      </c>
      <c r="T56" s="18" t="n">
        <v>0</v>
      </c>
      <c r="U56" s="37" t="n">
        <v>0</v>
      </c>
      <c r="Y56" s="18" t="n">
        <v>0</v>
      </c>
      <c r="Z56" s="37" t="n">
        <v>0</v>
      </c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단기금융부채(face)</t>
        </is>
      </c>
      <c r="F57" s="9" t="n"/>
      <c r="K57" s="9" t="n"/>
      <c r="N57" s="18" t="n">
        <v>23000</v>
      </c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기타유동금융자산</t>
        </is>
      </c>
      <c r="F58" s="9" t="n"/>
      <c r="K58" s="9" t="n"/>
      <c r="P58" s="9" t="n"/>
      <c r="Q58" s="18" t="n">
        <v>32.13</v>
      </c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유동파생상품자산</t>
        </is>
      </c>
      <c r="F59" s="9" t="n"/>
      <c r="K59" s="9" t="n"/>
      <c r="P59" s="9" t="n"/>
      <c r="R59" s="18" t="n">
        <v>45.08</v>
      </c>
      <c r="S59" s="18" t="n">
        <v>12.06</v>
      </c>
      <c r="U59" s="9" t="n"/>
      <c r="W59" s="18" t="n">
        <v>17.94</v>
      </c>
      <c r="X59" s="18" t="n">
        <v>1.69</v>
      </c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장기금융부채(face)</t>
        </is>
      </c>
      <c r="F60" s="9" t="n"/>
      <c r="K60" s="9" t="n"/>
      <c r="P60" s="9" t="n"/>
      <c r="S60" s="18" t="n">
        <v>0</v>
      </c>
      <c r="T60" s="18" t="n">
        <v>0</v>
      </c>
      <c r="U60" s="37" t="n">
        <v>0</v>
      </c>
      <c r="Y60" s="18" t="n">
        <v>0</v>
      </c>
      <c r="Z60" s="37" t="n">
        <v>0</v>
      </c>
      <c r="AB60" s="5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단기파생상품부채</t>
        </is>
      </c>
      <c r="F61" s="9" t="n"/>
      <c r="K61" s="9" t="n"/>
      <c r="P61" s="9" t="n"/>
      <c r="T61" s="18" t="n">
        <v>155.64</v>
      </c>
      <c r="U61" s="37" t="n">
        <v>155.64</v>
      </c>
      <c r="V61" s="18" t="n">
        <v>104.5</v>
      </c>
      <c r="W61" s="18" t="n">
        <v>0</v>
      </c>
      <c r="X61" s="18" t="n">
        <v>0</v>
      </c>
      <c r="Y61" s="18" t="n">
        <v>0</v>
      </c>
      <c r="Z61" s="37" t="n">
        <v>0</v>
      </c>
      <c r="AB61" s="5" t="n"/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매출액(수익)</t>
        </is>
      </c>
      <c r="E62" s="18" t="n">
        <v>28703.88</v>
      </c>
      <c r="F62" s="9" t="n"/>
      <c r="G62" s="18" t="n">
        <v>32359.2</v>
      </c>
      <c r="H62" s="18" t="n">
        <v>36067.54</v>
      </c>
      <c r="I62" s="18" t="n">
        <v>30491.74</v>
      </c>
      <c r="J62" s="18" t="n">
        <v>32649.54</v>
      </c>
      <c r="K62" s="37" t="n">
        <v>131568.02</v>
      </c>
      <c r="L62" s="18" t="n">
        <v>32778.49</v>
      </c>
      <c r="M62" s="18" t="n">
        <v>43012.3</v>
      </c>
      <c r="N62" s="18" t="n">
        <v>37846.16</v>
      </c>
      <c r="O62" s="18" t="n">
        <v>43895.77</v>
      </c>
      <c r="P62" s="37" t="n">
        <v>157532.72</v>
      </c>
      <c r="Q62" s="18" t="n">
        <v>43114.87</v>
      </c>
      <c r="R62" s="18" t="n">
        <v>55166.38</v>
      </c>
      <c r="S62" s="18" t="n">
        <v>52216.5</v>
      </c>
      <c r="T62" s="18" t="n">
        <v>56807.56</v>
      </c>
      <c r="U62" s="37" t="n">
        <v>207305.31</v>
      </c>
      <c r="V62" s="18" t="n">
        <v>51042.98</v>
      </c>
      <c r="W62" s="18" t="n">
        <v>51535.9</v>
      </c>
      <c r="X62" s="18" t="n">
        <v>52821.77</v>
      </c>
      <c r="Y62" s="18" t="n">
        <v>51855.12</v>
      </c>
      <c r="Z62" s="37" t="n">
        <v>207255.77</v>
      </c>
      <c r="AA62" s="18" t="n">
        <v>56445.9</v>
      </c>
      <c r="AB62" s="19" t="n">
        <v>59676.89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매출원가</t>
        </is>
      </c>
      <c r="E63" s="18" t="n">
        <v>26509.8</v>
      </c>
      <c r="F63" s="9" t="n"/>
      <c r="G63" s="18" t="n">
        <v>29068.94</v>
      </c>
      <c r="H63" s="18" t="n">
        <v>29141.37</v>
      </c>
      <c r="I63" s="18" t="n">
        <v>26719.38</v>
      </c>
      <c r="J63" s="18" t="n">
        <v>29077.43</v>
      </c>
      <c r="K63" s="37" t="n">
        <v>114007.12</v>
      </c>
      <c r="L63" s="18" t="n">
        <v>28120.59</v>
      </c>
      <c r="M63" s="18" t="n">
        <v>35754.67</v>
      </c>
      <c r="N63" s="18" t="n">
        <v>32558.75</v>
      </c>
      <c r="O63" s="18" t="n">
        <v>38407.05</v>
      </c>
      <c r="P63" s="37" t="n">
        <v>134841.06</v>
      </c>
      <c r="Q63" s="18" t="n">
        <v>36393.95</v>
      </c>
      <c r="R63" s="18" t="n">
        <v>43476.7</v>
      </c>
      <c r="S63" s="18" t="n">
        <v>39667.56</v>
      </c>
      <c r="T63" s="18" t="n">
        <v>47977.91</v>
      </c>
      <c r="U63" s="37" t="n">
        <v>167516.12</v>
      </c>
      <c r="V63" s="18" t="n">
        <v>40199.67</v>
      </c>
      <c r="W63" s="18" t="n">
        <v>42273.82</v>
      </c>
      <c r="X63" s="18" t="n">
        <v>43411.18</v>
      </c>
      <c r="Y63" s="18" t="n">
        <v>45180.91</v>
      </c>
      <c r="Z63" s="37" t="n">
        <v>171065.58</v>
      </c>
      <c r="AA63" s="18" t="n">
        <v>45437.28</v>
      </c>
      <c r="AB63" s="19" t="n">
        <v>47543.89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매출총이익</t>
        </is>
      </c>
      <c r="E64" s="18" t="n">
        <v>2194.08</v>
      </c>
      <c r="F64" s="9" t="n"/>
      <c r="G64" s="18" t="n">
        <v>3290.26</v>
      </c>
      <c r="H64" s="18" t="n">
        <v>6926.17</v>
      </c>
      <c r="I64" s="18" t="n">
        <v>3772.36</v>
      </c>
      <c r="J64" s="18" t="n">
        <v>3572.11</v>
      </c>
      <c r="K64" s="37" t="n">
        <v>17560.9</v>
      </c>
      <c r="L64" s="18" t="n">
        <v>4657.9</v>
      </c>
      <c r="M64" s="18" t="n">
        <v>7257.63</v>
      </c>
      <c r="N64" s="18" t="n">
        <v>5287.41</v>
      </c>
      <c r="O64" s="18" t="n">
        <v>5488.72</v>
      </c>
      <c r="P64" s="37" t="n">
        <v>22691.66</v>
      </c>
      <c r="Q64" s="18" t="n">
        <v>6720.92</v>
      </c>
      <c r="R64" s="18" t="n">
        <v>11689.67</v>
      </c>
      <c r="S64" s="18" t="n">
        <v>12548.94</v>
      </c>
      <c r="T64" s="18" t="n">
        <v>8829.65</v>
      </c>
      <c r="U64" s="37" t="n">
        <v>39789.18</v>
      </c>
      <c r="V64" s="18" t="n">
        <v>10843.31</v>
      </c>
      <c r="W64" s="18" t="n">
        <v>9262.08</v>
      </c>
      <c r="X64" s="18" t="n">
        <v>9410.59</v>
      </c>
      <c r="Y64" s="18" t="n">
        <v>6674.21</v>
      </c>
      <c r="Z64" s="37" t="n">
        <v>36190.19</v>
      </c>
      <c r="AA64" s="18" t="n">
        <v>11008.62</v>
      </c>
      <c r="AB64" s="19" t="n">
        <v>12133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판관비</t>
        </is>
      </c>
      <c r="E65" s="18" t="n">
        <v>2444.45</v>
      </c>
      <c r="F65" s="9" t="n"/>
      <c r="G65" s="18" t="n">
        <v>1924.13</v>
      </c>
      <c r="H65" s="18" t="n">
        <v>2055.31</v>
      </c>
      <c r="I65" s="18" t="n">
        <v>2139.68</v>
      </c>
      <c r="J65" s="18" t="n">
        <v>2261.61</v>
      </c>
      <c r="K65" s="37" t="n">
        <v>8380.73</v>
      </c>
      <c r="L65" s="18" t="n">
        <v>2165.4</v>
      </c>
      <c r="M65" s="18" t="n">
        <v>2402.78</v>
      </c>
      <c r="N65" s="18" t="n">
        <v>2277.73</v>
      </c>
      <c r="O65" s="18" t="n">
        <v>3082.37</v>
      </c>
      <c r="P65" s="37" t="n">
        <v>9928.280000000001</v>
      </c>
      <c r="Q65" s="18" t="n">
        <v>2523.25</v>
      </c>
      <c r="R65" s="18" t="n">
        <v>4798.82</v>
      </c>
      <c r="S65" s="18" t="n">
        <v>2850.61</v>
      </c>
      <c r="T65" s="18" t="n">
        <v>4748.91</v>
      </c>
      <c r="U65" s="37" t="n">
        <v>14921.59</v>
      </c>
      <c r="V65" s="18" t="n">
        <v>2646.42</v>
      </c>
      <c r="W65" s="18" t="n">
        <v>3023.35</v>
      </c>
      <c r="X65" s="18" t="n">
        <v>3002.96</v>
      </c>
      <c r="Y65" s="18" t="n">
        <v>3239.03</v>
      </c>
      <c r="Z65" s="37" t="n">
        <v>11911.76</v>
      </c>
      <c r="AA65" s="18" t="n">
        <v>3027.99</v>
      </c>
      <c r="AB65" s="19" t="n">
        <v>3313.72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영업이익</t>
        </is>
      </c>
      <c r="E66" s="18" t="n">
        <v>-250.36</v>
      </c>
      <c r="F66" s="9" t="n"/>
      <c r="G66" s="18" t="n">
        <v>1366.14</v>
      </c>
      <c r="H66" s="18" t="n">
        <v>4870.87</v>
      </c>
      <c r="I66" s="18" t="n">
        <v>1632.68</v>
      </c>
      <c r="J66" s="18" t="n">
        <v>1310.5</v>
      </c>
      <c r="K66" s="37" t="n">
        <v>9180.190000000001</v>
      </c>
      <c r="L66" s="18" t="n">
        <v>2492.5</v>
      </c>
      <c r="M66" s="18" t="n">
        <v>4854.85</v>
      </c>
      <c r="N66" s="18" t="n">
        <v>3009.69</v>
      </c>
      <c r="O66" s="18" t="n">
        <v>2406.36</v>
      </c>
      <c r="P66" s="37" t="n">
        <v>12763.4</v>
      </c>
      <c r="Q66" s="18" t="n">
        <v>4197.66</v>
      </c>
      <c r="R66" s="18" t="n">
        <v>6890.85</v>
      </c>
      <c r="S66" s="18" t="n">
        <v>9698.32</v>
      </c>
      <c r="T66" s="18" t="n">
        <v>4080.74</v>
      </c>
      <c r="U66" s="37" t="n">
        <v>24867.57</v>
      </c>
      <c r="V66" s="18" t="n">
        <v>8196.889999999999</v>
      </c>
      <c r="W66" s="18" t="n">
        <v>6238.73</v>
      </c>
      <c r="X66" s="18" t="n">
        <v>6407.63</v>
      </c>
      <c r="Y66" s="18" t="n">
        <v>3435.18</v>
      </c>
      <c r="Z66" s="37" t="n">
        <v>24278.43</v>
      </c>
      <c r="AA66" s="18" t="n">
        <v>7980.64</v>
      </c>
      <c r="AB66" s="19" t="n">
        <v>8819.280000000001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금융수익</t>
        </is>
      </c>
      <c r="E67" s="18" t="n">
        <v>101.68</v>
      </c>
      <c r="F67" s="9" t="n"/>
      <c r="G67" s="18" t="n">
        <v>84.76000000000001</v>
      </c>
      <c r="H67" s="18" t="n">
        <v>94.78</v>
      </c>
      <c r="I67" s="18" t="n">
        <v>116.16</v>
      </c>
      <c r="J67" s="18" t="n">
        <v>427.68</v>
      </c>
      <c r="K67" s="37" t="n">
        <v>723.38</v>
      </c>
      <c r="L67" s="18" t="n">
        <v>271.51</v>
      </c>
      <c r="M67" s="18" t="n">
        <v>188.52</v>
      </c>
      <c r="N67" s="18" t="n">
        <v>282.8</v>
      </c>
      <c r="O67" s="18" t="n">
        <v>260.3</v>
      </c>
      <c r="P67" s="37" t="n">
        <v>1003.13</v>
      </c>
      <c r="Q67" s="18" t="n">
        <v>500.63</v>
      </c>
      <c r="R67" s="18" t="n">
        <v>294.81</v>
      </c>
      <c r="S67" s="18" t="n">
        <v>319.02</v>
      </c>
      <c r="T67" s="18" t="n">
        <v>470.88</v>
      </c>
      <c r="U67" s="37" t="n">
        <v>1585.34</v>
      </c>
      <c r="V67" s="18" t="n">
        <v>324.91</v>
      </c>
      <c r="W67" s="18" t="n">
        <v>343.13</v>
      </c>
      <c r="X67" s="18" t="n">
        <v>260.27</v>
      </c>
      <c r="Y67" s="18" t="n">
        <v>318.41</v>
      </c>
      <c r="Z67" s="37" t="n">
        <v>1246.72</v>
      </c>
      <c r="AA67" s="18" t="n">
        <v>503.92</v>
      </c>
      <c r="AB67" s="19" t="n">
        <v>403.25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금융비용</t>
        </is>
      </c>
      <c r="E68" s="18" t="n">
        <v>683.23</v>
      </c>
      <c r="F68" s="9" t="n"/>
      <c r="G68" s="18" t="n">
        <v>622.03</v>
      </c>
      <c r="H68" s="18" t="n">
        <v>514.1799999999999</v>
      </c>
      <c r="I68" s="18" t="n">
        <v>557.12</v>
      </c>
      <c r="J68" s="18" t="n">
        <v>930.6900000000001</v>
      </c>
      <c r="K68" s="37" t="n">
        <v>2624.02</v>
      </c>
      <c r="L68" s="18" t="n">
        <v>751.5</v>
      </c>
      <c r="M68" s="18" t="n">
        <v>827.42</v>
      </c>
      <c r="N68" s="18" t="n">
        <v>915.4400000000001</v>
      </c>
      <c r="O68" s="18" t="n">
        <v>1110.81</v>
      </c>
      <c r="P68" s="37" t="n">
        <v>3605.17</v>
      </c>
      <c r="Q68" s="18" t="n">
        <v>727.8099999999999</v>
      </c>
      <c r="R68" s="18" t="n">
        <v>655.25</v>
      </c>
      <c r="S68" s="18" t="n">
        <v>635.87</v>
      </c>
      <c r="T68" s="18" t="n">
        <v>740.74</v>
      </c>
      <c r="U68" s="37" t="n">
        <v>2759.67</v>
      </c>
      <c r="V68" s="18" t="n">
        <v>567.95</v>
      </c>
      <c r="W68" s="18" t="n">
        <v>476.73</v>
      </c>
      <c r="X68" s="18" t="n">
        <v>361.58</v>
      </c>
      <c r="Y68" s="18" t="n">
        <v>410.92</v>
      </c>
      <c r="Z68" s="37" t="n">
        <v>1817.18</v>
      </c>
      <c r="AA68" s="18" t="n">
        <v>398.18</v>
      </c>
      <c r="AB68" s="19" t="n">
        <v>304.08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종속기업,공동지배기업및관계기업관련손익</t>
        </is>
      </c>
      <c r="E69" s="18" t="n">
        <v>-157.17</v>
      </c>
      <c r="F69" s="9" t="n"/>
      <c r="G69" s="18" t="n">
        <v>-70.97</v>
      </c>
      <c r="H69" s="18" t="n">
        <v>-28.21</v>
      </c>
      <c r="I69" s="18" t="n">
        <v>-88.86</v>
      </c>
      <c r="J69" s="18" t="n">
        <v>-1516.68</v>
      </c>
      <c r="K69" s="37" t="n">
        <v>-1704.72</v>
      </c>
      <c r="L69" s="18" t="n">
        <v>-137.36</v>
      </c>
      <c r="M69" s="18" t="n">
        <v>79.13</v>
      </c>
      <c r="N69" s="18" t="n">
        <v>-39.29</v>
      </c>
      <c r="O69" s="18" t="n">
        <v>133.41</v>
      </c>
      <c r="P69" s="37" t="n">
        <v>35.89</v>
      </c>
      <c r="Q69" s="18" t="n">
        <v>-89.77</v>
      </c>
      <c r="R69" s="18" t="n">
        <v>-506.98</v>
      </c>
      <c r="S69" s="18" t="n">
        <v>-331.73</v>
      </c>
      <c r="T69" s="18" t="n">
        <v>-418.24</v>
      </c>
      <c r="U69" s="37" t="n">
        <v>-1346.72</v>
      </c>
      <c r="V69" s="18" t="n">
        <v>-243.75</v>
      </c>
      <c r="Z69" s="9" t="n"/>
      <c r="AB69" s="19" t="n">
        <v>279.54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지분법관련손익</t>
        </is>
      </c>
      <c r="E70" s="18" t="n">
        <v>-157.17</v>
      </c>
      <c r="F70" s="9" t="n"/>
      <c r="G70" s="18" t="n">
        <v>-70.97</v>
      </c>
      <c r="H70" s="18" t="n">
        <v>-28.21</v>
      </c>
      <c r="I70" s="18" t="n">
        <v>-88.86</v>
      </c>
      <c r="J70" s="18" t="n">
        <v>-1516.68</v>
      </c>
      <c r="K70" s="37" t="n">
        <v>-1704.72</v>
      </c>
      <c r="L70" s="18" t="n">
        <v>-137.36</v>
      </c>
      <c r="M70" s="18" t="n">
        <v>79.13</v>
      </c>
      <c r="N70" s="18" t="n">
        <v>-39.29</v>
      </c>
      <c r="O70" s="18" t="n">
        <v>133.41</v>
      </c>
      <c r="P70" s="37" t="n">
        <v>35.89</v>
      </c>
      <c r="Q70" s="18" t="n">
        <v>-89.77</v>
      </c>
      <c r="R70" s="18" t="n">
        <v>-506.98</v>
      </c>
      <c r="S70" s="18" t="n">
        <v>-331.73</v>
      </c>
      <c r="T70" s="18" t="n">
        <v>-418.24</v>
      </c>
      <c r="U70" s="37" t="n">
        <v>-1346.72</v>
      </c>
      <c r="V70" s="18" t="n">
        <v>-243.75</v>
      </c>
      <c r="Z70" s="9" t="n"/>
      <c r="AB70" s="19" t="n">
        <v>279.54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기타영업외수익</t>
        </is>
      </c>
      <c r="E71" s="18" t="n">
        <v>1039.11</v>
      </c>
      <c r="F71" s="9" t="n"/>
      <c r="G71" s="18" t="n">
        <v>740.89</v>
      </c>
      <c r="H71" s="18" t="n">
        <v>2069.54</v>
      </c>
      <c r="I71" s="18" t="n">
        <v>508.01</v>
      </c>
      <c r="J71" s="18" t="n">
        <v>338.57</v>
      </c>
      <c r="K71" s="37" t="n">
        <v>3657.01</v>
      </c>
      <c r="L71" s="18" t="n">
        <v>471.66</v>
      </c>
      <c r="M71" s="18" t="n">
        <v>472.48</v>
      </c>
      <c r="N71" s="18" t="n">
        <v>454.94</v>
      </c>
      <c r="O71" s="18" t="n">
        <v>471.37</v>
      </c>
      <c r="P71" s="37" t="n">
        <v>1870.45</v>
      </c>
      <c r="Q71" s="18" t="n">
        <v>484.17</v>
      </c>
      <c r="R71" s="18" t="n">
        <v>534.37</v>
      </c>
      <c r="S71" s="18" t="n">
        <v>419.22</v>
      </c>
      <c r="T71" s="18" t="n">
        <v>675.66</v>
      </c>
      <c r="U71" s="37" t="n">
        <v>2113.42</v>
      </c>
      <c r="V71" s="18" t="n">
        <v>448.88</v>
      </c>
      <c r="W71" s="18" t="n">
        <v>1538.5</v>
      </c>
      <c r="X71" s="18" t="n">
        <v>3364.6</v>
      </c>
      <c r="Y71" s="18" t="n">
        <v>676.13</v>
      </c>
      <c r="Z71" s="37" t="n">
        <v>6028.11</v>
      </c>
      <c r="AA71" s="18" t="n">
        <v>703.26</v>
      </c>
      <c r="AB71" s="19" t="n">
        <v>740.76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기타영업외비용</t>
        </is>
      </c>
      <c r="E72" s="18" t="n">
        <v>129.73</v>
      </c>
      <c r="F72" s="9" t="n"/>
      <c r="G72" s="18" t="n">
        <v>55.63</v>
      </c>
      <c r="H72" s="18" t="n">
        <v>65.26000000000001</v>
      </c>
      <c r="I72" s="18" t="n">
        <v>112.97</v>
      </c>
      <c r="J72" s="18" t="n">
        <v>257.87</v>
      </c>
      <c r="K72" s="37" t="n">
        <v>491.73</v>
      </c>
      <c r="L72" s="18" t="n">
        <v>85.08</v>
      </c>
      <c r="M72" s="18" t="n">
        <v>107.99</v>
      </c>
      <c r="N72" s="18" t="n">
        <v>136.43</v>
      </c>
      <c r="O72" s="18" t="n">
        <v>2649.09</v>
      </c>
      <c r="P72" s="37" t="n">
        <v>2978.59</v>
      </c>
      <c r="Q72" s="18" t="n">
        <v>146.81</v>
      </c>
      <c r="R72" s="18" t="n">
        <v>807.3099999999999</v>
      </c>
      <c r="S72" s="18" t="n">
        <v>231.18</v>
      </c>
      <c r="T72" s="18" t="n">
        <v>386.68</v>
      </c>
      <c r="U72" s="37" t="n">
        <v>1571.98</v>
      </c>
      <c r="V72" s="18" t="n">
        <v>81.18000000000001</v>
      </c>
      <c r="W72" s="18" t="n">
        <v>255.31</v>
      </c>
      <c r="X72" s="18" t="n">
        <v>1258.31</v>
      </c>
      <c r="Y72" s="18" t="n">
        <v>228.92</v>
      </c>
      <c r="Z72" s="37" t="n">
        <v>1823.72</v>
      </c>
      <c r="AA72" s="18" t="n">
        <v>149.27</v>
      </c>
      <c r="AB72" s="19" t="n">
        <v>277.06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법인세비용차감전계속사업이익</t>
        </is>
      </c>
      <c r="E73" s="18" t="n">
        <v>-79.70999999999999</v>
      </c>
      <c r="F73" s="9" t="n"/>
      <c r="G73" s="18" t="n">
        <v>1443.16</v>
      </c>
      <c r="H73" s="18" t="n">
        <v>6427.53</v>
      </c>
      <c r="I73" s="18" t="n">
        <v>1497.9</v>
      </c>
      <c r="J73" s="18" t="n">
        <v>-628.49</v>
      </c>
      <c r="K73" s="37" t="n">
        <v>8740.1</v>
      </c>
      <c r="L73" s="18" t="n">
        <v>2261.74</v>
      </c>
      <c r="M73" s="18" t="n">
        <v>4659.59</v>
      </c>
      <c r="N73" s="18" t="n">
        <v>2656.27</v>
      </c>
      <c r="O73" s="18" t="n">
        <v>-560.25</v>
      </c>
      <c r="P73" s="37" t="n">
        <v>9017.35</v>
      </c>
      <c r="Q73" s="18" t="n">
        <v>4397.61</v>
      </c>
      <c r="R73" s="18" t="n">
        <v>6764.46</v>
      </c>
      <c r="S73" s="18" t="n">
        <v>9901.25</v>
      </c>
      <c r="T73" s="18" t="n">
        <v>4518.11</v>
      </c>
      <c r="U73" s="37" t="n">
        <v>25581.43</v>
      </c>
      <c r="V73" s="18" t="n">
        <v>8565.309999999999</v>
      </c>
      <c r="W73" s="18" t="n">
        <v>7665.31</v>
      </c>
      <c r="X73" s="18" t="n">
        <v>8669.57</v>
      </c>
      <c r="Y73" s="18" t="n">
        <v>4012.19</v>
      </c>
      <c r="Z73" s="37" t="n">
        <v>28912.38</v>
      </c>
      <c r="AA73" s="18" t="n">
        <v>8834.01</v>
      </c>
      <c r="AB73" s="19" t="n">
        <v>9661.700000000001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법인세비용</t>
        </is>
      </c>
      <c r="E74" s="18" t="n">
        <v>367.76</v>
      </c>
      <c r="F74" s="9" t="n"/>
      <c r="G74" s="18" t="n">
        <v>243.77</v>
      </c>
      <c r="H74" s="18" t="n">
        <v>342.32</v>
      </c>
      <c r="I74" s="18" t="n">
        <v>113.18</v>
      </c>
      <c r="J74" s="18" t="n">
        <v>-330.91</v>
      </c>
      <c r="K74" s="37" t="n">
        <v>368.36</v>
      </c>
      <c r="L74" s="18" t="n">
        <v>63.03</v>
      </c>
      <c r="M74" s="18" t="n">
        <v>176.74</v>
      </c>
      <c r="N74" s="18" t="n">
        <v>80.73999999999999</v>
      </c>
      <c r="O74" s="18" t="n">
        <v>-212.01</v>
      </c>
      <c r="P74" s="37" t="n">
        <v>108.5</v>
      </c>
      <c r="Q74" s="18" t="n">
        <v>320.24</v>
      </c>
      <c r="R74" s="18" t="n">
        <v>83.66</v>
      </c>
      <c r="S74" s="18" t="n">
        <v>1884.93</v>
      </c>
      <c r="T74" s="18" t="n">
        <v>-2760.86</v>
      </c>
      <c r="U74" s="37" t="n">
        <v>-472.03</v>
      </c>
      <c r="V74" s="18" t="n">
        <v>1653.37</v>
      </c>
      <c r="W74" s="18" t="n">
        <v>3561.91</v>
      </c>
      <c r="X74" s="18" t="n">
        <v>2797.76</v>
      </c>
      <c r="Y74" s="18" t="n">
        <v>1756.83</v>
      </c>
      <c r="Z74" s="37" t="n">
        <v>9769.870000000001</v>
      </c>
      <c r="AA74" s="18" t="n">
        <v>2678.25</v>
      </c>
      <c r="AB74" s="19" t="n">
        <v>2877.51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계속사업이익</t>
        </is>
      </c>
      <c r="E75" s="18" t="n">
        <v>-447.47</v>
      </c>
      <c r="F75" s="9" t="n"/>
      <c r="G75" s="18" t="n">
        <v>1199.39</v>
      </c>
      <c r="H75" s="18" t="n">
        <v>6085.21</v>
      </c>
      <c r="I75" s="18" t="n">
        <v>1384.72</v>
      </c>
      <c r="J75" s="18" t="n">
        <v>-297.59</v>
      </c>
      <c r="K75" s="37" t="n">
        <v>8371.73</v>
      </c>
      <c r="L75" s="18" t="n">
        <v>2198.71</v>
      </c>
      <c r="M75" s="18" t="n">
        <v>4482.86</v>
      </c>
      <c r="N75" s="18" t="n">
        <v>2575.53</v>
      </c>
      <c r="O75" s="18" t="n">
        <v>-348.24</v>
      </c>
      <c r="P75" s="37" t="n">
        <v>8908.860000000001</v>
      </c>
      <c r="Q75" s="18" t="n">
        <v>4077.37</v>
      </c>
      <c r="R75" s="18" t="n">
        <v>6680.8</v>
      </c>
      <c r="S75" s="18" t="n">
        <v>8016.33</v>
      </c>
      <c r="T75" s="18" t="n">
        <v>7278.97</v>
      </c>
      <c r="U75" s="37" t="n">
        <v>26053.47</v>
      </c>
      <c r="V75" s="18" t="n">
        <v>6911.93</v>
      </c>
      <c r="W75" s="18" t="n">
        <v>4103.4</v>
      </c>
      <c r="X75" s="18" t="n">
        <v>5871.81</v>
      </c>
      <c r="Y75" s="18" t="n">
        <v>2255.36</v>
      </c>
      <c r="Z75" s="37" t="n">
        <v>19142.5</v>
      </c>
      <c r="AA75" s="18" t="n">
        <v>6155.76</v>
      </c>
      <c r="AB75" s="19" t="n">
        <v>6784.19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중단사업이익</t>
        </is>
      </c>
      <c r="E76" s="18" t="n">
        <v>0</v>
      </c>
      <c r="F76" s="9" t="n"/>
      <c r="G76" s="18" t="n">
        <v>0</v>
      </c>
      <c r="H76" s="18" t="n">
        <v>0</v>
      </c>
      <c r="I76" s="18" t="n">
        <v>0</v>
      </c>
      <c r="J76" s="18" t="n">
        <v>0</v>
      </c>
      <c r="K76" s="37" t="n">
        <v>0</v>
      </c>
      <c r="M76" s="18" t="n">
        <v>0</v>
      </c>
      <c r="N76" s="18" t="n">
        <v>0</v>
      </c>
      <c r="P76" s="9" t="n"/>
      <c r="U76" s="9" t="n"/>
      <c r="Z76" s="9" t="n"/>
      <c r="AB76" s="5" t="n"/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당기순이익</t>
        </is>
      </c>
      <c r="E77" s="18" t="n">
        <v>-447.47</v>
      </c>
      <c r="F77" s="9" t="n"/>
      <c r="G77" s="18" t="n">
        <v>1199.39</v>
      </c>
      <c r="H77" s="18" t="n">
        <v>6085.21</v>
      </c>
      <c r="I77" s="18" t="n">
        <v>1384.72</v>
      </c>
      <c r="J77" s="18" t="n">
        <v>-297.59</v>
      </c>
      <c r="K77" s="37" t="n">
        <v>8371.73</v>
      </c>
      <c r="L77" s="18" t="n">
        <v>2198.71</v>
      </c>
      <c r="M77" s="18" t="n">
        <v>4482.86</v>
      </c>
      <c r="N77" s="18" t="n">
        <v>2575.53</v>
      </c>
      <c r="O77" s="18" t="n">
        <v>-348.24</v>
      </c>
      <c r="P77" s="37" t="n">
        <v>8908.860000000001</v>
      </c>
      <c r="Q77" s="18" t="n">
        <v>4077.37</v>
      </c>
      <c r="R77" s="18" t="n">
        <v>6680.8</v>
      </c>
      <c r="S77" s="18" t="n">
        <v>8016.33</v>
      </c>
      <c r="T77" s="18" t="n">
        <v>7278.97</v>
      </c>
      <c r="U77" s="37" t="n">
        <v>26053.47</v>
      </c>
      <c r="V77" s="18" t="n">
        <v>6911.93</v>
      </c>
      <c r="W77" s="18" t="n">
        <v>4103.4</v>
      </c>
      <c r="X77" s="18" t="n">
        <v>5871.81</v>
      </c>
      <c r="Y77" s="18" t="n">
        <v>2255.36</v>
      </c>
      <c r="Z77" s="37" t="n">
        <v>19142.5</v>
      </c>
      <c r="AA77" s="18" t="n">
        <v>6155.76</v>
      </c>
      <c r="AB77" s="19" t="n">
        <v>6784.19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총포괄손익</t>
        </is>
      </c>
      <c r="E78" s="18" t="n">
        <v>9879.219999999999</v>
      </c>
      <c r="F78" s="9" t="n"/>
      <c r="G78" s="18" t="n">
        <v>1178.6</v>
      </c>
      <c r="H78" s="18" t="n">
        <v>6141.53</v>
      </c>
      <c r="I78" s="18" t="n">
        <v>1366.86</v>
      </c>
      <c r="J78" s="18" t="n">
        <v>876.6900000000001</v>
      </c>
      <c r="K78" s="37" t="n">
        <v>9563.68</v>
      </c>
      <c r="L78" s="18" t="n">
        <v>2246.99</v>
      </c>
      <c r="M78" s="18" t="n">
        <v>4407.28</v>
      </c>
      <c r="N78" s="18" t="n">
        <v>2559.21</v>
      </c>
      <c r="O78" s="18" t="n">
        <v>-4854.47</v>
      </c>
      <c r="P78" s="37" t="n">
        <v>4359.01</v>
      </c>
      <c r="Q78" s="18" t="n">
        <v>4090.81</v>
      </c>
      <c r="R78" s="18" t="n">
        <v>6669.57</v>
      </c>
      <c r="S78" s="18" t="n">
        <v>7996.36</v>
      </c>
      <c r="T78" s="18" t="n">
        <v>6770.75</v>
      </c>
      <c r="U78" s="37" t="n">
        <v>25527.49</v>
      </c>
      <c r="V78" s="18" t="n">
        <v>6921.95</v>
      </c>
      <c r="W78" s="18" t="n">
        <v>4009.22</v>
      </c>
      <c r="X78" s="18" t="n">
        <v>5926.09</v>
      </c>
      <c r="Y78" s="18" t="n">
        <v>2911.82</v>
      </c>
      <c r="Z78" s="37" t="n">
        <v>19769.08</v>
      </c>
      <c r="AA78" s="18" t="n">
        <v>6260.56</v>
      </c>
      <c r="AB78" s="19" t="n">
        <v>6889.33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(지배주주지분)당기순이익</t>
        </is>
      </c>
      <c r="E79" s="18" t="n">
        <v>-447.47</v>
      </c>
      <c r="F79" s="9" t="n"/>
      <c r="G79" s="18" t="n">
        <v>1199.39</v>
      </c>
      <c r="H79" s="18" t="n">
        <v>6085.21</v>
      </c>
      <c r="I79" s="18" t="n">
        <v>1384.72</v>
      </c>
      <c r="J79" s="18" t="n">
        <v>-297.59</v>
      </c>
      <c r="K79" s="37" t="n">
        <v>8371.73</v>
      </c>
      <c r="L79" s="18" t="n">
        <v>2198.71</v>
      </c>
      <c r="M79" s="18" t="n">
        <v>4482.86</v>
      </c>
      <c r="N79" s="18" t="n">
        <v>2575.53</v>
      </c>
      <c r="O79" s="18" t="n">
        <v>-348.24</v>
      </c>
      <c r="P79" s="37" t="n">
        <v>8908.860000000001</v>
      </c>
      <c r="Q79" s="18" t="n">
        <v>4077.37</v>
      </c>
      <c r="R79" s="18" t="n">
        <v>6680.8</v>
      </c>
      <c r="S79" s="18" t="n">
        <v>8016.33</v>
      </c>
      <c r="T79" s="18" t="n">
        <v>7278.97</v>
      </c>
      <c r="U79" s="37" t="n">
        <v>26053.47</v>
      </c>
      <c r="V79" s="18" t="n">
        <v>6911.93</v>
      </c>
      <c r="W79" s="18" t="n">
        <v>6680.8</v>
      </c>
      <c r="X79" s="18" t="n">
        <v>5871.81</v>
      </c>
      <c r="Y79" s="18" t="n">
        <v>2255.36</v>
      </c>
      <c r="Z79" s="37" t="n">
        <v>21719.9</v>
      </c>
      <c r="AA79" s="18" t="n">
        <v>6155.76</v>
      </c>
      <c r="AB79" s="19" t="n">
        <v>6155.76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(비지배주주지분)당기순이익</t>
        </is>
      </c>
      <c r="E80" s="18" t="n">
        <v>0</v>
      </c>
      <c r="F80" s="9" t="n"/>
      <c r="G80" s="18" t="n">
        <v>0</v>
      </c>
      <c r="H80" s="18" t="n">
        <v>0</v>
      </c>
      <c r="I80" s="18" t="n">
        <v>0</v>
      </c>
      <c r="J80" s="18" t="n">
        <v>0</v>
      </c>
      <c r="K80" s="37" t="n">
        <v>0</v>
      </c>
      <c r="M80" s="18" t="n">
        <v>0</v>
      </c>
      <c r="N80" s="18" t="n">
        <v>0</v>
      </c>
      <c r="O80" s="18" t="n">
        <v>0</v>
      </c>
      <c r="P80" s="9" t="n"/>
      <c r="Q80" s="18" t="n">
        <v>0</v>
      </c>
      <c r="R80" s="18" t="n">
        <v>0</v>
      </c>
      <c r="S80" s="18" t="n">
        <v>0</v>
      </c>
      <c r="T80" s="18" t="n">
        <v>0</v>
      </c>
      <c r="U80" s="37" t="n">
        <v>0</v>
      </c>
      <c r="V80" s="18" t="n">
        <v>0</v>
      </c>
      <c r="W80" s="18" t="n">
        <v>0</v>
      </c>
      <c r="X80" s="18" t="n">
        <v>0</v>
      </c>
      <c r="Y80" s="18" t="n">
        <v>0</v>
      </c>
      <c r="Z80" s="37" t="n">
        <v>0</v>
      </c>
      <c r="AA80" s="18" t="n">
        <v>0</v>
      </c>
      <c r="AB80" s="19" t="n">
        <v>0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금융손익</t>
        </is>
      </c>
      <c r="E81" s="18" t="n">
        <v>-581.55</v>
      </c>
      <c r="F81" s="9" t="n"/>
      <c r="G81" s="18" t="n">
        <v>-537.27</v>
      </c>
      <c r="H81" s="18" t="n">
        <v>-419.4</v>
      </c>
      <c r="I81" s="18" t="n">
        <v>-440.96</v>
      </c>
      <c r="J81" s="18" t="n">
        <v>-503.01</v>
      </c>
      <c r="K81" s="37" t="n">
        <v>-1900.64</v>
      </c>
      <c r="L81" s="18" t="n">
        <v>-479.99</v>
      </c>
      <c r="M81" s="18" t="n">
        <v>-638.9</v>
      </c>
      <c r="N81" s="18" t="n">
        <v>-632.64</v>
      </c>
      <c r="O81" s="18" t="n">
        <v>-850.51</v>
      </c>
      <c r="P81" s="37" t="n">
        <v>-2602.04</v>
      </c>
      <c r="Q81" s="18" t="n">
        <v>-227.18</v>
      </c>
      <c r="R81" s="18" t="n">
        <v>-360.44</v>
      </c>
      <c r="S81" s="18" t="n">
        <v>-316.85</v>
      </c>
      <c r="T81" s="18" t="n">
        <v>-269.86</v>
      </c>
      <c r="U81" s="37" t="n">
        <v>-1174.33</v>
      </c>
      <c r="V81" s="18" t="n">
        <v>-243.04</v>
      </c>
      <c r="W81" s="18" t="n">
        <v>-133.6</v>
      </c>
      <c r="X81" s="18" t="n">
        <v>-101.31</v>
      </c>
      <c r="Y81" s="18" t="n">
        <v>-92.51000000000001</v>
      </c>
      <c r="Z81" s="37" t="n">
        <v>-570.46</v>
      </c>
      <c r="AA81" s="18" t="n">
        <v>105.74</v>
      </c>
      <c r="AB81" s="19" t="n">
        <v>99.17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기타영업외손익</t>
        </is>
      </c>
      <c r="E82" s="18" t="n">
        <v>909.38</v>
      </c>
      <c r="F82" s="9" t="n"/>
      <c r="G82" s="18" t="n">
        <v>685.26</v>
      </c>
      <c r="H82" s="18" t="n">
        <v>2004.28</v>
      </c>
      <c r="I82" s="18" t="n">
        <v>395.04</v>
      </c>
      <c r="J82" s="18" t="n">
        <v>80.7</v>
      </c>
      <c r="K82" s="37" t="n">
        <v>3165.28</v>
      </c>
      <c r="L82" s="18" t="n">
        <v>386.58</v>
      </c>
      <c r="M82" s="18" t="n">
        <v>364.49</v>
      </c>
      <c r="N82" s="18" t="n">
        <v>318.51</v>
      </c>
      <c r="O82" s="18" t="n">
        <v>-2177.72</v>
      </c>
      <c r="P82" s="37" t="n">
        <v>-1108.14</v>
      </c>
      <c r="Q82" s="18" t="n">
        <v>337.36</v>
      </c>
      <c r="R82" s="18" t="n">
        <v>-272.94</v>
      </c>
      <c r="S82" s="18" t="n">
        <v>188.04</v>
      </c>
      <c r="T82" s="18" t="n">
        <v>288.98</v>
      </c>
      <c r="U82" s="37" t="n">
        <v>541.4400000000001</v>
      </c>
      <c r="V82" s="18" t="n">
        <v>367.7</v>
      </c>
      <c r="W82" s="18" t="n">
        <v>1283.19</v>
      </c>
      <c r="X82" s="18" t="n">
        <v>2106.29</v>
      </c>
      <c r="Y82" s="18" t="n">
        <v>447.21</v>
      </c>
      <c r="Z82" s="37" t="n">
        <v>4204.39</v>
      </c>
      <c r="AA82" s="18" t="n">
        <v>553.99</v>
      </c>
      <c r="AB82" s="19" t="n">
        <v>463.7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이자수익</t>
        </is>
      </c>
      <c r="F83" s="9" t="n"/>
      <c r="G83" s="18" t="n">
        <v>52.2</v>
      </c>
      <c r="H83" s="18" t="n">
        <v>41.87</v>
      </c>
      <c r="I83" s="18" t="n">
        <v>55.77</v>
      </c>
      <c r="J83" s="18" t="n">
        <v>427.81</v>
      </c>
      <c r="K83" s="37" t="n">
        <v>577.65</v>
      </c>
      <c r="L83" s="18" t="n">
        <v>139.54</v>
      </c>
      <c r="M83" s="18" t="n">
        <v>121.09</v>
      </c>
      <c r="N83" s="18" t="n">
        <v>214.6</v>
      </c>
      <c r="O83" s="18" t="n">
        <v>262.1</v>
      </c>
      <c r="P83" s="37" t="n">
        <v>737.33</v>
      </c>
      <c r="Q83" s="18" t="n">
        <v>279.71</v>
      </c>
      <c r="R83" s="18" t="n">
        <v>270.92</v>
      </c>
      <c r="S83" s="18" t="n">
        <v>289.77</v>
      </c>
      <c r="T83" s="18" t="n">
        <v>420.55</v>
      </c>
      <c r="U83" s="37" t="n">
        <v>1260.95</v>
      </c>
      <c r="V83" s="18" t="n">
        <v>238.34</v>
      </c>
      <c r="W83" s="18" t="n">
        <v>228.12</v>
      </c>
      <c r="X83" s="18" t="n">
        <v>231.32</v>
      </c>
      <c r="Y83" s="18" t="n">
        <v>276.72</v>
      </c>
      <c r="Z83" s="37" t="n">
        <v>974.5</v>
      </c>
      <c r="AA83" s="18" t="n">
        <v>303.67</v>
      </c>
      <c r="AB83" s="19" t="n">
        <v>275.17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이자비용</t>
        </is>
      </c>
      <c r="F84" s="9" t="n"/>
      <c r="G84" s="18" t="n">
        <v>577.99</v>
      </c>
      <c r="H84" s="18" t="n">
        <v>547.1</v>
      </c>
      <c r="I84" s="18" t="n">
        <v>555.99</v>
      </c>
      <c r="J84" s="18" t="n">
        <v>827.5700000000001</v>
      </c>
      <c r="K84" s="37" t="n">
        <v>2508.65</v>
      </c>
      <c r="L84" s="18" t="n">
        <v>743.04</v>
      </c>
      <c r="M84" s="18" t="n">
        <v>823.83</v>
      </c>
      <c r="N84" s="18" t="n">
        <v>920.86</v>
      </c>
      <c r="O84" s="18" t="n">
        <v>1012.65</v>
      </c>
      <c r="P84" s="37" t="n">
        <v>3500.38</v>
      </c>
      <c r="Q84" s="18" t="n">
        <v>727.8099999999999</v>
      </c>
      <c r="R84" s="18" t="n">
        <v>654.12</v>
      </c>
      <c r="S84" s="18" t="n">
        <v>582.83</v>
      </c>
      <c r="T84" s="18" t="n">
        <v>548.0700000000001</v>
      </c>
      <c r="U84" s="37" t="n">
        <v>2512.83</v>
      </c>
      <c r="V84" s="18" t="n">
        <v>517.66</v>
      </c>
      <c r="W84" s="18" t="n">
        <v>424.3</v>
      </c>
      <c r="X84" s="18" t="n">
        <v>384.74</v>
      </c>
      <c r="Y84" s="18" t="n">
        <v>386.05</v>
      </c>
      <c r="Z84" s="37" t="n">
        <v>1712.75</v>
      </c>
      <c r="AA84" s="18" t="n">
        <v>398.18</v>
      </c>
      <c r="AB84" s="19" t="n">
        <v>302.33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외환차익</t>
        </is>
      </c>
      <c r="F85" s="9" t="n"/>
      <c r="G85" s="18" t="n">
        <v>32.11</v>
      </c>
      <c r="H85" s="18" t="n">
        <v>53.36</v>
      </c>
      <c r="I85" s="18" t="n">
        <v>60.26</v>
      </c>
      <c r="J85" s="18" t="n">
        <v>0</v>
      </c>
      <c r="K85" s="37" t="n">
        <v>145.73</v>
      </c>
      <c r="L85" s="18" t="n">
        <v>113.53</v>
      </c>
      <c r="M85" s="18" t="n">
        <v>85.88</v>
      </c>
      <c r="N85" s="18" t="n">
        <v>66.08</v>
      </c>
      <c r="O85" s="18" t="n">
        <v>0.3</v>
      </c>
      <c r="P85" s="37" t="n">
        <v>265.79</v>
      </c>
      <c r="Q85" s="18" t="n">
        <v>167.47</v>
      </c>
      <c r="R85" s="18" t="n">
        <v>15.34</v>
      </c>
      <c r="S85" s="18" t="n">
        <v>1.24</v>
      </c>
      <c r="T85" s="18" t="n">
        <v>52.59</v>
      </c>
      <c r="U85" s="37" t="n">
        <v>236.64</v>
      </c>
      <c r="V85" s="18" t="n">
        <v>36.26</v>
      </c>
      <c r="W85" s="18" t="n">
        <v>9.27</v>
      </c>
      <c r="X85" s="18" t="n">
        <v>28.28</v>
      </c>
      <c r="Y85" s="18" t="n">
        <v>47.92</v>
      </c>
      <c r="Z85" s="37" t="n">
        <v>121.73</v>
      </c>
      <c r="AA85" s="18" t="n">
        <v>10.56</v>
      </c>
      <c r="AB85" s="19" t="n">
        <v>241.22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외환차손</t>
        </is>
      </c>
      <c r="F86" s="9" t="n"/>
      <c r="G86" s="18" t="n">
        <v>0.33</v>
      </c>
      <c r="H86" s="18" t="n">
        <v>0</v>
      </c>
      <c r="I86" s="18" t="n">
        <v>1.52</v>
      </c>
      <c r="J86" s="18" t="n">
        <v>74.34</v>
      </c>
      <c r="K86" s="37" t="n">
        <v>76.19</v>
      </c>
      <c r="L86" s="18" t="n">
        <v>5.45</v>
      </c>
      <c r="M86" s="18" t="n">
        <v>0.99</v>
      </c>
      <c r="N86" s="18" t="n">
        <v>0.18</v>
      </c>
      <c r="O86" s="18" t="n">
        <v>0.82</v>
      </c>
      <c r="P86" s="37" t="n">
        <v>7.44</v>
      </c>
      <c r="R86" s="18" t="n">
        <v>1.12</v>
      </c>
      <c r="S86" s="18" t="n">
        <v>36.33</v>
      </c>
      <c r="T86" s="18" t="n">
        <v>0</v>
      </c>
      <c r="U86" s="9" t="n"/>
      <c r="V86" s="18" t="n">
        <v>11.51</v>
      </c>
      <c r="W86" s="18" t="n">
        <v>45.7</v>
      </c>
      <c r="X86" s="18" t="n">
        <v>21.98</v>
      </c>
      <c r="Y86" s="18" t="n">
        <v>0</v>
      </c>
      <c r="Z86" s="37" t="n">
        <v>79.19</v>
      </c>
      <c r="AB86" s="19" t="n">
        <v>1.75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외화환산이익</t>
        </is>
      </c>
      <c r="F87" s="9" t="n"/>
      <c r="G87" s="18" t="n">
        <v>0.45</v>
      </c>
      <c r="H87" s="18" t="n">
        <v>-0.45</v>
      </c>
      <c r="I87" s="18" t="n">
        <v>0.13</v>
      </c>
      <c r="K87" s="9" t="n"/>
      <c r="L87" s="18" t="n">
        <v>18.44</v>
      </c>
      <c r="M87" s="18" t="n">
        <v>-18.44</v>
      </c>
      <c r="N87" s="18" t="n">
        <v>2.12</v>
      </c>
      <c r="P87" s="9" t="n"/>
      <c r="Q87" s="18" t="n">
        <v>9.550000000000001</v>
      </c>
      <c r="R87" s="18" t="n">
        <v>-4.41</v>
      </c>
      <c r="S87" s="18" t="n">
        <v>-5.14</v>
      </c>
      <c r="U87" s="9" t="n"/>
      <c r="V87" s="18" t="n">
        <v>0.41</v>
      </c>
      <c r="W87" s="18" t="n">
        <v>-0.41</v>
      </c>
      <c r="X87" s="18" t="n">
        <v>4.53</v>
      </c>
      <c r="Z87" s="9" t="n"/>
      <c r="AA87" s="18" t="n">
        <v>189.69</v>
      </c>
      <c r="AB87" s="19" t="n">
        <v>-113.13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외화환산손실</t>
        </is>
      </c>
      <c r="F88" s="9" t="n"/>
      <c r="G88" s="18" t="n">
        <v>33.97</v>
      </c>
      <c r="H88" s="18" t="n">
        <v>-33.58</v>
      </c>
      <c r="I88" s="18" t="n">
        <v>-0.39</v>
      </c>
      <c r="K88" s="9" t="n"/>
      <c r="L88" s="18" t="n">
        <v>3.01</v>
      </c>
      <c r="M88" s="18" t="n">
        <v>2.6</v>
      </c>
      <c r="N88" s="18" t="n">
        <v>-5.6</v>
      </c>
      <c r="P88" s="9" t="n"/>
      <c r="S88" s="18" t="n">
        <v>16.71</v>
      </c>
      <c r="U88" s="9" t="n"/>
      <c r="W88" s="18" t="n">
        <v>45.53</v>
      </c>
      <c r="X88" s="18" t="n">
        <v>-45.14</v>
      </c>
      <c r="Y88" s="18" t="n">
        <v>24.86</v>
      </c>
      <c r="Z88" s="9" t="n"/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이자손익</t>
        </is>
      </c>
      <c r="F89" s="9" t="n"/>
      <c r="G89" s="18" t="n">
        <v>-525.79</v>
      </c>
      <c r="H89" s="18" t="n">
        <v>-505.23</v>
      </c>
      <c r="I89" s="18" t="n">
        <v>-500.22</v>
      </c>
      <c r="J89" s="18" t="n">
        <v>-399.76</v>
      </c>
      <c r="K89" s="37" t="n">
        <v>-1931</v>
      </c>
      <c r="L89" s="18" t="n">
        <v>-603.5</v>
      </c>
      <c r="M89" s="18" t="n">
        <v>-702.74</v>
      </c>
      <c r="N89" s="18" t="n">
        <v>-706.26</v>
      </c>
      <c r="O89" s="18" t="n">
        <v>-750.55</v>
      </c>
      <c r="P89" s="37" t="n">
        <v>-2763.05</v>
      </c>
      <c r="Q89" s="18" t="n">
        <v>-448.1</v>
      </c>
      <c r="R89" s="18" t="n">
        <v>-383.2</v>
      </c>
      <c r="S89" s="18" t="n">
        <v>-293.06</v>
      </c>
      <c r="T89" s="18" t="n">
        <v>-127.52</v>
      </c>
      <c r="U89" s="37" t="n">
        <v>-1251.88</v>
      </c>
      <c r="V89" s="18" t="n">
        <v>-279.32</v>
      </c>
      <c r="W89" s="18" t="n">
        <v>-196.18</v>
      </c>
      <c r="X89" s="18" t="n">
        <v>-153.42</v>
      </c>
      <c r="Y89" s="18" t="n">
        <v>-109.33</v>
      </c>
      <c r="Z89" s="37" t="n">
        <v>-738.25</v>
      </c>
      <c r="AA89" s="18" t="n">
        <v>-94.51000000000001</v>
      </c>
      <c r="AB89" s="19" t="n">
        <v>-27.16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파생상품이익</t>
        </is>
      </c>
      <c r="F90" s="9" t="n"/>
      <c r="K90" s="9" t="n"/>
      <c r="P90" s="9" t="n"/>
      <c r="Q90" s="18" t="n">
        <v>32.13</v>
      </c>
      <c r="R90" s="18" t="n">
        <v>12.95</v>
      </c>
      <c r="S90" s="18" t="n">
        <v>-33.02</v>
      </c>
      <c r="U90" s="9" t="n"/>
      <c r="W90" s="18" t="n">
        <v>33.28</v>
      </c>
      <c r="X90" s="18" t="n">
        <v>-31.6</v>
      </c>
      <c r="Z90" s="9" t="n"/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파생상품손실</t>
        </is>
      </c>
      <c r="F91" s="9" t="n"/>
      <c r="K91" s="9" t="n"/>
      <c r="P91" s="9" t="n"/>
      <c r="U91" s="9" t="n"/>
      <c r="V91" s="18" t="n">
        <v>38.78</v>
      </c>
      <c r="W91" s="18" t="n">
        <v>-38.78</v>
      </c>
      <c r="Z91" s="9" t="n"/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영업활동으로인한현금흐름</t>
        </is>
      </c>
      <c r="E92" s="18" t="n">
        <v>-1779.07</v>
      </c>
      <c r="F92" s="9" t="n"/>
      <c r="G92" s="18" t="n">
        <v>3263.95</v>
      </c>
      <c r="H92" s="18" t="n">
        <v>2341.78</v>
      </c>
      <c r="I92" s="18" t="n">
        <v>1650.59</v>
      </c>
      <c r="J92" s="18" t="n">
        <v>3888.35</v>
      </c>
      <c r="K92" s="37" t="n">
        <v>11144.67</v>
      </c>
      <c r="L92" s="18" t="n">
        <v>11144.67</v>
      </c>
      <c r="M92" s="18" t="n">
        <v>-5961.12</v>
      </c>
      <c r="N92" s="18" t="n">
        <v>6184.69</v>
      </c>
      <c r="O92" s="18" t="n">
        <v>7580.66</v>
      </c>
      <c r="P92" s="37" t="n">
        <v>18948.9</v>
      </c>
      <c r="Q92" s="18" t="n">
        <v>2232.06</v>
      </c>
      <c r="R92" s="18" t="n">
        <v>7101.31</v>
      </c>
      <c r="S92" s="18" t="n">
        <v>9836.959999999999</v>
      </c>
      <c r="T92" s="18" t="n">
        <v>6015.92</v>
      </c>
      <c r="U92" s="37" t="n">
        <v>25186.25</v>
      </c>
      <c r="V92" s="18" t="n">
        <v>6171.15</v>
      </c>
      <c r="W92" s="18" t="n">
        <v>8438.110000000001</v>
      </c>
      <c r="X92" s="18" t="n">
        <v>10748.71</v>
      </c>
      <c r="Y92" s="18" t="n">
        <v>2551.65</v>
      </c>
      <c r="Z92" s="37" t="n">
        <v>27909.62</v>
      </c>
      <c r="AA92" s="18" t="n">
        <v>2309.68</v>
      </c>
      <c r="AB92" s="19" t="n">
        <v>8919.75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법인세납부(CF)</t>
        </is>
      </c>
      <c r="E93" s="18" t="n">
        <v>-6.17</v>
      </c>
      <c r="F93" s="9" t="n"/>
      <c r="G93" s="18" t="n">
        <v>-63.68</v>
      </c>
      <c r="H93" s="18" t="n">
        <v>-118.02</v>
      </c>
      <c r="I93" s="18" t="n">
        <v>-370.72</v>
      </c>
      <c r="J93" s="18" t="n">
        <v>-15.98</v>
      </c>
      <c r="K93" s="37" t="n">
        <v>-568.4</v>
      </c>
      <c r="L93" s="18" t="n">
        <v>-568.4</v>
      </c>
      <c r="M93" s="18" t="n">
        <v>171.99</v>
      </c>
      <c r="N93" s="18" t="n">
        <v>-296.51</v>
      </c>
      <c r="O93" s="18" t="n">
        <v>-26.91</v>
      </c>
      <c r="P93" s="37" t="n">
        <v>-719.83</v>
      </c>
      <c r="Q93" s="18" t="n">
        <v>-33.41</v>
      </c>
      <c r="R93" s="18" t="n">
        <v>-42.86</v>
      </c>
      <c r="S93" s="18" t="n">
        <v>-113.05</v>
      </c>
      <c r="T93" s="18" t="n">
        <v>-119.54</v>
      </c>
      <c r="U93" s="37" t="n">
        <v>-308.86</v>
      </c>
      <c r="V93" s="18" t="n">
        <v>-851.88</v>
      </c>
      <c r="W93" s="18" t="n">
        <v>-1009.19</v>
      </c>
      <c r="X93" s="18" t="n">
        <v>-471.78</v>
      </c>
      <c r="Y93" s="18" t="n">
        <v>-472.04</v>
      </c>
      <c r="Z93" s="37" t="n">
        <v>-2804.89</v>
      </c>
      <c r="AA93" s="18" t="n">
        <v>-2509.37</v>
      </c>
      <c r="AB93" s="19" t="n">
        <v>-3081.19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투자활동으로인한현금흐름</t>
        </is>
      </c>
      <c r="E94" s="18" t="n">
        <v>-323.49</v>
      </c>
      <c r="F94" s="9" t="n"/>
      <c r="G94" s="18" t="n">
        <v>2423.43</v>
      </c>
      <c r="H94" s="18" t="n">
        <v>-243.1</v>
      </c>
      <c r="I94" s="18" t="n">
        <v>-247.25</v>
      </c>
      <c r="J94" s="18" t="n">
        <v>-4592.53</v>
      </c>
      <c r="K94" s="37" t="n">
        <v>-2659.45</v>
      </c>
      <c r="L94" s="18" t="n">
        <v>-2659.45</v>
      </c>
      <c r="M94" s="18" t="n">
        <v>-428.02</v>
      </c>
      <c r="N94" s="18" t="n">
        <v>-4665.26</v>
      </c>
      <c r="O94" s="18" t="n">
        <v>-3033.98</v>
      </c>
      <c r="P94" s="37" t="n">
        <v>-10786.71</v>
      </c>
      <c r="Q94" s="18" t="n">
        <v>-5730.31</v>
      </c>
      <c r="R94" s="18" t="n">
        <v>-2392.38</v>
      </c>
      <c r="S94" s="18" t="n">
        <v>-6221.4</v>
      </c>
      <c r="T94" s="18" t="n">
        <v>3031.72</v>
      </c>
      <c r="U94" s="37" t="n">
        <v>-11312.37</v>
      </c>
      <c r="V94" s="18" t="n">
        <v>-610.6799999999999</v>
      </c>
      <c r="W94" s="18" t="n">
        <v>-2046.58</v>
      </c>
      <c r="X94" s="18" t="n">
        <v>-8569.879999999999</v>
      </c>
      <c r="Y94" s="18" t="n">
        <v>-4588.41</v>
      </c>
      <c r="Z94" s="37" t="n">
        <v>-15815.55</v>
      </c>
      <c r="AA94" s="18" t="n">
        <v>1910.8</v>
      </c>
      <c r="AB94" s="19" t="n">
        <v>-2391.87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유형자산의감소</t>
        </is>
      </c>
      <c r="E95" s="18" t="n">
        <v>1.54</v>
      </c>
      <c r="F95" s="9" t="n"/>
      <c r="G95" s="18" t="n">
        <v>50.6</v>
      </c>
      <c r="H95" s="18" t="n">
        <v>2.38</v>
      </c>
      <c r="I95" s="18" t="n">
        <v>1.33</v>
      </c>
      <c r="J95" s="18" t="n">
        <v>2.55</v>
      </c>
      <c r="K95" s="37" t="n">
        <v>56.86</v>
      </c>
      <c r="L95" s="18" t="n">
        <v>56.86</v>
      </c>
      <c r="N95" s="18" t="n">
        <v>2.65</v>
      </c>
      <c r="O95" s="18" t="n">
        <v>1.99</v>
      </c>
      <c r="P95" s="9" t="n"/>
      <c r="Q95" s="18" t="n">
        <v>0.59</v>
      </c>
      <c r="R95" s="18" t="n">
        <v>2.13</v>
      </c>
      <c r="S95" s="18" t="n">
        <v>1.35</v>
      </c>
      <c r="T95" s="18" t="n">
        <v>0.68</v>
      </c>
      <c r="U95" s="37" t="n">
        <v>4.75</v>
      </c>
      <c r="V95" s="18" t="n">
        <v>0.5</v>
      </c>
      <c r="W95" s="18" t="n">
        <v>2.5</v>
      </c>
      <c r="X95" s="18" t="n">
        <v>5.97</v>
      </c>
      <c r="Y95" s="18" t="n">
        <v>1.36</v>
      </c>
      <c r="Z95" s="37" t="n">
        <v>10.33</v>
      </c>
      <c r="AA95" s="18" t="n">
        <v>3.47</v>
      </c>
      <c r="AB95" s="19" t="n">
        <v>0.77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유형자산의증가</t>
        </is>
      </c>
      <c r="E96" s="18" t="n">
        <v>75.34999999999999</v>
      </c>
      <c r="F96" s="9" t="n"/>
      <c r="G96" s="18" t="n">
        <v>48.49</v>
      </c>
      <c r="H96" s="18" t="n">
        <v>119.08</v>
      </c>
      <c r="I96" s="18" t="n">
        <v>109.52</v>
      </c>
      <c r="J96" s="18" t="n">
        <v>111.25</v>
      </c>
      <c r="K96" s="37" t="n">
        <v>388.34</v>
      </c>
      <c r="L96" s="18" t="n">
        <v>388.34</v>
      </c>
      <c r="M96" s="18" t="n">
        <v>53.35</v>
      </c>
      <c r="N96" s="18" t="n">
        <v>1183.77</v>
      </c>
      <c r="O96" s="18" t="n">
        <v>242.65</v>
      </c>
      <c r="P96" s="37" t="n">
        <v>1868.11</v>
      </c>
      <c r="Q96" s="18" t="n">
        <v>333.29</v>
      </c>
      <c r="R96" s="18" t="n">
        <v>223.82</v>
      </c>
      <c r="S96" s="18" t="n">
        <v>100.7</v>
      </c>
      <c r="T96" s="18" t="n">
        <v>4802.07</v>
      </c>
      <c r="U96" s="37" t="n">
        <v>5459.88</v>
      </c>
      <c r="V96" s="18" t="n">
        <v>99.31</v>
      </c>
      <c r="W96" s="18" t="n">
        <v>3178.34</v>
      </c>
      <c r="X96" s="18" t="n">
        <v>282.95</v>
      </c>
      <c r="Y96" s="18" t="n">
        <v>5534.56</v>
      </c>
      <c r="Z96" s="37" t="n">
        <v>9095.16</v>
      </c>
      <c r="AA96" s="18" t="n">
        <v>191.43</v>
      </c>
      <c r="AB96" s="19" t="n">
        <v>551.8099999999999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CAPEX</t>
        </is>
      </c>
      <c r="E97" s="18" t="n">
        <v>75.34999999999999</v>
      </c>
      <c r="F97" s="9" t="n"/>
      <c r="G97" s="18" t="n">
        <v>48.49</v>
      </c>
      <c r="H97" s="18" t="n">
        <v>119.08</v>
      </c>
      <c r="I97" s="18" t="n">
        <v>109.52</v>
      </c>
      <c r="J97" s="18" t="n">
        <v>150.4</v>
      </c>
      <c r="K97" s="37" t="n">
        <v>427.49</v>
      </c>
      <c r="L97" s="18" t="n">
        <v>427.49</v>
      </c>
      <c r="M97" s="18" t="n">
        <v>16.08</v>
      </c>
      <c r="N97" s="18" t="n">
        <v>1183.77</v>
      </c>
      <c r="O97" s="18" t="n">
        <v>242.65</v>
      </c>
      <c r="P97" s="37" t="n">
        <v>1869.99</v>
      </c>
      <c r="Q97" s="18" t="n">
        <v>799.3099999999999</v>
      </c>
      <c r="R97" s="18" t="n">
        <v>233.13</v>
      </c>
      <c r="S97" s="18" t="n">
        <v>100.7</v>
      </c>
      <c r="T97" s="18" t="n">
        <v>4802.07</v>
      </c>
      <c r="U97" s="37" t="n">
        <v>5935.21</v>
      </c>
      <c r="V97" s="18" t="n">
        <v>99.31</v>
      </c>
      <c r="W97" s="18" t="n">
        <v>3178.34</v>
      </c>
      <c r="X97" s="18" t="n">
        <v>282.95</v>
      </c>
      <c r="Y97" s="18" t="n">
        <v>5571.78</v>
      </c>
      <c r="Z97" s="37" t="n">
        <v>9132.379999999999</v>
      </c>
      <c r="AA97" s="18" t="n">
        <v>191.43</v>
      </c>
      <c r="AB97" s="19" t="n">
        <v>551.8099999999999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재무활동으로인한현금흐름</t>
        </is>
      </c>
      <c r="E98" s="18" t="n">
        <v>-409.86</v>
      </c>
      <c r="F98" s="9" t="n"/>
      <c r="G98" s="18" t="n">
        <v>-5046.53</v>
      </c>
      <c r="H98" s="18" t="n">
        <v>-415.91</v>
      </c>
      <c r="I98" s="18" t="n">
        <v>-416.84</v>
      </c>
      <c r="J98" s="18" t="n">
        <v>-683.66</v>
      </c>
      <c r="K98" s="37" t="n">
        <v>-6562.94</v>
      </c>
      <c r="L98" s="18" t="n">
        <v>-6562.94</v>
      </c>
      <c r="M98" s="18" t="n">
        <v>3228.42</v>
      </c>
      <c r="N98" s="18" t="n">
        <v>-396.02</v>
      </c>
      <c r="O98" s="18" t="n">
        <v>-2215.06</v>
      </c>
      <c r="P98" s="37" t="n">
        <v>-5945.6</v>
      </c>
      <c r="Q98" s="18" t="n">
        <v>-117.44</v>
      </c>
      <c r="R98" s="18" t="n">
        <v>-2896.64</v>
      </c>
      <c r="S98" s="18" t="n">
        <v>-5121.12</v>
      </c>
      <c r="T98" s="18" t="n">
        <v>-3123</v>
      </c>
      <c r="U98" s="37" t="n">
        <v>-11258.2</v>
      </c>
      <c r="V98" s="18" t="n">
        <v>-124.91</v>
      </c>
      <c r="W98" s="18" t="n">
        <v>-8681.58</v>
      </c>
      <c r="X98" s="18" t="n">
        <v>-128.82</v>
      </c>
      <c r="Y98" s="18" t="n">
        <v>-130.83</v>
      </c>
      <c r="Z98" s="37" t="n">
        <v>-9066.139999999999</v>
      </c>
      <c r="AA98" s="18" t="n">
        <v>-12.23</v>
      </c>
      <c r="AB98" s="19" t="n">
        <v>-15012.43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단기차입금의증가</t>
        </is>
      </c>
      <c r="E99" s="18" t="n">
        <v>0</v>
      </c>
      <c r="F99" s="9" t="n"/>
      <c r="G99" s="18" t="n">
        <v>0</v>
      </c>
      <c r="H99" s="18" t="n">
        <v>0</v>
      </c>
      <c r="I99" s="18" t="n">
        <v>0</v>
      </c>
      <c r="J99" s="18" t="n">
        <v>0</v>
      </c>
      <c r="K99" s="37" t="n">
        <v>0</v>
      </c>
      <c r="O99" s="18" t="n">
        <v>0</v>
      </c>
      <c r="P99" s="9" t="n"/>
      <c r="Q99" s="18" t="n">
        <v>23000</v>
      </c>
      <c r="R99" s="18" t="n">
        <v>29000</v>
      </c>
      <c r="T99" s="18" t="n">
        <v>0</v>
      </c>
      <c r="U99" s="9" t="n"/>
      <c r="V99" s="18" t="n">
        <v>5000</v>
      </c>
      <c r="W99" s="18" t="n">
        <v>35000</v>
      </c>
      <c r="X99" s="18" t="n">
        <v>0</v>
      </c>
      <c r="Y99" s="18" t="n">
        <v>0</v>
      </c>
      <c r="Z99" s="37" t="n">
        <v>40000</v>
      </c>
      <c r="AA99" s="18" t="n">
        <v>0</v>
      </c>
      <c r="AB99" s="19" t="n">
        <v>10000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단기차입금의감소</t>
        </is>
      </c>
      <c r="E100" s="18" t="n">
        <v>0</v>
      </c>
      <c r="F100" s="9" t="n"/>
      <c r="G100" s="18" t="n">
        <v>135</v>
      </c>
      <c r="H100" s="18" t="n">
        <v>0</v>
      </c>
      <c r="I100" s="18" t="n">
        <v>0</v>
      </c>
      <c r="J100" s="18" t="n">
        <v>765</v>
      </c>
      <c r="K100" s="37" t="n">
        <v>900</v>
      </c>
      <c r="L100" s="18" t="n">
        <v>900</v>
      </c>
      <c r="M100" s="18" t="n">
        <v>6100</v>
      </c>
      <c r="O100" s="18" t="n">
        <v>0</v>
      </c>
      <c r="P100" s="9" t="n"/>
      <c r="Q100" s="18" t="n">
        <v>23000</v>
      </c>
      <c r="R100" s="18" t="n">
        <v>0</v>
      </c>
      <c r="T100" s="18" t="n">
        <v>3000</v>
      </c>
      <c r="U100" s="9" t="n"/>
      <c r="V100" s="18" t="n">
        <v>5000</v>
      </c>
      <c r="W100" s="18" t="n">
        <v>39000</v>
      </c>
      <c r="X100" s="18" t="n">
        <v>0</v>
      </c>
      <c r="Y100" s="18" t="n">
        <v>0</v>
      </c>
      <c r="Z100" s="37" t="n">
        <v>44000</v>
      </c>
      <c r="AA100" s="18" t="n">
        <v>0</v>
      </c>
      <c r="AB100" s="19" t="n">
        <v>25000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장기차입금의증가</t>
        </is>
      </c>
      <c r="E101" s="18" t="n">
        <v>0</v>
      </c>
      <c r="F101" s="9" t="n"/>
      <c r="G101" s="18" t="n">
        <v>0</v>
      </c>
      <c r="H101" s="18" t="n">
        <v>0</v>
      </c>
      <c r="I101" s="18" t="n">
        <v>0</v>
      </c>
      <c r="J101" s="18" t="n">
        <v>30000</v>
      </c>
      <c r="K101" s="37" t="n">
        <v>30000</v>
      </c>
      <c r="L101" s="18" t="n">
        <v>30000</v>
      </c>
      <c r="P101" s="9" t="n"/>
      <c r="U101" s="9" t="n"/>
      <c r="Z101" s="9" t="n"/>
      <c r="AB101" s="5" t="n"/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장기차입금의감소</t>
        </is>
      </c>
      <c r="E102" s="18" t="n">
        <v>400.01</v>
      </c>
      <c r="F102" s="9" t="n"/>
      <c r="G102" s="18" t="n">
        <v>4500</v>
      </c>
      <c r="H102" s="18" t="n">
        <v>0</v>
      </c>
      <c r="I102" s="18" t="n">
        <v>0</v>
      </c>
      <c r="J102" s="18" t="n">
        <v>29500</v>
      </c>
      <c r="K102" s="37" t="n">
        <v>34000</v>
      </c>
      <c r="L102" s="18" t="n">
        <v>34000</v>
      </c>
      <c r="N102" s="18" t="n">
        <v>0</v>
      </c>
      <c r="O102" s="18" t="n">
        <v>1528.39</v>
      </c>
      <c r="P102" s="9" t="n"/>
      <c r="S102" s="18" t="n">
        <v>0</v>
      </c>
      <c r="T102" s="18" t="n">
        <v>0</v>
      </c>
      <c r="U102" s="9" t="n"/>
      <c r="X102" s="18" t="n">
        <v>0</v>
      </c>
      <c r="Y102" s="18" t="n">
        <v>0</v>
      </c>
      <c r="Z102" s="9" t="n"/>
      <c r="AB102" s="5" t="n"/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현금및현금성자산의증감</t>
        </is>
      </c>
      <c r="E103" s="18" t="n">
        <v>-2535.39</v>
      </c>
      <c r="F103" s="9" t="n"/>
      <c r="G103" s="18" t="n">
        <v>638.13</v>
      </c>
      <c r="H103" s="18" t="n">
        <v>1685.09</v>
      </c>
      <c r="I103" s="18" t="n">
        <v>987.03</v>
      </c>
      <c r="J103" s="18" t="n">
        <v>-1416.76</v>
      </c>
      <c r="K103" s="37" t="n">
        <v>1893.49</v>
      </c>
      <c r="L103" s="18" t="n">
        <v>1893.49</v>
      </c>
      <c r="M103" s="18" t="n">
        <v>-3137.53</v>
      </c>
      <c r="N103" s="18" t="n">
        <v>1131.13</v>
      </c>
      <c r="O103" s="18" t="n">
        <v>2324.09</v>
      </c>
      <c r="P103" s="37" t="n">
        <v>2211.18</v>
      </c>
      <c r="Q103" s="18" t="n">
        <v>-3606.13</v>
      </c>
      <c r="R103" s="18" t="n">
        <v>1807.87</v>
      </c>
      <c r="S103" s="18" t="n">
        <v>-1527.41</v>
      </c>
      <c r="T103" s="18" t="n">
        <v>5947.65</v>
      </c>
      <c r="U103" s="37" t="n">
        <v>2621.98</v>
      </c>
      <c r="V103" s="18" t="n">
        <v>5435.96</v>
      </c>
      <c r="W103" s="18" t="n">
        <v>-2295.88</v>
      </c>
      <c r="X103" s="18" t="n">
        <v>2059.58</v>
      </c>
      <c r="Y103" s="18" t="n">
        <v>-2196.98</v>
      </c>
      <c r="Z103" s="37" t="n">
        <v>3002.68</v>
      </c>
      <c r="AA103" s="18" t="n">
        <v>4215.53</v>
      </c>
      <c r="AB103" s="19" t="n">
        <v>-8483.26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기말현금및현금성자산</t>
        </is>
      </c>
      <c r="E104" s="18" t="n">
        <v>-2535.38</v>
      </c>
      <c r="F104" s="9" t="n"/>
      <c r="G104" s="18" t="n">
        <v>8664.299999999999</v>
      </c>
      <c r="H104" s="18" t="n">
        <v>1685.09</v>
      </c>
      <c r="I104" s="18" t="n">
        <v>987.02</v>
      </c>
      <c r="J104" s="18" t="n">
        <v>-1416.76</v>
      </c>
      <c r="K104" s="37" t="n">
        <v>9919.65</v>
      </c>
      <c r="L104" s="18" t="n">
        <v>9919.65</v>
      </c>
      <c r="M104" s="18" t="n">
        <v>-1244.04</v>
      </c>
      <c r="N104" s="18" t="n">
        <v>1131.13</v>
      </c>
      <c r="O104" s="18" t="n">
        <v>2324.09</v>
      </c>
      <c r="P104" s="37" t="n">
        <v>12130.83</v>
      </c>
      <c r="Q104" s="18" t="n">
        <v>8524.690000000001</v>
      </c>
      <c r="R104" s="18" t="n">
        <v>1807.88</v>
      </c>
      <c r="S104" s="18" t="n">
        <v>-1527.42</v>
      </c>
      <c r="T104" s="18" t="n">
        <v>5947.66</v>
      </c>
      <c r="U104" s="37" t="n">
        <v>14752.81</v>
      </c>
      <c r="V104" s="18" t="n">
        <v>20188.77</v>
      </c>
      <c r="W104" s="18" t="n">
        <v>-2295.88</v>
      </c>
      <c r="X104" s="18" t="n">
        <v>2059.58</v>
      </c>
      <c r="Y104" s="18" t="n">
        <v>-2196.98</v>
      </c>
      <c r="Z104" s="37" t="n">
        <v>17755.49</v>
      </c>
      <c r="AA104" s="18" t="n">
        <v>21971.02</v>
      </c>
      <c r="AB104" s="19" t="n">
        <v>-8483.26</v>
      </c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유동성장기부채의감소</t>
        </is>
      </c>
      <c r="F105" s="9" t="n"/>
      <c r="G105" s="18" t="n">
        <v>401.58</v>
      </c>
      <c r="H105" s="18" t="n">
        <v>405.84</v>
      </c>
      <c r="I105" s="18" t="n">
        <v>406.83</v>
      </c>
      <c r="J105" s="18" t="n">
        <v>407.49</v>
      </c>
      <c r="K105" s="37" t="n">
        <v>1621.74</v>
      </c>
      <c r="L105" s="18" t="n">
        <v>1621.74</v>
      </c>
      <c r="M105" s="18" t="n">
        <v>17209.15</v>
      </c>
      <c r="N105" s="18" t="n">
        <v>282.14</v>
      </c>
      <c r="P105" s="9" t="n"/>
      <c r="U105" s="9" t="n"/>
      <c r="Z105" s="9" t="n"/>
      <c r="AB105" s="5" t="n"/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리스부채의상환</t>
        </is>
      </c>
      <c r="F106" s="9" t="n"/>
      <c r="G106" s="18" t="n">
        <v>9.960000000000001</v>
      </c>
      <c r="H106" s="18" t="n">
        <v>10.06</v>
      </c>
      <c r="I106" s="18" t="n">
        <v>10.01</v>
      </c>
      <c r="J106" s="18" t="n">
        <v>11.18</v>
      </c>
      <c r="K106" s="37" t="n">
        <v>41.21</v>
      </c>
      <c r="L106" s="18" t="n">
        <v>41.21</v>
      </c>
      <c r="M106" s="18" t="n">
        <v>185.05</v>
      </c>
      <c r="N106" s="18" t="n">
        <v>113.88</v>
      </c>
      <c r="O106" s="18" t="n">
        <v>115.65</v>
      </c>
      <c r="P106" s="37" t="n">
        <v>455.79</v>
      </c>
      <c r="Q106" s="18" t="n">
        <v>117.44</v>
      </c>
      <c r="R106" s="18" t="n">
        <v>119.27</v>
      </c>
      <c r="S106" s="18" t="n">
        <v>121.12</v>
      </c>
      <c r="T106" s="18" t="n">
        <v>123.01</v>
      </c>
      <c r="U106" s="37" t="n">
        <v>480.84</v>
      </c>
      <c r="V106" s="18" t="n">
        <v>124.91</v>
      </c>
      <c r="W106" s="18" t="n">
        <v>126.85</v>
      </c>
      <c r="X106" s="18" t="n">
        <v>128.82</v>
      </c>
      <c r="Y106" s="18" t="n">
        <v>130.83</v>
      </c>
      <c r="Z106" s="37" t="n">
        <v>511.41</v>
      </c>
      <c r="AA106" s="18" t="n">
        <v>12.23</v>
      </c>
      <c r="AB106" s="19" t="n">
        <v>12.43</v>
      </c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  <row r="107">
      <c r="A107" t="n">
        <v>1</v>
      </c>
      <c r="C107" t="inlineStr">
        <is>
          <t>무형자산의증가</t>
        </is>
      </c>
      <c r="F107" s="9" t="n"/>
      <c r="K107" s="9" t="n"/>
      <c r="L107" s="18" t="n">
        <v>39.15</v>
      </c>
      <c r="N107" s="18" t="n">
        <v>0</v>
      </c>
      <c r="O107" s="18" t="n">
        <v>0</v>
      </c>
      <c r="P107" s="9" t="n"/>
      <c r="Q107" s="18" t="n">
        <v>466.02</v>
      </c>
      <c r="R107" s="18" t="n">
        <v>9.31</v>
      </c>
      <c r="S107" s="18" t="n">
        <v>0</v>
      </c>
      <c r="T107" s="18" t="n">
        <v>0</v>
      </c>
      <c r="U107" s="37" t="n">
        <v>475.33</v>
      </c>
      <c r="V107" s="18" t="n">
        <v>0</v>
      </c>
      <c r="W107" s="18" t="n">
        <v>0</v>
      </c>
      <c r="X107" s="18" t="n">
        <v>0</v>
      </c>
      <c r="Y107" s="18" t="n">
        <v>37.22</v>
      </c>
      <c r="Z107" s="37" t="n">
        <v>37.22</v>
      </c>
      <c r="AB107" s="5" t="n"/>
      <c r="AC107" s="10" t="n"/>
      <c r="AD107" s="10" t="n"/>
      <c r="AE107" s="11" t="n"/>
      <c r="AF107" s="10" t="n"/>
      <c r="AG107" s="10" t="n"/>
      <c r="AH107" s="10" t="n"/>
      <c r="AI107" s="10" t="n"/>
      <c r="AJ107" s="11" t="n"/>
      <c r="AK107" s="10" t="n"/>
      <c r="AL107" s="10" t="n"/>
      <c r="AM107" s="10" t="n"/>
      <c r="AN107" s="10" t="n"/>
      <c r="AO107" s="11" t="n"/>
    </row>
    <row r="108">
      <c r="A108" t="n">
        <v>1</v>
      </c>
      <c r="C108" t="inlineStr">
        <is>
          <t>배당금지급</t>
        </is>
      </c>
      <c r="F108" s="9" t="n"/>
      <c r="K108" s="9" t="n"/>
      <c r="N108" s="18" t="n">
        <v>0</v>
      </c>
      <c r="O108" s="18" t="n">
        <v>0</v>
      </c>
      <c r="P108" s="9" t="n"/>
      <c r="S108" s="18" t="n">
        <v>0</v>
      </c>
      <c r="T108" s="18" t="n">
        <v>0</v>
      </c>
      <c r="U108" s="9" t="n"/>
      <c r="X108" s="18" t="n">
        <v>0</v>
      </c>
      <c r="Y108" s="18" t="n">
        <v>0</v>
      </c>
      <c r="Z108" s="9" t="n"/>
      <c r="AB108" s="5" t="n"/>
      <c r="AC108" s="10" t="n"/>
      <c r="AD108" s="10" t="n"/>
      <c r="AE108" s="11" t="n"/>
      <c r="AF108" s="10" t="n"/>
      <c r="AG108" s="10" t="n"/>
      <c r="AH108" s="10" t="n"/>
      <c r="AI108" s="10" t="n"/>
      <c r="AJ108" s="11" t="n"/>
      <c r="AK108" s="10" t="n"/>
      <c r="AL108" s="10" t="n"/>
      <c r="AM108" s="10" t="n"/>
      <c r="AN108" s="10" t="n"/>
      <c r="AO108" s="11" t="n"/>
    </row>
    <row r="109">
      <c r="A109" t="n">
        <v>1</v>
      </c>
      <c r="C109" t="inlineStr">
        <is>
          <t>이자수취(CF)</t>
        </is>
      </c>
      <c r="F109" s="9" t="n"/>
      <c r="K109" s="9" t="n"/>
      <c r="O109" s="18" t="n">
        <v>176.88</v>
      </c>
      <c r="P109" s="9" t="n"/>
      <c r="Q109" s="18" t="n">
        <v>219.37</v>
      </c>
      <c r="R109" s="18" t="n">
        <v>221.03</v>
      </c>
      <c r="S109" s="18" t="n">
        <v>261.44</v>
      </c>
      <c r="T109" s="18" t="n">
        <v>304.13</v>
      </c>
      <c r="U109" s="37" t="n">
        <v>1005.97</v>
      </c>
      <c r="V109" s="18" t="n">
        <v>243.91</v>
      </c>
      <c r="W109" s="18" t="n">
        <v>203.77</v>
      </c>
      <c r="X109" s="18" t="n">
        <v>217.82</v>
      </c>
      <c r="Y109" s="18" t="n">
        <v>255.34</v>
      </c>
      <c r="Z109" s="37" t="n">
        <v>920.84</v>
      </c>
      <c r="AA109" s="18" t="n">
        <v>253.88</v>
      </c>
      <c r="AB109" s="19" t="n">
        <v>-840.45</v>
      </c>
      <c r="AC109" s="10" t="n"/>
      <c r="AD109" s="10" t="n"/>
      <c r="AE109" s="11" t="n"/>
      <c r="AF109" s="10" t="n"/>
      <c r="AG109" s="10" t="n"/>
      <c r="AH109" s="10" t="n"/>
      <c r="AI109" s="10" t="n"/>
      <c r="AJ109" s="11" t="n"/>
      <c r="AK109" s="10" t="n"/>
      <c r="AL109" s="10" t="n"/>
      <c r="AM109" s="10" t="n"/>
      <c r="AN109" s="10" t="n"/>
      <c r="AO109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오리엔탈정공(별)</t>
        </is>
      </c>
      <c r="C3" s="2" t="inlineStr">
        <is>
          <t>UPDATE: 26-10-12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34863.62</v>
      </c>
      <c r="F5" s="37" t="n">
        <v>34863.62</v>
      </c>
      <c r="G5" s="18" t="n">
        <v>38599.62</v>
      </c>
      <c r="H5" s="18" t="n">
        <v>40226.86</v>
      </c>
      <c r="I5" s="18" t="n">
        <v>40758.07</v>
      </c>
      <c r="J5" s="18" t="n">
        <v>40344.46</v>
      </c>
      <c r="K5" s="37" t="n">
        <v>40344.46</v>
      </c>
      <c r="L5" s="18" t="n">
        <v>41266.86</v>
      </c>
      <c r="M5" s="18" t="n">
        <v>39377.38</v>
      </c>
      <c r="N5" s="18" t="n">
        <v>40412.96</v>
      </c>
      <c r="O5" s="18" t="n">
        <v>42263.83</v>
      </c>
      <c r="P5" s="37" t="n">
        <v>42263.83</v>
      </c>
      <c r="Q5" s="18" t="n">
        <v>46114.52</v>
      </c>
      <c r="R5" s="18" t="n">
        <v>45365.92</v>
      </c>
      <c r="S5" s="18" t="n">
        <v>47285.46</v>
      </c>
      <c r="T5" s="18" t="n">
        <v>45877.96</v>
      </c>
      <c r="U5" s="37" t="n">
        <v>45877.96</v>
      </c>
      <c r="V5" s="18" t="n">
        <v>50976.21</v>
      </c>
      <c r="W5" s="18" t="n">
        <v>52003.48</v>
      </c>
      <c r="X5" s="18" t="n">
        <v>55012.28</v>
      </c>
      <c r="Y5" s="18" t="n">
        <v>53695.21</v>
      </c>
      <c r="Z5" s="37" t="n">
        <v>53695.21</v>
      </c>
      <c r="AA5" s="18" t="n">
        <v>54609.57</v>
      </c>
      <c r="AB5" s="19" t="n">
        <v>58781.87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6078.85</v>
      </c>
      <c r="F6" s="37" t="n">
        <v>6078.85</v>
      </c>
      <c r="G6" s="18" t="n">
        <v>8470.459999999999</v>
      </c>
      <c r="H6" s="18" t="n">
        <v>10036.39</v>
      </c>
      <c r="I6" s="18" t="n">
        <v>11124.62</v>
      </c>
      <c r="J6" s="18" t="n">
        <v>9815.24</v>
      </c>
      <c r="K6" s="37" t="n">
        <v>9815.24</v>
      </c>
      <c r="L6" s="18" t="n">
        <v>6040.3</v>
      </c>
      <c r="M6" s="18" t="n">
        <v>7618.16</v>
      </c>
      <c r="N6" s="18" t="n">
        <v>7884.28</v>
      </c>
      <c r="O6" s="18" t="n">
        <v>6266.78</v>
      </c>
      <c r="P6" s="37" t="n">
        <v>6266.78</v>
      </c>
      <c r="Q6" s="18" t="n">
        <v>4004.54</v>
      </c>
      <c r="R6" s="18" t="n">
        <v>3727.07</v>
      </c>
      <c r="S6" s="18" t="n">
        <v>3159.39</v>
      </c>
      <c r="T6" s="18" t="n">
        <v>6272.03</v>
      </c>
      <c r="U6" s="37" t="n">
        <v>6272.03</v>
      </c>
      <c r="V6" s="18" t="n">
        <v>10468.49</v>
      </c>
      <c r="W6" s="18" t="n">
        <v>6507.05</v>
      </c>
      <c r="X6" s="18" t="n">
        <v>9510.59</v>
      </c>
      <c r="Y6" s="18" t="n">
        <v>6945.42</v>
      </c>
      <c r="Z6" s="37" t="n">
        <v>6945.42</v>
      </c>
      <c r="AA6" s="18" t="n">
        <v>7019.47</v>
      </c>
      <c r="AB6" s="19" t="n">
        <v>8508.719999999999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6874.95</v>
      </c>
      <c r="F7" s="37" t="n">
        <v>6874.95</v>
      </c>
      <c r="G7" s="18" t="n">
        <v>7073.64</v>
      </c>
      <c r="H7" s="18" t="n">
        <v>7419.9</v>
      </c>
      <c r="I7" s="18" t="n">
        <v>6353.11</v>
      </c>
      <c r="J7" s="18" t="n">
        <v>5422.64</v>
      </c>
      <c r="K7" s="37" t="n">
        <v>5422.64</v>
      </c>
      <c r="L7" s="18" t="n">
        <v>6138.85</v>
      </c>
      <c r="M7" s="18" t="n">
        <v>7495.44</v>
      </c>
      <c r="N7" s="18" t="n">
        <v>5122.9</v>
      </c>
      <c r="O7" s="18" t="n">
        <v>7015.53</v>
      </c>
      <c r="P7" s="37" t="n">
        <v>7015.53</v>
      </c>
      <c r="Q7" s="18" t="n">
        <v>7583.27</v>
      </c>
      <c r="R7" s="18" t="n">
        <v>9345.15</v>
      </c>
      <c r="S7" s="18" t="n">
        <v>7845.51</v>
      </c>
      <c r="T7" s="18" t="n">
        <v>9367.32</v>
      </c>
      <c r="U7" s="37" t="n">
        <v>9367.32</v>
      </c>
      <c r="V7" s="18" t="n">
        <v>12136.12</v>
      </c>
      <c r="W7" s="18" t="n">
        <v>8930.67</v>
      </c>
      <c r="X7" s="18" t="n">
        <v>9311.450000000001</v>
      </c>
      <c r="Y7" s="18" t="n">
        <v>10637.78</v>
      </c>
      <c r="Z7" s="37" t="n">
        <v>10637.78</v>
      </c>
      <c r="AA7" s="18" t="n">
        <v>11164.58</v>
      </c>
      <c r="AB7" s="19" t="n">
        <v>11244.2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유동확정계약자산</t>
        </is>
      </c>
      <c r="E8" s="18" t="n">
        <v>99.86</v>
      </c>
      <c r="F8" s="37" t="n">
        <v>99.86</v>
      </c>
      <c r="G8" s="18" t="n">
        <v>30.91</v>
      </c>
      <c r="H8" s="18" t="n">
        <v>47.04</v>
      </c>
      <c r="I8" s="18" t="n">
        <v>83.97</v>
      </c>
      <c r="J8" s="18" t="n">
        <v>45.05</v>
      </c>
      <c r="K8" s="37" t="n">
        <v>45.05</v>
      </c>
      <c r="L8" s="18" t="n">
        <v>77.64</v>
      </c>
      <c r="M8" s="18" t="n">
        <v>108.82</v>
      </c>
      <c r="N8" s="18" t="n">
        <v>193.46</v>
      </c>
      <c r="P8" s="9" t="n"/>
      <c r="U8" s="9" t="n"/>
      <c r="Z8" s="9" t="n"/>
      <c r="AB8" s="5" t="n"/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단기금융자산</t>
        </is>
      </c>
      <c r="E9" s="18" t="n">
        <v>10286.75</v>
      </c>
      <c r="F9" s="37" t="n">
        <v>10286.75</v>
      </c>
      <c r="G9" s="18" t="n">
        <v>11705.77</v>
      </c>
      <c r="H9" s="18" t="n">
        <v>12207.84</v>
      </c>
      <c r="I9" s="18" t="n">
        <v>12753.97</v>
      </c>
      <c r="J9" s="18" t="n">
        <v>16225.88</v>
      </c>
      <c r="K9" s="37" t="n">
        <v>16225.88</v>
      </c>
      <c r="L9" s="18" t="n">
        <v>18405.7</v>
      </c>
      <c r="M9" s="18" t="n">
        <v>15279.49</v>
      </c>
      <c r="N9" s="18" t="n">
        <v>193.46</v>
      </c>
      <c r="P9" s="9" t="n"/>
      <c r="R9" s="18" t="n">
        <v>45.08</v>
      </c>
      <c r="S9" s="18" t="n">
        <v>12.06</v>
      </c>
      <c r="U9" s="9" t="n"/>
      <c r="W9" s="18" t="n">
        <v>17.94</v>
      </c>
      <c r="X9" s="18" t="n">
        <v>1.69</v>
      </c>
      <c r="Z9" s="9" t="n"/>
      <c r="AB9" s="5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기타유동자산</t>
        </is>
      </c>
      <c r="E10" s="18" t="n">
        <v>863.23</v>
      </c>
      <c r="F10" s="37" t="n">
        <v>863.23</v>
      </c>
      <c r="G10" s="18" t="n">
        <v>1238.66</v>
      </c>
      <c r="H10" s="18" t="n">
        <v>1004.51</v>
      </c>
      <c r="I10" s="18" t="n">
        <v>1093.62</v>
      </c>
      <c r="J10" s="18" t="n">
        <v>760.1799999999999</v>
      </c>
      <c r="K10" s="37" t="n">
        <v>760.1799999999999</v>
      </c>
      <c r="L10" s="18" t="n">
        <v>989.17</v>
      </c>
      <c r="M10" s="18" t="n">
        <v>668.91</v>
      </c>
      <c r="N10" s="18" t="n">
        <v>677.22</v>
      </c>
      <c r="O10" s="18" t="n">
        <v>743.52</v>
      </c>
      <c r="P10" s="37" t="n">
        <v>743.52</v>
      </c>
      <c r="Q10" s="18" t="n">
        <v>850.15</v>
      </c>
      <c r="R10" s="18" t="n">
        <v>725.87</v>
      </c>
      <c r="S10" s="18" t="n">
        <v>877.04</v>
      </c>
      <c r="T10" s="18" t="n">
        <v>979.45</v>
      </c>
      <c r="U10" s="37" t="n">
        <v>979.45</v>
      </c>
      <c r="V10" s="18" t="n">
        <v>1346.39</v>
      </c>
      <c r="W10" s="18" t="n">
        <v>1399.65</v>
      </c>
      <c r="X10" s="18" t="n">
        <v>892.04</v>
      </c>
      <c r="Y10" s="18" t="n">
        <v>1226.7</v>
      </c>
      <c r="Z10" s="37" t="n">
        <v>1226.7</v>
      </c>
      <c r="AA10" s="18" t="n">
        <v>1145.36</v>
      </c>
      <c r="AB10" s="19" t="n">
        <v>978.49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당기법인세자산(선급법인세)</t>
        </is>
      </c>
      <c r="E11" s="18" t="n">
        <v>0</v>
      </c>
      <c r="F11" s="37" t="n">
        <v>0</v>
      </c>
      <c r="K11" s="9" t="n"/>
      <c r="M11" s="18" t="n">
        <v>1.88</v>
      </c>
      <c r="N11" s="18" t="n">
        <v>271.53</v>
      </c>
      <c r="O11" s="18" t="n">
        <v>286.99</v>
      </c>
      <c r="P11" s="37" t="n">
        <v>286.99</v>
      </c>
      <c r="Q11" s="18" t="n">
        <v>247.84</v>
      </c>
      <c r="R11" s="18" t="n">
        <v>0</v>
      </c>
      <c r="S11" s="18" t="n">
        <v>0</v>
      </c>
      <c r="T11" s="18" t="n">
        <v>0</v>
      </c>
      <c r="U11" s="37" t="n">
        <v>0</v>
      </c>
      <c r="Y11" s="18" t="n">
        <v>0</v>
      </c>
      <c r="Z11" s="37" t="n">
        <v>0</v>
      </c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재고자산</t>
        </is>
      </c>
      <c r="E12" s="18" t="n">
        <v>10759.84</v>
      </c>
      <c r="F12" s="37" t="n">
        <v>10759.84</v>
      </c>
      <c r="G12" s="18" t="n">
        <v>10111.09</v>
      </c>
      <c r="H12" s="18" t="n">
        <v>9558.209999999999</v>
      </c>
      <c r="I12" s="18" t="n">
        <v>9432.75</v>
      </c>
      <c r="J12" s="18" t="n">
        <v>8120.52</v>
      </c>
      <c r="K12" s="37" t="n">
        <v>8120.52</v>
      </c>
      <c r="L12" s="18" t="n">
        <v>9692.84</v>
      </c>
      <c r="M12" s="18" t="n">
        <v>8313.5</v>
      </c>
      <c r="N12" s="18" t="n">
        <v>8111.01</v>
      </c>
      <c r="O12" s="18" t="n">
        <v>7035.17</v>
      </c>
      <c r="P12" s="37" t="n">
        <v>7035.17</v>
      </c>
      <c r="Q12" s="18" t="n">
        <v>10072.44</v>
      </c>
      <c r="R12" s="18" t="n">
        <v>8255.76</v>
      </c>
      <c r="S12" s="18" t="n">
        <v>9123.690000000001</v>
      </c>
      <c r="T12" s="18" t="n">
        <v>7983.81</v>
      </c>
      <c r="U12" s="37" t="n">
        <v>7983.81</v>
      </c>
      <c r="V12" s="18" t="n">
        <v>8823.059999999999</v>
      </c>
      <c r="W12" s="18" t="n">
        <v>9937.200000000001</v>
      </c>
      <c r="X12" s="18" t="n">
        <v>9784.75</v>
      </c>
      <c r="Y12" s="18" t="n">
        <v>10193.16</v>
      </c>
      <c r="Z12" s="37" t="n">
        <v>10193.16</v>
      </c>
      <c r="AA12" s="18" t="n">
        <v>9606.23</v>
      </c>
      <c r="AB12" s="19" t="n">
        <v>9923.32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62062.65</v>
      </c>
      <c r="F13" s="37" t="n">
        <v>62062.65</v>
      </c>
      <c r="G13" s="18" t="n">
        <v>61999.58</v>
      </c>
      <c r="H13" s="18" t="n">
        <v>61930.36</v>
      </c>
      <c r="I13" s="18" t="n">
        <v>61860.81</v>
      </c>
      <c r="J13" s="18" t="n">
        <v>60838.16</v>
      </c>
      <c r="K13" s="37" t="n">
        <v>60838.16</v>
      </c>
      <c r="L13" s="18" t="n">
        <v>60687.97</v>
      </c>
      <c r="M13" s="18" t="n">
        <v>60924.64</v>
      </c>
      <c r="N13" s="18" t="n">
        <v>60781.93</v>
      </c>
      <c r="O13" s="18" t="n">
        <v>60486.61</v>
      </c>
      <c r="P13" s="37" t="n">
        <v>60486.61</v>
      </c>
      <c r="Q13" s="18" t="n">
        <v>60862.26</v>
      </c>
      <c r="R13" s="18" t="n">
        <v>61077.03</v>
      </c>
      <c r="S13" s="18" t="n">
        <v>60909.13</v>
      </c>
      <c r="T13" s="18" t="n">
        <v>65334.92</v>
      </c>
      <c r="U13" s="37" t="n">
        <v>65334.92</v>
      </c>
      <c r="V13" s="18" t="n">
        <v>65336.01</v>
      </c>
      <c r="W13" s="18" t="n">
        <v>67700.45</v>
      </c>
      <c r="X13" s="18" t="n">
        <v>67716.71000000001</v>
      </c>
      <c r="Y13" s="18" t="n">
        <v>72789.28</v>
      </c>
      <c r="Z13" s="37" t="n">
        <v>72789.28</v>
      </c>
      <c r="AA13" s="18" t="n">
        <v>73202.84</v>
      </c>
      <c r="AB13" s="19" t="n">
        <v>73214.23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장기매출채권및기타채권</t>
        </is>
      </c>
      <c r="E14" s="18" t="n">
        <v>21.42</v>
      </c>
      <c r="F14" s="37" t="n">
        <v>21.42</v>
      </c>
      <c r="G14" s="18" t="n">
        <v>21.46</v>
      </c>
      <c r="H14" s="18" t="n">
        <v>21.71</v>
      </c>
      <c r="I14" s="18" t="n">
        <v>21.96</v>
      </c>
      <c r="J14" s="18" t="n">
        <v>0</v>
      </c>
      <c r="K14" s="37" t="n">
        <v>0</v>
      </c>
      <c r="M14" s="18" t="n">
        <v>5</v>
      </c>
      <c r="N14" s="18" t="n">
        <v>5</v>
      </c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201.7</v>
      </c>
      <c r="F15" s="37" t="n">
        <v>201.7</v>
      </c>
      <c r="G15" s="18" t="n">
        <v>180.82</v>
      </c>
      <c r="H15" s="18" t="n">
        <v>183.88</v>
      </c>
      <c r="I15" s="18" t="n">
        <v>185.25</v>
      </c>
      <c r="J15" s="18" t="n">
        <v>183.69</v>
      </c>
      <c r="K15" s="37" t="n">
        <v>183.69</v>
      </c>
      <c r="L15" s="18" t="n">
        <v>180.83</v>
      </c>
      <c r="M15" s="18" t="n">
        <v>189.02</v>
      </c>
      <c r="N15" s="18" t="n">
        <v>189.4</v>
      </c>
      <c r="O15" s="18" t="n">
        <v>189.4</v>
      </c>
      <c r="P15" s="37" t="n">
        <v>189.4</v>
      </c>
      <c r="Q15" s="18" t="n">
        <v>189.4</v>
      </c>
      <c r="R15" s="18" t="n">
        <v>189.4</v>
      </c>
      <c r="S15" s="18" t="n">
        <v>189.4</v>
      </c>
      <c r="T15" s="18" t="n">
        <v>189.4</v>
      </c>
      <c r="U15" s="37" t="n">
        <v>189.4</v>
      </c>
      <c r="V15" s="18" t="n">
        <v>189.4</v>
      </c>
      <c r="W15" s="18" t="n">
        <v>189.4</v>
      </c>
      <c r="X15" s="18" t="n">
        <v>189.4</v>
      </c>
      <c r="Y15" s="18" t="n">
        <v>189.4</v>
      </c>
      <c r="Z15" s="37" t="n">
        <v>189.4</v>
      </c>
      <c r="AA15" s="18" t="n">
        <v>189.4</v>
      </c>
      <c r="AB15" s="19" t="n">
        <v>189.4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32199.15</v>
      </c>
      <c r="F16" s="37" t="n">
        <v>32199.15</v>
      </c>
      <c r="G16" s="18" t="n">
        <v>32178.27</v>
      </c>
      <c r="H16" s="18" t="n">
        <v>32181.33</v>
      </c>
      <c r="I16" s="18" t="n">
        <v>32182.7</v>
      </c>
      <c r="J16" s="18" t="n">
        <v>30815.3</v>
      </c>
      <c r="K16" s="37" t="n">
        <v>30815.3</v>
      </c>
      <c r="L16" s="18" t="n">
        <v>30812.44</v>
      </c>
      <c r="M16" s="18" t="n">
        <v>30820.63</v>
      </c>
      <c r="N16" s="18" t="n">
        <v>30821.01</v>
      </c>
      <c r="O16" s="18" t="n">
        <v>30821.01</v>
      </c>
      <c r="P16" s="37" t="n">
        <v>30821.01</v>
      </c>
      <c r="Q16" s="18" t="n">
        <v>30821.01</v>
      </c>
      <c r="R16" s="18" t="n">
        <v>30821.01</v>
      </c>
      <c r="S16" s="18" t="n">
        <v>30821.01</v>
      </c>
      <c r="T16" s="18" t="n">
        <v>30821.01</v>
      </c>
      <c r="U16" s="37" t="n">
        <v>30821.01</v>
      </c>
      <c r="V16" s="18" t="n">
        <v>30821.01</v>
      </c>
      <c r="W16" s="18" t="n">
        <v>30172.61</v>
      </c>
      <c r="X16" s="18" t="n">
        <v>30172.61</v>
      </c>
      <c r="Y16" s="18" t="n">
        <v>30172.61</v>
      </c>
      <c r="Z16" s="37" t="n">
        <v>30172.61</v>
      </c>
      <c r="AA16" s="18" t="n">
        <v>30172.61</v>
      </c>
      <c r="AB16" s="19" t="n">
        <v>189.4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종속기업및관계기업투자</t>
        </is>
      </c>
      <c r="E17" s="18" t="n">
        <v>31997.45</v>
      </c>
      <c r="F17" s="37" t="n">
        <v>31997.45</v>
      </c>
      <c r="G17" s="18" t="n">
        <v>31997.45</v>
      </c>
      <c r="H17" s="18" t="n">
        <v>31997.45</v>
      </c>
      <c r="I17" s="18" t="n">
        <v>31997.45</v>
      </c>
      <c r="J17" s="18" t="n">
        <v>30631.61</v>
      </c>
      <c r="K17" s="37" t="n">
        <v>30631.61</v>
      </c>
      <c r="L17" s="18" t="n">
        <v>30631.61</v>
      </c>
      <c r="M17" s="18" t="n">
        <v>30631.61</v>
      </c>
      <c r="N17" s="18" t="n">
        <v>30631.61</v>
      </c>
      <c r="O17" s="18" t="n">
        <v>30631.61</v>
      </c>
      <c r="P17" s="37" t="n">
        <v>30631.61</v>
      </c>
      <c r="Q17" s="18" t="n">
        <v>30631.61</v>
      </c>
      <c r="R17" s="18" t="n">
        <v>30631.61</v>
      </c>
      <c r="S17" s="18" t="n">
        <v>30631.61</v>
      </c>
      <c r="T17" s="18" t="n">
        <v>30631.61</v>
      </c>
      <c r="U17" s="37" t="n">
        <v>30631.61</v>
      </c>
      <c r="V17" s="18" t="n">
        <v>30631.61</v>
      </c>
      <c r="W17" s="18" t="n">
        <v>29983.21</v>
      </c>
      <c r="X17" s="18" t="n">
        <v>29983.21</v>
      </c>
      <c r="Y17" s="18" t="n">
        <v>29983.21</v>
      </c>
      <c r="Z17" s="37" t="n">
        <v>29983.21</v>
      </c>
      <c r="AA17" s="18" t="n">
        <v>29983.21</v>
      </c>
      <c r="AB17" s="5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29281.97</v>
      </c>
      <c r="F18" s="37" t="n">
        <v>29281.97</v>
      </c>
      <c r="G18" s="18" t="n">
        <v>29246.06</v>
      </c>
      <c r="H18" s="18" t="n">
        <v>29179.85</v>
      </c>
      <c r="I18" s="18" t="n">
        <v>29115.01</v>
      </c>
      <c r="J18" s="18" t="n">
        <v>29058.61</v>
      </c>
      <c r="K18" s="37" t="n">
        <v>29058.61</v>
      </c>
      <c r="L18" s="18" t="n">
        <v>29052.18</v>
      </c>
      <c r="M18" s="18" t="n">
        <v>29012.35</v>
      </c>
      <c r="N18" s="18" t="n">
        <v>28984.91</v>
      </c>
      <c r="O18" s="18" t="n">
        <v>28962.29</v>
      </c>
      <c r="P18" s="37" t="n">
        <v>28962.29</v>
      </c>
      <c r="Q18" s="18" t="n">
        <v>28911.51</v>
      </c>
      <c r="R18" s="18" t="n">
        <v>28885.93</v>
      </c>
      <c r="S18" s="18" t="n">
        <v>28849.78</v>
      </c>
      <c r="T18" s="18" t="n">
        <v>33372.83</v>
      </c>
      <c r="U18" s="37" t="n">
        <v>33372.83</v>
      </c>
      <c r="V18" s="18" t="n">
        <v>33386.09</v>
      </c>
      <c r="W18" s="18" t="n">
        <v>36391.64</v>
      </c>
      <c r="X18" s="18" t="n">
        <v>36419.08</v>
      </c>
      <c r="Y18" s="18" t="n">
        <v>41471.45</v>
      </c>
      <c r="Z18" s="37" t="n">
        <v>41471.45</v>
      </c>
      <c r="AA18" s="18" t="n">
        <v>41883.61</v>
      </c>
      <c r="AB18" s="19" t="n">
        <v>41915.03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무형자산</t>
        </is>
      </c>
      <c r="E19" s="18" t="n">
        <v>336.97</v>
      </c>
      <c r="F19" s="37" t="n">
        <v>336.97</v>
      </c>
      <c r="G19" s="18" t="n">
        <v>336.97</v>
      </c>
      <c r="H19" s="18" t="n">
        <v>336.97</v>
      </c>
      <c r="I19" s="18" t="n">
        <v>336.97</v>
      </c>
      <c r="J19" s="18" t="n">
        <v>357.05</v>
      </c>
      <c r="K19" s="37" t="n">
        <v>357.05</v>
      </c>
      <c r="L19" s="18" t="n">
        <v>356.4</v>
      </c>
      <c r="M19" s="18" t="n">
        <v>355.76</v>
      </c>
      <c r="N19" s="18" t="n">
        <v>355.11</v>
      </c>
      <c r="O19" s="18" t="n">
        <v>354.46</v>
      </c>
      <c r="P19" s="37" t="n">
        <v>354.46</v>
      </c>
      <c r="Q19" s="18" t="n">
        <v>819.84</v>
      </c>
      <c r="R19" s="18" t="n">
        <v>828.5</v>
      </c>
      <c r="S19" s="18" t="n">
        <v>827.86</v>
      </c>
      <c r="T19" s="18" t="n">
        <v>827.21</v>
      </c>
      <c r="U19" s="37" t="n">
        <v>827.21</v>
      </c>
      <c r="V19" s="18" t="n">
        <v>826.5599999999999</v>
      </c>
      <c r="W19" s="18" t="n">
        <v>825.92</v>
      </c>
      <c r="X19" s="18" t="n">
        <v>825.27</v>
      </c>
      <c r="Y19" s="18" t="n">
        <v>842.74</v>
      </c>
      <c r="Z19" s="37" t="n">
        <v>842.74</v>
      </c>
      <c r="AA19" s="18" t="n">
        <v>861.12</v>
      </c>
      <c r="AB19" s="19" t="n">
        <v>859.25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사용권자산</t>
        </is>
      </c>
      <c r="E20" s="18" t="n">
        <v>33.76</v>
      </c>
      <c r="F20" s="37" t="n">
        <v>33.76</v>
      </c>
      <c r="G20" s="18" t="n">
        <v>27.43</v>
      </c>
      <c r="H20" s="18" t="n">
        <v>21.1</v>
      </c>
      <c r="I20" s="18" t="n">
        <v>14.77</v>
      </c>
      <c r="J20" s="18" t="n">
        <v>173.37</v>
      </c>
      <c r="K20" s="37" t="n">
        <v>173.37</v>
      </c>
      <c r="L20" s="18" t="n">
        <v>162.03</v>
      </c>
      <c r="M20" s="18" t="n">
        <v>150.69</v>
      </c>
      <c r="N20" s="18" t="n">
        <v>139.35</v>
      </c>
      <c r="O20" s="18" t="n">
        <v>128</v>
      </c>
      <c r="P20" s="37" t="n">
        <v>128</v>
      </c>
      <c r="Q20" s="18" t="n">
        <v>116.66</v>
      </c>
      <c r="R20" s="18" t="n">
        <v>105.32</v>
      </c>
      <c r="S20" s="18" t="n">
        <v>93.98</v>
      </c>
      <c r="T20" s="18" t="n">
        <v>82.64</v>
      </c>
      <c r="U20" s="37" t="n">
        <v>82.64</v>
      </c>
      <c r="V20" s="18" t="n">
        <v>71.3</v>
      </c>
      <c r="W20" s="18" t="n">
        <v>59.96</v>
      </c>
      <c r="X20" s="18" t="n">
        <v>48.62</v>
      </c>
      <c r="Y20" s="18" t="n">
        <v>37.28</v>
      </c>
      <c r="Z20" s="37" t="n">
        <v>37.28</v>
      </c>
      <c r="AA20" s="18" t="n">
        <v>26.99</v>
      </c>
      <c r="AB20" s="19" t="n">
        <v>16.7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기타비유동자산</t>
        </is>
      </c>
      <c r="E21" s="18" t="n">
        <v>33.76</v>
      </c>
      <c r="F21" s="37" t="n">
        <v>33.76</v>
      </c>
      <c r="G21" s="18" t="n">
        <v>27.43</v>
      </c>
      <c r="H21" s="18" t="n">
        <v>21.1</v>
      </c>
      <c r="I21" s="18" t="n">
        <v>14.77</v>
      </c>
      <c r="J21" s="18" t="n">
        <v>417.8</v>
      </c>
      <c r="K21" s="37" t="n">
        <v>417.8</v>
      </c>
      <c r="L21" s="18" t="n">
        <v>277.55</v>
      </c>
      <c r="M21" s="18" t="n">
        <v>541.51</v>
      </c>
      <c r="N21" s="18" t="n">
        <v>410.72</v>
      </c>
      <c r="O21" s="18" t="n">
        <v>128</v>
      </c>
      <c r="P21" s="37" t="n">
        <v>128</v>
      </c>
      <c r="Q21" s="18" t="n">
        <v>116.66</v>
      </c>
      <c r="R21" s="18" t="n">
        <v>340.16</v>
      </c>
      <c r="S21" s="18" t="n">
        <v>189.4</v>
      </c>
      <c r="T21" s="18" t="n">
        <v>82.64</v>
      </c>
      <c r="U21" s="37" t="n">
        <v>82.64</v>
      </c>
      <c r="V21" s="18" t="n">
        <v>71.3</v>
      </c>
      <c r="W21" s="18" t="n">
        <v>59.96</v>
      </c>
      <c r="X21" s="18" t="n">
        <v>48.62</v>
      </c>
      <c r="Y21" s="18" t="n">
        <v>62.17</v>
      </c>
      <c r="Z21" s="37" t="n">
        <v>62.17</v>
      </c>
      <c r="AA21" s="18" t="n">
        <v>26.99</v>
      </c>
      <c r="AB21" s="19" t="n">
        <v>16.7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96926.28</v>
      </c>
      <c r="F22" s="37" t="n">
        <v>96926.28</v>
      </c>
      <c r="G22" s="18" t="n">
        <v>100599.2</v>
      </c>
      <c r="H22" s="18" t="n">
        <v>102157.21</v>
      </c>
      <c r="I22" s="18" t="n">
        <v>102618.88</v>
      </c>
      <c r="J22" s="18" t="n">
        <v>101182.62</v>
      </c>
      <c r="K22" s="37" t="n">
        <v>101182.62</v>
      </c>
      <c r="L22" s="18" t="n">
        <v>101954.83</v>
      </c>
      <c r="M22" s="18" t="n">
        <v>100302.02</v>
      </c>
      <c r="N22" s="18" t="n">
        <v>101194.88</v>
      </c>
      <c r="O22" s="18" t="n">
        <v>102750.44</v>
      </c>
      <c r="P22" s="37" t="n">
        <v>102750.44</v>
      </c>
      <c r="Q22" s="18" t="n">
        <v>106976.78</v>
      </c>
      <c r="R22" s="18" t="n">
        <v>106442.95</v>
      </c>
      <c r="S22" s="18" t="n">
        <v>108194.59</v>
      </c>
      <c r="T22" s="18" t="n">
        <v>111212.88</v>
      </c>
      <c r="U22" s="37" t="n">
        <v>111212.88</v>
      </c>
      <c r="V22" s="18" t="n">
        <v>116312.22</v>
      </c>
      <c r="W22" s="18" t="n">
        <v>119703.93</v>
      </c>
      <c r="X22" s="18" t="n">
        <v>122728.99</v>
      </c>
      <c r="Y22" s="18" t="n">
        <v>126484.49</v>
      </c>
      <c r="Z22" s="37" t="n">
        <v>126484.49</v>
      </c>
      <c r="AA22" s="18" t="n">
        <v>127812.42</v>
      </c>
      <c r="AB22" s="19" t="n">
        <v>131996.11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13835.88</v>
      </c>
      <c r="F23" s="37" t="n">
        <v>13835.88</v>
      </c>
      <c r="G23" s="18" t="n">
        <v>14937.73</v>
      </c>
      <c r="H23" s="18" t="n">
        <v>12828.58</v>
      </c>
      <c r="I23" s="18" t="n">
        <v>11201.99</v>
      </c>
      <c r="J23" s="18" t="n">
        <v>10234.62</v>
      </c>
      <c r="K23" s="37" t="n">
        <v>10234.62</v>
      </c>
      <c r="L23" s="18" t="n">
        <v>12444.18</v>
      </c>
      <c r="M23" s="18" t="n">
        <v>9821.209999999999</v>
      </c>
      <c r="N23" s="18" t="n">
        <v>9396.73</v>
      </c>
      <c r="O23" s="18" t="n">
        <v>10249.09</v>
      </c>
      <c r="P23" s="37" t="n">
        <v>10249.09</v>
      </c>
      <c r="Q23" s="18" t="n">
        <v>14536.81</v>
      </c>
      <c r="R23" s="18" t="n">
        <v>12131.84</v>
      </c>
      <c r="S23" s="18" t="n">
        <v>12748.51</v>
      </c>
      <c r="T23" s="18" t="n">
        <v>14825.21</v>
      </c>
      <c r="U23" s="37" t="n">
        <v>14825.21</v>
      </c>
      <c r="V23" s="18" t="n">
        <v>20168.1</v>
      </c>
      <c r="W23" s="18" t="n">
        <v>18207.92</v>
      </c>
      <c r="X23" s="18" t="n">
        <v>19265.23</v>
      </c>
      <c r="Y23" s="18" t="n">
        <v>22570.82</v>
      </c>
      <c r="Z23" s="37" t="n">
        <v>22570.82</v>
      </c>
      <c r="AA23" s="18" t="n">
        <v>20479.05</v>
      </c>
      <c r="AB23" s="19" t="n">
        <v>20950.13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6427.34</v>
      </c>
      <c r="F24" s="37" t="n">
        <v>6427.34</v>
      </c>
      <c r="G24" s="18" t="n">
        <v>7670.21</v>
      </c>
      <c r="H24" s="18" t="n">
        <v>6700.99</v>
      </c>
      <c r="I24" s="18" t="n">
        <v>6020.75</v>
      </c>
      <c r="J24" s="18" t="n">
        <v>5572.37</v>
      </c>
      <c r="K24" s="37" t="n">
        <v>5572.37</v>
      </c>
      <c r="L24" s="18" t="n">
        <v>5697.75</v>
      </c>
      <c r="M24" s="18" t="n">
        <v>5673.34</v>
      </c>
      <c r="N24" s="18" t="n">
        <v>5460.01</v>
      </c>
      <c r="O24" s="18" t="n">
        <v>6199.65</v>
      </c>
      <c r="P24" s="37" t="n">
        <v>6199.65</v>
      </c>
      <c r="Q24" s="18" t="n">
        <v>7669.04</v>
      </c>
      <c r="R24" s="18" t="n">
        <v>7659.53</v>
      </c>
      <c r="S24" s="18" t="n">
        <v>7372.82</v>
      </c>
      <c r="T24" s="18" t="n">
        <v>9087.35</v>
      </c>
      <c r="U24" s="37" t="n">
        <v>9087.35</v>
      </c>
      <c r="V24" s="18" t="n">
        <v>8428.639999999999</v>
      </c>
      <c r="W24" s="18" t="n">
        <v>9467.52</v>
      </c>
      <c r="X24" s="18" t="n">
        <v>8940.049999999999</v>
      </c>
      <c r="Y24" s="18" t="n">
        <v>10980.4</v>
      </c>
      <c r="Z24" s="37" t="n">
        <v>10980.4</v>
      </c>
      <c r="AA24" s="18" t="n">
        <v>9689.530000000001</v>
      </c>
      <c r="AB24" s="19" t="n">
        <v>10158.64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단기차입금</t>
        </is>
      </c>
      <c r="E25" s="18" t="n">
        <v>0</v>
      </c>
      <c r="F25" s="37" t="n">
        <v>0</v>
      </c>
      <c r="K25" s="9" t="n"/>
      <c r="P25" s="9" t="n"/>
      <c r="U25" s="9" t="n"/>
      <c r="Z25" s="9" t="n"/>
      <c r="AB25" s="5" t="n"/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기타유동부채</t>
        </is>
      </c>
      <c r="E26" s="18" t="n">
        <v>674.9</v>
      </c>
      <c r="F26" s="37" t="n">
        <v>674.9</v>
      </c>
      <c r="G26" s="18" t="n">
        <v>1162.19</v>
      </c>
      <c r="H26" s="18" t="n">
        <v>1102.94</v>
      </c>
      <c r="I26" s="18" t="n">
        <v>761.96</v>
      </c>
      <c r="J26" s="18" t="n">
        <v>585.4400000000001</v>
      </c>
      <c r="K26" s="37" t="n">
        <v>585.4400000000001</v>
      </c>
      <c r="L26" s="18" t="n">
        <v>2722.64</v>
      </c>
      <c r="M26" s="18" t="n">
        <v>464.21</v>
      </c>
      <c r="N26" s="18" t="n">
        <v>489.6</v>
      </c>
      <c r="O26" s="18" t="n">
        <v>690.1799999999999</v>
      </c>
      <c r="P26" s="37" t="n">
        <v>690.1799999999999</v>
      </c>
      <c r="Q26" s="18" t="n">
        <v>2883.02</v>
      </c>
      <c r="R26" s="18" t="n">
        <v>261.97</v>
      </c>
      <c r="S26" s="18" t="n">
        <v>412.81</v>
      </c>
      <c r="T26" s="18" t="n">
        <v>568.85</v>
      </c>
      <c r="U26" s="37" t="n">
        <v>568.85</v>
      </c>
      <c r="V26" s="18" t="n">
        <v>5058.27</v>
      </c>
      <c r="W26" s="18" t="n">
        <v>492.79</v>
      </c>
      <c r="X26" s="18" t="n">
        <v>956.05</v>
      </c>
      <c r="Y26" s="18" t="n">
        <v>857.4400000000001</v>
      </c>
      <c r="Z26" s="37" t="n">
        <v>857.4400000000001</v>
      </c>
      <c r="AA26" s="18" t="n">
        <v>347.45</v>
      </c>
      <c r="AB26" s="19" t="n">
        <v>495.78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계약부채</t>
        </is>
      </c>
      <c r="E27" s="18" t="n">
        <v>4400.26</v>
      </c>
      <c r="F27" s="37" t="n">
        <v>4400.26</v>
      </c>
      <c r="G27" s="18" t="n">
        <v>3683.08</v>
      </c>
      <c r="H27" s="18" t="n">
        <v>4105.39</v>
      </c>
      <c r="I27" s="18" t="n">
        <v>3661.31</v>
      </c>
      <c r="J27" s="18" t="n">
        <v>3468.37</v>
      </c>
      <c r="K27" s="37" t="n">
        <v>3468.37</v>
      </c>
      <c r="L27" s="18" t="n">
        <v>3624.85</v>
      </c>
      <c r="M27" s="18" t="n">
        <v>3525.84</v>
      </c>
      <c r="N27" s="18" t="n">
        <v>3292.73</v>
      </c>
      <c r="O27" s="18" t="n">
        <v>3182.06</v>
      </c>
      <c r="P27" s="37" t="n">
        <v>3182.06</v>
      </c>
      <c r="Q27" s="18" t="n">
        <v>3774.5</v>
      </c>
      <c r="R27" s="18" t="n">
        <v>3888.23</v>
      </c>
      <c r="S27" s="18" t="n">
        <v>4618.13</v>
      </c>
      <c r="T27" s="18" t="n">
        <v>4743.83</v>
      </c>
      <c r="U27" s="37" t="n">
        <v>4743.83</v>
      </c>
      <c r="V27" s="18" t="n">
        <v>5913.26</v>
      </c>
      <c r="W27" s="18" t="n">
        <v>6166.57</v>
      </c>
      <c r="X27" s="18" t="n">
        <v>6804.6</v>
      </c>
      <c r="Y27" s="18" t="n">
        <v>8195.91</v>
      </c>
      <c r="Z27" s="37" t="n">
        <v>8195.91</v>
      </c>
      <c r="AA27" s="18" t="n">
        <v>8031.46</v>
      </c>
      <c r="AB27" s="19" t="n">
        <v>8103.11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단기충당부채</t>
        </is>
      </c>
      <c r="E28" s="18" t="n">
        <v>1651.04</v>
      </c>
      <c r="F28" s="37" t="n">
        <v>1651.04</v>
      </c>
      <c r="G28" s="18" t="n">
        <v>1658.65</v>
      </c>
      <c r="H28" s="18" t="n">
        <v>165.14</v>
      </c>
      <c r="I28" s="18" t="n">
        <v>174.95</v>
      </c>
      <c r="J28" s="18" t="n">
        <v>182.58</v>
      </c>
      <c r="K28" s="37" t="n">
        <v>182.58</v>
      </c>
      <c r="L28" s="18" t="n">
        <v>116.4</v>
      </c>
      <c r="M28" s="18" t="n">
        <v>114.88</v>
      </c>
      <c r="N28" s="18" t="n">
        <v>110.79</v>
      </c>
      <c r="O28" s="18" t="n">
        <v>132.91</v>
      </c>
      <c r="P28" s="37" t="n">
        <v>132.91</v>
      </c>
      <c r="Q28" s="18" t="n">
        <v>165.27</v>
      </c>
      <c r="R28" s="18" t="n">
        <v>174.58</v>
      </c>
      <c r="S28" s="18" t="n">
        <v>182.6</v>
      </c>
      <c r="T28" s="18" t="n">
        <v>189.64</v>
      </c>
      <c r="U28" s="37" t="n">
        <v>189.64</v>
      </c>
      <c r="V28" s="18" t="n">
        <v>149.29</v>
      </c>
      <c r="W28" s="18" t="n">
        <v>183.7</v>
      </c>
      <c r="X28" s="18" t="n">
        <v>188.6</v>
      </c>
      <c r="Y28" s="18" t="n">
        <v>192.51</v>
      </c>
      <c r="Z28" s="37" t="n">
        <v>192.51</v>
      </c>
      <c r="AA28" s="18" t="n">
        <v>169.08</v>
      </c>
      <c r="AB28" s="19" t="n">
        <v>201.33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당기법인세부채(미지급법인세)</t>
        </is>
      </c>
      <c r="E29" s="18" t="n">
        <v>160.44</v>
      </c>
      <c r="F29" s="37" t="n">
        <v>160.44</v>
      </c>
      <c r="G29" s="18" t="n">
        <v>341.14</v>
      </c>
      <c r="H29" s="18" t="n">
        <v>433.85</v>
      </c>
      <c r="I29" s="18" t="n">
        <v>369.04</v>
      </c>
      <c r="J29" s="18" t="n">
        <v>424.08</v>
      </c>
      <c r="K29" s="37" t="n">
        <v>424.08</v>
      </c>
      <c r="L29" s="18" t="n">
        <v>239.73</v>
      </c>
      <c r="M29" s="18" t="n">
        <v>0</v>
      </c>
      <c r="N29" s="18" t="n">
        <v>0</v>
      </c>
      <c r="O29" s="18" t="n">
        <v>0</v>
      </c>
      <c r="P29" s="37" t="n">
        <v>0</v>
      </c>
      <c r="R29" s="18" t="n">
        <v>101.87</v>
      </c>
      <c r="S29" s="18" t="n">
        <v>115.78</v>
      </c>
      <c r="T29" s="18" t="n">
        <v>32.8</v>
      </c>
      <c r="U29" s="37" t="n">
        <v>32.8</v>
      </c>
      <c r="V29" s="18" t="n">
        <v>466.3</v>
      </c>
      <c r="W29" s="18" t="n">
        <v>1848.78</v>
      </c>
      <c r="X29" s="18" t="n">
        <v>2326.6</v>
      </c>
      <c r="Y29" s="18" t="n">
        <v>2302</v>
      </c>
      <c r="Z29" s="37" t="n">
        <v>2302</v>
      </c>
      <c r="AA29" s="18" t="n">
        <v>2211.21</v>
      </c>
      <c r="AB29" s="19" t="n">
        <v>1973.36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유동리스부채</t>
        </is>
      </c>
      <c r="E30" s="18" t="n">
        <v>25.65</v>
      </c>
      <c r="F30" s="37" t="n">
        <v>25.65</v>
      </c>
      <c r="G30" s="18" t="n">
        <v>25.94</v>
      </c>
      <c r="H30" s="18" t="n">
        <v>22.43</v>
      </c>
      <c r="I30" s="18" t="n">
        <v>15.98</v>
      </c>
      <c r="J30" s="18" t="n">
        <v>0</v>
      </c>
      <c r="K30" s="37" t="n">
        <v>0</v>
      </c>
      <c r="L30" s="18" t="n">
        <v>42.28</v>
      </c>
      <c r="M30" s="18" t="n">
        <v>42.94</v>
      </c>
      <c r="N30" s="18" t="n">
        <v>43.6</v>
      </c>
      <c r="O30" s="18" t="n">
        <v>44.28</v>
      </c>
      <c r="P30" s="37" t="n">
        <v>44.28</v>
      </c>
      <c r="Q30" s="18" t="n">
        <v>44.97</v>
      </c>
      <c r="R30" s="18" t="n">
        <v>45.67</v>
      </c>
      <c r="S30" s="18" t="n">
        <v>46.38</v>
      </c>
      <c r="T30" s="18" t="n">
        <v>47.1</v>
      </c>
      <c r="U30" s="37" t="n">
        <v>47.1</v>
      </c>
      <c r="V30" s="18" t="n">
        <v>47.83</v>
      </c>
      <c r="W30" s="18" t="n">
        <v>48.57</v>
      </c>
      <c r="X30" s="18" t="n">
        <v>49.32</v>
      </c>
      <c r="Y30" s="18" t="n">
        <v>42.55</v>
      </c>
      <c r="Z30" s="37" t="n">
        <v>42.55</v>
      </c>
      <c r="AA30" s="18" t="n">
        <v>30.32</v>
      </c>
      <c r="AB30" s="19" t="n">
        <v>17.89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리스부채</t>
        </is>
      </c>
      <c r="E31" s="18" t="n">
        <v>35.11</v>
      </c>
      <c r="F31" s="37" t="n">
        <v>35.11</v>
      </c>
      <c r="G31" s="18" t="n">
        <v>28.8</v>
      </c>
      <c r="H31" s="18" t="n">
        <v>22.43</v>
      </c>
      <c r="I31" s="18" t="n">
        <v>15.98</v>
      </c>
      <c r="J31" s="18" t="n">
        <v>175.56</v>
      </c>
      <c r="K31" s="37" t="n">
        <v>175.56</v>
      </c>
      <c r="L31" s="18" t="n">
        <v>165.4</v>
      </c>
      <c r="M31" s="18" t="n">
        <v>155.07</v>
      </c>
      <c r="N31" s="18" t="n">
        <v>144.58</v>
      </c>
      <c r="O31" s="18" t="n">
        <v>133.93</v>
      </c>
      <c r="P31" s="37" t="n">
        <v>133.93</v>
      </c>
      <c r="Q31" s="18" t="n">
        <v>123.12</v>
      </c>
      <c r="R31" s="18" t="n">
        <v>112.13</v>
      </c>
      <c r="S31" s="18" t="n">
        <v>100.98</v>
      </c>
      <c r="T31" s="18" t="n">
        <v>89.65000000000001</v>
      </c>
      <c r="U31" s="37" t="n">
        <v>89.65000000000001</v>
      </c>
      <c r="V31" s="18" t="n">
        <v>78.15000000000001</v>
      </c>
      <c r="W31" s="18" t="n">
        <v>66.45999999999999</v>
      </c>
      <c r="X31" s="18" t="n">
        <v>54.6</v>
      </c>
      <c r="Y31" s="18" t="n">
        <v>42.55</v>
      </c>
      <c r="Z31" s="37" t="n">
        <v>42.55</v>
      </c>
      <c r="AA31" s="18" t="n">
        <v>30.32</v>
      </c>
      <c r="AB31" s="19" t="n">
        <v>17.89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단기금융부채</t>
        </is>
      </c>
      <c r="E32" s="18" t="n">
        <v>25.65</v>
      </c>
      <c r="F32" s="37" t="n">
        <v>25.65</v>
      </c>
      <c r="G32" s="18" t="n">
        <v>25.94</v>
      </c>
      <c r="H32" s="18" t="n">
        <v>22.43</v>
      </c>
      <c r="I32" s="18" t="n">
        <v>15.98</v>
      </c>
      <c r="J32" s="18" t="n">
        <v>0</v>
      </c>
      <c r="K32" s="37" t="n">
        <v>0</v>
      </c>
      <c r="L32" s="18" t="n">
        <v>42.28</v>
      </c>
      <c r="M32" s="18" t="n">
        <v>42.94</v>
      </c>
      <c r="N32" s="18" t="n">
        <v>43.6</v>
      </c>
      <c r="O32" s="18" t="n">
        <v>44.28</v>
      </c>
      <c r="P32" s="37" t="n">
        <v>44.28</v>
      </c>
      <c r="Q32" s="18" t="n">
        <v>44.97</v>
      </c>
      <c r="R32" s="18" t="n">
        <v>45.67</v>
      </c>
      <c r="S32" s="18" t="n">
        <v>46.38</v>
      </c>
      <c r="T32" s="18" t="n">
        <v>202.74</v>
      </c>
      <c r="U32" s="37" t="n">
        <v>202.74</v>
      </c>
      <c r="V32" s="18" t="n">
        <v>152.33</v>
      </c>
      <c r="W32" s="18" t="n">
        <v>48.57</v>
      </c>
      <c r="X32" s="18" t="n">
        <v>49.32</v>
      </c>
      <c r="Y32" s="18" t="n">
        <v>42.55</v>
      </c>
      <c r="Z32" s="37" t="n">
        <v>42.55</v>
      </c>
      <c r="AA32" s="18" t="n">
        <v>30.32</v>
      </c>
      <c r="AB32" s="19" t="n">
        <v>17.89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비유동부채</t>
        </is>
      </c>
      <c r="E33" s="18" t="n">
        <v>9964.17</v>
      </c>
      <c r="F33" s="37" t="n">
        <v>9964.17</v>
      </c>
      <c r="G33" s="18" t="n">
        <v>10089.23</v>
      </c>
      <c r="H33" s="18" t="n">
        <v>9888.809999999999</v>
      </c>
      <c r="I33" s="18" t="n">
        <v>9843.280000000001</v>
      </c>
      <c r="J33" s="18" t="n">
        <v>9335.24</v>
      </c>
      <c r="K33" s="37" t="n">
        <v>9335.24</v>
      </c>
      <c r="L33" s="18" t="n">
        <v>9240.52</v>
      </c>
      <c r="M33" s="18" t="n">
        <v>9230.68</v>
      </c>
      <c r="N33" s="18" t="n">
        <v>9220.67</v>
      </c>
      <c r="O33" s="18" t="n">
        <v>9325.01</v>
      </c>
      <c r="P33" s="37" t="n">
        <v>9325.01</v>
      </c>
      <c r="Q33" s="18" t="n">
        <v>9306.709999999999</v>
      </c>
      <c r="R33" s="18" t="n">
        <v>9086.01</v>
      </c>
      <c r="S33" s="18" t="n">
        <v>9072.23</v>
      </c>
      <c r="T33" s="18" t="n">
        <v>9280.83</v>
      </c>
      <c r="U33" s="37" t="n">
        <v>9280.83</v>
      </c>
      <c r="V33" s="18" t="n">
        <v>9417.639999999999</v>
      </c>
      <c r="W33" s="18" t="n">
        <v>9556.68</v>
      </c>
      <c r="X33" s="18" t="n">
        <v>9725.809999999999</v>
      </c>
      <c r="Y33" s="18" t="n">
        <v>9563.469999999999</v>
      </c>
      <c r="Z33" s="37" t="n">
        <v>9563.469999999999</v>
      </c>
      <c r="AA33" s="18" t="n">
        <v>9679.790000000001</v>
      </c>
      <c r="AB33" s="19" t="n">
        <v>9810.049999999999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확정급여부채</t>
        </is>
      </c>
      <c r="E34" s="18" t="n">
        <v>374.75</v>
      </c>
      <c r="F34" s="37" t="n">
        <v>374.75</v>
      </c>
      <c r="G34" s="18" t="n">
        <v>505.85</v>
      </c>
      <c r="H34" s="18" t="n">
        <v>307.72</v>
      </c>
      <c r="I34" s="18" t="n">
        <v>261.63</v>
      </c>
      <c r="J34" s="18" t="n">
        <v>0</v>
      </c>
      <c r="K34" s="37" t="n">
        <v>0</v>
      </c>
      <c r="O34" s="18" t="n">
        <v>216</v>
      </c>
      <c r="P34" s="37" t="n">
        <v>216</v>
      </c>
      <c r="Q34" s="18" t="n">
        <v>205.61</v>
      </c>
      <c r="R34" s="18" t="n">
        <v>0</v>
      </c>
      <c r="S34" s="18" t="n">
        <v>0</v>
      </c>
      <c r="T34" s="18" t="n">
        <v>536.75</v>
      </c>
      <c r="U34" s="37" t="n">
        <v>536.75</v>
      </c>
      <c r="V34" s="18" t="n">
        <v>696.62</v>
      </c>
      <c r="W34" s="18" t="n">
        <v>875.3200000000001</v>
      </c>
      <c r="X34" s="18" t="n">
        <v>1045.92</v>
      </c>
      <c r="Y34" s="18" t="n">
        <v>241.61</v>
      </c>
      <c r="Z34" s="37" t="n">
        <v>241.61</v>
      </c>
      <c r="AA34" s="18" t="n">
        <v>395.82</v>
      </c>
      <c r="AB34" s="19" t="n">
        <v>583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기타비유동부채</t>
        </is>
      </c>
      <c r="E35" s="18" t="n">
        <v>27.77</v>
      </c>
      <c r="F35" s="37" t="n">
        <v>27.77</v>
      </c>
      <c r="G35" s="18" t="n">
        <v>28.34</v>
      </c>
      <c r="H35" s="18" t="n">
        <v>28.9</v>
      </c>
      <c r="I35" s="18" t="n">
        <v>29.47</v>
      </c>
      <c r="J35" s="18" t="n">
        <v>41.67</v>
      </c>
      <c r="K35" s="37" t="n">
        <v>41.67</v>
      </c>
      <c r="L35" s="18" t="n">
        <v>42.82</v>
      </c>
      <c r="M35" s="18" t="n">
        <v>43.97</v>
      </c>
      <c r="N35" s="18" t="n">
        <v>45.12</v>
      </c>
      <c r="O35" s="18" t="n">
        <v>207.92</v>
      </c>
      <c r="P35" s="37" t="n">
        <v>207.92</v>
      </c>
      <c r="Q35" s="18" t="n">
        <v>211.51</v>
      </c>
      <c r="R35" s="18" t="n">
        <v>208.09</v>
      </c>
      <c r="S35" s="18" t="n">
        <v>206.18</v>
      </c>
      <c r="T35" s="18" t="n">
        <v>162.56</v>
      </c>
      <c r="U35" s="37" t="n">
        <v>162.56</v>
      </c>
      <c r="V35" s="18" t="n">
        <v>151.74</v>
      </c>
      <c r="W35" s="18" t="n">
        <v>151.42</v>
      </c>
      <c r="X35" s="18" t="n">
        <v>152.1</v>
      </c>
      <c r="Y35" s="18" t="n">
        <v>186.31</v>
      </c>
      <c r="Z35" s="37" t="n">
        <v>186.31</v>
      </c>
      <c r="AA35" s="18" t="n">
        <v>178.18</v>
      </c>
      <c r="AB35" s="19" t="n">
        <v>176.04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이연법인세부채</t>
        </is>
      </c>
      <c r="E36" s="18" t="n">
        <v>9552.190000000001</v>
      </c>
      <c r="F36" s="37" t="n">
        <v>9552.190000000001</v>
      </c>
      <c r="G36" s="18" t="n">
        <v>9552.190000000001</v>
      </c>
      <c r="H36" s="18" t="n">
        <v>9552.190000000001</v>
      </c>
      <c r="I36" s="18" t="n">
        <v>9552.190000000001</v>
      </c>
      <c r="J36" s="18" t="n">
        <v>9118</v>
      </c>
      <c r="K36" s="37" t="n">
        <v>9118</v>
      </c>
      <c r="L36" s="18" t="n">
        <v>9074.58</v>
      </c>
      <c r="M36" s="18" t="n">
        <v>9074.58</v>
      </c>
      <c r="N36" s="18" t="n">
        <v>9074.58</v>
      </c>
      <c r="O36" s="18" t="n">
        <v>8811.450000000001</v>
      </c>
      <c r="P36" s="37" t="n">
        <v>8811.450000000001</v>
      </c>
      <c r="Q36" s="18" t="n">
        <v>8811.450000000001</v>
      </c>
      <c r="R36" s="18" t="n">
        <v>8811.450000000001</v>
      </c>
      <c r="S36" s="18" t="n">
        <v>8811.450000000001</v>
      </c>
      <c r="T36" s="18" t="n">
        <v>8538.969999999999</v>
      </c>
      <c r="U36" s="37" t="n">
        <v>8538.969999999999</v>
      </c>
      <c r="V36" s="18" t="n">
        <v>8538.969999999999</v>
      </c>
      <c r="W36" s="18" t="n">
        <v>8512.049999999999</v>
      </c>
      <c r="X36" s="18" t="n">
        <v>8522.51</v>
      </c>
      <c r="Y36" s="18" t="n">
        <v>9135.559999999999</v>
      </c>
      <c r="Z36" s="37" t="n">
        <v>9135.559999999999</v>
      </c>
      <c r="AA36" s="18" t="n">
        <v>9105.799999999999</v>
      </c>
      <c r="AB36" s="19" t="n">
        <v>9051.01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비유동리스부채</t>
        </is>
      </c>
      <c r="E37" s="18" t="n">
        <v>9.460000000000001</v>
      </c>
      <c r="F37" s="37" t="n">
        <v>9.460000000000001</v>
      </c>
      <c r="G37" s="18" t="n">
        <v>2.86</v>
      </c>
      <c r="H37" s="18" t="n">
        <v>0</v>
      </c>
      <c r="I37" s="18" t="n">
        <v>0</v>
      </c>
      <c r="J37" s="18" t="n">
        <v>175.56</v>
      </c>
      <c r="K37" s="37" t="n">
        <v>175.56</v>
      </c>
      <c r="L37" s="18" t="n">
        <v>123.12</v>
      </c>
      <c r="M37" s="18" t="n">
        <v>112.13</v>
      </c>
      <c r="N37" s="18" t="n">
        <v>100.98</v>
      </c>
      <c r="O37" s="18" t="n">
        <v>89.65000000000001</v>
      </c>
      <c r="P37" s="37" t="n">
        <v>89.65000000000001</v>
      </c>
      <c r="Q37" s="18" t="n">
        <v>78.15000000000001</v>
      </c>
      <c r="R37" s="18" t="n">
        <v>66.45999999999999</v>
      </c>
      <c r="S37" s="18" t="n">
        <v>54.6</v>
      </c>
      <c r="T37" s="18" t="n">
        <v>42.55</v>
      </c>
      <c r="U37" s="37" t="n">
        <v>42.55</v>
      </c>
      <c r="V37" s="18" t="n">
        <v>30.32</v>
      </c>
      <c r="W37" s="18" t="n">
        <v>17.89</v>
      </c>
      <c r="X37" s="18" t="n">
        <v>5.28</v>
      </c>
      <c r="Y37" s="18" t="n">
        <v>0</v>
      </c>
      <c r="Z37" s="37" t="n">
        <v>0</v>
      </c>
      <c r="AB37" s="5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장기금융부채</t>
        </is>
      </c>
      <c r="E38" s="18" t="n">
        <v>9.460000000000001</v>
      </c>
      <c r="F38" s="37" t="n">
        <v>9.460000000000001</v>
      </c>
      <c r="G38" s="18" t="n">
        <v>2.86</v>
      </c>
      <c r="H38" s="18" t="n">
        <v>0</v>
      </c>
      <c r="I38" s="18" t="n">
        <v>0</v>
      </c>
      <c r="J38" s="18" t="n">
        <v>175.56</v>
      </c>
      <c r="K38" s="37" t="n">
        <v>175.56</v>
      </c>
      <c r="L38" s="18" t="n">
        <v>123.12</v>
      </c>
      <c r="M38" s="18" t="n">
        <v>112.13</v>
      </c>
      <c r="N38" s="18" t="n">
        <v>100.98</v>
      </c>
      <c r="O38" s="18" t="n">
        <v>89.65000000000001</v>
      </c>
      <c r="P38" s="37" t="n">
        <v>89.65000000000001</v>
      </c>
      <c r="Q38" s="18" t="n">
        <v>78.15000000000001</v>
      </c>
      <c r="R38" s="18" t="n">
        <v>66.45999999999999</v>
      </c>
      <c r="S38" s="18" t="n">
        <v>54.6</v>
      </c>
      <c r="T38" s="18" t="n">
        <v>42.55</v>
      </c>
      <c r="U38" s="37" t="n">
        <v>42.55</v>
      </c>
      <c r="V38" s="18" t="n">
        <v>30.32</v>
      </c>
      <c r="W38" s="18" t="n">
        <v>17.89</v>
      </c>
      <c r="X38" s="18" t="n">
        <v>5.28</v>
      </c>
      <c r="Y38" s="18" t="n">
        <v>0</v>
      </c>
      <c r="Z38" s="37" t="n">
        <v>0</v>
      </c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부채총계</t>
        </is>
      </c>
      <c r="E39" s="18" t="n">
        <v>23800.05</v>
      </c>
      <c r="F39" s="37" t="n">
        <v>23800.05</v>
      </c>
      <c r="G39" s="18" t="n">
        <v>25026.96</v>
      </c>
      <c r="H39" s="18" t="n">
        <v>22717.39</v>
      </c>
      <c r="I39" s="18" t="n">
        <v>21045.28</v>
      </c>
      <c r="J39" s="18" t="n">
        <v>19569.86</v>
      </c>
      <c r="K39" s="37" t="n">
        <v>19569.86</v>
      </c>
      <c r="L39" s="18" t="n">
        <v>21684.7</v>
      </c>
      <c r="M39" s="18" t="n">
        <v>19051.89</v>
      </c>
      <c r="N39" s="18" t="n">
        <v>18617.4</v>
      </c>
      <c r="O39" s="18" t="n">
        <v>19574.1</v>
      </c>
      <c r="P39" s="37" t="n">
        <v>19574.1</v>
      </c>
      <c r="Q39" s="18" t="n">
        <v>23843.52</v>
      </c>
      <c r="R39" s="18" t="n">
        <v>21217.85</v>
      </c>
      <c r="S39" s="18" t="n">
        <v>21820.74</v>
      </c>
      <c r="T39" s="18" t="n">
        <v>24106.04</v>
      </c>
      <c r="U39" s="37" t="n">
        <v>24106.04</v>
      </c>
      <c r="V39" s="18" t="n">
        <v>29585.74</v>
      </c>
      <c r="W39" s="18" t="n">
        <v>27764.59</v>
      </c>
      <c r="X39" s="18" t="n">
        <v>28991.04</v>
      </c>
      <c r="Y39" s="18" t="n">
        <v>32134.29</v>
      </c>
      <c r="Z39" s="37" t="n">
        <v>32134.29</v>
      </c>
      <c r="AA39" s="18" t="n">
        <v>30158.85</v>
      </c>
      <c r="AB39" s="19" t="n">
        <v>30760.18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자본금</t>
        </is>
      </c>
      <c r="E40" s="18" t="n">
        <v>22786.83</v>
      </c>
      <c r="F40" s="37" t="n">
        <v>22786.83</v>
      </c>
      <c r="G40" s="18" t="n">
        <v>22786.83</v>
      </c>
      <c r="H40" s="18" t="n">
        <v>22786.83</v>
      </c>
      <c r="I40" s="18" t="n">
        <v>22786.83</v>
      </c>
      <c r="J40" s="18" t="n">
        <v>22786.83</v>
      </c>
      <c r="K40" s="37" t="n">
        <v>22786.83</v>
      </c>
      <c r="L40" s="18" t="n">
        <v>22786.83</v>
      </c>
      <c r="M40" s="18" t="n">
        <v>22786.83</v>
      </c>
      <c r="N40" s="18" t="n">
        <v>22786.83</v>
      </c>
      <c r="O40" s="18" t="n">
        <v>22786.83</v>
      </c>
      <c r="P40" s="37" t="n">
        <v>22786.83</v>
      </c>
      <c r="Q40" s="18" t="n">
        <v>22786.83</v>
      </c>
      <c r="R40" s="18" t="n">
        <v>22786.83</v>
      </c>
      <c r="S40" s="18" t="n">
        <v>22786.83</v>
      </c>
      <c r="T40" s="18" t="n">
        <v>22786.83</v>
      </c>
      <c r="U40" s="37" t="n">
        <v>22786.83</v>
      </c>
      <c r="V40" s="18" t="n">
        <v>22786.83</v>
      </c>
      <c r="W40" s="18" t="n">
        <v>22786.83</v>
      </c>
      <c r="X40" s="18" t="n">
        <v>22786.83</v>
      </c>
      <c r="Y40" s="18" t="n">
        <v>22786.83</v>
      </c>
      <c r="Z40" s="37" t="n">
        <v>22786.83</v>
      </c>
      <c r="AA40" s="18" t="n">
        <v>22786.83</v>
      </c>
      <c r="AB40" s="19" t="n">
        <v>22786.83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보통주자본금</t>
        </is>
      </c>
      <c r="E41" s="18" t="n">
        <v>22786.83</v>
      </c>
      <c r="F41" s="37" t="n">
        <v>22786.83</v>
      </c>
      <c r="G41" s="18" t="n">
        <v>22786.83</v>
      </c>
      <c r="H41" s="18" t="n">
        <v>22786.83</v>
      </c>
      <c r="I41" s="18" t="n">
        <v>22786.83</v>
      </c>
      <c r="J41" s="18" t="n">
        <v>22786.83</v>
      </c>
      <c r="K41" s="37" t="n">
        <v>22786.83</v>
      </c>
      <c r="L41" s="18" t="n">
        <v>22786.83</v>
      </c>
      <c r="M41" s="18" t="n">
        <v>22786.83</v>
      </c>
      <c r="N41" s="18" t="n">
        <v>22786.83</v>
      </c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우선주자본금</t>
        </is>
      </c>
      <c r="E42" s="18" t="n">
        <v>0</v>
      </c>
      <c r="F42" s="37" t="n">
        <v>0</v>
      </c>
      <c r="J42" s="18" t="n">
        <v>0</v>
      </c>
      <c r="K42" s="37" t="n">
        <v>0</v>
      </c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자본잉여금</t>
        </is>
      </c>
      <c r="E43" s="18" t="n">
        <v>1832.93</v>
      </c>
      <c r="F43" s="37" t="n">
        <v>1832.93</v>
      </c>
      <c r="G43" s="18" t="n">
        <v>1832.93</v>
      </c>
      <c r="H43" s="18" t="n">
        <v>1832.93</v>
      </c>
      <c r="I43" s="18" t="n">
        <v>1832.93</v>
      </c>
      <c r="J43" s="18" t="n">
        <v>1832.93</v>
      </c>
      <c r="K43" s="37" t="n">
        <v>1832.93</v>
      </c>
      <c r="L43" s="18" t="n">
        <v>1832.93</v>
      </c>
      <c r="M43" s="18" t="n">
        <v>1832.93</v>
      </c>
      <c r="N43" s="18" t="n">
        <v>1832.93</v>
      </c>
      <c r="O43" s="18" t="n">
        <v>1832.93</v>
      </c>
      <c r="P43" s="37" t="n">
        <v>1832.93</v>
      </c>
      <c r="Q43" s="18" t="n">
        <v>1832.93</v>
      </c>
      <c r="R43" s="18" t="n">
        <v>1832.93</v>
      </c>
      <c r="S43" s="18" t="n">
        <v>1832.93</v>
      </c>
      <c r="T43" s="18" t="n">
        <v>1832.93</v>
      </c>
      <c r="U43" s="37" t="n">
        <v>1832.93</v>
      </c>
      <c r="V43" s="18" t="n">
        <v>1832.93</v>
      </c>
      <c r="W43" s="18" t="n">
        <v>1832.93</v>
      </c>
      <c r="X43" s="18" t="n">
        <v>1832.93</v>
      </c>
      <c r="Y43" s="18" t="n">
        <v>1832.93</v>
      </c>
      <c r="Z43" s="37" t="n">
        <v>1832.93</v>
      </c>
      <c r="AA43" s="18" t="n">
        <v>1832.93</v>
      </c>
      <c r="AB43" s="19" t="n">
        <v>1832.93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기타자본</t>
        </is>
      </c>
      <c r="E44" s="18" t="n">
        <v>3157.61</v>
      </c>
      <c r="F44" s="37" t="n">
        <v>3157.61</v>
      </c>
      <c r="G44" s="18" t="n">
        <v>3157.61</v>
      </c>
      <c r="H44" s="18" t="n">
        <v>3157.61</v>
      </c>
      <c r="I44" s="18" t="n">
        <v>3157.61</v>
      </c>
      <c r="J44" s="18" t="n">
        <v>3157.61</v>
      </c>
      <c r="K44" s="37" t="n">
        <v>3157.61</v>
      </c>
      <c r="L44" s="18" t="n">
        <v>3157.61</v>
      </c>
      <c r="M44" s="18" t="n">
        <v>3157.61</v>
      </c>
      <c r="N44" s="18" t="n">
        <v>3157.61</v>
      </c>
      <c r="O44" s="18" t="n">
        <v>3157.61</v>
      </c>
      <c r="P44" s="37" t="n">
        <v>3157.61</v>
      </c>
      <c r="Q44" s="18" t="n">
        <v>3157.61</v>
      </c>
      <c r="R44" s="18" t="n">
        <v>3157.61</v>
      </c>
      <c r="S44" s="18" t="n">
        <v>3157.61</v>
      </c>
      <c r="T44" s="18" t="n">
        <v>3157.61</v>
      </c>
      <c r="U44" s="37" t="n">
        <v>3157.61</v>
      </c>
      <c r="V44" s="18" t="n">
        <v>3157.61</v>
      </c>
      <c r="W44" s="18" t="n">
        <v>3157.61</v>
      </c>
      <c r="X44" s="18" t="n">
        <v>3157.61</v>
      </c>
      <c r="Y44" s="18" t="n">
        <v>3157.61</v>
      </c>
      <c r="Z44" s="37" t="n">
        <v>3157.61</v>
      </c>
      <c r="AA44" s="18" t="n">
        <v>3157.61</v>
      </c>
      <c r="AB44" s="19" t="n">
        <v>3157.61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기타포괄이익누계액</t>
        </is>
      </c>
      <c r="E45" s="18" t="n">
        <v>4471.25</v>
      </c>
      <c r="F45" s="37" t="n">
        <v>4471.25</v>
      </c>
      <c r="G45" s="18" t="n">
        <v>4471.25</v>
      </c>
      <c r="H45" s="18" t="n">
        <v>4471.25</v>
      </c>
      <c r="I45" s="18" t="n">
        <v>4471.25</v>
      </c>
      <c r="J45" s="18" t="n">
        <v>4528.58</v>
      </c>
      <c r="K45" s="37" t="n">
        <v>4528.58</v>
      </c>
      <c r="L45" s="18" t="n">
        <v>4534.31</v>
      </c>
      <c r="M45" s="18" t="n">
        <v>4534.31</v>
      </c>
      <c r="N45" s="18" t="n">
        <v>4534.31</v>
      </c>
      <c r="O45" s="18" t="n">
        <v>4534.31</v>
      </c>
      <c r="P45" s="37" t="n">
        <v>4534.31</v>
      </c>
      <c r="Q45" s="18" t="n">
        <v>4534.31</v>
      </c>
      <c r="R45" s="18" t="n">
        <v>4534.31</v>
      </c>
      <c r="S45" s="18" t="n">
        <v>4534.31</v>
      </c>
      <c r="T45" s="18" t="n">
        <v>4534.31</v>
      </c>
      <c r="U45" s="37" t="n">
        <v>4534.31</v>
      </c>
      <c r="V45" s="18" t="n">
        <v>4534.31</v>
      </c>
      <c r="W45" s="18" t="n">
        <v>4534.31</v>
      </c>
      <c r="X45" s="18" t="n">
        <v>4534.31</v>
      </c>
      <c r="Y45" s="18" t="n">
        <v>4471.25</v>
      </c>
      <c r="Z45" s="37" t="n">
        <v>4471.25</v>
      </c>
      <c r="AA45" s="18" t="n">
        <v>4471.25</v>
      </c>
      <c r="AB45" s="19" t="n">
        <v>4471.25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이익잉여금</t>
        </is>
      </c>
      <c r="E46" s="18" t="n">
        <v>40877.6</v>
      </c>
      <c r="F46" s="37" t="n">
        <v>40877.6</v>
      </c>
      <c r="G46" s="18" t="n">
        <v>43323.62</v>
      </c>
      <c r="H46" s="18" t="n">
        <v>47191.2</v>
      </c>
      <c r="I46" s="18" t="n">
        <v>49324.98</v>
      </c>
      <c r="J46" s="18" t="n">
        <v>49306.81</v>
      </c>
      <c r="K46" s="37" t="n">
        <v>49306.81</v>
      </c>
      <c r="L46" s="18" t="n">
        <v>47958.45</v>
      </c>
      <c r="M46" s="18" t="n">
        <v>48938.45</v>
      </c>
      <c r="N46" s="18" t="n">
        <v>50265.81</v>
      </c>
      <c r="O46" s="18" t="n">
        <v>50864.65</v>
      </c>
      <c r="P46" s="37" t="n">
        <v>50864.65</v>
      </c>
      <c r="Q46" s="18" t="n">
        <v>50821.58</v>
      </c>
      <c r="R46" s="18" t="n">
        <v>52913.42</v>
      </c>
      <c r="S46" s="18" t="n">
        <v>54062.17</v>
      </c>
      <c r="T46" s="18" t="n">
        <v>54795.16</v>
      </c>
      <c r="U46" s="37" t="n">
        <v>54795.16</v>
      </c>
      <c r="V46" s="18" t="n">
        <v>54414.79</v>
      </c>
      <c r="W46" s="18" t="n">
        <v>59627.66</v>
      </c>
      <c r="X46" s="18" t="n">
        <v>61426.28</v>
      </c>
      <c r="Y46" s="18" t="n">
        <v>62101.58</v>
      </c>
      <c r="Z46" s="37" t="n">
        <v>62101.58</v>
      </c>
      <c r="AA46" s="18" t="n">
        <v>65404.95</v>
      </c>
      <c r="AB46" s="19" t="n">
        <v>68987.3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자본총계</t>
        </is>
      </c>
      <c r="E47" s="18" t="n">
        <v>73126.22</v>
      </c>
      <c r="F47" s="37" t="n">
        <v>73126.22</v>
      </c>
      <c r="G47" s="18" t="n">
        <v>75572.24000000001</v>
      </c>
      <c r="H47" s="18" t="n">
        <v>79439.82000000001</v>
      </c>
      <c r="I47" s="18" t="n">
        <v>81573.61</v>
      </c>
      <c r="J47" s="18" t="n">
        <v>81612.75999999999</v>
      </c>
      <c r="K47" s="37" t="n">
        <v>81612.75999999999</v>
      </c>
      <c r="L47" s="18" t="n">
        <v>80270.13</v>
      </c>
      <c r="M47" s="18" t="n">
        <v>81250.13</v>
      </c>
      <c r="N47" s="18" t="n">
        <v>82577.49000000001</v>
      </c>
      <c r="O47" s="18" t="n">
        <v>83176.33</v>
      </c>
      <c r="P47" s="37" t="n">
        <v>83176.33</v>
      </c>
      <c r="Q47" s="18" t="n">
        <v>83133.25999999999</v>
      </c>
      <c r="R47" s="18" t="n">
        <v>85225.10000000001</v>
      </c>
      <c r="S47" s="18" t="n">
        <v>86373.85000000001</v>
      </c>
      <c r="T47" s="18" t="n">
        <v>87106.84</v>
      </c>
      <c r="U47" s="37" t="n">
        <v>87106.84</v>
      </c>
      <c r="V47" s="18" t="n">
        <v>86726.47</v>
      </c>
      <c r="W47" s="18" t="n">
        <v>91939.33</v>
      </c>
      <c r="X47" s="18" t="n">
        <v>93737.95</v>
      </c>
      <c r="Y47" s="18" t="n">
        <v>94350.2</v>
      </c>
      <c r="Z47" s="37" t="n">
        <v>94350.2</v>
      </c>
      <c r="AA47" s="18" t="n">
        <v>97653.57000000001</v>
      </c>
      <c r="AB47" s="19" t="n">
        <v>101235.93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부채와자본총계</t>
        </is>
      </c>
      <c r="E48" s="18" t="n">
        <v>96926.28</v>
      </c>
      <c r="F48" s="37" t="n">
        <v>96926.28</v>
      </c>
      <c r="G48" s="18" t="n">
        <v>100599.2</v>
      </c>
      <c r="H48" s="18" t="n">
        <v>102157.21</v>
      </c>
      <c r="I48" s="18" t="n">
        <v>102618.88</v>
      </c>
      <c r="J48" s="18" t="n">
        <v>101182.62</v>
      </c>
      <c r="K48" s="37" t="n">
        <v>101182.62</v>
      </c>
      <c r="L48" s="18" t="n">
        <v>101954.83</v>
      </c>
      <c r="M48" s="18" t="n">
        <v>100302.02</v>
      </c>
      <c r="N48" s="18" t="n">
        <v>101194.88</v>
      </c>
      <c r="O48" s="18" t="n">
        <v>102750.44</v>
      </c>
      <c r="P48" s="37" t="n">
        <v>102750.44</v>
      </c>
      <c r="Q48" s="18" t="n">
        <v>106976.78</v>
      </c>
      <c r="R48" s="18" t="n">
        <v>106442.95</v>
      </c>
      <c r="S48" s="18" t="n">
        <v>108194.59</v>
      </c>
      <c r="T48" s="18" t="n">
        <v>111212.88</v>
      </c>
      <c r="U48" s="37" t="n">
        <v>111212.88</v>
      </c>
      <c r="V48" s="18" t="n">
        <v>116312.22</v>
      </c>
      <c r="W48" s="18" t="n">
        <v>119703.93</v>
      </c>
      <c r="X48" s="18" t="n">
        <v>122728.99</v>
      </c>
      <c r="Y48" s="18" t="n">
        <v>126484.49</v>
      </c>
      <c r="Z48" s="37" t="n">
        <v>126484.49</v>
      </c>
      <c r="AA48" s="18" t="n">
        <v>127812.42</v>
      </c>
      <c r="AB48" s="19" t="n">
        <v>131996.11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지배주주지분</t>
        </is>
      </c>
      <c r="E49" s="18" t="n">
        <v>73126.22</v>
      </c>
      <c r="F49" s="37" t="n">
        <v>73126.22</v>
      </c>
      <c r="G49" s="18" t="n">
        <v>75572.24000000001</v>
      </c>
      <c r="H49" s="18" t="n">
        <v>79439.82000000001</v>
      </c>
      <c r="I49" s="18" t="n">
        <v>81573.61</v>
      </c>
      <c r="J49" s="18" t="n">
        <v>81612.75999999999</v>
      </c>
      <c r="K49" s="37" t="n">
        <v>81612.75999999999</v>
      </c>
      <c r="L49" s="18" t="n">
        <v>80270.13</v>
      </c>
      <c r="M49" s="18" t="n">
        <v>81250.13</v>
      </c>
      <c r="N49" s="18" t="n">
        <v>82577.49000000001</v>
      </c>
      <c r="O49" s="18" t="n">
        <v>83176.33</v>
      </c>
      <c r="P49" s="37" t="n">
        <v>83176.33</v>
      </c>
      <c r="Q49" s="18" t="n">
        <v>83133.25999999999</v>
      </c>
      <c r="R49" s="18" t="n">
        <v>85225.10000000001</v>
      </c>
      <c r="S49" s="18" t="n">
        <v>86373.85000000001</v>
      </c>
      <c r="T49" s="18" t="n">
        <v>87106.84</v>
      </c>
      <c r="U49" s="37" t="n">
        <v>87106.84</v>
      </c>
      <c r="V49" s="18" t="n">
        <v>86726.47</v>
      </c>
      <c r="W49" s="18" t="n">
        <v>91939.33</v>
      </c>
      <c r="X49" s="18" t="n">
        <v>93737.95</v>
      </c>
      <c r="Y49" s="18" t="n">
        <v>94350.2</v>
      </c>
      <c r="Z49" s="37" t="n">
        <v>94350.2</v>
      </c>
      <c r="AA49" s="18" t="n">
        <v>97653.57000000001</v>
      </c>
      <c r="AB49" s="19" t="n">
        <v>101235.93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총차입금</t>
        </is>
      </c>
      <c r="E50" s="18" t="n">
        <v>0</v>
      </c>
      <c r="F50" s="37" t="n">
        <v>0</v>
      </c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순차입금</t>
        </is>
      </c>
      <c r="E51" s="18" t="n">
        <v>-16365.6</v>
      </c>
      <c r="F51" s="37" t="n">
        <v>-16365.6</v>
      </c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이자발생자산</t>
        </is>
      </c>
      <c r="E52" s="18" t="n">
        <v>16567.3</v>
      </c>
      <c r="F52" s="37" t="n">
        <v>16567.3</v>
      </c>
      <c r="G52" s="18" t="n">
        <v>20357.05</v>
      </c>
      <c r="H52" s="18" t="n">
        <v>22428.11</v>
      </c>
      <c r="I52" s="18" t="n">
        <v>24063.84</v>
      </c>
      <c r="J52" s="18" t="n">
        <v>26224.81</v>
      </c>
      <c r="K52" s="37" t="n">
        <v>26224.81</v>
      </c>
      <c r="L52" s="18" t="n">
        <v>24626.83</v>
      </c>
      <c r="M52" s="18" t="n">
        <v>23086.67</v>
      </c>
      <c r="N52" s="18" t="n">
        <v>8267.139999999999</v>
      </c>
      <c r="O52" s="18" t="n">
        <v>6456.18</v>
      </c>
      <c r="P52" s="37" t="n">
        <v>6456.18</v>
      </c>
      <c r="Q52" s="18" t="n">
        <v>4193.94</v>
      </c>
      <c r="R52" s="18" t="n">
        <v>3961.55</v>
      </c>
      <c r="S52" s="18" t="n">
        <v>3360.85</v>
      </c>
      <c r="T52" s="18" t="n">
        <v>6461.43</v>
      </c>
      <c r="U52" s="37" t="n">
        <v>6461.43</v>
      </c>
      <c r="V52" s="18" t="n">
        <v>10657.89</v>
      </c>
      <c r="W52" s="18" t="n">
        <v>6714.39</v>
      </c>
      <c r="X52" s="18" t="n">
        <v>9701.68</v>
      </c>
      <c r="Y52" s="18" t="n">
        <v>7134.82</v>
      </c>
      <c r="Z52" s="37" t="n">
        <v>7134.82</v>
      </c>
      <c r="AA52" s="18" t="n">
        <v>7208.87</v>
      </c>
      <c r="AB52" s="19" t="n">
        <v>8698.120000000001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계약자산</t>
        </is>
      </c>
      <c r="F53" s="9" t="n"/>
      <c r="K53" s="9" t="n"/>
      <c r="O53" s="18" t="n">
        <v>179.88</v>
      </c>
      <c r="P53" s="37" t="n">
        <v>179.88</v>
      </c>
      <c r="Q53" s="18" t="n">
        <v>168.9</v>
      </c>
      <c r="R53" s="18" t="n">
        <v>106.46</v>
      </c>
      <c r="S53" s="18" t="n">
        <v>100.77</v>
      </c>
      <c r="T53" s="18" t="n">
        <v>102.88</v>
      </c>
      <c r="U53" s="37" t="n">
        <v>102.88</v>
      </c>
      <c r="V53" s="18" t="n">
        <v>33.4</v>
      </c>
      <c r="W53" s="18" t="n">
        <v>225.88</v>
      </c>
      <c r="X53" s="18" t="n">
        <v>339.69</v>
      </c>
      <c r="Y53" s="18" t="n">
        <v>514.0700000000001</v>
      </c>
      <c r="Z53" s="37" t="n">
        <v>514.0700000000001</v>
      </c>
      <c r="AA53" s="18" t="n">
        <v>956.35</v>
      </c>
      <c r="AB53" s="19" t="n">
        <v>874.91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기타유동금융자산</t>
        </is>
      </c>
      <c r="F54" s="9" t="n"/>
      <c r="K54" s="9" t="n"/>
      <c r="P54" s="9" t="n"/>
      <c r="Q54" s="18" t="n">
        <v>32.13</v>
      </c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유동파생상품자산</t>
        </is>
      </c>
      <c r="F55" s="9" t="n"/>
      <c r="K55" s="9" t="n"/>
      <c r="P55" s="9" t="n"/>
      <c r="R55" s="18" t="n">
        <v>45.08</v>
      </c>
      <c r="S55" s="18" t="n">
        <v>12.06</v>
      </c>
      <c r="U55" s="9" t="n"/>
      <c r="W55" s="18" t="n">
        <v>17.94</v>
      </c>
      <c r="X55" s="18" t="n">
        <v>1.69</v>
      </c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단기파생상품부채</t>
        </is>
      </c>
      <c r="F56" s="9" t="n"/>
      <c r="K56" s="9" t="n"/>
      <c r="P56" s="9" t="n"/>
      <c r="T56" s="18" t="n">
        <v>155.64</v>
      </c>
      <c r="U56" s="37" t="n">
        <v>155.64</v>
      </c>
      <c r="V56" s="18" t="n">
        <v>104.5</v>
      </c>
      <c r="W56" s="18" t="n">
        <v>0</v>
      </c>
      <c r="X56" s="18" t="n">
        <v>0</v>
      </c>
      <c r="Y56" s="18" t="n">
        <v>0</v>
      </c>
      <c r="Z56" s="37" t="n">
        <v>0</v>
      </c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매출액(수익)</t>
        </is>
      </c>
      <c r="E57" s="18" t="n">
        <v>16781.06</v>
      </c>
      <c r="F57" s="9" t="n"/>
      <c r="G57" s="18" t="n">
        <v>18162.51</v>
      </c>
      <c r="H57" s="18" t="n">
        <v>17962.2</v>
      </c>
      <c r="I57" s="18" t="n">
        <v>17196.1</v>
      </c>
      <c r="J57" s="18" t="n">
        <v>16523.63</v>
      </c>
      <c r="K57" s="37" t="n">
        <v>69844.44</v>
      </c>
      <c r="L57" s="18" t="n">
        <v>12966.03</v>
      </c>
      <c r="M57" s="18" t="n">
        <v>17578.46</v>
      </c>
      <c r="N57" s="18" t="n">
        <v>15420.24</v>
      </c>
      <c r="O57" s="18" t="n">
        <v>18763.73</v>
      </c>
      <c r="P57" s="37" t="n">
        <v>64728.46</v>
      </c>
      <c r="Q57" s="18" t="n">
        <v>16999.68</v>
      </c>
      <c r="R57" s="18" t="n">
        <v>23278.73</v>
      </c>
      <c r="S57" s="18" t="n">
        <v>18378.9</v>
      </c>
      <c r="T57" s="18" t="n">
        <v>23769.48</v>
      </c>
      <c r="U57" s="37" t="n">
        <v>82426.78999999999</v>
      </c>
      <c r="V57" s="18" t="n">
        <v>20415.63</v>
      </c>
      <c r="W57" s="18" t="n">
        <v>23727.8</v>
      </c>
      <c r="X57" s="18" t="n">
        <v>24255.66</v>
      </c>
      <c r="Y57" s="18" t="n">
        <v>24320.51</v>
      </c>
      <c r="Z57" s="37" t="n">
        <v>92719.60000000001</v>
      </c>
      <c r="AA57" s="18" t="n">
        <v>28225.64</v>
      </c>
      <c r="AB57" s="19" t="n">
        <v>29954.51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매출원가</t>
        </is>
      </c>
      <c r="E58" s="18" t="n">
        <v>13747.52</v>
      </c>
      <c r="F58" s="9" t="n"/>
      <c r="G58" s="18" t="n">
        <v>14431.69</v>
      </c>
      <c r="H58" s="18" t="n">
        <v>14233.29</v>
      </c>
      <c r="I58" s="18" t="n">
        <v>13661.63</v>
      </c>
      <c r="J58" s="18" t="n">
        <v>14083.91</v>
      </c>
      <c r="K58" s="37" t="n">
        <v>56410.52</v>
      </c>
      <c r="L58" s="18" t="n">
        <v>10919.2</v>
      </c>
      <c r="M58" s="18" t="n">
        <v>15014.28</v>
      </c>
      <c r="N58" s="18" t="n">
        <v>12732.62</v>
      </c>
      <c r="O58" s="18" t="n">
        <v>15089.81</v>
      </c>
      <c r="P58" s="37" t="n">
        <v>53755.91</v>
      </c>
      <c r="Q58" s="18" t="n">
        <v>13711.42</v>
      </c>
      <c r="R58" s="18" t="n">
        <v>19659.15</v>
      </c>
      <c r="S58" s="18" t="n">
        <v>15774.02</v>
      </c>
      <c r="T58" s="18" t="n">
        <v>20684.93</v>
      </c>
      <c r="U58" s="37" t="n">
        <v>69829.52</v>
      </c>
      <c r="V58" s="18" t="n">
        <v>16873.58</v>
      </c>
      <c r="W58" s="18" t="n">
        <v>19698.76</v>
      </c>
      <c r="X58" s="18" t="n">
        <v>20422.83</v>
      </c>
      <c r="Y58" s="18" t="n">
        <v>21020.76</v>
      </c>
      <c r="Z58" s="37" t="n">
        <v>78015.92999999999</v>
      </c>
      <c r="AA58" s="18" t="n">
        <v>22661.64</v>
      </c>
      <c r="AB58" s="19" t="n">
        <v>23502.13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매출총이익</t>
        </is>
      </c>
      <c r="E59" s="18" t="n">
        <v>3033.54</v>
      </c>
      <c r="F59" s="9" t="n"/>
      <c r="G59" s="18" t="n">
        <v>3730.82</v>
      </c>
      <c r="H59" s="18" t="n">
        <v>3728.91</v>
      </c>
      <c r="I59" s="18" t="n">
        <v>3534.47</v>
      </c>
      <c r="J59" s="18" t="n">
        <v>2439.73</v>
      </c>
      <c r="K59" s="37" t="n">
        <v>13433.93</v>
      </c>
      <c r="L59" s="18" t="n">
        <v>2046.83</v>
      </c>
      <c r="M59" s="18" t="n">
        <v>2564.18</v>
      </c>
      <c r="N59" s="18" t="n">
        <v>2687.62</v>
      </c>
      <c r="O59" s="18" t="n">
        <v>3673.92</v>
      </c>
      <c r="P59" s="37" t="n">
        <v>10972.55</v>
      </c>
      <c r="Q59" s="18" t="n">
        <v>3288.25</v>
      </c>
      <c r="R59" s="18" t="n">
        <v>3619.57</v>
      </c>
      <c r="S59" s="18" t="n">
        <v>2604.88</v>
      </c>
      <c r="T59" s="18" t="n">
        <v>3084.55</v>
      </c>
      <c r="U59" s="37" t="n">
        <v>12597.25</v>
      </c>
      <c r="V59" s="18" t="n">
        <v>3542.05</v>
      </c>
      <c r="W59" s="18" t="n">
        <v>4029.05</v>
      </c>
      <c r="X59" s="18" t="n">
        <v>3832.84</v>
      </c>
      <c r="Y59" s="18" t="n">
        <v>3299.74</v>
      </c>
      <c r="Z59" s="37" t="n">
        <v>14703.68</v>
      </c>
      <c r="AA59" s="18" t="n">
        <v>5564</v>
      </c>
      <c r="AB59" s="19" t="n">
        <v>6452.38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판관비</t>
        </is>
      </c>
      <c r="E60" s="18" t="n">
        <v>1794.72</v>
      </c>
      <c r="F60" s="9" t="n"/>
      <c r="G60" s="18" t="n">
        <v>1506.77</v>
      </c>
      <c r="H60" s="18" t="n">
        <v>1595.09</v>
      </c>
      <c r="I60" s="18" t="n">
        <v>1676.77</v>
      </c>
      <c r="J60" s="18" t="n">
        <v>1765.07</v>
      </c>
      <c r="K60" s="37" t="n">
        <v>6543.7</v>
      </c>
      <c r="L60" s="18" t="n">
        <v>1603.76</v>
      </c>
      <c r="M60" s="18" t="n">
        <v>1866.28</v>
      </c>
      <c r="N60" s="18" t="n">
        <v>1702.34</v>
      </c>
      <c r="O60" s="18" t="n">
        <v>2279.55</v>
      </c>
      <c r="P60" s="37" t="n">
        <v>7451.93</v>
      </c>
      <c r="Q60" s="18" t="n">
        <v>1608.24</v>
      </c>
      <c r="R60" s="18" t="n">
        <v>1854.37</v>
      </c>
      <c r="S60" s="18" t="n">
        <v>1619.54</v>
      </c>
      <c r="T60" s="18" t="n">
        <v>2394.38</v>
      </c>
      <c r="U60" s="37" t="n">
        <v>7476.53</v>
      </c>
      <c r="V60" s="18" t="n">
        <v>1719.1</v>
      </c>
      <c r="W60" s="18" t="n">
        <v>2104.93</v>
      </c>
      <c r="X60" s="18" t="n">
        <v>1955.99</v>
      </c>
      <c r="Y60" s="18" t="n">
        <v>2550.33</v>
      </c>
      <c r="Z60" s="37" t="n">
        <v>8330.35</v>
      </c>
      <c r="AA60" s="18" t="n">
        <v>1967.57</v>
      </c>
      <c r="AB60" s="19" t="n">
        <v>2362.68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영업이익</t>
        </is>
      </c>
      <c r="E61" s="18" t="n">
        <v>1238.83</v>
      </c>
      <c r="F61" s="9" t="n"/>
      <c r="G61" s="18" t="n">
        <v>2224.05</v>
      </c>
      <c r="H61" s="18" t="n">
        <v>2133.82</v>
      </c>
      <c r="I61" s="18" t="n">
        <v>1857.7</v>
      </c>
      <c r="J61" s="18" t="n">
        <v>674.66</v>
      </c>
      <c r="K61" s="37" t="n">
        <v>6890.23</v>
      </c>
      <c r="L61" s="18" t="n">
        <v>443.07</v>
      </c>
      <c r="M61" s="18" t="n">
        <v>697.9</v>
      </c>
      <c r="N61" s="18" t="n">
        <v>985.28</v>
      </c>
      <c r="O61" s="18" t="n">
        <v>1394.36</v>
      </c>
      <c r="P61" s="37" t="n">
        <v>3520.61</v>
      </c>
      <c r="Q61" s="18" t="n">
        <v>1680.02</v>
      </c>
      <c r="R61" s="18" t="n">
        <v>1765.2</v>
      </c>
      <c r="S61" s="18" t="n">
        <v>985.34</v>
      </c>
      <c r="T61" s="18" t="n">
        <v>690.1799999999999</v>
      </c>
      <c r="U61" s="37" t="n">
        <v>5120.74</v>
      </c>
      <c r="V61" s="18" t="n">
        <v>1822.96</v>
      </c>
      <c r="W61" s="18" t="n">
        <v>1924.12</v>
      </c>
      <c r="X61" s="18" t="n">
        <v>1876.85</v>
      </c>
      <c r="Y61" s="18" t="n">
        <v>749.41</v>
      </c>
      <c r="Z61" s="37" t="n">
        <v>6373.34</v>
      </c>
      <c r="AA61" s="18" t="n">
        <v>3596.43</v>
      </c>
      <c r="AB61" s="19" t="n">
        <v>4089.71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금융수익</t>
        </is>
      </c>
      <c r="E62" s="18" t="n">
        <v>76.81</v>
      </c>
      <c r="F62" s="9" t="n"/>
      <c r="G62" s="18" t="n">
        <v>75.28</v>
      </c>
      <c r="H62" s="18" t="n">
        <v>125.2</v>
      </c>
      <c r="I62" s="18" t="n">
        <v>139.39</v>
      </c>
      <c r="J62" s="18" t="n">
        <v>142.47</v>
      </c>
      <c r="K62" s="37" t="n">
        <v>482.34</v>
      </c>
      <c r="L62" s="18" t="n">
        <v>308.32</v>
      </c>
      <c r="M62" s="18" t="n">
        <v>189.2</v>
      </c>
      <c r="N62" s="18" t="n">
        <v>232.97</v>
      </c>
      <c r="O62" s="18" t="n">
        <v>176.57</v>
      </c>
      <c r="P62" s="37" t="n">
        <v>907.0599999999999</v>
      </c>
      <c r="Q62" s="18" t="n">
        <v>447.52</v>
      </c>
      <c r="R62" s="18" t="n">
        <v>225.38</v>
      </c>
      <c r="S62" s="18" t="n">
        <v>242.45</v>
      </c>
      <c r="T62" s="18" t="n">
        <v>266.71</v>
      </c>
      <c r="U62" s="37" t="n">
        <v>1182.06</v>
      </c>
      <c r="V62" s="18" t="n">
        <v>236.98</v>
      </c>
      <c r="W62" s="18" t="n">
        <v>275.1</v>
      </c>
      <c r="X62" s="18" t="n">
        <v>197.9</v>
      </c>
      <c r="Y62" s="18" t="n">
        <v>205.43</v>
      </c>
      <c r="Z62" s="37" t="n">
        <v>915.41</v>
      </c>
      <c r="AA62" s="18" t="n">
        <v>380.31</v>
      </c>
      <c r="AB62" s="19" t="n">
        <v>317.39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금융비용</t>
        </is>
      </c>
      <c r="E63" s="18" t="n">
        <v>10.94</v>
      </c>
      <c r="F63" s="9" t="n"/>
      <c r="G63" s="18" t="n">
        <v>44.41</v>
      </c>
      <c r="H63" s="18" t="n">
        <v>-32.61</v>
      </c>
      <c r="I63" s="18" t="n">
        <v>1.37</v>
      </c>
      <c r="J63" s="18" t="n">
        <v>121.4</v>
      </c>
      <c r="K63" s="37" t="n">
        <v>134.57</v>
      </c>
      <c r="L63" s="18" t="n">
        <v>11.12</v>
      </c>
      <c r="M63" s="18" t="n">
        <v>6.09</v>
      </c>
      <c r="N63" s="18" t="n">
        <v>13.27</v>
      </c>
      <c r="O63" s="18" t="n">
        <v>103.65</v>
      </c>
      <c r="P63" s="37" t="n">
        <v>134.13</v>
      </c>
      <c r="Q63" s="18" t="n">
        <v>14.78</v>
      </c>
      <c r="R63" s="18" t="n">
        <v>-5.08</v>
      </c>
      <c r="S63" s="18" t="n">
        <v>60.59</v>
      </c>
      <c r="T63" s="18" t="n">
        <v>198.1</v>
      </c>
      <c r="U63" s="37" t="n">
        <v>268.39</v>
      </c>
      <c r="V63" s="18" t="n">
        <v>55.75</v>
      </c>
      <c r="W63" s="18" t="n">
        <v>58.14</v>
      </c>
      <c r="X63" s="18" t="n">
        <v>-19.79</v>
      </c>
      <c r="Y63" s="18" t="n">
        <v>31.65</v>
      </c>
      <c r="Z63" s="37" t="n">
        <v>125.75</v>
      </c>
      <c r="AA63" s="18" t="n">
        <v>5.8</v>
      </c>
      <c r="AB63" s="19" t="n">
        <v>4.95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기타영업외수익</t>
        </is>
      </c>
      <c r="E64" s="18" t="n">
        <v>852.12</v>
      </c>
      <c r="F64" s="9" t="n"/>
      <c r="G64" s="18" t="n">
        <v>474.72</v>
      </c>
      <c r="H64" s="18" t="n">
        <v>1841.84</v>
      </c>
      <c r="I64" s="18" t="n">
        <v>377.19</v>
      </c>
      <c r="J64" s="18" t="n">
        <v>148.31</v>
      </c>
      <c r="K64" s="37" t="n">
        <v>2842.06</v>
      </c>
      <c r="L64" s="18" t="n">
        <v>250.84</v>
      </c>
      <c r="M64" s="18" t="n">
        <v>214.2</v>
      </c>
      <c r="N64" s="18" t="n">
        <v>220.55</v>
      </c>
      <c r="O64" s="18" t="n">
        <v>171.14</v>
      </c>
      <c r="P64" s="37" t="n">
        <v>856.73</v>
      </c>
      <c r="Q64" s="18" t="n">
        <v>223.27</v>
      </c>
      <c r="R64" s="18" t="n">
        <v>246.15</v>
      </c>
      <c r="S64" s="18" t="n">
        <v>185.32</v>
      </c>
      <c r="T64" s="18" t="n">
        <v>330.99</v>
      </c>
      <c r="U64" s="37" t="n">
        <v>985.73</v>
      </c>
      <c r="V64" s="18" t="n">
        <v>2689.58</v>
      </c>
      <c r="W64" s="18" t="n">
        <v>4676.05</v>
      </c>
      <c r="X64" s="18" t="n">
        <v>244.59</v>
      </c>
      <c r="Y64" s="18" t="n">
        <v>330.5</v>
      </c>
      <c r="Z64" s="37" t="n">
        <v>7940.72</v>
      </c>
      <c r="AA64" s="18" t="n">
        <v>417.2</v>
      </c>
      <c r="AB64" s="19" t="n">
        <v>447.75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기타영업외비용</t>
        </is>
      </c>
      <c r="E65" s="18" t="n">
        <v>499.94</v>
      </c>
      <c r="F65" s="9" t="n"/>
      <c r="G65" s="18" t="n">
        <v>25.63</v>
      </c>
      <c r="H65" s="18" t="n">
        <v>34.36</v>
      </c>
      <c r="I65" s="18" t="n">
        <v>43.94</v>
      </c>
      <c r="J65" s="18" t="n">
        <v>1573.82</v>
      </c>
      <c r="K65" s="37" t="n">
        <v>1677.75</v>
      </c>
      <c r="L65" s="18" t="n">
        <v>51.57</v>
      </c>
      <c r="M65" s="18" t="n">
        <v>77.52</v>
      </c>
      <c r="N65" s="18" t="n">
        <v>71.76000000000001</v>
      </c>
      <c r="O65" s="18" t="n">
        <v>73.37</v>
      </c>
      <c r="P65" s="37" t="n">
        <v>274.22</v>
      </c>
      <c r="Q65" s="18" t="n">
        <v>34.1</v>
      </c>
      <c r="R65" s="18" t="n">
        <v>57.74</v>
      </c>
      <c r="S65" s="18" t="n">
        <v>160.93</v>
      </c>
      <c r="T65" s="18" t="n">
        <v>211.67</v>
      </c>
      <c r="U65" s="37" t="n">
        <v>464.44</v>
      </c>
      <c r="V65" s="18" t="n">
        <v>44.51</v>
      </c>
      <c r="W65" s="18" t="n">
        <v>212.89</v>
      </c>
      <c r="X65" s="18" t="n">
        <v>20.14</v>
      </c>
      <c r="Y65" s="18" t="n">
        <v>192.33</v>
      </c>
      <c r="Z65" s="37" t="n">
        <v>469.87</v>
      </c>
      <c r="AA65" s="18" t="n">
        <v>99.81999999999999</v>
      </c>
      <c r="AB65" s="19" t="n">
        <v>244.44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법인세비용차감전계속사업이익</t>
        </is>
      </c>
      <c r="E66" s="18" t="n">
        <v>1656.89</v>
      </c>
      <c r="F66" s="9" t="n"/>
      <c r="G66" s="18" t="n">
        <v>2704.01</v>
      </c>
      <c r="H66" s="18" t="n">
        <v>4099.1</v>
      </c>
      <c r="I66" s="18" t="n">
        <v>2328.97</v>
      </c>
      <c r="J66" s="18" t="n">
        <v>-729.8</v>
      </c>
      <c r="K66" s="37" t="n">
        <v>8402.280000000001</v>
      </c>
      <c r="L66" s="18" t="n">
        <v>939.55</v>
      </c>
      <c r="M66" s="18" t="n">
        <v>1017.69</v>
      </c>
      <c r="N66" s="18" t="n">
        <v>1353.77</v>
      </c>
      <c r="O66" s="18" t="n">
        <v>1565.04</v>
      </c>
      <c r="P66" s="37" t="n">
        <v>4876.05</v>
      </c>
      <c r="Q66" s="18" t="n">
        <v>2301.93</v>
      </c>
      <c r="R66" s="18" t="n">
        <v>2184.07</v>
      </c>
      <c r="S66" s="18" t="n">
        <v>1191.58</v>
      </c>
      <c r="T66" s="18" t="n">
        <v>878.1</v>
      </c>
      <c r="U66" s="37" t="n">
        <v>6555.68</v>
      </c>
      <c r="V66" s="18" t="n">
        <v>4649.25</v>
      </c>
      <c r="W66" s="18" t="n">
        <v>6604.24</v>
      </c>
      <c r="X66" s="18" t="n">
        <v>2318.99</v>
      </c>
      <c r="Y66" s="18" t="n">
        <v>1061.37</v>
      </c>
      <c r="Z66" s="37" t="n">
        <v>14633.85</v>
      </c>
      <c r="AA66" s="18" t="n">
        <v>4288.32</v>
      </c>
      <c r="AB66" s="19" t="n">
        <v>4605.46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법인세비용</t>
        </is>
      </c>
      <c r="E67" s="18" t="n">
        <v>355.98</v>
      </c>
      <c r="F67" s="9" t="n"/>
      <c r="G67" s="18" t="n">
        <v>243.77</v>
      </c>
      <c r="H67" s="18" t="n">
        <v>212.15</v>
      </c>
      <c r="I67" s="18" t="n">
        <v>189.21</v>
      </c>
      <c r="J67" s="18" t="n">
        <v>-305.84</v>
      </c>
      <c r="K67" s="37" t="n">
        <v>339.29</v>
      </c>
      <c r="L67" s="18" t="n">
        <v>-3.95</v>
      </c>
      <c r="M67" s="18" t="n">
        <v>24.28</v>
      </c>
      <c r="N67" s="18" t="n">
        <v>14.03</v>
      </c>
      <c r="O67" s="18" t="n">
        <v>-252.52</v>
      </c>
      <c r="P67" s="37" t="n">
        <v>-218.16</v>
      </c>
      <c r="Q67" s="18" t="n">
        <v>67.04000000000001</v>
      </c>
      <c r="R67" s="18" t="n">
        <v>81.58</v>
      </c>
      <c r="S67" s="18" t="n">
        <v>45.95</v>
      </c>
      <c r="T67" s="18" t="n">
        <v>253.25</v>
      </c>
      <c r="U67" s="37" t="n">
        <v>447.82</v>
      </c>
      <c r="V67" s="18" t="n">
        <v>482.74</v>
      </c>
      <c r="W67" s="18" t="n">
        <v>1387.17</v>
      </c>
      <c r="X67" s="18" t="n">
        <v>520.09</v>
      </c>
      <c r="Y67" s="18" t="n">
        <v>544.24</v>
      </c>
      <c r="Z67" s="37" t="n">
        <v>2934.24</v>
      </c>
      <c r="AA67" s="18" t="n">
        <v>974.13</v>
      </c>
      <c r="AB67" s="19" t="n">
        <v>1008.6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계속사업이익</t>
        </is>
      </c>
      <c r="E68" s="18" t="n">
        <v>1300.9</v>
      </c>
      <c r="F68" s="9" t="n"/>
      <c r="G68" s="18" t="n">
        <v>2460.24</v>
      </c>
      <c r="H68" s="18" t="n">
        <v>3886.95</v>
      </c>
      <c r="I68" s="18" t="n">
        <v>2139.76</v>
      </c>
      <c r="J68" s="18" t="n">
        <v>-423.95</v>
      </c>
      <c r="K68" s="37" t="n">
        <v>8063</v>
      </c>
      <c r="L68" s="18" t="n">
        <v>943.5</v>
      </c>
      <c r="M68" s="18" t="n">
        <v>993.42</v>
      </c>
      <c r="N68" s="18" t="n">
        <v>1339.74</v>
      </c>
      <c r="O68" s="18" t="n">
        <v>1817.56</v>
      </c>
      <c r="P68" s="37" t="n">
        <v>5094.22</v>
      </c>
      <c r="Q68" s="18" t="n">
        <v>2234.89</v>
      </c>
      <c r="R68" s="18" t="n">
        <v>2102.49</v>
      </c>
      <c r="S68" s="18" t="n">
        <v>1145.63</v>
      </c>
      <c r="T68" s="18" t="n">
        <v>624.84</v>
      </c>
      <c r="U68" s="37" t="n">
        <v>6107.85</v>
      </c>
      <c r="V68" s="18" t="n">
        <v>4166.52</v>
      </c>
      <c r="W68" s="18" t="n">
        <v>5217.07</v>
      </c>
      <c r="X68" s="18" t="n">
        <v>1798.9</v>
      </c>
      <c r="Y68" s="18" t="n">
        <v>517.14</v>
      </c>
      <c r="Z68" s="37" t="n">
        <v>11699.63</v>
      </c>
      <c r="AA68" s="18" t="n">
        <v>3314.19</v>
      </c>
      <c r="AB68" s="19" t="n">
        <v>3596.86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중단사업이익</t>
        </is>
      </c>
      <c r="E69" s="18" t="n">
        <v>0</v>
      </c>
      <c r="F69" s="9" t="n"/>
      <c r="G69" s="18" t="n">
        <v>0</v>
      </c>
      <c r="H69" s="18" t="n">
        <v>0</v>
      </c>
      <c r="I69" s="18" t="n">
        <v>0</v>
      </c>
      <c r="J69" s="18" t="n">
        <v>0</v>
      </c>
      <c r="K69" s="37" t="n">
        <v>0</v>
      </c>
      <c r="L69" s="18" t="n">
        <v>0</v>
      </c>
      <c r="M69" s="18" t="n">
        <v>0</v>
      </c>
      <c r="N69" s="18" t="n">
        <v>0</v>
      </c>
      <c r="P69" s="9" t="n"/>
      <c r="U69" s="9" t="n"/>
      <c r="Z69" s="9" t="n"/>
      <c r="AB69" s="5" t="n"/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당기순이익</t>
        </is>
      </c>
      <c r="E70" s="18" t="n">
        <v>1300.9</v>
      </c>
      <c r="F70" s="9" t="n"/>
      <c r="G70" s="18" t="n">
        <v>2460.24</v>
      </c>
      <c r="H70" s="18" t="n">
        <v>3886.95</v>
      </c>
      <c r="I70" s="18" t="n">
        <v>2139.76</v>
      </c>
      <c r="J70" s="18" t="n">
        <v>-423.95</v>
      </c>
      <c r="K70" s="37" t="n">
        <v>8063</v>
      </c>
      <c r="L70" s="18" t="n">
        <v>943.5</v>
      </c>
      <c r="M70" s="18" t="n">
        <v>993.42</v>
      </c>
      <c r="N70" s="18" t="n">
        <v>1339.74</v>
      </c>
      <c r="O70" s="18" t="n">
        <v>1817.56</v>
      </c>
      <c r="P70" s="37" t="n">
        <v>5094.22</v>
      </c>
      <c r="Q70" s="18" t="n">
        <v>2234.89</v>
      </c>
      <c r="R70" s="18" t="n">
        <v>2102.49</v>
      </c>
      <c r="S70" s="18" t="n">
        <v>1145.63</v>
      </c>
      <c r="T70" s="18" t="n">
        <v>624.84</v>
      </c>
      <c r="U70" s="37" t="n">
        <v>6107.85</v>
      </c>
      <c r="V70" s="18" t="n">
        <v>4166.52</v>
      </c>
      <c r="W70" s="18" t="n">
        <v>5217.07</v>
      </c>
      <c r="X70" s="18" t="n">
        <v>1798.9</v>
      </c>
      <c r="Y70" s="18" t="n">
        <v>517.14</v>
      </c>
      <c r="Z70" s="37" t="n">
        <v>11699.63</v>
      </c>
      <c r="AA70" s="18" t="n">
        <v>3314.19</v>
      </c>
      <c r="AB70" s="19" t="n">
        <v>3596.86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총포괄손익</t>
        </is>
      </c>
      <c r="E71" s="18" t="n">
        <v>1036.76</v>
      </c>
      <c r="F71" s="9" t="n"/>
      <c r="G71" s="18" t="n">
        <v>2446.02</v>
      </c>
      <c r="H71" s="18" t="n">
        <v>3867.58</v>
      </c>
      <c r="I71" s="18" t="n">
        <v>2133.78</v>
      </c>
      <c r="J71" s="18" t="n">
        <v>39.15</v>
      </c>
      <c r="K71" s="37" t="n">
        <v>8486.530000000001</v>
      </c>
      <c r="L71" s="18" t="n">
        <v>934.74</v>
      </c>
      <c r="M71" s="18" t="n">
        <v>980</v>
      </c>
      <c r="N71" s="18" t="n">
        <v>1327.35</v>
      </c>
      <c r="O71" s="18" t="n">
        <v>598.85</v>
      </c>
      <c r="P71" s="37" t="n">
        <v>3840.94</v>
      </c>
      <c r="Q71" s="18" t="n">
        <v>2234.29</v>
      </c>
      <c r="R71" s="18" t="n">
        <v>2091.84</v>
      </c>
      <c r="S71" s="18" t="n">
        <v>1148.75</v>
      </c>
      <c r="T71" s="18" t="n">
        <v>732.99</v>
      </c>
      <c r="U71" s="37" t="n">
        <v>6207.87</v>
      </c>
      <c r="V71" s="18" t="n">
        <v>4174.36</v>
      </c>
      <c r="W71" s="18" t="n">
        <v>5212.86</v>
      </c>
      <c r="X71" s="18" t="n">
        <v>1798.62</v>
      </c>
      <c r="Y71" s="18" t="n">
        <v>612.24</v>
      </c>
      <c r="Z71" s="37" t="n">
        <v>11798.08</v>
      </c>
      <c r="AA71" s="18" t="n">
        <v>3303.37</v>
      </c>
      <c r="AB71" s="19" t="n">
        <v>3582.36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금융손익</t>
        </is>
      </c>
      <c r="E72" s="18" t="n">
        <v>65.87</v>
      </c>
      <c r="F72" s="9" t="n"/>
      <c r="G72" s="18" t="n">
        <v>30.87</v>
      </c>
      <c r="H72" s="18" t="n">
        <v>157.81</v>
      </c>
      <c r="I72" s="18" t="n">
        <v>138.02</v>
      </c>
      <c r="J72" s="18" t="n">
        <v>21.07</v>
      </c>
      <c r="K72" s="37" t="n">
        <v>347.77</v>
      </c>
      <c r="L72" s="18" t="n">
        <v>297.2</v>
      </c>
      <c r="M72" s="18" t="n">
        <v>183.11</v>
      </c>
      <c r="N72" s="18" t="n">
        <v>219.7</v>
      </c>
      <c r="O72" s="18" t="n">
        <v>72.92</v>
      </c>
      <c r="P72" s="37" t="n">
        <v>772.9299999999999</v>
      </c>
      <c r="Q72" s="18" t="n">
        <v>432.74</v>
      </c>
      <c r="R72" s="18" t="n">
        <v>230.46</v>
      </c>
      <c r="S72" s="18" t="n">
        <v>181.86</v>
      </c>
      <c r="T72" s="18" t="n">
        <v>68.61</v>
      </c>
      <c r="U72" s="37" t="n">
        <v>913.67</v>
      </c>
      <c r="V72" s="18" t="n">
        <v>181.23</v>
      </c>
      <c r="W72" s="18" t="n">
        <v>216.96</v>
      </c>
      <c r="X72" s="18" t="n">
        <v>217.69</v>
      </c>
      <c r="Y72" s="18" t="n">
        <v>173.78</v>
      </c>
      <c r="Z72" s="37" t="n">
        <v>789.66</v>
      </c>
      <c r="AA72" s="18" t="n">
        <v>374.51</v>
      </c>
      <c r="AB72" s="19" t="n">
        <v>312.44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기타영업외손익</t>
        </is>
      </c>
      <c r="E73" s="18" t="n">
        <v>352.18</v>
      </c>
      <c r="F73" s="9" t="n"/>
      <c r="G73" s="18" t="n">
        <v>449.09</v>
      </c>
      <c r="H73" s="18" t="n">
        <v>1807.48</v>
      </c>
      <c r="I73" s="18" t="n">
        <v>333.25</v>
      </c>
      <c r="J73" s="18" t="n">
        <v>-1425.51</v>
      </c>
      <c r="K73" s="37" t="n">
        <v>1164.31</v>
      </c>
      <c r="L73" s="18" t="n">
        <v>199.27</v>
      </c>
      <c r="M73" s="18" t="n">
        <v>136.68</v>
      </c>
      <c r="N73" s="18" t="n">
        <v>148.79</v>
      </c>
      <c r="O73" s="18" t="n">
        <v>97.77</v>
      </c>
      <c r="P73" s="37" t="n">
        <v>582.51</v>
      </c>
      <c r="Q73" s="18" t="n">
        <v>189.17</v>
      </c>
      <c r="R73" s="18" t="n">
        <v>188.41</v>
      </c>
      <c r="S73" s="18" t="n">
        <v>24.39</v>
      </c>
      <c r="T73" s="18" t="n">
        <v>119.32</v>
      </c>
      <c r="U73" s="37" t="n">
        <v>521.29</v>
      </c>
      <c r="V73" s="18" t="n">
        <v>2645.07</v>
      </c>
      <c r="W73" s="18" t="n">
        <v>4463.16</v>
      </c>
      <c r="X73" s="18" t="n">
        <v>224.45</v>
      </c>
      <c r="Y73" s="18" t="n">
        <v>138.17</v>
      </c>
      <c r="Z73" s="37" t="n">
        <v>7470.85</v>
      </c>
      <c r="AA73" s="18" t="n">
        <v>317.38</v>
      </c>
      <c r="AB73" s="19" t="n">
        <v>203.31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(지배주주지분)당기순이익</t>
        </is>
      </c>
      <c r="E74" s="18" t="n">
        <v>1300.9</v>
      </c>
      <c r="F74" s="9" t="n"/>
      <c r="G74" s="18" t="n">
        <v>2460.24</v>
      </c>
      <c r="H74" s="18" t="n">
        <v>3886.95</v>
      </c>
      <c r="I74" s="18" t="n">
        <v>2139.76</v>
      </c>
      <c r="J74" s="18" t="n">
        <v>-423.95</v>
      </c>
      <c r="K74" s="37" t="n">
        <v>8063</v>
      </c>
      <c r="L74" s="18" t="n">
        <v>943.5</v>
      </c>
      <c r="M74" s="18" t="n">
        <v>993.42</v>
      </c>
      <c r="N74" s="18" t="n">
        <v>1339.74</v>
      </c>
      <c r="O74" s="18" t="n">
        <v>1817.56</v>
      </c>
      <c r="P74" s="37" t="n">
        <v>5094.22</v>
      </c>
      <c r="Q74" s="18" t="n">
        <v>2234.89</v>
      </c>
      <c r="R74" s="18" t="n">
        <v>2102.49</v>
      </c>
      <c r="S74" s="18" t="n">
        <v>1145.63</v>
      </c>
      <c r="T74" s="18" t="n">
        <v>624.84</v>
      </c>
      <c r="U74" s="37" t="n">
        <v>6107.85</v>
      </c>
      <c r="V74" s="18" t="n">
        <v>4166.52</v>
      </c>
      <c r="W74" s="18" t="n">
        <v>5217.07</v>
      </c>
      <c r="X74" s="18" t="n">
        <v>1798.9</v>
      </c>
      <c r="Y74" s="18" t="n">
        <v>517.14</v>
      </c>
      <c r="Z74" s="37" t="n">
        <v>11699.63</v>
      </c>
      <c r="AA74" s="18" t="n">
        <v>3314.19</v>
      </c>
      <c r="AB74" s="19" t="n">
        <v>3596.86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영업활동으로인한현금흐름</t>
        </is>
      </c>
      <c r="E75" s="18" t="n">
        <v>286.7</v>
      </c>
      <c r="F75" s="9" t="n"/>
      <c r="G75" s="18" t="n">
        <v>3822.97</v>
      </c>
      <c r="H75" s="18" t="n">
        <v>2095.65</v>
      </c>
      <c r="I75" s="18" t="n">
        <v>1607.61</v>
      </c>
      <c r="J75" s="18" t="n">
        <v>2260.52</v>
      </c>
      <c r="K75" s="37" t="n">
        <v>9786.75</v>
      </c>
      <c r="L75" s="18" t="n">
        <v>-1584.98</v>
      </c>
      <c r="M75" s="18" t="n">
        <v>782.88</v>
      </c>
      <c r="N75" s="18" t="n">
        <v>3291.83</v>
      </c>
      <c r="O75" s="18" t="n">
        <v>1112.49</v>
      </c>
      <c r="P75" s="37" t="n">
        <v>3602.22</v>
      </c>
      <c r="Q75" s="18" t="n">
        <v>656.74</v>
      </c>
      <c r="R75" s="18" t="n">
        <v>2090.23</v>
      </c>
      <c r="S75" s="18" t="n">
        <v>2516.54</v>
      </c>
      <c r="T75" s="18" t="n">
        <v>2722.05</v>
      </c>
      <c r="U75" s="37" t="n">
        <v>7985.56</v>
      </c>
      <c r="V75" s="18" t="n">
        <v>1286.34</v>
      </c>
      <c r="W75" s="18" t="n">
        <v>5453.41</v>
      </c>
      <c r="X75" s="18" t="n">
        <v>3241.52</v>
      </c>
      <c r="Y75" s="18" t="n">
        <v>1611.1</v>
      </c>
      <c r="Z75" s="37" t="n">
        <v>11592.37</v>
      </c>
      <c r="AA75" s="18" t="n">
        <v>627.77</v>
      </c>
      <c r="AB75" s="19" t="n">
        <v>4559.58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법인세납부(CF)</t>
        </is>
      </c>
      <c r="E76" s="18" t="n">
        <v>-4.22</v>
      </c>
      <c r="F76" s="9" t="n"/>
      <c r="G76" s="18" t="n">
        <v>-63.08</v>
      </c>
      <c r="H76" s="18" t="n">
        <v>-119.44</v>
      </c>
      <c r="I76" s="18" t="n">
        <v>-254.02</v>
      </c>
      <c r="J76" s="18" t="n">
        <v>-15.98</v>
      </c>
      <c r="K76" s="37" t="n">
        <v>-452.52</v>
      </c>
      <c r="L76" s="18" t="n">
        <v>-218.09</v>
      </c>
      <c r="M76" s="18" t="n">
        <v>-265.88</v>
      </c>
      <c r="N76" s="18" t="n">
        <v>-283.69</v>
      </c>
      <c r="O76" s="18" t="n">
        <v>-26.07</v>
      </c>
      <c r="P76" s="37" t="n">
        <v>-793.73</v>
      </c>
      <c r="Q76" s="18" t="n">
        <v>-27.89</v>
      </c>
      <c r="R76" s="18" t="n">
        <v>268.13</v>
      </c>
      <c r="S76" s="18" t="n">
        <v>-32.04</v>
      </c>
      <c r="T76" s="18" t="n">
        <v>-34.93</v>
      </c>
      <c r="U76" s="37" t="n">
        <v>173.27</v>
      </c>
      <c r="V76" s="18" t="n">
        <v>-49.23</v>
      </c>
      <c r="W76" s="18" t="n">
        <v>-32.58</v>
      </c>
      <c r="X76" s="18" t="n">
        <v>-31.74</v>
      </c>
      <c r="Z76" s="9" t="n"/>
      <c r="AB76" s="5" t="n"/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투자활동으로인한현금흐름</t>
        </is>
      </c>
      <c r="E77" s="18" t="n">
        <v>-84.75</v>
      </c>
      <c r="F77" s="9" t="n"/>
      <c r="G77" s="18" t="n">
        <v>-1422.34</v>
      </c>
      <c r="H77" s="18" t="n">
        <v>-525.67</v>
      </c>
      <c r="I77" s="18" t="n">
        <v>-513.45</v>
      </c>
      <c r="J77" s="18" t="n">
        <v>-3533.4</v>
      </c>
      <c r="K77" s="37" t="n">
        <v>-5994.86</v>
      </c>
      <c r="L77" s="18" t="n">
        <v>-2176.78</v>
      </c>
      <c r="M77" s="18" t="n">
        <v>3085.27</v>
      </c>
      <c r="N77" s="18" t="n">
        <v>-3022.94</v>
      </c>
      <c r="O77" s="18" t="n">
        <v>-2711.82</v>
      </c>
      <c r="P77" s="37" t="n">
        <v>-4826.27</v>
      </c>
      <c r="Q77" s="18" t="n">
        <v>-2917.72</v>
      </c>
      <c r="R77" s="18" t="n">
        <v>-74.94</v>
      </c>
      <c r="S77" s="18" t="n">
        <v>-3051.21</v>
      </c>
      <c r="T77" s="18" t="n">
        <v>378.91</v>
      </c>
      <c r="U77" s="37" t="n">
        <v>-5664.96</v>
      </c>
      <c r="V77" s="18" t="n">
        <v>2921.21</v>
      </c>
      <c r="W77" s="18" t="n">
        <v>-4842.6</v>
      </c>
      <c r="X77" s="18" t="n">
        <v>-235.69</v>
      </c>
      <c r="Y77" s="18" t="n">
        <v>-4134.83</v>
      </c>
      <c r="Z77" s="37" t="n">
        <v>-6291.91</v>
      </c>
      <c r="AA77" s="18" t="n">
        <v>-548.77</v>
      </c>
      <c r="AB77" s="19" t="n">
        <v>-3059.18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유형자산의감소</t>
        </is>
      </c>
      <c r="E78" s="18" t="n">
        <v>0.65</v>
      </c>
      <c r="F78" s="9" t="n"/>
      <c r="G78" s="18" t="n">
        <v>50</v>
      </c>
      <c r="H78" s="18" t="n">
        <v>0</v>
      </c>
      <c r="I78" s="18" t="n">
        <v>0</v>
      </c>
      <c r="J78" s="18" t="n">
        <v>0</v>
      </c>
      <c r="K78" s="37" t="n">
        <v>50</v>
      </c>
      <c r="N78" s="18" t="n">
        <v>0</v>
      </c>
      <c r="O78" s="18" t="n">
        <v>0.1</v>
      </c>
      <c r="P78" s="9" t="n"/>
      <c r="Q78" s="18" t="n">
        <v>0.32</v>
      </c>
      <c r="R78" s="18" t="n">
        <v>0</v>
      </c>
      <c r="S78" s="18" t="n">
        <v>0.8</v>
      </c>
      <c r="T78" s="18" t="n">
        <v>0</v>
      </c>
      <c r="U78" s="37" t="n">
        <v>1.12</v>
      </c>
      <c r="V78" s="18" t="n">
        <v>0</v>
      </c>
      <c r="W78" s="18" t="n">
        <v>0</v>
      </c>
      <c r="X78" s="18" t="n">
        <v>0</v>
      </c>
      <c r="Y78" s="18" t="n">
        <v>0</v>
      </c>
      <c r="Z78" s="37" t="n">
        <v>0</v>
      </c>
      <c r="AA78" s="18" t="n">
        <v>3</v>
      </c>
      <c r="AB78" s="19" t="n">
        <v>0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유형자산의증가</t>
        </is>
      </c>
      <c r="E79" s="18" t="n">
        <v>45.8</v>
      </c>
      <c r="F79" s="9" t="n"/>
      <c r="G79" s="18" t="n">
        <v>8</v>
      </c>
      <c r="H79" s="18" t="n">
        <v>36.02</v>
      </c>
      <c r="I79" s="18" t="n">
        <v>3.39</v>
      </c>
      <c r="J79" s="18" t="n">
        <v>11.98</v>
      </c>
      <c r="K79" s="37" t="n">
        <v>59.39</v>
      </c>
      <c r="L79" s="18" t="n">
        <v>50.63</v>
      </c>
      <c r="M79" s="18" t="n">
        <v>39.8</v>
      </c>
      <c r="N79" s="18" t="n">
        <v>22.7</v>
      </c>
      <c r="O79" s="18" t="n">
        <v>21.22</v>
      </c>
      <c r="P79" s="37" t="n">
        <v>134.35</v>
      </c>
      <c r="Q79" s="18" t="n">
        <v>65.36</v>
      </c>
      <c r="R79" s="18" t="n">
        <v>52.4</v>
      </c>
      <c r="S79" s="18" t="n">
        <v>39.41</v>
      </c>
      <c r="T79" s="18" t="n">
        <v>4605.18</v>
      </c>
      <c r="U79" s="37" t="n">
        <v>4762.35</v>
      </c>
      <c r="V79" s="18" t="n">
        <v>83.64</v>
      </c>
      <c r="W79" s="18" t="n">
        <v>3073.63</v>
      </c>
      <c r="X79" s="18" t="n">
        <v>89.41</v>
      </c>
      <c r="Y79" s="18" t="n">
        <v>5123.01</v>
      </c>
      <c r="Z79" s="37" t="n">
        <v>8369.690000000001</v>
      </c>
      <c r="AA79" s="18" t="n">
        <v>175.78</v>
      </c>
      <c r="AB79" s="19" t="n">
        <v>399.05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CAPEX</t>
        </is>
      </c>
      <c r="E80" s="18" t="n">
        <v>45.8</v>
      </c>
      <c r="F80" s="9" t="n"/>
      <c r="G80" s="18" t="n">
        <v>8</v>
      </c>
      <c r="H80" s="18" t="n">
        <v>36.02</v>
      </c>
      <c r="I80" s="18" t="n">
        <v>3.39</v>
      </c>
      <c r="J80" s="18" t="n">
        <v>31.28</v>
      </c>
      <c r="K80" s="37" t="n">
        <v>78.69</v>
      </c>
      <c r="L80" s="18" t="n">
        <v>52.03</v>
      </c>
      <c r="M80" s="18" t="n">
        <v>39.8</v>
      </c>
      <c r="N80" s="18" t="n">
        <v>22.7</v>
      </c>
      <c r="O80" s="18" t="n">
        <v>21.22</v>
      </c>
      <c r="P80" s="37" t="n">
        <v>135.75</v>
      </c>
      <c r="Q80" s="18" t="n">
        <v>531.38</v>
      </c>
      <c r="R80" s="18" t="n">
        <v>61.71</v>
      </c>
      <c r="S80" s="18" t="n">
        <v>39.41</v>
      </c>
      <c r="T80" s="18" t="n">
        <v>4605.18</v>
      </c>
      <c r="U80" s="37" t="n">
        <v>5237.68</v>
      </c>
      <c r="V80" s="18" t="n">
        <v>83.64</v>
      </c>
      <c r="W80" s="18" t="n">
        <v>3073.63</v>
      </c>
      <c r="X80" s="18" t="n">
        <v>89.41</v>
      </c>
      <c r="Y80" s="18" t="n">
        <v>5141.72</v>
      </c>
      <c r="Z80" s="37" t="n">
        <v>8388.4</v>
      </c>
      <c r="AA80" s="18" t="n">
        <v>175.78</v>
      </c>
      <c r="AB80" s="19" t="n">
        <v>399.05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재무활동으로인한현금흐름</t>
        </is>
      </c>
      <c r="E81" s="18" t="n">
        <v>-6.23</v>
      </c>
      <c r="F81" s="9" t="n"/>
      <c r="G81" s="18" t="n">
        <v>-6.3</v>
      </c>
      <c r="H81" s="18" t="n">
        <v>-6.38</v>
      </c>
      <c r="I81" s="18" t="n">
        <v>-6.45</v>
      </c>
      <c r="J81" s="18" t="n">
        <v>-7.58</v>
      </c>
      <c r="K81" s="37" t="n">
        <v>-26.71</v>
      </c>
      <c r="L81" s="18" t="n">
        <v>-10.17</v>
      </c>
      <c r="M81" s="18" t="n">
        <v>-2287.69</v>
      </c>
      <c r="N81" s="18" t="n">
        <v>-10.49</v>
      </c>
      <c r="O81" s="18" t="n">
        <v>-10.65</v>
      </c>
      <c r="P81" s="37" t="n">
        <v>-2319</v>
      </c>
      <c r="Q81" s="18" t="n">
        <v>-10.82</v>
      </c>
      <c r="R81" s="18" t="n">
        <v>-2288.34</v>
      </c>
      <c r="S81" s="18" t="n">
        <v>-11.16</v>
      </c>
      <c r="T81" s="18" t="n">
        <v>-11.33</v>
      </c>
      <c r="U81" s="37" t="n">
        <v>-2321.65</v>
      </c>
      <c r="V81" s="18" t="n">
        <v>-11.5</v>
      </c>
      <c r="W81" s="18" t="n">
        <v>-4566.41</v>
      </c>
      <c r="X81" s="18" t="n">
        <v>-11.87</v>
      </c>
      <c r="Y81" s="18" t="n">
        <v>-12.05</v>
      </c>
      <c r="Z81" s="37" t="n">
        <v>-4601.83</v>
      </c>
      <c r="AA81" s="18" t="n">
        <v>-12.23</v>
      </c>
      <c r="AB81" s="19" t="n">
        <v>-12.43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단기차입금의증가</t>
        </is>
      </c>
      <c r="E82" s="18" t="n">
        <v>0</v>
      </c>
      <c r="F82" s="9" t="n"/>
      <c r="G82" s="18" t="n">
        <v>0</v>
      </c>
      <c r="H82" s="18" t="n">
        <v>0</v>
      </c>
      <c r="K82" s="9" t="n"/>
      <c r="P82" s="9" t="n"/>
      <c r="U82" s="9" t="n"/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단기차입금의감소</t>
        </is>
      </c>
      <c r="E83" s="18" t="n">
        <v>0</v>
      </c>
      <c r="F83" s="9" t="n"/>
      <c r="K83" s="9" t="n"/>
      <c r="P83" s="9" t="n"/>
      <c r="U83" s="9" t="n"/>
      <c r="Z83" s="9" t="n"/>
      <c r="AB83" s="5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현금및현금성자산의증감</t>
        </is>
      </c>
      <c r="E84" s="18" t="n">
        <v>368.47</v>
      </c>
      <c r="F84" s="9" t="n"/>
      <c r="G84" s="18" t="n">
        <v>2391.61</v>
      </c>
      <c r="H84" s="18" t="n">
        <v>1565.94</v>
      </c>
      <c r="I84" s="18" t="n">
        <v>1088.23</v>
      </c>
      <c r="J84" s="18" t="n">
        <v>2455.79</v>
      </c>
      <c r="K84" s="37" t="n">
        <v>7501.57</v>
      </c>
      <c r="L84" s="18" t="n">
        <v>-3774.94</v>
      </c>
      <c r="M84" s="18" t="n">
        <v>1577.86</v>
      </c>
      <c r="N84" s="18" t="n">
        <v>266.12</v>
      </c>
      <c r="O84" s="18" t="n">
        <v>-1617.5</v>
      </c>
      <c r="P84" s="37" t="n">
        <v>-3548.46</v>
      </c>
      <c r="Q84" s="18" t="n">
        <v>-2262.24</v>
      </c>
      <c r="R84" s="18" t="n">
        <v>-277.47</v>
      </c>
      <c r="S84" s="18" t="n">
        <v>-567.6799999999999</v>
      </c>
      <c r="T84" s="18" t="n">
        <v>3112.65</v>
      </c>
      <c r="U84" s="37" t="n">
        <v>5.26</v>
      </c>
      <c r="V84" s="18" t="n">
        <v>4196.46</v>
      </c>
      <c r="W84" s="18" t="n">
        <v>-3961.44</v>
      </c>
      <c r="X84" s="18" t="n">
        <v>3003.53</v>
      </c>
      <c r="Y84" s="18" t="n">
        <v>-2565.16</v>
      </c>
      <c r="Z84" s="37" t="n">
        <v>673.39</v>
      </c>
      <c r="AA84" s="18" t="n">
        <v>74.05</v>
      </c>
      <c r="AB84" s="19" t="n">
        <v>1489.25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기말현금및현금성자산</t>
        </is>
      </c>
      <c r="E85" s="18" t="n">
        <v>172.75</v>
      </c>
      <c r="F85" s="9" t="n"/>
      <c r="G85" s="18" t="n">
        <v>8470.459999999999</v>
      </c>
      <c r="H85" s="18" t="n">
        <v>1565.93</v>
      </c>
      <c r="I85" s="18" t="n">
        <v>1088.23</v>
      </c>
      <c r="J85" s="18" t="n">
        <v>-1309.38</v>
      </c>
      <c r="K85" s="37" t="n">
        <v>9815.24</v>
      </c>
      <c r="L85" s="18" t="n">
        <v>6040.3</v>
      </c>
      <c r="M85" s="18" t="n">
        <v>1577.86</v>
      </c>
      <c r="N85" s="18" t="n">
        <v>266.12</v>
      </c>
      <c r="O85" s="18" t="n">
        <v>-1617.5</v>
      </c>
      <c r="P85" s="37" t="n">
        <v>6266.78</v>
      </c>
      <c r="Q85" s="18" t="n">
        <v>4004.54</v>
      </c>
      <c r="R85" s="18" t="n">
        <v>-277.47</v>
      </c>
      <c r="S85" s="18" t="n">
        <v>-567.6799999999999</v>
      </c>
      <c r="T85" s="18" t="n">
        <v>3112.64</v>
      </c>
      <c r="U85" s="37" t="n">
        <v>6272.03</v>
      </c>
      <c r="V85" s="18" t="n">
        <v>10468.49</v>
      </c>
      <c r="W85" s="18" t="n">
        <v>-3961.44</v>
      </c>
      <c r="X85" s="18" t="n">
        <v>3003.54</v>
      </c>
      <c r="Y85" s="18" t="n">
        <v>-2565.17</v>
      </c>
      <c r="Z85" s="37" t="n">
        <v>6945.42</v>
      </c>
      <c r="AA85" s="18" t="n">
        <v>7019.47</v>
      </c>
      <c r="AB85" s="19" t="n">
        <v>1489.25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리스부채의상환</t>
        </is>
      </c>
      <c r="F86" s="9" t="n"/>
      <c r="G86" s="18" t="n">
        <v>6.3</v>
      </c>
      <c r="H86" s="18" t="n">
        <v>6.38</v>
      </c>
      <c r="I86" s="18" t="n">
        <v>6.45</v>
      </c>
      <c r="J86" s="18" t="n">
        <v>7.58</v>
      </c>
      <c r="K86" s="37" t="n">
        <v>26.71</v>
      </c>
      <c r="L86" s="18" t="n">
        <v>10.17</v>
      </c>
      <c r="M86" s="18" t="n">
        <v>10.33</v>
      </c>
      <c r="N86" s="18" t="n">
        <v>10.48</v>
      </c>
      <c r="O86" s="18" t="n">
        <v>10.65</v>
      </c>
      <c r="P86" s="37" t="n">
        <v>41.63</v>
      </c>
      <c r="Q86" s="18" t="n">
        <v>10.82</v>
      </c>
      <c r="R86" s="18" t="n">
        <v>10.98</v>
      </c>
      <c r="S86" s="18" t="n">
        <v>11.15</v>
      </c>
      <c r="T86" s="18" t="n">
        <v>11.33</v>
      </c>
      <c r="U86" s="37" t="n">
        <v>44.28</v>
      </c>
      <c r="V86" s="18" t="n">
        <v>11.5</v>
      </c>
      <c r="W86" s="18" t="n">
        <v>11.69</v>
      </c>
      <c r="X86" s="18" t="n">
        <v>11.86</v>
      </c>
      <c r="Y86" s="18" t="n">
        <v>12.05</v>
      </c>
      <c r="Z86" s="37" t="n">
        <v>47.1</v>
      </c>
      <c r="AA86" s="18" t="n">
        <v>12.23</v>
      </c>
      <c r="AB86" s="19" t="n">
        <v>12.43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무형자산의증가</t>
        </is>
      </c>
      <c r="F87" s="9" t="n"/>
      <c r="K87" s="9" t="n"/>
      <c r="L87" s="18" t="n">
        <v>1.4</v>
      </c>
      <c r="M87" s="18" t="n">
        <v>0</v>
      </c>
      <c r="N87" s="18" t="n">
        <v>0</v>
      </c>
      <c r="O87" s="18" t="n">
        <v>0</v>
      </c>
      <c r="P87" s="37" t="n">
        <v>1.4</v>
      </c>
      <c r="Q87" s="18" t="n">
        <v>466.02</v>
      </c>
      <c r="R87" s="18" t="n">
        <v>9.31</v>
      </c>
      <c r="S87" s="18" t="n">
        <v>0</v>
      </c>
      <c r="T87" s="18" t="n">
        <v>0</v>
      </c>
      <c r="U87" s="37" t="n">
        <v>475.33</v>
      </c>
      <c r="V87" s="18" t="n">
        <v>0</v>
      </c>
      <c r="W87" s="18" t="n">
        <v>0</v>
      </c>
      <c r="X87" s="18" t="n">
        <v>0</v>
      </c>
      <c r="Y87" s="18" t="n">
        <v>18.71</v>
      </c>
      <c r="Z87" s="37" t="n">
        <v>18.71</v>
      </c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배당금지급</t>
        </is>
      </c>
      <c r="F88" s="9" t="n"/>
      <c r="K88" s="9" t="n"/>
      <c r="N88" s="18" t="n">
        <v>0</v>
      </c>
      <c r="O88" s="18" t="n">
        <v>0</v>
      </c>
      <c r="P88" s="9" t="n"/>
      <c r="S88" s="18" t="n">
        <v>0</v>
      </c>
      <c r="T88" s="18" t="n">
        <v>0</v>
      </c>
      <c r="U88" s="9" t="n"/>
      <c r="X88" s="18" t="n">
        <v>0</v>
      </c>
      <c r="Y88" s="18" t="n">
        <v>0</v>
      </c>
      <c r="Z88" s="9" t="n"/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이자수취(CF)</t>
        </is>
      </c>
      <c r="F89" s="9" t="n"/>
      <c r="K89" s="9" t="n"/>
      <c r="O89" s="18" t="n">
        <v>170.22</v>
      </c>
      <c r="P89" s="9" t="n"/>
      <c r="Q89" s="18" t="n">
        <v>182.13</v>
      </c>
      <c r="R89" s="18" t="n">
        <v>214.8</v>
      </c>
      <c r="S89" s="18" t="n">
        <v>208.98</v>
      </c>
      <c r="T89" s="18" t="n">
        <v>227.84</v>
      </c>
      <c r="U89" s="37" t="n">
        <v>833.75</v>
      </c>
      <c r="V89" s="18" t="n">
        <v>182.46</v>
      </c>
      <c r="W89" s="18" t="n">
        <v>138</v>
      </c>
      <c r="X89" s="18" t="n">
        <v>171.58</v>
      </c>
      <c r="Y89" s="18" t="n">
        <v>162.14</v>
      </c>
      <c r="Z89" s="37" t="n">
        <v>654.1799999999999</v>
      </c>
      <c r="AA89" s="18" t="n">
        <v>158.83</v>
      </c>
      <c r="AB89" s="19" t="n">
        <v>178.38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배당금수취(CF)</t>
        </is>
      </c>
      <c r="F90" s="9" t="n"/>
      <c r="K90" s="9" t="n"/>
      <c r="P90" s="9" t="n"/>
      <c r="U90" s="9" t="n"/>
      <c r="X90" s="18" t="n">
        <v>0</v>
      </c>
      <c r="Z90" s="9" t="n"/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3">
        <f>IFERROR(AC9/AC5,"")</f>
        <v/>
      </c>
      <c r="AD10" s="33">
        <f>IFERROR(AD9/AD5,"")</f>
        <v/>
      </c>
      <c r="AE10" s="25">
        <f>IFERROR(AE9/AE5,"")</f>
        <v/>
      </c>
      <c r="AF10" s="33">
        <f>IFERROR(AF9/AF5,"")</f>
        <v/>
      </c>
      <c r="AG10" s="33">
        <f>IFERROR(AG9/AG5,"")</f>
        <v/>
      </c>
      <c r="AH10" s="33">
        <f>IFERROR(AH9/AH5,"")</f>
        <v/>
      </c>
      <c r="AI10" s="33">
        <f>IFERROR(AI9/AI5,"")</f>
        <v/>
      </c>
      <c r="AJ10" s="25">
        <f>IFERROR(AJ9/AJ5,"")</f>
        <v/>
      </c>
      <c r="AK10" s="33">
        <f>IFERROR(AK9/AK5,"")</f>
        <v/>
      </c>
      <c r="AL10" s="33">
        <f>IFERROR(AL9/AL5,"")</f>
        <v/>
      </c>
      <c r="AM10" s="33">
        <f>IFERROR(AM9/AM5,"")</f>
        <v/>
      </c>
      <c r="AN10" s="33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SUM(V12:Y12)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IFERROR((AB29*변수!$D$55-AB27*변수!$D$56)/4,"")</f>
        <v/>
      </c>
      <c r="AD12" s="20">
        <f>IFERROR((AC29*변수!$D$55-AC27*변수!$D$56)/4,"")</f>
        <v/>
      </c>
      <c r="AE12" s="38">
        <f>SUM(AA12:AD12)</f>
        <v/>
      </c>
      <c r="AF12" s="20">
        <f>IFERROR((AD29*변수!$D$55-AD27*변수!$D$56)/4,"")</f>
        <v/>
      </c>
      <c r="AG12" s="20">
        <f>IFERROR((AF29*변수!$D$55-AF27*변수!$D$56)/4,"")</f>
        <v/>
      </c>
      <c r="AH12" s="20">
        <f>IFERROR((AG29*변수!$D$55-AG27*변수!$D$56)/4,"")</f>
        <v/>
      </c>
      <c r="AI12" s="20">
        <f>IFERROR((AH29*변수!$D$55-AH27*변수!$D$56)/4,"")</f>
        <v/>
      </c>
      <c r="AJ12" s="38">
        <f>SUM(AF12:AI12)</f>
        <v/>
      </c>
      <c r="AK12" s="20">
        <f>IFERROR((AI29*변수!$D$55-AI27*변수!$D$56)/4,"")</f>
        <v/>
      </c>
      <c r="AL12" s="20">
        <f>IFERROR((AK29*변수!$D$55-AK27*변수!$D$56)/4,"")</f>
        <v/>
      </c>
      <c r="AM12" s="20">
        <f>IFERROR((AL29*변수!$D$55-AL27*변수!$D$56)/4,"")</f>
        <v/>
      </c>
      <c r="AN12" s="20">
        <f>IFERROR((AM29*변수!$D$55-AM27*변수!$D$56)/4,"")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 t="n"/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 t="n"/>
      <c r="P13" s="37">
        <f>SUM(L13:O13)</f>
        <v/>
      </c>
      <c r="Q13" s="18" t="n"/>
      <c r="R13" s="18" t="n"/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 t="n"/>
      <c r="U13" s="37">
        <f>SUM(Q13:T13)</f>
        <v/>
      </c>
      <c r="V13" s="18" t="n"/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 t="n"/>
      <c r="Z13" s="37">
        <f>SUM(V13:Y13)</f>
        <v/>
      </c>
      <c r="AA13" s="18" t="n"/>
      <c r="AB13" s="19" t="n"/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 t="n"/>
      <c r="H14" s="18" t="n"/>
      <c r="I14" s="18" t="n"/>
      <c r="J14" s="18" t="n"/>
      <c r="K14" s="37">
        <f>SUM(G14:J14)</f>
        <v/>
      </c>
      <c r="L14" s="18" t="n"/>
      <c r="M14" s="18" t="n"/>
      <c r="N14" s="18" t="n"/>
      <c r="O14" s="18" t="n"/>
      <c r="P14" s="37">
        <f>SUM(L14:O14)</f>
        <v/>
      </c>
      <c r="Q14" s="18" t="n"/>
      <c r="R14" s="18" t="n"/>
      <c r="S14" s="18" t="n"/>
      <c r="T14" s="18" t="n"/>
      <c r="U14" s="37">
        <f>SUM(Q14:T14)</f>
        <v/>
      </c>
      <c r="V14" s="18" t="n"/>
      <c r="W14" s="18">
        <f>IFERROR((VLOOKUP("파생상품이익",BS연결,MATCH(W$1,BS연결H,0),0)-VLOOKUP("파생상품손실",BS연결,MATCH(W$1,BS연결H,0),0))/100,"")</f>
        <v/>
      </c>
      <c r="X14" s="18" t="n"/>
      <c r="Y14" s="18" t="n"/>
      <c r="Z14" s="37">
        <f>SUM(V14:Y14)</f>
        <v/>
      </c>
      <c r="AA14" s="18" t="n"/>
      <c r="AB14" s="19" t="n"/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 t="n"/>
      <c r="H15" s="18" t="n"/>
      <c r="I15" s="18" t="n"/>
      <c r="J15" s="18" t="n"/>
      <c r="K15" s="37">
        <f>SUM(G15:J15)</f>
        <v/>
      </c>
      <c r="L15" s="18" t="n"/>
      <c r="M15" s="18" t="n"/>
      <c r="N15" s="18" t="n"/>
      <c r="O15" s="18" t="n"/>
      <c r="P15" s="37">
        <f>SUM(L15:O15)</f>
        <v/>
      </c>
      <c r="Q15" s="18" t="n"/>
      <c r="R15" s="18" t="n"/>
      <c r="S15" s="18" t="n"/>
      <c r="T15" s="18" t="n"/>
      <c r="U15" s="37">
        <f>SUM(Q15:T15)</f>
        <v/>
      </c>
      <c r="V15" s="18" t="n"/>
      <c r="W15" s="18">
        <f>IFERROR(W11-W12-W13-W14,"")</f>
        <v/>
      </c>
      <c r="X15" s="18" t="n"/>
      <c r="Y15" s="18" t="n"/>
      <c r="Z15" s="37">
        <f>SUM(V15:Y15)</f>
        <v/>
      </c>
      <c r="AA15" s="18" t="n"/>
      <c r="AB15" s="19" t="n"/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지분법손익</t>
        </is>
      </c>
      <c r="B17" t="inlineStr">
        <is>
          <t>손익</t>
        </is>
      </c>
      <c r="C17" t="inlineStr">
        <is>
          <t>억원</t>
        </is>
      </c>
      <c r="D17" t="inlineStr">
        <is>
          <t>종속기업,공동지배기업및관계기업관련손익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 t="n"/>
      <c r="X17" s="18" t="n"/>
      <c r="Y17" s="18" t="n"/>
      <c r="Z17" s="37">
        <f>SUM(V17:Y17)</f>
        <v/>
      </c>
      <c r="AA17" s="18" t="n"/>
      <c r="AB17" s="19">
        <f>IFERROR(VLOOKUP($D17,BS연결,MATCH(AB$1,BS연결H,0),0)/100,"")</f>
        <v/>
      </c>
      <c r="AC17" s="20">
        <f>변수!AC28</f>
        <v/>
      </c>
      <c r="AD17" s="20">
        <f>변수!AD28</f>
        <v/>
      </c>
      <c r="AE17" s="38">
        <f>SUM(AA17:AD17)</f>
        <v/>
      </c>
      <c r="AF17" s="20">
        <f>변수!AF28</f>
        <v/>
      </c>
      <c r="AG17" s="20">
        <f>변수!AG28</f>
        <v/>
      </c>
      <c r="AH17" s="20">
        <f>변수!AH28</f>
        <v/>
      </c>
      <c r="AI17" s="20">
        <f>변수!AI28</f>
        <v/>
      </c>
      <c r="AJ17" s="38">
        <f>SUM(AF17:AI17)</f>
        <v/>
      </c>
      <c r="AK17" s="20">
        <f>변수!AK28</f>
        <v/>
      </c>
      <c r="AL17" s="20">
        <f>변수!AL28</f>
        <v/>
      </c>
      <c r="AM17" s="20">
        <f>변수!AM28</f>
        <v/>
      </c>
      <c r="AN17" s="20">
        <f>변수!AN28</f>
        <v/>
      </c>
      <c r="AO17" s="38">
        <f>SUM(AK17:AN17)</f>
        <v/>
      </c>
    </row>
    <row r="18">
      <c r="A18" s="12" t="inlineStr">
        <is>
          <t>세전이익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법인세비용차감전계속사업이익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IFERROR(AC9+AC11+AC16+AC17,"")</f>
        <v/>
      </c>
      <c r="AD18" s="20">
        <f>IFERROR(AD9+AD11+AD16+AD17,"")</f>
        <v/>
      </c>
      <c r="AE18" s="38">
        <f>SUM(AA18:AD18)</f>
        <v/>
      </c>
      <c r="AF18" s="20">
        <f>IFERROR(AF9+AF11+AF16+AF17,"")</f>
        <v/>
      </c>
      <c r="AG18" s="20">
        <f>IFERROR(AG9+AG11+AG16+AG17,"")</f>
        <v/>
      </c>
      <c r="AH18" s="20">
        <f>IFERROR(AH9+AH11+AH16+AH17,"")</f>
        <v/>
      </c>
      <c r="AI18" s="20">
        <f>IFERROR(AI9+AI11+AI16+AI17,"")</f>
        <v/>
      </c>
      <c r="AJ18" s="38">
        <f>SUM(AF18:AI18)</f>
        <v/>
      </c>
      <c r="AK18" s="20">
        <f>IFERROR(AK9+AK11+AK16+AK17,"")</f>
        <v/>
      </c>
      <c r="AL18" s="20">
        <f>IFERROR(AL9+AL11+AL16+AL17,"")</f>
        <v/>
      </c>
      <c r="AM18" s="20">
        <f>IFERROR(AM9+AM11+AM16+AM17,"")</f>
        <v/>
      </c>
      <c r="AN18" s="20">
        <f>IFERROR(AN9+AN11+AN16+AN17,"")</f>
        <v/>
      </c>
      <c r="AO18" s="38">
        <f>SUM(AK18:AN18)</f>
        <v/>
      </c>
    </row>
    <row r="19">
      <c r="A19" s="12" t="inlineStr">
        <is>
          <t>법인세비용</t>
        </is>
      </c>
      <c r="B19" t="inlineStr">
        <is>
          <t>손익</t>
        </is>
      </c>
      <c r="C19" t="inlineStr">
        <is>
          <t>억원</t>
        </is>
      </c>
      <c r="D19" t="inlineStr">
        <is>
          <t>법인세비용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IFERROR(MAX(AC18,0)*변수!AC29,"")</f>
        <v/>
      </c>
      <c r="AD19" s="20">
        <f>IFERROR(MAX(AD18,0)*변수!AD29,"")</f>
        <v/>
      </c>
      <c r="AE19" s="38">
        <f>SUM(AA19:AD19)</f>
        <v/>
      </c>
      <c r="AF19" s="20">
        <f>IFERROR(MAX(AF18,0)*변수!AF29,"")</f>
        <v/>
      </c>
      <c r="AG19" s="20">
        <f>IFERROR(MAX(AG18,0)*변수!AG29,"")</f>
        <v/>
      </c>
      <c r="AH19" s="20">
        <f>IFERROR(MAX(AH18,0)*변수!AH29,"")</f>
        <v/>
      </c>
      <c r="AI19" s="20">
        <f>IFERROR(MAX(AI18,0)*변수!AI29,"")</f>
        <v/>
      </c>
      <c r="AJ19" s="38">
        <f>SUM(AF19:AI19)</f>
        <v/>
      </c>
      <c r="AK19" s="20">
        <f>IFERROR(MAX(AK18,0)*변수!AK29,"")</f>
        <v/>
      </c>
      <c r="AL19" s="20">
        <f>IFERROR(MAX(AL18,0)*변수!AL29,"")</f>
        <v/>
      </c>
      <c r="AM19" s="20">
        <f>IFERROR(MAX(AM18,0)*변수!AM29,"")</f>
        <v/>
      </c>
      <c r="AN19" s="20">
        <f>IFERROR(MAX(AN18,0)*변수!AN29,"")</f>
        <v/>
      </c>
      <c r="AO19" s="38">
        <f>SUM(AK19:AN19)</f>
        <v/>
      </c>
    </row>
    <row r="20">
      <c r="A20" s="12" t="inlineStr">
        <is>
          <t>당기순이익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SUM(L20:O20)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IFERROR(AC18-AC19,"")</f>
        <v/>
      </c>
      <c r="AD20" s="20">
        <f>IFERROR(AD18-AD19,"")</f>
        <v/>
      </c>
      <c r="AE20" s="38">
        <f>SUM(AA20:AD20)</f>
        <v/>
      </c>
      <c r="AF20" s="20">
        <f>IFERROR(AF18-AF19,"")</f>
        <v/>
      </c>
      <c r="AG20" s="20">
        <f>IFERROR(AG18-AG19,"")</f>
        <v/>
      </c>
      <c r="AH20" s="20">
        <f>IFERROR(AH18-AH19,"")</f>
        <v/>
      </c>
      <c r="AI20" s="20">
        <f>IFERROR(AI18-AI19,"")</f>
        <v/>
      </c>
      <c r="AJ20" s="38">
        <f>SUM(AF20:AI20)</f>
        <v/>
      </c>
      <c r="AK20" s="20">
        <f>IFERROR(AK18-AK19,"")</f>
        <v/>
      </c>
      <c r="AL20" s="20">
        <f>IFERROR(AL18-AL19,"")</f>
        <v/>
      </c>
      <c r="AM20" s="20">
        <f>IFERROR(AM18-AM19,"")</f>
        <v/>
      </c>
      <c r="AN20" s="20">
        <f>IFERROR(AN18-AN19,"")</f>
        <v/>
      </c>
      <c r="AO20" s="38">
        <f>SUM(AK20:AN20)</f>
        <v/>
      </c>
    </row>
    <row r="21">
      <c r="A21" s="12" t="inlineStr">
        <is>
          <t>지배주주순이익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(지배주주지분)당기순이익</t>
        </is>
      </c>
      <c r="E21" s="18">
        <f>IFERROR(VLOOKUP($D21,BS연결,MATCH(E$1,BS연결H,0),0)/100,"")</f>
        <v/>
      </c>
      <c r="F21" s="37" t="n"/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SUM(L21:O21)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IFERROR(AC20*변수!AC30,"")</f>
        <v/>
      </c>
      <c r="AD21" s="20">
        <f>IFERROR(AD20*변수!AD30,"")</f>
        <v/>
      </c>
      <c r="AE21" s="38">
        <f>SUM(AA21:AD21)</f>
        <v/>
      </c>
      <c r="AF21" s="20">
        <f>IFERROR(AF20*변수!AF30,"")</f>
        <v/>
      </c>
      <c r="AG21" s="20">
        <f>IFERROR(AG20*변수!AG30,"")</f>
        <v/>
      </c>
      <c r="AH21" s="20">
        <f>IFERROR(AH20*변수!AH30,"")</f>
        <v/>
      </c>
      <c r="AI21" s="20">
        <f>IFERROR(AI20*변수!AI30,"")</f>
        <v/>
      </c>
      <c r="AJ21" s="38">
        <f>SUM(AF21:AI21)</f>
        <v/>
      </c>
      <c r="AK21" s="20">
        <f>IFERROR(AK20*변수!AK30,"")</f>
        <v/>
      </c>
      <c r="AL21" s="20">
        <f>IFERROR(AL20*변수!AL30,"")</f>
        <v/>
      </c>
      <c r="AM21" s="20">
        <f>IFERROR(AM20*변수!AM30,"")</f>
        <v/>
      </c>
      <c r="AN21" s="20">
        <f>IFERROR(AN20*변수!AN30,"")</f>
        <v/>
      </c>
      <c r="AO21" s="38">
        <f>SUM(AK21:AN21)</f>
        <v/>
      </c>
    </row>
    <row r="22">
      <c r="A22" s="12" t="inlineStr">
        <is>
          <t>중단사업이익</t>
        </is>
      </c>
      <c r="B22" t="inlineStr">
        <is>
          <t>손익</t>
        </is>
      </c>
      <c r="C22" t="inlineStr">
        <is>
          <t>억원</t>
        </is>
      </c>
      <c r="D22" t="inlineStr">
        <is>
          <t>중단사업이익</t>
        </is>
      </c>
      <c r="E22" s="18">
        <f>IFERROR(VLOOKUP($D22,BS연결,MATCH(E$1,BS연결H,0),0)/100,"")</f>
        <v/>
      </c>
      <c r="F22" s="37" t="n"/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 t="n"/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 t="n"/>
      <c r="P22" s="37">
        <f>SUM(L22:O22)</f>
        <v/>
      </c>
      <c r="Q22" s="18" t="n"/>
      <c r="R22" s="18" t="n"/>
      <c r="S22" s="18" t="n"/>
      <c r="T22" s="18" t="n"/>
      <c r="U22" s="37">
        <f>SUM(Q22:T22)</f>
        <v/>
      </c>
      <c r="V22" s="18" t="n"/>
      <c r="W22" s="18" t="n"/>
      <c r="X22" s="18" t="n"/>
      <c r="Y22" s="18" t="n"/>
      <c r="Z22" s="37">
        <f>SUM(V22:Y22)</f>
        <v/>
      </c>
      <c r="AA22" s="18" t="n"/>
      <c r="AB22" s="19" t="n"/>
      <c r="AC22" s="20" t="n"/>
      <c r="AD22" s="20" t="n"/>
      <c r="AE22" s="38">
        <f>SUM(AA22:AD22)</f>
        <v/>
      </c>
      <c r="AF22" s="20" t="n"/>
      <c r="AG22" s="20" t="n"/>
      <c r="AH22" s="20" t="n"/>
      <c r="AI22" s="20" t="n"/>
      <c r="AJ22" s="38">
        <f>SUM(AF22:AI22)</f>
        <v/>
      </c>
      <c r="AK22" s="20" t="n"/>
      <c r="AL22" s="20" t="n"/>
      <c r="AM22" s="20" t="n"/>
      <c r="AN22" s="20" t="n"/>
      <c r="AO22" s="38">
        <f>SUM(AK22:AN22)</f>
        <v/>
      </c>
    </row>
    <row r="23">
      <c r="A23" s="12" t="inlineStr">
        <is>
          <t>자산총계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자산총계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IFERROR(AC24+AC25,"")</f>
        <v/>
      </c>
      <c r="AD23" s="20">
        <f>IFERROR(AD24+AD25,"")</f>
        <v/>
      </c>
      <c r="AE23" s="38">
        <f>AD23</f>
        <v/>
      </c>
      <c r="AF23" s="20">
        <f>IFERROR(AF24+AF25,"")</f>
        <v/>
      </c>
      <c r="AG23" s="20">
        <f>IFERROR(AG24+AG25,"")</f>
        <v/>
      </c>
      <c r="AH23" s="20">
        <f>IFERROR(AH24+AH25,"")</f>
        <v/>
      </c>
      <c r="AI23" s="20">
        <f>IFERROR(AI24+AI25,"")</f>
        <v/>
      </c>
      <c r="AJ23" s="38">
        <f>AI23</f>
        <v/>
      </c>
      <c r="AK23" s="20">
        <f>IFERROR(AK24+AK25,"")</f>
        <v/>
      </c>
      <c r="AL23" s="20">
        <f>IFERROR(AL24+AL25,"")</f>
        <v/>
      </c>
      <c r="AM23" s="20">
        <f>IFERROR(AM24+AM25,"")</f>
        <v/>
      </c>
      <c r="AN23" s="20">
        <f>IFERROR(AN24+AN25,"")</f>
        <v/>
      </c>
      <c r="AO23" s="38">
        <f>AN23</f>
        <v/>
      </c>
    </row>
    <row r="24">
      <c r="A24" s="12" t="inlineStr">
        <is>
          <t>부채총계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부채총계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  <c r="AK24" s="20">
        <f>IFERROR(AI24*(1+변수!AK32),"")</f>
        <v/>
      </c>
      <c r="AL24" s="20">
        <f>IFERROR(AK24*(1+변수!AL32),"")</f>
        <v/>
      </c>
      <c r="AM24" s="20">
        <f>IFERROR(AL24*(1+변수!AM32),"")</f>
        <v/>
      </c>
      <c r="AN24" s="20">
        <f>IFERROR(AM24*(1+변수!AN32),"")</f>
        <v/>
      </c>
      <c r="AO24" s="38">
        <f>AN24</f>
        <v/>
      </c>
    </row>
    <row r="25">
      <c r="A25" s="12" t="inlineStr">
        <is>
          <t>자본총계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자본총계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IFERROR(AB25+AC20-변수!AC33,"")</f>
        <v/>
      </c>
      <c r="AD25" s="20">
        <f>IFERROR(AC25+AD20-변수!AD33,"")</f>
        <v/>
      </c>
      <c r="AE25" s="38">
        <f>AD25</f>
        <v/>
      </c>
      <c r="AF25" s="20">
        <f>IFERROR(AD25+AF20-변수!AF33,"")</f>
        <v/>
      </c>
      <c r="AG25" s="20">
        <f>IFERROR(AF25+AG20-변수!AG33,"")</f>
        <v/>
      </c>
      <c r="AH25" s="20">
        <f>IFERROR(AG25+AH20-변수!AH33,"")</f>
        <v/>
      </c>
      <c r="AI25" s="20">
        <f>IFERROR(AH25+AI20-변수!AI33,"")</f>
        <v/>
      </c>
      <c r="AJ25" s="38">
        <f>AI25</f>
        <v/>
      </c>
      <c r="AK25" s="20">
        <f>IFERROR(AI25+AK20-변수!AK33,"")</f>
        <v/>
      </c>
      <c r="AL25" s="20">
        <f>IFERROR(AK25+AL20-변수!AL33,"")</f>
        <v/>
      </c>
      <c r="AM25" s="20">
        <f>IFERROR(AL25+AM20-변수!AM33,"")</f>
        <v/>
      </c>
      <c r="AN25" s="20">
        <f>IFERROR(AM25+AN20-변수!AN33,"")</f>
        <v/>
      </c>
      <c r="AO25" s="38">
        <f>AN25</f>
        <v/>
      </c>
    </row>
    <row r="26">
      <c r="A26" s="12" t="inlineStr">
        <is>
          <t>지배주주지분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지배주주지분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IFERROR(AB26+AC21-변수!AC34,"")</f>
        <v/>
      </c>
      <c r="AD26" s="20">
        <f>IFERROR(AC26+AD21-변수!AD34,"")</f>
        <v/>
      </c>
      <c r="AE26" s="38">
        <f>AD26</f>
        <v/>
      </c>
      <c r="AF26" s="20">
        <f>IFERROR(AD26+AF21-변수!AF34,"")</f>
        <v/>
      </c>
      <c r="AG26" s="20">
        <f>IFERROR(AF26+AG21-변수!AG34,"")</f>
        <v/>
      </c>
      <c r="AH26" s="20">
        <f>IFERROR(AG26+AH21-변수!AH34,"")</f>
        <v/>
      </c>
      <c r="AI26" s="20">
        <f>IFERROR(AH26+AI21-변수!AI34,"")</f>
        <v/>
      </c>
      <c r="AJ26" s="38">
        <f>AI26</f>
        <v/>
      </c>
      <c r="AK26" s="20">
        <f>IFERROR(AI26+AK21-변수!AK34,"")</f>
        <v/>
      </c>
      <c r="AL26" s="20">
        <f>IFERROR(AK26+AL21-변수!AL34,"")</f>
        <v/>
      </c>
      <c r="AM26" s="20">
        <f>IFERROR(AL26+AM21-변수!AM34,"")</f>
        <v/>
      </c>
      <c r="AN26" s="20">
        <f>IFERROR(AM26+AN21-변수!AN34,"")</f>
        <v/>
      </c>
      <c r="AO26" s="38">
        <f>AN26</f>
        <v/>
      </c>
    </row>
    <row r="27">
      <c r="A27" s="12" t="inlineStr">
        <is>
          <t>총차입금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총차입금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IFERROR(AB27*(1+변수!AC35),"")</f>
        <v/>
      </c>
      <c r="AD27" s="20">
        <f>IFERROR(AC27*(1+변수!AD35),"")</f>
        <v/>
      </c>
      <c r="AE27" s="38">
        <f>AD27</f>
        <v/>
      </c>
      <c r="AF27" s="20">
        <f>IFERROR(AD27*(1+변수!AF35),"")</f>
        <v/>
      </c>
      <c r="AG27" s="20">
        <f>IFERROR(AF27*(1+변수!AG35),"")</f>
        <v/>
      </c>
      <c r="AH27" s="20">
        <f>IFERROR(AG27*(1+변수!AH35),"")</f>
        <v/>
      </c>
      <c r="AI27" s="20">
        <f>IFERROR(AH27*(1+변수!AI35),"")</f>
        <v/>
      </c>
      <c r="AJ27" s="38">
        <f>AI27</f>
        <v/>
      </c>
      <c r="AK27" s="20">
        <f>IFERROR(AI27*(1+변수!AK35),"")</f>
        <v/>
      </c>
      <c r="AL27" s="20">
        <f>IFERROR(AK27*(1+변수!AL35),"")</f>
        <v/>
      </c>
      <c r="AM27" s="20">
        <f>IFERROR(AL27*(1+변수!AM35),"")</f>
        <v/>
      </c>
      <c r="AN27" s="20">
        <f>IFERROR(AM27*(1+변수!AN35),"")</f>
        <v/>
      </c>
      <c r="AO27" s="38">
        <f>AN27</f>
        <v/>
      </c>
    </row>
    <row r="28">
      <c r="A28" s="12" t="inlineStr">
        <is>
          <t>순차입금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순차입금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IFERROR(AB28*(1+변수!AC36),"")</f>
        <v/>
      </c>
      <c r="AD28" s="20">
        <f>IFERROR(AC28*(1+변수!AD36),"")</f>
        <v/>
      </c>
      <c r="AE28" s="38">
        <f>AD28</f>
        <v/>
      </c>
      <c r="AF28" s="20">
        <f>IFERROR(AD28*(1+변수!AF36),"")</f>
        <v/>
      </c>
      <c r="AG28" s="20">
        <f>IFERROR(AF28*(1+변수!AG36),"")</f>
        <v/>
      </c>
      <c r="AH28" s="20">
        <f>IFERROR(AG28*(1+변수!AH36),"")</f>
        <v/>
      </c>
      <c r="AI28" s="20">
        <f>IFERROR(AH28*(1+변수!AI36),"")</f>
        <v/>
      </c>
      <c r="AJ28" s="38">
        <f>AI28</f>
        <v/>
      </c>
      <c r="AK28" s="20">
        <f>IFERROR(AI28*(1+변수!AK36),"")</f>
        <v/>
      </c>
      <c r="AL28" s="20">
        <f>IFERROR(AK28*(1+변수!AL36),"")</f>
        <v/>
      </c>
      <c r="AM28" s="20">
        <f>IFERROR(AL28*(1+변수!AM36),"")</f>
        <v/>
      </c>
      <c r="AN28" s="20">
        <f>IFERROR(AM28*(1+변수!AN36),"")</f>
        <v/>
      </c>
      <c r="AO28" s="38">
        <f>AN28</f>
        <v/>
      </c>
    </row>
    <row r="29">
      <c r="A29" s="12" t="inlineStr">
        <is>
          <t>이자발생자산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이자발생자산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IFERROR(AB29*(1+변수!AC37),"")</f>
        <v/>
      </c>
      <c r="AD29" s="20">
        <f>IFERROR(AC29*(1+변수!AD37),"")</f>
        <v/>
      </c>
      <c r="AE29" s="38">
        <f>AD29</f>
        <v/>
      </c>
      <c r="AF29" s="20">
        <f>IFERROR(AD29*(1+변수!AF37),"")</f>
        <v/>
      </c>
      <c r="AG29" s="20">
        <f>IFERROR(AF29*(1+변수!AG37),"")</f>
        <v/>
      </c>
      <c r="AH29" s="20">
        <f>IFERROR(AG29*(1+변수!AH37),"")</f>
        <v/>
      </c>
      <c r="AI29" s="20">
        <f>IFERROR(AH29*(1+변수!AI37),"")</f>
        <v/>
      </c>
      <c r="AJ29" s="38">
        <f>AI29</f>
        <v/>
      </c>
      <c r="AK29" s="20">
        <f>IFERROR(AI29*(1+변수!AK37),"")</f>
        <v/>
      </c>
      <c r="AL29" s="20">
        <f>IFERROR(AK29*(1+변수!AL37),"")</f>
        <v/>
      </c>
      <c r="AM29" s="20">
        <f>IFERROR(AL29*(1+변수!AM37),"")</f>
        <v/>
      </c>
      <c r="AN29" s="20">
        <f>IFERROR(AM29*(1+변수!AN37),"")</f>
        <v/>
      </c>
      <c r="AO29" s="38">
        <f>AN29</f>
        <v/>
      </c>
    </row>
    <row r="30">
      <c r="A30" s="12" t="inlineStr">
        <is>
          <t>현금및현금성자산</t>
        </is>
      </c>
      <c r="B30" t="inlineStr">
        <is>
          <t>재무상태</t>
        </is>
      </c>
      <c r="C30" t="inlineStr">
        <is>
          <t>억원</t>
        </is>
      </c>
      <c r="D30" t="inlineStr">
        <is>
          <t>현금및현금성자산</t>
        </is>
      </c>
      <c r="E30" s="18">
        <f>IFERROR(VLOOKUP($D30,BS연결,MATCH(E$1,BS연결H,0),0)/100,"")</f>
        <v/>
      </c>
      <c r="F30" s="37">
        <f>IFERROR(VLOOKUP($D30,BS연결,MATCH(F$1,BS연결H,0),0)/100,"")</f>
        <v/>
      </c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 t="n"/>
      <c r="AD30" s="20" t="n"/>
      <c r="AE30" s="38">
        <f>AD30</f>
        <v/>
      </c>
      <c r="AF30" s="20" t="n"/>
      <c r="AG30" s="20" t="n"/>
      <c r="AH30" s="20" t="n"/>
      <c r="AI30" s="20" t="n"/>
      <c r="AJ30" s="38">
        <f>AI30</f>
        <v/>
      </c>
      <c r="AK30" s="20" t="n"/>
      <c r="AL30" s="20" t="n"/>
      <c r="AM30" s="20" t="n"/>
      <c r="AN30" s="20" t="n"/>
      <c r="AO30" s="38">
        <f>AN30</f>
        <v/>
      </c>
    </row>
    <row r="31">
      <c r="A31" s="12" t="inlineStr">
        <is>
          <t>CAPEX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CAPEX</t>
        </is>
      </c>
      <c r="E31" s="18">
        <f>IFERROR(VLOOKUP($D31,BS연결,MATCH(E$1,BS연결H,0),0)/100,"")</f>
        <v/>
      </c>
      <c r="F31" s="37" t="n"/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IFERROR(VLOOKUP($D31,BS연결,MATCH(K$1,BS연결H,0),0)/100,"")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IFERROR(VLOOKUP($D31,BS연결,MATCH(N$1,BS연결H,0),0)/100,"")</f>
        <v/>
      </c>
      <c r="O31" s="18">
        <f>IFERROR(VLOOKUP($D31,BS연결,MATCH(O$1,BS연결H,0),0)/100,"")</f>
        <v/>
      </c>
      <c r="P31" s="37">
        <f>IFERROR(VLOOKUP($D31,BS연결,MATCH(P$1,BS연결H,0),0)/100,"")</f>
        <v/>
      </c>
      <c r="Q31" s="18">
        <f>IFERROR(VLOOKUP($D31,BS연결,MATCH(Q$1,BS연결H,0),0)/100,"")</f>
        <v/>
      </c>
      <c r="R31" s="18">
        <f>IFERROR(VLOOKUP($D31,BS연결,MATCH(R$1,BS연결H,0),0)/100,"")</f>
        <v/>
      </c>
      <c r="S31" s="18">
        <f>IFERROR(VLOOKUP($D31,BS연결,MATCH(S$1,BS연결H,0),0)/100,"")</f>
        <v/>
      </c>
      <c r="T31" s="18">
        <f>IFERROR(VLOOKUP($D31,BS연결,MATCH(T$1,BS연결H,0),0)/100,"")</f>
        <v/>
      </c>
      <c r="U31" s="37">
        <f>IFERROR(VLOOKUP($D31,BS연결,MATCH(U$1,BS연결H,0),0)/100,"")</f>
        <v/>
      </c>
      <c r="V31" s="18">
        <f>IFERROR(VLOOKUP($D31,BS연결,MATCH(V$1,BS연결H,0),0)/100,"")</f>
        <v/>
      </c>
      <c r="W31" s="18">
        <f>IFERROR(VLOOKUP($D31,BS연결,MATCH(W$1,BS연결H,0),0)/100,"")</f>
        <v/>
      </c>
      <c r="X31" s="18">
        <f>IFERROR(VLOOKUP($D31,BS연결,MATCH(X$1,BS연결H,0),0)/100,"")</f>
        <v/>
      </c>
      <c r="Y31" s="18">
        <f>IFERROR(VLOOKUP($D31,BS연결,MATCH(Y$1,BS연결H,0),0)/100,"")</f>
        <v/>
      </c>
      <c r="Z31" s="37">
        <f>IFERROR(VLOOKUP($D31,BS연결,MATCH(Z$1,BS연결H,0),0)/100,"")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>
        <f>IFERROR(X31*(1+변수!AC39),"")</f>
        <v/>
      </c>
      <c r="AD31" s="20">
        <f>IFERROR(Y31*(1+변수!AD39),"")</f>
        <v/>
      </c>
      <c r="AE31" s="38">
        <f>SUM(AA31:AD31)</f>
        <v/>
      </c>
      <c r="AF31" s="20">
        <f>IFERROR(AA31*(1+변수!AF39),"")</f>
        <v/>
      </c>
      <c r="AG31" s="20">
        <f>IFERROR(AB31*(1+변수!AG39),"")</f>
        <v/>
      </c>
      <c r="AH31" s="20">
        <f>IFERROR(AC31*(1+변수!AH39),"")</f>
        <v/>
      </c>
      <c r="AI31" s="20">
        <f>IFERROR(AD31*(1+변수!AI39),"")</f>
        <v/>
      </c>
      <c r="AJ31" s="38">
        <f>SUM(AF31:AI31)</f>
        <v/>
      </c>
      <c r="AK31" s="20">
        <f>IFERROR(AF31*(1+변수!AK39),"")</f>
        <v/>
      </c>
      <c r="AL31" s="20">
        <f>IFERROR(AG31*(1+변수!AL39),"")</f>
        <v/>
      </c>
      <c r="AM31" s="20">
        <f>IFERROR(AH31*(1+변수!AM39),"")</f>
        <v/>
      </c>
      <c r="AN31" s="20">
        <f>IFERROR(AI31*(1+변수!AN39),"")</f>
        <v/>
      </c>
      <c r="AO31" s="38">
        <f>SUM(AK31:AN31)</f>
        <v/>
      </c>
    </row>
    <row r="32">
      <c r="A32" s="12" t="inlineStr">
        <is>
          <t>영업활동현금흐름</t>
        </is>
      </c>
      <c r="B32" t="inlineStr">
        <is>
          <t>현금흐름</t>
        </is>
      </c>
      <c r="C32" t="inlineStr">
        <is>
          <t>억원</t>
        </is>
      </c>
      <c r="D32" t="inlineStr">
        <is>
          <t>영업활동으로인한현금흐름</t>
        </is>
      </c>
      <c r="E32" s="18">
        <f>IFERROR(VLOOKUP($D32,BS연결,MATCH(E$1,BS연결H,0),0)/100,"")</f>
        <v/>
      </c>
      <c r="F32" s="37" t="n"/>
      <c r="G32" s="18">
        <f>IFERROR(VLOOKUP($D32,BS연결,MATCH(G$1,BS연결H,0),0)/100,"")</f>
        <v/>
      </c>
      <c r="H32" s="18">
        <f>IFERROR(VLOOKUP($D32,BS연결,MATCH(H$1,BS연결H,0),0)/100,"")</f>
        <v/>
      </c>
      <c r="I32" s="18">
        <f>IFERROR(VLOOKUP($D32,BS연결,MATCH(I$1,BS연결H,0),0)/100,"")</f>
        <v/>
      </c>
      <c r="J32" s="18">
        <f>IFERROR(VLOOKUP($D32,BS연결,MATCH(J$1,BS연결H,0),0)/100,"")</f>
        <v/>
      </c>
      <c r="K32" s="37">
        <f>IFERROR(VLOOKUP($D32,BS연결,MATCH(K$1,BS연결H,0),0)/100,"")</f>
        <v/>
      </c>
      <c r="L32" s="18">
        <f>IFERROR(VLOOKUP($D32,BS연결,MATCH(L$1,BS연결H,0),0)/100,"")</f>
        <v/>
      </c>
      <c r="M32" s="18">
        <f>IFERROR(VLOOKUP($D32,BS연결,MATCH(M$1,BS연결H,0),0)/100,"")</f>
        <v/>
      </c>
      <c r="N32" s="18">
        <f>IFERROR(VLOOKUP($D32,BS연결,MATCH(N$1,BS연결H,0),0)/100,"")</f>
        <v/>
      </c>
      <c r="O32" s="18">
        <f>IFERROR(VLOOKUP($D32,BS연결,MATCH(O$1,BS연결H,0),0)/100,"")</f>
        <v/>
      </c>
      <c r="P32" s="37">
        <f>IFERROR(VLOOKUP($D32,BS연결,MATCH(P$1,BS연결H,0),0)/100,"")</f>
        <v/>
      </c>
      <c r="Q32" s="18">
        <f>IFERROR(VLOOKUP($D32,BS연결,MATCH(Q$1,BS연결H,0),0)/100,"")</f>
        <v/>
      </c>
      <c r="R32" s="18">
        <f>IFERROR(VLOOKUP($D32,BS연결,MATCH(R$1,BS연결H,0),0)/100,"")</f>
        <v/>
      </c>
      <c r="S32" s="18">
        <f>IFERROR(VLOOKUP($D32,BS연결,MATCH(S$1,BS연결H,0),0)/100,"")</f>
        <v/>
      </c>
      <c r="T32" s="18">
        <f>IFERROR(VLOOKUP($D32,BS연결,MATCH(T$1,BS연결H,0),0)/100,"")</f>
        <v/>
      </c>
      <c r="U32" s="37">
        <f>IFERROR(VLOOKUP($D32,BS연결,MATCH(U$1,BS연결H,0),0)/100,"")</f>
        <v/>
      </c>
      <c r="V32" s="18">
        <f>IFERROR(VLOOKUP($D32,BS연결,MATCH(V$1,BS연결H,0),0)/100,"")</f>
        <v/>
      </c>
      <c r="W32" s="18">
        <f>IFERROR(VLOOKUP($D32,BS연결,MATCH(W$1,BS연결H,0),0)/100,"")</f>
        <v/>
      </c>
      <c r="X32" s="18">
        <f>IFERROR(VLOOKUP($D32,BS연결,MATCH(X$1,BS연결H,0),0)/100,"")</f>
        <v/>
      </c>
      <c r="Y32" s="18">
        <f>IFERROR(VLOOKUP($D32,BS연결,MATCH(Y$1,BS연결H,0),0)/100,"")</f>
        <v/>
      </c>
      <c r="Z32" s="37">
        <f>IFERROR(VLOOKUP($D32,BS연결,MATCH(Z$1,BS연결H,0),0)/100,"")</f>
        <v/>
      </c>
      <c r="AA32" s="18">
        <f>IFERROR(VLOOKUP($D32,BS연결,MATCH(AA$1,BS연결H,0),0)/100,"")</f>
        <v/>
      </c>
      <c r="AB32" s="19">
        <f>IFERROR(VLOOKUP($D32,BS연결,MATCH(AB$1,BS연결H,0),0)/100,"")</f>
        <v/>
      </c>
      <c r="AC32" s="20" t="n"/>
      <c r="AD32" s="20" t="n"/>
      <c r="AE32" s="38">
        <f>SUM(AA32:AD32)</f>
        <v/>
      </c>
      <c r="AF32" s="20" t="n"/>
      <c r="AG32" s="20" t="n"/>
      <c r="AH32" s="20" t="n"/>
      <c r="AI32" s="20" t="n"/>
      <c r="AJ32" s="38">
        <f>SUM(AF32:AI32)</f>
        <v/>
      </c>
      <c r="AK32" s="20" t="n"/>
      <c r="AL32" s="20" t="n"/>
      <c r="AM32" s="20" t="n"/>
      <c r="AN32" s="20" t="n"/>
      <c r="AO32" s="38">
        <f>SUM(AK32:AN32)</f>
        <v/>
      </c>
    </row>
    <row r="33">
      <c r="A33" s="12" t="inlineStr">
        <is>
          <t>주식수</t>
        </is>
      </c>
      <c r="B33" t="inlineStr">
        <is>
          <t>주당</t>
        </is>
      </c>
      <c r="C33" t="inlineStr">
        <is>
          <t>백만주</t>
        </is>
      </c>
      <c r="D33" t="inlineStr">
        <is>
          <t>유통주식수</t>
        </is>
      </c>
      <c r="E33" s="27" t="n">
        <v>45.547</v>
      </c>
      <c r="F33" s="28">
        <f>E33</f>
        <v/>
      </c>
      <c r="G33" s="27" t="n">
        <v>45.547</v>
      </c>
      <c r="H33" s="27" t="n">
        <v>45.547</v>
      </c>
      <c r="I33" s="27" t="n">
        <v>45.547</v>
      </c>
      <c r="J33" s="27" t="n">
        <v>45.547</v>
      </c>
      <c r="K33" s="28">
        <f>J33</f>
        <v/>
      </c>
      <c r="L33" s="27" t="n">
        <v>45.547</v>
      </c>
      <c r="M33" s="27" t="n">
        <v>45.547</v>
      </c>
      <c r="N33" s="27" t="n">
        <v>45.547</v>
      </c>
      <c r="O33" s="27" t="n">
        <v>45.547</v>
      </c>
      <c r="P33" s="28">
        <f>O33</f>
        <v/>
      </c>
      <c r="Q33" s="27" t="n">
        <v>45.547</v>
      </c>
      <c r="R33" s="27" t="n">
        <v>45.547</v>
      </c>
      <c r="S33" s="27" t="n">
        <v>45.547</v>
      </c>
      <c r="T33" s="27" t="n">
        <v>45.547</v>
      </c>
      <c r="U33" s="28">
        <f>T33</f>
        <v/>
      </c>
      <c r="V33" s="27" t="n">
        <v>45.547</v>
      </c>
      <c r="W33" s="27" t="n">
        <v>45.547</v>
      </c>
      <c r="X33" s="27" t="n">
        <v>45.547</v>
      </c>
      <c r="Y33" s="27" t="n">
        <v>45.547</v>
      </c>
      <c r="Z33" s="28">
        <f>Y33</f>
        <v/>
      </c>
      <c r="AA33" s="27" t="n">
        <v>45.547</v>
      </c>
      <c r="AB33" s="29" t="n">
        <v>45.547</v>
      </c>
      <c r="AC33" s="32">
        <f>IFERROR(AB33*(1+변수!AC41),"")</f>
        <v/>
      </c>
      <c r="AD33" s="32">
        <f>IFERROR(AC33*(1+변수!AD41),"")</f>
        <v/>
      </c>
      <c r="AE33" s="31">
        <f>AD33</f>
        <v/>
      </c>
      <c r="AF33" s="32">
        <f>IFERROR(AD33*(1+변수!AF41),"")</f>
        <v/>
      </c>
      <c r="AG33" s="32">
        <f>IFERROR(AF33*(1+변수!AG41),"")</f>
        <v/>
      </c>
      <c r="AH33" s="32">
        <f>IFERROR(AG33*(1+변수!AH41),"")</f>
        <v/>
      </c>
      <c r="AI33" s="32">
        <f>IFERROR(AH33*(1+변수!AI41),"")</f>
        <v/>
      </c>
      <c r="AJ33" s="31">
        <f>AI33</f>
        <v/>
      </c>
      <c r="AK33" s="32">
        <f>IFERROR(AI33*(1+변수!AK41),"")</f>
        <v/>
      </c>
      <c r="AL33" s="32">
        <f>IFERROR(AK33*(1+변수!AL41),"")</f>
        <v/>
      </c>
      <c r="AM33" s="32">
        <f>IFERROR(AL33*(1+변수!AM41),"")</f>
        <v/>
      </c>
      <c r="AN33" s="32">
        <f>IFERROR(AM33*(1+변수!AN41),"")</f>
        <v/>
      </c>
      <c r="AO33" s="31">
        <f>AN33</f>
        <v/>
      </c>
    </row>
    <row r="34">
      <c r="A34" s="12" t="inlineStr">
        <is>
          <t>EPS</t>
        </is>
      </c>
      <c r="B34" t="inlineStr">
        <is>
          <t>주당</t>
        </is>
      </c>
      <c r="C34" t="inlineStr">
        <is>
          <t>원</t>
        </is>
      </c>
      <c r="D34" t="inlineStr">
        <is>
          <t>EPS</t>
        </is>
      </c>
      <c r="E34" s="18">
        <f>IFERROR(E21*100/E33,"")</f>
        <v/>
      </c>
      <c r="F34" s="37" t="n"/>
      <c r="G34" s="18">
        <f>IFERROR(G21*100/G33,"")</f>
        <v/>
      </c>
      <c r="H34" s="18">
        <f>IFERROR(H21*100/H33,"")</f>
        <v/>
      </c>
      <c r="I34" s="18">
        <f>IFERROR(I21*100/I33,"")</f>
        <v/>
      </c>
      <c r="J34" s="18">
        <f>IFERROR(J21*100/J33,"")</f>
        <v/>
      </c>
      <c r="K34" s="37">
        <f>SUM(G34:J34)</f>
        <v/>
      </c>
      <c r="L34" s="18">
        <f>IFERROR(L21*100/L33,"")</f>
        <v/>
      </c>
      <c r="M34" s="18">
        <f>IFERROR(M21*100/M33,"")</f>
        <v/>
      </c>
      <c r="N34" s="18">
        <f>IFERROR(N21*100/N33,"")</f>
        <v/>
      </c>
      <c r="O34" s="18">
        <f>IFERROR(O21*100/O33,"")</f>
        <v/>
      </c>
      <c r="P34" s="37">
        <f>SUM(L34:O34)</f>
        <v/>
      </c>
      <c r="Q34" s="18">
        <f>IFERROR(Q21*100/Q33,"")</f>
        <v/>
      </c>
      <c r="R34" s="18">
        <f>IFERROR(R21*100/R33,"")</f>
        <v/>
      </c>
      <c r="S34" s="18">
        <f>IFERROR(S21*100/S33,"")</f>
        <v/>
      </c>
      <c r="T34" s="18">
        <f>IFERROR(T21*100/T33,"")</f>
        <v/>
      </c>
      <c r="U34" s="37">
        <f>SUM(Q34:T34)</f>
        <v/>
      </c>
      <c r="V34" s="18">
        <f>IFERROR(V21*100/V33,"")</f>
        <v/>
      </c>
      <c r="W34" s="18">
        <f>IFERROR(W21*100/W33,"")</f>
        <v/>
      </c>
      <c r="X34" s="18">
        <f>IFERROR(X21*100/X33,"")</f>
        <v/>
      </c>
      <c r="Y34" s="18">
        <f>IFERROR(Y21*100/Y33,"")</f>
        <v/>
      </c>
      <c r="Z34" s="37">
        <f>SUM(V34:Y34)</f>
        <v/>
      </c>
      <c r="AA34" s="18">
        <f>IFERROR(AA21*100/AA33,"")</f>
        <v/>
      </c>
      <c r="AB34" s="19">
        <f>IFERROR(AB21*100/AB33,"")</f>
        <v/>
      </c>
      <c r="AC34" s="20">
        <f>IFERROR(AC21*100/AC33,"")</f>
        <v/>
      </c>
      <c r="AD34" s="20">
        <f>IFERROR(AD21*100/AD33,"")</f>
        <v/>
      </c>
      <c r="AE34" s="38">
        <f>SUM(AA34:AD34)</f>
        <v/>
      </c>
      <c r="AF34" s="20">
        <f>IFERROR(AF21*100/AF33,"")</f>
        <v/>
      </c>
      <c r="AG34" s="20">
        <f>IFERROR(AG21*100/AG33,"")</f>
        <v/>
      </c>
      <c r="AH34" s="20">
        <f>IFERROR(AH21*100/AH33,"")</f>
        <v/>
      </c>
      <c r="AI34" s="20">
        <f>IFERROR(AI21*100/AI33,"")</f>
        <v/>
      </c>
      <c r="AJ34" s="38">
        <f>SUM(AF34:AI34)</f>
        <v/>
      </c>
      <c r="AK34" s="20">
        <f>IFERROR(AK21*100/AK33,"")</f>
        <v/>
      </c>
      <c r="AL34" s="20">
        <f>IFERROR(AL21*100/AL33,"")</f>
        <v/>
      </c>
      <c r="AM34" s="20">
        <f>IFERROR(AM21*100/AM33,"")</f>
        <v/>
      </c>
      <c r="AN34" s="20">
        <f>IFERROR(AN21*100/AN33,"")</f>
        <v/>
      </c>
      <c r="AO34" s="38">
        <f>SUM(AK34:AN34)</f>
        <v/>
      </c>
    </row>
    <row r="35">
      <c r="A35" s="12" t="inlineStr">
        <is>
          <t>BPS</t>
        </is>
      </c>
      <c r="B35" t="inlineStr">
        <is>
          <t>주당</t>
        </is>
      </c>
      <c r="C35" t="inlineStr">
        <is>
          <t>원</t>
        </is>
      </c>
      <c r="D35" t="inlineStr">
        <is>
          <t>BPS</t>
        </is>
      </c>
      <c r="E35" s="18">
        <f>IFERROR(E26*100/E33,"")</f>
        <v/>
      </c>
      <c r="F35" s="37">
        <f>E35</f>
        <v/>
      </c>
      <c r="G35" s="18">
        <f>IFERROR(G26*100/G33,"")</f>
        <v/>
      </c>
      <c r="H35" s="18">
        <f>IFERROR(H26*100/H33,"")</f>
        <v/>
      </c>
      <c r="I35" s="18">
        <f>IFERROR(I26*100/I33,"")</f>
        <v/>
      </c>
      <c r="J35" s="18">
        <f>IFERROR(J26*100/J33,"")</f>
        <v/>
      </c>
      <c r="K35" s="37">
        <f>J35</f>
        <v/>
      </c>
      <c r="L35" s="18">
        <f>IFERROR(L26*100/L33,"")</f>
        <v/>
      </c>
      <c r="M35" s="18">
        <f>IFERROR(M26*100/M33,"")</f>
        <v/>
      </c>
      <c r="N35" s="18">
        <f>IFERROR(N26*100/N33,"")</f>
        <v/>
      </c>
      <c r="O35" s="18">
        <f>IFERROR(O26*100/O33,"")</f>
        <v/>
      </c>
      <c r="P35" s="37">
        <f>O35</f>
        <v/>
      </c>
      <c r="Q35" s="18">
        <f>IFERROR(Q26*100/Q33,"")</f>
        <v/>
      </c>
      <c r="R35" s="18">
        <f>IFERROR(R26*100/R33,"")</f>
        <v/>
      </c>
      <c r="S35" s="18">
        <f>IFERROR(S26*100/S33,"")</f>
        <v/>
      </c>
      <c r="T35" s="18">
        <f>IFERROR(T26*100/T33,"")</f>
        <v/>
      </c>
      <c r="U35" s="37">
        <f>T35</f>
        <v/>
      </c>
      <c r="V35" s="18">
        <f>IFERROR(V26*100/V33,"")</f>
        <v/>
      </c>
      <c r="W35" s="18">
        <f>IFERROR(W26*100/W33,"")</f>
        <v/>
      </c>
      <c r="X35" s="18">
        <f>IFERROR(X26*100/X33,"")</f>
        <v/>
      </c>
      <c r="Y35" s="18">
        <f>IFERROR(Y26*100/Y33,"")</f>
        <v/>
      </c>
      <c r="Z35" s="37">
        <f>Y35</f>
        <v/>
      </c>
      <c r="AA35" s="18">
        <f>IFERROR(AA26*100/AA33,"")</f>
        <v/>
      </c>
      <c r="AB35" s="19">
        <f>IFERROR(AB26*100/AB33,"")</f>
        <v/>
      </c>
      <c r="AC35" s="20">
        <f>IFERROR(AC26*100/AC33,"")</f>
        <v/>
      </c>
      <c r="AD35" s="20">
        <f>IFERROR(AD26*100/AD33,"")</f>
        <v/>
      </c>
      <c r="AE35" s="38">
        <f>AD35</f>
        <v/>
      </c>
      <c r="AF35" s="20">
        <f>IFERROR(AF26*100/AF33,"")</f>
        <v/>
      </c>
      <c r="AG35" s="20">
        <f>IFERROR(AG26*100/AG33,"")</f>
        <v/>
      </c>
      <c r="AH35" s="20">
        <f>IFERROR(AH26*100/AH33,"")</f>
        <v/>
      </c>
      <c r="AI35" s="20">
        <f>IFERROR(AI26*100/AI33,"")</f>
        <v/>
      </c>
      <c r="AJ35" s="38">
        <f>AI35</f>
        <v/>
      </c>
      <c r="AK35" s="20">
        <f>IFERROR(AK26*100/AK33,"")</f>
        <v/>
      </c>
      <c r="AL35" s="20">
        <f>IFERROR(AL26*100/AL33,"")</f>
        <v/>
      </c>
      <c r="AM35" s="20">
        <f>IFERROR(AM26*100/AM33,"")</f>
        <v/>
      </c>
      <c r="AN35" s="20">
        <f>IFERROR(AN26*100/AN33,"")</f>
        <v/>
      </c>
      <c r="AO35" s="38">
        <f>AN35</f>
        <v/>
      </c>
    </row>
    <row r="36">
      <c r="A36" s="12" t="inlineStr">
        <is>
          <t>DPS</t>
        </is>
      </c>
      <c r="B36" t="inlineStr">
        <is>
          <t>주당</t>
        </is>
      </c>
      <c r="C36" t="inlineStr">
        <is>
          <t>원</t>
        </is>
      </c>
      <c r="D36" t="inlineStr">
        <is>
          <t>DPS(보통주)</t>
        </is>
      </c>
      <c r="E36" s="18" t="n">
        <v>0</v>
      </c>
      <c r="F36" s="37" t="n">
        <v>0</v>
      </c>
      <c r="G36" s="18" t="n"/>
      <c r="H36" s="18" t="n"/>
      <c r="I36" s="18" t="n"/>
      <c r="J36" s="18" t="n">
        <v>50</v>
      </c>
      <c r="K36" s="37">
        <f>SUM(G36:J36)</f>
        <v/>
      </c>
      <c r="L36" s="18" t="n"/>
      <c r="M36" s="18" t="n"/>
      <c r="N36" s="18" t="n"/>
      <c r="O36" s="18" t="n">
        <v>50</v>
      </c>
      <c r="P36" s="37">
        <f>SUM(L36:O36)</f>
        <v/>
      </c>
      <c r="Q36" s="18" t="n"/>
      <c r="R36" s="18" t="n"/>
      <c r="S36" s="18" t="n"/>
      <c r="T36" s="18" t="n">
        <v>100</v>
      </c>
      <c r="U36" s="37">
        <f>SUM(Q36:T36)</f>
        <v/>
      </c>
      <c r="V36" s="18" t="n"/>
      <c r="W36" s="18" t="n"/>
      <c r="X36" s="18" t="n"/>
      <c r="Y36" s="18" t="n">
        <v>0</v>
      </c>
      <c r="Z36" s="37">
        <f>SUM(V36:Y36)</f>
        <v/>
      </c>
      <c r="AA36" s="18" t="n"/>
      <c r="AB36" s="19" t="n"/>
      <c r="AC36" s="20" t="n"/>
      <c r="AD36" s="20">
        <f>변수!AD42</f>
        <v/>
      </c>
      <c r="AE36" s="38">
        <f>SUM(AA36:AD36)</f>
        <v/>
      </c>
      <c r="AF36" s="20" t="n"/>
      <c r="AG36" s="20" t="n"/>
      <c r="AH36" s="20" t="n"/>
      <c r="AI36" s="20">
        <f>변수!AI42</f>
        <v/>
      </c>
      <c r="AJ36" s="38">
        <f>SUM(AF36:AI36)</f>
        <v/>
      </c>
      <c r="AK36" s="20" t="n"/>
      <c r="AL36" s="20" t="n"/>
      <c r="AM36" s="20" t="n"/>
      <c r="AN36" s="20">
        <f>변수!AN42</f>
        <v/>
      </c>
      <c r="AO36" s="38">
        <f>SUM(AK36:AN36)</f>
        <v/>
      </c>
    </row>
    <row r="37">
      <c r="A37" s="12" t="inlineStr">
        <is>
          <t>PER</t>
        </is>
      </c>
      <c r="B37" t="inlineStr">
        <is>
          <t>주당</t>
        </is>
      </c>
      <c r="C37" t="inlineStr">
        <is>
          <t>배</t>
        </is>
      </c>
      <c r="D37" t="inlineStr">
        <is>
          <t>PER</t>
        </is>
      </c>
      <c r="E37" s="13" t="n"/>
      <c r="F37" s="14">
        <f>E37</f>
        <v/>
      </c>
      <c r="G37" s="13" t="n"/>
      <c r="H37" s="13" t="n"/>
      <c r="I37" s="13">
        <f>IFERROR(변수!I18/(E34+G34+H34+I34),"")</f>
        <v/>
      </c>
      <c r="J37" s="13">
        <f>IFERROR(변수!J18/(G34+H34+I34+J34),"")</f>
        <v/>
      </c>
      <c r="K37" s="14">
        <f>J37</f>
        <v/>
      </c>
      <c r="L37" s="13">
        <f>IFERROR(변수!L18/(H34+I34+J34+L34),"")</f>
        <v/>
      </c>
      <c r="M37" s="13">
        <f>IFERROR(변수!M18/(I34+J34+L34+M34),"")</f>
        <v/>
      </c>
      <c r="N37" s="13">
        <f>IFERROR(변수!N18/(J34+L34+M34+N34),"")</f>
        <v/>
      </c>
      <c r="O37" s="13">
        <f>IFERROR(변수!O18/(L34+M34+N34+O34),"")</f>
        <v/>
      </c>
      <c r="P37" s="14">
        <f>O37</f>
        <v/>
      </c>
      <c r="Q37" s="13">
        <f>IFERROR(변수!Q18/(M34+N34+O34+Q34),"")</f>
        <v/>
      </c>
      <c r="R37" s="13">
        <f>IFERROR(변수!R18/(N34+O34+Q34+R34),"")</f>
        <v/>
      </c>
      <c r="S37" s="13">
        <f>IFERROR(변수!S18/(O34+Q34+R34+S34),"")</f>
        <v/>
      </c>
      <c r="T37" s="13">
        <f>IFERROR(변수!T18/(Q34+R34+S34+T34),"")</f>
        <v/>
      </c>
      <c r="U37" s="14">
        <f>T37</f>
        <v/>
      </c>
      <c r="V37" s="13">
        <f>IFERROR(변수!V18/(R34+S34+T34+V34),"")</f>
        <v/>
      </c>
      <c r="W37" s="13">
        <f>IFERROR(변수!W18/(S34+T34+V34+W34),"")</f>
        <v/>
      </c>
      <c r="X37" s="13">
        <f>IFERROR(변수!X18/(T34+V34+W34+X34),"")</f>
        <v/>
      </c>
      <c r="Y37" s="13">
        <f>IFERROR(변수!Y18/(V34+W34+X34+Y34),"")</f>
        <v/>
      </c>
      <c r="Z37" s="14">
        <f>Y37</f>
        <v/>
      </c>
      <c r="AA37" s="13">
        <f>IFERROR(변수!AA18/(W34+X34+Y34+AA34),"")</f>
        <v/>
      </c>
      <c r="AB37" s="15">
        <f>IFERROR(변수!AB18/(X34+Y34+AA34+AB34),"")</f>
        <v/>
      </c>
      <c r="AC37" s="39">
        <f>IFERROR(변수!$D$45/(Y34+AA34+AB34+AC34),"")</f>
        <v/>
      </c>
      <c r="AD37" s="39">
        <f>IFERROR(변수!$D$45/(AA34+AB34+AC34+AD34),"")</f>
        <v/>
      </c>
      <c r="AE37" s="40">
        <f>AD37</f>
        <v/>
      </c>
      <c r="AF37" s="39">
        <f>IFERROR(변수!$D$45/(AB34+AC34+AD34+AF34),"")</f>
        <v/>
      </c>
      <c r="AG37" s="39">
        <f>IFERROR(변수!$D$45/(AC34+AD34+AF34+AG34),"")</f>
        <v/>
      </c>
      <c r="AH37" s="39">
        <f>IFERROR(변수!$D$45/(AD34+AF34+AG34+AH34),"")</f>
        <v/>
      </c>
      <c r="AI37" s="39">
        <f>IFERROR(변수!$D$45/(AF34+AG34+AH34+AI34),"")</f>
        <v/>
      </c>
      <c r="AJ37" s="40">
        <f>AI37</f>
        <v/>
      </c>
      <c r="AK37" s="39">
        <f>IFERROR(변수!$D$45/(AG34+AH34+AI34+AK34),"")</f>
        <v/>
      </c>
      <c r="AL37" s="39">
        <f>IFERROR(변수!$D$45/(AH34+AI34+AK34+AL34),"")</f>
        <v/>
      </c>
      <c r="AM37" s="39">
        <f>IFERROR(변수!$D$45/(AI34+AK34+AL34+AM34),"")</f>
        <v/>
      </c>
      <c r="AN37" s="39">
        <f>IFERROR(변수!$D$45/(AK34+AL34+AM34+AN34),"")</f>
        <v/>
      </c>
      <c r="AO37" s="40">
        <f>AN37</f>
        <v/>
      </c>
    </row>
    <row r="38">
      <c r="A38" s="12" t="inlineStr">
        <is>
          <t>PBR</t>
        </is>
      </c>
      <c r="B38" t="inlineStr">
        <is>
          <t>주당</t>
        </is>
      </c>
      <c r="C38" t="inlineStr">
        <is>
          <t>배</t>
        </is>
      </c>
      <c r="D38" t="inlineStr">
        <is>
          <t>PBR</t>
        </is>
      </c>
      <c r="E38" s="13">
        <f>IFERROR(변수!E18/E35,"")</f>
        <v/>
      </c>
      <c r="F38" s="14">
        <f>E38</f>
        <v/>
      </c>
      <c r="G38" s="13">
        <f>IFERROR(변수!G18/G35,"")</f>
        <v/>
      </c>
      <c r="H38" s="13">
        <f>IFERROR(변수!H18/H35,"")</f>
        <v/>
      </c>
      <c r="I38" s="13">
        <f>IFERROR(변수!I18/I35,"")</f>
        <v/>
      </c>
      <c r="J38" s="13">
        <f>IFERROR(변수!J18/J35,"")</f>
        <v/>
      </c>
      <c r="K38" s="14">
        <f>J38</f>
        <v/>
      </c>
      <c r="L38" s="13">
        <f>IFERROR(변수!L18/L35,"")</f>
        <v/>
      </c>
      <c r="M38" s="13">
        <f>IFERROR(변수!M18/M35,"")</f>
        <v/>
      </c>
      <c r="N38" s="13">
        <f>IFERROR(변수!N18/N35,"")</f>
        <v/>
      </c>
      <c r="O38" s="13">
        <f>IFERROR(변수!O18/O35,"")</f>
        <v/>
      </c>
      <c r="P38" s="14">
        <f>O38</f>
        <v/>
      </c>
      <c r="Q38" s="13">
        <f>IFERROR(변수!Q18/Q35,"")</f>
        <v/>
      </c>
      <c r="R38" s="13">
        <f>IFERROR(변수!R18/R35,"")</f>
        <v/>
      </c>
      <c r="S38" s="13">
        <f>IFERROR(변수!S18/S35,"")</f>
        <v/>
      </c>
      <c r="T38" s="13">
        <f>IFERROR(변수!T18/T35,"")</f>
        <v/>
      </c>
      <c r="U38" s="14">
        <f>T38</f>
        <v/>
      </c>
      <c r="V38" s="13">
        <f>IFERROR(변수!V18/V35,"")</f>
        <v/>
      </c>
      <c r="W38" s="13">
        <f>IFERROR(변수!W18/W35,"")</f>
        <v/>
      </c>
      <c r="X38" s="13">
        <f>IFERROR(변수!X18/X35,"")</f>
        <v/>
      </c>
      <c r="Y38" s="13">
        <f>IFERROR(변수!Y18/Y35,"")</f>
        <v/>
      </c>
      <c r="Z38" s="14">
        <f>Y38</f>
        <v/>
      </c>
      <c r="AA38" s="13">
        <f>IFERROR(변수!AA18/AA35,"")</f>
        <v/>
      </c>
      <c r="AB38" s="15">
        <f>IFERROR(변수!AB18/AB35,"")</f>
        <v/>
      </c>
      <c r="AC38" s="39">
        <f>IFERROR(변수!$D$45/AC35,"")</f>
        <v/>
      </c>
      <c r="AD38" s="39">
        <f>IFERROR(변수!$D$45/AD35,"")</f>
        <v/>
      </c>
      <c r="AE38" s="40">
        <f>AD38</f>
        <v/>
      </c>
      <c r="AF38" s="39">
        <f>IFERROR(변수!$D$45/AF35,"")</f>
        <v/>
      </c>
      <c r="AG38" s="39">
        <f>IFERROR(변수!$D$45/AG35,"")</f>
        <v/>
      </c>
      <c r="AH38" s="39">
        <f>IFERROR(변수!$D$45/AH35,"")</f>
        <v/>
      </c>
      <c r="AI38" s="39">
        <f>IFERROR(변수!$D$45/AI35,"")</f>
        <v/>
      </c>
      <c r="AJ38" s="40">
        <f>AI38</f>
        <v/>
      </c>
      <c r="AK38" s="39">
        <f>IFERROR(변수!$D$45/AK35,"")</f>
        <v/>
      </c>
      <c r="AL38" s="39">
        <f>IFERROR(변수!$D$45/AL35,"")</f>
        <v/>
      </c>
      <c r="AM38" s="39">
        <f>IFERROR(변수!$D$45/AM35,"")</f>
        <v/>
      </c>
      <c r="AN38" s="39">
        <f>IFERROR(변수!$D$45/AN35,"")</f>
        <v/>
      </c>
      <c r="AO38" s="40">
        <f>AN38</f>
        <v/>
      </c>
    </row>
    <row r="39">
      <c r="A39" s="12" t="inlineStr">
        <is>
          <t>매출전사</t>
        </is>
      </c>
      <c r="B39" t="inlineStr">
        <is>
          <t>사업부</t>
        </is>
      </c>
      <c r="C39" t="inlineStr">
        <is>
          <t>억원</t>
        </is>
      </c>
      <c r="D39" t="inlineStr">
        <is>
          <t>매출 전사(부문 미분리)</t>
        </is>
      </c>
      <c r="E39" s="18" t="n">
        <v>287.04</v>
      </c>
      <c r="F39" s="37" t="n"/>
      <c r="G39" s="18" t="n">
        <v>323.59</v>
      </c>
      <c r="H39" s="18" t="n">
        <v>360.68</v>
      </c>
      <c r="I39" s="18" t="n">
        <v>304.92</v>
      </c>
      <c r="J39" s="18" t="n">
        <v>326.5</v>
      </c>
      <c r="K39" s="37">
        <f>SUM(G39:J39)</f>
        <v/>
      </c>
      <c r="L39" s="18" t="n">
        <v>327.78</v>
      </c>
      <c r="M39" s="18" t="n">
        <v>430.12</v>
      </c>
      <c r="N39" s="18" t="n">
        <v>378.46</v>
      </c>
      <c r="O39" s="18" t="n">
        <v>438.96</v>
      </c>
      <c r="P39" s="37">
        <f>SUM(L39:O39)</f>
        <v/>
      </c>
      <c r="Q39" s="18" t="n">
        <v>431.15</v>
      </c>
      <c r="R39" s="18" t="n">
        <v>551.66</v>
      </c>
      <c r="S39" s="18" t="n">
        <v>522.16</v>
      </c>
      <c r="T39" s="18" t="n">
        <v>568.08</v>
      </c>
      <c r="U39" s="37">
        <f>SUM(Q39:T39)</f>
        <v/>
      </c>
      <c r="V39" s="18" t="n">
        <v>510.43</v>
      </c>
      <c r="W39" s="18" t="n">
        <v>515.36</v>
      </c>
      <c r="X39" s="18" t="n">
        <v>528.22</v>
      </c>
      <c r="Y39" s="18" t="n">
        <v>518.55</v>
      </c>
      <c r="Z39" s="37">
        <f>SUM(V39:Y39)</f>
        <v/>
      </c>
      <c r="AA39" s="18" t="n">
        <v>564.46</v>
      </c>
      <c r="AB39" s="19" t="n">
        <v>596.77</v>
      </c>
      <c r="AC39" s="20">
        <f>IFERROR(AC5,"")</f>
        <v/>
      </c>
      <c r="AD39" s="20">
        <f>IFERROR(AD5,"")</f>
        <v/>
      </c>
      <c r="AE39" s="38">
        <f>SUM(AA39:AD39)</f>
        <v/>
      </c>
      <c r="AF39" s="20">
        <f>IFERROR(AF5,"")</f>
        <v/>
      </c>
      <c r="AG39" s="20">
        <f>IFERROR(AG5,"")</f>
        <v/>
      </c>
      <c r="AH39" s="20">
        <f>IFERROR(AH5,"")</f>
        <v/>
      </c>
      <c r="AI39" s="20">
        <f>IFERROR(AI5,"")</f>
        <v/>
      </c>
      <c r="AJ39" s="38">
        <f>SUM(AF39:AI39)</f>
        <v/>
      </c>
      <c r="AK39" s="20">
        <f>IFERROR(AK5,"")</f>
        <v/>
      </c>
      <c r="AL39" s="20">
        <f>IFERROR(AL5,"")</f>
        <v/>
      </c>
      <c r="AM39" s="20">
        <f>IFERROR(AM5,"")</f>
        <v/>
      </c>
      <c r="AN39" s="20">
        <f>IFERROR(AN5,"")</f>
        <v/>
      </c>
      <c r="AO39" s="38">
        <f>SUM(AK39:AN39)</f>
        <v/>
      </c>
    </row>
    <row r="40">
      <c r="A40" s="12" t="inlineStr">
        <is>
          <t>OP전사</t>
        </is>
      </c>
      <c r="B40" t="inlineStr">
        <is>
          <t>사업부</t>
        </is>
      </c>
      <c r="C40" t="inlineStr">
        <is>
          <t>억원</t>
        </is>
      </c>
      <c r="D40" t="inlineStr">
        <is>
          <t>OP 전사(부문 미분리)</t>
        </is>
      </c>
      <c r="E40" s="18" t="n">
        <v>-2.5</v>
      </c>
      <c r="F40" s="37" t="n"/>
      <c r="G40" s="18" t="n">
        <v>13.66</v>
      </c>
      <c r="H40" s="18" t="n">
        <v>48.71</v>
      </c>
      <c r="I40" s="18" t="n">
        <v>16.33</v>
      </c>
      <c r="J40" s="18" t="n">
        <v>13.11</v>
      </c>
      <c r="K40" s="37">
        <f>SUM(G40:J40)</f>
        <v/>
      </c>
      <c r="L40" s="18" t="n">
        <v>24.93</v>
      </c>
      <c r="M40" s="18" t="n">
        <v>48.55</v>
      </c>
      <c r="N40" s="18" t="n">
        <v>30.1</v>
      </c>
      <c r="O40" s="18" t="n">
        <v>24.06</v>
      </c>
      <c r="P40" s="37">
        <f>SUM(L40:O40)</f>
        <v/>
      </c>
      <c r="Q40" s="18" t="n">
        <v>41.98</v>
      </c>
      <c r="R40" s="18" t="n">
        <v>68.91</v>
      </c>
      <c r="S40" s="18" t="n">
        <v>96.98</v>
      </c>
      <c r="T40" s="18" t="n">
        <v>40.81</v>
      </c>
      <c r="U40" s="37">
        <f>SUM(Q40:T40)</f>
        <v/>
      </c>
      <c r="V40" s="18" t="n">
        <v>81.97</v>
      </c>
      <c r="W40" s="18" t="n">
        <v>62.39</v>
      </c>
      <c r="X40" s="18" t="n">
        <v>64.08</v>
      </c>
      <c r="Y40" s="18" t="n">
        <v>34.35</v>
      </c>
      <c r="Z40" s="37">
        <f>SUM(V40:Y40)</f>
        <v/>
      </c>
      <c r="AA40" s="18" t="n">
        <v>79.81</v>
      </c>
      <c r="AB40" s="19" t="n">
        <v>88.19</v>
      </c>
      <c r="AC40" s="20">
        <f>IFERROR(AC9,"")</f>
        <v/>
      </c>
      <c r="AD40" s="20">
        <f>IFERROR(AD9,"")</f>
        <v/>
      </c>
      <c r="AE40" s="38">
        <f>SUM(AA40:AD40)</f>
        <v/>
      </c>
      <c r="AF40" s="20">
        <f>IFERROR(AF9,"")</f>
        <v/>
      </c>
      <c r="AG40" s="20">
        <f>IFERROR(AG9,"")</f>
        <v/>
      </c>
      <c r="AH40" s="20">
        <f>IFERROR(AH9,"")</f>
        <v/>
      </c>
      <c r="AI40" s="20">
        <f>IFERROR(AI9,"")</f>
        <v/>
      </c>
      <c r="AJ40" s="38">
        <f>SUM(AF40:AI40)</f>
        <v/>
      </c>
      <c r="AK40" s="20">
        <f>IFERROR(AK9,"")</f>
        <v/>
      </c>
      <c r="AL40" s="20">
        <f>IFERROR(AL9,"")</f>
        <v/>
      </c>
      <c r="AM40" s="20">
        <f>IFERROR(AM9,"")</f>
        <v/>
      </c>
      <c r="AN40" s="20">
        <f>IFERROR(AN9,"")</f>
        <v/>
      </c>
      <c r="AO40" s="38">
        <f>SUM(AK40:AN40)</f>
        <v/>
      </c>
    </row>
    <row r="41">
      <c r="B41" s="2" t="inlineStr">
        <is>
          <t>비율(참고)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NPM</t>
        </is>
      </c>
      <c r="C42" t="inlineStr">
        <is>
          <t>%</t>
        </is>
      </c>
      <c r="D42" t="inlineStr">
        <is>
          <t>지배주주순이익 / 매출액</t>
        </is>
      </c>
      <c r="E42" s="21">
        <f>IFERROR(E21/E5,"")</f>
        <v/>
      </c>
      <c r="F42" s="22">
        <f>IFERROR(F21/F5,"")</f>
        <v/>
      </c>
      <c r="G42" s="21">
        <f>IFERROR(G21/G5,"")</f>
        <v/>
      </c>
      <c r="H42" s="21">
        <f>IFERROR(H21/H5,"")</f>
        <v/>
      </c>
      <c r="I42" s="21">
        <f>IFERROR(I21/I5,"")</f>
        <v/>
      </c>
      <c r="J42" s="21">
        <f>IFERROR(J21/J5,"")</f>
        <v/>
      </c>
      <c r="K42" s="22">
        <f>IFERROR(K21/K5,"")</f>
        <v/>
      </c>
      <c r="L42" s="21">
        <f>IFERROR(L21/L5,"")</f>
        <v/>
      </c>
      <c r="M42" s="21">
        <f>IFERROR(M21/M5,"")</f>
        <v/>
      </c>
      <c r="N42" s="21">
        <f>IFERROR(N21/N5,"")</f>
        <v/>
      </c>
      <c r="O42" s="21">
        <f>IFERROR(O21/O5,"")</f>
        <v/>
      </c>
      <c r="P42" s="22">
        <f>IFERROR(P21/P5,"")</f>
        <v/>
      </c>
      <c r="Q42" s="21">
        <f>IFERROR(Q21/Q5,"")</f>
        <v/>
      </c>
      <c r="R42" s="21">
        <f>IFERROR(R21/R5,"")</f>
        <v/>
      </c>
      <c r="S42" s="21">
        <f>IFERROR(S21/S5,"")</f>
        <v/>
      </c>
      <c r="T42" s="21">
        <f>IFERROR(T21/T5,"")</f>
        <v/>
      </c>
      <c r="U42" s="22">
        <f>IFERROR(U21/U5,"")</f>
        <v/>
      </c>
      <c r="V42" s="21">
        <f>IFERROR(V21/V5,"")</f>
        <v/>
      </c>
      <c r="W42" s="21">
        <f>IFERROR(W21/W5,"")</f>
        <v/>
      </c>
      <c r="X42" s="21">
        <f>IFERROR(X21/X5,"")</f>
        <v/>
      </c>
      <c r="Y42" s="21">
        <f>IFERROR(Y21/Y5,"")</f>
        <v/>
      </c>
      <c r="Z42" s="22">
        <f>IFERROR(Z21/Z5,"")</f>
        <v/>
      </c>
      <c r="AA42" s="21">
        <f>IFERROR(AA21/AA5,"")</f>
        <v/>
      </c>
      <c r="AB42" s="23">
        <f>IFERROR(AB21/AB5,"")</f>
        <v/>
      </c>
      <c r="AC42" s="33">
        <f>IFERROR(AC21/AC5,"")</f>
        <v/>
      </c>
      <c r="AD42" s="33">
        <f>IFERROR(AD21/AD5,"")</f>
        <v/>
      </c>
      <c r="AE42" s="25">
        <f>IFERROR(AE21/AE5,"")</f>
        <v/>
      </c>
      <c r="AF42" s="33">
        <f>IFERROR(AF21/AF5,"")</f>
        <v/>
      </c>
      <c r="AG42" s="33">
        <f>IFERROR(AG21/AG5,"")</f>
        <v/>
      </c>
      <c r="AH42" s="33">
        <f>IFERROR(AH21/AH5,"")</f>
        <v/>
      </c>
      <c r="AI42" s="33">
        <f>IFERROR(AI21/AI5,"")</f>
        <v/>
      </c>
      <c r="AJ42" s="25">
        <f>IFERROR(AJ21/AJ5,"")</f>
        <v/>
      </c>
      <c r="AK42" s="33">
        <f>IFERROR(AK21/AK5,"")</f>
        <v/>
      </c>
      <c r="AL42" s="33">
        <f>IFERROR(AL21/AL5,"")</f>
        <v/>
      </c>
      <c r="AM42" s="33">
        <f>IFERROR(AM21/AM5,"")</f>
        <v/>
      </c>
      <c r="AN42" s="33">
        <f>IFERROR(AN21/AN5,"")</f>
        <v/>
      </c>
      <c r="AO42" s="25">
        <f>IFERROR(AO21/AO5,"")</f>
        <v/>
      </c>
    </row>
    <row r="43">
      <c r="A43" s="12" t="inlineStr">
        <is>
          <t>매출원가율</t>
        </is>
      </c>
      <c r="C43" t="inlineStr">
        <is>
          <t>%</t>
        </is>
      </c>
      <c r="D43" t="inlineStr">
        <is>
          <t>매출원가 / 매출액</t>
        </is>
      </c>
      <c r="E43" s="21">
        <f>IFERROR(E6/E5,"")</f>
        <v/>
      </c>
      <c r="F43" s="22">
        <f>IFERROR(F6/F5,"")</f>
        <v/>
      </c>
      <c r="G43" s="21">
        <f>IFERROR(G6/G5,"")</f>
        <v/>
      </c>
      <c r="H43" s="21">
        <f>IFERROR(H6/H5,"")</f>
        <v/>
      </c>
      <c r="I43" s="21">
        <f>IFERROR(I6/I5,"")</f>
        <v/>
      </c>
      <c r="J43" s="21">
        <f>IFERROR(J6/J5,"")</f>
        <v/>
      </c>
      <c r="K43" s="22">
        <f>IFERROR(K6/K5,"")</f>
        <v/>
      </c>
      <c r="L43" s="21">
        <f>IFERROR(L6/L5,"")</f>
        <v/>
      </c>
      <c r="M43" s="21">
        <f>IFERROR(M6/M5,"")</f>
        <v/>
      </c>
      <c r="N43" s="21">
        <f>IFERROR(N6/N5,"")</f>
        <v/>
      </c>
      <c r="O43" s="21">
        <f>IFERROR(O6/O5,"")</f>
        <v/>
      </c>
      <c r="P43" s="22">
        <f>IFERROR(P6/P5,"")</f>
        <v/>
      </c>
      <c r="Q43" s="21">
        <f>IFERROR(Q6/Q5,"")</f>
        <v/>
      </c>
      <c r="R43" s="21">
        <f>IFERROR(R6/R5,"")</f>
        <v/>
      </c>
      <c r="S43" s="21">
        <f>IFERROR(S6/S5,"")</f>
        <v/>
      </c>
      <c r="T43" s="21">
        <f>IFERROR(T6/T5,"")</f>
        <v/>
      </c>
      <c r="U43" s="22">
        <f>IFERROR(U6/U5,"")</f>
        <v/>
      </c>
      <c r="V43" s="21">
        <f>IFERROR(V6/V5,"")</f>
        <v/>
      </c>
      <c r="W43" s="21">
        <f>IFERROR(W6/W5,"")</f>
        <v/>
      </c>
      <c r="X43" s="21">
        <f>IFERROR(X6/X5,"")</f>
        <v/>
      </c>
      <c r="Y43" s="21">
        <f>IFERROR(Y6/Y5,"")</f>
        <v/>
      </c>
      <c r="Z43" s="22">
        <f>IFERROR(Z6/Z5,"")</f>
        <v/>
      </c>
      <c r="AA43" s="21">
        <f>IFERROR(AA6/AA5,"")</f>
        <v/>
      </c>
      <c r="AB43" s="23">
        <f>IFERROR(AB6/AB5,"")</f>
        <v/>
      </c>
      <c r="AC43" s="33">
        <f>IFERROR(AC6/AC5,"")</f>
        <v/>
      </c>
      <c r="AD43" s="33">
        <f>IFERROR(AD6/AD5,"")</f>
        <v/>
      </c>
      <c r="AE43" s="25">
        <f>IFERROR(AE6/AE5,"")</f>
        <v/>
      </c>
      <c r="AF43" s="33">
        <f>IFERROR(AF6/AF5,"")</f>
        <v/>
      </c>
      <c r="AG43" s="33">
        <f>IFERROR(AG6/AG5,"")</f>
        <v/>
      </c>
      <c r="AH43" s="33">
        <f>IFERROR(AH6/AH5,"")</f>
        <v/>
      </c>
      <c r="AI43" s="33">
        <f>IFERROR(AI6/AI5,"")</f>
        <v/>
      </c>
      <c r="AJ43" s="25">
        <f>IFERROR(AJ6/AJ5,"")</f>
        <v/>
      </c>
      <c r="AK43" s="33">
        <f>IFERROR(AK6/AK5,"")</f>
        <v/>
      </c>
      <c r="AL43" s="33">
        <f>IFERROR(AL6/AL5,"")</f>
        <v/>
      </c>
      <c r="AM43" s="33">
        <f>IFERROR(AM6/AM5,"")</f>
        <v/>
      </c>
      <c r="AN43" s="33">
        <f>IFERROR(AN6/AN5,"")</f>
        <v/>
      </c>
      <c r="AO43" s="25">
        <f>IFERROR(AO6/AO5,"")</f>
        <v/>
      </c>
    </row>
    <row r="44">
      <c r="A44" s="12" t="inlineStr">
        <is>
          <t>판관비율</t>
        </is>
      </c>
      <c r="C44" t="inlineStr">
        <is>
          <t>%</t>
        </is>
      </c>
      <c r="D44" t="inlineStr">
        <is>
          <t>판관비 / 매출액</t>
        </is>
      </c>
      <c r="E44" s="21">
        <f>IFERROR(E8/E5,"")</f>
        <v/>
      </c>
      <c r="F44" s="22">
        <f>IFERROR(F8/F5,"")</f>
        <v/>
      </c>
      <c r="G44" s="21">
        <f>IFERROR(G8/G5,"")</f>
        <v/>
      </c>
      <c r="H44" s="21">
        <f>IFERROR(H8/H5,"")</f>
        <v/>
      </c>
      <c r="I44" s="21">
        <f>IFERROR(I8/I5,"")</f>
        <v/>
      </c>
      <c r="J44" s="21">
        <f>IFERROR(J8/J5,"")</f>
        <v/>
      </c>
      <c r="K44" s="22">
        <f>IFERROR(K8/K5,"")</f>
        <v/>
      </c>
      <c r="L44" s="21">
        <f>IFERROR(L8/L5,"")</f>
        <v/>
      </c>
      <c r="M44" s="21">
        <f>IFERROR(M8/M5,"")</f>
        <v/>
      </c>
      <c r="N44" s="21">
        <f>IFERROR(N8/N5,"")</f>
        <v/>
      </c>
      <c r="O44" s="21">
        <f>IFERROR(O8/O5,"")</f>
        <v/>
      </c>
      <c r="P44" s="22">
        <f>IFERROR(P8/P5,"")</f>
        <v/>
      </c>
      <c r="Q44" s="21">
        <f>IFERROR(Q8/Q5,"")</f>
        <v/>
      </c>
      <c r="R44" s="21">
        <f>IFERROR(R8/R5,"")</f>
        <v/>
      </c>
      <c r="S44" s="21">
        <f>IFERROR(S8/S5,"")</f>
        <v/>
      </c>
      <c r="T44" s="21">
        <f>IFERROR(T8/T5,"")</f>
        <v/>
      </c>
      <c r="U44" s="22">
        <f>IFERROR(U8/U5,"")</f>
        <v/>
      </c>
      <c r="V44" s="21">
        <f>IFERROR(V8/V5,"")</f>
        <v/>
      </c>
      <c r="W44" s="21">
        <f>IFERROR(W8/W5,"")</f>
        <v/>
      </c>
      <c r="X44" s="21">
        <f>IFERROR(X8/X5,"")</f>
        <v/>
      </c>
      <c r="Y44" s="21">
        <f>IFERROR(Y8/Y5,"")</f>
        <v/>
      </c>
      <c r="Z44" s="22">
        <f>IFERROR(Z8/Z5,"")</f>
        <v/>
      </c>
      <c r="AA44" s="21">
        <f>IFERROR(AA8/AA5,"")</f>
        <v/>
      </c>
      <c r="AB44" s="23">
        <f>IFERROR(AB8/AB5,"")</f>
        <v/>
      </c>
      <c r="AC44" s="33">
        <f>IFERROR(AC8/AC5,"")</f>
        <v/>
      </c>
      <c r="AD44" s="33">
        <f>IFERROR(AD8/AD5,"")</f>
        <v/>
      </c>
      <c r="AE44" s="25">
        <f>IFERROR(AE8/AE5,"")</f>
        <v/>
      </c>
      <c r="AF44" s="33">
        <f>IFERROR(AF8/AF5,"")</f>
        <v/>
      </c>
      <c r="AG44" s="33">
        <f>IFERROR(AG8/AG5,"")</f>
        <v/>
      </c>
      <c r="AH44" s="33">
        <f>IFERROR(AH8/AH5,"")</f>
        <v/>
      </c>
      <c r="AI44" s="33">
        <f>IFERROR(AI8/AI5,"")</f>
        <v/>
      </c>
      <c r="AJ44" s="25">
        <f>IFERROR(AJ8/AJ5,"")</f>
        <v/>
      </c>
      <c r="AK44" s="33">
        <f>IFERROR(AK8/AK5,"")</f>
        <v/>
      </c>
      <c r="AL44" s="33">
        <f>IFERROR(AL8/AL5,"")</f>
        <v/>
      </c>
      <c r="AM44" s="33">
        <f>IFERROR(AM8/AM5,"")</f>
        <v/>
      </c>
      <c r="AN44" s="33">
        <f>IFERROR(AN8/AN5,"")</f>
        <v/>
      </c>
      <c r="AO44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변수!D45</f>
        <v/>
      </c>
      <c r="W2" s="42" t="n"/>
    </row>
    <row r="3">
      <c r="C3" t="inlineStr">
        <is>
          <t>기준일:</t>
        </is>
      </c>
      <c r="D3" t="inlineStr">
        <is>
          <t>20261012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3">
        <f>IFERROR(VLOOKUP($A10,subQ,MATCH(X$1,SUBQH,0),0),"")</f>
        <v/>
      </c>
      <c r="Y10" s="33">
        <f>IFERROR(VLOOKUP($A10,subQ,MATCH(Y$1,SUBQH,0),0),"")</f>
        <v/>
      </c>
      <c r="Z10" s="33">
        <f>IFERROR(VLOOKUP($A10,subQ,MATCH(Z$1,SUBQH,0),0),"")</f>
        <v/>
      </c>
      <c r="AA10" s="33">
        <f>IFERROR(VLOOKUP($A10,subQ,MATCH(AA$1,SUBQH,0),0),"")</f>
        <v/>
      </c>
      <c r="AB10" s="33">
        <f>IFERROR(VLOOKUP($A10,subQ,MATCH(AB$1,SUBQH,0),0),"")</f>
        <v/>
      </c>
      <c r="AC10" s="33">
        <f>IFERROR(VLOOKUP($A10,subQ,MATCH(AC$1,SUBQH,0),0),"")</f>
        <v/>
      </c>
      <c r="AD10" s="33">
        <f>IFERROR(VLOOKUP($A10,subQ,MATCH(AD$1,SUBQH,0),0),"")</f>
        <v/>
      </c>
      <c r="AE10" s="33">
        <f>IFERROR(VLOOKUP($A10,subQ,MATCH(AE$1,SUBQH,0),0),"")</f>
        <v/>
      </c>
      <c r="AF10" s="33">
        <f>IFERROR(VLOOKUP($A10,subQ,MATCH(AF$1,SUBQH,0),0),"")</f>
        <v/>
      </c>
      <c r="AG10" s="33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중단사업이익</t>
        </is>
      </c>
      <c r="D22" t="inlineStr">
        <is>
          <t>중단사업이익(실적만)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자산총계</t>
        </is>
      </c>
      <c r="D23" t="inlineStr">
        <is>
          <t>자산총계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부채총계</t>
        </is>
      </c>
      <c r="D24" t="inlineStr">
        <is>
          <t>부채총계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자본총계</t>
        </is>
      </c>
      <c r="D25" t="inlineStr">
        <is>
          <t>자본총계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지배주주지분</t>
        </is>
      </c>
      <c r="D26" t="inlineStr">
        <is>
          <t>지배주주지분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총차입금</t>
        </is>
      </c>
      <c r="D27" t="inlineStr">
        <is>
          <t>총차입금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순차입금</t>
        </is>
      </c>
      <c r="D28" t="inlineStr">
        <is>
          <t>순차입금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이자발생자산</t>
        </is>
      </c>
      <c r="D29" t="inlineStr">
        <is>
          <t>이자발생자산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현금및현금성자산</t>
        </is>
      </c>
      <c r="D30" t="inlineStr">
        <is>
          <t>현금및현금성자산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CAPEX</t>
        </is>
      </c>
      <c r="D31" t="inlineStr">
        <is>
          <t>CAPEX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영업활동현금흐름</t>
        </is>
      </c>
      <c r="D32" t="inlineStr">
        <is>
          <t>영업활동현금흐름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주식수</t>
        </is>
      </c>
      <c r="D33" t="inlineStr">
        <is>
          <t>유통주식수</t>
        </is>
      </c>
      <c r="E33" s="27">
        <f>IFERROR(VLOOKUP($A33,subQ,MATCH(E$1,SUBQH,0),0),"")</f>
        <v/>
      </c>
      <c r="F33" s="27">
        <f>IFERROR(VLOOKUP($A33,subQ,MATCH(F$1,SUBQH,0),0),"")</f>
        <v/>
      </c>
      <c r="G33" s="27">
        <f>IFERROR(VLOOKUP($A33,subQ,MATCH(G$1,SUBQH,0),0),"")</f>
        <v/>
      </c>
      <c r="H33" s="27">
        <f>IFERROR(VLOOKUP($A33,subQ,MATCH(H$1,SUBQH,0),0),"")</f>
        <v/>
      </c>
      <c r="I33" s="27">
        <f>IFERROR(VLOOKUP($A33,subQ,MATCH(I$1,SUBQH,0),0),"")</f>
        <v/>
      </c>
      <c r="J33" s="27">
        <f>IFERROR(VLOOKUP($A33,subQ,MATCH(J$1,SUBQH,0),0),"")</f>
        <v/>
      </c>
      <c r="K33" s="27">
        <f>IFERROR(VLOOKUP($A33,subQ,MATCH(K$1,SUBQH,0),0),"")</f>
        <v/>
      </c>
      <c r="L33" s="27">
        <f>IFERROR(VLOOKUP($A33,subQ,MATCH(L$1,SUBQH,0),0),"")</f>
        <v/>
      </c>
      <c r="M33" s="27">
        <f>IFERROR(VLOOKUP($A33,subQ,MATCH(M$1,SUBQH,0),0),"")</f>
        <v/>
      </c>
      <c r="N33" s="27">
        <f>IFERROR(VLOOKUP($A33,subQ,MATCH(N$1,SUBQH,0),0),"")</f>
        <v/>
      </c>
      <c r="O33" s="27">
        <f>IFERROR(VLOOKUP($A33,subQ,MATCH(O$1,SUBQH,0),0),"")</f>
        <v/>
      </c>
      <c r="P33" s="27">
        <f>IFERROR(VLOOKUP($A33,subQ,MATCH(P$1,SUBQH,0),0),"")</f>
        <v/>
      </c>
      <c r="Q33" s="27">
        <f>IFERROR(VLOOKUP($A33,subQ,MATCH(Q$1,SUBQH,0),0),"")</f>
        <v/>
      </c>
      <c r="R33" s="27">
        <f>IFERROR(VLOOKUP($A33,subQ,MATCH(R$1,SUBQH,0),0),"")</f>
        <v/>
      </c>
      <c r="S33" s="27">
        <f>IFERROR(VLOOKUP($A33,subQ,MATCH(S$1,SUBQH,0),0),"")</f>
        <v/>
      </c>
      <c r="T33" s="27">
        <f>IFERROR(VLOOKUP($A33,subQ,MATCH(T$1,SUBQH,0),0),"")</f>
        <v/>
      </c>
      <c r="U33" s="27">
        <f>IFERROR(VLOOKUP($A33,subQ,MATCH(U$1,SUBQH,0),0),"")</f>
        <v/>
      </c>
      <c r="V33" s="27">
        <f>IFERROR(VLOOKUP($A33,subQ,MATCH(V$1,SUBQH,0),0),"")</f>
        <v/>
      </c>
      <c r="W33" s="47">
        <f>IFERROR(VLOOKUP($A33,subQ,MATCH(W$1,SUBQH,0),0),"")</f>
        <v/>
      </c>
      <c r="X33" s="32">
        <f>IFERROR(VLOOKUP($A33,subQ,MATCH(X$1,SUBQH,0),0),"")</f>
        <v/>
      </c>
      <c r="Y33" s="32">
        <f>IFERROR(VLOOKUP($A33,subQ,MATCH(Y$1,SUBQH,0),0),"")</f>
        <v/>
      </c>
      <c r="Z33" s="32">
        <f>IFERROR(VLOOKUP($A33,subQ,MATCH(Z$1,SUBQH,0),0),"")</f>
        <v/>
      </c>
      <c r="AA33" s="32">
        <f>IFERROR(VLOOKUP($A33,subQ,MATCH(AA$1,SUBQH,0),0),"")</f>
        <v/>
      </c>
      <c r="AB33" s="32">
        <f>IFERROR(VLOOKUP($A33,subQ,MATCH(AB$1,SUBQH,0),0),"")</f>
        <v/>
      </c>
      <c r="AC33" s="32">
        <f>IFERROR(VLOOKUP($A33,subQ,MATCH(AC$1,SUBQH,0),0),"")</f>
        <v/>
      </c>
      <c r="AD33" s="32">
        <f>IFERROR(VLOOKUP($A33,subQ,MATCH(AD$1,SUBQH,0),0),"")</f>
        <v/>
      </c>
      <c r="AE33" s="32">
        <f>IFERROR(VLOOKUP($A33,subQ,MATCH(AE$1,SUBQH,0),0),"")</f>
        <v/>
      </c>
      <c r="AF33" s="32">
        <f>IFERROR(VLOOKUP($A33,subQ,MATCH(AF$1,SUBQH,0),0),"")</f>
        <v/>
      </c>
      <c r="AG33" s="32">
        <f>IFERROR(VLOOKUP($A33,subQ,MATCH(AG$1,SUBQH,0),0),"")</f>
        <v/>
      </c>
    </row>
    <row r="34">
      <c r="A34" s="12" t="inlineStr">
        <is>
          <t>EPS</t>
        </is>
      </c>
      <c r="D34" t="inlineStr">
        <is>
          <t>EPS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5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13">
        <f>IFERROR(VLOOKUP($A37,subQ,MATCH(I$1,SUBQH,0),0),"")</f>
        <v/>
      </c>
      <c r="J37" s="13">
        <f>IFERROR(VLOOKUP($A37,subQ,MATCH(J$1,SUBQH,0),0),"")</f>
        <v/>
      </c>
      <c r="K37" s="13">
        <f>IFERROR(VLOOKUP($A37,subQ,MATCH(K$1,SUBQH,0),0),"")</f>
        <v/>
      </c>
      <c r="L37" s="13">
        <f>IFERROR(VLOOKUP($A37,subQ,MATCH(L$1,SUBQH,0),0),"")</f>
        <v/>
      </c>
      <c r="M37" s="13">
        <f>IFERROR(VLOOKUP($A37,subQ,MATCH(M$1,SUBQH,0),0),"")</f>
        <v/>
      </c>
      <c r="N37" s="13">
        <f>IFERROR(VLOOKUP($A37,subQ,MATCH(N$1,SUBQH,0),0),"")</f>
        <v/>
      </c>
      <c r="O37" s="13">
        <f>IFERROR(VLOOKUP($A37,subQ,MATCH(O$1,SUBQH,0),0),"")</f>
        <v/>
      </c>
      <c r="P37" s="13">
        <f>IFERROR(VLOOKUP($A37,subQ,MATCH(P$1,SUBQH,0),0),"")</f>
        <v/>
      </c>
      <c r="Q37" s="13">
        <f>IFERROR(VLOOKUP($A37,subQ,MATCH(Q$1,SUBQH,0),0),"")</f>
        <v/>
      </c>
      <c r="R37" s="13">
        <f>IFERROR(VLOOKUP($A37,subQ,MATCH(R$1,SUBQH,0),0),"")</f>
        <v/>
      </c>
      <c r="S37" s="13">
        <f>IFERROR(VLOOKUP($A37,subQ,MATCH(S$1,SUBQH,0),0),"")</f>
        <v/>
      </c>
      <c r="T37" s="13">
        <f>IFERROR(VLOOKUP($A37,subQ,MATCH(T$1,SUBQH,0),0),"")</f>
        <v/>
      </c>
      <c r="U37" s="13">
        <f>IFERROR(VLOOKUP($A37,subQ,MATCH(U$1,SUBQH,0),0),"")</f>
        <v/>
      </c>
      <c r="V37" s="13">
        <f>IFERROR(VLOOKUP($A37,subQ,MATCH(V$1,SUBQH,0),0),"")</f>
        <v/>
      </c>
      <c r="W37" s="48">
        <f>IFERROR(VLOOKUP($A37,subQ,MATCH(W$1,SUBQH,0),0),"")</f>
        <v/>
      </c>
      <c r="X37" s="39">
        <f>IFERROR(VLOOKUP($A37,subQ,MATCH(X$1,SUBQH,0),0),"")</f>
        <v/>
      </c>
      <c r="Y37" s="39">
        <f>IFERROR(VLOOKUP($A37,subQ,MATCH(Y$1,SUBQH,0),0),"")</f>
        <v/>
      </c>
      <c r="Z37" s="39">
        <f>IFERROR(VLOOKUP($A37,subQ,MATCH(Z$1,SUBQH,0),0),"")</f>
        <v/>
      </c>
      <c r="AA37" s="39">
        <f>IFERROR(VLOOKUP($A37,subQ,MATCH(AA$1,SUBQH,0),0),"")</f>
        <v/>
      </c>
      <c r="AB37" s="39">
        <f>IFERROR(VLOOKUP($A37,subQ,MATCH(AB$1,SUBQH,0),0),"")</f>
        <v/>
      </c>
      <c r="AC37" s="39">
        <f>IFERROR(VLOOKUP($A37,subQ,MATCH(AC$1,SUBQH,0),0),"")</f>
        <v/>
      </c>
      <c r="AD37" s="39">
        <f>IFERROR(VLOOKUP($A37,subQ,MATCH(AD$1,SUBQH,0),0),"")</f>
        <v/>
      </c>
      <c r="AE37" s="39">
        <f>IFERROR(VLOOKUP($A37,subQ,MATCH(AE$1,SUBQH,0),0),"")</f>
        <v/>
      </c>
      <c r="AF37" s="39">
        <f>IFERROR(VLOOKUP($A37,subQ,MATCH(AF$1,SUBQH,0),0),"")</f>
        <v/>
      </c>
      <c r="AG37" s="39">
        <f>IFERROR(VLOOKUP($A37,subQ,MATCH(AG$1,SUBQH,0),0),"")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13">
        <f>IFERROR(VLOOKUP($A38,subQ,MATCH(I$1,SUBQH,0),0),"")</f>
        <v/>
      </c>
      <c r="J38" s="13">
        <f>IFERROR(VLOOKUP($A38,subQ,MATCH(J$1,SUBQH,0),0),"")</f>
        <v/>
      </c>
      <c r="K38" s="13">
        <f>IFERROR(VLOOKUP($A38,subQ,MATCH(K$1,SUBQH,0),0),"")</f>
        <v/>
      </c>
      <c r="L38" s="13">
        <f>IFERROR(VLOOKUP($A38,subQ,MATCH(L$1,SUBQH,0),0),"")</f>
        <v/>
      </c>
      <c r="M38" s="13">
        <f>IFERROR(VLOOKUP($A38,subQ,MATCH(M$1,SUBQH,0),0),"")</f>
        <v/>
      </c>
      <c r="N38" s="13">
        <f>IFERROR(VLOOKUP($A38,subQ,MATCH(N$1,SUBQH,0),0),"")</f>
        <v/>
      </c>
      <c r="O38" s="13">
        <f>IFERROR(VLOOKUP($A38,subQ,MATCH(O$1,SUBQH,0),0),"")</f>
        <v/>
      </c>
      <c r="P38" s="13">
        <f>IFERROR(VLOOKUP($A38,subQ,MATCH(P$1,SUBQH,0),0),"")</f>
        <v/>
      </c>
      <c r="Q38" s="13">
        <f>IFERROR(VLOOKUP($A38,subQ,MATCH(Q$1,SUBQH,0),0),"")</f>
        <v/>
      </c>
      <c r="R38" s="13">
        <f>IFERROR(VLOOKUP($A38,subQ,MATCH(R$1,SUBQH,0),0),"")</f>
        <v/>
      </c>
      <c r="S38" s="13">
        <f>IFERROR(VLOOKUP($A38,subQ,MATCH(S$1,SUBQH,0),0),"")</f>
        <v/>
      </c>
      <c r="T38" s="13">
        <f>IFERROR(VLOOKUP($A38,subQ,MATCH(T$1,SUBQH,0),0),"")</f>
        <v/>
      </c>
      <c r="U38" s="13">
        <f>IFERROR(VLOOKUP($A38,subQ,MATCH(U$1,SUBQH,0),0),"")</f>
        <v/>
      </c>
      <c r="V38" s="13">
        <f>IFERROR(VLOOKUP($A38,subQ,MATCH(V$1,SUBQH,0),0),"")</f>
        <v/>
      </c>
      <c r="W38" s="48">
        <f>IFERROR(VLOOKUP($A38,subQ,MATCH(W$1,SUBQH,0),0),"")</f>
        <v/>
      </c>
      <c r="X38" s="39">
        <f>IFERROR(VLOOKUP($A38,subQ,MATCH(X$1,SUBQH,0),0),"")</f>
        <v/>
      </c>
      <c r="Y38" s="39">
        <f>IFERROR(VLOOKUP($A38,subQ,MATCH(Y$1,SUBQH,0),0),"")</f>
        <v/>
      </c>
      <c r="Z38" s="39">
        <f>IFERROR(VLOOKUP($A38,subQ,MATCH(Z$1,SUBQH,0),0),"")</f>
        <v/>
      </c>
      <c r="AA38" s="39">
        <f>IFERROR(VLOOKUP($A38,subQ,MATCH(AA$1,SUBQH,0),0),"")</f>
        <v/>
      </c>
      <c r="AB38" s="39">
        <f>IFERROR(VLOOKUP($A38,subQ,MATCH(AB$1,SUBQH,0),0),"")</f>
        <v/>
      </c>
      <c r="AC38" s="39">
        <f>IFERROR(VLOOKUP($A38,subQ,MATCH(AC$1,SUBQH,0),0),"")</f>
        <v/>
      </c>
      <c r="AD38" s="39">
        <f>IFERROR(VLOOKUP($A38,subQ,MATCH(AD$1,SUBQH,0),0),"")</f>
        <v/>
      </c>
      <c r="AE38" s="39">
        <f>IFERROR(VLOOKUP($A38,subQ,MATCH(AE$1,SUBQH,0),0),"")</f>
        <v/>
      </c>
      <c r="AF38" s="39">
        <f>IFERROR(VLOOKUP($A38,subQ,MATCH(AF$1,SUBQH,0),0),"")</f>
        <v/>
      </c>
      <c r="AG38" s="39">
        <f>IFERROR(VLOOKUP($A38,subQ,MATCH(AG$1,SUBQH,0),0),"")</f>
        <v/>
      </c>
    </row>
    <row r="39">
      <c r="A39" s="12" t="inlineStr">
        <is>
          <t>매출전사</t>
        </is>
      </c>
      <c r="D39" t="inlineStr">
        <is>
          <t>매출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5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OP전사</t>
        </is>
      </c>
      <c r="D40" t="inlineStr">
        <is>
          <t>OP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18">
        <f>IFERROR(VLOOKUP($A40,subQ,MATCH(I$1,SUBQH,0),0),"")</f>
        <v/>
      </c>
      <c r="J40" s="18">
        <f>IFERROR(VLOOKUP($A40,subQ,MATCH(J$1,SUBQH,0),0),"")</f>
        <v/>
      </c>
      <c r="K40" s="18">
        <f>IFERROR(VLOOKUP($A40,subQ,MATCH(K$1,SUBQH,0),0),"")</f>
        <v/>
      </c>
      <c r="L40" s="18">
        <f>IFERROR(VLOOKUP($A40,subQ,MATCH(L$1,SUBQH,0),0),"")</f>
        <v/>
      </c>
      <c r="M40" s="18">
        <f>IFERROR(VLOOKUP($A40,subQ,MATCH(M$1,SUBQH,0),0),"")</f>
        <v/>
      </c>
      <c r="N40" s="18">
        <f>IFERROR(VLOOKUP($A40,subQ,MATCH(N$1,SUBQH,0),0),"")</f>
        <v/>
      </c>
      <c r="O40" s="18">
        <f>IFERROR(VLOOKUP($A40,subQ,MATCH(O$1,SUBQH,0),0),"")</f>
        <v/>
      </c>
      <c r="P40" s="18">
        <f>IFERROR(VLOOKUP($A40,subQ,MATCH(P$1,SUBQH,0),0),"")</f>
        <v/>
      </c>
      <c r="Q40" s="18">
        <f>IFERROR(VLOOKUP($A40,subQ,MATCH(Q$1,SUBQH,0),0),"")</f>
        <v/>
      </c>
      <c r="R40" s="18">
        <f>IFERROR(VLOOKUP($A40,subQ,MATCH(R$1,SUBQH,0),0),"")</f>
        <v/>
      </c>
      <c r="S40" s="18">
        <f>IFERROR(VLOOKUP($A40,subQ,MATCH(S$1,SUBQH,0),0),"")</f>
        <v/>
      </c>
      <c r="T40" s="18">
        <f>IFERROR(VLOOKUP($A40,subQ,MATCH(T$1,SUBQH,0),0),"")</f>
        <v/>
      </c>
      <c r="U40" s="18">
        <f>IFERROR(VLOOKUP($A40,subQ,MATCH(U$1,SUBQH,0),0),"")</f>
        <v/>
      </c>
      <c r="V40" s="18">
        <f>IFERROR(VLOOKUP($A40,subQ,MATCH(V$1,SUBQH,0),0),"")</f>
        <v/>
      </c>
      <c r="W40" s="45">
        <f>IFERROR(VLOOKUP($A40,subQ,MATCH(W$1,SUBQH,0),0),"")</f>
        <v/>
      </c>
      <c r="X40" s="20">
        <f>IFERROR(VLOOKUP($A40,subQ,MATCH(X$1,SUBQH,0),0),"")</f>
        <v/>
      </c>
      <c r="Y40" s="20">
        <f>IFERROR(VLOOKUP($A40,subQ,MATCH(Y$1,SUBQH,0),0),"")</f>
        <v/>
      </c>
      <c r="Z40" s="20">
        <f>IFERROR(VLOOKUP($A40,subQ,MATCH(Z$1,SUBQH,0),0),"")</f>
        <v/>
      </c>
      <c r="AA40" s="20">
        <f>IFERROR(VLOOKUP($A40,subQ,MATCH(AA$1,SUBQH,0),0),"")</f>
        <v/>
      </c>
      <c r="AB40" s="20">
        <f>IFERROR(VLOOKUP($A40,subQ,MATCH(AB$1,SUBQH,0),0),"")</f>
        <v/>
      </c>
      <c r="AC40" s="20">
        <f>IFERROR(VLOOKUP($A40,subQ,MATCH(AC$1,SUBQH,0),0),"")</f>
        <v/>
      </c>
      <c r="AD40" s="20">
        <f>IFERROR(VLOOKUP($A40,subQ,MATCH(AD$1,SUBQH,0),0),"")</f>
        <v/>
      </c>
      <c r="AE40" s="20">
        <f>IFERROR(VLOOKUP($A40,subQ,MATCH(AE$1,SUBQH,0),0),"")</f>
        <v/>
      </c>
      <c r="AF40" s="20">
        <f>IFERROR(VLOOKUP($A40,subQ,MATCH(AF$1,SUBQH,0),0),"")</f>
        <v/>
      </c>
      <c r="AG40" s="20">
        <f>IFERROR(VLOOKUP($A40,subQ,MATCH(AG$1,SUBQH,0),0),"")</f>
        <v/>
      </c>
    </row>
    <row r="41">
      <c r="A41" s="12" t="inlineStr">
        <is>
          <t>NPM</t>
        </is>
      </c>
      <c r="D41" t="inlineStr">
        <is>
          <t>NPM</t>
        </is>
      </c>
      <c r="E41" s="21">
        <f>IFERROR(VLOOKUP($A41,subQ,MATCH(E$1,SUBQH,0),0),"")</f>
        <v/>
      </c>
      <c r="F41" s="21">
        <f>IFERROR(VLOOKUP($A41,subQ,MATCH(F$1,SUBQH,0),0),"")</f>
        <v/>
      </c>
      <c r="G41" s="21">
        <f>IFERROR(VLOOKUP($A41,subQ,MATCH(G$1,SUBQH,0),0),"")</f>
        <v/>
      </c>
      <c r="H41" s="21">
        <f>IFERROR(VLOOKUP($A41,subQ,MATCH(H$1,SUBQH,0),0),"")</f>
        <v/>
      </c>
      <c r="I41" s="21">
        <f>IFERROR(VLOOKUP($A41,subQ,MATCH(I$1,SUBQH,0),0),"")</f>
        <v/>
      </c>
      <c r="J41" s="21">
        <f>IFERROR(VLOOKUP($A41,subQ,MATCH(J$1,SUBQH,0),0),"")</f>
        <v/>
      </c>
      <c r="K41" s="21">
        <f>IFERROR(VLOOKUP($A41,subQ,MATCH(K$1,SUBQH,0),0),"")</f>
        <v/>
      </c>
      <c r="L41" s="21">
        <f>IFERROR(VLOOKUP($A41,subQ,MATCH(L$1,SUBQH,0),0),"")</f>
        <v/>
      </c>
      <c r="M41" s="21">
        <f>IFERROR(VLOOKUP($A41,subQ,MATCH(M$1,SUBQH,0),0),"")</f>
        <v/>
      </c>
      <c r="N41" s="21">
        <f>IFERROR(VLOOKUP($A41,subQ,MATCH(N$1,SUBQH,0),0),"")</f>
        <v/>
      </c>
      <c r="O41" s="21">
        <f>IFERROR(VLOOKUP($A41,subQ,MATCH(O$1,SUBQH,0),0),"")</f>
        <v/>
      </c>
      <c r="P41" s="21">
        <f>IFERROR(VLOOKUP($A41,subQ,MATCH(P$1,SUBQH,0),0),"")</f>
        <v/>
      </c>
      <c r="Q41" s="21">
        <f>IFERROR(VLOOKUP($A41,subQ,MATCH(Q$1,SUBQH,0),0),"")</f>
        <v/>
      </c>
      <c r="R41" s="21">
        <f>IFERROR(VLOOKUP($A41,subQ,MATCH(R$1,SUBQH,0),0),"")</f>
        <v/>
      </c>
      <c r="S41" s="21">
        <f>IFERROR(VLOOKUP($A41,subQ,MATCH(S$1,SUBQH,0),0),"")</f>
        <v/>
      </c>
      <c r="T41" s="21">
        <f>IFERROR(VLOOKUP($A41,subQ,MATCH(T$1,SUBQH,0),0),"")</f>
        <v/>
      </c>
      <c r="U41" s="21">
        <f>IFERROR(VLOOKUP($A41,subQ,MATCH(U$1,SUBQH,0),0),"")</f>
        <v/>
      </c>
      <c r="V41" s="21">
        <f>IFERROR(VLOOKUP($A41,subQ,MATCH(V$1,SUBQH,0),0),"")</f>
        <v/>
      </c>
      <c r="W41" s="46">
        <f>IFERROR(VLOOKUP($A41,subQ,MATCH(W$1,SUBQH,0),0),"")</f>
        <v/>
      </c>
      <c r="X41" s="33">
        <f>IFERROR(VLOOKUP($A41,subQ,MATCH(X$1,SUBQH,0),0),"")</f>
        <v/>
      </c>
      <c r="Y41" s="33">
        <f>IFERROR(VLOOKUP($A41,subQ,MATCH(Y$1,SUBQH,0),0),"")</f>
        <v/>
      </c>
      <c r="Z41" s="33">
        <f>IFERROR(VLOOKUP($A41,subQ,MATCH(Z$1,SUBQH,0),0),"")</f>
        <v/>
      </c>
      <c r="AA41" s="33">
        <f>IFERROR(VLOOKUP($A41,subQ,MATCH(AA$1,SUBQH,0),0),"")</f>
        <v/>
      </c>
      <c r="AB41" s="33">
        <f>IFERROR(VLOOKUP($A41,subQ,MATCH(AB$1,SUBQH,0),0),"")</f>
        <v/>
      </c>
      <c r="AC41" s="33">
        <f>IFERROR(VLOOKUP($A41,subQ,MATCH(AC$1,SUBQH,0),0),"")</f>
        <v/>
      </c>
      <c r="AD41" s="33">
        <f>IFERROR(VLOOKUP($A41,subQ,MATCH(AD$1,SUBQH,0),0),"")</f>
        <v/>
      </c>
      <c r="AE41" s="33">
        <f>IFERROR(VLOOKUP($A41,subQ,MATCH(AE$1,SUBQH,0),0),"")</f>
        <v/>
      </c>
      <c r="AF41" s="33">
        <f>IFERROR(VLOOKUP($A41,subQ,MATCH(AF$1,SUBQH,0),0),"")</f>
        <v/>
      </c>
      <c r="AG41" s="33">
        <f>IFERROR(VLOOKUP($A41,subQ,MATCH(AG$1,SUBQH,0),0),"")</f>
        <v/>
      </c>
    </row>
    <row r="42">
      <c r="A42" s="12" t="inlineStr">
        <is>
          <t>매출액 YoY</t>
        </is>
      </c>
      <c r="D42" t="inlineStr">
        <is>
          <t>매출액 YoY</t>
        </is>
      </c>
      <c r="I42" s="21">
        <f>IFERROR(I5/E5-1,"")</f>
        <v/>
      </c>
      <c r="J42" s="21">
        <f>IFERROR(J5/F5-1,"")</f>
        <v/>
      </c>
      <c r="K42" s="21">
        <f>IFERROR(K5/G5-1,"")</f>
        <v/>
      </c>
      <c r="L42" s="21">
        <f>IFERROR(L5/H5-1,"")</f>
        <v/>
      </c>
      <c r="M42" s="21">
        <f>IFERROR(M5/I5-1,"")</f>
        <v/>
      </c>
      <c r="N42" s="21">
        <f>IFERROR(N5/J5-1,"")</f>
        <v/>
      </c>
      <c r="O42" s="21">
        <f>IFERROR(O5/K5-1,"")</f>
        <v/>
      </c>
      <c r="P42" s="21">
        <f>IFERROR(P5/L5-1,"")</f>
        <v/>
      </c>
      <c r="Q42" s="21">
        <f>IFERROR(Q5/M5-1,"")</f>
        <v/>
      </c>
      <c r="R42" s="21">
        <f>IFERROR(R5/N5-1,"")</f>
        <v/>
      </c>
      <c r="S42" s="21">
        <f>IFERROR(S5/O5-1,"")</f>
        <v/>
      </c>
      <c r="T42" s="21">
        <f>IFERROR(T5/P5-1,"")</f>
        <v/>
      </c>
      <c r="U42" s="21">
        <f>IFERROR(U5/Q5-1,"")</f>
        <v/>
      </c>
      <c r="V42" s="21">
        <f>IFERROR(V5/R5-1,"")</f>
        <v/>
      </c>
      <c r="W42" s="46">
        <f>IFERROR(W5/S5-1,"")</f>
        <v/>
      </c>
      <c r="X42" s="33">
        <f>IFERROR(X5/T5-1,"")</f>
        <v/>
      </c>
      <c r="Y42" s="33">
        <f>IFERROR(Y5/U5-1,"")</f>
        <v/>
      </c>
      <c r="Z42" s="33">
        <f>IFERROR(Z5/V5-1,"")</f>
        <v/>
      </c>
      <c r="AA42" s="33">
        <f>IFERROR(AA5/W5-1,"")</f>
        <v/>
      </c>
      <c r="AB42" s="33">
        <f>IFERROR(AB5/X5-1,"")</f>
        <v/>
      </c>
      <c r="AC42" s="33">
        <f>IFERROR(AC5/Y5-1,"")</f>
        <v/>
      </c>
      <c r="AD42" s="33">
        <f>IFERROR(AD5/Z5-1,"")</f>
        <v/>
      </c>
      <c r="AE42" s="33">
        <f>IFERROR(AE5/AA5-1,"")</f>
        <v/>
      </c>
      <c r="AF42" s="33">
        <f>IFERROR(AF5/AB5-1,"")</f>
        <v/>
      </c>
      <c r="AG42" s="33">
        <f>IFERROR(AG5/AC5-1,"")</f>
        <v/>
      </c>
    </row>
    <row r="43">
      <c r="A43" s="12" t="inlineStr">
        <is>
          <t>영업이익 YoY</t>
        </is>
      </c>
      <c r="D43" t="inlineStr">
        <is>
          <t>영업이익 YoY</t>
        </is>
      </c>
      <c r="I43" s="21">
        <f>IFERROR(I9/E9-1,"")</f>
        <v/>
      </c>
      <c r="J43" s="21">
        <f>IFERROR(J9/F9-1,"")</f>
        <v/>
      </c>
      <c r="K43" s="21">
        <f>IFERROR(K9/G9-1,"")</f>
        <v/>
      </c>
      <c r="L43" s="21">
        <f>IFERROR(L9/H9-1,"")</f>
        <v/>
      </c>
      <c r="M43" s="21">
        <f>IFERROR(M9/I9-1,"")</f>
        <v/>
      </c>
      <c r="N43" s="21">
        <f>IFERROR(N9/J9-1,"")</f>
        <v/>
      </c>
      <c r="O43" s="21">
        <f>IFERROR(O9/K9-1,"")</f>
        <v/>
      </c>
      <c r="P43" s="21">
        <f>IFERROR(P9/L9-1,"")</f>
        <v/>
      </c>
      <c r="Q43" s="21">
        <f>IFERROR(Q9/M9-1,"")</f>
        <v/>
      </c>
      <c r="R43" s="21">
        <f>IFERROR(R9/N9-1,"")</f>
        <v/>
      </c>
      <c r="S43" s="21">
        <f>IFERROR(S9/O9-1,"")</f>
        <v/>
      </c>
      <c r="T43" s="21">
        <f>IFERROR(T9/P9-1,"")</f>
        <v/>
      </c>
      <c r="U43" s="21">
        <f>IFERROR(U9/Q9-1,"")</f>
        <v/>
      </c>
      <c r="V43" s="21">
        <f>IFERROR(V9/R9-1,"")</f>
        <v/>
      </c>
      <c r="W43" s="46">
        <f>IFERROR(W9/S9-1,"")</f>
        <v/>
      </c>
      <c r="X43" s="33">
        <f>IFERROR(X9/T9-1,"")</f>
        <v/>
      </c>
      <c r="Y43" s="33">
        <f>IFERROR(Y9/U9-1,"")</f>
        <v/>
      </c>
      <c r="Z43" s="33">
        <f>IFERROR(Z9/V9-1,"")</f>
        <v/>
      </c>
      <c r="AA43" s="33">
        <f>IFERROR(AA9/W9-1,"")</f>
        <v/>
      </c>
      <c r="AB43" s="33">
        <f>IFERROR(AB9/X9-1,"")</f>
        <v/>
      </c>
      <c r="AC43" s="33">
        <f>IFERROR(AC9/Y9-1,"")</f>
        <v/>
      </c>
      <c r="AD43" s="33">
        <f>IFERROR(AD9/Z9-1,"")</f>
        <v/>
      </c>
      <c r="AE43" s="33">
        <f>IFERROR(AE9/AA9-1,"")</f>
        <v/>
      </c>
      <c r="AF43" s="33">
        <f>IFERROR(AF9/AB9-1,"")</f>
        <v/>
      </c>
      <c r="AG43" s="33">
        <f>IFERROR(AG9/AC9-1,"")</f>
        <v/>
      </c>
    </row>
    <row r="44">
      <c r="A44" s="12" t="inlineStr">
        <is>
          <t>지배주주순이익 YoY</t>
        </is>
      </c>
      <c r="D44" t="inlineStr">
        <is>
          <t>지배주주순이익 YoY</t>
        </is>
      </c>
      <c r="I44" s="21">
        <f>IFERROR(I21/E21-1,"")</f>
        <v/>
      </c>
      <c r="J44" s="21">
        <f>IFERROR(J21/F21-1,"")</f>
        <v/>
      </c>
      <c r="K44" s="21">
        <f>IFERROR(K21/G21-1,"")</f>
        <v/>
      </c>
      <c r="L44" s="21">
        <f>IFERROR(L21/H21-1,"")</f>
        <v/>
      </c>
      <c r="M44" s="21">
        <f>IFERROR(M21/I21-1,"")</f>
        <v/>
      </c>
      <c r="N44" s="21">
        <f>IFERROR(N21/J21-1,"")</f>
        <v/>
      </c>
      <c r="O44" s="21">
        <f>IFERROR(O21/K21-1,"")</f>
        <v/>
      </c>
      <c r="P44" s="21">
        <f>IFERROR(P21/L21-1,"")</f>
        <v/>
      </c>
      <c r="Q44" s="21">
        <f>IFERROR(Q21/M21-1,"")</f>
        <v/>
      </c>
      <c r="R44" s="21">
        <f>IFERROR(R21/N21-1,"")</f>
        <v/>
      </c>
      <c r="S44" s="21">
        <f>IFERROR(S21/O21-1,"")</f>
        <v/>
      </c>
      <c r="T44" s="21">
        <f>IFERROR(T21/P21-1,"")</f>
        <v/>
      </c>
      <c r="U44" s="21">
        <f>IFERROR(U21/Q21-1,"")</f>
        <v/>
      </c>
      <c r="V44" s="21">
        <f>IFERROR(V21/R21-1,"")</f>
        <v/>
      </c>
      <c r="W44" s="46">
        <f>IFERROR(W21/S21-1,"")</f>
        <v/>
      </c>
      <c r="X44" s="33">
        <f>IFERROR(X21/T21-1,"")</f>
        <v/>
      </c>
      <c r="Y44" s="33">
        <f>IFERROR(Y21/U21-1,"")</f>
        <v/>
      </c>
      <c r="Z44" s="33">
        <f>IFERROR(Z21/V21-1,"")</f>
        <v/>
      </c>
      <c r="AA44" s="33">
        <f>IFERROR(AA21/W21-1,"")</f>
        <v/>
      </c>
      <c r="AB44" s="33">
        <f>IFERROR(AB21/X21-1,"")</f>
        <v/>
      </c>
      <c r="AC44" s="33">
        <f>IFERROR(AC21/Y21-1,"")</f>
        <v/>
      </c>
      <c r="AD44" s="33">
        <f>IFERROR(AD21/Z21-1,"")</f>
        <v/>
      </c>
      <c r="AE44" s="33">
        <f>IFERROR(AE21/AA21-1,"")</f>
        <v/>
      </c>
      <c r="AF44" s="33">
        <f>IFERROR(AF21/AB21-1,"")</f>
        <v/>
      </c>
      <c r="AG44" s="33">
        <f>IFERROR(AG21/AC21-1,"")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변수!D45</f>
        <v/>
      </c>
      <c r="I2" s="42" t="n"/>
    </row>
    <row r="3">
      <c r="C3" t="inlineStr">
        <is>
          <t>기준일:</t>
        </is>
      </c>
      <c r="D3" t="inlineStr">
        <is>
          <t>20261012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3">
        <f>IFERROR(VLOOKUP($A10,subQ,MATCH(J$1,SUBQH,0),0),"")</f>
        <v/>
      </c>
      <c r="K10" s="33">
        <f>IFERROR(VLOOKUP($A10,subQ,MATCH(K$1,SUBQH,0),0),"")</f>
        <v/>
      </c>
      <c r="L10" s="33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중단사업이익</t>
        </is>
      </c>
      <c r="D22" t="inlineStr">
        <is>
          <t>중단사업이익(실적만)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자산총계</t>
        </is>
      </c>
      <c r="D23" t="inlineStr">
        <is>
          <t>자산총계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부채총계</t>
        </is>
      </c>
      <c r="D24" t="inlineStr">
        <is>
          <t>부채총계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자본총계</t>
        </is>
      </c>
      <c r="D25" t="inlineStr">
        <is>
          <t>자본총계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지배주주지분</t>
        </is>
      </c>
      <c r="D26" t="inlineStr">
        <is>
          <t>지배주주지분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총차입금</t>
        </is>
      </c>
      <c r="D27" t="inlineStr">
        <is>
          <t>총차입금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순차입금</t>
        </is>
      </c>
      <c r="D28" t="inlineStr">
        <is>
          <t>순차입금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이자발생자산</t>
        </is>
      </c>
      <c r="D29" t="inlineStr">
        <is>
          <t>이자발생자산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현금및현금성자산</t>
        </is>
      </c>
      <c r="D30" t="inlineStr">
        <is>
          <t>현금및현금성자산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CAPEX</t>
        </is>
      </c>
      <c r="D31" t="inlineStr">
        <is>
          <t>CAPEX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영업활동현금흐름</t>
        </is>
      </c>
      <c r="D32" t="inlineStr">
        <is>
          <t>영업활동현금흐름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주식수</t>
        </is>
      </c>
      <c r="D33" t="inlineStr">
        <is>
          <t>유통주식수</t>
        </is>
      </c>
      <c r="E33" s="27">
        <f>IFERROR(VLOOKUP($A33,subQ,MATCH(E$1,SUBQH,0),0),"")</f>
        <v/>
      </c>
      <c r="F33" s="27">
        <f>IFERROR(VLOOKUP($A33,subQ,MATCH(F$1,SUBQH,0),0),"")</f>
        <v/>
      </c>
      <c r="G33" s="27">
        <f>IFERROR(VLOOKUP($A33,subQ,MATCH(G$1,SUBQH,0),0),"")</f>
        <v/>
      </c>
      <c r="H33" s="27">
        <f>IFERROR(VLOOKUP($A33,subQ,MATCH(H$1,SUBQH,0),0),"")</f>
        <v/>
      </c>
      <c r="I33" s="47">
        <f>IFERROR(VLOOKUP($A33,subQ,MATCH(I$1,SUBQH,0),0),"")</f>
        <v/>
      </c>
      <c r="J33" s="32">
        <f>IFERROR(VLOOKUP($A33,subQ,MATCH(J$1,SUBQH,0),0),"")</f>
        <v/>
      </c>
      <c r="K33" s="32">
        <f>IFERROR(VLOOKUP($A33,subQ,MATCH(K$1,SUBQH,0),0),"")</f>
        <v/>
      </c>
      <c r="L33" s="32">
        <f>IFERROR(VLOOKUP($A33,subQ,MATCH(L$1,SUBQH,0),0),"")</f>
        <v/>
      </c>
    </row>
    <row r="34">
      <c r="A34" s="12" t="inlineStr">
        <is>
          <t>EPS</t>
        </is>
      </c>
      <c r="D34" t="inlineStr">
        <is>
          <t>EPS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5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48">
        <f>IFERROR(VLOOKUP($A37,subQ,MATCH(I$1,SUBQH,0),0),"")</f>
        <v/>
      </c>
      <c r="J37" s="39">
        <f>IFERROR(VLOOKUP($A37,subQ,MATCH(J$1,SUBQH,0),0),"")</f>
        <v/>
      </c>
      <c r="K37" s="39">
        <f>IFERROR(VLOOKUP($A37,subQ,MATCH(K$1,SUBQH,0),0),"")</f>
        <v/>
      </c>
      <c r="L37" s="39">
        <f>IFERROR(VLOOKUP($A37,subQ,MATCH(L$1,SUBQH,0),0),"")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48">
        <f>IFERROR(VLOOKUP($A38,subQ,MATCH(I$1,SUBQH,0),0),"")</f>
        <v/>
      </c>
      <c r="J38" s="39">
        <f>IFERROR(VLOOKUP($A38,subQ,MATCH(J$1,SUBQH,0),0),"")</f>
        <v/>
      </c>
      <c r="K38" s="39">
        <f>IFERROR(VLOOKUP($A38,subQ,MATCH(K$1,SUBQH,0),0),"")</f>
        <v/>
      </c>
      <c r="L38" s="39">
        <f>IFERROR(VLOOKUP($A38,subQ,MATCH(L$1,SUBQH,0),0),"")</f>
        <v/>
      </c>
    </row>
    <row r="39">
      <c r="A39" s="12" t="inlineStr">
        <is>
          <t>매출전사</t>
        </is>
      </c>
      <c r="D39" t="inlineStr">
        <is>
          <t>매출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5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OP전사</t>
        </is>
      </c>
      <c r="D40" t="inlineStr">
        <is>
          <t>OP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45">
        <f>IFERROR(VLOOKUP($A40,subQ,MATCH(I$1,SUBQH,0),0),"")</f>
        <v/>
      </c>
      <c r="J40" s="20">
        <f>IFERROR(VLOOKUP($A40,subQ,MATCH(J$1,SUBQH,0),0),"")</f>
        <v/>
      </c>
      <c r="K40" s="20">
        <f>IFERROR(VLOOKUP($A40,subQ,MATCH(K$1,SUBQH,0),0),"")</f>
        <v/>
      </c>
      <c r="L40" s="20">
        <f>IFERROR(VLOOKUP($A40,subQ,MATCH(L$1,SUBQH,0),0),"")</f>
        <v/>
      </c>
    </row>
    <row r="41">
      <c r="A41" s="12" t="inlineStr">
        <is>
          <t>NPM</t>
        </is>
      </c>
      <c r="D41" t="inlineStr">
        <is>
          <t>NPM</t>
        </is>
      </c>
      <c r="E41" s="21">
        <f>IFERROR(VLOOKUP($A41,subQ,MATCH(E$1,SUBQH,0),0),"")</f>
        <v/>
      </c>
      <c r="F41" s="21">
        <f>IFERROR(VLOOKUP($A41,subQ,MATCH(F$1,SUBQH,0),0),"")</f>
        <v/>
      </c>
      <c r="G41" s="21">
        <f>IFERROR(VLOOKUP($A41,subQ,MATCH(G$1,SUBQH,0),0),"")</f>
        <v/>
      </c>
      <c r="H41" s="21">
        <f>IFERROR(VLOOKUP($A41,subQ,MATCH(H$1,SUBQH,0),0),"")</f>
        <v/>
      </c>
      <c r="I41" s="46">
        <f>IFERROR(VLOOKUP($A41,subQ,MATCH(I$1,SUBQH,0),0),"")</f>
        <v/>
      </c>
      <c r="J41" s="33">
        <f>IFERROR(VLOOKUP($A41,subQ,MATCH(J$1,SUBQH,0),0),"")</f>
        <v/>
      </c>
      <c r="K41" s="33">
        <f>IFERROR(VLOOKUP($A41,subQ,MATCH(K$1,SUBQH,0),0),"")</f>
        <v/>
      </c>
      <c r="L41" s="33">
        <f>IFERROR(VLOOKUP($A41,subQ,MATCH(L$1,SUBQH,0),0),"")</f>
        <v/>
      </c>
    </row>
    <row r="42">
      <c r="A42" s="12" t="inlineStr">
        <is>
          <t>매출액 YoY</t>
        </is>
      </c>
      <c r="D42" t="inlineStr">
        <is>
          <t>매출액 YoY</t>
        </is>
      </c>
      <c r="F42" s="21">
        <f>IFERROR(F5/E5-1,"")</f>
        <v/>
      </c>
      <c r="G42" s="21">
        <f>IFERROR(G5/F5-1,"")</f>
        <v/>
      </c>
      <c r="H42" s="21">
        <f>IFERROR(H5/G5-1,"")</f>
        <v/>
      </c>
      <c r="I42" s="46">
        <f>IFERROR(I5/H5-1,"")</f>
        <v/>
      </c>
      <c r="J42" s="33">
        <f>IFERROR(J5/I5-1,"")</f>
        <v/>
      </c>
      <c r="K42" s="33">
        <f>IFERROR(K5/J5-1,"")</f>
        <v/>
      </c>
      <c r="L42" s="33">
        <f>IFERROR(L5/K5-1,"")</f>
        <v/>
      </c>
    </row>
    <row r="43">
      <c r="A43" s="12" t="inlineStr">
        <is>
          <t>영업이익 YoY</t>
        </is>
      </c>
      <c r="D43" t="inlineStr">
        <is>
          <t>영업이익 YoY</t>
        </is>
      </c>
      <c r="F43" s="21">
        <f>IFERROR(F9/E9-1,"")</f>
        <v/>
      </c>
      <c r="G43" s="21">
        <f>IFERROR(G9/F9-1,"")</f>
        <v/>
      </c>
      <c r="H43" s="21">
        <f>IFERROR(H9/G9-1,"")</f>
        <v/>
      </c>
      <c r="I43" s="46">
        <f>IFERROR(I9/H9-1,"")</f>
        <v/>
      </c>
      <c r="J43" s="33">
        <f>IFERROR(J9/I9-1,"")</f>
        <v/>
      </c>
      <c r="K43" s="33">
        <f>IFERROR(K9/J9-1,"")</f>
        <v/>
      </c>
      <c r="L43" s="33">
        <f>IFERROR(L9/K9-1,"")</f>
        <v/>
      </c>
    </row>
    <row r="44">
      <c r="A44" s="12" t="inlineStr">
        <is>
          <t>지배주주순이익 YoY</t>
        </is>
      </c>
      <c r="D44" t="inlineStr">
        <is>
          <t>지배주주순이익 YoY</t>
        </is>
      </c>
      <c r="F44" s="21">
        <f>IFERROR(F21/E21-1,"")</f>
        <v/>
      </c>
      <c r="G44" s="21">
        <f>IFERROR(G21/F21-1,"")</f>
        <v/>
      </c>
      <c r="H44" s="21">
        <f>IFERROR(H21/G21-1,"")</f>
        <v/>
      </c>
      <c r="I44" s="46">
        <f>IFERROR(I21/H21-1,"")</f>
        <v/>
      </c>
      <c r="J44" s="33">
        <f>IFERROR(J21/I21-1,"")</f>
        <v/>
      </c>
      <c r="K44" s="33">
        <f>IFERROR(K21/J21-1,"")</f>
        <v/>
      </c>
      <c r="L44" s="33">
        <f>IFERROR(L21/K21-1,"")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변수!D45</f>
        <v/>
      </c>
    </row>
    <row r="2">
      <c r="B2" s="1" t="inlineStr">
        <is>
          <t>기준일</t>
        </is>
      </c>
      <c r="C2">
        <f>변수!D46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IFERROR(E7*변수!D51+F7*(1-변수!D51),"")</f>
        <v/>
      </c>
    </row>
    <row r="15">
      <c r="C15" t="inlineStr">
        <is>
          <t>적정가치 @PER_lo</t>
        </is>
      </c>
      <c r="D15" s="27">
        <f>변수!D48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변수!D49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변수!D50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변수!D47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635.3</v>
      </c>
    </row>
    <row r="30">
      <c r="C30" s="2" t="inlineStr">
        <is>
          <t>bps_latest</t>
        </is>
      </c>
      <c r="D30" t="n">
        <v>3040.9</v>
      </c>
    </row>
    <row r="31">
      <c r="C31" s="2" t="inlineStr">
        <is>
          <t>per_now</t>
        </is>
      </c>
      <c r="D31" t="n">
        <v>6.56</v>
      </c>
    </row>
    <row r="32">
      <c r="C32" s="2" t="inlineStr">
        <is>
          <t>pbr_now</t>
        </is>
      </c>
      <c r="D32" t="n">
        <v>1.37</v>
      </c>
    </row>
    <row r="33">
      <c r="C33" s="2" t="inlineStr">
        <is>
          <t>roe_fwd</t>
        </is>
      </c>
      <c r="D33" t="n">
        <v>0.2089</v>
      </c>
    </row>
    <row r="34">
      <c r="C34" s="2" t="inlineStr">
        <is>
          <t>fair_pbr</t>
        </is>
      </c>
      <c r="D34" t="n">
        <v>2.32</v>
      </c>
    </row>
    <row r="35">
      <c r="C35" s="2" t="inlineStr">
        <is>
          <t>fair_value_pbr</t>
        </is>
      </c>
      <c r="D35" t="n">
        <v>7100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3">
        <f>IFERROR(X5/W5-1,"")</f>
        <v/>
      </c>
      <c r="Y6" s="33">
        <f>IFERROR(Y5/X5-1,"")</f>
        <v/>
      </c>
      <c r="Z6" s="33">
        <f>IFERROR(Z5/Y5-1,"")</f>
        <v/>
      </c>
      <c r="AA6" s="33">
        <f>IFERROR(AA5/Z5-1,"")</f>
        <v/>
      </c>
      <c r="AB6" s="33">
        <f>IFERROR(AB5/AA5-1,"")</f>
        <v/>
      </c>
      <c r="AC6" s="33">
        <f>IFERROR(AC5/AB5-1,"")</f>
        <v/>
      </c>
      <c r="AD6" s="33">
        <f>IFERROR(AD5/AC5-1,"")</f>
        <v/>
      </c>
      <c r="AE6" s="33">
        <f>IFERROR(AE5/AD5-1,"")</f>
        <v/>
      </c>
      <c r="AF6" s="33">
        <f>IFERROR(AF5/AE5-1,"")</f>
        <v/>
      </c>
      <c r="AG6" s="33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3">
        <f>IFERROR(X7/W7-1,"")</f>
        <v/>
      </c>
      <c r="Y8" s="33">
        <f>IFERROR(Y7/X7-1,"")</f>
        <v/>
      </c>
      <c r="Z8" s="33">
        <f>IFERROR(Z7/Y7-1,"")</f>
        <v/>
      </c>
      <c r="AA8" s="33">
        <f>IFERROR(AA7/Z7-1,"")</f>
        <v/>
      </c>
      <c r="AB8" s="33">
        <f>IFERROR(AB7/AA7-1,"")</f>
        <v/>
      </c>
      <c r="AC8" s="33">
        <f>IFERROR(AC7/AB7-1,"")</f>
        <v/>
      </c>
      <c r="AD8" s="33">
        <f>IFERROR(AD7/AC7-1,"")</f>
        <v/>
      </c>
      <c r="AE8" s="33">
        <f>IFERROR(AE7/AD7-1,"")</f>
        <v/>
      </c>
      <c r="AF8" s="33">
        <f>IFERROR(AF7/AE7-1,"")</f>
        <v/>
      </c>
      <c r="AG8" s="33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3">
        <f>IFERROR(X9/W9-1,"")</f>
        <v/>
      </c>
      <c r="Y10" s="33">
        <f>IFERROR(Y9/X9-1,"")</f>
        <v/>
      </c>
      <c r="Z10" s="33">
        <f>IFERROR(Z9/Y9-1,"")</f>
        <v/>
      </c>
      <c r="AA10" s="33">
        <f>IFERROR(AA9/Z9-1,"")</f>
        <v/>
      </c>
      <c r="AB10" s="33">
        <f>IFERROR(AB9/AA9-1,"")</f>
        <v/>
      </c>
      <c r="AC10" s="33">
        <f>IFERROR(AC9/AB9-1,"")</f>
        <v/>
      </c>
      <c r="AD10" s="33">
        <f>IFERROR(AD9/AC9-1,"")</f>
        <v/>
      </c>
      <c r="AE10" s="33">
        <f>IFERROR(AE9/AD9-1,"")</f>
        <v/>
      </c>
      <c r="AF10" s="33">
        <f>IFERROR(AF9/AE9-1,"")</f>
        <v/>
      </c>
      <c r="AG10" s="33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3">
        <f>IFERROR(X11/W11-1,"")</f>
        <v/>
      </c>
      <c r="Y12" s="33">
        <f>IFERROR(Y11/X11-1,"")</f>
        <v/>
      </c>
      <c r="Z12" s="33">
        <f>IFERROR(Z11/Y11-1,"")</f>
        <v/>
      </c>
      <c r="AA12" s="33">
        <f>IFERROR(AA11/Z11-1,"")</f>
        <v/>
      </c>
      <c r="AB12" s="33">
        <f>IFERROR(AB11/AA11-1,"")</f>
        <v/>
      </c>
      <c r="AC12" s="33">
        <f>IFERROR(AC11/AB11-1,"")</f>
        <v/>
      </c>
      <c r="AD12" s="33">
        <f>IFERROR(AD11/AC11-1,"")</f>
        <v/>
      </c>
      <c r="AE12" s="33">
        <f>IFERROR(AE11/AD11-1,"")</f>
        <v/>
      </c>
      <c r="AF12" s="33">
        <f>IFERROR(AF11/AE11-1,"")</f>
        <v/>
      </c>
      <c r="AG12" s="33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3">
        <f>IFERROR(X13/W13-1,"")</f>
        <v/>
      </c>
      <c r="Y14" s="33">
        <f>IFERROR(Y13/X13-1,"")</f>
        <v/>
      </c>
      <c r="Z14" s="33">
        <f>IFERROR(Z13/Y13-1,"")</f>
        <v/>
      </c>
      <c r="AA14" s="33">
        <f>IFERROR(AA13/Z13-1,"")</f>
        <v/>
      </c>
      <c r="AB14" s="33">
        <f>IFERROR(AB13/AA13-1,"")</f>
        <v/>
      </c>
      <c r="AC14" s="33">
        <f>IFERROR(AC13/AB13-1,"")</f>
        <v/>
      </c>
      <c r="AD14" s="33">
        <f>IFERROR(AD13/AC13-1,"")</f>
        <v/>
      </c>
      <c r="AE14" s="33">
        <f>IFERROR(AE13/AD13-1,"")</f>
        <v/>
      </c>
      <c r="AF14" s="33">
        <f>IFERROR(AF13/AE13-1,"")</f>
        <v/>
      </c>
      <c r="AG14" s="33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변수!D58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2026-10-12T00:00:00Z</dcterms:created>
  <dcterms:modified xsi:type="dcterms:W3CDTF">2026-10-12T00:00:00Z</dcterms:modified>
</cp:coreProperties>
</file>