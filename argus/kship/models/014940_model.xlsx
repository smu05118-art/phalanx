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239820억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250205억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261148억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267513억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276969억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289749억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305817억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322084억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337406억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351223억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239820억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250205억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261148억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267513억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276969억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289749억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305817억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322084억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337406억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351223억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426억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680억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782억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279억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345억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426억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507억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599억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680억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782억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885억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4075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3800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4260.5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0.243540305</v>
      </c>
      <c r="AD21" s="24" t="n">
        <v>0.420438329</v>
      </c>
      <c r="AE21" s="25" t="n"/>
      <c r="AF21" s="24" t="n">
        <v>0.12357142</v>
      </c>
      <c r="AG21" s="24" t="n">
        <v>0.294889864</v>
      </c>
      <c r="AH21" s="24" t="n">
        <v>0.154888408</v>
      </c>
      <c r="AI21" s="24" t="n">
        <v>0.158043363</v>
      </c>
      <c r="AJ21" s="25" t="n"/>
      <c r="AK21" s="24" t="n">
        <v>0.171047445</v>
      </c>
      <c r="AL21" s="24" t="n">
        <v>0.203985765</v>
      </c>
      <c r="AM21" s="24" t="n">
        <v>0.21821777</v>
      </c>
      <c r="AN21" s="24" t="n">
        <v>0.212162067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0.131352191</v>
      </c>
      <c r="AD23" s="24" t="n">
        <v>0.131352078</v>
      </c>
      <c r="AE23" s="25">
        <f>IFERROR(subQ!AE9/subQ!AE5,"")</f>
        <v/>
      </c>
      <c r="AF23" s="24" t="n">
        <v>0.131344507</v>
      </c>
      <c r="AG23" s="24" t="n">
        <v>0.131349078</v>
      </c>
      <c r="AH23" s="24" t="n">
        <v>0.131347219</v>
      </c>
      <c r="AI23" s="24" t="n">
        <v>0.131351263</v>
      </c>
      <c r="AJ23" s="25">
        <f>IFERROR(subQ!AJ9/subQ!AJ5,"")</f>
        <v/>
      </c>
      <c r="AK23" s="24" t="n">
        <v>0.131346861</v>
      </c>
      <c r="AL23" s="24" t="n">
        <v>0.131344182</v>
      </c>
      <c r="AM23" s="24" t="n">
        <v>0.131343736</v>
      </c>
      <c r="AN23" s="24" t="n">
        <v>0.131350646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0.002125557</v>
      </c>
      <c r="AD33" s="30" t="n">
        <v>-0.001561699</v>
      </c>
      <c r="AE33" s="31" t="n"/>
      <c r="AF33" s="30" t="n">
        <v>0.002039303</v>
      </c>
      <c r="AG33" s="30" t="n">
        <v>-0.006989427</v>
      </c>
      <c r="AH33" s="30" t="n">
        <v>-0.00087739</v>
      </c>
      <c r="AI33" s="30" t="n">
        <v>0.003077487</v>
      </c>
      <c r="AJ33" s="31" t="n"/>
      <c r="AK33" s="30" t="n">
        <v>-0.001667316</v>
      </c>
      <c r="AL33" s="30" t="n">
        <v>-0.005256145</v>
      </c>
      <c r="AM33" s="30" t="n">
        <v>0.000615886</v>
      </c>
      <c r="AN33" s="30" t="n">
        <v>0.002876809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0.002125557</v>
      </c>
      <c r="AD34" s="30" t="n">
        <v>-0.001561699</v>
      </c>
      <c r="AE34" s="31" t="n"/>
      <c r="AF34" s="30" t="n">
        <v>0.002039303</v>
      </c>
      <c r="AG34" s="30" t="n">
        <v>-0.006989427</v>
      </c>
      <c r="AH34" s="30" t="n">
        <v>-0.00087739</v>
      </c>
      <c r="AI34" s="30" t="n">
        <v>0.003077487</v>
      </c>
      <c r="AJ34" s="31" t="n"/>
      <c r="AK34" s="30" t="n">
        <v>-0.001667316</v>
      </c>
      <c r="AL34" s="30" t="n">
        <v>-0.005256145</v>
      </c>
      <c r="AM34" s="30" t="n">
        <v>0.000615886</v>
      </c>
      <c r="AN34" s="30" t="n">
        <v>0.002876809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-0.578709269</v>
      </c>
      <c r="AD36" s="24" t="n">
        <v>-1.563505155</v>
      </c>
      <c r="AE36" s="25" t="n"/>
      <c r="AF36" s="24" t="n">
        <v>2.411635565</v>
      </c>
      <c r="AG36" s="24" t="n">
        <v>0.8722651219999999</v>
      </c>
      <c r="AH36" s="24" t="n">
        <v>0.462794295</v>
      </c>
      <c r="AI36" s="24" t="n">
        <v>0.359140038</v>
      </c>
      <c r="AJ36" s="25" t="n"/>
      <c r="AK36" s="24" t="n">
        <v>0.233814504</v>
      </c>
      <c r="AL36" s="24" t="n">
        <v>0.238031853</v>
      </c>
      <c r="AM36" s="24" t="n">
        <v>0.193284919</v>
      </c>
      <c r="AN36" s="24" t="n">
        <v>0.182226297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0.487077727</v>
      </c>
      <c r="AD37" s="24" t="n">
        <v>0.372830523</v>
      </c>
      <c r="AE37" s="25" t="n"/>
      <c r="AF37" s="24" t="n">
        <v>0.23608624</v>
      </c>
      <c r="AG37" s="24" t="n">
        <v>0.235614533</v>
      </c>
      <c r="AH37" s="24" t="n">
        <v>0.189443324</v>
      </c>
      <c r="AI37" s="24" t="n">
        <v>0.180798423</v>
      </c>
      <c r="AJ37" s="25" t="n"/>
      <c r="AK37" s="24" t="n">
        <v>0.13548484</v>
      </c>
      <c r="AL37" s="24" t="n">
        <v>0.149872815</v>
      </c>
      <c r="AM37" s="24" t="n">
        <v>0.131029103</v>
      </c>
      <c r="AN37" s="24" t="n">
        <v>0.130332048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4075</v>
      </c>
      <c r="E45" s="2" t="inlineStr">
        <is>
          <t>원 — 네이버 정규장 종가(aik 확정종가 대조 · aik 3,920원)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20261019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0.1960652805723228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0.05619205458571477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0.0588246956391039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0.04063123843639461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636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6.41</v>
      </c>
    </row>
    <row r="32">
      <c r="C32" s="2" t="inlineStr">
        <is>
          <t>pbr_now</t>
        </is>
      </c>
      <c r="D32" t="n">
        <v>1.34</v>
      </c>
    </row>
    <row r="33">
      <c r="C33" s="2" t="inlineStr">
        <is>
          <t>roe_fwd</t>
        </is>
      </c>
      <c r="D33" t="n">
        <v>0.2091</v>
      </c>
    </row>
    <row r="34">
      <c r="C34" s="2" t="inlineStr">
        <is>
          <t>fair_pbr</t>
        </is>
      </c>
      <c r="D34" t="n">
        <v>2.32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