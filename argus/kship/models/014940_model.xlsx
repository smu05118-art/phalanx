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239093억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248064억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258383억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264852억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275677억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290882억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308797억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326204억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341945억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355476억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239093억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248064억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258383억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264852억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275677억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290882억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308797억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326204억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341945억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355476억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781억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504억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678억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781억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0.239772919</v>
      </c>
      <c r="AD21" s="24" t="n">
        <v>0.408289095</v>
      </c>
      <c r="AE21" s="25" t="n"/>
      <c r="AF21" s="24" t="n">
        <v>0.111683931</v>
      </c>
      <c r="AG21" s="24" t="n">
        <v>0.282003804</v>
      </c>
      <c r="AH21" s="24" t="n">
        <v>0.153007467</v>
      </c>
      <c r="AI21" s="24" t="n">
        <v>0.172607392</v>
      </c>
      <c r="AJ21" s="25" t="n"/>
      <c r="AK21" s="24" t="n">
        <v>0.19510757</v>
      </c>
      <c r="AL21" s="24" t="n">
        <v>0.231641963</v>
      </c>
      <c r="AM21" s="24" t="n">
        <v>0.240375065</v>
      </c>
      <c r="AN21" s="24" t="n">
        <v>0.222054839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0.131339044</v>
      </c>
      <c r="AD23" s="24" t="n">
        <v>0.131348679</v>
      </c>
      <c r="AE23" s="25">
        <f>IFERROR(subQ!AE9/subQ!AE5,"")</f>
        <v/>
      </c>
      <c r="AF23" s="24" t="n">
        <v>0.131346614</v>
      </c>
      <c r="AG23" s="24" t="n">
        <v>0.131349175</v>
      </c>
      <c r="AH23" s="24" t="n">
        <v>0.13135206</v>
      </c>
      <c r="AI23" s="24" t="n">
        <v>0.131341087</v>
      </c>
      <c r="AJ23" s="25">
        <f>IFERROR(subQ!AJ9/subQ!AJ5,"")</f>
        <v/>
      </c>
      <c r="AK23" s="24" t="n">
        <v>0.131345592</v>
      </c>
      <c r="AL23" s="24" t="n">
        <v>0.131341003</v>
      </c>
      <c r="AM23" s="24" t="n">
        <v>0.131351634</v>
      </c>
      <c r="AN23" s="24" t="n">
        <v>0.131346336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-0.004617304</v>
      </c>
      <c r="AD33" s="30" t="n">
        <v>-0.001206232</v>
      </c>
      <c r="AE33" s="31" t="n"/>
      <c r="AF33" s="30" t="n">
        <v>-0.005731668</v>
      </c>
      <c r="AG33" s="30" t="n">
        <v>0.001924198</v>
      </c>
      <c r="AH33" s="30" t="n">
        <v>0.000252619</v>
      </c>
      <c r="AI33" s="30" t="n">
        <v>-0.005293212</v>
      </c>
      <c r="AJ33" s="31" t="n"/>
      <c r="AK33" s="30" t="n">
        <v>0.001756145</v>
      </c>
      <c r="AL33" s="30" t="n">
        <v>-0.013072844</v>
      </c>
      <c r="AM33" s="30" t="n">
        <v>0.001474024</v>
      </c>
      <c r="AN33" s="30" t="n">
        <v>-0.001103916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-0.004617304</v>
      </c>
      <c r="AD34" s="30" t="n">
        <v>-0.001206232</v>
      </c>
      <c r="AE34" s="31" t="n"/>
      <c r="AF34" s="30" t="n">
        <v>-0.005731668</v>
      </c>
      <c r="AG34" s="30" t="n">
        <v>0.001924198</v>
      </c>
      <c r="AH34" s="30" t="n">
        <v>0.000252619</v>
      </c>
      <c r="AI34" s="30" t="n">
        <v>-0.005293212</v>
      </c>
      <c r="AJ34" s="31" t="n"/>
      <c r="AK34" s="30" t="n">
        <v>0.001756145</v>
      </c>
      <c r="AL34" s="30" t="n">
        <v>-0.013072844</v>
      </c>
      <c r="AM34" s="30" t="n">
        <v>0.001474024</v>
      </c>
      <c r="AN34" s="30" t="n">
        <v>-0.001103916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-0.576885124</v>
      </c>
      <c r="AD36" s="24" t="n">
        <v>-1.543009649</v>
      </c>
      <c r="AE36" s="25" t="n"/>
      <c r="AF36" s="24" t="n">
        <v>2.465028355</v>
      </c>
      <c r="AG36" s="24" t="n">
        <v>0.878232406</v>
      </c>
      <c r="AH36" s="24" t="n">
        <v>0.467003602</v>
      </c>
      <c r="AI36" s="24" t="n">
        <v>0.364431949</v>
      </c>
      <c r="AJ36" s="25" t="n"/>
      <c r="AK36" s="24" t="n">
        <v>0.237636406</v>
      </c>
      <c r="AL36" s="24" t="n">
        <v>0.241933215</v>
      </c>
      <c r="AM36" s="24" t="n">
        <v>0.195936633</v>
      </c>
      <c r="AN36" s="24" t="n">
        <v>0.184123275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0.48554232</v>
      </c>
      <c r="AD37" s="24" t="n">
        <v>0.369918299</v>
      </c>
      <c r="AE37" s="25" t="n"/>
      <c r="AF37" s="24" t="n">
        <v>0.234245886</v>
      </c>
      <c r="AG37" s="24" t="n">
        <v>0.234295861</v>
      </c>
      <c r="AH37" s="24" t="n">
        <v>0.189585643</v>
      </c>
      <c r="AI37" s="24" t="n">
        <v>0.182447167</v>
      </c>
      <c r="AJ37" s="25" t="n"/>
      <c r="AK37" s="24" t="n">
        <v>0.137295666</v>
      </c>
      <c r="AL37" s="24" t="n">
        <v>0.152077129</v>
      </c>
      <c r="AM37" s="24" t="n">
        <v>0.132795905</v>
      </c>
      <c r="AN37" s="24" t="n">
        <v>0.131721037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4490</v>
      </c>
      <c r="E45" s="2" t="inlineStr">
        <is>
          <t>원 — 네이버 정규장 종가(aik 확정종가 대조 · aik 4,590원)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0.1960747871984537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0.0561918272295067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0.05881629811603584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0.04060464966321794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630.6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7.12</v>
      </c>
    </row>
    <row r="32">
      <c r="C32" s="2" t="inlineStr">
        <is>
          <t>pbr_now</t>
        </is>
      </c>
      <c r="D32" t="n">
        <v>1.48</v>
      </c>
    </row>
    <row r="33">
      <c r="C33" s="2" t="inlineStr">
        <is>
          <t>roe_fwd</t>
        </is>
      </c>
      <c r="D33" t="n">
        <v>0.2074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