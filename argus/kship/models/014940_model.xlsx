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BS별도!$C$5:$AO$90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239209억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248426억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258850억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265146억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275327억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289346억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305768억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321501억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335477억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347230억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모델값 역산(implied): v / 매출액
매출액 × 판관비율 5.62%(최근 4분기 중위)</t>
      </text>
    </comment>
    <comment ref="AD22" authorId="0" shapeId="0">
      <text>
        <t>모델값 역산(implied): v / 매출액
매출액 × 판관비율 5.62%(최근 4분기 중위)</t>
      </text>
    </comment>
    <comment ref="AF22" authorId="0" shapeId="0">
      <text>
        <t>모델값 역산(implied): v / 매출액
매출액 × 판관비율 5.62%(최근 4분기 중위)</t>
      </text>
    </comment>
    <comment ref="AG22" authorId="0" shapeId="0">
      <text>
        <t>모델값 역산(implied): v / 매출액
매출액 × 판관비율 5.62%(최근 4분기 중위)</t>
      </text>
    </comment>
    <comment ref="AH22" authorId="0" shapeId="0">
      <text>
        <t>모델값 역산(implied): v / 매출액
매출액 × 판관비율 5.62%(최근 4분기 중위)</t>
      </text>
    </comment>
    <comment ref="AI22" authorId="0" shapeId="0">
      <text>
        <t>모델값 역산(implied): v / 매출액
매출액 × 판관비율 5.62%(최근 4분기 중위)</t>
      </text>
    </comment>
    <comment ref="AK22" authorId="0" shapeId="0">
      <text>
        <t>모델값 역산(implied): v / 매출액
매출액 × 판관비율 5.62%(최근 4분기 중위)</t>
      </text>
    </comment>
    <comment ref="AL22" authorId="0" shapeId="0">
      <text>
        <t>모델값 역산(implied): v / 매출액
매출액 × 판관비율 5.62%(최근 4분기 중위)</t>
      </text>
    </comment>
    <comment ref="AM22" authorId="0" shapeId="0">
      <text>
        <t>모델값 역산(implied): v / 매출액
매출액 × 판관비율 5.62%(최근 4분기 중위)</t>
      </text>
    </comment>
    <comment ref="AN22" authorId="0" shapeId="0">
      <text>
        <t>모델값 역산(implied): v / 매출액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v / 전년동기 − 1
최근 8분기 OPM 중위 13.1% 유지</t>
      </text>
    </comment>
    <comment ref="AD24" authorId="0" shapeId="0">
      <text>
        <t>모델값 역산(implied): v / 전년동기 − 1
최근 8분기 OPM 중위 13.1% 유지</t>
      </text>
    </comment>
    <comment ref="AF24" authorId="0" shapeId="0">
      <text>
        <t>모델값 역산(implied): v / 전년동기 − 1
최근 8분기 OPM 중위 13.1% 유지</t>
      </text>
    </comment>
    <comment ref="AG24" authorId="0" shapeId="0">
      <text>
        <t>모델값 역산(implied): v / 전년동기 − 1
최근 8분기 OPM 중위 13.1% 유지</t>
      </text>
    </comment>
    <comment ref="AH24" authorId="0" shapeId="0">
      <text>
        <t>모델값 역산(implied): v / 전년동기 − 1
최근 8분기 OPM 중위 13.1% 유지</t>
      </text>
    </comment>
    <comment ref="AI24" authorId="0" shapeId="0">
      <text>
        <t>모델값 역산(implied): v / 전년동기 − 1
최근 8분기 OPM 중위 13.1% 유지</t>
      </text>
    </comment>
    <comment ref="AK24" authorId="0" shapeId="0">
      <text>
        <t>모델값 역산(implied): v / 전년동기 − 1
최근 8분기 OPM 중위 13.1% 유지</t>
      </text>
    </comment>
    <comment ref="AL24" authorId="0" shapeId="0">
      <text>
        <t>모델값 역산(implied): v / 전년동기 − 1
최근 8분기 OPM 중위 13.1% 유지</t>
      </text>
    </comment>
    <comment ref="AM24" authorId="0" shapeId="0">
      <text>
        <t>모델값 역산(implied): v / 전년동기 − 1
최근 8분기 OPM 중위 13.1% 유지</t>
      </text>
    </comment>
    <comment ref="AN24" authorId="0" shapeId="0">
      <text>
        <t>모델값 역산(implied): v / 전년동기 − 1
최근 8분기 OPM 중위 13.1% 유지</t>
      </text>
    </comment>
    <comment ref="AC25" authorId="0" shapeId="0">
      <text>
        <t>모델값 역산(implied): 모델 v 그대로
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1분기 &lt; 4 → 0) (항등식); 이자손익 = 이자발생자산 505억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1분기 &lt; 4 → 0) (항등식); 이자손익 = 이자발생자산 677억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1분기 &lt; 4 → 0) (항등식); 이자손익 = 이자발생자산 779억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1분기 &lt; 4 → 0) (항등식); 이자손익 = 이자발생자산 881억 × 5.88%(주석 이자수익 ÷ 평균 이자발생자산(2025Q3~2026Q2)) − 총차입금 250억 × 4.06%(주석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137억 × 5.88%(주석 이자수익 ÷ 평균 이자발생자산(2025Q3~2026Q2)) − 총차입금 250억 × 4.06%(주석 이자비용 ÷ 평균 총차입금(2025Q3~2026Q2)) (연율) ÷ 4</t>
      </text>
    </comment>
    <comment ref="AD26" authorId="0" shapeId="0">
      <text>
        <t>모델값 역산(implied): 모델 v 그대로
이자발생자산 203억 × 5.88%(주석 이자수익 ÷ 평균 이자발생자산(2025Q3~2026Q2)) − 총차입금 250억 × 4.06%(주석 이자비용 ÷ 평균 총차입금(2025Q3~2026Q2)) (연율) ÷ 4</t>
      </text>
    </comment>
    <comment ref="AF26" authorId="0" shapeId="0">
      <text>
        <t>모델값 역산(implied): 모델 v 그대로
이자발생자산 278억 × 5.88%(주석 이자수익 ÷ 평균 이자발생자산(2025Q3~2026Q2)) − 총차입금 250억 × 4.06%(주석 이자비용 ÷ 평균 총차입금(2025Q3~2026Q2)) (연율) ÷ 4</t>
      </text>
    </comment>
    <comment ref="AG26" authorId="0" shapeId="0">
      <text>
        <t>모델값 역산(implied): 모델 v 그대로
이자발생자산 344억 × 5.88%(주석 이자수익 ÷ 평균 이자발생자산(2025Q3~2026Q2)) − 총차입금 250억 × 4.06%(주석 이자비용 ÷ 평균 총차입금(2025Q3~2026Q2)) (연율) ÷ 4</t>
      </text>
    </comment>
    <comment ref="AH26" authorId="0" shapeId="0">
      <text>
        <t>모델값 역산(implied): 모델 v 그대로
이자발생자산 424억 × 5.88%(주석 이자수익 ÷ 평균 이자발생자산(2025Q3~2026Q2)) − 총차입금 250억 × 4.06%(주석 이자비용 ÷ 평균 총차입금(2025Q3~2026Q2)) (연율) ÷ 4</t>
      </text>
    </comment>
    <comment ref="AI26" authorId="0" shapeId="0">
      <text>
        <t>모델값 역산(implied): 모델 v 그대로
이자발생자산 505억 × 5.88%(주석 이자수익 ÷ 평균 이자발생자산(2025Q3~2026Q2)) − 총차입금 250억 × 4.06%(주석 이자비용 ÷ 평균 총차입금(2025Q3~2026Q2)) (연율) ÷ 4</t>
      </text>
    </comment>
    <comment ref="AK26" authorId="0" shapeId="0">
      <text>
        <t>모델값 역산(implied): 모델 v 그대로
이자발생자산 596억 × 5.88%(주석 이자수익 ÷ 평균 이자발생자산(2025Q3~2026Q2)) − 총차입금 250억 × 4.06%(주석 이자비용 ÷ 평균 총차입금(2025Q3~2026Q2)) (연율) ÷ 4</t>
      </text>
    </comment>
    <comment ref="AL26" authorId="0" shapeId="0">
      <text>
        <t>모델값 역산(implied): 모델 v 그대로
이자발생자산 677억 × 5.88%(주석 이자수익 ÷ 평균 이자발생자산(2025Q3~2026Q2)) − 총차입금 250억 × 4.06%(주석 이자비용 ÷ 평균 총차입금(2025Q3~2026Q2)) (연율) ÷ 4</t>
      </text>
    </comment>
    <comment ref="AM26" authorId="0" shapeId="0">
      <text>
        <t>모델값 역산(implied): 모델 v 그대로
이자발생자산 779억 × 5.88%(주석 이자수익 ÷ 평균 이자발생자산(2025Q3~2026Q2)) − 총차입금 250억 × 4.06%(주석 이자비용 ÷ 평균 총차입금(2025Q3~2026Q2)) (연율) ÷ 4</t>
      </text>
    </comment>
    <comment ref="AN26" authorId="0" shapeId="0">
      <text>
        <t>모델값 역산(implied): 모델 v 그대로
이자발생자산 881억 × 5.88%(주석 이자수익 ÷ 평균 이자발생자산(2025Q3~2026Q2)) − 총차입금 250억 × 4.06%(주석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19.6%(최근 12분기 유효세율 19.6%(5~27% 안 — 그대로))</t>
      </text>
    </comment>
    <comment ref="AD32" authorId="0" shapeId="0">
      <text>
        <t>모델값 역산(implied): v / 세전이익
max(세전, 0) × 세율 19.6%(최근 12분기 유효세율 19.6%(5~27% 안 — 그대로))</t>
      </text>
    </comment>
    <comment ref="AF32" authorId="0" shapeId="0">
      <text>
        <t>모델값 역산(implied): v / 세전이익
max(세전, 0) × 세율 19.6%(최근 12분기 유효세율 19.6%(5~27% 안 — 그대로))</t>
      </text>
    </comment>
    <comment ref="AG32" authorId="0" shapeId="0">
      <text>
        <t>모델값 역산(implied): v / 세전이익
max(세전, 0) × 세율 19.6%(최근 12분기 유효세율 19.6%(5~27% 안 — 그대로))</t>
      </text>
    </comment>
    <comment ref="AH32" authorId="0" shapeId="0">
      <text>
        <t>모델값 역산(implied): v / 세전이익
max(세전, 0) × 세율 19.6%(최근 12분기 유효세율 19.6%(5~27% 안 — 그대로))</t>
      </text>
    </comment>
    <comment ref="AI32" authorId="0" shapeId="0">
      <text>
        <t>모델값 역산(implied): v / 세전이익
max(세전, 0) × 세율 19.6%(최근 12분기 유효세율 19.6%(5~27% 안 — 그대로))</t>
      </text>
    </comment>
    <comment ref="AK32" authorId="0" shapeId="0">
      <text>
        <t>모델값 역산(implied): v / 세전이익
max(세전, 0) × 세율 19.6%(최근 12분기 유효세율 19.6%(5~27% 안 — 그대로))</t>
      </text>
    </comment>
    <comment ref="AL32" authorId="0" shapeId="0">
      <text>
        <t>모델값 역산(implied): v / 세전이익
max(세전, 0) × 세율 19.6%(최근 12분기 유효세율 19.6%(5~27% 안 — 그대로))</t>
      </text>
    </comment>
    <comment ref="AM32" authorId="0" shapeId="0">
      <text>
        <t>모델값 역산(implied): v / 세전이익
max(세전, 0) × 세율 19.6%(최근 12분기 유효세율 19.6%(5~27% 안 — 그대로))</t>
      </text>
    </comment>
    <comment ref="AN32" authorId="0" shapeId="0">
      <text>
        <t>모델값 역산(implied): v / 세전이익
max(세전, 0) × 세율 19.6%(최근 12분기 유효세율 19.6%(5~27% 안 — 그대로))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C46" authorId="0" shapeId="0">
      <text>
        <t>모델값 역산(implied): v / 전년동기 − 1
현재 종가 ÷ TTM EPS(추정 포함)</t>
      </text>
    </comment>
    <comment ref="AD46" authorId="0" shapeId="0">
      <text>
        <t>모델값 역산(implied): v / 전년동기 − 1
현재 종가 ÷ TTM EPS(추정 포함)</t>
      </text>
    </comment>
    <comment ref="AF46" authorId="0" shapeId="0">
      <text>
        <t>모델값 역산(implied): v / 전년동기 − 1
현재 종가 ÷ TTM EPS(추정 포함)</t>
      </text>
    </comment>
    <comment ref="AG46" authorId="0" shapeId="0">
      <text>
        <t>모델값 역산(implied): v / 전년동기 − 1
현재 종가 ÷ TTM EPS(추정 포함)</t>
      </text>
    </comment>
    <comment ref="AH46" authorId="0" shapeId="0">
      <text>
        <t>모델값 역산(implied): v / 전년동기 − 1
현재 종가 ÷ TTM EPS(추정 포함)</t>
      </text>
    </comment>
    <comment ref="AI46" authorId="0" shapeId="0">
      <text>
        <t>모델값 역산(implied): v / 전년동기 − 1
현재 종가 ÷ TTM EPS(추정 포함)</t>
      </text>
    </comment>
    <comment ref="AK46" authorId="0" shapeId="0">
      <text>
        <t>모델값 역산(implied): v / 전년동기 − 1
현재 종가 ÷ TTM EPS(추정 포함)</t>
      </text>
    </comment>
    <comment ref="AL46" authorId="0" shapeId="0">
      <text>
        <t>모델값 역산(implied): v / 전년동기 − 1
현재 종가 ÷ TTM EPS(추정 포함)</t>
      </text>
    </comment>
    <comment ref="AM46" authorId="0" shapeId="0">
      <text>
        <t>모델값 역산(implied): v / 전년동기 − 1
현재 종가 ÷ TTM EPS(추정 포함)</t>
      </text>
    </comment>
    <comment ref="AN46" authorId="0" shapeId="0">
      <text>
        <t>모델값 역산(implied): v / 전년동기 − 1
현재 종가 ÷ TTM EPS(추정 포함)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239209억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248426억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258850억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265146억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275327억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289346억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305768억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321501억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335477억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347230억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13.1% 유지
[yoy]</t>
      </text>
    </comment>
    <comment ref="AD10" authorId="0" shapeId="0">
      <text>
        <t>추정: 최근 8분기 OPM 중위 13.1% 유지
[yoy]</t>
      </text>
    </comment>
    <comment ref="AF10" authorId="0" shapeId="0">
      <text>
        <t>추정: 최근 8분기 OPM 중위 13.1% 유지
[yoy]</t>
      </text>
    </comment>
    <comment ref="AG10" authorId="0" shapeId="0">
      <text>
        <t>추정: 최근 8분기 OPM 중위 13.1% 유지
[yoy]</t>
      </text>
    </comment>
    <comment ref="AH10" authorId="0" shapeId="0">
      <text>
        <t>추정: 최근 8분기 OPM 중위 13.1% 유지
[yoy]</t>
      </text>
    </comment>
    <comment ref="AI10" authorId="0" shapeId="0">
      <text>
        <t>추정: 최근 8분기 OPM 중위 13.1% 유지
[yoy]</t>
      </text>
    </comment>
    <comment ref="AK10" authorId="0" shapeId="0">
      <text>
        <t>추정: 최근 8분기 OPM 중위 13.1% 유지
[yoy]</t>
      </text>
    </comment>
    <comment ref="AL10" authorId="0" shapeId="0">
      <text>
        <t>추정: 최근 8분기 OPM 중위 13.1% 유지
[yoy]</t>
      </text>
    </comment>
    <comment ref="AM10" authorId="0" shapeId="0">
      <text>
        <t>추정: 최근 8분기 OPM 중위 13.1% 유지
[yoy]</t>
      </text>
    </comment>
    <comment ref="AN10" authorId="0" shapeId="0">
      <text>
        <t>추정: 최근 8분기 OPM 중위 13.1% 유지
[yoy]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505억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677억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779억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881억 × 5.88%(주석 이자수익 ÷ 평균 이자발생자산(2025Q3~2026Q2)) − 총차입금 250억 × 4.06%(주석 이자비용 ÷ 평균 총차입금(2025Q3~2026Q2)) (연율) ÷ 4; 환율 효과는 환관련손익 행 별도
[abs]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[abs]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[abs]</t>
      </text>
    </comment>
    <comment ref="AF12" authorId="0" shapeId="0">
      <text>
        <t>추정: 이자발생자산 278억 × 5.88%(주석 이자수익 ÷ 평균 이자발생자산(2025Q3~2026Q2)) − 총차입금 250억 × 4.06%(주석 이자비용 ÷ 평균 총차입금(2025Q3~2026Q2)) (연율) ÷ 4
[abs]</t>
      </text>
    </comment>
    <comment ref="AG12" authorId="0" shapeId="0">
      <text>
        <t>추정: 이자발생자산 344억 × 5.88%(주석 이자수익 ÷ 평균 이자발생자산(2025Q3~2026Q2)) − 총차입금 250억 × 4.06%(주석 이자비용 ÷ 평균 총차입금(2025Q3~2026Q2)) (연율) ÷ 4
[abs]</t>
      </text>
    </comment>
    <comment ref="AH12" authorId="0" shapeId="0">
      <text>
        <t>추정: 이자발생자산 424억 × 5.88%(주석 이자수익 ÷ 평균 이자발생자산(2025Q3~2026Q2)) − 총차입금 250억 × 4.06%(주석 이자비용 ÷ 평균 총차입금(2025Q3~2026Q2)) (연율) ÷ 4
[abs]</t>
      </text>
    </comment>
    <comment ref="AI12" authorId="0" shapeId="0">
      <text>
        <t>추정: 이자발생자산 505억 × 5.88%(주석 이자수익 ÷ 평균 이자발생자산(2025Q3~2026Q2)) − 총차입금 250억 × 4.06%(주석 이자비용 ÷ 평균 총차입금(2025Q3~2026Q2)) (연율) ÷ 4
[abs]</t>
      </text>
    </comment>
    <comment ref="AK12" authorId="0" shapeId="0">
      <text>
        <t>추정: 이자발생자산 596억 × 5.88%(주석 이자수익 ÷ 평균 이자발생자산(2025Q3~2026Q2)) − 총차입금 250억 × 4.06%(주석 이자비용 ÷ 평균 총차입금(2025Q3~2026Q2)) (연율) ÷ 4
[abs]</t>
      </text>
    </comment>
    <comment ref="AL12" authorId="0" shapeId="0">
      <text>
        <t>추정: 이자발생자산 677억 × 5.88%(주석 이자수익 ÷ 평균 이자발생자산(2025Q3~2026Q2)) − 총차입금 250억 × 4.06%(주석 이자비용 ÷ 평균 총차입금(2025Q3~2026Q2)) (연율) ÷ 4
[abs]</t>
      </text>
    </comment>
    <comment ref="AM12" authorId="0" shapeId="0">
      <text>
        <t>추정: 이자발생자산 779억 × 5.88%(주석 이자수익 ÷ 평균 이자발생자산(2025Q3~2026Q2)) − 총차입금 250억 × 4.06%(주석 이자비용 ÷ 평균 총차입금(2025Q3~2026Q2)) (연율) ÷ 4
[abs]</t>
      </text>
    </comment>
    <comment ref="AN12" authorId="0" shapeId="0">
      <text>
        <t>추정: 이자발생자산 881억 × 5.88%(주석 이자수익 ÷ 평균 이자발생자산(2025Q3~2026Q2)) − 총차입금 250억 × 4.06%(주석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W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잔차 실측 1분기 &lt; 4 → 0</t>
      </text>
    </comment>
    <comment ref="AD15" authorId="0" shapeId="0">
      <text>
        <t>추정(가정 셀 참조 불가 — 기준값 없음, 모델값 직접): 잔차 실측 1분기 &lt; 4 → 0</t>
      </text>
    </comment>
    <comment ref="AF15" authorId="0" shapeId="0">
      <text>
        <t>추정(가정 셀 참조 불가 — 기준값 없음, 모델값 직접): 잔차 실측 1분기 &lt; 4 → 0</t>
      </text>
    </comment>
    <comment ref="AG15" authorId="0" shapeId="0">
      <text>
        <t>추정(가정 셀 참조 불가 — 기준값 없음, 모델값 직접): 잔차 실측 1분기 &lt; 4 → 0</t>
      </text>
    </comment>
    <comment ref="AH15" authorId="0" shapeId="0">
      <text>
        <t>추정(가정 셀 참조 불가 — 기준값 없음, 모델값 직접): 잔차 실측 1분기 &lt; 4 → 0</t>
      </text>
    </comment>
    <comment ref="AI15" authorId="0" shapeId="0">
      <text>
        <t>추정(가정 셀 참조 불가 — 기준값 없음, 모델값 직접): 잔차 실측 1분기 &lt; 4 → 0</t>
      </text>
    </comment>
    <comment ref="AK15" authorId="0" shapeId="0">
      <text>
        <t>추정(가정 셀 참조 불가 — 기준값 없음, 모델값 직접): 잔차 실측 1분기 &lt; 4 → 0</t>
      </text>
    </comment>
    <comment ref="AL15" authorId="0" shapeId="0">
      <text>
        <t>추정(가정 셀 참조 불가 — 기준값 없음, 모델값 직접): 잔차 실측 1분기 &lt; 4 → 0</t>
      </text>
    </comment>
    <comment ref="AM15" authorId="0" shapeId="0">
      <text>
        <t>추정(가정 셀 참조 불가 — 기준값 없음, 모델값 직접): 잔차 실측 1분기 &lt; 4 → 0</t>
      </text>
    </comment>
    <comment ref="AN15" authorId="0" shapeId="0">
      <text>
        <t>추정(가정 셀 참조 불가 — 기준값 없음, 모델값 직접): 잔차 실측 1분기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[ratio]</t>
      </text>
    </comment>
    <comment ref="AD19" authorId="0" shapeId="0">
      <text>
        <t>추정: max(세전, 0) × 세율 19.6%(최근 12분기 유효세율 19.6%(5~27% 안 — 그대로))
[ratio]</t>
      </text>
    </comment>
    <comment ref="AF19" authorId="0" shapeId="0">
      <text>
        <t>추정: max(세전, 0) × 세율 19.6%(최근 12분기 유효세율 19.6%(5~27% 안 — 그대로))
[ratio]</t>
      </text>
    </comment>
    <comment ref="AG19" authorId="0" shapeId="0">
      <text>
        <t>추정: max(세전, 0) × 세율 19.6%(최근 12분기 유효세율 19.6%(5~27% 안 — 그대로))
[ratio]</t>
      </text>
    </comment>
    <comment ref="AH19" authorId="0" shapeId="0">
      <text>
        <t>추정: max(세전, 0) × 세율 19.6%(최근 12분기 유효세율 19.6%(5~27% 안 — 그대로))
[ratio]</t>
      </text>
    </comment>
    <comment ref="AI19" authorId="0" shapeId="0">
      <text>
        <t>추정: max(세전, 0) × 세율 19.6%(최근 12분기 유효세율 19.6%(5~27% 안 — 그대로))
[ratio]</t>
      </text>
    </comment>
    <comment ref="AK19" authorId="0" shapeId="0">
      <text>
        <t>추정: max(세전, 0) × 세율 19.6%(최근 12분기 유효세율 19.6%(5~27% 안 — 그대로))
[ratio]</t>
      </text>
    </comment>
    <comment ref="AL19" authorId="0" shapeId="0">
      <text>
        <t>추정: max(세전, 0) × 세율 19.6%(최근 12분기 유효세율 19.6%(5~27% 안 — 그대로))
[ratio]</t>
      </text>
    </comment>
    <comment ref="AM19" authorId="0" shapeId="0">
      <text>
        <t>추정: max(세전, 0) × 세율 19.6%(최근 12분기 유효세율 19.6%(5~27% 안 — 그대로))
[ratio]</t>
      </text>
    </comment>
    <comment ref="AN19" authorId="0" shapeId="0">
      <text>
        <t>추정: max(세전, 0) × 세율 19.6%(최근 12분기 유효세율 19.6%(5~27% 안 — 그대로))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E22" authorId="0" shapeId="0">
      <text>
        <t>실측(계정 매핑 없음 — 모델값 직접) — fin.cons.is.중단사업이익</t>
      </text>
    </comment>
    <comment ref="G22" authorId="0" shapeId="0">
      <text>
        <t>실측(계정 매핑 없음 — 모델값 직접) — fin.cons.is.중단사업이익</t>
      </text>
    </comment>
    <comment ref="H22" authorId="0" shapeId="0">
      <text>
        <t>실측(계정 매핑 없음 — 모델값 직접) — fin.cons.is.중단사업이익</t>
      </text>
    </comment>
    <comment ref="I22" authorId="0" shapeId="0">
      <text>
        <t>실측(계정 매핑 없음 — 모델값 직접) — fin.cons.is.중단사업이익</t>
      </text>
    </comment>
    <comment ref="J22" authorId="0" shapeId="0">
      <text>
        <t>실측(계정 매핑 없음 — 모델값 직접) — fin.cons.is.중단사업이익</t>
      </text>
    </comment>
    <comment ref="M22" authorId="0" shapeId="0">
      <text>
        <t>실측(계정 매핑 없음 — 모델값 직접) — fin.cons.is.중단사업이익</t>
      </text>
    </comment>
    <comment ref="N22" authorId="0" shapeId="0">
      <text>
        <t>실측(계정 매핑 없음 — 모델값 직접) — fin.cons.is.중단사업이익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추정(가정 셀 참조 불가 — 기준값 없음, 모델값 직접): 직전 결산 DPS 0원 유지</t>
      </text>
    </comment>
    <comment ref="AI36" authorId="0" shapeId="0">
      <text>
        <t>추정(가정 셀 참조 불가 — 기준값 없음, 모델값 직접): 직전 결산 DPS 0원 유지</t>
      </text>
    </comment>
    <comment ref="AN36" authorId="0" shapeId="0">
      <text>
        <t>추정(가정 셀 참조 불가 — 기준값 없음, 모델값 직접): 직전 결산 DPS 0원 유지</t>
      </text>
    </comment>
    <comment ref="I37" authorId="0" shapeId="0">
      <text>
        <t>실측(계정 매핑 없음 — 모델값 직접) — 토스 일봉 분기 평균 ÷ TTM EPS</t>
      </text>
    </comment>
    <comment ref="J37" authorId="0" shapeId="0">
      <text>
        <t>실측(계정 매핑 없음 — 모델값 직접) — 토스 일봉 분기 평균 ÷ TTM EPS</t>
      </text>
    </comment>
    <comment ref="L37" authorId="0" shapeId="0">
      <text>
        <t>실측(계정 매핑 없음 — 모델값 직접) — 토스 일봉 분기 평균 ÷ TTM EPS</t>
      </text>
    </comment>
    <comment ref="M37" authorId="0" shapeId="0">
      <text>
        <t>실측(계정 매핑 없음 — 모델값 직접) — 토스 일봉 분기 평균 ÷ TTM EPS</t>
      </text>
    </comment>
    <comment ref="N37" authorId="0" shapeId="0">
      <text>
        <t>실측(계정 매핑 없음 — 모델값 직접) — 토스 일봉 분기 평균 ÷ TTM EPS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R37" authorId="0" shapeId="0">
      <text>
        <t>실측(계정 매핑 없음 — 모델값 직접) — 토스 일봉 분기 평균 ÷ TTM EPS</t>
      </text>
    </comment>
    <comment ref="S37" authorId="0" shapeId="0">
      <text>
        <t>실측(계정 매핑 없음 — 모델값 직접) — 토스 일봉 분기 평균 ÷ TTM EPS</t>
      </text>
    </comment>
    <comment ref="T37" authorId="0" shapeId="0">
      <text>
        <t>실측(계정 매핑 없음 — 모델값 직접) — 토스 일봉 분기 평균 ÷ TTM EPS</t>
      </text>
    </comment>
    <comment ref="V37" authorId="0" shapeId="0">
      <text>
        <t>실측(계정 매핑 없음 — 모델값 직접) — 토스 일봉 분기 평균 ÷ TTM EPS</t>
      </text>
    </comment>
    <comment ref="W37" authorId="0" shapeId="0">
      <text>
        <t>실측(계정 매핑 없음 — 모델값 직접) — 토스 일봉 분기 평균 ÷ TTM EPS</t>
      </text>
    </comment>
    <comment ref="X37" authorId="0" shapeId="0">
      <text>
        <t>실측(계정 매핑 없음 — 모델값 직접) — 토스 일봉 분기 평균 ÷ TTM EPS</t>
      </text>
    </comment>
    <comment ref="Y37" authorId="0" shapeId="0">
      <text>
        <t>실측(계정 매핑 없음 — 모델값 직접) — 토스 일봉 분기 평균 ÷ TTM EPS</t>
      </text>
    </comment>
    <comment ref="AA37" authorId="0" shapeId="0">
      <text>
        <t>실측(계정 매핑 없음 — 모델값 직접) — 토스 일봉 분기 평균 ÷ TTM EPS</t>
      </text>
    </comment>
    <comment ref="AB37" authorId="0" shapeId="0">
      <text>
        <t>실측(계정 매핑 없음 — 모델값 직접) — 토스 일봉 분기 평균 ÷ TTM EPS</t>
      </text>
    </comment>
    <comment ref="AC37" authorId="0" shapeId="0">
      <text>
        <t>추정: 현재 종가 ÷ TTM EPS(추정 포함)
[yoy]</t>
      </text>
    </comment>
    <comment ref="AD37" authorId="0" shapeId="0">
      <text>
        <t>추정: 현재 종가 ÷ TTM EPS(추정 포함)
[yoy]</t>
      </text>
    </comment>
    <comment ref="AF37" authorId="0" shapeId="0">
      <text>
        <t>추정: 현재 종가 ÷ TTM EPS(추정 포함)
[yoy]</t>
      </text>
    </comment>
    <comment ref="AG37" authorId="0" shapeId="0">
      <text>
        <t>추정: 현재 종가 ÷ TTM EPS(추정 포함)
[yoy]</t>
      </text>
    </comment>
    <comment ref="AH37" authorId="0" shapeId="0">
      <text>
        <t>추정: 현재 종가 ÷ TTM EPS(추정 포함)
[yoy]</t>
      </text>
    </comment>
    <comment ref="AI37" authorId="0" shapeId="0">
      <text>
        <t>추정: 현재 종가 ÷ TTM EPS(추정 포함)
[yoy]</t>
      </text>
    </comment>
    <comment ref="AK37" authorId="0" shapeId="0">
      <text>
        <t>추정: 현재 종가 ÷ TTM EPS(추정 포함)
[yoy]</t>
      </text>
    </comment>
    <comment ref="AL37" authorId="0" shapeId="0">
      <text>
        <t>추정: 현재 종가 ÷ TTM EPS(추정 포함)
[yoy]</t>
      </text>
    </comment>
    <comment ref="AM37" authorId="0" shapeId="0">
      <text>
        <t>추정: 현재 종가 ÷ TTM EPS(추정 포함)
[yoy]</t>
      </text>
    </comment>
    <comment ref="AN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assets/models/014940.json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0.24036</v>
      </c>
      <c r="AD21" s="24" t="n">
        <v>0.410333</v>
      </c>
      <c r="AE21" s="25" t="n"/>
      <c r="AF21" s="24" t="n">
        <v>0.113686</v>
      </c>
      <c r="AG21" s="24" t="n">
        <v>0.283428</v>
      </c>
      <c r="AH21" s="24" t="n">
        <v>0.150997</v>
      </c>
      <c r="AI21" s="24" t="n">
        <v>0.164727</v>
      </c>
      <c r="AJ21" s="25" t="n"/>
      <c r="AK21" s="24" t="n">
        <v>0.181251</v>
      </c>
      <c r="AL21" s="24" t="n">
        <v>0.212545</v>
      </c>
      <c r="AM21" s="24" t="n">
        <v>0.218469</v>
      </c>
      <c r="AN21" s="24" t="n">
        <v>0.200047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0.056183</v>
      </c>
      <c r="AD22" s="24" t="n">
        <v>0.056185</v>
      </c>
      <c r="AE22" s="25">
        <f>IFERROR(subQ!AE8/subQ!AE5,"")</f>
        <v/>
      </c>
      <c r="AF22" s="24" t="n">
        <v>0.056186</v>
      </c>
      <c r="AG22" s="24" t="n">
        <v>0.056195</v>
      </c>
      <c r="AH22" s="24" t="n">
        <v>0.056185</v>
      </c>
      <c r="AI22" s="24" t="n">
        <v>0.056187</v>
      </c>
      <c r="AJ22" s="25">
        <f>IFERROR(subQ!AJ8/subQ!AJ5,"")</f>
        <v/>
      </c>
      <c r="AK22" s="24" t="n">
        <v>0.056183</v>
      </c>
      <c r="AL22" s="24" t="n">
        <v>0.056186</v>
      </c>
      <c r="AM22" s="24" t="n">
        <v>0.056189</v>
      </c>
      <c r="AN22" s="24" t="n">
        <v>0.056193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0.131353</v>
      </c>
      <c r="AD23" s="24" t="n">
        <v>0.13135</v>
      </c>
      <c r="AE23" s="25">
        <f>IFERROR(subQ!AE9/subQ!AE5,"")</f>
        <v/>
      </c>
      <c r="AF23" s="24" t="n">
        <v>0.131349</v>
      </c>
      <c r="AG23" s="24" t="n">
        <v>0.131347</v>
      </c>
      <c r="AH23" s="24" t="n">
        <v>0.131347</v>
      </c>
      <c r="AI23" s="24" t="n">
        <v>0.131345</v>
      </c>
      <c r="AJ23" s="25">
        <f>IFERROR(subQ!AJ9/subQ!AJ5,"")</f>
        <v/>
      </c>
      <c r="AK23" s="24" t="n">
        <v>0.131341</v>
      </c>
      <c r="AL23" s="24" t="n">
        <v>0.131345</v>
      </c>
      <c r="AM23" s="24" t="n">
        <v>0.131348</v>
      </c>
      <c r="AN23" s="24" t="n">
        <v>0.131344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0.08244</v>
      </c>
      <c r="AD24" s="24" t="n">
        <v>0.983384</v>
      </c>
      <c r="AE24" s="25" t="n"/>
      <c r="AF24" s="24" t="n">
        <v>-0.07142900000000001</v>
      </c>
      <c r="AG24" s="24" t="n">
        <v>-0.111637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-0.53</v>
      </c>
      <c r="AD25" s="29" t="n">
        <v>0.45</v>
      </c>
      <c r="AE25" s="30">
        <f>subQ!AE11</f>
        <v/>
      </c>
      <c r="AF25" s="29" t="n">
        <v>1.56</v>
      </c>
      <c r="AG25" s="29" t="n">
        <v>2.52</v>
      </c>
      <c r="AH25" s="29" t="n">
        <v>3.7</v>
      </c>
      <c r="AI25" s="29" t="n">
        <v>4.88</v>
      </c>
      <c r="AJ25" s="30">
        <f>subQ!AJ11</f>
        <v/>
      </c>
      <c r="AK25" s="29" t="n">
        <v>6.23</v>
      </c>
      <c r="AL25" s="29" t="n">
        <v>7.42</v>
      </c>
      <c r="AM25" s="29" t="n">
        <v>8.92</v>
      </c>
      <c r="AN25" s="29" t="n">
        <v>10.42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-0.53</v>
      </c>
      <c r="AD26" s="29" t="n">
        <v>0.45</v>
      </c>
      <c r="AE26" s="30">
        <f>subQ!AE12</f>
        <v/>
      </c>
      <c r="AF26" s="29" t="n">
        <v>1.56</v>
      </c>
      <c r="AG26" s="29" t="n">
        <v>2.52</v>
      </c>
      <c r="AH26" s="29" t="n">
        <v>3.7</v>
      </c>
      <c r="AI26" s="29" t="n">
        <v>4.88</v>
      </c>
      <c r="AJ26" s="30">
        <f>subQ!AJ12</f>
        <v/>
      </c>
      <c r="AK26" s="29" t="n">
        <v>6.23</v>
      </c>
      <c r="AL26" s="29" t="n">
        <v>7.42</v>
      </c>
      <c r="AM26" s="29" t="n">
        <v>8.92</v>
      </c>
      <c r="AN26" s="29" t="n">
        <v>10.42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31" t="n"/>
      <c r="AE27" s="25" t="n"/>
      <c r="AF27" s="31" t="n"/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-2.88</v>
      </c>
      <c r="AD31" s="29" t="n">
        <v>-2.88</v>
      </c>
      <c r="AE31" s="30">
        <f>subQ!AE17</f>
        <v/>
      </c>
      <c r="AF31" s="29" t="n">
        <v>-2.88</v>
      </c>
      <c r="AG31" s="29" t="n">
        <v>-2.88</v>
      </c>
      <c r="AH31" s="29" t="n">
        <v>-2.88</v>
      </c>
      <c r="AI31" s="29" t="n">
        <v>-2.88</v>
      </c>
      <c r="AJ31" s="30">
        <f>subQ!AJ17</f>
        <v/>
      </c>
      <c r="AK31" s="29" t="n">
        <v>-2.88</v>
      </c>
      <c r="AL31" s="29" t="n">
        <v>-2.88</v>
      </c>
      <c r="AM31" s="29" t="n">
        <v>-2.88</v>
      </c>
      <c r="AN31" s="29" t="n">
        <v>-2.88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0.196128</v>
      </c>
      <c r="AD32" s="24" t="n">
        <v>0.196091</v>
      </c>
      <c r="AE32" s="25">
        <f>IFERROR(subQ!AE19/subQ!AE18,"")</f>
        <v/>
      </c>
      <c r="AF32" s="24" t="n">
        <v>0.196062</v>
      </c>
      <c r="AG32" s="24" t="n">
        <v>0.19603</v>
      </c>
      <c r="AH32" s="24" t="n">
        <v>0.196055</v>
      </c>
      <c r="AI32" s="24" t="n">
        <v>0.196066</v>
      </c>
      <c r="AJ32" s="25">
        <f>IFERROR(subQ!AJ19/subQ!AJ18,"")</f>
        <v/>
      </c>
      <c r="AK32" s="24" t="n">
        <v>0.196055</v>
      </c>
      <c r="AL32" s="24" t="n">
        <v>0.19608</v>
      </c>
      <c r="AM32" s="24" t="n">
        <v>0.196086</v>
      </c>
      <c r="AN32" s="24" t="n">
        <v>0.196051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drv:중단사업이익</t>
        </is>
      </c>
      <c r="B34" s="2" t="inlineStr">
        <is>
          <t>yoy</t>
        </is>
      </c>
      <c r="C34" t="inlineStr">
        <is>
          <t>중단사업이익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3e-06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IFERROR(subQ!E25+subQ!G20-subQ!G25,"")</f>
        <v/>
      </c>
      <c r="H36" s="26">
        <f>IFERROR(subQ!G25+subQ!H20-subQ!H25,"")</f>
        <v/>
      </c>
      <c r="I36" s="26">
        <f>IFERROR(subQ!H25+subQ!I20-subQ!I25,"")</f>
        <v/>
      </c>
      <c r="J36" s="26">
        <f>IFERROR(subQ!I25+subQ!J20-subQ!J25,"")</f>
        <v/>
      </c>
      <c r="K36" s="27" t="n"/>
      <c r="L36" s="26">
        <f>IFERROR(subQ!J25+subQ!L20-subQ!L25,"")</f>
        <v/>
      </c>
      <c r="M36" s="26">
        <f>IFERROR(subQ!L25+subQ!M20-subQ!M25,"")</f>
        <v/>
      </c>
      <c r="N36" s="26">
        <f>IFERROR(subQ!M25+subQ!N20-subQ!N25,"")</f>
        <v/>
      </c>
      <c r="O36" s="26">
        <f>IFERROR(subQ!N25+subQ!O20-subQ!O25,"")</f>
        <v/>
      </c>
      <c r="P36" s="27" t="n"/>
      <c r="Q36" s="26">
        <f>IFERROR(subQ!O25+subQ!Q20-subQ!Q25,"")</f>
        <v/>
      </c>
      <c r="R36" s="26">
        <f>IFERROR(subQ!Q25+subQ!R20-subQ!R25,"")</f>
        <v/>
      </c>
      <c r="S36" s="26">
        <f>IFERROR(subQ!R25+subQ!S20-subQ!S25,"")</f>
        <v/>
      </c>
      <c r="T36" s="26">
        <f>IFERROR(subQ!S25+subQ!T20-subQ!T25,"")</f>
        <v/>
      </c>
      <c r="U36" s="27" t="n"/>
      <c r="V36" s="26">
        <f>IFERROR(subQ!T25+subQ!V20-subQ!V25,"")</f>
        <v/>
      </c>
      <c r="W36" s="26">
        <f>IFERROR(subQ!V25+subQ!W20-subQ!W25,"")</f>
        <v/>
      </c>
      <c r="X36" s="26">
        <f>IFERROR(subQ!W25+subQ!X20-subQ!X25,"")</f>
        <v/>
      </c>
      <c r="Y36" s="26">
        <f>IFERROR(subQ!X25+subQ!Y20-subQ!Y25,"")</f>
        <v/>
      </c>
      <c r="Z36" s="27" t="n"/>
      <c r="AA36" s="26">
        <f>IFERROR(subQ!Y25+subQ!AA20-subQ!AA25,"")</f>
        <v/>
      </c>
      <c r="AB36" s="28">
        <f>IFERROR(subQ!AA25+subQ!AB20-subQ!AB25,"")</f>
        <v/>
      </c>
      <c r="AC36" s="29" t="n">
        <v>0.008500000000000001</v>
      </c>
      <c r="AD36" s="29" t="n">
        <v>-0.01</v>
      </c>
      <c r="AE36" s="30" t="n"/>
      <c r="AF36" s="29" t="n">
        <v>0</v>
      </c>
      <c r="AG36" s="29" t="n">
        <v>0.01</v>
      </c>
      <c r="AH36" s="29" t="n">
        <v>0</v>
      </c>
      <c r="AI36" s="29" t="n">
        <v>0</v>
      </c>
      <c r="AJ36" s="30" t="n"/>
      <c r="AK36" s="29" t="n">
        <v>0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IFERROR(subQ!E26+subQ!G21-subQ!G26,"")</f>
        <v/>
      </c>
      <c r="H37" s="26">
        <f>IFERROR(subQ!G26+subQ!H21-subQ!H26,"")</f>
        <v/>
      </c>
      <c r="I37" s="26">
        <f>IFERROR(subQ!H26+subQ!I21-subQ!I26,"")</f>
        <v/>
      </c>
      <c r="J37" s="26">
        <f>IFERROR(subQ!I26+subQ!J21-subQ!J26,"")</f>
        <v/>
      </c>
      <c r="K37" s="27" t="n"/>
      <c r="L37" s="26">
        <f>IFERROR(subQ!J26+subQ!L21-subQ!L26,"")</f>
        <v/>
      </c>
      <c r="M37" s="26">
        <f>IFERROR(subQ!L26+subQ!M21-subQ!M26,"")</f>
        <v/>
      </c>
      <c r="N37" s="26">
        <f>IFERROR(subQ!M26+subQ!N21-subQ!N26,"")</f>
        <v/>
      </c>
      <c r="O37" s="26">
        <f>IFERROR(subQ!N26+subQ!O21-subQ!O26,"")</f>
        <v/>
      </c>
      <c r="P37" s="27" t="n"/>
      <c r="Q37" s="26">
        <f>IFERROR(subQ!O26+subQ!Q21-subQ!Q26,"")</f>
        <v/>
      </c>
      <c r="R37" s="26">
        <f>IFERROR(subQ!Q26+subQ!R21-subQ!R26,"")</f>
        <v/>
      </c>
      <c r="S37" s="26">
        <f>IFERROR(subQ!R26+subQ!S21-subQ!S26,"")</f>
        <v/>
      </c>
      <c r="T37" s="26">
        <f>IFERROR(subQ!S26+subQ!T21-subQ!T26,"")</f>
        <v/>
      </c>
      <c r="U37" s="27" t="n"/>
      <c r="V37" s="26">
        <f>IFERROR(subQ!T26+subQ!V21-subQ!V26,"")</f>
        <v/>
      </c>
      <c r="W37" s="26">
        <f>IFERROR(subQ!V26+subQ!W21-subQ!W26,"")</f>
        <v/>
      </c>
      <c r="X37" s="26">
        <f>IFERROR(subQ!W26+subQ!X21-subQ!X26,"")</f>
        <v/>
      </c>
      <c r="Y37" s="26">
        <f>IFERROR(subQ!X26+subQ!Y21-subQ!Y26,"")</f>
        <v/>
      </c>
      <c r="Z37" s="27" t="n"/>
      <c r="AA37" s="26">
        <f>IFERROR(subQ!Y26+subQ!AA21-subQ!AA26,"")</f>
        <v/>
      </c>
      <c r="AB37" s="28">
        <f>IFERROR(subQ!AA26+subQ!AB21-subQ!AB26,"")</f>
        <v/>
      </c>
      <c r="AC37" s="29" t="n">
        <v>0.008500000000000001</v>
      </c>
      <c r="AD37" s="29" t="n">
        <v>-0.01</v>
      </c>
      <c r="AE37" s="30" t="n"/>
      <c r="AF37" s="29" t="n">
        <v>0</v>
      </c>
      <c r="AG37" s="29" t="n">
        <v>0.01</v>
      </c>
      <c r="AH37" s="29" t="n">
        <v>0</v>
      </c>
      <c r="AI37" s="29" t="n">
        <v>0</v>
      </c>
      <c r="AJ37" s="30" t="n"/>
      <c r="AK37" s="29" t="n">
        <v>0</v>
      </c>
      <c r="AL37" s="29" t="n">
        <v>0</v>
      </c>
      <c r="AM37" s="29" t="n">
        <v>0</v>
      </c>
      <c r="AN37" s="29" t="n">
        <v>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-0.577146</v>
      </c>
      <c r="AD39" s="24" t="n">
        <v>-1.546426</v>
      </c>
      <c r="AE39" s="25" t="n"/>
      <c r="AF39" s="24" t="n">
        <v>2.455263</v>
      </c>
      <c r="AG39" s="24" t="n">
        <v>0.8768359999999999</v>
      </c>
      <c r="AH39" s="24" t="n">
        <v>0.465449</v>
      </c>
      <c r="AI39" s="24" t="n">
        <v>0.362198</v>
      </c>
      <c r="AJ39" s="25" t="n"/>
      <c r="AK39" s="24" t="n">
        <v>0.235516</v>
      </c>
      <c r="AL39" s="24" t="n">
        <v>0.239088</v>
      </c>
      <c r="AM39" s="24" t="n">
        <v>0.193258</v>
      </c>
      <c r="AN39" s="24" t="n">
        <v>0.181226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0.485835</v>
      </c>
      <c r="AD40" s="24" t="n">
        <v>0.370387</v>
      </c>
      <c r="AE40" s="25" t="n"/>
      <c r="AF40" s="24" t="n">
        <v>0.234551</v>
      </c>
      <c r="AG40" s="24" t="n">
        <v>0.234374</v>
      </c>
      <c r="AH40" s="24" t="n">
        <v>0.189213</v>
      </c>
      <c r="AI40" s="24" t="n">
        <v>0.181398</v>
      </c>
      <c r="AJ40" s="25" t="n"/>
      <c r="AK40" s="24" t="n">
        <v>0.136036</v>
      </c>
      <c r="AL40" s="24" t="n">
        <v>0.150159</v>
      </c>
      <c r="AM40" s="24" t="n">
        <v>0.130773</v>
      </c>
      <c r="AN40" s="24" t="n">
        <v>0.129407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-0.260016</v>
      </c>
      <c r="AD46" s="24" t="n">
        <v>-0.603882</v>
      </c>
      <c r="AE46" s="25" t="n"/>
      <c r="AF46" s="24" t="n">
        <v>-0.558719</v>
      </c>
      <c r="AG46" s="24" t="n">
        <v>-0.52135</v>
      </c>
      <c r="AH46" s="24" t="n">
        <v>-0.296178</v>
      </c>
      <c r="AI46" s="24" t="n">
        <v>-0.166887</v>
      </c>
      <c r="AJ46" s="25" t="n"/>
      <c r="AK46" s="24" t="n">
        <v>-0.194892</v>
      </c>
      <c r="AL46" s="24" t="n">
        <v>-0.188489</v>
      </c>
      <c r="AM46" s="24" t="n">
        <v>-0.199095</v>
      </c>
      <c r="AN46" s="24" t="n">
        <v>-0.203498</v>
      </c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-0.503597</v>
      </c>
      <c r="AD47" s="24" t="n">
        <v>-0.60303</v>
      </c>
      <c r="AE47" s="25" t="n"/>
      <c r="AF47" s="24" t="n">
        <v>-0.531599</v>
      </c>
      <c r="AG47" s="24" t="n">
        <v>-0.439252</v>
      </c>
      <c r="AH47" s="24" t="n">
        <v>-0.173913</v>
      </c>
      <c r="AI47" s="24" t="n">
        <v>-0.175573</v>
      </c>
      <c r="AJ47" s="25" t="n"/>
      <c r="AK47" s="24" t="n">
        <v>-0.174603</v>
      </c>
      <c r="AL47" s="24" t="n">
        <v>-0.175</v>
      </c>
      <c r="AM47" s="24" t="n">
        <v>-0.175439</v>
      </c>
      <c r="AN47" s="24" t="n">
        <v>-0.175926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0.131353</v>
      </c>
      <c r="AD49" s="24" t="n">
        <v>0.13135</v>
      </c>
      <c r="AE49" s="25">
        <f>IFERROR(subQ!AE40/subQ!AE39,"")</f>
        <v/>
      </c>
      <c r="AF49" s="24" t="n">
        <v>0.131349</v>
      </c>
      <c r="AG49" s="24" t="n">
        <v>0.131347</v>
      </c>
      <c r="AH49" s="24" t="n">
        <v>0.131347</v>
      </c>
      <c r="AI49" s="24" t="n">
        <v>0.131345</v>
      </c>
      <c r="AJ49" s="25">
        <f>IFERROR(subQ!AJ40/subQ!AJ39,"")</f>
        <v/>
      </c>
      <c r="AK49" s="24" t="n">
        <v>0.131341</v>
      </c>
      <c r="AL49" s="24" t="n">
        <v>0.131345</v>
      </c>
      <c r="AM49" s="24" t="n">
        <v>0.131348</v>
      </c>
      <c r="AN49" s="24" t="n">
        <v>0.131344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4390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12.1</v>
      </c>
      <c r="E55" s="2" t="inlineStr">
        <is>
          <t>PER 밴드 하단(배) — hist_quarterly(분기 평균가 ÷ TTM EPS, 16분기, 25/50/75 백분위)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13.4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17.4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0.1961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0.0562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4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4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4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4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4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4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4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4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4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4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4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4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4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4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4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4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4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4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4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4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4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4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4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4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4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4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4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4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4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4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4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4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4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4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4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4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4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4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4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4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4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4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4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4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4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4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4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4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4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4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4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4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4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4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4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4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4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4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4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4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4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4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4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4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4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4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4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4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4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4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4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4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4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4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4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4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4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4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4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4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4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4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4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4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4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4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4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4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4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4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4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4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4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4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4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4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4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4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4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4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4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4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4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4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4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4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4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4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4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4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4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4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4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4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4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4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4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4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4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4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4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4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4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4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4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4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4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4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4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4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4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4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4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4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4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4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4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4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4" t="n">
        <v>28000</v>
      </c>
      <c r="Q36" s="18" t="n">
        <v>27500</v>
      </c>
      <c r="R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4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4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4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4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4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4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4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4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4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4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4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4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4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4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4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4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4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4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4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4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4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4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4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4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4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4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4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4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4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4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4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4" t="n">
        <v>0</v>
      </c>
      <c r="J45" s="18" t="n">
        <v>0</v>
      </c>
      <c r="K45" s="34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4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4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4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4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4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4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4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4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4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4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4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4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4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4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4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4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4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4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4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4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4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4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4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4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4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4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4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4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4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4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4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4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4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4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4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60602.03</v>
      </c>
      <c r="F53" s="34" t="n">
        <v>60602.03</v>
      </c>
      <c r="G53" s="18" t="n">
        <v>8051.28</v>
      </c>
      <c r="H53" s="18" t="n">
        <v>7632.04</v>
      </c>
      <c r="I53" s="18" t="n">
        <v>7215.81</v>
      </c>
      <c r="J53" s="18" t="n">
        <v>36028.39</v>
      </c>
      <c r="K53" s="34" t="n">
        <v>36028.39</v>
      </c>
      <c r="L53" s="18" t="n">
        <v>53591.1</v>
      </c>
      <c r="M53" s="18" t="n">
        <v>53148.72</v>
      </c>
      <c r="N53" s="18" t="n">
        <v>51500</v>
      </c>
      <c r="O53" s="18" t="n">
        <v>52500</v>
      </c>
      <c r="P53" s="34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4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4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41525.42</v>
      </c>
      <c r="F54" s="34" t="n">
        <v>41525.42</v>
      </c>
      <c r="G54" s="18" t="n">
        <v>-9225.219999999999</v>
      </c>
      <c r="H54" s="18" t="n">
        <v>-11458.35</v>
      </c>
      <c r="I54" s="18" t="n">
        <v>-13008.65</v>
      </c>
      <c r="J54" s="18" t="n">
        <v>12987.09</v>
      </c>
      <c r="K54" s="34" t="n">
        <v>12987.09</v>
      </c>
      <c r="L54" s="18" t="n">
        <v>33954.9</v>
      </c>
      <c r="M54" s="18" t="n">
        <v>28651.75</v>
      </c>
      <c r="N54" s="18" t="n">
        <v>41693.26</v>
      </c>
      <c r="O54" s="18" t="n">
        <v>40369.17</v>
      </c>
      <c r="P54" s="34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4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4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4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4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4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4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4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23000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1500</v>
      </c>
      <c r="P57" s="34" t="n">
        <v>1500</v>
      </c>
      <c r="Q57" s="18" t="n">
        <v>2000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T60" s="18" t="n">
        <v>155.64</v>
      </c>
      <c r="U60" s="34" t="n">
        <v>155.64</v>
      </c>
      <c r="V60" s="18" t="n">
        <v>104.5</v>
      </c>
      <c r="W60" s="18" t="n">
        <v>0</v>
      </c>
      <c r="X60" s="18" t="n">
        <v>0</v>
      </c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28703.88</v>
      </c>
      <c r="F61" s="9" t="n"/>
      <c r="G61" s="18" t="n">
        <v>32359.2</v>
      </c>
      <c r="H61" s="18" t="n">
        <v>36067.54</v>
      </c>
      <c r="I61" s="18" t="n">
        <v>30491.74</v>
      </c>
      <c r="J61" s="18" t="n">
        <v>32649.54</v>
      </c>
      <c r="K61" s="34" t="n">
        <v>131568.02</v>
      </c>
      <c r="L61" s="18" t="n">
        <v>32778.49</v>
      </c>
      <c r="M61" s="18" t="n">
        <v>43012.3</v>
      </c>
      <c r="N61" s="18" t="n">
        <v>37846.16</v>
      </c>
      <c r="O61" s="18" t="n">
        <v>43895.77</v>
      </c>
      <c r="P61" s="34" t="n">
        <v>157532.72</v>
      </c>
      <c r="Q61" s="18" t="n">
        <v>43114.87</v>
      </c>
      <c r="R61" s="18" t="n">
        <v>55166.38</v>
      </c>
      <c r="S61" s="18" t="n">
        <v>52216.5</v>
      </c>
      <c r="T61" s="18" t="n">
        <v>56807.56</v>
      </c>
      <c r="U61" s="34" t="n">
        <v>207305.31</v>
      </c>
      <c r="V61" s="18" t="n">
        <v>51042.98</v>
      </c>
      <c r="W61" s="18" t="n">
        <v>51535.9</v>
      </c>
      <c r="X61" s="18" t="n">
        <v>52821.77</v>
      </c>
      <c r="Y61" s="18" t="n">
        <v>51855.12</v>
      </c>
      <c r="Z61" s="34" t="n">
        <v>207255.77</v>
      </c>
      <c r="AA61" s="18" t="n">
        <v>56445.9</v>
      </c>
      <c r="AB61" s="19" t="n">
        <v>59676.89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26509.8</v>
      </c>
      <c r="F62" s="9" t="n"/>
      <c r="G62" s="18" t="n">
        <v>29068.94</v>
      </c>
      <c r="H62" s="18" t="n">
        <v>29141.37</v>
      </c>
      <c r="I62" s="18" t="n">
        <v>26719.38</v>
      </c>
      <c r="J62" s="18" t="n">
        <v>29077.43</v>
      </c>
      <c r="K62" s="34" t="n">
        <v>114007.12</v>
      </c>
      <c r="L62" s="18" t="n">
        <v>28120.59</v>
      </c>
      <c r="M62" s="18" t="n">
        <v>35754.67</v>
      </c>
      <c r="N62" s="18" t="n">
        <v>32558.75</v>
      </c>
      <c r="O62" s="18" t="n">
        <v>38407.05</v>
      </c>
      <c r="P62" s="34" t="n">
        <v>134841.06</v>
      </c>
      <c r="Q62" s="18" t="n">
        <v>36393.95</v>
      </c>
      <c r="R62" s="18" t="n">
        <v>43476.7</v>
      </c>
      <c r="S62" s="18" t="n">
        <v>39667.56</v>
      </c>
      <c r="T62" s="18" t="n">
        <v>47977.91</v>
      </c>
      <c r="U62" s="34" t="n">
        <v>167516.12</v>
      </c>
      <c r="V62" s="18" t="n">
        <v>40199.67</v>
      </c>
      <c r="W62" s="18" t="n">
        <v>42273.82</v>
      </c>
      <c r="X62" s="18" t="n">
        <v>43411.18</v>
      </c>
      <c r="Y62" s="18" t="n">
        <v>45180.91</v>
      </c>
      <c r="Z62" s="34" t="n">
        <v>171065.58</v>
      </c>
      <c r="AA62" s="18" t="n">
        <v>45437.28</v>
      </c>
      <c r="AB62" s="19" t="n">
        <v>47543.89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2194.08</v>
      </c>
      <c r="F63" s="9" t="n"/>
      <c r="G63" s="18" t="n">
        <v>3290.26</v>
      </c>
      <c r="H63" s="18" t="n">
        <v>6926.17</v>
      </c>
      <c r="I63" s="18" t="n">
        <v>3772.36</v>
      </c>
      <c r="J63" s="18" t="n">
        <v>3572.11</v>
      </c>
      <c r="K63" s="34" t="n">
        <v>17560.9</v>
      </c>
      <c r="L63" s="18" t="n">
        <v>4657.9</v>
      </c>
      <c r="M63" s="18" t="n">
        <v>7257.63</v>
      </c>
      <c r="N63" s="18" t="n">
        <v>5287.41</v>
      </c>
      <c r="O63" s="18" t="n">
        <v>5488.72</v>
      </c>
      <c r="P63" s="34" t="n">
        <v>22691.66</v>
      </c>
      <c r="Q63" s="18" t="n">
        <v>6720.92</v>
      </c>
      <c r="R63" s="18" t="n">
        <v>11689.67</v>
      </c>
      <c r="S63" s="18" t="n">
        <v>12548.94</v>
      </c>
      <c r="T63" s="18" t="n">
        <v>8829.65</v>
      </c>
      <c r="U63" s="34" t="n">
        <v>39789.18</v>
      </c>
      <c r="V63" s="18" t="n">
        <v>10843.31</v>
      </c>
      <c r="W63" s="18" t="n">
        <v>9262.08</v>
      </c>
      <c r="X63" s="18" t="n">
        <v>9410.59</v>
      </c>
      <c r="Y63" s="18" t="n">
        <v>6674.21</v>
      </c>
      <c r="Z63" s="34" t="n">
        <v>36190.19</v>
      </c>
      <c r="AA63" s="18" t="n">
        <v>11008.62</v>
      </c>
      <c r="AB63" s="19" t="n">
        <v>12133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2444.45</v>
      </c>
      <c r="F64" s="9" t="n"/>
      <c r="G64" s="18" t="n">
        <v>1924.13</v>
      </c>
      <c r="H64" s="18" t="n">
        <v>2055.31</v>
      </c>
      <c r="I64" s="18" t="n">
        <v>2139.68</v>
      </c>
      <c r="J64" s="18" t="n">
        <v>2261.61</v>
      </c>
      <c r="K64" s="34" t="n">
        <v>8380.73</v>
      </c>
      <c r="L64" s="18" t="n">
        <v>2165.4</v>
      </c>
      <c r="M64" s="18" t="n">
        <v>2402.78</v>
      </c>
      <c r="N64" s="18" t="n">
        <v>2277.73</v>
      </c>
      <c r="O64" s="18" t="n">
        <v>3082.37</v>
      </c>
      <c r="P64" s="34" t="n">
        <v>9928.280000000001</v>
      </c>
      <c r="Q64" s="18" t="n">
        <v>2523.25</v>
      </c>
      <c r="R64" s="18" t="n">
        <v>4798.82</v>
      </c>
      <c r="S64" s="18" t="n">
        <v>2850.61</v>
      </c>
      <c r="T64" s="18" t="n">
        <v>4748.91</v>
      </c>
      <c r="U64" s="34" t="n">
        <v>14921.59</v>
      </c>
      <c r="V64" s="18" t="n">
        <v>2646.42</v>
      </c>
      <c r="W64" s="18" t="n">
        <v>3023.35</v>
      </c>
      <c r="X64" s="18" t="n">
        <v>3002.96</v>
      </c>
      <c r="Y64" s="18" t="n">
        <v>3239.03</v>
      </c>
      <c r="Z64" s="34" t="n">
        <v>11911.76</v>
      </c>
      <c r="AA64" s="18" t="n">
        <v>3027.99</v>
      </c>
      <c r="AB64" s="19" t="n">
        <v>3313.72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-250.36</v>
      </c>
      <c r="F65" s="9" t="n"/>
      <c r="G65" s="18" t="n">
        <v>1366.14</v>
      </c>
      <c r="H65" s="18" t="n">
        <v>4870.87</v>
      </c>
      <c r="I65" s="18" t="n">
        <v>1632.68</v>
      </c>
      <c r="J65" s="18" t="n">
        <v>1310.5</v>
      </c>
      <c r="K65" s="34" t="n">
        <v>9180.190000000001</v>
      </c>
      <c r="L65" s="18" t="n">
        <v>2492.5</v>
      </c>
      <c r="M65" s="18" t="n">
        <v>4854.85</v>
      </c>
      <c r="N65" s="18" t="n">
        <v>3009.69</v>
      </c>
      <c r="O65" s="18" t="n">
        <v>2406.36</v>
      </c>
      <c r="P65" s="34" t="n">
        <v>12763.4</v>
      </c>
      <c r="Q65" s="18" t="n">
        <v>4197.66</v>
      </c>
      <c r="R65" s="18" t="n">
        <v>6890.85</v>
      </c>
      <c r="S65" s="18" t="n">
        <v>9698.32</v>
      </c>
      <c r="T65" s="18" t="n">
        <v>4080.74</v>
      </c>
      <c r="U65" s="34" t="n">
        <v>24867.57</v>
      </c>
      <c r="V65" s="18" t="n">
        <v>8196.889999999999</v>
      </c>
      <c r="W65" s="18" t="n">
        <v>6238.73</v>
      </c>
      <c r="X65" s="18" t="n">
        <v>6407.63</v>
      </c>
      <c r="Y65" s="18" t="n">
        <v>3435.18</v>
      </c>
      <c r="Z65" s="34" t="n">
        <v>24278.43</v>
      </c>
      <c r="AA65" s="18" t="n">
        <v>7980.64</v>
      </c>
      <c r="AB65" s="19" t="n">
        <v>8819.280000000001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101.68</v>
      </c>
      <c r="F66" s="9" t="n"/>
      <c r="G66" s="18" t="n">
        <v>84.76000000000001</v>
      </c>
      <c r="H66" s="18" t="n">
        <v>94.78</v>
      </c>
      <c r="I66" s="18" t="n">
        <v>116.16</v>
      </c>
      <c r="J66" s="18" t="n">
        <v>427.68</v>
      </c>
      <c r="K66" s="34" t="n">
        <v>723.38</v>
      </c>
      <c r="L66" s="18" t="n">
        <v>271.51</v>
      </c>
      <c r="M66" s="18" t="n">
        <v>188.52</v>
      </c>
      <c r="N66" s="18" t="n">
        <v>282.8</v>
      </c>
      <c r="O66" s="18" t="n">
        <v>260.3</v>
      </c>
      <c r="P66" s="34" t="n">
        <v>1003.13</v>
      </c>
      <c r="Q66" s="18" t="n">
        <v>500.63</v>
      </c>
      <c r="R66" s="18" t="n">
        <v>294.81</v>
      </c>
      <c r="S66" s="18" t="n">
        <v>319.02</v>
      </c>
      <c r="T66" s="18" t="n">
        <v>470.88</v>
      </c>
      <c r="U66" s="34" t="n">
        <v>1585.34</v>
      </c>
      <c r="V66" s="18" t="n">
        <v>324.91</v>
      </c>
      <c r="W66" s="18" t="n">
        <v>343.13</v>
      </c>
      <c r="X66" s="18" t="n">
        <v>260.27</v>
      </c>
      <c r="Y66" s="18" t="n">
        <v>318.41</v>
      </c>
      <c r="Z66" s="34" t="n">
        <v>1246.72</v>
      </c>
      <c r="AA66" s="18" t="n">
        <v>503.92</v>
      </c>
      <c r="AB66" s="19" t="n">
        <v>403.25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683.23</v>
      </c>
      <c r="F67" s="9" t="n"/>
      <c r="G67" s="18" t="n">
        <v>622.03</v>
      </c>
      <c r="H67" s="18" t="n">
        <v>514.1799999999999</v>
      </c>
      <c r="I67" s="18" t="n">
        <v>557.12</v>
      </c>
      <c r="J67" s="18" t="n">
        <v>930.6900000000001</v>
      </c>
      <c r="K67" s="34" t="n">
        <v>2624.02</v>
      </c>
      <c r="L67" s="18" t="n">
        <v>751.5</v>
      </c>
      <c r="M67" s="18" t="n">
        <v>827.42</v>
      </c>
      <c r="N67" s="18" t="n">
        <v>915.4400000000001</v>
      </c>
      <c r="O67" s="18" t="n">
        <v>1110.81</v>
      </c>
      <c r="P67" s="34" t="n">
        <v>3605.17</v>
      </c>
      <c r="Q67" s="18" t="n">
        <v>727.8099999999999</v>
      </c>
      <c r="R67" s="18" t="n">
        <v>655.25</v>
      </c>
      <c r="S67" s="18" t="n">
        <v>635.87</v>
      </c>
      <c r="T67" s="18" t="n">
        <v>740.74</v>
      </c>
      <c r="U67" s="34" t="n">
        <v>2759.67</v>
      </c>
      <c r="V67" s="18" t="n">
        <v>567.95</v>
      </c>
      <c r="W67" s="18" t="n">
        <v>476.73</v>
      </c>
      <c r="X67" s="18" t="n">
        <v>361.58</v>
      </c>
      <c r="Y67" s="18" t="n">
        <v>410.92</v>
      </c>
      <c r="Z67" s="34" t="n">
        <v>1817.18</v>
      </c>
      <c r="AA67" s="18" t="n">
        <v>398.18</v>
      </c>
      <c r="AB67" s="19" t="n">
        <v>304.08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-157.17</v>
      </c>
      <c r="F68" s="9" t="n"/>
      <c r="G68" s="18" t="n">
        <v>-70.97</v>
      </c>
      <c r="H68" s="18" t="n">
        <v>-28.21</v>
      </c>
      <c r="I68" s="18" t="n">
        <v>-88.86</v>
      </c>
      <c r="J68" s="18" t="n">
        <v>-1516.68</v>
      </c>
      <c r="K68" s="34" t="n">
        <v>-1704.72</v>
      </c>
      <c r="L68" s="18" t="n">
        <v>-137.36</v>
      </c>
      <c r="M68" s="18" t="n">
        <v>79.13</v>
      </c>
      <c r="N68" s="18" t="n">
        <v>-39.29</v>
      </c>
      <c r="O68" s="18" t="n">
        <v>133.41</v>
      </c>
      <c r="P68" s="34" t="n">
        <v>35.89</v>
      </c>
      <c r="Q68" s="18" t="n">
        <v>-89.77</v>
      </c>
      <c r="R68" s="18" t="n">
        <v>-506.98</v>
      </c>
      <c r="S68" s="18" t="n">
        <v>-331.73</v>
      </c>
      <c r="T68" s="18" t="n">
        <v>-418.24</v>
      </c>
      <c r="U68" s="34" t="n">
        <v>-1346.72</v>
      </c>
      <c r="V68" s="18" t="n">
        <v>-243.75</v>
      </c>
      <c r="Z68" s="9" t="n"/>
      <c r="AB68" s="19" t="n">
        <v>279.54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4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4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4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1039.11</v>
      </c>
      <c r="F70" s="9" t="n"/>
      <c r="G70" s="18" t="n">
        <v>740.89</v>
      </c>
      <c r="H70" s="18" t="n">
        <v>2069.54</v>
      </c>
      <c r="I70" s="18" t="n">
        <v>508.01</v>
      </c>
      <c r="J70" s="18" t="n">
        <v>338.57</v>
      </c>
      <c r="K70" s="34" t="n">
        <v>3657.01</v>
      </c>
      <c r="L70" s="18" t="n">
        <v>471.66</v>
      </c>
      <c r="M70" s="18" t="n">
        <v>472.48</v>
      </c>
      <c r="N70" s="18" t="n">
        <v>454.94</v>
      </c>
      <c r="O70" s="18" t="n">
        <v>471.37</v>
      </c>
      <c r="P70" s="34" t="n">
        <v>1870.45</v>
      </c>
      <c r="Q70" s="18" t="n">
        <v>484.17</v>
      </c>
      <c r="R70" s="18" t="n">
        <v>534.37</v>
      </c>
      <c r="S70" s="18" t="n">
        <v>419.22</v>
      </c>
      <c r="T70" s="18" t="n">
        <v>675.66</v>
      </c>
      <c r="U70" s="34" t="n">
        <v>2113.42</v>
      </c>
      <c r="V70" s="18" t="n">
        <v>448.88</v>
      </c>
      <c r="W70" s="18" t="n">
        <v>1538.5</v>
      </c>
      <c r="X70" s="18" t="n">
        <v>3364.6</v>
      </c>
      <c r="Y70" s="18" t="n">
        <v>676.13</v>
      </c>
      <c r="Z70" s="34" t="n">
        <v>6028.11</v>
      </c>
      <c r="AA70" s="18" t="n">
        <v>703.26</v>
      </c>
      <c r="AB70" s="19" t="n">
        <v>740.76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129.73</v>
      </c>
      <c r="F71" s="9" t="n"/>
      <c r="G71" s="18" t="n">
        <v>55.63</v>
      </c>
      <c r="H71" s="18" t="n">
        <v>65.26000000000001</v>
      </c>
      <c r="I71" s="18" t="n">
        <v>112.97</v>
      </c>
      <c r="J71" s="18" t="n">
        <v>257.87</v>
      </c>
      <c r="K71" s="34" t="n">
        <v>491.73</v>
      </c>
      <c r="L71" s="18" t="n">
        <v>85.08</v>
      </c>
      <c r="M71" s="18" t="n">
        <v>107.99</v>
      </c>
      <c r="N71" s="18" t="n">
        <v>136.43</v>
      </c>
      <c r="O71" s="18" t="n">
        <v>2649.09</v>
      </c>
      <c r="P71" s="34" t="n">
        <v>2978.59</v>
      </c>
      <c r="Q71" s="18" t="n">
        <v>146.81</v>
      </c>
      <c r="R71" s="18" t="n">
        <v>807.3099999999999</v>
      </c>
      <c r="S71" s="18" t="n">
        <v>231.18</v>
      </c>
      <c r="T71" s="18" t="n">
        <v>386.68</v>
      </c>
      <c r="U71" s="34" t="n">
        <v>1571.98</v>
      </c>
      <c r="V71" s="18" t="n">
        <v>81.18000000000001</v>
      </c>
      <c r="W71" s="18" t="n">
        <v>255.31</v>
      </c>
      <c r="X71" s="18" t="n">
        <v>1258.31</v>
      </c>
      <c r="Y71" s="18" t="n">
        <v>228.92</v>
      </c>
      <c r="Z71" s="34" t="n">
        <v>1823.72</v>
      </c>
      <c r="AA71" s="18" t="n">
        <v>149.27</v>
      </c>
      <c r="AB71" s="19" t="n">
        <v>277.06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-79.70999999999999</v>
      </c>
      <c r="F72" s="9" t="n"/>
      <c r="G72" s="18" t="n">
        <v>1443.16</v>
      </c>
      <c r="H72" s="18" t="n">
        <v>6427.53</v>
      </c>
      <c r="I72" s="18" t="n">
        <v>1497.9</v>
      </c>
      <c r="J72" s="18" t="n">
        <v>-628.49</v>
      </c>
      <c r="K72" s="34" t="n">
        <v>8740.1</v>
      </c>
      <c r="L72" s="18" t="n">
        <v>2261.74</v>
      </c>
      <c r="M72" s="18" t="n">
        <v>4659.59</v>
      </c>
      <c r="N72" s="18" t="n">
        <v>2656.27</v>
      </c>
      <c r="O72" s="18" t="n">
        <v>-560.25</v>
      </c>
      <c r="P72" s="34" t="n">
        <v>9017.35</v>
      </c>
      <c r="Q72" s="18" t="n">
        <v>4397.61</v>
      </c>
      <c r="R72" s="18" t="n">
        <v>6764.46</v>
      </c>
      <c r="S72" s="18" t="n">
        <v>9901.25</v>
      </c>
      <c r="T72" s="18" t="n">
        <v>4518.11</v>
      </c>
      <c r="U72" s="34" t="n">
        <v>25581.43</v>
      </c>
      <c r="V72" s="18" t="n">
        <v>8565.309999999999</v>
      </c>
      <c r="W72" s="18" t="n">
        <v>7665.31</v>
      </c>
      <c r="X72" s="18" t="n">
        <v>8669.57</v>
      </c>
      <c r="Y72" s="18" t="n">
        <v>4012.19</v>
      </c>
      <c r="Z72" s="34" t="n">
        <v>28912.38</v>
      </c>
      <c r="AA72" s="18" t="n">
        <v>8834.01</v>
      </c>
      <c r="AB72" s="19" t="n">
        <v>9661.700000000001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367.76</v>
      </c>
      <c r="F73" s="9" t="n"/>
      <c r="G73" s="18" t="n">
        <v>243.77</v>
      </c>
      <c r="H73" s="18" t="n">
        <v>342.32</v>
      </c>
      <c r="I73" s="18" t="n">
        <v>113.18</v>
      </c>
      <c r="J73" s="18" t="n">
        <v>-330.91</v>
      </c>
      <c r="K73" s="34" t="n">
        <v>368.36</v>
      </c>
      <c r="L73" s="18" t="n">
        <v>63.03</v>
      </c>
      <c r="M73" s="18" t="n">
        <v>176.74</v>
      </c>
      <c r="N73" s="18" t="n">
        <v>80.73999999999999</v>
      </c>
      <c r="O73" s="18" t="n">
        <v>-212.01</v>
      </c>
      <c r="P73" s="34" t="n">
        <v>108.5</v>
      </c>
      <c r="Q73" s="18" t="n">
        <v>320.24</v>
      </c>
      <c r="R73" s="18" t="n">
        <v>83.66</v>
      </c>
      <c r="S73" s="18" t="n">
        <v>1884.93</v>
      </c>
      <c r="T73" s="18" t="n">
        <v>-2760.86</v>
      </c>
      <c r="U73" s="34" t="n">
        <v>-472.03</v>
      </c>
      <c r="V73" s="18" t="n">
        <v>1653.37</v>
      </c>
      <c r="W73" s="18" t="n">
        <v>3561.91</v>
      </c>
      <c r="X73" s="18" t="n">
        <v>2797.76</v>
      </c>
      <c r="Y73" s="18" t="n">
        <v>1756.83</v>
      </c>
      <c r="Z73" s="34" t="n">
        <v>9769.870000000001</v>
      </c>
      <c r="AA73" s="18" t="n">
        <v>2678.25</v>
      </c>
      <c r="AB73" s="19" t="n">
        <v>2877.51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-447.47</v>
      </c>
      <c r="F74" s="9" t="n"/>
      <c r="G74" s="18" t="n">
        <v>1199.39</v>
      </c>
      <c r="H74" s="18" t="n">
        <v>6085.21</v>
      </c>
      <c r="I74" s="18" t="n">
        <v>1384.72</v>
      </c>
      <c r="J74" s="18" t="n">
        <v>-297.59</v>
      </c>
      <c r="K74" s="34" t="n">
        <v>8371.73</v>
      </c>
      <c r="L74" s="18" t="n">
        <v>2198.71</v>
      </c>
      <c r="M74" s="18" t="n">
        <v>4482.86</v>
      </c>
      <c r="N74" s="18" t="n">
        <v>2575.53</v>
      </c>
      <c r="O74" s="18" t="n">
        <v>-348.24</v>
      </c>
      <c r="P74" s="34" t="n">
        <v>8908.860000000001</v>
      </c>
      <c r="Q74" s="18" t="n">
        <v>4077.37</v>
      </c>
      <c r="R74" s="18" t="n">
        <v>6680.8</v>
      </c>
      <c r="S74" s="18" t="n">
        <v>8016.33</v>
      </c>
      <c r="T74" s="18" t="n">
        <v>7278.97</v>
      </c>
      <c r="U74" s="34" t="n">
        <v>26053.47</v>
      </c>
      <c r="V74" s="18" t="n">
        <v>6911.93</v>
      </c>
      <c r="W74" s="18" t="n">
        <v>4103.4</v>
      </c>
      <c r="X74" s="18" t="n">
        <v>5871.81</v>
      </c>
      <c r="Y74" s="18" t="n">
        <v>2255.36</v>
      </c>
      <c r="Z74" s="34" t="n">
        <v>19142.5</v>
      </c>
      <c r="AA74" s="18" t="n">
        <v>6155.76</v>
      </c>
      <c r="AB74" s="19" t="n">
        <v>6784.19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E75" s="18" t="n">
        <v>0</v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M75" s="18" t="n">
        <v>0</v>
      </c>
      <c r="N75" s="18" t="n">
        <v>0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-447.47</v>
      </c>
      <c r="F76" s="9" t="n"/>
      <c r="G76" s="18" t="n">
        <v>1199.39</v>
      </c>
      <c r="H76" s="18" t="n">
        <v>6085.21</v>
      </c>
      <c r="I76" s="18" t="n">
        <v>1384.72</v>
      </c>
      <c r="J76" s="18" t="n">
        <v>-297.59</v>
      </c>
      <c r="K76" s="34" t="n">
        <v>8371.73</v>
      </c>
      <c r="L76" s="18" t="n">
        <v>2198.71</v>
      </c>
      <c r="M76" s="18" t="n">
        <v>4482.86</v>
      </c>
      <c r="N76" s="18" t="n">
        <v>2575.53</v>
      </c>
      <c r="O76" s="18" t="n">
        <v>-348.24</v>
      </c>
      <c r="P76" s="34" t="n">
        <v>8908.860000000001</v>
      </c>
      <c r="Q76" s="18" t="n">
        <v>4077.37</v>
      </c>
      <c r="R76" s="18" t="n">
        <v>6680.8</v>
      </c>
      <c r="S76" s="18" t="n">
        <v>8016.33</v>
      </c>
      <c r="T76" s="18" t="n">
        <v>7278.97</v>
      </c>
      <c r="U76" s="34" t="n">
        <v>26053.47</v>
      </c>
      <c r="V76" s="18" t="n">
        <v>6911.93</v>
      </c>
      <c r="W76" s="18" t="n">
        <v>4103.4</v>
      </c>
      <c r="X76" s="18" t="n">
        <v>5871.81</v>
      </c>
      <c r="Y76" s="18" t="n">
        <v>2255.36</v>
      </c>
      <c r="Z76" s="34" t="n">
        <v>19142.5</v>
      </c>
      <c r="AA76" s="18" t="n">
        <v>6155.76</v>
      </c>
      <c r="AB76" s="19" t="n">
        <v>6784.19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9879.219999999999</v>
      </c>
      <c r="F77" s="9" t="n"/>
      <c r="G77" s="18" t="n">
        <v>1178.6</v>
      </c>
      <c r="H77" s="18" t="n">
        <v>6141.53</v>
      </c>
      <c r="I77" s="18" t="n">
        <v>1366.86</v>
      </c>
      <c r="J77" s="18" t="n">
        <v>876.6900000000001</v>
      </c>
      <c r="K77" s="34" t="n">
        <v>9563.68</v>
      </c>
      <c r="L77" s="18" t="n">
        <v>2246.99</v>
      </c>
      <c r="M77" s="18" t="n">
        <v>4407.28</v>
      </c>
      <c r="N77" s="18" t="n">
        <v>2559.21</v>
      </c>
      <c r="O77" s="18" t="n">
        <v>-4854.47</v>
      </c>
      <c r="P77" s="34" t="n">
        <v>4359.01</v>
      </c>
      <c r="Q77" s="18" t="n">
        <v>4090.81</v>
      </c>
      <c r="R77" s="18" t="n">
        <v>6669.57</v>
      </c>
      <c r="S77" s="18" t="n">
        <v>7996.36</v>
      </c>
      <c r="T77" s="18" t="n">
        <v>6770.75</v>
      </c>
      <c r="U77" s="34" t="n">
        <v>25527.49</v>
      </c>
      <c r="V77" s="18" t="n">
        <v>6921.95</v>
      </c>
      <c r="W77" s="18" t="n">
        <v>4009.22</v>
      </c>
      <c r="X77" s="18" t="n">
        <v>5926.09</v>
      </c>
      <c r="Y77" s="18" t="n">
        <v>2911.82</v>
      </c>
      <c r="Z77" s="34" t="n">
        <v>19769.08</v>
      </c>
      <c r="AA77" s="18" t="n">
        <v>6260.56</v>
      </c>
      <c r="AB77" s="19" t="n">
        <v>6889.33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-447.47</v>
      </c>
      <c r="F78" s="9" t="n"/>
      <c r="G78" s="18" t="n">
        <v>1199.39</v>
      </c>
      <c r="H78" s="18" t="n">
        <v>6085.21</v>
      </c>
      <c r="I78" s="18" t="n">
        <v>1384.72</v>
      </c>
      <c r="J78" s="18" t="n">
        <v>-297.59</v>
      </c>
      <c r="K78" s="34" t="n">
        <v>8371.73</v>
      </c>
      <c r="L78" s="18" t="n">
        <v>2198.71</v>
      </c>
      <c r="M78" s="18" t="n">
        <v>4482.86</v>
      </c>
      <c r="N78" s="18" t="n">
        <v>2575.53</v>
      </c>
      <c r="O78" s="18" t="n">
        <v>-348.24</v>
      </c>
      <c r="P78" s="34" t="n">
        <v>8908.860000000001</v>
      </c>
      <c r="Q78" s="18" t="n">
        <v>4077.37</v>
      </c>
      <c r="R78" s="18" t="n">
        <v>6680.8</v>
      </c>
      <c r="S78" s="18" t="n">
        <v>8016.33</v>
      </c>
      <c r="T78" s="18" t="n">
        <v>7278.97</v>
      </c>
      <c r="U78" s="34" t="n">
        <v>26053.47</v>
      </c>
      <c r="V78" s="18" t="n">
        <v>6911.93</v>
      </c>
      <c r="W78" s="18" t="n">
        <v>6680.8</v>
      </c>
      <c r="X78" s="18" t="n">
        <v>5871.81</v>
      </c>
      <c r="Y78" s="18" t="n">
        <v>2255.36</v>
      </c>
      <c r="Z78" s="34" t="n">
        <v>21719.9</v>
      </c>
      <c r="AA78" s="18" t="n">
        <v>6155.76</v>
      </c>
      <c r="AB78" s="19" t="n">
        <v>6155.76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0</v>
      </c>
      <c r="J79" s="18" t="n">
        <v>0</v>
      </c>
      <c r="K79" s="34" t="n">
        <v>0</v>
      </c>
      <c r="M79" s="18" t="n">
        <v>0</v>
      </c>
      <c r="N79" s="18" t="n">
        <v>0</v>
      </c>
      <c r="O79" s="18" t="n">
        <v>0</v>
      </c>
      <c r="P79" s="9" t="n"/>
      <c r="Q79" s="18" t="n">
        <v>0</v>
      </c>
      <c r="R79" s="18" t="n">
        <v>0</v>
      </c>
      <c r="S79" s="18" t="n">
        <v>0</v>
      </c>
      <c r="T79" s="18" t="n">
        <v>0</v>
      </c>
      <c r="U79" s="34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-581.55</v>
      </c>
      <c r="F80" s="9" t="n"/>
      <c r="G80" s="18" t="n">
        <v>-537.27</v>
      </c>
      <c r="H80" s="18" t="n">
        <v>-419.4</v>
      </c>
      <c r="I80" s="18" t="n">
        <v>-440.96</v>
      </c>
      <c r="J80" s="18" t="n">
        <v>-503.01</v>
      </c>
      <c r="K80" s="34" t="n">
        <v>-1900.64</v>
      </c>
      <c r="L80" s="18" t="n">
        <v>-479.99</v>
      </c>
      <c r="M80" s="18" t="n">
        <v>-638.9</v>
      </c>
      <c r="N80" s="18" t="n">
        <v>-632.64</v>
      </c>
      <c r="O80" s="18" t="n">
        <v>-850.51</v>
      </c>
      <c r="P80" s="34" t="n">
        <v>-2602.04</v>
      </c>
      <c r="Q80" s="18" t="n">
        <v>-227.18</v>
      </c>
      <c r="R80" s="18" t="n">
        <v>-360.44</v>
      </c>
      <c r="S80" s="18" t="n">
        <v>-316.85</v>
      </c>
      <c r="T80" s="18" t="n">
        <v>-269.86</v>
      </c>
      <c r="U80" s="34" t="n">
        <v>-1174.33</v>
      </c>
      <c r="V80" s="18" t="n">
        <v>-243.04</v>
      </c>
      <c r="W80" s="18" t="n">
        <v>-133.6</v>
      </c>
      <c r="X80" s="18" t="n">
        <v>-101.31</v>
      </c>
      <c r="Y80" s="18" t="n">
        <v>-92.51000000000001</v>
      </c>
      <c r="Z80" s="34" t="n">
        <v>-570.46</v>
      </c>
      <c r="AA80" s="18" t="n">
        <v>105.74</v>
      </c>
      <c r="AB80" s="19" t="n">
        <v>99.17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909.38</v>
      </c>
      <c r="F81" s="9" t="n"/>
      <c r="G81" s="18" t="n">
        <v>685.26</v>
      </c>
      <c r="H81" s="18" t="n">
        <v>2004.28</v>
      </c>
      <c r="I81" s="18" t="n">
        <v>395.04</v>
      </c>
      <c r="J81" s="18" t="n">
        <v>80.7</v>
      </c>
      <c r="K81" s="34" t="n">
        <v>3165.28</v>
      </c>
      <c r="L81" s="18" t="n">
        <v>386.58</v>
      </c>
      <c r="M81" s="18" t="n">
        <v>364.49</v>
      </c>
      <c r="N81" s="18" t="n">
        <v>318.51</v>
      </c>
      <c r="O81" s="18" t="n">
        <v>-2177.72</v>
      </c>
      <c r="P81" s="34" t="n">
        <v>-1108.14</v>
      </c>
      <c r="Q81" s="18" t="n">
        <v>337.36</v>
      </c>
      <c r="R81" s="18" t="n">
        <v>-272.94</v>
      </c>
      <c r="S81" s="18" t="n">
        <v>188.04</v>
      </c>
      <c r="T81" s="18" t="n">
        <v>288.98</v>
      </c>
      <c r="U81" s="34" t="n">
        <v>541.4400000000001</v>
      </c>
      <c r="V81" s="18" t="n">
        <v>367.7</v>
      </c>
      <c r="W81" s="18" t="n">
        <v>1283.19</v>
      </c>
      <c r="X81" s="18" t="n">
        <v>2106.29</v>
      </c>
      <c r="Y81" s="18" t="n">
        <v>447.21</v>
      </c>
      <c r="Z81" s="34" t="n">
        <v>4204.39</v>
      </c>
      <c r="AA81" s="18" t="n">
        <v>553.99</v>
      </c>
      <c r="AB81" s="19" t="n">
        <v>463.7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52.2</v>
      </c>
      <c r="H82" s="18" t="n">
        <v>41.87</v>
      </c>
      <c r="I82" s="18" t="n">
        <v>55.77</v>
      </c>
      <c r="J82" s="18" t="n">
        <v>427.81</v>
      </c>
      <c r="K82" s="34" t="n">
        <v>577.65</v>
      </c>
      <c r="L82" s="18" t="n">
        <v>139.54</v>
      </c>
      <c r="M82" s="18" t="n">
        <v>121.09</v>
      </c>
      <c r="N82" s="18" t="n">
        <v>214.6</v>
      </c>
      <c r="O82" s="18" t="n">
        <v>262.1</v>
      </c>
      <c r="P82" s="34" t="n">
        <v>737.33</v>
      </c>
      <c r="Q82" s="18" t="n">
        <v>279.71</v>
      </c>
      <c r="R82" s="18" t="n">
        <v>270.92</v>
      </c>
      <c r="S82" s="18" t="n">
        <v>289.77</v>
      </c>
      <c r="T82" s="18" t="n">
        <v>420.55</v>
      </c>
      <c r="U82" s="34" t="n">
        <v>1260.95</v>
      </c>
      <c r="V82" s="18" t="n">
        <v>238.34</v>
      </c>
      <c r="W82" s="18" t="n">
        <v>228.12</v>
      </c>
      <c r="X82" s="18" t="n">
        <v>231.32</v>
      </c>
      <c r="Y82" s="18" t="n">
        <v>276.72</v>
      </c>
      <c r="Z82" s="34" t="n">
        <v>974.5</v>
      </c>
      <c r="AA82" s="18" t="n">
        <v>303.67</v>
      </c>
      <c r="AB82" s="19" t="n">
        <v>275.17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577.99</v>
      </c>
      <c r="H83" s="18" t="n">
        <v>547.1</v>
      </c>
      <c r="I83" s="18" t="n">
        <v>555.99</v>
      </c>
      <c r="J83" s="18" t="n">
        <v>827.5700000000001</v>
      </c>
      <c r="K83" s="34" t="n">
        <v>2508.65</v>
      </c>
      <c r="L83" s="18" t="n">
        <v>743.04</v>
      </c>
      <c r="M83" s="18" t="n">
        <v>823.83</v>
      </c>
      <c r="N83" s="18" t="n">
        <v>920.86</v>
      </c>
      <c r="O83" s="18" t="n">
        <v>1012.65</v>
      </c>
      <c r="P83" s="34" t="n">
        <v>3500.38</v>
      </c>
      <c r="Q83" s="18" t="n">
        <v>727.8099999999999</v>
      </c>
      <c r="R83" s="18" t="n">
        <v>654.12</v>
      </c>
      <c r="S83" s="18" t="n">
        <v>582.83</v>
      </c>
      <c r="T83" s="18" t="n">
        <v>548.0700000000001</v>
      </c>
      <c r="U83" s="34" t="n">
        <v>2512.83</v>
      </c>
      <c r="V83" s="18" t="n">
        <v>517.66</v>
      </c>
      <c r="W83" s="18" t="n">
        <v>424.3</v>
      </c>
      <c r="X83" s="18" t="n">
        <v>384.74</v>
      </c>
      <c r="Y83" s="18" t="n">
        <v>386.05</v>
      </c>
      <c r="Z83" s="34" t="n">
        <v>1712.75</v>
      </c>
      <c r="AA83" s="18" t="n">
        <v>398.18</v>
      </c>
      <c r="AB83" s="19" t="n">
        <v>302.33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32.11</v>
      </c>
      <c r="H84" s="18" t="n">
        <v>53.36</v>
      </c>
      <c r="I84" s="18" t="n">
        <v>60.26</v>
      </c>
      <c r="J84" s="18" t="n">
        <v>0</v>
      </c>
      <c r="K84" s="34" t="n">
        <v>145.73</v>
      </c>
      <c r="L84" s="18" t="n">
        <v>113.53</v>
      </c>
      <c r="M84" s="18" t="n">
        <v>85.88</v>
      </c>
      <c r="N84" s="18" t="n">
        <v>66.08</v>
      </c>
      <c r="O84" s="18" t="n">
        <v>0.3</v>
      </c>
      <c r="P84" s="34" t="n">
        <v>265.79</v>
      </c>
      <c r="Q84" s="18" t="n">
        <v>167.47</v>
      </c>
      <c r="R84" s="18" t="n">
        <v>15.34</v>
      </c>
      <c r="S84" s="18" t="n">
        <v>1.24</v>
      </c>
      <c r="T84" s="18" t="n">
        <v>52.59</v>
      </c>
      <c r="U84" s="34" t="n">
        <v>236.64</v>
      </c>
      <c r="V84" s="18" t="n">
        <v>36.26</v>
      </c>
      <c r="W84" s="18" t="n">
        <v>9.27</v>
      </c>
      <c r="X84" s="18" t="n">
        <v>28.28</v>
      </c>
      <c r="Y84" s="18" t="n">
        <v>47.92</v>
      </c>
      <c r="Z84" s="34" t="n">
        <v>121.73</v>
      </c>
      <c r="AA84" s="18" t="n">
        <v>10.56</v>
      </c>
      <c r="AB84" s="19" t="n">
        <v>241.22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0.33</v>
      </c>
      <c r="H85" s="18" t="n">
        <v>0</v>
      </c>
      <c r="I85" s="18" t="n">
        <v>1.52</v>
      </c>
      <c r="J85" s="18" t="n">
        <v>74.34</v>
      </c>
      <c r="K85" s="34" t="n">
        <v>76.19</v>
      </c>
      <c r="L85" s="18" t="n">
        <v>5.45</v>
      </c>
      <c r="M85" s="18" t="n">
        <v>0.99</v>
      </c>
      <c r="N85" s="18" t="n">
        <v>0.18</v>
      </c>
      <c r="O85" s="18" t="n">
        <v>0.82</v>
      </c>
      <c r="P85" s="34" t="n">
        <v>7.44</v>
      </c>
      <c r="R85" s="18" t="n">
        <v>1.12</v>
      </c>
      <c r="S85" s="18" t="n">
        <v>36.33</v>
      </c>
      <c r="T85" s="18" t="n">
        <v>0</v>
      </c>
      <c r="U85" s="9" t="n"/>
      <c r="V85" s="18" t="n">
        <v>11.51</v>
      </c>
      <c r="W85" s="18" t="n">
        <v>45.7</v>
      </c>
      <c r="X85" s="18" t="n">
        <v>21.98</v>
      </c>
      <c r="Y85" s="18" t="n">
        <v>0</v>
      </c>
      <c r="Z85" s="34" t="n">
        <v>79.19</v>
      </c>
      <c r="AB85" s="19" t="n">
        <v>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0.45</v>
      </c>
      <c r="H86" s="18" t="n">
        <v>-0.45</v>
      </c>
      <c r="I86" s="18" t="n">
        <v>0.13</v>
      </c>
      <c r="K86" s="9" t="n"/>
      <c r="L86" s="18" t="n">
        <v>18.44</v>
      </c>
      <c r="M86" s="18" t="n">
        <v>-18.44</v>
      </c>
      <c r="N86" s="18" t="n">
        <v>2.12</v>
      </c>
      <c r="P86" s="9" t="n"/>
      <c r="Q86" s="18" t="n">
        <v>9.550000000000001</v>
      </c>
      <c r="R86" s="18" t="n">
        <v>-4.41</v>
      </c>
      <c r="S86" s="18" t="n">
        <v>-5.14</v>
      </c>
      <c r="U86" s="9" t="n"/>
      <c r="V86" s="18" t="n">
        <v>0.41</v>
      </c>
      <c r="W86" s="18" t="n">
        <v>-0.41</v>
      </c>
      <c r="X86" s="18" t="n">
        <v>4.53</v>
      </c>
      <c r="Z86" s="9" t="n"/>
      <c r="AA86" s="18" t="n">
        <v>189.69</v>
      </c>
      <c r="AB86" s="19" t="n">
        <v>-113.13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G87" s="18" t="n">
        <v>33.97</v>
      </c>
      <c r="H87" s="18" t="n">
        <v>-33.58</v>
      </c>
      <c r="I87" s="18" t="n">
        <v>-0.39</v>
      </c>
      <c r="K87" s="9" t="n"/>
      <c r="L87" s="18" t="n">
        <v>3.01</v>
      </c>
      <c r="M87" s="18" t="n">
        <v>2.6</v>
      </c>
      <c r="N87" s="18" t="n">
        <v>-5.6</v>
      </c>
      <c r="P87" s="9" t="n"/>
      <c r="S87" s="18" t="n">
        <v>16.71</v>
      </c>
      <c r="U87" s="9" t="n"/>
      <c r="W87" s="18" t="n">
        <v>45.53</v>
      </c>
      <c r="X87" s="18" t="n">
        <v>-45.14</v>
      </c>
      <c r="Y87" s="18" t="n">
        <v>24.86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18" t="n">
        <v>-525.79</v>
      </c>
      <c r="H88" s="18" t="n">
        <v>-505.23</v>
      </c>
      <c r="I88" s="18" t="n">
        <v>-500.22</v>
      </c>
      <c r="J88" s="18" t="n">
        <v>-399.76</v>
      </c>
      <c r="K88" s="34" t="n">
        <v>-1931</v>
      </c>
      <c r="L88" s="18" t="n">
        <v>-603.5</v>
      </c>
      <c r="M88" s="18" t="n">
        <v>-702.74</v>
      </c>
      <c r="N88" s="18" t="n">
        <v>-706.26</v>
      </c>
      <c r="O88" s="18" t="n">
        <v>-750.55</v>
      </c>
      <c r="P88" s="34" t="n">
        <v>-2763.05</v>
      </c>
      <c r="Q88" s="18" t="n">
        <v>-448.1</v>
      </c>
      <c r="R88" s="18" t="n">
        <v>-383.2</v>
      </c>
      <c r="S88" s="18" t="n">
        <v>-293.06</v>
      </c>
      <c r="T88" s="18" t="n">
        <v>-127.52</v>
      </c>
      <c r="U88" s="34" t="n">
        <v>-1251.88</v>
      </c>
      <c r="V88" s="18" t="n">
        <v>-279.32</v>
      </c>
      <c r="W88" s="18" t="n">
        <v>-196.18</v>
      </c>
      <c r="X88" s="18" t="n">
        <v>-153.42</v>
      </c>
      <c r="Y88" s="18" t="n">
        <v>-109.33</v>
      </c>
      <c r="Z88" s="34" t="n">
        <v>-738.25</v>
      </c>
      <c r="AA88" s="18" t="n">
        <v>-94.51000000000001</v>
      </c>
      <c r="AB88" s="19" t="n">
        <v>-27.16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파생상품이익</t>
        </is>
      </c>
      <c r="F89" s="9" t="n"/>
      <c r="K89" s="9" t="n"/>
      <c r="P89" s="9" t="n"/>
      <c r="Q89" s="18" t="n">
        <v>32.13</v>
      </c>
      <c r="R89" s="18" t="n">
        <v>12.95</v>
      </c>
      <c r="S89" s="18" t="n">
        <v>-33.02</v>
      </c>
      <c r="U89" s="9" t="n"/>
      <c r="W89" s="18" t="n">
        <v>33.28</v>
      </c>
      <c r="X89" s="18" t="n">
        <v>-31.6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파생상품손실</t>
        </is>
      </c>
      <c r="F90" s="9" t="n"/>
      <c r="K90" s="9" t="n"/>
      <c r="P90" s="9" t="n"/>
      <c r="U90" s="9" t="n"/>
      <c r="V90" s="18" t="n">
        <v>38.78</v>
      </c>
      <c r="W90" s="18" t="n">
        <v>-38.78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-1779.07</v>
      </c>
      <c r="F91" s="9" t="n"/>
      <c r="G91" s="18" t="n">
        <v>3263.95</v>
      </c>
      <c r="H91" s="18" t="n">
        <v>2341.78</v>
      </c>
      <c r="I91" s="18" t="n">
        <v>1650.59</v>
      </c>
      <c r="J91" s="18" t="n">
        <v>3888.35</v>
      </c>
      <c r="K91" s="34" t="n">
        <v>11144.67</v>
      </c>
      <c r="L91" s="18" t="n">
        <v>11144.67</v>
      </c>
      <c r="M91" s="18" t="n">
        <v>-5961.12</v>
      </c>
      <c r="N91" s="18" t="n">
        <v>6184.69</v>
      </c>
      <c r="O91" s="18" t="n">
        <v>7580.66</v>
      </c>
      <c r="P91" s="34" t="n">
        <v>18948.9</v>
      </c>
      <c r="Q91" s="18" t="n">
        <v>2232.06</v>
      </c>
      <c r="R91" s="18" t="n">
        <v>7101.31</v>
      </c>
      <c r="S91" s="18" t="n">
        <v>9836.959999999999</v>
      </c>
      <c r="T91" s="18" t="n">
        <v>6015.92</v>
      </c>
      <c r="U91" s="34" t="n">
        <v>25186.25</v>
      </c>
      <c r="V91" s="18" t="n">
        <v>6171.15</v>
      </c>
      <c r="W91" s="18" t="n">
        <v>8438.110000000001</v>
      </c>
      <c r="X91" s="18" t="n">
        <v>10748.71</v>
      </c>
      <c r="Y91" s="18" t="n">
        <v>2551.65</v>
      </c>
      <c r="Z91" s="34" t="n">
        <v>27909.62</v>
      </c>
      <c r="AA91" s="18" t="n">
        <v>2309.68</v>
      </c>
      <c r="AB91" s="19" t="n">
        <v>8919.75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법인세납부(CF)</t>
        </is>
      </c>
      <c r="E92" s="18" t="n">
        <v>-6.17</v>
      </c>
      <c r="F92" s="9" t="n"/>
      <c r="G92" s="18" t="n">
        <v>-63.68</v>
      </c>
      <c r="H92" s="18" t="n">
        <v>-118.02</v>
      </c>
      <c r="I92" s="18" t="n">
        <v>-370.72</v>
      </c>
      <c r="J92" s="18" t="n">
        <v>-15.98</v>
      </c>
      <c r="K92" s="34" t="n">
        <v>-568.4</v>
      </c>
      <c r="L92" s="18" t="n">
        <v>-568.4</v>
      </c>
      <c r="M92" s="18" t="n">
        <v>171.99</v>
      </c>
      <c r="N92" s="18" t="n">
        <v>-296.51</v>
      </c>
      <c r="O92" s="18" t="n">
        <v>-26.91</v>
      </c>
      <c r="P92" s="34" t="n">
        <v>-719.83</v>
      </c>
      <c r="Q92" s="18" t="n">
        <v>-33.41</v>
      </c>
      <c r="R92" s="18" t="n">
        <v>-42.86</v>
      </c>
      <c r="S92" s="18" t="n">
        <v>-113.05</v>
      </c>
      <c r="T92" s="18" t="n">
        <v>-119.54</v>
      </c>
      <c r="U92" s="34" t="n">
        <v>-308.86</v>
      </c>
      <c r="V92" s="18" t="n">
        <v>-851.88</v>
      </c>
      <c r="W92" s="18" t="n">
        <v>-1009.19</v>
      </c>
      <c r="X92" s="18" t="n">
        <v>-471.78</v>
      </c>
      <c r="Y92" s="18" t="n">
        <v>-472.04</v>
      </c>
      <c r="Z92" s="34" t="n">
        <v>-2804.89</v>
      </c>
      <c r="AA92" s="18" t="n">
        <v>-2509.37</v>
      </c>
      <c r="AB92" s="19" t="n">
        <v>-3081.19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투자활동으로인한현금흐름</t>
        </is>
      </c>
      <c r="E93" s="18" t="n">
        <v>-323.49</v>
      </c>
      <c r="F93" s="9" t="n"/>
      <c r="G93" s="18" t="n">
        <v>2423.43</v>
      </c>
      <c r="H93" s="18" t="n">
        <v>-243.1</v>
      </c>
      <c r="I93" s="18" t="n">
        <v>-247.25</v>
      </c>
      <c r="J93" s="18" t="n">
        <v>-4592.53</v>
      </c>
      <c r="K93" s="34" t="n">
        <v>-2659.45</v>
      </c>
      <c r="L93" s="18" t="n">
        <v>-2659.45</v>
      </c>
      <c r="M93" s="18" t="n">
        <v>-428.02</v>
      </c>
      <c r="N93" s="18" t="n">
        <v>-4665.26</v>
      </c>
      <c r="O93" s="18" t="n">
        <v>-3033.98</v>
      </c>
      <c r="P93" s="34" t="n">
        <v>-10786.71</v>
      </c>
      <c r="Q93" s="18" t="n">
        <v>-5730.31</v>
      </c>
      <c r="R93" s="18" t="n">
        <v>-2392.38</v>
      </c>
      <c r="S93" s="18" t="n">
        <v>-6221.4</v>
      </c>
      <c r="T93" s="18" t="n">
        <v>3031.72</v>
      </c>
      <c r="U93" s="34" t="n">
        <v>-11312.37</v>
      </c>
      <c r="V93" s="18" t="n">
        <v>-610.6799999999999</v>
      </c>
      <c r="W93" s="18" t="n">
        <v>-2046.58</v>
      </c>
      <c r="X93" s="18" t="n">
        <v>-8569.879999999999</v>
      </c>
      <c r="Y93" s="18" t="n">
        <v>-4588.41</v>
      </c>
      <c r="Z93" s="34" t="n">
        <v>-15815.55</v>
      </c>
      <c r="AA93" s="18" t="n">
        <v>1910.8</v>
      </c>
      <c r="AB93" s="19" t="n">
        <v>-2391.87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E94" s="18" t="n">
        <v>1.54</v>
      </c>
      <c r="F94" s="9" t="n"/>
      <c r="G94" s="18" t="n">
        <v>50.6</v>
      </c>
      <c r="H94" s="18" t="n">
        <v>2.38</v>
      </c>
      <c r="I94" s="18" t="n">
        <v>1.33</v>
      </c>
      <c r="J94" s="18" t="n">
        <v>2.55</v>
      </c>
      <c r="K94" s="34" t="n">
        <v>56.86</v>
      </c>
      <c r="L94" s="18" t="n">
        <v>56.86</v>
      </c>
      <c r="N94" s="18" t="n">
        <v>2.65</v>
      </c>
      <c r="O94" s="18" t="n">
        <v>1.99</v>
      </c>
      <c r="P94" s="9" t="n"/>
      <c r="Q94" s="18" t="n">
        <v>0.59</v>
      </c>
      <c r="R94" s="18" t="n">
        <v>2.13</v>
      </c>
      <c r="S94" s="18" t="n">
        <v>1.35</v>
      </c>
      <c r="T94" s="18" t="n">
        <v>0.68</v>
      </c>
      <c r="U94" s="34" t="n">
        <v>4.75</v>
      </c>
      <c r="V94" s="18" t="n">
        <v>0.5</v>
      </c>
      <c r="W94" s="18" t="n">
        <v>2.5</v>
      </c>
      <c r="X94" s="18" t="n">
        <v>5.97</v>
      </c>
      <c r="Y94" s="18" t="n">
        <v>1.36</v>
      </c>
      <c r="Z94" s="34" t="n">
        <v>10.33</v>
      </c>
      <c r="AA94" s="18" t="n">
        <v>3.47</v>
      </c>
      <c r="AB94" s="19" t="n">
        <v>0.77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유형자산의증가</t>
        </is>
      </c>
      <c r="E95" s="18" t="n">
        <v>75.34999999999999</v>
      </c>
      <c r="F95" s="9" t="n"/>
      <c r="G95" s="18" t="n">
        <v>48.49</v>
      </c>
      <c r="H95" s="18" t="n">
        <v>119.08</v>
      </c>
      <c r="I95" s="18" t="n">
        <v>109.52</v>
      </c>
      <c r="J95" s="18" t="n">
        <v>111.25</v>
      </c>
      <c r="K95" s="34" t="n">
        <v>388.34</v>
      </c>
      <c r="L95" s="18" t="n">
        <v>388.34</v>
      </c>
      <c r="M95" s="18" t="n">
        <v>53.35</v>
      </c>
      <c r="N95" s="18" t="n">
        <v>1183.77</v>
      </c>
      <c r="O95" s="18" t="n">
        <v>242.65</v>
      </c>
      <c r="P95" s="34" t="n">
        <v>1868.11</v>
      </c>
      <c r="Q95" s="18" t="n">
        <v>333.29</v>
      </c>
      <c r="R95" s="18" t="n">
        <v>223.82</v>
      </c>
      <c r="S95" s="18" t="n">
        <v>100.7</v>
      </c>
      <c r="T95" s="18" t="n">
        <v>4802.07</v>
      </c>
      <c r="U95" s="34" t="n">
        <v>5459.88</v>
      </c>
      <c r="V95" s="18" t="n">
        <v>99.31</v>
      </c>
      <c r="W95" s="18" t="n">
        <v>3178.34</v>
      </c>
      <c r="X95" s="18" t="n">
        <v>282.95</v>
      </c>
      <c r="Y95" s="18" t="n">
        <v>5534.56</v>
      </c>
      <c r="Z95" s="34" t="n">
        <v>9095.16</v>
      </c>
      <c r="AA95" s="18" t="n">
        <v>191.43</v>
      </c>
      <c r="AB95" s="19" t="n">
        <v>551.8099999999999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CAPEX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150.4</v>
      </c>
      <c r="K96" s="34" t="n">
        <v>427.49</v>
      </c>
      <c r="L96" s="18" t="n">
        <v>427.49</v>
      </c>
      <c r="M96" s="18" t="n">
        <v>16.08</v>
      </c>
      <c r="N96" s="18" t="n">
        <v>1183.77</v>
      </c>
      <c r="O96" s="18" t="n">
        <v>242.65</v>
      </c>
      <c r="P96" s="34" t="n">
        <v>1869.99</v>
      </c>
      <c r="Q96" s="18" t="n">
        <v>799.3099999999999</v>
      </c>
      <c r="R96" s="18" t="n">
        <v>233.13</v>
      </c>
      <c r="S96" s="18" t="n">
        <v>100.7</v>
      </c>
      <c r="T96" s="18" t="n">
        <v>4802.07</v>
      </c>
      <c r="U96" s="34" t="n">
        <v>5935.21</v>
      </c>
      <c r="V96" s="18" t="n">
        <v>99.31</v>
      </c>
      <c r="W96" s="18" t="n">
        <v>3178.34</v>
      </c>
      <c r="X96" s="18" t="n">
        <v>282.95</v>
      </c>
      <c r="Y96" s="18" t="n">
        <v>5571.78</v>
      </c>
      <c r="Z96" s="34" t="n">
        <v>9132.379999999999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-409.86</v>
      </c>
      <c r="F97" s="9" t="n"/>
      <c r="G97" s="18" t="n">
        <v>-5046.53</v>
      </c>
      <c r="H97" s="18" t="n">
        <v>-415.91</v>
      </c>
      <c r="I97" s="18" t="n">
        <v>-416.84</v>
      </c>
      <c r="J97" s="18" t="n">
        <v>-683.66</v>
      </c>
      <c r="K97" s="34" t="n">
        <v>-6562.94</v>
      </c>
      <c r="L97" s="18" t="n">
        <v>-6562.94</v>
      </c>
      <c r="M97" s="18" t="n">
        <v>3228.42</v>
      </c>
      <c r="N97" s="18" t="n">
        <v>-396.02</v>
      </c>
      <c r="O97" s="18" t="n">
        <v>-2215.06</v>
      </c>
      <c r="P97" s="34" t="n">
        <v>-5945.6</v>
      </c>
      <c r="Q97" s="18" t="n">
        <v>-117.44</v>
      </c>
      <c r="R97" s="18" t="n">
        <v>-2896.64</v>
      </c>
      <c r="S97" s="18" t="n">
        <v>-5121.12</v>
      </c>
      <c r="T97" s="18" t="n">
        <v>-3123</v>
      </c>
      <c r="U97" s="34" t="n">
        <v>-11258.2</v>
      </c>
      <c r="V97" s="18" t="n">
        <v>-124.91</v>
      </c>
      <c r="W97" s="18" t="n">
        <v>-8681.58</v>
      </c>
      <c r="X97" s="18" t="n">
        <v>-128.82</v>
      </c>
      <c r="Y97" s="18" t="n">
        <v>-130.83</v>
      </c>
      <c r="Z97" s="34" t="n">
        <v>-9066.139999999999</v>
      </c>
      <c r="AA97" s="18" t="n">
        <v>-12.23</v>
      </c>
      <c r="AB97" s="19" t="n">
        <v>-15012.43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0</v>
      </c>
      <c r="K98" s="34" t="n">
        <v>0</v>
      </c>
      <c r="O98" s="18" t="n">
        <v>0</v>
      </c>
      <c r="P98" s="9" t="n"/>
      <c r="Q98" s="18" t="n">
        <v>23000</v>
      </c>
      <c r="R98" s="18" t="n">
        <v>29000</v>
      </c>
      <c r="T98" s="18" t="n">
        <v>0</v>
      </c>
      <c r="U98" s="9" t="n"/>
      <c r="V98" s="18" t="n">
        <v>5000</v>
      </c>
      <c r="W98" s="18" t="n">
        <v>35000</v>
      </c>
      <c r="X98" s="18" t="n">
        <v>0</v>
      </c>
      <c r="Y98" s="18" t="n">
        <v>0</v>
      </c>
      <c r="Z98" s="34" t="n">
        <v>40000</v>
      </c>
      <c r="AA98" s="18" t="n">
        <v>0</v>
      </c>
      <c r="AB98" s="19" t="n">
        <v>10000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135</v>
      </c>
      <c r="H99" s="18" t="n">
        <v>0</v>
      </c>
      <c r="I99" s="18" t="n">
        <v>0</v>
      </c>
      <c r="J99" s="18" t="n">
        <v>765</v>
      </c>
      <c r="K99" s="34" t="n">
        <v>900</v>
      </c>
      <c r="L99" s="18" t="n">
        <v>900</v>
      </c>
      <c r="M99" s="18" t="n">
        <v>6100</v>
      </c>
      <c r="O99" s="18" t="n">
        <v>0</v>
      </c>
      <c r="P99" s="9" t="n"/>
      <c r="Q99" s="18" t="n">
        <v>23000</v>
      </c>
      <c r="R99" s="18" t="n">
        <v>0</v>
      </c>
      <c r="T99" s="18" t="n">
        <v>3000</v>
      </c>
      <c r="U99" s="9" t="n"/>
      <c r="V99" s="18" t="n">
        <v>5000</v>
      </c>
      <c r="W99" s="18" t="n">
        <v>39000</v>
      </c>
      <c r="X99" s="18" t="n">
        <v>0</v>
      </c>
      <c r="Y99" s="18" t="n">
        <v>0</v>
      </c>
      <c r="Z99" s="34" t="n">
        <v>44000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30000</v>
      </c>
      <c r="K100" s="34" t="n">
        <v>30000</v>
      </c>
      <c r="L100" s="18" t="n">
        <v>30000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E101" s="18" t="n">
        <v>400.01</v>
      </c>
      <c r="F101" s="9" t="n"/>
      <c r="G101" s="18" t="n">
        <v>4500</v>
      </c>
      <c r="H101" s="18" t="n">
        <v>0</v>
      </c>
      <c r="I101" s="18" t="n">
        <v>0</v>
      </c>
      <c r="J101" s="18" t="n">
        <v>29500</v>
      </c>
      <c r="K101" s="34" t="n">
        <v>34000</v>
      </c>
      <c r="L101" s="18" t="n">
        <v>34000</v>
      </c>
      <c r="N101" s="18" t="n">
        <v>0</v>
      </c>
      <c r="O101" s="18" t="n">
        <v>1528.39</v>
      </c>
      <c r="P101" s="9" t="n"/>
      <c r="S101" s="18" t="n">
        <v>0</v>
      </c>
      <c r="T101" s="18" t="n">
        <v>0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-2535.39</v>
      </c>
      <c r="F102" s="9" t="n"/>
      <c r="G102" s="18" t="n">
        <v>638.13</v>
      </c>
      <c r="H102" s="18" t="n">
        <v>1685.09</v>
      </c>
      <c r="I102" s="18" t="n">
        <v>987.03</v>
      </c>
      <c r="J102" s="18" t="n">
        <v>-1416.76</v>
      </c>
      <c r="K102" s="34" t="n">
        <v>1893.49</v>
      </c>
      <c r="L102" s="18" t="n">
        <v>1893.49</v>
      </c>
      <c r="M102" s="18" t="n">
        <v>-3137.53</v>
      </c>
      <c r="N102" s="18" t="n">
        <v>1131.13</v>
      </c>
      <c r="O102" s="18" t="n">
        <v>2324.09</v>
      </c>
      <c r="P102" s="34" t="n">
        <v>2211.18</v>
      </c>
      <c r="Q102" s="18" t="n">
        <v>-3606.13</v>
      </c>
      <c r="R102" s="18" t="n">
        <v>1807.87</v>
      </c>
      <c r="S102" s="18" t="n">
        <v>-1527.41</v>
      </c>
      <c r="T102" s="18" t="n">
        <v>5947.65</v>
      </c>
      <c r="U102" s="34" t="n">
        <v>2621.98</v>
      </c>
      <c r="V102" s="18" t="n">
        <v>5435.96</v>
      </c>
      <c r="W102" s="18" t="n">
        <v>-2295.88</v>
      </c>
      <c r="X102" s="18" t="n">
        <v>2059.58</v>
      </c>
      <c r="Y102" s="18" t="n">
        <v>-2196.98</v>
      </c>
      <c r="Z102" s="34" t="n">
        <v>3002.68</v>
      </c>
      <c r="AA102" s="18" t="n">
        <v>4215.53</v>
      </c>
      <c r="AB102" s="19" t="n">
        <v>-8483.26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-2535.38</v>
      </c>
      <c r="F103" s="9" t="n"/>
      <c r="G103" s="18" t="n">
        <v>8664.299999999999</v>
      </c>
      <c r="H103" s="18" t="n">
        <v>1685.09</v>
      </c>
      <c r="I103" s="18" t="n">
        <v>987.02</v>
      </c>
      <c r="J103" s="18" t="n">
        <v>-1416.76</v>
      </c>
      <c r="K103" s="34" t="n">
        <v>9919.65</v>
      </c>
      <c r="L103" s="18" t="n">
        <v>9919.65</v>
      </c>
      <c r="M103" s="18" t="n">
        <v>-1244.04</v>
      </c>
      <c r="N103" s="18" t="n">
        <v>1131.13</v>
      </c>
      <c r="O103" s="18" t="n">
        <v>2324.09</v>
      </c>
      <c r="P103" s="34" t="n">
        <v>12130.83</v>
      </c>
      <c r="Q103" s="18" t="n">
        <v>8524.690000000001</v>
      </c>
      <c r="R103" s="18" t="n">
        <v>1807.88</v>
      </c>
      <c r="S103" s="18" t="n">
        <v>-1527.42</v>
      </c>
      <c r="T103" s="18" t="n">
        <v>5947.66</v>
      </c>
      <c r="U103" s="34" t="n">
        <v>14752.81</v>
      </c>
      <c r="V103" s="18" t="n">
        <v>20188.77</v>
      </c>
      <c r="W103" s="18" t="n">
        <v>-2295.88</v>
      </c>
      <c r="X103" s="18" t="n">
        <v>2059.58</v>
      </c>
      <c r="Y103" s="18" t="n">
        <v>-2196.98</v>
      </c>
      <c r="Z103" s="34" t="n">
        <v>17755.49</v>
      </c>
      <c r="AA103" s="18" t="n">
        <v>21971.02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유동성장기부채의감소</t>
        </is>
      </c>
      <c r="F104" s="9" t="n"/>
      <c r="G104" s="18" t="n">
        <v>401.58</v>
      </c>
      <c r="H104" s="18" t="n">
        <v>405.84</v>
      </c>
      <c r="I104" s="18" t="n">
        <v>406.83</v>
      </c>
      <c r="J104" s="18" t="n">
        <v>407.49</v>
      </c>
      <c r="K104" s="34" t="n">
        <v>1621.74</v>
      </c>
      <c r="L104" s="18" t="n">
        <v>1621.74</v>
      </c>
      <c r="M104" s="18" t="n">
        <v>17209.15</v>
      </c>
      <c r="N104" s="18" t="n">
        <v>282.14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G105" s="18" t="n">
        <v>9.960000000000001</v>
      </c>
      <c r="H105" s="18" t="n">
        <v>10.06</v>
      </c>
      <c r="I105" s="18" t="n">
        <v>10.01</v>
      </c>
      <c r="J105" s="18" t="n">
        <v>11.18</v>
      </c>
      <c r="K105" s="34" t="n">
        <v>41.21</v>
      </c>
      <c r="L105" s="18" t="n">
        <v>41.21</v>
      </c>
      <c r="M105" s="18" t="n">
        <v>185.05</v>
      </c>
      <c r="N105" s="18" t="n">
        <v>113.88</v>
      </c>
      <c r="O105" s="18" t="n">
        <v>115.65</v>
      </c>
      <c r="P105" s="34" t="n">
        <v>455.79</v>
      </c>
      <c r="Q105" s="18" t="n">
        <v>117.44</v>
      </c>
      <c r="R105" s="18" t="n">
        <v>119.27</v>
      </c>
      <c r="S105" s="18" t="n">
        <v>121.12</v>
      </c>
      <c r="T105" s="18" t="n">
        <v>123.01</v>
      </c>
      <c r="U105" s="34" t="n">
        <v>480.84</v>
      </c>
      <c r="V105" s="18" t="n">
        <v>124.91</v>
      </c>
      <c r="W105" s="18" t="n">
        <v>126.85</v>
      </c>
      <c r="X105" s="18" t="n">
        <v>128.82</v>
      </c>
      <c r="Y105" s="18" t="n">
        <v>130.83</v>
      </c>
      <c r="Z105" s="34" t="n">
        <v>511.41</v>
      </c>
      <c r="AA105" s="18" t="n">
        <v>12.23</v>
      </c>
      <c r="AB105" s="19" t="n">
        <v>12.43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L106" s="18" t="n">
        <v>39.15</v>
      </c>
      <c r="N106" s="18" t="n">
        <v>0</v>
      </c>
      <c r="O106" s="18" t="n">
        <v>0</v>
      </c>
      <c r="P106" s="9" t="n"/>
      <c r="Q106" s="18" t="n">
        <v>466.02</v>
      </c>
      <c r="R106" s="18" t="n">
        <v>9.31</v>
      </c>
      <c r="S106" s="18" t="n">
        <v>0</v>
      </c>
      <c r="T106" s="18" t="n">
        <v>0</v>
      </c>
      <c r="U106" s="34" t="n">
        <v>475.33</v>
      </c>
      <c r="V106" s="18" t="n">
        <v>0</v>
      </c>
      <c r="W106" s="18" t="n">
        <v>0</v>
      </c>
      <c r="X106" s="18" t="n">
        <v>0</v>
      </c>
      <c r="Y106" s="18" t="n">
        <v>37.22</v>
      </c>
      <c r="Z106" s="34" t="n">
        <v>37.22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N107" s="18" t="n">
        <v>0</v>
      </c>
      <c r="O107" s="18" t="n">
        <v>0</v>
      </c>
      <c r="P107" s="9" t="n"/>
      <c r="S107" s="18" t="n">
        <v>0</v>
      </c>
      <c r="T107" s="18" t="n">
        <v>0</v>
      </c>
      <c r="U107" s="9" t="n"/>
      <c r="X107" s="18" t="n">
        <v>0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176.88</v>
      </c>
      <c r="P108" s="9" t="n"/>
      <c r="Q108" s="18" t="n">
        <v>219.37</v>
      </c>
      <c r="R108" s="18" t="n">
        <v>221.03</v>
      </c>
      <c r="S108" s="18" t="n">
        <v>261.44</v>
      </c>
      <c r="T108" s="18" t="n">
        <v>304.13</v>
      </c>
      <c r="U108" s="34" t="n">
        <v>1005.97</v>
      </c>
      <c r="V108" s="18" t="n">
        <v>243.91</v>
      </c>
      <c r="W108" s="18" t="n">
        <v>203.77</v>
      </c>
      <c r="X108" s="18" t="n">
        <v>217.82</v>
      </c>
      <c r="Y108" s="18" t="n">
        <v>255.34</v>
      </c>
      <c r="Z108" s="34" t="n">
        <v>920.84</v>
      </c>
      <c r="AA108" s="18" t="n">
        <v>253.88</v>
      </c>
      <c r="AB108" s="19" t="n">
        <v>-840.45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4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4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4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4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4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4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4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4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4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4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4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4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4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4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4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4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4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4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4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4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4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4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4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4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K11" s="9" t="n"/>
      <c r="M11" s="18" t="n">
        <v>1.88</v>
      </c>
      <c r="N11" s="18" t="n">
        <v>271.53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4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4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4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4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4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4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4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4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4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4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4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4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4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4" t="n">
        <v>183.69</v>
      </c>
      <c r="L15" s="18" t="n">
        <v>180.83</v>
      </c>
      <c r="M15" s="18" t="n">
        <v>189.02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4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4" t="n">
        <v>30815.3</v>
      </c>
      <c r="L16" s="18" t="n">
        <v>30812.44</v>
      </c>
      <c r="M16" s="18" t="n">
        <v>30820.63</v>
      </c>
      <c r="N16" s="18" t="n">
        <v>30631.61</v>
      </c>
      <c r="O16" s="18" t="n">
        <v>30821.01</v>
      </c>
      <c r="P16" s="34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4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4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4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4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4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4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4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4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4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4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4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4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4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4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4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4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4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4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4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4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4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4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4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4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4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4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4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4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4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4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4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4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4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4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4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4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4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4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4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4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4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4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4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4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4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4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4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4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4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4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4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4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4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4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4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101.87</v>
      </c>
      <c r="S29" s="18" t="n">
        <v>115.78</v>
      </c>
      <c r="T29" s="18" t="n">
        <v>32.8</v>
      </c>
      <c r="U29" s="34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4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4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4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4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4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4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4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4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4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4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4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4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4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4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4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4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4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4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4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4" t="n">
        <v>0</v>
      </c>
      <c r="O34" s="18" t="n">
        <v>216</v>
      </c>
      <c r="P34" s="34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4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4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4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4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4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4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4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4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4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4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4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4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4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4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4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4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4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4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4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4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4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4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4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4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4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4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4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4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4" t="n">
        <v>0</v>
      </c>
      <c r="J42" s="18" t="n">
        <v>0</v>
      </c>
      <c r="K42" s="34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4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4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4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4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4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4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4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4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4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4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4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4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4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4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4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4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4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4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4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4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4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4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4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4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4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4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4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4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4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4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4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4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4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4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4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4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4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4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4" t="n">
        <v>26224.81</v>
      </c>
      <c r="L52" s="18" t="n">
        <v>24626.83</v>
      </c>
      <c r="M52" s="18" t="n">
        <v>23086.67</v>
      </c>
      <c r="N52" s="18" t="n">
        <v>8077.74</v>
      </c>
      <c r="O52" s="18" t="n">
        <v>6456.18</v>
      </c>
      <c r="P52" s="34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4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4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4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4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4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4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4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4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4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4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4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4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4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4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4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4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4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4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4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4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4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4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4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4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4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4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4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4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4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4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4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4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4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4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4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4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4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4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4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4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4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4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4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4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4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4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4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4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4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4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4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4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4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4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4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4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4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4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4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4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4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4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4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4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4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4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4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4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4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4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4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4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4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4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4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4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4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4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4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4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4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4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4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4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4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4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4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4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4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4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4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4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4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4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4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4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4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4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4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4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4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4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4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4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4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4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4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4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4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4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4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4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4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4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4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4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4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-0.008699999999999999</v>
      </c>
      <c r="F10" s="34" t="n"/>
      <c r="G10" s="18" t="n">
        <v>0.0422</v>
      </c>
      <c r="H10" s="18" t="n">
        <v>0.135</v>
      </c>
      <c r="I10" s="18" t="n">
        <v>0.0535</v>
      </c>
      <c r="J10" s="18" t="n">
        <v>0.0401</v>
      </c>
      <c r="K10" s="34">
        <f>SUM(G10:J10)</f>
        <v/>
      </c>
      <c r="L10" s="18" t="n">
        <v>0.076</v>
      </c>
      <c r="M10" s="18" t="n">
        <v>0.1129</v>
      </c>
      <c r="N10" s="18" t="n">
        <v>0.0795</v>
      </c>
      <c r="O10" s="18" t="n">
        <v>0.0548</v>
      </c>
      <c r="P10" s="34">
        <f>SUM(L10:O10)</f>
        <v/>
      </c>
      <c r="Q10" s="18" t="n">
        <v>0.0974</v>
      </c>
      <c r="R10" s="18" t="n">
        <v>0.1249</v>
      </c>
      <c r="S10" s="18" t="n">
        <v>0.1857</v>
      </c>
      <c r="T10" s="18" t="n">
        <v>0.0718</v>
      </c>
      <c r="U10" s="34">
        <f>SUM(Q10:T10)</f>
        <v/>
      </c>
      <c r="V10" s="18" t="n">
        <v>0.1606</v>
      </c>
      <c r="W10" s="18" t="n">
        <v>0.1211</v>
      </c>
      <c r="X10" s="18" t="n">
        <v>0.1213</v>
      </c>
      <c r="Y10" s="18" t="n">
        <v>0.06619999999999999</v>
      </c>
      <c r="Z10" s="34">
        <f>SUM(V10:Y10)</f>
        <v/>
      </c>
      <c r="AA10" s="18" t="n">
        <v>0.1414</v>
      </c>
      <c r="AB10" s="19" t="n">
        <v>0.1478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-0.02</v>
      </c>
      <c r="H13" s="18" t="n">
        <v>0.86</v>
      </c>
      <c r="I13" s="18" t="n">
        <v>0.59</v>
      </c>
      <c r="J13" s="18" t="n"/>
      <c r="K13" s="34">
        <f>SUM(G13:J13)</f>
        <v/>
      </c>
      <c r="L13" s="18" t="n">
        <v>1.24</v>
      </c>
      <c r="M13" s="18" t="n">
        <v>0.64</v>
      </c>
      <c r="N13" s="18" t="n">
        <v>0.74</v>
      </c>
      <c r="O13" s="18" t="n"/>
      <c r="P13" s="34">
        <f>SUM(L13:O13)</f>
        <v/>
      </c>
      <c r="Q13" s="18" t="n"/>
      <c r="R13" s="18" t="n"/>
      <c r="S13" s="18" t="n">
        <v>-0.57</v>
      </c>
      <c r="T13" s="18" t="n"/>
      <c r="U13" s="34">
        <f>SUM(Q13:T13)</f>
        <v/>
      </c>
      <c r="V13" s="18" t="n"/>
      <c r="W13" s="18" t="n">
        <v>-0.82</v>
      </c>
      <c r="X13" s="18" t="n">
        <v>0.5600000000000001</v>
      </c>
      <c r="Y13" s="18" t="n"/>
      <c r="Z13" s="34">
        <f>SUM(V13:Y13)</f>
        <v/>
      </c>
      <c r="AA13" s="18" t="n"/>
      <c r="AB13" s="19" t="n"/>
      <c r="AC13" s="20">
        <f>IFERROR(X13*(1+변수!AC27),"")</f>
        <v/>
      </c>
      <c r="AD13" s="20" t="n">
        <v>0</v>
      </c>
      <c r="AE13" s="35">
        <f>SUM(AA13:AD13)</f>
        <v/>
      </c>
      <c r="AF13" s="20" t="n">
        <v>0</v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>
        <v>0.72</v>
      </c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>
        <v>0.72</v>
      </c>
      <c r="X15" s="18" t="n"/>
      <c r="Y15" s="18" t="n"/>
      <c r="Z15" s="34">
        <f>SUM(V15:Y15)</f>
        <v/>
      </c>
      <c r="AA15" s="18" t="n"/>
      <c r="AB15" s="19" t="n"/>
      <c r="AC15" s="20" t="n">
        <v>0</v>
      </c>
      <c r="AD15" s="20" t="n">
        <v>0</v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4">
        <f>SUM(V17:Y17)</f>
        <v/>
      </c>
      <c r="AA17" s="18" t="n"/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중단사업이익(실적만)</t>
        </is>
      </c>
      <c r="E22" s="18" t="n">
        <v>0</v>
      </c>
      <c r="F22" s="34" t="n"/>
      <c r="G22" s="18" t="n">
        <v>0</v>
      </c>
      <c r="H22" s="18" t="n">
        <v>0</v>
      </c>
      <c r="I22" s="18" t="n">
        <v>0</v>
      </c>
      <c r="J22" s="18" t="n">
        <v>0</v>
      </c>
      <c r="K22" s="34">
        <f>SUM(G22:J22)</f>
        <v/>
      </c>
      <c r="L22" s="18" t="n"/>
      <c r="M22" s="18" t="n">
        <v>0</v>
      </c>
      <c r="N22" s="18" t="n">
        <v>0</v>
      </c>
      <c r="O22" s="18" t="n"/>
      <c r="P22" s="34">
        <f>SUM(L22:O22)</f>
        <v/>
      </c>
      <c r="Q22" s="18" t="n"/>
      <c r="R22" s="18" t="n"/>
      <c r="S22" s="18" t="n"/>
      <c r="T22" s="18" t="n"/>
      <c r="U22" s="34">
        <f>SUM(Q22:T22)</f>
        <v/>
      </c>
      <c r="V22" s="18" t="n"/>
      <c r="W22" s="18" t="n"/>
      <c r="X22" s="18" t="n"/>
      <c r="Y22" s="18" t="n"/>
      <c r="Z22" s="34">
        <f>SUM(V22:Y22)</f>
        <v/>
      </c>
      <c r="AA22" s="18" t="n"/>
      <c r="AB22" s="19" t="n"/>
      <c r="AC22" s="20" t="n"/>
      <c r="AD22" s="20" t="n"/>
      <c r="AE22" s="35">
        <f>SUM(AA22:AD22)</f>
        <v/>
      </c>
      <c r="AF22" s="20" t="n"/>
      <c r="AG22" s="20" t="n"/>
      <c r="AH22" s="20" t="n"/>
      <c r="AI22" s="20" t="n"/>
      <c r="AJ22" s="35">
        <f>SUM(AF22:AI22)</f>
        <v/>
      </c>
      <c r="AK22" s="20" t="n"/>
      <c r="AL22" s="20" t="n"/>
      <c r="AM22" s="20" t="n"/>
      <c r="AN22" s="20" t="n"/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IFERROR(AB25+AC20-변수!AC36,"")</f>
        <v/>
      </c>
      <c r="AD25" s="20">
        <f>IFERROR(AC25+AD20-변수!AD36,"")</f>
        <v/>
      </c>
      <c r="AE25" s="35">
        <f>AD25</f>
        <v/>
      </c>
      <c r="AF25" s="20">
        <f>IFERROR(AD25+AF20-변수!AF36,"")</f>
        <v/>
      </c>
      <c r="AG25" s="20">
        <f>IFERROR(AF25+AG20-변수!AG36,"")</f>
        <v/>
      </c>
      <c r="AH25" s="20">
        <f>IFERROR(AG25+AH20-변수!AH36,"")</f>
        <v/>
      </c>
      <c r="AI25" s="20">
        <f>IFERROR(AH25+AI20-변수!AI36,"")</f>
        <v/>
      </c>
      <c r="AJ25" s="35">
        <f>AI25</f>
        <v/>
      </c>
      <c r="AK25" s="20">
        <f>IFERROR(AI25+AK20-변수!AK36,"")</f>
        <v/>
      </c>
      <c r="AL25" s="20">
        <f>IFERROR(AK25+AL20-변수!AL36,"")</f>
        <v/>
      </c>
      <c r="AM25" s="20">
        <f>IFERROR(AL25+AM20-변수!AM36,"")</f>
        <v/>
      </c>
      <c r="AN25" s="20">
        <f>IFERROR(AM25+AN20-변수!AN36,"")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IFERROR(AB26+AC21-변수!AC37,"")</f>
        <v/>
      </c>
      <c r="AD26" s="20">
        <f>IFERROR(AC26+AD21-변수!AD37,"")</f>
        <v/>
      </c>
      <c r="AE26" s="35">
        <f>AD26</f>
        <v/>
      </c>
      <c r="AF26" s="20">
        <f>IFERROR(AD26+AF21-변수!AF37,"")</f>
        <v/>
      </c>
      <c r="AG26" s="20">
        <f>IFERROR(AF26+AG21-변수!AG37,"")</f>
        <v/>
      </c>
      <c r="AH26" s="20">
        <f>IFERROR(AG26+AH21-변수!AH37,"")</f>
        <v/>
      </c>
      <c r="AI26" s="20">
        <f>IFERROR(AH26+AI21-변수!AI37,"")</f>
        <v/>
      </c>
      <c r="AJ26" s="35">
        <f>AI26</f>
        <v/>
      </c>
      <c r="AK26" s="20">
        <f>IFERROR(AI26+AK21-변수!AK37,"")</f>
        <v/>
      </c>
      <c r="AL26" s="20">
        <f>IFERROR(AK26+AL21-변수!AL37,"")</f>
        <v/>
      </c>
      <c r="AM26" s="20">
        <f>IFERROR(AL26+AM21-변수!AM37,"")</f>
        <v/>
      </c>
      <c r="AN26" s="20">
        <f>IFERROR(AM26+AN21-변수!AN37,"")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-17.79</v>
      </c>
      <c r="F32" s="34" t="n"/>
      <c r="G32" s="18" t="n">
        <v>32.64</v>
      </c>
      <c r="H32" s="18" t="n">
        <v>23.42</v>
      </c>
      <c r="I32" s="18" t="n">
        <v>16.51</v>
      </c>
      <c r="J32" s="18" t="n">
        <v>38.88</v>
      </c>
      <c r="K32" s="34">
        <f>SUM(G32:J32)</f>
        <v/>
      </c>
      <c r="L32" s="18" t="n">
        <v>111.45</v>
      </c>
      <c r="M32" s="18" t="n">
        <v>-59.61</v>
      </c>
      <c r="N32" s="18" t="n">
        <v>61.85</v>
      </c>
      <c r="O32" s="18" t="n">
        <v>75.81</v>
      </c>
      <c r="P32" s="34">
        <f>SUM(L32:O32)</f>
        <v/>
      </c>
      <c r="Q32" s="18" t="n">
        <v>22.32</v>
      </c>
      <c r="R32" s="18" t="n">
        <v>71.01000000000001</v>
      </c>
      <c r="S32" s="18" t="n">
        <v>98.37</v>
      </c>
      <c r="T32" s="18" t="n">
        <v>60.16</v>
      </c>
      <c r="U32" s="34">
        <f>SUM(Q32:T32)</f>
        <v/>
      </c>
      <c r="V32" s="18" t="n">
        <v>61.71</v>
      </c>
      <c r="W32" s="18" t="n">
        <v>84.38</v>
      </c>
      <c r="X32" s="18" t="n">
        <v>107.49</v>
      </c>
      <c r="Y32" s="18" t="n">
        <v>25.52</v>
      </c>
      <c r="Z32" s="34">
        <f>SUM(V32:Y32)</f>
        <v/>
      </c>
      <c r="AA32" s="18" t="n">
        <v>23.1</v>
      </c>
      <c r="AB32" s="19" t="n">
        <v>89.2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45.547</v>
      </c>
      <c r="F33" s="27">
        <f>E33</f>
        <v/>
      </c>
      <c r="G33" s="26" t="n">
        <v>45.547</v>
      </c>
      <c r="H33" s="26" t="n">
        <v>45.547</v>
      </c>
      <c r="I33" s="26" t="n">
        <v>45.547</v>
      </c>
      <c r="J33" s="26" t="n">
        <v>45.547</v>
      </c>
      <c r="K33" s="27">
        <f>J33</f>
        <v/>
      </c>
      <c r="L33" s="26" t="n">
        <v>45.547</v>
      </c>
      <c r="M33" s="26" t="n">
        <v>45.547</v>
      </c>
      <c r="N33" s="26" t="n">
        <v>45.547</v>
      </c>
      <c r="O33" s="26" t="n">
        <v>45.547</v>
      </c>
      <c r="P33" s="27">
        <f>O33</f>
        <v/>
      </c>
      <c r="Q33" s="26" t="n">
        <v>45.547</v>
      </c>
      <c r="R33" s="26" t="n">
        <v>45.547</v>
      </c>
      <c r="S33" s="26" t="n">
        <v>45.547</v>
      </c>
      <c r="T33" s="26" t="n">
        <v>45.547</v>
      </c>
      <c r="U33" s="27">
        <f>T33</f>
        <v/>
      </c>
      <c r="V33" s="26" t="n">
        <v>45.547</v>
      </c>
      <c r="W33" s="26" t="n">
        <v>45.547</v>
      </c>
      <c r="X33" s="26" t="n">
        <v>45.547</v>
      </c>
      <c r="Y33" s="26" t="n">
        <v>45.547</v>
      </c>
      <c r="Z33" s="27">
        <f>Y33</f>
        <v/>
      </c>
      <c r="AA33" s="26" t="n">
        <v>45.547</v>
      </c>
      <c r="AB33" s="28" t="n">
        <v>45.547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4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4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4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4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4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5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5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50</v>
      </c>
      <c r="K36" s="34">
        <f>SUM(G36:J36)</f>
        <v/>
      </c>
      <c r="L36" s="18" t="n"/>
      <c r="M36" s="18" t="n"/>
      <c r="N36" s="18" t="n"/>
      <c r="O36" s="18" t="n">
        <v>50</v>
      </c>
      <c r="P36" s="34">
        <f>SUM(L36:O36)</f>
        <v/>
      </c>
      <c r="Q36" s="18" t="n"/>
      <c r="R36" s="18" t="n"/>
      <c r="S36" s="18" t="n"/>
      <c r="T36" s="18" t="n">
        <v>100</v>
      </c>
      <c r="U36" s="34">
        <f>SUM(Q36:T36)</f>
        <v/>
      </c>
      <c r="V36" s="18" t="n"/>
      <c r="W36" s="18" t="n"/>
      <c r="X36" s="18" t="n"/>
      <c r="Y36" s="18" t="n">
        <v>0</v>
      </c>
      <c r="Z36" s="34">
        <f>SUM(V36:Y36)</f>
        <v/>
      </c>
      <c r="AA36" s="18" t="n"/>
      <c r="AB36" s="19" t="n"/>
      <c r="AC36" s="20" t="n"/>
      <c r="AD36" s="20" t="n">
        <v>0</v>
      </c>
      <c r="AE36" s="35">
        <f>SUM(AA36:AD36)</f>
        <v/>
      </c>
      <c r="AF36" s="20" t="n"/>
      <c r="AG36" s="20" t="n"/>
      <c r="AH36" s="20" t="n"/>
      <c r="AI36" s="20" t="n">
        <v>0</v>
      </c>
      <c r="AJ36" s="35">
        <f>SUM(AF36:AI36)</f>
        <v/>
      </c>
      <c r="AK36" s="20" t="n"/>
      <c r="AL36" s="20" t="n"/>
      <c r="AM36" s="20" t="n"/>
      <c r="AN36" s="20" t="n">
        <v>0</v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>
        <v>17.37</v>
      </c>
      <c r="J37" s="18" t="n">
        <v>14.09</v>
      </c>
      <c r="K37" s="34">
        <f>SUM(G37:J37)</f>
        <v/>
      </c>
      <c r="L37" s="18" t="n">
        <v>12.37</v>
      </c>
      <c r="M37" s="18" t="n">
        <v>19.84</v>
      </c>
      <c r="N37" s="18" t="n">
        <v>18.23</v>
      </c>
      <c r="O37" s="18" t="n">
        <v>14.55</v>
      </c>
      <c r="P37" s="34">
        <f>SUM(L37:O37)</f>
        <v/>
      </c>
      <c r="Q37" s="18" t="n">
        <v>12.23</v>
      </c>
      <c r="R37" s="18" t="n">
        <v>12.12</v>
      </c>
      <c r="S37" s="18" t="n">
        <v>10.31</v>
      </c>
      <c r="T37" s="18" t="n">
        <v>7.49</v>
      </c>
      <c r="U37" s="34">
        <f>SUM(Q37:T37)</f>
        <v/>
      </c>
      <c r="V37" s="18" t="n">
        <v>8.609999999999999</v>
      </c>
      <c r="W37" s="18" t="n">
        <v>8.68</v>
      </c>
      <c r="X37" s="18" t="n">
        <v>12.73</v>
      </c>
      <c r="Y37" s="18" t="n">
        <v>19.06</v>
      </c>
      <c r="Z37" s="34">
        <f>SUM(V37:Y37)</f>
        <v/>
      </c>
      <c r="AA37" s="18" t="n">
        <v>16.86</v>
      </c>
      <c r="AB37" s="19" t="n">
        <v>14.52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2.38</v>
      </c>
      <c r="F38" s="34" t="n">
        <v>2.22</v>
      </c>
      <c r="G38" s="18" t="n">
        <v>2.15</v>
      </c>
      <c r="H38" s="18" t="n">
        <v>1.82</v>
      </c>
      <c r="I38" s="18" t="n">
        <v>1.7</v>
      </c>
      <c r="J38" s="18" t="n">
        <v>1.39</v>
      </c>
      <c r="K38" s="34">
        <f>SUM(G38:J38)</f>
        <v/>
      </c>
      <c r="L38" s="18" t="n">
        <v>1.37</v>
      </c>
      <c r="M38" s="18" t="n">
        <v>1.73</v>
      </c>
      <c r="N38" s="18" t="n">
        <v>1.78</v>
      </c>
      <c r="O38" s="18" t="n">
        <v>1.49</v>
      </c>
      <c r="P38" s="34">
        <f>SUM(L38:O38)</f>
        <v/>
      </c>
      <c r="Q38" s="18" t="n">
        <v>1.49</v>
      </c>
      <c r="R38" s="18" t="n">
        <v>1.65</v>
      </c>
      <c r="S38" s="18" t="n">
        <v>1.84</v>
      </c>
      <c r="T38" s="18" t="n">
        <v>1.77</v>
      </c>
      <c r="U38" s="34">
        <f>SUM(Q38:T38)</f>
        <v/>
      </c>
      <c r="V38" s="18" t="n">
        <v>2.21</v>
      </c>
      <c r="W38" s="18" t="n">
        <v>2.15</v>
      </c>
      <c r="X38" s="18" t="n">
        <v>2.78</v>
      </c>
      <c r="Y38" s="18" t="n">
        <v>3.3</v>
      </c>
      <c r="Z38" s="34">
        <f>SUM(V38:Y38)</f>
        <v/>
      </c>
      <c r="AA38" s="18" t="n">
        <v>2.69</v>
      </c>
      <c r="AB38" s="19" t="n">
        <v>2.14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4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4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4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4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4">
        <f>SUM(V39:Y39)</f>
        <v/>
      </c>
      <c r="AA39" s="18" t="n">
        <v>564.46</v>
      </c>
      <c r="AB39" s="19" t="n">
        <v>596.77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4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4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4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4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4">
        <f>SUM(V40:Y40)</f>
        <v/>
      </c>
      <c r="AA40" s="18" t="n">
        <v>79.81</v>
      </c>
      <c r="AB40" s="19" t="n">
        <v>88.19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1">
        <f>IFERROR(AC21/AC5,"")</f>
        <v/>
      </c>
      <c r="AD43" s="31">
        <f>IFERROR(AD21/AD5,"")</f>
        <v/>
      </c>
      <c r="AE43" s="25">
        <f>IFERROR(AE21/AE5,"")</f>
        <v/>
      </c>
      <c r="AF43" s="31">
        <f>IFERROR(AF21/AF5,"")</f>
        <v/>
      </c>
      <c r="AG43" s="31">
        <f>IFERROR(AG21/AG5,"")</f>
        <v/>
      </c>
      <c r="AH43" s="31">
        <f>IFERROR(AH21/AH5,"")</f>
        <v/>
      </c>
      <c r="AI43" s="31">
        <f>IFERROR(AI21/AI5,"")</f>
        <v/>
      </c>
      <c r="AJ43" s="25">
        <f>IFERROR(AJ21/AJ5,"")</f>
        <v/>
      </c>
      <c r="AK43" s="31">
        <f>IFERROR(AK21/AK5,"")</f>
        <v/>
      </c>
      <c r="AL43" s="31">
        <f>IFERROR(AL21/AL5,"")</f>
        <v/>
      </c>
      <c r="AM43" s="31">
        <f>IFERROR(AM21/AM5,"")</f>
        <v/>
      </c>
      <c r="AN43" s="31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2">
        <f>IFERROR(W21/S21-1,"")</f>
        <v/>
      </c>
      <c r="X45" s="31">
        <f>IFERROR(X21/T21-1,"")</f>
        <v/>
      </c>
      <c r="Y45" s="31">
        <f>IFERROR(Y21/U21-1,"")</f>
        <v/>
      </c>
      <c r="Z45" s="31">
        <f>IFERROR(Z21/V21-1,"")</f>
        <v/>
      </c>
      <c r="AA45" s="31">
        <f>IFERROR(AA21/W21-1,"")</f>
        <v/>
      </c>
      <c r="AB45" s="31">
        <f>IFERROR(AB21/X21-1,"")</f>
        <v/>
      </c>
      <c r="AC45" s="31">
        <f>IFERROR(AC21/Y21-1,"")</f>
        <v/>
      </c>
      <c r="AD45" s="31">
        <f>IFERROR(AD21/Z21-1,"")</f>
        <v/>
      </c>
      <c r="AE45" s="31">
        <f>IFERROR(AE21/AA21-1,"")</f>
        <v/>
      </c>
      <c r="AF45" s="31">
        <f>IFERROR(AF21/AB21-1,"")</f>
        <v/>
      </c>
      <c r="AG45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2">
        <f>IFERROR(I21/H21-1,"")</f>
        <v/>
      </c>
      <c r="J45" s="31">
        <f>IFERROR(J21/I21-1,"")</f>
        <v/>
      </c>
      <c r="K45" s="31">
        <f>IFERROR(K21/J21-1,"")</f>
        <v/>
      </c>
      <c r="L45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631.5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6.95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0.2077</v>
      </c>
    </row>
    <row r="34">
      <c r="C34" s="2" t="inlineStr">
        <is>
          <t>fair_pbr</t>
        </is>
      </c>
      <c r="D34" t="n">
        <v>2.31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