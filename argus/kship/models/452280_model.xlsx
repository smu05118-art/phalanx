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BS별도!$C$5:$AE$92</definedName>
    <definedName name="SUBQH">subQ!$A$1:$AE$1</definedName>
    <definedName name="subQ">subQ!$A$5:$AE$44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3절 스칼라 '판관비율' 참조 — 숫자로 덮어쓰면 이 분기만 바뀐다
매출액 × 판관비율 8.23%(최근 4분기 중위)</t>
      </text>
    </comment>
    <comment ref="T22" authorId="0" shapeId="0">
      <text>
        <t>3절 스칼라 '판관비율' 참조 — 숫자로 덮어쓰면 이 분기만 바뀐다
매출액 × 판관비율 8.23%(최근 4분기 중위)</t>
      </text>
    </comment>
    <comment ref="V22" authorId="0" shapeId="0">
      <text>
        <t>3절 스칼라 '판관비율' 참조 — 숫자로 덮어쓰면 이 분기만 바뀐다
매출액 × 판관비율 8.23%(최근 4분기 중위)</t>
      </text>
    </comment>
    <comment ref="W22" authorId="0" shapeId="0">
      <text>
        <t>3절 스칼라 '판관비율' 참조 — 숫자로 덮어쓰면 이 분기만 바뀐다
매출액 × 판관비율 8.23%(최근 4분기 중위)</t>
      </text>
    </comment>
    <comment ref="X22" authorId="0" shapeId="0">
      <text>
        <t>3절 스칼라 '판관비율' 참조 — 숫자로 덮어쓰면 이 분기만 바뀐다
매출액 × 판관비율 8.23%(최근 4분기 중위)</t>
      </text>
    </comment>
    <comment ref="Y22" authorId="0" shapeId="0">
      <text>
        <t>3절 스칼라 '판관비율' 참조 — 숫자로 덮어쓰면 이 분기만 바뀐다
매출액 × 판관비율 8.23%(최근 4분기 중위)</t>
      </text>
    </comment>
    <comment ref="AA22" authorId="0" shapeId="0">
      <text>
        <t>3절 스칼라 '판관비율' 참조 — 숫자로 덮어쓰면 이 분기만 바뀐다
매출액 × 판관비율 8.23%(최근 4분기 중위)</t>
      </text>
    </comment>
    <comment ref="AB22" authorId="0" shapeId="0">
      <text>
        <t>3절 스칼라 '판관비율' 참조 — 숫자로 덮어쓰면 이 분기만 바뀐다
매출액 × 판관비율 8.23%(최근 4분기 중위)</t>
      </text>
    </comment>
    <comment ref="AC22" authorId="0" shapeId="0">
      <text>
        <t>3절 스칼라 '판관비율' 참조 — 숫자로 덮어쓰면 이 분기만 바뀐다
매출액 × 판관비율 8.23%(최근 4분기 중위)</t>
      </text>
    </comment>
    <comment ref="AD22" authorId="0" shapeId="0">
      <text>
        <t>3절 스칼라 '판관비율' 참조 — 숫자로 덮어쓰면 이 분기만 바뀐다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W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AB25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V26" authorId="0" shapeId="0">
      <text>
        <t>모델값 역산(implied): 모델 v 그대로
잔차 실측 3분기 &lt; 4 → 0</t>
      </text>
    </comment>
    <comment ref="W26" authorId="0" shapeId="0">
      <text>
        <t>모델값 역산(implied): 모델 v 그대로
잔차 실측 3분기 &lt; 4 → 0</t>
      </text>
    </comment>
    <comment ref="X26" authorId="0" shapeId="0">
      <text>
        <t>모델값 역산(implied): 모델 v 그대로
잔차 실측 3분기 &lt; 4 → 0</t>
      </text>
    </comment>
    <comment ref="Y26" authorId="0" shapeId="0">
      <text>
        <t>모델값 역산(implied): 모델 v 그대로
잔차 실측 3분기 &lt; 4 → 0</t>
      </text>
    </comment>
    <comment ref="AA26" authorId="0" shapeId="0">
      <text>
        <t>모델값 역산(implied): 모델 v 그대로
잔차 실측 3분기 &lt; 4 → 0</t>
      </text>
    </comment>
    <comment ref="AB26" authorId="0" shapeId="0">
      <text>
        <t>모델값 역산(implied): 모델 v 그대로
잔차 실측 3분기 &lt; 4 → 0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W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AB27" authorId="0" shapeId="0">
      <text>
        <t>모델값 역산(implied): 모델 v 그대로
일회성 미가정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S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T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V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W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X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Y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A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B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C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D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V29" authorId="0" shapeId="0">
      <text>
        <t>3절 스칼라 '지배주주비중' 참조 — 숫자로 덮어쓰면 이 분기만 바뀐다
당기순이익 × (1 − 비지배 비중 0.0%, 최근 8분기 실측)</t>
      </text>
    </comment>
    <comment ref="W29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3절 스칼라 '지배주주비중' 참조 — 숫자로 덮어쓰면 이 분기만 바뀐다
당기순이익 × (1 − 비지배 비중 0.0%, 최근 8분기 실측)</t>
      </text>
    </comment>
    <comment ref="Y29" authorId="0" shapeId="0">
      <text>
        <t>3절 스칼라 '지배주주비중' 참조 — 숫자로 덮어쓰면 이 분기만 바뀐다
당기순이익 × (1 − 비지배 비중 0.0%, 최근 8분기 실측)</t>
      </text>
    </comment>
    <comment ref="AA29" authorId="0" shapeId="0">
      <text>
        <t>3절 스칼라 '지배주주비중' 참조 — 숫자로 덮어쓰면 이 분기만 바뀐다
당기순이익 × (1 − 비지배 비중 0.0%, 최근 8분기 실측)</t>
      </text>
    </comment>
    <comment ref="AB29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모델값 역산(implied): 모델 v 그대로
최근 4분기 감가상각비 중위 유지</t>
      </text>
    </comment>
    <comment ref="T30" authorId="0" shapeId="0">
      <text>
        <t>모델값 역산(implied): 모델 v 그대로
최근 4분기 감가상각비 중위 유지</t>
      </text>
    </comment>
    <comment ref="V30" authorId="0" shapeId="0">
      <text>
        <t>모델값 역산(implied): 모델 v 그대로
최근 4분기 감가상각비 중위 유지</t>
      </text>
    </comment>
    <comment ref="W30" authorId="0" shapeId="0">
      <text>
        <t>모델값 역산(implied): 모델 v 그대로
최근 4분기 감가상각비 중위 유지</t>
      </text>
    </comment>
    <comment ref="X30" authorId="0" shapeId="0">
      <text>
        <t>모델값 역산(implied): 모델 v 그대로
최근 4분기 감가상각비 중위 유지</t>
      </text>
    </comment>
    <comment ref="Y30" authorId="0" shapeId="0">
      <text>
        <t>모델값 역산(implied): 모델 v 그대로
최근 4분기 감가상각비 중위 유지</t>
      </text>
    </comment>
    <comment ref="AA30" authorId="0" shapeId="0">
      <text>
        <t>모델값 역산(implied): 모델 v 그대로
최근 4분기 감가상각비 중위 유지</t>
      </text>
    </comment>
    <comment ref="AB30" authorId="0" shapeId="0">
      <text>
        <t>모델값 역산(implied): 모델 v 그대로
최근 4분기 감가상각비 중위 유지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W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AB32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W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AB33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W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S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T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V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W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X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Y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A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B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W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AB36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S38" authorId="0" shapeId="0">
      <text>
        <t>모델값 역산(implied): v / 전년동기 − 1
최근 4분기(2025Q3~2026Q2) CAPEX 중위 유지 — 순차입금 롤에 반영(FCF 근사)</t>
      </text>
    </comment>
    <comment ref="T38" authorId="0" shapeId="0">
      <text>
        <t>모델값 역산(implied): v / 전년동기 − 1
최근 4분기(2025Q3~2026Q2) CAPEX 중위 유지 — 순차입금 롤에 반영(FCF 근사)</t>
      </text>
    </comment>
    <comment ref="V38" authorId="0" shapeId="0">
      <text>
        <t>모델값 역산(implied): v / 전년동기 − 1
최근 4분기(2025Q3~2026Q2) CAPEX 중위 유지 — 순차입금 롤에 반영(FCF 근사)</t>
      </text>
    </comment>
    <comment ref="W38" authorId="0" shapeId="0">
      <text>
        <t>모델값 역산(implied): v / 전년동기 − 1
최근 4분기(2025Q3~2026Q2) CAPEX 중위 유지 — 순차입금 롤에 반영(FCF 근사)</t>
      </text>
    </comment>
    <comment ref="X38" authorId="0" shapeId="0">
      <text>
        <t>모델값 역산(implied): v / 전년동기 − 1
최근 4분기(2025Q3~2026Q2) CAPEX 중위 유지 — 순차입금 롤에 반영(FCF 근사)</t>
      </text>
    </comment>
    <comment ref="Y38" authorId="0" shapeId="0">
      <text>
        <t>모델값 역산(implied): v / 전년동기 − 1
최근 4분기(2025Q3~2026Q2) CAPEX 중위 유지 — 순차입금 롤에 반영(FCF 근사)</t>
      </text>
    </comment>
    <comment ref="AA38" authorId="0" shapeId="0">
      <text>
        <t>모델값 역산(implied): v / 전년동기 − 1
최근 4분기(2025Q3~2026Q2) CAPEX 중위 유지 — 순차입금 롤에 반영(FCF 근사)</t>
      </text>
    </comment>
    <comment ref="AB38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1" authorId="0" shapeId="0">
      <text>
        <t>모델값 역산(implied): 모델 v 그대로
직전 결산 DPS 0원 유지</t>
      </text>
    </comment>
    <comment ref="Y41" authorId="0" shapeId="0">
      <text>
        <t>모델값 역산(implied): 모델 v 그대로
직전 결산 DPS 0원 유지</t>
      </text>
    </comment>
    <comment ref="AD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S10" authorId="0" shapeId="0">
      <text>
        <t>추정: 최근 8분기 OPM 중위 15.7% 유지(클립 −20~40%)
[divide]</t>
      </text>
    </comment>
    <comment ref="T10" authorId="0" shapeId="0">
      <text>
        <t>추정: 최근 8분기 OPM 중위 15.7% 유지(클립 −20~40%)
[divide]</t>
      </text>
    </comment>
    <comment ref="V10" authorId="0" shapeId="0">
      <text>
        <t>추정: 최근 8분기 OPM 중위 15.7% 유지(클립 −20~40%)
[divide]</t>
      </text>
    </comment>
    <comment ref="W10" authorId="0" shapeId="0">
      <text>
        <t>추정: 최근 8분기 OPM 중위 15.7% 유지(클립 −20~40%)
[divide]</t>
      </text>
    </comment>
    <comment ref="X10" authorId="0" shapeId="0">
      <text>
        <t>추정: 최근 8분기 OPM 중위 15.7% 유지(클립 −20~40%)
[divide]</t>
      </text>
    </comment>
    <comment ref="Y10" authorId="0" shapeId="0">
      <text>
        <t>추정: 최근 8분기 OPM 중위 15.7% 유지(클립 −20~40%)
[divide]</t>
      </text>
    </comment>
    <comment ref="AA10" authorId="0" shapeId="0">
      <text>
        <t>추정: 최근 8분기 OPM 중위 15.7% 유지(클립 −20~40%)
[divide]</t>
      </text>
    </comment>
    <comment ref="AB10" authorId="0" shapeId="0">
      <text>
        <t>추정: 최근 8분기 OPM 중위 15.7% 유지(클립 −20~40%)
[divide]</t>
      </text>
    </comment>
    <comment ref="AC10" authorId="0" shapeId="0">
      <text>
        <t>추정: 최근 8분기 OPM 중위 15.7% 유지(클립 −20~40%)
[divide]</t>
      </text>
    </comment>
    <comment ref="AD10" authorId="0" shapeId="0">
      <text>
        <t>추정: 최근 8분기 OPM 중위 15.7% 유지(클립 −20~40%)
[divide]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86억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3분기 &lt; 4 → 0) (항등식); 이자손익 = 이자발생자산 -0억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3분기 &lt; 4 → 0) (항등식); 이자손익 = 이자발생자산 -37억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3분기 &lt; 4 → 0) (항등식); 이자손익 = 이자발생자산 -81억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3분기 &lt; 4 → 0) (항등식); 이자손익 = 이자발생자산 -119억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3분기 &lt; 4 → 0) (항등식); 이자손익 = 이자발생자산 -146억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-170억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-209억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S12" authorId="0" shapeId="0">
      <text>
        <t>추정: 이자발생자산 138억 × 2.32%(주석 이자수익 ÷ 평균 이자발생자산(2025Q3~2026Q2)) − 총차입금 478억 × 1.39%(주석 이자비용 ÷ 평균 총차입금(2025Q1~2026Q2)) (연율) ÷ 4
[interest]</t>
      </text>
    </comment>
    <comment ref="T12" authorId="0" shapeId="0">
      <text>
        <t>추정: 이자발생자산 86억 × 2.32%(주석 이자수익 ÷ 평균 이자발생자산(2025Q3~2026Q2)) − 총차입금 478억 × 1.39%(주석 이자비용 ÷ 평균 총차입금(2025Q1~2026Q2)) (연율) ÷ 4
[interest]</t>
      </text>
    </comment>
    <comment ref="V12" authorId="0" shapeId="0">
      <text>
        <t>추정: 이자발생자산 38억 × 2.32%(주석 이자수익 ÷ 평균 이자발생자산(2025Q3~2026Q2)) − 총차입금 478억 × 1.39%(주석 이자비용 ÷ 평균 총차입금(2025Q1~2026Q2)) (연율) ÷ 4
[interest]</t>
      </text>
    </comment>
    <comment ref="W12" authorId="0" shapeId="0">
      <text>
        <t>추정: 이자발생자산 -0억 × 2.32%(주석 이자수익 ÷ 평균 이자발생자산(2025Q3~2026Q2)) − 총차입금 478억 × 1.39%(주석 이자비용 ÷ 평균 총차입금(2025Q1~2026Q2)) (연율) ÷ 4
[interest]</t>
      </text>
    </comment>
    <comment ref="X12" authorId="0" shapeId="0">
      <text>
        <t>추정: 이자발생자산 -37억 × 2.32%(주석 이자수익 ÷ 평균 이자발생자산(2025Q3~2026Q2)) − 총차입금 478억 × 1.39%(주석 이자비용 ÷ 평균 총차입금(2025Q1~2026Q2)) (연율) ÷ 4
[interest]</t>
      </text>
    </comment>
    <comment ref="Y12" authorId="0" shapeId="0">
      <text>
        <t>추정: 이자발생자산 -81억 × 2.32%(주석 이자수익 ÷ 평균 이자발생자산(2025Q3~2026Q2)) − 총차입금 478억 × 1.39%(주석 이자비용 ÷ 평균 총차입금(2025Q1~2026Q2)) (연율) ÷ 4
[interest]</t>
      </text>
    </comment>
    <comment ref="AA12" authorId="0" shapeId="0">
      <text>
        <t>추정: 이자발생자산 -119억 × 2.32%(주석 이자수익 ÷ 평균 이자발생자산(2025Q3~2026Q2)) − 총차입금 478억 × 1.39%(주석 이자비용 ÷ 평균 총차입금(2025Q1~2026Q2)) (연율) ÷ 4
[interest]</t>
      </text>
    </comment>
    <comment ref="AB12" authorId="0" shapeId="0">
      <text>
        <t>추정: 이자발생자산 -146억 × 2.32%(주석 이자수익 ÷ 평균 이자발생자산(2025Q3~2026Q2)) − 총차입금 478억 × 1.39%(주석 이자비용 ÷ 평균 총차입금(2025Q1~2026Q2)) (연율) ÷ 4
[interest]</t>
      </text>
    </comment>
    <comment ref="AC12" authorId="0" shapeId="0">
      <text>
        <t>추정: 이자발생자산 -170억 × 2.32%(주석 이자수익 ÷ 평균 이자발생자산(2025Q3~2026Q2)) − 총차입금 478억 × 1.39%(주석 이자비용 ÷ 평균 총차입금(2025Q1~2026Q2)) (연율) ÷ 4
[interest]</t>
      </text>
    </comment>
    <comment ref="AD12" authorId="0" shapeId="0">
      <text>
        <t>추정: 이자발생자산 -209억 × 2.32%(주석 이자수익 ÷ 평균 이자발생자산(2025Q3~2026Q2)) − 총차입금 478억 × 1.39%(주석 이자비용 ÷ 평균 총차입금(2025Q1~2026Q2))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W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W15" authorId="0" shapeId="0">
      <text>
        <t>추정: 잔차 실측 3분기 &lt; 4 → 0
[abs]</t>
      </text>
    </comment>
    <comment ref="X15" authorId="0" shapeId="0">
      <text>
        <t>추정: 잔차 실측 3분기 &lt; 4 → 0
[abs]</t>
      </text>
    </comment>
    <comment ref="Y15" authorId="0" shapeId="0">
      <text>
        <t>추정: 잔차 실측 3분기 &lt; 4 → 0
[abs]</t>
      </text>
    </comment>
    <comment ref="AA15" authorId="0" shapeId="0">
      <text>
        <t>추정: 잔차 실측 3분기 &lt; 4 → 0
[abs]</t>
      </text>
    </comment>
    <comment ref="AB15" authorId="0" shapeId="0">
      <text>
        <t>추정: 잔차 실측 3분기 &lt; 4 → 0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W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V17" authorId="0" shapeId="0">
      <text>
        <t>추정: 영업이익 + 금융손익 + 기타영업외 + 지분법 + 환관련(항등식)
[identity]</t>
      </text>
    </comment>
    <comment ref="W17" authorId="0" shapeId="0">
      <text>
        <t>추정: 영업이익 + 금융손익 + 기타영업외 + 지분법 + 환관련(항등식)
[identity]</t>
      </text>
    </comment>
    <comment ref="X17" authorId="0" shapeId="0">
      <text>
        <t>추정: 영업이익 + 금융손익 + 기타영업외 + 지분법 + 환관련(항등식)
[identity]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S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T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V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W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X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Y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A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B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C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D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V19" authorId="0" shapeId="0">
      <text>
        <t>추정: 세전이익 − 법인세비용(항등식)
[identity]</t>
      </text>
    </comment>
    <comment ref="W19" authorId="0" shapeId="0">
      <text>
        <t>추정: 세전이익 − 법인세비용(항등식)
[identity]</t>
      </text>
    </comment>
    <comment ref="X19" authorId="0" shapeId="0">
      <text>
        <t>추정: 세전이익 − 법인세비용(항등식)
[identity]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V20" authorId="0" shapeId="0">
      <text>
        <t>추정: 당기순이익 × (1 − 비지배 비중 0.0%, 최근 8분기 실측)
[ratio]</t>
      </text>
    </comment>
    <comment ref="W20" authorId="0" shapeId="0">
      <text>
        <t>추정: 당기순이익 × (1 − 비지배 비중 0.0%, 최근 8분기 실측)
[ratio]</t>
      </text>
    </comment>
    <comment ref="X20" authorId="0" shapeId="0">
      <text>
        <t>추정: 당기순이익 × (1 − 비지배 비중 0.0%, 최근 8분기 실측)
[ratio]</t>
      </text>
    </comment>
    <comment ref="Y20" authorId="0" shapeId="0">
      <text>
        <t>추정: 당기순이익 × (1 − 비지배 비중 0.0%, 최근 8분기 실측)
[ratio]</t>
      </text>
    </comment>
    <comment ref="AA20" authorId="0" shapeId="0">
      <text>
        <t>추정: 당기순이익 × (1 − 비지배 비중 0.0%, 최근 8분기 실측)
[ratio]</t>
      </text>
    </comment>
    <comment ref="AB20" authorId="0" shapeId="0">
      <text>
        <t>추정: 당기순이익 × (1 − 비지배 비중 0.0%, 최근 8분기 실측)
[ratio]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S21" authorId="0" shapeId="0">
      <text>
        <t>추정: 최근 4분기 감가상각비 중위 유지
[abs]</t>
      </text>
    </comment>
    <comment ref="T21" authorId="0" shapeId="0">
      <text>
        <t>추정: 최근 4분기 감가상각비 중위 유지
[abs]</t>
      </text>
    </comment>
    <comment ref="V21" authorId="0" shapeId="0">
      <text>
        <t>추정: 최근 4분기 감가상각비 중위 유지
[abs]</t>
      </text>
    </comment>
    <comment ref="W21" authorId="0" shapeId="0">
      <text>
        <t>추정: 최근 4분기 감가상각비 중위 유지
[abs]</t>
      </text>
    </comment>
    <comment ref="X21" authorId="0" shapeId="0">
      <text>
        <t>추정: 최근 4분기 감가상각비 중위 유지
[abs]</t>
      </text>
    </comment>
    <comment ref="Y21" authorId="0" shapeId="0">
      <text>
        <t>추정: 최근 4분기 감가상각비 중위 유지
[abs]</t>
      </text>
    </comment>
    <comment ref="AA21" authorId="0" shapeId="0">
      <text>
        <t>추정: 최근 4분기 감가상각비 중위 유지
[abs]</t>
      </text>
    </comment>
    <comment ref="AB21" authorId="0" shapeId="0">
      <text>
        <t>추정: 최근 4분기 감가상각비 중위 유지
[abs]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추정: 영업이익 + 감가상각비
[identity]</t>
      </text>
    </comment>
    <comment ref="T22" authorId="0" shapeId="0">
      <text>
        <t>추정: 영업이익 + 감가상각비
[identity]</t>
      </text>
    </comment>
    <comment ref="V22" authorId="0" shapeId="0">
      <text>
        <t>추정: 영업이익 + 감가상각비
[identity]</t>
      </text>
    </comment>
    <comment ref="W22" authorId="0" shapeId="0">
      <text>
        <t>추정: 영업이익 + 감가상각비
[identity]</t>
      </text>
    </comment>
    <comment ref="X22" authorId="0" shapeId="0">
      <text>
        <t>추정: 영업이익 + 감가상각비
[identity]</t>
      </text>
    </comment>
    <comment ref="Y22" authorId="0" shapeId="0">
      <text>
        <t>추정: 영업이익 + 감가상각비
[identity]</t>
      </text>
    </comment>
    <comment ref="AA22" authorId="0" shapeId="0">
      <text>
        <t>추정: 영업이익 + 감가상각비
[identity]</t>
      </text>
    </comment>
    <comment ref="AB22" authorId="0" shapeId="0">
      <text>
        <t>추정: 영업이익 + 감가상각비
[identity]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부채총계 + 자본총계(항등식)
[identity]</t>
      </text>
    </comment>
    <comment ref="T23" authorId="0" shapeId="0">
      <text>
        <t>추정: 부채총계 + 자본총계(항등식)
[identity]</t>
      </text>
    </comment>
    <comment ref="V23" authorId="0" shapeId="0">
      <text>
        <t>추정: 부채총계 + 자본총계(항등식)
[identity]</t>
      </text>
    </comment>
    <comment ref="W23" authorId="0" shapeId="0">
      <text>
        <t>추정: 부채총계 + 자본총계(항등식)
[identity]</t>
      </text>
    </comment>
    <comment ref="X23" authorId="0" shapeId="0">
      <text>
        <t>추정: 부채총계 + 자본총계(항등식)
[identity]</t>
      </text>
    </comment>
    <comment ref="Y23" authorId="0" shapeId="0">
      <text>
        <t>추정: 부채총계 + 자본총계(항등식)
[identity]</t>
      </text>
    </comment>
    <comment ref="AA23" authorId="0" shapeId="0">
      <text>
        <t>추정: 부채총계 + 자본총계(항등식)
[identity]</t>
      </text>
    </comment>
    <comment ref="AB23" authorId="0" shapeId="0">
      <text>
        <t>추정: 부채총계 + 자본총계(항등식)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마지막 실적 유지(가정)
[qoq]</t>
      </text>
    </comment>
    <comment ref="T24" authorId="0" shapeId="0">
      <text>
        <t>추정: 마지막 실적 유지(가정)
[qoq]</t>
      </text>
    </comment>
    <comment ref="V24" authorId="0" shapeId="0">
      <text>
        <t>추정: 마지막 실적 유지(가정)
[qoq]</t>
      </text>
    </comment>
    <comment ref="W24" authorId="0" shapeId="0">
      <text>
        <t>추정: 마지막 실적 유지(가정)
[qoq]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당기순이익 − 배당(Q2 지급 가정)
[roll]</t>
      </text>
    </comment>
    <comment ref="T25" authorId="0" shapeId="0">
      <text>
        <t>추정: 전분기 + 당기순이익 − 배당(Q2 지급 가정)
[roll]</t>
      </text>
    </comment>
    <comment ref="V25" authorId="0" shapeId="0">
      <text>
        <t>추정: 전분기 + 당기순이익 − 배당(Q2 지급 가정)
[roll]</t>
      </text>
    </comment>
    <comment ref="W25" authorId="0" shapeId="0">
      <text>
        <t>추정: 전분기 + 당기순이익 − 배당(Q2 지급 가정)
[roll]</t>
      </text>
    </comment>
    <comment ref="X25" authorId="0" shapeId="0">
      <text>
        <t>추정: 전분기 + 당기순이익 − 배당(Q2 지급 가정)
[roll]</t>
      </text>
    </comment>
    <comment ref="Y25" authorId="0" shapeId="0">
      <text>
        <t>추정: 전분기 + 당기순이익 − 배당(Q2 지급 가정)
[roll]</t>
      </text>
    </comment>
    <comment ref="AA25" authorId="0" shapeId="0">
      <text>
        <t>추정: 전분기 + 당기순이익 − 배당(Q2 지급 가정)
[roll]</t>
      </text>
    </comment>
    <comment ref="AB25" authorId="0" shapeId="0">
      <text>
        <t>추정: 전분기 + 당기순이익 − 배당(Q2 지급 가정)
[roll]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F26" authorId="0" shapeId="0">
      <text>
        <t>연간 실측(BS 시트에 2023.12A 없음 — 모델 a 값 직접)</t>
      </text>
    </comment>
    <comment ref="S26" authorId="0" shapeId="0">
      <text>
        <t>추정: 전분기 + 지배주주순이익 − 배당
[roll]</t>
      </text>
    </comment>
    <comment ref="T26" authorId="0" shapeId="0">
      <text>
        <t>추정: 전분기 + 지배주주순이익 − 배당
[roll]</t>
      </text>
    </comment>
    <comment ref="V26" authorId="0" shapeId="0">
      <text>
        <t>추정: 전분기 + 지배주주순이익 − 배당
[roll]</t>
      </text>
    </comment>
    <comment ref="W26" authorId="0" shapeId="0">
      <text>
        <t>추정: 전분기 + 지배주주순이익 − 배당
[roll]</t>
      </text>
    </comment>
    <comment ref="X26" authorId="0" shapeId="0">
      <text>
        <t>추정: 전분기 + 지배주주순이익 − 배당
[roll]</t>
      </text>
    </comment>
    <comment ref="Y26" authorId="0" shapeId="0">
      <text>
        <t>추정: 전분기 + 지배주주순이익 − 배당
[roll]</t>
      </text>
    </comment>
    <comment ref="AA26" authorId="0" shapeId="0">
      <text>
        <t>추정: 전분기 + 지배주주순이익 − 배당
[roll]</t>
      </text>
    </comment>
    <comment ref="AB26" authorId="0" shapeId="0">
      <text>
        <t>추정: 전분기 + 지배주주순이익 − 배당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F27" authorId="0" shapeId="0">
      <text>
        <t>연간 실측(BS 시트에 2023.12A 없음 — 모델 a 값 직접)</t>
      </text>
    </comment>
    <comment ref="S27" authorId="0" shapeId="0">
      <text>
        <t>추정: 마지막 실적 유지(가정)
[qoq]</t>
      </text>
    </comment>
    <comment ref="T27" authorId="0" shapeId="0">
      <text>
        <t>추정: 마지막 실적 유지(가정)
[qoq]</t>
      </text>
    </comment>
    <comment ref="V27" authorId="0" shapeId="0">
      <text>
        <t>추정: 마지막 실적 유지(가정)
[qoq]</t>
      </text>
    </comment>
    <comment ref="W27" authorId="0" shapeId="0">
      <text>
        <t>추정: 마지막 실적 유지(가정)
[qoq]</t>
      </text>
    </comment>
    <comment ref="X27" authorId="0" shapeId="0">
      <text>
        <t>추정: 마지막 실적 유지(가정)
[qoq]</t>
      </text>
    </comment>
    <comment ref="Y27" authorId="0" shapeId="0">
      <text>
        <t>추정: 마지막 실적 유지(가정)
[qoq]</t>
      </text>
    </comment>
    <comment ref="AA27" authorId="0" shapeId="0">
      <text>
        <t>추정: 마지막 실적 유지(가정)
[qoq]</t>
      </text>
    </comment>
    <comment ref="AB27" authorId="0" shapeId="0">
      <text>
        <t>추정: 마지막 실적 유지(가정)
[qoq]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F28" authorId="0" shapeId="0">
      <text>
        <t>연간 실측(BS 시트에 2023.12A 없음 — 모델 a 값 직접)</t>
      </text>
    </comment>
    <comment ref="S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T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V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W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X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Y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A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B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C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F29" authorId="0" shapeId="0">
      <text>
        <t>연간 실측(BS 시트에 2023.12A 없음 — 모델 a 값 직접)</t>
      </text>
    </comment>
    <comment ref="S29" authorId="0" shapeId="0">
      <text>
        <t>추정: 전분기 + FCF 근사 — 순차입금 롤과 같은 가정
[qoq]</t>
      </text>
    </comment>
    <comment ref="T29" authorId="0" shapeId="0">
      <text>
        <t>추정: 전분기 + FCF 근사 — 순차입금 롤과 같은 가정
[qoq]</t>
      </text>
    </comment>
    <comment ref="V29" authorId="0" shapeId="0">
      <text>
        <t>추정: 전분기 + FCF 근사 — 순차입금 롤과 같은 가정
[qoq]</t>
      </text>
    </comment>
    <comment ref="W29" authorId="0" shapeId="0">
      <text>
        <t>추정: 전분기 + FCF 근사 — 순차입금 롤과 같은 가정
[qoq]</t>
      </text>
    </comment>
    <comment ref="X29" authorId="0" shapeId="0">
      <text>
        <t>추정: 전분기 + FCF 근사 — 순차입금 롤과 같은 가정
[qoq]</t>
      </text>
    </comment>
    <comment ref="Y29" authorId="0" shapeId="0">
      <text>
        <t>추정: 전분기 + FCF 근사 — 순차입금 롤과 같은 가정
[qoq]</t>
      </text>
    </comment>
    <comment ref="AA29" authorId="0" shapeId="0">
      <text>
        <t>추정: 전분기 + FCF 근사 — 순차입금 롤과 같은 가정
[qoq]</t>
      </text>
    </comment>
    <comment ref="AB29" authorId="0" shapeId="0">
      <text>
        <t>추정: 전분기 + FCF 근사 — 순차입금 롤과 같은 가정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F30" authorId="0" shapeId="0">
      <text>
        <t>연간 실측(BS 시트에 2023.12A 없음 — 모델 a 값 직접)</t>
      </text>
    </comment>
    <comment ref="S31" authorId="0" shapeId="0">
      <text>
        <t>추정: 최근 4분기(2025Q3~2026Q2) CAPEX 중위 유지 — 순차입금 롤에 반영(FCF 근사)
[yoy]</t>
      </text>
    </comment>
    <comment ref="T31" authorId="0" shapeId="0">
      <text>
        <t>추정: 최근 4분기(2025Q3~2026Q2) CAPEX 중위 유지 — 순차입금 롤에 반영(FCF 근사)
[yoy]</t>
      </text>
    </comment>
    <comment ref="V31" authorId="0" shapeId="0">
      <text>
        <t>추정: 최근 4분기(2025Q3~2026Q2) CAPEX 중위 유지 — 순차입금 롤에 반영(FCF 근사)
[yoy]</t>
      </text>
    </comment>
    <comment ref="W31" authorId="0" shapeId="0">
      <text>
        <t>추정: 최근 4분기(2025Q3~2026Q2) CAPEX 중위 유지 — 순차입금 롤에 반영(FCF 근사)
[yoy]</t>
      </text>
    </comment>
    <comment ref="X31" authorId="0" shapeId="0">
      <text>
        <t>추정: 최근 4분기(2025Q3~2026Q2) CAPEX 중위 유지 — 순차입금 롤에 반영(FCF 근사)
[yoy]</t>
      </text>
    </comment>
    <comment ref="Y31" authorId="0" shapeId="0">
      <text>
        <t>추정: 최근 4분기(2025Q3~2026Q2) CAPEX 중위 유지 — 순차입금 롤에 반영(FCF 근사)
[yoy]</t>
      </text>
    </comment>
    <comment ref="AA31" authorId="0" shapeId="0">
      <text>
        <t>추정: 최근 4분기(2025Q3~2026Q2) CAPEX 중위 유지 — 순차입금 롤에 반영(FCF 근사)
[yoy]</t>
      </text>
    </comment>
    <comment ref="AB31" authorId="0" shapeId="0">
      <text>
        <t>추정: 최근 4분기(2025Q3~2026Q2) CAPEX 중위 유지 — 순차입금 롤에 반영(FCF 근사)
[yoy]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추정: 유통주식수 유지 — fin.shares.common_outstanding(2026Q2)
[qoq]</t>
      </text>
    </comment>
    <comment ref="T33" authorId="0" shapeId="0">
      <text>
        <t>추정: 유통주식수 유지 — fin.shares.common_outstanding(2026Q2)
[qoq]</t>
      </text>
    </comment>
    <comment ref="V33" authorId="0" shapeId="0">
      <text>
        <t>추정: 유통주식수 유지 — fin.shares.common_outstanding(2026Q2)
[qoq]</t>
      </text>
    </comment>
    <comment ref="W33" authorId="0" shapeId="0">
      <text>
        <t>추정: 유통주식수 유지 — fin.shares.common_outstanding(2026Q2)
[qoq]</t>
      </text>
    </comment>
    <comment ref="X33" authorId="0" shapeId="0">
      <text>
        <t>추정: 유통주식수 유지 — fin.shares.common_outstanding(2026Q2)
[qoq]</t>
      </text>
    </comment>
    <comment ref="Y33" authorId="0" shapeId="0">
      <text>
        <t>추정: 유통주식수 유지 — fin.shares.common_outstanding(2026Q2)
[qoq]</t>
      </text>
    </comment>
    <comment ref="AA33" authorId="0" shapeId="0">
      <text>
        <t>추정: 유통주식수 유지 — fin.shares.common_outstanding(2026Q2)
[qoq]</t>
      </text>
    </comment>
    <comment ref="AB33" authorId="0" shapeId="0">
      <text>
        <t>추정: 유통주식수 유지 — fin.shares.common_outstanding(2026Q2)
[qoq]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S34" authorId="0" shapeId="0">
      <text>
        <t>추정: 지배주주순이익 ÷ 유통주식수
[per_share]</t>
      </text>
    </comment>
    <comment ref="T34" authorId="0" shapeId="0">
      <text>
        <t>추정: 지배주주순이익 ÷ 유통주식수
[per_share]</t>
      </text>
    </comment>
    <comment ref="V34" authorId="0" shapeId="0">
      <text>
        <t>추정: 지배주주순이익 ÷ 유통주식수
[per_share]</t>
      </text>
    </comment>
    <comment ref="W34" authorId="0" shapeId="0">
      <text>
        <t>추정: 지배주주순이익 ÷ 유통주식수
[per_share]</t>
      </text>
    </comment>
    <comment ref="X34" authorId="0" shapeId="0">
      <text>
        <t>추정: 지배주주순이익 ÷ 유통주식수
[per_share]</t>
      </text>
    </comment>
    <comment ref="Y34" authorId="0" shapeId="0">
      <text>
        <t>추정: 지배주주순이익 ÷ 유통주식수
[per_share]</t>
      </text>
    </comment>
    <comment ref="AA34" authorId="0" shapeId="0">
      <text>
        <t>추정: 지배주주순이익 ÷ 유통주식수
[per_share]</t>
      </text>
    </comment>
    <comment ref="AB34" authorId="0" shapeId="0">
      <text>
        <t>추정: 지배주주순이익 ÷ 유통주식수
[per_share]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S35" authorId="0" shapeId="0">
      <text>
        <t>추정: 지배주주지분 ÷ 유통주식수
[per_share]</t>
      </text>
    </comment>
    <comment ref="T35" authorId="0" shapeId="0">
      <text>
        <t>추정: 지배주주지분 ÷ 유통주식수
[per_share]</t>
      </text>
    </comment>
    <comment ref="V35" authorId="0" shapeId="0">
      <text>
        <t>추정: 지배주주지분 ÷ 유통주식수
[per_share]</t>
      </text>
    </comment>
    <comment ref="W35" authorId="0" shapeId="0">
      <text>
        <t>추정: 지배주주지분 ÷ 유통주식수
[per_share]</t>
      </text>
    </comment>
    <comment ref="X35" authorId="0" shapeId="0">
      <text>
        <t>추정: 지배주주지분 ÷ 유통주식수
[per_share]</t>
      </text>
    </comment>
    <comment ref="Y35" authorId="0" shapeId="0">
      <text>
        <t>추정: 지배주주지분 ÷ 유통주식수
[per_share]</t>
      </text>
    </comment>
    <comment ref="AA35" authorId="0" shapeId="0">
      <text>
        <t>추정: 지배주주지분 ÷ 유통주식수
[per_share]</t>
      </text>
    </comment>
    <comment ref="AB35" authorId="0" shapeId="0">
      <text>
        <t>추정: 지배주주지분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추정: 직전 결산 DPS 0원 유지
[abs]</t>
      </text>
    </comment>
    <comment ref="Y36" authorId="0" shapeId="0">
      <text>
        <t>추정: 직전 결산 DPS 0원 유지
[abs]</t>
      </text>
    </comment>
    <comment ref="AD36" authorId="0" shapeId="0">
      <text>
        <t>추정: 직전 결산 DPS 0원 유지
[abs]</t>
      </text>
    </comment>
    <comment ref="S37" authorId="0" shapeId="0">
      <text>
        <t>추정: 현재 종가 ÷ TTM EPS(추정 포함)
[valuation]</t>
      </text>
    </comment>
    <comment ref="T37" authorId="0" shapeId="0">
      <text>
        <t>추정: 현재 종가 ÷ TTM EPS(추정 포함)
[valuation]</t>
      </text>
    </comment>
    <comment ref="V37" authorId="0" shapeId="0">
      <text>
        <t>추정: 현재 종가 ÷ TTM EPS(추정 포함)
[valuation]</t>
      </text>
    </comment>
    <comment ref="W37" authorId="0" shapeId="0">
      <text>
        <t>추정: 현재 종가 ÷ TTM EPS(추정 포함)
[valuation]</t>
      </text>
    </comment>
    <comment ref="X37" authorId="0" shapeId="0">
      <text>
        <t>추정: 현재 종가 ÷ TTM EPS(추정 포함)
[valuation]</t>
      </text>
    </comment>
    <comment ref="Y37" authorId="0" shapeId="0">
      <text>
        <t>추정: 현재 종가 ÷ TTM EPS(추정 포함)
[valuation]</t>
      </text>
    </comment>
    <comment ref="AA37" authorId="0" shapeId="0">
      <text>
        <t>추정: 현재 종가 ÷ TTM EPS(추정 포함)
[valuation]</t>
      </text>
    </comment>
    <comment ref="AB37" authorId="0" shapeId="0">
      <text>
        <t>추정: 현재 종가 ÷ TTM EPS(추정 포함)
[valuation]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S38" authorId="0" shapeId="0">
      <text>
        <t>추정: 현재 종가 ÷ BPS(추정 포함)
[valuation]</t>
      </text>
    </comment>
    <comment ref="T38" authorId="0" shapeId="0">
      <text>
        <t>추정: 현재 종가 ÷ BPS(추정 포함)
[valuation]</t>
      </text>
    </comment>
    <comment ref="V38" authorId="0" shapeId="0">
      <text>
        <t>추정: 현재 종가 ÷ BPS(추정 포함)
[valuation]</t>
      </text>
    </comment>
    <comment ref="W38" authorId="0" shapeId="0">
      <text>
        <t>추정: 현재 종가 ÷ BPS(추정 포함)
[valuation]</t>
      </text>
    </comment>
    <comment ref="X38" authorId="0" shapeId="0">
      <text>
        <t>추정: 현재 종가 ÷ BPS(추정 포함)
[valuation]</t>
      </text>
    </comment>
    <comment ref="Y38" authorId="0" shapeId="0">
      <text>
        <t>추정: 현재 종가 ÷ BPS(추정 포함)
[valuation]</t>
      </text>
    </comment>
    <comment ref="AA38" authorId="0" shapeId="0">
      <text>
        <t>추정: 현재 종가 ÷ BPS(추정 포함)
[valuation]</t>
      </text>
    </comment>
    <comment ref="AB38" authorId="0" shapeId="0">
      <text>
        <t>추정: 현재 종가 ÷ BPS(추정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추정: = 매출액 추정(부문 미분리)
[identity]</t>
      </text>
    </comment>
    <comment ref="T39" authorId="0" shapeId="0">
      <text>
        <t>추정: = 매출액 추정(부문 미분리)
[identity]</t>
      </text>
    </comment>
    <comment ref="V39" authorId="0" shapeId="0">
      <text>
        <t>추정: = 매출액 추정(부문 미분리)
[identity]</t>
      </text>
    </comment>
    <comment ref="W39" authorId="0" shapeId="0">
      <text>
        <t>추정: = 매출액 추정(부문 미분리)
[identity]</t>
      </text>
    </comment>
    <comment ref="X39" authorId="0" shapeId="0">
      <text>
        <t>추정: = 매출액 추정(부문 미분리)
[identity]</t>
      </text>
    </comment>
    <comment ref="Y39" authorId="0" shapeId="0">
      <text>
        <t>추정: = 매출액 추정(부문 미분리)
[identity]</t>
      </text>
    </comment>
    <comment ref="AA39" authorId="0" shapeId="0">
      <text>
        <t>추정: = 매출액 추정(부문 미분리)
[identity]</t>
      </text>
    </comment>
    <comment ref="AB39" authorId="0" shapeId="0">
      <text>
        <t>추정: = 매출액 추정(부문 미분리)
[identity]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추정: = 매출액 × OPM(부문 미분리)
[identity]</t>
      </text>
    </comment>
    <comment ref="T40" authorId="0" shapeId="0">
      <text>
        <t>추정: = 매출액 × OPM(부문 미분리)
[identity]</t>
      </text>
    </comment>
    <comment ref="V40" authorId="0" shapeId="0">
      <text>
        <t>추정: = 매출액 × OPM(부문 미분리)
[identity]</t>
      </text>
    </comment>
    <comment ref="W40" authorId="0" shapeId="0">
      <text>
        <t>추정: = 매출액 × OPM(부문 미분리)
[identity]</t>
      </text>
    </comment>
    <comment ref="X40" authorId="0" shapeId="0">
      <text>
        <t>추정: = 매출액 × OPM(부문 미분리)
[identity]</t>
      </text>
    </comment>
    <comment ref="Y40" authorId="0" shapeId="0">
      <text>
        <t>추정: = 매출액 × OPM(부문 미분리)
[identity]</t>
      </text>
    </comment>
    <comment ref="AA40" authorId="0" shapeId="0">
      <text>
        <t>추정: = 매출액 × OPM(부문 미분리)
[identity]</t>
      </text>
    </comment>
    <comment ref="AB40" authorId="0" shapeId="0">
      <text>
        <t>추정: = 매출액 × OPM(부문 미분리)
[identity]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5.04% — 법인세 = MAX(세전,0) × 세율, 추정 전 분기 연결(Σ법인세/Σmax(세전,0) 역산, 재현 오차 ≤ 0.05억). 모델 가정 5.04% · 근거: 최근 11분기 유효세율 32.5% 가 5~27% 밖 → 클립 대신 최근 8분기 중 세전 &gt; 0 인 7분기(2024Q3~2026Q2)의 법인세/세전 중위 5.0%</t>
        </is>
      </c>
    </row>
    <row r="23">
      <c r="A23" t="inlineStr">
        <is>
          <t>· 판관비율 8.23%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2.32% / 부채 1.39% — 이자손익 = (전분기 이자발생자산 × 자산이자율 − 전분기 총차입금 × 부채이자율)/4, 최소자승 역산(모델 assumptions [0.0232, 0.0139] 는 4자리 반올림이라 그대로 쓰면 ±1억 어긋남) · 출처: {"asset": "주석 이자수익 ÷ 평균 이자발생자산(2025Q3~2026Q2)", "debt": "주석 이자비용 ÷ 평균 총차입금(2025Q1~2026Q2)"}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31.9배가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assets/models/452280.json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금융손익 실적→추정 단절: 최근 4분기 실적 +1/-24/-116/-8(중위 -16억) → 추정 2026Q3 -1억(차 +15억, +95%)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35.3, "op_wape_pct": 65.0,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1345.14</v>
      </c>
      <c r="U6" s="17" t="n">
        <v>1457.21</v>
      </c>
      <c r="V6" s="16" t="n">
        <v>1341.49</v>
      </c>
      <c r="W6" s="16" t="n">
        <v>1341.49</v>
      </c>
      <c r="X6" s="16" t="n">
        <v>1341.49</v>
      </c>
      <c r="Y6" s="16" t="n">
        <v>1341.49</v>
      </c>
      <c r="Z6" s="11" t="n"/>
      <c r="AA6" s="16" t="n">
        <v>1341.49</v>
      </c>
      <c r="AB6" s="16" t="n">
        <v>1341.49</v>
      </c>
      <c r="AC6" s="16" t="n">
        <v>1341.49</v>
      </c>
      <c r="AD6" s="16" t="n">
        <v>1341.49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1341.49</v>
      </c>
      <c r="U7" s="17" t="n">
        <v>1341.49</v>
      </c>
      <c r="V7" s="16" t="n">
        <v>1341.49</v>
      </c>
      <c r="W7" s="16" t="n">
        <v>1341.49</v>
      </c>
      <c r="X7" s="16" t="n">
        <v>1341.49</v>
      </c>
      <c r="Y7" s="16" t="n">
        <v>1341.49</v>
      </c>
      <c r="Z7" s="11" t="n"/>
      <c r="AA7" s="16" t="n">
        <v>1341.49</v>
      </c>
      <c r="AB7" s="16" t="n">
        <v>1341.49</v>
      </c>
      <c r="AC7" s="16" t="n">
        <v>1341.49</v>
      </c>
      <c r="AD7" s="16" t="n">
        <v>1341.49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850.79</v>
      </c>
      <c r="U8" s="17" t="n">
        <v>919.21</v>
      </c>
      <c r="V8" s="16" t="n">
        <v>847.7</v>
      </c>
      <c r="W8" s="16" t="n">
        <v>847.7</v>
      </c>
      <c r="X8" s="16" t="n">
        <v>847.7</v>
      </c>
      <c r="Y8" s="16" t="n">
        <v>847.7</v>
      </c>
      <c r="Z8" s="11" t="n"/>
      <c r="AA8" s="16" t="n">
        <v>847.7</v>
      </c>
      <c r="AB8" s="16" t="n">
        <v>847.7</v>
      </c>
      <c r="AC8" s="16" t="n">
        <v>847.7</v>
      </c>
      <c r="AD8" s="16" t="n">
        <v>847.7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847.7</v>
      </c>
      <c r="U9" s="17" t="n">
        <v>847.7</v>
      </c>
      <c r="V9" s="16" t="n">
        <v>847.7</v>
      </c>
      <c r="W9" s="16" t="n">
        <v>847.7</v>
      </c>
      <c r="X9" s="16" t="n">
        <v>847.7</v>
      </c>
      <c r="Y9" s="16" t="n">
        <v>847.7</v>
      </c>
      <c r="Z9" s="11" t="n"/>
      <c r="AA9" s="16" t="n">
        <v>847.7</v>
      </c>
      <c r="AB9" s="16" t="n">
        <v>847.7</v>
      </c>
      <c r="AC9" s="16" t="n">
        <v>847.7</v>
      </c>
      <c r="AD9" s="16" t="n">
        <v>847.7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1509.74</v>
      </c>
      <c r="U10" s="17" t="n">
        <v>1689.95</v>
      </c>
      <c r="V10" s="16" t="n">
        <v>1503.27</v>
      </c>
      <c r="W10" s="16" t="n">
        <v>1503.27</v>
      </c>
      <c r="X10" s="16" t="n">
        <v>1503.27</v>
      </c>
      <c r="Y10" s="16" t="n">
        <v>1503.27</v>
      </c>
      <c r="Z10" s="11" t="n"/>
      <c r="AA10" s="16" t="n">
        <v>1503.27</v>
      </c>
      <c r="AB10" s="16" t="n">
        <v>1503.27</v>
      </c>
      <c r="AC10" s="16" t="n">
        <v>1503.27</v>
      </c>
      <c r="AD10" s="16" t="n">
        <v>1503.27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1503.27</v>
      </c>
      <c r="U11" s="17" t="n">
        <v>1503.27</v>
      </c>
      <c r="V11" s="16" t="n">
        <v>1503.27</v>
      </c>
      <c r="W11" s="16" t="n">
        <v>1503.27</v>
      </c>
      <c r="X11" s="16" t="n">
        <v>1503.27</v>
      </c>
      <c r="Y11" s="16" t="n">
        <v>1503.27</v>
      </c>
      <c r="Z11" s="11" t="n"/>
      <c r="AA11" s="16" t="n">
        <v>1503.27</v>
      </c>
      <c r="AB11" s="16" t="n">
        <v>1503.27</v>
      </c>
      <c r="AC11" s="16" t="n">
        <v>1503.27</v>
      </c>
      <c r="AD11" s="16" t="n">
        <v>1503.27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200.69</v>
      </c>
      <c r="U12" s="17" t="n">
        <v>213.75</v>
      </c>
      <c r="V12" s="16" t="n">
        <v>200.46</v>
      </c>
      <c r="W12" s="16" t="n">
        <v>200.46</v>
      </c>
      <c r="X12" s="16" t="n">
        <v>200.46</v>
      </c>
      <c r="Y12" s="16" t="n">
        <v>200.46</v>
      </c>
      <c r="Z12" s="11" t="n"/>
      <c r="AA12" s="16" t="n">
        <v>200.46</v>
      </c>
      <c r="AB12" s="16" t="n">
        <v>200.46</v>
      </c>
      <c r="AC12" s="16" t="n">
        <v>200.46</v>
      </c>
      <c r="AD12" s="16" t="n">
        <v>200.46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200.46</v>
      </c>
      <c r="U13" s="17" t="n">
        <v>200.46</v>
      </c>
      <c r="V13" s="16" t="n">
        <v>200.46</v>
      </c>
      <c r="W13" s="16" t="n">
        <v>200.46</v>
      </c>
      <c r="X13" s="16" t="n">
        <v>200.46</v>
      </c>
      <c r="Y13" s="16" t="n">
        <v>200.46</v>
      </c>
      <c r="Z13" s="11" t="n"/>
      <c r="AA13" s="16" t="n">
        <v>200.46</v>
      </c>
      <c r="AB13" s="16" t="n">
        <v>200.46</v>
      </c>
      <c r="AC13" s="16" t="n">
        <v>200.46</v>
      </c>
      <c r="AD13" s="16" t="n">
        <v>200.46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20" t="n">
        <v>14060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20" t="n">
        <v>15320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20" t="n">
        <v>13240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20" t="n">
        <v>14344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0.500011114</v>
      </c>
      <c r="T21" s="24" t="n">
        <v>0.499980446</v>
      </c>
      <c r="U21" s="25" t="n"/>
      <c r="V21" s="24" t="n">
        <v>0.500004915</v>
      </c>
      <c r="W21" s="24" t="n">
        <v>0.499990273</v>
      </c>
      <c r="X21" s="24" t="n">
        <v>0.249979419</v>
      </c>
      <c r="Y21" s="24" t="n">
        <v>0.250009053</v>
      </c>
      <c r="Z21" s="25" t="n"/>
      <c r="AA21" s="24" t="n">
        <v>0.25</v>
      </c>
      <c r="AB21" s="24" t="n">
        <v>0.250007049</v>
      </c>
      <c r="AC21" s="24" t="n">
        <v>0.125004116</v>
      </c>
      <c r="AD21" s="24" t="n">
        <v>0.125003621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$D$52</f>
        <v/>
      </c>
      <c r="T22" s="26">
        <f>$D$52</f>
        <v/>
      </c>
      <c r="U22" s="25">
        <f>IFERROR(subQ!U8/subQ!U5,"")</f>
        <v/>
      </c>
      <c r="V22" s="26">
        <f>$D$52</f>
        <v/>
      </c>
      <c r="W22" s="26">
        <f>$D$52</f>
        <v/>
      </c>
      <c r="X22" s="26">
        <f>$D$52</f>
        <v/>
      </c>
      <c r="Y22" s="26">
        <f>$D$52</f>
        <v/>
      </c>
      <c r="Z22" s="25">
        <f>IFERROR(subQ!Z8/subQ!Z5,"")</f>
        <v/>
      </c>
      <c r="AA22" s="26">
        <f>$D$52</f>
        <v/>
      </c>
      <c r="AB22" s="26">
        <f>$D$52</f>
        <v/>
      </c>
      <c r="AC22" s="26">
        <f>$D$52</f>
        <v/>
      </c>
      <c r="AD22" s="26">
        <f>$D$52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0.156705359</v>
      </c>
      <c r="T23" s="24" t="n">
        <v>0.156690205</v>
      </c>
      <c r="U23" s="25">
        <f>IFERROR(subQ!U9/subQ!U5,"")</f>
        <v/>
      </c>
      <c r="V23" s="24" t="n">
        <v>0.156678184</v>
      </c>
      <c r="W23" s="24" t="n">
        <v>0.156680858</v>
      </c>
      <c r="X23" s="24" t="n">
        <v>0.156683242</v>
      </c>
      <c r="Y23" s="24" t="n">
        <v>0.156696312</v>
      </c>
      <c r="Z23" s="25">
        <f>IFERROR(subQ!Z9/subQ!Z5,"")</f>
        <v/>
      </c>
      <c r="AA23" s="24" t="n">
        <v>0.156702014</v>
      </c>
      <c r="AB23" s="24" t="n">
        <v>0.156696892</v>
      </c>
      <c r="AC23" s="24" t="n">
        <v>0.156689986</v>
      </c>
      <c r="AD23" s="24" t="n">
        <v>0.156692589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9">
        <f>subQ!R15</f>
        <v/>
      </c>
      <c r="S26" s="30" t="n">
        <v>0</v>
      </c>
      <c r="T26" s="30" t="n">
        <v>0</v>
      </c>
      <c r="U26" s="31">
        <f>subQ!U15</f>
        <v/>
      </c>
      <c r="V26" s="30" t="n">
        <v>0</v>
      </c>
      <c r="W26" s="30" t="n">
        <v>0</v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9">
        <f>subQ!R16</f>
        <v/>
      </c>
      <c r="S27" s="30" t="n">
        <v>0</v>
      </c>
      <c r="T27" s="30" t="n">
        <v>0</v>
      </c>
      <c r="U27" s="31">
        <f>subQ!U16</f>
        <v/>
      </c>
      <c r="V27" s="30" t="n">
        <v>0</v>
      </c>
      <c r="W27" s="30" t="n">
        <v>0</v>
      </c>
      <c r="X27" s="30" t="n">
        <v>0</v>
      </c>
      <c r="Y27" s="30" t="n">
        <v>0</v>
      </c>
      <c r="Z27" s="31">
        <f>subQ!Z16</f>
        <v/>
      </c>
      <c r="AA27" s="30" t="n">
        <v>0</v>
      </c>
      <c r="AB27" s="30" t="n">
        <v>0</v>
      </c>
      <c r="AC27" s="30" t="n">
        <v>0</v>
      </c>
      <c r="AD27" s="30" t="n">
        <v>0</v>
      </c>
      <c r="AE27" s="31">
        <f>subQ!AE16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3">
        <f>IFERROR(subQ!R18/subQ!R17,"")</f>
        <v/>
      </c>
      <c r="S28" s="26">
        <f>$D$51</f>
        <v/>
      </c>
      <c r="T28" s="26">
        <f>$D$51</f>
        <v/>
      </c>
      <c r="U28" s="25">
        <f>IFERROR(subQ!U18/subQ!U17,"")</f>
        <v/>
      </c>
      <c r="V28" s="26">
        <f>$D$51</f>
        <v/>
      </c>
      <c r="W28" s="26">
        <f>$D$51</f>
        <v/>
      </c>
      <c r="X28" s="26">
        <f>$D$51</f>
        <v/>
      </c>
      <c r="Y28" s="26">
        <f>$D$51</f>
        <v/>
      </c>
      <c r="Z28" s="25">
        <f>IFERROR(subQ!Z18/subQ!Z17,"")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IFERROR(subQ!AE18/subQ!AE17,"")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3">
        <f>IFERROR(subQ!R20/subQ!R19,"")</f>
        <v/>
      </c>
      <c r="S29" s="26">
        <f>$D$53</f>
        <v/>
      </c>
      <c r="T29" s="26">
        <f>$D$53</f>
        <v/>
      </c>
      <c r="U29" s="25">
        <f>IFERROR(subQ!U20/subQ!U19,"")</f>
        <v/>
      </c>
      <c r="V29" s="26">
        <f>$D$53</f>
        <v/>
      </c>
      <c r="W29" s="26">
        <f>$D$53</f>
        <v/>
      </c>
      <c r="X29" s="26">
        <f>$D$53</f>
        <v/>
      </c>
      <c r="Y29" s="26">
        <f>$D$53</f>
        <v/>
      </c>
      <c r="Z29" s="25">
        <f>IFERROR(subQ!Z20/subQ!Z19,"")</f>
        <v/>
      </c>
      <c r="AA29" s="26">
        <f>$D$53</f>
        <v/>
      </c>
      <c r="AB29" s="26">
        <f>$D$53</f>
        <v/>
      </c>
      <c r="AC29" s="26">
        <f>$D$53</f>
        <v/>
      </c>
      <c r="AD29" s="26">
        <f>$D$53</f>
        <v/>
      </c>
      <c r="AE29" s="25">
        <f>IFERROR(subQ!AE20/subQ!AE19,"")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9">
        <f>subQ!R21</f>
        <v/>
      </c>
      <c r="S30" s="30" t="n">
        <v>5.44</v>
      </c>
      <c r="T30" s="30" t="n">
        <v>5.44</v>
      </c>
      <c r="U30" s="31">
        <f>subQ!U21</f>
        <v/>
      </c>
      <c r="V30" s="30" t="n">
        <v>5.44</v>
      </c>
      <c r="W30" s="30" t="n">
        <v>5.44</v>
      </c>
      <c r="X30" s="30" t="n">
        <v>5.44</v>
      </c>
      <c r="Y30" s="30" t="n">
        <v>5.44</v>
      </c>
      <c r="Z30" s="31">
        <f>subQ!Z21</f>
        <v/>
      </c>
      <c r="AA30" s="30" t="n">
        <v>5.44</v>
      </c>
      <c r="AB30" s="30" t="n">
        <v>5.44</v>
      </c>
      <c r="AC30" s="30" t="n">
        <v>5.44</v>
      </c>
      <c r="AD30" s="30" t="n">
        <v>5.44</v>
      </c>
      <c r="AE30" s="31">
        <f>subQ!AE21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3">
        <f>IFERROR(subQ!R24/subQ!Q24-1,"")</f>
        <v/>
      </c>
      <c r="S31" s="24" t="n">
        <v>2.152e-06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9">
        <f>IFERROR(subQ!Q25+subQ!R19-subQ!R25,"")</f>
        <v/>
      </c>
      <c r="S32" s="30" t="n">
        <v>0.008280558</v>
      </c>
      <c r="T32" s="30" t="n">
        <v>-0.003454362</v>
      </c>
      <c r="U32" s="31" t="n"/>
      <c r="V32" s="30" t="n">
        <v>-0.005257215</v>
      </c>
      <c r="W32" s="30" t="n">
        <v>0.000856008</v>
      </c>
      <c r="X32" s="30" t="n">
        <v>-0.006339444</v>
      </c>
      <c r="Y32" s="30" t="n">
        <v>0.002822079</v>
      </c>
      <c r="Z32" s="31" t="n"/>
      <c r="AA32" s="30" t="n">
        <v>0.00471339</v>
      </c>
      <c r="AB32" s="30" t="n">
        <v>-0.002390202</v>
      </c>
      <c r="AC32" s="30" t="n">
        <v>-0.000648051</v>
      </c>
      <c r="AD32" s="30" t="n">
        <v>-0.005174799</v>
      </c>
      <c r="AE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9">
        <f>IFERROR(subQ!Q26+subQ!R20-subQ!R26,"")</f>
        <v/>
      </c>
      <c r="S33" s="30" t="n">
        <v>0.008280558</v>
      </c>
      <c r="T33" s="30" t="n">
        <v>-0.003454362</v>
      </c>
      <c r="U33" s="31" t="n"/>
      <c r="V33" s="30" t="n">
        <v>-0.005257215</v>
      </c>
      <c r="W33" s="30" t="n">
        <v>0.000856008</v>
      </c>
      <c r="X33" s="30" t="n">
        <v>-0.006339444</v>
      </c>
      <c r="Y33" s="30" t="n">
        <v>0.002822079</v>
      </c>
      <c r="Z33" s="31" t="n"/>
      <c r="AA33" s="30" t="n">
        <v>0.00471339</v>
      </c>
      <c r="AB33" s="30" t="n">
        <v>-0.002390202</v>
      </c>
      <c r="AC33" s="30" t="n">
        <v>-0.000648051</v>
      </c>
      <c r="AD33" s="30" t="n">
        <v>-0.005174799</v>
      </c>
      <c r="AE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3">
        <f>IFERROR(subQ!R27/subQ!Q27-1,"")</f>
        <v/>
      </c>
      <c r="S34" s="24" t="n">
        <v>3.14e-06</v>
      </c>
      <c r="T34" s="24" t="n">
        <v>0</v>
      </c>
      <c r="U34" s="25" t="n"/>
      <c r="V34" s="24" t="n">
        <v>0</v>
      </c>
      <c r="W34" s="24" t="n">
        <v>0</v>
      </c>
      <c r="X34" s="24" t="n">
        <v>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3">
        <f>IFERROR(subQ!R28/subQ!Q28-1,"")</f>
        <v/>
      </c>
      <c r="S35" s="24" t="n">
        <v>0.152109252</v>
      </c>
      <c r="T35" s="24" t="n">
        <v>0.120242258</v>
      </c>
      <c r="U35" s="25" t="n"/>
      <c r="V35" s="24" t="n">
        <v>0.08788201</v>
      </c>
      <c r="W35" s="24" t="n">
        <v>0.075355568</v>
      </c>
      <c r="X35" s="24" t="n">
        <v>0.085138062</v>
      </c>
      <c r="Y35" s="24" t="n">
        <v>0.06787362600000001</v>
      </c>
      <c r="Z35" s="25" t="n"/>
      <c r="AA35" s="24" t="n">
        <v>0.045437859</v>
      </c>
      <c r="AB35" s="24" t="n">
        <v>0.038068028</v>
      </c>
      <c r="AC35" s="24" t="n">
        <v>0.060135925</v>
      </c>
      <c r="AD35" s="24" t="n">
        <v>0.04696361</v>
      </c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3">
        <f>IFERROR(subQ!R29/subQ!Q29-1,"")</f>
        <v/>
      </c>
      <c r="S36" s="24" t="n">
        <v>-0.377487388</v>
      </c>
      <c r="T36" s="24" t="n">
        <v>-0.552257914</v>
      </c>
      <c r="U36" s="25" t="n"/>
      <c r="V36" s="24" t="n">
        <v>-1.009877827</v>
      </c>
      <c r="W36" s="24" t="n">
        <v>95.36842105300001</v>
      </c>
      <c r="X36" s="24" t="n">
        <v>1.202348443</v>
      </c>
      <c r="Y36" s="24" t="n">
        <v>0.472287663</v>
      </c>
      <c r="Z36" s="25" t="n"/>
      <c r="AA36" s="24" t="n">
        <v>0.229324575</v>
      </c>
      <c r="AB36" s="24" t="n">
        <v>0.163389738</v>
      </c>
      <c r="AC36" s="24" t="n">
        <v>0.230302673</v>
      </c>
      <c r="AD36" s="24" t="n">
        <v>0.154980137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3">
        <f>IFERROR(subQ!R30/subQ!Q30-1,"")</f>
        <v/>
      </c>
      <c r="S37" s="32" t="n"/>
      <c r="T37" s="32" t="n"/>
      <c r="U37" s="25" t="n"/>
      <c r="V37" s="32" t="n"/>
      <c r="W37" s="32" t="n"/>
      <c r="X37" s="32" t="n"/>
      <c r="Y37" s="32" t="n"/>
      <c r="Z37" s="25" t="n"/>
      <c r="AA37" s="32" t="n"/>
      <c r="AB37" s="32" t="n"/>
      <c r="AC37" s="32" t="n"/>
      <c r="AD37" s="32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3">
        <f>IFERROR(subQ!R31/subQ!M31-1,"")</f>
        <v/>
      </c>
      <c r="S38" s="24" t="n">
        <v>0.008530378</v>
      </c>
      <c r="T38" s="24" t="n">
        <v>-0.121264214</v>
      </c>
      <c r="U38" s="25" t="n"/>
      <c r="V38" s="24" t="n">
        <v>-0.008295171</v>
      </c>
      <c r="W38" s="24" t="n">
        <v>0.500317412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3">
        <f>IFERROR(subQ!R32/subQ!M32-1,"")</f>
        <v/>
      </c>
      <c r="S39" s="32" t="n"/>
      <c r="T39" s="32" t="n"/>
      <c r="U39" s="25" t="n"/>
      <c r="V39" s="32" t="n"/>
      <c r="W39" s="32" t="n"/>
      <c r="X39" s="32" t="n"/>
      <c r="Y39" s="32" t="n"/>
      <c r="Z39" s="25" t="n"/>
      <c r="AA39" s="32" t="n"/>
      <c r="AB39" s="32" t="n"/>
      <c r="AC39" s="32" t="n"/>
      <c r="AD39" s="32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3">
        <f>IFERROR(subQ!R33/subQ!Q33-1,"")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9">
        <f>subQ!R36</f>
        <v/>
      </c>
      <c r="S41" s="33" t="n"/>
      <c r="T41" s="30" t="n">
        <v>0</v>
      </c>
      <c r="U41" s="31">
        <f>subQ!U36</f>
        <v/>
      </c>
      <c r="V41" s="33" t="n"/>
      <c r="W41" s="33" t="n"/>
      <c r="X41" s="33" t="n"/>
      <c r="Y41" s="30" t="n">
        <v>0</v>
      </c>
      <c r="Z41" s="31">
        <f>subQ!Z36</f>
        <v/>
      </c>
      <c r="AA41" s="33" t="n"/>
      <c r="AB41" s="33" t="n"/>
      <c r="AC41" s="33" t="n"/>
      <c r="AD41" s="30" t="n">
        <v>0</v>
      </c>
      <c r="AE41" s="31">
        <f>subQ!AE36</f>
        <v/>
      </c>
    </row>
    <row r="42"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14060</v>
      </c>
      <c r="E44" s="2" t="inlineStr">
        <is>
          <t>원 — 네이버 정규장 종가(aik 확정종가 대조 · aik 14,300원)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31.9배가 캡 5~30 밖 — 턴어라운드 초기 TTM EPS 왜곡)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0.05039228098444305</v>
      </c>
      <c r="E51" s="2" t="inlineStr">
        <is>
          <t>연결 — 법인세 = MAX(세전,0) × 세율(역산, 재현 오차 ≤ 0.05억 · 모델 assumptions 0.0504) · 최근 11분기 유효세율 32.5% 가 5~27% 밖 → 클립 대신 최근 8분기 중 세전 &gt; 0 인 7분기(2024Q3~2026Q2)의 법인세/세전 중위 5.0%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0.08233129545388691</v>
      </c>
      <c r="E52" s="2" t="inlineStr">
        <is>
          <t>연결 — 판관비 = 매출액 × 판관비율(역산, 재현 오차 ≤ 0.05억 · 모델 assumptions 0.0823)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0.02322673466107197</v>
      </c>
      <c r="E54" s="2" t="inlineStr">
        <is>
          <t>연결 — 이자손익 = (전분기 이자발생자산 × 자산이자율 − 전분기 총차입금 × 부채이자율)/4(역산, 재현 오차 ≤ 0.05억 · 모델 assumptions 0.0232)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0.01390114246265361</v>
      </c>
      <c r="E55" s="2" t="inlineStr">
        <is>
          <t>연결 — 같은 수식의 부채 쪽(총차입금 행이 없으면 0)(역산, 재현 오차 ≤ 0.05억 · 모델 assumptions 0.0139)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R59" s="5" t="n"/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7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7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7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7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7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7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7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7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7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7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7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7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7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7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7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7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7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7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7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7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7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7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7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7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7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7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7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7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7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7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7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7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7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7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7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7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7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7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7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7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7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7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7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7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7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7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7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7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7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7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7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7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7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7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7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7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7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7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7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7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7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7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7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7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7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7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7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7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7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7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7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7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7" t="n">
        <v>7130</v>
      </c>
      <c r="G29" s="18" t="n">
        <v>7170</v>
      </c>
      <c r="H29" s="18" t="n">
        <v>7210</v>
      </c>
      <c r="I29" s="18" t="n">
        <v>6810</v>
      </c>
      <c r="J29" s="18" t="n">
        <v>6200</v>
      </c>
      <c r="K29" s="37" t="n">
        <v>6200</v>
      </c>
      <c r="L29" s="18" t="n">
        <v>6200</v>
      </c>
      <c r="M29" s="18" t="n">
        <v>0</v>
      </c>
      <c r="N29" s="18" t="n">
        <v>0</v>
      </c>
      <c r="O29" s="18" t="n">
        <v>31760.11</v>
      </c>
      <c r="P29" s="37" t="n">
        <v>31760.11</v>
      </c>
      <c r="Q29" s="18" t="n">
        <v>31604.61</v>
      </c>
      <c r="R29" s="19" t="n">
        <v>33133.33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7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7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7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7" t="n">
        <v>530</v>
      </c>
      <c r="G31" s="18" t="n">
        <v>570</v>
      </c>
      <c r="H31" s="18" t="n">
        <v>610</v>
      </c>
      <c r="I31" s="18" t="n">
        <v>6810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7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7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7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7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7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7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7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7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7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7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7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7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7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7" t="n">
        <v>28025.59</v>
      </c>
      <c r="L36" s="18" t="n">
        <v>28550.59</v>
      </c>
      <c r="M36" s="18" t="n">
        <v>28607.98</v>
      </c>
      <c r="O36" s="18" t="n">
        <v>28644.45</v>
      </c>
      <c r="P36" s="37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7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7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7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7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7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7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7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7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7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7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7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7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7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7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7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7" t="n">
        <v>9195.540000000001</v>
      </c>
      <c r="G42" s="18" t="n">
        <v>9176.84</v>
      </c>
      <c r="H42" s="18" t="n">
        <v>9296.52</v>
      </c>
      <c r="I42" s="18" t="n">
        <v>8765.32</v>
      </c>
      <c r="J42" s="18" t="n">
        <v>13414.72</v>
      </c>
      <c r="K42" s="37" t="n">
        <v>13414.72</v>
      </c>
      <c r="L42" s="18" t="n">
        <v>32794.8</v>
      </c>
      <c r="M42" s="18" t="n">
        <v>29318.2</v>
      </c>
      <c r="N42" s="18" t="n">
        <v>29651.17</v>
      </c>
      <c r="O42" s="18" t="n">
        <v>63291.96</v>
      </c>
      <c r="P42" s="37" t="n">
        <v>63291.96</v>
      </c>
      <c r="Q42" s="18" t="n">
        <v>53226.01</v>
      </c>
      <c r="R42" s="19" t="n">
        <v>47777.85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7" t="n">
        <v>1946.59</v>
      </c>
      <c r="G43" s="18" t="n">
        <v>1230.16</v>
      </c>
      <c r="H43" s="18" t="n">
        <v>1535.72</v>
      </c>
      <c r="I43" s="18" t="n">
        <v>2902.58</v>
      </c>
      <c r="J43" s="18" t="n">
        <v>4823.3</v>
      </c>
      <c r="K43" s="37" t="n">
        <v>4823.3</v>
      </c>
      <c r="L43" s="18" t="n">
        <v>25966.84</v>
      </c>
      <c r="M43" s="18" t="n">
        <v>13513.92</v>
      </c>
      <c r="N43" s="18" t="n">
        <v>23063.34</v>
      </c>
      <c r="O43" s="18" t="n">
        <v>41136.23</v>
      </c>
      <c r="P43" s="37" t="n">
        <v>41136.23</v>
      </c>
      <c r="Q43" s="18" t="n">
        <v>39162.32</v>
      </c>
      <c r="R43" s="19" t="n">
        <v>34251.96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7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7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7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7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7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7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N48" s="18" t="n">
        <v>10473.85</v>
      </c>
      <c r="O48" s="18" t="n">
        <v>10904.96</v>
      </c>
      <c r="P48" s="37" t="n">
        <v>10904.96</v>
      </c>
      <c r="Q48" s="18" t="n">
        <v>3405.39</v>
      </c>
      <c r="R48" s="19" t="n">
        <v>0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7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7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7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7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7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7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7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7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7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7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7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7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7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7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7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7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7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7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7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7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7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7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7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7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7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7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7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7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7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7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7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7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7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7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7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이자수익</t>
        </is>
      </c>
      <c r="E67" s="18" t="n">
        <v>99.22</v>
      </c>
      <c r="F67" s="9" t="n"/>
      <c r="G67" s="18" t="n">
        <v>53.26</v>
      </c>
      <c r="H67" s="18" t="n">
        <v>55.73</v>
      </c>
      <c r="I67" s="18" t="n">
        <v>58.56</v>
      </c>
      <c r="J67" s="18" t="n">
        <v>65.69</v>
      </c>
      <c r="K67" s="37" t="n">
        <v>233.24</v>
      </c>
      <c r="L67" s="18" t="n">
        <v>56.65</v>
      </c>
      <c r="M67" s="18" t="n">
        <v>70.64</v>
      </c>
      <c r="N67" s="18" t="n">
        <v>-57.28</v>
      </c>
      <c r="O67" s="18" t="n">
        <v>110.02</v>
      </c>
      <c r="P67" s="37" t="n">
        <v>180.03</v>
      </c>
      <c r="Q67" s="18" t="n">
        <v>41.58</v>
      </c>
      <c r="R67" s="19" t="n">
        <v>134.32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이자비용</t>
        </is>
      </c>
      <c r="E68" s="18" t="n">
        <v>373.78</v>
      </c>
      <c r="F68" s="9" t="n"/>
      <c r="G68" s="18" t="n">
        <v>92.09</v>
      </c>
      <c r="H68" s="18" t="n">
        <v>91.88</v>
      </c>
      <c r="I68" s="18" t="n">
        <v>85.83</v>
      </c>
      <c r="J68" s="18" t="n">
        <v>-7.74</v>
      </c>
      <c r="K68" s="37" t="n">
        <v>262.06</v>
      </c>
      <c r="L68" s="18" t="n">
        <v>39.6</v>
      </c>
      <c r="M68" s="18" t="n">
        <v>59.97</v>
      </c>
      <c r="N68" s="18" t="n">
        <v>-99.56999999999999</v>
      </c>
      <c r="P68" s="9" t="n"/>
      <c r="R68" s="19" t="n">
        <v>285.81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외환차익</t>
        </is>
      </c>
      <c r="E69" s="18" t="n">
        <v>67.59999999999999</v>
      </c>
      <c r="F69" s="9" t="n"/>
      <c r="G69" s="18" t="n">
        <v>68.59999999999999</v>
      </c>
      <c r="H69" s="18" t="n">
        <v>101.73</v>
      </c>
      <c r="I69" s="18" t="n">
        <v>12.15</v>
      </c>
      <c r="J69" s="18" t="n">
        <v>136.12</v>
      </c>
      <c r="K69" s="37" t="n">
        <v>318.6</v>
      </c>
      <c r="L69" s="18" t="n">
        <v>19.11</v>
      </c>
      <c r="M69" s="18" t="n">
        <v>8.58</v>
      </c>
      <c r="N69" s="18" t="n">
        <v>172.83</v>
      </c>
      <c r="O69" s="18" t="n">
        <v>250.71</v>
      </c>
      <c r="P69" s="37" t="n">
        <v>451.23</v>
      </c>
      <c r="Q69" s="18" t="n">
        <v>196.88</v>
      </c>
      <c r="R69" s="19" t="n">
        <v>281.84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외환차손</t>
        </is>
      </c>
      <c r="E70" s="18" t="n">
        <v>70.06</v>
      </c>
      <c r="F70" s="9" t="n"/>
      <c r="G70" s="18" t="n">
        <v>25.03</v>
      </c>
      <c r="H70" s="18" t="n">
        <v>29.17</v>
      </c>
      <c r="I70" s="18" t="n">
        <v>80.09</v>
      </c>
      <c r="J70" s="18" t="n">
        <v>46.06</v>
      </c>
      <c r="K70" s="37" t="n">
        <v>180.35</v>
      </c>
      <c r="L70" s="18" t="n">
        <v>59.42</v>
      </c>
      <c r="M70" s="18" t="n">
        <v>211.8</v>
      </c>
      <c r="N70" s="18" t="n">
        <v>85.58</v>
      </c>
      <c r="O70" s="18" t="n">
        <v>20.05</v>
      </c>
      <c r="P70" s="37" t="n">
        <v>376.85</v>
      </c>
      <c r="Q70" s="18" t="n">
        <v>61.3</v>
      </c>
      <c r="R70" s="19" t="n">
        <v>60.34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외화환산이익</t>
        </is>
      </c>
      <c r="E71" s="18" t="n">
        <v>-64.06999999999999</v>
      </c>
      <c r="F71" s="9" t="n"/>
      <c r="G71" s="18" t="n">
        <v>56.01</v>
      </c>
      <c r="H71" s="18" t="n">
        <v>49.01</v>
      </c>
      <c r="I71" s="18" t="n">
        <v>-45.41</v>
      </c>
      <c r="J71" s="18" t="n">
        <v>109.34</v>
      </c>
      <c r="K71" s="37" t="n">
        <v>168.95</v>
      </c>
      <c r="L71" s="18" t="n">
        <v>47.13</v>
      </c>
      <c r="M71" s="18" t="n">
        <v>-42.3</v>
      </c>
      <c r="N71" s="18" t="n">
        <v>70.2</v>
      </c>
      <c r="O71" s="18" t="n">
        <v>-58.16</v>
      </c>
      <c r="P71" s="37" t="n">
        <v>16.87</v>
      </c>
      <c r="Q71" s="18" t="n">
        <v>298.74</v>
      </c>
      <c r="R71" s="19" t="n">
        <v>-54.94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외화환산손실</t>
        </is>
      </c>
      <c r="E72" s="18" t="n">
        <v>28.45</v>
      </c>
      <c r="F72" s="9" t="n"/>
      <c r="H72" s="18" t="n">
        <v>0.16</v>
      </c>
      <c r="I72" s="18" t="n">
        <v>114.71</v>
      </c>
      <c r="K72" s="9" t="n"/>
      <c r="L72" s="18" t="n">
        <v>0.01</v>
      </c>
      <c r="M72" s="18" t="n">
        <v>127.45</v>
      </c>
      <c r="N72" s="18" t="n">
        <v>0.07000000000000001</v>
      </c>
      <c r="O72" s="18" t="n">
        <v>106.94</v>
      </c>
      <c r="P72" s="37" t="n">
        <v>234.47</v>
      </c>
      <c r="R72" s="19" t="n">
        <v>0.03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이자손익</t>
        </is>
      </c>
      <c r="E73" s="18" t="n">
        <v>-274.56</v>
      </c>
      <c r="F73" s="9" t="n"/>
      <c r="G73" s="18" t="n">
        <v>-38.83</v>
      </c>
      <c r="H73" s="18" t="n">
        <v>-36.15</v>
      </c>
      <c r="I73" s="18" t="n">
        <v>-27.27</v>
      </c>
      <c r="J73" s="18" t="n">
        <v>73.43000000000001</v>
      </c>
      <c r="K73" s="37" t="n">
        <v>-28.82</v>
      </c>
      <c r="L73" s="18" t="n">
        <v>17.05</v>
      </c>
      <c r="M73" s="18" t="n">
        <v>10.67</v>
      </c>
      <c r="N73" s="18" t="n">
        <v>42.29</v>
      </c>
      <c r="P73" s="9" t="n"/>
      <c r="R73" s="19" t="n">
        <v>-151.49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파생상품이익</t>
        </is>
      </c>
      <c r="F74" s="9" t="n"/>
      <c r="K74" s="9" t="n"/>
      <c r="M74" s="18" t="n">
        <v>4557.25</v>
      </c>
      <c r="N74" s="18" t="n">
        <v>0</v>
      </c>
      <c r="O74" s="18" t="n">
        <v>-2981.47</v>
      </c>
      <c r="P74" s="9" t="n"/>
      <c r="Q74" s="18" t="n">
        <v>5889.45</v>
      </c>
      <c r="R74" s="19" t="n">
        <v>13231.27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파생상품손실</t>
        </is>
      </c>
      <c r="F75" s="9" t="n"/>
      <c r="K75" s="9" t="n"/>
      <c r="M75" s="18" t="n">
        <v>1063.84</v>
      </c>
      <c r="N75" s="18" t="n">
        <v>116.88</v>
      </c>
      <c r="O75" s="18" t="n">
        <v>-498.62</v>
      </c>
      <c r="P75" s="9" t="n"/>
      <c r="Q75" s="18" t="n">
        <v>17966.75</v>
      </c>
      <c r="R75" s="19" t="n">
        <v>12408.05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영업활동으로인한현금흐름</t>
        </is>
      </c>
      <c r="E76" s="18" t="n">
        <v>5371.93</v>
      </c>
      <c r="F76" s="9" t="n"/>
      <c r="G76" s="18" t="n">
        <v>880.76</v>
      </c>
      <c r="H76" s="18" t="n">
        <v>509.35</v>
      </c>
      <c r="I76" s="18" t="n">
        <v>-968.6799999999999</v>
      </c>
      <c r="J76" s="18" t="n">
        <v>1781.89</v>
      </c>
      <c r="K76" s="37" t="n">
        <v>2203.32</v>
      </c>
      <c r="L76" s="18" t="n">
        <v>1109.51</v>
      </c>
      <c r="M76" s="18" t="n">
        <v>281.19</v>
      </c>
      <c r="N76" s="18" t="n">
        <v>129.69</v>
      </c>
      <c r="O76" s="18" t="n">
        <v>-92.40000000000001</v>
      </c>
      <c r="P76" s="37" t="n">
        <v>1427.99</v>
      </c>
      <c r="Q76" s="18" t="n">
        <v>1025.69</v>
      </c>
      <c r="R76" s="19" t="n">
        <v>4395.66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감가상각비</t>
        </is>
      </c>
      <c r="E77" s="18" t="n">
        <v>586.9</v>
      </c>
      <c r="F77" s="9" t="n"/>
      <c r="G77" s="18" t="n">
        <v>565.9400000000001</v>
      </c>
      <c r="H77" s="18" t="n">
        <v>568.1900000000001</v>
      </c>
      <c r="I77" s="18" t="n">
        <v>585.04</v>
      </c>
      <c r="J77" s="18" t="n">
        <v>580.98</v>
      </c>
      <c r="K77" s="37" t="n">
        <v>2300.15</v>
      </c>
      <c r="L77" s="18" t="n">
        <v>566.04</v>
      </c>
      <c r="M77" s="18" t="n">
        <v>560.7</v>
      </c>
      <c r="N77" s="18" t="n">
        <v>547.75</v>
      </c>
      <c r="O77" s="18" t="n">
        <v>538.6799999999999</v>
      </c>
      <c r="P77" s="37" t="n">
        <v>2213.17</v>
      </c>
      <c r="Q77" s="18" t="n">
        <v>540.23</v>
      </c>
      <c r="R77" s="19" t="n">
        <v>697.71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무형자산상각비</t>
        </is>
      </c>
      <c r="E78" s="18" t="n">
        <v>4.56</v>
      </c>
      <c r="F78" s="9" t="n"/>
      <c r="G78" s="18" t="n">
        <v>4.07</v>
      </c>
      <c r="H78" s="18" t="n">
        <v>4.03</v>
      </c>
      <c r="I78" s="18" t="n">
        <v>4.93</v>
      </c>
      <c r="J78" s="18" t="n">
        <v>5.82</v>
      </c>
      <c r="K78" s="37" t="n">
        <v>18.85</v>
      </c>
      <c r="L78" s="18" t="n">
        <v>4.93</v>
      </c>
      <c r="M78" s="18" t="n">
        <v>5.3</v>
      </c>
      <c r="N78" s="18" t="n">
        <v>5.31</v>
      </c>
      <c r="O78" s="18" t="n">
        <v>5.31</v>
      </c>
      <c r="P78" s="37" t="n">
        <v>20.85</v>
      </c>
      <c r="Q78" s="18" t="n">
        <v>5.5</v>
      </c>
      <c r="R78" s="19" t="n">
        <v>5.69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이자수취(CF)</t>
        </is>
      </c>
      <c r="E79" s="18" t="n">
        <v>95.42</v>
      </c>
      <c r="F79" s="9" t="n"/>
      <c r="G79" s="18" t="n">
        <v>46.91</v>
      </c>
      <c r="H79" s="18" t="n">
        <v>49.16</v>
      </c>
      <c r="I79" s="18" t="n">
        <v>51.42</v>
      </c>
      <c r="J79" s="18" t="n">
        <v>58.89</v>
      </c>
      <c r="K79" s="37" t="n">
        <v>206.38</v>
      </c>
      <c r="L79" s="18" t="n">
        <v>50.12</v>
      </c>
      <c r="M79" s="18" t="n">
        <v>64.45999999999999</v>
      </c>
      <c r="N79" s="18" t="n">
        <v>222.18</v>
      </c>
      <c r="O79" s="18" t="n">
        <v>106.43</v>
      </c>
      <c r="P79" s="37" t="n">
        <v>443.19</v>
      </c>
      <c r="Q79" s="18" t="n">
        <v>36.58</v>
      </c>
      <c r="R79" s="19" t="n">
        <v>130.25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이자지급(CF)</t>
        </is>
      </c>
      <c r="E80" s="18" t="n">
        <v>-499.54</v>
      </c>
      <c r="F80" s="9" t="n"/>
      <c r="G80" s="18" t="n">
        <v>-92.33</v>
      </c>
      <c r="H80" s="18" t="n">
        <v>-93.42</v>
      </c>
      <c r="I80" s="18" t="n">
        <v>-90.18000000000001</v>
      </c>
      <c r="J80" s="18" t="n">
        <v>-197.56</v>
      </c>
      <c r="K80" s="37" t="n">
        <v>-473.49</v>
      </c>
      <c r="L80" s="18" t="n">
        <v>-485.67</v>
      </c>
      <c r="M80" s="18" t="n">
        <v>245.45</v>
      </c>
      <c r="N80" s="18" t="n">
        <v>-114.92</v>
      </c>
      <c r="O80" s="18" t="n">
        <v>-192.39</v>
      </c>
      <c r="P80" s="37" t="n">
        <v>-547.53</v>
      </c>
      <c r="Q80" s="18" t="n">
        <v>-217.77</v>
      </c>
      <c r="R80" s="19" t="n">
        <v>-255.56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법인세납부(CF)</t>
        </is>
      </c>
      <c r="E81" s="18" t="n">
        <v>-14.73</v>
      </c>
      <c r="F81" s="9" t="n"/>
      <c r="G81" s="18" t="n">
        <v>0</v>
      </c>
      <c r="H81" s="18" t="n">
        <v>-317.07</v>
      </c>
      <c r="I81" s="18" t="n">
        <v>-329.42</v>
      </c>
      <c r="J81" s="18" t="n">
        <v>-14.5</v>
      </c>
      <c r="K81" s="37" t="n">
        <v>-660.99</v>
      </c>
      <c r="L81" s="18" t="n">
        <v>-253.62</v>
      </c>
      <c r="M81" s="18" t="n">
        <v>-346.16</v>
      </c>
      <c r="N81" s="18" t="n">
        <v>-386.64</v>
      </c>
      <c r="O81" s="18" t="n">
        <v>-44.91</v>
      </c>
      <c r="P81" s="37" t="n">
        <v>-1031.33</v>
      </c>
      <c r="Q81" s="18" t="n">
        <v>-190.36</v>
      </c>
      <c r="R81" s="19" t="n">
        <v>-557.89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투자활동으로인한현금흐름</t>
        </is>
      </c>
      <c r="E82" s="18" t="n">
        <v>-5206.49</v>
      </c>
      <c r="F82" s="9" t="n"/>
      <c r="G82" s="18" t="n">
        <v>-1451.33</v>
      </c>
      <c r="H82" s="18" t="n">
        <v>687.5</v>
      </c>
      <c r="I82" s="18" t="n">
        <v>-370.6</v>
      </c>
      <c r="J82" s="18" t="n">
        <v>-3684.39</v>
      </c>
      <c r="K82" s="37" t="n">
        <v>-4818.82</v>
      </c>
      <c r="L82" s="18" t="n">
        <v>-24055.79</v>
      </c>
      <c r="M82" s="18" t="n">
        <v>-2991.95</v>
      </c>
      <c r="N82" s="18" t="n">
        <v>-164.82</v>
      </c>
      <c r="O82" s="18" t="n">
        <v>-7494.85</v>
      </c>
      <c r="P82" s="37" t="n">
        <v>-34707.41</v>
      </c>
      <c r="Q82" s="18" t="n">
        <v>-17413.94</v>
      </c>
      <c r="R82" s="19" t="n">
        <v>1753.85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유형자산의감소</t>
        </is>
      </c>
      <c r="E83" s="18" t="n">
        <v>0</v>
      </c>
      <c r="F83" s="9" t="n"/>
      <c r="G83" s="18" t="n">
        <v>0</v>
      </c>
      <c r="H83" s="18" t="n">
        <v>1.18</v>
      </c>
      <c r="I83" s="18" t="n">
        <v>0</v>
      </c>
      <c r="J83" s="18" t="n">
        <v>57</v>
      </c>
      <c r="K83" s="37" t="n">
        <v>58.18</v>
      </c>
      <c r="L83" s="18" t="n">
        <v>1.2</v>
      </c>
      <c r="M83" s="18" t="n">
        <v>0</v>
      </c>
      <c r="N83" s="18" t="n">
        <v>0</v>
      </c>
      <c r="O83" s="18" t="n">
        <v>0</v>
      </c>
      <c r="P83" s="37" t="n">
        <v>1.2</v>
      </c>
      <c r="Q83" s="18" t="n">
        <v>0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유형자산의증가</t>
        </is>
      </c>
      <c r="E84" s="18" t="n">
        <v>5288.06</v>
      </c>
      <c r="F84" s="9" t="n"/>
      <c r="G84" s="18" t="n">
        <v>166.07</v>
      </c>
      <c r="H84" s="18" t="n">
        <v>546.22</v>
      </c>
      <c r="I84" s="18" t="n">
        <v>408</v>
      </c>
      <c r="J84" s="18" t="n">
        <v>3760.97</v>
      </c>
      <c r="K84" s="37" t="n">
        <v>4881.26</v>
      </c>
      <c r="L84" s="18" t="n">
        <v>6886.75</v>
      </c>
      <c r="M84" s="18" t="n">
        <v>7420.45</v>
      </c>
      <c r="N84" s="18" t="n">
        <v>9209.440000000001</v>
      </c>
      <c r="O84" s="18" t="n">
        <v>10569.73</v>
      </c>
      <c r="P84" s="37" t="n">
        <v>34086.37</v>
      </c>
      <c r="Q84" s="18" t="n">
        <v>9361.98</v>
      </c>
      <c r="R84" s="19" t="n">
        <v>6186.32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CAPEX</t>
        </is>
      </c>
      <c r="E85" s="18" t="n">
        <v>5288.06</v>
      </c>
      <c r="F85" s="9" t="n"/>
      <c r="G85" s="18" t="n">
        <v>166.07</v>
      </c>
      <c r="H85" s="18" t="n">
        <v>546.22</v>
      </c>
      <c r="I85" s="18" t="n">
        <v>426</v>
      </c>
      <c r="J85" s="18" t="n">
        <v>3799.79</v>
      </c>
      <c r="K85" s="37" t="n">
        <v>4938.08</v>
      </c>
      <c r="L85" s="18" t="n">
        <v>6909.75</v>
      </c>
      <c r="M85" s="18" t="n">
        <v>8131.96</v>
      </c>
      <c r="N85" s="18" t="n">
        <v>9209.440000000001</v>
      </c>
      <c r="O85" s="18" t="n">
        <v>10569.73</v>
      </c>
      <c r="P85" s="37" t="n">
        <v>34820.88</v>
      </c>
      <c r="Q85" s="18" t="n">
        <v>9365.690000000001</v>
      </c>
      <c r="R85" s="19" t="n">
        <v>6190.69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18</v>
      </c>
      <c r="J86" s="18" t="n">
        <v>38.82</v>
      </c>
      <c r="K86" s="37" t="n">
        <v>56.82</v>
      </c>
      <c r="L86" s="18" t="n">
        <v>23</v>
      </c>
      <c r="M86" s="18" t="n">
        <v>711.51</v>
      </c>
      <c r="N86" s="18" t="n">
        <v>0</v>
      </c>
      <c r="O86" s="18" t="n">
        <v>0</v>
      </c>
      <c r="P86" s="37" t="n">
        <v>734.51</v>
      </c>
      <c r="Q86" s="18" t="n">
        <v>3.71</v>
      </c>
      <c r="R86" s="19" t="n">
        <v>4.37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재무활동으로인한현금흐름</t>
        </is>
      </c>
      <c r="E87" s="18" t="n">
        <v>4453.73</v>
      </c>
      <c r="F87" s="9" t="n"/>
      <c r="G87" s="18" t="n">
        <v>-74.88</v>
      </c>
      <c r="H87" s="18" t="n">
        <v>-39.55</v>
      </c>
      <c r="I87" s="18" t="n">
        <v>-556.5</v>
      </c>
      <c r="J87" s="18" t="n">
        <v>4628.89</v>
      </c>
      <c r="K87" s="37" t="n">
        <v>3957.96</v>
      </c>
      <c r="L87" s="18" t="n">
        <v>21182.82</v>
      </c>
      <c r="M87" s="18" t="n">
        <v>-487.81</v>
      </c>
      <c r="N87" s="18" t="n">
        <v>-106.68</v>
      </c>
      <c r="O87" s="18" t="n">
        <v>26282.58</v>
      </c>
      <c r="P87" s="37" t="n">
        <v>46870.91</v>
      </c>
      <c r="Q87" s="18" t="n">
        <v>223.78</v>
      </c>
      <c r="R87" s="19" t="n">
        <v>1381.74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차입금의증가</t>
        </is>
      </c>
      <c r="E88" s="18" t="n">
        <v>2600</v>
      </c>
      <c r="F88" s="9" t="n"/>
      <c r="G88" s="18" t="n">
        <v>0</v>
      </c>
      <c r="H88" s="18" t="n">
        <v>0</v>
      </c>
      <c r="I88" s="18" t="n">
        <v>0</v>
      </c>
      <c r="J88" s="18" t="n">
        <v>6000</v>
      </c>
      <c r="K88" s="37" t="n">
        <v>6000</v>
      </c>
      <c r="P88" s="9" t="n"/>
      <c r="Q88" s="18" t="n">
        <v>0</v>
      </c>
      <c r="R88" s="19" t="n">
        <v>8425.219999999999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차입금의감소</t>
        </is>
      </c>
      <c r="E89" s="18" t="n">
        <v>27600</v>
      </c>
      <c r="F89" s="9" t="n"/>
      <c r="I89" s="18" t="n">
        <v>450</v>
      </c>
      <c r="J89" s="18" t="n">
        <v>1400</v>
      </c>
      <c r="K89" s="9" t="n"/>
      <c r="N89" s="18" t="n">
        <v>50</v>
      </c>
      <c r="O89" s="18" t="n">
        <v>10800</v>
      </c>
      <c r="P89" s="9" t="n"/>
      <c r="Q89" s="18" t="n">
        <v>0</v>
      </c>
      <c r="R89" s="19" t="n">
        <v>166.67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리스부채의상환</t>
        </is>
      </c>
      <c r="E90" s="18" t="n">
        <v>106.41</v>
      </c>
      <c r="F90" s="9" t="n"/>
      <c r="G90" s="18" t="n">
        <v>89.68000000000001</v>
      </c>
      <c r="H90" s="18" t="n">
        <v>79.55</v>
      </c>
      <c r="I90" s="18" t="n">
        <v>106.5</v>
      </c>
      <c r="J90" s="18" t="n">
        <v>106.51</v>
      </c>
      <c r="K90" s="37" t="n">
        <v>382.24</v>
      </c>
      <c r="L90" s="18" t="n">
        <v>105.84</v>
      </c>
      <c r="M90" s="18" t="n">
        <v>104.71</v>
      </c>
      <c r="N90" s="18" t="n">
        <v>95.09999999999999</v>
      </c>
      <c r="O90" s="18" t="n">
        <v>89.92</v>
      </c>
      <c r="P90" s="37" t="n">
        <v>395.57</v>
      </c>
      <c r="Q90" s="18" t="n">
        <v>92.18000000000001</v>
      </c>
      <c r="R90" s="19" t="n">
        <v>67.95999999999999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현금및현금성자산의증감</t>
        </is>
      </c>
      <c r="E91" s="18" t="n">
        <v>4619.16</v>
      </c>
      <c r="F91" s="9" t="n"/>
      <c r="G91" s="18" t="n">
        <v>-645.45</v>
      </c>
      <c r="H91" s="18" t="n">
        <v>1157.3</v>
      </c>
      <c r="I91" s="18" t="n">
        <v>-1895.78</v>
      </c>
      <c r="J91" s="18" t="n">
        <v>2726.39</v>
      </c>
      <c r="K91" s="37" t="n">
        <v>1342.46</v>
      </c>
      <c r="L91" s="18" t="n">
        <v>-1763.46</v>
      </c>
      <c r="M91" s="18" t="n">
        <v>-3198.58</v>
      </c>
      <c r="N91" s="18" t="n">
        <v>-141.8</v>
      </c>
      <c r="O91" s="18" t="n">
        <v>18695.33</v>
      </c>
      <c r="P91" s="37" t="n">
        <v>13591.49</v>
      </c>
      <c r="Q91" s="18" t="n">
        <v>-16164.47</v>
      </c>
      <c r="R91" s="5" t="n"/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기말현금및현금성자산</t>
        </is>
      </c>
      <c r="E92" s="18" t="n">
        <v>4618.93</v>
      </c>
      <c r="F92" s="9" t="n"/>
      <c r="G92" s="18" t="n">
        <v>6603.65</v>
      </c>
      <c r="H92" s="18" t="n">
        <v>1157.15</v>
      </c>
      <c r="I92" s="18" t="n">
        <v>-1898.06</v>
      </c>
      <c r="J92" s="18" t="n">
        <v>2728.68</v>
      </c>
      <c r="K92" s="37" t="n">
        <v>8591.42</v>
      </c>
      <c r="L92" s="18" t="n">
        <v>6827.96</v>
      </c>
      <c r="M92" s="18" t="n">
        <v>-3198.58</v>
      </c>
      <c r="N92" s="18" t="n">
        <v>-141.04</v>
      </c>
      <c r="O92" s="18" t="n">
        <v>18657.35</v>
      </c>
      <c r="P92" s="37" t="n">
        <v>22145.69</v>
      </c>
      <c r="Q92" s="18" t="n">
        <v>6013.5</v>
      </c>
      <c r="R92" s="19" t="n">
        <v>7512.39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IFERROR(S12+S13+S14+S15,"")</f>
        <v/>
      </c>
      <c r="T11" s="20">
        <f>IFERROR(T12+T13+T14+T15,"")</f>
        <v/>
      </c>
      <c r="U11" s="38">
        <f>SUM(Q11:T11)</f>
        <v/>
      </c>
      <c r="V11" s="20">
        <f>IFERROR(V12+V13+V14+V15,"")</f>
        <v/>
      </c>
      <c r="W11" s="20">
        <f>IFERROR(W12+W13+W14+W15,"")</f>
        <v/>
      </c>
      <c r="X11" s="20">
        <f>IFERROR(X12+X13+X14+X15,"")</f>
        <v/>
      </c>
      <c r="Y11" s="20">
        <f>IFERROR(Y12+Y13+Y14+Y15,"")</f>
        <v/>
      </c>
      <c r="Z11" s="38">
        <f>SUM(V11:Y11)</f>
        <v/>
      </c>
      <c r="AA11" s="20">
        <f>IFERROR(AA12+AA13+AA14+AA15,"")</f>
        <v/>
      </c>
      <c r="AB11" s="20">
        <f>IFERROR(AB12+AB13+AB14+AB15,"")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 t="n"/>
      <c r="P12" s="37">
        <f>SUM(L12:O12)</f>
        <v/>
      </c>
      <c r="Q12" s="18" t="n"/>
      <c r="R12" s="19">
        <f>IFERROR(VLOOKUP($D12,BS별도,MATCH(R$1,BS별도H,0),0)/100,"")</f>
        <v/>
      </c>
      <c r="S12" s="20">
        <f>IFERROR((R29*변수!$D$54-R27*변수!$D$55)/4,"")</f>
        <v/>
      </c>
      <c r="T12" s="20">
        <f>IFERROR((S29*변수!$D$54-S27*변수!$D$55)/4,"")</f>
        <v/>
      </c>
      <c r="U12" s="38">
        <f>SUM(Q12:T12)</f>
        <v/>
      </c>
      <c r="V12" s="20">
        <f>IFERROR((T29*변수!$D$54-T27*변수!$D$55)/4,"")</f>
        <v/>
      </c>
      <c r="W12" s="20">
        <f>IFERROR((V29*변수!$D$54-V27*변수!$D$55)/4,"")</f>
        <v/>
      </c>
      <c r="X12" s="20">
        <f>IFERROR((W29*변수!$D$54-W27*변수!$D$55)/4,"")</f>
        <v/>
      </c>
      <c r="Y12" s="20">
        <f>IFERROR((X29*변수!$D$54-X27*변수!$D$55)/4,"")</f>
        <v/>
      </c>
      <c r="Z12" s="38">
        <f>SUM(V12:Y12)</f>
        <v/>
      </c>
      <c r="AA12" s="20">
        <f>IFERROR((Y29*변수!$D$54-Y27*변수!$D$55)/4,"")</f>
        <v/>
      </c>
      <c r="AB12" s="20">
        <f>IFERROR((AA29*변수!$D$54-AA27*변수!$D$55)/4,"")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37" t="n"/>
      <c r="G13" s="18" t="n"/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>
        <f>IFERROR((VLOOKUP("외환차익",BS별도,MATCH(I$1,BS별도H,0),0)-VLOOKUP("외환차손",BS별도,MATCH(I$1,BS별도H,0),0)+VLOOKUP("외화환산이익",BS별도,MATCH(I$1,BS별도H,0),0)-VLOOKUP("외화환산손실",BS별도,MATCH(I$1,BS별도H,0),0))/100,"")</f>
        <v/>
      </c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 t="n"/>
      <c r="R13" s="19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>
        <f>IFERROR((VLOOKUP("파생상품이익",BS별도,MATCH(M$1,BS별도H,0),0)-VLOOKUP("파생상품손실",BS별도,MATCH(M$1,BS별도H,0),0))/100,"")</f>
        <v/>
      </c>
      <c r="N14" s="18">
        <f>IFERROR((VLOOKUP("파생상품이익",BS별도,MATCH(N$1,BS별도H,0),0)-VLOOKUP("파생상품손실",BS별도,MATCH(N$1,BS별도H,0),0))/100,"")</f>
        <v/>
      </c>
      <c r="O14" s="18">
        <f>IFERROR((VLOOKUP("파생상품이익",BS별도,MATCH(O$1,BS별도H,0),0)-VLOOKUP("파생상품손실",BS별도,MATCH(O$1,BS별도H,0),0))/100,"")</f>
        <v/>
      </c>
      <c r="P14" s="37">
        <f>SUM(L14:O14)</f>
        <v/>
      </c>
      <c r="Q14" s="18">
        <f>IFERROR((VLOOKUP("파생상품이익",BS별도,MATCH(Q$1,BS별도H,0),0)-VLOOKUP("파생상품손실",BS별도,MATCH(Q$1,BS별도H,0),0))/100,"")</f>
        <v/>
      </c>
      <c r="R14" s="19">
        <f>IFERROR((VLOOKUP("파생상품이익",BS별도,MATCH(R$1,BS별도H,0),0)-VLOOKUP("파생상품손실",BS별도,MATCH(R$1,BS별도H,0),0))/100,"")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>
        <f>IFERROR(M11-M12-M13-M14,"")</f>
        <v/>
      </c>
      <c r="N15" s="18">
        <f>IFERROR(N11-N12-N13-N14,"")</f>
        <v/>
      </c>
      <c r="O15" s="18" t="n"/>
      <c r="P15" s="37">
        <f>SUM(L15:O15)</f>
        <v/>
      </c>
      <c r="Q15" s="18" t="n"/>
      <c r="R15" s="19">
        <f>IFERROR(R11-R12-R13-R14,"")</f>
        <v/>
      </c>
      <c r="S15" s="20">
        <f>변수!S26</f>
        <v/>
      </c>
      <c r="T15" s="20">
        <f>변수!T26</f>
        <v/>
      </c>
      <c r="U15" s="38">
        <f>SUM(Q15:T15)</f>
        <v/>
      </c>
      <c r="V15" s="20">
        <f>변수!V26</f>
        <v/>
      </c>
      <c r="W15" s="20">
        <f>변수!W26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변수!S27</f>
        <v/>
      </c>
      <c r="T16" s="20">
        <f>변수!T27</f>
        <v/>
      </c>
      <c r="U16" s="38">
        <f>SUM(Q16:T16)</f>
        <v/>
      </c>
      <c r="V16" s="20">
        <f>변수!V27</f>
        <v/>
      </c>
      <c r="W16" s="20">
        <f>변수!W27</f>
        <v/>
      </c>
      <c r="X16" s="20">
        <f>변수!X27</f>
        <v/>
      </c>
      <c r="Y16" s="20">
        <f>변수!Y27</f>
        <v/>
      </c>
      <c r="Z16" s="38">
        <f>SUM(V16:Y16)</f>
        <v/>
      </c>
      <c r="AA16" s="20">
        <f>변수!AA27</f>
        <v/>
      </c>
      <c r="AB16" s="20">
        <f>변수!AB27</f>
        <v/>
      </c>
      <c r="AC16" s="20">
        <f>변수!AC27</f>
        <v/>
      </c>
      <c r="AD16" s="20">
        <f>변수!AD27</f>
        <v/>
      </c>
      <c r="AE16" s="38">
        <f>SUM(AA16:AD16)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IFERROR(S9+S11+S16,"")</f>
        <v/>
      </c>
      <c r="T17" s="20">
        <f>IFERROR(T9+T11+T16,"")</f>
        <v/>
      </c>
      <c r="U17" s="38">
        <f>SUM(Q17:T17)</f>
        <v/>
      </c>
      <c r="V17" s="20">
        <f>IFERROR(V9+V11+V16,"")</f>
        <v/>
      </c>
      <c r="W17" s="20">
        <f>IFERROR(W9+W11+W16,"")</f>
        <v/>
      </c>
      <c r="X17" s="20">
        <f>IFERROR(X9+X11+X16,"")</f>
        <v/>
      </c>
      <c r="Y17" s="20">
        <f>IFERROR(Y9+Y11+Y16,"")</f>
        <v/>
      </c>
      <c r="Z17" s="38">
        <f>SUM(V17:Y17)</f>
        <v/>
      </c>
      <c r="AA17" s="20">
        <f>IFERROR(AA9+AA11+AA16,"")</f>
        <v/>
      </c>
      <c r="AB17" s="20">
        <f>IFERROR(AB9+AB11+AB16,"")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9">
        <f>IFERROR(VLOOKUP($D18,BS별도,MATCH(R$1,BS별도H,0),0)/100,"")</f>
        <v/>
      </c>
      <c r="S18" s="20">
        <f>IFERROR(MAX(S17,0)*변수!S28,"")</f>
        <v/>
      </c>
      <c r="T18" s="20">
        <f>IFERROR(MAX(T17,0)*변수!T28,"")</f>
        <v/>
      </c>
      <c r="U18" s="38">
        <f>SUM(Q18:T18)</f>
        <v/>
      </c>
      <c r="V18" s="20">
        <f>IFERROR(MAX(V17,0)*변수!V28,"")</f>
        <v/>
      </c>
      <c r="W18" s="20">
        <f>IFERROR(MAX(W17,0)*변수!W28,"")</f>
        <v/>
      </c>
      <c r="X18" s="20">
        <f>IFERROR(MAX(X17,0)*변수!X28,"")</f>
        <v/>
      </c>
      <c r="Y18" s="20">
        <f>IFERROR(MAX(Y17,0)*변수!Y28,"")</f>
        <v/>
      </c>
      <c r="Z18" s="38">
        <f>SUM(V18:Y18)</f>
        <v/>
      </c>
      <c r="AA18" s="20">
        <f>IFERROR(MAX(AA17,0)*변수!AA28,"")</f>
        <v/>
      </c>
      <c r="AB18" s="20">
        <f>IFERROR(MAX(AB17,0)*변수!AB28,"")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IFERROR(S17-S18,"")</f>
        <v/>
      </c>
      <c r="T19" s="20">
        <f>IFERROR(T17-T18,"")</f>
        <v/>
      </c>
      <c r="U19" s="38">
        <f>SUM(Q19:T19)</f>
        <v/>
      </c>
      <c r="V19" s="20">
        <f>IFERROR(V17-V18,"")</f>
        <v/>
      </c>
      <c r="W19" s="20">
        <f>IFERROR(W17-W18,"")</f>
        <v/>
      </c>
      <c r="X19" s="20">
        <f>IFERROR(X17-X18,"")</f>
        <v/>
      </c>
      <c r="Y19" s="20">
        <f>IFERROR(Y17-Y18,"")</f>
        <v/>
      </c>
      <c r="Z19" s="38">
        <f>SUM(V19:Y19)</f>
        <v/>
      </c>
      <c r="AA19" s="20">
        <f>IFERROR(AA17-AA18,"")</f>
        <v/>
      </c>
      <c r="AB19" s="20">
        <f>IFERROR(AB17-AB18,"")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IFERROR(VLOOKUP($D20,BS별도,MATCH(E$1,BS별도H,0),0)/100,"")</f>
        <v/>
      </c>
      <c r="F20" s="37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IFERROR(S19*변수!S29,"")</f>
        <v/>
      </c>
      <c r="T20" s="20">
        <f>IFERROR(T19*변수!T29,"")</f>
        <v/>
      </c>
      <c r="U20" s="38">
        <f>SUM(Q20:T20)</f>
        <v/>
      </c>
      <c r="V20" s="20">
        <f>IFERROR(V19*변수!V29,"")</f>
        <v/>
      </c>
      <c r="W20" s="20">
        <f>IFERROR(W19*변수!W29,"")</f>
        <v/>
      </c>
      <c r="X20" s="20">
        <f>IFERROR(X19*변수!X29,"")</f>
        <v/>
      </c>
      <c r="Y20" s="20">
        <f>IFERROR(Y19*변수!Y29,"")</f>
        <v/>
      </c>
      <c r="Z20" s="38">
        <f>SUM(V20:Y20)</f>
        <v/>
      </c>
      <c r="AA20" s="20">
        <f>IFERROR(AA19*변수!AA29,"")</f>
        <v/>
      </c>
      <c r="AB20" s="20">
        <f>IFERROR(AB19*변수!AB29,"")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IFERROR(VLOOKUP($D21,BS별도,MATCH(E$1,BS별도H,0),0)/100,"")</f>
        <v/>
      </c>
      <c r="F21" s="37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변수!S30</f>
        <v/>
      </c>
      <c r="T21" s="20">
        <f>변수!T30</f>
        <v/>
      </c>
      <c r="U21" s="38">
        <f>SUM(Q21:T21)</f>
        <v/>
      </c>
      <c r="V21" s="20">
        <f>변수!V30</f>
        <v/>
      </c>
      <c r="W21" s="20">
        <f>변수!W30</f>
        <v/>
      </c>
      <c r="X21" s="20">
        <f>변수!X30</f>
        <v/>
      </c>
      <c r="Y21" s="20">
        <f>변수!Y30</f>
        <v/>
      </c>
      <c r="Z21" s="38">
        <f>SUM(V21:Y21)</f>
        <v/>
      </c>
      <c r="AA21" s="20">
        <f>변수!AA30</f>
        <v/>
      </c>
      <c r="AB21" s="20">
        <f>변수!AB30</f>
        <v/>
      </c>
      <c r="AC21" s="20">
        <f>변수!AC30</f>
        <v/>
      </c>
      <c r="AD21" s="20">
        <f>변수!AD30</f>
        <v/>
      </c>
      <c r="AE21" s="38">
        <f>SUM(AA21:AD21)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10.37</v>
      </c>
      <c r="F22" s="37" t="n"/>
      <c r="G22" s="18" t="n">
        <v>19.41</v>
      </c>
      <c r="H22" s="18" t="n">
        <v>23.16</v>
      </c>
      <c r="I22" s="18" t="n">
        <v>13.74</v>
      </c>
      <c r="J22" s="18" t="n">
        <v>15.93</v>
      </c>
      <c r="K22" s="37">
        <f>SUM(G22:J22)</f>
        <v/>
      </c>
      <c r="L22" s="18" t="n">
        <v>22.48</v>
      </c>
      <c r="M22" s="18" t="n">
        <v>32.14</v>
      </c>
      <c r="N22" s="18" t="n">
        <v>31.4</v>
      </c>
      <c r="O22" s="18" t="n">
        <v>33.61</v>
      </c>
      <c r="P22" s="37">
        <f>SUM(L22:O22)</f>
        <v/>
      </c>
      <c r="Q22" s="18" t="n">
        <v>67.45999999999999</v>
      </c>
      <c r="R22" s="19" t="n">
        <v>63.01</v>
      </c>
      <c r="S22" s="20">
        <f>IFERROR(S9+S21,"")</f>
        <v/>
      </c>
      <c r="T22" s="20">
        <f>IFERROR(T9+T21,"")</f>
        <v/>
      </c>
      <c r="U22" s="38">
        <f>SUM(Q22:T22)</f>
        <v/>
      </c>
      <c r="V22" s="20">
        <f>IFERROR(V9+V21,"")</f>
        <v/>
      </c>
      <c r="W22" s="20">
        <f>IFERROR(W9+W21,"")</f>
        <v/>
      </c>
      <c r="X22" s="20">
        <f>IFERROR(X9+X21,"")</f>
        <v/>
      </c>
      <c r="Y22" s="20">
        <f>IFERROR(Y9+Y21,"")</f>
        <v/>
      </c>
      <c r="Z22" s="38">
        <f>SUM(V22:Y22)</f>
        <v/>
      </c>
      <c r="AA22" s="20">
        <f>IFERROR(AA9+AA21,"")</f>
        <v/>
      </c>
      <c r="AB22" s="20">
        <f>IFERROR(AB9+AB21,"")</f>
        <v/>
      </c>
      <c r="AC22" s="20">
        <f>IFERROR(AC9+AC21,"")</f>
        <v/>
      </c>
      <c r="AD22" s="20">
        <f>IFERROR(AD9+AD21,"")</f>
        <v/>
      </c>
      <c r="AE22" s="38">
        <f>SUM(AA22:AD22)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IFERROR(VLOOKUP($D23,BS별도,MATCH(E$1,BS별도H,0),0)/100,"")</f>
        <v/>
      </c>
      <c r="F23" s="37" t="n">
        <v>721.4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IFERROR(S24+S25,"")</f>
        <v/>
      </c>
      <c r="T23" s="20">
        <f>IFERROR(T24+T25,"")</f>
        <v/>
      </c>
      <c r="U23" s="38">
        <f>T23</f>
        <v/>
      </c>
      <c r="V23" s="20">
        <f>IFERROR(V24+V25,"")</f>
        <v/>
      </c>
      <c r="W23" s="20">
        <f>IFERROR(W24+W25,"")</f>
        <v/>
      </c>
      <c r="X23" s="20">
        <f>IFERROR(X24+X25,"")</f>
        <v/>
      </c>
      <c r="Y23" s="20">
        <f>IFERROR(Y24+Y25,"")</f>
        <v/>
      </c>
      <c r="Z23" s="38">
        <f>Y23</f>
        <v/>
      </c>
      <c r="AA23" s="20">
        <f>IFERROR(AA24+AA25,"")</f>
        <v/>
      </c>
      <c r="AB23" s="20">
        <f>IFERROR(AB24+AB25,"")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IFERROR(VLOOKUP($D24,BS별도,MATCH(E$1,BS별도H,0),0)/100,"")</f>
        <v/>
      </c>
      <c r="F24" s="37" t="n">
        <v>172.23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IFERROR(R24*(1+변수!S31),"")</f>
        <v/>
      </c>
      <c r="T24" s="20">
        <f>IFERROR(S24*(1+변수!T31),"")</f>
        <v/>
      </c>
      <c r="U24" s="38">
        <f>T24</f>
        <v/>
      </c>
      <c r="V24" s="20">
        <f>IFERROR(T24*(1+변수!V31),"")</f>
        <v/>
      </c>
      <c r="W24" s="20">
        <f>IFERROR(V24*(1+변수!W31),"")</f>
        <v/>
      </c>
      <c r="X24" s="20">
        <f>IFERROR(W24*(1+변수!X31),"")</f>
        <v/>
      </c>
      <c r="Y24" s="20">
        <f>IFERROR(X24*(1+변수!Y31),"")</f>
        <v/>
      </c>
      <c r="Z24" s="38">
        <f>Y24</f>
        <v/>
      </c>
      <c r="AA24" s="20">
        <f>IFERROR(Y24*(1+변수!AA31),"")</f>
        <v/>
      </c>
      <c r="AB24" s="20">
        <f>IFERROR(AA24*(1+변수!AB31),"")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IFERROR(VLOOKUP($D25,BS별도,MATCH(E$1,BS별도H,0),0)/100,"")</f>
        <v/>
      </c>
      <c r="F25" s="37" t="n">
        <v>549.17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IFERROR(R25+S19-변수!S32,"")</f>
        <v/>
      </c>
      <c r="T25" s="20">
        <f>IFERROR(S25+T19-변수!T32,"")</f>
        <v/>
      </c>
      <c r="U25" s="38">
        <f>T25</f>
        <v/>
      </c>
      <c r="V25" s="20">
        <f>IFERROR(T25+V19-변수!V32,"")</f>
        <v/>
      </c>
      <c r="W25" s="20">
        <f>IFERROR(V25+W19-변수!W32,"")</f>
        <v/>
      </c>
      <c r="X25" s="20">
        <f>IFERROR(W25+X19-변수!X32,"")</f>
        <v/>
      </c>
      <c r="Y25" s="20">
        <f>IFERROR(X25+Y19-변수!Y32,"")</f>
        <v/>
      </c>
      <c r="Z25" s="38">
        <f>Y25</f>
        <v/>
      </c>
      <c r="AA25" s="20">
        <f>IFERROR(Y25+AA19-변수!AA32,"")</f>
        <v/>
      </c>
      <c r="AB25" s="20">
        <f>IFERROR(AA25+AB19-변수!AB32,"")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IFERROR(VLOOKUP($D26,BS별도,MATCH(E$1,BS별도H,0),0)/100,"")</f>
        <v/>
      </c>
      <c r="F26" s="37" t="n">
        <v>549.17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>
        <f>IFERROR(R26+S20-변수!S33,"")</f>
        <v/>
      </c>
      <c r="T26" s="20">
        <f>IFERROR(S26+T20-변수!T33,"")</f>
        <v/>
      </c>
      <c r="U26" s="38">
        <f>T26</f>
        <v/>
      </c>
      <c r="V26" s="20">
        <f>IFERROR(T26+V20-변수!V33,"")</f>
        <v/>
      </c>
      <c r="W26" s="20">
        <f>IFERROR(V26+W20-변수!W33,"")</f>
        <v/>
      </c>
      <c r="X26" s="20">
        <f>IFERROR(W26+X20-변수!X33,"")</f>
        <v/>
      </c>
      <c r="Y26" s="20">
        <f>IFERROR(X26+Y20-변수!Y33,"")</f>
        <v/>
      </c>
      <c r="Z26" s="38">
        <f>Y26</f>
        <v/>
      </c>
      <c r="AA26" s="20">
        <f>IFERROR(Y26+AA20-변수!AA33,"")</f>
        <v/>
      </c>
      <c r="AB26" s="20">
        <f>IFERROR(AA26+AB20-변수!AB33,"")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IFERROR(VLOOKUP($D27,BS별도,MATCH(E$1,BS별도H,0),0)/100,"")</f>
        <v/>
      </c>
      <c r="F27" s="37" t="n">
        <v>91.95999999999999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>
        <f>IFERROR(R27*(1+변수!S34),"")</f>
        <v/>
      </c>
      <c r="T27" s="20">
        <f>IFERROR(S27*(1+변수!T34),"")</f>
        <v/>
      </c>
      <c r="U27" s="38">
        <f>T27</f>
        <v/>
      </c>
      <c r="V27" s="20">
        <f>IFERROR(T27*(1+변수!V34),"")</f>
        <v/>
      </c>
      <c r="W27" s="20">
        <f>IFERROR(V27*(1+변수!W34),"")</f>
        <v/>
      </c>
      <c r="X27" s="20">
        <f>IFERROR(W27*(1+변수!X34),"")</f>
        <v/>
      </c>
      <c r="Y27" s="20">
        <f>IFERROR(X27*(1+변수!Y34),"")</f>
        <v/>
      </c>
      <c r="Z27" s="38">
        <f>Y27</f>
        <v/>
      </c>
      <c r="AA27" s="20">
        <f>IFERROR(Y27*(1+변수!AA34),"")</f>
        <v/>
      </c>
      <c r="AB27" s="20">
        <f>IFERROR(AA27*(1+변수!AB34),"")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IFERROR(VLOOKUP($D28,BS별도,MATCH(E$1,BS별도H,0),0)/100,"")</f>
        <v/>
      </c>
      <c r="F28" s="37" t="n">
        <v>19.47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9">
        <f>IFERROR(VLOOKUP($D28,BS별도,MATCH(R$1,BS별도H,0),0)/100,"")</f>
        <v/>
      </c>
      <c r="S28" s="20">
        <f>IFERROR(R28*(1+변수!S35),"")</f>
        <v/>
      </c>
      <c r="T28" s="20">
        <f>IFERROR(S28*(1+변수!T35),"")</f>
        <v/>
      </c>
      <c r="U28" s="38">
        <f>T28</f>
        <v/>
      </c>
      <c r="V28" s="20">
        <f>IFERROR(T28*(1+변수!V35),"")</f>
        <v/>
      </c>
      <c r="W28" s="20">
        <f>IFERROR(V28*(1+변수!W35),"")</f>
        <v/>
      </c>
      <c r="X28" s="20">
        <f>IFERROR(W28*(1+변수!X35),"")</f>
        <v/>
      </c>
      <c r="Y28" s="20">
        <f>IFERROR(X28*(1+변수!Y35),"")</f>
        <v/>
      </c>
      <c r="Z28" s="38">
        <f>Y28</f>
        <v/>
      </c>
      <c r="AA28" s="20">
        <f>IFERROR(Y28*(1+변수!AA35),"")</f>
        <v/>
      </c>
      <c r="AB28" s="20">
        <f>IFERROR(AA28*(1+변수!AB35),"")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IFERROR(VLOOKUP($D29,BS별도,MATCH(E$1,BS별도H,0),0)/100,"")</f>
        <v/>
      </c>
      <c r="F29" s="37" t="n">
        <v>73.26000000000001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9">
        <f>IFERROR(VLOOKUP($D29,BS별도,MATCH(R$1,BS별도H,0),0)/100,"")</f>
        <v/>
      </c>
      <c r="S29" s="20">
        <f>IFERROR(R29*(1+변수!S36),"")</f>
        <v/>
      </c>
      <c r="T29" s="20">
        <f>IFERROR(S29*(1+변수!T36),"")</f>
        <v/>
      </c>
      <c r="U29" s="38">
        <f>T29</f>
        <v/>
      </c>
      <c r="V29" s="20">
        <f>IFERROR(T29*(1+변수!V36),"")</f>
        <v/>
      </c>
      <c r="W29" s="20">
        <f>IFERROR(V29*(1+변수!W36),"")</f>
        <v/>
      </c>
      <c r="X29" s="20">
        <f>IFERROR(W29*(1+변수!X36),"")</f>
        <v/>
      </c>
      <c r="Y29" s="20">
        <f>IFERROR(X29*(1+변수!Y36),"")</f>
        <v/>
      </c>
      <c r="Z29" s="38">
        <f>Y29</f>
        <v/>
      </c>
      <c r="AA29" s="20">
        <f>IFERROR(Y29*(1+변수!AA36),"")</f>
        <v/>
      </c>
      <c r="AB29" s="20">
        <f>IFERROR(AA29*(1+변수!AB36),"")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IFERROR(VLOOKUP($D30,BS별도,MATCH(E$1,BS별도H,0),0)/100,"")</f>
        <v/>
      </c>
      <c r="F30" s="37" t="n">
        <v>72.48999999999999</v>
      </c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J30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O30</f>
        <v/>
      </c>
      <c r="Q30" s="18">
        <f>IFERROR(VLOOKUP($D30,BS별도,MATCH(Q$1,BS별도H,0),0)/100,"")</f>
        <v/>
      </c>
      <c r="R30" s="19">
        <f>IFERROR(VLOOKUP($D30,BS별도,MATCH(R$1,BS별도H,0),0)/100,"")</f>
        <v/>
      </c>
      <c r="S30" s="20" t="n"/>
      <c r="T30" s="20" t="n"/>
      <c r="U30" s="38">
        <f>T30</f>
        <v/>
      </c>
      <c r="V30" s="20" t="n"/>
      <c r="W30" s="20" t="n"/>
      <c r="X30" s="20" t="n"/>
      <c r="Y30" s="20" t="n"/>
      <c r="Z30" s="38">
        <f>Y30</f>
        <v/>
      </c>
      <c r="AA30" s="20" t="n"/>
      <c r="AB30" s="20" t="n"/>
      <c r="AC30" s="20" t="n"/>
      <c r="AD30" s="20" t="n"/>
      <c r="AE30" s="38">
        <f>AD30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IFERROR(VLOOKUP($D31,BS별도,MATCH(E$1,BS별도H,0),0)/100,"")</f>
        <v/>
      </c>
      <c r="F31" s="37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7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9">
        <f>IFERROR(VLOOKUP($D31,BS별도,MATCH(R$1,BS별도H,0),0)/100,"")</f>
        <v/>
      </c>
      <c r="S31" s="20">
        <f>IFERROR(N31*(1+변수!S38),"")</f>
        <v/>
      </c>
      <c r="T31" s="20">
        <f>IFERROR(O31*(1+변수!T38),"")</f>
        <v/>
      </c>
      <c r="U31" s="38">
        <f>SUM(Q31:T31)</f>
        <v/>
      </c>
      <c r="V31" s="20">
        <f>IFERROR(Q31*(1+변수!V38),"")</f>
        <v/>
      </c>
      <c r="W31" s="20">
        <f>IFERROR(R31*(1+변수!W38),"")</f>
        <v/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IFERROR(VLOOKUP($D32,BS별도,MATCH(E$1,BS별도H,0),0)/100,"")</f>
        <v/>
      </c>
      <c r="F32" s="37" t="n"/>
      <c r="G32" s="18">
        <f>IFERROR(VLOOKUP($D32,BS별도,MATCH(G$1,BS별도H,0),0)/100,"")</f>
        <v/>
      </c>
      <c r="H32" s="18">
        <f>IFERROR(VLOOKUP($D32,BS별도,MATCH(H$1,BS별도H,0),0)/100,"")</f>
        <v/>
      </c>
      <c r="I32" s="18">
        <f>IFERROR(VLOOKUP($D32,BS별도,MATCH(I$1,BS별도H,0),0)/100,"")</f>
        <v/>
      </c>
      <c r="J32" s="18">
        <f>IFERROR(VLOOKUP($D32,BS별도,MATCH(J$1,BS별도H,0),0)/100,"")</f>
        <v/>
      </c>
      <c r="K32" s="37">
        <f>SUM(G32:J32)</f>
        <v/>
      </c>
      <c r="L32" s="18">
        <f>IFERROR(VLOOKUP($D32,BS별도,MATCH(L$1,BS별도H,0),0)/100,"")</f>
        <v/>
      </c>
      <c r="M32" s="18">
        <f>IFERROR(VLOOKUP($D32,BS별도,MATCH(M$1,BS별도H,0),0)/100,"")</f>
        <v/>
      </c>
      <c r="N32" s="18">
        <f>IFERROR(VLOOKUP($D32,BS별도,MATCH(N$1,BS별도H,0),0)/100,"")</f>
        <v/>
      </c>
      <c r="O32" s="18">
        <f>IFERROR(VLOOKUP($D32,BS별도,MATCH(O$1,BS별도H,0),0)/100,"")</f>
        <v/>
      </c>
      <c r="P32" s="37">
        <f>SUM(L32:O32)</f>
        <v/>
      </c>
      <c r="Q32" s="18">
        <f>IFERROR(VLOOKUP($D32,BS별도,MATCH(Q$1,BS별도H,0),0)/100,"")</f>
        <v/>
      </c>
      <c r="R32" s="19">
        <f>IFERROR(VLOOKUP($D32,BS별도,MATCH(R$1,BS별도H,0),0)/100,"")</f>
        <v/>
      </c>
      <c r="S32" s="20" t="n"/>
      <c r="T32" s="20" t="n"/>
      <c r="U32" s="38">
        <f>SUM(Q32:T32)</f>
        <v/>
      </c>
      <c r="V32" s="20" t="n"/>
      <c r="W32" s="20" t="n"/>
      <c r="X32" s="20" t="n"/>
      <c r="Y32" s="20" t="n"/>
      <c r="Z32" s="38">
        <f>SUM(V32:Y32)</f>
        <v/>
      </c>
      <c r="AA32" s="20" t="n"/>
      <c r="AB32" s="20" t="n"/>
      <c r="AC32" s="20" t="n"/>
      <c r="AD32" s="20" t="n"/>
      <c r="AE32" s="38">
        <f>SUM(AA32:AD32)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17.003</v>
      </c>
      <c r="F33" s="28">
        <f>E33</f>
        <v/>
      </c>
      <c r="G33" s="27" t="n">
        <v>17.003</v>
      </c>
      <c r="H33" s="27" t="n">
        <v>17.003</v>
      </c>
      <c r="I33" s="27" t="n">
        <v>17.003</v>
      </c>
      <c r="J33" s="27" t="n">
        <v>17.137</v>
      </c>
      <c r="K33" s="28">
        <f>J33</f>
        <v/>
      </c>
      <c r="L33" s="27" t="n">
        <v>17.252</v>
      </c>
      <c r="M33" s="27" t="n">
        <v>17.266</v>
      </c>
      <c r="N33" s="27" t="n">
        <v>17.274</v>
      </c>
      <c r="O33" s="27" t="n">
        <v>17.274</v>
      </c>
      <c r="P33" s="28">
        <f>O33</f>
        <v/>
      </c>
      <c r="Q33" s="27" t="n">
        <v>19.246</v>
      </c>
      <c r="R33" s="29" t="n">
        <v>19.248</v>
      </c>
      <c r="S33" s="33">
        <f>IFERROR(R33*(1+변수!S40),"")</f>
        <v/>
      </c>
      <c r="T33" s="33">
        <f>IFERROR(S33*(1+변수!T40),"")</f>
        <v/>
      </c>
      <c r="U33" s="31">
        <f>T33</f>
        <v/>
      </c>
      <c r="V33" s="33">
        <f>IFERROR(T33*(1+변수!V40),"")</f>
        <v/>
      </c>
      <c r="W33" s="33">
        <f>IFERROR(V33*(1+변수!W40),"")</f>
        <v/>
      </c>
      <c r="X33" s="33">
        <f>IFERROR(W33*(1+변수!X40),"")</f>
        <v/>
      </c>
      <c r="Y33" s="33">
        <f>IFERROR(X33*(1+변수!Y40),"")</f>
        <v/>
      </c>
      <c r="Z33" s="31">
        <f>Y33</f>
        <v/>
      </c>
      <c r="AA33" s="33">
        <f>IFERROR(Y33*(1+변수!AA40),"")</f>
        <v/>
      </c>
      <c r="AB33" s="33">
        <f>IFERROR(AA33*(1+변수!AB40),"")</f>
        <v/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9">
        <f>IFERROR(R20*100/R33,"")</f>
        <v/>
      </c>
      <c r="S34" s="20">
        <f>IFERROR(S20*100/S33,"")</f>
        <v/>
      </c>
      <c r="T34" s="20">
        <f>IFERROR(T20*100/T33,"")</f>
        <v/>
      </c>
      <c r="U34" s="38">
        <f>SUM(Q34:T34)</f>
        <v/>
      </c>
      <c r="V34" s="20">
        <f>IFERROR(V20*100/V33,"")</f>
        <v/>
      </c>
      <c r="W34" s="20">
        <f>IFERROR(W20*100/W33,"")</f>
        <v/>
      </c>
      <c r="X34" s="20">
        <f>IFERROR(X20*100/X33,"")</f>
        <v/>
      </c>
      <c r="Y34" s="20">
        <f>IFERROR(Y20*100/Y33,"")</f>
        <v/>
      </c>
      <c r="Z34" s="38">
        <f>SUM(V34:Y34)</f>
        <v/>
      </c>
      <c r="AA34" s="20">
        <f>IFERROR(AA20*100/AA33,"")</f>
        <v/>
      </c>
      <c r="AB34" s="20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9">
        <f>IFERROR(R26*100/R33,"")</f>
        <v/>
      </c>
      <c r="S35" s="20">
        <f>IFERROR(S26*100/S33,"")</f>
        <v/>
      </c>
      <c r="T35" s="20">
        <f>IFERROR(T26*100/T33,"")</f>
        <v/>
      </c>
      <c r="U35" s="38">
        <f>T35</f>
        <v/>
      </c>
      <c r="V35" s="20">
        <f>IFERROR(V26*100/V33,"")</f>
        <v/>
      </c>
      <c r="W35" s="20">
        <f>IFERROR(W26*100/W33,"")</f>
        <v/>
      </c>
      <c r="X35" s="20">
        <f>IFERROR(X26*100/X33,"")</f>
        <v/>
      </c>
      <c r="Y35" s="20">
        <f>IFERROR(Y26*100/Y33,"")</f>
        <v/>
      </c>
      <c r="Z35" s="38">
        <f>Y35</f>
        <v/>
      </c>
      <c r="AA35" s="20">
        <f>IFERROR(AA26*100/AA33,"")</f>
        <v/>
      </c>
      <c r="AB35" s="20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9" t="n"/>
      <c r="S36" s="20" t="n"/>
      <c r="T36" s="20">
        <f>변수!T41</f>
        <v/>
      </c>
      <c r="U36" s="38">
        <f>SUM(Q36:T36)</f>
        <v/>
      </c>
      <c r="V36" s="20" t="n"/>
      <c r="W36" s="20" t="n"/>
      <c r="X36" s="20" t="n"/>
      <c r="Y36" s="20">
        <f>변수!Y41</f>
        <v/>
      </c>
      <c r="Z36" s="38">
        <f>SUM(V36:Y36)</f>
        <v/>
      </c>
      <c r="AA36" s="20" t="n"/>
      <c r="AB36" s="20" t="n"/>
      <c r="AC36" s="20" t="n"/>
      <c r="AD36" s="20">
        <f>변수!AD41</f>
        <v/>
      </c>
      <c r="AE36" s="38">
        <f>SUM(AA36:AD36)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5">
        <f>IFERROR(변수!R18/(N34+O34+Q34+R34),"")</f>
        <v/>
      </c>
      <c r="S37" s="39">
        <f>IFERROR(변수!$D$44/(O34+Q34+R34+S34),"")</f>
        <v/>
      </c>
      <c r="T37" s="39">
        <f>IFERROR(변수!$D$44/(Q34+R34+S34+T34),"")</f>
        <v/>
      </c>
      <c r="U37" s="40">
        <f>T37</f>
        <v/>
      </c>
      <c r="V37" s="39">
        <f>IFERROR(변수!$D$44/(R34+S34+T34+V34),"")</f>
        <v/>
      </c>
      <c r="W37" s="39">
        <f>IFERROR(변수!$D$44/(S34+T34+V34+W34),"")</f>
        <v/>
      </c>
      <c r="X37" s="39">
        <f>IFERROR(변수!$D$44/(T34+V34+W34+X34),"")</f>
        <v/>
      </c>
      <c r="Y37" s="39">
        <f>IFERROR(변수!$D$44/(V34+W34+X34+Y34),"")</f>
        <v/>
      </c>
      <c r="Z37" s="40">
        <f>Y37</f>
        <v/>
      </c>
      <c r="AA37" s="39">
        <f>IFERROR(변수!$D$44/(W34+X34+Y34+AA34),"")</f>
        <v/>
      </c>
      <c r="AB37" s="39">
        <f>IFERROR(변수!$D$44/(X34+Y34+AA34+AB34),"")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5">
        <f>IFERROR(변수!R18/R35,"")</f>
        <v/>
      </c>
      <c r="S38" s="39">
        <f>IFERROR(변수!$D$44/S35,"")</f>
        <v/>
      </c>
      <c r="T38" s="39">
        <f>IFERROR(변수!$D$44/T35,"")</f>
        <v/>
      </c>
      <c r="U38" s="40">
        <f>T38</f>
        <v/>
      </c>
      <c r="V38" s="39">
        <f>IFERROR(변수!$D$44/V35,"")</f>
        <v/>
      </c>
      <c r="W38" s="39">
        <f>IFERROR(변수!$D$44/W35,"")</f>
        <v/>
      </c>
      <c r="X38" s="39">
        <f>IFERROR(변수!$D$44/X35,"")</f>
        <v/>
      </c>
      <c r="Y38" s="39">
        <f>IFERROR(변수!$D$44/Y35,"")</f>
        <v/>
      </c>
      <c r="Z38" s="40">
        <f>Y38</f>
        <v/>
      </c>
      <c r="AA38" s="39">
        <f>IFERROR(변수!$D$44/AA35,"")</f>
        <v/>
      </c>
      <c r="AB38" s="39">
        <f>IFERROR(변수!$D$44/AB35,"")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112.71</v>
      </c>
      <c r="F39" s="37" t="n"/>
      <c r="G39" s="18" t="n">
        <v>118.74</v>
      </c>
      <c r="H39" s="18" t="n">
        <v>131.3</v>
      </c>
      <c r="I39" s="18" t="n">
        <v>112</v>
      </c>
      <c r="J39" s="18" t="n">
        <v>123.37</v>
      </c>
      <c r="K39" s="37">
        <f>SUM(G39:J39)</f>
        <v/>
      </c>
      <c r="L39" s="18" t="n">
        <v>131.11</v>
      </c>
      <c r="M39" s="18" t="n">
        <v>154.99</v>
      </c>
      <c r="N39" s="18" t="n">
        <v>161.96</v>
      </c>
      <c r="O39" s="18" t="n">
        <v>184.1</v>
      </c>
      <c r="P39" s="37">
        <f>SUM(L39:O39)</f>
        <v/>
      </c>
      <c r="Q39" s="18" t="n">
        <v>223.81</v>
      </c>
      <c r="R39" s="19" t="n">
        <v>236.45</v>
      </c>
      <c r="S39" s="20">
        <f>IFERROR(S5,"")</f>
        <v/>
      </c>
      <c r="T39" s="20">
        <f>IFERROR(T5,"")</f>
        <v/>
      </c>
      <c r="U39" s="38">
        <f>SUM(Q39:T39)</f>
        <v/>
      </c>
      <c r="V39" s="20">
        <f>IFERROR(V5,"")</f>
        <v/>
      </c>
      <c r="W39" s="20">
        <f>IFERROR(W5,"")</f>
        <v/>
      </c>
      <c r="X39" s="20">
        <f>IFERROR(X5,"")</f>
        <v/>
      </c>
      <c r="Y39" s="20">
        <f>IFERROR(Y5,"")</f>
        <v/>
      </c>
      <c r="Z39" s="38">
        <f>SUM(V39:Y39)</f>
        <v/>
      </c>
      <c r="AA39" s="20">
        <f>IFERROR(AA5,"")</f>
        <v/>
      </c>
      <c r="AB39" s="20">
        <f>IFERROR(AB5,"")</f>
        <v/>
      </c>
      <c r="AC39" s="20">
        <f>IFERROR(AC5,"")</f>
        <v/>
      </c>
      <c r="AD39" s="20">
        <f>IFERROR(AD5,"")</f>
        <v/>
      </c>
      <c r="AE39" s="38">
        <f>SUM(AA39:AD39)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4.51</v>
      </c>
      <c r="F40" s="37" t="n"/>
      <c r="G40" s="18" t="n">
        <v>13.75</v>
      </c>
      <c r="H40" s="18" t="n">
        <v>17.48</v>
      </c>
      <c r="I40" s="18" t="n">
        <v>7.89</v>
      </c>
      <c r="J40" s="18" t="n">
        <v>10.12</v>
      </c>
      <c r="K40" s="37">
        <f>SUM(G40:J40)</f>
        <v/>
      </c>
      <c r="L40" s="18" t="n">
        <v>16.82</v>
      </c>
      <c r="M40" s="18" t="n">
        <v>26.53</v>
      </c>
      <c r="N40" s="18" t="n">
        <v>25.93</v>
      </c>
      <c r="O40" s="18" t="n">
        <v>28.23</v>
      </c>
      <c r="P40" s="37">
        <f>SUM(L40:O40)</f>
        <v/>
      </c>
      <c r="Q40" s="18" t="n">
        <v>62.05</v>
      </c>
      <c r="R40" s="19" t="n">
        <v>56.03</v>
      </c>
      <c r="S40" s="20">
        <f>IFERROR(S9,"")</f>
        <v/>
      </c>
      <c r="T40" s="20">
        <f>IFERROR(T9,"")</f>
        <v/>
      </c>
      <c r="U40" s="38">
        <f>SUM(Q40:T40)</f>
        <v/>
      </c>
      <c r="V40" s="20">
        <f>IFERROR(V9,"")</f>
        <v/>
      </c>
      <c r="W40" s="20">
        <f>IFERROR(W9,"")</f>
        <v/>
      </c>
      <c r="X40" s="20">
        <f>IFERROR(X9,"")</f>
        <v/>
      </c>
      <c r="Y40" s="20">
        <f>IFERROR(Y9,"")</f>
        <v/>
      </c>
      <c r="Z40" s="38">
        <f>SUM(V40:Y40)</f>
        <v/>
      </c>
      <c r="AA40" s="20">
        <f>IFERROR(AA9,"")</f>
        <v/>
      </c>
      <c r="AB40" s="20">
        <f>IFERROR(AB9,"")</f>
        <v/>
      </c>
      <c r="AC40" s="20">
        <f>IFERROR(AC9,"")</f>
        <v/>
      </c>
      <c r="AD40" s="20">
        <f>IFERROR(AD9,"")</f>
        <v/>
      </c>
      <c r="AE40" s="38">
        <f>SUM(AA40:AD40)</f>
        <v/>
      </c>
    </row>
    <row r="41">
      <c r="B41" s="2" t="inlineStr">
        <is>
          <t>비율(참고)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3">
        <f>IFERROR(R20/R5,"")</f>
        <v/>
      </c>
      <c r="S42" s="32">
        <f>IFERROR(S20/S5,"")</f>
        <v/>
      </c>
      <c r="T42" s="32">
        <f>IFERROR(T20/T5,"")</f>
        <v/>
      </c>
      <c r="U42" s="25">
        <f>IFERROR(U20/U5,"")</f>
        <v/>
      </c>
      <c r="V42" s="32">
        <f>IFERROR(V20/V5,"")</f>
        <v/>
      </c>
      <c r="W42" s="32">
        <f>IFERROR(W20/W5,"")</f>
        <v/>
      </c>
      <c r="X42" s="32">
        <f>IFERROR(X20/X5,"")</f>
        <v/>
      </c>
      <c r="Y42" s="32">
        <f>IFERROR(Y20/Y5,"")</f>
        <v/>
      </c>
      <c r="Z42" s="25">
        <f>IFERROR(Z20/Z5,"")</f>
        <v/>
      </c>
      <c r="AA42" s="32">
        <f>IFERROR(AA20/AA5,"")</f>
        <v/>
      </c>
      <c r="AB42" s="32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3">
        <f>IFERROR(R6/R5,"")</f>
        <v/>
      </c>
      <c r="S43" s="32">
        <f>IFERROR(S6/S5,"")</f>
        <v/>
      </c>
      <c r="T43" s="32">
        <f>IFERROR(T6/T5,"")</f>
        <v/>
      </c>
      <c r="U43" s="25">
        <f>IFERROR(U6/U5,"")</f>
        <v/>
      </c>
      <c r="V43" s="32">
        <f>IFERROR(V6/V5,"")</f>
        <v/>
      </c>
      <c r="W43" s="32">
        <f>IFERROR(W6/W5,"")</f>
        <v/>
      </c>
      <c r="X43" s="32">
        <f>IFERROR(X6/X5,"")</f>
        <v/>
      </c>
      <c r="Y43" s="32">
        <f>IFERROR(Y6/Y5,"")</f>
        <v/>
      </c>
      <c r="Z43" s="25">
        <f>IFERROR(Z6/Z5,"")</f>
        <v/>
      </c>
      <c r="AA43" s="32">
        <f>IFERROR(AA6/AA5,"")</f>
        <v/>
      </c>
      <c r="AB43" s="32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3">
        <f>IFERROR(R8/R5,"")</f>
        <v/>
      </c>
      <c r="S44" s="32">
        <f>IFERROR(S8/S5,"")</f>
        <v/>
      </c>
      <c r="T44" s="32">
        <f>IFERROR(T8/T5,"")</f>
        <v/>
      </c>
      <c r="U44" s="25">
        <f>IFERROR(U8/U5,"")</f>
        <v/>
      </c>
      <c r="V44" s="32">
        <f>IFERROR(V8/V5,"")</f>
        <v/>
      </c>
      <c r="W44" s="32">
        <f>IFERROR(W8/W5,"")</f>
        <v/>
      </c>
      <c r="X44" s="32">
        <f>IFERROR(X8/X5,"")</f>
        <v/>
      </c>
      <c r="Y44" s="32">
        <f>IFERROR(Y8/Y5,"")</f>
        <v/>
      </c>
      <c r="Z44" s="25">
        <f>IFERROR(Z8/Z5,"")</f>
        <v/>
      </c>
      <c r="AA44" s="32">
        <f>IFERROR(AA8/AA5,"")</f>
        <v/>
      </c>
      <c r="AB44" s="32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O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5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47">
        <f>IFERROR(VLOOKUP($A33,subQ,MATCH(O$1,SUBQH,0),0),"")</f>
        <v/>
      </c>
      <c r="P33" s="33">
        <f>IFERROR(VLOOKUP($A33,subQ,MATCH(P$1,SUBQH,0),0),"")</f>
        <v/>
      </c>
      <c r="Q33" s="33">
        <f>IFERROR(VLOOKUP($A33,subQ,MATCH(Q$1,SUBQH,0),0),"")</f>
        <v/>
      </c>
      <c r="R33" s="33">
        <f>IFERROR(VLOOKUP($A33,subQ,MATCH(R$1,SUBQH,0),0),"")</f>
        <v/>
      </c>
      <c r="S33" s="33">
        <f>IFERROR(VLOOKUP($A33,subQ,MATCH(S$1,SUBQH,0),0),"")</f>
        <v/>
      </c>
      <c r="T33" s="33">
        <f>IFERROR(VLOOKUP($A33,subQ,MATCH(T$1,SUBQH,0),0),"")</f>
        <v/>
      </c>
      <c r="U33" s="33">
        <f>IFERROR(VLOOKUP($A33,subQ,MATCH(U$1,SUBQH,0),0),"")</f>
        <v/>
      </c>
      <c r="V33" s="33">
        <f>IFERROR(VLOOKUP($A33,subQ,MATCH(V$1,SUBQH,0),0),"")</f>
        <v/>
      </c>
      <c r="W33" s="33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5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48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48">
        <f>IFERROR(VLOOKUP($A38,subQ,MATCH(O$1,SUBQH,0),0),"")</f>
        <v/>
      </c>
      <c r="P38" s="39">
        <f>IFERROR(VLOOKUP($A38,subQ,MATCH(P$1,SUBQH,0),0),"")</f>
        <v/>
      </c>
      <c r="Q38" s="39">
        <f>IFERROR(VLOOKUP($A38,subQ,MATCH(Q$1,SUBQH,0),0),"")</f>
        <v/>
      </c>
      <c r="R38" s="39">
        <f>IFERROR(VLOOKUP($A38,subQ,MATCH(R$1,SUBQH,0),0),"")</f>
        <v/>
      </c>
      <c r="S38" s="39">
        <f>IFERROR(VLOOKUP($A38,subQ,MATCH(S$1,SUBQH,0),0),"")</f>
        <v/>
      </c>
      <c r="T38" s="39">
        <f>IFERROR(VLOOKUP($A38,subQ,MATCH(T$1,SUBQH,0),0),"")</f>
        <v/>
      </c>
      <c r="U38" s="39">
        <f>IFERROR(VLOOKUP($A38,subQ,MATCH(U$1,SUBQH,0),0),"")</f>
        <v/>
      </c>
      <c r="V38" s="39">
        <f>IFERROR(VLOOKUP($A38,subQ,MATCH(V$1,SUBQH,0),0),"")</f>
        <v/>
      </c>
      <c r="W38" s="39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45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45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  <c r="T40" s="20">
        <f>IFERROR(VLOOKUP($A40,subQ,MATCH(T$1,SUBQH,0),0),"")</f>
        <v/>
      </c>
      <c r="U40" s="20">
        <f>IFERROR(VLOOKUP($A40,subQ,MATCH(U$1,SUBQH,0),0),"")</f>
        <v/>
      </c>
      <c r="V40" s="20">
        <f>IFERROR(VLOOKUP($A40,subQ,MATCH(V$1,SUBQH,0),0),"")</f>
        <v/>
      </c>
      <c r="W40" s="20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46">
        <f>IFERROR(VLOOKUP($A41,subQ,MATCH(O$1,SUBQH,0),0),"")</f>
        <v/>
      </c>
      <c r="P41" s="32">
        <f>IFERROR(VLOOKUP($A41,subQ,MATCH(P$1,SUBQH,0),0),"")</f>
        <v/>
      </c>
      <c r="Q41" s="32">
        <f>IFERROR(VLOOKUP($A41,subQ,MATCH(Q$1,SUBQH,0),0),"")</f>
        <v/>
      </c>
      <c r="R41" s="32">
        <f>IFERROR(VLOOKUP($A41,subQ,MATCH(R$1,SUBQH,0),0),"")</f>
        <v/>
      </c>
      <c r="S41" s="32">
        <f>IFERROR(VLOOKUP($A41,subQ,MATCH(S$1,SUBQH,0),0),"")</f>
        <v/>
      </c>
      <c r="T41" s="32">
        <f>IFERROR(VLOOKUP($A41,subQ,MATCH(T$1,SUBQH,0),0),"")</f>
        <v/>
      </c>
      <c r="U41" s="32">
        <f>IFERROR(VLOOKUP($A41,subQ,MATCH(U$1,SUBQH,0),0),"")</f>
        <v/>
      </c>
      <c r="V41" s="32">
        <f>IFERROR(VLOOKUP($A41,subQ,MATCH(V$1,SUBQH,0),0),"")</f>
        <v/>
      </c>
      <c r="W41" s="32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46">
        <f>IFERROR(O5/K5-1,"")</f>
        <v/>
      </c>
      <c r="P42" s="32">
        <f>IFERROR(P5/L5-1,"")</f>
        <v/>
      </c>
      <c r="Q42" s="32">
        <f>IFERROR(Q5/M5-1,"")</f>
        <v/>
      </c>
      <c r="R42" s="32">
        <f>IFERROR(R5/N5-1,"")</f>
        <v/>
      </c>
      <c r="S42" s="32">
        <f>IFERROR(S5/O5-1,"")</f>
        <v/>
      </c>
      <c r="T42" s="32">
        <f>IFERROR(T5/P5-1,"")</f>
        <v/>
      </c>
      <c r="U42" s="32">
        <f>IFERROR(U5/Q5-1,"")</f>
        <v/>
      </c>
      <c r="V42" s="32">
        <f>IFERROR(V5/R5-1,"")</f>
        <v/>
      </c>
      <c r="W42" s="32">
        <f>IFERROR(W5/S5-1,"")</f>
        <v/>
      </c>
      <c r="X42" s="32">
        <f>IFERROR(X5/T5-1,"")</f>
        <v/>
      </c>
      <c r="Y42" s="32">
        <f>IFERROR(Y5/U5-1,"")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46">
        <f>IFERROR(O9/K9-1,"")</f>
        <v/>
      </c>
      <c r="P43" s="32">
        <f>IFERROR(P9/L9-1,"")</f>
        <v/>
      </c>
      <c r="Q43" s="32">
        <f>IFERROR(Q9/M9-1,"")</f>
        <v/>
      </c>
      <c r="R43" s="32">
        <f>IFERROR(R9/N9-1,"")</f>
        <v/>
      </c>
      <c r="S43" s="32">
        <f>IFERROR(S9/O9-1,"")</f>
        <v/>
      </c>
      <c r="T43" s="32">
        <f>IFERROR(T9/P9-1,"")</f>
        <v/>
      </c>
      <c r="U43" s="32">
        <f>IFERROR(U9/Q9-1,"")</f>
        <v/>
      </c>
      <c r="V43" s="32">
        <f>IFERROR(V9/R9-1,"")</f>
        <v/>
      </c>
      <c r="W43" s="32">
        <f>IFERROR(W9/S9-1,"")</f>
        <v/>
      </c>
      <c r="X43" s="32">
        <f>IFERROR(X9/T9-1,"")</f>
        <v/>
      </c>
      <c r="Y43" s="32">
        <f>IFERROR(Y9/U9-1,"")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46">
        <f>IFERROR(O20/K20-1,"")</f>
        <v/>
      </c>
      <c r="P44" s="32">
        <f>IFERROR(P20/L20-1,"")</f>
        <v/>
      </c>
      <c r="Q44" s="32">
        <f>IFERROR(Q20/M20-1,"")</f>
        <v/>
      </c>
      <c r="R44" s="32">
        <f>IFERROR(R20/N20-1,"")</f>
        <v/>
      </c>
      <c r="S44" s="32">
        <f>IFERROR(S20/O20-1,"")</f>
        <v/>
      </c>
      <c r="T44" s="32">
        <f>IFERROR(T20/P20-1,"")</f>
        <v/>
      </c>
      <c r="U44" s="32">
        <f>IFERROR(U20/Q20-1,"")</f>
        <v/>
      </c>
      <c r="V44" s="32">
        <f>IFERROR(V20/R20-1,"")</f>
        <v/>
      </c>
      <c r="W44" s="32">
        <f>IFERROR(W20/S20-1,"")</f>
        <v/>
      </c>
      <c r="X44" s="32">
        <f>IFERROR(X20/T20-1,"")</f>
        <v/>
      </c>
      <c r="Y44" s="32">
        <f>IFERROR(Y20/U20-1,"")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변수!D44</f>
        <v/>
      </c>
      <c r="G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5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47">
        <f>IFERROR(VLOOKUP($A33,subQ,MATCH(G$1,SUBQH,0),0),"")</f>
        <v/>
      </c>
      <c r="H33" s="33">
        <f>IFERROR(VLOOKUP($A33,subQ,MATCH(H$1,SUBQH,0),0),"")</f>
        <v/>
      </c>
      <c r="I33" s="33">
        <f>IFERROR(VLOOKUP($A33,subQ,MATCH(I$1,SUBQH,0),0),"")</f>
        <v/>
      </c>
      <c r="J33" s="33">
        <f>IFERROR(VLOOKUP($A33,subQ,MATCH(J$1,SUBQH,0),0),"")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5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48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48">
        <f>IFERROR(VLOOKUP($A38,subQ,MATCH(G$1,SUBQH,0),0),"")</f>
        <v/>
      </c>
      <c r="H38" s="39">
        <f>IFERROR(VLOOKUP($A38,subQ,MATCH(H$1,SUBQH,0),0),"")</f>
        <v/>
      </c>
      <c r="I38" s="39">
        <f>IFERROR(VLOOKUP($A38,subQ,MATCH(I$1,SUBQH,0),0),"")</f>
        <v/>
      </c>
      <c r="J38" s="39">
        <f>IFERROR(VLOOKUP($A38,subQ,MATCH(J$1,SUBQH,0),0),"")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45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45">
        <f>IFERROR(VLOOKUP($A40,subQ,MATCH(G$1,SUBQH,0),0),"")</f>
        <v/>
      </c>
      <c r="H40" s="20">
        <f>IFERROR(VLOOKUP($A40,subQ,MATCH(H$1,SUBQH,0),0),"")</f>
        <v/>
      </c>
      <c r="I40" s="20">
        <f>IFERROR(VLOOKUP($A40,subQ,MATCH(I$1,SUBQH,0),0),"")</f>
        <v/>
      </c>
      <c r="J40" s="20">
        <f>IFERROR(VLOOKUP($A40,subQ,MATCH(J$1,SUBQH,0),0),"")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46">
        <f>IFERROR(VLOOKUP($A41,subQ,MATCH(G$1,SUBQH,0),0),"")</f>
        <v/>
      </c>
      <c r="H41" s="32">
        <f>IFERROR(VLOOKUP($A41,subQ,MATCH(H$1,SUBQH,0),0),"")</f>
        <v/>
      </c>
      <c r="I41" s="32">
        <f>IFERROR(VLOOKUP($A41,subQ,MATCH(I$1,SUBQH,0),0),"")</f>
        <v/>
      </c>
      <c r="J41" s="32">
        <f>IFERROR(VLOOKUP($A41,subQ,MATCH(J$1,SUBQH,0),0),"")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46">
        <f>IFERROR(G5/F5-1,"")</f>
        <v/>
      </c>
      <c r="H42" s="32">
        <f>IFERROR(H5/G5-1,"")</f>
        <v/>
      </c>
      <c r="I42" s="32">
        <f>IFERROR(I5/H5-1,"")</f>
        <v/>
      </c>
      <c r="J42" s="32">
        <f>IFERROR(J5/I5-1,"")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46">
        <f>IFERROR(G9/F9-1,"")</f>
        <v/>
      </c>
      <c r="H43" s="32">
        <f>IFERROR(H9/G9-1,"")</f>
        <v/>
      </c>
      <c r="I43" s="32">
        <f>IFERROR(I9/H9-1,"")</f>
        <v/>
      </c>
      <c r="J43" s="32">
        <f>IFERROR(J9/I9-1,"")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46">
        <f>IFERROR(G20/F20-1,"")</f>
        <v/>
      </c>
      <c r="H44" s="32">
        <f>IFERROR(H20/G20-1,"")</f>
        <v/>
      </c>
      <c r="I44" s="32">
        <f>IFERROR(I20/H20-1,"")</f>
        <v/>
      </c>
      <c r="J44" s="32">
        <f>IFERROR(J20/I20-1,"")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909.7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15.46</v>
      </c>
    </row>
    <row r="32">
      <c r="C32" s="2" t="inlineStr">
        <is>
          <t>pbr_now</t>
        </is>
      </c>
      <c r="D32" t="n">
        <v>2.88</v>
      </c>
    </row>
    <row r="33">
      <c r="C33" s="2" t="inlineStr">
        <is>
          <t>roe_fwd</t>
        </is>
      </c>
      <c r="D33" t="n">
        <v>0.1865</v>
      </c>
    </row>
    <row r="34">
      <c r="C34" s="2" t="inlineStr">
        <is>
          <t>fair_pbr</t>
        </is>
      </c>
      <c r="D34" t="n">
        <v>2.07</v>
      </c>
    </row>
    <row r="35">
      <c r="C35" s="2" t="inlineStr">
        <is>
          <t>fair_value_pbr</t>
        </is>
      </c>
      <c r="D35" t="n">
        <v>10100</v>
      </c>
    </row>
    <row r="36">
      <c r="C36" s="2" t="inlineStr">
        <is>
          <t>ev_ebitda</t>
        </is>
      </c>
      <c r="D36" t="n">
        <v>14.43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