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변수!$C$1:$AE$1</definedName>
    <definedName name="환율">변수!$C$6:$AE$13</definedName>
    <definedName name="BS연결H">BS연결!$C$1:$AE$1</definedName>
    <definedName name="BS연결">BS연결!$C$5:$AE$5</definedName>
    <definedName name="BS별도H">BS별도!$C$1:$AE$1</definedName>
    <definedName name="BS별도">BS별도!$C$5:$AE$92</definedName>
    <definedName name="SUBQH">subQ!$A$1:$AE$1</definedName>
    <definedName name="subQ">subQ!$A$5:$AE$44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S6" authorId="0" shapeId="0">
      <text>
        <t>모델 assumptions.fx — 가정 — 마지막 ECB 관측치를 2028Q4 까지 평평하게 둔다. 선도환율·컨센서스 아님.</t>
      </text>
    </comment>
    <comment ref="T6" authorId="0" shapeId="0">
      <text>
        <t>모델 assumptions.fx — 가정 — 마지막 ECB 관측치를 2028Q4 까지 평평하게 둔다. 선도환율·컨센서스 아님.</t>
      </text>
    </comment>
    <comment ref="V6" authorId="0" shapeId="0">
      <text>
        <t>모델 assumptions.fx — 가정 — 마지막 ECB 관측치를 2028Q4 까지 평평하게 둔다. 선도환율·컨센서스 아님.</t>
      </text>
    </comment>
    <comment ref="W6" authorId="0" shapeId="0">
      <text>
        <t>모델 assumptions.fx — 가정 — 마지막 ECB 관측치를 2028Q4 까지 평평하게 둔다. 선도환율·컨센서스 아님.</t>
      </text>
    </comment>
    <comment ref="X6" authorId="0" shapeId="0">
      <text>
        <t>모델 assumptions.fx — 가정 — 마지막 ECB 관측치를 2028Q4 까지 평평하게 둔다. 선도환율·컨센서스 아님.</t>
      </text>
    </comment>
    <comment ref="Y6" authorId="0" shapeId="0">
      <text>
        <t>모델 assumptions.fx — 가정 — 마지막 ECB 관측치를 2028Q4 까지 평평하게 둔다. 선도환율·컨센서스 아님.</t>
      </text>
    </comment>
    <comment ref="AA6" authorId="0" shapeId="0">
      <text>
        <t>모델 assumptions.fx — 가정 — 마지막 ECB 관측치를 2028Q4 까지 평평하게 둔다. 선도환율·컨센서스 아님.</t>
      </text>
    </comment>
    <comment ref="AB6" authorId="0" shapeId="0">
      <text>
        <t>모델 assumptions.fx — 가정 — 마지막 ECB 관측치를 2028Q4 까지 평평하게 둔다. 선도환율·컨센서스 아님.</t>
      </text>
    </commen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S7" authorId="0" shapeId="0">
      <text>
        <t>모델 assumptions.fx — 가정 — 마지막 ECB 관측치를 2028Q4 까지 평평하게 둔다. 선도환율·컨센서스 아님.</t>
      </text>
    </comment>
    <comment ref="T7" authorId="0" shapeId="0">
      <text>
        <t>모델 assumptions.fx — 가정 — 마지막 ECB 관측치를 2028Q4 까지 평평하게 둔다. 선도환율·컨센서스 아님.</t>
      </text>
    </comment>
    <comment ref="V7" authorId="0" shapeId="0">
      <text>
        <t>모델 assumptions.fx — 가정 — 마지막 ECB 관측치를 2028Q4 까지 평평하게 둔다. 선도환율·컨센서스 아님.</t>
      </text>
    </comment>
    <comment ref="W7" authorId="0" shapeId="0">
      <text>
        <t>모델 assumptions.fx — 가정 — 마지막 ECB 관측치를 2028Q4 까지 평평하게 둔다. 선도환율·컨센서스 아님.</t>
      </text>
    </comment>
    <comment ref="X7" authorId="0" shapeId="0">
      <text>
        <t>모델 assumptions.fx — 가정 — 마지막 ECB 관측치를 2028Q4 까지 평평하게 둔다. 선도환율·컨센서스 아님.</t>
      </text>
    </comment>
    <comment ref="Y7" authorId="0" shapeId="0">
      <text>
        <t>모델 assumptions.fx — 가정 — 마지막 ECB 관측치를 2028Q4 까지 평평하게 둔다. 선도환율·컨센서스 아님.</t>
      </text>
    </comment>
    <comment ref="AA7" authorId="0" shapeId="0">
      <text>
        <t>모델 assumptions.fx — 가정 — 마지막 ECB 관측치를 2028Q4 까지 평평하게 둔다. 선도환율·컨센서스 아님.</t>
      </text>
    </comment>
    <comment ref="AB7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T8" authorId="0" shapeId="0">
      <text>
        <t>fx.json quarters(partial — 분기 진행 중 실측 평균)</t>
      </text>
    </comment>
    <comment ref="V8" authorId="0" shapeId="0">
      <text>
        <t>fx.json forward(flat_last_end) — 가정</t>
      </text>
    </comment>
    <comment ref="W8" authorId="0" shapeId="0">
      <text>
        <t>fx.json forward(flat_last_end) — 가정</t>
      </text>
    </comment>
    <comment ref="X8" authorId="0" shapeId="0">
      <text>
        <t>fx.json forward(flat_last_end) — 가정</t>
      </text>
    </comment>
    <comment ref="Y8" authorId="0" shapeId="0">
      <text>
        <t>fx.json forward(flat_last_end) — 가정</t>
      </text>
    </comment>
    <comment ref="AA8" authorId="0" shapeId="0">
      <text>
        <t>fx.json forward(flat_last_end) — 가정</t>
      </text>
    </comment>
    <comment ref="AB8" authorId="0" shapeId="0">
      <text>
        <t>fx.json forward(flat_last_end) — 가정</t>
      </text>
    </comment>
    <comment ref="AC8" authorId="0" shapeId="0">
      <text>
        <t>fx.json forward(flat_last_end) — 가정</t>
      </text>
    </comment>
    <comment ref="AD8" authorId="0" shapeId="0">
      <text>
        <t>fx.json forward(flat_last_end) — 가정</t>
      </text>
    </comment>
    <comment ref="T9" authorId="0" shapeId="0">
      <text>
        <t>fx.json quarters(partial — 분기 진행 중 실측 평균)</t>
      </text>
    </comment>
    <comment ref="V9" authorId="0" shapeId="0">
      <text>
        <t>fx.json forward(flat_last_end) — 가정</t>
      </text>
    </comment>
    <comment ref="W9" authorId="0" shapeId="0">
      <text>
        <t>fx.json forward(flat_last_end) — 가정</t>
      </text>
    </comment>
    <comment ref="X9" authorId="0" shapeId="0">
      <text>
        <t>fx.json forward(flat_last_end) — 가정</t>
      </text>
    </comment>
    <comment ref="Y9" authorId="0" shapeId="0">
      <text>
        <t>fx.json forward(flat_last_end) — 가정</t>
      </text>
    </comment>
    <comment ref="AA9" authorId="0" shapeId="0">
      <text>
        <t>fx.json forward(flat_last_end) — 가정</t>
      </text>
    </comment>
    <comment ref="AB9" authorId="0" shapeId="0">
      <text>
        <t>fx.json forward(flat_last_end) — 가정</t>
      </text>
    </comment>
    <comment ref="AC9" authorId="0" shapeId="0">
      <text>
        <t>fx.json forward(flat_last_end) — 가정</t>
      </text>
    </comment>
    <comment ref="AD9" authorId="0" shapeId="0">
      <text>
        <t>fx.json forward(flat_last_end) — 가정</t>
      </text>
    </comment>
    <comment ref="T10" authorId="0" shapeId="0">
      <text>
        <t>fx.json quarters(partial — 분기 진행 중 실측 평균)</t>
      </text>
    </comment>
    <comment ref="V10" authorId="0" shapeId="0">
      <text>
        <t>fx.json forward(flat_last_end) — 가정</t>
      </text>
    </comment>
    <comment ref="W10" authorId="0" shapeId="0">
      <text>
        <t>fx.json forward(flat_last_end) — 가정</t>
      </text>
    </comment>
    <comment ref="X10" authorId="0" shapeId="0">
      <text>
        <t>fx.json forward(flat_last_end) — 가정</t>
      </text>
    </comment>
    <comment ref="Y10" authorId="0" shapeId="0">
      <text>
        <t>fx.json forward(flat_last_end) — 가정</t>
      </text>
    </comment>
    <comment ref="AA10" authorId="0" shapeId="0">
      <text>
        <t>fx.json forward(flat_last_end) — 가정</t>
      </text>
    </comment>
    <comment ref="AB10" authorId="0" shapeId="0">
      <text>
        <t>fx.json forward(flat_last_end) — 가정</t>
      </text>
    </comment>
    <comment ref="AC10" authorId="0" shapeId="0">
      <text>
        <t>fx.json forward(flat_last_end) — 가정</t>
      </text>
    </comment>
    <comment ref="AD10" authorId="0" shapeId="0">
      <text>
        <t>fx.json forward(flat_last_end) — 가정</t>
      </text>
    </comment>
    <comment ref="T11" authorId="0" shapeId="0">
      <text>
        <t>fx.json quarters(partial — 분기 진행 중 실측 평균)</t>
      </text>
    </comment>
    <comment ref="V11" authorId="0" shapeId="0">
      <text>
        <t>fx.json forward(flat_last_end) — 가정</t>
      </text>
    </comment>
    <comment ref="W11" authorId="0" shapeId="0">
      <text>
        <t>fx.json forward(flat_last_end) — 가정</t>
      </text>
    </comment>
    <comment ref="X11" authorId="0" shapeId="0">
      <text>
        <t>fx.json forward(flat_last_end) — 가정</t>
      </text>
    </comment>
    <comment ref="Y11" authorId="0" shapeId="0">
      <text>
        <t>fx.json forward(flat_last_end) — 가정</t>
      </text>
    </comment>
    <comment ref="AA11" authorId="0" shapeId="0">
      <text>
        <t>fx.json forward(flat_last_end) — 가정</t>
      </text>
    </comment>
    <comment ref="AB11" authorId="0" shapeId="0">
      <text>
        <t>fx.json forward(flat_last_end) — 가정</t>
      </text>
    </comment>
    <comment ref="AC11" authorId="0" shapeId="0">
      <text>
        <t>fx.json forward(flat_last_end) — 가정</t>
      </text>
    </comment>
    <comment ref="AD11" authorId="0" shapeId="0">
      <text>
        <t>fx.json forward(flat_last_end) — 가정</t>
      </text>
    </comment>
    <comment ref="T12" authorId="0" shapeId="0">
      <text>
        <t>fx.json quarters(partial — 분기 진행 중 실측 평균)</t>
      </text>
    </comment>
    <comment ref="V12" authorId="0" shapeId="0">
      <text>
        <t>fx.json forward(flat_last_end) — 가정</t>
      </text>
    </comment>
    <comment ref="W12" authorId="0" shapeId="0">
      <text>
        <t>fx.json forward(flat_last_end) — 가정</t>
      </text>
    </comment>
    <comment ref="X12" authorId="0" shapeId="0">
      <text>
        <t>fx.json forward(flat_last_end) — 가정</t>
      </text>
    </comment>
    <comment ref="Y12" authorId="0" shapeId="0">
      <text>
        <t>fx.json forward(flat_last_end) — 가정</t>
      </text>
    </comment>
    <comment ref="AA12" authorId="0" shapeId="0">
      <text>
        <t>fx.json forward(flat_last_end) — 가정</t>
      </text>
    </comment>
    <comment ref="AB12" authorId="0" shapeId="0">
      <text>
        <t>fx.json forward(flat_last_end) — 가정</t>
      </text>
    </comment>
    <comment ref="AC12" authorId="0" shapeId="0">
      <text>
        <t>fx.json forward(flat_last_end) — 가정</t>
      </text>
    </comment>
    <comment ref="AD12" authorId="0" shapeId="0">
      <text>
        <t>fx.json forward(flat_last_end) — 가정</t>
      </text>
    </comment>
    <comment ref="T13" authorId="0" shapeId="0">
      <text>
        <t>fx.json quarters(partial — 분기 진행 중 실측 평균)</t>
      </text>
    </comment>
    <comment ref="V13" authorId="0" shapeId="0">
      <text>
        <t>fx.json forward(flat_last_end) — 가정</t>
      </text>
    </comment>
    <comment ref="W13" authorId="0" shapeId="0">
      <text>
        <t>fx.json forward(flat_last_end) — 가정</t>
      </text>
    </comment>
    <comment ref="X13" authorId="0" shapeId="0">
      <text>
        <t>fx.json forward(flat_last_end) — 가정</t>
      </text>
    </comment>
    <comment ref="Y13" authorId="0" shapeId="0">
      <text>
        <t>fx.json forward(flat_last_end) — 가정</t>
      </text>
    </comment>
    <comment ref="AA13" authorId="0" shapeId="0">
      <text>
        <t>fx.json forward(flat_last_end) — 가정</t>
      </text>
    </comment>
    <comment ref="AB13" authorId="0" shapeId="0">
      <text>
        <t>fx.json forward(flat_last_end) — 가정</t>
      </text>
    </comment>
    <comment ref="AC13" authorId="0" shapeId="0">
      <text>
        <t>fx.json forward(flat_last_end) — 가정</t>
      </text>
    </comment>
    <comment ref="AD13" authorId="0" shapeId="0">
      <text>
        <t>fx.json forward(flat_last_end) — 가정</t>
      </text>
    </comment>
    <comment ref="T15" authorId="0" shapeId="0">
      <text>
        <t>분기 진행 중(partial) — aikstockdata/토스 일봉</t>
      </text>
    </comment>
    <comment ref="T16" authorId="0" shapeId="0">
      <text>
        <t>분기 진행 중(partial) — aikstockdata/토스 일봉</t>
      </text>
    </comment>
    <comment ref="T17" authorId="0" shapeId="0">
      <text>
        <t>분기 진행 중(partial) — aikstockdata/토스 일봉</t>
      </text>
    </comment>
    <comment ref="T18" authorId="0" shapeId="0">
      <text>
        <t>분기 진행 중(partial) — aikstockdata/토스 일봉</t>
      </text>
    </comment>
    <comment ref="S21" authorId="0" shapeId="0">
      <text>
        <t>모델값 역산(implied): v / 전년동기 − 1
전년동기 × (1+50.0%) — g=최근 4분기 합 YoY 50.0% 클립(−30~+50%), 연차별 절반 감쇠(가정)</t>
      </text>
    </comment>
    <comment ref="T21" authorId="0" shapeId="0">
      <text>
        <t>모델값 역산(implied): v / 전년동기 − 1
전년동기 × (1+50.0%) — g=최근 4분기 합 YoY 50.0% 클립(−30~+50%), 연차별 절반 감쇠(가정)</t>
      </text>
    </comment>
    <comment ref="V21" authorId="0" shapeId="0">
      <text>
        <t>모델값 역산(implied): v / 전년동기 − 1
전년동기 × (1+50.0%) — g=최근 4분기 합 YoY 50.0% 클립(−30~+50%), 연차별 절반 감쇠(가정)</t>
      </text>
    </comment>
    <comment ref="W21" authorId="0" shapeId="0">
      <text>
        <t>모델값 역산(implied): v / 전년동기 − 1
전년동기 × (1+50.0%) — g=최근 4분기 합 YoY 50.0% 클립(−30~+50%), 연차별 절반 감쇠(가정)</t>
      </text>
    </comment>
    <comment ref="X21" authorId="0" shapeId="0">
      <text>
        <t>모델값 역산(implied): v / 전년동기 − 1
전년동기 × (1+25.0%) — g=최근 4분기 합 YoY 50.0% 클립(−30~+50%), 연차별 절반 감쇠(가정)</t>
      </text>
    </comment>
    <comment ref="Y21" authorId="0" shapeId="0">
      <text>
        <t>모델값 역산(implied): v / 전년동기 − 1
전년동기 × (1+25.0%) — g=최근 4분기 합 YoY 50.0% 클립(−30~+50%), 연차별 절반 감쇠(가정)</t>
      </text>
    </comment>
    <comment ref="AA21" authorId="0" shapeId="0">
      <text>
        <t>모델값 역산(implied): v / 전년동기 − 1
전년동기 × (1+25.0%) — g=최근 4분기 합 YoY 50.0% 클립(−30~+50%), 연차별 절반 감쇠(가정)</t>
      </text>
    </comment>
    <comment ref="AB21" authorId="0" shapeId="0">
      <text>
        <t>모델값 역산(implied): v / 전년동기 − 1
전년동기 × (1+25.0%) — g=최근 4분기 합 YoY 50.0% 클립(−30~+50%), 연차별 절반 감쇠(가정)</t>
      </text>
    </comment>
    <comment ref="AC21" authorId="0" shapeId="0">
      <text>
        <t>모델값 역산(implied): v / 전년동기 − 1
전년동기 × (1+12.5%) — g=최근 4분기 합 YoY 50.0% 클립(−30~+50%), 연차별 절반 감쇠(가정)</t>
      </text>
    </comment>
    <comment ref="AD21" authorId="0" shapeId="0">
      <text>
        <t>모델값 역산(implied): v / 전년동기 − 1
전년동기 × (1+12.5%) — g=최근 4분기 합 YoY 50.0% 클립(−30~+50%), 연차별 절반 감쇠(가정)</t>
      </text>
    </comment>
    <comment ref="S22" authorId="0" shapeId="0">
      <text>
        <t>3절 스칼라 '판관비율' 참조 — 숫자로 덮어쓰면 이 분기만 바뀐다
매출액 × 판관비율 8.23%(최근 4분기 중위)</t>
      </text>
    </comment>
    <comment ref="T22" authorId="0" shapeId="0">
      <text>
        <t>3절 스칼라 '판관비율' 참조 — 숫자로 덮어쓰면 이 분기만 바뀐다
매출액 × 판관비율 8.23%(최근 4분기 중위)</t>
      </text>
    </comment>
    <comment ref="V22" authorId="0" shapeId="0">
      <text>
        <t>3절 스칼라 '판관비율' 참조 — 숫자로 덮어쓰면 이 분기만 바뀐다
매출액 × 판관비율 8.23%(최근 4분기 중위)</t>
      </text>
    </comment>
    <comment ref="W22" authorId="0" shapeId="0">
      <text>
        <t>3절 스칼라 '판관비율' 참조 — 숫자로 덮어쓰면 이 분기만 바뀐다
매출액 × 판관비율 8.23%(최근 4분기 중위)</t>
      </text>
    </comment>
    <comment ref="X22" authorId="0" shapeId="0">
      <text>
        <t>3절 스칼라 '판관비율' 참조 — 숫자로 덮어쓰면 이 분기만 바뀐다
매출액 × 판관비율 8.23%(최근 4분기 중위)</t>
      </text>
    </comment>
    <comment ref="Y22" authorId="0" shapeId="0">
      <text>
        <t>3절 스칼라 '판관비율' 참조 — 숫자로 덮어쓰면 이 분기만 바뀐다
매출액 × 판관비율 8.23%(최근 4분기 중위)</t>
      </text>
    </comment>
    <comment ref="AA22" authorId="0" shapeId="0">
      <text>
        <t>3절 스칼라 '판관비율' 참조 — 숫자로 덮어쓰면 이 분기만 바뀐다
매출액 × 판관비율 8.23%(최근 4분기 중위)</t>
      </text>
    </comment>
    <comment ref="AB22" authorId="0" shapeId="0">
      <text>
        <t>3절 스칼라 '판관비율' 참조 — 숫자로 덮어쓰면 이 분기만 바뀐다
매출액 × 판관비율 8.23%(최근 4분기 중위)</t>
      </text>
    </comment>
    <comment ref="AC22" authorId="0" shapeId="0">
      <text>
        <t>3절 스칼라 '판관비율' 참조 — 숫자로 덮어쓰면 이 분기만 바뀐다
매출액 × 판관비율 8.23%(최근 4분기 중위)</t>
      </text>
    </comment>
    <comment ref="AD22" authorId="0" shapeId="0">
      <text>
        <t>3절 스칼라 '판관비율' 참조 — 숫자로 덮어쓰면 이 분기만 바뀐다
매출액 × 판관비율 8.23%(최근 4분기 중위)</t>
      </text>
    </comment>
    <comment ref="S23" authorId="0" shapeId="0">
      <text>
        <t>모델값 역산(implied): v / 매출액
매출액 × OPM(최근 8분기 OPM 중위 15.7% 유지(클립 −20~40%))</t>
      </text>
    </comment>
    <comment ref="T23" authorId="0" shapeId="0">
      <text>
        <t>모델값 역산(implied): v / 매출액
매출액 × OPM(최근 8분기 OPM 중위 15.7% 유지(클립 −20~40%))</t>
      </text>
    </comment>
    <comment ref="V23" authorId="0" shapeId="0">
      <text>
        <t>모델값 역산(implied): v / 매출액
매출액 × OPM(최근 8분기 OPM 중위 15.7% 유지(클립 −20~40%))</t>
      </text>
    </comment>
    <comment ref="W23" authorId="0" shapeId="0">
      <text>
        <t>모델값 역산(implied): v / 매출액
매출액 × OPM(최근 8분기 OPM 중위 15.7% 유지(클립 −20~40%))</t>
      </text>
    </comment>
    <comment ref="X23" authorId="0" shapeId="0">
      <text>
        <t>모델값 역산(implied): v / 매출액
매출액 × OPM(최근 8분기 OPM 중위 15.7% 유지(클립 −20~40%))</t>
      </text>
    </comment>
    <comment ref="Y23" authorId="0" shapeId="0">
      <text>
        <t>모델값 역산(implied): v / 매출액
매출액 × OPM(최근 8분기 OPM 중위 15.7% 유지(클립 −20~40%))</t>
      </text>
    </comment>
    <comment ref="AA23" authorId="0" shapeId="0">
      <text>
        <t>모델값 역산(implied): v / 매출액
매출액 × OPM(최근 8분기 OPM 중위 15.7% 유지(클립 −20~40%))</t>
      </text>
    </comment>
    <comment ref="AB23" authorId="0" shapeId="0">
      <text>
        <t>모델값 역산(implied): v / 매출액
매출액 × OPM(최근 8분기 OPM 중위 15.7% 유지(클립 −20~40%))</t>
      </text>
    </comment>
    <comment ref="AC23" authorId="0" shapeId="0">
      <text>
        <t>모델값 역산(implied): v / 매출액
매출액 × OPM(최근 8분기 OPM 중위 15.7% 유지(클립 −20~40%))</t>
      </text>
    </comment>
    <comment ref="AD23" authorId="0" shapeId="0">
      <text>
        <t>모델값 역산(implied): v / 매출액
매출액 × OPM(최근 8분기 OPM 중위 15.7% 유지(클립 −20~40%))</t>
      </text>
    </comment>
    <comment ref="S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T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V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W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X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Y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A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B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S25" authorId="0" shapeId="0">
      <text>
        <t>모델값 역산(implied): 모델 v 그대로
파생상품 평가·거래손익 0 가정</t>
      </text>
    </comment>
    <comment ref="T25" authorId="0" shapeId="0">
      <text>
        <t>모델값 역산(implied): 모델 v 그대로
파생상품 평가·거래손익 0 가정</t>
      </text>
    </comment>
    <comment ref="V25" authorId="0" shapeId="0">
      <text>
        <t>모델값 역산(implied): 모델 v 그대로
파생상품 평가·거래손익 0 가정</t>
      </text>
    </comment>
    <comment ref="W25" authorId="0" shapeId="0">
      <text>
        <t>모델값 역산(implied): 모델 v 그대로
파생상품 평가·거래손익 0 가정</t>
      </text>
    </comment>
    <comment ref="X25" authorId="0" shapeId="0">
      <text>
        <t>모델값 역산(implied): 모델 v 그대로
파생상품 평가·거래손익 0 가정</t>
      </text>
    </comment>
    <comment ref="Y25" authorId="0" shapeId="0">
      <text>
        <t>모델값 역산(implied): 모델 v 그대로
파생상품 평가·거래손익 0 가정</t>
      </text>
    </comment>
    <comment ref="AA25" authorId="0" shapeId="0">
      <text>
        <t>모델값 역산(implied): 모델 v 그대로
파생상품 평가·거래손익 0 가정</t>
      </text>
    </comment>
    <comment ref="AB25" authorId="0" shapeId="0">
      <text>
        <t>모델값 역산(implied): 모델 v 그대로
파생상품 평가·거래손익 0 가정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S26" authorId="0" shapeId="0">
      <text>
        <t>모델값 역산(implied): 모델 v 그대로
잔차 실측 3분기 &lt; 4 → 0</t>
      </text>
    </comment>
    <comment ref="T26" authorId="0" shapeId="0">
      <text>
        <t>모델값 역산(implied): 모델 v 그대로
잔차 실측 3분기 &lt; 4 → 0</t>
      </text>
    </comment>
    <comment ref="V26" authorId="0" shapeId="0">
      <text>
        <t>모델값 역산(implied): 모델 v 그대로
잔차 실측 3분기 &lt; 4 → 0</t>
      </text>
    </comment>
    <comment ref="W26" authorId="0" shapeId="0">
      <text>
        <t>모델값 역산(implied): 모델 v 그대로
잔차 실측 3분기 &lt; 4 → 0</t>
      </text>
    </comment>
    <comment ref="X26" authorId="0" shapeId="0">
      <text>
        <t>모델값 역산(implied): 모델 v 그대로
잔차 실측 3분기 &lt; 4 → 0</t>
      </text>
    </comment>
    <comment ref="Y26" authorId="0" shapeId="0">
      <text>
        <t>모델값 역산(implied): 모델 v 그대로
잔차 실측 3분기 &lt; 4 → 0</t>
      </text>
    </comment>
    <comment ref="AA26" authorId="0" shapeId="0">
      <text>
        <t>모델값 역산(implied): 모델 v 그대로
잔차 실측 3분기 &lt; 4 → 0</t>
      </text>
    </comment>
    <comment ref="AB26" authorId="0" shapeId="0">
      <text>
        <t>모델값 역산(implied): 모델 v 그대로
잔차 실측 3분기 &lt; 4 → 0</t>
      </text>
    </comment>
    <comment ref="AC26" authorId="0" shapeId="0">
      <text>
        <t>모델값 역산(implied): 모델 v 그대로
잔차 실측 3분기 &lt; 4 → 0</t>
      </text>
    </comment>
    <comment ref="AD26" authorId="0" shapeId="0">
      <text>
        <t>모델값 역산(implied): 모델 v 그대로
잔차 실측 3분기 &lt; 4 → 0</t>
      </text>
    </comment>
    <comment ref="S27" authorId="0" shapeId="0">
      <text>
        <t>모델값 역산(implied): 모델 v 그대로
일회성 미가정 → 0</t>
      </text>
    </comment>
    <comment ref="T27" authorId="0" shapeId="0">
      <text>
        <t>모델값 역산(implied): 모델 v 그대로
일회성 미가정 → 0</t>
      </text>
    </comment>
    <comment ref="V27" authorId="0" shapeId="0">
      <text>
        <t>모델값 역산(implied): 모델 v 그대로
일회성 미가정 → 0</t>
      </text>
    </comment>
    <comment ref="W27" authorId="0" shapeId="0">
      <text>
        <t>모델값 역산(implied): 모델 v 그대로
일회성 미가정 → 0</t>
      </text>
    </comment>
    <comment ref="X27" authorId="0" shapeId="0">
      <text>
        <t>모델값 역산(implied): 모델 v 그대로
일회성 미가정 → 0</t>
      </text>
    </comment>
    <comment ref="Y27" authorId="0" shapeId="0">
      <text>
        <t>모델값 역산(implied): 모델 v 그대로
일회성 미가정 → 0</t>
      </text>
    </comment>
    <comment ref="AA27" authorId="0" shapeId="0">
      <text>
        <t>모델값 역산(implied): 모델 v 그대로
일회성 미가정 → 0</t>
      </text>
    </comment>
    <comment ref="AB27" authorId="0" shapeId="0">
      <text>
        <t>모델값 역산(implied): 모델 v 그대로
일회성 미가정 → 0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S28" authorId="0" shapeId="0">
      <text>
        <t>3절 스칼라 '세율' 참조 — 숫자로 덮어쓰면 이 분기만 바뀐다
max(세전, 0) × 세율 5.0%(최근 11분기 유효세율 32.5% 가 5~27% 밖 → 클립 대신 최근 8분기 중 세전 &gt; 0 인 7분기(2024Q3~2026Q2)의 법인세/세전 중위 5.0%)</t>
      </text>
    </comment>
    <comment ref="T28" authorId="0" shapeId="0">
      <text>
        <t>3절 스칼라 '세율' 참조 — 숫자로 덮어쓰면 이 분기만 바뀐다
max(세전, 0) × 세율 5.0%(최근 11분기 유효세율 32.5% 가 5~27% 밖 → 클립 대신 최근 8분기 중 세전 &gt; 0 인 7분기(2024Q3~2026Q2)의 법인세/세전 중위 5.0%)</t>
      </text>
    </comment>
    <comment ref="V28" authorId="0" shapeId="0">
      <text>
        <t>3절 스칼라 '세율' 참조 — 숫자로 덮어쓰면 이 분기만 바뀐다
max(세전, 0) × 세율 5.0%(최근 11분기 유효세율 32.5% 가 5~27% 밖 → 클립 대신 최근 8분기 중 세전 &gt; 0 인 7분기(2024Q3~2026Q2)의 법인세/세전 중위 5.0%)</t>
      </text>
    </comment>
    <comment ref="W28" authorId="0" shapeId="0">
      <text>
        <t>3절 스칼라 '세율' 참조 — 숫자로 덮어쓰면 이 분기만 바뀐다
max(세전, 0) × 세율 5.0%(최근 11분기 유효세율 32.5% 가 5~27% 밖 → 클립 대신 최근 8분기 중 세전 &gt; 0 인 7분기(2024Q3~2026Q2)의 법인세/세전 중위 5.0%)</t>
      </text>
    </comment>
    <comment ref="X28" authorId="0" shapeId="0">
      <text>
        <t>3절 스칼라 '세율' 참조 — 숫자로 덮어쓰면 이 분기만 바뀐다
max(세전, 0) × 세율 5.0%(최근 11분기 유효세율 32.5% 가 5~27% 밖 → 클립 대신 최근 8분기 중 세전 &gt; 0 인 7분기(2024Q3~2026Q2)의 법인세/세전 중위 5.0%)</t>
      </text>
    </comment>
    <comment ref="Y28" authorId="0" shapeId="0">
      <text>
        <t>3절 스칼라 '세율' 참조 — 숫자로 덮어쓰면 이 분기만 바뀐다
max(세전, 0) × 세율 5.0%(최근 11분기 유효세율 32.5% 가 5~27% 밖 → 클립 대신 최근 8분기 중 세전 &gt; 0 인 7분기(2024Q3~2026Q2)의 법인세/세전 중위 5.0%)</t>
      </text>
    </comment>
    <comment ref="AA28" authorId="0" shapeId="0">
      <text>
        <t>3절 스칼라 '세율' 참조 — 숫자로 덮어쓰면 이 분기만 바뀐다
max(세전, 0) × 세율 5.0%(최근 11분기 유효세율 32.5% 가 5~27% 밖 → 클립 대신 최근 8분기 중 세전 &gt; 0 인 7분기(2024Q3~2026Q2)의 법인세/세전 중위 5.0%)</t>
      </text>
    </comment>
    <comment ref="AB28" authorId="0" shapeId="0">
      <text>
        <t>3절 스칼라 '세율' 참조 — 숫자로 덮어쓰면 이 분기만 바뀐다
max(세전, 0) × 세율 5.0%(최근 11분기 유효세율 32.5% 가 5~27% 밖 → 클립 대신 최근 8분기 중 세전 &gt; 0 인 7분기(2024Q3~2026Q2)의 법인세/세전 중위 5.0%)</t>
      </text>
    </comment>
    <comment ref="AC28" authorId="0" shapeId="0">
      <text>
        <t>3절 스칼라 '세율' 참조 — 숫자로 덮어쓰면 이 분기만 바뀐다
max(세전, 0) × 세율 5.0%(최근 11분기 유효세율 32.5% 가 5~27% 밖 → 클립 대신 최근 8분기 중 세전 &gt; 0 인 7분기(2024Q3~2026Q2)의 법인세/세전 중위 5.0%)</t>
      </text>
    </comment>
    <comment ref="AD28" authorId="0" shapeId="0">
      <text>
        <t>3절 스칼라 '세율' 참조 — 숫자로 덮어쓰면 이 분기만 바뀐다
max(세전, 0) × 세율 5.0%(최근 11분기 유효세율 32.5% 가 5~27% 밖 → 클립 대신 최근 8분기 중 세전 &gt; 0 인 7분기(2024Q3~2026Q2)의 법인세/세전 중위 5.0%)</t>
      </text>
    </comment>
    <comment ref="S29" authorId="0" shapeId="0">
      <text>
        <t>3절 스칼라 '지배주주비중' 참조 — 숫자로 덮어쓰면 이 분기만 바뀐다
당기순이익 × (1 − 비지배 비중 0.0%, 최근 8분기 실측)</t>
      </text>
    </comment>
    <comment ref="T29" authorId="0" shapeId="0">
      <text>
        <t>3절 스칼라 '지배주주비중' 참조 — 숫자로 덮어쓰면 이 분기만 바뀐다
당기순이익 × (1 − 비지배 비중 0.0%, 최근 8분기 실측)</t>
      </text>
    </comment>
    <comment ref="V29" authorId="0" shapeId="0">
      <text>
        <t>3절 스칼라 '지배주주비중' 참조 — 숫자로 덮어쓰면 이 분기만 바뀐다
당기순이익 × (1 − 비지배 비중 0.0%, 최근 8분기 실측)</t>
      </text>
    </comment>
    <comment ref="W29" authorId="0" shapeId="0">
      <text>
        <t>3절 스칼라 '지배주주비중' 참조 — 숫자로 덮어쓰면 이 분기만 바뀐다
당기순이익 × (1 − 비지배 비중 0.0%, 최근 8분기 실측)</t>
      </text>
    </comment>
    <comment ref="X29" authorId="0" shapeId="0">
      <text>
        <t>3절 스칼라 '지배주주비중' 참조 — 숫자로 덮어쓰면 이 분기만 바뀐다
당기순이익 × (1 − 비지배 비중 0.0%, 최근 8분기 실측)</t>
      </text>
    </comment>
    <comment ref="Y29" authorId="0" shapeId="0">
      <text>
        <t>3절 스칼라 '지배주주비중' 참조 — 숫자로 덮어쓰면 이 분기만 바뀐다
당기순이익 × (1 − 비지배 비중 0.0%, 최근 8분기 실측)</t>
      </text>
    </comment>
    <comment ref="AA29" authorId="0" shapeId="0">
      <text>
        <t>3절 스칼라 '지배주주비중' 참조 — 숫자로 덮어쓰면 이 분기만 바뀐다
당기순이익 × (1 − 비지배 비중 0.0%, 최근 8분기 실측)</t>
      </text>
    </comment>
    <comment ref="AB29" authorId="0" shapeId="0">
      <text>
        <t>3절 스칼라 '지배주주비중' 참조 — 숫자로 덮어쓰면 이 분기만 바뀐다
당기순이익 × (1 − 비지배 비중 0.0%, 최근 8분기 실측)</t>
      </text>
    </comment>
    <comment ref="AC29" authorId="0" shapeId="0">
      <text>
        <t>3절 스칼라 '지배주주비중' 참조 — 숫자로 덮어쓰면 이 분기만 바뀐다
당기순이익 × (1 − 비지배 비중 0.0%, 최근 8분기 실측)</t>
      </text>
    </comment>
    <comment ref="AD29" authorId="0" shapeId="0">
      <text>
        <t>3절 스칼라 '지배주주비중' 참조 — 숫자로 덮어쓰면 이 분기만 바뀐다
당기순이익 × (1 − 비지배 비중 0.0%, 최근 8분기 실측)</t>
      </text>
    </comment>
    <comment ref="S30" authorId="0" shapeId="0">
      <text>
        <t>모델값 역산(implied): 모델 v 그대로
최근 4분기 감가상각비 중위 유지</t>
      </text>
    </comment>
    <comment ref="T30" authorId="0" shapeId="0">
      <text>
        <t>모델값 역산(implied): 모델 v 그대로
최근 4분기 감가상각비 중위 유지</t>
      </text>
    </comment>
    <comment ref="V30" authorId="0" shapeId="0">
      <text>
        <t>모델값 역산(implied): 모델 v 그대로
최근 4분기 감가상각비 중위 유지</t>
      </text>
    </comment>
    <comment ref="W30" authorId="0" shapeId="0">
      <text>
        <t>모델값 역산(implied): 모델 v 그대로
최근 4분기 감가상각비 중위 유지</t>
      </text>
    </comment>
    <comment ref="X30" authorId="0" shapeId="0">
      <text>
        <t>모델값 역산(implied): 모델 v 그대로
최근 4분기 감가상각비 중위 유지</t>
      </text>
    </comment>
    <comment ref="Y30" authorId="0" shapeId="0">
      <text>
        <t>모델값 역산(implied): 모델 v 그대로
최근 4분기 감가상각비 중위 유지</t>
      </text>
    </comment>
    <comment ref="AA30" authorId="0" shapeId="0">
      <text>
        <t>모델값 역산(implied): 모델 v 그대로
최근 4분기 감가상각비 중위 유지</t>
      </text>
    </comment>
    <comment ref="AB30" authorId="0" shapeId="0">
      <text>
        <t>모델값 역산(implied): 모델 v 그대로
최근 4분기 감가상각비 중위 유지</t>
      </text>
    </comment>
    <comment ref="AC30" authorId="0" shapeId="0">
      <text>
        <t>모델값 역산(implied): 모델 v 그대로
최근 4분기 감가상각비 중위 유지</t>
      </text>
    </comment>
    <comment ref="AD30" authorId="0" shapeId="0">
      <text>
        <t>모델값 역산(implied): 모델 v 그대로
최근 4분기 감가상각비 중위 유지</t>
      </text>
    </comment>
    <comment ref="S31" authorId="0" shapeId="0">
      <text>
        <t>모델값 역산(implied): v / 전분기 − 1
마지막 실적 유지(가정)</t>
      </text>
    </comment>
    <comment ref="T31" authorId="0" shapeId="0">
      <text>
        <t>모델값 역산(implied): v / 전분기 − 1
마지막 실적 유지(가정)</t>
      </text>
    </comment>
    <comment ref="V31" authorId="0" shapeId="0">
      <text>
        <t>모델값 역산(implied): v / 전분기 − 1
마지막 실적 유지(가정)</t>
      </text>
    </comment>
    <comment ref="W31" authorId="0" shapeId="0">
      <text>
        <t>모델값 역산(implied): v / 전분기 − 1
마지막 실적 유지(가정)</t>
      </text>
    </comment>
    <comment ref="X31" authorId="0" shapeId="0">
      <text>
        <t>모델값 역산(implied): v / 전분기 − 1
마지막 실적 유지(가정)</t>
      </text>
    </comment>
    <comment ref="Y31" authorId="0" shapeId="0">
      <text>
        <t>모델값 역산(implied): v / 전분기 − 1
마지막 실적 유지(가정)</t>
      </text>
    </comment>
    <comment ref="AA31" authorId="0" shapeId="0">
      <text>
        <t>모델값 역산(implied): v / 전분기 − 1
마지막 실적 유지(가정)</t>
      </text>
    </comment>
    <comment ref="AB31" authorId="0" shapeId="0">
      <text>
        <t>모델값 역산(implied): v / 전분기 − 1
마지막 실적 유지(가정)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S32" authorId="0" shapeId="0">
      <text>
        <t>모델값 역산(implied): 전분기(시트값) + 당기순이익(시트 수식값) − v
전분기 + 당기순이익 − 배당(Q2 지급 가정)</t>
      </text>
    </comment>
    <comment ref="T32" authorId="0" shapeId="0">
      <text>
        <t>모델값 역산(implied): 전분기(시트값) + 당기순이익(시트 수식값) − v
전분기 + 당기순이익 − 배당(Q2 지급 가정)</t>
      </text>
    </comment>
    <comment ref="V32" authorId="0" shapeId="0">
      <text>
        <t>모델값 역산(implied): 전분기(시트값) + 당기순이익(시트 수식값) − v
전분기 + 당기순이익 − 배당(Q2 지급 가정)</t>
      </text>
    </comment>
    <comment ref="W32" authorId="0" shapeId="0">
      <text>
        <t>모델값 역산(implied): 전분기(시트값) + 당기순이익(시트 수식값) − v
전분기 + 당기순이익 − 배당(Q2 지급 가정)</t>
      </text>
    </comment>
    <comment ref="X32" authorId="0" shapeId="0">
      <text>
        <t>모델값 역산(implied): 전분기(시트값) + 당기순이익(시트 수식값) − v
전분기 + 당기순이익 − 배당(Q2 지급 가정)</t>
      </text>
    </comment>
    <comment ref="Y32" authorId="0" shapeId="0">
      <text>
        <t>모델값 역산(implied): 전분기(시트값) + 당기순이익(시트 수식값) − v
전분기 + 당기순이익 − 배당(Q2 지급 가정)</t>
      </text>
    </comment>
    <comment ref="AA32" authorId="0" shapeId="0">
      <text>
        <t>모델값 역산(implied): 전분기(시트값) + 당기순이익(시트 수식값) − v
전분기 + 당기순이익 − 배당(Q2 지급 가정)</t>
      </text>
    </comment>
    <comment ref="AB32" authorId="0" shapeId="0">
      <text>
        <t>모델값 역산(implied): 전분기(시트값) + 당기순이익(시트 수식값) − v
전분기 + 당기순이익 − 배당(Q2 지급 가정)</t>
      </text>
    </comment>
    <comment ref="AC32" authorId="0" shapeId="0">
      <text>
        <t>모델값 역산(implied): 전분기(시트값) + 당기순이익(시트 수식값) − v
전분기 + 당기순이익 − 배당(Q2 지급 가정)</t>
      </text>
    </comment>
    <comment ref="AD32" authorId="0" shapeId="0">
      <text>
        <t>모델값 역산(implied): 전분기(시트값) + 당기순이익(시트 수식값) − v
전분기 + 당기순이익 − 배당(Q2 지급 가정)</t>
      </text>
    </comment>
    <comment ref="S33" authorId="0" shapeId="0">
      <text>
        <t>모델값 역산(implied): 전분기(시트값) + 지배주주순이익(시트 수식값) − v
전분기 + 지배주주순이익 − 배당</t>
      </text>
    </comment>
    <comment ref="T33" authorId="0" shapeId="0">
      <text>
        <t>모델값 역산(implied): 전분기(시트값) + 지배주주순이익(시트 수식값) − v
전분기 + 지배주주순이익 − 배당</t>
      </text>
    </comment>
    <comment ref="V33" authorId="0" shapeId="0">
      <text>
        <t>모델값 역산(implied): 전분기(시트값) + 지배주주순이익(시트 수식값) − v
전분기 + 지배주주순이익 − 배당</t>
      </text>
    </comment>
    <comment ref="W33" authorId="0" shapeId="0">
      <text>
        <t>모델값 역산(implied): 전분기(시트값) + 지배주주순이익(시트 수식값) − v
전분기 + 지배주주순이익 − 배당</t>
      </text>
    </comment>
    <comment ref="X33" authorId="0" shapeId="0">
      <text>
        <t>모델값 역산(implied): 전분기(시트값) + 지배주주순이익(시트 수식값) − v
전분기 + 지배주주순이익 − 배당</t>
      </text>
    </comment>
    <comment ref="Y33" authorId="0" shapeId="0">
      <text>
        <t>모델값 역산(implied): 전분기(시트값) + 지배주주순이익(시트 수식값) − v
전분기 + 지배주주순이익 − 배당</t>
      </text>
    </comment>
    <comment ref="AA33" authorId="0" shapeId="0">
      <text>
        <t>모델값 역산(implied): 전분기(시트값) + 지배주주순이익(시트 수식값) − v
전분기 + 지배주주순이익 − 배당</t>
      </text>
    </comment>
    <comment ref="AB33" authorId="0" shapeId="0">
      <text>
        <t>모델값 역산(implied): 전분기(시트값) + 지배주주순이익(시트 수식값) − v
전분기 + 지배주주순이익 − 배당</t>
      </text>
    </comment>
    <comment ref="AC33" authorId="0" shapeId="0">
      <text>
        <t>모델값 역산(implied): 전분기(시트값) + 지배주주순이익(시트 수식값) − v
전분기 + 지배주주순이익 − 배당</t>
      </text>
    </comment>
    <comment ref="AD33" authorId="0" shapeId="0">
      <text>
        <t>모델값 역산(implied): 전분기(시트값) + 지배주주순이익(시트 수식값) − v
전분기 + 지배주주순이익 − 배당</t>
      </text>
    </comment>
    <comment ref="S34" authorId="0" shapeId="0">
      <text>
        <t>모델값 역산(implied): v / 전분기 − 1
마지막 실적 유지(가정)</t>
      </text>
    </comment>
    <comment ref="T34" authorId="0" shapeId="0">
      <text>
        <t>모델값 역산(implied): v / 전분기 − 1
마지막 실적 유지(가정)</t>
      </text>
    </comment>
    <comment ref="V34" authorId="0" shapeId="0">
      <text>
        <t>모델값 역산(implied): v / 전분기 − 1
마지막 실적 유지(가정)</t>
      </text>
    </comment>
    <comment ref="W34" authorId="0" shapeId="0">
      <text>
        <t>모델값 역산(implied): v / 전분기 − 1
마지막 실적 유지(가정)</t>
      </text>
    </comment>
    <comment ref="X34" authorId="0" shapeId="0">
      <text>
        <t>모델값 역산(implied): v / 전분기 − 1
마지막 실적 유지(가정)</t>
      </text>
    </comment>
    <comment ref="Y34" authorId="0" shapeId="0">
      <text>
        <t>모델값 역산(implied): v / 전분기 − 1
마지막 실적 유지(가정)</t>
      </text>
    </comment>
    <comment ref="AA34" authorId="0" shapeId="0">
      <text>
        <t>모델값 역산(implied): v / 전분기 − 1
마지막 실적 유지(가정)</t>
      </text>
    </comment>
    <comment ref="AB34" authorId="0" shapeId="0">
      <text>
        <t>모델값 역산(implied): v / 전분기 − 1
마지막 실적 유지(가정)</t>
      </text>
    </comment>
    <comment ref="AC34" authorId="0" shapeId="0">
      <text>
        <t>모델값 역산(implied): v / 전분기 − 1
마지막 실적 유지(가정)</t>
      </text>
    </comment>
    <comment ref="AD34" authorId="0" shapeId="0">
      <text>
        <t>모델값 역산(implied): v / 전분기 − 1
마지막 실적 유지(가정)</t>
      </text>
    </comment>
    <comment ref="S35" authorId="0" shapeId="0">
      <text>
        <t>모델값 역산(implied): v / 전분기 − 1
전분기 − FCF 근사[순이익 + 감가상각비 5억 − CAPEX 93억(각 최근 4분기 중위) − 배당] (운전자본 불변·총차입금 유지 가정 → 변동은 전부 현금)</t>
      </text>
    </comment>
    <comment ref="T35" authorId="0" shapeId="0">
      <text>
        <t>모델값 역산(implied): v / 전분기 − 1
전분기 − FCF 근사[순이익 + 감가상각비 5억 − CAPEX 93억(각 최근 4분기 중위) − 배당] (운전자본 불변·총차입금 유지 가정 → 변동은 전부 현금)</t>
      </text>
    </comment>
    <comment ref="V35" authorId="0" shapeId="0">
      <text>
        <t>모델값 역산(implied): v / 전분기 − 1
전분기 − FCF 근사[순이익 + 감가상각비 5억 − CAPEX 93억(각 최근 4분기 중위) − 배당] (운전자본 불변·총차입금 유지 가정 → 변동은 전부 현금)</t>
      </text>
    </comment>
    <comment ref="W35" authorId="0" shapeId="0">
      <text>
        <t>모델값 역산(implied): v / 전분기 − 1
전분기 − FCF 근사[순이익 + 감가상각비 5억 − CAPEX 93억(각 최근 4분기 중위) − 배당] (운전자본 불변·총차입금 유지 가정 → 변동은 전부 현금)</t>
      </text>
    </comment>
    <comment ref="X35" authorId="0" shapeId="0">
      <text>
        <t>모델값 역산(implied): v / 전분기 − 1
전분기 − FCF 근사[순이익 + 감가상각비 5억 − CAPEX 93억(각 최근 4분기 중위) − 배당] (운전자본 불변·총차입금 유지 가정 → 변동은 전부 현금)</t>
      </text>
    </comment>
    <comment ref="Y35" authorId="0" shapeId="0">
      <text>
        <t>모델값 역산(implied): v / 전분기 − 1
전분기 − FCF 근사[순이익 + 감가상각비 5억 − CAPEX 93억(각 최근 4분기 중위) − 배당] (운전자본 불변·총차입금 유지 가정 → 변동은 전부 현금)</t>
      </text>
    </comment>
    <comment ref="AA35" authorId="0" shapeId="0">
      <text>
        <t>모델값 역산(implied): v / 전분기 − 1
전분기 − FCF 근사[순이익 + 감가상각비 5억 − CAPEX 93억(각 최근 4분기 중위) − 배당] (운전자본 불변·총차입금 유지 가정 → 변동은 전부 현금)</t>
      </text>
    </comment>
    <comment ref="AB35" authorId="0" shapeId="0">
      <text>
        <t>모델값 역산(implied): v / 전분기 − 1
전분기 − FCF 근사[순이익 + 감가상각비 5억 − CAPEX 93억(각 최근 4분기 중위) − 배당] (운전자본 불변·총차입금 유지 가정 → 변동은 전부 현금)</t>
      </text>
    </comment>
    <comment ref="AC35" authorId="0" shapeId="0">
      <text>
        <t>모델값 역산(implied): v / 전분기 − 1
전분기 − FCF 근사[순이익 + 감가상각비 5억 − CAPEX 93억(각 최근 4분기 중위) − 배당] (운전자본 불변·총차입금 유지 가정 → 변동은 전부 현금)</t>
      </text>
    </comment>
    <comment ref="AD35" authorId="0" shapeId="0">
      <text>
        <t>모델값 역산(implied): v / 전분기 − 1
전분기 − FCF 근사[순이익 + 감가상각비 5억 − CAPEX 93억(각 최근 4분기 중위) − 배당] (운전자본 불변·총차입금 유지 가정 → 변동은 전부 현금)</t>
      </text>
    </comment>
    <comment ref="S36" authorId="0" shapeId="0">
      <text>
        <t>모델값 역산(implied): v / 전분기 − 1
전분기 + FCF 근사 — 순차입금 롤과 같은 가정</t>
      </text>
    </comment>
    <comment ref="T36" authorId="0" shapeId="0">
      <text>
        <t>모델값 역산(implied): v / 전분기 − 1
전분기 + FCF 근사 — 순차입금 롤과 같은 가정</t>
      </text>
    </comment>
    <comment ref="V36" authorId="0" shapeId="0">
      <text>
        <t>모델값 역산(implied): v / 전분기 − 1
전분기 + FCF 근사 — 순차입금 롤과 같은 가정</t>
      </text>
    </comment>
    <comment ref="W36" authorId="0" shapeId="0">
      <text>
        <t>모델값 역산(implied): v / 전분기 − 1
전분기 + FCF 근사 — 순차입금 롤과 같은 가정</t>
      </text>
    </comment>
    <comment ref="X36" authorId="0" shapeId="0">
      <text>
        <t>모델값 역산(implied): v / 전분기 − 1
전분기 + FCF 근사 — 순차입금 롤과 같은 가정</t>
      </text>
    </comment>
    <comment ref="Y36" authorId="0" shapeId="0">
      <text>
        <t>모델값 역산(implied): v / 전분기 − 1
전분기 + FCF 근사 — 순차입금 롤과 같은 가정</t>
      </text>
    </comment>
    <comment ref="AA36" authorId="0" shapeId="0">
      <text>
        <t>모델값 역산(implied): v / 전분기 − 1
전분기 + FCF 근사 — 순차입금 롤과 같은 가정</t>
      </text>
    </comment>
    <comment ref="AB36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전분기 − 1
전분기 + FCF 근사 — 순차입금 롤과 같은 가정</t>
      </text>
    </comment>
    <comment ref="AD36" authorId="0" shapeId="0">
      <text>
        <t>모델값 역산(implied): v / 전분기 − 1
전분기 + FCF 근사 — 순차입금 롤과 같은 가정</t>
      </text>
    </comment>
    <comment ref="S38" authorId="0" shapeId="0">
      <text>
        <t>모델값 역산(implied): v / 전년동기 − 1
최근 4분기(2025Q3~2026Q2) CAPEX 중위 유지 — 순차입금 롤에 반영(FCF 근사)</t>
      </text>
    </comment>
    <comment ref="T38" authorId="0" shapeId="0">
      <text>
        <t>모델값 역산(implied): v / 전년동기 − 1
최근 4분기(2025Q3~2026Q2) CAPEX 중위 유지 — 순차입금 롤에 반영(FCF 근사)</t>
      </text>
    </comment>
    <comment ref="V38" authorId="0" shapeId="0">
      <text>
        <t>모델값 역산(implied): v / 전년동기 − 1
최근 4분기(2025Q3~2026Q2) CAPEX 중위 유지 — 순차입금 롤에 반영(FCF 근사)</t>
      </text>
    </comment>
    <comment ref="W38" authorId="0" shapeId="0">
      <text>
        <t>모델값 역산(implied): v / 전년동기 − 1
최근 4분기(2025Q3~2026Q2) CAPEX 중위 유지 — 순차입금 롤에 반영(FCF 근사)</t>
      </text>
    </comment>
    <comment ref="X38" authorId="0" shapeId="0">
      <text>
        <t>모델값 역산(implied): v / 전년동기 − 1
최근 4분기(2025Q3~2026Q2) CAPEX 중위 유지 — 순차입금 롤에 반영(FCF 근사)</t>
      </text>
    </comment>
    <comment ref="Y38" authorId="0" shapeId="0">
      <text>
        <t>모델값 역산(implied): v / 전년동기 − 1
최근 4분기(2025Q3~2026Q2) CAPEX 중위 유지 — 순차입금 롤에 반영(FCF 근사)</t>
      </text>
    </comment>
    <comment ref="AA38" authorId="0" shapeId="0">
      <text>
        <t>모델값 역산(implied): v / 전년동기 − 1
최근 4분기(2025Q3~2026Q2) CAPEX 중위 유지 — 순차입금 롤에 반영(FCF 근사)</t>
      </text>
    </comment>
    <comment ref="AB38" authorId="0" shapeId="0">
      <text>
        <t>모델값 역산(implied): v / 전년동기 − 1
최근 4분기(2025Q3~2026Q2) CAPEX 중위 유지 — 순차입금 롤에 반영(FCF 근사)</t>
      </text>
    </comment>
    <comment ref="AC38" authorId="0" shapeId="0">
      <text>
        <t>모델값 역산(implied): v / 전년동기 − 1
최근 4분기(2025Q3~2026Q2) CAPEX 중위 유지 — 순차입금 롤에 반영(FCF 근사)</t>
      </text>
    </comment>
    <comment ref="AD38" authorId="0" shapeId="0">
      <text>
        <t>모델값 역산(implied): v / 전년동기 − 1
최근 4분기(2025Q3~2026Q2) CAPEX 중위 유지 — 순차입금 롤에 반영(FCF 근사)</t>
      </text>
    </comment>
    <comment ref="S40" authorId="0" shapeId="0">
      <text>
        <t>모델값 역산(implied): v / 전분기 − 1
유통주식수 유지 — fin.shares.common_outstanding(2026Q2)</t>
      </text>
    </comment>
    <comment ref="T40" authorId="0" shapeId="0">
      <text>
        <t>모델값 역산(implied): v / 전분기 − 1
유통주식수 유지 — fin.shares.common_outstanding(2026Q2)</t>
      </text>
    </comment>
    <comment ref="V40" authorId="0" shapeId="0">
      <text>
        <t>모델값 역산(implied): v / 전분기 − 1
유통주식수 유지 — fin.shares.common_outstanding(2026Q2)</t>
      </text>
    </comment>
    <comment ref="W40" authorId="0" shapeId="0">
      <text>
        <t>모델값 역산(implied): v / 전분기 − 1
유통주식수 유지 — fin.shares.common_outstanding(2026Q2)</t>
      </text>
    </comment>
    <comment ref="X40" authorId="0" shapeId="0">
      <text>
        <t>모델값 역산(implied): v / 전분기 − 1
유통주식수 유지 — fin.shares.common_outstanding(2026Q2)</t>
      </text>
    </comment>
    <comment ref="Y40" authorId="0" shapeId="0">
      <text>
        <t>모델값 역산(implied): v / 전분기 − 1
유통주식수 유지 — fin.shares.common_outstanding(2026Q2)</t>
      </text>
    </comment>
    <comment ref="AA40" authorId="0" shapeId="0">
      <text>
        <t>모델값 역산(implied): v / 전분기 − 1
유통주식수 유지 — fin.shares.common_outstanding(2026Q2)</t>
      </text>
    </comment>
    <comment ref="AB40" authorId="0" shapeId="0">
      <text>
        <t>모델값 역산(implied): v / 전분기 − 1
유통주식수 유지 — fin.shares.common_outstanding(2026Q2)</t>
      </text>
    </comment>
    <comment ref="AC40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v / 전분기 − 1
유통주식수 유지 — fin.shares.common_outstanding(2026Q2)</t>
      </text>
    </comment>
    <comment ref="T41" authorId="0" shapeId="0">
      <text>
        <t>모델값 역산(implied): 모델 v 그대로
직전 결산 DPS 0원 유지</t>
      </text>
    </comment>
    <comment ref="Y41" authorId="0" shapeId="0">
      <text>
        <t>모델값 역산(implied): 모델 v 그대로
직전 결산 DPS 0원 유지</t>
      </text>
    </comment>
    <comment ref="AD41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S5" authorId="0" shapeId="0">
      <text>
        <t>추정: 전년동기 × (1+50.0%) — g=최근 4분기 합 YoY 50.0% 클립(−30~+50%), 연차별 절반 감쇠(가정)
[yoy]</t>
      </text>
    </comment>
    <comment ref="T5" authorId="0" shapeId="0">
      <text>
        <t>추정: 전년동기 × (1+50.0%) — g=최근 4분기 합 YoY 50.0% 클립(−30~+50%), 연차별 절반 감쇠(가정)
[yoy]</t>
      </text>
    </comment>
    <comment ref="V5" authorId="0" shapeId="0">
      <text>
        <t>추정: 전년동기 × (1+50.0%) — g=최근 4분기 합 YoY 50.0% 클립(−30~+50%), 연차별 절반 감쇠(가정)
[yoy]</t>
      </text>
    </comment>
    <comment ref="W5" authorId="0" shapeId="0">
      <text>
        <t>추정: 전년동기 × (1+50.0%) — g=최근 4분기 합 YoY 50.0% 클립(−30~+50%), 연차별 절반 감쇠(가정)
[yoy]</t>
      </text>
    </comment>
    <comment ref="X5" authorId="0" shapeId="0">
      <text>
        <t>추정: 전년동기 × (1+25.0%) — g=최근 4분기 합 YoY 50.0% 클립(−30~+50%), 연차별 절반 감쇠(가정)
[yoy]</t>
      </text>
    </comment>
    <comment ref="Y5" authorId="0" shapeId="0">
      <text>
        <t>추정: 전년동기 × (1+25.0%) — g=최근 4분기 합 YoY 50.0% 클립(−30~+50%), 연차별 절반 감쇠(가정)
[yoy]</t>
      </text>
    </comment>
    <comment ref="AA5" authorId="0" shapeId="0">
      <text>
        <t>추정: 전년동기 × (1+25.0%) — g=최근 4분기 합 YoY 50.0% 클립(−30~+50%), 연차별 절반 감쇠(가정)
[yoy]</t>
      </text>
    </comment>
    <comment ref="AB5" authorId="0" shapeId="0">
      <text>
        <t>추정: 전년동기 × (1+25.0%) — g=최근 4분기 합 YoY 50.0% 클립(−30~+50%), 연차별 절반 감쇠(가정)
[yoy]</t>
      </text>
    </comment>
    <comment ref="AC5" authorId="0" shapeId="0">
      <text>
        <t>추정: 전년동기 × (1+12.5%) — g=최근 4분기 합 YoY 50.0% 클립(−30~+50%), 연차별 절반 감쇠(가정)
[yoy]</t>
      </text>
    </comment>
    <comment ref="AD5" authorId="0" shapeId="0">
      <text>
        <t>추정: 전년동기 × (1+12.5%) — g=최근 4분기 합 YoY 50.0% 클립(−30~+50%), 연차별 절반 감쇠(가정)
[yoy]</t>
      </text>
    </comment>
    <comment ref="S6" authorId="0" shapeId="0">
      <text>
        <t>추정: 매출액 − 매출총이익(항등식)
[identity]</t>
      </text>
    </comment>
    <comment ref="T6" authorId="0" shapeId="0">
      <text>
        <t>추정: 매출액 − 매출총이익(항등식)
[identity]</t>
      </text>
    </comment>
    <comment ref="V6" authorId="0" shapeId="0">
      <text>
        <t>추정: 매출액 − 매출총이익(항등식)
[identity]</t>
      </text>
    </comment>
    <comment ref="W6" authorId="0" shapeId="0">
      <text>
        <t>추정: 매출액 − 매출총이익(항등식)
[identity]</t>
      </text>
    </comment>
    <comment ref="X6" authorId="0" shapeId="0">
      <text>
        <t>추정: 매출액 − 매출총이익(항등식)
[identity]</t>
      </text>
    </comment>
    <comment ref="Y6" authorId="0" shapeId="0">
      <text>
        <t>추정: 매출액 − 매출총이익(항등식)
[identity]</t>
      </text>
    </comment>
    <comment ref="AA6" authorId="0" shapeId="0">
      <text>
        <t>추정: 매출액 − 매출총이익(항등식)
[identity]</t>
      </text>
    </comment>
    <comment ref="AB6" authorId="0" shapeId="0">
      <text>
        <t>추정: 매출액 − 매출총이익(항등식)
[identity]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S7" authorId="0" shapeId="0">
      <text>
        <t>추정: 영업이익 + 판관비 − 기타영업손익(항등식)
[identity]</t>
      </text>
    </comment>
    <comment ref="T7" authorId="0" shapeId="0">
      <text>
        <t>추정: 영업이익 + 판관비 − 기타영업손익(항등식)
[identity]</t>
      </text>
    </comment>
    <comment ref="V7" authorId="0" shapeId="0">
      <text>
        <t>추정: 영업이익 + 판관비 − 기타영업손익(항등식)
[identity]</t>
      </text>
    </comment>
    <comment ref="W7" authorId="0" shapeId="0">
      <text>
        <t>추정: 영업이익 + 판관비 − 기타영업손익(항등식)
[identity]</t>
      </text>
    </comment>
    <comment ref="X7" authorId="0" shapeId="0">
      <text>
        <t>추정: 영업이익 + 판관비 − 기타영업손익(항등식)
[identity]</t>
      </text>
    </comment>
    <comment ref="Y7" authorId="0" shapeId="0">
      <text>
        <t>추정: 영업이익 + 판관비 − 기타영업손익(항등식)
[identity]</t>
      </text>
    </comment>
    <comment ref="AA7" authorId="0" shapeId="0">
      <text>
        <t>추정: 영업이익 + 판관비 − 기타영업손익(항등식)
[identity]</t>
      </text>
    </comment>
    <comment ref="AB7" authorId="0" shapeId="0">
      <text>
        <t>추정: 영업이익 + 판관비 − 기타영업손익(항등식)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S8" authorId="0" shapeId="0">
      <text>
        <t>추정: 매출액 × 판관비율 8.23%(최근 4분기 중위)
[ratio]</t>
      </text>
    </comment>
    <comment ref="T8" authorId="0" shapeId="0">
      <text>
        <t>추정: 매출액 × 판관비율 8.23%(최근 4분기 중위)
[ratio]</t>
      </text>
    </comment>
    <comment ref="V8" authorId="0" shapeId="0">
      <text>
        <t>추정: 매출액 × 판관비율 8.23%(최근 4분기 중위)
[ratio]</t>
      </text>
    </comment>
    <comment ref="W8" authorId="0" shapeId="0">
      <text>
        <t>추정: 매출액 × 판관비율 8.23%(최근 4분기 중위)
[ratio]</t>
      </text>
    </comment>
    <comment ref="X8" authorId="0" shapeId="0">
      <text>
        <t>추정: 매출액 × 판관비율 8.23%(최근 4분기 중위)
[ratio]</t>
      </text>
    </comment>
    <comment ref="Y8" authorId="0" shapeId="0">
      <text>
        <t>추정: 매출액 × 판관비율 8.23%(최근 4분기 중위)
[ratio]</t>
      </text>
    </comment>
    <comment ref="AA8" authorId="0" shapeId="0">
      <text>
        <t>추정: 매출액 × 판관비율 8.23%(최근 4분기 중위)
[ratio]</t>
      </text>
    </comment>
    <comment ref="AB8" authorId="0" shapeId="0">
      <text>
        <t>추정: 매출액 × 판관비율 8.23%(최근 4분기 중위)
[ratio]</t>
      </text>
    </comment>
    <comment ref="AC8" authorId="0" shapeId="0">
      <text>
        <t>추정: 매출액 × 판관비율 8.23%(최근 4분기 중위)
[ratio]</t>
      </text>
    </comment>
    <comment ref="AD8" authorId="0" shapeId="0">
      <text>
        <t>추정: 매출액 × 판관비율 8.23%(최근 4분기 중위)
[ratio]</t>
      </text>
    </comment>
    <comment ref="S9" authorId="0" shapeId="0">
      <text>
        <t>추정: 매출액 × OPM(최근 8분기 OPM 중위 15.7% 유지(클립 −20~40%))
[ratio]</t>
      </text>
    </comment>
    <comment ref="T9" authorId="0" shapeId="0">
      <text>
        <t>추정: 매출액 × OPM(최근 8분기 OPM 중위 15.7% 유지(클립 −20~40%))
[ratio]</t>
      </text>
    </comment>
    <comment ref="V9" authorId="0" shapeId="0">
      <text>
        <t>추정: 매출액 × OPM(최근 8분기 OPM 중위 15.7% 유지(클립 −20~40%))
[ratio]</t>
      </text>
    </comment>
    <comment ref="W9" authorId="0" shapeId="0">
      <text>
        <t>추정: 매출액 × OPM(최근 8분기 OPM 중위 15.7% 유지(클립 −20~40%))
[ratio]</t>
      </text>
    </comment>
    <comment ref="X9" authorId="0" shapeId="0">
      <text>
        <t>추정: 매출액 × OPM(최근 8분기 OPM 중위 15.7% 유지(클립 −20~40%))
[ratio]</t>
      </text>
    </comment>
    <comment ref="Y9" authorId="0" shapeId="0">
      <text>
        <t>추정: 매출액 × OPM(최근 8분기 OPM 중위 15.7% 유지(클립 −20~40%))
[ratio]</t>
      </text>
    </comment>
    <comment ref="AA9" authorId="0" shapeId="0">
      <text>
        <t>추정: 매출액 × OPM(최근 8분기 OPM 중위 15.7% 유지(클립 −20~40%))
[ratio]</t>
      </text>
    </comment>
    <comment ref="AB9" authorId="0" shapeId="0">
      <text>
        <t>추정: 매출액 × OPM(최근 8분기 OPM 중위 15.7% 유지(클립 −20~40%))
[ratio]</t>
      </text>
    </comment>
    <comment ref="AC9" authorId="0" shapeId="0">
      <text>
        <t>추정: 매출액 × OPM(최근 8분기 OPM 중위 15.7% 유지(클립 −20~40%))
[ratio]</t>
      </text>
    </comment>
    <comment ref="AD9" authorId="0" shapeId="0">
      <text>
        <t>추정: 매출액 × OPM(최근 8분기 OPM 중위 15.7% 유지(클립 −20~40%))
[ratio]</t>
      </text>
    </comment>
    <comment ref="S10" authorId="0" shapeId="0">
      <text>
        <t>추정: 최근 8분기 OPM 중위 15.7% 유지(클립 −20~40%)
[divide]</t>
      </text>
    </comment>
    <comment ref="T10" authorId="0" shapeId="0">
      <text>
        <t>추정: 최근 8분기 OPM 중위 15.7% 유지(클립 −20~40%)
[divide]</t>
      </text>
    </comment>
    <comment ref="V10" authorId="0" shapeId="0">
      <text>
        <t>추정: 최근 8분기 OPM 중위 15.7% 유지(클립 −20~40%)
[divide]</t>
      </text>
    </comment>
    <comment ref="W10" authorId="0" shapeId="0">
      <text>
        <t>추정: 최근 8분기 OPM 중위 15.7% 유지(클립 −20~40%)
[divide]</t>
      </text>
    </comment>
    <comment ref="X10" authorId="0" shapeId="0">
      <text>
        <t>추정: 최근 8분기 OPM 중위 15.7% 유지(클립 −20~40%)
[divide]</t>
      </text>
    </comment>
    <comment ref="Y10" authorId="0" shapeId="0">
      <text>
        <t>추정: 최근 8분기 OPM 중위 15.7% 유지(클립 −20~40%)
[divide]</t>
      </text>
    </comment>
    <comment ref="AA10" authorId="0" shapeId="0">
      <text>
        <t>추정: 최근 8분기 OPM 중위 15.7% 유지(클립 −20~40%)
[divide]</t>
      </text>
    </comment>
    <comment ref="AB10" authorId="0" shapeId="0">
      <text>
        <t>추정: 최근 8분기 OPM 중위 15.7% 유지(클립 −20~40%)
[divide]</t>
      </text>
    </comment>
    <comment ref="AC10" authorId="0" shapeId="0">
      <text>
        <t>추정: 최근 8분기 OPM 중위 15.7% 유지(클립 −20~40%)
[divide]</t>
      </text>
    </comment>
    <comment ref="AD10" authorId="0" shapeId="0">
      <text>
        <t>추정: 최근 8분기 OPM 중위 15.7% 유지(클립 −20~40%)
[divide]</t>
      </text>
    </comment>
    <comment ref="S11" authorId="0" shapeId="0">
      <text>
        <t>추정: 이자손익 + 외환손익 0 + 파생상품손익 0 + 기타금융손익 +0.00억(잔차 실측 3분기 &lt; 4 → 0) (항등식); 이자손익 = 이자발생자산 138억 × 2.32%(주석 이자수익 ÷ 평균 이자발생자산(2025Q3~2026Q2)) − 총차입금 478억 × 1.39%(주석 이자비용 ÷ 평균 총차입금(2025Q1~2026Q2)) (연율) ÷ 4; 환율 효과는 환관련손익 행 별도
[identity]</t>
      </text>
    </comment>
    <comment ref="T11" authorId="0" shapeId="0">
      <text>
        <t>추정: 이자손익 + 외환손익 0 + 파생상품손익 0 + 기타금융손익 +0.00억(잔차 실측 3분기 &lt; 4 → 0) (항등식); 이자손익 = 이자발생자산 86억 × 2.32%(주석 이자수익 ÷ 평균 이자발생자산(2025Q3~2026Q2)) − 총차입금 478억 × 1.39%(주석 이자비용 ÷ 평균 총차입금(2025Q1~2026Q2)) (연율) ÷ 4; 환율 효과는 환관련손익 행 별도
[identity]</t>
      </text>
    </comment>
    <comment ref="V11" authorId="0" shapeId="0">
      <text>
        <t>추정: 이자손익 + 외환손익 0 + 파생상품손익 0 + 기타금융손익 +0.00억(잔차 실측 3분기 &lt; 4 → 0) (항등식); 이자손익 = 이자발생자산 38억 × 2.32%(주석 이자수익 ÷ 평균 이자발생자산(2025Q3~2026Q2)) − 총차입금 478억 × 1.39%(주석 이자비용 ÷ 평균 총차입금(2025Q1~2026Q2)) (연율) ÷ 4; 환율 효과는 환관련손익 행 별도
[identity]</t>
      </text>
    </comment>
    <comment ref="W11" authorId="0" shapeId="0">
      <text>
        <t>추정: 이자손익 + 외환손익 0 + 파생상품손익 0 + 기타금융손익 +0.00억(잔차 실측 3분기 &lt; 4 → 0) (항등식); 이자손익 = 이자발생자산 -0억 × 2.32%(주석 이자수익 ÷ 평균 이자발생자산(2025Q3~2026Q2)) − 총차입금 478억 × 1.39%(주석 이자비용 ÷ 평균 총차입금(2025Q1~2026Q2)) (연율) ÷ 4; 환율 효과는 환관련손익 행 별도
[identity]</t>
      </text>
    </comment>
    <comment ref="X11" authorId="0" shapeId="0">
      <text>
        <t>추정: 이자손익 + 외환손익 0 + 파생상품손익 0 + 기타금융손익 +0.00억(잔차 실측 3분기 &lt; 4 → 0) (항등식); 이자손익 = 이자발생자산 -37억 × 2.32%(주석 이자수익 ÷ 평균 이자발생자산(2025Q3~2026Q2)) − 총차입금 478억 × 1.39%(주석 이자비용 ÷ 평균 총차입금(2025Q1~2026Q2)) (연율) ÷ 4; 환율 효과는 환관련손익 행 별도
[identity]</t>
      </text>
    </comment>
    <comment ref="Y11" authorId="0" shapeId="0">
      <text>
        <t>추정: 이자손익 + 외환손익 0 + 파생상품손익 0 + 기타금융손익 +0.00억(잔차 실측 3분기 &lt; 4 → 0) (항등식); 이자손익 = 이자발생자산 -81억 × 2.32%(주석 이자수익 ÷ 평균 이자발생자산(2025Q3~2026Q2)) − 총차입금 478억 × 1.39%(주석 이자비용 ÷ 평균 총차입금(2025Q1~2026Q2)) (연율) ÷ 4; 환율 효과는 환관련손익 행 별도
[identity]</t>
      </text>
    </comment>
    <comment ref="AA11" authorId="0" shapeId="0">
      <text>
        <t>추정: 이자손익 + 외환손익 0 + 파생상품손익 0 + 기타금융손익 +0.00억(잔차 실측 3분기 &lt; 4 → 0) (항등식); 이자손익 = 이자발생자산 -119억 × 2.32%(주석 이자수익 ÷ 평균 이자발생자산(2025Q3~2026Q2)) − 총차입금 478억 × 1.39%(주석 이자비용 ÷ 평균 총차입금(2025Q1~2026Q2)) (연율) ÷ 4; 환율 효과는 환관련손익 행 별도
[identity]</t>
      </text>
    </comment>
    <comment ref="AB11" authorId="0" shapeId="0">
      <text>
        <t>추정: 이자손익 + 외환손익 0 + 파생상품손익 0 + 기타금융손익 +0.00억(잔차 실측 3분기 &lt; 4 → 0) (항등식); 이자손익 = 이자발생자산 -146억 × 2.32%(주석 이자수익 ÷ 평균 이자발생자산(2025Q3~2026Q2)) − 총차입금 478억 × 1.39%(주석 이자비용 ÷ 평균 총차입금(2025Q1~2026Q2)) (연율) ÷ 4; 환율 효과는 환관련손익 행 별도
[identity]</t>
      </text>
    </comment>
    <comment ref="AC11" authorId="0" shapeId="0">
      <text>
        <t>추정: 이자손익 + 외환손익 0 + 파생상품손익 0 + 기타금융손익 +0.00억(잔차 실측 3분기 &lt; 4 → 0) (항등식); 이자손익 = 이자발생자산 -170억 × 2.32%(주석 이자수익 ÷ 평균 이자발생자산(2025Q3~2026Q2)) − 총차입금 478억 × 1.39%(주석 이자비용 ÷ 평균 총차입금(2025Q1~2026Q2))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3분기 &lt; 4 → 0) (항등식); 이자손익 = 이자발생자산 -209억 × 2.32%(주석 이자수익 ÷ 평균 이자발생자산(2025Q3~2026Q2)) − 총차입금 478억 × 1.39%(주석 이자비용 ÷ 평균 총차입금(2025Q1~2026Q2)) (연율) ÷ 4; 환율 효과는 환관련손익 행 별도
[identity]</t>
      </text>
    </comment>
    <comment ref="S12" authorId="0" shapeId="0">
      <text>
        <t>추정: 이자발생자산 138억 × 2.32%(주석 이자수익 ÷ 평균 이자발생자산(2025Q3~2026Q2)) − 총차입금 478억 × 1.39%(주석 이자비용 ÷ 평균 총차입금(2025Q1~2026Q2)) (연율) ÷ 4
[interest]</t>
      </text>
    </comment>
    <comment ref="T12" authorId="0" shapeId="0">
      <text>
        <t>추정: 이자발생자산 86억 × 2.32%(주석 이자수익 ÷ 평균 이자발생자산(2025Q3~2026Q2)) − 총차입금 478억 × 1.39%(주석 이자비용 ÷ 평균 총차입금(2025Q1~2026Q2)) (연율) ÷ 4
[interest]</t>
      </text>
    </comment>
    <comment ref="V12" authorId="0" shapeId="0">
      <text>
        <t>추정: 이자발생자산 38억 × 2.32%(주석 이자수익 ÷ 평균 이자발생자산(2025Q3~2026Q2)) − 총차입금 478억 × 1.39%(주석 이자비용 ÷ 평균 총차입금(2025Q1~2026Q2)) (연율) ÷ 4
[interest]</t>
      </text>
    </comment>
    <comment ref="W12" authorId="0" shapeId="0">
      <text>
        <t>추정: 이자발생자산 -0억 × 2.32%(주석 이자수익 ÷ 평균 이자발생자산(2025Q3~2026Q2)) − 총차입금 478억 × 1.39%(주석 이자비용 ÷ 평균 총차입금(2025Q1~2026Q2)) (연율) ÷ 4
[interest]</t>
      </text>
    </comment>
    <comment ref="X12" authorId="0" shapeId="0">
      <text>
        <t>추정: 이자발생자산 -37억 × 2.32%(주석 이자수익 ÷ 평균 이자발생자산(2025Q3~2026Q2)) − 총차입금 478억 × 1.39%(주석 이자비용 ÷ 평균 총차입금(2025Q1~2026Q2)) (연율) ÷ 4
[interest]</t>
      </text>
    </comment>
    <comment ref="Y12" authorId="0" shapeId="0">
      <text>
        <t>추정: 이자발생자산 -81억 × 2.32%(주석 이자수익 ÷ 평균 이자발생자산(2025Q3~2026Q2)) − 총차입금 478억 × 1.39%(주석 이자비용 ÷ 평균 총차입금(2025Q1~2026Q2)) (연율) ÷ 4
[interest]</t>
      </text>
    </comment>
    <comment ref="AA12" authorId="0" shapeId="0">
      <text>
        <t>추정: 이자발생자산 -119억 × 2.32%(주석 이자수익 ÷ 평균 이자발생자산(2025Q3~2026Q2)) − 총차입금 478억 × 1.39%(주석 이자비용 ÷ 평균 총차입금(2025Q1~2026Q2)) (연율) ÷ 4
[interest]</t>
      </text>
    </comment>
    <comment ref="AB12" authorId="0" shapeId="0">
      <text>
        <t>추정: 이자발생자산 -146억 × 2.32%(주석 이자수익 ÷ 평균 이자발생자산(2025Q3~2026Q2)) − 총차입금 478억 × 1.39%(주석 이자비용 ÷ 평균 총차입금(2025Q1~2026Q2)) (연율) ÷ 4
[interest]</t>
      </text>
    </comment>
    <comment ref="AC12" authorId="0" shapeId="0">
      <text>
        <t>추정: 이자발생자산 -170억 × 2.32%(주석 이자수익 ÷ 평균 이자발생자산(2025Q3~2026Q2)) − 총차입금 478억 × 1.39%(주석 이자비용 ÷ 평균 총차입금(2025Q1~2026Q2)) (연율) ÷ 4
[interest]</t>
      </text>
    </comment>
    <comment ref="AD12" authorId="0" shapeId="0">
      <text>
        <t>추정: 이자발생자산 -209억 × 2.32%(주석 이자수익 ÷ 평균 이자발생자산(2025Q3~2026Q2)) − 총차입금 478억 × 1.39%(주석 이자비용 ÷ 평균 총차입금(2025Q1~2026Q2)) (연율) ÷ 4
[interest]</t>
      </text>
    </comment>
    <comment ref="E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T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V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W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X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Y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A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B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M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O14" authorId="0" shapeId="0">
      <text>
        <t>BS 계정 합·차: +파생상품이익 -파생상품손실</t>
      </text>
    </comment>
    <comment ref="Q14" authorId="0" shapeId="0">
      <text>
        <t>BS 계정 합·차: +파생상품이익 -파생상품손실</t>
      </text>
    </comment>
    <comment ref="R14" authorId="0" shapeId="0">
      <text>
        <t>BS 계정 합·차: +파생상품이익 -파생상품손실</t>
      </text>
    </comment>
    <comment ref="S14" authorId="0" shapeId="0">
      <text>
        <t>추정: 파생상품 평가·거래손익 0 가정
[abs]</t>
      </text>
    </comment>
    <comment ref="T14" authorId="0" shapeId="0">
      <text>
        <t>추정: 파생상품 평가·거래손익 0 가정
[abs]</t>
      </text>
    </comment>
    <comment ref="V14" authorId="0" shapeId="0">
      <text>
        <t>추정: 파생상품 평가·거래손익 0 가정
[abs]</t>
      </text>
    </comment>
    <comment ref="W14" authorId="0" shapeId="0">
      <text>
        <t>추정: 파생상품 평가·거래손익 0 가정
[abs]</t>
      </text>
    </comment>
    <comment ref="X14" authorId="0" shapeId="0">
      <text>
        <t>추정: 파생상품 평가·거래손익 0 가정
[abs]</t>
      </text>
    </comment>
    <comment ref="Y14" authorId="0" shapeId="0">
      <text>
        <t>추정: 파생상품 평가·거래손익 0 가정
[abs]</t>
      </text>
    </comment>
    <comment ref="AA14" authorId="0" shapeId="0">
      <text>
        <t>추정: 파생상품 평가·거래손익 0 가정
[abs]</t>
      </text>
    </comment>
    <comment ref="AB14" authorId="0" shapeId="0">
      <text>
        <t>추정: 파생상품 평가·거래손익 0 가정
[abs]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S15" authorId="0" shapeId="0">
      <text>
        <t>추정: 잔차 실측 3분기 &lt; 4 → 0
[abs]</t>
      </text>
    </comment>
    <comment ref="T15" authorId="0" shapeId="0">
      <text>
        <t>추정: 잔차 실측 3분기 &lt; 4 → 0
[abs]</t>
      </text>
    </comment>
    <comment ref="V15" authorId="0" shapeId="0">
      <text>
        <t>추정: 잔차 실측 3분기 &lt; 4 → 0
[abs]</t>
      </text>
    </comment>
    <comment ref="W15" authorId="0" shapeId="0">
      <text>
        <t>추정: 잔차 실측 3분기 &lt; 4 → 0
[abs]</t>
      </text>
    </comment>
    <comment ref="X15" authorId="0" shapeId="0">
      <text>
        <t>추정: 잔차 실측 3분기 &lt; 4 → 0
[abs]</t>
      </text>
    </comment>
    <comment ref="Y15" authorId="0" shapeId="0">
      <text>
        <t>추정: 잔차 실측 3분기 &lt; 4 → 0
[abs]</t>
      </text>
    </comment>
    <comment ref="AA15" authorId="0" shapeId="0">
      <text>
        <t>추정: 잔차 실측 3분기 &lt; 4 → 0
[abs]</t>
      </text>
    </comment>
    <comment ref="AB15" authorId="0" shapeId="0">
      <text>
        <t>추정: 잔차 실측 3분기 &lt; 4 → 0
[abs]</t>
      </text>
    </comment>
    <comment ref="AC15" authorId="0" shapeId="0">
      <text>
        <t>추정: 잔차 실측 3분기 &lt; 4 → 0
[abs]</t>
      </text>
    </comment>
    <comment ref="AD15" authorId="0" shapeId="0">
      <text>
        <t>추정: 잔차 실측 3분기 &lt; 4 → 0
[abs]</t>
      </text>
    </comment>
    <comment ref="S16" authorId="0" shapeId="0">
      <text>
        <t>추정: 일회성 미가정 → 0
[abs]</t>
      </text>
    </comment>
    <comment ref="T16" authorId="0" shapeId="0">
      <text>
        <t>추정: 일회성 미가정 → 0
[abs]</t>
      </text>
    </comment>
    <comment ref="V16" authorId="0" shapeId="0">
      <text>
        <t>추정: 일회성 미가정 → 0
[abs]</t>
      </text>
    </comment>
    <comment ref="W16" authorId="0" shapeId="0">
      <text>
        <t>추정: 일회성 미가정 → 0
[abs]</t>
      </text>
    </comment>
    <comment ref="X16" authorId="0" shapeId="0">
      <text>
        <t>추정: 일회성 미가정 → 0
[abs]</t>
      </text>
    </comment>
    <comment ref="Y16" authorId="0" shapeId="0">
      <text>
        <t>추정: 일회성 미가정 → 0
[abs]</t>
      </text>
    </comment>
    <comment ref="AA16" authorId="0" shapeId="0">
      <text>
        <t>추정: 일회성 미가정 → 0
[abs]</t>
      </text>
    </comment>
    <comment ref="AB16" authorId="0" shapeId="0">
      <text>
        <t>추정: 일회성 미가정 → 0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S17" authorId="0" shapeId="0">
      <text>
        <t>추정: 영업이익 + 금융손익 + 기타영업외 + 지분법 + 환관련(항등식)
[identity]</t>
      </text>
    </comment>
    <comment ref="T17" authorId="0" shapeId="0">
      <text>
        <t>추정: 영업이익 + 금융손익 + 기타영업외 + 지분법 + 환관련(항등식)
[identity]</t>
      </text>
    </comment>
    <comment ref="V17" authorId="0" shapeId="0">
      <text>
        <t>추정: 영업이익 + 금융손익 + 기타영업외 + 지분법 + 환관련(항등식)
[identity]</t>
      </text>
    </comment>
    <comment ref="W17" authorId="0" shapeId="0">
      <text>
        <t>추정: 영업이익 + 금융손익 + 기타영업외 + 지분법 + 환관련(항등식)
[identity]</t>
      </text>
    </comment>
    <comment ref="X17" authorId="0" shapeId="0">
      <text>
        <t>추정: 영업이익 + 금융손익 + 기타영업외 + 지분법 + 환관련(항등식)
[identity]</t>
      </text>
    </comment>
    <comment ref="Y17" authorId="0" shapeId="0">
      <text>
        <t>추정: 영업이익 + 금융손익 + 기타영업외 + 지분법 + 환관련(항등식)
[identity]</t>
      </text>
    </comment>
    <comment ref="AA17" authorId="0" shapeId="0">
      <text>
        <t>추정: 영업이익 + 금융손익 + 기타영업외 + 지분법 + 환관련(항등식)
[identity]</t>
      </text>
    </comment>
    <comment ref="AB17" authorId="0" shapeId="0">
      <text>
        <t>추정: 영업이익 + 금융손익 + 기타영업외 + 지분법 + 환관련(항등식)
[identity]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S18" authorId="0" shapeId="0">
      <text>
        <t>추정: max(세전, 0) × 세율 5.0%(최근 11분기 유효세율 32.5% 가 5~27% 밖 → 클립 대신 최근 8분기 중 세전 &gt; 0 인 7분기(2024Q3~2026Q2)의 법인세/세전 중위 5.0%)
[tax]</t>
      </text>
    </comment>
    <comment ref="T18" authorId="0" shapeId="0">
      <text>
        <t>추정: max(세전, 0) × 세율 5.0%(최근 11분기 유효세율 32.5% 가 5~27% 밖 → 클립 대신 최근 8분기 중 세전 &gt; 0 인 7분기(2024Q3~2026Q2)의 법인세/세전 중위 5.0%)
[tax]</t>
      </text>
    </comment>
    <comment ref="V18" authorId="0" shapeId="0">
      <text>
        <t>추정: max(세전, 0) × 세율 5.0%(최근 11분기 유효세율 32.5% 가 5~27% 밖 → 클립 대신 최근 8분기 중 세전 &gt; 0 인 7분기(2024Q3~2026Q2)의 법인세/세전 중위 5.0%)
[tax]</t>
      </text>
    </comment>
    <comment ref="W18" authorId="0" shapeId="0">
      <text>
        <t>추정: max(세전, 0) × 세율 5.0%(최근 11분기 유효세율 32.5% 가 5~27% 밖 → 클립 대신 최근 8분기 중 세전 &gt; 0 인 7분기(2024Q3~2026Q2)의 법인세/세전 중위 5.0%)
[tax]</t>
      </text>
    </comment>
    <comment ref="X18" authorId="0" shapeId="0">
      <text>
        <t>추정: max(세전, 0) × 세율 5.0%(최근 11분기 유효세율 32.5% 가 5~27% 밖 → 클립 대신 최근 8분기 중 세전 &gt; 0 인 7분기(2024Q3~2026Q2)의 법인세/세전 중위 5.0%)
[tax]</t>
      </text>
    </comment>
    <comment ref="Y18" authorId="0" shapeId="0">
      <text>
        <t>추정: max(세전, 0) × 세율 5.0%(최근 11분기 유효세율 32.5% 가 5~27% 밖 → 클립 대신 최근 8분기 중 세전 &gt; 0 인 7분기(2024Q3~2026Q2)의 법인세/세전 중위 5.0%)
[tax]</t>
      </text>
    </comment>
    <comment ref="AA18" authorId="0" shapeId="0">
      <text>
        <t>추정: max(세전, 0) × 세율 5.0%(최근 11분기 유효세율 32.5% 가 5~27% 밖 → 클립 대신 최근 8분기 중 세전 &gt; 0 인 7분기(2024Q3~2026Q2)의 법인세/세전 중위 5.0%)
[tax]</t>
      </text>
    </comment>
    <comment ref="AB18" authorId="0" shapeId="0">
      <text>
        <t>추정: max(세전, 0) × 세율 5.0%(최근 11분기 유효세율 32.5% 가 5~27% 밖 → 클립 대신 최근 8분기 중 세전 &gt; 0 인 7분기(2024Q3~2026Q2)의 법인세/세전 중위 5.0%)
[tax]</t>
      </text>
    </comment>
    <comment ref="AC18" authorId="0" shapeId="0">
      <text>
        <t>추정: max(세전, 0) × 세율 5.0%(최근 11분기 유효세율 32.5% 가 5~27% 밖 → 클립 대신 최근 8분기 중 세전 &gt; 0 인 7분기(2024Q3~2026Q2)의 법인세/세전 중위 5.0%)
[tax]</t>
      </text>
    </comment>
    <comment ref="AD18" authorId="0" shapeId="0">
      <text>
        <t>추정: max(세전, 0) × 세율 5.0%(최근 11분기 유효세율 32.5% 가 5~27% 밖 → 클립 대신 최근 8분기 중 세전 &gt; 0 인 7분기(2024Q3~2026Q2)의 법인세/세전 중위 5.0%)
[tax]</t>
      </text>
    </comment>
    <comment ref="S19" authorId="0" shapeId="0">
      <text>
        <t>추정: 세전이익 − 법인세비용(항등식)
[identity]</t>
      </text>
    </comment>
    <comment ref="T19" authorId="0" shapeId="0">
      <text>
        <t>추정: 세전이익 − 법인세비용(항등식)
[identity]</t>
      </text>
    </comment>
    <comment ref="V19" authorId="0" shapeId="0">
      <text>
        <t>추정: 세전이익 − 법인세비용(항등식)
[identity]</t>
      </text>
    </comment>
    <comment ref="W19" authorId="0" shapeId="0">
      <text>
        <t>추정: 세전이익 − 법인세비용(항등식)
[identity]</t>
      </text>
    </comment>
    <comment ref="X19" authorId="0" shapeId="0">
      <text>
        <t>추정: 세전이익 − 법인세비용(항등식)
[identity]</t>
      </text>
    </comment>
    <comment ref="Y19" authorId="0" shapeId="0">
      <text>
        <t>추정: 세전이익 − 법인세비용(항등식)
[identity]</t>
      </text>
    </comment>
    <comment ref="AA19" authorId="0" shapeId="0">
      <text>
        <t>추정: 세전이익 − 법인세비용(항등식)
[identity]</t>
      </text>
    </comment>
    <comment ref="AB19" authorId="0" shapeId="0">
      <text>
        <t>추정: 세전이익 − 법인세비용(항등식)
[identity]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S20" authorId="0" shapeId="0">
      <text>
        <t>추정: 당기순이익 × (1 − 비지배 비중 0.0%, 최근 8분기 실측)
[ratio]</t>
      </text>
    </comment>
    <comment ref="T20" authorId="0" shapeId="0">
      <text>
        <t>추정: 당기순이익 × (1 − 비지배 비중 0.0%, 최근 8분기 실측)
[ratio]</t>
      </text>
    </comment>
    <comment ref="V20" authorId="0" shapeId="0">
      <text>
        <t>추정: 당기순이익 × (1 − 비지배 비중 0.0%, 최근 8분기 실측)
[ratio]</t>
      </text>
    </comment>
    <comment ref="W20" authorId="0" shapeId="0">
      <text>
        <t>추정: 당기순이익 × (1 − 비지배 비중 0.0%, 최근 8분기 실측)
[ratio]</t>
      </text>
    </comment>
    <comment ref="X20" authorId="0" shapeId="0">
      <text>
        <t>추정: 당기순이익 × (1 − 비지배 비중 0.0%, 최근 8분기 실측)
[ratio]</t>
      </text>
    </comment>
    <comment ref="Y20" authorId="0" shapeId="0">
      <text>
        <t>추정: 당기순이익 × (1 − 비지배 비중 0.0%, 최근 8분기 실측)
[ratio]</t>
      </text>
    </comment>
    <comment ref="AA20" authorId="0" shapeId="0">
      <text>
        <t>추정: 당기순이익 × (1 − 비지배 비중 0.0%, 최근 8분기 실측)
[ratio]</t>
      </text>
    </comment>
    <comment ref="AB20" authorId="0" shapeId="0">
      <text>
        <t>추정: 당기순이익 × (1 − 비지배 비중 0.0%, 최근 8분기 실측)
[ratio]</t>
      </text>
    </comment>
    <comment ref="AC20" authorId="0" shapeId="0">
      <text>
        <t>추정: 당기순이익 × (1 − 비지배 비중 0.0%, 최근 8분기 실측)
[ratio]</t>
      </text>
    </comment>
    <comment ref="AD20" authorId="0" shapeId="0">
      <text>
        <t>추정: 당기순이익 × (1 − 비지배 비중 0.0%, 최근 8분기 실측)
[ratio]</t>
      </text>
    </comment>
    <comment ref="S21" authorId="0" shapeId="0">
      <text>
        <t>추정: 최근 4분기 감가상각비 중위 유지
[abs]</t>
      </text>
    </comment>
    <comment ref="T21" authorId="0" shapeId="0">
      <text>
        <t>추정: 최근 4분기 감가상각비 중위 유지
[abs]</t>
      </text>
    </comment>
    <comment ref="V21" authorId="0" shapeId="0">
      <text>
        <t>추정: 최근 4분기 감가상각비 중위 유지
[abs]</t>
      </text>
    </comment>
    <comment ref="W21" authorId="0" shapeId="0">
      <text>
        <t>추정: 최근 4분기 감가상각비 중위 유지
[abs]</t>
      </text>
    </comment>
    <comment ref="X21" authorId="0" shapeId="0">
      <text>
        <t>추정: 최근 4분기 감가상각비 중위 유지
[abs]</t>
      </text>
    </comment>
    <comment ref="Y21" authorId="0" shapeId="0">
      <text>
        <t>추정: 최근 4분기 감가상각비 중위 유지
[abs]</t>
      </text>
    </comment>
    <comment ref="AA21" authorId="0" shapeId="0">
      <text>
        <t>추정: 최근 4분기 감가상각비 중위 유지
[abs]</t>
      </text>
    </comment>
    <comment ref="AB21" authorId="0" shapeId="0">
      <text>
        <t>추정: 최근 4분기 감가상각비 중위 유지
[abs]</t>
      </text>
    </comment>
    <comment ref="AC21" authorId="0" shapeId="0">
      <text>
        <t>추정: 최근 4분기 감가상각비 중위 유지
[abs]</t>
      </text>
    </comment>
    <comment ref="AD21" authorId="0" shapeId="0">
      <text>
        <t>추정: 최근 4분기 감가상각비 중위 유지
[abs]</t>
      </text>
    </comment>
    <comment ref="E22" authorId="0" shapeId="0">
      <text>
        <t>실측(계정 매핑 없음(파생·부문·시세 행) — 모델값 직접) — 영업이익 + 감가상각비(CF)</t>
      </text>
    </comment>
    <comment ref="G22" authorId="0" shapeId="0">
      <text>
        <t>실측(계정 매핑 없음(파생·부문·시세 행) — 모델값 직접) — 영업이익 + 감가상각비(CF)</t>
      </text>
    </comment>
    <comment ref="H22" authorId="0" shapeId="0">
      <text>
        <t>실측(계정 매핑 없음(파생·부문·시세 행) — 모델값 직접) — 영업이익 + 감가상각비(CF)</t>
      </text>
    </comment>
    <comment ref="I22" authorId="0" shapeId="0">
      <text>
        <t>실측(계정 매핑 없음(파생·부문·시세 행) — 모델값 직접) — 영업이익 + 감가상각비(CF)</t>
      </text>
    </comment>
    <comment ref="J22" authorId="0" shapeId="0">
      <text>
        <t>실측(계정 매핑 없음(파생·부문·시세 행) — 모델값 직접) — 영업이익 + 감가상각비(CF)</t>
      </text>
    </comment>
    <comment ref="L22" authorId="0" shapeId="0">
      <text>
        <t>실측(계정 매핑 없음(파생·부문·시세 행) — 모델값 직접) — 영업이익 + 감가상각비(CF)</t>
      </text>
    </comment>
    <comment ref="M22" authorId="0" shapeId="0">
      <text>
        <t>실측(계정 매핑 없음(파생·부문·시세 행) — 모델값 직접) — 영업이익 + 감가상각비(CF)</t>
      </text>
    </comment>
    <comment ref="N22" authorId="0" shapeId="0">
      <text>
        <t>실측(계정 매핑 없음(파생·부문·시세 행) — 모델값 직접) — 영업이익 + 감가상각비(CF)</t>
      </text>
    </comment>
    <comment ref="O22" authorId="0" shapeId="0">
      <text>
        <t>실측(계정 매핑 없음(파생·부문·시세 행) — 모델값 직접) — 영업이익 + 감가상각비(CF)</t>
      </text>
    </comment>
    <comment ref="Q22" authorId="0" shapeId="0">
      <text>
        <t>실측(계정 매핑 없음(파생·부문·시세 행) — 모델값 직접) — 영업이익 + 감가상각비(CF)</t>
      </text>
    </comment>
    <comment ref="R22" authorId="0" shapeId="0">
      <text>
        <t>실측(계정 매핑 없음(파생·부문·시세 행) — 모델값 직접) — 영업이익 + 감가상각비(CF)</t>
      </text>
    </comment>
    <comment ref="S22" authorId="0" shapeId="0">
      <text>
        <t>추정: 영업이익 + 감가상각비
[identity]</t>
      </text>
    </comment>
    <comment ref="T22" authorId="0" shapeId="0">
      <text>
        <t>추정: 영업이익 + 감가상각비
[identity]</t>
      </text>
    </comment>
    <comment ref="V22" authorId="0" shapeId="0">
      <text>
        <t>추정: 영업이익 + 감가상각비
[identity]</t>
      </text>
    </comment>
    <comment ref="W22" authorId="0" shapeId="0">
      <text>
        <t>추정: 영업이익 + 감가상각비
[identity]</t>
      </text>
    </comment>
    <comment ref="X22" authorId="0" shapeId="0">
      <text>
        <t>추정: 영업이익 + 감가상각비
[identity]</t>
      </text>
    </comment>
    <comment ref="Y22" authorId="0" shapeId="0">
      <text>
        <t>추정: 영업이익 + 감가상각비
[identity]</t>
      </text>
    </comment>
    <comment ref="AA22" authorId="0" shapeId="0">
      <text>
        <t>추정: 영업이익 + 감가상각비
[identity]</t>
      </text>
    </comment>
    <comment ref="AB22" authorId="0" shapeId="0">
      <text>
        <t>추정: 영업이익 + 감가상각비
[identity]</t>
      </text>
    </comment>
    <comment ref="AC22" authorId="0" shapeId="0">
      <text>
        <t>추정: 영업이익 + 감가상각비
[identity]</t>
      </text>
    </comment>
    <comment ref="AD22" authorId="0" shapeId="0">
      <text>
        <t>추정: 영업이익 + 감가상각비
[identity]</t>
      </text>
    </comment>
    <comment ref="F23" authorId="0" shapeId="0">
      <text>
        <t>연간 실측(BS 시트에 2023.12A 없음 — 모델 a 값 직접)</t>
      </text>
    </comment>
    <comment ref="S23" authorId="0" shapeId="0">
      <text>
        <t>추정: 부채총계 + 자본총계(항등식)
[identity]</t>
      </text>
    </comment>
    <comment ref="T23" authorId="0" shapeId="0">
      <text>
        <t>추정: 부채총계 + 자본총계(항등식)
[identity]</t>
      </text>
    </comment>
    <comment ref="V23" authorId="0" shapeId="0">
      <text>
        <t>추정: 부채총계 + 자본총계(항등식)
[identity]</t>
      </text>
    </comment>
    <comment ref="W23" authorId="0" shapeId="0">
      <text>
        <t>추정: 부채총계 + 자본총계(항등식)
[identity]</t>
      </text>
    </comment>
    <comment ref="X23" authorId="0" shapeId="0">
      <text>
        <t>추정: 부채총계 + 자본총계(항등식)
[identity]</t>
      </text>
    </comment>
    <comment ref="Y23" authorId="0" shapeId="0">
      <text>
        <t>추정: 부채총계 + 자본총계(항등식)
[identity]</t>
      </text>
    </comment>
    <comment ref="AA23" authorId="0" shapeId="0">
      <text>
        <t>추정: 부채총계 + 자본총계(항등식)
[identity]</t>
      </text>
    </comment>
    <comment ref="AB23" authorId="0" shapeId="0">
      <text>
        <t>추정: 부채총계 + 자본총계(항등식)
[identity]</t>
      </text>
    </comment>
    <comment ref="AC23" authorId="0" shapeId="0">
      <text>
        <t>추정: 부채총계 + 자본총계(항등식)
[identity]</t>
      </text>
    </comment>
    <comment ref="AD23" authorId="0" shapeId="0">
      <text>
        <t>추정: 부채총계 + 자본총계(항등식)
[identity]</t>
      </text>
    </comment>
    <comment ref="F24" authorId="0" shapeId="0">
      <text>
        <t>연간 실측(BS 시트에 2023.12A 없음 — 모델 a 값 직접)</t>
      </text>
    </comment>
    <comment ref="S24" authorId="0" shapeId="0">
      <text>
        <t>추정: 마지막 실적 유지(가정)
[qoq]</t>
      </text>
    </comment>
    <comment ref="T24" authorId="0" shapeId="0">
      <text>
        <t>추정: 마지막 실적 유지(가정)
[qoq]</t>
      </text>
    </comment>
    <comment ref="V24" authorId="0" shapeId="0">
      <text>
        <t>추정: 마지막 실적 유지(가정)
[qoq]</t>
      </text>
    </comment>
    <comment ref="W24" authorId="0" shapeId="0">
      <text>
        <t>추정: 마지막 실적 유지(가정)
[qoq]</t>
      </text>
    </comment>
    <comment ref="X24" authorId="0" shapeId="0">
      <text>
        <t>추정: 마지막 실적 유지(가정)
[qoq]</t>
      </text>
    </comment>
    <comment ref="Y24" authorId="0" shapeId="0">
      <text>
        <t>추정: 마지막 실적 유지(가정)
[qoq]</t>
      </text>
    </comment>
    <comment ref="AA24" authorId="0" shapeId="0">
      <text>
        <t>추정: 마지막 실적 유지(가정)
[qoq]</t>
      </text>
    </comment>
    <comment ref="AB24" authorId="0" shapeId="0">
      <text>
        <t>추정: 마지막 실적 유지(가정)
[qoq]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F25" authorId="0" shapeId="0">
      <text>
        <t>연간 실측(BS 시트에 2023.12A 없음 — 모델 a 값 직접)</t>
      </text>
    </comment>
    <comment ref="S25" authorId="0" shapeId="0">
      <text>
        <t>추정: 전분기 + 당기순이익 − 배당(Q2 지급 가정)
[roll]</t>
      </text>
    </comment>
    <comment ref="T25" authorId="0" shapeId="0">
      <text>
        <t>추정: 전분기 + 당기순이익 − 배당(Q2 지급 가정)
[roll]</t>
      </text>
    </comment>
    <comment ref="V25" authorId="0" shapeId="0">
      <text>
        <t>추정: 전분기 + 당기순이익 − 배당(Q2 지급 가정)
[roll]</t>
      </text>
    </comment>
    <comment ref="W25" authorId="0" shapeId="0">
      <text>
        <t>추정: 전분기 + 당기순이익 − 배당(Q2 지급 가정)
[roll]</t>
      </text>
    </comment>
    <comment ref="X25" authorId="0" shapeId="0">
      <text>
        <t>추정: 전분기 + 당기순이익 − 배당(Q2 지급 가정)
[roll]</t>
      </text>
    </comment>
    <comment ref="Y25" authorId="0" shapeId="0">
      <text>
        <t>추정: 전분기 + 당기순이익 − 배당(Q2 지급 가정)
[roll]</t>
      </text>
    </comment>
    <comment ref="AA25" authorId="0" shapeId="0">
      <text>
        <t>추정: 전분기 + 당기순이익 − 배당(Q2 지급 가정)
[roll]</t>
      </text>
    </comment>
    <comment ref="AB25" authorId="0" shapeId="0">
      <text>
        <t>추정: 전분기 + 당기순이익 − 배당(Q2 지급 가정)
[roll]</t>
      </text>
    </comment>
    <comment ref="AC25" authorId="0" shapeId="0">
      <text>
        <t>추정: 전분기 + 당기순이익 − 배당(Q2 지급 가정)
[roll]</t>
      </text>
    </comment>
    <comment ref="AD25" authorId="0" shapeId="0">
      <text>
        <t>추정: 전분기 + 당기순이익 − 배당(Q2 지급 가정)
[roll]</t>
      </text>
    </comment>
    <comment ref="F26" authorId="0" shapeId="0">
      <text>
        <t>연간 실측(BS 시트에 2023.12A 없음 — 모델 a 값 직접)</t>
      </text>
    </comment>
    <comment ref="S26" authorId="0" shapeId="0">
      <text>
        <t>추정: 전분기 + 지배주주순이익 − 배당
[roll]</t>
      </text>
    </comment>
    <comment ref="T26" authorId="0" shapeId="0">
      <text>
        <t>추정: 전분기 + 지배주주순이익 − 배당
[roll]</t>
      </text>
    </comment>
    <comment ref="V26" authorId="0" shapeId="0">
      <text>
        <t>추정: 전분기 + 지배주주순이익 − 배당
[roll]</t>
      </text>
    </comment>
    <comment ref="W26" authorId="0" shapeId="0">
      <text>
        <t>추정: 전분기 + 지배주주순이익 − 배당
[roll]</t>
      </text>
    </comment>
    <comment ref="X26" authorId="0" shapeId="0">
      <text>
        <t>추정: 전분기 + 지배주주순이익 − 배당
[roll]</t>
      </text>
    </comment>
    <comment ref="Y26" authorId="0" shapeId="0">
      <text>
        <t>추정: 전분기 + 지배주주순이익 − 배당
[roll]</t>
      </text>
    </comment>
    <comment ref="AA26" authorId="0" shapeId="0">
      <text>
        <t>추정: 전분기 + 지배주주순이익 − 배당
[roll]</t>
      </text>
    </comment>
    <comment ref="AB26" authorId="0" shapeId="0">
      <text>
        <t>추정: 전분기 + 지배주주순이익 − 배당
[roll]</t>
      </text>
    </comment>
    <comment ref="AC26" authorId="0" shapeId="0">
      <text>
        <t>추정: 전분기 + 지배주주순이익 − 배당
[roll]</t>
      </text>
    </comment>
    <comment ref="AD26" authorId="0" shapeId="0">
      <text>
        <t>추정: 전분기 + 지배주주순이익 − 배당
[roll]</t>
      </text>
    </comment>
    <comment ref="F27" authorId="0" shapeId="0">
      <text>
        <t>연간 실측(BS 시트에 2023.12A 없음 — 모델 a 값 직접)</t>
      </text>
    </comment>
    <comment ref="S27" authorId="0" shapeId="0">
      <text>
        <t>추정: 마지막 실적 유지(가정)
[qoq]</t>
      </text>
    </comment>
    <comment ref="T27" authorId="0" shapeId="0">
      <text>
        <t>추정: 마지막 실적 유지(가정)
[qoq]</t>
      </text>
    </comment>
    <comment ref="V27" authorId="0" shapeId="0">
      <text>
        <t>추정: 마지막 실적 유지(가정)
[qoq]</t>
      </text>
    </comment>
    <comment ref="W27" authorId="0" shapeId="0">
      <text>
        <t>추정: 마지막 실적 유지(가정)
[qoq]</t>
      </text>
    </comment>
    <comment ref="X27" authorId="0" shapeId="0">
      <text>
        <t>추정: 마지막 실적 유지(가정)
[qoq]</t>
      </text>
    </comment>
    <comment ref="Y27" authorId="0" shapeId="0">
      <text>
        <t>추정: 마지막 실적 유지(가정)
[qoq]</t>
      </text>
    </comment>
    <comment ref="AA27" authorId="0" shapeId="0">
      <text>
        <t>추정: 마지막 실적 유지(가정)
[qoq]</t>
      </text>
    </comment>
    <comment ref="AB27" authorId="0" shapeId="0">
      <text>
        <t>추정: 마지막 실적 유지(가정)
[qoq]</t>
      </text>
    </comment>
    <comment ref="AC27" authorId="0" shapeId="0">
      <text>
        <t>추정: 마지막 실적 유지(가정)
[qoq]</t>
      </text>
    </comment>
    <comment ref="AD27" authorId="0" shapeId="0">
      <text>
        <t>추정: 마지막 실적 유지(가정)
[qoq]</t>
      </text>
    </comment>
    <comment ref="F28" authorId="0" shapeId="0">
      <text>
        <t>연간 실측(BS 시트에 2023.12A 없음 — 모델 a 값 직접)</t>
      </text>
    </comment>
    <comment ref="S28" authorId="0" shapeId="0">
      <text>
        <t>추정: 전분기 − FCF 근사[순이익 + 감가상각비 5억 − CAPEX 93억(각 최근 4분기 중위) − 배당] (운전자본 불변·총차입금 유지 가정 → 변동은 전부 현금)
[qoq]</t>
      </text>
    </comment>
    <comment ref="T28" authorId="0" shapeId="0">
      <text>
        <t>추정: 전분기 − FCF 근사[순이익 + 감가상각비 5억 − CAPEX 93억(각 최근 4분기 중위) − 배당] (운전자본 불변·총차입금 유지 가정 → 변동은 전부 현금)
[qoq]</t>
      </text>
    </comment>
    <comment ref="V28" authorId="0" shapeId="0">
      <text>
        <t>추정: 전분기 − FCF 근사[순이익 + 감가상각비 5억 − CAPEX 93억(각 최근 4분기 중위) − 배당] (운전자본 불변·총차입금 유지 가정 → 변동은 전부 현금)
[qoq]</t>
      </text>
    </comment>
    <comment ref="W28" authorId="0" shapeId="0">
      <text>
        <t>추정: 전분기 − FCF 근사[순이익 + 감가상각비 5억 − CAPEX 93억(각 최근 4분기 중위) − 배당] (운전자본 불변·총차입금 유지 가정 → 변동은 전부 현금)
[qoq]</t>
      </text>
    </comment>
    <comment ref="X28" authorId="0" shapeId="0">
      <text>
        <t>추정: 전분기 − FCF 근사[순이익 + 감가상각비 5억 − CAPEX 93억(각 최근 4분기 중위) − 배당] (운전자본 불변·총차입금 유지 가정 → 변동은 전부 현금)
[qoq]</t>
      </text>
    </comment>
    <comment ref="Y28" authorId="0" shapeId="0">
      <text>
        <t>추정: 전분기 − FCF 근사[순이익 + 감가상각비 5억 − CAPEX 93억(각 최근 4분기 중위) − 배당] (운전자본 불변·총차입금 유지 가정 → 변동은 전부 현금)
[qoq]</t>
      </text>
    </comment>
    <comment ref="AA28" authorId="0" shapeId="0">
      <text>
        <t>추정: 전분기 − FCF 근사[순이익 + 감가상각비 5억 − CAPEX 93억(각 최근 4분기 중위) − 배당] (운전자본 불변·총차입금 유지 가정 → 변동은 전부 현금)
[qoq]</t>
      </text>
    </comment>
    <comment ref="AB28" authorId="0" shapeId="0">
      <text>
        <t>추정: 전분기 − FCF 근사[순이익 + 감가상각비 5억 − CAPEX 93억(각 최근 4분기 중위) − 배당] (운전자본 불변·총차입금 유지 가정 → 변동은 전부 현금)
[qoq]</t>
      </text>
    </comment>
    <comment ref="AC28" authorId="0" shapeId="0">
      <text>
        <t>추정: 전분기 − FCF 근사[순이익 + 감가상각비 5억 − CAPEX 93억(각 최근 4분기 중위) − 배당] (운전자본 불변·총차입금 유지 가정 → 변동은 전부 현금)
[qoq]</t>
      </text>
    </comment>
    <comment ref="AD28" authorId="0" shapeId="0">
      <text>
        <t>추정: 전분기 − FCF 근사[순이익 + 감가상각비 5억 − CAPEX 93억(각 최근 4분기 중위) − 배당] (운전자본 불변·총차입금 유지 가정 → 변동은 전부 현금)
[qoq]</t>
      </text>
    </comment>
    <comment ref="F29" authorId="0" shapeId="0">
      <text>
        <t>연간 실측(BS 시트에 2023.12A 없음 — 모델 a 값 직접)</t>
      </text>
    </comment>
    <comment ref="S29" authorId="0" shapeId="0">
      <text>
        <t>추정: 전분기 + FCF 근사 — 순차입금 롤과 같은 가정
[qoq]</t>
      </text>
    </comment>
    <comment ref="T29" authorId="0" shapeId="0">
      <text>
        <t>추정: 전분기 + FCF 근사 — 순차입금 롤과 같은 가정
[qoq]</t>
      </text>
    </comment>
    <comment ref="V29" authorId="0" shapeId="0">
      <text>
        <t>추정: 전분기 + FCF 근사 — 순차입금 롤과 같은 가정
[qoq]</t>
      </text>
    </comment>
    <comment ref="W29" authorId="0" shapeId="0">
      <text>
        <t>추정: 전분기 + FCF 근사 — 순차입금 롤과 같은 가정
[qoq]</t>
      </text>
    </comment>
    <comment ref="X29" authorId="0" shapeId="0">
      <text>
        <t>추정: 전분기 + FCF 근사 — 순차입금 롤과 같은 가정
[qoq]</t>
      </text>
    </comment>
    <comment ref="Y29" authorId="0" shapeId="0">
      <text>
        <t>추정: 전분기 + FCF 근사 — 순차입금 롤과 같은 가정
[qoq]</t>
      </text>
    </comment>
    <comment ref="AA29" authorId="0" shapeId="0">
      <text>
        <t>추정: 전분기 + FCF 근사 — 순차입금 롤과 같은 가정
[qoq]</t>
      </text>
    </comment>
    <comment ref="AB29" authorId="0" shapeId="0">
      <text>
        <t>추정: 전분기 + FCF 근사 — 순차입금 롤과 같은 가정
[qoq]</t>
      </text>
    </comment>
    <comment ref="AC29" authorId="0" shapeId="0">
      <text>
        <t>추정: 전분기 + FCF 근사 — 순차입금 롤과 같은 가정
[qoq]</t>
      </text>
    </comment>
    <comment ref="AD29" authorId="0" shapeId="0">
      <text>
        <t>추정: 전분기 + FCF 근사 — 순차입금 롤과 같은 가정
[qoq]</t>
      </text>
    </comment>
    <comment ref="F30" authorId="0" shapeId="0">
      <text>
        <t>연간 실측(BS 시트에 2023.12A 없음 — 모델 a 값 직접)</t>
      </text>
    </comment>
    <comment ref="S31" authorId="0" shapeId="0">
      <text>
        <t>추정: 최근 4분기(2025Q3~2026Q2) CAPEX 중위 유지 — 순차입금 롤에 반영(FCF 근사)
[yoy]</t>
      </text>
    </comment>
    <comment ref="T31" authorId="0" shapeId="0">
      <text>
        <t>추정: 최근 4분기(2025Q3~2026Q2) CAPEX 중위 유지 — 순차입금 롤에 반영(FCF 근사)
[yoy]</t>
      </text>
    </comment>
    <comment ref="V31" authorId="0" shapeId="0">
      <text>
        <t>추정: 최근 4분기(2025Q3~2026Q2) CAPEX 중위 유지 — 순차입금 롤에 반영(FCF 근사)
[yoy]</t>
      </text>
    </comment>
    <comment ref="W31" authorId="0" shapeId="0">
      <text>
        <t>추정: 최근 4분기(2025Q3~2026Q2) CAPEX 중위 유지 — 순차입금 롤에 반영(FCF 근사)
[yoy]</t>
      </text>
    </comment>
    <comment ref="X31" authorId="0" shapeId="0">
      <text>
        <t>추정: 최근 4분기(2025Q3~2026Q2) CAPEX 중위 유지 — 순차입금 롤에 반영(FCF 근사)
[yoy]</t>
      </text>
    </comment>
    <comment ref="Y31" authorId="0" shapeId="0">
      <text>
        <t>추정: 최근 4분기(2025Q3~2026Q2) CAPEX 중위 유지 — 순차입금 롤에 반영(FCF 근사)
[yoy]</t>
      </text>
    </comment>
    <comment ref="AA31" authorId="0" shapeId="0">
      <text>
        <t>추정: 최근 4분기(2025Q3~2026Q2) CAPEX 중위 유지 — 순차입금 롤에 반영(FCF 근사)
[yoy]</t>
      </text>
    </comment>
    <comment ref="AB31" authorId="0" shapeId="0">
      <text>
        <t>추정: 최근 4분기(2025Q3~2026Q2) CAPEX 중위 유지 — 순차입금 롤에 반영(FCF 근사)
[yoy]</t>
      </text>
    </comment>
    <comment ref="AC31" authorId="0" shapeId="0">
      <text>
        <t>추정: 최근 4분기(2025Q3~2026Q2) CAPEX 중위 유지 — 순차입금 롤에 반영(FCF 근사)
[yoy]</t>
      </text>
    </comment>
    <comment ref="AD31" authorId="0" shapeId="0">
      <text>
        <t>추정: 최근 4분기(2025Q3~2026Q2) CAPEX 중위 유지 — 순차입금 롤에 반영(FCF 근사)
[yoy]</t>
      </text>
    </comment>
    <comment ref="E33" authorId="0" shapeId="0">
      <text>
        <t>실측(계정 매핑 없음(파생·부문·시세 행) — 모델값 직접) — fin.shares.common_outstanding</t>
      </text>
    </comment>
    <comment ref="G33" authorId="0" shapeId="0">
      <text>
        <t>실측(계정 매핑 없음(파생·부문·시세 행) — 모델값 직접) — fin.shares.common_outstanding</t>
      </text>
    </comment>
    <comment ref="H33" authorId="0" shapeId="0">
      <text>
        <t>실측(계정 매핑 없음(파생·부문·시세 행) — 모델값 직접) — fin.shares.common_outstanding</t>
      </text>
    </comment>
    <comment ref="I33" authorId="0" shapeId="0">
      <text>
        <t>실측(계정 매핑 없음(파생·부문·시세 행) — 모델값 직접) — fin.shares.common_outstanding</t>
      </text>
    </comment>
    <comment ref="J33" authorId="0" shapeId="0">
      <text>
        <t>실측(계정 매핑 없음(파생·부문·시세 행) — 모델값 직접) — fin.shares.common_outstanding</t>
      </text>
    </comment>
    <comment ref="L33" authorId="0" shapeId="0">
      <text>
        <t>실측(계정 매핑 없음(파생·부문·시세 행) — 모델값 직접) — fin.shares.common_outstanding</t>
      </text>
    </comment>
    <comment ref="M33" authorId="0" shapeId="0">
      <text>
        <t>실측(계정 매핑 없음(파생·부문·시세 행) — 모델값 직접) — fin.shares.common_outstanding</t>
      </text>
    </comment>
    <comment ref="N33" authorId="0" shapeId="0">
      <text>
        <t>실측(계정 매핑 없음(파생·부문·시세 행) — 모델값 직접) — fin.shares.common_outstanding</t>
      </text>
    </comment>
    <comment ref="O33" authorId="0" shapeId="0">
      <text>
        <t>실측(계정 매핑 없음(파생·부문·시세 행) — 모델값 직접) — fin.shares.common_outstanding</t>
      </text>
    </comment>
    <comment ref="Q33" authorId="0" shapeId="0">
      <text>
        <t>실측(계정 매핑 없음(파생·부문·시세 행) — 모델값 직접) — fin.shares.common_outstanding</t>
      </text>
    </comment>
    <comment ref="R33" authorId="0" shapeId="0">
      <text>
        <t>실측(계정 매핑 없음(파생·부문·시세 행) — 모델값 직접) — fin.shares.common_outstanding</t>
      </text>
    </comment>
    <comment ref="S33" authorId="0" shapeId="0">
      <text>
        <t>추정: 유통주식수 유지 — fin.shares.common_outstanding(2026Q2)
[qoq]</t>
      </text>
    </comment>
    <comment ref="T33" authorId="0" shapeId="0">
      <text>
        <t>추정: 유통주식수 유지 — fin.shares.common_outstanding(2026Q2)
[qoq]</t>
      </text>
    </comment>
    <comment ref="V33" authorId="0" shapeId="0">
      <text>
        <t>추정: 유통주식수 유지 — fin.shares.common_outstanding(2026Q2)
[qoq]</t>
      </text>
    </comment>
    <comment ref="W33" authorId="0" shapeId="0">
      <text>
        <t>추정: 유통주식수 유지 — fin.shares.common_outstanding(2026Q2)
[qoq]</t>
      </text>
    </comment>
    <comment ref="X33" authorId="0" shapeId="0">
      <text>
        <t>추정: 유통주식수 유지 — fin.shares.common_outstanding(2026Q2)
[qoq]</t>
      </text>
    </comment>
    <comment ref="Y33" authorId="0" shapeId="0">
      <text>
        <t>추정: 유통주식수 유지 — fin.shares.common_outstanding(2026Q2)
[qoq]</t>
      </text>
    </comment>
    <comment ref="AA33" authorId="0" shapeId="0">
      <text>
        <t>추정: 유통주식수 유지 — fin.shares.common_outstanding(2026Q2)
[qoq]</t>
      </text>
    </comment>
    <comment ref="AB33" authorId="0" shapeId="0">
      <text>
        <t>추정: 유통주식수 유지 — fin.shares.common_outstanding(2026Q2)
[qoq]</t>
      </text>
    </comment>
    <comment ref="AC33" authorId="0" shapeId="0">
      <text>
        <t>추정: 유통주식수 유지 — fin.shares.common_outstanding(2026Q2)
[qoq]</t>
      </text>
    </comment>
    <comment ref="AD33" authorId="0" shapeId="0">
      <text>
        <t>추정: 유통주식수 유지 — fin.shares.common_outstanding(2026Q2)
[qoq]</t>
      </text>
    </comment>
    <comment ref="S34" authorId="0" shapeId="0">
      <text>
        <t>추정: 지배주주순이익 ÷ 유통주식수
[per_share]</t>
      </text>
    </comment>
    <comment ref="T34" authorId="0" shapeId="0">
      <text>
        <t>추정: 지배주주순이익 ÷ 유통주식수
[per_share]</t>
      </text>
    </comment>
    <comment ref="V34" authorId="0" shapeId="0">
      <text>
        <t>추정: 지배주주순이익 ÷ 유통주식수
[per_share]</t>
      </text>
    </comment>
    <comment ref="W34" authorId="0" shapeId="0">
      <text>
        <t>추정: 지배주주순이익 ÷ 유통주식수
[per_share]</t>
      </text>
    </comment>
    <comment ref="X34" authorId="0" shapeId="0">
      <text>
        <t>추정: 지배주주순이익 ÷ 유통주식수
[per_share]</t>
      </text>
    </comment>
    <comment ref="Y34" authorId="0" shapeId="0">
      <text>
        <t>추정: 지배주주순이익 ÷ 유통주식수
[per_share]</t>
      </text>
    </comment>
    <comment ref="AA34" authorId="0" shapeId="0">
      <text>
        <t>추정: 지배주주순이익 ÷ 유통주식수
[per_share]</t>
      </text>
    </comment>
    <comment ref="AB34" authorId="0" shapeId="0">
      <text>
        <t>추정: 지배주주순이익 ÷ 유통주식수
[per_share]</t>
      </text>
    </comment>
    <comment ref="AC34" authorId="0" shapeId="0">
      <text>
        <t>추정: 지배주주순이익 ÷ 유통주식수
[per_share]</t>
      </text>
    </comment>
    <comment ref="AD34" authorId="0" shapeId="0">
      <text>
        <t>추정: 지배주주순이익 ÷ 유통주식수
[per_share]</t>
      </text>
    </comment>
    <comment ref="S35" authorId="0" shapeId="0">
      <text>
        <t>추정: 지배주주지분 ÷ 유통주식수
[per_share]</t>
      </text>
    </comment>
    <comment ref="T35" authorId="0" shapeId="0">
      <text>
        <t>추정: 지배주주지분 ÷ 유통주식수
[per_share]</t>
      </text>
    </comment>
    <comment ref="V35" authorId="0" shapeId="0">
      <text>
        <t>추정: 지배주주지분 ÷ 유통주식수
[per_share]</t>
      </text>
    </comment>
    <comment ref="W35" authorId="0" shapeId="0">
      <text>
        <t>추정: 지배주주지분 ÷ 유통주식수
[per_share]</t>
      </text>
    </comment>
    <comment ref="X35" authorId="0" shapeId="0">
      <text>
        <t>추정: 지배주주지분 ÷ 유통주식수
[per_share]</t>
      </text>
    </comment>
    <comment ref="Y35" authorId="0" shapeId="0">
      <text>
        <t>추정: 지배주주지분 ÷ 유통주식수
[per_share]</t>
      </text>
    </comment>
    <comment ref="AA35" authorId="0" shapeId="0">
      <text>
        <t>추정: 지배주주지분 ÷ 유통주식수
[per_share]</t>
      </text>
    </comment>
    <comment ref="AB35" authorId="0" shapeId="0">
      <text>
        <t>추정: 지배주주지분 ÷ 유통주식수
[per_share]</t>
      </text>
    </comment>
    <comment ref="AC35" authorId="0" shapeId="0">
      <text>
        <t>추정: 지배주주지분 ÷ 유통주식수
[per_share]</t>
      </text>
    </comment>
    <comment ref="AD35" authorId="0" shapeId="0">
      <text>
        <t>추정: 지배주주지분 ÷ 유통주식수
[per_share]</t>
      </text>
    </comment>
    <comment ref="E36" authorId="0" shapeId="0">
      <text>
        <t>실측(계정 매핑 없음(파생·부문·시세 행) — 모델값 직접) — fin.dividend.dps_common(연간, Q4 에 표기)</t>
      </text>
    </comment>
    <comment ref="F36" authorId="0" shapeId="0">
      <text>
        <t>연간(actual) — 분기 미완 연도, 모델 a 값 직접</t>
      </text>
    </comment>
    <comment ref="J36" authorId="0" shapeId="0">
      <text>
        <t>실측(계정 매핑 없음(파생·부문·시세 행) — 모델값 직접) — fin.dividend.dps_common(연간, Q4 에 표기)</t>
      </text>
    </comment>
    <comment ref="O36" authorId="0" shapeId="0">
      <text>
        <t>실측(계정 매핑 없음(파생·부문·시세 행) — 모델값 직접) — fin.dividend.dps_common(연간, Q4 에 표기)</t>
      </text>
    </comment>
    <comment ref="T36" authorId="0" shapeId="0">
      <text>
        <t>추정: 직전 결산 DPS 0원 유지
[abs]</t>
      </text>
    </comment>
    <comment ref="Y36" authorId="0" shapeId="0">
      <text>
        <t>추정: 직전 결산 DPS 0원 유지
[abs]</t>
      </text>
    </comment>
    <comment ref="AD36" authorId="0" shapeId="0">
      <text>
        <t>추정: 직전 결산 DPS 0원 유지
[abs]</t>
      </text>
    </comment>
    <comment ref="S37" authorId="0" shapeId="0">
      <text>
        <t>추정: 현재 종가 ÷ TTM EPS(추정 포함)
[valuation]</t>
      </text>
    </comment>
    <comment ref="T37" authorId="0" shapeId="0">
      <text>
        <t>추정: 현재 종가 ÷ TTM EPS(추정 포함)
[valuation]</t>
      </text>
    </comment>
    <comment ref="V37" authorId="0" shapeId="0">
      <text>
        <t>추정: 현재 종가 ÷ TTM EPS(추정 포함)
[valuation]</t>
      </text>
    </comment>
    <comment ref="W37" authorId="0" shapeId="0">
      <text>
        <t>추정: 현재 종가 ÷ TTM EPS(추정 포함)
[valuation]</t>
      </text>
    </comment>
    <comment ref="X37" authorId="0" shapeId="0">
      <text>
        <t>추정: 현재 종가 ÷ TTM EPS(추정 포함)
[valuation]</t>
      </text>
    </comment>
    <comment ref="Y37" authorId="0" shapeId="0">
      <text>
        <t>추정: 현재 종가 ÷ TTM EPS(추정 포함)
[valuation]</t>
      </text>
    </comment>
    <comment ref="AA37" authorId="0" shapeId="0">
      <text>
        <t>추정: 현재 종가 ÷ TTM EPS(추정 포함)
[valuation]</t>
      </text>
    </comment>
    <comment ref="AB37" authorId="0" shapeId="0">
      <text>
        <t>추정: 현재 종가 ÷ TTM EPS(추정 포함)
[valuation]</t>
      </text>
    </comment>
    <comment ref="AC37" authorId="0" shapeId="0">
      <text>
        <t>추정: 현재 종가 ÷ TTM EPS(추정 포함)
[valuation]</t>
      </text>
    </comment>
    <comment ref="AD37" authorId="0" shapeId="0">
      <text>
        <t>추정: 현재 종가 ÷ TTM EPS(추정 포함)
[valuation]</t>
      </text>
    </comment>
    <comment ref="S38" authorId="0" shapeId="0">
      <text>
        <t>추정: 현재 종가 ÷ BPS(추정 포함)
[valuation]</t>
      </text>
    </comment>
    <comment ref="T38" authorId="0" shapeId="0">
      <text>
        <t>추정: 현재 종가 ÷ BPS(추정 포함)
[valuation]</t>
      </text>
    </comment>
    <comment ref="V38" authorId="0" shapeId="0">
      <text>
        <t>추정: 현재 종가 ÷ BPS(추정 포함)
[valuation]</t>
      </text>
    </comment>
    <comment ref="W38" authorId="0" shapeId="0">
      <text>
        <t>추정: 현재 종가 ÷ BPS(추정 포함)
[valuation]</t>
      </text>
    </comment>
    <comment ref="X38" authorId="0" shapeId="0">
      <text>
        <t>추정: 현재 종가 ÷ BPS(추정 포함)
[valuation]</t>
      </text>
    </comment>
    <comment ref="Y38" authorId="0" shapeId="0">
      <text>
        <t>추정: 현재 종가 ÷ BPS(추정 포함)
[valuation]</t>
      </text>
    </comment>
    <comment ref="AA38" authorId="0" shapeId="0">
      <text>
        <t>추정: 현재 종가 ÷ BPS(추정 포함)
[valuation]</t>
      </text>
    </comment>
    <comment ref="AB38" authorId="0" shapeId="0">
      <text>
        <t>추정: 현재 종가 ÷ BPS(추정 포함)
[valuation]</t>
      </text>
    </comment>
    <comment ref="AC38" authorId="0" shapeId="0">
      <text>
        <t>추정: 현재 종가 ÷ BPS(추정 포함)
[valuation]</t>
      </text>
    </comment>
    <comment ref="AD38" authorId="0" shapeId="0">
      <text>
        <t>추정: 현재 종가 ÷ BPS(추정 포함)
[valuation]</t>
      </text>
    </comment>
    <comment ref="E39" authorId="0" shapeId="0">
      <text>
        <t>실측(계정 매핑 없음(파생·부문·시세 행) — 모델값 직접) — = 매출액(부문 미분리)</t>
      </text>
    </comment>
    <comment ref="G39" authorId="0" shapeId="0">
      <text>
        <t>실측(계정 매핑 없음(파생·부문·시세 행) — 모델값 직접) — = 매출액(부문 미분리)</t>
      </text>
    </comment>
    <comment ref="H39" authorId="0" shapeId="0">
      <text>
        <t>실측(계정 매핑 없음(파생·부문·시세 행) — 모델값 직접) — = 매출액(부문 미분리)</t>
      </text>
    </comment>
    <comment ref="I39" authorId="0" shapeId="0">
      <text>
        <t>실측(계정 매핑 없음(파생·부문·시세 행) — 모델값 직접) — = 매출액(부문 미분리)</t>
      </text>
    </comment>
    <comment ref="J39" authorId="0" shapeId="0">
      <text>
        <t>실측(계정 매핑 없음(파생·부문·시세 행) — 모델값 직접) — = 매출액(부문 미분리)</t>
      </text>
    </comment>
    <comment ref="L39" authorId="0" shapeId="0">
      <text>
        <t>실측(계정 매핑 없음(파생·부문·시세 행) — 모델값 직접) — = 매출액(부문 미분리)</t>
      </text>
    </comment>
    <comment ref="M39" authorId="0" shapeId="0">
      <text>
        <t>실측(계정 매핑 없음(파생·부문·시세 행) — 모델값 직접) — = 매출액(부문 미분리)</t>
      </text>
    </comment>
    <comment ref="N39" authorId="0" shapeId="0">
      <text>
        <t>실측(계정 매핑 없음(파생·부문·시세 행) — 모델값 직접) — = 매출액(부문 미분리)</t>
      </text>
    </comment>
    <comment ref="O39" authorId="0" shapeId="0">
      <text>
        <t>실측(계정 매핑 없음(파생·부문·시세 행) — 모델값 직접) — = 매출액(부문 미분리)</t>
      </text>
    </comment>
    <comment ref="Q39" authorId="0" shapeId="0">
      <text>
        <t>실측(계정 매핑 없음(파생·부문·시세 행) — 모델값 직접) — = 매출액(부문 미분리)</t>
      </text>
    </comment>
    <comment ref="R39" authorId="0" shapeId="0">
      <text>
        <t>실측(계정 매핑 없음(파생·부문·시세 행) — 모델값 직접) — = 매출액(부문 미분리)</t>
      </text>
    </comment>
    <comment ref="S39" authorId="0" shapeId="0">
      <text>
        <t>추정: = 매출액 추정(부문 미분리)
[identity]</t>
      </text>
    </comment>
    <comment ref="T39" authorId="0" shapeId="0">
      <text>
        <t>추정: = 매출액 추정(부문 미분리)
[identity]</t>
      </text>
    </comment>
    <comment ref="V39" authorId="0" shapeId="0">
      <text>
        <t>추정: = 매출액 추정(부문 미분리)
[identity]</t>
      </text>
    </comment>
    <comment ref="W39" authorId="0" shapeId="0">
      <text>
        <t>추정: = 매출액 추정(부문 미분리)
[identity]</t>
      </text>
    </comment>
    <comment ref="X39" authorId="0" shapeId="0">
      <text>
        <t>추정: = 매출액 추정(부문 미분리)
[identity]</t>
      </text>
    </comment>
    <comment ref="Y39" authorId="0" shapeId="0">
      <text>
        <t>추정: = 매출액 추정(부문 미분리)
[identity]</t>
      </text>
    </comment>
    <comment ref="AA39" authorId="0" shapeId="0">
      <text>
        <t>추정: = 매출액 추정(부문 미분리)
[identity]</t>
      </text>
    </comment>
    <comment ref="AB39" authorId="0" shapeId="0">
      <text>
        <t>추정: = 매출액 추정(부문 미분리)
[identity]</t>
      </text>
    </comment>
    <comment ref="AC39" authorId="0" shapeId="0">
      <text>
        <t>추정: = 매출액 추정(부문 미분리)
[identity]</t>
      </text>
    </comment>
    <comment ref="AD39" authorId="0" shapeId="0">
      <text>
        <t>추정: = 매출액 추정(부문 미분리)
[identity]</t>
      </text>
    </comment>
    <comment ref="E40" authorId="0" shapeId="0">
      <text>
        <t>실측(계정 매핑 없음(파생·부문·시세 행) — 모델값 직접) — = 영업이익(부문 미분리)</t>
      </text>
    </comment>
    <comment ref="G40" authorId="0" shapeId="0">
      <text>
        <t>실측(계정 매핑 없음(파생·부문·시세 행) — 모델값 직접) — = 영업이익(부문 미분리)</t>
      </text>
    </comment>
    <comment ref="H40" authorId="0" shapeId="0">
      <text>
        <t>실측(계정 매핑 없음(파생·부문·시세 행) — 모델값 직접) — = 영업이익(부문 미분리)</t>
      </text>
    </comment>
    <comment ref="I40" authorId="0" shapeId="0">
      <text>
        <t>실측(계정 매핑 없음(파생·부문·시세 행) — 모델값 직접) — = 영업이익(부문 미분리)</t>
      </text>
    </comment>
    <comment ref="J40" authorId="0" shapeId="0">
      <text>
        <t>실측(계정 매핑 없음(파생·부문·시세 행) — 모델값 직접) — = 영업이익(부문 미분리)</t>
      </text>
    </comment>
    <comment ref="L40" authorId="0" shapeId="0">
      <text>
        <t>실측(계정 매핑 없음(파생·부문·시세 행) — 모델값 직접) — = 영업이익(부문 미분리)</t>
      </text>
    </comment>
    <comment ref="M40" authorId="0" shapeId="0">
      <text>
        <t>실측(계정 매핑 없음(파생·부문·시세 행) — 모델값 직접) — = 영업이익(부문 미분리)</t>
      </text>
    </comment>
    <comment ref="N40" authorId="0" shapeId="0">
      <text>
        <t>실측(계정 매핑 없음(파생·부문·시세 행) — 모델값 직접) — = 영업이익(부문 미분리)</t>
      </text>
    </comment>
    <comment ref="O40" authorId="0" shapeId="0">
      <text>
        <t>실측(계정 매핑 없음(파생·부문·시세 행) — 모델값 직접) — = 영업이익(부문 미분리)</t>
      </text>
    </comment>
    <comment ref="Q40" authorId="0" shapeId="0">
      <text>
        <t>실측(계정 매핑 없음(파생·부문·시세 행) — 모델값 직접) — = 영업이익(부문 미분리)</t>
      </text>
    </comment>
    <comment ref="R40" authorId="0" shapeId="0">
      <text>
        <t>실측(계정 매핑 없음(파생·부문·시세 행) — 모델값 직접) — = 영업이익(부문 미분리)</t>
      </text>
    </comment>
    <comment ref="S40" authorId="0" shapeId="0">
      <text>
        <t>추정: = 매출액 × OPM(부문 미분리)
[identity]</t>
      </text>
    </comment>
    <comment ref="T40" authorId="0" shapeId="0">
      <text>
        <t>추정: = 매출액 × OPM(부문 미분리)
[identity]</t>
      </text>
    </comment>
    <comment ref="V40" authorId="0" shapeId="0">
      <text>
        <t>추정: = 매출액 × OPM(부문 미분리)
[identity]</t>
      </text>
    </comment>
    <comment ref="W40" authorId="0" shapeId="0">
      <text>
        <t>추정: = 매출액 × OPM(부문 미분리)
[identity]</t>
      </text>
    </comment>
    <comment ref="X40" authorId="0" shapeId="0">
      <text>
        <t>추정: = 매출액 × OPM(부문 미분리)
[identity]</t>
      </text>
    </comment>
    <comment ref="Y40" authorId="0" shapeId="0">
      <text>
        <t>추정: = 매출액 × OPM(부문 미분리)
[identity]</t>
      </text>
    </comment>
    <comment ref="AA40" authorId="0" shapeId="0">
      <text>
        <t>추정: = 매출액 × OPM(부문 미분리)
[identity]</t>
      </text>
    </comment>
    <comment ref="AB40" authorId="0" shapeId="0">
      <text>
        <t>추정: = 매출액 × OPM(부문 미분리)
[identity]</t>
      </text>
    </comment>
    <comment ref="AC40" authorId="0" shapeId="0">
      <text>
        <t>추정: = 매출액 × OPM(부문 미분리)
[identity]</t>
      </text>
    </comment>
    <comment ref="AD40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한선엔지니어링(452280)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5.04% — 법인세 = MAX(세전,0) × 세율, 추정 전 분기 연결(Σ법인세/Σmax(세전,0) 역산, 재현 오차 ≤ 0.05억). 모델 가정 5.04% · 근거: 최근 11분기 유효세율 32.5% 가 5~27% 밖 → 클립 대신 최근 8분기 중 세전 &gt; 0 인 7분기(2024Q3~2026Q2)의 법인세/세전 중위 5.0%</t>
        </is>
      </c>
    </row>
    <row r="23">
      <c r="A23" t="inlineStr">
        <is>
          <t>· 판관비율 8.23%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2.32% / 부채 1.39% — 이자손익 = (전분기 이자발생자산 × 자산이자율 − 전분기 총차입금 × 부채이자율)/4, 최소자승 역산(모델 assumptions [0.0232, 0.0139] 는 4자리 반올림이라 그대로 쓰면 ±1억 어긋남) · 출처: {"asset": "주석 이자수익 ÷ 평균 이자발생자산(2025Q3~2026Q2)", "debt": "주석 이자비용 ÷ 평균 총차입금(2025Q1~2026Q2)"}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10.0/15.0/20.0배(sector_default(레퍼런스 TP_PE PB 예시 10/15/20배; 과거 PER 중위 31.9배가 캡 5~30 밖 — 턴어라운드 초기 TTM EPS 왜곡))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assets/models/452280.json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금융손익 실적→추정 단절: 최근 4분기 실적 +1/-24/-116/-8(중위 -16억) → 추정 2026Q3 -1억(차 +15억, +95%)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35.3, "op_wape_pct": 65.0,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112.0, "rev_act": 161.96, "op_pred": 12.97, "op_act": 25.93}, {"q": "2025Q4", "rev_pred": 123.37, "rev_act": 184.1, "op_pred": 14.28, "op_act": 28.23}, {"q": "2026Q1", "rev_pred": 131.11, "rev_act": 223.81, "op_pred": 15.18, "op_act": 62.05}, {"q": "2026Q2", "rev_pred": 154.99, "rev_act": 236.45, "op_pred": 17.94, "op_act": 56.03}]}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C1" s="2" t="inlineStr">
        <is>
          <t>이름: 변수H</t>
        </is>
      </c>
      <c r="E1" s="3" t="inlineStr">
        <is>
          <t>4Q23</t>
        </is>
      </c>
      <c r="F1" s="3" t="n">
        <v>2023</v>
      </c>
      <c r="G1" s="3" t="inlineStr">
        <is>
          <t>1Q24</t>
        </is>
      </c>
      <c r="H1" s="3" t="inlineStr">
        <is>
          <t>2Q24</t>
        </is>
      </c>
      <c r="I1" s="3" t="inlineStr">
        <is>
          <t>3Q24</t>
        </is>
      </c>
      <c r="J1" s="3" t="inlineStr">
        <is>
          <t>4Q24</t>
        </is>
      </c>
      <c r="K1" s="3" t="n">
        <v>2024</v>
      </c>
      <c r="L1" s="3" t="inlineStr">
        <is>
          <t>1Q25</t>
        </is>
      </c>
      <c r="M1" s="3" t="inlineStr">
        <is>
          <t>2Q25</t>
        </is>
      </c>
      <c r="N1" s="3" t="inlineStr">
        <is>
          <t>3Q25</t>
        </is>
      </c>
      <c r="O1" s="3" t="inlineStr">
        <is>
          <t>4Q25</t>
        </is>
      </c>
      <c r="P1" s="3" t="n">
        <v>2025</v>
      </c>
      <c r="Q1" s="3" t="inlineStr">
        <is>
          <t>1Q26</t>
        </is>
      </c>
      <c r="R1" s="4" t="inlineStr">
        <is>
          <t>2Q26</t>
        </is>
      </c>
      <c r="S1" s="3" t="inlineStr">
        <is>
          <t>3Q26</t>
        </is>
      </c>
      <c r="T1" s="3" t="inlineStr">
        <is>
          <t>4Q26</t>
        </is>
      </c>
      <c r="U1" s="3" t="n">
        <v>2026</v>
      </c>
      <c r="V1" s="3" t="inlineStr">
        <is>
          <t>1Q27</t>
        </is>
      </c>
      <c r="W1" s="3" t="inlineStr">
        <is>
          <t>2Q27</t>
        </is>
      </c>
      <c r="X1" s="3" t="inlineStr">
        <is>
          <t>3Q27</t>
        </is>
      </c>
      <c r="Y1" s="3" t="inlineStr">
        <is>
          <t>4Q27</t>
        </is>
      </c>
      <c r="Z1" s="3" t="n">
        <v>2027</v>
      </c>
      <c r="AA1" s="3" t="inlineStr">
        <is>
          <t>1Q28</t>
        </is>
      </c>
      <c r="AB1" s="3" t="inlineStr">
        <is>
          <t>2Q28</t>
        </is>
      </c>
      <c r="AC1" s="3" t="inlineStr">
        <is>
          <t>3Q28</t>
        </is>
      </c>
      <c r="AD1" s="3" t="inlineStr">
        <is>
          <t>4Q28</t>
        </is>
      </c>
      <c r="AE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R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6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</row>
    <row r="4">
      <c r="E4" s="7" t="inlineStr">
        <is>
          <t>2023.12</t>
        </is>
      </c>
      <c r="F4" s="7" t="inlineStr">
        <is>
          <t>2023.12A</t>
        </is>
      </c>
      <c r="G4" s="7" t="inlineStr">
        <is>
          <t>2024.03</t>
        </is>
      </c>
      <c r="H4" s="7" t="inlineStr">
        <is>
          <t>2024.06</t>
        </is>
      </c>
      <c r="I4" s="7" t="inlineStr">
        <is>
          <t>2024.09</t>
        </is>
      </c>
      <c r="J4" s="7" t="inlineStr">
        <is>
          <t>2024.12</t>
        </is>
      </c>
      <c r="K4" s="7" t="inlineStr">
        <is>
          <t>2024.12A</t>
        </is>
      </c>
      <c r="L4" s="7" t="inlineStr">
        <is>
          <t>2025.03</t>
        </is>
      </c>
      <c r="M4" s="7" t="inlineStr">
        <is>
          <t>2025.06</t>
        </is>
      </c>
      <c r="N4" s="7" t="inlineStr">
        <is>
          <t>2025.09</t>
        </is>
      </c>
      <c r="O4" s="7" t="inlineStr">
        <is>
          <t>2025.12</t>
        </is>
      </c>
      <c r="P4" s="7" t="inlineStr">
        <is>
          <t>2025.12A</t>
        </is>
      </c>
      <c r="Q4" s="7" t="inlineStr">
        <is>
          <t>2026.03</t>
        </is>
      </c>
      <c r="R4" s="8" t="inlineStr">
        <is>
          <t>2026.06</t>
        </is>
      </c>
      <c r="S4" s="7" t="inlineStr">
        <is>
          <t>2026.09</t>
        </is>
      </c>
      <c r="T4" s="7" t="inlineStr">
        <is>
          <t>2026.12</t>
        </is>
      </c>
      <c r="U4" s="7" t="inlineStr">
        <is>
          <t>2026.12A</t>
        </is>
      </c>
      <c r="V4" s="7" t="inlineStr">
        <is>
          <t>2027.03</t>
        </is>
      </c>
      <c r="W4" s="7" t="inlineStr">
        <is>
          <t>2027.06</t>
        </is>
      </c>
      <c r="X4" s="7" t="inlineStr">
        <is>
          <t>2027.09</t>
        </is>
      </c>
      <c r="Y4" s="7" t="inlineStr">
        <is>
          <t>2027.12</t>
        </is>
      </c>
      <c r="Z4" s="7" t="inlineStr">
        <is>
          <t>2027.12A</t>
        </is>
      </c>
      <c r="AA4" s="7" t="inlineStr">
        <is>
          <t>2028.03</t>
        </is>
      </c>
      <c r="AB4" s="7" t="inlineStr">
        <is>
          <t>2028.06</t>
        </is>
      </c>
      <c r="AC4" s="7" t="inlineStr">
        <is>
          <t>2028.09</t>
        </is>
      </c>
      <c r="AD4" s="7" t="inlineStr">
        <is>
          <t>2028.12</t>
        </is>
      </c>
      <c r="AE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R5" s="5" t="n"/>
      <c r="S5" s="10" t="n"/>
      <c r="T5" s="10" t="n"/>
      <c r="U5" s="11" t="n"/>
      <c r="V5" s="10" t="n"/>
      <c r="W5" s="10" t="n"/>
      <c r="X5" s="10" t="n"/>
      <c r="Y5" s="10" t="n"/>
      <c r="Z5" s="11" t="n"/>
      <c r="AA5" s="10" t="n"/>
      <c r="AB5" s="10" t="n"/>
      <c r="AC5" s="10" t="n"/>
      <c r="AD5" s="10" t="n"/>
      <c r="AE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1322.01</v>
      </c>
      <c r="F6" s="14" t="n">
        <v>1306.85</v>
      </c>
      <c r="G6" s="13" t="n">
        <v>1330.14</v>
      </c>
      <c r="H6" s="13" t="n">
        <v>1371.28</v>
      </c>
      <c r="I6" s="13" t="n">
        <v>1356.22</v>
      </c>
      <c r="J6" s="13" t="n">
        <v>1396.3</v>
      </c>
      <c r="K6" s="14" t="n">
        <v>1363.53</v>
      </c>
      <c r="L6" s="13" t="n">
        <v>1452.28</v>
      </c>
      <c r="M6" s="13" t="n">
        <v>1398.52</v>
      </c>
      <c r="N6" s="13" t="n">
        <v>1386.95</v>
      </c>
      <c r="O6" s="13" t="n">
        <v>1449.19</v>
      </c>
      <c r="P6" s="14" t="n">
        <v>1421.52</v>
      </c>
      <c r="Q6" s="13" t="n">
        <v>1466.12</v>
      </c>
      <c r="R6" s="15" t="n">
        <v>1501.75</v>
      </c>
      <c r="S6" s="16" t="n">
        <v>1418.75</v>
      </c>
      <c r="T6" s="16" t="n">
        <v>1343.39</v>
      </c>
      <c r="U6" s="17" t="n">
        <v>1456.01</v>
      </c>
      <c r="V6" s="16" t="n">
        <v>1341.45</v>
      </c>
      <c r="W6" s="16" t="n">
        <v>1341.45</v>
      </c>
      <c r="X6" s="16" t="n">
        <v>1341.45</v>
      </c>
      <c r="Y6" s="16" t="n">
        <v>1341.45</v>
      </c>
      <c r="Z6" s="11" t="n"/>
      <c r="AA6" s="16" t="n">
        <v>1341.45</v>
      </c>
      <c r="AB6" s="16" t="n">
        <v>1341.45</v>
      </c>
      <c r="AC6" s="16" t="n">
        <v>1341.45</v>
      </c>
      <c r="AD6" s="16" t="n">
        <v>1341.45</v>
      </c>
      <c r="AE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1297.43</v>
      </c>
      <c r="F7" s="14" t="n">
        <v>1297.43</v>
      </c>
      <c r="G7" s="13" t="n">
        <v>1349.25</v>
      </c>
      <c r="H7" s="13" t="n">
        <v>1377.73</v>
      </c>
      <c r="I7" s="13" t="n">
        <v>1312.17</v>
      </c>
      <c r="J7" s="13" t="n">
        <v>1474.78</v>
      </c>
      <c r="K7" s="14" t="n">
        <v>1474.78</v>
      </c>
      <c r="L7" s="13" t="n">
        <v>1474.54</v>
      </c>
      <c r="M7" s="13" t="n">
        <v>1355.13</v>
      </c>
      <c r="N7" s="13" t="n">
        <v>1403.67</v>
      </c>
      <c r="O7" s="13" t="n">
        <v>1444.2</v>
      </c>
      <c r="P7" s="14" t="n">
        <v>1444.2</v>
      </c>
      <c r="Q7" s="13" t="n">
        <v>1524.8</v>
      </c>
      <c r="R7" s="15" t="n">
        <v>1550.89</v>
      </c>
      <c r="S7" s="16" t="n">
        <v>1355.4</v>
      </c>
      <c r="T7" s="16" t="n">
        <v>1341.45</v>
      </c>
      <c r="U7" s="17" t="n">
        <v>1341.45</v>
      </c>
      <c r="V7" s="16" t="n">
        <v>1341.45</v>
      </c>
      <c r="W7" s="16" t="n">
        <v>1341.45</v>
      </c>
      <c r="X7" s="16" t="n">
        <v>1341.45</v>
      </c>
      <c r="Y7" s="16" t="n">
        <v>1341.45</v>
      </c>
      <c r="Z7" s="11" t="n"/>
      <c r="AA7" s="16" t="n">
        <v>1341.45</v>
      </c>
      <c r="AB7" s="16" t="n">
        <v>1341.45</v>
      </c>
      <c r="AC7" s="16" t="n">
        <v>1341.45</v>
      </c>
      <c r="AD7" s="16" t="n">
        <v>1341.45</v>
      </c>
      <c r="AE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893.22</v>
      </c>
      <c r="F8" s="14" t="n">
        <v>931.11</v>
      </c>
      <c r="G8" s="13" t="n">
        <v>896.29</v>
      </c>
      <c r="H8" s="13" t="n">
        <v>880.14</v>
      </c>
      <c r="I8" s="13" t="n">
        <v>909.35</v>
      </c>
      <c r="J8" s="13" t="n">
        <v>917.25</v>
      </c>
      <c r="K8" s="14" t="n">
        <v>900.92</v>
      </c>
      <c r="L8" s="13" t="n">
        <v>952.59</v>
      </c>
      <c r="M8" s="13" t="n">
        <v>967.92</v>
      </c>
      <c r="N8" s="13" t="n">
        <v>940.3200000000001</v>
      </c>
      <c r="O8" s="13" t="n">
        <v>940.77</v>
      </c>
      <c r="P8" s="14" t="n">
        <v>950.17</v>
      </c>
      <c r="Q8" s="13" t="n">
        <v>934.39</v>
      </c>
      <c r="R8" s="15" t="n">
        <v>942.16</v>
      </c>
      <c r="S8" s="16" t="n">
        <v>890.41</v>
      </c>
      <c r="T8" s="16" t="n">
        <v>849.39</v>
      </c>
      <c r="U8" s="17" t="n">
        <v>918.46</v>
      </c>
      <c r="V8" s="16" t="n">
        <v>848.37</v>
      </c>
      <c r="W8" s="16" t="n">
        <v>848.37</v>
      </c>
      <c r="X8" s="16" t="n">
        <v>848.37</v>
      </c>
      <c r="Y8" s="16" t="n">
        <v>848.37</v>
      </c>
      <c r="Z8" s="11" t="n"/>
      <c r="AA8" s="16" t="n">
        <v>848.37</v>
      </c>
      <c r="AB8" s="16" t="n">
        <v>848.37</v>
      </c>
      <c r="AC8" s="16" t="n">
        <v>848.37</v>
      </c>
      <c r="AD8" s="16" t="n">
        <v>848.37</v>
      </c>
      <c r="AE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917.04</v>
      </c>
      <c r="F9" s="14" t="n">
        <v>917.04</v>
      </c>
      <c r="G9" s="13" t="n">
        <v>892.42</v>
      </c>
      <c r="H9" s="13" t="n">
        <v>857.76</v>
      </c>
      <c r="I9" s="13" t="n">
        <v>919.21</v>
      </c>
      <c r="J9" s="13" t="n">
        <v>939.65</v>
      </c>
      <c r="K9" s="14" t="n">
        <v>939.65</v>
      </c>
      <c r="L9" s="13" t="n">
        <v>986.84</v>
      </c>
      <c r="M9" s="13" t="n">
        <v>938.85</v>
      </c>
      <c r="N9" s="13" t="n">
        <v>948.49</v>
      </c>
      <c r="O9" s="13" t="n">
        <v>921.8099999999999</v>
      </c>
      <c r="P9" s="14" t="n">
        <v>921.8099999999999</v>
      </c>
      <c r="Q9" s="13" t="n">
        <v>955.99</v>
      </c>
      <c r="R9" s="15" t="n">
        <v>954.75</v>
      </c>
      <c r="S9" s="16" t="n">
        <v>863.3099999999999</v>
      </c>
      <c r="T9" s="16" t="n">
        <v>848.37</v>
      </c>
      <c r="U9" s="17" t="n">
        <v>848.37</v>
      </c>
      <c r="V9" s="16" t="n">
        <v>848.37</v>
      </c>
      <c r="W9" s="16" t="n">
        <v>848.37</v>
      </c>
      <c r="X9" s="16" t="n">
        <v>848.37</v>
      </c>
      <c r="Y9" s="16" t="n">
        <v>848.37</v>
      </c>
      <c r="Z9" s="11" t="n"/>
      <c r="AA9" s="16" t="n">
        <v>848.37</v>
      </c>
      <c r="AB9" s="16" t="n">
        <v>848.37</v>
      </c>
      <c r="AC9" s="16" t="n">
        <v>848.37</v>
      </c>
      <c r="AD9" s="16" t="n">
        <v>848.37</v>
      </c>
      <c r="AE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1420.91</v>
      </c>
      <c r="F10" s="14" t="n">
        <v>1412.88</v>
      </c>
      <c r="G10" s="13" t="n">
        <v>1444.21</v>
      </c>
      <c r="H10" s="13" t="n">
        <v>1476.42</v>
      </c>
      <c r="I10" s="13" t="n">
        <v>1489.3</v>
      </c>
      <c r="J10" s="13" t="n">
        <v>1490.78</v>
      </c>
      <c r="K10" s="14" t="n">
        <v>1475.4</v>
      </c>
      <c r="L10" s="13" t="n">
        <v>1528.33</v>
      </c>
      <c r="M10" s="13" t="n">
        <v>1585.13</v>
      </c>
      <c r="N10" s="13" t="n">
        <v>1620.04</v>
      </c>
      <c r="O10" s="13" t="n">
        <v>1686.02</v>
      </c>
      <c r="P10" s="14" t="n">
        <v>1605.45</v>
      </c>
      <c r="Q10" s="13" t="n">
        <v>1715.47</v>
      </c>
      <c r="R10" s="15" t="n">
        <v>1746.09</v>
      </c>
      <c r="S10" s="16" t="n">
        <v>1631.97</v>
      </c>
      <c r="T10" s="16" t="n">
        <v>1506.62</v>
      </c>
      <c r="U10" s="17" t="n">
        <v>1688.01</v>
      </c>
      <c r="V10" s="16" t="n">
        <v>1500.82</v>
      </c>
      <c r="W10" s="16" t="n">
        <v>1500.82</v>
      </c>
      <c r="X10" s="16" t="n">
        <v>1500.82</v>
      </c>
      <c r="Y10" s="16" t="n">
        <v>1500.82</v>
      </c>
      <c r="Z10" s="11" t="n"/>
      <c r="AA10" s="16" t="n">
        <v>1500.82</v>
      </c>
      <c r="AB10" s="16" t="n">
        <v>1500.82</v>
      </c>
      <c r="AC10" s="16" t="n">
        <v>1500.82</v>
      </c>
      <c r="AD10" s="16" t="n">
        <v>1500.82</v>
      </c>
      <c r="AE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1433.66</v>
      </c>
      <c r="F11" s="14" t="n">
        <v>1433.66</v>
      </c>
      <c r="G11" s="13" t="n">
        <v>1458.68</v>
      </c>
      <c r="H11" s="13" t="n">
        <v>1474.86</v>
      </c>
      <c r="I11" s="13" t="n">
        <v>1469.1</v>
      </c>
      <c r="J11" s="13" t="n">
        <v>1532.14</v>
      </c>
      <c r="K11" s="14" t="n">
        <v>1532.14</v>
      </c>
      <c r="L11" s="13" t="n">
        <v>1594.72</v>
      </c>
      <c r="M11" s="13" t="n">
        <v>1588.22</v>
      </c>
      <c r="N11" s="13" t="n">
        <v>1648.04</v>
      </c>
      <c r="O11" s="13" t="n">
        <v>1696.94</v>
      </c>
      <c r="P11" s="14" t="n">
        <v>1696.94</v>
      </c>
      <c r="Q11" s="13" t="n">
        <v>1753.21</v>
      </c>
      <c r="R11" s="15" t="n">
        <v>1767.09</v>
      </c>
      <c r="S11" s="16" t="n">
        <v>1539.06</v>
      </c>
      <c r="T11" s="16" t="n">
        <v>1500.82</v>
      </c>
      <c r="U11" s="17" t="n">
        <v>1500.82</v>
      </c>
      <c r="V11" s="16" t="n">
        <v>1500.82</v>
      </c>
      <c r="W11" s="16" t="n">
        <v>1500.82</v>
      </c>
      <c r="X11" s="16" t="n">
        <v>1500.82</v>
      </c>
      <c r="Y11" s="16" t="n">
        <v>1500.82</v>
      </c>
      <c r="Z11" s="11" t="n"/>
      <c r="AA11" s="16" t="n">
        <v>1500.82</v>
      </c>
      <c r="AB11" s="16" t="n">
        <v>1500.82</v>
      </c>
      <c r="AC11" s="16" t="n">
        <v>1500.82</v>
      </c>
      <c r="AD11" s="16" t="n">
        <v>1500.82</v>
      </c>
      <c r="AE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182.86</v>
      </c>
      <c r="F12" s="14" t="n">
        <v>184.52</v>
      </c>
      <c r="G12" s="13" t="n">
        <v>185.04</v>
      </c>
      <c r="H12" s="13" t="n">
        <v>189.35</v>
      </c>
      <c r="I12" s="13" t="n">
        <v>189.24</v>
      </c>
      <c r="J12" s="13" t="n">
        <v>194.24</v>
      </c>
      <c r="K12" s="14" t="n">
        <v>189.49</v>
      </c>
      <c r="L12" s="13" t="n">
        <v>199.63</v>
      </c>
      <c r="M12" s="13" t="n">
        <v>193.41</v>
      </c>
      <c r="N12" s="13" t="n">
        <v>193.79</v>
      </c>
      <c r="O12" s="13" t="n">
        <v>204.38</v>
      </c>
      <c r="P12" s="14" t="n">
        <v>197.8</v>
      </c>
      <c r="Q12" s="13" t="n">
        <v>211.75</v>
      </c>
      <c r="R12" s="15" t="n">
        <v>220.8</v>
      </c>
      <c r="S12" s="16" t="n">
        <v>210.43</v>
      </c>
      <c r="T12" s="16" t="n">
        <v>200.49</v>
      </c>
      <c r="U12" s="17" t="n">
        <v>213.61</v>
      </c>
      <c r="V12" s="16" t="n">
        <v>200.4</v>
      </c>
      <c r="W12" s="16" t="n">
        <v>200.4</v>
      </c>
      <c r="X12" s="16" t="n">
        <v>200.4</v>
      </c>
      <c r="Y12" s="16" t="n">
        <v>200.4</v>
      </c>
      <c r="Z12" s="11" t="n"/>
      <c r="AA12" s="16" t="n">
        <v>200.4</v>
      </c>
      <c r="AB12" s="16" t="n">
        <v>200.4</v>
      </c>
      <c r="AC12" s="16" t="n">
        <v>200.4</v>
      </c>
      <c r="AD12" s="16" t="n">
        <v>200.4</v>
      </c>
      <c r="AE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182.61</v>
      </c>
      <c r="F13" s="14" t="n">
        <v>182.61</v>
      </c>
      <c r="G13" s="13" t="n">
        <v>186.66</v>
      </c>
      <c r="H13" s="13" t="n">
        <v>189.7</v>
      </c>
      <c r="I13" s="13" t="n">
        <v>187.12</v>
      </c>
      <c r="J13" s="13" t="n">
        <v>202.04</v>
      </c>
      <c r="K13" s="14" t="n">
        <v>202.04</v>
      </c>
      <c r="L13" s="13" t="n">
        <v>203.3</v>
      </c>
      <c r="M13" s="13" t="n">
        <v>189.14</v>
      </c>
      <c r="N13" s="13" t="n">
        <v>197.16</v>
      </c>
      <c r="O13" s="13" t="n">
        <v>206.28</v>
      </c>
      <c r="P13" s="14" t="n">
        <v>206.28</v>
      </c>
      <c r="Q13" s="13" t="n">
        <v>220.97</v>
      </c>
      <c r="R13" s="15" t="n">
        <v>228.56</v>
      </c>
      <c r="S13" s="16" t="n">
        <v>202.16</v>
      </c>
      <c r="T13" s="16" t="n">
        <v>200.4</v>
      </c>
      <c r="U13" s="17" t="n">
        <v>200.4</v>
      </c>
      <c r="V13" s="16" t="n">
        <v>200.4</v>
      </c>
      <c r="W13" s="16" t="n">
        <v>200.4</v>
      </c>
      <c r="X13" s="16" t="n">
        <v>200.4</v>
      </c>
      <c r="Y13" s="16" t="n">
        <v>200.4</v>
      </c>
      <c r="Z13" s="11" t="n"/>
      <c r="AA13" s="16" t="n">
        <v>200.4</v>
      </c>
      <c r="AB13" s="16" t="n">
        <v>200.4</v>
      </c>
      <c r="AC13" s="16" t="n">
        <v>200.4</v>
      </c>
      <c r="AD13" s="16" t="n">
        <v>200.4</v>
      </c>
      <c r="AE13" s="11" t="n"/>
    </row>
    <row r="14">
      <c r="B14" s="1" t="inlineStr">
        <is>
          <t>1b. 종가</t>
        </is>
      </c>
      <c r="F14" s="9" t="n"/>
      <c r="K14" s="9" t="n"/>
      <c r="P14" s="9" t="n"/>
      <c r="R14" s="5" t="n"/>
      <c r="S14" s="10" t="n"/>
      <c r="T14" s="10" t="n"/>
      <c r="U14" s="11" t="n"/>
      <c r="V14" s="10" t="n"/>
      <c r="W14" s="10" t="n"/>
      <c r="X14" s="10" t="n"/>
      <c r="Y14" s="10" t="n"/>
      <c r="Z14" s="11" t="n"/>
      <c r="AA14" s="10" t="n"/>
      <c r="AB14" s="10" t="n"/>
      <c r="AC14" s="10" t="n"/>
      <c r="AD14" s="10" t="n"/>
      <c r="AE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9280</v>
      </c>
      <c r="F15" s="9" t="n"/>
      <c r="G15" s="18" t="n">
        <v>6590</v>
      </c>
      <c r="H15" s="18" t="n">
        <v>11330</v>
      </c>
      <c r="I15" s="18" t="n">
        <v>11160</v>
      </c>
      <c r="J15" s="18" t="n">
        <v>6180</v>
      </c>
      <c r="K15" s="9" t="n"/>
      <c r="L15" s="18" t="n">
        <v>6510</v>
      </c>
      <c r="M15" s="18" t="n">
        <v>6960</v>
      </c>
      <c r="N15" s="18" t="n">
        <v>10970</v>
      </c>
      <c r="O15" s="18" t="n">
        <v>8540</v>
      </c>
      <c r="P15" s="9" t="n"/>
      <c r="Q15" s="18" t="n">
        <v>13850</v>
      </c>
      <c r="R15" s="19" t="n">
        <v>14380</v>
      </c>
      <c r="S15" s="20" t="n">
        <v>13730</v>
      </c>
      <c r="T15" s="20" t="n">
        <v>15930</v>
      </c>
      <c r="U15" s="11" t="n"/>
      <c r="V15" s="10" t="n"/>
      <c r="W15" s="10" t="n"/>
      <c r="X15" s="10" t="n"/>
      <c r="Y15" s="10" t="n"/>
      <c r="Z15" s="11" t="n"/>
      <c r="AA15" s="10" t="n"/>
      <c r="AB15" s="10" t="n"/>
      <c r="AC15" s="10" t="n"/>
      <c r="AD15" s="10" t="n"/>
      <c r="AE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20650</v>
      </c>
      <c r="F16" s="9" t="n"/>
      <c r="G16" s="18" t="n">
        <v>10180</v>
      </c>
      <c r="H16" s="18" t="n">
        <v>14600</v>
      </c>
      <c r="I16" s="18" t="n">
        <v>15750</v>
      </c>
      <c r="J16" s="18" t="n">
        <v>11950</v>
      </c>
      <c r="K16" s="9" t="n"/>
      <c r="L16" s="18" t="n">
        <v>9690</v>
      </c>
      <c r="M16" s="18" t="n">
        <v>7720</v>
      </c>
      <c r="N16" s="18" t="n">
        <v>12540</v>
      </c>
      <c r="O16" s="18" t="n">
        <v>12350</v>
      </c>
      <c r="P16" s="9" t="n"/>
      <c r="Q16" s="18" t="n">
        <v>17930</v>
      </c>
      <c r="R16" s="19" t="n">
        <v>37300</v>
      </c>
      <c r="S16" s="20" t="n">
        <v>15830</v>
      </c>
      <c r="T16" s="20" t="n">
        <v>16200</v>
      </c>
      <c r="U16" s="11" t="n"/>
      <c r="V16" s="10" t="n"/>
      <c r="W16" s="10" t="n"/>
      <c r="X16" s="10" t="n"/>
      <c r="Y16" s="10" t="n"/>
      <c r="Z16" s="11" t="n"/>
      <c r="AA16" s="10" t="n"/>
      <c r="AB16" s="10" t="n"/>
      <c r="AC16" s="10" t="n"/>
      <c r="AD16" s="10" t="n"/>
      <c r="AE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8980</v>
      </c>
      <c r="F17" s="9" t="n"/>
      <c r="G17" s="18" t="n">
        <v>6380</v>
      </c>
      <c r="H17" s="18" t="n">
        <v>5410</v>
      </c>
      <c r="I17" s="18" t="n">
        <v>9180</v>
      </c>
      <c r="J17" s="18" t="n">
        <v>5800</v>
      </c>
      <c r="K17" s="9" t="n"/>
      <c r="L17" s="18" t="n">
        <v>6070</v>
      </c>
      <c r="M17" s="18" t="n">
        <v>5910</v>
      </c>
      <c r="N17" s="18" t="n">
        <v>6550</v>
      </c>
      <c r="O17" s="18" t="n">
        <v>8380</v>
      </c>
      <c r="P17" s="9" t="n"/>
      <c r="Q17" s="18" t="n">
        <v>7840</v>
      </c>
      <c r="R17" s="19" t="n">
        <v>11360</v>
      </c>
      <c r="S17" s="20" t="n">
        <v>8610</v>
      </c>
      <c r="T17" s="20" t="n">
        <v>12160</v>
      </c>
      <c r="U17" s="11" t="n"/>
      <c r="V17" s="10" t="n"/>
      <c r="W17" s="10" t="n"/>
      <c r="X17" s="10" t="n"/>
      <c r="Y17" s="10" t="n"/>
      <c r="Z17" s="11" t="n"/>
      <c r="AA17" s="10" t="n"/>
      <c r="AB17" s="10" t="n"/>
      <c r="AC17" s="10" t="n"/>
      <c r="AD17" s="10" t="n"/>
      <c r="AE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10898.3</v>
      </c>
      <c r="F18" s="9" t="n"/>
      <c r="G18" s="18" t="n">
        <v>7657.9</v>
      </c>
      <c r="H18" s="18" t="n">
        <v>8953</v>
      </c>
      <c r="I18" s="18" t="n">
        <v>11694.8</v>
      </c>
      <c r="J18" s="18" t="n">
        <v>8496.9</v>
      </c>
      <c r="K18" s="9" t="n"/>
      <c r="L18" s="18" t="n">
        <v>7438.6</v>
      </c>
      <c r="M18" s="18" t="n">
        <v>6972.3</v>
      </c>
      <c r="N18" s="18" t="n">
        <v>8095.5</v>
      </c>
      <c r="O18" s="18" t="n">
        <v>9682.5</v>
      </c>
      <c r="P18" s="9" t="n"/>
      <c r="Q18" s="18" t="n">
        <v>11260</v>
      </c>
      <c r="R18" s="19" t="n">
        <v>19949.2</v>
      </c>
      <c r="S18" s="20" t="n">
        <v>11494.2</v>
      </c>
      <c r="T18" s="20" t="n">
        <v>14152.5</v>
      </c>
      <c r="U18" s="11" t="n"/>
      <c r="V18" s="10" t="n"/>
      <c r="W18" s="10" t="n"/>
      <c r="X18" s="10" t="n"/>
      <c r="Y18" s="10" t="n"/>
      <c r="Z18" s="11" t="n"/>
      <c r="AA18" s="10" t="n"/>
      <c r="AB18" s="10" t="n"/>
      <c r="AC18" s="10" t="n"/>
      <c r="AD18" s="10" t="n"/>
      <c r="AE18" s="11" t="n"/>
    </row>
    <row r="19">
      <c r="F19" s="9" t="n"/>
      <c r="K19" s="9" t="n"/>
      <c r="P19" s="9" t="n"/>
      <c r="R19" s="5" t="n"/>
      <c r="S19" s="10" t="n"/>
      <c r="T19" s="10" t="n"/>
      <c r="U19" s="11" t="n"/>
      <c r="V19" s="10" t="n"/>
      <c r="W19" s="10" t="n"/>
      <c r="X19" s="10" t="n"/>
      <c r="Y19" s="10" t="n"/>
      <c r="Z19" s="11" t="n"/>
      <c r="AA19" s="10" t="n"/>
      <c r="AB19" s="10" t="n"/>
      <c r="AC19" s="10" t="n"/>
      <c r="AD19" s="10" t="n"/>
      <c r="AE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R20" s="5" t="n"/>
      <c r="S20" s="10" t="n"/>
      <c r="T20" s="10" t="n"/>
      <c r="U20" s="11" t="n"/>
      <c r="V20" s="10" t="n"/>
      <c r="W20" s="10" t="n"/>
      <c r="X20" s="10" t="n"/>
      <c r="Y20" s="10" t="n"/>
      <c r="Z20" s="11" t="n"/>
      <c r="AA20" s="10" t="n"/>
      <c r="AB20" s="10" t="n"/>
      <c r="AC20" s="10" t="n"/>
      <c r="AD20" s="10" t="n"/>
      <c r="AE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3">
        <f>IFERROR(subQ!R5/subQ!M5-1,"")</f>
        <v/>
      </c>
      <c r="S21" s="24" t="n">
        <v>0.500011114</v>
      </c>
      <c r="T21" s="24" t="n">
        <v>0.499980446</v>
      </c>
      <c r="U21" s="25" t="n"/>
      <c r="V21" s="24" t="n">
        <v>0.500004915</v>
      </c>
      <c r="W21" s="24" t="n">
        <v>0.499990273</v>
      </c>
      <c r="X21" s="24" t="n">
        <v>0.249979419</v>
      </c>
      <c r="Y21" s="24" t="n">
        <v>0.250009053</v>
      </c>
      <c r="Z21" s="25" t="n"/>
      <c r="AA21" s="24" t="n">
        <v>0.25</v>
      </c>
      <c r="AB21" s="24" t="n">
        <v>0.250007049</v>
      </c>
      <c r="AC21" s="24" t="n">
        <v>0.125004116</v>
      </c>
      <c r="AD21" s="24" t="n">
        <v>0.125003621</v>
      </c>
      <c r="AE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3">
        <f>IFERROR(subQ!R8/subQ!R5,"")</f>
        <v/>
      </c>
      <c r="S22" s="26">
        <f>$D$52</f>
        <v/>
      </c>
      <c r="T22" s="26">
        <f>$D$52</f>
        <v/>
      </c>
      <c r="U22" s="25">
        <f>IFERROR(subQ!U8/subQ!U5,"")</f>
        <v/>
      </c>
      <c r="V22" s="26">
        <f>$D$52</f>
        <v/>
      </c>
      <c r="W22" s="26">
        <f>$D$52</f>
        <v/>
      </c>
      <c r="X22" s="26">
        <f>$D$52</f>
        <v/>
      </c>
      <c r="Y22" s="26">
        <f>$D$52</f>
        <v/>
      </c>
      <c r="Z22" s="25">
        <f>IFERROR(subQ!Z8/subQ!Z5,"")</f>
        <v/>
      </c>
      <c r="AA22" s="26">
        <f>$D$52</f>
        <v/>
      </c>
      <c r="AB22" s="26">
        <f>$D$52</f>
        <v/>
      </c>
      <c r="AC22" s="26">
        <f>$D$52</f>
        <v/>
      </c>
      <c r="AD22" s="26">
        <f>$D$52</f>
        <v/>
      </c>
      <c r="AE22" s="25">
        <f>IFERROR(subQ!AE8/subQ!AE5,"")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3">
        <f>IFERROR(subQ!R9/subQ!R5,"")</f>
        <v/>
      </c>
      <c r="S23" s="24" t="n">
        <v>0.156705359</v>
      </c>
      <c r="T23" s="24" t="n">
        <v>0.156690205</v>
      </c>
      <c r="U23" s="25">
        <f>IFERROR(subQ!U9/subQ!U5,"")</f>
        <v/>
      </c>
      <c r="V23" s="24" t="n">
        <v>0.156678184</v>
      </c>
      <c r="W23" s="24" t="n">
        <v>0.156680858</v>
      </c>
      <c r="X23" s="24" t="n">
        <v>0.156683242</v>
      </c>
      <c r="Y23" s="24" t="n">
        <v>0.156696312</v>
      </c>
      <c r="Z23" s="25">
        <f>IFERROR(subQ!Z9/subQ!Z5,"")</f>
        <v/>
      </c>
      <c r="AA23" s="24" t="n">
        <v>0.156702014</v>
      </c>
      <c r="AB23" s="24" t="n">
        <v>0.156696892</v>
      </c>
      <c r="AC23" s="24" t="n">
        <v>0.156689986</v>
      </c>
      <c r="AD23" s="24" t="n">
        <v>0.156692589</v>
      </c>
      <c r="AE23" s="25">
        <f>IFERROR(subQ!AE9/subQ!AE5,"")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9">
        <f>subQ!R13</f>
        <v/>
      </c>
      <c r="S24" s="30" t="n">
        <v>0</v>
      </c>
      <c r="T24" s="30" t="n">
        <v>0</v>
      </c>
      <c r="U24" s="31">
        <f>subQ!U13</f>
        <v/>
      </c>
      <c r="V24" s="30" t="n">
        <v>0</v>
      </c>
      <c r="W24" s="30" t="n">
        <v>0</v>
      </c>
      <c r="X24" s="30" t="n">
        <v>0</v>
      </c>
      <c r="Y24" s="30" t="n">
        <v>0</v>
      </c>
      <c r="Z24" s="31">
        <f>subQ!Z13</f>
        <v/>
      </c>
      <c r="AA24" s="30" t="n">
        <v>0</v>
      </c>
      <c r="AB24" s="30" t="n">
        <v>0</v>
      </c>
      <c r="AC24" s="30" t="n">
        <v>0</v>
      </c>
      <c r="AD24" s="30" t="n">
        <v>0</v>
      </c>
      <c r="AE24" s="31">
        <f>subQ!AE13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9">
        <f>subQ!R14</f>
        <v/>
      </c>
      <c r="S25" s="30" t="n">
        <v>0</v>
      </c>
      <c r="T25" s="30" t="n">
        <v>0</v>
      </c>
      <c r="U25" s="31">
        <f>subQ!U14</f>
        <v/>
      </c>
      <c r="V25" s="30" t="n">
        <v>0</v>
      </c>
      <c r="W25" s="30" t="n">
        <v>0</v>
      </c>
      <c r="X25" s="30" t="n">
        <v>0</v>
      </c>
      <c r="Y25" s="30" t="n">
        <v>0</v>
      </c>
      <c r="Z25" s="31">
        <f>subQ!Z14</f>
        <v/>
      </c>
      <c r="AA25" s="30" t="n">
        <v>0</v>
      </c>
      <c r="AB25" s="30" t="n">
        <v>0</v>
      </c>
      <c r="AC25" s="30" t="n">
        <v>0</v>
      </c>
      <c r="AD25" s="30" t="n">
        <v>0</v>
      </c>
      <c r="AE25" s="31">
        <f>subQ!AE14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9">
        <f>subQ!R15</f>
        <v/>
      </c>
      <c r="S26" s="30" t="n">
        <v>0</v>
      </c>
      <c r="T26" s="30" t="n">
        <v>0</v>
      </c>
      <c r="U26" s="31">
        <f>subQ!U15</f>
        <v/>
      </c>
      <c r="V26" s="30" t="n">
        <v>0</v>
      </c>
      <c r="W26" s="30" t="n">
        <v>0</v>
      </c>
      <c r="X26" s="30" t="n">
        <v>0</v>
      </c>
      <c r="Y26" s="30" t="n">
        <v>0</v>
      </c>
      <c r="Z26" s="31">
        <f>subQ!Z15</f>
        <v/>
      </c>
      <c r="AA26" s="30" t="n">
        <v>0</v>
      </c>
      <c r="AB26" s="30" t="n">
        <v>0</v>
      </c>
      <c r="AC26" s="30" t="n">
        <v>0</v>
      </c>
      <c r="AD26" s="30" t="n">
        <v>0</v>
      </c>
      <c r="AE26" s="31">
        <f>subQ!AE15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9">
        <f>subQ!R16</f>
        <v/>
      </c>
      <c r="S27" s="30" t="n">
        <v>0</v>
      </c>
      <c r="T27" s="30" t="n">
        <v>0</v>
      </c>
      <c r="U27" s="31">
        <f>subQ!U16</f>
        <v/>
      </c>
      <c r="V27" s="30" t="n">
        <v>0</v>
      </c>
      <c r="W27" s="30" t="n">
        <v>0</v>
      </c>
      <c r="X27" s="30" t="n">
        <v>0</v>
      </c>
      <c r="Y27" s="30" t="n">
        <v>0</v>
      </c>
      <c r="Z27" s="31">
        <f>subQ!Z16</f>
        <v/>
      </c>
      <c r="AA27" s="30" t="n">
        <v>0</v>
      </c>
      <c r="AB27" s="30" t="n">
        <v>0</v>
      </c>
      <c r="AC27" s="30" t="n">
        <v>0</v>
      </c>
      <c r="AD27" s="30" t="n">
        <v>0</v>
      </c>
      <c r="AE27" s="31">
        <f>subQ!AE16</f>
        <v/>
      </c>
    </row>
    <row r="28">
      <c r="A28" s="12" t="inlineStr">
        <is>
          <t>drv:법인세비용</t>
        </is>
      </c>
      <c r="B28" s="2" t="inlineStr">
        <is>
          <t>tax</t>
        </is>
      </c>
      <c r="C28" t="inlineStr">
        <is>
          <t>법인세율(/세전) — 법인세 = MAX(세전,0) × 세율</t>
        </is>
      </c>
      <c r="E28" s="21">
        <f>IFERROR(subQ!E18/subQ!E17,"")</f>
        <v/>
      </c>
      <c r="F28" s="22">
        <f>IFERROR(subQ!F18/subQ!F17,"")</f>
        <v/>
      </c>
      <c r="G28" s="21">
        <f>IFERROR(subQ!G18/subQ!G17,"")</f>
        <v/>
      </c>
      <c r="H28" s="21">
        <f>IFERROR(subQ!H18/subQ!H17,"")</f>
        <v/>
      </c>
      <c r="I28" s="21">
        <f>IFERROR(subQ!I18/subQ!I17,"")</f>
        <v/>
      </c>
      <c r="J28" s="21">
        <f>IFERROR(subQ!J18/subQ!J17,"")</f>
        <v/>
      </c>
      <c r="K28" s="22">
        <f>IFERROR(subQ!K18/subQ!K17,"")</f>
        <v/>
      </c>
      <c r="L28" s="21">
        <f>IFERROR(subQ!L18/subQ!L17,"")</f>
        <v/>
      </c>
      <c r="M28" s="21">
        <f>IFERROR(subQ!M18/subQ!M17,"")</f>
        <v/>
      </c>
      <c r="N28" s="21">
        <f>IFERROR(subQ!N18/subQ!N17,"")</f>
        <v/>
      </c>
      <c r="O28" s="21">
        <f>IFERROR(subQ!O18/subQ!O17,"")</f>
        <v/>
      </c>
      <c r="P28" s="22">
        <f>IFERROR(subQ!P18/subQ!P17,"")</f>
        <v/>
      </c>
      <c r="Q28" s="21">
        <f>IFERROR(subQ!Q18/subQ!Q17,"")</f>
        <v/>
      </c>
      <c r="R28" s="23">
        <f>IFERROR(subQ!R18/subQ!R17,"")</f>
        <v/>
      </c>
      <c r="S28" s="26">
        <f>$D$51</f>
        <v/>
      </c>
      <c r="T28" s="26">
        <f>$D$51</f>
        <v/>
      </c>
      <c r="U28" s="25">
        <f>IFERROR(subQ!U18/subQ!U17,"")</f>
        <v/>
      </c>
      <c r="V28" s="26">
        <f>$D$51</f>
        <v/>
      </c>
      <c r="W28" s="26">
        <f>$D$51</f>
        <v/>
      </c>
      <c r="X28" s="26">
        <f>$D$51</f>
        <v/>
      </c>
      <c r="Y28" s="26">
        <f>$D$51</f>
        <v/>
      </c>
      <c r="Z28" s="25">
        <f>IFERROR(subQ!Z18/subQ!Z17,"")</f>
        <v/>
      </c>
      <c r="AA28" s="26">
        <f>$D$51</f>
        <v/>
      </c>
      <c r="AB28" s="26">
        <f>$D$51</f>
        <v/>
      </c>
      <c r="AC28" s="26">
        <f>$D$51</f>
        <v/>
      </c>
      <c r="AD28" s="26">
        <f>$D$51</f>
        <v/>
      </c>
      <c r="AE28" s="25">
        <f>IFERROR(subQ!AE18/subQ!AE17,"")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2">
        <f>IFERROR(subQ!F20/subQ!F19,"")</f>
        <v/>
      </c>
      <c r="G29" s="21">
        <f>IFERROR(subQ!G20/subQ!G19,"")</f>
        <v/>
      </c>
      <c r="H29" s="21">
        <f>IFERROR(subQ!H20/subQ!H19,"")</f>
        <v/>
      </c>
      <c r="I29" s="21">
        <f>IFERROR(subQ!I20/subQ!I19,"")</f>
        <v/>
      </c>
      <c r="J29" s="21">
        <f>IFERROR(subQ!J20/subQ!J19,"")</f>
        <v/>
      </c>
      <c r="K29" s="22">
        <f>IFERROR(subQ!K20/subQ!K19,"")</f>
        <v/>
      </c>
      <c r="L29" s="21">
        <f>IFERROR(subQ!L20/subQ!L19,"")</f>
        <v/>
      </c>
      <c r="M29" s="21">
        <f>IFERROR(subQ!M20/subQ!M19,"")</f>
        <v/>
      </c>
      <c r="N29" s="21">
        <f>IFERROR(subQ!N20/subQ!N19,"")</f>
        <v/>
      </c>
      <c r="O29" s="21">
        <f>IFERROR(subQ!O20/subQ!O19,"")</f>
        <v/>
      </c>
      <c r="P29" s="22">
        <f>IFERROR(subQ!P20/subQ!P19,"")</f>
        <v/>
      </c>
      <c r="Q29" s="21">
        <f>IFERROR(subQ!Q20/subQ!Q19,"")</f>
        <v/>
      </c>
      <c r="R29" s="23">
        <f>IFERROR(subQ!R20/subQ!R19,"")</f>
        <v/>
      </c>
      <c r="S29" s="26">
        <f>$D$53</f>
        <v/>
      </c>
      <c r="T29" s="26">
        <f>$D$53</f>
        <v/>
      </c>
      <c r="U29" s="25">
        <f>IFERROR(subQ!U20/subQ!U19,"")</f>
        <v/>
      </c>
      <c r="V29" s="26">
        <f>$D$53</f>
        <v/>
      </c>
      <c r="W29" s="26">
        <f>$D$53</f>
        <v/>
      </c>
      <c r="X29" s="26">
        <f>$D$53</f>
        <v/>
      </c>
      <c r="Y29" s="26">
        <f>$D$53</f>
        <v/>
      </c>
      <c r="Z29" s="25">
        <f>IFERROR(subQ!Z20/subQ!Z19,"")</f>
        <v/>
      </c>
      <c r="AA29" s="26">
        <f>$D$53</f>
        <v/>
      </c>
      <c r="AB29" s="26">
        <f>$D$53</f>
        <v/>
      </c>
      <c r="AC29" s="26">
        <f>$D$53</f>
        <v/>
      </c>
      <c r="AD29" s="26">
        <f>$D$53</f>
        <v/>
      </c>
      <c r="AE29" s="25">
        <f>IFERROR(subQ!AE20/subQ!AE19,"")</f>
        <v/>
      </c>
    </row>
    <row r="30">
      <c r="A30" s="12" t="inlineStr">
        <is>
          <t>drv:감가상각비</t>
        </is>
      </c>
      <c r="B30" s="2" t="inlineStr">
        <is>
          <t>abs</t>
        </is>
      </c>
      <c r="C30" t="inlineStr">
        <is>
          <t>감가상각비 (가정, 억원)</t>
        </is>
      </c>
      <c r="E30" s="27">
        <f>subQ!E21</f>
        <v/>
      </c>
      <c r="F30" s="28">
        <f>subQ!F21</f>
        <v/>
      </c>
      <c r="G30" s="27">
        <f>subQ!G21</f>
        <v/>
      </c>
      <c r="H30" s="27">
        <f>subQ!H21</f>
        <v/>
      </c>
      <c r="I30" s="27">
        <f>subQ!I21</f>
        <v/>
      </c>
      <c r="J30" s="27">
        <f>subQ!J21</f>
        <v/>
      </c>
      <c r="K30" s="28">
        <f>subQ!K21</f>
        <v/>
      </c>
      <c r="L30" s="27">
        <f>subQ!L21</f>
        <v/>
      </c>
      <c r="M30" s="27">
        <f>subQ!M21</f>
        <v/>
      </c>
      <c r="N30" s="27">
        <f>subQ!N21</f>
        <v/>
      </c>
      <c r="O30" s="27">
        <f>subQ!O21</f>
        <v/>
      </c>
      <c r="P30" s="28">
        <f>subQ!P21</f>
        <v/>
      </c>
      <c r="Q30" s="27">
        <f>subQ!Q21</f>
        <v/>
      </c>
      <c r="R30" s="29">
        <f>subQ!R21</f>
        <v/>
      </c>
      <c r="S30" s="30" t="n">
        <v>5.44</v>
      </c>
      <c r="T30" s="30" t="n">
        <v>5.44</v>
      </c>
      <c r="U30" s="31">
        <f>subQ!U21</f>
        <v/>
      </c>
      <c r="V30" s="30" t="n">
        <v>5.44</v>
      </c>
      <c r="W30" s="30" t="n">
        <v>5.44</v>
      </c>
      <c r="X30" s="30" t="n">
        <v>5.44</v>
      </c>
      <c r="Y30" s="30" t="n">
        <v>5.44</v>
      </c>
      <c r="Z30" s="31">
        <f>subQ!Z21</f>
        <v/>
      </c>
      <c r="AA30" s="30" t="n">
        <v>5.44</v>
      </c>
      <c r="AB30" s="30" t="n">
        <v>5.44</v>
      </c>
      <c r="AC30" s="30" t="n">
        <v>5.44</v>
      </c>
      <c r="AD30" s="30" t="n">
        <v>5.44</v>
      </c>
      <c r="AE30" s="31">
        <f>subQ!AE21</f>
        <v/>
      </c>
    </row>
    <row r="31">
      <c r="A31" s="12" t="inlineStr">
        <is>
          <t>drv:부채총계</t>
        </is>
      </c>
      <c r="B31" s="2" t="inlineStr">
        <is>
          <t>qoq</t>
        </is>
      </c>
      <c r="C31" t="inlineStr">
        <is>
          <t>부채총계 QoQ</t>
        </is>
      </c>
      <c r="E31" s="21" t="n"/>
      <c r="F31" s="22" t="n"/>
      <c r="G31" s="21">
        <f>IFERROR(subQ!G24/subQ!E24-1,"")</f>
        <v/>
      </c>
      <c r="H31" s="21">
        <f>IFERROR(subQ!H24/subQ!G24-1,"")</f>
        <v/>
      </c>
      <c r="I31" s="21">
        <f>IFERROR(subQ!I24/subQ!H24-1,"")</f>
        <v/>
      </c>
      <c r="J31" s="21">
        <f>IFERROR(subQ!J24/subQ!I24-1,"")</f>
        <v/>
      </c>
      <c r="K31" s="22" t="n"/>
      <c r="L31" s="21">
        <f>IFERROR(subQ!L24/subQ!J24-1,"")</f>
        <v/>
      </c>
      <c r="M31" s="21">
        <f>IFERROR(subQ!M24/subQ!L24-1,"")</f>
        <v/>
      </c>
      <c r="N31" s="21">
        <f>IFERROR(subQ!N24/subQ!M24-1,"")</f>
        <v/>
      </c>
      <c r="O31" s="21">
        <f>IFERROR(subQ!O24/subQ!N24-1,"")</f>
        <v/>
      </c>
      <c r="P31" s="22" t="n"/>
      <c r="Q31" s="21">
        <f>IFERROR(subQ!Q24/subQ!O24-1,"")</f>
        <v/>
      </c>
      <c r="R31" s="23">
        <f>IFERROR(subQ!R24/subQ!Q24-1,"")</f>
        <v/>
      </c>
      <c r="S31" s="24" t="n">
        <v>2.152e-06</v>
      </c>
      <c r="T31" s="24" t="n">
        <v>0</v>
      </c>
      <c r="U31" s="25" t="n"/>
      <c r="V31" s="24" t="n">
        <v>0</v>
      </c>
      <c r="W31" s="24" t="n">
        <v>0</v>
      </c>
      <c r="X31" s="24" t="n">
        <v>0</v>
      </c>
      <c r="Y31" s="24" t="n">
        <v>0</v>
      </c>
      <c r="Z31" s="25" t="n"/>
      <c r="AA31" s="24" t="n">
        <v>0</v>
      </c>
      <c r="AB31" s="24" t="n">
        <v>0</v>
      </c>
      <c r="AC31" s="24" t="n">
        <v>0</v>
      </c>
      <c r="AD31" s="24" t="n">
        <v>0</v>
      </c>
      <c r="AE31" s="25" t="n"/>
    </row>
    <row r="32">
      <c r="A32" s="12" t="inlineStr">
        <is>
          <t>drv:자본총계</t>
        </is>
      </c>
      <c r="B32" s="2" t="inlineStr">
        <is>
          <t>roll</t>
        </is>
      </c>
      <c r="C32" t="inlineStr">
        <is>
          <t>자본총계 기타변동(배당 등, 억원)</t>
        </is>
      </c>
      <c r="E32" s="27" t="n"/>
      <c r="F32" s="28" t="n"/>
      <c r="G32" s="27">
        <f>IFERROR(subQ!E25+subQ!G19-subQ!G25,"")</f>
        <v/>
      </c>
      <c r="H32" s="27">
        <f>IFERROR(subQ!G25+subQ!H19-subQ!H25,"")</f>
        <v/>
      </c>
      <c r="I32" s="27">
        <f>IFERROR(subQ!H25+subQ!I19-subQ!I25,"")</f>
        <v/>
      </c>
      <c r="J32" s="27">
        <f>IFERROR(subQ!I25+subQ!J19-subQ!J25,"")</f>
        <v/>
      </c>
      <c r="K32" s="28" t="n"/>
      <c r="L32" s="27">
        <f>IFERROR(subQ!J25+subQ!L19-subQ!L25,"")</f>
        <v/>
      </c>
      <c r="M32" s="27">
        <f>IFERROR(subQ!L25+subQ!M19-subQ!M25,"")</f>
        <v/>
      </c>
      <c r="N32" s="27">
        <f>IFERROR(subQ!M25+subQ!N19-subQ!N25,"")</f>
        <v/>
      </c>
      <c r="O32" s="27">
        <f>IFERROR(subQ!N25+subQ!O19-subQ!O25,"")</f>
        <v/>
      </c>
      <c r="P32" s="28" t="n"/>
      <c r="Q32" s="27">
        <f>IFERROR(subQ!O25+subQ!Q19-subQ!Q25,"")</f>
        <v/>
      </c>
      <c r="R32" s="29">
        <f>IFERROR(subQ!Q25+subQ!R19-subQ!R25,"")</f>
        <v/>
      </c>
      <c r="S32" s="30" t="n">
        <v>0.008280558</v>
      </c>
      <c r="T32" s="30" t="n">
        <v>-0.003454362</v>
      </c>
      <c r="U32" s="31" t="n"/>
      <c r="V32" s="30" t="n">
        <v>-0.005257215</v>
      </c>
      <c r="W32" s="30" t="n">
        <v>0.000856008</v>
      </c>
      <c r="X32" s="30" t="n">
        <v>-0.006339444</v>
      </c>
      <c r="Y32" s="30" t="n">
        <v>0.002822079</v>
      </c>
      <c r="Z32" s="31" t="n"/>
      <c r="AA32" s="30" t="n">
        <v>0.00471339</v>
      </c>
      <c r="AB32" s="30" t="n">
        <v>-0.002390202</v>
      </c>
      <c r="AC32" s="30" t="n">
        <v>-0.000648051</v>
      </c>
      <c r="AD32" s="30" t="n">
        <v>-0.005174799</v>
      </c>
      <c r="AE32" s="31" t="n"/>
    </row>
    <row r="33">
      <c r="A33" s="12" t="inlineStr">
        <is>
          <t>drv:지배주주지분</t>
        </is>
      </c>
      <c r="B33" s="2" t="inlineStr">
        <is>
          <t>roll</t>
        </is>
      </c>
      <c r="C33" t="inlineStr">
        <is>
          <t>지배주주지분 기타변동(배당 등, 억원)</t>
        </is>
      </c>
      <c r="E33" s="27" t="n"/>
      <c r="F33" s="28" t="n"/>
      <c r="G33" s="27">
        <f>IFERROR(subQ!E26+subQ!G20-subQ!G26,"")</f>
        <v/>
      </c>
      <c r="H33" s="27">
        <f>IFERROR(subQ!G26+subQ!H20-subQ!H26,"")</f>
        <v/>
      </c>
      <c r="I33" s="27">
        <f>IFERROR(subQ!H26+subQ!I20-subQ!I26,"")</f>
        <v/>
      </c>
      <c r="J33" s="27">
        <f>IFERROR(subQ!I26+subQ!J20-subQ!J26,"")</f>
        <v/>
      </c>
      <c r="K33" s="28" t="n"/>
      <c r="L33" s="27">
        <f>IFERROR(subQ!J26+subQ!L20-subQ!L26,"")</f>
        <v/>
      </c>
      <c r="M33" s="27">
        <f>IFERROR(subQ!L26+subQ!M20-subQ!M26,"")</f>
        <v/>
      </c>
      <c r="N33" s="27">
        <f>IFERROR(subQ!M26+subQ!N20-subQ!N26,"")</f>
        <v/>
      </c>
      <c r="O33" s="27">
        <f>IFERROR(subQ!N26+subQ!O20-subQ!O26,"")</f>
        <v/>
      </c>
      <c r="P33" s="28" t="n"/>
      <c r="Q33" s="27">
        <f>IFERROR(subQ!O26+subQ!Q20-subQ!Q26,"")</f>
        <v/>
      </c>
      <c r="R33" s="29">
        <f>IFERROR(subQ!Q26+subQ!R20-subQ!R26,"")</f>
        <v/>
      </c>
      <c r="S33" s="30" t="n">
        <v>0.008280558</v>
      </c>
      <c r="T33" s="30" t="n">
        <v>-0.003454362</v>
      </c>
      <c r="U33" s="31" t="n"/>
      <c r="V33" s="30" t="n">
        <v>-0.005257215</v>
      </c>
      <c r="W33" s="30" t="n">
        <v>0.000856008</v>
      </c>
      <c r="X33" s="30" t="n">
        <v>-0.006339444</v>
      </c>
      <c r="Y33" s="30" t="n">
        <v>0.002822079</v>
      </c>
      <c r="Z33" s="31" t="n"/>
      <c r="AA33" s="30" t="n">
        <v>0.00471339</v>
      </c>
      <c r="AB33" s="30" t="n">
        <v>-0.002390202</v>
      </c>
      <c r="AC33" s="30" t="n">
        <v>-0.000648051</v>
      </c>
      <c r="AD33" s="30" t="n">
        <v>-0.005174799</v>
      </c>
      <c r="AE33" s="31" t="n"/>
    </row>
    <row r="34">
      <c r="A34" s="12" t="inlineStr">
        <is>
          <t>drv:총차입금</t>
        </is>
      </c>
      <c r="B34" s="2" t="inlineStr">
        <is>
          <t>qoq</t>
        </is>
      </c>
      <c r="C34" t="inlineStr">
        <is>
          <t>총차입금 QoQ</t>
        </is>
      </c>
      <c r="E34" s="21" t="n"/>
      <c r="F34" s="22" t="n"/>
      <c r="G34" s="21">
        <f>IFERROR(subQ!G27/subQ!E27-1,"")</f>
        <v/>
      </c>
      <c r="H34" s="21">
        <f>IFERROR(subQ!H27/subQ!G27-1,"")</f>
        <v/>
      </c>
      <c r="I34" s="21">
        <f>IFERROR(subQ!I27/subQ!H27-1,"")</f>
        <v/>
      </c>
      <c r="J34" s="21">
        <f>IFERROR(subQ!J27/subQ!I27-1,"")</f>
        <v/>
      </c>
      <c r="K34" s="22" t="n"/>
      <c r="L34" s="21">
        <f>IFERROR(subQ!L27/subQ!J27-1,"")</f>
        <v/>
      </c>
      <c r="M34" s="21">
        <f>IFERROR(subQ!M27/subQ!L27-1,"")</f>
        <v/>
      </c>
      <c r="N34" s="21">
        <f>IFERROR(subQ!N27/subQ!M27-1,"")</f>
        <v/>
      </c>
      <c r="O34" s="21">
        <f>IFERROR(subQ!O27/subQ!N27-1,"")</f>
        <v/>
      </c>
      <c r="P34" s="22" t="n"/>
      <c r="Q34" s="21">
        <f>IFERROR(subQ!Q27/subQ!O27-1,"")</f>
        <v/>
      </c>
      <c r="R34" s="23">
        <f>IFERROR(subQ!R27/subQ!Q27-1,"")</f>
        <v/>
      </c>
      <c r="S34" s="24" t="n">
        <v>3.14e-06</v>
      </c>
      <c r="T34" s="24" t="n">
        <v>0</v>
      </c>
      <c r="U34" s="25" t="n"/>
      <c r="V34" s="24" t="n">
        <v>0</v>
      </c>
      <c r="W34" s="24" t="n">
        <v>0</v>
      </c>
      <c r="X34" s="24" t="n">
        <v>0</v>
      </c>
      <c r="Y34" s="24" t="n">
        <v>0</v>
      </c>
      <c r="Z34" s="25" t="n"/>
      <c r="AA34" s="24" t="n">
        <v>0</v>
      </c>
      <c r="AB34" s="24" t="n">
        <v>0</v>
      </c>
      <c r="AC34" s="24" t="n">
        <v>0</v>
      </c>
      <c r="AD34" s="24" t="n">
        <v>0</v>
      </c>
      <c r="AE34" s="25" t="n"/>
    </row>
    <row r="35">
      <c r="A35" s="12" t="inlineStr">
        <is>
          <t>drv:순차입금</t>
        </is>
      </c>
      <c r="B35" s="2" t="inlineStr">
        <is>
          <t>qoq</t>
        </is>
      </c>
      <c r="C35" t="inlineStr">
        <is>
          <t>순차입금 QoQ</t>
        </is>
      </c>
      <c r="E35" s="21" t="n"/>
      <c r="F35" s="22" t="n"/>
      <c r="G35" s="21">
        <f>IFERROR(subQ!G28/subQ!E28-1,"")</f>
        <v/>
      </c>
      <c r="H35" s="21">
        <f>IFERROR(subQ!H28/subQ!G28-1,"")</f>
        <v/>
      </c>
      <c r="I35" s="21">
        <f>IFERROR(subQ!I28/subQ!H28-1,"")</f>
        <v/>
      </c>
      <c r="J35" s="21">
        <f>IFERROR(subQ!J28/subQ!I28-1,"")</f>
        <v/>
      </c>
      <c r="K35" s="22" t="n"/>
      <c r="L35" s="21">
        <f>IFERROR(subQ!L28/subQ!J28-1,"")</f>
        <v/>
      </c>
      <c r="M35" s="21">
        <f>IFERROR(subQ!M28/subQ!L28-1,"")</f>
        <v/>
      </c>
      <c r="N35" s="21">
        <f>IFERROR(subQ!N28/subQ!M28-1,"")</f>
        <v/>
      </c>
      <c r="O35" s="21">
        <f>IFERROR(subQ!O28/subQ!N28-1,"")</f>
        <v/>
      </c>
      <c r="P35" s="22" t="n"/>
      <c r="Q35" s="21">
        <f>IFERROR(subQ!Q28/subQ!O28-1,"")</f>
        <v/>
      </c>
      <c r="R35" s="23">
        <f>IFERROR(subQ!R28/subQ!Q28-1,"")</f>
        <v/>
      </c>
      <c r="S35" s="24" t="n">
        <v>0.152109252</v>
      </c>
      <c r="T35" s="24" t="n">
        <v>0.120242258</v>
      </c>
      <c r="U35" s="25" t="n"/>
      <c r="V35" s="24" t="n">
        <v>0.08788201</v>
      </c>
      <c r="W35" s="24" t="n">
        <v>0.075355568</v>
      </c>
      <c r="X35" s="24" t="n">
        <v>0.085138062</v>
      </c>
      <c r="Y35" s="24" t="n">
        <v>0.06787362600000001</v>
      </c>
      <c r="Z35" s="25" t="n"/>
      <c r="AA35" s="24" t="n">
        <v>0.045437859</v>
      </c>
      <c r="AB35" s="24" t="n">
        <v>0.038068028</v>
      </c>
      <c r="AC35" s="24" t="n">
        <v>0.060135925</v>
      </c>
      <c r="AD35" s="24" t="n">
        <v>0.04696361</v>
      </c>
      <c r="AE35" s="25" t="n"/>
    </row>
    <row r="36">
      <c r="A36" s="12" t="inlineStr">
        <is>
          <t>drv:이자발생자산</t>
        </is>
      </c>
      <c r="B36" s="2" t="inlineStr">
        <is>
          <t>qoq</t>
        </is>
      </c>
      <c r="C36" t="inlineStr">
        <is>
          <t>이자발생자산 QoQ</t>
        </is>
      </c>
      <c r="E36" s="21" t="n"/>
      <c r="F36" s="22" t="n"/>
      <c r="G36" s="21">
        <f>IFERROR(subQ!G29/subQ!E29-1,"")</f>
        <v/>
      </c>
      <c r="H36" s="21">
        <f>IFERROR(subQ!H29/subQ!G29-1,"")</f>
        <v/>
      </c>
      <c r="I36" s="21">
        <f>IFERROR(subQ!I29/subQ!H29-1,"")</f>
        <v/>
      </c>
      <c r="J36" s="21">
        <f>IFERROR(subQ!J29/subQ!I29-1,"")</f>
        <v/>
      </c>
      <c r="K36" s="22" t="n"/>
      <c r="L36" s="21">
        <f>IFERROR(subQ!L29/subQ!J29-1,"")</f>
        <v/>
      </c>
      <c r="M36" s="21">
        <f>IFERROR(subQ!M29/subQ!L29-1,"")</f>
        <v/>
      </c>
      <c r="N36" s="21">
        <f>IFERROR(subQ!N29/subQ!M29-1,"")</f>
        <v/>
      </c>
      <c r="O36" s="21">
        <f>IFERROR(subQ!O29/subQ!N29-1,"")</f>
        <v/>
      </c>
      <c r="P36" s="22" t="n"/>
      <c r="Q36" s="21">
        <f>IFERROR(subQ!Q29/subQ!O29-1,"")</f>
        <v/>
      </c>
      <c r="R36" s="23">
        <f>IFERROR(subQ!R29/subQ!Q29-1,"")</f>
        <v/>
      </c>
      <c r="S36" s="24" t="n">
        <v>-0.377487388</v>
      </c>
      <c r="T36" s="24" t="n">
        <v>-0.552257914</v>
      </c>
      <c r="U36" s="25" t="n"/>
      <c r="V36" s="24" t="n">
        <v>-1.009877827</v>
      </c>
      <c r="W36" s="24" t="n">
        <v>95.36842105300001</v>
      </c>
      <c r="X36" s="24" t="n">
        <v>1.202348443</v>
      </c>
      <c r="Y36" s="24" t="n">
        <v>0.472287663</v>
      </c>
      <c r="Z36" s="25" t="n"/>
      <c r="AA36" s="24" t="n">
        <v>0.229324575</v>
      </c>
      <c r="AB36" s="24" t="n">
        <v>0.163389738</v>
      </c>
      <c r="AC36" s="24" t="n">
        <v>0.230302673</v>
      </c>
      <c r="AD36" s="24" t="n">
        <v>0.154980137</v>
      </c>
      <c r="AE36" s="25" t="n"/>
    </row>
    <row r="37">
      <c r="A37" s="12" t="inlineStr">
        <is>
          <t>drv:현금및현금성자산</t>
        </is>
      </c>
      <c r="B37" s="2" t="inlineStr">
        <is>
          <t>qoq</t>
        </is>
      </c>
      <c r="C37" t="inlineStr">
        <is>
          <t>현금및현금성자산 QoQ</t>
        </is>
      </c>
      <c r="E37" s="21" t="n"/>
      <c r="F37" s="22" t="n"/>
      <c r="G37" s="21">
        <f>IFERROR(subQ!G30/subQ!E30-1,"")</f>
        <v/>
      </c>
      <c r="H37" s="21">
        <f>IFERROR(subQ!H30/subQ!G30-1,"")</f>
        <v/>
      </c>
      <c r="I37" s="21">
        <f>IFERROR(subQ!I30/subQ!H30-1,"")</f>
        <v/>
      </c>
      <c r="J37" s="21">
        <f>IFERROR(subQ!J30/subQ!I30-1,"")</f>
        <v/>
      </c>
      <c r="K37" s="22" t="n"/>
      <c r="L37" s="21">
        <f>IFERROR(subQ!L30/subQ!J30-1,"")</f>
        <v/>
      </c>
      <c r="M37" s="21">
        <f>IFERROR(subQ!M30/subQ!L30-1,"")</f>
        <v/>
      </c>
      <c r="N37" s="21">
        <f>IFERROR(subQ!N30/subQ!M30-1,"")</f>
        <v/>
      </c>
      <c r="O37" s="21">
        <f>IFERROR(subQ!O30/subQ!N30-1,"")</f>
        <v/>
      </c>
      <c r="P37" s="22" t="n"/>
      <c r="Q37" s="21">
        <f>IFERROR(subQ!Q30/subQ!O30-1,"")</f>
        <v/>
      </c>
      <c r="R37" s="23">
        <f>IFERROR(subQ!R30/subQ!Q30-1,"")</f>
        <v/>
      </c>
      <c r="S37" s="32" t="n"/>
      <c r="T37" s="32" t="n"/>
      <c r="U37" s="25" t="n"/>
      <c r="V37" s="32" t="n"/>
      <c r="W37" s="32" t="n"/>
      <c r="X37" s="32" t="n"/>
      <c r="Y37" s="32" t="n"/>
      <c r="Z37" s="25" t="n"/>
      <c r="AA37" s="32" t="n"/>
      <c r="AB37" s="32" t="n"/>
      <c r="AC37" s="32" t="n"/>
      <c r="AD37" s="32" t="n"/>
      <c r="AE37" s="25" t="n"/>
    </row>
    <row r="38">
      <c r="A38" s="12" t="inlineStr">
        <is>
          <t>drv:CAPEX</t>
        </is>
      </c>
      <c r="B38" s="2" t="inlineStr">
        <is>
          <t>yoy</t>
        </is>
      </c>
      <c r="C38" t="inlineStr">
        <is>
          <t>CAPEX YoY</t>
        </is>
      </c>
      <c r="E38" s="21" t="n"/>
      <c r="F38" s="22" t="n"/>
      <c r="G38" s="21" t="n"/>
      <c r="H38" s="21" t="n"/>
      <c r="I38" s="21" t="n"/>
      <c r="J38" s="21">
        <f>IFERROR(subQ!J31/subQ!E31-1,"")</f>
        <v/>
      </c>
      <c r="K38" s="22" t="n"/>
      <c r="L38" s="21">
        <f>IFERROR(subQ!L31/subQ!G31-1,"")</f>
        <v/>
      </c>
      <c r="M38" s="21">
        <f>IFERROR(subQ!M31/subQ!H31-1,"")</f>
        <v/>
      </c>
      <c r="N38" s="21">
        <f>IFERROR(subQ!N31/subQ!I31-1,"")</f>
        <v/>
      </c>
      <c r="O38" s="21">
        <f>IFERROR(subQ!O31/subQ!J31-1,"")</f>
        <v/>
      </c>
      <c r="P38" s="22" t="n"/>
      <c r="Q38" s="21">
        <f>IFERROR(subQ!Q31/subQ!L31-1,"")</f>
        <v/>
      </c>
      <c r="R38" s="23">
        <f>IFERROR(subQ!R31/subQ!M31-1,"")</f>
        <v/>
      </c>
      <c r="S38" s="24" t="n">
        <v>0.008530378</v>
      </c>
      <c r="T38" s="24" t="n">
        <v>-0.121264214</v>
      </c>
      <c r="U38" s="25" t="n"/>
      <c r="V38" s="24" t="n">
        <v>-0.008295171</v>
      </c>
      <c r="W38" s="24" t="n">
        <v>0.500317412</v>
      </c>
      <c r="X38" s="24" t="n">
        <v>0</v>
      </c>
      <c r="Y38" s="24" t="n">
        <v>0</v>
      </c>
      <c r="Z38" s="25" t="n"/>
      <c r="AA38" s="24" t="n">
        <v>0</v>
      </c>
      <c r="AB38" s="24" t="n">
        <v>0</v>
      </c>
      <c r="AC38" s="24" t="n">
        <v>0</v>
      </c>
      <c r="AD38" s="24" t="n">
        <v>0</v>
      </c>
      <c r="AE38" s="25" t="n"/>
    </row>
    <row r="39">
      <c r="A39" s="12" t="inlineStr">
        <is>
          <t>drv:영업활동현금흐름</t>
        </is>
      </c>
      <c r="B39" s="2" t="inlineStr">
        <is>
          <t>yoy</t>
        </is>
      </c>
      <c r="C39" t="inlineStr">
        <is>
          <t>영업활동현금흐름 YoY</t>
        </is>
      </c>
      <c r="E39" s="21" t="n"/>
      <c r="F39" s="22" t="n"/>
      <c r="G39" s="21" t="n"/>
      <c r="H39" s="21" t="n"/>
      <c r="I39" s="21" t="n"/>
      <c r="J39" s="21">
        <f>IFERROR(subQ!J32/subQ!E32-1,"")</f>
        <v/>
      </c>
      <c r="K39" s="22" t="n"/>
      <c r="L39" s="21">
        <f>IFERROR(subQ!L32/subQ!G32-1,"")</f>
        <v/>
      </c>
      <c r="M39" s="21">
        <f>IFERROR(subQ!M32/subQ!H32-1,"")</f>
        <v/>
      </c>
      <c r="N39" s="21">
        <f>IFERROR(subQ!N32/subQ!I32-1,"")</f>
        <v/>
      </c>
      <c r="O39" s="21">
        <f>IFERROR(subQ!O32/subQ!J32-1,"")</f>
        <v/>
      </c>
      <c r="P39" s="22" t="n"/>
      <c r="Q39" s="21">
        <f>IFERROR(subQ!Q32/subQ!L32-1,"")</f>
        <v/>
      </c>
      <c r="R39" s="23">
        <f>IFERROR(subQ!R32/subQ!M32-1,"")</f>
        <v/>
      </c>
      <c r="S39" s="32" t="n"/>
      <c r="T39" s="32" t="n"/>
      <c r="U39" s="25" t="n"/>
      <c r="V39" s="32" t="n"/>
      <c r="W39" s="32" t="n"/>
      <c r="X39" s="32" t="n"/>
      <c r="Y39" s="32" t="n"/>
      <c r="Z39" s="25" t="n"/>
      <c r="AA39" s="32" t="n"/>
      <c r="AB39" s="32" t="n"/>
      <c r="AC39" s="32" t="n"/>
      <c r="AD39" s="32" t="n"/>
      <c r="AE39" s="25" t="n"/>
    </row>
    <row r="40">
      <c r="A40" s="12" t="inlineStr">
        <is>
          <t>drv:주식수</t>
        </is>
      </c>
      <c r="B40" s="2" t="inlineStr">
        <is>
          <t>qoq</t>
        </is>
      </c>
      <c r="C40" t="inlineStr">
        <is>
          <t>주식수 QoQ</t>
        </is>
      </c>
      <c r="E40" s="21" t="n"/>
      <c r="F40" s="22" t="n"/>
      <c r="G40" s="21">
        <f>IFERROR(subQ!G33/subQ!E33-1,"")</f>
        <v/>
      </c>
      <c r="H40" s="21">
        <f>IFERROR(subQ!H33/subQ!G33-1,"")</f>
        <v/>
      </c>
      <c r="I40" s="21">
        <f>IFERROR(subQ!I33/subQ!H33-1,"")</f>
        <v/>
      </c>
      <c r="J40" s="21">
        <f>IFERROR(subQ!J33/subQ!I33-1,"")</f>
        <v/>
      </c>
      <c r="K40" s="22" t="n"/>
      <c r="L40" s="21">
        <f>IFERROR(subQ!L33/subQ!J33-1,"")</f>
        <v/>
      </c>
      <c r="M40" s="21">
        <f>IFERROR(subQ!M33/subQ!L33-1,"")</f>
        <v/>
      </c>
      <c r="N40" s="21">
        <f>IFERROR(subQ!N33/subQ!M33-1,"")</f>
        <v/>
      </c>
      <c r="O40" s="21">
        <f>IFERROR(subQ!O33/subQ!N33-1,"")</f>
        <v/>
      </c>
      <c r="P40" s="22" t="n"/>
      <c r="Q40" s="21">
        <f>IFERROR(subQ!Q33/subQ!O33-1,"")</f>
        <v/>
      </c>
      <c r="R40" s="23">
        <f>IFERROR(subQ!R33/subQ!Q33-1,"")</f>
        <v/>
      </c>
      <c r="S40" s="24" t="n">
        <v>0</v>
      </c>
      <c r="T40" s="24" t="n">
        <v>0</v>
      </c>
      <c r="U40" s="25" t="n"/>
      <c r="V40" s="24" t="n">
        <v>0</v>
      </c>
      <c r="W40" s="24" t="n">
        <v>0</v>
      </c>
      <c r="X40" s="24" t="n">
        <v>0</v>
      </c>
      <c r="Y40" s="24" t="n">
        <v>0</v>
      </c>
      <c r="Z40" s="25" t="n"/>
      <c r="AA40" s="24" t="n">
        <v>0</v>
      </c>
      <c r="AB40" s="24" t="n">
        <v>0</v>
      </c>
      <c r="AC40" s="24" t="n">
        <v>0</v>
      </c>
      <c r="AD40" s="24" t="n">
        <v>0</v>
      </c>
      <c r="AE40" s="25" t="n"/>
    </row>
    <row r="41">
      <c r="A41" s="12" t="inlineStr">
        <is>
          <t>drv:DPS</t>
        </is>
      </c>
      <c r="B41" s="2" t="inlineStr">
        <is>
          <t>abs</t>
        </is>
      </c>
      <c r="C41" t="inlineStr">
        <is>
          <t>DPS (가정, 원)</t>
        </is>
      </c>
      <c r="E41" s="27">
        <f>subQ!E36</f>
        <v/>
      </c>
      <c r="F41" s="28">
        <f>subQ!F36</f>
        <v/>
      </c>
      <c r="G41" s="27">
        <f>subQ!G36</f>
        <v/>
      </c>
      <c r="H41" s="27">
        <f>subQ!H36</f>
        <v/>
      </c>
      <c r="I41" s="27">
        <f>subQ!I36</f>
        <v/>
      </c>
      <c r="J41" s="27">
        <f>subQ!J36</f>
        <v/>
      </c>
      <c r="K41" s="28">
        <f>subQ!K36</f>
        <v/>
      </c>
      <c r="L41" s="27">
        <f>subQ!L36</f>
        <v/>
      </c>
      <c r="M41" s="27">
        <f>subQ!M36</f>
        <v/>
      </c>
      <c r="N41" s="27">
        <f>subQ!N36</f>
        <v/>
      </c>
      <c r="O41" s="27">
        <f>subQ!O36</f>
        <v/>
      </c>
      <c r="P41" s="28">
        <f>subQ!P36</f>
        <v/>
      </c>
      <c r="Q41" s="27">
        <f>subQ!Q36</f>
        <v/>
      </c>
      <c r="R41" s="29">
        <f>subQ!R36</f>
        <v/>
      </c>
      <c r="S41" s="33" t="n"/>
      <c r="T41" s="30" t="n">
        <v>0</v>
      </c>
      <c r="U41" s="31">
        <f>subQ!U36</f>
        <v/>
      </c>
      <c r="V41" s="33" t="n"/>
      <c r="W41" s="33" t="n"/>
      <c r="X41" s="33" t="n"/>
      <c r="Y41" s="30" t="n">
        <v>0</v>
      </c>
      <c r="Z41" s="31">
        <f>subQ!Z36</f>
        <v/>
      </c>
      <c r="AA41" s="33" t="n"/>
      <c r="AB41" s="33" t="n"/>
      <c r="AC41" s="33" t="n"/>
      <c r="AD41" s="30" t="n">
        <v>0</v>
      </c>
      <c r="AE41" s="31">
        <f>subQ!AE36</f>
        <v/>
      </c>
    </row>
    <row r="42">
      <c r="F42" s="9" t="n"/>
      <c r="K42" s="9" t="n"/>
      <c r="P42" s="9" t="n"/>
      <c r="R42" s="5" t="n"/>
      <c r="S42" s="10" t="n"/>
      <c r="T42" s="10" t="n"/>
      <c r="U42" s="11" t="n"/>
      <c r="V42" s="10" t="n"/>
      <c r="W42" s="10" t="n"/>
      <c r="X42" s="10" t="n"/>
      <c r="Y42" s="10" t="n"/>
      <c r="Z42" s="11" t="n"/>
      <c r="AA42" s="10" t="n"/>
      <c r="AB42" s="10" t="n"/>
      <c r="AC42" s="10" t="n"/>
      <c r="AD42" s="10" t="n"/>
      <c r="AE42" s="11" t="n"/>
    </row>
    <row r="43">
      <c r="B43" s="1" t="inlineStr">
        <is>
          <t>3. 밸류에이션·스칼라</t>
        </is>
      </c>
      <c r="C43" s="2" t="inlineStr">
        <is>
          <t>노란 셀 = 가정. '연결' 표시는 추정 전 분기 수식이 이 셀을 참조한다는 뜻</t>
        </is>
      </c>
      <c r="F43" s="9" t="n"/>
      <c r="K43" s="9" t="n"/>
      <c r="P43" s="9" t="n"/>
      <c r="R43" s="5" t="n"/>
      <c r="S43" s="10" t="n"/>
      <c r="T43" s="10" t="n"/>
      <c r="U43" s="11" t="n"/>
      <c r="V43" s="10" t="n"/>
      <c r="W43" s="10" t="n"/>
      <c r="X43" s="10" t="n"/>
      <c r="Y43" s="10" t="n"/>
      <c r="Z43" s="11" t="n"/>
      <c r="AA43" s="10" t="n"/>
      <c r="AB43" s="10" t="n"/>
      <c r="AC43" s="10" t="n"/>
      <c r="AD43" s="10" t="n"/>
      <c r="AE43" s="11" t="n"/>
    </row>
    <row r="44">
      <c r="A44" s="12" t="inlineStr">
        <is>
          <t>sc:종가</t>
        </is>
      </c>
      <c r="C44" t="inlineStr">
        <is>
          <t>종가</t>
        </is>
      </c>
      <c r="D44" s="34" t="n">
        <v>15930</v>
      </c>
      <c r="E44" s="2" t="inlineStr">
        <is>
          <t>원 — 네이버 정규장 종가(aik 확정종가 대조 · aik 13,270원)</t>
        </is>
      </c>
      <c r="F44" s="9" t="n"/>
      <c r="K44" s="9" t="n"/>
      <c r="P44" s="9" t="n"/>
      <c r="R44" s="5" t="n"/>
      <c r="S44" s="10" t="n"/>
      <c r="T44" s="10" t="n"/>
      <c r="U44" s="11" t="n"/>
      <c r="V44" s="10" t="n"/>
      <c r="W44" s="10" t="n"/>
      <c r="X44" s="10" t="n"/>
      <c r="Y44" s="10" t="n"/>
      <c r="Z44" s="11" t="n"/>
      <c r="AA44" s="10" t="n"/>
      <c r="AB44" s="10" t="n"/>
      <c r="AC44" s="10" t="n"/>
      <c r="AD44" s="10" t="n"/>
      <c r="AE44" s="11" t="n"/>
    </row>
    <row r="45">
      <c r="A45" s="12" t="inlineStr">
        <is>
          <t>sc:기준일</t>
        </is>
      </c>
      <c r="C45" t="inlineStr">
        <is>
          <t>기준일</t>
        </is>
      </c>
      <c r="D45" s="35" t="inlineStr">
        <is>
          <t>20261014</t>
        </is>
      </c>
      <c r="E45" s="2" t="inlineStr">
        <is>
          <t>종가 기준일</t>
        </is>
      </c>
      <c r="F45" s="9" t="n"/>
      <c r="K45" s="9" t="n"/>
      <c r="P45" s="9" t="n"/>
      <c r="R45" s="5" t="n"/>
      <c r="S45" s="10" t="n"/>
      <c r="T45" s="10" t="n"/>
      <c r="U45" s="11" t="n"/>
      <c r="V45" s="10" t="n"/>
      <c r="W45" s="10" t="n"/>
      <c r="X45" s="10" t="n"/>
      <c r="Y45" s="10" t="n"/>
      <c r="Z45" s="11" t="n"/>
      <c r="AA45" s="10" t="n"/>
      <c r="AB45" s="10" t="n"/>
      <c r="AC45" s="10" t="n"/>
      <c r="AD45" s="10" t="n"/>
      <c r="AE45" s="11" t="n"/>
    </row>
    <row r="46">
      <c r="A46" s="12" t="inlineStr">
        <is>
          <t>sc:COE</t>
        </is>
      </c>
      <c r="C46" t="inlineStr">
        <is>
          <t>COE</t>
        </is>
      </c>
      <c r="D46" s="24" t="n">
        <v>0.09</v>
      </c>
      <c r="E46" s="2" t="inlineStr">
        <is>
          <t>자기자본비용(가정) — TP 적정 PBR = ROE/COE</t>
        </is>
      </c>
      <c r="F46" s="9" t="n"/>
      <c r="K46" s="9" t="n"/>
      <c r="P46" s="9" t="n"/>
      <c r="R46" s="5" t="n"/>
      <c r="S46" s="10" t="n"/>
      <c r="T46" s="10" t="n"/>
      <c r="U46" s="11" t="n"/>
      <c r="V46" s="10" t="n"/>
      <c r="W46" s="10" t="n"/>
      <c r="X46" s="10" t="n"/>
      <c r="Y46" s="10" t="n"/>
      <c r="Z46" s="11" t="n"/>
      <c r="AA46" s="10" t="n"/>
      <c r="AB46" s="10" t="n"/>
      <c r="AC46" s="10" t="n"/>
      <c r="AD46" s="10" t="n"/>
      <c r="AE46" s="11" t="n"/>
    </row>
    <row r="47">
      <c r="A47" s="12" t="inlineStr">
        <is>
          <t>sc:PER_lo</t>
        </is>
      </c>
      <c r="C47" t="inlineStr">
        <is>
          <t>PER_lo</t>
        </is>
      </c>
      <c r="D47" s="30" t="n">
        <v>10</v>
      </c>
      <c r="E47" s="2" t="inlineStr">
        <is>
          <t>PER 밴드 하단(배) — sector_default(레퍼런스 TP_PE PB 예시 10/15/20배; 과거 PER 중위 31.9배가 캡 5~30 밖 — 턴어라운드 초기 TTM EPS 왜곡)</t>
        </is>
      </c>
      <c r="F47" s="9" t="n"/>
      <c r="K47" s="9" t="n"/>
      <c r="P47" s="9" t="n"/>
      <c r="R47" s="5" t="n"/>
      <c r="S47" s="10" t="n"/>
      <c r="T47" s="10" t="n"/>
      <c r="U47" s="11" t="n"/>
      <c r="V47" s="10" t="n"/>
      <c r="W47" s="10" t="n"/>
      <c r="X47" s="10" t="n"/>
      <c r="Y47" s="10" t="n"/>
      <c r="Z47" s="11" t="n"/>
      <c r="AA47" s="10" t="n"/>
      <c r="AB47" s="10" t="n"/>
      <c r="AC47" s="10" t="n"/>
      <c r="AD47" s="10" t="n"/>
      <c r="AE47" s="11" t="n"/>
    </row>
    <row r="48">
      <c r="A48" s="12" t="inlineStr">
        <is>
          <t>sc:PER_mid</t>
        </is>
      </c>
      <c r="C48" t="inlineStr">
        <is>
          <t>PER_mid</t>
        </is>
      </c>
      <c r="D48" s="30" t="n">
        <v>15</v>
      </c>
      <c r="E48" s="2" t="inlineStr">
        <is>
          <t>PER 밴드 중단(배)</t>
        </is>
      </c>
      <c r="F48" s="9" t="n"/>
      <c r="K48" s="9" t="n"/>
      <c r="P48" s="9" t="n"/>
      <c r="R48" s="5" t="n"/>
      <c r="S48" s="10" t="n"/>
      <c r="T48" s="10" t="n"/>
      <c r="U48" s="11" t="n"/>
      <c r="V48" s="10" t="n"/>
      <c r="W48" s="10" t="n"/>
      <c r="X48" s="10" t="n"/>
      <c r="Y48" s="10" t="n"/>
      <c r="Z48" s="11" t="n"/>
      <c r="AA48" s="10" t="n"/>
      <c r="AB48" s="10" t="n"/>
      <c r="AC48" s="10" t="n"/>
      <c r="AD48" s="10" t="n"/>
      <c r="AE48" s="11" t="n"/>
    </row>
    <row r="49">
      <c r="A49" s="12" t="inlineStr">
        <is>
          <t>sc:PER_hi</t>
        </is>
      </c>
      <c r="C49" t="inlineStr">
        <is>
          <t>PER_hi</t>
        </is>
      </c>
      <c r="D49" s="30" t="n">
        <v>20</v>
      </c>
      <c r="E49" s="2" t="inlineStr">
        <is>
          <t>PER 밴드 상단(배)</t>
        </is>
      </c>
      <c r="F49" s="9" t="n"/>
      <c r="K49" s="9" t="n"/>
      <c r="P49" s="9" t="n"/>
      <c r="R49" s="5" t="n"/>
      <c r="S49" s="10" t="n"/>
      <c r="T49" s="10" t="n"/>
      <c r="U49" s="11" t="n"/>
      <c r="V49" s="10" t="n"/>
      <c r="W49" s="10" t="n"/>
      <c r="X49" s="10" t="n"/>
      <c r="Y49" s="10" t="n"/>
      <c r="Z49" s="11" t="n"/>
      <c r="AA49" s="10" t="n"/>
      <c r="AB49" s="10" t="n"/>
      <c r="AC49" s="10" t="n"/>
      <c r="AD49" s="10" t="n"/>
      <c r="AE49" s="11" t="n"/>
    </row>
    <row r="50">
      <c r="A50" s="12" t="inlineStr">
        <is>
          <t>sc:EPS_Y1가중</t>
        </is>
      </c>
      <c r="C50" t="inlineStr">
        <is>
          <t>EPS_Y1가중</t>
        </is>
      </c>
      <c r="D50" s="24" t="n">
        <v>0.5</v>
      </c>
      <c r="E50" s="2" t="inlineStr">
        <is>
          <t>12M fwd EPS = FY(last_actual연도)E × w + FY+1E × (1−w) — 기준 분기 2Q 이면 0.5(가정)</t>
        </is>
      </c>
      <c r="F50" s="9" t="n"/>
      <c r="K50" s="9" t="n"/>
      <c r="P50" s="9" t="n"/>
      <c r="R50" s="5" t="n"/>
      <c r="S50" s="10" t="n"/>
      <c r="T50" s="10" t="n"/>
      <c r="U50" s="11" t="n"/>
      <c r="V50" s="10" t="n"/>
      <c r="W50" s="10" t="n"/>
      <c r="X50" s="10" t="n"/>
      <c r="Y50" s="10" t="n"/>
      <c r="Z50" s="11" t="n"/>
      <c r="AA50" s="10" t="n"/>
      <c r="AB50" s="10" t="n"/>
      <c r="AC50" s="10" t="n"/>
      <c r="AD50" s="10" t="n"/>
      <c r="AE50" s="11" t="n"/>
    </row>
    <row r="51">
      <c r="A51" s="12" t="inlineStr">
        <is>
          <t>sc:세율</t>
        </is>
      </c>
      <c r="C51" t="inlineStr">
        <is>
          <t>세율</t>
        </is>
      </c>
      <c r="D51" s="36" t="n">
        <v>0.05039228098444305</v>
      </c>
      <c r="E51" s="2" t="inlineStr">
        <is>
          <t>연결 — 법인세 = MAX(세전,0) × 세율(역산, 재현 오차 ≤ 0.05억 · 모델 assumptions 0.0504) · 최근 11분기 유효세율 32.5% 가 5~27% 밖 → 클립 대신 최근 8분기 중 세전 &gt; 0 인 7분기(2024Q3~2026Q2)의 법인세/세전 중위 5.0%</t>
        </is>
      </c>
      <c r="F51" s="9" t="n"/>
      <c r="K51" s="9" t="n"/>
      <c r="P51" s="9" t="n"/>
      <c r="R51" s="5" t="n"/>
      <c r="S51" s="10" t="n"/>
      <c r="T51" s="10" t="n"/>
      <c r="U51" s="11" t="n"/>
      <c r="V51" s="10" t="n"/>
      <c r="W51" s="10" t="n"/>
      <c r="X51" s="10" t="n"/>
      <c r="Y51" s="10" t="n"/>
      <c r="Z51" s="11" t="n"/>
      <c r="AA51" s="10" t="n"/>
      <c r="AB51" s="10" t="n"/>
      <c r="AC51" s="10" t="n"/>
      <c r="AD51" s="10" t="n"/>
      <c r="AE51" s="11" t="n"/>
    </row>
    <row r="52">
      <c r="A52" s="12" t="inlineStr">
        <is>
          <t>sc:판관비율</t>
        </is>
      </c>
      <c r="C52" t="inlineStr">
        <is>
          <t>판관비율</t>
        </is>
      </c>
      <c r="D52" s="36" t="n">
        <v>0.08233129545388691</v>
      </c>
      <c r="E52" s="2" t="inlineStr">
        <is>
          <t>연결 — 판관비 = 매출액 × 판관비율(역산, 재현 오차 ≤ 0.05억 · 모델 assumptions 0.0823)</t>
        </is>
      </c>
      <c r="F52" s="9" t="n"/>
      <c r="K52" s="9" t="n"/>
      <c r="P52" s="9" t="n"/>
      <c r="R52" s="5" t="n"/>
      <c r="S52" s="10" t="n"/>
      <c r="T52" s="10" t="n"/>
      <c r="U52" s="11" t="n"/>
      <c r="V52" s="10" t="n"/>
      <c r="W52" s="10" t="n"/>
      <c r="X52" s="10" t="n"/>
      <c r="Y52" s="10" t="n"/>
      <c r="Z52" s="11" t="n"/>
      <c r="AA52" s="10" t="n"/>
      <c r="AB52" s="10" t="n"/>
      <c r="AC52" s="10" t="n"/>
      <c r="AD52" s="10" t="n"/>
      <c r="AE52" s="11" t="n"/>
    </row>
    <row r="53">
      <c r="A53" s="12" t="inlineStr">
        <is>
          <t>sc:지배주주비중</t>
        </is>
      </c>
      <c r="C53" t="inlineStr">
        <is>
          <t>지배주주비중</t>
        </is>
      </c>
      <c r="D53" s="36" t="n">
        <v>1</v>
      </c>
      <c r="E53" s="2" t="inlineStr">
        <is>
          <t>연결 — 지배주주순이익 = 당기순이익 × 비중(역산, 재현 오차 ≤ 0.05억)</t>
        </is>
      </c>
      <c r="F53" s="9" t="n"/>
      <c r="K53" s="9" t="n"/>
      <c r="P53" s="9" t="n"/>
      <c r="R53" s="5" t="n"/>
      <c r="S53" s="10" t="n"/>
      <c r="T53" s="10" t="n"/>
      <c r="U53" s="11" t="n"/>
      <c r="V53" s="10" t="n"/>
      <c r="W53" s="10" t="n"/>
      <c r="X53" s="10" t="n"/>
      <c r="Y53" s="10" t="n"/>
      <c r="Z53" s="11" t="n"/>
      <c r="AA53" s="10" t="n"/>
      <c r="AB53" s="10" t="n"/>
      <c r="AC53" s="10" t="n"/>
      <c r="AD53" s="10" t="n"/>
      <c r="AE53" s="11" t="n"/>
    </row>
    <row r="54">
      <c r="A54" s="12" t="inlineStr">
        <is>
          <t>sc:이자율_자산</t>
        </is>
      </c>
      <c r="C54" t="inlineStr">
        <is>
          <t>이자율_자산</t>
        </is>
      </c>
      <c r="D54" s="36" t="n">
        <v>0.02322673466107197</v>
      </c>
      <c r="E54" s="2" t="inlineStr">
        <is>
          <t>연결 — 이자손익 = (전분기 이자발생자산 × 자산이자율 − 전분기 총차입금 × 부채이자율)/4(역산, 재현 오차 ≤ 0.05억 · 모델 assumptions 0.0232)</t>
        </is>
      </c>
      <c r="F54" s="9" t="n"/>
      <c r="K54" s="9" t="n"/>
      <c r="P54" s="9" t="n"/>
      <c r="R54" s="5" t="n"/>
      <c r="S54" s="10" t="n"/>
      <c r="T54" s="10" t="n"/>
      <c r="U54" s="11" t="n"/>
      <c r="V54" s="10" t="n"/>
      <c r="W54" s="10" t="n"/>
      <c r="X54" s="10" t="n"/>
      <c r="Y54" s="10" t="n"/>
      <c r="Z54" s="11" t="n"/>
      <c r="AA54" s="10" t="n"/>
      <c r="AB54" s="10" t="n"/>
      <c r="AC54" s="10" t="n"/>
      <c r="AD54" s="10" t="n"/>
      <c r="AE54" s="11" t="n"/>
    </row>
    <row r="55">
      <c r="A55" s="12" t="inlineStr">
        <is>
          <t>sc:이자율_부채</t>
        </is>
      </c>
      <c r="C55" t="inlineStr">
        <is>
          <t>이자율_부채</t>
        </is>
      </c>
      <c r="D55" s="36" t="n">
        <v>0.01390114246265361</v>
      </c>
      <c r="E55" s="2" t="inlineStr">
        <is>
          <t>연결 — 같은 수식의 부채 쪽(총차입금 행이 없으면 0)(역산, 재현 오차 ≤ 0.05억 · 모델 assumptions 0.0139)</t>
        </is>
      </c>
      <c r="F55" s="9" t="n"/>
      <c r="K55" s="9" t="n"/>
      <c r="P55" s="9" t="n"/>
      <c r="R55" s="5" t="n"/>
      <c r="S55" s="10" t="n"/>
      <c r="T55" s="10" t="n"/>
      <c r="U55" s="11" t="n"/>
      <c r="V55" s="10" t="n"/>
      <c r="W55" s="10" t="n"/>
      <c r="X55" s="10" t="n"/>
      <c r="Y55" s="10" t="n"/>
      <c r="Z55" s="11" t="n"/>
      <c r="AA55" s="10" t="n"/>
      <c r="AB55" s="10" t="n"/>
      <c r="AC55" s="10" t="n"/>
      <c r="AD55" s="10" t="n"/>
      <c r="AE55" s="11" t="n"/>
    </row>
    <row r="56">
      <c r="A56" s="12" t="inlineStr">
        <is>
          <t>sc:배당성향</t>
        </is>
      </c>
      <c r="C56" t="inlineStr">
        <is>
          <t>배당성향</t>
        </is>
      </c>
      <c r="D56" s="24" t="n">
        <v>0</v>
      </c>
      <c r="E56" s="2" t="inlineStr">
        <is>
          <t>배당성향(참고 — 모델은 직전 DPS 유지·Q2 지급 가정)</t>
        </is>
      </c>
      <c r="F56" s="9" t="n"/>
      <c r="K56" s="9" t="n"/>
      <c r="P56" s="9" t="n"/>
      <c r="R56" s="5" t="n"/>
      <c r="S56" s="10" t="n"/>
      <c r="T56" s="10" t="n"/>
      <c r="U56" s="11" t="n"/>
      <c r="V56" s="10" t="n"/>
      <c r="W56" s="10" t="n"/>
      <c r="X56" s="10" t="n"/>
      <c r="Y56" s="10" t="n"/>
      <c r="Z56" s="11" t="n"/>
      <c r="AA56" s="10" t="n"/>
      <c r="AB56" s="10" t="n"/>
      <c r="AC56" s="10" t="n"/>
      <c r="AD56" s="10" t="n"/>
      <c r="AE56" s="11" t="n"/>
    </row>
    <row r="57">
      <c r="A57" s="12" t="inlineStr">
        <is>
          <t>sc:외화순노출_백만$</t>
        </is>
      </c>
      <c r="C57" t="inlineStr">
        <is>
          <t>외화순노출_백만$</t>
        </is>
      </c>
      <c r="D57" s="30" t="n"/>
      <c r="E57" s="2" t="inlineStr">
        <is>
          <t>외화 순노출 × Δ기말환율 (외화 시트 방식) — 외화 순노출 미공시(face) → 0 + 표기</t>
        </is>
      </c>
      <c r="F57" s="9" t="n"/>
      <c r="K57" s="9" t="n"/>
      <c r="P57" s="9" t="n"/>
      <c r="R57" s="5" t="n"/>
      <c r="S57" s="10" t="n"/>
      <c r="T57" s="10" t="n"/>
      <c r="U57" s="11" t="n"/>
      <c r="V57" s="10" t="n"/>
      <c r="W57" s="10" t="n"/>
      <c r="X57" s="10" t="n"/>
      <c r="Y57" s="10" t="n"/>
      <c r="Z57" s="11" t="n"/>
      <c r="AA57" s="10" t="n"/>
      <c r="AB57" s="10" t="n"/>
      <c r="AC57" s="10" t="n"/>
      <c r="AD57" s="10" t="n"/>
      <c r="AE57" s="11" t="n"/>
    </row>
    <row r="58">
      <c r="A58" s="12" t="inlineStr">
        <is>
          <t>sc:헤지비율</t>
        </is>
      </c>
      <c r="C58" t="inlineStr">
        <is>
          <t>헤지비율</t>
        </is>
      </c>
      <c r="D58" s="24" t="n"/>
      <c r="E58" s="2" t="inlineStr">
        <is>
          <t>sls 없음</t>
        </is>
      </c>
      <c r="F58" s="9" t="n"/>
      <c r="K58" s="9" t="n"/>
      <c r="P58" s="9" t="n"/>
      <c r="R58" s="5" t="n"/>
      <c r="S58" s="10" t="n"/>
      <c r="T58" s="10" t="n"/>
      <c r="U58" s="11" t="n"/>
      <c r="V58" s="10" t="n"/>
      <c r="W58" s="10" t="n"/>
      <c r="X58" s="10" t="n"/>
      <c r="Y58" s="10" t="n"/>
      <c r="Z58" s="11" t="n"/>
      <c r="AA58" s="10" t="n"/>
      <c r="AB58" s="10" t="n"/>
      <c r="AC58" s="10" t="n"/>
      <c r="AD58" s="10" t="n"/>
      <c r="AE58" s="11" t="n"/>
    </row>
    <row r="59">
      <c r="A59" s="12" t="inlineStr">
        <is>
          <t>sc:헤지환율_약정</t>
        </is>
      </c>
      <c r="C59" t="inlineStr">
        <is>
          <t>헤지환율_약정</t>
        </is>
      </c>
      <c r="D59" s="16" t="n"/>
      <c r="E59" s="2" t="inlineStr">
        <is>
          <t>sls 없음</t>
        </is>
      </c>
      <c r="F59" s="9" t="n"/>
      <c r="K59" s="9" t="n"/>
      <c r="P59" s="9" t="n"/>
      <c r="R59" s="5" t="n"/>
      <c r="S59" s="10" t="n"/>
      <c r="T59" s="10" t="n"/>
      <c r="U59" s="11" t="n"/>
      <c r="V59" s="10" t="n"/>
      <c r="W59" s="10" t="n"/>
      <c r="X59" s="10" t="n"/>
      <c r="Y59" s="10" t="n"/>
      <c r="Z59" s="11" t="n"/>
      <c r="AA59" s="10" t="n"/>
      <c r="AB59" s="10" t="n"/>
      <c r="AC59" s="10" t="n"/>
      <c r="AD59" s="10" t="n"/>
      <c r="AE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4Q23</t>
        </is>
      </c>
      <c r="F1" s="3" t="n">
        <v>2023</v>
      </c>
      <c r="G1" s="3" t="inlineStr">
        <is>
          <t>1Q24</t>
        </is>
      </c>
      <c r="H1" s="3" t="inlineStr">
        <is>
          <t>2Q24</t>
        </is>
      </c>
      <c r="I1" s="3" t="inlineStr">
        <is>
          <t>3Q24</t>
        </is>
      </c>
      <c r="J1" s="3" t="inlineStr">
        <is>
          <t>4Q24</t>
        </is>
      </c>
      <c r="K1" s="3" t="n">
        <v>2024</v>
      </c>
      <c r="L1" s="3" t="inlineStr">
        <is>
          <t>1Q25</t>
        </is>
      </c>
      <c r="M1" s="3" t="inlineStr">
        <is>
          <t>2Q25</t>
        </is>
      </c>
      <c r="N1" s="3" t="inlineStr">
        <is>
          <t>3Q25</t>
        </is>
      </c>
      <c r="O1" s="3" t="inlineStr">
        <is>
          <t>4Q25</t>
        </is>
      </c>
      <c r="P1" s="3" t="n">
        <v>2025</v>
      </c>
      <c r="Q1" s="3" t="inlineStr">
        <is>
          <t>1Q26</t>
        </is>
      </c>
      <c r="R1" s="4" t="inlineStr">
        <is>
          <t>2Q26</t>
        </is>
      </c>
      <c r="S1" s="3" t="inlineStr">
        <is>
          <t>3Q26</t>
        </is>
      </c>
      <c r="T1" s="3" t="inlineStr">
        <is>
          <t>4Q26</t>
        </is>
      </c>
      <c r="U1" s="3" t="n">
        <v>2026</v>
      </c>
      <c r="V1" s="3" t="inlineStr">
        <is>
          <t>1Q27</t>
        </is>
      </c>
      <c r="W1" s="3" t="inlineStr">
        <is>
          <t>2Q27</t>
        </is>
      </c>
      <c r="X1" s="3" t="inlineStr">
        <is>
          <t>3Q27</t>
        </is>
      </c>
      <c r="Y1" s="3" t="inlineStr">
        <is>
          <t>4Q27</t>
        </is>
      </c>
      <c r="Z1" s="3" t="n">
        <v>2027</v>
      </c>
      <c r="AA1" s="3" t="inlineStr">
        <is>
          <t>1Q28</t>
        </is>
      </c>
      <c r="AB1" s="3" t="inlineStr">
        <is>
          <t>2Q28</t>
        </is>
      </c>
      <c r="AC1" s="3" t="inlineStr">
        <is>
          <t>3Q28</t>
        </is>
      </c>
      <c r="AD1" s="3" t="inlineStr">
        <is>
          <t>4Q28</t>
        </is>
      </c>
      <c r="AE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R2" s="5" t="n"/>
    </row>
    <row r="3">
      <c r="B3" t="inlineStr">
        <is>
          <t>한선엔지니어링(연)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6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2023.12</t>
        </is>
      </c>
      <c r="F4" s="7" t="inlineStr">
        <is>
          <t>2023.12A</t>
        </is>
      </c>
      <c r="G4" s="7" t="inlineStr">
        <is>
          <t>2024.03</t>
        </is>
      </c>
      <c r="H4" s="7" t="inlineStr">
        <is>
          <t>2024.06</t>
        </is>
      </c>
      <c r="I4" s="7" t="inlineStr">
        <is>
          <t>2024.09</t>
        </is>
      </c>
      <c r="J4" s="7" t="inlineStr">
        <is>
          <t>2024.12</t>
        </is>
      </c>
      <c r="K4" s="7" t="inlineStr">
        <is>
          <t>2024.12A</t>
        </is>
      </c>
      <c r="L4" s="7" t="inlineStr">
        <is>
          <t>2025.03</t>
        </is>
      </c>
      <c r="M4" s="7" t="inlineStr">
        <is>
          <t>2025.06</t>
        </is>
      </c>
      <c r="N4" s="7" t="inlineStr">
        <is>
          <t>2025.09</t>
        </is>
      </c>
      <c r="O4" s="7" t="inlineStr">
        <is>
          <t>2025.12</t>
        </is>
      </c>
      <c r="P4" s="7" t="inlineStr">
        <is>
          <t>2025.12A</t>
        </is>
      </c>
      <c r="Q4" s="7" t="inlineStr">
        <is>
          <t>2026.03</t>
        </is>
      </c>
      <c r="R4" s="8" t="inlineStr">
        <is>
          <t>2026.06</t>
        </is>
      </c>
      <c r="S4" s="7" t="inlineStr">
        <is>
          <t>2026.09</t>
        </is>
      </c>
      <c r="T4" s="7" t="inlineStr">
        <is>
          <t>2026.12</t>
        </is>
      </c>
      <c r="U4" s="7" t="inlineStr">
        <is>
          <t>2026.12A</t>
        </is>
      </c>
      <c r="V4" s="7" t="inlineStr">
        <is>
          <t>2027.03</t>
        </is>
      </c>
      <c r="W4" s="7" t="inlineStr">
        <is>
          <t>2027.06</t>
        </is>
      </c>
      <c r="X4" s="7" t="inlineStr">
        <is>
          <t>2027.09</t>
        </is>
      </c>
      <c r="Y4" s="7" t="inlineStr">
        <is>
          <t>2027.12</t>
        </is>
      </c>
      <c r="Z4" s="7" t="inlineStr">
        <is>
          <t>2027.12A</t>
        </is>
      </c>
      <c r="AA4" s="7" t="inlineStr">
        <is>
          <t>2028.03</t>
        </is>
      </c>
      <c r="AB4" s="7" t="inlineStr">
        <is>
          <t>2028.06</t>
        </is>
      </c>
      <c r="AC4" s="7" t="inlineStr">
        <is>
          <t>2028.09</t>
        </is>
      </c>
      <c r="AD4" s="7" t="inlineStr">
        <is>
          <t>2028.12</t>
        </is>
      </c>
      <c r="AE4" s="7" t="inlineStr">
        <is>
          <t>2028.12A</t>
        </is>
      </c>
    </row>
    <row r="5">
      <c r="F5" s="9" t="n"/>
      <c r="K5" s="9" t="n"/>
      <c r="P5" s="9" t="n"/>
      <c r="R5" s="5" t="n"/>
      <c r="S5" s="10" t="n"/>
      <c r="T5" s="10" t="n"/>
      <c r="U5" s="11" t="n"/>
      <c r="V5" s="10" t="n"/>
      <c r="W5" s="10" t="n"/>
      <c r="X5" s="10" t="n"/>
      <c r="Y5" s="10" t="n"/>
      <c r="Z5" s="11" t="n"/>
      <c r="AA5" s="10" t="n"/>
      <c r="AB5" s="10" t="n"/>
      <c r="AC5" s="10" t="n"/>
      <c r="AD5" s="10" t="n"/>
      <c r="AE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4Q23</t>
        </is>
      </c>
      <c r="F1" s="3" t="n">
        <v>2023</v>
      </c>
      <c r="G1" s="3" t="inlineStr">
        <is>
          <t>1Q24</t>
        </is>
      </c>
      <c r="H1" s="3" t="inlineStr">
        <is>
          <t>2Q24</t>
        </is>
      </c>
      <c r="I1" s="3" t="inlineStr">
        <is>
          <t>3Q24</t>
        </is>
      </c>
      <c r="J1" s="3" t="inlineStr">
        <is>
          <t>4Q24</t>
        </is>
      </c>
      <c r="K1" s="3" t="n">
        <v>2024</v>
      </c>
      <c r="L1" s="3" t="inlineStr">
        <is>
          <t>1Q25</t>
        </is>
      </c>
      <c r="M1" s="3" t="inlineStr">
        <is>
          <t>2Q25</t>
        </is>
      </c>
      <c r="N1" s="3" t="inlineStr">
        <is>
          <t>3Q25</t>
        </is>
      </c>
      <c r="O1" s="3" t="inlineStr">
        <is>
          <t>4Q25</t>
        </is>
      </c>
      <c r="P1" s="3" t="n">
        <v>2025</v>
      </c>
      <c r="Q1" s="3" t="inlineStr">
        <is>
          <t>1Q26</t>
        </is>
      </c>
      <c r="R1" s="4" t="inlineStr">
        <is>
          <t>2Q26</t>
        </is>
      </c>
      <c r="S1" s="3" t="inlineStr">
        <is>
          <t>3Q26</t>
        </is>
      </c>
      <c r="T1" s="3" t="inlineStr">
        <is>
          <t>4Q26</t>
        </is>
      </c>
      <c r="U1" s="3" t="n">
        <v>2026</v>
      </c>
      <c r="V1" s="3" t="inlineStr">
        <is>
          <t>1Q27</t>
        </is>
      </c>
      <c r="W1" s="3" t="inlineStr">
        <is>
          <t>2Q27</t>
        </is>
      </c>
      <c r="X1" s="3" t="inlineStr">
        <is>
          <t>3Q27</t>
        </is>
      </c>
      <c r="Y1" s="3" t="inlineStr">
        <is>
          <t>4Q27</t>
        </is>
      </c>
      <c r="Z1" s="3" t="n">
        <v>2027</v>
      </c>
      <c r="AA1" s="3" t="inlineStr">
        <is>
          <t>1Q28</t>
        </is>
      </c>
      <c r="AB1" s="3" t="inlineStr">
        <is>
          <t>2Q28</t>
        </is>
      </c>
      <c r="AC1" s="3" t="inlineStr">
        <is>
          <t>3Q28</t>
        </is>
      </c>
      <c r="AD1" s="3" t="inlineStr">
        <is>
          <t>4Q28</t>
        </is>
      </c>
      <c r="AE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R2" s="5" t="n"/>
    </row>
    <row r="3">
      <c r="B3" t="inlineStr">
        <is>
          <t>한선엔지니어링(별)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6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2023.12</t>
        </is>
      </c>
      <c r="F4" s="7" t="inlineStr">
        <is>
          <t>2023.12A</t>
        </is>
      </c>
      <c r="G4" s="7" t="inlineStr">
        <is>
          <t>2024.03</t>
        </is>
      </c>
      <c r="H4" s="7" t="inlineStr">
        <is>
          <t>2024.06</t>
        </is>
      </c>
      <c r="I4" s="7" t="inlineStr">
        <is>
          <t>2024.09</t>
        </is>
      </c>
      <c r="J4" s="7" t="inlineStr">
        <is>
          <t>2024.12</t>
        </is>
      </c>
      <c r="K4" s="7" t="inlineStr">
        <is>
          <t>2024.12A</t>
        </is>
      </c>
      <c r="L4" s="7" t="inlineStr">
        <is>
          <t>2025.03</t>
        </is>
      </c>
      <c r="M4" s="7" t="inlineStr">
        <is>
          <t>2025.06</t>
        </is>
      </c>
      <c r="N4" s="7" t="inlineStr">
        <is>
          <t>2025.09</t>
        </is>
      </c>
      <c r="O4" s="7" t="inlineStr">
        <is>
          <t>2025.12</t>
        </is>
      </c>
      <c r="P4" s="7" t="inlineStr">
        <is>
          <t>2025.12A</t>
        </is>
      </c>
      <c r="Q4" s="7" t="inlineStr">
        <is>
          <t>2026.03</t>
        </is>
      </c>
      <c r="R4" s="8" t="inlineStr">
        <is>
          <t>2026.06</t>
        </is>
      </c>
      <c r="S4" s="7" t="inlineStr">
        <is>
          <t>2026.09</t>
        </is>
      </c>
      <c r="T4" s="7" t="inlineStr">
        <is>
          <t>2026.12</t>
        </is>
      </c>
      <c r="U4" s="7" t="inlineStr">
        <is>
          <t>2026.12A</t>
        </is>
      </c>
      <c r="V4" s="7" t="inlineStr">
        <is>
          <t>2027.03</t>
        </is>
      </c>
      <c r="W4" s="7" t="inlineStr">
        <is>
          <t>2027.06</t>
        </is>
      </c>
      <c r="X4" s="7" t="inlineStr">
        <is>
          <t>2027.09</t>
        </is>
      </c>
      <c r="Y4" s="7" t="inlineStr">
        <is>
          <t>2027.12</t>
        </is>
      </c>
      <c r="Z4" s="7" t="inlineStr">
        <is>
          <t>2027.12A</t>
        </is>
      </c>
      <c r="AA4" s="7" t="inlineStr">
        <is>
          <t>2028.03</t>
        </is>
      </c>
      <c r="AB4" s="7" t="inlineStr">
        <is>
          <t>2028.06</t>
        </is>
      </c>
      <c r="AC4" s="7" t="inlineStr">
        <is>
          <t>2028.09</t>
        </is>
      </c>
      <c r="AD4" s="7" t="inlineStr">
        <is>
          <t>2028.12</t>
        </is>
      </c>
      <c r="AE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37420.47</v>
      </c>
      <c r="F5" s="37" t="n">
        <v>37420.47</v>
      </c>
      <c r="G5" s="18" t="n">
        <v>39916.72</v>
      </c>
      <c r="H5" s="18" t="n">
        <v>41834.15</v>
      </c>
      <c r="I5" s="18" t="n">
        <v>39014.76</v>
      </c>
      <c r="J5" s="18" t="n">
        <v>41256.09</v>
      </c>
      <c r="K5" s="37" t="n">
        <v>41256.09</v>
      </c>
      <c r="L5" s="18" t="n">
        <v>58356.43</v>
      </c>
      <c r="M5" s="18" t="n">
        <v>53826.86</v>
      </c>
      <c r="N5" s="18" t="n">
        <v>47872.7</v>
      </c>
      <c r="O5" s="18" t="n">
        <v>68579.22</v>
      </c>
      <c r="P5" s="37" t="n">
        <v>68579.22</v>
      </c>
      <c r="Q5" s="18" t="n">
        <v>72193.23</v>
      </c>
      <c r="R5" s="19" t="n">
        <v>66912.25999999999</v>
      </c>
      <c r="S5" s="10" t="n"/>
      <c r="T5" s="10" t="n"/>
      <c r="U5" s="11" t="n"/>
      <c r="V5" s="10" t="n"/>
      <c r="W5" s="10" t="n"/>
      <c r="X5" s="10" t="n"/>
      <c r="Y5" s="10" t="n"/>
      <c r="Z5" s="11" t="n"/>
      <c r="AA5" s="10" t="n"/>
      <c r="AB5" s="10" t="n"/>
      <c r="AC5" s="10" t="n"/>
      <c r="AD5" s="10" t="n"/>
      <c r="AE5" s="11" t="n"/>
    </row>
    <row r="6">
      <c r="A6" t="n">
        <v>1</v>
      </c>
      <c r="C6" t="inlineStr">
        <is>
          <t>현금및현금성자산</t>
        </is>
      </c>
      <c r="E6" s="18" t="n">
        <v>7248.95</v>
      </c>
      <c r="F6" s="37" t="n">
        <v>7248.95</v>
      </c>
      <c r="G6" s="18" t="n">
        <v>6603.65</v>
      </c>
      <c r="H6" s="18" t="n">
        <v>7760.8</v>
      </c>
      <c r="I6" s="18" t="n">
        <v>5862.74</v>
      </c>
      <c r="J6" s="18" t="n">
        <v>8591.42</v>
      </c>
      <c r="K6" s="37" t="n">
        <v>8591.42</v>
      </c>
      <c r="L6" s="18" t="n">
        <v>6827.96</v>
      </c>
      <c r="M6" s="18" t="n">
        <v>3629.38</v>
      </c>
      <c r="N6" s="18" t="n">
        <v>3488.34</v>
      </c>
      <c r="O6" s="18" t="n">
        <v>22145.69</v>
      </c>
      <c r="P6" s="37" t="n">
        <v>22145.69</v>
      </c>
      <c r="Q6" s="18" t="n">
        <v>6013.5</v>
      </c>
      <c r="R6" s="19" t="n">
        <v>13525.89</v>
      </c>
      <c r="S6" s="10" t="n"/>
      <c r="T6" s="10" t="n"/>
      <c r="U6" s="11" t="n"/>
      <c r="V6" s="10" t="n"/>
      <c r="W6" s="10" t="n"/>
      <c r="X6" s="10" t="n"/>
      <c r="Y6" s="10" t="n"/>
      <c r="Z6" s="11" t="n"/>
      <c r="AA6" s="10" t="n"/>
      <c r="AB6" s="10" t="n"/>
      <c r="AC6" s="10" t="n"/>
      <c r="AD6" s="10" t="n"/>
      <c r="AE6" s="11" t="n"/>
    </row>
    <row r="7">
      <c r="A7" t="n">
        <v>1</v>
      </c>
      <c r="C7" t="inlineStr">
        <is>
          <t>매출채권및기타채권</t>
        </is>
      </c>
      <c r="E7" s="18" t="n">
        <v>6082.12</v>
      </c>
      <c r="F7" s="37" t="n">
        <v>6082.12</v>
      </c>
      <c r="G7" s="18" t="n">
        <v>7996.96</v>
      </c>
      <c r="H7" s="18" t="n">
        <v>10394.97</v>
      </c>
      <c r="I7" s="18" t="n">
        <v>9370.530000000001</v>
      </c>
      <c r="J7" s="18" t="n">
        <v>7908.61</v>
      </c>
      <c r="K7" s="37" t="n">
        <v>7908.61</v>
      </c>
      <c r="L7" s="18" t="n">
        <v>9256.01</v>
      </c>
      <c r="M7" s="18" t="n">
        <v>10751.75</v>
      </c>
      <c r="N7" s="18" t="n">
        <v>11816.2</v>
      </c>
      <c r="O7" s="18" t="n">
        <v>12515.79</v>
      </c>
      <c r="P7" s="37" t="n">
        <v>12515.79</v>
      </c>
      <c r="Q7" s="18" t="n">
        <v>16420.85</v>
      </c>
      <c r="R7" s="19" t="n">
        <v>17951.84</v>
      </c>
      <c r="S7" s="10" t="n"/>
      <c r="T7" s="10" t="n"/>
      <c r="U7" s="11" t="n"/>
      <c r="V7" s="10" t="n"/>
      <c r="W7" s="10" t="n"/>
      <c r="X7" s="10" t="n"/>
      <c r="Y7" s="10" t="n"/>
      <c r="Z7" s="11" t="n"/>
      <c r="AA7" s="10" t="n"/>
      <c r="AB7" s="10" t="n"/>
      <c r="AC7" s="10" t="n"/>
      <c r="AD7" s="10" t="n"/>
      <c r="AE7" s="11" t="n"/>
    </row>
    <row r="8">
      <c r="A8" t="n">
        <v>1</v>
      </c>
      <c r="C8" t="inlineStr">
        <is>
          <t>재고자산</t>
        </is>
      </c>
      <c r="E8" s="18" t="n">
        <v>24024.37</v>
      </c>
      <c r="F8" s="37" t="n">
        <v>24024.37</v>
      </c>
      <c r="G8" s="18" t="n">
        <v>23776.62</v>
      </c>
      <c r="H8" s="18" t="n">
        <v>23443.4</v>
      </c>
      <c r="I8" s="18" t="n">
        <v>23550.91</v>
      </c>
      <c r="J8" s="18" t="n">
        <v>24042.74</v>
      </c>
      <c r="K8" s="37" t="n">
        <v>24042.74</v>
      </c>
      <c r="L8" s="18" t="n">
        <v>24115.25</v>
      </c>
      <c r="M8" s="18" t="n">
        <v>25951.45</v>
      </c>
      <c r="N8" s="18" t="n">
        <v>28093.56</v>
      </c>
      <c r="O8" s="18" t="n">
        <v>29594.22</v>
      </c>
      <c r="P8" s="37" t="n">
        <v>29594.22</v>
      </c>
      <c r="Q8" s="18" t="n">
        <v>31494.91</v>
      </c>
      <c r="R8" s="19" t="n">
        <v>34117.23</v>
      </c>
      <c r="S8" s="10" t="n"/>
      <c r="T8" s="10" t="n"/>
      <c r="U8" s="11" t="n"/>
      <c r="V8" s="10" t="n"/>
      <c r="W8" s="10" t="n"/>
      <c r="X8" s="10" t="n"/>
      <c r="Y8" s="10" t="n"/>
      <c r="Z8" s="11" t="n"/>
      <c r="AA8" s="10" t="n"/>
      <c r="AB8" s="10" t="n"/>
      <c r="AC8" s="10" t="n"/>
      <c r="AD8" s="10" t="n"/>
      <c r="AE8" s="11" t="n"/>
    </row>
    <row r="9">
      <c r="A9" t="n">
        <v>1</v>
      </c>
      <c r="C9" t="inlineStr">
        <is>
          <t>기타유동자산</t>
        </is>
      </c>
      <c r="E9" s="18" t="n">
        <v>65.02</v>
      </c>
      <c r="F9" s="37" t="n">
        <v>65.02</v>
      </c>
      <c r="G9" s="18" t="n">
        <v>196.46</v>
      </c>
      <c r="H9" s="18" t="n">
        <v>234.98</v>
      </c>
      <c r="I9" s="18" t="n">
        <v>230.58</v>
      </c>
      <c r="J9" s="18" t="n">
        <v>713.33</v>
      </c>
      <c r="K9" s="37" t="n">
        <v>713.33</v>
      </c>
      <c r="L9" s="18" t="n">
        <v>1087.47</v>
      </c>
      <c r="M9" s="18" t="n">
        <v>1319.39</v>
      </c>
      <c r="N9" s="18" t="n">
        <v>1375.11</v>
      </c>
      <c r="O9" s="18" t="n">
        <v>1871.5</v>
      </c>
      <c r="P9" s="37" t="n">
        <v>1871.5</v>
      </c>
      <c r="Q9" s="18" t="n">
        <v>1882.36</v>
      </c>
      <c r="R9" s="19" t="n">
        <v>1317.3</v>
      </c>
      <c r="S9" s="10" t="n"/>
      <c r="T9" s="10" t="n"/>
      <c r="U9" s="11" t="n"/>
      <c r="V9" s="10" t="n"/>
      <c r="W9" s="10" t="n"/>
      <c r="X9" s="10" t="n"/>
      <c r="Y9" s="10" t="n"/>
      <c r="Z9" s="11" t="n"/>
      <c r="AA9" s="10" t="n"/>
      <c r="AB9" s="10" t="n"/>
      <c r="AC9" s="10" t="n"/>
      <c r="AD9" s="10" t="n"/>
      <c r="AE9" s="11" t="n"/>
    </row>
    <row r="10">
      <c r="A10" t="n">
        <v>1</v>
      </c>
      <c r="C10" t="inlineStr">
        <is>
          <t>비유동자산</t>
        </is>
      </c>
      <c r="E10" s="18" t="n">
        <v>34719.4</v>
      </c>
      <c r="F10" s="37" t="n">
        <v>34719.4</v>
      </c>
      <c r="G10" s="18" t="n">
        <v>34515.45</v>
      </c>
      <c r="H10" s="18" t="n">
        <v>35078.4</v>
      </c>
      <c r="I10" s="18" t="n">
        <v>34946.5</v>
      </c>
      <c r="J10" s="18" t="n">
        <v>37730.84</v>
      </c>
      <c r="K10" s="37" t="n">
        <v>37730.84</v>
      </c>
      <c r="L10" s="18" t="n">
        <v>47447.61</v>
      </c>
      <c r="M10" s="18" t="n">
        <v>53696.89</v>
      </c>
      <c r="N10" s="18" t="n">
        <v>62632.42</v>
      </c>
      <c r="O10" s="18" t="n">
        <v>72017.02</v>
      </c>
      <c r="P10" s="37" t="n">
        <v>72017.02</v>
      </c>
      <c r="Q10" s="18" t="n">
        <v>83844.98</v>
      </c>
      <c r="R10" s="19" t="n">
        <v>87375.85000000001</v>
      </c>
      <c r="S10" s="10" t="n"/>
      <c r="T10" s="10" t="n"/>
      <c r="U10" s="11" t="n"/>
      <c r="V10" s="10" t="n"/>
      <c r="W10" s="10" t="n"/>
      <c r="X10" s="10" t="n"/>
      <c r="Y10" s="10" t="n"/>
      <c r="Z10" s="11" t="n"/>
      <c r="AA10" s="10" t="n"/>
      <c r="AB10" s="10" t="n"/>
      <c r="AC10" s="10" t="n"/>
      <c r="AD10" s="10" t="n"/>
      <c r="AE10" s="11" t="n"/>
    </row>
    <row r="11">
      <c r="A11" t="n">
        <v>1</v>
      </c>
      <c r="C11" t="inlineStr">
        <is>
          <t>장기금융자산</t>
        </is>
      </c>
      <c r="E11" s="18" t="n">
        <v>77.3</v>
      </c>
      <c r="F11" s="37" t="n">
        <v>77.3</v>
      </c>
      <c r="G11" s="18" t="n">
        <v>91.3</v>
      </c>
      <c r="H11" s="18" t="n">
        <v>213.98</v>
      </c>
      <c r="I11" s="18" t="n">
        <v>218.4</v>
      </c>
      <c r="J11" s="18" t="n">
        <v>219.84</v>
      </c>
      <c r="K11" s="37" t="n">
        <v>219.84</v>
      </c>
      <c r="L11" s="18" t="n">
        <v>3133.93</v>
      </c>
      <c r="M11" s="18" t="n">
        <v>2073.51</v>
      </c>
      <c r="N11" s="18" t="n">
        <v>2061.66</v>
      </c>
      <c r="O11" s="18" t="n">
        <v>237.5</v>
      </c>
      <c r="P11" s="37" t="n">
        <v>237.5</v>
      </c>
      <c r="Q11" s="18" t="n">
        <v>275.75</v>
      </c>
      <c r="R11" s="19" t="n">
        <v>276.24</v>
      </c>
      <c r="S11" s="10" t="n"/>
      <c r="T11" s="10" t="n"/>
      <c r="U11" s="11" t="n"/>
      <c r="V11" s="10" t="n"/>
      <c r="W11" s="10" t="n"/>
      <c r="X11" s="10" t="n"/>
      <c r="Y11" s="10" t="n"/>
      <c r="Z11" s="11" t="n"/>
      <c r="AA11" s="10" t="n"/>
      <c r="AB11" s="10" t="n"/>
      <c r="AC11" s="10" t="n"/>
      <c r="AD11" s="10" t="n"/>
      <c r="AE11" s="11" t="n"/>
    </row>
    <row r="12">
      <c r="A12" t="n">
        <v>1</v>
      </c>
      <c r="C12" t="inlineStr">
        <is>
          <t>투자자산</t>
        </is>
      </c>
      <c r="E12" s="18" t="n">
        <v>77.3</v>
      </c>
      <c r="F12" s="37" t="n">
        <v>77.3</v>
      </c>
      <c r="G12" s="18" t="n">
        <v>91.3</v>
      </c>
      <c r="H12" s="18" t="n">
        <v>213.98</v>
      </c>
      <c r="I12" s="18" t="n">
        <v>218.4</v>
      </c>
      <c r="J12" s="18" t="n">
        <v>219.84</v>
      </c>
      <c r="K12" s="37" t="n">
        <v>219.84</v>
      </c>
      <c r="L12" s="18" t="n">
        <v>3133.93</v>
      </c>
      <c r="M12" s="18" t="n">
        <v>2073.51</v>
      </c>
      <c r="N12" s="18" t="n">
        <v>2061.66</v>
      </c>
      <c r="O12" s="18" t="n">
        <v>237.5</v>
      </c>
      <c r="P12" s="37" t="n">
        <v>237.5</v>
      </c>
      <c r="Q12" s="18" t="n">
        <v>275.75</v>
      </c>
      <c r="R12" s="19" t="n">
        <v>276.24</v>
      </c>
      <c r="S12" s="10" t="n"/>
      <c r="T12" s="10" t="n"/>
      <c r="U12" s="11" t="n"/>
      <c r="V12" s="10" t="n"/>
      <c r="W12" s="10" t="n"/>
      <c r="X12" s="10" t="n"/>
      <c r="Y12" s="10" t="n"/>
      <c r="Z12" s="11" t="n"/>
      <c r="AA12" s="10" t="n"/>
      <c r="AB12" s="10" t="n"/>
      <c r="AC12" s="10" t="n"/>
      <c r="AD12" s="10" t="n"/>
      <c r="AE12" s="11" t="n"/>
    </row>
    <row r="13">
      <c r="A13" t="n">
        <v>1</v>
      </c>
      <c r="C13" t="inlineStr">
        <is>
          <t>유형자산</t>
        </is>
      </c>
      <c r="E13" s="18" t="n">
        <v>32577.17</v>
      </c>
      <c r="F13" s="37" t="n">
        <v>32577.17</v>
      </c>
      <c r="G13" s="18" t="n">
        <v>32301.2</v>
      </c>
      <c r="H13" s="18" t="n">
        <v>32285.05</v>
      </c>
      <c r="I13" s="18" t="n">
        <v>32202.91</v>
      </c>
      <c r="J13" s="18" t="n">
        <v>35523.82</v>
      </c>
      <c r="K13" s="37" t="n">
        <v>35523.82</v>
      </c>
      <c r="L13" s="18" t="n">
        <v>42319.38</v>
      </c>
      <c r="M13" s="18" t="n">
        <v>49751.5</v>
      </c>
      <c r="N13" s="18" t="n">
        <v>58844.51</v>
      </c>
      <c r="O13" s="18" t="n">
        <v>69756.37</v>
      </c>
      <c r="P13" s="37" t="n">
        <v>69756.37</v>
      </c>
      <c r="Q13" s="18" t="n">
        <v>81595.14999999999</v>
      </c>
      <c r="R13" s="19" t="n">
        <v>84942.28</v>
      </c>
      <c r="S13" s="10" t="n"/>
      <c r="T13" s="10" t="n"/>
      <c r="U13" s="11" t="n"/>
      <c r="V13" s="10" t="n"/>
      <c r="W13" s="10" t="n"/>
      <c r="X13" s="10" t="n"/>
      <c r="Y13" s="10" t="n"/>
      <c r="Z13" s="11" t="n"/>
      <c r="AA13" s="10" t="n"/>
      <c r="AB13" s="10" t="n"/>
      <c r="AC13" s="10" t="n"/>
      <c r="AD13" s="10" t="n"/>
      <c r="AE13" s="11" t="n"/>
    </row>
    <row r="14">
      <c r="A14" t="n">
        <v>1</v>
      </c>
      <c r="C14" t="inlineStr">
        <is>
          <t>사용권자산</t>
        </is>
      </c>
      <c r="E14" s="18" t="n">
        <v>408.89</v>
      </c>
      <c r="F14" s="37" t="n">
        <v>408.89</v>
      </c>
      <c r="G14" s="18" t="n">
        <v>387.21</v>
      </c>
      <c r="H14" s="18" t="n">
        <v>639.26</v>
      </c>
      <c r="I14" s="18" t="n">
        <v>626.17</v>
      </c>
      <c r="J14" s="18" t="n">
        <v>517.0700000000001</v>
      </c>
      <c r="K14" s="37" t="n">
        <v>517.0700000000001</v>
      </c>
      <c r="L14" s="18" t="n">
        <v>536.02</v>
      </c>
      <c r="M14" s="18" t="n">
        <v>429.44</v>
      </c>
      <c r="N14" s="18" t="n">
        <v>319.66</v>
      </c>
      <c r="O14" s="18" t="n">
        <v>304.19</v>
      </c>
      <c r="P14" s="37" t="n">
        <v>304.19</v>
      </c>
      <c r="Q14" s="18" t="n">
        <v>283.75</v>
      </c>
      <c r="R14" s="19" t="n">
        <v>279.95</v>
      </c>
      <c r="S14" s="10" t="n"/>
      <c r="T14" s="10" t="n"/>
      <c r="U14" s="11" t="n"/>
      <c r="V14" s="10" t="n"/>
      <c r="W14" s="10" t="n"/>
      <c r="X14" s="10" t="n"/>
      <c r="Y14" s="10" t="n"/>
      <c r="Z14" s="11" t="n"/>
      <c r="AA14" s="10" t="n"/>
      <c r="AB14" s="10" t="n"/>
      <c r="AC14" s="10" t="n"/>
      <c r="AD14" s="10" t="n"/>
      <c r="AE14" s="11" t="n"/>
    </row>
    <row r="15">
      <c r="A15" t="n">
        <v>1</v>
      </c>
      <c r="C15" t="inlineStr">
        <is>
          <t>기타비유동자산</t>
        </is>
      </c>
      <c r="E15" s="18" t="n">
        <v>408.89</v>
      </c>
      <c r="F15" s="37" t="n">
        <v>408.89</v>
      </c>
      <c r="G15" s="18" t="n">
        <v>387.21</v>
      </c>
      <c r="H15" s="18" t="n">
        <v>639.26</v>
      </c>
      <c r="I15" s="18" t="n">
        <v>626.17</v>
      </c>
      <c r="J15" s="18" t="n">
        <v>517.0700000000001</v>
      </c>
      <c r="K15" s="37" t="n">
        <v>517.0700000000001</v>
      </c>
      <c r="L15" s="18" t="n">
        <v>536.02</v>
      </c>
      <c r="M15" s="18" t="n">
        <v>429.44</v>
      </c>
      <c r="N15" s="18" t="n">
        <v>319.66</v>
      </c>
      <c r="O15" s="18" t="n">
        <v>304.19</v>
      </c>
      <c r="P15" s="37" t="n">
        <v>304.19</v>
      </c>
      <c r="Q15" s="18" t="n">
        <v>283.75</v>
      </c>
      <c r="R15" s="19" t="n">
        <v>279.95</v>
      </c>
      <c r="S15" s="10" t="n"/>
      <c r="T15" s="10" t="n"/>
      <c r="U15" s="11" t="n"/>
      <c r="V15" s="10" t="n"/>
      <c r="W15" s="10" t="n"/>
      <c r="X15" s="10" t="n"/>
      <c r="Y15" s="10" t="n"/>
      <c r="Z15" s="11" t="n"/>
      <c r="AA15" s="10" t="n"/>
      <c r="AB15" s="10" t="n"/>
      <c r="AC15" s="10" t="n"/>
      <c r="AD15" s="10" t="n"/>
      <c r="AE15" s="11" t="n"/>
    </row>
    <row r="16">
      <c r="A16" t="n">
        <v>1</v>
      </c>
      <c r="C16" t="inlineStr">
        <is>
          <t>무형자산</t>
        </is>
      </c>
      <c r="E16" s="18" t="n">
        <v>37.32</v>
      </c>
      <c r="F16" s="37" t="n">
        <v>37.32</v>
      </c>
      <c r="G16" s="18" t="n">
        <v>33.25</v>
      </c>
      <c r="H16" s="18" t="n">
        <v>29.21</v>
      </c>
      <c r="I16" s="18" t="n">
        <v>42.29</v>
      </c>
      <c r="J16" s="18" t="n">
        <v>75.29000000000001</v>
      </c>
      <c r="K16" s="37" t="n">
        <v>75.29000000000001</v>
      </c>
      <c r="L16" s="18" t="n">
        <v>93.36</v>
      </c>
      <c r="M16" s="18" t="n">
        <v>799.5599999999999</v>
      </c>
      <c r="N16" s="18" t="n">
        <v>794.26</v>
      </c>
      <c r="O16" s="18" t="n">
        <v>788.95</v>
      </c>
      <c r="P16" s="37" t="n">
        <v>788.95</v>
      </c>
      <c r="Q16" s="18" t="n">
        <v>791.53</v>
      </c>
      <c r="R16" s="19" t="n">
        <v>785.83</v>
      </c>
      <c r="S16" s="10" t="n"/>
      <c r="T16" s="10" t="n"/>
      <c r="U16" s="11" t="n"/>
      <c r="V16" s="10" t="n"/>
      <c r="W16" s="10" t="n"/>
      <c r="X16" s="10" t="n"/>
      <c r="Y16" s="10" t="n"/>
      <c r="Z16" s="11" t="n"/>
      <c r="AA16" s="10" t="n"/>
      <c r="AB16" s="10" t="n"/>
      <c r="AC16" s="10" t="n"/>
      <c r="AD16" s="10" t="n"/>
      <c r="AE16" s="11" t="n"/>
    </row>
    <row r="17">
      <c r="A17" t="n">
        <v>1</v>
      </c>
      <c r="C17" t="inlineStr">
        <is>
          <t>장기매출채권및기타채권</t>
        </is>
      </c>
      <c r="E17" s="18" t="n">
        <v>458.46</v>
      </c>
      <c r="F17" s="37" t="n">
        <v>458.46</v>
      </c>
      <c r="G17" s="18" t="n">
        <v>542.23</v>
      </c>
      <c r="H17" s="18" t="n">
        <v>488.45</v>
      </c>
      <c r="I17" s="18" t="n">
        <v>434.28</v>
      </c>
      <c r="J17" s="18" t="n">
        <v>379.75</v>
      </c>
      <c r="K17" s="37" t="n">
        <v>379.75</v>
      </c>
      <c r="L17" s="18" t="n">
        <v>349.84</v>
      </c>
      <c r="M17" s="18" t="n">
        <v>319.62</v>
      </c>
      <c r="N17" s="18" t="n">
        <v>289.06</v>
      </c>
      <c r="O17" s="18" t="n">
        <v>258.18</v>
      </c>
      <c r="P17" s="37" t="n">
        <v>258.18</v>
      </c>
      <c r="R17" s="19" t="n">
        <v>211.65</v>
      </c>
      <c r="S17" s="10" t="n"/>
      <c r="T17" s="10" t="n"/>
      <c r="U17" s="11" t="n"/>
      <c r="V17" s="10" t="n"/>
      <c r="W17" s="10" t="n"/>
      <c r="X17" s="10" t="n"/>
      <c r="Y17" s="10" t="n"/>
      <c r="Z17" s="11" t="n"/>
      <c r="AA17" s="10" t="n"/>
      <c r="AB17" s="10" t="n"/>
      <c r="AC17" s="10" t="n"/>
      <c r="AD17" s="10" t="n"/>
      <c r="AE17" s="11" t="n"/>
    </row>
    <row r="18">
      <c r="A18" t="n">
        <v>1</v>
      </c>
      <c r="C18" t="inlineStr">
        <is>
          <t>이연법인세자산</t>
        </is>
      </c>
      <c r="E18" s="18" t="n">
        <v>1160.26</v>
      </c>
      <c r="F18" s="37" t="n">
        <v>1160.26</v>
      </c>
      <c r="G18" s="18" t="n">
        <v>1160.26</v>
      </c>
      <c r="H18" s="18" t="n">
        <v>1422.45</v>
      </c>
      <c r="I18" s="18" t="n">
        <v>1422.45</v>
      </c>
      <c r="J18" s="18" t="n">
        <v>1015.07</v>
      </c>
      <c r="K18" s="37" t="n">
        <v>1015.07</v>
      </c>
      <c r="L18" s="18" t="n">
        <v>1015.07</v>
      </c>
      <c r="M18" s="18" t="n">
        <v>323.27</v>
      </c>
      <c r="N18" s="18" t="n">
        <v>323.27</v>
      </c>
      <c r="O18" s="18" t="n">
        <v>671.83</v>
      </c>
      <c r="P18" s="37" t="n">
        <v>671.83</v>
      </c>
      <c r="Q18" s="18" t="n">
        <v>671.83</v>
      </c>
      <c r="R18" s="19" t="n">
        <v>879</v>
      </c>
      <c r="S18" s="10" t="n"/>
      <c r="T18" s="10" t="n"/>
      <c r="U18" s="11" t="n"/>
      <c r="V18" s="10" t="n"/>
      <c r="W18" s="10" t="n"/>
      <c r="X18" s="10" t="n"/>
      <c r="Y18" s="10" t="n"/>
      <c r="Z18" s="11" t="n"/>
      <c r="AA18" s="10" t="n"/>
      <c r="AB18" s="10" t="n"/>
      <c r="AC18" s="10" t="n"/>
      <c r="AD18" s="10" t="n"/>
      <c r="AE18" s="11" t="n"/>
    </row>
    <row r="19">
      <c r="A19" t="n">
        <v>1</v>
      </c>
      <c r="C19" t="inlineStr">
        <is>
          <t>자산총계</t>
        </is>
      </c>
      <c r="E19" s="18" t="n">
        <v>72139.86</v>
      </c>
      <c r="F19" s="37" t="n">
        <v>72139.86</v>
      </c>
      <c r="G19" s="18" t="n">
        <v>74432.17</v>
      </c>
      <c r="H19" s="18" t="n">
        <v>76912.55</v>
      </c>
      <c r="I19" s="18" t="n">
        <v>73961.25999999999</v>
      </c>
      <c r="J19" s="18" t="n">
        <v>78986.92</v>
      </c>
      <c r="K19" s="37" t="n">
        <v>78986.92</v>
      </c>
      <c r="L19" s="18" t="n">
        <v>105804.05</v>
      </c>
      <c r="M19" s="18" t="n">
        <v>107523.76</v>
      </c>
      <c r="N19" s="18" t="n">
        <v>110505.12</v>
      </c>
      <c r="O19" s="18" t="n">
        <v>140596.24</v>
      </c>
      <c r="P19" s="37" t="n">
        <v>140596.24</v>
      </c>
      <c r="Q19" s="18" t="n">
        <v>156038.21</v>
      </c>
      <c r="R19" s="19" t="n">
        <v>154288.11</v>
      </c>
      <c r="S19" s="10" t="n"/>
      <c r="T19" s="10" t="n"/>
      <c r="U19" s="11" t="n"/>
      <c r="V19" s="10" t="n"/>
      <c r="W19" s="10" t="n"/>
      <c r="X19" s="10" t="n"/>
      <c r="Y19" s="10" t="n"/>
      <c r="Z19" s="11" t="n"/>
      <c r="AA19" s="10" t="n"/>
      <c r="AB19" s="10" t="n"/>
      <c r="AC19" s="10" t="n"/>
      <c r="AD19" s="10" t="n"/>
      <c r="AE19" s="11" t="n"/>
    </row>
    <row r="20">
      <c r="A20" t="n">
        <v>1</v>
      </c>
      <c r="C20" t="inlineStr">
        <is>
          <t>유동부채</t>
        </is>
      </c>
      <c r="E20" s="18" t="n">
        <v>8269.110000000001</v>
      </c>
      <c r="F20" s="37" t="n">
        <v>8269.110000000001</v>
      </c>
      <c r="G20" s="18" t="n">
        <v>8741.93</v>
      </c>
      <c r="H20" s="18" t="n">
        <v>9712.719999999999</v>
      </c>
      <c r="I20" s="18" t="n">
        <v>6792.44</v>
      </c>
      <c r="J20" s="18" t="n">
        <v>11750.66</v>
      </c>
      <c r="K20" s="37" t="n">
        <v>11750.66</v>
      </c>
      <c r="L20" s="18" t="n">
        <v>31516.58</v>
      </c>
      <c r="M20" s="18" t="n">
        <v>35948.55</v>
      </c>
      <c r="N20" s="18" t="n">
        <v>36066.78</v>
      </c>
      <c r="O20" s="18" t="n">
        <v>38861.23</v>
      </c>
      <c r="P20" s="37" t="n">
        <v>38861.23</v>
      </c>
      <c r="Q20" s="18" t="n">
        <v>30937.17</v>
      </c>
      <c r="R20" s="19" t="n">
        <v>25281.73</v>
      </c>
      <c r="S20" s="10" t="n"/>
      <c r="T20" s="10" t="n"/>
      <c r="U20" s="11" t="n"/>
      <c r="V20" s="10" t="n"/>
      <c r="W20" s="10" t="n"/>
      <c r="X20" s="10" t="n"/>
      <c r="Y20" s="10" t="n"/>
      <c r="Z20" s="11" t="n"/>
      <c r="AA20" s="10" t="n"/>
      <c r="AB20" s="10" t="n"/>
      <c r="AC20" s="10" t="n"/>
      <c r="AD20" s="10" t="n"/>
      <c r="AE20" s="11" t="n"/>
    </row>
    <row r="21">
      <c r="A21" t="n">
        <v>1</v>
      </c>
      <c r="C21" t="inlineStr">
        <is>
          <t>매입채무및기타채무</t>
        </is>
      </c>
      <c r="E21" s="18" t="n">
        <v>4580.61</v>
      </c>
      <c r="F21" s="37" t="n">
        <v>4580.61</v>
      </c>
      <c r="G21" s="18" t="n">
        <v>5227.63</v>
      </c>
      <c r="H21" s="18" t="n">
        <v>5365.41</v>
      </c>
      <c r="I21" s="18" t="n">
        <v>2778.01</v>
      </c>
      <c r="J21" s="18" t="n">
        <v>2350.11</v>
      </c>
      <c r="K21" s="37" t="n">
        <v>2350.11</v>
      </c>
      <c r="L21" s="18" t="n">
        <v>3065.8</v>
      </c>
      <c r="M21" s="18" t="n">
        <v>4050.52</v>
      </c>
      <c r="N21" s="18" t="n">
        <v>4125.69</v>
      </c>
      <c r="O21" s="18" t="n">
        <v>4468.1</v>
      </c>
      <c r="P21" s="37" t="n">
        <v>4468.1</v>
      </c>
      <c r="Q21" s="18" t="n">
        <v>6934.79</v>
      </c>
      <c r="R21" s="19" t="n">
        <v>5812</v>
      </c>
      <c r="S21" s="10" t="n"/>
      <c r="T21" s="10" t="n"/>
      <c r="U21" s="11" t="n"/>
      <c r="V21" s="10" t="n"/>
      <c r="W21" s="10" t="n"/>
      <c r="X21" s="10" t="n"/>
      <c r="Y21" s="10" t="n"/>
      <c r="Z21" s="11" t="n"/>
      <c r="AA21" s="10" t="n"/>
      <c r="AB21" s="10" t="n"/>
      <c r="AC21" s="10" t="n"/>
      <c r="AD21" s="10" t="n"/>
      <c r="AE21" s="11" t="n"/>
    </row>
    <row r="22">
      <c r="A22" t="n">
        <v>1</v>
      </c>
      <c r="C22" t="inlineStr">
        <is>
          <t>단기차입금</t>
        </is>
      </c>
      <c r="E22" s="18" t="n">
        <v>2065.54</v>
      </c>
      <c r="F22" s="37" t="n">
        <v>2065.54</v>
      </c>
      <c r="G22" s="18" t="n">
        <v>2006.84</v>
      </c>
      <c r="H22" s="18" t="n">
        <v>2086.52</v>
      </c>
      <c r="I22" s="18" t="n">
        <v>1955.32</v>
      </c>
      <c r="J22" s="18" t="n">
        <v>7214.72</v>
      </c>
      <c r="K22" s="37" t="n">
        <v>7214.72</v>
      </c>
      <c r="L22" s="18" t="n">
        <v>16934.85</v>
      </c>
      <c r="M22" s="18" t="n">
        <v>19259.52</v>
      </c>
      <c r="N22" s="18" t="n">
        <v>19177.32</v>
      </c>
      <c r="O22" s="18" t="n">
        <v>20626.89</v>
      </c>
      <c r="P22" s="37" t="n">
        <v>20626.89</v>
      </c>
      <c r="Q22" s="18" t="n">
        <v>18216.01</v>
      </c>
      <c r="R22" s="19" t="n">
        <v>14644.52</v>
      </c>
      <c r="S22" s="10" t="n"/>
      <c r="T22" s="10" t="n"/>
      <c r="U22" s="11" t="n"/>
      <c r="V22" s="10" t="n"/>
      <c r="W22" s="10" t="n"/>
      <c r="X22" s="10" t="n"/>
      <c r="Y22" s="10" t="n"/>
      <c r="Z22" s="11" t="n"/>
      <c r="AA22" s="10" t="n"/>
      <c r="AB22" s="10" t="n"/>
      <c r="AC22" s="10" t="n"/>
      <c r="AD22" s="10" t="n"/>
      <c r="AE22" s="11" t="n"/>
    </row>
    <row r="23">
      <c r="A23" t="n">
        <v>1</v>
      </c>
      <c r="C23" t="inlineStr">
        <is>
          <t>단기금융부채(face)</t>
        </is>
      </c>
      <c r="E23" s="18" t="n">
        <v>2065.54</v>
      </c>
      <c r="F23" s="37" t="n">
        <v>2065.54</v>
      </c>
      <c r="G23" s="18" t="n">
        <v>2006.84</v>
      </c>
      <c r="H23" s="18" t="n">
        <v>2086.52</v>
      </c>
      <c r="I23" s="18" t="n">
        <v>1955.32</v>
      </c>
      <c r="J23" s="18" t="n">
        <v>7214.72</v>
      </c>
      <c r="K23" s="37" t="n">
        <v>7214.72</v>
      </c>
      <c r="L23" s="18" t="n">
        <v>16934.85</v>
      </c>
      <c r="M23" s="18" t="n">
        <v>19259.52</v>
      </c>
      <c r="N23" s="18" t="n">
        <v>19177.32</v>
      </c>
      <c r="O23" s="18" t="n">
        <v>20626.89</v>
      </c>
      <c r="P23" s="37" t="n">
        <v>20626.89</v>
      </c>
      <c r="Q23" s="18" t="n">
        <v>18216.01</v>
      </c>
      <c r="R23" s="19" t="n">
        <v>14644.52</v>
      </c>
      <c r="S23" s="10" t="n"/>
      <c r="T23" s="10" t="n"/>
      <c r="U23" s="11" t="n"/>
      <c r="V23" s="10" t="n"/>
      <c r="W23" s="10" t="n"/>
      <c r="X23" s="10" t="n"/>
      <c r="Y23" s="10" t="n"/>
      <c r="Z23" s="11" t="n"/>
      <c r="AA23" s="10" t="n"/>
      <c r="AB23" s="10" t="n"/>
      <c r="AC23" s="10" t="n"/>
      <c r="AD23" s="10" t="n"/>
      <c r="AE23" s="11" t="n"/>
    </row>
    <row r="24">
      <c r="A24" t="n">
        <v>1</v>
      </c>
      <c r="C24" t="inlineStr">
        <is>
          <t>유동리스부채</t>
        </is>
      </c>
      <c r="E24" s="18" t="n">
        <v>187.92</v>
      </c>
      <c r="F24" s="37" t="n">
        <v>187.92</v>
      </c>
      <c r="G24" s="18" t="n">
        <v>193.6</v>
      </c>
      <c r="H24" s="18" t="n">
        <v>310.12</v>
      </c>
      <c r="I24" s="18" t="n">
        <v>365.58</v>
      </c>
      <c r="J24" s="18" t="n">
        <v>324.32</v>
      </c>
      <c r="K24" s="37" t="n">
        <v>324.32</v>
      </c>
      <c r="L24" s="18" t="n">
        <v>354.71</v>
      </c>
      <c r="M24" s="18" t="n">
        <v>315.54</v>
      </c>
      <c r="N24" s="18" t="n">
        <v>269.14</v>
      </c>
      <c r="O24" s="18" t="n">
        <v>219.24</v>
      </c>
      <c r="P24" s="37" t="n">
        <v>219.24</v>
      </c>
      <c r="Q24" s="18" t="n">
        <v>172.79</v>
      </c>
      <c r="R24" s="19" t="n">
        <v>190.22</v>
      </c>
      <c r="S24" s="10" t="n"/>
      <c r="T24" s="10" t="n"/>
      <c r="U24" s="11" t="n"/>
      <c r="V24" s="10" t="n"/>
      <c r="W24" s="10" t="n"/>
      <c r="X24" s="10" t="n"/>
      <c r="Y24" s="10" t="n"/>
      <c r="Z24" s="11" t="n"/>
      <c r="AA24" s="10" t="n"/>
      <c r="AB24" s="10" t="n"/>
      <c r="AC24" s="10" t="n"/>
      <c r="AD24" s="10" t="n"/>
      <c r="AE24" s="11" t="n"/>
    </row>
    <row r="25">
      <c r="A25" t="n">
        <v>1</v>
      </c>
      <c r="C25" t="inlineStr">
        <is>
          <t>리스부채</t>
        </is>
      </c>
      <c r="E25" s="18" t="n">
        <v>419.63</v>
      </c>
      <c r="F25" s="37" t="n">
        <v>419.63</v>
      </c>
      <c r="G25" s="18" t="n">
        <v>398.95</v>
      </c>
      <c r="H25" s="18" t="n">
        <v>640.97</v>
      </c>
      <c r="I25" s="18" t="n">
        <v>630.47</v>
      </c>
      <c r="J25" s="18" t="n">
        <v>523.96</v>
      </c>
      <c r="K25" s="37" t="n">
        <v>523.96</v>
      </c>
      <c r="L25" s="18" t="n">
        <v>544.45</v>
      </c>
      <c r="M25" s="18" t="n">
        <v>439.74</v>
      </c>
      <c r="N25" s="18" t="n">
        <v>329.08</v>
      </c>
      <c r="O25" s="18" t="n">
        <v>313.86</v>
      </c>
      <c r="P25" s="37" t="n">
        <v>313.86</v>
      </c>
      <c r="Q25" s="18" t="n">
        <v>290.03</v>
      </c>
      <c r="R25" s="19" t="n">
        <v>286.12</v>
      </c>
      <c r="S25" s="10" t="n"/>
      <c r="T25" s="10" t="n"/>
      <c r="U25" s="11" t="n"/>
      <c r="V25" s="10" t="n"/>
      <c r="W25" s="10" t="n"/>
      <c r="X25" s="10" t="n"/>
      <c r="Y25" s="10" t="n"/>
      <c r="Z25" s="11" t="n"/>
      <c r="AA25" s="10" t="n"/>
      <c r="AB25" s="10" t="n"/>
      <c r="AC25" s="10" t="n"/>
      <c r="AD25" s="10" t="n"/>
      <c r="AE25" s="11" t="n"/>
    </row>
    <row r="26">
      <c r="A26" t="n">
        <v>1</v>
      </c>
      <c r="C26" t="inlineStr">
        <is>
          <t>단기금융부채</t>
        </is>
      </c>
      <c r="E26" s="18" t="n">
        <v>187.92</v>
      </c>
      <c r="F26" s="37" t="n">
        <v>187.92</v>
      </c>
      <c r="G26" s="18" t="n">
        <v>193.6</v>
      </c>
      <c r="H26" s="18" t="n">
        <v>310.12</v>
      </c>
      <c r="I26" s="18" t="n">
        <v>365.58</v>
      </c>
      <c r="J26" s="18" t="n">
        <v>324.32</v>
      </c>
      <c r="K26" s="37" t="n">
        <v>324.32</v>
      </c>
      <c r="L26" s="18" t="n">
        <v>354.71</v>
      </c>
      <c r="M26" s="18" t="n">
        <v>315.54</v>
      </c>
      <c r="N26" s="18" t="n">
        <v>269.14</v>
      </c>
      <c r="O26" s="18" t="n">
        <v>219.24</v>
      </c>
      <c r="P26" s="37" t="n">
        <v>219.24</v>
      </c>
      <c r="Q26" s="18" t="n">
        <v>172.79</v>
      </c>
      <c r="R26" s="19" t="n">
        <v>190.22</v>
      </c>
      <c r="S26" s="10" t="n"/>
      <c r="T26" s="10" t="n"/>
      <c r="U26" s="11" t="n"/>
      <c r="V26" s="10" t="n"/>
      <c r="W26" s="10" t="n"/>
      <c r="X26" s="10" t="n"/>
      <c r="Y26" s="10" t="n"/>
      <c r="Z26" s="11" t="n"/>
      <c r="AA26" s="10" t="n"/>
      <c r="AB26" s="10" t="n"/>
      <c r="AC26" s="10" t="n"/>
      <c r="AD26" s="10" t="n"/>
      <c r="AE26" s="11" t="n"/>
    </row>
    <row r="27">
      <c r="A27" t="n">
        <v>1</v>
      </c>
      <c r="C27" t="inlineStr">
        <is>
          <t>기타유동부채</t>
        </is>
      </c>
      <c r="E27" s="18" t="n">
        <v>1435.04</v>
      </c>
      <c r="F27" s="37" t="n">
        <v>1435.04</v>
      </c>
      <c r="G27" s="18" t="n">
        <v>1313.86</v>
      </c>
      <c r="H27" s="18" t="n">
        <v>1950.67</v>
      </c>
      <c r="I27" s="18" t="n">
        <v>1693.53</v>
      </c>
      <c r="J27" s="18" t="n">
        <v>1861.5</v>
      </c>
      <c r="K27" s="37" t="n">
        <v>1861.5</v>
      </c>
      <c r="L27" s="18" t="n">
        <v>1501.28</v>
      </c>
      <c r="M27" s="18" t="n">
        <v>2264.3</v>
      </c>
      <c r="N27" s="18" t="n">
        <v>2020.78</v>
      </c>
      <c r="O27" s="18" t="n">
        <v>2642.06</v>
      </c>
      <c r="P27" s="37" t="n">
        <v>2642.06</v>
      </c>
      <c r="Q27" s="18" t="n">
        <v>2208.2</v>
      </c>
      <c r="R27" s="19" t="n">
        <v>4634.99</v>
      </c>
      <c r="S27" s="10" t="n"/>
      <c r="T27" s="10" t="n"/>
      <c r="U27" s="11" t="n"/>
      <c r="V27" s="10" t="n"/>
      <c r="W27" s="10" t="n"/>
      <c r="X27" s="10" t="n"/>
      <c r="Y27" s="10" t="n"/>
      <c r="Z27" s="11" t="n"/>
      <c r="AA27" s="10" t="n"/>
      <c r="AB27" s="10" t="n"/>
      <c r="AC27" s="10" t="n"/>
      <c r="AD27" s="10" t="n"/>
      <c r="AE27" s="11" t="n"/>
    </row>
    <row r="28">
      <c r="A28" t="n">
        <v>1</v>
      </c>
      <c r="C28" t="inlineStr">
        <is>
          <t>비유동부채</t>
        </is>
      </c>
      <c r="E28" s="18" t="n">
        <v>8953.75</v>
      </c>
      <c r="F28" s="37" t="n">
        <v>8953.75</v>
      </c>
      <c r="G28" s="18" t="n">
        <v>9152.809999999999</v>
      </c>
      <c r="H28" s="18" t="n">
        <v>9711.629999999999</v>
      </c>
      <c r="I28" s="18" t="n">
        <v>9354.110000000001</v>
      </c>
      <c r="J28" s="18" t="n">
        <v>8290.389999999999</v>
      </c>
      <c r="K28" s="37" t="n">
        <v>8290.389999999999</v>
      </c>
      <c r="L28" s="18" t="n">
        <v>13245.79</v>
      </c>
      <c r="M28" s="18" t="n">
        <v>6386.94</v>
      </c>
      <c r="N28" s="18" t="n">
        <v>6496.14</v>
      </c>
      <c r="O28" s="18" t="n">
        <v>33385.96</v>
      </c>
      <c r="P28" s="37" t="n">
        <v>33385.96</v>
      </c>
      <c r="Q28" s="18" t="n">
        <v>33406.38</v>
      </c>
      <c r="R28" s="19" t="n">
        <v>35114.13</v>
      </c>
      <c r="S28" s="10" t="n"/>
      <c r="T28" s="10" t="n"/>
      <c r="U28" s="11" t="n"/>
      <c r="V28" s="10" t="n"/>
      <c r="W28" s="10" t="n"/>
      <c r="X28" s="10" t="n"/>
      <c r="Y28" s="10" t="n"/>
      <c r="Z28" s="11" t="n"/>
      <c r="AA28" s="10" t="n"/>
      <c r="AB28" s="10" t="n"/>
      <c r="AC28" s="10" t="n"/>
      <c r="AD28" s="10" t="n"/>
      <c r="AE28" s="11" t="n"/>
    </row>
    <row r="29">
      <c r="A29" t="n">
        <v>1</v>
      </c>
      <c r="C29" t="inlineStr">
        <is>
          <t>장기차입금</t>
        </is>
      </c>
      <c r="E29" s="18" t="n">
        <v>7130</v>
      </c>
      <c r="F29" s="37" t="n">
        <v>7130</v>
      </c>
      <c r="G29" s="18" t="n">
        <v>7170</v>
      </c>
      <c r="H29" s="18" t="n">
        <v>7210</v>
      </c>
      <c r="I29" s="18" t="n">
        <v>6810</v>
      </c>
      <c r="J29" s="18" t="n">
        <v>6200</v>
      </c>
      <c r="K29" s="37" t="n">
        <v>6200</v>
      </c>
      <c r="L29" s="18" t="n">
        <v>6200</v>
      </c>
      <c r="M29" s="18" t="n">
        <v>0</v>
      </c>
      <c r="N29" s="18" t="n">
        <v>0</v>
      </c>
      <c r="O29" s="18" t="n">
        <v>31760.11</v>
      </c>
      <c r="P29" s="37" t="n">
        <v>31760.11</v>
      </c>
      <c r="Q29" s="18" t="n">
        <v>31604.61</v>
      </c>
      <c r="R29" s="19" t="n">
        <v>33133.33</v>
      </c>
      <c r="S29" s="10" t="n"/>
      <c r="T29" s="10" t="n"/>
      <c r="U29" s="11" t="n"/>
      <c r="V29" s="10" t="n"/>
      <c r="W29" s="10" t="n"/>
      <c r="X29" s="10" t="n"/>
      <c r="Y29" s="10" t="n"/>
      <c r="Z29" s="11" t="n"/>
      <c r="AA29" s="10" t="n"/>
      <c r="AB29" s="10" t="n"/>
      <c r="AC29" s="10" t="n"/>
      <c r="AD29" s="10" t="n"/>
      <c r="AE29" s="11" t="n"/>
    </row>
    <row r="30">
      <c r="A30" t="n">
        <v>1</v>
      </c>
      <c r="C30" t="inlineStr">
        <is>
          <t>확정급여부채</t>
        </is>
      </c>
      <c r="E30" s="18" t="n">
        <v>1592.04</v>
      </c>
      <c r="F30" s="37" t="n">
        <v>1592.04</v>
      </c>
      <c r="G30" s="18" t="n">
        <v>1777.46</v>
      </c>
      <c r="H30" s="18" t="n">
        <v>2170.79</v>
      </c>
      <c r="I30" s="18" t="n">
        <v>2279.22</v>
      </c>
      <c r="J30" s="18" t="n">
        <v>1890.75</v>
      </c>
      <c r="K30" s="37" t="n">
        <v>1890.75</v>
      </c>
      <c r="L30" s="18" t="n">
        <v>2060.39</v>
      </c>
      <c r="M30" s="18" t="n">
        <v>2480.29</v>
      </c>
      <c r="N30" s="18" t="n">
        <v>2653.75</v>
      </c>
      <c r="O30" s="18" t="n">
        <v>1531.23</v>
      </c>
      <c r="P30" s="37" t="n">
        <v>1531.23</v>
      </c>
      <c r="Q30" s="18" t="n">
        <v>1684.52</v>
      </c>
      <c r="R30" s="19" t="n">
        <v>1884.9</v>
      </c>
      <c r="S30" s="10" t="n"/>
      <c r="T30" s="10" t="n"/>
      <c r="U30" s="11" t="n"/>
      <c r="V30" s="10" t="n"/>
      <c r="W30" s="10" t="n"/>
      <c r="X30" s="10" t="n"/>
      <c r="Y30" s="10" t="n"/>
      <c r="Z30" s="11" t="n"/>
      <c r="AA30" s="10" t="n"/>
      <c r="AB30" s="10" t="n"/>
      <c r="AC30" s="10" t="n"/>
      <c r="AD30" s="10" t="n"/>
      <c r="AE30" s="11" t="n"/>
    </row>
    <row r="31">
      <c r="A31" t="n">
        <v>1</v>
      </c>
      <c r="C31" t="inlineStr">
        <is>
          <t>장기금융부채(face)</t>
        </is>
      </c>
      <c r="E31" s="18" t="n">
        <v>530</v>
      </c>
      <c r="F31" s="37" t="n">
        <v>530</v>
      </c>
      <c r="G31" s="18" t="n">
        <v>570</v>
      </c>
      <c r="H31" s="18" t="n">
        <v>610</v>
      </c>
      <c r="I31" s="18" t="n">
        <v>6810</v>
      </c>
      <c r="K31" s="9" t="n"/>
      <c r="P31" s="9" t="n"/>
      <c r="R31" s="5" t="n"/>
      <c r="S31" s="10" t="n"/>
      <c r="T31" s="10" t="n"/>
      <c r="U31" s="11" t="n"/>
      <c r="V31" s="10" t="n"/>
      <c r="W31" s="10" t="n"/>
      <c r="X31" s="10" t="n"/>
      <c r="Y31" s="10" t="n"/>
      <c r="Z31" s="11" t="n"/>
      <c r="AA31" s="10" t="n"/>
      <c r="AB31" s="10" t="n"/>
      <c r="AC31" s="10" t="n"/>
      <c r="AD31" s="10" t="n"/>
      <c r="AE31" s="11" t="n"/>
    </row>
    <row r="32">
      <c r="A32" t="n">
        <v>1</v>
      </c>
      <c r="C32" t="inlineStr">
        <is>
          <t>비유동리스부채</t>
        </is>
      </c>
      <c r="E32" s="18" t="n">
        <v>231.71</v>
      </c>
      <c r="F32" s="37" t="n">
        <v>231.71</v>
      </c>
      <c r="G32" s="18" t="n">
        <v>205.35</v>
      </c>
      <c r="H32" s="18" t="n">
        <v>330.85</v>
      </c>
      <c r="I32" s="18" t="n">
        <v>264.89</v>
      </c>
      <c r="J32" s="18" t="n">
        <v>199.64</v>
      </c>
      <c r="K32" s="37" t="n">
        <v>199.64</v>
      </c>
      <c r="L32" s="18" t="n">
        <v>189.74</v>
      </c>
      <c r="M32" s="18" t="n">
        <v>124.2</v>
      </c>
      <c r="N32" s="18" t="n">
        <v>59.94</v>
      </c>
      <c r="O32" s="18" t="n">
        <v>94.62</v>
      </c>
      <c r="P32" s="37" t="n">
        <v>94.62</v>
      </c>
      <c r="Q32" s="18" t="n">
        <v>117.24</v>
      </c>
      <c r="R32" s="19" t="n">
        <v>95.90000000000001</v>
      </c>
      <c r="S32" s="10" t="n"/>
      <c r="T32" s="10" t="n"/>
      <c r="U32" s="11" t="n"/>
      <c r="V32" s="10" t="n"/>
      <c r="W32" s="10" t="n"/>
      <c r="X32" s="10" t="n"/>
      <c r="Y32" s="10" t="n"/>
      <c r="Z32" s="11" t="n"/>
      <c r="AA32" s="10" t="n"/>
      <c r="AB32" s="10" t="n"/>
      <c r="AC32" s="10" t="n"/>
      <c r="AD32" s="10" t="n"/>
      <c r="AE32" s="11" t="n"/>
    </row>
    <row r="33">
      <c r="A33" t="n">
        <v>1</v>
      </c>
      <c r="C33" t="inlineStr">
        <is>
          <t>장기금융부채</t>
        </is>
      </c>
      <c r="E33" s="18" t="n">
        <v>231.71</v>
      </c>
      <c r="F33" s="37" t="n">
        <v>231.71</v>
      </c>
      <c r="G33" s="18" t="n">
        <v>205.35</v>
      </c>
      <c r="H33" s="18" t="n">
        <v>330.85</v>
      </c>
      <c r="I33" s="18" t="n">
        <v>264.89</v>
      </c>
      <c r="J33" s="18" t="n">
        <v>199.64</v>
      </c>
      <c r="K33" s="37" t="n">
        <v>199.64</v>
      </c>
      <c r="L33" s="18" t="n">
        <v>4985.4</v>
      </c>
      <c r="M33" s="18" t="n">
        <v>3906.65</v>
      </c>
      <c r="N33" s="18" t="n">
        <v>3842.39</v>
      </c>
      <c r="O33" s="18" t="n">
        <v>94.62</v>
      </c>
      <c r="P33" s="37" t="n">
        <v>94.62</v>
      </c>
      <c r="Q33" s="18" t="n">
        <v>117.24</v>
      </c>
      <c r="R33" s="19" t="n">
        <v>95.90000000000001</v>
      </c>
      <c r="S33" s="10" t="n"/>
      <c r="T33" s="10" t="n"/>
      <c r="U33" s="11" t="n"/>
      <c r="V33" s="10" t="n"/>
      <c r="W33" s="10" t="n"/>
      <c r="X33" s="10" t="n"/>
      <c r="Y33" s="10" t="n"/>
      <c r="Z33" s="11" t="n"/>
      <c r="AA33" s="10" t="n"/>
      <c r="AB33" s="10" t="n"/>
      <c r="AC33" s="10" t="n"/>
      <c r="AD33" s="10" t="n"/>
      <c r="AE33" s="11" t="n"/>
    </row>
    <row r="34">
      <c r="A34" t="n">
        <v>1</v>
      </c>
      <c r="C34" t="inlineStr">
        <is>
          <t>부채총계</t>
        </is>
      </c>
      <c r="E34" s="18" t="n">
        <v>17222.86</v>
      </c>
      <c r="F34" s="37" t="n">
        <v>17222.86</v>
      </c>
      <c r="G34" s="18" t="n">
        <v>17894.74</v>
      </c>
      <c r="H34" s="18" t="n">
        <v>19424.35</v>
      </c>
      <c r="I34" s="18" t="n">
        <v>16146.55</v>
      </c>
      <c r="J34" s="18" t="n">
        <v>20041.05</v>
      </c>
      <c r="K34" s="37" t="n">
        <v>20041.05</v>
      </c>
      <c r="L34" s="18" t="n">
        <v>44762.38</v>
      </c>
      <c r="M34" s="18" t="n">
        <v>42335.5</v>
      </c>
      <c r="N34" s="18" t="n">
        <v>42562.93</v>
      </c>
      <c r="O34" s="18" t="n">
        <v>72247.2</v>
      </c>
      <c r="P34" s="37" t="n">
        <v>72247.2</v>
      </c>
      <c r="Q34" s="18" t="n">
        <v>64343.54</v>
      </c>
      <c r="R34" s="19" t="n">
        <v>60395.87</v>
      </c>
      <c r="S34" s="10" t="n"/>
      <c r="T34" s="10" t="n"/>
      <c r="U34" s="11" t="n"/>
      <c r="V34" s="10" t="n"/>
      <c r="W34" s="10" t="n"/>
      <c r="X34" s="10" t="n"/>
      <c r="Y34" s="10" t="n"/>
      <c r="Z34" s="11" t="n"/>
      <c r="AA34" s="10" t="n"/>
      <c r="AB34" s="10" t="n"/>
      <c r="AC34" s="10" t="n"/>
      <c r="AD34" s="10" t="n"/>
      <c r="AE34" s="11" t="n"/>
    </row>
    <row r="35">
      <c r="A35" t="n">
        <v>1</v>
      </c>
      <c r="C35" t="inlineStr">
        <is>
          <t>자본금</t>
        </is>
      </c>
      <c r="E35" s="18" t="n">
        <v>8501.25</v>
      </c>
      <c r="F35" s="37" t="n">
        <v>8501.25</v>
      </c>
      <c r="G35" s="18" t="n">
        <v>8501.25</v>
      </c>
      <c r="H35" s="18" t="n">
        <v>8501.25</v>
      </c>
      <c r="I35" s="18" t="n">
        <v>8501.25</v>
      </c>
      <c r="J35" s="18" t="n">
        <v>8568.299999999999</v>
      </c>
      <c r="K35" s="37" t="n">
        <v>8568.299999999999</v>
      </c>
      <c r="L35" s="18" t="n">
        <v>8626.120000000001</v>
      </c>
      <c r="M35" s="18" t="n">
        <v>8632.879999999999</v>
      </c>
      <c r="N35" s="18" t="n">
        <v>8637.07</v>
      </c>
      <c r="O35" s="18" t="n">
        <v>8637.07</v>
      </c>
      <c r="P35" s="37" t="n">
        <v>8637.07</v>
      </c>
      <c r="Q35" s="18" t="n">
        <v>9623.209999999999</v>
      </c>
      <c r="R35" s="19" t="n">
        <v>9623.83</v>
      </c>
      <c r="S35" s="10" t="n"/>
      <c r="T35" s="10" t="n"/>
      <c r="U35" s="11" t="n"/>
      <c r="V35" s="10" t="n"/>
      <c r="W35" s="10" t="n"/>
      <c r="X35" s="10" t="n"/>
      <c r="Y35" s="10" t="n"/>
      <c r="Z35" s="11" t="n"/>
      <c r="AA35" s="10" t="n"/>
      <c r="AB35" s="10" t="n"/>
      <c r="AC35" s="10" t="n"/>
      <c r="AD35" s="10" t="n"/>
      <c r="AE35" s="11" t="n"/>
    </row>
    <row r="36">
      <c r="A36" t="n">
        <v>1</v>
      </c>
      <c r="C36" t="inlineStr">
        <is>
          <t>자본잉여금</t>
        </is>
      </c>
      <c r="E36" s="18" t="n">
        <v>27640.78</v>
      </c>
      <c r="F36" s="37" t="n">
        <v>27640.78</v>
      </c>
      <c r="G36" s="18" t="n">
        <v>27640.78</v>
      </c>
      <c r="H36" s="18" t="n">
        <v>27640.78</v>
      </c>
      <c r="I36" s="18" t="n">
        <v>27640.78</v>
      </c>
      <c r="J36" s="18" t="n">
        <v>28025.59</v>
      </c>
      <c r="K36" s="37" t="n">
        <v>28025.59</v>
      </c>
      <c r="L36" s="18" t="n">
        <v>28550.59</v>
      </c>
      <c r="M36" s="18" t="n">
        <v>28607.98</v>
      </c>
      <c r="O36" s="18" t="n">
        <v>28644.45</v>
      </c>
      <c r="P36" s="37" t="n">
        <v>28644.45</v>
      </c>
      <c r="Q36" s="18" t="n">
        <v>56100.24</v>
      </c>
      <c r="R36" s="19" t="n">
        <v>56104.48</v>
      </c>
      <c r="S36" s="10" t="n"/>
      <c r="T36" s="10" t="n"/>
      <c r="U36" s="11" t="n"/>
      <c r="V36" s="10" t="n"/>
      <c r="W36" s="10" t="n"/>
      <c r="X36" s="10" t="n"/>
      <c r="Y36" s="10" t="n"/>
      <c r="Z36" s="11" t="n"/>
      <c r="AA36" s="10" t="n"/>
      <c r="AB36" s="10" t="n"/>
      <c r="AC36" s="10" t="n"/>
      <c r="AD36" s="10" t="n"/>
      <c r="AE36" s="11" t="n"/>
    </row>
    <row r="37">
      <c r="A37" t="n">
        <v>1</v>
      </c>
      <c r="C37" t="inlineStr">
        <is>
          <t>기타자본</t>
        </is>
      </c>
      <c r="E37" s="18" t="n">
        <v>778.72</v>
      </c>
      <c r="F37" s="37" t="n">
        <v>778.72</v>
      </c>
      <c r="G37" s="18" t="n">
        <v>854.16</v>
      </c>
      <c r="H37" s="18" t="n">
        <v>1006.54</v>
      </c>
      <c r="I37" s="18" t="n">
        <v>1067.98</v>
      </c>
      <c r="J37" s="18" t="n">
        <v>395.69</v>
      </c>
      <c r="K37" s="37" t="n">
        <v>395.69</v>
      </c>
      <c r="L37" s="18" t="n">
        <v>118.57</v>
      </c>
      <c r="M37" s="18" t="n">
        <v>89.45999999999999</v>
      </c>
      <c r="N37" s="18" t="n">
        <v>104.21</v>
      </c>
      <c r="O37" s="18" t="n">
        <v>155.07</v>
      </c>
      <c r="P37" s="37" t="n">
        <v>155.07</v>
      </c>
      <c r="Q37" s="18" t="n">
        <v>184.49</v>
      </c>
      <c r="R37" s="19" t="n">
        <v>346.05</v>
      </c>
      <c r="S37" s="10" t="n"/>
      <c r="T37" s="10" t="n"/>
      <c r="U37" s="11" t="n"/>
      <c r="V37" s="10" t="n"/>
      <c r="W37" s="10" t="n"/>
      <c r="X37" s="10" t="n"/>
      <c r="Y37" s="10" t="n"/>
      <c r="Z37" s="11" t="n"/>
      <c r="AA37" s="10" t="n"/>
      <c r="AB37" s="10" t="n"/>
      <c r="AC37" s="10" t="n"/>
      <c r="AD37" s="10" t="n"/>
      <c r="AE37" s="11" t="n"/>
    </row>
    <row r="38">
      <c r="A38" t="n">
        <v>1</v>
      </c>
      <c r="C38" t="inlineStr">
        <is>
          <t>이익잉여금</t>
        </is>
      </c>
      <c r="E38" s="18" t="n">
        <v>17996.25</v>
      </c>
      <c r="F38" s="37" t="n">
        <v>17996.25</v>
      </c>
      <c r="G38" s="18" t="n">
        <v>19541.24</v>
      </c>
      <c r="H38" s="18" t="n">
        <v>20339.62</v>
      </c>
      <c r="I38" s="18" t="n">
        <v>20604.7</v>
      </c>
      <c r="J38" s="18" t="n">
        <v>21956.29</v>
      </c>
      <c r="K38" s="37" t="n">
        <v>21956.29</v>
      </c>
      <c r="L38" s="18" t="n">
        <v>23746.39</v>
      </c>
      <c r="M38" s="18" t="n">
        <v>27857.95</v>
      </c>
      <c r="N38" s="18" t="n">
        <v>30556.46</v>
      </c>
      <c r="O38" s="18" t="n">
        <v>30912.45</v>
      </c>
      <c r="P38" s="37" t="n">
        <v>30912.45</v>
      </c>
      <c r="Q38" s="18" t="n">
        <v>25786.73</v>
      </c>
      <c r="R38" s="19" t="n">
        <v>27817.88</v>
      </c>
      <c r="S38" s="10" t="n"/>
      <c r="T38" s="10" t="n"/>
      <c r="U38" s="11" t="n"/>
      <c r="V38" s="10" t="n"/>
      <c r="W38" s="10" t="n"/>
      <c r="X38" s="10" t="n"/>
      <c r="Y38" s="10" t="n"/>
      <c r="Z38" s="11" t="n"/>
      <c r="AA38" s="10" t="n"/>
      <c r="AB38" s="10" t="n"/>
      <c r="AC38" s="10" t="n"/>
      <c r="AD38" s="10" t="n"/>
      <c r="AE38" s="11" t="n"/>
    </row>
    <row r="39">
      <c r="A39" t="n">
        <v>1</v>
      </c>
      <c r="C39" t="inlineStr">
        <is>
          <t>자본총계</t>
        </is>
      </c>
      <c r="E39" s="18" t="n">
        <v>54917</v>
      </c>
      <c r="F39" s="37" t="n">
        <v>54917</v>
      </c>
      <c r="G39" s="18" t="n">
        <v>56537.43</v>
      </c>
      <c r="H39" s="18" t="n">
        <v>57488.2</v>
      </c>
      <c r="I39" s="18" t="n">
        <v>57814.71</v>
      </c>
      <c r="J39" s="18" t="n">
        <v>58945.87</v>
      </c>
      <c r="K39" s="37" t="n">
        <v>58945.87</v>
      </c>
      <c r="L39" s="18" t="n">
        <v>61041.67</v>
      </c>
      <c r="M39" s="18" t="n">
        <v>65188.26</v>
      </c>
      <c r="N39" s="18" t="n">
        <v>67942.19</v>
      </c>
      <c r="O39" s="18" t="n">
        <v>68349.03999999999</v>
      </c>
      <c r="P39" s="37" t="n">
        <v>68349.03999999999</v>
      </c>
      <c r="Q39" s="18" t="n">
        <v>91694.67</v>
      </c>
      <c r="R39" s="19" t="n">
        <v>93892.24000000001</v>
      </c>
      <c r="S39" s="10" t="n"/>
      <c r="T39" s="10" t="n"/>
      <c r="U39" s="11" t="n"/>
      <c r="V39" s="10" t="n"/>
      <c r="W39" s="10" t="n"/>
      <c r="X39" s="10" t="n"/>
      <c r="Y39" s="10" t="n"/>
      <c r="Z39" s="11" t="n"/>
      <c r="AA39" s="10" t="n"/>
      <c r="AB39" s="10" t="n"/>
      <c r="AC39" s="10" t="n"/>
      <c r="AD39" s="10" t="n"/>
      <c r="AE39" s="11" t="n"/>
    </row>
    <row r="40">
      <c r="A40" t="n">
        <v>1</v>
      </c>
      <c r="C40" t="inlineStr">
        <is>
          <t>부채와자본총계</t>
        </is>
      </c>
      <c r="E40" s="18" t="n">
        <v>72139.86</v>
      </c>
      <c r="F40" s="37" t="n">
        <v>72139.86</v>
      </c>
      <c r="G40" s="18" t="n">
        <v>74432.17</v>
      </c>
      <c r="H40" s="18" t="n">
        <v>76912.55</v>
      </c>
      <c r="I40" s="18" t="n">
        <v>73961.25999999999</v>
      </c>
      <c r="J40" s="18" t="n">
        <v>78986.92</v>
      </c>
      <c r="K40" s="37" t="n">
        <v>78986.92</v>
      </c>
      <c r="L40" s="18" t="n">
        <v>105804.05</v>
      </c>
      <c r="M40" s="18" t="n">
        <v>107523.76</v>
      </c>
      <c r="N40" s="18" t="n">
        <v>110505.12</v>
      </c>
      <c r="O40" s="18" t="n">
        <v>140596.24</v>
      </c>
      <c r="P40" s="37" t="n">
        <v>140596.24</v>
      </c>
      <c r="Q40" s="18" t="n">
        <v>156038.21</v>
      </c>
      <c r="R40" s="19" t="n">
        <v>154288.11</v>
      </c>
      <c r="S40" s="10" t="n"/>
      <c r="T40" s="10" t="n"/>
      <c r="U40" s="11" t="n"/>
      <c r="V40" s="10" t="n"/>
      <c r="W40" s="10" t="n"/>
      <c r="X40" s="10" t="n"/>
      <c r="Y40" s="10" t="n"/>
      <c r="Z40" s="11" t="n"/>
      <c r="AA40" s="10" t="n"/>
      <c r="AB40" s="10" t="n"/>
      <c r="AC40" s="10" t="n"/>
      <c r="AD40" s="10" t="n"/>
      <c r="AE40" s="11" t="n"/>
    </row>
    <row r="41">
      <c r="A41" t="n">
        <v>1</v>
      </c>
      <c r="C41" t="inlineStr">
        <is>
          <t>지배주주지분</t>
        </is>
      </c>
      <c r="E41" s="18" t="n">
        <v>54917</v>
      </c>
      <c r="F41" s="37" t="n">
        <v>54917</v>
      </c>
      <c r="G41" s="18" t="n">
        <v>56537.43</v>
      </c>
      <c r="H41" s="18" t="n">
        <v>57488.2</v>
      </c>
      <c r="I41" s="18" t="n">
        <v>57814.71</v>
      </c>
      <c r="J41" s="18" t="n">
        <v>58945.87</v>
      </c>
      <c r="K41" s="37" t="n">
        <v>58945.87</v>
      </c>
      <c r="L41" s="18" t="n">
        <v>61041.67</v>
      </c>
      <c r="M41" s="18" t="n">
        <v>65188.26</v>
      </c>
      <c r="N41" s="18" t="n">
        <v>67942.19</v>
      </c>
      <c r="O41" s="18" t="n">
        <v>68349.03999999999</v>
      </c>
      <c r="P41" s="37" t="n">
        <v>68349.03999999999</v>
      </c>
      <c r="Q41" s="18" t="n">
        <v>91694.67</v>
      </c>
      <c r="R41" s="19" t="n">
        <v>93892.24000000001</v>
      </c>
      <c r="S41" s="10" t="n"/>
      <c r="T41" s="10" t="n"/>
      <c r="U41" s="11" t="n"/>
      <c r="V41" s="10" t="n"/>
      <c r="W41" s="10" t="n"/>
      <c r="X41" s="10" t="n"/>
      <c r="Y41" s="10" t="n"/>
      <c r="Z41" s="11" t="n"/>
      <c r="AA41" s="10" t="n"/>
      <c r="AB41" s="10" t="n"/>
      <c r="AC41" s="10" t="n"/>
      <c r="AD41" s="10" t="n"/>
      <c r="AE41" s="11" t="n"/>
    </row>
    <row r="42">
      <c r="A42" t="n">
        <v>1</v>
      </c>
      <c r="C42" t="inlineStr">
        <is>
          <t>총차입금</t>
        </is>
      </c>
      <c r="E42" s="18" t="n">
        <v>9195.540000000001</v>
      </c>
      <c r="F42" s="37" t="n">
        <v>9195.540000000001</v>
      </c>
      <c r="G42" s="18" t="n">
        <v>9176.84</v>
      </c>
      <c r="H42" s="18" t="n">
        <v>9296.52</v>
      </c>
      <c r="I42" s="18" t="n">
        <v>8765.32</v>
      </c>
      <c r="J42" s="18" t="n">
        <v>13414.72</v>
      </c>
      <c r="K42" s="37" t="n">
        <v>13414.72</v>
      </c>
      <c r="L42" s="18" t="n">
        <v>32794.8</v>
      </c>
      <c r="M42" s="18" t="n">
        <v>29318.2</v>
      </c>
      <c r="N42" s="18" t="n">
        <v>29651.17</v>
      </c>
      <c r="O42" s="18" t="n">
        <v>63291.96</v>
      </c>
      <c r="P42" s="37" t="n">
        <v>63291.96</v>
      </c>
      <c r="Q42" s="18" t="n">
        <v>53226.01</v>
      </c>
      <c r="R42" s="19" t="n">
        <v>47777.85</v>
      </c>
      <c r="S42" s="10" t="n"/>
      <c r="T42" s="10" t="n"/>
      <c r="U42" s="11" t="n"/>
      <c r="V42" s="10" t="n"/>
      <c r="W42" s="10" t="n"/>
      <c r="X42" s="10" t="n"/>
      <c r="Y42" s="10" t="n"/>
      <c r="Z42" s="11" t="n"/>
      <c r="AA42" s="10" t="n"/>
      <c r="AB42" s="10" t="n"/>
      <c r="AC42" s="10" t="n"/>
      <c r="AD42" s="10" t="n"/>
      <c r="AE42" s="11" t="n"/>
    </row>
    <row r="43">
      <c r="A43" t="n">
        <v>1</v>
      </c>
      <c r="C43" t="inlineStr">
        <is>
          <t>순차입금</t>
        </is>
      </c>
      <c r="E43" s="18" t="n">
        <v>1946.59</v>
      </c>
      <c r="F43" s="37" t="n">
        <v>1946.59</v>
      </c>
      <c r="G43" s="18" t="n">
        <v>1230.16</v>
      </c>
      <c r="H43" s="18" t="n">
        <v>1535.72</v>
      </c>
      <c r="I43" s="18" t="n">
        <v>2902.58</v>
      </c>
      <c r="J43" s="18" t="n">
        <v>4823.3</v>
      </c>
      <c r="K43" s="37" t="n">
        <v>4823.3</v>
      </c>
      <c r="L43" s="18" t="n">
        <v>25966.84</v>
      </c>
      <c r="M43" s="18" t="n">
        <v>13513.92</v>
      </c>
      <c r="N43" s="18" t="n">
        <v>23063.34</v>
      </c>
      <c r="O43" s="18" t="n">
        <v>41136.23</v>
      </c>
      <c r="P43" s="37" t="n">
        <v>41136.23</v>
      </c>
      <c r="Q43" s="18" t="n">
        <v>39162.32</v>
      </c>
      <c r="R43" s="19" t="n">
        <v>34251.96</v>
      </c>
      <c r="S43" s="10" t="n"/>
      <c r="T43" s="10" t="n"/>
      <c r="U43" s="11" t="n"/>
      <c r="V43" s="10" t="n"/>
      <c r="W43" s="10" t="n"/>
      <c r="X43" s="10" t="n"/>
      <c r="Y43" s="10" t="n"/>
      <c r="Z43" s="11" t="n"/>
      <c r="AA43" s="10" t="n"/>
      <c r="AB43" s="10" t="n"/>
      <c r="AC43" s="10" t="n"/>
      <c r="AD43" s="10" t="n"/>
      <c r="AE43" s="11" t="n"/>
    </row>
    <row r="44">
      <c r="A44" t="n">
        <v>1</v>
      </c>
      <c r="C44" t="inlineStr">
        <is>
          <t>이자발생자산</t>
        </is>
      </c>
      <c r="E44" s="18" t="n">
        <v>7326.25</v>
      </c>
      <c r="F44" s="37" t="n">
        <v>7326.25</v>
      </c>
      <c r="G44" s="18" t="n">
        <v>8037.98</v>
      </c>
      <c r="H44" s="18" t="n">
        <v>7974.78</v>
      </c>
      <c r="I44" s="18" t="n">
        <v>6081.14</v>
      </c>
      <c r="J44" s="18" t="n">
        <v>8811.26</v>
      </c>
      <c r="K44" s="37" t="n">
        <v>8811.26</v>
      </c>
      <c r="L44" s="18" t="n">
        <v>9961.889999999999</v>
      </c>
      <c r="M44" s="18" t="n">
        <v>17877.79</v>
      </c>
      <c r="N44" s="18" t="n">
        <v>8649.49</v>
      </c>
      <c r="O44" s="18" t="n">
        <v>22393.23</v>
      </c>
      <c r="P44" s="37" t="n">
        <v>22393.23</v>
      </c>
      <c r="Q44" s="18" t="n">
        <v>14339.44</v>
      </c>
      <c r="R44" s="19" t="n">
        <v>13802.13</v>
      </c>
      <c r="S44" s="10" t="n"/>
      <c r="T44" s="10" t="n"/>
      <c r="U44" s="11" t="n"/>
      <c r="V44" s="10" t="n"/>
      <c r="W44" s="10" t="n"/>
      <c r="X44" s="10" t="n"/>
      <c r="Y44" s="10" t="n"/>
      <c r="Z44" s="11" t="n"/>
      <c r="AA44" s="10" t="n"/>
      <c r="AB44" s="10" t="n"/>
      <c r="AC44" s="10" t="n"/>
      <c r="AD44" s="10" t="n"/>
      <c r="AE44" s="11" t="n"/>
    </row>
    <row r="45">
      <c r="A45" t="n">
        <v>1</v>
      </c>
      <c r="C45" t="inlineStr">
        <is>
          <t>단기금융자산</t>
        </is>
      </c>
      <c r="F45" s="9" t="n"/>
      <c r="G45" s="18" t="n">
        <v>1343.03</v>
      </c>
      <c r="K45" s="9" t="n"/>
      <c r="M45" s="18" t="n">
        <v>12174.9</v>
      </c>
      <c r="N45" s="18" t="n">
        <v>3099.49</v>
      </c>
      <c r="O45" s="18" t="n">
        <v>10.04</v>
      </c>
      <c r="P45" s="37" t="n">
        <v>10.04</v>
      </c>
      <c r="Q45" s="18" t="n">
        <v>8050.19</v>
      </c>
      <c r="R45" s="19" t="n">
        <v>0</v>
      </c>
      <c r="S45" s="10" t="n"/>
      <c r="T45" s="10" t="n"/>
      <c r="U45" s="11" t="n"/>
      <c r="V45" s="10" t="n"/>
      <c r="W45" s="10" t="n"/>
      <c r="X45" s="10" t="n"/>
      <c r="Y45" s="10" t="n"/>
      <c r="Z45" s="11" t="n"/>
      <c r="AA45" s="10" t="n"/>
      <c r="AB45" s="10" t="n"/>
      <c r="AC45" s="10" t="n"/>
      <c r="AD45" s="10" t="n"/>
      <c r="AE45" s="11" t="n"/>
    </row>
    <row r="46">
      <c r="A46" t="n">
        <v>1</v>
      </c>
      <c r="C46" t="inlineStr">
        <is>
          <t>기타비유동금융부채</t>
        </is>
      </c>
      <c r="F46" s="9" t="n"/>
      <c r="J46" s="18" t="n">
        <v>0</v>
      </c>
      <c r="K46" s="37" t="n">
        <v>0</v>
      </c>
      <c r="L46" s="18" t="n">
        <v>4795.66</v>
      </c>
      <c r="M46" s="18" t="n">
        <v>3782.45</v>
      </c>
      <c r="N46" s="18" t="n">
        <v>3782.45</v>
      </c>
      <c r="O46" s="18" t="n">
        <v>0</v>
      </c>
      <c r="P46" s="37" t="n">
        <v>0</v>
      </c>
      <c r="R46" s="5" t="n"/>
      <c r="S46" s="10" t="n"/>
      <c r="T46" s="10" t="n"/>
      <c r="U46" s="11" t="n"/>
      <c r="V46" s="10" t="n"/>
      <c r="W46" s="10" t="n"/>
      <c r="X46" s="10" t="n"/>
      <c r="Y46" s="10" t="n"/>
      <c r="Z46" s="11" t="n"/>
      <c r="AA46" s="10" t="n"/>
      <c r="AB46" s="10" t="n"/>
      <c r="AC46" s="10" t="n"/>
      <c r="AD46" s="10" t="n"/>
      <c r="AE46" s="11" t="n"/>
    </row>
    <row r="47">
      <c r="A47" t="n">
        <v>1</v>
      </c>
      <c r="C47" t="inlineStr">
        <is>
          <t>단기투자자산(공정가치)</t>
        </is>
      </c>
      <c r="F47" s="9" t="n"/>
      <c r="K47" s="9" t="n"/>
      <c r="L47" s="18" t="n">
        <v>17069.74</v>
      </c>
      <c r="P47" s="9" t="n"/>
      <c r="R47" s="5" t="n"/>
      <c r="S47" s="10" t="n"/>
      <c r="T47" s="10" t="n"/>
      <c r="U47" s="11" t="n"/>
      <c r="V47" s="10" t="n"/>
      <c r="W47" s="10" t="n"/>
      <c r="X47" s="10" t="n"/>
      <c r="Y47" s="10" t="n"/>
      <c r="Z47" s="11" t="n"/>
      <c r="AA47" s="10" t="n"/>
      <c r="AB47" s="10" t="n"/>
      <c r="AC47" s="10" t="n"/>
      <c r="AD47" s="10" t="n"/>
      <c r="AE47" s="11" t="n"/>
    </row>
    <row r="48">
      <c r="A48" t="n">
        <v>1</v>
      </c>
      <c r="C48" t="inlineStr">
        <is>
          <t>유동성장기부채</t>
        </is>
      </c>
      <c r="F48" s="9" t="n"/>
      <c r="K48" s="9" t="n"/>
      <c r="L48" s="18" t="n">
        <v>9659.950000000001</v>
      </c>
      <c r="M48" s="18" t="n">
        <v>10058.68</v>
      </c>
      <c r="N48" s="18" t="n">
        <v>10473.85</v>
      </c>
      <c r="O48" s="18" t="n">
        <v>10904.96</v>
      </c>
      <c r="P48" s="37" t="n">
        <v>10904.96</v>
      </c>
      <c r="Q48" s="18" t="n">
        <v>3405.39</v>
      </c>
      <c r="R48" s="19" t="n">
        <v>0</v>
      </c>
      <c r="S48" s="10" t="n"/>
      <c r="T48" s="10" t="n"/>
      <c r="U48" s="11" t="n"/>
      <c r="V48" s="10" t="n"/>
      <c r="W48" s="10" t="n"/>
      <c r="X48" s="10" t="n"/>
      <c r="Y48" s="10" t="n"/>
      <c r="Z48" s="11" t="n"/>
      <c r="AA48" s="10" t="n"/>
      <c r="AB48" s="10" t="n"/>
      <c r="AC48" s="10" t="n"/>
      <c r="AD48" s="10" t="n"/>
      <c r="AE48" s="11" t="n"/>
    </row>
    <row r="49">
      <c r="A49" t="n">
        <v>1</v>
      </c>
      <c r="C49" t="inlineStr">
        <is>
          <t>단기금융상품</t>
        </is>
      </c>
      <c r="F49" s="9" t="n"/>
      <c r="K49" s="9" t="n"/>
      <c r="M49" s="18" t="n">
        <v>12174.9</v>
      </c>
      <c r="N49" s="18" t="n">
        <v>3099.49</v>
      </c>
      <c r="O49" s="18" t="n">
        <v>10.04</v>
      </c>
      <c r="P49" s="37" t="n">
        <v>10.04</v>
      </c>
      <c r="Q49" s="18" t="n">
        <v>8050.19</v>
      </c>
      <c r="R49" s="19" t="n">
        <v>0</v>
      </c>
      <c r="S49" s="10" t="n"/>
      <c r="T49" s="10" t="n"/>
      <c r="U49" s="11" t="n"/>
      <c r="V49" s="10" t="n"/>
      <c r="W49" s="10" t="n"/>
      <c r="X49" s="10" t="n"/>
      <c r="Y49" s="10" t="n"/>
      <c r="Z49" s="11" t="n"/>
      <c r="AA49" s="10" t="n"/>
      <c r="AB49" s="10" t="n"/>
      <c r="AC49" s="10" t="n"/>
      <c r="AD49" s="10" t="n"/>
      <c r="AE49" s="11" t="n"/>
    </row>
    <row r="50">
      <c r="A50" t="n">
        <v>1</v>
      </c>
      <c r="C50" t="inlineStr">
        <is>
          <t>매출액(수익)</t>
        </is>
      </c>
      <c r="E50" s="18" t="n">
        <v>11270.8</v>
      </c>
      <c r="F50" s="9" t="n"/>
      <c r="G50" s="18" t="n">
        <v>11873.71</v>
      </c>
      <c r="H50" s="18" t="n">
        <v>13130.46</v>
      </c>
      <c r="I50" s="18" t="n">
        <v>11200.18</v>
      </c>
      <c r="J50" s="18" t="n">
        <v>12336.77</v>
      </c>
      <c r="K50" s="37" t="n">
        <v>48541.12</v>
      </c>
      <c r="L50" s="18" t="n">
        <v>13111.39</v>
      </c>
      <c r="M50" s="18" t="n">
        <v>15498.77</v>
      </c>
      <c r="N50" s="18" t="n">
        <v>16195.88</v>
      </c>
      <c r="O50" s="18" t="n">
        <v>18410.24</v>
      </c>
      <c r="P50" s="37" t="n">
        <v>63216.28</v>
      </c>
      <c r="Q50" s="18" t="n">
        <v>22381.26</v>
      </c>
      <c r="R50" s="19" t="n">
        <v>23644.82</v>
      </c>
      <c r="S50" s="10" t="n"/>
      <c r="T50" s="10" t="n"/>
      <c r="U50" s="11" t="n"/>
      <c r="V50" s="10" t="n"/>
      <c r="W50" s="10" t="n"/>
      <c r="X50" s="10" t="n"/>
      <c r="Y50" s="10" t="n"/>
      <c r="Z50" s="11" t="n"/>
      <c r="AA50" s="10" t="n"/>
      <c r="AB50" s="10" t="n"/>
      <c r="AC50" s="10" t="n"/>
      <c r="AD50" s="10" t="n"/>
      <c r="AE50" s="11" t="n"/>
    </row>
    <row r="51">
      <c r="A51" t="n">
        <v>1</v>
      </c>
      <c r="C51" t="inlineStr">
        <is>
          <t>매출원가</t>
        </is>
      </c>
      <c r="E51" s="18" t="n">
        <v>9838.02</v>
      </c>
      <c r="F51" s="9" t="n"/>
      <c r="G51" s="18" t="n">
        <v>9464.280000000001</v>
      </c>
      <c r="H51" s="18" t="n">
        <v>10214.82</v>
      </c>
      <c r="I51" s="18" t="n">
        <v>9128.959999999999</v>
      </c>
      <c r="J51" s="18" t="n">
        <v>9995.530000000001</v>
      </c>
      <c r="K51" s="37" t="n">
        <v>38803.59</v>
      </c>
      <c r="L51" s="18" t="n">
        <v>10289.72</v>
      </c>
      <c r="M51" s="18" t="n">
        <v>11695.23</v>
      </c>
      <c r="N51" s="18" t="n">
        <v>12179.11</v>
      </c>
      <c r="O51" s="18" t="n">
        <v>14175.07</v>
      </c>
      <c r="P51" s="37" t="n">
        <v>48339.13</v>
      </c>
      <c r="Q51" s="18" t="n">
        <v>14568.57</v>
      </c>
      <c r="R51" s="19" t="n">
        <v>15914.41</v>
      </c>
      <c r="S51" s="10" t="n"/>
      <c r="T51" s="10" t="n"/>
      <c r="U51" s="11" t="n"/>
      <c r="V51" s="10" t="n"/>
      <c r="W51" s="10" t="n"/>
      <c r="X51" s="10" t="n"/>
      <c r="Y51" s="10" t="n"/>
      <c r="Z51" s="11" t="n"/>
      <c r="AA51" s="10" t="n"/>
      <c r="AB51" s="10" t="n"/>
      <c r="AC51" s="10" t="n"/>
      <c r="AD51" s="10" t="n"/>
      <c r="AE51" s="11" t="n"/>
    </row>
    <row r="52">
      <c r="A52" t="n">
        <v>1</v>
      </c>
      <c r="C52" t="inlineStr">
        <is>
          <t>매출총이익</t>
        </is>
      </c>
      <c r="E52" s="18" t="n">
        <v>1432.77</v>
      </c>
      <c r="F52" s="9" t="n"/>
      <c r="G52" s="18" t="n">
        <v>2409.43</v>
      </c>
      <c r="H52" s="18" t="n">
        <v>2915.64</v>
      </c>
      <c r="I52" s="18" t="n">
        <v>2071.23</v>
      </c>
      <c r="J52" s="18" t="n">
        <v>2341.24</v>
      </c>
      <c r="K52" s="37" t="n">
        <v>9737.540000000001</v>
      </c>
      <c r="L52" s="18" t="n">
        <v>2821.67</v>
      </c>
      <c r="M52" s="18" t="n">
        <v>3803.54</v>
      </c>
      <c r="N52" s="18" t="n">
        <v>4016.76</v>
      </c>
      <c r="O52" s="18" t="n">
        <v>4235.18</v>
      </c>
      <c r="P52" s="37" t="n">
        <v>14877.15</v>
      </c>
      <c r="Q52" s="18" t="n">
        <v>7812.69</v>
      </c>
      <c r="R52" s="19" t="n">
        <v>7730.4</v>
      </c>
      <c r="S52" s="10" t="n"/>
      <c r="T52" s="10" t="n"/>
      <c r="U52" s="11" t="n"/>
      <c r="V52" s="10" t="n"/>
      <c r="W52" s="10" t="n"/>
      <c r="X52" s="10" t="n"/>
      <c r="Y52" s="10" t="n"/>
      <c r="Z52" s="11" t="n"/>
      <c r="AA52" s="10" t="n"/>
      <c r="AB52" s="10" t="n"/>
      <c r="AC52" s="10" t="n"/>
      <c r="AD52" s="10" t="n"/>
      <c r="AE52" s="11" t="n"/>
    </row>
    <row r="53">
      <c r="A53" t="n">
        <v>1</v>
      </c>
      <c r="C53" t="inlineStr">
        <is>
          <t>판관비</t>
        </is>
      </c>
      <c r="E53" s="18" t="n">
        <v>982.26</v>
      </c>
      <c r="F53" s="9" t="n"/>
      <c r="G53" s="18" t="n">
        <v>1034.76</v>
      </c>
      <c r="H53" s="18" t="n">
        <v>1167.96</v>
      </c>
      <c r="I53" s="18" t="n">
        <v>1282.32</v>
      </c>
      <c r="J53" s="18" t="n">
        <v>1329.56</v>
      </c>
      <c r="K53" s="37" t="n">
        <v>4814.6</v>
      </c>
      <c r="L53" s="18" t="n">
        <v>1139.78</v>
      </c>
      <c r="M53" s="18" t="n">
        <v>1150.52</v>
      </c>
      <c r="N53" s="18" t="n">
        <v>1424.24</v>
      </c>
      <c r="O53" s="18" t="n">
        <v>1412.67</v>
      </c>
      <c r="P53" s="37" t="n">
        <v>5127.21</v>
      </c>
      <c r="Q53" s="18" t="n">
        <v>1607.41</v>
      </c>
      <c r="R53" s="19" t="n">
        <v>2127.33</v>
      </c>
      <c r="S53" s="10" t="n"/>
      <c r="T53" s="10" t="n"/>
      <c r="U53" s="11" t="n"/>
      <c r="V53" s="10" t="n"/>
      <c r="W53" s="10" t="n"/>
      <c r="X53" s="10" t="n"/>
      <c r="Y53" s="10" t="n"/>
      <c r="Z53" s="11" t="n"/>
      <c r="AA53" s="10" t="n"/>
      <c r="AB53" s="10" t="n"/>
      <c r="AC53" s="10" t="n"/>
      <c r="AD53" s="10" t="n"/>
      <c r="AE53" s="11" t="n"/>
    </row>
    <row r="54">
      <c r="A54" t="n">
        <v>1</v>
      </c>
      <c r="C54" t="inlineStr">
        <is>
          <t>영업이익</t>
        </is>
      </c>
      <c r="E54" s="18" t="n">
        <v>450.51</v>
      </c>
      <c r="F54" s="9" t="n"/>
      <c r="G54" s="18" t="n">
        <v>1374.67</v>
      </c>
      <c r="H54" s="18" t="n">
        <v>1747.68</v>
      </c>
      <c r="I54" s="18" t="n">
        <v>788.9</v>
      </c>
      <c r="J54" s="18" t="n">
        <v>1011.68</v>
      </c>
      <c r="K54" s="37" t="n">
        <v>4922.93</v>
      </c>
      <c r="L54" s="18" t="n">
        <v>1681.89</v>
      </c>
      <c r="M54" s="18" t="n">
        <v>2653.02</v>
      </c>
      <c r="N54" s="18" t="n">
        <v>2592.52</v>
      </c>
      <c r="O54" s="18" t="n">
        <v>2822.51</v>
      </c>
      <c r="P54" s="37" t="n">
        <v>9749.940000000001</v>
      </c>
      <c r="Q54" s="18" t="n">
        <v>6205.28</v>
      </c>
      <c r="R54" s="19" t="n">
        <v>5603.07</v>
      </c>
      <c r="S54" s="10" t="n"/>
      <c r="T54" s="10" t="n"/>
      <c r="U54" s="11" t="n"/>
      <c r="V54" s="10" t="n"/>
      <c r="W54" s="10" t="n"/>
      <c r="X54" s="10" t="n"/>
      <c r="Y54" s="10" t="n"/>
      <c r="Z54" s="11" t="n"/>
      <c r="AA54" s="10" t="n"/>
      <c r="AB54" s="10" t="n"/>
      <c r="AC54" s="10" t="n"/>
      <c r="AD54" s="10" t="n"/>
      <c r="AE54" s="11" t="n"/>
    </row>
    <row r="55">
      <c r="A55" t="n">
        <v>1</v>
      </c>
      <c r="C55" t="inlineStr">
        <is>
          <t>금융수익</t>
        </is>
      </c>
      <c r="E55" s="18" t="n">
        <v>102.75</v>
      </c>
      <c r="F55" s="9" t="n"/>
      <c r="G55" s="18" t="n">
        <v>177.87</v>
      </c>
      <c r="H55" s="18" t="n">
        <v>206.48</v>
      </c>
      <c r="I55" s="18" t="n">
        <v>25.29</v>
      </c>
      <c r="J55" s="18" t="n">
        <v>311.14</v>
      </c>
      <c r="K55" s="37" t="n">
        <v>720.78</v>
      </c>
      <c r="L55" s="18" t="n">
        <v>192.62</v>
      </c>
      <c r="M55" s="18" t="n">
        <v>4699.21</v>
      </c>
      <c r="N55" s="18" t="n">
        <v>185.75</v>
      </c>
      <c r="O55" s="18" t="n">
        <v>-2736.79</v>
      </c>
      <c r="P55" s="37" t="n">
        <v>2340.79</v>
      </c>
      <c r="Q55" s="18" t="n">
        <v>6476.05</v>
      </c>
      <c r="R55" s="19" t="n">
        <v>13543.1</v>
      </c>
      <c r="S55" s="10" t="n"/>
      <c r="T55" s="10" t="n"/>
      <c r="U55" s="11" t="n"/>
      <c r="V55" s="10" t="n"/>
      <c r="W55" s="10" t="n"/>
      <c r="X55" s="10" t="n"/>
      <c r="Y55" s="10" t="n"/>
      <c r="Z55" s="11" t="n"/>
      <c r="AA55" s="10" t="n"/>
      <c r="AB55" s="10" t="n"/>
      <c r="AC55" s="10" t="n"/>
      <c r="AD55" s="10" t="n"/>
      <c r="AE55" s="11" t="n"/>
    </row>
    <row r="56">
      <c r="A56" t="n">
        <v>1</v>
      </c>
      <c r="C56" t="inlineStr">
        <is>
          <t>기타영업외수익</t>
        </is>
      </c>
      <c r="E56" s="18" t="n">
        <v>47.8</v>
      </c>
      <c r="F56" s="9" t="n"/>
      <c r="G56" s="18" t="n">
        <v>128.07</v>
      </c>
      <c r="H56" s="18" t="n">
        <v>24</v>
      </c>
      <c r="I56" s="18" t="n">
        <v>19.86</v>
      </c>
      <c r="J56" s="18" t="n">
        <v>37.82</v>
      </c>
      <c r="K56" s="37" t="n">
        <v>209.75</v>
      </c>
      <c r="L56" s="18" t="n">
        <v>17.87</v>
      </c>
      <c r="M56" s="18" t="n">
        <v>25.36</v>
      </c>
      <c r="N56" s="18" t="n">
        <v>23.51</v>
      </c>
      <c r="O56" s="18" t="n">
        <v>22.06</v>
      </c>
      <c r="P56" s="37" t="n">
        <v>88.8</v>
      </c>
      <c r="Q56" s="18" t="n">
        <v>46.85</v>
      </c>
      <c r="R56" s="19" t="n">
        <v>35.72</v>
      </c>
      <c r="S56" s="10" t="n"/>
      <c r="T56" s="10" t="n"/>
      <c r="U56" s="11" t="n"/>
      <c r="V56" s="10" t="n"/>
      <c r="W56" s="10" t="n"/>
      <c r="X56" s="10" t="n"/>
      <c r="Y56" s="10" t="n"/>
      <c r="Z56" s="11" t="n"/>
      <c r="AA56" s="10" t="n"/>
      <c r="AB56" s="10" t="n"/>
      <c r="AC56" s="10" t="n"/>
      <c r="AD56" s="10" t="n"/>
      <c r="AE56" s="11" t="n"/>
    </row>
    <row r="57">
      <c r="A57" t="n">
        <v>1</v>
      </c>
      <c r="C57" t="inlineStr">
        <is>
          <t>금융비용</t>
        </is>
      </c>
      <c r="E57" s="18" t="n">
        <v>472.29</v>
      </c>
      <c r="F57" s="9" t="n"/>
      <c r="G57" s="18" t="n">
        <v>117.12</v>
      </c>
      <c r="H57" s="18" t="n">
        <v>146.65</v>
      </c>
      <c r="I57" s="18" t="n">
        <v>280.64</v>
      </c>
      <c r="J57" s="18" t="n">
        <v>-76.54000000000001</v>
      </c>
      <c r="K57" s="37" t="n">
        <v>467.87</v>
      </c>
      <c r="L57" s="18" t="n">
        <v>99.03</v>
      </c>
      <c r="M57" s="18" t="n">
        <v>1463.05</v>
      </c>
      <c r="N57" s="18" t="n">
        <v>102.96</v>
      </c>
      <c r="O57" s="18" t="n">
        <v>-371.63</v>
      </c>
      <c r="P57" s="37" t="n">
        <v>1293.41</v>
      </c>
      <c r="Q57" s="18" t="n">
        <v>18028.06</v>
      </c>
      <c r="R57" s="19" t="n">
        <v>14316.47</v>
      </c>
      <c r="S57" s="10" t="n"/>
      <c r="T57" s="10" t="n"/>
      <c r="U57" s="11" t="n"/>
      <c r="V57" s="10" t="n"/>
      <c r="W57" s="10" t="n"/>
      <c r="X57" s="10" t="n"/>
      <c r="Y57" s="10" t="n"/>
      <c r="Z57" s="11" t="n"/>
      <c r="AA57" s="10" t="n"/>
      <c r="AB57" s="10" t="n"/>
      <c r="AC57" s="10" t="n"/>
      <c r="AD57" s="10" t="n"/>
      <c r="AE57" s="11" t="n"/>
    </row>
    <row r="58">
      <c r="A58" t="n">
        <v>1</v>
      </c>
      <c r="C58" t="inlineStr">
        <is>
          <t>기타영업외비용</t>
        </is>
      </c>
      <c r="E58" s="18" t="n">
        <v>-7.7</v>
      </c>
      <c r="F58" s="9" t="n"/>
      <c r="G58" s="18" t="n">
        <v>18.5</v>
      </c>
      <c r="H58" s="18" t="n">
        <v>0.28</v>
      </c>
      <c r="I58" s="18" t="n">
        <v>288.33</v>
      </c>
      <c r="J58" s="18" t="n">
        <v>18.89</v>
      </c>
      <c r="K58" s="37" t="n">
        <v>326</v>
      </c>
      <c r="L58" s="18" t="n">
        <v>3.26</v>
      </c>
      <c r="M58" s="18" t="n">
        <v>-0.13</v>
      </c>
      <c r="N58" s="18" t="n">
        <v>0.32</v>
      </c>
      <c r="O58" s="18" t="n">
        <v>242.97</v>
      </c>
      <c r="P58" s="37" t="n">
        <v>246.42</v>
      </c>
      <c r="Q58" s="18" t="n">
        <v>0.15</v>
      </c>
      <c r="R58" s="19" t="n">
        <v>41.93</v>
      </c>
      <c r="S58" s="10" t="n"/>
      <c r="T58" s="10" t="n"/>
      <c r="U58" s="11" t="n"/>
      <c r="V58" s="10" t="n"/>
      <c r="W58" s="10" t="n"/>
      <c r="X58" s="10" t="n"/>
      <c r="Y58" s="10" t="n"/>
      <c r="Z58" s="11" t="n"/>
      <c r="AA58" s="10" t="n"/>
      <c r="AB58" s="10" t="n"/>
      <c r="AC58" s="10" t="n"/>
      <c r="AD58" s="10" t="n"/>
      <c r="AE58" s="11" t="n"/>
    </row>
    <row r="59">
      <c r="A59" t="n">
        <v>1</v>
      </c>
      <c r="C59" t="inlineStr">
        <is>
          <t>법인세비용차감전계속사업이익</t>
        </is>
      </c>
      <c r="E59" s="18" t="n">
        <v>136.47</v>
      </c>
      <c r="F59" s="9" t="n"/>
      <c r="G59" s="18" t="n">
        <v>1544.99</v>
      </c>
      <c r="H59" s="18" t="n">
        <v>1831.23</v>
      </c>
      <c r="I59" s="18" t="n">
        <v>265.08</v>
      </c>
      <c r="J59" s="18" t="n">
        <v>1418.28</v>
      </c>
      <c r="K59" s="37" t="n">
        <v>5059.58</v>
      </c>
      <c r="L59" s="18" t="n">
        <v>1790.09</v>
      </c>
      <c r="M59" s="18" t="n">
        <v>5914.66</v>
      </c>
      <c r="N59" s="18" t="n">
        <v>2698.51</v>
      </c>
      <c r="O59" s="18" t="n">
        <v>236.44</v>
      </c>
      <c r="P59" s="37" t="n">
        <v>10639.7</v>
      </c>
      <c r="Q59" s="18" t="n">
        <v>-5300.02</v>
      </c>
      <c r="R59" s="19" t="n">
        <v>4823.5</v>
      </c>
      <c r="S59" s="10" t="n"/>
      <c r="T59" s="10" t="n"/>
      <c r="U59" s="11" t="n"/>
      <c r="V59" s="10" t="n"/>
      <c r="W59" s="10" t="n"/>
      <c r="X59" s="10" t="n"/>
      <c r="Y59" s="10" t="n"/>
      <c r="Z59" s="11" t="n"/>
      <c r="AA59" s="10" t="n"/>
      <c r="AB59" s="10" t="n"/>
      <c r="AC59" s="10" t="n"/>
      <c r="AD59" s="10" t="n"/>
      <c r="AE59" s="11" t="n"/>
    </row>
    <row r="60">
      <c r="A60" t="n">
        <v>1</v>
      </c>
      <c r="C60" t="inlineStr">
        <is>
          <t>법인세비용</t>
        </is>
      </c>
      <c r="E60" s="18" t="n">
        <v>-236.78</v>
      </c>
      <c r="F60" s="9" t="n"/>
      <c r="G60" s="18" t="n">
        <v>0</v>
      </c>
      <c r="H60" s="18" t="n">
        <v>830.1799999999999</v>
      </c>
      <c r="I60" s="18" t="n">
        <v>0</v>
      </c>
      <c r="J60" s="18" t="n">
        <v>71.48</v>
      </c>
      <c r="K60" s="37" t="n">
        <v>901.66</v>
      </c>
      <c r="L60" s="18" t="n">
        <v>0</v>
      </c>
      <c r="M60" s="18" t="n">
        <v>1593.68</v>
      </c>
      <c r="N60" s="18" t="n">
        <v>0</v>
      </c>
      <c r="O60" s="18" t="n">
        <v>110.58</v>
      </c>
      <c r="P60" s="37" t="n">
        <v>1704.26</v>
      </c>
      <c r="Q60" s="18" t="n">
        <v>-174.3</v>
      </c>
      <c r="R60" s="19" t="n">
        <v>2792.35</v>
      </c>
      <c r="S60" s="10" t="n"/>
      <c r="T60" s="10" t="n"/>
      <c r="U60" s="11" t="n"/>
      <c r="V60" s="10" t="n"/>
      <c r="W60" s="10" t="n"/>
      <c r="X60" s="10" t="n"/>
      <c r="Y60" s="10" t="n"/>
      <c r="Z60" s="11" t="n"/>
      <c r="AA60" s="10" t="n"/>
      <c r="AB60" s="10" t="n"/>
      <c r="AC60" s="10" t="n"/>
      <c r="AD60" s="10" t="n"/>
      <c r="AE60" s="11" t="n"/>
    </row>
    <row r="61">
      <c r="A61" t="n">
        <v>1</v>
      </c>
      <c r="C61" t="inlineStr">
        <is>
          <t>당기순이익</t>
        </is>
      </c>
      <c r="E61" s="18" t="n">
        <v>373.25</v>
      </c>
      <c r="F61" s="9" t="n"/>
      <c r="G61" s="18" t="n">
        <v>1544.99</v>
      </c>
      <c r="H61" s="18" t="n">
        <v>1001.06</v>
      </c>
      <c r="I61" s="18" t="n">
        <v>265.08</v>
      </c>
      <c r="J61" s="18" t="n">
        <v>1346.81</v>
      </c>
      <c r="K61" s="37" t="n">
        <v>4157.94</v>
      </c>
      <c r="L61" s="18" t="n">
        <v>1790.09</v>
      </c>
      <c r="M61" s="18" t="n">
        <v>4320.98</v>
      </c>
      <c r="N61" s="18" t="n">
        <v>2698.51</v>
      </c>
      <c r="O61" s="18" t="n">
        <v>125.87</v>
      </c>
      <c r="P61" s="37" t="n">
        <v>8935.450000000001</v>
      </c>
      <c r="Q61" s="18" t="n">
        <v>-5125.72</v>
      </c>
      <c r="R61" s="19" t="n">
        <v>2031.15</v>
      </c>
      <c r="S61" s="10" t="n"/>
      <c r="T61" s="10" t="n"/>
      <c r="U61" s="11" t="n"/>
      <c r="V61" s="10" t="n"/>
      <c r="W61" s="10" t="n"/>
      <c r="X61" s="10" t="n"/>
      <c r="Y61" s="10" t="n"/>
      <c r="Z61" s="11" t="n"/>
      <c r="AA61" s="10" t="n"/>
      <c r="AB61" s="10" t="n"/>
      <c r="AC61" s="10" t="n"/>
      <c r="AD61" s="10" t="n"/>
      <c r="AE61" s="11" t="n"/>
    </row>
    <row r="62">
      <c r="A62" t="n">
        <v>1</v>
      </c>
      <c r="C62" t="inlineStr">
        <is>
          <t>총포괄손익</t>
        </is>
      </c>
      <c r="E62" s="18" t="n">
        <v>412.37</v>
      </c>
      <c r="F62" s="9" t="n"/>
      <c r="G62" s="18" t="n">
        <v>1544.99</v>
      </c>
      <c r="H62" s="18" t="n">
        <v>798.38</v>
      </c>
      <c r="I62" s="18" t="n">
        <v>265.08</v>
      </c>
      <c r="J62" s="18" t="n">
        <v>1351.59</v>
      </c>
      <c r="K62" s="37" t="n">
        <v>3960.04</v>
      </c>
      <c r="L62" s="18" t="n">
        <v>1790.09</v>
      </c>
      <c r="M62" s="18" t="n">
        <v>4111.56</v>
      </c>
      <c r="N62" s="18" t="n">
        <v>2698.51</v>
      </c>
      <c r="O62" s="18" t="n">
        <v>356</v>
      </c>
      <c r="P62" s="37" t="n">
        <v>8956.16</v>
      </c>
      <c r="Q62" s="18" t="n">
        <v>-5125.72</v>
      </c>
      <c r="R62" s="19" t="n">
        <v>2031.15</v>
      </c>
      <c r="S62" s="10" t="n"/>
      <c r="T62" s="10" t="n"/>
      <c r="U62" s="11" t="n"/>
      <c r="V62" s="10" t="n"/>
      <c r="W62" s="10" t="n"/>
      <c r="X62" s="10" t="n"/>
      <c r="Y62" s="10" t="n"/>
      <c r="Z62" s="11" t="n"/>
      <c r="AA62" s="10" t="n"/>
      <c r="AB62" s="10" t="n"/>
      <c r="AC62" s="10" t="n"/>
      <c r="AD62" s="10" t="n"/>
      <c r="AE62" s="11" t="n"/>
    </row>
    <row r="63">
      <c r="A63" t="n">
        <v>1</v>
      </c>
      <c r="C63" t="inlineStr">
        <is>
          <t>금융손익</t>
        </is>
      </c>
      <c r="E63" s="18" t="n">
        <v>-369.54</v>
      </c>
      <c r="F63" s="9" t="n"/>
      <c r="G63" s="18" t="n">
        <v>60.75</v>
      </c>
      <c r="H63" s="18" t="n">
        <v>59.83</v>
      </c>
      <c r="I63" s="18" t="n">
        <v>-255.35</v>
      </c>
      <c r="J63" s="18" t="n">
        <v>387.68</v>
      </c>
      <c r="K63" s="37" t="n">
        <v>252.91</v>
      </c>
      <c r="L63" s="18" t="n">
        <v>93.59</v>
      </c>
      <c r="M63" s="18" t="n">
        <v>3236.16</v>
      </c>
      <c r="N63" s="18" t="n">
        <v>82.79000000000001</v>
      </c>
      <c r="O63" s="18" t="n">
        <v>-2365.16</v>
      </c>
      <c r="P63" s="37" t="n">
        <v>1047.38</v>
      </c>
      <c r="Q63" s="18" t="n">
        <v>-11552.01</v>
      </c>
      <c r="R63" s="19" t="n">
        <v>-773.37</v>
      </c>
      <c r="S63" s="10" t="n"/>
      <c r="T63" s="10" t="n"/>
      <c r="U63" s="11" t="n"/>
      <c r="V63" s="10" t="n"/>
      <c r="W63" s="10" t="n"/>
      <c r="X63" s="10" t="n"/>
      <c r="Y63" s="10" t="n"/>
      <c r="Z63" s="11" t="n"/>
      <c r="AA63" s="10" t="n"/>
      <c r="AB63" s="10" t="n"/>
      <c r="AC63" s="10" t="n"/>
      <c r="AD63" s="10" t="n"/>
      <c r="AE63" s="11" t="n"/>
    </row>
    <row r="64">
      <c r="A64" t="n">
        <v>1</v>
      </c>
      <c r="C64" t="inlineStr">
        <is>
          <t>기타영업외손익</t>
        </is>
      </c>
      <c r="E64" s="18" t="n">
        <v>55.5</v>
      </c>
      <c r="F64" s="9" t="n"/>
      <c r="G64" s="18" t="n">
        <v>109.57</v>
      </c>
      <c r="H64" s="18" t="n">
        <v>23.72</v>
      </c>
      <c r="I64" s="18" t="n">
        <v>-268.47</v>
      </c>
      <c r="J64" s="18" t="n">
        <v>18.93</v>
      </c>
      <c r="K64" s="37" t="n">
        <v>-116.25</v>
      </c>
      <c r="L64" s="18" t="n">
        <v>14.61</v>
      </c>
      <c r="M64" s="18" t="n">
        <v>25.49</v>
      </c>
      <c r="N64" s="18" t="n">
        <v>23.19</v>
      </c>
      <c r="O64" s="18" t="n">
        <v>-220.91</v>
      </c>
      <c r="P64" s="37" t="n">
        <v>-157.62</v>
      </c>
      <c r="Q64" s="18" t="n">
        <v>46.7</v>
      </c>
      <c r="R64" s="19" t="n">
        <v>-6.21</v>
      </c>
      <c r="S64" s="10" t="n"/>
      <c r="T64" s="10" t="n"/>
      <c r="U64" s="11" t="n"/>
      <c r="V64" s="10" t="n"/>
      <c r="W64" s="10" t="n"/>
      <c r="X64" s="10" t="n"/>
      <c r="Y64" s="10" t="n"/>
      <c r="Z64" s="11" t="n"/>
      <c r="AA64" s="10" t="n"/>
      <c r="AB64" s="10" t="n"/>
      <c r="AC64" s="10" t="n"/>
      <c r="AD64" s="10" t="n"/>
      <c r="AE64" s="11" t="n"/>
    </row>
    <row r="65">
      <c r="A65" t="n">
        <v>1</v>
      </c>
      <c r="C65" t="inlineStr">
        <is>
          <t>(지배주주지분)당기순이익</t>
        </is>
      </c>
      <c r="E65" s="18" t="n">
        <v>373.25</v>
      </c>
      <c r="F65" s="9" t="n"/>
      <c r="G65" s="18" t="n">
        <v>1544.99</v>
      </c>
      <c r="H65" s="18" t="n">
        <v>1001.06</v>
      </c>
      <c r="I65" s="18" t="n">
        <v>265.08</v>
      </c>
      <c r="J65" s="18" t="n">
        <v>1346.81</v>
      </c>
      <c r="K65" s="37" t="n">
        <v>4157.94</v>
      </c>
      <c r="L65" s="18" t="n">
        <v>1790.09</v>
      </c>
      <c r="M65" s="18" t="n">
        <v>4320.98</v>
      </c>
      <c r="N65" s="18" t="n">
        <v>2698.51</v>
      </c>
      <c r="O65" s="18" t="n">
        <v>125.87</v>
      </c>
      <c r="P65" s="37" t="n">
        <v>8935.450000000001</v>
      </c>
      <c r="Q65" s="18" t="n">
        <v>-5125.72</v>
      </c>
      <c r="R65" s="19" t="n">
        <v>2031.15</v>
      </c>
      <c r="S65" s="10" t="n"/>
      <c r="T65" s="10" t="n"/>
      <c r="U65" s="11" t="n"/>
      <c r="V65" s="10" t="n"/>
      <c r="W65" s="10" t="n"/>
      <c r="X65" s="10" t="n"/>
      <c r="Y65" s="10" t="n"/>
      <c r="Z65" s="11" t="n"/>
      <c r="AA65" s="10" t="n"/>
      <c r="AB65" s="10" t="n"/>
      <c r="AC65" s="10" t="n"/>
      <c r="AD65" s="10" t="n"/>
      <c r="AE65" s="11" t="n"/>
    </row>
    <row r="66">
      <c r="A66" t="n">
        <v>1</v>
      </c>
      <c r="C66" t="inlineStr">
        <is>
          <t>계속사업이익</t>
        </is>
      </c>
      <c r="E66" s="18" t="n">
        <v>373.25</v>
      </c>
      <c r="F66" s="9" t="n"/>
      <c r="G66" s="18" t="n">
        <v>1544.99</v>
      </c>
      <c r="H66" s="18" t="n">
        <v>1001.06</v>
      </c>
      <c r="I66" s="18" t="n">
        <v>265.08</v>
      </c>
      <c r="J66" s="18" t="n">
        <v>1346.81</v>
      </c>
      <c r="K66" s="37" t="n">
        <v>4157.94</v>
      </c>
      <c r="L66" s="18" t="n">
        <v>1790.09</v>
      </c>
      <c r="M66" s="18" t="n">
        <v>4320.98</v>
      </c>
      <c r="N66" s="18" t="n">
        <v>2698.51</v>
      </c>
      <c r="O66" s="18" t="n">
        <v>125.87</v>
      </c>
      <c r="P66" s="37" t="n">
        <v>8935.450000000001</v>
      </c>
      <c r="Q66" s="18" t="n">
        <v>-5125.72</v>
      </c>
      <c r="R66" s="19" t="n">
        <v>2031.15</v>
      </c>
      <c r="S66" s="10" t="n"/>
      <c r="T66" s="10" t="n"/>
      <c r="U66" s="11" t="n"/>
      <c r="V66" s="10" t="n"/>
      <c r="W66" s="10" t="n"/>
      <c r="X66" s="10" t="n"/>
      <c r="Y66" s="10" t="n"/>
      <c r="Z66" s="11" t="n"/>
      <c r="AA66" s="10" t="n"/>
      <c r="AB66" s="10" t="n"/>
      <c r="AC66" s="10" t="n"/>
      <c r="AD66" s="10" t="n"/>
      <c r="AE66" s="11" t="n"/>
    </row>
    <row r="67">
      <c r="A67" t="n">
        <v>1</v>
      </c>
      <c r="C67" t="inlineStr">
        <is>
          <t>이자수익</t>
        </is>
      </c>
      <c r="E67" s="18" t="n">
        <v>99.22</v>
      </c>
      <c r="F67" s="9" t="n"/>
      <c r="G67" s="18" t="n">
        <v>53.26</v>
      </c>
      <c r="H67" s="18" t="n">
        <v>55.73</v>
      </c>
      <c r="I67" s="18" t="n">
        <v>58.56</v>
      </c>
      <c r="J67" s="18" t="n">
        <v>65.69</v>
      </c>
      <c r="K67" s="37" t="n">
        <v>233.24</v>
      </c>
      <c r="L67" s="18" t="n">
        <v>56.65</v>
      </c>
      <c r="M67" s="18" t="n">
        <v>70.64</v>
      </c>
      <c r="N67" s="18" t="n">
        <v>-57.28</v>
      </c>
      <c r="O67" s="18" t="n">
        <v>110.02</v>
      </c>
      <c r="P67" s="37" t="n">
        <v>180.03</v>
      </c>
      <c r="Q67" s="18" t="n">
        <v>41.58</v>
      </c>
      <c r="R67" s="19" t="n">
        <v>134.32</v>
      </c>
      <c r="S67" s="10" t="n"/>
      <c r="T67" s="10" t="n"/>
      <c r="U67" s="11" t="n"/>
      <c r="V67" s="10" t="n"/>
      <c r="W67" s="10" t="n"/>
      <c r="X67" s="10" t="n"/>
      <c r="Y67" s="10" t="n"/>
      <c r="Z67" s="11" t="n"/>
      <c r="AA67" s="10" t="n"/>
      <c r="AB67" s="10" t="n"/>
      <c r="AC67" s="10" t="n"/>
      <c r="AD67" s="10" t="n"/>
      <c r="AE67" s="11" t="n"/>
    </row>
    <row r="68">
      <c r="A68" t="n">
        <v>1</v>
      </c>
      <c r="C68" t="inlineStr">
        <is>
          <t>이자비용</t>
        </is>
      </c>
      <c r="E68" s="18" t="n">
        <v>373.78</v>
      </c>
      <c r="F68" s="9" t="n"/>
      <c r="G68" s="18" t="n">
        <v>92.09</v>
      </c>
      <c r="H68" s="18" t="n">
        <v>91.88</v>
      </c>
      <c r="I68" s="18" t="n">
        <v>85.83</v>
      </c>
      <c r="J68" s="18" t="n">
        <v>-7.74</v>
      </c>
      <c r="K68" s="37" t="n">
        <v>262.06</v>
      </c>
      <c r="L68" s="18" t="n">
        <v>39.6</v>
      </c>
      <c r="M68" s="18" t="n">
        <v>59.97</v>
      </c>
      <c r="N68" s="18" t="n">
        <v>-99.56999999999999</v>
      </c>
      <c r="P68" s="9" t="n"/>
      <c r="R68" s="19" t="n">
        <v>285.81</v>
      </c>
      <c r="S68" s="10" t="n"/>
      <c r="T68" s="10" t="n"/>
      <c r="U68" s="11" t="n"/>
      <c r="V68" s="10" t="n"/>
      <c r="W68" s="10" t="n"/>
      <c r="X68" s="10" t="n"/>
      <c r="Y68" s="10" t="n"/>
      <c r="Z68" s="11" t="n"/>
      <c r="AA68" s="10" t="n"/>
      <c r="AB68" s="10" t="n"/>
      <c r="AC68" s="10" t="n"/>
      <c r="AD68" s="10" t="n"/>
      <c r="AE68" s="11" t="n"/>
    </row>
    <row r="69">
      <c r="A69" t="n">
        <v>1</v>
      </c>
      <c r="C69" t="inlineStr">
        <is>
          <t>외환차익</t>
        </is>
      </c>
      <c r="E69" s="18" t="n">
        <v>67.59999999999999</v>
      </c>
      <c r="F69" s="9" t="n"/>
      <c r="G69" s="18" t="n">
        <v>68.59999999999999</v>
      </c>
      <c r="H69" s="18" t="n">
        <v>101.73</v>
      </c>
      <c r="I69" s="18" t="n">
        <v>12.15</v>
      </c>
      <c r="J69" s="18" t="n">
        <v>136.12</v>
      </c>
      <c r="K69" s="37" t="n">
        <v>318.6</v>
      </c>
      <c r="L69" s="18" t="n">
        <v>19.11</v>
      </c>
      <c r="M69" s="18" t="n">
        <v>8.58</v>
      </c>
      <c r="N69" s="18" t="n">
        <v>172.83</v>
      </c>
      <c r="O69" s="18" t="n">
        <v>250.71</v>
      </c>
      <c r="P69" s="37" t="n">
        <v>451.23</v>
      </c>
      <c r="Q69" s="18" t="n">
        <v>196.88</v>
      </c>
      <c r="R69" s="19" t="n">
        <v>281.84</v>
      </c>
      <c r="S69" s="10" t="n"/>
      <c r="T69" s="10" t="n"/>
      <c r="U69" s="11" t="n"/>
      <c r="V69" s="10" t="n"/>
      <c r="W69" s="10" t="n"/>
      <c r="X69" s="10" t="n"/>
      <c r="Y69" s="10" t="n"/>
      <c r="Z69" s="11" t="n"/>
      <c r="AA69" s="10" t="n"/>
      <c r="AB69" s="10" t="n"/>
      <c r="AC69" s="10" t="n"/>
      <c r="AD69" s="10" t="n"/>
      <c r="AE69" s="11" t="n"/>
    </row>
    <row r="70">
      <c r="A70" t="n">
        <v>1</v>
      </c>
      <c r="C70" t="inlineStr">
        <is>
          <t>외환차손</t>
        </is>
      </c>
      <c r="E70" s="18" t="n">
        <v>70.06</v>
      </c>
      <c r="F70" s="9" t="n"/>
      <c r="G70" s="18" t="n">
        <v>25.03</v>
      </c>
      <c r="H70" s="18" t="n">
        <v>29.17</v>
      </c>
      <c r="I70" s="18" t="n">
        <v>80.09</v>
      </c>
      <c r="J70" s="18" t="n">
        <v>46.06</v>
      </c>
      <c r="K70" s="37" t="n">
        <v>180.35</v>
      </c>
      <c r="L70" s="18" t="n">
        <v>59.42</v>
      </c>
      <c r="M70" s="18" t="n">
        <v>211.8</v>
      </c>
      <c r="N70" s="18" t="n">
        <v>85.58</v>
      </c>
      <c r="O70" s="18" t="n">
        <v>20.05</v>
      </c>
      <c r="P70" s="37" t="n">
        <v>376.85</v>
      </c>
      <c r="Q70" s="18" t="n">
        <v>61.3</v>
      </c>
      <c r="R70" s="19" t="n">
        <v>60.34</v>
      </c>
      <c r="S70" s="10" t="n"/>
      <c r="T70" s="10" t="n"/>
      <c r="U70" s="11" t="n"/>
      <c r="V70" s="10" t="n"/>
      <c r="W70" s="10" t="n"/>
      <c r="X70" s="10" t="n"/>
      <c r="Y70" s="10" t="n"/>
      <c r="Z70" s="11" t="n"/>
      <c r="AA70" s="10" t="n"/>
      <c r="AB70" s="10" t="n"/>
      <c r="AC70" s="10" t="n"/>
      <c r="AD70" s="10" t="n"/>
      <c r="AE70" s="11" t="n"/>
    </row>
    <row r="71">
      <c r="A71" t="n">
        <v>1</v>
      </c>
      <c r="C71" t="inlineStr">
        <is>
          <t>외화환산이익</t>
        </is>
      </c>
      <c r="E71" s="18" t="n">
        <v>-64.06999999999999</v>
      </c>
      <c r="F71" s="9" t="n"/>
      <c r="G71" s="18" t="n">
        <v>56.01</v>
      </c>
      <c r="H71" s="18" t="n">
        <v>49.01</v>
      </c>
      <c r="I71" s="18" t="n">
        <v>-45.41</v>
      </c>
      <c r="J71" s="18" t="n">
        <v>109.34</v>
      </c>
      <c r="K71" s="37" t="n">
        <v>168.95</v>
      </c>
      <c r="L71" s="18" t="n">
        <v>47.13</v>
      </c>
      <c r="M71" s="18" t="n">
        <v>-42.3</v>
      </c>
      <c r="N71" s="18" t="n">
        <v>70.2</v>
      </c>
      <c r="O71" s="18" t="n">
        <v>-58.16</v>
      </c>
      <c r="P71" s="37" t="n">
        <v>16.87</v>
      </c>
      <c r="Q71" s="18" t="n">
        <v>298.74</v>
      </c>
      <c r="R71" s="19" t="n">
        <v>-54.94</v>
      </c>
      <c r="S71" s="10" t="n"/>
      <c r="T71" s="10" t="n"/>
      <c r="U71" s="11" t="n"/>
      <c r="V71" s="10" t="n"/>
      <c r="W71" s="10" t="n"/>
      <c r="X71" s="10" t="n"/>
      <c r="Y71" s="10" t="n"/>
      <c r="Z71" s="11" t="n"/>
      <c r="AA71" s="10" t="n"/>
      <c r="AB71" s="10" t="n"/>
      <c r="AC71" s="10" t="n"/>
      <c r="AD71" s="10" t="n"/>
      <c r="AE71" s="11" t="n"/>
    </row>
    <row r="72">
      <c r="A72" t="n">
        <v>1</v>
      </c>
      <c r="C72" t="inlineStr">
        <is>
          <t>외화환산손실</t>
        </is>
      </c>
      <c r="E72" s="18" t="n">
        <v>28.45</v>
      </c>
      <c r="F72" s="9" t="n"/>
      <c r="H72" s="18" t="n">
        <v>0.16</v>
      </c>
      <c r="I72" s="18" t="n">
        <v>114.71</v>
      </c>
      <c r="K72" s="9" t="n"/>
      <c r="L72" s="18" t="n">
        <v>0.01</v>
      </c>
      <c r="M72" s="18" t="n">
        <v>127.45</v>
      </c>
      <c r="N72" s="18" t="n">
        <v>0.07000000000000001</v>
      </c>
      <c r="O72" s="18" t="n">
        <v>106.94</v>
      </c>
      <c r="P72" s="37" t="n">
        <v>234.47</v>
      </c>
      <c r="R72" s="19" t="n">
        <v>0.03</v>
      </c>
      <c r="S72" s="10" t="n"/>
      <c r="T72" s="10" t="n"/>
      <c r="U72" s="11" t="n"/>
      <c r="V72" s="10" t="n"/>
      <c r="W72" s="10" t="n"/>
      <c r="X72" s="10" t="n"/>
      <c r="Y72" s="10" t="n"/>
      <c r="Z72" s="11" t="n"/>
      <c r="AA72" s="10" t="n"/>
      <c r="AB72" s="10" t="n"/>
      <c r="AC72" s="10" t="n"/>
      <c r="AD72" s="10" t="n"/>
      <c r="AE72" s="11" t="n"/>
    </row>
    <row r="73">
      <c r="A73" t="n">
        <v>1</v>
      </c>
      <c r="C73" t="inlineStr">
        <is>
          <t>이자손익</t>
        </is>
      </c>
      <c r="E73" s="18" t="n">
        <v>-274.56</v>
      </c>
      <c r="F73" s="9" t="n"/>
      <c r="G73" s="18" t="n">
        <v>-38.83</v>
      </c>
      <c r="H73" s="18" t="n">
        <v>-36.15</v>
      </c>
      <c r="I73" s="18" t="n">
        <v>-27.27</v>
      </c>
      <c r="J73" s="18" t="n">
        <v>73.43000000000001</v>
      </c>
      <c r="K73" s="37" t="n">
        <v>-28.82</v>
      </c>
      <c r="L73" s="18" t="n">
        <v>17.05</v>
      </c>
      <c r="M73" s="18" t="n">
        <v>10.67</v>
      </c>
      <c r="N73" s="18" t="n">
        <v>42.29</v>
      </c>
      <c r="P73" s="9" t="n"/>
      <c r="R73" s="19" t="n">
        <v>-151.49</v>
      </c>
      <c r="S73" s="10" t="n"/>
      <c r="T73" s="10" t="n"/>
      <c r="U73" s="11" t="n"/>
      <c r="V73" s="10" t="n"/>
      <c r="W73" s="10" t="n"/>
      <c r="X73" s="10" t="n"/>
      <c r="Y73" s="10" t="n"/>
      <c r="Z73" s="11" t="n"/>
      <c r="AA73" s="10" t="n"/>
      <c r="AB73" s="10" t="n"/>
      <c r="AC73" s="10" t="n"/>
      <c r="AD73" s="10" t="n"/>
      <c r="AE73" s="11" t="n"/>
    </row>
    <row r="74">
      <c r="A74" t="n">
        <v>1</v>
      </c>
      <c r="C74" t="inlineStr">
        <is>
          <t>파생상품이익</t>
        </is>
      </c>
      <c r="F74" s="9" t="n"/>
      <c r="K74" s="9" t="n"/>
      <c r="M74" s="18" t="n">
        <v>4557.25</v>
      </c>
      <c r="N74" s="18" t="n">
        <v>0</v>
      </c>
      <c r="O74" s="18" t="n">
        <v>-2981.47</v>
      </c>
      <c r="P74" s="9" t="n"/>
      <c r="Q74" s="18" t="n">
        <v>5889.45</v>
      </c>
      <c r="R74" s="19" t="n">
        <v>13231.27</v>
      </c>
      <c r="S74" s="10" t="n"/>
      <c r="T74" s="10" t="n"/>
      <c r="U74" s="11" t="n"/>
      <c r="V74" s="10" t="n"/>
      <c r="W74" s="10" t="n"/>
      <c r="X74" s="10" t="n"/>
      <c r="Y74" s="10" t="n"/>
      <c r="Z74" s="11" t="n"/>
      <c r="AA74" s="10" t="n"/>
      <c r="AB74" s="10" t="n"/>
      <c r="AC74" s="10" t="n"/>
      <c r="AD74" s="10" t="n"/>
      <c r="AE74" s="11" t="n"/>
    </row>
    <row r="75">
      <c r="A75" t="n">
        <v>1</v>
      </c>
      <c r="C75" t="inlineStr">
        <is>
          <t>파생상품손실</t>
        </is>
      </c>
      <c r="F75" s="9" t="n"/>
      <c r="K75" s="9" t="n"/>
      <c r="M75" s="18" t="n">
        <v>1063.84</v>
      </c>
      <c r="N75" s="18" t="n">
        <v>116.88</v>
      </c>
      <c r="O75" s="18" t="n">
        <v>-498.62</v>
      </c>
      <c r="P75" s="9" t="n"/>
      <c r="Q75" s="18" t="n">
        <v>17966.75</v>
      </c>
      <c r="R75" s="19" t="n">
        <v>12408.05</v>
      </c>
      <c r="S75" s="10" t="n"/>
      <c r="T75" s="10" t="n"/>
      <c r="U75" s="11" t="n"/>
      <c r="V75" s="10" t="n"/>
      <c r="W75" s="10" t="n"/>
      <c r="X75" s="10" t="n"/>
      <c r="Y75" s="10" t="n"/>
      <c r="Z75" s="11" t="n"/>
      <c r="AA75" s="10" t="n"/>
      <c r="AB75" s="10" t="n"/>
      <c r="AC75" s="10" t="n"/>
      <c r="AD75" s="10" t="n"/>
      <c r="AE75" s="11" t="n"/>
    </row>
    <row r="76">
      <c r="A76" t="n">
        <v>1</v>
      </c>
      <c r="C76" t="inlineStr">
        <is>
          <t>영업활동으로인한현금흐름</t>
        </is>
      </c>
      <c r="E76" s="18" t="n">
        <v>5371.93</v>
      </c>
      <c r="F76" s="9" t="n"/>
      <c r="G76" s="18" t="n">
        <v>880.76</v>
      </c>
      <c r="H76" s="18" t="n">
        <v>509.35</v>
      </c>
      <c r="I76" s="18" t="n">
        <v>-968.6799999999999</v>
      </c>
      <c r="J76" s="18" t="n">
        <v>1781.89</v>
      </c>
      <c r="K76" s="37" t="n">
        <v>2203.32</v>
      </c>
      <c r="L76" s="18" t="n">
        <v>1109.51</v>
      </c>
      <c r="M76" s="18" t="n">
        <v>281.19</v>
      </c>
      <c r="N76" s="18" t="n">
        <v>129.69</v>
      </c>
      <c r="O76" s="18" t="n">
        <v>-92.40000000000001</v>
      </c>
      <c r="P76" s="37" t="n">
        <v>1427.99</v>
      </c>
      <c r="Q76" s="18" t="n">
        <v>1025.69</v>
      </c>
      <c r="R76" s="19" t="n">
        <v>4395.66</v>
      </c>
      <c r="S76" s="10" t="n"/>
      <c r="T76" s="10" t="n"/>
      <c r="U76" s="11" t="n"/>
      <c r="V76" s="10" t="n"/>
      <c r="W76" s="10" t="n"/>
      <c r="X76" s="10" t="n"/>
      <c r="Y76" s="10" t="n"/>
      <c r="Z76" s="11" t="n"/>
      <c r="AA76" s="10" t="n"/>
      <c r="AB76" s="10" t="n"/>
      <c r="AC76" s="10" t="n"/>
      <c r="AD76" s="10" t="n"/>
      <c r="AE76" s="11" t="n"/>
    </row>
    <row r="77">
      <c r="A77" t="n">
        <v>1</v>
      </c>
      <c r="C77" t="inlineStr">
        <is>
          <t>감가상각비</t>
        </is>
      </c>
      <c r="E77" s="18" t="n">
        <v>586.9</v>
      </c>
      <c r="F77" s="9" t="n"/>
      <c r="G77" s="18" t="n">
        <v>565.9400000000001</v>
      </c>
      <c r="H77" s="18" t="n">
        <v>568.1900000000001</v>
      </c>
      <c r="I77" s="18" t="n">
        <v>585.04</v>
      </c>
      <c r="J77" s="18" t="n">
        <v>580.98</v>
      </c>
      <c r="K77" s="37" t="n">
        <v>2300.15</v>
      </c>
      <c r="L77" s="18" t="n">
        <v>566.04</v>
      </c>
      <c r="M77" s="18" t="n">
        <v>560.7</v>
      </c>
      <c r="N77" s="18" t="n">
        <v>547.75</v>
      </c>
      <c r="O77" s="18" t="n">
        <v>538.6799999999999</v>
      </c>
      <c r="P77" s="37" t="n">
        <v>2213.17</v>
      </c>
      <c r="Q77" s="18" t="n">
        <v>540.23</v>
      </c>
      <c r="R77" s="19" t="n">
        <v>697.71</v>
      </c>
      <c r="S77" s="10" t="n"/>
      <c r="T77" s="10" t="n"/>
      <c r="U77" s="11" t="n"/>
      <c r="V77" s="10" t="n"/>
      <c r="W77" s="10" t="n"/>
      <c r="X77" s="10" t="n"/>
      <c r="Y77" s="10" t="n"/>
      <c r="Z77" s="11" t="n"/>
      <c r="AA77" s="10" t="n"/>
      <c r="AB77" s="10" t="n"/>
      <c r="AC77" s="10" t="n"/>
      <c r="AD77" s="10" t="n"/>
      <c r="AE77" s="11" t="n"/>
    </row>
    <row r="78">
      <c r="A78" t="n">
        <v>1</v>
      </c>
      <c r="C78" t="inlineStr">
        <is>
          <t>무형자산상각비</t>
        </is>
      </c>
      <c r="E78" s="18" t="n">
        <v>4.56</v>
      </c>
      <c r="F78" s="9" t="n"/>
      <c r="G78" s="18" t="n">
        <v>4.07</v>
      </c>
      <c r="H78" s="18" t="n">
        <v>4.03</v>
      </c>
      <c r="I78" s="18" t="n">
        <v>4.93</v>
      </c>
      <c r="J78" s="18" t="n">
        <v>5.82</v>
      </c>
      <c r="K78" s="37" t="n">
        <v>18.85</v>
      </c>
      <c r="L78" s="18" t="n">
        <v>4.93</v>
      </c>
      <c r="M78" s="18" t="n">
        <v>5.3</v>
      </c>
      <c r="N78" s="18" t="n">
        <v>5.31</v>
      </c>
      <c r="O78" s="18" t="n">
        <v>5.31</v>
      </c>
      <c r="P78" s="37" t="n">
        <v>20.85</v>
      </c>
      <c r="Q78" s="18" t="n">
        <v>5.5</v>
      </c>
      <c r="R78" s="19" t="n">
        <v>5.69</v>
      </c>
      <c r="S78" s="10" t="n"/>
      <c r="T78" s="10" t="n"/>
      <c r="U78" s="11" t="n"/>
      <c r="V78" s="10" t="n"/>
      <c r="W78" s="10" t="n"/>
      <c r="X78" s="10" t="n"/>
      <c r="Y78" s="10" t="n"/>
      <c r="Z78" s="11" t="n"/>
      <c r="AA78" s="10" t="n"/>
      <c r="AB78" s="10" t="n"/>
      <c r="AC78" s="10" t="n"/>
      <c r="AD78" s="10" t="n"/>
      <c r="AE78" s="11" t="n"/>
    </row>
    <row r="79">
      <c r="A79" t="n">
        <v>1</v>
      </c>
      <c r="C79" t="inlineStr">
        <is>
          <t>이자수취(CF)</t>
        </is>
      </c>
      <c r="E79" s="18" t="n">
        <v>95.42</v>
      </c>
      <c r="F79" s="9" t="n"/>
      <c r="G79" s="18" t="n">
        <v>46.91</v>
      </c>
      <c r="H79" s="18" t="n">
        <v>49.16</v>
      </c>
      <c r="I79" s="18" t="n">
        <v>51.42</v>
      </c>
      <c r="J79" s="18" t="n">
        <v>58.89</v>
      </c>
      <c r="K79" s="37" t="n">
        <v>206.38</v>
      </c>
      <c r="L79" s="18" t="n">
        <v>50.12</v>
      </c>
      <c r="M79" s="18" t="n">
        <v>64.45999999999999</v>
      </c>
      <c r="N79" s="18" t="n">
        <v>222.18</v>
      </c>
      <c r="O79" s="18" t="n">
        <v>106.43</v>
      </c>
      <c r="P79" s="37" t="n">
        <v>443.19</v>
      </c>
      <c r="Q79" s="18" t="n">
        <v>36.58</v>
      </c>
      <c r="R79" s="19" t="n">
        <v>130.25</v>
      </c>
      <c r="S79" s="10" t="n"/>
      <c r="T79" s="10" t="n"/>
      <c r="U79" s="11" t="n"/>
      <c r="V79" s="10" t="n"/>
      <c r="W79" s="10" t="n"/>
      <c r="X79" s="10" t="n"/>
      <c r="Y79" s="10" t="n"/>
      <c r="Z79" s="11" t="n"/>
      <c r="AA79" s="10" t="n"/>
      <c r="AB79" s="10" t="n"/>
      <c r="AC79" s="10" t="n"/>
      <c r="AD79" s="10" t="n"/>
      <c r="AE79" s="11" t="n"/>
    </row>
    <row r="80">
      <c r="A80" t="n">
        <v>1</v>
      </c>
      <c r="C80" t="inlineStr">
        <is>
          <t>이자지급(CF)</t>
        </is>
      </c>
      <c r="E80" s="18" t="n">
        <v>-499.54</v>
      </c>
      <c r="F80" s="9" t="n"/>
      <c r="G80" s="18" t="n">
        <v>-92.33</v>
      </c>
      <c r="H80" s="18" t="n">
        <v>-93.42</v>
      </c>
      <c r="I80" s="18" t="n">
        <v>-90.18000000000001</v>
      </c>
      <c r="J80" s="18" t="n">
        <v>-197.56</v>
      </c>
      <c r="K80" s="37" t="n">
        <v>-473.49</v>
      </c>
      <c r="L80" s="18" t="n">
        <v>-485.67</v>
      </c>
      <c r="M80" s="18" t="n">
        <v>245.45</v>
      </c>
      <c r="N80" s="18" t="n">
        <v>-114.92</v>
      </c>
      <c r="O80" s="18" t="n">
        <v>-192.39</v>
      </c>
      <c r="P80" s="37" t="n">
        <v>-547.53</v>
      </c>
      <c r="Q80" s="18" t="n">
        <v>-217.77</v>
      </c>
      <c r="R80" s="19" t="n">
        <v>-255.56</v>
      </c>
      <c r="S80" s="10" t="n"/>
      <c r="T80" s="10" t="n"/>
      <c r="U80" s="11" t="n"/>
      <c r="V80" s="10" t="n"/>
      <c r="W80" s="10" t="n"/>
      <c r="X80" s="10" t="n"/>
      <c r="Y80" s="10" t="n"/>
      <c r="Z80" s="11" t="n"/>
      <c r="AA80" s="10" t="n"/>
      <c r="AB80" s="10" t="n"/>
      <c r="AC80" s="10" t="n"/>
      <c r="AD80" s="10" t="n"/>
      <c r="AE80" s="11" t="n"/>
    </row>
    <row r="81">
      <c r="A81" t="n">
        <v>1</v>
      </c>
      <c r="C81" t="inlineStr">
        <is>
          <t>법인세납부(CF)</t>
        </is>
      </c>
      <c r="E81" s="18" t="n">
        <v>-14.73</v>
      </c>
      <c r="F81" s="9" t="n"/>
      <c r="G81" s="18" t="n">
        <v>0</v>
      </c>
      <c r="H81" s="18" t="n">
        <v>-317.07</v>
      </c>
      <c r="I81" s="18" t="n">
        <v>-329.42</v>
      </c>
      <c r="J81" s="18" t="n">
        <v>-14.5</v>
      </c>
      <c r="K81" s="37" t="n">
        <v>-660.99</v>
      </c>
      <c r="L81" s="18" t="n">
        <v>-253.62</v>
      </c>
      <c r="M81" s="18" t="n">
        <v>-346.16</v>
      </c>
      <c r="N81" s="18" t="n">
        <v>-386.64</v>
      </c>
      <c r="O81" s="18" t="n">
        <v>-44.91</v>
      </c>
      <c r="P81" s="37" t="n">
        <v>-1031.33</v>
      </c>
      <c r="Q81" s="18" t="n">
        <v>-190.36</v>
      </c>
      <c r="R81" s="19" t="n">
        <v>-557.89</v>
      </c>
      <c r="S81" s="10" t="n"/>
      <c r="T81" s="10" t="n"/>
      <c r="U81" s="11" t="n"/>
      <c r="V81" s="10" t="n"/>
      <c r="W81" s="10" t="n"/>
      <c r="X81" s="10" t="n"/>
      <c r="Y81" s="10" t="n"/>
      <c r="Z81" s="11" t="n"/>
      <c r="AA81" s="10" t="n"/>
      <c r="AB81" s="10" t="n"/>
      <c r="AC81" s="10" t="n"/>
      <c r="AD81" s="10" t="n"/>
      <c r="AE81" s="11" t="n"/>
    </row>
    <row r="82">
      <c r="A82" t="n">
        <v>1</v>
      </c>
      <c r="C82" t="inlineStr">
        <is>
          <t>투자활동으로인한현금흐름</t>
        </is>
      </c>
      <c r="E82" s="18" t="n">
        <v>-5206.49</v>
      </c>
      <c r="F82" s="9" t="n"/>
      <c r="G82" s="18" t="n">
        <v>-1451.33</v>
      </c>
      <c r="H82" s="18" t="n">
        <v>687.5</v>
      </c>
      <c r="I82" s="18" t="n">
        <v>-370.6</v>
      </c>
      <c r="J82" s="18" t="n">
        <v>-3684.39</v>
      </c>
      <c r="K82" s="37" t="n">
        <v>-4818.82</v>
      </c>
      <c r="L82" s="18" t="n">
        <v>-24055.79</v>
      </c>
      <c r="M82" s="18" t="n">
        <v>-2991.95</v>
      </c>
      <c r="N82" s="18" t="n">
        <v>-164.82</v>
      </c>
      <c r="O82" s="18" t="n">
        <v>-7494.85</v>
      </c>
      <c r="P82" s="37" t="n">
        <v>-34707.41</v>
      </c>
      <c r="Q82" s="18" t="n">
        <v>-17413.94</v>
      </c>
      <c r="R82" s="19" t="n">
        <v>1753.85</v>
      </c>
      <c r="S82" s="10" t="n"/>
      <c r="T82" s="10" t="n"/>
      <c r="U82" s="11" t="n"/>
      <c r="V82" s="10" t="n"/>
      <c r="W82" s="10" t="n"/>
      <c r="X82" s="10" t="n"/>
      <c r="Y82" s="10" t="n"/>
      <c r="Z82" s="11" t="n"/>
      <c r="AA82" s="10" t="n"/>
      <c r="AB82" s="10" t="n"/>
      <c r="AC82" s="10" t="n"/>
      <c r="AD82" s="10" t="n"/>
      <c r="AE82" s="11" t="n"/>
    </row>
    <row r="83">
      <c r="A83" t="n">
        <v>1</v>
      </c>
      <c r="C83" t="inlineStr">
        <is>
          <t>유형자산의감소</t>
        </is>
      </c>
      <c r="E83" s="18" t="n">
        <v>0</v>
      </c>
      <c r="F83" s="9" t="n"/>
      <c r="G83" s="18" t="n">
        <v>0</v>
      </c>
      <c r="H83" s="18" t="n">
        <v>1.18</v>
      </c>
      <c r="I83" s="18" t="n">
        <v>0</v>
      </c>
      <c r="J83" s="18" t="n">
        <v>57</v>
      </c>
      <c r="K83" s="37" t="n">
        <v>58.18</v>
      </c>
      <c r="L83" s="18" t="n">
        <v>1.2</v>
      </c>
      <c r="M83" s="18" t="n">
        <v>0</v>
      </c>
      <c r="N83" s="18" t="n">
        <v>0</v>
      </c>
      <c r="O83" s="18" t="n">
        <v>0</v>
      </c>
      <c r="P83" s="37" t="n">
        <v>1.2</v>
      </c>
      <c r="Q83" s="18" t="n">
        <v>0</v>
      </c>
      <c r="R83" s="19" t="n">
        <v>0</v>
      </c>
      <c r="S83" s="10" t="n"/>
      <c r="T83" s="10" t="n"/>
      <c r="U83" s="11" t="n"/>
      <c r="V83" s="10" t="n"/>
      <c r="W83" s="10" t="n"/>
      <c r="X83" s="10" t="n"/>
      <c r="Y83" s="10" t="n"/>
      <c r="Z83" s="11" t="n"/>
      <c r="AA83" s="10" t="n"/>
      <c r="AB83" s="10" t="n"/>
      <c r="AC83" s="10" t="n"/>
      <c r="AD83" s="10" t="n"/>
      <c r="AE83" s="11" t="n"/>
    </row>
    <row r="84">
      <c r="A84" t="n">
        <v>1</v>
      </c>
      <c r="C84" t="inlineStr">
        <is>
          <t>유형자산의증가</t>
        </is>
      </c>
      <c r="E84" s="18" t="n">
        <v>5288.06</v>
      </c>
      <c r="F84" s="9" t="n"/>
      <c r="G84" s="18" t="n">
        <v>166.07</v>
      </c>
      <c r="H84" s="18" t="n">
        <v>546.22</v>
      </c>
      <c r="I84" s="18" t="n">
        <v>408</v>
      </c>
      <c r="J84" s="18" t="n">
        <v>3760.97</v>
      </c>
      <c r="K84" s="37" t="n">
        <v>4881.26</v>
      </c>
      <c r="L84" s="18" t="n">
        <v>6886.75</v>
      </c>
      <c r="M84" s="18" t="n">
        <v>7420.45</v>
      </c>
      <c r="N84" s="18" t="n">
        <v>9209.440000000001</v>
      </c>
      <c r="O84" s="18" t="n">
        <v>10569.73</v>
      </c>
      <c r="P84" s="37" t="n">
        <v>34086.37</v>
      </c>
      <c r="Q84" s="18" t="n">
        <v>9361.98</v>
      </c>
      <c r="R84" s="19" t="n">
        <v>6186.32</v>
      </c>
      <c r="S84" s="10" t="n"/>
      <c r="T84" s="10" t="n"/>
      <c r="U84" s="11" t="n"/>
      <c r="V84" s="10" t="n"/>
      <c r="W84" s="10" t="n"/>
      <c r="X84" s="10" t="n"/>
      <c r="Y84" s="10" t="n"/>
      <c r="Z84" s="11" t="n"/>
      <c r="AA84" s="10" t="n"/>
      <c r="AB84" s="10" t="n"/>
      <c r="AC84" s="10" t="n"/>
      <c r="AD84" s="10" t="n"/>
      <c r="AE84" s="11" t="n"/>
    </row>
    <row r="85">
      <c r="A85" t="n">
        <v>1</v>
      </c>
      <c r="C85" t="inlineStr">
        <is>
          <t>CAPEX</t>
        </is>
      </c>
      <c r="E85" s="18" t="n">
        <v>5288.06</v>
      </c>
      <c r="F85" s="9" t="n"/>
      <c r="G85" s="18" t="n">
        <v>166.07</v>
      </c>
      <c r="H85" s="18" t="n">
        <v>546.22</v>
      </c>
      <c r="I85" s="18" t="n">
        <v>426</v>
      </c>
      <c r="J85" s="18" t="n">
        <v>3799.79</v>
      </c>
      <c r="K85" s="37" t="n">
        <v>4938.08</v>
      </c>
      <c r="L85" s="18" t="n">
        <v>6909.75</v>
      </c>
      <c r="M85" s="18" t="n">
        <v>8131.96</v>
      </c>
      <c r="N85" s="18" t="n">
        <v>9209.440000000001</v>
      </c>
      <c r="O85" s="18" t="n">
        <v>10569.73</v>
      </c>
      <c r="P85" s="37" t="n">
        <v>34820.88</v>
      </c>
      <c r="Q85" s="18" t="n">
        <v>9365.690000000001</v>
      </c>
      <c r="R85" s="19" t="n">
        <v>6190.69</v>
      </c>
      <c r="S85" s="10" t="n"/>
      <c r="T85" s="10" t="n"/>
      <c r="U85" s="11" t="n"/>
      <c r="V85" s="10" t="n"/>
      <c r="W85" s="10" t="n"/>
      <c r="X85" s="10" t="n"/>
      <c r="Y85" s="10" t="n"/>
      <c r="Z85" s="11" t="n"/>
      <c r="AA85" s="10" t="n"/>
      <c r="AB85" s="10" t="n"/>
      <c r="AC85" s="10" t="n"/>
      <c r="AD85" s="10" t="n"/>
      <c r="AE85" s="11" t="n"/>
    </row>
    <row r="86">
      <c r="A86" t="n">
        <v>1</v>
      </c>
      <c r="C86" t="inlineStr">
        <is>
          <t>무형자산의증가</t>
        </is>
      </c>
      <c r="E86" s="18" t="n">
        <v>0</v>
      </c>
      <c r="F86" s="9" t="n"/>
      <c r="G86" s="18" t="n">
        <v>0</v>
      </c>
      <c r="H86" s="18" t="n">
        <v>0</v>
      </c>
      <c r="I86" s="18" t="n">
        <v>18</v>
      </c>
      <c r="J86" s="18" t="n">
        <v>38.82</v>
      </c>
      <c r="K86" s="37" t="n">
        <v>56.82</v>
      </c>
      <c r="L86" s="18" t="n">
        <v>23</v>
      </c>
      <c r="M86" s="18" t="n">
        <v>711.51</v>
      </c>
      <c r="N86" s="18" t="n">
        <v>0</v>
      </c>
      <c r="O86" s="18" t="n">
        <v>0</v>
      </c>
      <c r="P86" s="37" t="n">
        <v>734.51</v>
      </c>
      <c r="Q86" s="18" t="n">
        <v>3.71</v>
      </c>
      <c r="R86" s="19" t="n">
        <v>4.37</v>
      </c>
      <c r="S86" s="10" t="n"/>
      <c r="T86" s="10" t="n"/>
      <c r="U86" s="11" t="n"/>
      <c r="V86" s="10" t="n"/>
      <c r="W86" s="10" t="n"/>
      <c r="X86" s="10" t="n"/>
      <c r="Y86" s="10" t="n"/>
      <c r="Z86" s="11" t="n"/>
      <c r="AA86" s="10" t="n"/>
      <c r="AB86" s="10" t="n"/>
      <c r="AC86" s="10" t="n"/>
      <c r="AD86" s="10" t="n"/>
      <c r="AE86" s="11" t="n"/>
    </row>
    <row r="87">
      <c r="A87" t="n">
        <v>1</v>
      </c>
      <c r="C87" t="inlineStr">
        <is>
          <t>재무활동으로인한현금흐름</t>
        </is>
      </c>
      <c r="E87" s="18" t="n">
        <v>4453.73</v>
      </c>
      <c r="F87" s="9" t="n"/>
      <c r="G87" s="18" t="n">
        <v>-74.88</v>
      </c>
      <c r="H87" s="18" t="n">
        <v>-39.55</v>
      </c>
      <c r="I87" s="18" t="n">
        <v>-556.5</v>
      </c>
      <c r="J87" s="18" t="n">
        <v>4628.89</v>
      </c>
      <c r="K87" s="37" t="n">
        <v>3957.96</v>
      </c>
      <c r="L87" s="18" t="n">
        <v>21182.82</v>
      </c>
      <c r="M87" s="18" t="n">
        <v>-487.81</v>
      </c>
      <c r="N87" s="18" t="n">
        <v>-106.68</v>
      </c>
      <c r="O87" s="18" t="n">
        <v>26282.58</v>
      </c>
      <c r="P87" s="37" t="n">
        <v>46870.91</v>
      </c>
      <c r="Q87" s="18" t="n">
        <v>223.78</v>
      </c>
      <c r="R87" s="19" t="n">
        <v>1381.74</v>
      </c>
      <c r="S87" s="10" t="n"/>
      <c r="T87" s="10" t="n"/>
      <c r="U87" s="11" t="n"/>
      <c r="V87" s="10" t="n"/>
      <c r="W87" s="10" t="n"/>
      <c r="X87" s="10" t="n"/>
      <c r="Y87" s="10" t="n"/>
      <c r="Z87" s="11" t="n"/>
      <c r="AA87" s="10" t="n"/>
      <c r="AB87" s="10" t="n"/>
      <c r="AC87" s="10" t="n"/>
      <c r="AD87" s="10" t="n"/>
      <c r="AE87" s="11" t="n"/>
    </row>
    <row r="88">
      <c r="A88" t="n">
        <v>1</v>
      </c>
      <c r="C88" t="inlineStr">
        <is>
          <t>차입금의증가</t>
        </is>
      </c>
      <c r="E88" s="18" t="n">
        <v>2600</v>
      </c>
      <c r="F88" s="9" t="n"/>
      <c r="G88" s="18" t="n">
        <v>0</v>
      </c>
      <c r="H88" s="18" t="n">
        <v>0</v>
      </c>
      <c r="I88" s="18" t="n">
        <v>0</v>
      </c>
      <c r="J88" s="18" t="n">
        <v>6000</v>
      </c>
      <c r="K88" s="37" t="n">
        <v>6000</v>
      </c>
      <c r="P88" s="9" t="n"/>
      <c r="Q88" s="18" t="n">
        <v>0</v>
      </c>
      <c r="R88" s="19" t="n">
        <v>8425.219999999999</v>
      </c>
      <c r="S88" s="10" t="n"/>
      <c r="T88" s="10" t="n"/>
      <c r="U88" s="11" t="n"/>
      <c r="V88" s="10" t="n"/>
      <c r="W88" s="10" t="n"/>
      <c r="X88" s="10" t="n"/>
      <c r="Y88" s="10" t="n"/>
      <c r="Z88" s="11" t="n"/>
      <c r="AA88" s="10" t="n"/>
      <c r="AB88" s="10" t="n"/>
      <c r="AC88" s="10" t="n"/>
      <c r="AD88" s="10" t="n"/>
      <c r="AE88" s="11" t="n"/>
    </row>
    <row r="89">
      <c r="A89" t="n">
        <v>1</v>
      </c>
      <c r="C89" t="inlineStr">
        <is>
          <t>차입금의감소</t>
        </is>
      </c>
      <c r="E89" s="18" t="n">
        <v>27600</v>
      </c>
      <c r="F89" s="9" t="n"/>
      <c r="I89" s="18" t="n">
        <v>450</v>
      </c>
      <c r="J89" s="18" t="n">
        <v>1400</v>
      </c>
      <c r="K89" s="9" t="n"/>
      <c r="N89" s="18" t="n">
        <v>50</v>
      </c>
      <c r="O89" s="18" t="n">
        <v>10800</v>
      </c>
      <c r="P89" s="9" t="n"/>
      <c r="Q89" s="18" t="n">
        <v>0</v>
      </c>
      <c r="R89" s="19" t="n">
        <v>166.67</v>
      </c>
      <c r="S89" s="10" t="n"/>
      <c r="T89" s="10" t="n"/>
      <c r="U89" s="11" t="n"/>
      <c r="V89" s="10" t="n"/>
      <c r="W89" s="10" t="n"/>
      <c r="X89" s="10" t="n"/>
      <c r="Y89" s="10" t="n"/>
      <c r="Z89" s="11" t="n"/>
      <c r="AA89" s="10" t="n"/>
      <c r="AB89" s="10" t="n"/>
      <c r="AC89" s="10" t="n"/>
      <c r="AD89" s="10" t="n"/>
      <c r="AE89" s="11" t="n"/>
    </row>
    <row r="90">
      <c r="A90" t="n">
        <v>1</v>
      </c>
      <c r="C90" t="inlineStr">
        <is>
          <t>리스부채의상환</t>
        </is>
      </c>
      <c r="E90" s="18" t="n">
        <v>106.41</v>
      </c>
      <c r="F90" s="9" t="n"/>
      <c r="G90" s="18" t="n">
        <v>89.68000000000001</v>
      </c>
      <c r="H90" s="18" t="n">
        <v>79.55</v>
      </c>
      <c r="I90" s="18" t="n">
        <v>106.5</v>
      </c>
      <c r="J90" s="18" t="n">
        <v>106.51</v>
      </c>
      <c r="K90" s="37" t="n">
        <v>382.24</v>
      </c>
      <c r="L90" s="18" t="n">
        <v>105.84</v>
      </c>
      <c r="M90" s="18" t="n">
        <v>104.71</v>
      </c>
      <c r="N90" s="18" t="n">
        <v>95.09999999999999</v>
      </c>
      <c r="O90" s="18" t="n">
        <v>89.92</v>
      </c>
      <c r="P90" s="37" t="n">
        <v>395.57</v>
      </c>
      <c r="Q90" s="18" t="n">
        <v>92.18000000000001</v>
      </c>
      <c r="R90" s="19" t="n">
        <v>67.95999999999999</v>
      </c>
      <c r="S90" s="10" t="n"/>
      <c r="T90" s="10" t="n"/>
      <c r="U90" s="11" t="n"/>
      <c r="V90" s="10" t="n"/>
      <c r="W90" s="10" t="n"/>
      <c r="X90" s="10" t="n"/>
      <c r="Y90" s="10" t="n"/>
      <c r="Z90" s="11" t="n"/>
      <c r="AA90" s="10" t="n"/>
      <c r="AB90" s="10" t="n"/>
      <c r="AC90" s="10" t="n"/>
      <c r="AD90" s="10" t="n"/>
      <c r="AE90" s="11" t="n"/>
    </row>
    <row r="91">
      <c r="A91" t="n">
        <v>1</v>
      </c>
      <c r="C91" t="inlineStr">
        <is>
          <t>현금및현금성자산의증감</t>
        </is>
      </c>
      <c r="E91" s="18" t="n">
        <v>4619.16</v>
      </c>
      <c r="F91" s="9" t="n"/>
      <c r="G91" s="18" t="n">
        <v>-645.45</v>
      </c>
      <c r="H91" s="18" t="n">
        <v>1157.3</v>
      </c>
      <c r="I91" s="18" t="n">
        <v>-1895.78</v>
      </c>
      <c r="J91" s="18" t="n">
        <v>2726.39</v>
      </c>
      <c r="K91" s="37" t="n">
        <v>1342.46</v>
      </c>
      <c r="L91" s="18" t="n">
        <v>-1763.46</v>
      </c>
      <c r="M91" s="18" t="n">
        <v>-3198.58</v>
      </c>
      <c r="N91" s="18" t="n">
        <v>-141.8</v>
      </c>
      <c r="O91" s="18" t="n">
        <v>18695.33</v>
      </c>
      <c r="P91" s="37" t="n">
        <v>13591.49</v>
      </c>
      <c r="Q91" s="18" t="n">
        <v>-16164.47</v>
      </c>
      <c r="R91" s="5" t="n"/>
      <c r="S91" s="10" t="n"/>
      <c r="T91" s="10" t="n"/>
      <c r="U91" s="11" t="n"/>
      <c r="V91" s="10" t="n"/>
      <c r="W91" s="10" t="n"/>
      <c r="X91" s="10" t="n"/>
      <c r="Y91" s="10" t="n"/>
      <c r="Z91" s="11" t="n"/>
      <c r="AA91" s="10" t="n"/>
      <c r="AB91" s="10" t="n"/>
      <c r="AC91" s="10" t="n"/>
      <c r="AD91" s="10" t="n"/>
      <c r="AE91" s="11" t="n"/>
    </row>
    <row r="92">
      <c r="A92" t="n">
        <v>1</v>
      </c>
      <c r="C92" t="inlineStr">
        <is>
          <t>기말현금및현금성자산</t>
        </is>
      </c>
      <c r="E92" s="18" t="n">
        <v>4618.93</v>
      </c>
      <c r="F92" s="9" t="n"/>
      <c r="G92" s="18" t="n">
        <v>6603.65</v>
      </c>
      <c r="H92" s="18" t="n">
        <v>1157.15</v>
      </c>
      <c r="I92" s="18" t="n">
        <v>-1898.06</v>
      </c>
      <c r="J92" s="18" t="n">
        <v>2728.68</v>
      </c>
      <c r="K92" s="37" t="n">
        <v>8591.42</v>
      </c>
      <c r="L92" s="18" t="n">
        <v>6827.96</v>
      </c>
      <c r="M92" s="18" t="n">
        <v>-3198.58</v>
      </c>
      <c r="N92" s="18" t="n">
        <v>-141.04</v>
      </c>
      <c r="O92" s="18" t="n">
        <v>18657.35</v>
      </c>
      <c r="P92" s="37" t="n">
        <v>22145.69</v>
      </c>
      <c r="Q92" s="18" t="n">
        <v>6013.5</v>
      </c>
      <c r="R92" s="19" t="n">
        <v>7512.39</v>
      </c>
      <c r="S92" s="10" t="n"/>
      <c r="T92" s="10" t="n"/>
      <c r="U92" s="11" t="n"/>
      <c r="V92" s="10" t="n"/>
      <c r="W92" s="10" t="n"/>
      <c r="X92" s="10" t="n"/>
      <c r="Y92" s="10" t="n"/>
      <c r="Z92" s="11" t="n"/>
      <c r="AA92" s="10" t="n"/>
      <c r="AB92" s="10" t="n"/>
      <c r="AC92" s="10" t="n"/>
      <c r="AD92" s="10" t="n"/>
      <c r="AE92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4Q23</t>
        </is>
      </c>
      <c r="F1" s="3" t="n">
        <v>2023</v>
      </c>
      <c r="G1" s="3" t="inlineStr">
        <is>
          <t>1Q24</t>
        </is>
      </c>
      <c r="H1" s="3" t="inlineStr">
        <is>
          <t>2Q24</t>
        </is>
      </c>
      <c r="I1" s="3" t="inlineStr">
        <is>
          <t>3Q24</t>
        </is>
      </c>
      <c r="J1" s="3" t="inlineStr">
        <is>
          <t>4Q24</t>
        </is>
      </c>
      <c r="K1" s="3" t="n">
        <v>2024</v>
      </c>
      <c r="L1" s="3" t="inlineStr">
        <is>
          <t>1Q25</t>
        </is>
      </c>
      <c r="M1" s="3" t="inlineStr">
        <is>
          <t>2Q25</t>
        </is>
      </c>
      <c r="N1" s="3" t="inlineStr">
        <is>
          <t>3Q25</t>
        </is>
      </c>
      <c r="O1" s="3" t="inlineStr">
        <is>
          <t>4Q25</t>
        </is>
      </c>
      <c r="P1" s="3" t="n">
        <v>2025</v>
      </c>
      <c r="Q1" s="3" t="inlineStr">
        <is>
          <t>1Q26</t>
        </is>
      </c>
      <c r="R1" s="4" t="inlineStr">
        <is>
          <t>2Q26</t>
        </is>
      </c>
      <c r="S1" s="3" t="inlineStr">
        <is>
          <t>3Q26</t>
        </is>
      </c>
      <c r="T1" s="3" t="inlineStr">
        <is>
          <t>4Q26</t>
        </is>
      </c>
      <c r="U1" s="3" t="n">
        <v>2026</v>
      </c>
      <c r="V1" s="3" t="inlineStr">
        <is>
          <t>1Q27</t>
        </is>
      </c>
      <c r="W1" s="3" t="inlineStr">
        <is>
          <t>2Q27</t>
        </is>
      </c>
      <c r="X1" s="3" t="inlineStr">
        <is>
          <t>3Q27</t>
        </is>
      </c>
      <c r="Y1" s="3" t="inlineStr">
        <is>
          <t>4Q27</t>
        </is>
      </c>
      <c r="Z1" s="3" t="n">
        <v>2027</v>
      </c>
      <c r="AA1" s="3" t="inlineStr">
        <is>
          <t>1Q28</t>
        </is>
      </c>
      <c r="AB1" s="3" t="inlineStr">
        <is>
          <t>2Q28</t>
        </is>
      </c>
      <c r="AC1" s="3" t="inlineStr">
        <is>
          <t>3Q28</t>
        </is>
      </c>
      <c r="AD1" s="3" t="inlineStr">
        <is>
          <t>4Q28</t>
        </is>
      </c>
      <c r="AE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R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6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</row>
    <row r="4">
      <c r="E4" s="7" t="inlineStr">
        <is>
          <t>2023.12</t>
        </is>
      </c>
      <c r="F4" s="7" t="inlineStr">
        <is>
          <t>2023.12A</t>
        </is>
      </c>
      <c r="G4" s="7" t="inlineStr">
        <is>
          <t>2024.03</t>
        </is>
      </c>
      <c r="H4" s="7" t="inlineStr">
        <is>
          <t>2024.06</t>
        </is>
      </c>
      <c r="I4" s="7" t="inlineStr">
        <is>
          <t>2024.09</t>
        </is>
      </c>
      <c r="J4" s="7" t="inlineStr">
        <is>
          <t>2024.12</t>
        </is>
      </c>
      <c r="K4" s="7" t="inlineStr">
        <is>
          <t>2024.12A</t>
        </is>
      </c>
      <c r="L4" s="7" t="inlineStr">
        <is>
          <t>2025.03</t>
        </is>
      </c>
      <c r="M4" s="7" t="inlineStr">
        <is>
          <t>2025.06</t>
        </is>
      </c>
      <c r="N4" s="7" t="inlineStr">
        <is>
          <t>2025.09</t>
        </is>
      </c>
      <c r="O4" s="7" t="inlineStr">
        <is>
          <t>2025.12</t>
        </is>
      </c>
      <c r="P4" s="7" t="inlineStr">
        <is>
          <t>2025.12A</t>
        </is>
      </c>
      <c r="Q4" s="7" t="inlineStr">
        <is>
          <t>2026.03</t>
        </is>
      </c>
      <c r="R4" s="8" t="inlineStr">
        <is>
          <t>2026.06</t>
        </is>
      </c>
      <c r="S4" s="7" t="inlineStr">
        <is>
          <t>2026.09</t>
        </is>
      </c>
      <c r="T4" s="7" t="inlineStr">
        <is>
          <t>2026.12</t>
        </is>
      </c>
      <c r="U4" s="7" t="inlineStr">
        <is>
          <t>2026.12A</t>
        </is>
      </c>
      <c r="V4" s="7" t="inlineStr">
        <is>
          <t>2027.03</t>
        </is>
      </c>
      <c r="W4" s="7" t="inlineStr">
        <is>
          <t>2027.06</t>
        </is>
      </c>
      <c r="X4" s="7" t="inlineStr">
        <is>
          <t>2027.09</t>
        </is>
      </c>
      <c r="Y4" s="7" t="inlineStr">
        <is>
          <t>2027.12</t>
        </is>
      </c>
      <c r="Z4" s="7" t="inlineStr">
        <is>
          <t>2027.12A</t>
        </is>
      </c>
      <c r="AA4" s="7" t="inlineStr">
        <is>
          <t>2028.03</t>
        </is>
      </c>
      <c r="AB4" s="7" t="inlineStr">
        <is>
          <t>2028.06</t>
        </is>
      </c>
      <c r="AC4" s="7" t="inlineStr">
        <is>
          <t>2028.09</t>
        </is>
      </c>
      <c r="AD4" s="7" t="inlineStr">
        <is>
          <t>2028.12</t>
        </is>
      </c>
      <c r="AE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IFERROR(VLOOKUP($D5,BS별도,MATCH(E$1,BS별도H,0),0)/100,"")</f>
        <v/>
      </c>
      <c r="F5" s="37" t="n"/>
      <c r="G5" s="18">
        <f>IFERROR(VLOOKUP($D5,BS별도,MATCH(G$1,BS별도H,0),0)/100,"")</f>
        <v/>
      </c>
      <c r="H5" s="18">
        <f>IFERROR(VLOOKUP($D5,BS별도,MATCH(H$1,BS별도H,0),0)/100,"")</f>
        <v/>
      </c>
      <c r="I5" s="18">
        <f>IFERROR(VLOOKUP($D5,BS별도,MATCH(I$1,BS별도H,0),0)/100,"")</f>
        <v/>
      </c>
      <c r="J5" s="18">
        <f>IFERROR(VLOOKUP($D5,BS별도,MATCH(J$1,BS별도H,0),0)/100,"")</f>
        <v/>
      </c>
      <c r="K5" s="37">
        <f>SUM(G5:J5)</f>
        <v/>
      </c>
      <c r="L5" s="18">
        <f>IFERROR(VLOOKUP($D5,BS별도,MATCH(L$1,BS별도H,0),0)/100,"")</f>
        <v/>
      </c>
      <c r="M5" s="18">
        <f>IFERROR(VLOOKUP($D5,BS별도,MATCH(M$1,BS별도H,0),0)/100,"")</f>
        <v/>
      </c>
      <c r="N5" s="18">
        <f>IFERROR(VLOOKUP($D5,BS별도,MATCH(N$1,BS별도H,0),0)/100,"")</f>
        <v/>
      </c>
      <c r="O5" s="18">
        <f>IFERROR(VLOOKUP($D5,BS별도,MATCH(O$1,BS별도H,0),0)/100,"")</f>
        <v/>
      </c>
      <c r="P5" s="37">
        <f>SUM(L5:O5)</f>
        <v/>
      </c>
      <c r="Q5" s="18">
        <f>IFERROR(VLOOKUP($D5,BS별도,MATCH(Q$1,BS별도H,0),0)/100,"")</f>
        <v/>
      </c>
      <c r="R5" s="19">
        <f>IFERROR(VLOOKUP($D5,BS별도,MATCH(R$1,BS별도H,0),0)/100,"")</f>
        <v/>
      </c>
      <c r="S5" s="20">
        <f>IFERROR(N5*(1+변수!S21),"")</f>
        <v/>
      </c>
      <c r="T5" s="20">
        <f>IFERROR(O5*(1+변수!T21),"")</f>
        <v/>
      </c>
      <c r="U5" s="38">
        <f>SUM(Q5:T5)</f>
        <v/>
      </c>
      <c r="V5" s="20">
        <f>IFERROR(Q5*(1+변수!V21),"")</f>
        <v/>
      </c>
      <c r="W5" s="20">
        <f>IFERROR(R5*(1+변수!W21),"")</f>
        <v/>
      </c>
      <c r="X5" s="20">
        <f>IFERROR(S5*(1+변수!X21),"")</f>
        <v/>
      </c>
      <c r="Y5" s="20">
        <f>IFERROR(T5*(1+변수!Y21),"")</f>
        <v/>
      </c>
      <c r="Z5" s="38">
        <f>SUM(V5:Y5)</f>
        <v/>
      </c>
      <c r="AA5" s="20">
        <f>IFERROR(V5*(1+변수!AA21),"")</f>
        <v/>
      </c>
      <c r="AB5" s="20">
        <f>IFERROR(W5*(1+변수!AB21),"")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IFERROR(VLOOKUP($D6,BS별도,MATCH(E$1,BS별도H,0),0)/100,"")</f>
        <v/>
      </c>
      <c r="F6" s="37" t="n"/>
      <c r="G6" s="18">
        <f>IFERROR(VLOOKUP($D6,BS별도,MATCH(G$1,BS별도H,0),0)/100,"")</f>
        <v/>
      </c>
      <c r="H6" s="18">
        <f>IFERROR(VLOOKUP($D6,BS별도,MATCH(H$1,BS별도H,0),0)/100,"")</f>
        <v/>
      </c>
      <c r="I6" s="18">
        <f>IFERROR(VLOOKUP($D6,BS별도,MATCH(I$1,BS별도H,0),0)/100,"")</f>
        <v/>
      </c>
      <c r="J6" s="18">
        <f>IFERROR(VLOOKUP($D6,BS별도,MATCH(J$1,BS별도H,0),0)/100,"")</f>
        <v/>
      </c>
      <c r="K6" s="37">
        <f>SUM(G6:J6)</f>
        <v/>
      </c>
      <c r="L6" s="18">
        <f>IFERROR(VLOOKUP($D6,BS별도,MATCH(L$1,BS별도H,0),0)/100,"")</f>
        <v/>
      </c>
      <c r="M6" s="18">
        <f>IFERROR(VLOOKUP($D6,BS별도,MATCH(M$1,BS별도H,0),0)/100,"")</f>
        <v/>
      </c>
      <c r="N6" s="18">
        <f>IFERROR(VLOOKUP($D6,BS별도,MATCH(N$1,BS별도H,0),0)/100,"")</f>
        <v/>
      </c>
      <c r="O6" s="18">
        <f>IFERROR(VLOOKUP($D6,BS별도,MATCH(O$1,BS별도H,0),0)/100,"")</f>
        <v/>
      </c>
      <c r="P6" s="37">
        <f>SUM(L6:O6)</f>
        <v/>
      </c>
      <c r="Q6" s="18">
        <f>IFERROR(VLOOKUP($D6,BS별도,MATCH(Q$1,BS별도H,0),0)/100,"")</f>
        <v/>
      </c>
      <c r="R6" s="19">
        <f>IFERROR(VLOOKUP($D6,BS별도,MATCH(R$1,BS별도H,0),0)/100,"")</f>
        <v/>
      </c>
      <c r="S6" s="20">
        <f>IFERROR(S5-S7,"")</f>
        <v/>
      </c>
      <c r="T6" s="20">
        <f>IFERROR(T5-T7,"")</f>
        <v/>
      </c>
      <c r="U6" s="38">
        <f>SUM(Q6:T6)</f>
        <v/>
      </c>
      <c r="V6" s="20">
        <f>IFERROR(V5-V7,"")</f>
        <v/>
      </c>
      <c r="W6" s="20">
        <f>IFERROR(W5-W7,"")</f>
        <v/>
      </c>
      <c r="X6" s="20">
        <f>IFERROR(X5-X7,"")</f>
        <v/>
      </c>
      <c r="Y6" s="20">
        <f>IFERROR(Y5-Y7,"")</f>
        <v/>
      </c>
      <c r="Z6" s="38">
        <f>SUM(V6:Y6)</f>
        <v/>
      </c>
      <c r="AA6" s="20">
        <f>IFERROR(AA5-AA7,"")</f>
        <v/>
      </c>
      <c r="AB6" s="20">
        <f>IFERROR(AB5-AB7,"")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IFERROR(VLOOKUP($D7,BS별도,MATCH(E$1,BS별도H,0),0)/100,"")</f>
        <v/>
      </c>
      <c r="F7" s="37" t="n"/>
      <c r="G7" s="18">
        <f>IFERROR(VLOOKUP($D7,BS별도,MATCH(G$1,BS별도H,0),0)/100,"")</f>
        <v/>
      </c>
      <c r="H7" s="18">
        <f>IFERROR(VLOOKUP($D7,BS별도,MATCH(H$1,BS별도H,0),0)/100,"")</f>
        <v/>
      </c>
      <c r="I7" s="18">
        <f>IFERROR(VLOOKUP($D7,BS별도,MATCH(I$1,BS별도H,0),0)/100,"")</f>
        <v/>
      </c>
      <c r="J7" s="18">
        <f>IFERROR(VLOOKUP($D7,BS별도,MATCH(J$1,BS별도H,0),0)/100,"")</f>
        <v/>
      </c>
      <c r="K7" s="37">
        <f>SUM(G7:J7)</f>
        <v/>
      </c>
      <c r="L7" s="18">
        <f>IFERROR(VLOOKUP($D7,BS별도,MATCH(L$1,BS별도H,0),0)/100,"")</f>
        <v/>
      </c>
      <c r="M7" s="18">
        <f>IFERROR(VLOOKUP($D7,BS별도,MATCH(M$1,BS별도H,0),0)/100,"")</f>
        <v/>
      </c>
      <c r="N7" s="18">
        <f>IFERROR(VLOOKUP($D7,BS별도,MATCH(N$1,BS별도H,0),0)/100,"")</f>
        <v/>
      </c>
      <c r="O7" s="18">
        <f>IFERROR(VLOOKUP($D7,BS별도,MATCH(O$1,BS별도H,0),0)/100,"")</f>
        <v/>
      </c>
      <c r="P7" s="37">
        <f>SUM(L7:O7)</f>
        <v/>
      </c>
      <c r="Q7" s="18">
        <f>IFERROR(VLOOKUP($D7,BS별도,MATCH(Q$1,BS별도H,0),0)/100,"")</f>
        <v/>
      </c>
      <c r="R7" s="19">
        <f>IFERROR(VLOOKUP($D7,BS별도,MATCH(R$1,BS별도H,0),0)/100,"")</f>
        <v/>
      </c>
      <c r="S7" s="20">
        <f>IFERROR(S9+S8,"")</f>
        <v/>
      </c>
      <c r="T7" s="20">
        <f>IFERROR(T9+T8,"")</f>
        <v/>
      </c>
      <c r="U7" s="38">
        <f>SUM(Q7:T7)</f>
        <v/>
      </c>
      <c r="V7" s="20">
        <f>IFERROR(V9+V8,"")</f>
        <v/>
      </c>
      <c r="W7" s="20">
        <f>IFERROR(W9+W8,"")</f>
        <v/>
      </c>
      <c r="X7" s="20">
        <f>IFERROR(X9+X8,"")</f>
        <v/>
      </c>
      <c r="Y7" s="20">
        <f>IFERROR(Y9+Y8,"")</f>
        <v/>
      </c>
      <c r="Z7" s="38">
        <f>SUM(V7:Y7)</f>
        <v/>
      </c>
      <c r="AA7" s="20">
        <f>IFERROR(AA9+AA8,"")</f>
        <v/>
      </c>
      <c r="AB7" s="20">
        <f>IFERROR(AB9+AB8,"")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IFERROR(VLOOKUP($D8,BS별도,MATCH(E$1,BS별도H,0),0)/100,"")</f>
        <v/>
      </c>
      <c r="F8" s="37" t="n"/>
      <c r="G8" s="18">
        <f>IFERROR(VLOOKUP($D8,BS별도,MATCH(G$1,BS별도H,0),0)/100,"")</f>
        <v/>
      </c>
      <c r="H8" s="18">
        <f>IFERROR(VLOOKUP($D8,BS별도,MATCH(H$1,BS별도H,0),0)/100,"")</f>
        <v/>
      </c>
      <c r="I8" s="18">
        <f>IFERROR(VLOOKUP($D8,BS별도,MATCH(I$1,BS별도H,0),0)/100,"")</f>
        <v/>
      </c>
      <c r="J8" s="18">
        <f>IFERROR(VLOOKUP($D8,BS별도,MATCH(J$1,BS별도H,0),0)/100,"")</f>
        <v/>
      </c>
      <c r="K8" s="37">
        <f>SUM(G8:J8)</f>
        <v/>
      </c>
      <c r="L8" s="18">
        <f>IFERROR(VLOOKUP($D8,BS별도,MATCH(L$1,BS별도H,0),0)/100,"")</f>
        <v/>
      </c>
      <c r="M8" s="18">
        <f>IFERROR(VLOOKUP($D8,BS별도,MATCH(M$1,BS별도H,0),0)/100,"")</f>
        <v/>
      </c>
      <c r="N8" s="18">
        <f>IFERROR(VLOOKUP($D8,BS별도,MATCH(N$1,BS별도H,0),0)/100,"")</f>
        <v/>
      </c>
      <c r="O8" s="18">
        <f>IFERROR(VLOOKUP($D8,BS별도,MATCH(O$1,BS별도H,0),0)/100,"")</f>
        <v/>
      </c>
      <c r="P8" s="37">
        <f>SUM(L8:O8)</f>
        <v/>
      </c>
      <c r="Q8" s="18">
        <f>IFERROR(VLOOKUP($D8,BS별도,MATCH(Q$1,BS별도H,0),0)/100,"")</f>
        <v/>
      </c>
      <c r="R8" s="19">
        <f>IFERROR(VLOOKUP($D8,BS별도,MATCH(R$1,BS별도H,0),0)/100,"")</f>
        <v/>
      </c>
      <c r="S8" s="20">
        <f>IFERROR(S5*변수!S22,"")</f>
        <v/>
      </c>
      <c r="T8" s="20">
        <f>IFERROR(T5*변수!T22,"")</f>
        <v/>
      </c>
      <c r="U8" s="38">
        <f>SUM(Q8:T8)</f>
        <v/>
      </c>
      <c r="V8" s="20">
        <f>IFERROR(V5*변수!V22,"")</f>
        <v/>
      </c>
      <c r="W8" s="20">
        <f>IFERROR(W5*변수!W22,"")</f>
        <v/>
      </c>
      <c r="X8" s="20">
        <f>IFERROR(X5*변수!X22,"")</f>
        <v/>
      </c>
      <c r="Y8" s="20">
        <f>IFERROR(Y5*변수!Y22,"")</f>
        <v/>
      </c>
      <c r="Z8" s="38">
        <f>SUM(V8:Y8)</f>
        <v/>
      </c>
      <c r="AA8" s="20">
        <f>IFERROR(AA5*변수!AA22,"")</f>
        <v/>
      </c>
      <c r="AB8" s="20">
        <f>IFERROR(AB5*변수!AB22,"")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IFERROR(VLOOKUP($D9,BS별도,MATCH(E$1,BS별도H,0),0)/100,"")</f>
        <v/>
      </c>
      <c r="F9" s="37" t="n"/>
      <c r="G9" s="18">
        <f>IFERROR(VLOOKUP($D9,BS별도,MATCH(G$1,BS별도H,0),0)/100,"")</f>
        <v/>
      </c>
      <c r="H9" s="18">
        <f>IFERROR(VLOOKUP($D9,BS별도,MATCH(H$1,BS별도H,0),0)/100,"")</f>
        <v/>
      </c>
      <c r="I9" s="18">
        <f>IFERROR(VLOOKUP($D9,BS별도,MATCH(I$1,BS별도H,0),0)/100,"")</f>
        <v/>
      </c>
      <c r="J9" s="18">
        <f>IFERROR(VLOOKUP($D9,BS별도,MATCH(J$1,BS별도H,0),0)/100,"")</f>
        <v/>
      </c>
      <c r="K9" s="37">
        <f>SUM(G9:J9)</f>
        <v/>
      </c>
      <c r="L9" s="18">
        <f>IFERROR(VLOOKUP($D9,BS별도,MATCH(L$1,BS별도H,0),0)/100,"")</f>
        <v/>
      </c>
      <c r="M9" s="18">
        <f>IFERROR(VLOOKUP($D9,BS별도,MATCH(M$1,BS별도H,0),0)/100,"")</f>
        <v/>
      </c>
      <c r="N9" s="18">
        <f>IFERROR(VLOOKUP($D9,BS별도,MATCH(N$1,BS별도H,0),0)/100,"")</f>
        <v/>
      </c>
      <c r="O9" s="18">
        <f>IFERROR(VLOOKUP($D9,BS별도,MATCH(O$1,BS별도H,0),0)/100,"")</f>
        <v/>
      </c>
      <c r="P9" s="37">
        <f>SUM(L9:O9)</f>
        <v/>
      </c>
      <c r="Q9" s="18">
        <f>IFERROR(VLOOKUP($D9,BS별도,MATCH(Q$1,BS별도H,0),0)/100,"")</f>
        <v/>
      </c>
      <c r="R9" s="19">
        <f>IFERROR(VLOOKUP($D9,BS별도,MATCH(R$1,BS별도H,0),0)/100,"")</f>
        <v/>
      </c>
      <c r="S9" s="20">
        <f>IFERROR(S5*변수!S23,"")</f>
        <v/>
      </c>
      <c r="T9" s="20">
        <f>IFERROR(T5*변수!T23,"")</f>
        <v/>
      </c>
      <c r="U9" s="38">
        <f>SUM(Q9:T9)</f>
        <v/>
      </c>
      <c r="V9" s="20">
        <f>IFERROR(V5*변수!V23,"")</f>
        <v/>
      </c>
      <c r="W9" s="20">
        <f>IFERROR(W5*변수!W23,"")</f>
        <v/>
      </c>
      <c r="X9" s="20">
        <f>IFERROR(X5*변수!X23,"")</f>
        <v/>
      </c>
      <c r="Y9" s="20">
        <f>IFERROR(Y5*변수!Y23,"")</f>
        <v/>
      </c>
      <c r="Z9" s="38">
        <f>SUM(V9:Y9)</f>
        <v/>
      </c>
      <c r="AA9" s="20">
        <f>IFERROR(AA5*변수!AA23,"")</f>
        <v/>
      </c>
      <c r="AB9" s="20">
        <f>IFERROR(AB5*변수!AB23,"")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3">
        <f>IFERROR(R9/R5,"")</f>
        <v/>
      </c>
      <c r="S10" s="32">
        <f>IFERROR(S9/S5,"")</f>
        <v/>
      </c>
      <c r="T10" s="32">
        <f>IFERROR(T9/T5,"")</f>
        <v/>
      </c>
      <c r="U10" s="25">
        <f>IFERROR(U9/U5,"")</f>
        <v/>
      </c>
      <c r="V10" s="32">
        <f>IFERROR(V9/V5,"")</f>
        <v/>
      </c>
      <c r="W10" s="32">
        <f>IFERROR(W9/W5,"")</f>
        <v/>
      </c>
      <c r="X10" s="32">
        <f>IFERROR(X9/X5,"")</f>
        <v/>
      </c>
      <c r="Y10" s="32">
        <f>IFERROR(Y9/Y5,"")</f>
        <v/>
      </c>
      <c r="Z10" s="25">
        <f>IFERROR(Z9/Z5,"")</f>
        <v/>
      </c>
      <c r="AA10" s="32">
        <f>IFERROR(AA9/AA5,"")</f>
        <v/>
      </c>
      <c r="AB10" s="32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IFERROR(VLOOKUP($D11,BS별도,MATCH(E$1,BS별도H,0),0)/100,"")</f>
        <v/>
      </c>
      <c r="F11" s="37" t="n"/>
      <c r="G11" s="18">
        <f>IFERROR(VLOOKUP($D11,BS별도,MATCH(G$1,BS별도H,0),0)/100,"")</f>
        <v/>
      </c>
      <c r="H11" s="18">
        <f>IFERROR(VLOOKUP($D11,BS별도,MATCH(H$1,BS별도H,0),0)/100,"")</f>
        <v/>
      </c>
      <c r="I11" s="18">
        <f>IFERROR(VLOOKUP($D11,BS별도,MATCH(I$1,BS별도H,0),0)/100,"")</f>
        <v/>
      </c>
      <c r="J11" s="18">
        <f>IFERROR(VLOOKUP($D11,BS별도,MATCH(J$1,BS별도H,0),0)/100,"")</f>
        <v/>
      </c>
      <c r="K11" s="37">
        <f>SUM(G11:J11)</f>
        <v/>
      </c>
      <c r="L11" s="18">
        <f>IFERROR(VLOOKUP($D11,BS별도,MATCH(L$1,BS별도H,0),0)/100,"")</f>
        <v/>
      </c>
      <c r="M11" s="18">
        <f>IFERROR(VLOOKUP($D11,BS별도,MATCH(M$1,BS별도H,0),0)/100,"")</f>
        <v/>
      </c>
      <c r="N11" s="18">
        <f>IFERROR(VLOOKUP($D11,BS별도,MATCH(N$1,BS별도H,0),0)/100,"")</f>
        <v/>
      </c>
      <c r="O11" s="18">
        <f>IFERROR(VLOOKUP($D11,BS별도,MATCH(O$1,BS별도H,0),0)/100,"")</f>
        <v/>
      </c>
      <c r="P11" s="37">
        <f>SUM(L11:O11)</f>
        <v/>
      </c>
      <c r="Q11" s="18">
        <f>IFERROR(VLOOKUP($D11,BS별도,MATCH(Q$1,BS별도H,0),0)/100,"")</f>
        <v/>
      </c>
      <c r="R11" s="19">
        <f>IFERROR(VLOOKUP($D11,BS별도,MATCH(R$1,BS별도H,0),0)/100,"")</f>
        <v/>
      </c>
      <c r="S11" s="20">
        <f>IFERROR(S12+S13+S14+S15,"")</f>
        <v/>
      </c>
      <c r="T11" s="20">
        <f>IFERROR(T12+T13+T14+T15,"")</f>
        <v/>
      </c>
      <c r="U11" s="38">
        <f>SUM(Q11:T11)</f>
        <v/>
      </c>
      <c r="V11" s="20">
        <f>IFERROR(V12+V13+V14+V15,"")</f>
        <v/>
      </c>
      <c r="W11" s="20">
        <f>IFERROR(W12+W13+W14+W15,"")</f>
        <v/>
      </c>
      <c r="X11" s="20">
        <f>IFERROR(X12+X13+X14+X15,"")</f>
        <v/>
      </c>
      <c r="Y11" s="20">
        <f>IFERROR(Y12+Y13+Y14+Y15,"")</f>
        <v/>
      </c>
      <c r="Z11" s="38">
        <f>SUM(V11:Y11)</f>
        <v/>
      </c>
      <c r="AA11" s="20">
        <f>IFERROR(AA12+AA13+AA14+AA15,"")</f>
        <v/>
      </c>
      <c r="AB11" s="20">
        <f>IFERROR(AB12+AB13+AB14+AB15,"")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>
        <f>IFERROR(VLOOKUP($D12,BS별도,MATCH(E$1,BS별도H,0),0)/100,"")</f>
        <v/>
      </c>
      <c r="F12" s="37" t="n"/>
      <c r="G12" s="18">
        <f>IFERROR(VLOOKUP($D12,BS별도,MATCH(G$1,BS별도H,0),0)/100,"")</f>
        <v/>
      </c>
      <c r="H12" s="18">
        <f>IFERROR(VLOOKUP($D12,BS별도,MATCH(H$1,BS별도H,0),0)/100,"")</f>
        <v/>
      </c>
      <c r="I12" s="18">
        <f>IFERROR(VLOOKUP($D12,BS별도,MATCH(I$1,BS별도H,0),0)/100,"")</f>
        <v/>
      </c>
      <c r="J12" s="18">
        <f>IFERROR(VLOOKUP($D12,BS별도,MATCH(J$1,BS별도H,0),0)/100,"")</f>
        <v/>
      </c>
      <c r="K12" s="37">
        <f>SUM(G12:J12)</f>
        <v/>
      </c>
      <c r="L12" s="18">
        <f>IFERROR(VLOOKUP($D12,BS별도,MATCH(L$1,BS별도H,0),0)/100,"")</f>
        <v/>
      </c>
      <c r="M12" s="18">
        <f>IFERROR(VLOOKUP($D12,BS별도,MATCH(M$1,BS별도H,0),0)/100,"")</f>
        <v/>
      </c>
      <c r="N12" s="18">
        <f>IFERROR(VLOOKUP($D12,BS별도,MATCH(N$1,BS별도H,0),0)/100,"")</f>
        <v/>
      </c>
      <c r="O12" s="18" t="n"/>
      <c r="P12" s="37">
        <f>SUM(L12:O12)</f>
        <v/>
      </c>
      <c r="Q12" s="18" t="n"/>
      <c r="R12" s="19">
        <f>IFERROR(VLOOKUP($D12,BS별도,MATCH(R$1,BS별도H,0),0)/100,"")</f>
        <v/>
      </c>
      <c r="S12" s="20">
        <f>IFERROR((R29*변수!$D$54-R27*변수!$D$55)/4,"")</f>
        <v/>
      </c>
      <c r="T12" s="20">
        <f>IFERROR((S29*변수!$D$54-S27*변수!$D$55)/4,"")</f>
        <v/>
      </c>
      <c r="U12" s="38">
        <f>SUM(Q12:T12)</f>
        <v/>
      </c>
      <c r="V12" s="20">
        <f>IFERROR((T29*변수!$D$54-T27*변수!$D$55)/4,"")</f>
        <v/>
      </c>
      <c r="W12" s="20">
        <f>IFERROR((V29*변수!$D$54-V27*변수!$D$55)/4,"")</f>
        <v/>
      </c>
      <c r="X12" s="20">
        <f>IFERROR((W29*변수!$D$54-W27*변수!$D$55)/4,"")</f>
        <v/>
      </c>
      <c r="Y12" s="20">
        <f>IFERROR((X29*변수!$D$54-X27*변수!$D$55)/4,"")</f>
        <v/>
      </c>
      <c r="Z12" s="38">
        <f>SUM(V12:Y12)</f>
        <v/>
      </c>
      <c r="AA12" s="20">
        <f>IFERROR((Y29*변수!$D$54-Y27*변수!$D$55)/4,"")</f>
        <v/>
      </c>
      <c r="AB12" s="20">
        <f>IFERROR((AA29*변수!$D$54-AA27*변수!$D$55)/4,"")</f>
        <v/>
      </c>
      <c r="AC12" s="20">
        <f>IFERROR((AB29*변수!$D$54-AB27*변수!$D$55)/4,"")</f>
        <v/>
      </c>
      <c r="AD12" s="20">
        <f>IFERROR((AC29*변수!$D$54-AC27*변수!$D$55)/4,"")</f>
        <v/>
      </c>
      <c r="AE12" s="38">
        <f>SUM(AA12:AD12)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>
        <f>IFERROR((VLOOKUP("외환차익",BS별도,MATCH(E$1,BS별도H,0),0)-VLOOKUP("외환차손",BS별도,MATCH(E$1,BS별도H,0),0)+VLOOKUP("외화환산이익",BS별도,MATCH(E$1,BS별도H,0),0)-VLOOKUP("외화환산손실",BS별도,MATCH(E$1,BS별도H,0),0))/100,"")</f>
        <v/>
      </c>
      <c r="F13" s="37" t="n"/>
      <c r="G13" s="18" t="n"/>
      <c r="H13" s="18">
        <f>IFERROR((VLOOKUP("외환차익",BS별도,MATCH(H$1,BS별도H,0),0)-VLOOKUP("외환차손",BS별도,MATCH(H$1,BS별도H,0),0)+VLOOKUP("외화환산이익",BS별도,MATCH(H$1,BS별도H,0),0)-VLOOKUP("외화환산손실",BS별도,MATCH(H$1,BS별도H,0),0))/100,"")</f>
        <v/>
      </c>
      <c r="I13" s="18">
        <f>IFERROR((VLOOKUP("외환차익",BS별도,MATCH(I$1,BS별도H,0),0)-VLOOKUP("외환차손",BS별도,MATCH(I$1,BS별도H,0),0)+VLOOKUP("외화환산이익",BS별도,MATCH(I$1,BS별도H,0),0)-VLOOKUP("외화환산손실",BS별도,MATCH(I$1,BS별도H,0),0))/100,"")</f>
        <v/>
      </c>
      <c r="J13" s="18" t="n"/>
      <c r="K13" s="37">
        <f>SUM(G13:J13)</f>
        <v/>
      </c>
      <c r="L13" s="18">
        <f>IFERROR((VLOOKUP("외환차익",BS별도,MATCH(L$1,BS별도H,0),0)-VLOOKUP("외환차손",BS별도,MATCH(L$1,BS별도H,0),0)+VLOOKUP("외화환산이익",BS별도,MATCH(L$1,BS별도H,0),0)-VLOOKUP("외화환산손실",BS별도,MATCH(L$1,BS별도H,0),0))/100,"")</f>
        <v/>
      </c>
      <c r="M13" s="18">
        <f>IFERROR((VLOOKUP("외환차익",BS별도,MATCH(M$1,BS별도H,0),0)-VLOOKUP("외환차손",BS별도,MATCH(M$1,BS별도H,0),0)+VLOOKUP("외화환산이익",BS별도,MATCH(M$1,BS별도H,0),0)-VLOOKUP("외화환산손실",BS별도,MATCH(M$1,BS별도H,0),0))/100,"")</f>
        <v/>
      </c>
      <c r="N13" s="18">
        <f>IFERROR((VLOOKUP("외환차익",BS별도,MATCH(N$1,BS별도H,0),0)-VLOOKUP("외환차손",BS별도,MATCH(N$1,BS별도H,0),0)+VLOOKUP("외화환산이익",BS별도,MATCH(N$1,BS별도H,0),0)-VLOOKUP("외화환산손실",BS별도,MATCH(N$1,BS별도H,0),0))/100,"")</f>
        <v/>
      </c>
      <c r="O13" s="18">
        <f>IFERROR((VLOOKUP("외환차익",BS별도,MATCH(O$1,BS별도H,0),0)-VLOOKUP("외환차손",BS별도,MATCH(O$1,BS별도H,0),0)+VLOOKUP("외화환산이익",BS별도,MATCH(O$1,BS별도H,0),0)-VLOOKUP("외화환산손실",BS별도,MATCH(O$1,BS별도H,0),0))/100,"")</f>
        <v/>
      </c>
      <c r="P13" s="37">
        <f>SUM(L13:O13)</f>
        <v/>
      </c>
      <c r="Q13" s="18" t="n"/>
      <c r="R13" s="19">
        <f>IFERROR((VLOOKUP("외환차익",BS별도,MATCH(R$1,BS별도H,0),0)-VLOOKUP("외환차손",BS별도,MATCH(R$1,BS별도H,0),0)+VLOOKUP("외화환산이익",BS별도,MATCH(R$1,BS별도H,0),0)-VLOOKUP("외화환산손실",BS별도,MATCH(R$1,BS별도H,0),0))/100,"")</f>
        <v/>
      </c>
      <c r="S13" s="20">
        <f>변수!S24</f>
        <v/>
      </c>
      <c r="T13" s="20">
        <f>변수!T24</f>
        <v/>
      </c>
      <c r="U13" s="38">
        <f>SUM(Q13:T13)</f>
        <v/>
      </c>
      <c r="V13" s="20">
        <f>변수!V24</f>
        <v/>
      </c>
      <c r="W13" s="20">
        <f>변수!W24</f>
        <v/>
      </c>
      <c r="X13" s="20">
        <f>변수!X24</f>
        <v/>
      </c>
      <c r="Y13" s="20">
        <f>변수!Y24</f>
        <v/>
      </c>
      <c r="Z13" s="38">
        <f>SUM(V13:Y13)</f>
        <v/>
      </c>
      <c r="AA13" s="20">
        <f>변수!AA24</f>
        <v/>
      </c>
      <c r="AB13" s="20">
        <f>변수!AB24</f>
        <v/>
      </c>
      <c r="AC13" s="20">
        <f>변수!AC24</f>
        <v/>
      </c>
      <c r="AD13" s="20">
        <f>변수!AD24</f>
        <v/>
      </c>
      <c r="AE13" s="38">
        <f>SUM(AA13:AD13)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 t="n"/>
      <c r="M14" s="18">
        <f>IFERROR((VLOOKUP("파생상품이익",BS별도,MATCH(M$1,BS별도H,0),0)-VLOOKUP("파생상품손실",BS별도,MATCH(M$1,BS별도H,0),0))/100,"")</f>
        <v/>
      </c>
      <c r="N14" s="18">
        <f>IFERROR((VLOOKUP("파생상품이익",BS별도,MATCH(N$1,BS별도H,0),0)-VLOOKUP("파생상품손실",BS별도,MATCH(N$1,BS별도H,0),0))/100,"")</f>
        <v/>
      </c>
      <c r="O14" s="18">
        <f>IFERROR((VLOOKUP("파생상품이익",BS별도,MATCH(O$1,BS별도H,0),0)-VLOOKUP("파생상품손실",BS별도,MATCH(O$1,BS별도H,0),0))/100,"")</f>
        <v/>
      </c>
      <c r="P14" s="37">
        <f>SUM(L14:O14)</f>
        <v/>
      </c>
      <c r="Q14" s="18">
        <f>IFERROR((VLOOKUP("파생상품이익",BS별도,MATCH(Q$1,BS별도H,0),0)-VLOOKUP("파생상품손실",BS별도,MATCH(Q$1,BS별도H,0),0))/100,"")</f>
        <v/>
      </c>
      <c r="R14" s="19">
        <f>IFERROR((VLOOKUP("파생상품이익",BS별도,MATCH(R$1,BS별도H,0),0)-VLOOKUP("파생상품손실",BS별도,MATCH(R$1,BS별도H,0),0))/100,"")</f>
        <v/>
      </c>
      <c r="S14" s="20">
        <f>변수!S25</f>
        <v/>
      </c>
      <c r="T14" s="20">
        <f>변수!T25</f>
        <v/>
      </c>
      <c r="U14" s="38">
        <f>SUM(Q14:T14)</f>
        <v/>
      </c>
      <c r="V14" s="20">
        <f>변수!V25</f>
        <v/>
      </c>
      <c r="W14" s="20">
        <f>변수!W25</f>
        <v/>
      </c>
      <c r="X14" s="20">
        <f>변수!X25</f>
        <v/>
      </c>
      <c r="Y14" s="20">
        <f>변수!Y25</f>
        <v/>
      </c>
      <c r="Z14" s="38">
        <f>SUM(V14:Y14)</f>
        <v/>
      </c>
      <c r="AA14" s="20">
        <f>변수!AA25</f>
        <v/>
      </c>
      <c r="AB14" s="20">
        <f>변수!AB25</f>
        <v/>
      </c>
      <c r="AC14" s="20">
        <f>변수!AC25</f>
        <v/>
      </c>
      <c r="AD14" s="20">
        <f>변수!AD25</f>
        <v/>
      </c>
      <c r="AE14" s="38">
        <f>SUM(AA14:AD14)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>
        <f>IFERROR(M11-M12-M13-M14,"")</f>
        <v/>
      </c>
      <c r="N15" s="18">
        <f>IFERROR(N11-N12-N13-N14,"")</f>
        <v/>
      </c>
      <c r="O15" s="18" t="n"/>
      <c r="P15" s="37">
        <f>SUM(L15:O15)</f>
        <v/>
      </c>
      <c r="Q15" s="18" t="n"/>
      <c r="R15" s="19">
        <f>IFERROR(R11-R12-R13-R14,"")</f>
        <v/>
      </c>
      <c r="S15" s="20">
        <f>변수!S26</f>
        <v/>
      </c>
      <c r="T15" s="20">
        <f>변수!T26</f>
        <v/>
      </c>
      <c r="U15" s="38">
        <f>SUM(Q15:T15)</f>
        <v/>
      </c>
      <c r="V15" s="20">
        <f>변수!V26</f>
        <v/>
      </c>
      <c r="W15" s="20">
        <f>변수!W26</f>
        <v/>
      </c>
      <c r="X15" s="20">
        <f>변수!X26</f>
        <v/>
      </c>
      <c r="Y15" s="20">
        <f>변수!Y26</f>
        <v/>
      </c>
      <c r="Z15" s="38">
        <f>SUM(V15:Y15)</f>
        <v/>
      </c>
      <c r="AA15" s="20">
        <f>변수!AA26</f>
        <v/>
      </c>
      <c r="AB15" s="20">
        <f>변수!AB26</f>
        <v/>
      </c>
      <c r="AC15" s="20">
        <f>변수!AC26</f>
        <v/>
      </c>
      <c r="AD15" s="20">
        <f>변수!AD26</f>
        <v/>
      </c>
      <c r="AE15" s="38">
        <f>SUM(AA15:AD15)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IFERROR(VLOOKUP($D16,BS별도,MATCH(E$1,BS별도H,0),0)/100,"")</f>
        <v/>
      </c>
      <c r="F16" s="37" t="n"/>
      <c r="G16" s="18">
        <f>IFERROR(VLOOKUP($D16,BS별도,MATCH(G$1,BS별도H,0),0)/100,"")</f>
        <v/>
      </c>
      <c r="H16" s="18">
        <f>IFERROR(VLOOKUP($D16,BS별도,MATCH(H$1,BS별도H,0),0)/100,"")</f>
        <v/>
      </c>
      <c r="I16" s="18">
        <f>IFERROR(VLOOKUP($D16,BS별도,MATCH(I$1,BS별도H,0),0)/100,"")</f>
        <v/>
      </c>
      <c r="J16" s="18">
        <f>IFERROR(VLOOKUP($D16,BS별도,MATCH(J$1,BS별도H,0),0)/100,"")</f>
        <v/>
      </c>
      <c r="K16" s="37">
        <f>SUM(G16:J16)</f>
        <v/>
      </c>
      <c r="L16" s="18">
        <f>IFERROR(VLOOKUP($D16,BS별도,MATCH(L$1,BS별도H,0),0)/100,"")</f>
        <v/>
      </c>
      <c r="M16" s="18">
        <f>IFERROR(VLOOKUP($D16,BS별도,MATCH(M$1,BS별도H,0),0)/100,"")</f>
        <v/>
      </c>
      <c r="N16" s="18">
        <f>IFERROR(VLOOKUP($D16,BS별도,MATCH(N$1,BS별도H,0),0)/100,"")</f>
        <v/>
      </c>
      <c r="O16" s="18">
        <f>IFERROR(VLOOKUP($D16,BS별도,MATCH(O$1,BS별도H,0),0)/100,"")</f>
        <v/>
      </c>
      <c r="P16" s="37">
        <f>SUM(L16:O16)</f>
        <v/>
      </c>
      <c r="Q16" s="18">
        <f>IFERROR(VLOOKUP($D16,BS별도,MATCH(Q$1,BS별도H,0),0)/100,"")</f>
        <v/>
      </c>
      <c r="R16" s="19">
        <f>IFERROR(VLOOKUP($D16,BS별도,MATCH(R$1,BS별도H,0),0)/100,"")</f>
        <v/>
      </c>
      <c r="S16" s="20">
        <f>변수!S27</f>
        <v/>
      </c>
      <c r="T16" s="20">
        <f>변수!T27</f>
        <v/>
      </c>
      <c r="U16" s="38">
        <f>SUM(Q16:T16)</f>
        <v/>
      </c>
      <c r="V16" s="20">
        <f>변수!V27</f>
        <v/>
      </c>
      <c r="W16" s="20">
        <f>변수!W27</f>
        <v/>
      </c>
      <c r="X16" s="20">
        <f>변수!X27</f>
        <v/>
      </c>
      <c r="Y16" s="20">
        <f>변수!Y27</f>
        <v/>
      </c>
      <c r="Z16" s="38">
        <f>SUM(V16:Y16)</f>
        <v/>
      </c>
      <c r="AA16" s="20">
        <f>변수!AA27</f>
        <v/>
      </c>
      <c r="AB16" s="20">
        <f>변수!AB27</f>
        <v/>
      </c>
      <c r="AC16" s="20">
        <f>변수!AC27</f>
        <v/>
      </c>
      <c r="AD16" s="20">
        <f>변수!AD27</f>
        <v/>
      </c>
      <c r="AE16" s="38">
        <f>SUM(AA16:AD16)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IFERROR(VLOOKUP($D17,BS별도,MATCH(E$1,BS별도H,0),0)/100,"")</f>
        <v/>
      </c>
      <c r="F17" s="37" t="n"/>
      <c r="G17" s="18">
        <f>IFERROR(VLOOKUP($D17,BS별도,MATCH(G$1,BS별도H,0),0)/100,"")</f>
        <v/>
      </c>
      <c r="H17" s="18">
        <f>IFERROR(VLOOKUP($D17,BS별도,MATCH(H$1,BS별도H,0),0)/100,"")</f>
        <v/>
      </c>
      <c r="I17" s="18">
        <f>IFERROR(VLOOKUP($D17,BS별도,MATCH(I$1,BS별도H,0),0)/100,"")</f>
        <v/>
      </c>
      <c r="J17" s="18">
        <f>IFERROR(VLOOKUP($D17,BS별도,MATCH(J$1,BS별도H,0),0)/100,"")</f>
        <v/>
      </c>
      <c r="K17" s="37">
        <f>SUM(G17:J17)</f>
        <v/>
      </c>
      <c r="L17" s="18">
        <f>IFERROR(VLOOKUP($D17,BS별도,MATCH(L$1,BS별도H,0),0)/100,"")</f>
        <v/>
      </c>
      <c r="M17" s="18">
        <f>IFERROR(VLOOKUP($D17,BS별도,MATCH(M$1,BS별도H,0),0)/100,"")</f>
        <v/>
      </c>
      <c r="N17" s="18">
        <f>IFERROR(VLOOKUP($D17,BS별도,MATCH(N$1,BS별도H,0),0)/100,"")</f>
        <v/>
      </c>
      <c r="O17" s="18">
        <f>IFERROR(VLOOKUP($D17,BS별도,MATCH(O$1,BS별도H,0),0)/100,"")</f>
        <v/>
      </c>
      <c r="P17" s="37">
        <f>SUM(L17:O17)</f>
        <v/>
      </c>
      <c r="Q17" s="18">
        <f>IFERROR(VLOOKUP($D17,BS별도,MATCH(Q$1,BS별도H,0),0)/100,"")</f>
        <v/>
      </c>
      <c r="R17" s="19">
        <f>IFERROR(VLOOKUP($D17,BS별도,MATCH(R$1,BS별도H,0),0)/100,"")</f>
        <v/>
      </c>
      <c r="S17" s="20">
        <f>IFERROR(S9+S11+S16,"")</f>
        <v/>
      </c>
      <c r="T17" s="20">
        <f>IFERROR(T9+T11+T16,"")</f>
        <v/>
      </c>
      <c r="U17" s="38">
        <f>SUM(Q17:T17)</f>
        <v/>
      </c>
      <c r="V17" s="20">
        <f>IFERROR(V9+V11+V16,"")</f>
        <v/>
      </c>
      <c r="W17" s="20">
        <f>IFERROR(W9+W11+W16,"")</f>
        <v/>
      </c>
      <c r="X17" s="20">
        <f>IFERROR(X9+X11+X16,"")</f>
        <v/>
      </c>
      <c r="Y17" s="20">
        <f>IFERROR(Y9+Y11+Y16,"")</f>
        <v/>
      </c>
      <c r="Z17" s="38">
        <f>SUM(V17:Y17)</f>
        <v/>
      </c>
      <c r="AA17" s="20">
        <f>IFERROR(AA9+AA11+AA16,"")</f>
        <v/>
      </c>
      <c r="AB17" s="20">
        <f>IFERROR(AB9+AB11+AB16,"")</f>
        <v/>
      </c>
      <c r="AC17" s="20">
        <f>IFERROR(AC9+AC11+AC16,"")</f>
        <v/>
      </c>
      <c r="AD17" s="20">
        <f>IFERROR(AD9+AD11+AD16,"")</f>
        <v/>
      </c>
      <c r="AE17" s="38">
        <f>SUM(AA17:AD17)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>
        <f>IFERROR(VLOOKUP($D18,BS별도,MATCH(E$1,BS별도H,0),0)/100,"")</f>
        <v/>
      </c>
      <c r="F18" s="37" t="n"/>
      <c r="G18" s="18">
        <f>IFERROR(VLOOKUP($D18,BS별도,MATCH(G$1,BS별도H,0),0)/100,"")</f>
        <v/>
      </c>
      <c r="H18" s="18">
        <f>IFERROR(VLOOKUP($D18,BS별도,MATCH(H$1,BS별도H,0),0)/100,"")</f>
        <v/>
      </c>
      <c r="I18" s="18">
        <f>IFERROR(VLOOKUP($D18,BS별도,MATCH(I$1,BS별도H,0),0)/100,"")</f>
        <v/>
      </c>
      <c r="J18" s="18">
        <f>IFERROR(VLOOKUP($D18,BS별도,MATCH(J$1,BS별도H,0),0)/100,"")</f>
        <v/>
      </c>
      <c r="K18" s="37">
        <f>SUM(G18:J18)</f>
        <v/>
      </c>
      <c r="L18" s="18">
        <f>IFERROR(VLOOKUP($D18,BS별도,MATCH(L$1,BS별도H,0),0)/100,"")</f>
        <v/>
      </c>
      <c r="M18" s="18">
        <f>IFERROR(VLOOKUP($D18,BS별도,MATCH(M$1,BS별도H,0),0)/100,"")</f>
        <v/>
      </c>
      <c r="N18" s="18">
        <f>IFERROR(VLOOKUP($D18,BS별도,MATCH(N$1,BS별도H,0),0)/100,"")</f>
        <v/>
      </c>
      <c r="O18" s="18">
        <f>IFERROR(VLOOKUP($D18,BS별도,MATCH(O$1,BS별도H,0),0)/100,"")</f>
        <v/>
      </c>
      <c r="P18" s="37">
        <f>SUM(L18:O18)</f>
        <v/>
      </c>
      <c r="Q18" s="18">
        <f>IFERROR(VLOOKUP($D18,BS별도,MATCH(Q$1,BS별도H,0),0)/100,"")</f>
        <v/>
      </c>
      <c r="R18" s="19">
        <f>IFERROR(VLOOKUP($D18,BS별도,MATCH(R$1,BS별도H,0),0)/100,"")</f>
        <v/>
      </c>
      <c r="S18" s="20">
        <f>IFERROR(MAX(S17,0)*변수!S28,"")</f>
        <v/>
      </c>
      <c r="T18" s="20">
        <f>IFERROR(MAX(T17,0)*변수!T28,"")</f>
        <v/>
      </c>
      <c r="U18" s="38">
        <f>SUM(Q18:T18)</f>
        <v/>
      </c>
      <c r="V18" s="20">
        <f>IFERROR(MAX(V17,0)*변수!V28,"")</f>
        <v/>
      </c>
      <c r="W18" s="20">
        <f>IFERROR(MAX(W17,0)*변수!W28,"")</f>
        <v/>
      </c>
      <c r="X18" s="20">
        <f>IFERROR(MAX(X17,0)*변수!X28,"")</f>
        <v/>
      </c>
      <c r="Y18" s="20">
        <f>IFERROR(MAX(Y17,0)*변수!Y28,"")</f>
        <v/>
      </c>
      <c r="Z18" s="38">
        <f>SUM(V18:Y18)</f>
        <v/>
      </c>
      <c r="AA18" s="20">
        <f>IFERROR(MAX(AA17,0)*변수!AA28,"")</f>
        <v/>
      </c>
      <c r="AB18" s="20">
        <f>IFERROR(MAX(AB17,0)*변수!AB28,"")</f>
        <v/>
      </c>
      <c r="AC18" s="20">
        <f>IFERROR(MAX(AC17,0)*변수!AC28,"")</f>
        <v/>
      </c>
      <c r="AD18" s="20">
        <f>IFERROR(MAX(AD17,0)*변수!AD28,"")</f>
        <v/>
      </c>
      <c r="AE18" s="38">
        <f>SUM(AA18:AD18)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IFERROR(VLOOKUP($D19,BS별도,MATCH(E$1,BS별도H,0),0)/100,"")</f>
        <v/>
      </c>
      <c r="F19" s="37" t="n"/>
      <c r="G19" s="18">
        <f>IFERROR(VLOOKUP($D19,BS별도,MATCH(G$1,BS별도H,0),0)/100,"")</f>
        <v/>
      </c>
      <c r="H19" s="18">
        <f>IFERROR(VLOOKUP($D19,BS별도,MATCH(H$1,BS별도H,0),0)/100,"")</f>
        <v/>
      </c>
      <c r="I19" s="18">
        <f>IFERROR(VLOOKUP($D19,BS별도,MATCH(I$1,BS별도H,0),0)/100,"")</f>
        <v/>
      </c>
      <c r="J19" s="18">
        <f>IFERROR(VLOOKUP($D19,BS별도,MATCH(J$1,BS별도H,0),0)/100,"")</f>
        <v/>
      </c>
      <c r="K19" s="37">
        <f>SUM(G19:J19)</f>
        <v/>
      </c>
      <c r="L19" s="18">
        <f>IFERROR(VLOOKUP($D19,BS별도,MATCH(L$1,BS별도H,0),0)/100,"")</f>
        <v/>
      </c>
      <c r="M19" s="18">
        <f>IFERROR(VLOOKUP($D19,BS별도,MATCH(M$1,BS별도H,0),0)/100,"")</f>
        <v/>
      </c>
      <c r="N19" s="18">
        <f>IFERROR(VLOOKUP($D19,BS별도,MATCH(N$1,BS별도H,0),0)/100,"")</f>
        <v/>
      </c>
      <c r="O19" s="18">
        <f>IFERROR(VLOOKUP($D19,BS별도,MATCH(O$1,BS별도H,0),0)/100,"")</f>
        <v/>
      </c>
      <c r="P19" s="37">
        <f>SUM(L19:O19)</f>
        <v/>
      </c>
      <c r="Q19" s="18">
        <f>IFERROR(VLOOKUP($D19,BS별도,MATCH(Q$1,BS별도H,0),0)/100,"")</f>
        <v/>
      </c>
      <c r="R19" s="19">
        <f>IFERROR(VLOOKUP($D19,BS별도,MATCH(R$1,BS별도H,0),0)/100,"")</f>
        <v/>
      </c>
      <c r="S19" s="20">
        <f>IFERROR(S17-S18,"")</f>
        <v/>
      </c>
      <c r="T19" s="20">
        <f>IFERROR(T17-T18,"")</f>
        <v/>
      </c>
      <c r="U19" s="38">
        <f>SUM(Q19:T19)</f>
        <v/>
      </c>
      <c r="V19" s="20">
        <f>IFERROR(V17-V18,"")</f>
        <v/>
      </c>
      <c r="W19" s="20">
        <f>IFERROR(W17-W18,"")</f>
        <v/>
      </c>
      <c r="X19" s="20">
        <f>IFERROR(X17-X18,"")</f>
        <v/>
      </c>
      <c r="Y19" s="20">
        <f>IFERROR(Y17-Y18,"")</f>
        <v/>
      </c>
      <c r="Z19" s="38">
        <f>SUM(V19:Y19)</f>
        <v/>
      </c>
      <c r="AA19" s="20">
        <f>IFERROR(AA17-AA18,"")</f>
        <v/>
      </c>
      <c r="AB19" s="20">
        <f>IFERROR(AB17-AB18,"")</f>
        <v/>
      </c>
      <c r="AC19" s="20">
        <f>IFERROR(AC17-AC18,"")</f>
        <v/>
      </c>
      <c r="AD19" s="20">
        <f>IFERROR(AD17-AD18,"")</f>
        <v/>
      </c>
      <c r="AE19" s="38">
        <f>SUM(AA19:AD19)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IFERROR(VLOOKUP($D20,BS별도,MATCH(E$1,BS별도H,0),0)/100,"")</f>
        <v/>
      </c>
      <c r="F20" s="37" t="n"/>
      <c r="G20" s="18">
        <f>IFERROR(VLOOKUP($D20,BS별도,MATCH(G$1,BS별도H,0),0)/100,"")</f>
        <v/>
      </c>
      <c r="H20" s="18">
        <f>IFERROR(VLOOKUP($D20,BS별도,MATCH(H$1,BS별도H,0),0)/100,"")</f>
        <v/>
      </c>
      <c r="I20" s="18">
        <f>IFERROR(VLOOKUP($D20,BS별도,MATCH(I$1,BS별도H,0),0)/100,"")</f>
        <v/>
      </c>
      <c r="J20" s="18">
        <f>IFERROR(VLOOKUP($D20,BS별도,MATCH(J$1,BS별도H,0),0)/100,"")</f>
        <v/>
      </c>
      <c r="K20" s="37">
        <f>SUM(G20:J20)</f>
        <v/>
      </c>
      <c r="L20" s="18">
        <f>IFERROR(VLOOKUP($D20,BS별도,MATCH(L$1,BS별도H,0),0)/100,"")</f>
        <v/>
      </c>
      <c r="M20" s="18">
        <f>IFERROR(VLOOKUP($D20,BS별도,MATCH(M$1,BS별도H,0),0)/100,"")</f>
        <v/>
      </c>
      <c r="N20" s="18">
        <f>IFERROR(VLOOKUP($D20,BS별도,MATCH(N$1,BS별도H,0),0)/100,"")</f>
        <v/>
      </c>
      <c r="O20" s="18">
        <f>IFERROR(VLOOKUP($D20,BS별도,MATCH(O$1,BS별도H,0),0)/100,"")</f>
        <v/>
      </c>
      <c r="P20" s="37">
        <f>SUM(L20:O20)</f>
        <v/>
      </c>
      <c r="Q20" s="18">
        <f>IFERROR(VLOOKUP($D20,BS별도,MATCH(Q$1,BS별도H,0),0)/100,"")</f>
        <v/>
      </c>
      <c r="R20" s="19">
        <f>IFERROR(VLOOKUP($D20,BS별도,MATCH(R$1,BS별도H,0),0)/100,"")</f>
        <v/>
      </c>
      <c r="S20" s="20">
        <f>IFERROR(S19*변수!S29,"")</f>
        <v/>
      </c>
      <c r="T20" s="20">
        <f>IFERROR(T19*변수!T29,"")</f>
        <v/>
      </c>
      <c r="U20" s="38">
        <f>SUM(Q20:T20)</f>
        <v/>
      </c>
      <c r="V20" s="20">
        <f>IFERROR(V19*변수!V29,"")</f>
        <v/>
      </c>
      <c r="W20" s="20">
        <f>IFERROR(W19*변수!W29,"")</f>
        <v/>
      </c>
      <c r="X20" s="20">
        <f>IFERROR(X19*변수!X29,"")</f>
        <v/>
      </c>
      <c r="Y20" s="20">
        <f>IFERROR(Y19*변수!Y29,"")</f>
        <v/>
      </c>
      <c r="Z20" s="38">
        <f>SUM(V20:Y20)</f>
        <v/>
      </c>
      <c r="AA20" s="20">
        <f>IFERROR(AA19*변수!AA29,"")</f>
        <v/>
      </c>
      <c r="AB20" s="20">
        <f>IFERROR(AB19*변수!AB29,"")</f>
        <v/>
      </c>
      <c r="AC20" s="20">
        <f>IFERROR(AC19*변수!AC29,"")</f>
        <v/>
      </c>
      <c r="AD20" s="20">
        <f>IFERROR(AD19*변수!AD29,"")</f>
        <v/>
      </c>
      <c r="AE20" s="38">
        <f>SUM(AA20:AD20)</f>
        <v/>
      </c>
    </row>
    <row r="21">
      <c r="A21" s="12" t="inlineStr">
        <is>
          <t>감가상각비</t>
        </is>
      </c>
      <c r="B21" t="inlineStr">
        <is>
          <t>손익</t>
        </is>
      </c>
      <c r="C21" t="inlineStr">
        <is>
          <t>억원</t>
        </is>
      </c>
      <c r="D21" t="inlineStr">
        <is>
          <t>감가상각비</t>
        </is>
      </c>
      <c r="E21" s="18">
        <f>IFERROR(VLOOKUP($D21,BS별도,MATCH(E$1,BS별도H,0),0)/100,"")</f>
        <v/>
      </c>
      <c r="F21" s="37" t="n"/>
      <c r="G21" s="18">
        <f>IFERROR(VLOOKUP($D21,BS별도,MATCH(G$1,BS별도H,0),0)/100,"")</f>
        <v/>
      </c>
      <c r="H21" s="18">
        <f>IFERROR(VLOOKUP($D21,BS별도,MATCH(H$1,BS별도H,0),0)/100,"")</f>
        <v/>
      </c>
      <c r="I21" s="18">
        <f>IFERROR(VLOOKUP($D21,BS별도,MATCH(I$1,BS별도H,0),0)/100,"")</f>
        <v/>
      </c>
      <c r="J21" s="18">
        <f>IFERROR(VLOOKUP($D21,BS별도,MATCH(J$1,BS별도H,0),0)/100,"")</f>
        <v/>
      </c>
      <c r="K21" s="37">
        <f>SUM(G21:J21)</f>
        <v/>
      </c>
      <c r="L21" s="18">
        <f>IFERROR(VLOOKUP($D21,BS별도,MATCH(L$1,BS별도H,0),0)/100,"")</f>
        <v/>
      </c>
      <c r="M21" s="18">
        <f>IFERROR(VLOOKUP($D21,BS별도,MATCH(M$1,BS별도H,0),0)/100,"")</f>
        <v/>
      </c>
      <c r="N21" s="18">
        <f>IFERROR(VLOOKUP($D21,BS별도,MATCH(N$1,BS별도H,0),0)/100,"")</f>
        <v/>
      </c>
      <c r="O21" s="18">
        <f>IFERROR(VLOOKUP($D21,BS별도,MATCH(O$1,BS별도H,0),0)/100,"")</f>
        <v/>
      </c>
      <c r="P21" s="37">
        <f>SUM(L21:O21)</f>
        <v/>
      </c>
      <c r="Q21" s="18">
        <f>IFERROR(VLOOKUP($D21,BS별도,MATCH(Q$1,BS별도H,0),0)/100,"")</f>
        <v/>
      </c>
      <c r="R21" s="19">
        <f>IFERROR(VLOOKUP($D21,BS별도,MATCH(R$1,BS별도H,0),0)/100,"")</f>
        <v/>
      </c>
      <c r="S21" s="20">
        <f>변수!S30</f>
        <v/>
      </c>
      <c r="T21" s="20">
        <f>변수!T30</f>
        <v/>
      </c>
      <c r="U21" s="38">
        <f>SUM(Q21:T21)</f>
        <v/>
      </c>
      <c r="V21" s="20">
        <f>변수!V30</f>
        <v/>
      </c>
      <c r="W21" s="20">
        <f>변수!W30</f>
        <v/>
      </c>
      <c r="X21" s="20">
        <f>변수!X30</f>
        <v/>
      </c>
      <c r="Y21" s="20">
        <f>변수!Y30</f>
        <v/>
      </c>
      <c r="Z21" s="38">
        <f>SUM(V21:Y21)</f>
        <v/>
      </c>
      <c r="AA21" s="20">
        <f>변수!AA30</f>
        <v/>
      </c>
      <c r="AB21" s="20">
        <f>변수!AB30</f>
        <v/>
      </c>
      <c r="AC21" s="20">
        <f>변수!AC30</f>
        <v/>
      </c>
      <c r="AD21" s="20">
        <f>변수!AD30</f>
        <v/>
      </c>
      <c r="AE21" s="38">
        <f>SUM(AA21:AD21)</f>
        <v/>
      </c>
    </row>
    <row r="22">
      <c r="A22" s="12" t="inlineStr">
        <is>
          <t>EBITDA</t>
        </is>
      </c>
      <c r="B22" t="inlineStr">
        <is>
          <t>손익</t>
        </is>
      </c>
      <c r="C22" t="inlineStr">
        <is>
          <t>억원</t>
        </is>
      </c>
      <c r="D22" t="inlineStr">
        <is>
          <t>EBITDA</t>
        </is>
      </c>
      <c r="E22" s="18" t="n">
        <v>10.37</v>
      </c>
      <c r="F22" s="37" t="n"/>
      <c r="G22" s="18" t="n">
        <v>19.41</v>
      </c>
      <c r="H22" s="18" t="n">
        <v>23.16</v>
      </c>
      <c r="I22" s="18" t="n">
        <v>13.74</v>
      </c>
      <c r="J22" s="18" t="n">
        <v>15.93</v>
      </c>
      <c r="K22" s="37">
        <f>SUM(G22:J22)</f>
        <v/>
      </c>
      <c r="L22" s="18" t="n">
        <v>22.48</v>
      </c>
      <c r="M22" s="18" t="n">
        <v>32.14</v>
      </c>
      <c r="N22" s="18" t="n">
        <v>31.4</v>
      </c>
      <c r="O22" s="18" t="n">
        <v>33.61</v>
      </c>
      <c r="P22" s="37">
        <f>SUM(L22:O22)</f>
        <v/>
      </c>
      <c r="Q22" s="18" t="n">
        <v>67.45999999999999</v>
      </c>
      <c r="R22" s="19" t="n">
        <v>63.01</v>
      </c>
      <c r="S22" s="20">
        <f>IFERROR(S9+S21,"")</f>
        <v/>
      </c>
      <c r="T22" s="20">
        <f>IFERROR(T9+T21,"")</f>
        <v/>
      </c>
      <c r="U22" s="38">
        <f>SUM(Q22:T22)</f>
        <v/>
      </c>
      <c r="V22" s="20">
        <f>IFERROR(V9+V21,"")</f>
        <v/>
      </c>
      <c r="W22" s="20">
        <f>IFERROR(W9+W21,"")</f>
        <v/>
      </c>
      <c r="X22" s="20">
        <f>IFERROR(X9+X21,"")</f>
        <v/>
      </c>
      <c r="Y22" s="20">
        <f>IFERROR(Y9+Y21,"")</f>
        <v/>
      </c>
      <c r="Z22" s="38">
        <f>SUM(V22:Y22)</f>
        <v/>
      </c>
      <c r="AA22" s="20">
        <f>IFERROR(AA9+AA21,"")</f>
        <v/>
      </c>
      <c r="AB22" s="20">
        <f>IFERROR(AB9+AB21,"")</f>
        <v/>
      </c>
      <c r="AC22" s="20">
        <f>IFERROR(AC9+AC21,"")</f>
        <v/>
      </c>
      <c r="AD22" s="20">
        <f>IFERROR(AD9+AD21,"")</f>
        <v/>
      </c>
      <c r="AE22" s="38">
        <f>SUM(AA22:AD22)</f>
        <v/>
      </c>
    </row>
    <row r="23">
      <c r="A23" s="12" t="inlineStr">
        <is>
          <t>자산총계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자산총계</t>
        </is>
      </c>
      <c r="E23" s="18">
        <f>IFERROR(VLOOKUP($D23,BS별도,MATCH(E$1,BS별도H,0),0)/100,"")</f>
        <v/>
      </c>
      <c r="F23" s="37" t="n">
        <v>721.4</v>
      </c>
      <c r="G23" s="18">
        <f>IFERROR(VLOOKUP($D23,BS별도,MATCH(G$1,BS별도H,0),0)/100,"")</f>
        <v/>
      </c>
      <c r="H23" s="18">
        <f>IFERROR(VLOOKUP($D23,BS별도,MATCH(H$1,BS별도H,0),0)/100,"")</f>
        <v/>
      </c>
      <c r="I23" s="18">
        <f>IFERROR(VLOOKUP($D23,BS별도,MATCH(I$1,BS별도H,0),0)/100,"")</f>
        <v/>
      </c>
      <c r="J23" s="18">
        <f>IFERROR(VLOOKUP($D23,BS별도,MATCH(J$1,BS별도H,0),0)/100,"")</f>
        <v/>
      </c>
      <c r="K23" s="37">
        <f>J23</f>
        <v/>
      </c>
      <c r="L23" s="18">
        <f>IFERROR(VLOOKUP($D23,BS별도,MATCH(L$1,BS별도H,0),0)/100,"")</f>
        <v/>
      </c>
      <c r="M23" s="18">
        <f>IFERROR(VLOOKUP($D23,BS별도,MATCH(M$1,BS별도H,0),0)/100,"")</f>
        <v/>
      </c>
      <c r="N23" s="18">
        <f>IFERROR(VLOOKUP($D23,BS별도,MATCH(N$1,BS별도H,0),0)/100,"")</f>
        <v/>
      </c>
      <c r="O23" s="18">
        <f>IFERROR(VLOOKUP($D23,BS별도,MATCH(O$1,BS별도H,0),0)/100,"")</f>
        <v/>
      </c>
      <c r="P23" s="37">
        <f>O23</f>
        <v/>
      </c>
      <c r="Q23" s="18">
        <f>IFERROR(VLOOKUP($D23,BS별도,MATCH(Q$1,BS별도H,0),0)/100,"")</f>
        <v/>
      </c>
      <c r="R23" s="19">
        <f>IFERROR(VLOOKUP($D23,BS별도,MATCH(R$1,BS별도H,0),0)/100,"")</f>
        <v/>
      </c>
      <c r="S23" s="20">
        <f>IFERROR(S24+S25,"")</f>
        <v/>
      </c>
      <c r="T23" s="20">
        <f>IFERROR(T24+T25,"")</f>
        <v/>
      </c>
      <c r="U23" s="38">
        <f>T23</f>
        <v/>
      </c>
      <c r="V23" s="20">
        <f>IFERROR(V24+V25,"")</f>
        <v/>
      </c>
      <c r="W23" s="20">
        <f>IFERROR(W24+W25,"")</f>
        <v/>
      </c>
      <c r="X23" s="20">
        <f>IFERROR(X24+X25,"")</f>
        <v/>
      </c>
      <c r="Y23" s="20">
        <f>IFERROR(Y24+Y25,"")</f>
        <v/>
      </c>
      <c r="Z23" s="38">
        <f>Y23</f>
        <v/>
      </c>
      <c r="AA23" s="20">
        <f>IFERROR(AA24+AA25,"")</f>
        <v/>
      </c>
      <c r="AB23" s="20">
        <f>IFERROR(AB24+AB25,"")</f>
        <v/>
      </c>
      <c r="AC23" s="20">
        <f>IFERROR(AC24+AC25,"")</f>
        <v/>
      </c>
      <c r="AD23" s="20">
        <f>IFERROR(AD24+AD25,"")</f>
        <v/>
      </c>
      <c r="AE23" s="38">
        <f>AD23</f>
        <v/>
      </c>
    </row>
    <row r="24">
      <c r="A24" s="12" t="inlineStr">
        <is>
          <t>부채총계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부채총계</t>
        </is>
      </c>
      <c r="E24" s="18">
        <f>IFERROR(VLOOKUP($D24,BS별도,MATCH(E$1,BS별도H,0),0)/100,"")</f>
        <v/>
      </c>
      <c r="F24" s="37" t="n">
        <v>172.23</v>
      </c>
      <c r="G24" s="18">
        <f>IFERROR(VLOOKUP($D24,BS별도,MATCH(G$1,BS별도H,0),0)/100,"")</f>
        <v/>
      </c>
      <c r="H24" s="18">
        <f>IFERROR(VLOOKUP($D24,BS별도,MATCH(H$1,BS별도H,0),0)/100,"")</f>
        <v/>
      </c>
      <c r="I24" s="18">
        <f>IFERROR(VLOOKUP($D24,BS별도,MATCH(I$1,BS별도H,0),0)/100,"")</f>
        <v/>
      </c>
      <c r="J24" s="18">
        <f>IFERROR(VLOOKUP($D24,BS별도,MATCH(J$1,BS별도H,0),0)/100,"")</f>
        <v/>
      </c>
      <c r="K24" s="37">
        <f>J24</f>
        <v/>
      </c>
      <c r="L24" s="18">
        <f>IFERROR(VLOOKUP($D24,BS별도,MATCH(L$1,BS별도H,0),0)/100,"")</f>
        <v/>
      </c>
      <c r="M24" s="18">
        <f>IFERROR(VLOOKUP($D24,BS별도,MATCH(M$1,BS별도H,0),0)/100,"")</f>
        <v/>
      </c>
      <c r="N24" s="18">
        <f>IFERROR(VLOOKUP($D24,BS별도,MATCH(N$1,BS별도H,0),0)/100,"")</f>
        <v/>
      </c>
      <c r="O24" s="18">
        <f>IFERROR(VLOOKUP($D24,BS별도,MATCH(O$1,BS별도H,0),0)/100,"")</f>
        <v/>
      </c>
      <c r="P24" s="37">
        <f>O24</f>
        <v/>
      </c>
      <c r="Q24" s="18">
        <f>IFERROR(VLOOKUP($D24,BS별도,MATCH(Q$1,BS별도H,0),0)/100,"")</f>
        <v/>
      </c>
      <c r="R24" s="19">
        <f>IFERROR(VLOOKUP($D24,BS별도,MATCH(R$1,BS별도H,0),0)/100,"")</f>
        <v/>
      </c>
      <c r="S24" s="20">
        <f>IFERROR(R24*(1+변수!S31),"")</f>
        <v/>
      </c>
      <c r="T24" s="20">
        <f>IFERROR(S24*(1+변수!T31),"")</f>
        <v/>
      </c>
      <c r="U24" s="38">
        <f>T24</f>
        <v/>
      </c>
      <c r="V24" s="20">
        <f>IFERROR(T24*(1+변수!V31),"")</f>
        <v/>
      </c>
      <c r="W24" s="20">
        <f>IFERROR(V24*(1+변수!W31),"")</f>
        <v/>
      </c>
      <c r="X24" s="20">
        <f>IFERROR(W24*(1+변수!X31),"")</f>
        <v/>
      </c>
      <c r="Y24" s="20">
        <f>IFERROR(X24*(1+변수!Y31),"")</f>
        <v/>
      </c>
      <c r="Z24" s="38">
        <f>Y24</f>
        <v/>
      </c>
      <c r="AA24" s="20">
        <f>IFERROR(Y24*(1+변수!AA31),"")</f>
        <v/>
      </c>
      <c r="AB24" s="20">
        <f>IFERROR(AA24*(1+변수!AB31),"")</f>
        <v/>
      </c>
      <c r="AC24" s="20">
        <f>IFERROR(AB24*(1+변수!AC31),"")</f>
        <v/>
      </c>
      <c r="AD24" s="20">
        <f>IFERROR(AC24*(1+변수!AD31),"")</f>
        <v/>
      </c>
      <c r="AE24" s="38">
        <f>AD24</f>
        <v/>
      </c>
    </row>
    <row r="25">
      <c r="A25" s="12" t="inlineStr">
        <is>
          <t>자본총계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자본총계</t>
        </is>
      </c>
      <c r="E25" s="18">
        <f>IFERROR(VLOOKUP($D25,BS별도,MATCH(E$1,BS별도H,0),0)/100,"")</f>
        <v/>
      </c>
      <c r="F25" s="37" t="n">
        <v>549.17</v>
      </c>
      <c r="G25" s="18">
        <f>IFERROR(VLOOKUP($D25,BS별도,MATCH(G$1,BS별도H,0),0)/100,"")</f>
        <v/>
      </c>
      <c r="H25" s="18">
        <f>IFERROR(VLOOKUP($D25,BS별도,MATCH(H$1,BS별도H,0),0)/100,"")</f>
        <v/>
      </c>
      <c r="I25" s="18">
        <f>IFERROR(VLOOKUP($D25,BS별도,MATCH(I$1,BS별도H,0),0)/100,"")</f>
        <v/>
      </c>
      <c r="J25" s="18">
        <f>IFERROR(VLOOKUP($D25,BS별도,MATCH(J$1,BS별도H,0),0)/100,"")</f>
        <v/>
      </c>
      <c r="K25" s="37">
        <f>J25</f>
        <v/>
      </c>
      <c r="L25" s="18">
        <f>IFERROR(VLOOKUP($D25,BS별도,MATCH(L$1,BS별도H,0),0)/100,"")</f>
        <v/>
      </c>
      <c r="M25" s="18">
        <f>IFERROR(VLOOKUP($D25,BS별도,MATCH(M$1,BS별도H,0),0)/100,"")</f>
        <v/>
      </c>
      <c r="N25" s="18">
        <f>IFERROR(VLOOKUP($D25,BS별도,MATCH(N$1,BS별도H,0),0)/100,"")</f>
        <v/>
      </c>
      <c r="O25" s="18">
        <f>IFERROR(VLOOKUP($D25,BS별도,MATCH(O$1,BS별도H,0),0)/100,"")</f>
        <v/>
      </c>
      <c r="P25" s="37">
        <f>O25</f>
        <v/>
      </c>
      <c r="Q25" s="18">
        <f>IFERROR(VLOOKUP($D25,BS별도,MATCH(Q$1,BS별도H,0),0)/100,"")</f>
        <v/>
      </c>
      <c r="R25" s="19">
        <f>IFERROR(VLOOKUP($D25,BS별도,MATCH(R$1,BS별도H,0),0)/100,"")</f>
        <v/>
      </c>
      <c r="S25" s="20">
        <f>IFERROR(R25+S19-변수!S32,"")</f>
        <v/>
      </c>
      <c r="T25" s="20">
        <f>IFERROR(S25+T19-변수!T32,"")</f>
        <v/>
      </c>
      <c r="U25" s="38">
        <f>T25</f>
        <v/>
      </c>
      <c r="V25" s="20">
        <f>IFERROR(T25+V19-변수!V32,"")</f>
        <v/>
      </c>
      <c r="W25" s="20">
        <f>IFERROR(V25+W19-변수!W32,"")</f>
        <v/>
      </c>
      <c r="X25" s="20">
        <f>IFERROR(W25+X19-변수!X32,"")</f>
        <v/>
      </c>
      <c r="Y25" s="20">
        <f>IFERROR(X25+Y19-변수!Y32,"")</f>
        <v/>
      </c>
      <c r="Z25" s="38">
        <f>Y25</f>
        <v/>
      </c>
      <c r="AA25" s="20">
        <f>IFERROR(Y25+AA19-변수!AA32,"")</f>
        <v/>
      </c>
      <c r="AB25" s="20">
        <f>IFERROR(AA25+AB19-변수!AB32,"")</f>
        <v/>
      </c>
      <c r="AC25" s="20">
        <f>IFERROR(AB25+AC19-변수!AC32,"")</f>
        <v/>
      </c>
      <c r="AD25" s="20">
        <f>IFERROR(AC25+AD19-변수!AD32,"")</f>
        <v/>
      </c>
      <c r="AE25" s="38">
        <f>AD25</f>
        <v/>
      </c>
    </row>
    <row r="26">
      <c r="A26" s="12" t="inlineStr">
        <is>
          <t>지배주주지분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지배주주지분</t>
        </is>
      </c>
      <c r="E26" s="18">
        <f>IFERROR(VLOOKUP($D26,BS별도,MATCH(E$1,BS별도H,0),0)/100,"")</f>
        <v/>
      </c>
      <c r="F26" s="37" t="n">
        <v>549.17</v>
      </c>
      <c r="G26" s="18">
        <f>IFERROR(VLOOKUP($D26,BS별도,MATCH(G$1,BS별도H,0),0)/100,"")</f>
        <v/>
      </c>
      <c r="H26" s="18">
        <f>IFERROR(VLOOKUP($D26,BS별도,MATCH(H$1,BS별도H,0),0)/100,"")</f>
        <v/>
      </c>
      <c r="I26" s="18">
        <f>IFERROR(VLOOKUP($D26,BS별도,MATCH(I$1,BS별도H,0),0)/100,"")</f>
        <v/>
      </c>
      <c r="J26" s="18">
        <f>IFERROR(VLOOKUP($D26,BS별도,MATCH(J$1,BS별도H,0),0)/100,"")</f>
        <v/>
      </c>
      <c r="K26" s="37">
        <f>J26</f>
        <v/>
      </c>
      <c r="L26" s="18">
        <f>IFERROR(VLOOKUP($D26,BS별도,MATCH(L$1,BS별도H,0),0)/100,"")</f>
        <v/>
      </c>
      <c r="M26" s="18">
        <f>IFERROR(VLOOKUP($D26,BS별도,MATCH(M$1,BS별도H,0),0)/100,"")</f>
        <v/>
      </c>
      <c r="N26" s="18">
        <f>IFERROR(VLOOKUP($D26,BS별도,MATCH(N$1,BS별도H,0),0)/100,"")</f>
        <v/>
      </c>
      <c r="O26" s="18">
        <f>IFERROR(VLOOKUP($D26,BS별도,MATCH(O$1,BS별도H,0),0)/100,"")</f>
        <v/>
      </c>
      <c r="P26" s="37">
        <f>O26</f>
        <v/>
      </c>
      <c r="Q26" s="18">
        <f>IFERROR(VLOOKUP($D26,BS별도,MATCH(Q$1,BS별도H,0),0)/100,"")</f>
        <v/>
      </c>
      <c r="R26" s="19">
        <f>IFERROR(VLOOKUP($D26,BS별도,MATCH(R$1,BS별도H,0),0)/100,"")</f>
        <v/>
      </c>
      <c r="S26" s="20">
        <f>IFERROR(R26+S20-변수!S33,"")</f>
        <v/>
      </c>
      <c r="T26" s="20">
        <f>IFERROR(S26+T20-변수!T33,"")</f>
        <v/>
      </c>
      <c r="U26" s="38">
        <f>T26</f>
        <v/>
      </c>
      <c r="V26" s="20">
        <f>IFERROR(T26+V20-변수!V33,"")</f>
        <v/>
      </c>
      <c r="W26" s="20">
        <f>IFERROR(V26+W20-변수!W33,"")</f>
        <v/>
      </c>
      <c r="X26" s="20">
        <f>IFERROR(W26+X20-변수!X33,"")</f>
        <v/>
      </c>
      <c r="Y26" s="20">
        <f>IFERROR(X26+Y20-변수!Y33,"")</f>
        <v/>
      </c>
      <c r="Z26" s="38">
        <f>Y26</f>
        <v/>
      </c>
      <c r="AA26" s="20">
        <f>IFERROR(Y26+AA20-변수!AA33,"")</f>
        <v/>
      </c>
      <c r="AB26" s="20">
        <f>IFERROR(AA26+AB20-변수!AB33,"")</f>
        <v/>
      </c>
      <c r="AC26" s="20">
        <f>IFERROR(AB26+AC20-변수!AC33,"")</f>
        <v/>
      </c>
      <c r="AD26" s="20">
        <f>IFERROR(AC26+AD20-변수!AD33,"")</f>
        <v/>
      </c>
      <c r="AE26" s="38">
        <f>AD26</f>
        <v/>
      </c>
    </row>
    <row r="27">
      <c r="A27" s="12" t="inlineStr">
        <is>
          <t>총차입금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총차입금</t>
        </is>
      </c>
      <c r="E27" s="18">
        <f>IFERROR(VLOOKUP($D27,BS별도,MATCH(E$1,BS별도H,0),0)/100,"")</f>
        <v/>
      </c>
      <c r="F27" s="37" t="n">
        <v>91.95999999999999</v>
      </c>
      <c r="G27" s="18">
        <f>IFERROR(VLOOKUP($D27,BS별도,MATCH(G$1,BS별도H,0),0)/100,"")</f>
        <v/>
      </c>
      <c r="H27" s="18">
        <f>IFERROR(VLOOKUP($D27,BS별도,MATCH(H$1,BS별도H,0),0)/100,"")</f>
        <v/>
      </c>
      <c r="I27" s="18">
        <f>IFERROR(VLOOKUP($D27,BS별도,MATCH(I$1,BS별도H,0),0)/100,"")</f>
        <v/>
      </c>
      <c r="J27" s="18">
        <f>IFERROR(VLOOKUP($D27,BS별도,MATCH(J$1,BS별도H,0),0)/100,"")</f>
        <v/>
      </c>
      <c r="K27" s="37">
        <f>J27</f>
        <v/>
      </c>
      <c r="L27" s="18">
        <f>IFERROR(VLOOKUP($D27,BS별도,MATCH(L$1,BS별도H,0),0)/100,"")</f>
        <v/>
      </c>
      <c r="M27" s="18">
        <f>IFERROR(VLOOKUP($D27,BS별도,MATCH(M$1,BS별도H,0),0)/100,"")</f>
        <v/>
      </c>
      <c r="N27" s="18">
        <f>IFERROR(VLOOKUP($D27,BS별도,MATCH(N$1,BS별도H,0),0)/100,"")</f>
        <v/>
      </c>
      <c r="O27" s="18">
        <f>IFERROR(VLOOKUP($D27,BS별도,MATCH(O$1,BS별도H,0),0)/100,"")</f>
        <v/>
      </c>
      <c r="P27" s="37">
        <f>O27</f>
        <v/>
      </c>
      <c r="Q27" s="18">
        <f>IFERROR(VLOOKUP($D27,BS별도,MATCH(Q$1,BS별도H,0),0)/100,"")</f>
        <v/>
      </c>
      <c r="R27" s="19">
        <f>IFERROR(VLOOKUP($D27,BS별도,MATCH(R$1,BS별도H,0),0)/100,"")</f>
        <v/>
      </c>
      <c r="S27" s="20">
        <f>IFERROR(R27*(1+변수!S34),"")</f>
        <v/>
      </c>
      <c r="T27" s="20">
        <f>IFERROR(S27*(1+변수!T34),"")</f>
        <v/>
      </c>
      <c r="U27" s="38">
        <f>T27</f>
        <v/>
      </c>
      <c r="V27" s="20">
        <f>IFERROR(T27*(1+변수!V34),"")</f>
        <v/>
      </c>
      <c r="W27" s="20">
        <f>IFERROR(V27*(1+변수!W34),"")</f>
        <v/>
      </c>
      <c r="X27" s="20">
        <f>IFERROR(W27*(1+변수!X34),"")</f>
        <v/>
      </c>
      <c r="Y27" s="20">
        <f>IFERROR(X27*(1+변수!Y34),"")</f>
        <v/>
      </c>
      <c r="Z27" s="38">
        <f>Y27</f>
        <v/>
      </c>
      <c r="AA27" s="20">
        <f>IFERROR(Y27*(1+변수!AA34),"")</f>
        <v/>
      </c>
      <c r="AB27" s="20">
        <f>IFERROR(AA27*(1+변수!AB34),"")</f>
        <v/>
      </c>
      <c r="AC27" s="20">
        <f>IFERROR(AB27*(1+변수!AC34),"")</f>
        <v/>
      </c>
      <c r="AD27" s="20">
        <f>IFERROR(AC27*(1+변수!AD34),"")</f>
        <v/>
      </c>
      <c r="AE27" s="38">
        <f>AD27</f>
        <v/>
      </c>
    </row>
    <row r="28">
      <c r="A28" s="12" t="inlineStr">
        <is>
          <t>순차입금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순차입금</t>
        </is>
      </c>
      <c r="E28" s="18">
        <f>IFERROR(VLOOKUP($D28,BS별도,MATCH(E$1,BS별도H,0),0)/100,"")</f>
        <v/>
      </c>
      <c r="F28" s="37" t="n">
        <v>19.47</v>
      </c>
      <c r="G28" s="18">
        <f>IFERROR(VLOOKUP($D28,BS별도,MATCH(G$1,BS별도H,0),0)/100,"")</f>
        <v/>
      </c>
      <c r="H28" s="18">
        <f>IFERROR(VLOOKUP($D28,BS별도,MATCH(H$1,BS별도H,0),0)/100,"")</f>
        <v/>
      </c>
      <c r="I28" s="18">
        <f>IFERROR(VLOOKUP($D28,BS별도,MATCH(I$1,BS별도H,0),0)/100,"")</f>
        <v/>
      </c>
      <c r="J28" s="18">
        <f>IFERROR(VLOOKUP($D28,BS별도,MATCH(J$1,BS별도H,0),0)/100,"")</f>
        <v/>
      </c>
      <c r="K28" s="37">
        <f>J28</f>
        <v/>
      </c>
      <c r="L28" s="18">
        <f>IFERROR(VLOOKUP($D28,BS별도,MATCH(L$1,BS별도H,0),0)/100,"")</f>
        <v/>
      </c>
      <c r="M28" s="18">
        <f>IFERROR(VLOOKUP($D28,BS별도,MATCH(M$1,BS별도H,0),0)/100,"")</f>
        <v/>
      </c>
      <c r="N28" s="18">
        <f>IFERROR(VLOOKUP($D28,BS별도,MATCH(N$1,BS별도H,0),0)/100,"")</f>
        <v/>
      </c>
      <c r="O28" s="18">
        <f>IFERROR(VLOOKUP($D28,BS별도,MATCH(O$1,BS별도H,0),0)/100,"")</f>
        <v/>
      </c>
      <c r="P28" s="37">
        <f>O28</f>
        <v/>
      </c>
      <c r="Q28" s="18">
        <f>IFERROR(VLOOKUP($D28,BS별도,MATCH(Q$1,BS별도H,0),0)/100,"")</f>
        <v/>
      </c>
      <c r="R28" s="19">
        <f>IFERROR(VLOOKUP($D28,BS별도,MATCH(R$1,BS별도H,0),0)/100,"")</f>
        <v/>
      </c>
      <c r="S28" s="20">
        <f>IFERROR(R28*(1+변수!S35),"")</f>
        <v/>
      </c>
      <c r="T28" s="20">
        <f>IFERROR(S28*(1+변수!T35),"")</f>
        <v/>
      </c>
      <c r="U28" s="38">
        <f>T28</f>
        <v/>
      </c>
      <c r="V28" s="20">
        <f>IFERROR(T28*(1+변수!V35),"")</f>
        <v/>
      </c>
      <c r="W28" s="20">
        <f>IFERROR(V28*(1+변수!W35),"")</f>
        <v/>
      </c>
      <c r="X28" s="20">
        <f>IFERROR(W28*(1+변수!X35),"")</f>
        <v/>
      </c>
      <c r="Y28" s="20">
        <f>IFERROR(X28*(1+변수!Y35),"")</f>
        <v/>
      </c>
      <c r="Z28" s="38">
        <f>Y28</f>
        <v/>
      </c>
      <c r="AA28" s="20">
        <f>IFERROR(Y28*(1+변수!AA35),"")</f>
        <v/>
      </c>
      <c r="AB28" s="20">
        <f>IFERROR(AA28*(1+변수!AB35),"")</f>
        <v/>
      </c>
      <c r="AC28" s="20">
        <f>IFERROR(AB28*(1+변수!AC35),"")</f>
        <v/>
      </c>
      <c r="AD28" s="20">
        <f>IFERROR(AC28*(1+변수!AD35),"")</f>
        <v/>
      </c>
      <c r="AE28" s="38">
        <f>AD28</f>
        <v/>
      </c>
    </row>
    <row r="29">
      <c r="A29" s="12" t="inlineStr">
        <is>
          <t>이자발생자산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이자발생자산</t>
        </is>
      </c>
      <c r="E29" s="18">
        <f>IFERROR(VLOOKUP($D29,BS별도,MATCH(E$1,BS별도H,0),0)/100,"")</f>
        <v/>
      </c>
      <c r="F29" s="37" t="n">
        <v>73.26000000000001</v>
      </c>
      <c r="G29" s="18">
        <f>IFERROR(VLOOKUP($D29,BS별도,MATCH(G$1,BS별도H,0),0)/100,"")</f>
        <v/>
      </c>
      <c r="H29" s="18">
        <f>IFERROR(VLOOKUP($D29,BS별도,MATCH(H$1,BS별도H,0),0)/100,"")</f>
        <v/>
      </c>
      <c r="I29" s="18">
        <f>IFERROR(VLOOKUP($D29,BS별도,MATCH(I$1,BS별도H,0),0)/100,"")</f>
        <v/>
      </c>
      <c r="J29" s="18">
        <f>IFERROR(VLOOKUP($D29,BS별도,MATCH(J$1,BS별도H,0),0)/100,"")</f>
        <v/>
      </c>
      <c r="K29" s="37">
        <f>J29</f>
        <v/>
      </c>
      <c r="L29" s="18">
        <f>IFERROR(VLOOKUP($D29,BS별도,MATCH(L$1,BS별도H,0),0)/100,"")</f>
        <v/>
      </c>
      <c r="M29" s="18">
        <f>IFERROR(VLOOKUP($D29,BS별도,MATCH(M$1,BS별도H,0),0)/100,"")</f>
        <v/>
      </c>
      <c r="N29" s="18">
        <f>IFERROR(VLOOKUP($D29,BS별도,MATCH(N$1,BS별도H,0),0)/100,"")</f>
        <v/>
      </c>
      <c r="O29" s="18">
        <f>IFERROR(VLOOKUP($D29,BS별도,MATCH(O$1,BS별도H,0),0)/100,"")</f>
        <v/>
      </c>
      <c r="P29" s="37">
        <f>O29</f>
        <v/>
      </c>
      <c r="Q29" s="18">
        <f>IFERROR(VLOOKUP($D29,BS별도,MATCH(Q$1,BS별도H,0),0)/100,"")</f>
        <v/>
      </c>
      <c r="R29" s="19">
        <f>IFERROR(VLOOKUP($D29,BS별도,MATCH(R$1,BS별도H,0),0)/100,"")</f>
        <v/>
      </c>
      <c r="S29" s="20">
        <f>IFERROR(R29*(1+변수!S36),"")</f>
        <v/>
      </c>
      <c r="T29" s="20">
        <f>IFERROR(S29*(1+변수!T36),"")</f>
        <v/>
      </c>
      <c r="U29" s="38">
        <f>T29</f>
        <v/>
      </c>
      <c r="V29" s="20">
        <f>IFERROR(T29*(1+변수!V36),"")</f>
        <v/>
      </c>
      <c r="W29" s="20">
        <f>IFERROR(V29*(1+변수!W36),"")</f>
        <v/>
      </c>
      <c r="X29" s="20">
        <f>IFERROR(W29*(1+변수!X36),"")</f>
        <v/>
      </c>
      <c r="Y29" s="20">
        <f>IFERROR(X29*(1+변수!Y36),"")</f>
        <v/>
      </c>
      <c r="Z29" s="38">
        <f>Y29</f>
        <v/>
      </c>
      <c r="AA29" s="20">
        <f>IFERROR(Y29*(1+변수!AA36),"")</f>
        <v/>
      </c>
      <c r="AB29" s="20">
        <f>IFERROR(AA29*(1+변수!AB36),"")</f>
        <v/>
      </c>
      <c r="AC29" s="20">
        <f>IFERROR(AB29*(1+변수!AC36),"")</f>
        <v/>
      </c>
      <c r="AD29" s="20">
        <f>IFERROR(AC29*(1+변수!AD36),"")</f>
        <v/>
      </c>
      <c r="AE29" s="38">
        <f>AD29</f>
        <v/>
      </c>
    </row>
    <row r="30">
      <c r="A30" s="12" t="inlineStr">
        <is>
          <t>현금및현금성자산</t>
        </is>
      </c>
      <c r="B30" t="inlineStr">
        <is>
          <t>재무상태</t>
        </is>
      </c>
      <c r="C30" t="inlineStr">
        <is>
          <t>억원</t>
        </is>
      </c>
      <c r="D30" t="inlineStr">
        <is>
          <t>현금및현금성자산</t>
        </is>
      </c>
      <c r="E30" s="18">
        <f>IFERROR(VLOOKUP($D30,BS별도,MATCH(E$1,BS별도H,0),0)/100,"")</f>
        <v/>
      </c>
      <c r="F30" s="37" t="n">
        <v>72.48999999999999</v>
      </c>
      <c r="G30" s="18">
        <f>IFERROR(VLOOKUP($D30,BS별도,MATCH(G$1,BS별도H,0),0)/100,"")</f>
        <v/>
      </c>
      <c r="H30" s="18">
        <f>IFERROR(VLOOKUP($D30,BS별도,MATCH(H$1,BS별도H,0),0)/100,"")</f>
        <v/>
      </c>
      <c r="I30" s="18">
        <f>IFERROR(VLOOKUP($D30,BS별도,MATCH(I$1,BS별도H,0),0)/100,"")</f>
        <v/>
      </c>
      <c r="J30" s="18">
        <f>IFERROR(VLOOKUP($D30,BS별도,MATCH(J$1,BS별도H,0),0)/100,"")</f>
        <v/>
      </c>
      <c r="K30" s="37">
        <f>J30</f>
        <v/>
      </c>
      <c r="L30" s="18">
        <f>IFERROR(VLOOKUP($D30,BS별도,MATCH(L$1,BS별도H,0),0)/100,"")</f>
        <v/>
      </c>
      <c r="M30" s="18">
        <f>IFERROR(VLOOKUP($D30,BS별도,MATCH(M$1,BS별도H,0),0)/100,"")</f>
        <v/>
      </c>
      <c r="N30" s="18">
        <f>IFERROR(VLOOKUP($D30,BS별도,MATCH(N$1,BS별도H,0),0)/100,"")</f>
        <v/>
      </c>
      <c r="O30" s="18">
        <f>IFERROR(VLOOKUP($D30,BS별도,MATCH(O$1,BS별도H,0),0)/100,"")</f>
        <v/>
      </c>
      <c r="P30" s="37">
        <f>O30</f>
        <v/>
      </c>
      <c r="Q30" s="18">
        <f>IFERROR(VLOOKUP($D30,BS별도,MATCH(Q$1,BS별도H,0),0)/100,"")</f>
        <v/>
      </c>
      <c r="R30" s="19">
        <f>IFERROR(VLOOKUP($D30,BS별도,MATCH(R$1,BS별도H,0),0)/100,"")</f>
        <v/>
      </c>
      <c r="S30" s="20" t="n"/>
      <c r="T30" s="20" t="n"/>
      <c r="U30" s="38">
        <f>T30</f>
        <v/>
      </c>
      <c r="V30" s="20" t="n"/>
      <c r="W30" s="20" t="n"/>
      <c r="X30" s="20" t="n"/>
      <c r="Y30" s="20" t="n"/>
      <c r="Z30" s="38">
        <f>Y30</f>
        <v/>
      </c>
      <c r="AA30" s="20" t="n"/>
      <c r="AB30" s="20" t="n"/>
      <c r="AC30" s="20" t="n"/>
      <c r="AD30" s="20" t="n"/>
      <c r="AE30" s="38">
        <f>AD30</f>
        <v/>
      </c>
    </row>
    <row r="31">
      <c r="A31" s="12" t="inlineStr">
        <is>
          <t>CAPEX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CAPEX</t>
        </is>
      </c>
      <c r="E31" s="18">
        <f>IFERROR(VLOOKUP($D31,BS별도,MATCH(E$1,BS별도H,0),0)/100,"")</f>
        <v/>
      </c>
      <c r="F31" s="37" t="n"/>
      <c r="G31" s="18">
        <f>IFERROR(VLOOKUP($D31,BS별도,MATCH(G$1,BS별도H,0),0)/100,"")</f>
        <v/>
      </c>
      <c r="H31" s="18">
        <f>IFERROR(VLOOKUP($D31,BS별도,MATCH(H$1,BS별도H,0),0)/100,"")</f>
        <v/>
      </c>
      <c r="I31" s="18">
        <f>IFERROR(VLOOKUP($D31,BS별도,MATCH(I$1,BS별도H,0),0)/100,"")</f>
        <v/>
      </c>
      <c r="J31" s="18">
        <f>IFERROR(VLOOKUP($D31,BS별도,MATCH(J$1,BS별도H,0),0)/100,"")</f>
        <v/>
      </c>
      <c r="K31" s="37">
        <f>SUM(G31:J31)</f>
        <v/>
      </c>
      <c r="L31" s="18">
        <f>IFERROR(VLOOKUP($D31,BS별도,MATCH(L$1,BS별도H,0),0)/100,"")</f>
        <v/>
      </c>
      <c r="M31" s="18">
        <f>IFERROR(VLOOKUP($D31,BS별도,MATCH(M$1,BS별도H,0),0)/100,"")</f>
        <v/>
      </c>
      <c r="N31" s="18">
        <f>IFERROR(VLOOKUP($D31,BS별도,MATCH(N$1,BS별도H,0),0)/100,"")</f>
        <v/>
      </c>
      <c r="O31" s="18">
        <f>IFERROR(VLOOKUP($D31,BS별도,MATCH(O$1,BS별도H,0),0)/100,"")</f>
        <v/>
      </c>
      <c r="P31" s="37">
        <f>SUM(L31:O31)</f>
        <v/>
      </c>
      <c r="Q31" s="18">
        <f>IFERROR(VLOOKUP($D31,BS별도,MATCH(Q$1,BS별도H,0),0)/100,"")</f>
        <v/>
      </c>
      <c r="R31" s="19">
        <f>IFERROR(VLOOKUP($D31,BS별도,MATCH(R$1,BS별도H,0),0)/100,"")</f>
        <v/>
      </c>
      <c r="S31" s="20">
        <f>IFERROR(N31*(1+변수!S38),"")</f>
        <v/>
      </c>
      <c r="T31" s="20">
        <f>IFERROR(O31*(1+변수!T38),"")</f>
        <v/>
      </c>
      <c r="U31" s="38">
        <f>SUM(Q31:T31)</f>
        <v/>
      </c>
      <c r="V31" s="20">
        <f>IFERROR(Q31*(1+변수!V38),"")</f>
        <v/>
      </c>
      <c r="W31" s="20">
        <f>IFERROR(R31*(1+변수!W38),"")</f>
        <v/>
      </c>
      <c r="X31" s="20">
        <f>IFERROR(S31*(1+변수!X38),"")</f>
        <v/>
      </c>
      <c r="Y31" s="20">
        <f>IFERROR(T31*(1+변수!Y38),"")</f>
        <v/>
      </c>
      <c r="Z31" s="38">
        <f>SUM(V31:Y31)</f>
        <v/>
      </c>
      <c r="AA31" s="20">
        <f>IFERROR(V31*(1+변수!AA38),"")</f>
        <v/>
      </c>
      <c r="AB31" s="20">
        <f>IFERROR(W31*(1+변수!AB38),"")</f>
        <v/>
      </c>
      <c r="AC31" s="20">
        <f>IFERROR(X31*(1+변수!AC38),"")</f>
        <v/>
      </c>
      <c r="AD31" s="20">
        <f>IFERROR(Y31*(1+변수!AD38),"")</f>
        <v/>
      </c>
      <c r="AE31" s="38">
        <f>SUM(AA31:AD31)</f>
        <v/>
      </c>
    </row>
    <row r="32">
      <c r="A32" s="12" t="inlineStr">
        <is>
          <t>영업활동현금흐름</t>
        </is>
      </c>
      <c r="B32" t="inlineStr">
        <is>
          <t>현금흐름</t>
        </is>
      </c>
      <c r="C32" t="inlineStr">
        <is>
          <t>억원</t>
        </is>
      </c>
      <c r="D32" t="inlineStr">
        <is>
          <t>영업활동으로인한현금흐름</t>
        </is>
      </c>
      <c r="E32" s="18">
        <f>IFERROR(VLOOKUP($D32,BS별도,MATCH(E$1,BS별도H,0),0)/100,"")</f>
        <v/>
      </c>
      <c r="F32" s="37" t="n"/>
      <c r="G32" s="18">
        <f>IFERROR(VLOOKUP($D32,BS별도,MATCH(G$1,BS별도H,0),0)/100,"")</f>
        <v/>
      </c>
      <c r="H32" s="18">
        <f>IFERROR(VLOOKUP($D32,BS별도,MATCH(H$1,BS별도H,0),0)/100,"")</f>
        <v/>
      </c>
      <c r="I32" s="18">
        <f>IFERROR(VLOOKUP($D32,BS별도,MATCH(I$1,BS별도H,0),0)/100,"")</f>
        <v/>
      </c>
      <c r="J32" s="18">
        <f>IFERROR(VLOOKUP($D32,BS별도,MATCH(J$1,BS별도H,0),0)/100,"")</f>
        <v/>
      </c>
      <c r="K32" s="37">
        <f>SUM(G32:J32)</f>
        <v/>
      </c>
      <c r="L32" s="18">
        <f>IFERROR(VLOOKUP($D32,BS별도,MATCH(L$1,BS별도H,0),0)/100,"")</f>
        <v/>
      </c>
      <c r="M32" s="18">
        <f>IFERROR(VLOOKUP($D32,BS별도,MATCH(M$1,BS별도H,0),0)/100,"")</f>
        <v/>
      </c>
      <c r="N32" s="18">
        <f>IFERROR(VLOOKUP($D32,BS별도,MATCH(N$1,BS별도H,0),0)/100,"")</f>
        <v/>
      </c>
      <c r="O32" s="18">
        <f>IFERROR(VLOOKUP($D32,BS별도,MATCH(O$1,BS별도H,0),0)/100,"")</f>
        <v/>
      </c>
      <c r="P32" s="37">
        <f>SUM(L32:O32)</f>
        <v/>
      </c>
      <c r="Q32" s="18">
        <f>IFERROR(VLOOKUP($D32,BS별도,MATCH(Q$1,BS별도H,0),0)/100,"")</f>
        <v/>
      </c>
      <c r="R32" s="19">
        <f>IFERROR(VLOOKUP($D32,BS별도,MATCH(R$1,BS별도H,0),0)/100,"")</f>
        <v/>
      </c>
      <c r="S32" s="20" t="n"/>
      <c r="T32" s="20" t="n"/>
      <c r="U32" s="38">
        <f>SUM(Q32:T32)</f>
        <v/>
      </c>
      <c r="V32" s="20" t="n"/>
      <c r="W32" s="20" t="n"/>
      <c r="X32" s="20" t="n"/>
      <c r="Y32" s="20" t="n"/>
      <c r="Z32" s="38">
        <f>SUM(V32:Y32)</f>
        <v/>
      </c>
      <c r="AA32" s="20" t="n"/>
      <c r="AB32" s="20" t="n"/>
      <c r="AC32" s="20" t="n"/>
      <c r="AD32" s="20" t="n"/>
      <c r="AE32" s="38">
        <f>SUM(AA32:AD32)</f>
        <v/>
      </c>
    </row>
    <row r="33">
      <c r="A33" s="12" t="inlineStr">
        <is>
          <t>주식수</t>
        </is>
      </c>
      <c r="B33" t="inlineStr">
        <is>
          <t>주당</t>
        </is>
      </c>
      <c r="C33" t="inlineStr">
        <is>
          <t>백만주</t>
        </is>
      </c>
      <c r="D33" t="inlineStr">
        <is>
          <t>유통주식수</t>
        </is>
      </c>
      <c r="E33" s="27" t="n">
        <v>17.003</v>
      </c>
      <c r="F33" s="28">
        <f>E33</f>
        <v/>
      </c>
      <c r="G33" s="27" t="n">
        <v>17.003</v>
      </c>
      <c r="H33" s="27" t="n">
        <v>17.003</v>
      </c>
      <c r="I33" s="27" t="n">
        <v>17.003</v>
      </c>
      <c r="J33" s="27" t="n">
        <v>17.137</v>
      </c>
      <c r="K33" s="28">
        <f>J33</f>
        <v/>
      </c>
      <c r="L33" s="27" t="n">
        <v>17.252</v>
      </c>
      <c r="M33" s="27" t="n">
        <v>17.266</v>
      </c>
      <c r="N33" s="27" t="n">
        <v>17.274</v>
      </c>
      <c r="O33" s="27" t="n">
        <v>17.274</v>
      </c>
      <c r="P33" s="28">
        <f>O33</f>
        <v/>
      </c>
      <c r="Q33" s="27" t="n">
        <v>19.246</v>
      </c>
      <c r="R33" s="29" t="n">
        <v>19.248</v>
      </c>
      <c r="S33" s="33">
        <f>IFERROR(R33*(1+변수!S40),"")</f>
        <v/>
      </c>
      <c r="T33" s="33">
        <f>IFERROR(S33*(1+변수!T40),"")</f>
        <v/>
      </c>
      <c r="U33" s="31">
        <f>T33</f>
        <v/>
      </c>
      <c r="V33" s="33">
        <f>IFERROR(T33*(1+변수!V40),"")</f>
        <v/>
      </c>
      <c r="W33" s="33">
        <f>IFERROR(V33*(1+변수!W40),"")</f>
        <v/>
      </c>
      <c r="X33" s="33">
        <f>IFERROR(W33*(1+변수!X40),"")</f>
        <v/>
      </c>
      <c r="Y33" s="33">
        <f>IFERROR(X33*(1+변수!Y40),"")</f>
        <v/>
      </c>
      <c r="Z33" s="31">
        <f>Y33</f>
        <v/>
      </c>
      <c r="AA33" s="33">
        <f>IFERROR(Y33*(1+변수!AA40),"")</f>
        <v/>
      </c>
      <c r="AB33" s="33">
        <f>IFERROR(AA33*(1+변수!AB40),"")</f>
        <v/>
      </c>
      <c r="AC33" s="33">
        <f>IFERROR(AB33*(1+변수!AC40),"")</f>
        <v/>
      </c>
      <c r="AD33" s="33">
        <f>IFERROR(AC33*(1+변수!AD40),"")</f>
        <v/>
      </c>
      <c r="AE33" s="31">
        <f>AD33</f>
        <v/>
      </c>
    </row>
    <row r="34">
      <c r="A34" s="12" t="inlineStr">
        <is>
          <t>EPS</t>
        </is>
      </c>
      <c r="B34" t="inlineStr">
        <is>
          <t>주당</t>
        </is>
      </c>
      <c r="C34" t="inlineStr">
        <is>
          <t>원</t>
        </is>
      </c>
      <c r="D34" t="inlineStr">
        <is>
          <t>EPS</t>
        </is>
      </c>
      <c r="E34" s="18">
        <f>IFERROR(E20*100/E33,"")</f>
        <v/>
      </c>
      <c r="F34" s="37" t="n"/>
      <c r="G34" s="18">
        <f>IFERROR(G20*100/G33,"")</f>
        <v/>
      </c>
      <c r="H34" s="18">
        <f>IFERROR(H20*100/H33,"")</f>
        <v/>
      </c>
      <c r="I34" s="18">
        <f>IFERROR(I20*100/I33,"")</f>
        <v/>
      </c>
      <c r="J34" s="18">
        <f>IFERROR(J20*100/J33,"")</f>
        <v/>
      </c>
      <c r="K34" s="37">
        <f>SUM(G34:J34)</f>
        <v/>
      </c>
      <c r="L34" s="18">
        <f>IFERROR(L20*100/L33,"")</f>
        <v/>
      </c>
      <c r="M34" s="18">
        <f>IFERROR(M20*100/M33,"")</f>
        <v/>
      </c>
      <c r="N34" s="18">
        <f>IFERROR(N20*100/N33,"")</f>
        <v/>
      </c>
      <c r="O34" s="18">
        <f>IFERROR(O20*100/O33,"")</f>
        <v/>
      </c>
      <c r="P34" s="37">
        <f>SUM(L34:O34)</f>
        <v/>
      </c>
      <c r="Q34" s="18">
        <f>IFERROR(Q20*100/Q33,"")</f>
        <v/>
      </c>
      <c r="R34" s="19">
        <f>IFERROR(R20*100/R33,"")</f>
        <v/>
      </c>
      <c r="S34" s="20">
        <f>IFERROR(S20*100/S33,"")</f>
        <v/>
      </c>
      <c r="T34" s="20">
        <f>IFERROR(T20*100/T33,"")</f>
        <v/>
      </c>
      <c r="U34" s="38">
        <f>SUM(Q34:T34)</f>
        <v/>
      </c>
      <c r="V34" s="20">
        <f>IFERROR(V20*100/V33,"")</f>
        <v/>
      </c>
      <c r="W34" s="20">
        <f>IFERROR(W20*100/W33,"")</f>
        <v/>
      </c>
      <c r="X34" s="20">
        <f>IFERROR(X20*100/X33,"")</f>
        <v/>
      </c>
      <c r="Y34" s="20">
        <f>IFERROR(Y20*100/Y33,"")</f>
        <v/>
      </c>
      <c r="Z34" s="38">
        <f>SUM(V34:Y34)</f>
        <v/>
      </c>
      <c r="AA34" s="20">
        <f>IFERROR(AA20*100/AA33,"")</f>
        <v/>
      </c>
      <c r="AB34" s="20">
        <f>IFERROR(AB20*100/AB33,"")</f>
        <v/>
      </c>
      <c r="AC34" s="20">
        <f>IFERROR(AC20*100/AC33,"")</f>
        <v/>
      </c>
      <c r="AD34" s="20">
        <f>IFERROR(AD20*100/AD33,"")</f>
        <v/>
      </c>
      <c r="AE34" s="38">
        <f>SUM(AA34:AD34)</f>
        <v/>
      </c>
    </row>
    <row r="35">
      <c r="A35" s="12" t="inlineStr">
        <is>
          <t>BPS</t>
        </is>
      </c>
      <c r="B35" t="inlineStr">
        <is>
          <t>주당</t>
        </is>
      </c>
      <c r="C35" t="inlineStr">
        <is>
          <t>원</t>
        </is>
      </c>
      <c r="D35" t="inlineStr">
        <is>
          <t>BPS</t>
        </is>
      </c>
      <c r="E35" s="18">
        <f>IFERROR(E26*100/E33,"")</f>
        <v/>
      </c>
      <c r="F35" s="37">
        <f>E35</f>
        <v/>
      </c>
      <c r="G35" s="18">
        <f>IFERROR(G26*100/G33,"")</f>
        <v/>
      </c>
      <c r="H35" s="18">
        <f>IFERROR(H26*100/H33,"")</f>
        <v/>
      </c>
      <c r="I35" s="18">
        <f>IFERROR(I26*100/I33,"")</f>
        <v/>
      </c>
      <c r="J35" s="18">
        <f>IFERROR(J26*100/J33,"")</f>
        <v/>
      </c>
      <c r="K35" s="37">
        <f>J35</f>
        <v/>
      </c>
      <c r="L35" s="18">
        <f>IFERROR(L26*100/L33,"")</f>
        <v/>
      </c>
      <c r="M35" s="18">
        <f>IFERROR(M26*100/M33,"")</f>
        <v/>
      </c>
      <c r="N35" s="18">
        <f>IFERROR(N26*100/N33,"")</f>
        <v/>
      </c>
      <c r="O35" s="18">
        <f>IFERROR(O26*100/O33,"")</f>
        <v/>
      </c>
      <c r="P35" s="37">
        <f>O35</f>
        <v/>
      </c>
      <c r="Q35" s="18">
        <f>IFERROR(Q26*100/Q33,"")</f>
        <v/>
      </c>
      <c r="R35" s="19">
        <f>IFERROR(R26*100/R33,"")</f>
        <v/>
      </c>
      <c r="S35" s="20">
        <f>IFERROR(S26*100/S33,"")</f>
        <v/>
      </c>
      <c r="T35" s="20">
        <f>IFERROR(T26*100/T33,"")</f>
        <v/>
      </c>
      <c r="U35" s="38">
        <f>T35</f>
        <v/>
      </c>
      <c r="V35" s="20">
        <f>IFERROR(V26*100/V33,"")</f>
        <v/>
      </c>
      <c r="W35" s="20">
        <f>IFERROR(W26*100/W33,"")</f>
        <v/>
      </c>
      <c r="X35" s="20">
        <f>IFERROR(X26*100/X33,"")</f>
        <v/>
      </c>
      <c r="Y35" s="20">
        <f>IFERROR(Y26*100/Y33,"")</f>
        <v/>
      </c>
      <c r="Z35" s="38">
        <f>Y35</f>
        <v/>
      </c>
      <c r="AA35" s="20">
        <f>IFERROR(AA26*100/AA33,"")</f>
        <v/>
      </c>
      <c r="AB35" s="20">
        <f>IFERROR(AB26*100/AB33,"")</f>
        <v/>
      </c>
      <c r="AC35" s="20">
        <f>IFERROR(AC26*100/AC33,"")</f>
        <v/>
      </c>
      <c r="AD35" s="20">
        <f>IFERROR(AD26*100/AD33,"")</f>
        <v/>
      </c>
      <c r="AE35" s="38">
        <f>AD35</f>
        <v/>
      </c>
    </row>
    <row r="36">
      <c r="A36" s="12" t="inlineStr">
        <is>
          <t>DPS</t>
        </is>
      </c>
      <c r="B36" t="inlineStr">
        <is>
          <t>주당</t>
        </is>
      </c>
      <c r="C36" t="inlineStr">
        <is>
          <t>원</t>
        </is>
      </c>
      <c r="D36" t="inlineStr">
        <is>
          <t>DPS(보통주)</t>
        </is>
      </c>
      <c r="E36" s="18" t="n">
        <v>0</v>
      </c>
      <c r="F36" s="37" t="n">
        <v>0</v>
      </c>
      <c r="G36" s="18" t="n"/>
      <c r="H36" s="18" t="n"/>
      <c r="I36" s="18" t="n"/>
      <c r="J36" s="18" t="n">
        <v>0</v>
      </c>
      <c r="K36" s="37">
        <f>SUM(G36:J36)</f>
        <v/>
      </c>
      <c r="L36" s="18" t="n"/>
      <c r="M36" s="18" t="n"/>
      <c r="N36" s="18" t="n"/>
      <c r="O36" s="18" t="n">
        <v>0</v>
      </c>
      <c r="P36" s="37">
        <f>SUM(L36:O36)</f>
        <v/>
      </c>
      <c r="Q36" s="18" t="n"/>
      <c r="R36" s="19" t="n"/>
      <c r="S36" s="20" t="n"/>
      <c r="T36" s="20">
        <f>변수!T41</f>
        <v/>
      </c>
      <c r="U36" s="38">
        <f>SUM(Q36:T36)</f>
        <v/>
      </c>
      <c r="V36" s="20" t="n"/>
      <c r="W36" s="20" t="n"/>
      <c r="X36" s="20" t="n"/>
      <c r="Y36" s="20">
        <f>변수!Y41</f>
        <v/>
      </c>
      <c r="Z36" s="38">
        <f>SUM(V36:Y36)</f>
        <v/>
      </c>
      <c r="AA36" s="20" t="n"/>
      <c r="AB36" s="20" t="n"/>
      <c r="AC36" s="20" t="n"/>
      <c r="AD36" s="20">
        <f>변수!AD41</f>
        <v/>
      </c>
      <c r="AE36" s="38">
        <f>SUM(AA36:AD36)</f>
        <v/>
      </c>
    </row>
    <row r="37">
      <c r="A37" s="12" t="inlineStr">
        <is>
          <t>PER</t>
        </is>
      </c>
      <c r="B37" t="inlineStr">
        <is>
          <t>주당</t>
        </is>
      </c>
      <c r="C37" t="inlineStr">
        <is>
          <t>배</t>
        </is>
      </c>
      <c r="D37" t="inlineStr">
        <is>
          <t>PER</t>
        </is>
      </c>
      <c r="E37" s="13" t="n"/>
      <c r="F37" s="14">
        <f>E37</f>
        <v/>
      </c>
      <c r="G37" s="13" t="n"/>
      <c r="H37" s="13" t="n"/>
      <c r="I37" s="13">
        <f>IFERROR(변수!I18/(E34+G34+H34+I34),"")</f>
        <v/>
      </c>
      <c r="J37" s="13">
        <f>IFERROR(변수!J18/(G34+H34+I34+J34),"")</f>
        <v/>
      </c>
      <c r="K37" s="14">
        <f>J37</f>
        <v/>
      </c>
      <c r="L37" s="13">
        <f>IFERROR(변수!L18/(H34+I34+J34+L34),"")</f>
        <v/>
      </c>
      <c r="M37" s="13">
        <f>IFERROR(변수!M18/(I34+J34+L34+M34),"")</f>
        <v/>
      </c>
      <c r="N37" s="13">
        <f>IFERROR(변수!N18/(J34+L34+M34+N34),"")</f>
        <v/>
      </c>
      <c r="O37" s="13">
        <f>IFERROR(변수!O18/(L34+M34+N34+O34),"")</f>
        <v/>
      </c>
      <c r="P37" s="14">
        <f>O37</f>
        <v/>
      </c>
      <c r="Q37" s="13">
        <f>IFERROR(변수!Q18/(M34+N34+O34+Q34),"")</f>
        <v/>
      </c>
      <c r="R37" s="15">
        <f>IFERROR(변수!R18/(N34+O34+Q34+R34),"")</f>
        <v/>
      </c>
      <c r="S37" s="39">
        <f>IFERROR(변수!$D$44/(O34+Q34+R34+S34),"")</f>
        <v/>
      </c>
      <c r="T37" s="39">
        <f>IFERROR(변수!$D$44/(Q34+R34+S34+T34),"")</f>
        <v/>
      </c>
      <c r="U37" s="40">
        <f>T37</f>
        <v/>
      </c>
      <c r="V37" s="39">
        <f>IFERROR(변수!$D$44/(R34+S34+T34+V34),"")</f>
        <v/>
      </c>
      <c r="W37" s="39">
        <f>IFERROR(변수!$D$44/(S34+T34+V34+W34),"")</f>
        <v/>
      </c>
      <c r="X37" s="39">
        <f>IFERROR(변수!$D$44/(T34+V34+W34+X34),"")</f>
        <v/>
      </c>
      <c r="Y37" s="39">
        <f>IFERROR(변수!$D$44/(V34+W34+X34+Y34),"")</f>
        <v/>
      </c>
      <c r="Z37" s="40">
        <f>Y37</f>
        <v/>
      </c>
      <c r="AA37" s="39">
        <f>IFERROR(변수!$D$44/(W34+X34+Y34+AA34),"")</f>
        <v/>
      </c>
      <c r="AB37" s="39">
        <f>IFERROR(변수!$D$44/(X34+Y34+AA34+AB34),"")</f>
        <v/>
      </c>
      <c r="AC37" s="39">
        <f>IFERROR(변수!$D$44/(Y34+AA34+AB34+AC34),"")</f>
        <v/>
      </c>
      <c r="AD37" s="39">
        <f>IFERROR(변수!$D$44/(AA34+AB34+AC34+AD34),"")</f>
        <v/>
      </c>
      <c r="AE37" s="40">
        <f>AD37</f>
        <v/>
      </c>
    </row>
    <row r="38">
      <c r="A38" s="12" t="inlineStr">
        <is>
          <t>PBR</t>
        </is>
      </c>
      <c r="B38" t="inlineStr">
        <is>
          <t>주당</t>
        </is>
      </c>
      <c r="C38" t="inlineStr">
        <is>
          <t>배</t>
        </is>
      </c>
      <c r="D38" t="inlineStr">
        <is>
          <t>PBR</t>
        </is>
      </c>
      <c r="E38" s="13">
        <f>IFERROR(변수!E18/E35,"")</f>
        <v/>
      </c>
      <c r="F38" s="14">
        <f>E38</f>
        <v/>
      </c>
      <c r="G38" s="13">
        <f>IFERROR(변수!G18/G35,"")</f>
        <v/>
      </c>
      <c r="H38" s="13">
        <f>IFERROR(변수!H18/H35,"")</f>
        <v/>
      </c>
      <c r="I38" s="13">
        <f>IFERROR(변수!I18/I35,"")</f>
        <v/>
      </c>
      <c r="J38" s="13">
        <f>IFERROR(변수!J18/J35,"")</f>
        <v/>
      </c>
      <c r="K38" s="14">
        <f>J38</f>
        <v/>
      </c>
      <c r="L38" s="13">
        <f>IFERROR(변수!L18/L35,"")</f>
        <v/>
      </c>
      <c r="M38" s="13">
        <f>IFERROR(변수!M18/M35,"")</f>
        <v/>
      </c>
      <c r="N38" s="13">
        <f>IFERROR(변수!N18/N35,"")</f>
        <v/>
      </c>
      <c r="O38" s="13">
        <f>IFERROR(변수!O18/O35,"")</f>
        <v/>
      </c>
      <c r="P38" s="14">
        <f>O38</f>
        <v/>
      </c>
      <c r="Q38" s="13">
        <f>IFERROR(변수!Q18/Q35,"")</f>
        <v/>
      </c>
      <c r="R38" s="15">
        <f>IFERROR(변수!R18/R35,"")</f>
        <v/>
      </c>
      <c r="S38" s="39">
        <f>IFERROR(변수!$D$44/S35,"")</f>
        <v/>
      </c>
      <c r="T38" s="39">
        <f>IFERROR(변수!$D$44/T35,"")</f>
        <v/>
      </c>
      <c r="U38" s="40">
        <f>T38</f>
        <v/>
      </c>
      <c r="V38" s="39">
        <f>IFERROR(변수!$D$44/V35,"")</f>
        <v/>
      </c>
      <c r="W38" s="39">
        <f>IFERROR(변수!$D$44/W35,"")</f>
        <v/>
      </c>
      <c r="X38" s="39">
        <f>IFERROR(변수!$D$44/X35,"")</f>
        <v/>
      </c>
      <c r="Y38" s="39">
        <f>IFERROR(변수!$D$44/Y35,"")</f>
        <v/>
      </c>
      <c r="Z38" s="40">
        <f>Y38</f>
        <v/>
      </c>
      <c r="AA38" s="39">
        <f>IFERROR(변수!$D$44/AA35,"")</f>
        <v/>
      </c>
      <c r="AB38" s="39">
        <f>IFERROR(변수!$D$44/AB35,"")</f>
        <v/>
      </c>
      <c r="AC38" s="39">
        <f>IFERROR(변수!$D$44/AC35,"")</f>
        <v/>
      </c>
      <c r="AD38" s="39">
        <f>IFERROR(변수!$D$44/AD35,"")</f>
        <v/>
      </c>
      <c r="AE38" s="40">
        <f>AD38</f>
        <v/>
      </c>
    </row>
    <row r="39">
      <c r="A39" s="12" t="inlineStr">
        <is>
          <t>매출전사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전사(부문 미분리)</t>
        </is>
      </c>
      <c r="E39" s="18" t="n">
        <v>112.71</v>
      </c>
      <c r="F39" s="37" t="n"/>
      <c r="G39" s="18" t="n">
        <v>118.74</v>
      </c>
      <c r="H39" s="18" t="n">
        <v>131.3</v>
      </c>
      <c r="I39" s="18" t="n">
        <v>112</v>
      </c>
      <c r="J39" s="18" t="n">
        <v>123.37</v>
      </c>
      <c r="K39" s="37">
        <f>SUM(G39:J39)</f>
        <v/>
      </c>
      <c r="L39" s="18" t="n">
        <v>131.11</v>
      </c>
      <c r="M39" s="18" t="n">
        <v>154.99</v>
      </c>
      <c r="N39" s="18" t="n">
        <v>161.96</v>
      </c>
      <c r="O39" s="18" t="n">
        <v>184.1</v>
      </c>
      <c r="P39" s="37">
        <f>SUM(L39:O39)</f>
        <v/>
      </c>
      <c r="Q39" s="18" t="n">
        <v>223.81</v>
      </c>
      <c r="R39" s="19" t="n">
        <v>236.45</v>
      </c>
      <c r="S39" s="20">
        <f>IFERROR(S5,"")</f>
        <v/>
      </c>
      <c r="T39" s="20">
        <f>IFERROR(T5,"")</f>
        <v/>
      </c>
      <c r="U39" s="38">
        <f>SUM(Q39:T39)</f>
        <v/>
      </c>
      <c r="V39" s="20">
        <f>IFERROR(V5,"")</f>
        <v/>
      </c>
      <c r="W39" s="20">
        <f>IFERROR(W5,"")</f>
        <v/>
      </c>
      <c r="X39" s="20">
        <f>IFERROR(X5,"")</f>
        <v/>
      </c>
      <c r="Y39" s="20">
        <f>IFERROR(Y5,"")</f>
        <v/>
      </c>
      <c r="Z39" s="38">
        <f>SUM(V39:Y39)</f>
        <v/>
      </c>
      <c r="AA39" s="20">
        <f>IFERROR(AA5,"")</f>
        <v/>
      </c>
      <c r="AB39" s="20">
        <f>IFERROR(AB5,"")</f>
        <v/>
      </c>
      <c r="AC39" s="20">
        <f>IFERROR(AC5,"")</f>
        <v/>
      </c>
      <c r="AD39" s="20">
        <f>IFERROR(AD5,"")</f>
        <v/>
      </c>
      <c r="AE39" s="38">
        <f>SUM(AA39:AD39)</f>
        <v/>
      </c>
    </row>
    <row r="40">
      <c r="A40" s="12" t="inlineStr">
        <is>
          <t>OP전사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전사(부문 미분리)</t>
        </is>
      </c>
      <c r="E40" s="18" t="n">
        <v>4.51</v>
      </c>
      <c r="F40" s="37" t="n"/>
      <c r="G40" s="18" t="n">
        <v>13.75</v>
      </c>
      <c r="H40" s="18" t="n">
        <v>17.48</v>
      </c>
      <c r="I40" s="18" t="n">
        <v>7.89</v>
      </c>
      <c r="J40" s="18" t="n">
        <v>10.12</v>
      </c>
      <c r="K40" s="37">
        <f>SUM(G40:J40)</f>
        <v/>
      </c>
      <c r="L40" s="18" t="n">
        <v>16.82</v>
      </c>
      <c r="M40" s="18" t="n">
        <v>26.53</v>
      </c>
      <c r="N40" s="18" t="n">
        <v>25.93</v>
      </c>
      <c r="O40" s="18" t="n">
        <v>28.23</v>
      </c>
      <c r="P40" s="37">
        <f>SUM(L40:O40)</f>
        <v/>
      </c>
      <c r="Q40" s="18" t="n">
        <v>62.05</v>
      </c>
      <c r="R40" s="19" t="n">
        <v>56.03</v>
      </c>
      <c r="S40" s="20">
        <f>IFERROR(S9,"")</f>
        <v/>
      </c>
      <c r="T40" s="20">
        <f>IFERROR(T9,"")</f>
        <v/>
      </c>
      <c r="U40" s="38">
        <f>SUM(Q40:T40)</f>
        <v/>
      </c>
      <c r="V40" s="20">
        <f>IFERROR(V9,"")</f>
        <v/>
      </c>
      <c r="W40" s="20">
        <f>IFERROR(W9,"")</f>
        <v/>
      </c>
      <c r="X40" s="20">
        <f>IFERROR(X9,"")</f>
        <v/>
      </c>
      <c r="Y40" s="20">
        <f>IFERROR(Y9,"")</f>
        <v/>
      </c>
      <c r="Z40" s="38">
        <f>SUM(V40:Y40)</f>
        <v/>
      </c>
      <c r="AA40" s="20">
        <f>IFERROR(AA9,"")</f>
        <v/>
      </c>
      <c r="AB40" s="20">
        <f>IFERROR(AB9,"")</f>
        <v/>
      </c>
      <c r="AC40" s="20">
        <f>IFERROR(AC9,"")</f>
        <v/>
      </c>
      <c r="AD40" s="20">
        <f>IFERROR(AD9,"")</f>
        <v/>
      </c>
      <c r="AE40" s="38">
        <f>SUM(AA40:AD40)</f>
        <v/>
      </c>
    </row>
    <row r="41">
      <c r="B41" s="2" t="inlineStr">
        <is>
          <t>비율(참고)</t>
        </is>
      </c>
      <c r="F41" s="9" t="n"/>
      <c r="K41" s="9" t="n"/>
      <c r="P41" s="9" t="n"/>
      <c r="R41" s="5" t="n"/>
      <c r="S41" s="10" t="n"/>
      <c r="T41" s="10" t="n"/>
      <c r="U41" s="11" t="n"/>
      <c r="V41" s="10" t="n"/>
      <c r="W41" s="10" t="n"/>
      <c r="X41" s="10" t="n"/>
      <c r="Y41" s="10" t="n"/>
      <c r="Z41" s="11" t="n"/>
      <c r="AA41" s="10" t="n"/>
      <c r="AB41" s="10" t="n"/>
      <c r="AC41" s="10" t="n"/>
      <c r="AD41" s="10" t="n"/>
      <c r="AE41" s="11" t="n"/>
    </row>
    <row r="42">
      <c r="A42" s="12" t="inlineStr">
        <is>
          <t>NPM</t>
        </is>
      </c>
      <c r="C42" t="inlineStr">
        <is>
          <t>%</t>
        </is>
      </c>
      <c r="D42" t="inlineStr">
        <is>
          <t>지배주주순이익 / 매출액</t>
        </is>
      </c>
      <c r="E42" s="21">
        <f>IFERROR(E20/E5,"")</f>
        <v/>
      </c>
      <c r="F42" s="22">
        <f>IFERROR(F20/F5,"")</f>
        <v/>
      </c>
      <c r="G42" s="21">
        <f>IFERROR(G20/G5,"")</f>
        <v/>
      </c>
      <c r="H42" s="21">
        <f>IFERROR(H20/H5,"")</f>
        <v/>
      </c>
      <c r="I42" s="21">
        <f>IFERROR(I20/I5,"")</f>
        <v/>
      </c>
      <c r="J42" s="21">
        <f>IFERROR(J20/J5,"")</f>
        <v/>
      </c>
      <c r="K42" s="22">
        <f>IFERROR(K20/K5,"")</f>
        <v/>
      </c>
      <c r="L42" s="21">
        <f>IFERROR(L20/L5,"")</f>
        <v/>
      </c>
      <c r="M42" s="21">
        <f>IFERROR(M20/M5,"")</f>
        <v/>
      </c>
      <c r="N42" s="21">
        <f>IFERROR(N20/N5,"")</f>
        <v/>
      </c>
      <c r="O42" s="21">
        <f>IFERROR(O20/O5,"")</f>
        <v/>
      </c>
      <c r="P42" s="22">
        <f>IFERROR(P20/P5,"")</f>
        <v/>
      </c>
      <c r="Q42" s="21">
        <f>IFERROR(Q20/Q5,"")</f>
        <v/>
      </c>
      <c r="R42" s="23">
        <f>IFERROR(R20/R5,"")</f>
        <v/>
      </c>
      <c r="S42" s="32">
        <f>IFERROR(S20/S5,"")</f>
        <v/>
      </c>
      <c r="T42" s="32">
        <f>IFERROR(T20/T5,"")</f>
        <v/>
      </c>
      <c r="U42" s="25">
        <f>IFERROR(U20/U5,"")</f>
        <v/>
      </c>
      <c r="V42" s="32">
        <f>IFERROR(V20/V5,"")</f>
        <v/>
      </c>
      <c r="W42" s="32">
        <f>IFERROR(W20/W5,"")</f>
        <v/>
      </c>
      <c r="X42" s="32">
        <f>IFERROR(X20/X5,"")</f>
        <v/>
      </c>
      <c r="Y42" s="32">
        <f>IFERROR(Y20/Y5,"")</f>
        <v/>
      </c>
      <c r="Z42" s="25">
        <f>IFERROR(Z20/Z5,"")</f>
        <v/>
      </c>
      <c r="AA42" s="32">
        <f>IFERROR(AA20/AA5,"")</f>
        <v/>
      </c>
      <c r="AB42" s="32">
        <f>IFERROR(AB20/AB5,"")</f>
        <v/>
      </c>
      <c r="AC42" s="32">
        <f>IFERROR(AC20/AC5,"")</f>
        <v/>
      </c>
      <c r="AD42" s="32">
        <f>IFERROR(AD20/AD5,"")</f>
        <v/>
      </c>
      <c r="AE42" s="25">
        <f>IFERROR(AE20/AE5,"")</f>
        <v/>
      </c>
    </row>
    <row r="43">
      <c r="A43" s="12" t="inlineStr">
        <is>
          <t>매출원가율</t>
        </is>
      </c>
      <c r="C43" t="inlineStr">
        <is>
          <t>%</t>
        </is>
      </c>
      <c r="D43" t="inlineStr">
        <is>
          <t>매출원가 / 매출액</t>
        </is>
      </c>
      <c r="E43" s="21">
        <f>IFERROR(E6/E5,"")</f>
        <v/>
      </c>
      <c r="F43" s="22">
        <f>IFERROR(F6/F5,"")</f>
        <v/>
      </c>
      <c r="G43" s="21">
        <f>IFERROR(G6/G5,"")</f>
        <v/>
      </c>
      <c r="H43" s="21">
        <f>IFERROR(H6/H5,"")</f>
        <v/>
      </c>
      <c r="I43" s="21">
        <f>IFERROR(I6/I5,"")</f>
        <v/>
      </c>
      <c r="J43" s="21">
        <f>IFERROR(J6/J5,"")</f>
        <v/>
      </c>
      <c r="K43" s="22">
        <f>IFERROR(K6/K5,"")</f>
        <v/>
      </c>
      <c r="L43" s="21">
        <f>IFERROR(L6/L5,"")</f>
        <v/>
      </c>
      <c r="M43" s="21">
        <f>IFERROR(M6/M5,"")</f>
        <v/>
      </c>
      <c r="N43" s="21">
        <f>IFERROR(N6/N5,"")</f>
        <v/>
      </c>
      <c r="O43" s="21">
        <f>IFERROR(O6/O5,"")</f>
        <v/>
      </c>
      <c r="P43" s="22">
        <f>IFERROR(P6/P5,"")</f>
        <v/>
      </c>
      <c r="Q43" s="21">
        <f>IFERROR(Q6/Q5,"")</f>
        <v/>
      </c>
      <c r="R43" s="23">
        <f>IFERROR(R6/R5,"")</f>
        <v/>
      </c>
      <c r="S43" s="32">
        <f>IFERROR(S6/S5,"")</f>
        <v/>
      </c>
      <c r="T43" s="32">
        <f>IFERROR(T6/T5,"")</f>
        <v/>
      </c>
      <c r="U43" s="25">
        <f>IFERROR(U6/U5,"")</f>
        <v/>
      </c>
      <c r="V43" s="32">
        <f>IFERROR(V6/V5,"")</f>
        <v/>
      </c>
      <c r="W43" s="32">
        <f>IFERROR(W6/W5,"")</f>
        <v/>
      </c>
      <c r="X43" s="32">
        <f>IFERROR(X6/X5,"")</f>
        <v/>
      </c>
      <c r="Y43" s="32">
        <f>IFERROR(Y6/Y5,"")</f>
        <v/>
      </c>
      <c r="Z43" s="25">
        <f>IFERROR(Z6/Z5,"")</f>
        <v/>
      </c>
      <c r="AA43" s="32">
        <f>IFERROR(AA6/AA5,"")</f>
        <v/>
      </c>
      <c r="AB43" s="32">
        <f>IFERROR(AB6/AB5,"")</f>
        <v/>
      </c>
      <c r="AC43" s="32">
        <f>IFERROR(AC6/AC5,"")</f>
        <v/>
      </c>
      <c r="AD43" s="32">
        <f>IFERROR(AD6/AD5,"")</f>
        <v/>
      </c>
      <c r="AE43" s="25">
        <f>IFERROR(AE6/AE5,"")</f>
        <v/>
      </c>
    </row>
    <row r="44">
      <c r="A44" s="12" t="inlineStr">
        <is>
          <t>판관비율</t>
        </is>
      </c>
      <c r="C44" t="inlineStr">
        <is>
          <t>%</t>
        </is>
      </c>
      <c r="D44" t="inlineStr">
        <is>
          <t>판관비 / 매출액</t>
        </is>
      </c>
      <c r="E44" s="21">
        <f>IFERROR(E8/E5,"")</f>
        <v/>
      </c>
      <c r="F44" s="22">
        <f>IFERROR(F8/F5,"")</f>
        <v/>
      </c>
      <c r="G44" s="21">
        <f>IFERROR(G8/G5,"")</f>
        <v/>
      </c>
      <c r="H44" s="21">
        <f>IFERROR(H8/H5,"")</f>
        <v/>
      </c>
      <c r="I44" s="21">
        <f>IFERROR(I8/I5,"")</f>
        <v/>
      </c>
      <c r="J44" s="21">
        <f>IFERROR(J8/J5,"")</f>
        <v/>
      </c>
      <c r="K44" s="22">
        <f>IFERROR(K8/K5,"")</f>
        <v/>
      </c>
      <c r="L44" s="21">
        <f>IFERROR(L8/L5,"")</f>
        <v/>
      </c>
      <c r="M44" s="21">
        <f>IFERROR(M8/M5,"")</f>
        <v/>
      </c>
      <c r="N44" s="21">
        <f>IFERROR(N8/N5,"")</f>
        <v/>
      </c>
      <c r="O44" s="21">
        <f>IFERROR(O8/O5,"")</f>
        <v/>
      </c>
      <c r="P44" s="22">
        <f>IFERROR(P8/P5,"")</f>
        <v/>
      </c>
      <c r="Q44" s="21">
        <f>IFERROR(Q8/Q5,"")</f>
        <v/>
      </c>
      <c r="R44" s="23">
        <f>IFERROR(R8/R5,"")</f>
        <v/>
      </c>
      <c r="S44" s="32">
        <f>IFERROR(S8/S5,"")</f>
        <v/>
      </c>
      <c r="T44" s="32">
        <f>IFERROR(T8/T5,"")</f>
        <v/>
      </c>
      <c r="U44" s="25">
        <f>IFERROR(U8/U5,"")</f>
        <v/>
      </c>
      <c r="V44" s="32">
        <f>IFERROR(V8/V5,"")</f>
        <v/>
      </c>
      <c r="W44" s="32">
        <f>IFERROR(W8/W5,"")</f>
        <v/>
      </c>
      <c r="X44" s="32">
        <f>IFERROR(X8/X5,"")</f>
        <v/>
      </c>
      <c r="Y44" s="32">
        <f>IFERROR(Y8/Y5,"")</f>
        <v/>
      </c>
      <c r="Z44" s="25">
        <f>IFERROR(Z8/Z5,"")</f>
        <v/>
      </c>
      <c r="AA44" s="32">
        <f>IFERROR(AA8/AA5,"")</f>
        <v/>
      </c>
      <c r="AB44" s="32">
        <f>IFERROR(AB8/AB5,"")</f>
        <v/>
      </c>
      <c r="AC44" s="32">
        <f>IFERROR(AC8/AC5,"")</f>
        <v/>
      </c>
      <c r="AD44" s="32">
        <f>IFERROR(AD8/AD5,"")</f>
        <v/>
      </c>
      <c r="AE44" s="25">
        <f>IFERROR(AE8/AE5,"")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C1" s="2" t="inlineStr">
        <is>
          <t>이름: 분기H — subQ 를 이름으로 VLOOKUP(억원)</t>
        </is>
      </c>
      <c r="E1" s="3" t="inlineStr">
        <is>
          <t>4Q23</t>
        </is>
      </c>
      <c r="F1" s="3" t="inlineStr">
        <is>
          <t>1Q24</t>
        </is>
      </c>
      <c r="G1" s="3" t="inlineStr">
        <is>
          <t>2Q24</t>
        </is>
      </c>
      <c r="H1" s="3" t="inlineStr">
        <is>
          <t>3Q24</t>
        </is>
      </c>
      <c r="I1" s="3" t="inlineStr">
        <is>
          <t>4Q24</t>
        </is>
      </c>
      <c r="J1" s="3" t="inlineStr">
        <is>
          <t>1Q25</t>
        </is>
      </c>
      <c r="K1" s="3" t="inlineStr">
        <is>
          <t>2Q25</t>
        </is>
      </c>
      <c r="L1" s="3" t="inlineStr">
        <is>
          <t>3Q25</t>
        </is>
      </c>
      <c r="M1" s="3" t="inlineStr">
        <is>
          <t>4Q25</t>
        </is>
      </c>
      <c r="N1" s="3" t="inlineStr">
        <is>
          <t>1Q26</t>
        </is>
      </c>
      <c r="O1" s="41" t="inlineStr">
        <is>
          <t>2Q26</t>
        </is>
      </c>
      <c r="P1" s="3" t="inlineStr">
        <is>
          <t>3Q26</t>
        </is>
      </c>
      <c r="Q1" s="3" t="inlineStr">
        <is>
          <t>4Q26</t>
        </is>
      </c>
      <c r="R1" s="3" t="inlineStr">
        <is>
          <t>1Q27</t>
        </is>
      </c>
      <c r="S1" s="3" t="inlineStr">
        <is>
          <t>2Q27</t>
        </is>
      </c>
      <c r="T1" s="3" t="inlineStr">
        <is>
          <t>3Q27</t>
        </is>
      </c>
      <c r="U1" s="3" t="inlineStr">
        <is>
          <t>4Q27</t>
        </is>
      </c>
      <c r="V1" s="3" t="inlineStr">
        <is>
          <t>1Q28</t>
        </is>
      </c>
      <c r="W1" s="3" t="inlineStr">
        <is>
          <t>2Q28</t>
        </is>
      </c>
      <c r="X1" s="3" t="inlineStr">
        <is>
          <t>3Q28</t>
        </is>
      </c>
      <c r="Y1" s="3" t="inlineStr">
        <is>
          <t>4Q28</t>
        </is>
      </c>
    </row>
    <row r="2">
      <c r="C2" t="inlineStr">
        <is>
          <t>종가:</t>
        </is>
      </c>
      <c r="D2" s="18">
        <f>변수!D44</f>
        <v/>
      </c>
      <c r="O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43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</row>
    <row r="4">
      <c r="E4" s="7" t="inlineStr">
        <is>
          <t>2023.12</t>
        </is>
      </c>
      <c r="F4" s="7" t="inlineStr">
        <is>
          <t>2024.03</t>
        </is>
      </c>
      <c r="G4" s="7" t="inlineStr">
        <is>
          <t>2024.06</t>
        </is>
      </c>
      <c r="H4" s="7" t="inlineStr">
        <is>
          <t>2024.09</t>
        </is>
      </c>
      <c r="I4" s="7" t="inlineStr">
        <is>
          <t>2024.12</t>
        </is>
      </c>
      <c r="J4" s="7" t="inlineStr">
        <is>
          <t>2025.03</t>
        </is>
      </c>
      <c r="K4" s="7" t="inlineStr">
        <is>
          <t>2025.06</t>
        </is>
      </c>
      <c r="L4" s="7" t="inlineStr">
        <is>
          <t>2025.09</t>
        </is>
      </c>
      <c r="M4" s="7" t="inlineStr">
        <is>
          <t>2025.12</t>
        </is>
      </c>
      <c r="N4" s="7" t="inlineStr">
        <is>
          <t>2026.03</t>
        </is>
      </c>
      <c r="O4" s="44" t="inlineStr">
        <is>
          <t>2026.06</t>
        </is>
      </c>
      <c r="P4" s="7" t="inlineStr">
        <is>
          <t>2026.09</t>
        </is>
      </c>
      <c r="Q4" s="7" t="inlineStr">
        <is>
          <t>2026.12</t>
        </is>
      </c>
      <c r="R4" s="7" t="inlineStr">
        <is>
          <t>2027.03</t>
        </is>
      </c>
      <c r="S4" s="7" t="inlineStr">
        <is>
          <t>2027.06</t>
        </is>
      </c>
      <c r="T4" s="7" t="inlineStr">
        <is>
          <t>2027.09</t>
        </is>
      </c>
      <c r="U4" s="7" t="inlineStr">
        <is>
          <t>2027.12</t>
        </is>
      </c>
      <c r="V4" s="7" t="inlineStr">
        <is>
          <t>2028.03</t>
        </is>
      </c>
      <c r="W4" s="7" t="inlineStr">
        <is>
          <t>2028.06</t>
        </is>
      </c>
      <c r="X4" s="7" t="inlineStr">
        <is>
          <t>2028.09</t>
        </is>
      </c>
      <c r="Y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45">
        <f>IFERROR(VLOOKUP($A5,subQ,MATCH(O$1,SUBQH,0),0),"")</f>
        <v/>
      </c>
      <c r="P5" s="20">
        <f>IFERROR(VLOOKUP($A5,subQ,MATCH(P$1,SUBQH,0),0),"")</f>
        <v/>
      </c>
      <c r="Q5" s="20">
        <f>IFERROR(VLOOKUP($A5,subQ,MATCH(Q$1,SUBQH,0),0),"")</f>
        <v/>
      </c>
      <c r="R5" s="20">
        <f>IFERROR(VLOOKUP($A5,subQ,MATCH(R$1,SUBQH,0),0),"")</f>
        <v/>
      </c>
      <c r="S5" s="20">
        <f>IFERROR(VLOOKUP($A5,subQ,MATCH(S$1,SUBQH,0),0),"")</f>
        <v/>
      </c>
      <c r="T5" s="20">
        <f>IFERROR(VLOOKUP($A5,subQ,MATCH(T$1,SUBQH,0),0),"")</f>
        <v/>
      </c>
      <c r="U5" s="20">
        <f>IFERROR(VLOOKUP($A5,subQ,MATCH(U$1,SUBQH,0),0),"")</f>
        <v/>
      </c>
      <c r="V5" s="20">
        <f>IFERROR(VLOOKUP($A5,subQ,MATCH(V$1,SUBQH,0),0),"")</f>
        <v/>
      </c>
      <c r="W5" s="20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45">
        <f>IFERROR(VLOOKUP($A6,subQ,MATCH(O$1,SUBQH,0),0),"")</f>
        <v/>
      </c>
      <c r="P6" s="20">
        <f>IFERROR(VLOOKUP($A6,subQ,MATCH(P$1,SUBQH,0),0),"")</f>
        <v/>
      </c>
      <c r="Q6" s="20">
        <f>IFERROR(VLOOKUP($A6,subQ,MATCH(Q$1,SUBQH,0),0),"")</f>
        <v/>
      </c>
      <c r="R6" s="20">
        <f>IFERROR(VLOOKUP($A6,subQ,MATCH(R$1,SUBQH,0),0),"")</f>
        <v/>
      </c>
      <c r="S6" s="20">
        <f>IFERROR(VLOOKUP($A6,subQ,MATCH(S$1,SUBQH,0),0),"")</f>
        <v/>
      </c>
      <c r="T6" s="20">
        <f>IFERROR(VLOOKUP($A6,subQ,MATCH(T$1,SUBQH,0),0),"")</f>
        <v/>
      </c>
      <c r="U6" s="20">
        <f>IFERROR(VLOOKUP($A6,subQ,MATCH(U$1,SUBQH,0),0),"")</f>
        <v/>
      </c>
      <c r="V6" s="20">
        <f>IFERROR(VLOOKUP($A6,subQ,MATCH(V$1,SUBQH,0),0),"")</f>
        <v/>
      </c>
      <c r="W6" s="20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45">
        <f>IFERROR(VLOOKUP($A7,subQ,MATCH(O$1,SUBQH,0),0),"")</f>
        <v/>
      </c>
      <c r="P7" s="20">
        <f>IFERROR(VLOOKUP($A7,subQ,MATCH(P$1,SUBQH,0),0),"")</f>
        <v/>
      </c>
      <c r="Q7" s="20">
        <f>IFERROR(VLOOKUP($A7,subQ,MATCH(Q$1,SUBQH,0),0),"")</f>
        <v/>
      </c>
      <c r="R7" s="20">
        <f>IFERROR(VLOOKUP($A7,subQ,MATCH(R$1,SUBQH,0),0),"")</f>
        <v/>
      </c>
      <c r="S7" s="20">
        <f>IFERROR(VLOOKUP($A7,subQ,MATCH(S$1,SUBQH,0),0),"")</f>
        <v/>
      </c>
      <c r="T7" s="20">
        <f>IFERROR(VLOOKUP($A7,subQ,MATCH(T$1,SUBQH,0),0),"")</f>
        <v/>
      </c>
      <c r="U7" s="20">
        <f>IFERROR(VLOOKUP($A7,subQ,MATCH(U$1,SUBQH,0),0),"")</f>
        <v/>
      </c>
      <c r="V7" s="20">
        <f>IFERROR(VLOOKUP($A7,subQ,MATCH(V$1,SUBQH,0),0),"")</f>
        <v/>
      </c>
      <c r="W7" s="20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45">
        <f>IFERROR(VLOOKUP($A8,subQ,MATCH(O$1,SUBQH,0),0),"")</f>
        <v/>
      </c>
      <c r="P8" s="20">
        <f>IFERROR(VLOOKUP($A8,subQ,MATCH(P$1,SUBQH,0),0),"")</f>
        <v/>
      </c>
      <c r="Q8" s="20">
        <f>IFERROR(VLOOKUP($A8,subQ,MATCH(Q$1,SUBQH,0),0),"")</f>
        <v/>
      </c>
      <c r="R8" s="20">
        <f>IFERROR(VLOOKUP($A8,subQ,MATCH(R$1,SUBQH,0),0),"")</f>
        <v/>
      </c>
      <c r="S8" s="20">
        <f>IFERROR(VLOOKUP($A8,subQ,MATCH(S$1,SUBQH,0),0),"")</f>
        <v/>
      </c>
      <c r="T8" s="20">
        <f>IFERROR(VLOOKUP($A8,subQ,MATCH(T$1,SUBQH,0),0),"")</f>
        <v/>
      </c>
      <c r="U8" s="20">
        <f>IFERROR(VLOOKUP($A8,subQ,MATCH(U$1,SUBQH,0),0),"")</f>
        <v/>
      </c>
      <c r="V8" s="20">
        <f>IFERROR(VLOOKUP($A8,subQ,MATCH(V$1,SUBQH,0),0),"")</f>
        <v/>
      </c>
      <c r="W8" s="20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45">
        <f>IFERROR(VLOOKUP($A9,subQ,MATCH(O$1,SUBQH,0),0),"")</f>
        <v/>
      </c>
      <c r="P9" s="20">
        <f>IFERROR(VLOOKUP($A9,subQ,MATCH(P$1,SUBQH,0),0),"")</f>
        <v/>
      </c>
      <c r="Q9" s="20">
        <f>IFERROR(VLOOKUP($A9,subQ,MATCH(Q$1,SUBQH,0),0),"")</f>
        <v/>
      </c>
      <c r="R9" s="20">
        <f>IFERROR(VLOOKUP($A9,subQ,MATCH(R$1,SUBQH,0),0),"")</f>
        <v/>
      </c>
      <c r="S9" s="20">
        <f>IFERROR(VLOOKUP($A9,subQ,MATCH(S$1,SUBQH,0),0),"")</f>
        <v/>
      </c>
      <c r="T9" s="20">
        <f>IFERROR(VLOOKUP($A9,subQ,MATCH(T$1,SUBQH,0),0),"")</f>
        <v/>
      </c>
      <c r="U9" s="20">
        <f>IFERROR(VLOOKUP($A9,subQ,MATCH(U$1,SUBQH,0),0),"")</f>
        <v/>
      </c>
      <c r="V9" s="20">
        <f>IFERROR(VLOOKUP($A9,subQ,MATCH(V$1,SUBQH,0),0),"")</f>
        <v/>
      </c>
      <c r="W9" s="20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46">
        <f>IFERROR(VLOOKUP($A10,subQ,MATCH(O$1,SUBQH,0),0),"")</f>
        <v/>
      </c>
      <c r="P10" s="32">
        <f>IFERROR(VLOOKUP($A10,subQ,MATCH(P$1,SUBQH,0),0),"")</f>
        <v/>
      </c>
      <c r="Q10" s="32">
        <f>IFERROR(VLOOKUP($A10,subQ,MATCH(Q$1,SUBQH,0),0),"")</f>
        <v/>
      </c>
      <c r="R10" s="32">
        <f>IFERROR(VLOOKUP($A10,subQ,MATCH(R$1,SUBQH,0),0),"")</f>
        <v/>
      </c>
      <c r="S10" s="32">
        <f>IFERROR(VLOOKUP($A10,subQ,MATCH(S$1,SUBQH,0),0),"")</f>
        <v/>
      </c>
      <c r="T10" s="32">
        <f>IFERROR(VLOOKUP($A10,subQ,MATCH(T$1,SUBQH,0),0),"")</f>
        <v/>
      </c>
      <c r="U10" s="32">
        <f>IFERROR(VLOOKUP($A10,subQ,MATCH(U$1,SUBQH,0),0),"")</f>
        <v/>
      </c>
      <c r="V10" s="32">
        <f>IFERROR(VLOOKUP($A10,subQ,MATCH(V$1,SUBQH,0),0),"")</f>
        <v/>
      </c>
      <c r="W10" s="32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45">
        <f>IFERROR(VLOOKUP($A11,subQ,MATCH(O$1,SUBQH,0),0),"")</f>
        <v/>
      </c>
      <c r="P11" s="20">
        <f>IFERROR(VLOOKUP($A11,subQ,MATCH(P$1,SUBQH,0),0),"")</f>
        <v/>
      </c>
      <c r="Q11" s="20">
        <f>IFERROR(VLOOKUP($A11,subQ,MATCH(Q$1,SUBQH,0),0),"")</f>
        <v/>
      </c>
      <c r="R11" s="20">
        <f>IFERROR(VLOOKUP($A11,subQ,MATCH(R$1,SUBQH,0),0),"")</f>
        <v/>
      </c>
      <c r="S11" s="20">
        <f>IFERROR(VLOOKUP($A11,subQ,MATCH(S$1,SUBQH,0),0),"")</f>
        <v/>
      </c>
      <c r="T11" s="20">
        <f>IFERROR(VLOOKUP($A11,subQ,MATCH(T$1,SUBQH,0),0),"")</f>
        <v/>
      </c>
      <c r="U11" s="20">
        <f>IFERROR(VLOOKUP($A11,subQ,MATCH(U$1,SUBQH,0),0),"")</f>
        <v/>
      </c>
      <c r="V11" s="20">
        <f>IFERROR(VLOOKUP($A11,subQ,MATCH(V$1,SUBQH,0),0),"")</f>
        <v/>
      </c>
      <c r="W11" s="20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45">
        <f>IFERROR(VLOOKUP($A12,subQ,MATCH(O$1,SUBQH,0),0),"")</f>
        <v/>
      </c>
      <c r="P12" s="20">
        <f>IFERROR(VLOOKUP($A12,subQ,MATCH(P$1,SUBQH,0),0),"")</f>
        <v/>
      </c>
      <c r="Q12" s="20">
        <f>IFERROR(VLOOKUP($A12,subQ,MATCH(Q$1,SUBQH,0),0),"")</f>
        <v/>
      </c>
      <c r="R12" s="20">
        <f>IFERROR(VLOOKUP($A12,subQ,MATCH(R$1,SUBQH,0),0),"")</f>
        <v/>
      </c>
      <c r="S12" s="20">
        <f>IFERROR(VLOOKUP($A12,subQ,MATCH(S$1,SUBQH,0),0),"")</f>
        <v/>
      </c>
      <c r="T12" s="20">
        <f>IFERROR(VLOOKUP($A12,subQ,MATCH(T$1,SUBQH,0),0),"")</f>
        <v/>
      </c>
      <c r="U12" s="20">
        <f>IFERROR(VLOOKUP($A12,subQ,MATCH(U$1,SUBQH,0),0),"")</f>
        <v/>
      </c>
      <c r="V12" s="20">
        <f>IFERROR(VLOOKUP($A12,subQ,MATCH(V$1,SUBQH,0),0),"")</f>
        <v/>
      </c>
      <c r="W12" s="20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45">
        <f>IFERROR(VLOOKUP($A13,subQ,MATCH(O$1,SUBQH,0),0),"")</f>
        <v/>
      </c>
      <c r="P13" s="20">
        <f>IFERROR(VLOOKUP($A13,subQ,MATCH(P$1,SUBQH,0),0),"")</f>
        <v/>
      </c>
      <c r="Q13" s="20">
        <f>IFERROR(VLOOKUP($A13,subQ,MATCH(Q$1,SUBQH,0),0),"")</f>
        <v/>
      </c>
      <c r="R13" s="20">
        <f>IFERROR(VLOOKUP($A13,subQ,MATCH(R$1,SUBQH,0),0),"")</f>
        <v/>
      </c>
      <c r="S13" s="20">
        <f>IFERROR(VLOOKUP($A13,subQ,MATCH(S$1,SUBQH,0),0),"")</f>
        <v/>
      </c>
      <c r="T13" s="20">
        <f>IFERROR(VLOOKUP($A13,subQ,MATCH(T$1,SUBQH,0),0),"")</f>
        <v/>
      </c>
      <c r="U13" s="20">
        <f>IFERROR(VLOOKUP($A13,subQ,MATCH(U$1,SUBQH,0),0),"")</f>
        <v/>
      </c>
      <c r="V13" s="20">
        <f>IFERROR(VLOOKUP($A13,subQ,MATCH(V$1,SUBQH,0),0),"")</f>
        <v/>
      </c>
      <c r="W13" s="20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45">
        <f>IFERROR(VLOOKUP($A14,subQ,MATCH(O$1,SUBQH,0),0),"")</f>
        <v/>
      </c>
      <c r="P14" s="20">
        <f>IFERROR(VLOOKUP($A14,subQ,MATCH(P$1,SUBQH,0),0),"")</f>
        <v/>
      </c>
      <c r="Q14" s="20">
        <f>IFERROR(VLOOKUP($A14,subQ,MATCH(Q$1,SUBQH,0),0),"")</f>
        <v/>
      </c>
      <c r="R14" s="20">
        <f>IFERROR(VLOOKUP($A14,subQ,MATCH(R$1,SUBQH,0),0),"")</f>
        <v/>
      </c>
      <c r="S14" s="20">
        <f>IFERROR(VLOOKUP($A14,subQ,MATCH(S$1,SUBQH,0),0),"")</f>
        <v/>
      </c>
      <c r="T14" s="20">
        <f>IFERROR(VLOOKUP($A14,subQ,MATCH(T$1,SUBQH,0),0),"")</f>
        <v/>
      </c>
      <c r="U14" s="20">
        <f>IFERROR(VLOOKUP($A14,subQ,MATCH(U$1,SUBQH,0),0),"")</f>
        <v/>
      </c>
      <c r="V14" s="20">
        <f>IFERROR(VLOOKUP($A14,subQ,MATCH(V$1,SUBQH,0),0),"")</f>
        <v/>
      </c>
      <c r="W14" s="20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45">
        <f>IFERROR(VLOOKUP($A15,subQ,MATCH(O$1,SUBQH,0),0),"")</f>
        <v/>
      </c>
      <c r="P15" s="20">
        <f>IFERROR(VLOOKUP($A15,subQ,MATCH(P$1,SUBQH,0),0),"")</f>
        <v/>
      </c>
      <c r="Q15" s="20">
        <f>IFERROR(VLOOKUP($A15,subQ,MATCH(Q$1,SUBQH,0),0),"")</f>
        <v/>
      </c>
      <c r="R15" s="20">
        <f>IFERROR(VLOOKUP($A15,subQ,MATCH(R$1,SUBQH,0),0),"")</f>
        <v/>
      </c>
      <c r="S15" s="20">
        <f>IFERROR(VLOOKUP($A15,subQ,MATCH(S$1,SUBQH,0),0),"")</f>
        <v/>
      </c>
      <c r="T15" s="20">
        <f>IFERROR(VLOOKUP($A15,subQ,MATCH(T$1,SUBQH,0),0),"")</f>
        <v/>
      </c>
      <c r="U15" s="20">
        <f>IFERROR(VLOOKUP($A15,subQ,MATCH(U$1,SUBQH,0),0),"")</f>
        <v/>
      </c>
      <c r="V15" s="20">
        <f>IFERROR(VLOOKUP($A15,subQ,MATCH(V$1,SUBQH,0),0),"")</f>
        <v/>
      </c>
      <c r="W15" s="20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45">
        <f>IFERROR(VLOOKUP($A16,subQ,MATCH(O$1,SUBQH,0),0),"")</f>
        <v/>
      </c>
      <c r="P16" s="20">
        <f>IFERROR(VLOOKUP($A16,subQ,MATCH(P$1,SUBQH,0),0),"")</f>
        <v/>
      </c>
      <c r="Q16" s="20">
        <f>IFERROR(VLOOKUP($A16,subQ,MATCH(Q$1,SUBQH,0),0),"")</f>
        <v/>
      </c>
      <c r="R16" s="20">
        <f>IFERROR(VLOOKUP($A16,subQ,MATCH(R$1,SUBQH,0),0),"")</f>
        <v/>
      </c>
      <c r="S16" s="20">
        <f>IFERROR(VLOOKUP($A16,subQ,MATCH(S$1,SUBQH,0),0),"")</f>
        <v/>
      </c>
      <c r="T16" s="20">
        <f>IFERROR(VLOOKUP($A16,subQ,MATCH(T$1,SUBQH,0),0),"")</f>
        <v/>
      </c>
      <c r="U16" s="20">
        <f>IFERROR(VLOOKUP($A16,subQ,MATCH(U$1,SUBQH,0),0),"")</f>
        <v/>
      </c>
      <c r="V16" s="20">
        <f>IFERROR(VLOOKUP($A16,subQ,MATCH(V$1,SUBQH,0),0),"")</f>
        <v/>
      </c>
      <c r="W16" s="20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45">
        <f>IFERROR(VLOOKUP($A17,subQ,MATCH(O$1,SUBQH,0),0),"")</f>
        <v/>
      </c>
      <c r="P17" s="20">
        <f>IFERROR(VLOOKUP($A17,subQ,MATCH(P$1,SUBQH,0),0),"")</f>
        <v/>
      </c>
      <c r="Q17" s="20">
        <f>IFERROR(VLOOKUP($A17,subQ,MATCH(Q$1,SUBQH,0),0),"")</f>
        <v/>
      </c>
      <c r="R17" s="20">
        <f>IFERROR(VLOOKUP($A17,subQ,MATCH(R$1,SUBQH,0),0),"")</f>
        <v/>
      </c>
      <c r="S17" s="20">
        <f>IFERROR(VLOOKUP($A17,subQ,MATCH(S$1,SUBQH,0),0),"")</f>
        <v/>
      </c>
      <c r="T17" s="20">
        <f>IFERROR(VLOOKUP($A17,subQ,MATCH(T$1,SUBQH,0),0),"")</f>
        <v/>
      </c>
      <c r="U17" s="20">
        <f>IFERROR(VLOOKUP($A17,subQ,MATCH(U$1,SUBQH,0),0),"")</f>
        <v/>
      </c>
      <c r="V17" s="20">
        <f>IFERROR(VLOOKUP($A17,subQ,MATCH(V$1,SUBQH,0),0),"")</f>
        <v/>
      </c>
      <c r="W17" s="20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45">
        <f>IFERROR(VLOOKUP($A18,subQ,MATCH(O$1,SUBQH,0),0),"")</f>
        <v/>
      </c>
      <c r="P18" s="20">
        <f>IFERROR(VLOOKUP($A18,subQ,MATCH(P$1,SUBQH,0),0),"")</f>
        <v/>
      </c>
      <c r="Q18" s="20">
        <f>IFERROR(VLOOKUP($A18,subQ,MATCH(Q$1,SUBQH,0),0),"")</f>
        <v/>
      </c>
      <c r="R18" s="20">
        <f>IFERROR(VLOOKUP($A18,subQ,MATCH(R$1,SUBQH,0),0),"")</f>
        <v/>
      </c>
      <c r="S18" s="20">
        <f>IFERROR(VLOOKUP($A18,subQ,MATCH(S$1,SUBQH,0),0),"")</f>
        <v/>
      </c>
      <c r="T18" s="20">
        <f>IFERROR(VLOOKUP($A18,subQ,MATCH(T$1,SUBQH,0),0),"")</f>
        <v/>
      </c>
      <c r="U18" s="20">
        <f>IFERROR(VLOOKUP($A18,subQ,MATCH(U$1,SUBQH,0),0),"")</f>
        <v/>
      </c>
      <c r="V18" s="20">
        <f>IFERROR(VLOOKUP($A18,subQ,MATCH(V$1,SUBQH,0),0),"")</f>
        <v/>
      </c>
      <c r="W18" s="20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45">
        <f>IFERROR(VLOOKUP($A19,subQ,MATCH(O$1,SUBQH,0),0),"")</f>
        <v/>
      </c>
      <c r="P19" s="20">
        <f>IFERROR(VLOOKUP($A19,subQ,MATCH(P$1,SUBQH,0),0),"")</f>
        <v/>
      </c>
      <c r="Q19" s="20">
        <f>IFERROR(VLOOKUP($A19,subQ,MATCH(Q$1,SUBQH,0),0),"")</f>
        <v/>
      </c>
      <c r="R19" s="20">
        <f>IFERROR(VLOOKUP($A19,subQ,MATCH(R$1,SUBQH,0),0),"")</f>
        <v/>
      </c>
      <c r="S19" s="20">
        <f>IFERROR(VLOOKUP($A19,subQ,MATCH(S$1,SUBQH,0),0),"")</f>
        <v/>
      </c>
      <c r="T19" s="20">
        <f>IFERROR(VLOOKUP($A19,subQ,MATCH(T$1,SUBQH,0),0),"")</f>
        <v/>
      </c>
      <c r="U19" s="20">
        <f>IFERROR(VLOOKUP($A19,subQ,MATCH(U$1,SUBQH,0),0),"")</f>
        <v/>
      </c>
      <c r="V19" s="20">
        <f>IFERROR(VLOOKUP($A19,subQ,MATCH(V$1,SUBQH,0),0),"")</f>
        <v/>
      </c>
      <c r="W19" s="20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45">
        <f>IFERROR(VLOOKUP($A20,subQ,MATCH(O$1,SUBQH,0),0),"")</f>
        <v/>
      </c>
      <c r="P20" s="20">
        <f>IFERROR(VLOOKUP($A20,subQ,MATCH(P$1,SUBQH,0),0),"")</f>
        <v/>
      </c>
      <c r="Q20" s="20">
        <f>IFERROR(VLOOKUP($A20,subQ,MATCH(Q$1,SUBQH,0),0),"")</f>
        <v/>
      </c>
      <c r="R20" s="20">
        <f>IFERROR(VLOOKUP($A20,subQ,MATCH(R$1,SUBQH,0),0),"")</f>
        <v/>
      </c>
      <c r="S20" s="20">
        <f>IFERROR(VLOOKUP($A20,subQ,MATCH(S$1,SUBQH,0),0),"")</f>
        <v/>
      </c>
      <c r="T20" s="20">
        <f>IFERROR(VLOOKUP($A20,subQ,MATCH(T$1,SUBQH,0),0),"")</f>
        <v/>
      </c>
      <c r="U20" s="20">
        <f>IFERROR(VLOOKUP($A20,subQ,MATCH(U$1,SUBQH,0),0),"")</f>
        <v/>
      </c>
      <c r="V20" s="20">
        <f>IFERROR(VLOOKUP($A20,subQ,MATCH(V$1,SUBQH,0),0),"")</f>
        <v/>
      </c>
      <c r="W20" s="20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</row>
    <row r="21">
      <c r="A21" s="12" t="inlineStr">
        <is>
          <t>감가상각비</t>
        </is>
      </c>
      <c r="D21" t="inlineStr">
        <is>
          <t>감가상각비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45">
        <f>IFERROR(VLOOKUP($A21,subQ,MATCH(O$1,SUBQH,0),0),"")</f>
        <v/>
      </c>
      <c r="P21" s="20">
        <f>IFERROR(VLOOKUP($A21,subQ,MATCH(P$1,SUBQH,0),0),"")</f>
        <v/>
      </c>
      <c r="Q21" s="20">
        <f>IFERROR(VLOOKUP($A21,subQ,MATCH(Q$1,SUBQH,0),0),"")</f>
        <v/>
      </c>
      <c r="R21" s="20">
        <f>IFERROR(VLOOKUP($A21,subQ,MATCH(R$1,SUBQH,0),0),"")</f>
        <v/>
      </c>
      <c r="S21" s="20">
        <f>IFERROR(VLOOKUP($A21,subQ,MATCH(S$1,SUBQH,0),0),"")</f>
        <v/>
      </c>
      <c r="T21" s="20">
        <f>IFERROR(VLOOKUP($A21,subQ,MATCH(T$1,SUBQH,0),0),"")</f>
        <v/>
      </c>
      <c r="U21" s="20">
        <f>IFERROR(VLOOKUP($A21,subQ,MATCH(U$1,SUBQH,0),0),"")</f>
        <v/>
      </c>
      <c r="V21" s="20">
        <f>IFERROR(VLOOKUP($A21,subQ,MATCH(V$1,SUBQH,0),0),"")</f>
        <v/>
      </c>
      <c r="W21" s="20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</row>
    <row r="22">
      <c r="A22" s="12" t="inlineStr">
        <is>
          <t>EBITDA</t>
        </is>
      </c>
      <c r="D22" t="inlineStr">
        <is>
          <t>EBITDA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45">
        <f>IFERROR(VLOOKUP($A22,subQ,MATCH(O$1,SUBQH,0),0),"")</f>
        <v/>
      </c>
      <c r="P22" s="20">
        <f>IFERROR(VLOOKUP($A22,subQ,MATCH(P$1,SUBQH,0),0),"")</f>
        <v/>
      </c>
      <c r="Q22" s="20">
        <f>IFERROR(VLOOKUP($A22,subQ,MATCH(Q$1,SUBQH,0),0),"")</f>
        <v/>
      </c>
      <c r="R22" s="20">
        <f>IFERROR(VLOOKUP($A22,subQ,MATCH(R$1,SUBQH,0),0),"")</f>
        <v/>
      </c>
      <c r="S22" s="20">
        <f>IFERROR(VLOOKUP($A22,subQ,MATCH(S$1,SUBQH,0),0),"")</f>
        <v/>
      </c>
      <c r="T22" s="20">
        <f>IFERROR(VLOOKUP($A22,subQ,MATCH(T$1,SUBQH,0),0),"")</f>
        <v/>
      </c>
      <c r="U22" s="20">
        <f>IFERROR(VLOOKUP($A22,subQ,MATCH(U$1,SUBQH,0),0),"")</f>
        <v/>
      </c>
      <c r="V22" s="20">
        <f>IFERROR(VLOOKUP($A22,subQ,MATCH(V$1,SUBQH,0),0),"")</f>
        <v/>
      </c>
      <c r="W22" s="20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45">
        <f>IFERROR(VLOOKUP($A23,subQ,MATCH(O$1,SUBQH,0),0),"")</f>
        <v/>
      </c>
      <c r="P23" s="20">
        <f>IFERROR(VLOOKUP($A23,subQ,MATCH(P$1,SUBQH,0),0),"")</f>
        <v/>
      </c>
      <c r="Q23" s="20">
        <f>IFERROR(VLOOKUP($A23,subQ,MATCH(Q$1,SUBQH,0),0),"")</f>
        <v/>
      </c>
      <c r="R23" s="20">
        <f>IFERROR(VLOOKUP($A23,subQ,MATCH(R$1,SUBQH,0),0),"")</f>
        <v/>
      </c>
      <c r="S23" s="20">
        <f>IFERROR(VLOOKUP($A23,subQ,MATCH(S$1,SUBQH,0),0),"")</f>
        <v/>
      </c>
      <c r="T23" s="20">
        <f>IFERROR(VLOOKUP($A23,subQ,MATCH(T$1,SUBQH,0),0),"")</f>
        <v/>
      </c>
      <c r="U23" s="20">
        <f>IFERROR(VLOOKUP($A23,subQ,MATCH(U$1,SUBQH,0),0),"")</f>
        <v/>
      </c>
      <c r="V23" s="20">
        <f>IFERROR(VLOOKUP($A23,subQ,MATCH(V$1,SUBQH,0),0),"")</f>
        <v/>
      </c>
      <c r="W23" s="20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45">
        <f>IFERROR(VLOOKUP($A24,subQ,MATCH(O$1,SUBQH,0),0),"")</f>
        <v/>
      </c>
      <c r="P24" s="20">
        <f>IFERROR(VLOOKUP($A24,subQ,MATCH(P$1,SUBQH,0),0),"")</f>
        <v/>
      </c>
      <c r="Q24" s="20">
        <f>IFERROR(VLOOKUP($A24,subQ,MATCH(Q$1,SUBQH,0),0),"")</f>
        <v/>
      </c>
      <c r="R24" s="20">
        <f>IFERROR(VLOOKUP($A24,subQ,MATCH(R$1,SUBQH,0),0),"")</f>
        <v/>
      </c>
      <c r="S24" s="20">
        <f>IFERROR(VLOOKUP($A24,subQ,MATCH(S$1,SUBQH,0),0),"")</f>
        <v/>
      </c>
      <c r="T24" s="20">
        <f>IFERROR(VLOOKUP($A24,subQ,MATCH(T$1,SUBQH,0),0),"")</f>
        <v/>
      </c>
      <c r="U24" s="20">
        <f>IFERROR(VLOOKUP($A24,subQ,MATCH(U$1,SUBQH,0),0),"")</f>
        <v/>
      </c>
      <c r="V24" s="20">
        <f>IFERROR(VLOOKUP($A24,subQ,MATCH(V$1,SUBQH,0),0),"")</f>
        <v/>
      </c>
      <c r="W24" s="20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45">
        <f>IFERROR(VLOOKUP($A25,subQ,MATCH(O$1,SUBQH,0),0),"")</f>
        <v/>
      </c>
      <c r="P25" s="20">
        <f>IFERROR(VLOOKUP($A25,subQ,MATCH(P$1,SUBQH,0),0),"")</f>
        <v/>
      </c>
      <c r="Q25" s="20">
        <f>IFERROR(VLOOKUP($A25,subQ,MATCH(Q$1,SUBQH,0),0),"")</f>
        <v/>
      </c>
      <c r="R25" s="20">
        <f>IFERROR(VLOOKUP($A25,subQ,MATCH(R$1,SUBQH,0),0),"")</f>
        <v/>
      </c>
      <c r="S25" s="20">
        <f>IFERROR(VLOOKUP($A25,subQ,MATCH(S$1,SUBQH,0),0),"")</f>
        <v/>
      </c>
      <c r="T25" s="20">
        <f>IFERROR(VLOOKUP($A25,subQ,MATCH(T$1,SUBQH,0),0),"")</f>
        <v/>
      </c>
      <c r="U25" s="20">
        <f>IFERROR(VLOOKUP($A25,subQ,MATCH(U$1,SUBQH,0),0),"")</f>
        <v/>
      </c>
      <c r="V25" s="20">
        <f>IFERROR(VLOOKUP($A25,subQ,MATCH(V$1,SUBQH,0),0),"")</f>
        <v/>
      </c>
      <c r="W25" s="20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45">
        <f>IFERROR(VLOOKUP($A26,subQ,MATCH(O$1,SUBQH,0),0),"")</f>
        <v/>
      </c>
      <c r="P26" s="20">
        <f>IFERROR(VLOOKUP($A26,subQ,MATCH(P$1,SUBQH,0),0),"")</f>
        <v/>
      </c>
      <c r="Q26" s="20">
        <f>IFERROR(VLOOKUP($A26,subQ,MATCH(Q$1,SUBQH,0),0),"")</f>
        <v/>
      </c>
      <c r="R26" s="20">
        <f>IFERROR(VLOOKUP($A26,subQ,MATCH(R$1,SUBQH,0),0),"")</f>
        <v/>
      </c>
      <c r="S26" s="20">
        <f>IFERROR(VLOOKUP($A26,subQ,MATCH(S$1,SUBQH,0),0),"")</f>
        <v/>
      </c>
      <c r="T26" s="20">
        <f>IFERROR(VLOOKUP($A26,subQ,MATCH(T$1,SUBQH,0),0),"")</f>
        <v/>
      </c>
      <c r="U26" s="20">
        <f>IFERROR(VLOOKUP($A26,subQ,MATCH(U$1,SUBQH,0),0),"")</f>
        <v/>
      </c>
      <c r="V26" s="20">
        <f>IFERROR(VLOOKUP($A26,subQ,MATCH(V$1,SUBQH,0),0),"")</f>
        <v/>
      </c>
      <c r="W26" s="20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45">
        <f>IFERROR(VLOOKUP($A27,subQ,MATCH(O$1,SUBQH,0),0),"")</f>
        <v/>
      </c>
      <c r="P27" s="20">
        <f>IFERROR(VLOOKUP($A27,subQ,MATCH(P$1,SUBQH,0),0),"")</f>
        <v/>
      </c>
      <c r="Q27" s="20">
        <f>IFERROR(VLOOKUP($A27,subQ,MATCH(Q$1,SUBQH,0),0),"")</f>
        <v/>
      </c>
      <c r="R27" s="20">
        <f>IFERROR(VLOOKUP($A27,subQ,MATCH(R$1,SUBQH,0),0),"")</f>
        <v/>
      </c>
      <c r="S27" s="20">
        <f>IFERROR(VLOOKUP($A27,subQ,MATCH(S$1,SUBQH,0),0),"")</f>
        <v/>
      </c>
      <c r="T27" s="20">
        <f>IFERROR(VLOOKUP($A27,subQ,MATCH(T$1,SUBQH,0),0),"")</f>
        <v/>
      </c>
      <c r="U27" s="20">
        <f>IFERROR(VLOOKUP($A27,subQ,MATCH(U$1,SUBQH,0),0),"")</f>
        <v/>
      </c>
      <c r="V27" s="20">
        <f>IFERROR(VLOOKUP($A27,subQ,MATCH(V$1,SUBQH,0),0),"")</f>
        <v/>
      </c>
      <c r="W27" s="20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45">
        <f>IFERROR(VLOOKUP($A28,subQ,MATCH(O$1,SUBQH,0),0),"")</f>
        <v/>
      </c>
      <c r="P28" s="20">
        <f>IFERROR(VLOOKUP($A28,subQ,MATCH(P$1,SUBQH,0),0),"")</f>
        <v/>
      </c>
      <c r="Q28" s="20">
        <f>IFERROR(VLOOKUP($A28,subQ,MATCH(Q$1,SUBQH,0),0),"")</f>
        <v/>
      </c>
      <c r="R28" s="20">
        <f>IFERROR(VLOOKUP($A28,subQ,MATCH(R$1,SUBQH,0),0),"")</f>
        <v/>
      </c>
      <c r="S28" s="20">
        <f>IFERROR(VLOOKUP($A28,subQ,MATCH(S$1,SUBQH,0),0),"")</f>
        <v/>
      </c>
      <c r="T28" s="20">
        <f>IFERROR(VLOOKUP($A28,subQ,MATCH(T$1,SUBQH,0),0),"")</f>
        <v/>
      </c>
      <c r="U28" s="20">
        <f>IFERROR(VLOOKUP($A28,subQ,MATCH(U$1,SUBQH,0),0),"")</f>
        <v/>
      </c>
      <c r="V28" s="20">
        <f>IFERROR(VLOOKUP($A28,subQ,MATCH(V$1,SUBQH,0),0),"")</f>
        <v/>
      </c>
      <c r="W28" s="20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45">
        <f>IFERROR(VLOOKUP($A29,subQ,MATCH(O$1,SUBQH,0),0),"")</f>
        <v/>
      </c>
      <c r="P29" s="20">
        <f>IFERROR(VLOOKUP($A29,subQ,MATCH(P$1,SUBQH,0),0),"")</f>
        <v/>
      </c>
      <c r="Q29" s="20">
        <f>IFERROR(VLOOKUP($A29,subQ,MATCH(Q$1,SUBQH,0),0),"")</f>
        <v/>
      </c>
      <c r="R29" s="20">
        <f>IFERROR(VLOOKUP($A29,subQ,MATCH(R$1,SUBQH,0),0),"")</f>
        <v/>
      </c>
      <c r="S29" s="20">
        <f>IFERROR(VLOOKUP($A29,subQ,MATCH(S$1,SUBQH,0),0),"")</f>
        <v/>
      </c>
      <c r="T29" s="20">
        <f>IFERROR(VLOOKUP($A29,subQ,MATCH(T$1,SUBQH,0),0),"")</f>
        <v/>
      </c>
      <c r="U29" s="20">
        <f>IFERROR(VLOOKUP($A29,subQ,MATCH(U$1,SUBQH,0),0),"")</f>
        <v/>
      </c>
      <c r="V29" s="20">
        <f>IFERROR(VLOOKUP($A29,subQ,MATCH(V$1,SUBQH,0),0),"")</f>
        <v/>
      </c>
      <c r="W29" s="20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45">
        <f>IFERROR(VLOOKUP($A30,subQ,MATCH(O$1,SUBQH,0),0),"")</f>
        <v/>
      </c>
      <c r="P30" s="20">
        <f>IFERROR(VLOOKUP($A30,subQ,MATCH(P$1,SUBQH,0),0),"")</f>
        <v/>
      </c>
      <c r="Q30" s="20">
        <f>IFERROR(VLOOKUP($A30,subQ,MATCH(Q$1,SUBQH,0),0),"")</f>
        <v/>
      </c>
      <c r="R30" s="20">
        <f>IFERROR(VLOOKUP($A30,subQ,MATCH(R$1,SUBQH,0),0),"")</f>
        <v/>
      </c>
      <c r="S30" s="20">
        <f>IFERROR(VLOOKUP($A30,subQ,MATCH(S$1,SUBQH,0),0),"")</f>
        <v/>
      </c>
      <c r="T30" s="20">
        <f>IFERROR(VLOOKUP($A30,subQ,MATCH(T$1,SUBQH,0),0),"")</f>
        <v/>
      </c>
      <c r="U30" s="20">
        <f>IFERROR(VLOOKUP($A30,subQ,MATCH(U$1,SUBQH,0),0),"")</f>
        <v/>
      </c>
      <c r="V30" s="20">
        <f>IFERROR(VLOOKUP($A30,subQ,MATCH(V$1,SUBQH,0),0),"")</f>
        <v/>
      </c>
      <c r="W30" s="20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45">
        <f>IFERROR(VLOOKUP($A31,subQ,MATCH(O$1,SUBQH,0),0),"")</f>
        <v/>
      </c>
      <c r="P31" s="20">
        <f>IFERROR(VLOOKUP($A31,subQ,MATCH(P$1,SUBQH,0),0),"")</f>
        <v/>
      </c>
      <c r="Q31" s="20">
        <f>IFERROR(VLOOKUP($A31,subQ,MATCH(Q$1,SUBQH,0),0),"")</f>
        <v/>
      </c>
      <c r="R31" s="20">
        <f>IFERROR(VLOOKUP($A31,subQ,MATCH(R$1,SUBQH,0),0),"")</f>
        <v/>
      </c>
      <c r="S31" s="20">
        <f>IFERROR(VLOOKUP($A31,subQ,MATCH(S$1,SUBQH,0),0),"")</f>
        <v/>
      </c>
      <c r="T31" s="20">
        <f>IFERROR(VLOOKUP($A31,subQ,MATCH(T$1,SUBQH,0),0),"")</f>
        <v/>
      </c>
      <c r="U31" s="20">
        <f>IFERROR(VLOOKUP($A31,subQ,MATCH(U$1,SUBQH,0),0),"")</f>
        <v/>
      </c>
      <c r="V31" s="20">
        <f>IFERROR(VLOOKUP($A31,subQ,MATCH(V$1,SUBQH,0),0),"")</f>
        <v/>
      </c>
      <c r="W31" s="20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45">
        <f>IFERROR(VLOOKUP($A32,subQ,MATCH(O$1,SUBQH,0),0),"")</f>
        <v/>
      </c>
      <c r="P32" s="20">
        <f>IFERROR(VLOOKUP($A32,subQ,MATCH(P$1,SUBQH,0),0),"")</f>
        <v/>
      </c>
      <c r="Q32" s="20">
        <f>IFERROR(VLOOKUP($A32,subQ,MATCH(Q$1,SUBQH,0),0),"")</f>
        <v/>
      </c>
      <c r="R32" s="20">
        <f>IFERROR(VLOOKUP($A32,subQ,MATCH(R$1,SUBQH,0),0),"")</f>
        <v/>
      </c>
      <c r="S32" s="20">
        <f>IFERROR(VLOOKUP($A32,subQ,MATCH(S$1,SUBQH,0),0),"")</f>
        <v/>
      </c>
      <c r="T32" s="20">
        <f>IFERROR(VLOOKUP($A32,subQ,MATCH(T$1,SUBQH,0),0),"")</f>
        <v/>
      </c>
      <c r="U32" s="20">
        <f>IFERROR(VLOOKUP($A32,subQ,MATCH(U$1,SUBQH,0),0),"")</f>
        <v/>
      </c>
      <c r="V32" s="20">
        <f>IFERROR(VLOOKUP($A32,subQ,MATCH(V$1,SUBQH,0),0),"")</f>
        <v/>
      </c>
      <c r="W32" s="20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27">
        <f>IFERROR(VLOOKUP($A33,subQ,MATCH(I$1,SUBQH,0),0),"")</f>
        <v/>
      </c>
      <c r="J33" s="27">
        <f>IFERROR(VLOOKUP($A33,subQ,MATCH(J$1,SUBQH,0),0),"")</f>
        <v/>
      </c>
      <c r="K33" s="27">
        <f>IFERROR(VLOOKUP($A33,subQ,MATCH(K$1,SUBQH,0),0),"")</f>
        <v/>
      </c>
      <c r="L33" s="27">
        <f>IFERROR(VLOOKUP($A33,subQ,MATCH(L$1,SUBQH,0),0),"")</f>
        <v/>
      </c>
      <c r="M33" s="27">
        <f>IFERROR(VLOOKUP($A33,subQ,MATCH(M$1,SUBQH,0),0),"")</f>
        <v/>
      </c>
      <c r="N33" s="27">
        <f>IFERROR(VLOOKUP($A33,subQ,MATCH(N$1,SUBQH,0),0),"")</f>
        <v/>
      </c>
      <c r="O33" s="47">
        <f>IFERROR(VLOOKUP($A33,subQ,MATCH(O$1,SUBQH,0),0),"")</f>
        <v/>
      </c>
      <c r="P33" s="33">
        <f>IFERROR(VLOOKUP($A33,subQ,MATCH(P$1,SUBQH,0),0),"")</f>
        <v/>
      </c>
      <c r="Q33" s="33">
        <f>IFERROR(VLOOKUP($A33,subQ,MATCH(Q$1,SUBQH,0),0),"")</f>
        <v/>
      </c>
      <c r="R33" s="33">
        <f>IFERROR(VLOOKUP($A33,subQ,MATCH(R$1,SUBQH,0),0),"")</f>
        <v/>
      </c>
      <c r="S33" s="33">
        <f>IFERROR(VLOOKUP($A33,subQ,MATCH(S$1,SUBQH,0),0),"")</f>
        <v/>
      </c>
      <c r="T33" s="33">
        <f>IFERROR(VLOOKUP($A33,subQ,MATCH(T$1,SUBQH,0),0),"")</f>
        <v/>
      </c>
      <c r="U33" s="33">
        <f>IFERROR(VLOOKUP($A33,subQ,MATCH(U$1,SUBQH,0),0),"")</f>
        <v/>
      </c>
      <c r="V33" s="33">
        <f>IFERROR(VLOOKUP($A33,subQ,MATCH(V$1,SUBQH,0),0),"")</f>
        <v/>
      </c>
      <c r="W33" s="33">
        <f>IFERROR(VLOOKUP($A33,subQ,MATCH(W$1,SUBQH,0),0),"")</f>
        <v/>
      </c>
      <c r="X33" s="33">
        <f>IFERROR(VLOOKUP($A33,subQ,MATCH(X$1,SUBQH,0),0),"")</f>
        <v/>
      </c>
      <c r="Y33" s="33">
        <f>IFERROR(VLOOKUP($A33,subQ,MATCH(Y$1,SUBQH,0),0),"")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45">
        <f>IFERROR(VLOOKUP($A34,subQ,MATCH(O$1,SUBQH,0),0),"")</f>
        <v/>
      </c>
      <c r="P34" s="20">
        <f>IFERROR(VLOOKUP($A34,subQ,MATCH(P$1,SUBQH,0),0),"")</f>
        <v/>
      </c>
      <c r="Q34" s="20">
        <f>IFERROR(VLOOKUP($A34,subQ,MATCH(Q$1,SUBQH,0),0),"")</f>
        <v/>
      </c>
      <c r="R34" s="20">
        <f>IFERROR(VLOOKUP($A34,subQ,MATCH(R$1,SUBQH,0),0),"")</f>
        <v/>
      </c>
      <c r="S34" s="20">
        <f>IFERROR(VLOOKUP($A34,subQ,MATCH(S$1,SUBQH,0),0),"")</f>
        <v/>
      </c>
      <c r="T34" s="20">
        <f>IFERROR(VLOOKUP($A34,subQ,MATCH(T$1,SUBQH,0),0),"")</f>
        <v/>
      </c>
      <c r="U34" s="20">
        <f>IFERROR(VLOOKUP($A34,subQ,MATCH(U$1,SUBQH,0),0),"")</f>
        <v/>
      </c>
      <c r="V34" s="20">
        <f>IFERROR(VLOOKUP($A34,subQ,MATCH(V$1,SUBQH,0),0),"")</f>
        <v/>
      </c>
      <c r="W34" s="20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45">
        <f>IFERROR(VLOOKUP($A35,subQ,MATCH(O$1,SUBQH,0),0),"")</f>
        <v/>
      </c>
      <c r="P35" s="20">
        <f>IFERROR(VLOOKUP($A35,subQ,MATCH(P$1,SUBQH,0),0),"")</f>
        <v/>
      </c>
      <c r="Q35" s="20">
        <f>IFERROR(VLOOKUP($A35,subQ,MATCH(Q$1,SUBQH,0),0),"")</f>
        <v/>
      </c>
      <c r="R35" s="20">
        <f>IFERROR(VLOOKUP($A35,subQ,MATCH(R$1,SUBQH,0),0),"")</f>
        <v/>
      </c>
      <c r="S35" s="20">
        <f>IFERROR(VLOOKUP($A35,subQ,MATCH(S$1,SUBQH,0),0),"")</f>
        <v/>
      </c>
      <c r="T35" s="20">
        <f>IFERROR(VLOOKUP($A35,subQ,MATCH(T$1,SUBQH,0),0),"")</f>
        <v/>
      </c>
      <c r="U35" s="20">
        <f>IFERROR(VLOOKUP($A35,subQ,MATCH(U$1,SUBQH,0),0),"")</f>
        <v/>
      </c>
      <c r="V35" s="20">
        <f>IFERROR(VLOOKUP($A35,subQ,MATCH(V$1,SUBQH,0),0),"")</f>
        <v/>
      </c>
      <c r="W35" s="20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45">
        <f>IFERROR(VLOOKUP($A36,subQ,MATCH(O$1,SUBQH,0),0),"")</f>
        <v/>
      </c>
      <c r="P36" s="20">
        <f>IFERROR(VLOOKUP($A36,subQ,MATCH(P$1,SUBQH,0),0),"")</f>
        <v/>
      </c>
      <c r="Q36" s="20">
        <f>IFERROR(VLOOKUP($A36,subQ,MATCH(Q$1,SUBQH,0),0),"")</f>
        <v/>
      </c>
      <c r="R36" s="20">
        <f>IFERROR(VLOOKUP($A36,subQ,MATCH(R$1,SUBQH,0),0),"")</f>
        <v/>
      </c>
      <c r="S36" s="20">
        <f>IFERROR(VLOOKUP($A36,subQ,MATCH(S$1,SUBQH,0),0),"")</f>
        <v/>
      </c>
      <c r="T36" s="20">
        <f>IFERROR(VLOOKUP($A36,subQ,MATCH(T$1,SUBQH,0),0),"")</f>
        <v/>
      </c>
      <c r="U36" s="20">
        <f>IFERROR(VLOOKUP($A36,subQ,MATCH(U$1,SUBQH,0),0),"")</f>
        <v/>
      </c>
      <c r="V36" s="20">
        <f>IFERROR(VLOOKUP($A36,subQ,MATCH(V$1,SUBQH,0),0),"")</f>
        <v/>
      </c>
      <c r="W36" s="20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48">
        <f>IFERROR(VLOOKUP($A37,subQ,MATCH(O$1,SUBQH,0),0),"")</f>
        <v/>
      </c>
      <c r="P37" s="39">
        <f>IFERROR(VLOOKUP($A37,subQ,MATCH(P$1,SUBQH,0),0),"")</f>
        <v/>
      </c>
      <c r="Q37" s="39">
        <f>IFERROR(VLOOKUP($A37,subQ,MATCH(Q$1,SUBQH,0),0),"")</f>
        <v/>
      </c>
      <c r="R37" s="39">
        <f>IFERROR(VLOOKUP($A37,subQ,MATCH(R$1,SUBQH,0),0),"")</f>
        <v/>
      </c>
      <c r="S37" s="39">
        <f>IFERROR(VLOOKUP($A37,subQ,MATCH(S$1,SUBQH,0),0),"")</f>
        <v/>
      </c>
      <c r="T37" s="39">
        <f>IFERROR(VLOOKUP($A37,subQ,MATCH(T$1,SUBQH,0),0),"")</f>
        <v/>
      </c>
      <c r="U37" s="39">
        <f>IFERROR(VLOOKUP($A37,subQ,MATCH(U$1,SUBQH,0),0),"")</f>
        <v/>
      </c>
      <c r="V37" s="39">
        <f>IFERROR(VLOOKUP($A37,subQ,MATCH(V$1,SUBQH,0),0),"")</f>
        <v/>
      </c>
      <c r="W37" s="39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48">
        <f>IFERROR(VLOOKUP($A38,subQ,MATCH(O$1,SUBQH,0),0),"")</f>
        <v/>
      </c>
      <c r="P38" s="39">
        <f>IFERROR(VLOOKUP($A38,subQ,MATCH(P$1,SUBQH,0),0),"")</f>
        <v/>
      </c>
      <c r="Q38" s="39">
        <f>IFERROR(VLOOKUP($A38,subQ,MATCH(Q$1,SUBQH,0),0),"")</f>
        <v/>
      </c>
      <c r="R38" s="39">
        <f>IFERROR(VLOOKUP($A38,subQ,MATCH(R$1,SUBQH,0),0),"")</f>
        <v/>
      </c>
      <c r="S38" s="39">
        <f>IFERROR(VLOOKUP($A38,subQ,MATCH(S$1,SUBQH,0),0),"")</f>
        <v/>
      </c>
      <c r="T38" s="39">
        <f>IFERROR(VLOOKUP($A38,subQ,MATCH(T$1,SUBQH,0),0),"")</f>
        <v/>
      </c>
      <c r="U38" s="39">
        <f>IFERROR(VLOOKUP($A38,subQ,MATCH(U$1,SUBQH,0),0),"")</f>
        <v/>
      </c>
      <c r="V38" s="39">
        <f>IFERROR(VLOOKUP($A38,subQ,MATCH(V$1,SUBQH,0),0),"")</f>
        <v/>
      </c>
      <c r="W38" s="39">
        <f>IFERROR(VLOOKUP($A38,subQ,MATCH(W$1,SUBQH,0),0),"")</f>
        <v/>
      </c>
      <c r="X38" s="39">
        <f>IFERROR(VLOOKUP($A38,subQ,MATCH(X$1,SUBQH,0),0),"")</f>
        <v/>
      </c>
      <c r="Y38" s="39">
        <f>IFERROR(VLOOKUP($A38,subQ,MATCH(Y$1,SUBQH,0),0),"")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45">
        <f>IFERROR(VLOOKUP($A39,subQ,MATCH(O$1,SUBQH,0),0),"")</f>
        <v/>
      </c>
      <c r="P39" s="20">
        <f>IFERROR(VLOOKUP($A39,subQ,MATCH(P$1,SUBQH,0),0),"")</f>
        <v/>
      </c>
      <c r="Q39" s="20">
        <f>IFERROR(VLOOKUP($A39,subQ,MATCH(Q$1,SUBQH,0),0),"")</f>
        <v/>
      </c>
      <c r="R39" s="20">
        <f>IFERROR(VLOOKUP($A39,subQ,MATCH(R$1,SUBQH,0),0),"")</f>
        <v/>
      </c>
      <c r="S39" s="20">
        <f>IFERROR(VLOOKUP($A39,subQ,MATCH(S$1,SUBQH,0),0),"")</f>
        <v/>
      </c>
      <c r="T39" s="20">
        <f>IFERROR(VLOOKUP($A39,subQ,MATCH(T$1,SUBQH,0),0),"")</f>
        <v/>
      </c>
      <c r="U39" s="20">
        <f>IFERROR(VLOOKUP($A39,subQ,MATCH(U$1,SUBQH,0),0),"")</f>
        <v/>
      </c>
      <c r="V39" s="20">
        <f>IFERROR(VLOOKUP($A39,subQ,MATCH(V$1,SUBQH,0),0),"")</f>
        <v/>
      </c>
      <c r="W39" s="20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45">
        <f>IFERROR(VLOOKUP($A40,subQ,MATCH(O$1,SUBQH,0),0),"")</f>
        <v/>
      </c>
      <c r="P40" s="20">
        <f>IFERROR(VLOOKUP($A40,subQ,MATCH(P$1,SUBQH,0),0),"")</f>
        <v/>
      </c>
      <c r="Q40" s="20">
        <f>IFERROR(VLOOKUP($A40,subQ,MATCH(Q$1,SUBQH,0),0),"")</f>
        <v/>
      </c>
      <c r="R40" s="20">
        <f>IFERROR(VLOOKUP($A40,subQ,MATCH(R$1,SUBQH,0),0),"")</f>
        <v/>
      </c>
      <c r="S40" s="20">
        <f>IFERROR(VLOOKUP($A40,subQ,MATCH(S$1,SUBQH,0),0),"")</f>
        <v/>
      </c>
      <c r="T40" s="20">
        <f>IFERROR(VLOOKUP($A40,subQ,MATCH(T$1,SUBQH,0),0),"")</f>
        <v/>
      </c>
      <c r="U40" s="20">
        <f>IFERROR(VLOOKUP($A40,subQ,MATCH(U$1,SUBQH,0),0),"")</f>
        <v/>
      </c>
      <c r="V40" s="20">
        <f>IFERROR(VLOOKUP($A40,subQ,MATCH(V$1,SUBQH,0),0),"")</f>
        <v/>
      </c>
      <c r="W40" s="20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21">
        <f>IFERROR(VLOOKUP($A41,subQ,MATCH(I$1,SUBQH,0),0),"")</f>
        <v/>
      </c>
      <c r="J41" s="21">
        <f>IFERROR(VLOOKUP($A41,subQ,MATCH(J$1,SUBQH,0),0),"")</f>
        <v/>
      </c>
      <c r="K41" s="21">
        <f>IFERROR(VLOOKUP($A41,subQ,MATCH(K$1,SUBQH,0),0),"")</f>
        <v/>
      </c>
      <c r="L41" s="21">
        <f>IFERROR(VLOOKUP($A41,subQ,MATCH(L$1,SUBQH,0),0),"")</f>
        <v/>
      </c>
      <c r="M41" s="21">
        <f>IFERROR(VLOOKUP($A41,subQ,MATCH(M$1,SUBQH,0),0),"")</f>
        <v/>
      </c>
      <c r="N41" s="21">
        <f>IFERROR(VLOOKUP($A41,subQ,MATCH(N$1,SUBQH,0),0),"")</f>
        <v/>
      </c>
      <c r="O41" s="46">
        <f>IFERROR(VLOOKUP($A41,subQ,MATCH(O$1,SUBQH,0),0),"")</f>
        <v/>
      </c>
      <c r="P41" s="32">
        <f>IFERROR(VLOOKUP($A41,subQ,MATCH(P$1,SUBQH,0),0),"")</f>
        <v/>
      </c>
      <c r="Q41" s="32">
        <f>IFERROR(VLOOKUP($A41,subQ,MATCH(Q$1,SUBQH,0),0),"")</f>
        <v/>
      </c>
      <c r="R41" s="32">
        <f>IFERROR(VLOOKUP($A41,subQ,MATCH(R$1,SUBQH,0),0),"")</f>
        <v/>
      </c>
      <c r="S41" s="32">
        <f>IFERROR(VLOOKUP($A41,subQ,MATCH(S$1,SUBQH,0),0),"")</f>
        <v/>
      </c>
      <c r="T41" s="32">
        <f>IFERROR(VLOOKUP($A41,subQ,MATCH(T$1,SUBQH,0),0),"")</f>
        <v/>
      </c>
      <c r="U41" s="32">
        <f>IFERROR(VLOOKUP($A41,subQ,MATCH(U$1,SUBQH,0),0),"")</f>
        <v/>
      </c>
      <c r="V41" s="32">
        <f>IFERROR(VLOOKUP($A41,subQ,MATCH(V$1,SUBQH,0),0),"")</f>
        <v/>
      </c>
      <c r="W41" s="32">
        <f>IFERROR(VLOOKUP($A41,subQ,MATCH(W$1,SUBQH,0),0),"")</f>
        <v/>
      </c>
      <c r="X41" s="32">
        <f>IFERROR(VLOOKUP($A41,subQ,MATCH(X$1,SUBQH,0),0),"")</f>
        <v/>
      </c>
      <c r="Y41" s="32">
        <f>IFERROR(VLOOKUP($A41,subQ,MATCH(Y$1,SUBQH,0),0),"")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I42" s="21">
        <f>IFERROR(I5/E5-1,"")</f>
        <v/>
      </c>
      <c r="J42" s="21">
        <f>IFERROR(J5/F5-1,"")</f>
        <v/>
      </c>
      <c r="K42" s="21">
        <f>IFERROR(K5/G5-1,"")</f>
        <v/>
      </c>
      <c r="L42" s="21">
        <f>IFERROR(L5/H5-1,"")</f>
        <v/>
      </c>
      <c r="M42" s="21">
        <f>IFERROR(M5/I5-1,"")</f>
        <v/>
      </c>
      <c r="N42" s="21">
        <f>IFERROR(N5/J5-1,"")</f>
        <v/>
      </c>
      <c r="O42" s="46">
        <f>IFERROR(O5/K5-1,"")</f>
        <v/>
      </c>
      <c r="P42" s="32">
        <f>IFERROR(P5/L5-1,"")</f>
        <v/>
      </c>
      <c r="Q42" s="32">
        <f>IFERROR(Q5/M5-1,"")</f>
        <v/>
      </c>
      <c r="R42" s="32">
        <f>IFERROR(R5/N5-1,"")</f>
        <v/>
      </c>
      <c r="S42" s="32">
        <f>IFERROR(S5/O5-1,"")</f>
        <v/>
      </c>
      <c r="T42" s="32">
        <f>IFERROR(T5/P5-1,"")</f>
        <v/>
      </c>
      <c r="U42" s="32">
        <f>IFERROR(U5/Q5-1,"")</f>
        <v/>
      </c>
      <c r="V42" s="32">
        <f>IFERROR(V5/R5-1,"")</f>
        <v/>
      </c>
      <c r="W42" s="32">
        <f>IFERROR(W5/S5-1,"")</f>
        <v/>
      </c>
      <c r="X42" s="32">
        <f>IFERROR(X5/T5-1,"")</f>
        <v/>
      </c>
      <c r="Y42" s="32">
        <f>IFERROR(Y5/U5-1,"")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I43" s="21">
        <f>IFERROR(I9/E9-1,"")</f>
        <v/>
      </c>
      <c r="J43" s="21">
        <f>IFERROR(J9/F9-1,"")</f>
        <v/>
      </c>
      <c r="K43" s="21">
        <f>IFERROR(K9/G9-1,"")</f>
        <v/>
      </c>
      <c r="L43" s="21">
        <f>IFERROR(L9/H9-1,"")</f>
        <v/>
      </c>
      <c r="M43" s="21">
        <f>IFERROR(M9/I9-1,"")</f>
        <v/>
      </c>
      <c r="N43" s="21">
        <f>IFERROR(N9/J9-1,"")</f>
        <v/>
      </c>
      <c r="O43" s="46">
        <f>IFERROR(O9/K9-1,"")</f>
        <v/>
      </c>
      <c r="P43" s="32">
        <f>IFERROR(P9/L9-1,"")</f>
        <v/>
      </c>
      <c r="Q43" s="32">
        <f>IFERROR(Q9/M9-1,"")</f>
        <v/>
      </c>
      <c r="R43" s="32">
        <f>IFERROR(R9/N9-1,"")</f>
        <v/>
      </c>
      <c r="S43" s="32">
        <f>IFERROR(S9/O9-1,"")</f>
        <v/>
      </c>
      <c r="T43" s="32">
        <f>IFERROR(T9/P9-1,"")</f>
        <v/>
      </c>
      <c r="U43" s="32">
        <f>IFERROR(U9/Q9-1,"")</f>
        <v/>
      </c>
      <c r="V43" s="32">
        <f>IFERROR(V9/R9-1,"")</f>
        <v/>
      </c>
      <c r="W43" s="32">
        <f>IFERROR(W9/S9-1,"")</f>
        <v/>
      </c>
      <c r="X43" s="32">
        <f>IFERROR(X9/T9-1,"")</f>
        <v/>
      </c>
      <c r="Y43" s="32">
        <f>IFERROR(Y9/U9-1,"")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I44" s="21">
        <f>IFERROR(I20/E20-1,"")</f>
        <v/>
      </c>
      <c r="J44" s="21">
        <f>IFERROR(J20/F20-1,"")</f>
        <v/>
      </c>
      <c r="K44" s="21">
        <f>IFERROR(K20/G20-1,"")</f>
        <v/>
      </c>
      <c r="L44" s="21">
        <f>IFERROR(L20/H20-1,"")</f>
        <v/>
      </c>
      <c r="M44" s="21">
        <f>IFERROR(M20/I20-1,"")</f>
        <v/>
      </c>
      <c r="N44" s="21">
        <f>IFERROR(N20/J20-1,"")</f>
        <v/>
      </c>
      <c r="O44" s="46">
        <f>IFERROR(O20/K20-1,"")</f>
        <v/>
      </c>
      <c r="P44" s="32">
        <f>IFERROR(P20/L20-1,"")</f>
        <v/>
      </c>
      <c r="Q44" s="32">
        <f>IFERROR(Q20/M20-1,"")</f>
        <v/>
      </c>
      <c r="R44" s="32">
        <f>IFERROR(R20/N20-1,"")</f>
        <v/>
      </c>
      <c r="S44" s="32">
        <f>IFERROR(S20/O20-1,"")</f>
        <v/>
      </c>
      <c r="T44" s="32">
        <f>IFERROR(T20/P20-1,"")</f>
        <v/>
      </c>
      <c r="U44" s="32">
        <f>IFERROR(U20/Q20-1,"")</f>
        <v/>
      </c>
      <c r="V44" s="32">
        <f>IFERROR(V20/R20-1,"")</f>
        <v/>
      </c>
      <c r="W44" s="32">
        <f>IFERROR(W20/S20-1,"")</f>
        <v/>
      </c>
      <c r="X44" s="32">
        <f>IFERROR(X20/T20-1,"")</f>
        <v/>
      </c>
      <c r="Y44" s="32">
        <f>IFERROR(Y20/U20-1,"")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C1" s="2" t="inlineStr">
        <is>
          <t>이름: 연간예상H — subQ 를 이름으로 VLOOKUP(억원)</t>
        </is>
      </c>
      <c r="E1" s="3" t="n">
        <v>2023</v>
      </c>
      <c r="F1" s="3" t="n">
        <v>2024</v>
      </c>
      <c r="G1" s="41" t="n">
        <v>2025</v>
      </c>
      <c r="H1" s="3" t="n">
        <v>2026</v>
      </c>
      <c r="I1" s="3" t="n">
        <v>2027</v>
      </c>
      <c r="J1" s="3" t="n">
        <v>2028</v>
      </c>
    </row>
    <row r="2">
      <c r="C2" t="inlineStr">
        <is>
          <t>종가:</t>
        </is>
      </c>
      <c r="D2" s="18">
        <f>변수!D44</f>
        <v/>
      </c>
      <c r="G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43" t="n">
        <v>3</v>
      </c>
      <c r="H3" s="2" t="n">
        <v>4</v>
      </c>
      <c r="I3" s="2" t="n">
        <v>5</v>
      </c>
      <c r="J3" s="2" t="n">
        <v>6</v>
      </c>
    </row>
    <row r="4">
      <c r="E4" s="7" t="inlineStr">
        <is>
          <t>2023.12A</t>
        </is>
      </c>
      <c r="F4" s="7" t="inlineStr">
        <is>
          <t>2024.12A</t>
        </is>
      </c>
      <c r="G4" s="44" t="inlineStr">
        <is>
          <t>2025.12A</t>
        </is>
      </c>
      <c r="H4" s="7" t="inlineStr">
        <is>
          <t>2026.12A</t>
        </is>
      </c>
      <c r="I4" s="7" t="inlineStr">
        <is>
          <t>2027.12A</t>
        </is>
      </c>
      <c r="J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45">
        <f>IFERROR(VLOOKUP($A5,subQ,MATCH(G$1,SUBQH,0),0),"")</f>
        <v/>
      </c>
      <c r="H5" s="20">
        <f>IFERROR(VLOOKUP($A5,subQ,MATCH(H$1,SUBQH,0),0),"")</f>
        <v/>
      </c>
      <c r="I5" s="20">
        <f>IFERROR(VLOOKUP($A5,subQ,MATCH(I$1,SUBQH,0),0),"")</f>
        <v/>
      </c>
      <c r="J5" s="20">
        <f>IFERROR(VLOOKUP($A5,subQ,MATCH(J$1,SUBQH,0),0),"")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45">
        <f>IFERROR(VLOOKUP($A6,subQ,MATCH(G$1,SUBQH,0),0),"")</f>
        <v/>
      </c>
      <c r="H6" s="20">
        <f>IFERROR(VLOOKUP($A6,subQ,MATCH(H$1,SUBQH,0),0),"")</f>
        <v/>
      </c>
      <c r="I6" s="20">
        <f>IFERROR(VLOOKUP($A6,subQ,MATCH(I$1,SUBQH,0),0),"")</f>
        <v/>
      </c>
      <c r="J6" s="20">
        <f>IFERROR(VLOOKUP($A6,subQ,MATCH(J$1,SUBQH,0),0),"")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45">
        <f>IFERROR(VLOOKUP($A7,subQ,MATCH(G$1,SUBQH,0),0),"")</f>
        <v/>
      </c>
      <c r="H7" s="20">
        <f>IFERROR(VLOOKUP($A7,subQ,MATCH(H$1,SUBQH,0),0),"")</f>
        <v/>
      </c>
      <c r="I7" s="20">
        <f>IFERROR(VLOOKUP($A7,subQ,MATCH(I$1,SUBQH,0),0),"")</f>
        <v/>
      </c>
      <c r="J7" s="20">
        <f>IFERROR(VLOOKUP($A7,subQ,MATCH(J$1,SUBQH,0),0),"")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45">
        <f>IFERROR(VLOOKUP($A8,subQ,MATCH(G$1,SUBQH,0),0),"")</f>
        <v/>
      </c>
      <c r="H8" s="20">
        <f>IFERROR(VLOOKUP($A8,subQ,MATCH(H$1,SUBQH,0),0),"")</f>
        <v/>
      </c>
      <c r="I8" s="20">
        <f>IFERROR(VLOOKUP($A8,subQ,MATCH(I$1,SUBQH,0),0),"")</f>
        <v/>
      </c>
      <c r="J8" s="20">
        <f>IFERROR(VLOOKUP($A8,subQ,MATCH(J$1,SUBQH,0),0),"")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45">
        <f>IFERROR(VLOOKUP($A9,subQ,MATCH(G$1,SUBQH,0),0),"")</f>
        <v/>
      </c>
      <c r="H9" s="20">
        <f>IFERROR(VLOOKUP($A9,subQ,MATCH(H$1,SUBQH,0),0),"")</f>
        <v/>
      </c>
      <c r="I9" s="20">
        <f>IFERROR(VLOOKUP($A9,subQ,MATCH(I$1,SUBQH,0),0),"")</f>
        <v/>
      </c>
      <c r="J9" s="20">
        <f>IFERROR(VLOOKUP($A9,subQ,MATCH(J$1,SUBQH,0),0),"")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46">
        <f>IFERROR(VLOOKUP($A10,subQ,MATCH(G$1,SUBQH,0),0),"")</f>
        <v/>
      </c>
      <c r="H10" s="32">
        <f>IFERROR(VLOOKUP($A10,subQ,MATCH(H$1,SUBQH,0),0),"")</f>
        <v/>
      </c>
      <c r="I10" s="32">
        <f>IFERROR(VLOOKUP($A10,subQ,MATCH(I$1,SUBQH,0),0),"")</f>
        <v/>
      </c>
      <c r="J10" s="32">
        <f>IFERROR(VLOOKUP($A10,subQ,MATCH(J$1,SUBQH,0),0),"")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45">
        <f>IFERROR(VLOOKUP($A11,subQ,MATCH(G$1,SUBQH,0),0),"")</f>
        <v/>
      </c>
      <c r="H11" s="20">
        <f>IFERROR(VLOOKUP($A11,subQ,MATCH(H$1,SUBQH,0),0),"")</f>
        <v/>
      </c>
      <c r="I11" s="20">
        <f>IFERROR(VLOOKUP($A11,subQ,MATCH(I$1,SUBQH,0),0),"")</f>
        <v/>
      </c>
      <c r="J11" s="20">
        <f>IFERROR(VLOOKUP($A11,subQ,MATCH(J$1,SUBQH,0),0),"")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45">
        <f>IFERROR(VLOOKUP($A12,subQ,MATCH(G$1,SUBQH,0),0),"")</f>
        <v/>
      </c>
      <c r="H12" s="20">
        <f>IFERROR(VLOOKUP($A12,subQ,MATCH(H$1,SUBQH,0),0),"")</f>
        <v/>
      </c>
      <c r="I12" s="20">
        <f>IFERROR(VLOOKUP($A12,subQ,MATCH(I$1,SUBQH,0),0),"")</f>
        <v/>
      </c>
      <c r="J12" s="20">
        <f>IFERROR(VLOOKUP($A12,subQ,MATCH(J$1,SUBQH,0),0),"")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45">
        <f>IFERROR(VLOOKUP($A13,subQ,MATCH(G$1,SUBQH,0),0),"")</f>
        <v/>
      </c>
      <c r="H13" s="20">
        <f>IFERROR(VLOOKUP($A13,subQ,MATCH(H$1,SUBQH,0),0),"")</f>
        <v/>
      </c>
      <c r="I13" s="20">
        <f>IFERROR(VLOOKUP($A13,subQ,MATCH(I$1,SUBQH,0),0),"")</f>
        <v/>
      </c>
      <c r="J13" s="20">
        <f>IFERROR(VLOOKUP($A13,subQ,MATCH(J$1,SUBQH,0),0),"")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45">
        <f>IFERROR(VLOOKUP($A14,subQ,MATCH(G$1,SUBQH,0),0),"")</f>
        <v/>
      </c>
      <c r="H14" s="20">
        <f>IFERROR(VLOOKUP($A14,subQ,MATCH(H$1,SUBQH,0),0),"")</f>
        <v/>
      </c>
      <c r="I14" s="20">
        <f>IFERROR(VLOOKUP($A14,subQ,MATCH(I$1,SUBQH,0),0),"")</f>
        <v/>
      </c>
      <c r="J14" s="20">
        <f>IFERROR(VLOOKUP($A14,subQ,MATCH(J$1,SUBQH,0),0),"")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45">
        <f>IFERROR(VLOOKUP($A15,subQ,MATCH(G$1,SUBQH,0),0),"")</f>
        <v/>
      </c>
      <c r="H15" s="20">
        <f>IFERROR(VLOOKUP($A15,subQ,MATCH(H$1,SUBQH,0),0),"")</f>
        <v/>
      </c>
      <c r="I15" s="20">
        <f>IFERROR(VLOOKUP($A15,subQ,MATCH(I$1,SUBQH,0),0),"")</f>
        <v/>
      </c>
      <c r="J15" s="20">
        <f>IFERROR(VLOOKUP($A15,subQ,MATCH(J$1,SUBQH,0),0),"")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45">
        <f>IFERROR(VLOOKUP($A16,subQ,MATCH(G$1,SUBQH,0),0),"")</f>
        <v/>
      </c>
      <c r="H16" s="20">
        <f>IFERROR(VLOOKUP($A16,subQ,MATCH(H$1,SUBQH,0),0),"")</f>
        <v/>
      </c>
      <c r="I16" s="20">
        <f>IFERROR(VLOOKUP($A16,subQ,MATCH(I$1,SUBQH,0),0),"")</f>
        <v/>
      </c>
      <c r="J16" s="20">
        <f>IFERROR(VLOOKUP($A16,subQ,MATCH(J$1,SUBQH,0),0),"")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45">
        <f>IFERROR(VLOOKUP($A17,subQ,MATCH(G$1,SUBQH,0),0),"")</f>
        <v/>
      </c>
      <c r="H17" s="20">
        <f>IFERROR(VLOOKUP($A17,subQ,MATCH(H$1,SUBQH,0),0),"")</f>
        <v/>
      </c>
      <c r="I17" s="20">
        <f>IFERROR(VLOOKUP($A17,subQ,MATCH(I$1,SUBQH,0),0),"")</f>
        <v/>
      </c>
      <c r="J17" s="20">
        <f>IFERROR(VLOOKUP($A17,subQ,MATCH(J$1,SUBQH,0),0),"")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45">
        <f>IFERROR(VLOOKUP($A18,subQ,MATCH(G$1,SUBQH,0),0),"")</f>
        <v/>
      </c>
      <c r="H18" s="20">
        <f>IFERROR(VLOOKUP($A18,subQ,MATCH(H$1,SUBQH,0),0),"")</f>
        <v/>
      </c>
      <c r="I18" s="20">
        <f>IFERROR(VLOOKUP($A18,subQ,MATCH(I$1,SUBQH,0),0),"")</f>
        <v/>
      </c>
      <c r="J18" s="20">
        <f>IFERROR(VLOOKUP($A18,subQ,MATCH(J$1,SUBQH,0),0),"")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45">
        <f>IFERROR(VLOOKUP($A19,subQ,MATCH(G$1,SUBQH,0),0),"")</f>
        <v/>
      </c>
      <c r="H19" s="20">
        <f>IFERROR(VLOOKUP($A19,subQ,MATCH(H$1,SUBQH,0),0),"")</f>
        <v/>
      </c>
      <c r="I19" s="20">
        <f>IFERROR(VLOOKUP($A19,subQ,MATCH(I$1,SUBQH,0),0),"")</f>
        <v/>
      </c>
      <c r="J19" s="20">
        <f>IFERROR(VLOOKUP($A19,subQ,MATCH(J$1,SUBQH,0),0),"")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45">
        <f>IFERROR(VLOOKUP($A20,subQ,MATCH(G$1,SUBQH,0),0),"")</f>
        <v/>
      </c>
      <c r="H20" s="20">
        <f>IFERROR(VLOOKUP($A20,subQ,MATCH(H$1,SUBQH,0),0),"")</f>
        <v/>
      </c>
      <c r="I20" s="20">
        <f>IFERROR(VLOOKUP($A20,subQ,MATCH(I$1,SUBQH,0),0),"")</f>
        <v/>
      </c>
      <c r="J20" s="20">
        <f>IFERROR(VLOOKUP($A20,subQ,MATCH(J$1,SUBQH,0),0),"")</f>
        <v/>
      </c>
    </row>
    <row r="21">
      <c r="A21" s="12" t="inlineStr">
        <is>
          <t>감가상각비</t>
        </is>
      </c>
      <c r="D21" t="inlineStr">
        <is>
          <t>감가상각비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45">
        <f>IFERROR(VLOOKUP($A21,subQ,MATCH(G$1,SUBQH,0),0),"")</f>
        <v/>
      </c>
      <c r="H21" s="20">
        <f>IFERROR(VLOOKUP($A21,subQ,MATCH(H$1,SUBQH,0),0),"")</f>
        <v/>
      </c>
      <c r="I21" s="20">
        <f>IFERROR(VLOOKUP($A21,subQ,MATCH(I$1,SUBQH,0),0),"")</f>
        <v/>
      </c>
      <c r="J21" s="20">
        <f>IFERROR(VLOOKUP($A21,subQ,MATCH(J$1,SUBQH,0),0),"")</f>
        <v/>
      </c>
    </row>
    <row r="22">
      <c r="A22" s="12" t="inlineStr">
        <is>
          <t>EBITDA</t>
        </is>
      </c>
      <c r="D22" t="inlineStr">
        <is>
          <t>EBITDA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45">
        <f>IFERROR(VLOOKUP($A22,subQ,MATCH(G$1,SUBQH,0),0),"")</f>
        <v/>
      </c>
      <c r="H22" s="20">
        <f>IFERROR(VLOOKUP($A22,subQ,MATCH(H$1,SUBQH,0),0),"")</f>
        <v/>
      </c>
      <c r="I22" s="20">
        <f>IFERROR(VLOOKUP($A22,subQ,MATCH(I$1,SUBQH,0),0),"")</f>
        <v/>
      </c>
      <c r="J22" s="20">
        <f>IFERROR(VLOOKUP($A22,subQ,MATCH(J$1,SUBQH,0),0),"")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45">
        <f>IFERROR(VLOOKUP($A23,subQ,MATCH(G$1,SUBQH,0),0),"")</f>
        <v/>
      </c>
      <c r="H23" s="20">
        <f>IFERROR(VLOOKUP($A23,subQ,MATCH(H$1,SUBQH,0),0),"")</f>
        <v/>
      </c>
      <c r="I23" s="20">
        <f>IFERROR(VLOOKUP($A23,subQ,MATCH(I$1,SUBQH,0),0),"")</f>
        <v/>
      </c>
      <c r="J23" s="20">
        <f>IFERROR(VLOOKUP($A23,subQ,MATCH(J$1,SUBQH,0),0),"")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45">
        <f>IFERROR(VLOOKUP($A24,subQ,MATCH(G$1,SUBQH,0),0),"")</f>
        <v/>
      </c>
      <c r="H24" s="20">
        <f>IFERROR(VLOOKUP($A24,subQ,MATCH(H$1,SUBQH,0),0),"")</f>
        <v/>
      </c>
      <c r="I24" s="20">
        <f>IFERROR(VLOOKUP($A24,subQ,MATCH(I$1,SUBQH,0),0),"")</f>
        <v/>
      </c>
      <c r="J24" s="20">
        <f>IFERROR(VLOOKUP($A24,subQ,MATCH(J$1,SUBQH,0),0),"")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45">
        <f>IFERROR(VLOOKUP($A25,subQ,MATCH(G$1,SUBQH,0),0),"")</f>
        <v/>
      </c>
      <c r="H25" s="20">
        <f>IFERROR(VLOOKUP($A25,subQ,MATCH(H$1,SUBQH,0),0),"")</f>
        <v/>
      </c>
      <c r="I25" s="20">
        <f>IFERROR(VLOOKUP($A25,subQ,MATCH(I$1,SUBQH,0),0),"")</f>
        <v/>
      </c>
      <c r="J25" s="20">
        <f>IFERROR(VLOOKUP($A25,subQ,MATCH(J$1,SUBQH,0),0),"")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45">
        <f>IFERROR(VLOOKUP($A26,subQ,MATCH(G$1,SUBQH,0),0),"")</f>
        <v/>
      </c>
      <c r="H26" s="20">
        <f>IFERROR(VLOOKUP($A26,subQ,MATCH(H$1,SUBQH,0),0),"")</f>
        <v/>
      </c>
      <c r="I26" s="20">
        <f>IFERROR(VLOOKUP($A26,subQ,MATCH(I$1,SUBQH,0),0),"")</f>
        <v/>
      </c>
      <c r="J26" s="20">
        <f>IFERROR(VLOOKUP($A26,subQ,MATCH(J$1,SUBQH,0),0),"")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45">
        <f>IFERROR(VLOOKUP($A27,subQ,MATCH(G$1,SUBQH,0),0),"")</f>
        <v/>
      </c>
      <c r="H27" s="20">
        <f>IFERROR(VLOOKUP($A27,subQ,MATCH(H$1,SUBQH,0),0),"")</f>
        <v/>
      </c>
      <c r="I27" s="20">
        <f>IFERROR(VLOOKUP($A27,subQ,MATCH(I$1,SUBQH,0),0),"")</f>
        <v/>
      </c>
      <c r="J27" s="20">
        <f>IFERROR(VLOOKUP($A27,subQ,MATCH(J$1,SUBQH,0),0),"")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45">
        <f>IFERROR(VLOOKUP($A28,subQ,MATCH(G$1,SUBQH,0),0),"")</f>
        <v/>
      </c>
      <c r="H28" s="20">
        <f>IFERROR(VLOOKUP($A28,subQ,MATCH(H$1,SUBQH,0),0),"")</f>
        <v/>
      </c>
      <c r="I28" s="20">
        <f>IFERROR(VLOOKUP($A28,subQ,MATCH(I$1,SUBQH,0),0),"")</f>
        <v/>
      </c>
      <c r="J28" s="20">
        <f>IFERROR(VLOOKUP($A28,subQ,MATCH(J$1,SUBQH,0),0),"")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45">
        <f>IFERROR(VLOOKUP($A29,subQ,MATCH(G$1,SUBQH,0),0),"")</f>
        <v/>
      </c>
      <c r="H29" s="20">
        <f>IFERROR(VLOOKUP($A29,subQ,MATCH(H$1,SUBQH,0),0),"")</f>
        <v/>
      </c>
      <c r="I29" s="20">
        <f>IFERROR(VLOOKUP($A29,subQ,MATCH(I$1,SUBQH,0),0),"")</f>
        <v/>
      </c>
      <c r="J29" s="20">
        <f>IFERROR(VLOOKUP($A29,subQ,MATCH(J$1,SUBQH,0),0),"")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45">
        <f>IFERROR(VLOOKUP($A30,subQ,MATCH(G$1,SUBQH,0),0),"")</f>
        <v/>
      </c>
      <c r="H30" s="20">
        <f>IFERROR(VLOOKUP($A30,subQ,MATCH(H$1,SUBQH,0),0),"")</f>
        <v/>
      </c>
      <c r="I30" s="20">
        <f>IFERROR(VLOOKUP($A30,subQ,MATCH(I$1,SUBQH,0),0),"")</f>
        <v/>
      </c>
      <c r="J30" s="20">
        <f>IFERROR(VLOOKUP($A30,subQ,MATCH(J$1,SUBQH,0),0),"")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45">
        <f>IFERROR(VLOOKUP($A31,subQ,MATCH(G$1,SUBQH,0),0),"")</f>
        <v/>
      </c>
      <c r="H31" s="20">
        <f>IFERROR(VLOOKUP($A31,subQ,MATCH(H$1,SUBQH,0),0),"")</f>
        <v/>
      </c>
      <c r="I31" s="20">
        <f>IFERROR(VLOOKUP($A31,subQ,MATCH(I$1,SUBQH,0),0),"")</f>
        <v/>
      </c>
      <c r="J31" s="20">
        <f>IFERROR(VLOOKUP($A31,subQ,MATCH(J$1,SUBQH,0),0),"")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45">
        <f>IFERROR(VLOOKUP($A32,subQ,MATCH(G$1,SUBQH,0),0),"")</f>
        <v/>
      </c>
      <c r="H32" s="20">
        <f>IFERROR(VLOOKUP($A32,subQ,MATCH(H$1,SUBQH,0),0),"")</f>
        <v/>
      </c>
      <c r="I32" s="20">
        <f>IFERROR(VLOOKUP($A32,subQ,MATCH(I$1,SUBQH,0),0),"")</f>
        <v/>
      </c>
      <c r="J32" s="20">
        <f>IFERROR(VLOOKUP($A32,subQ,MATCH(J$1,SUBQH,0),0),"")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47">
        <f>IFERROR(VLOOKUP($A33,subQ,MATCH(G$1,SUBQH,0),0),"")</f>
        <v/>
      </c>
      <c r="H33" s="33">
        <f>IFERROR(VLOOKUP($A33,subQ,MATCH(H$1,SUBQH,0),0),"")</f>
        <v/>
      </c>
      <c r="I33" s="33">
        <f>IFERROR(VLOOKUP($A33,subQ,MATCH(I$1,SUBQH,0),0),"")</f>
        <v/>
      </c>
      <c r="J33" s="33">
        <f>IFERROR(VLOOKUP($A33,subQ,MATCH(J$1,SUBQH,0),0),"")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45">
        <f>IFERROR(VLOOKUP($A34,subQ,MATCH(G$1,SUBQH,0),0),"")</f>
        <v/>
      </c>
      <c r="H34" s="20">
        <f>IFERROR(VLOOKUP($A34,subQ,MATCH(H$1,SUBQH,0),0),"")</f>
        <v/>
      </c>
      <c r="I34" s="20">
        <f>IFERROR(VLOOKUP($A34,subQ,MATCH(I$1,SUBQH,0),0),"")</f>
        <v/>
      </c>
      <c r="J34" s="20">
        <f>IFERROR(VLOOKUP($A34,subQ,MATCH(J$1,SUBQH,0),0),"")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45">
        <f>IFERROR(VLOOKUP($A35,subQ,MATCH(G$1,SUBQH,0),0),"")</f>
        <v/>
      </c>
      <c r="H35" s="20">
        <f>IFERROR(VLOOKUP($A35,subQ,MATCH(H$1,SUBQH,0),0),"")</f>
        <v/>
      </c>
      <c r="I35" s="20">
        <f>IFERROR(VLOOKUP($A35,subQ,MATCH(I$1,SUBQH,0),0),"")</f>
        <v/>
      </c>
      <c r="J35" s="20">
        <f>IFERROR(VLOOKUP($A35,subQ,MATCH(J$1,SUBQH,0),0),"")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45">
        <f>IFERROR(VLOOKUP($A36,subQ,MATCH(G$1,SUBQH,0),0),"")</f>
        <v/>
      </c>
      <c r="H36" s="20">
        <f>IFERROR(VLOOKUP($A36,subQ,MATCH(H$1,SUBQH,0),0),"")</f>
        <v/>
      </c>
      <c r="I36" s="20">
        <f>IFERROR(VLOOKUP($A36,subQ,MATCH(I$1,SUBQH,0),0),"")</f>
        <v/>
      </c>
      <c r="J36" s="20">
        <f>IFERROR(VLOOKUP($A36,subQ,MATCH(J$1,SUBQH,0),0),"")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48">
        <f>IFERROR(VLOOKUP($A37,subQ,MATCH(G$1,SUBQH,0),0),"")</f>
        <v/>
      </c>
      <c r="H37" s="39">
        <f>IFERROR(VLOOKUP($A37,subQ,MATCH(H$1,SUBQH,0),0),"")</f>
        <v/>
      </c>
      <c r="I37" s="39">
        <f>IFERROR(VLOOKUP($A37,subQ,MATCH(I$1,SUBQH,0),0),"")</f>
        <v/>
      </c>
      <c r="J37" s="39">
        <f>IFERROR(VLOOKUP($A37,subQ,MATCH(J$1,SUBQH,0),0),"")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48">
        <f>IFERROR(VLOOKUP($A38,subQ,MATCH(G$1,SUBQH,0),0),"")</f>
        <v/>
      </c>
      <c r="H38" s="39">
        <f>IFERROR(VLOOKUP($A38,subQ,MATCH(H$1,SUBQH,0),0),"")</f>
        <v/>
      </c>
      <c r="I38" s="39">
        <f>IFERROR(VLOOKUP($A38,subQ,MATCH(I$1,SUBQH,0),0),"")</f>
        <v/>
      </c>
      <c r="J38" s="39">
        <f>IFERROR(VLOOKUP($A38,subQ,MATCH(J$1,SUBQH,0),0),"")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45">
        <f>IFERROR(VLOOKUP($A39,subQ,MATCH(G$1,SUBQH,0),0),"")</f>
        <v/>
      </c>
      <c r="H39" s="20">
        <f>IFERROR(VLOOKUP($A39,subQ,MATCH(H$1,SUBQH,0),0),"")</f>
        <v/>
      </c>
      <c r="I39" s="20">
        <f>IFERROR(VLOOKUP($A39,subQ,MATCH(I$1,SUBQH,0),0),"")</f>
        <v/>
      </c>
      <c r="J39" s="20">
        <f>IFERROR(VLOOKUP($A39,subQ,MATCH(J$1,SUBQH,0),0),"")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45">
        <f>IFERROR(VLOOKUP($A40,subQ,MATCH(G$1,SUBQH,0),0),"")</f>
        <v/>
      </c>
      <c r="H40" s="20">
        <f>IFERROR(VLOOKUP($A40,subQ,MATCH(H$1,SUBQH,0),0),"")</f>
        <v/>
      </c>
      <c r="I40" s="20">
        <f>IFERROR(VLOOKUP($A40,subQ,MATCH(I$1,SUBQH,0),0),"")</f>
        <v/>
      </c>
      <c r="J40" s="20">
        <f>IFERROR(VLOOKUP($A40,subQ,MATCH(J$1,SUBQH,0),0),"")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46">
        <f>IFERROR(VLOOKUP($A41,subQ,MATCH(G$1,SUBQH,0),0),"")</f>
        <v/>
      </c>
      <c r="H41" s="32">
        <f>IFERROR(VLOOKUP($A41,subQ,MATCH(H$1,SUBQH,0),0),"")</f>
        <v/>
      </c>
      <c r="I41" s="32">
        <f>IFERROR(VLOOKUP($A41,subQ,MATCH(I$1,SUBQH,0),0),"")</f>
        <v/>
      </c>
      <c r="J41" s="32">
        <f>IFERROR(VLOOKUP($A41,subQ,MATCH(J$1,SUBQH,0),0),"")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F42" s="21">
        <f>IFERROR(F5/E5-1,"")</f>
        <v/>
      </c>
      <c r="G42" s="46">
        <f>IFERROR(G5/F5-1,"")</f>
        <v/>
      </c>
      <c r="H42" s="32">
        <f>IFERROR(H5/G5-1,"")</f>
        <v/>
      </c>
      <c r="I42" s="32">
        <f>IFERROR(I5/H5-1,"")</f>
        <v/>
      </c>
      <c r="J42" s="32">
        <f>IFERROR(J5/I5-1,"")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F43" s="21">
        <f>IFERROR(F9/E9-1,"")</f>
        <v/>
      </c>
      <c r="G43" s="46">
        <f>IFERROR(G9/F9-1,"")</f>
        <v/>
      </c>
      <c r="H43" s="32">
        <f>IFERROR(H9/G9-1,"")</f>
        <v/>
      </c>
      <c r="I43" s="32">
        <f>IFERROR(I9/H9-1,"")</f>
        <v/>
      </c>
      <c r="J43" s="32">
        <f>IFERROR(J9/I9-1,"")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F44" s="21">
        <f>IFERROR(F20/E20-1,"")</f>
        <v/>
      </c>
      <c r="G44" s="46">
        <f>IFERROR(G20/F20-1,"")</f>
        <v/>
      </c>
      <c r="H44" s="32">
        <f>IFERROR(H20/G20-1,"")</f>
        <v/>
      </c>
      <c r="I44" s="32">
        <f>IFERROR(I20/H20-1,"")</f>
        <v/>
      </c>
      <c r="J44" s="32">
        <f>IFERROR(J20/I20-1,"")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변수!D44</f>
        <v/>
      </c>
    </row>
    <row r="2">
      <c r="B2" s="1" t="inlineStr">
        <is>
          <t>기준일</t>
        </is>
      </c>
      <c r="C2">
        <f>변수!D45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IFERROR(E7*변수!D50+F7*(1-변수!D50),"")</f>
        <v/>
      </c>
    </row>
    <row r="15">
      <c r="C15" t="inlineStr">
        <is>
          <t>적정가치 @PER_lo</t>
        </is>
      </c>
      <c r="D15" s="27">
        <f>변수!D47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변수!D48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변수!D49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변수!D46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909.7</v>
      </c>
    </row>
    <row r="30">
      <c r="C30" s="2" t="inlineStr">
        <is>
          <t>bps_latest</t>
        </is>
      </c>
      <c r="D30" t="n">
        <v>4878.1</v>
      </c>
    </row>
    <row r="31">
      <c r="C31" s="2" t="inlineStr">
        <is>
          <t>per_now</t>
        </is>
      </c>
      <c r="D31" t="n">
        <v>17.51</v>
      </c>
    </row>
    <row r="32">
      <c r="C32" s="2" t="inlineStr">
        <is>
          <t>pbr_now</t>
        </is>
      </c>
      <c r="D32" t="n">
        <v>3.27</v>
      </c>
    </row>
    <row r="33">
      <c r="C33" s="2" t="inlineStr">
        <is>
          <t>roe_fwd</t>
        </is>
      </c>
      <c r="D33" t="n">
        <v>0.1865</v>
      </c>
    </row>
    <row r="34">
      <c r="C34" s="2" t="inlineStr">
        <is>
          <t>fair_pbr</t>
        </is>
      </c>
      <c r="D34" t="n">
        <v>2.07</v>
      </c>
    </row>
    <row r="35">
      <c r="C35" s="2" t="inlineStr">
        <is>
          <t>fair_value_pbr</t>
        </is>
      </c>
      <c r="D35" t="n">
        <v>10100</v>
      </c>
    </row>
    <row r="36">
      <c r="C36" s="2" t="inlineStr">
        <is>
          <t>ev_ebitda</t>
        </is>
      </c>
      <c r="D36" t="n">
        <v>16.13</v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C1" s="2" t="inlineStr">
        <is>
          <t>이름: 외화QH — 환율 QoQ · 외화 순노출 × Δ기말환율</t>
        </is>
      </c>
      <c r="E1" s="3" t="inlineStr">
        <is>
          <t>4Q23</t>
        </is>
      </c>
      <c r="F1" s="3" t="inlineStr">
        <is>
          <t>1Q24</t>
        </is>
      </c>
      <c r="G1" s="3" t="inlineStr">
        <is>
          <t>2Q24</t>
        </is>
      </c>
      <c r="H1" s="3" t="inlineStr">
        <is>
          <t>3Q24</t>
        </is>
      </c>
      <c r="I1" s="3" t="inlineStr">
        <is>
          <t>4Q24</t>
        </is>
      </c>
      <c r="J1" s="3" t="inlineStr">
        <is>
          <t>1Q25</t>
        </is>
      </c>
      <c r="K1" s="3" t="inlineStr">
        <is>
          <t>2Q25</t>
        </is>
      </c>
      <c r="L1" s="3" t="inlineStr">
        <is>
          <t>3Q25</t>
        </is>
      </c>
      <c r="M1" s="3" t="inlineStr">
        <is>
          <t>4Q25</t>
        </is>
      </c>
      <c r="N1" s="3" t="inlineStr">
        <is>
          <t>1Q26</t>
        </is>
      </c>
      <c r="O1" s="3" t="inlineStr">
        <is>
          <t>2Q26</t>
        </is>
      </c>
      <c r="P1" s="3" t="inlineStr">
        <is>
          <t>3Q26</t>
        </is>
      </c>
      <c r="Q1" s="3" t="inlineStr">
        <is>
          <t>4Q26</t>
        </is>
      </c>
      <c r="R1" s="3" t="inlineStr">
        <is>
          <t>1Q27</t>
        </is>
      </c>
      <c r="S1" s="3" t="inlineStr">
        <is>
          <t>2Q27</t>
        </is>
      </c>
      <c r="T1" s="3" t="inlineStr">
        <is>
          <t>3Q27</t>
        </is>
      </c>
      <c r="U1" s="3" t="inlineStr">
        <is>
          <t>4Q27</t>
        </is>
      </c>
      <c r="V1" s="3" t="inlineStr">
        <is>
          <t>1Q28</t>
        </is>
      </c>
      <c r="W1" s="3" t="inlineStr">
        <is>
          <t>2Q28</t>
        </is>
      </c>
      <c r="X1" s="3" t="inlineStr">
        <is>
          <t>3Q28</t>
        </is>
      </c>
      <c r="Y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</row>
    <row r="4">
      <c r="E4" s="7" t="inlineStr">
        <is>
          <t>2023.12</t>
        </is>
      </c>
      <c r="F4" s="7" t="inlineStr">
        <is>
          <t>2024.03</t>
        </is>
      </c>
      <c r="G4" s="7" t="inlineStr">
        <is>
          <t>2024.06</t>
        </is>
      </c>
      <c r="H4" s="7" t="inlineStr">
        <is>
          <t>2024.09</t>
        </is>
      </c>
      <c r="I4" s="7" t="inlineStr">
        <is>
          <t>2024.12</t>
        </is>
      </c>
      <c r="J4" s="7" t="inlineStr">
        <is>
          <t>2025.03</t>
        </is>
      </c>
      <c r="K4" s="7" t="inlineStr">
        <is>
          <t>2025.06</t>
        </is>
      </c>
      <c r="L4" s="7" t="inlineStr">
        <is>
          <t>2025.09</t>
        </is>
      </c>
      <c r="M4" s="7" t="inlineStr">
        <is>
          <t>2025.12</t>
        </is>
      </c>
      <c r="N4" s="7" t="inlineStr">
        <is>
          <t>2026.03</t>
        </is>
      </c>
      <c r="O4" s="7" t="inlineStr">
        <is>
          <t>2026.06</t>
        </is>
      </c>
      <c r="P4" s="7" t="inlineStr">
        <is>
          <t>2026.09</t>
        </is>
      </c>
      <c r="Q4" s="7" t="inlineStr">
        <is>
          <t>2026.12</t>
        </is>
      </c>
      <c r="R4" s="7" t="inlineStr">
        <is>
          <t>2027.03</t>
        </is>
      </c>
      <c r="S4" s="7" t="inlineStr">
        <is>
          <t>2027.06</t>
        </is>
      </c>
      <c r="T4" s="7" t="inlineStr">
        <is>
          <t>2027.09</t>
        </is>
      </c>
      <c r="U4" s="7" t="inlineStr">
        <is>
          <t>2027.12</t>
        </is>
      </c>
      <c r="V4" s="7" t="inlineStr">
        <is>
          <t>2028.03</t>
        </is>
      </c>
      <c r="W4" s="7" t="inlineStr">
        <is>
          <t>2028.06</t>
        </is>
      </c>
      <c r="X4" s="7" t="inlineStr">
        <is>
          <t>2028.09</t>
        </is>
      </c>
      <c r="Y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39">
        <f>IFERROR(VLOOKUP($D5,환율,MATCH(P$1,변수H,0),0),"")</f>
        <v/>
      </c>
      <c r="Q5" s="39">
        <f>IFERROR(VLOOKUP($D5,환율,MATCH(Q$1,변수H,0),0),"")</f>
        <v/>
      </c>
      <c r="R5" s="39">
        <f>IFERROR(VLOOKUP($D5,환율,MATCH(R$1,변수H,0),0),"")</f>
        <v/>
      </c>
      <c r="S5" s="39">
        <f>IFERROR(VLOOKUP($D5,환율,MATCH(S$1,변수H,0),0),"")</f>
        <v/>
      </c>
      <c r="T5" s="39">
        <f>IFERROR(VLOOKUP($D5,환율,MATCH(T$1,변수H,0),0),"")</f>
        <v/>
      </c>
      <c r="U5" s="39">
        <f>IFERROR(VLOOKUP($D5,환율,MATCH(U$1,변수H,0),0),"")</f>
        <v/>
      </c>
      <c r="V5" s="39">
        <f>IFERROR(VLOOKUP($D5,환율,MATCH(V$1,변수H,0),0),"")</f>
        <v/>
      </c>
      <c r="W5" s="39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32">
        <f>IFERROR(P5/O5-1,"")</f>
        <v/>
      </c>
      <c r="Q6" s="32">
        <f>IFERROR(Q5/P5-1,"")</f>
        <v/>
      </c>
      <c r="R6" s="32">
        <f>IFERROR(R5/Q5-1,"")</f>
        <v/>
      </c>
      <c r="S6" s="32">
        <f>IFERROR(S5/R5-1,"")</f>
        <v/>
      </c>
      <c r="T6" s="32">
        <f>IFERROR(T5/S5-1,"")</f>
        <v/>
      </c>
      <c r="U6" s="32">
        <f>IFERROR(U5/T5-1,"")</f>
        <v/>
      </c>
      <c r="V6" s="32">
        <f>IFERROR(V5/U5-1,"")</f>
        <v/>
      </c>
      <c r="W6" s="32">
        <f>IFERROR(W5/V5-1,"")</f>
        <v/>
      </c>
      <c r="X6" s="32">
        <f>IFERROR(X5/W5-1,"")</f>
        <v/>
      </c>
      <c r="Y6" s="32">
        <f>IFERROR(Y5/X5-1,"")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39">
        <f>IFERROR(VLOOKUP($D7,환율,MATCH(P$1,변수H,0),0),"")</f>
        <v/>
      </c>
      <c r="Q7" s="39">
        <f>IFERROR(VLOOKUP($D7,환율,MATCH(Q$1,변수H,0),0),"")</f>
        <v/>
      </c>
      <c r="R7" s="39">
        <f>IFERROR(VLOOKUP($D7,환율,MATCH(R$1,변수H,0),0),"")</f>
        <v/>
      </c>
      <c r="S7" s="39">
        <f>IFERROR(VLOOKUP($D7,환율,MATCH(S$1,변수H,0),0),"")</f>
        <v/>
      </c>
      <c r="T7" s="39">
        <f>IFERROR(VLOOKUP($D7,환율,MATCH(T$1,변수H,0),0),"")</f>
        <v/>
      </c>
      <c r="U7" s="39">
        <f>IFERROR(VLOOKUP($D7,환율,MATCH(U$1,변수H,0),0),"")</f>
        <v/>
      </c>
      <c r="V7" s="39">
        <f>IFERROR(VLOOKUP($D7,환율,MATCH(V$1,변수H,0),0),"")</f>
        <v/>
      </c>
      <c r="W7" s="39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32">
        <f>IFERROR(P7/O7-1,"")</f>
        <v/>
      </c>
      <c r="Q8" s="32">
        <f>IFERROR(Q7/P7-1,"")</f>
        <v/>
      </c>
      <c r="R8" s="32">
        <f>IFERROR(R7/Q7-1,"")</f>
        <v/>
      </c>
      <c r="S8" s="32">
        <f>IFERROR(S7/R7-1,"")</f>
        <v/>
      </c>
      <c r="T8" s="32">
        <f>IFERROR(T7/S7-1,"")</f>
        <v/>
      </c>
      <c r="U8" s="32">
        <f>IFERROR(U7/T7-1,"")</f>
        <v/>
      </c>
      <c r="V8" s="32">
        <f>IFERROR(V7/U7-1,"")</f>
        <v/>
      </c>
      <c r="W8" s="32">
        <f>IFERROR(W7/V7-1,"")</f>
        <v/>
      </c>
      <c r="X8" s="32">
        <f>IFERROR(X7/W7-1,"")</f>
        <v/>
      </c>
      <c r="Y8" s="32">
        <f>IFERROR(Y7/X7-1,"")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39">
        <f>IFERROR(VLOOKUP($D9,환율,MATCH(P$1,변수H,0),0),"")</f>
        <v/>
      </c>
      <c r="Q9" s="39">
        <f>IFERROR(VLOOKUP($D9,환율,MATCH(Q$1,변수H,0),0),"")</f>
        <v/>
      </c>
      <c r="R9" s="39">
        <f>IFERROR(VLOOKUP($D9,환율,MATCH(R$1,변수H,0),0),"")</f>
        <v/>
      </c>
      <c r="S9" s="39">
        <f>IFERROR(VLOOKUP($D9,환율,MATCH(S$1,변수H,0),0),"")</f>
        <v/>
      </c>
      <c r="T9" s="39">
        <f>IFERROR(VLOOKUP($D9,환율,MATCH(T$1,변수H,0),0),"")</f>
        <v/>
      </c>
      <c r="U9" s="39">
        <f>IFERROR(VLOOKUP($D9,환율,MATCH(U$1,변수H,0),0),"")</f>
        <v/>
      </c>
      <c r="V9" s="39">
        <f>IFERROR(VLOOKUP($D9,환율,MATCH(V$1,변수H,0),0),"")</f>
        <v/>
      </c>
      <c r="W9" s="39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32">
        <f>IFERROR(P9/O9-1,"")</f>
        <v/>
      </c>
      <c r="Q10" s="32">
        <f>IFERROR(Q9/P9-1,"")</f>
        <v/>
      </c>
      <c r="R10" s="32">
        <f>IFERROR(R9/Q9-1,"")</f>
        <v/>
      </c>
      <c r="S10" s="32">
        <f>IFERROR(S9/R9-1,"")</f>
        <v/>
      </c>
      <c r="T10" s="32">
        <f>IFERROR(T9/S9-1,"")</f>
        <v/>
      </c>
      <c r="U10" s="32">
        <f>IFERROR(U9/T9-1,"")</f>
        <v/>
      </c>
      <c r="V10" s="32">
        <f>IFERROR(V9/U9-1,"")</f>
        <v/>
      </c>
      <c r="W10" s="32">
        <f>IFERROR(W9/V9-1,"")</f>
        <v/>
      </c>
      <c r="X10" s="32">
        <f>IFERROR(X9/W9-1,"")</f>
        <v/>
      </c>
      <c r="Y10" s="32">
        <f>IFERROR(Y9/X9-1,"")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39">
        <f>IFERROR(VLOOKUP($D11,환율,MATCH(P$1,변수H,0),0),"")</f>
        <v/>
      </c>
      <c r="Q11" s="39">
        <f>IFERROR(VLOOKUP($D11,환율,MATCH(Q$1,변수H,0),0),"")</f>
        <v/>
      </c>
      <c r="R11" s="39">
        <f>IFERROR(VLOOKUP($D11,환율,MATCH(R$1,변수H,0),0),"")</f>
        <v/>
      </c>
      <c r="S11" s="39">
        <f>IFERROR(VLOOKUP($D11,환율,MATCH(S$1,변수H,0),0),"")</f>
        <v/>
      </c>
      <c r="T11" s="39">
        <f>IFERROR(VLOOKUP($D11,환율,MATCH(T$1,변수H,0),0),"")</f>
        <v/>
      </c>
      <c r="U11" s="39">
        <f>IFERROR(VLOOKUP($D11,환율,MATCH(U$1,변수H,0),0),"")</f>
        <v/>
      </c>
      <c r="V11" s="39">
        <f>IFERROR(VLOOKUP($D11,환율,MATCH(V$1,변수H,0),0),"")</f>
        <v/>
      </c>
      <c r="W11" s="39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32">
        <f>IFERROR(P11/O11-1,"")</f>
        <v/>
      </c>
      <c r="Q12" s="32">
        <f>IFERROR(Q11/P11-1,"")</f>
        <v/>
      </c>
      <c r="R12" s="32">
        <f>IFERROR(R11/Q11-1,"")</f>
        <v/>
      </c>
      <c r="S12" s="32">
        <f>IFERROR(S11/R11-1,"")</f>
        <v/>
      </c>
      <c r="T12" s="32">
        <f>IFERROR(T11/S11-1,"")</f>
        <v/>
      </c>
      <c r="U12" s="32">
        <f>IFERROR(U11/T11-1,"")</f>
        <v/>
      </c>
      <c r="V12" s="32">
        <f>IFERROR(V11/U11-1,"")</f>
        <v/>
      </c>
      <c r="W12" s="32">
        <f>IFERROR(W11/V11-1,"")</f>
        <v/>
      </c>
      <c r="X12" s="32">
        <f>IFERROR(X11/W11-1,"")</f>
        <v/>
      </c>
      <c r="Y12" s="32">
        <f>IFERROR(Y11/X11-1,"")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39">
        <f>IFERROR(VLOOKUP($D13,환율,MATCH(P$1,변수H,0),0),"")</f>
        <v/>
      </c>
      <c r="Q13" s="39">
        <f>IFERROR(VLOOKUP($D13,환율,MATCH(Q$1,변수H,0),0),"")</f>
        <v/>
      </c>
      <c r="R13" s="39">
        <f>IFERROR(VLOOKUP($D13,환율,MATCH(R$1,변수H,0),0),"")</f>
        <v/>
      </c>
      <c r="S13" s="39">
        <f>IFERROR(VLOOKUP($D13,환율,MATCH(S$1,변수H,0),0),"")</f>
        <v/>
      </c>
      <c r="T13" s="39">
        <f>IFERROR(VLOOKUP($D13,환율,MATCH(T$1,변수H,0),0),"")</f>
        <v/>
      </c>
      <c r="U13" s="39">
        <f>IFERROR(VLOOKUP($D13,환율,MATCH(U$1,변수H,0),0),"")</f>
        <v/>
      </c>
      <c r="V13" s="39">
        <f>IFERROR(VLOOKUP($D13,환율,MATCH(V$1,변수H,0),0),"")</f>
        <v/>
      </c>
      <c r="W13" s="39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32">
        <f>IFERROR(P13/O13-1,"")</f>
        <v/>
      </c>
      <c r="Q14" s="32">
        <f>IFERROR(Q13/P13-1,"")</f>
        <v/>
      </c>
      <c r="R14" s="32">
        <f>IFERROR(R13/Q13-1,"")</f>
        <v/>
      </c>
      <c r="S14" s="32">
        <f>IFERROR(S13/R13-1,"")</f>
        <v/>
      </c>
      <c r="T14" s="32">
        <f>IFERROR(T13/S13-1,"")</f>
        <v/>
      </c>
      <c r="U14" s="32">
        <f>IFERROR(U13/T13-1,"")</f>
        <v/>
      </c>
      <c r="V14" s="32">
        <f>IFERROR(V13/U13-1,"")</f>
        <v/>
      </c>
      <c r="W14" s="32">
        <f>IFERROR(W13/V13-1,"")</f>
        <v/>
      </c>
      <c r="X14" s="32">
        <f>IFERROR(X13/W13-1,"")</f>
        <v/>
      </c>
      <c r="Y14" s="32">
        <f>IFERROR(Y13/X13-1,"")</f>
        <v/>
      </c>
    </row>
    <row r="15"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변수!D57</f>
        <v/>
      </c>
      <c r="E16" s="2" t="inlineStr">
        <is>
          <t>외화 순노출 × Δ기말환율 (외화 시트 방식)</t>
        </is>
      </c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20">
        <f>IFERROR($D$16*(P7-O7)/100,"")</f>
        <v/>
      </c>
      <c r="Q17" s="20">
        <f>IFERROR($D$16*(Q7-P7)/100,"")</f>
        <v/>
      </c>
      <c r="R17" s="20">
        <f>IFERROR($D$16*(R7-Q7)/100,"")</f>
        <v/>
      </c>
      <c r="S17" s="20">
        <f>IFERROR($D$16*(S7-R7)/100,"")</f>
        <v/>
      </c>
      <c r="T17" s="20">
        <f>IFERROR($D$16*(T7-S7)/100,"")</f>
        <v/>
      </c>
      <c r="U17" s="20">
        <f>IFERROR($D$16*(U7-T7)/100,"")</f>
        <v/>
      </c>
      <c r="V17" s="20">
        <f>IFERROR($D$16*(V7-U7)/100,"")</f>
        <v/>
      </c>
      <c r="W17" s="20">
        <f>IFERROR($D$16*(W7-V7)/100,"")</f>
        <v/>
      </c>
      <c r="X17" s="20">
        <f>IFERROR($D$16*(X7-W7)/100,"")</f>
        <v/>
      </c>
      <c r="Y17" s="20">
        <f>IFERROR($D$16*(Y7-X7)/100,"")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C19" s="2" t="inlineStr">
        <is>
          <t>외화 순노출 미공시(face) → 0 + 표기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