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S15" authorId="0" shapeId="0">
      <text>
        <t>분기 진행 중(partial) — aikstockdata/토스 일봉</t>
      </text>
    </comment>
    <comment ref="S16" authorId="0" shapeId="0">
      <text>
        <t>분기 진행 중(partial) — aikstockdata/토스 일봉</t>
      </text>
    </comment>
    <comment ref="S17" authorId="0" shapeId="0">
      <text>
        <t>분기 진행 중(partial) — aikstockdata/토스 일봉</t>
      </text>
    </comment>
    <comment ref="S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모델값 역산(implied): v / 매출액
매출액 × 판관비율 8.23%(최근 4분기 중위)</t>
      </text>
    </comment>
    <comment ref="T22" authorId="0" shapeId="0">
      <text>
        <t>모델값 역산(implied): v / 매출액
매출액 × 판관비율 8.23%(최근 4분기 중위)</t>
      </text>
    </comment>
    <comment ref="V22" authorId="0" shapeId="0">
      <text>
        <t>모델값 역산(implied): v / 매출액
매출액 × 판관비율 8.23%(최근 4분기 중위)</t>
      </text>
    </comment>
    <comment ref="W22" authorId="0" shapeId="0">
      <text>
        <t>모델값 역산(implied): v / 매출액
매출액 × 판관비율 8.23%(최근 4분기 중위)</t>
      </text>
    </comment>
    <comment ref="X22" authorId="0" shapeId="0">
      <text>
        <t>모델값 역산(implied): v / 매출액
매출액 × 판관비율 8.23%(최근 4분기 중위)</t>
      </text>
    </comment>
    <comment ref="Y22" authorId="0" shapeId="0">
      <text>
        <t>모델값 역산(implied): v / 매출액
매출액 × 판관비율 8.23%(최근 4분기 중위)</t>
      </text>
    </comment>
    <comment ref="AA22" authorId="0" shapeId="0">
      <text>
        <t>모델값 역산(implied): v / 매출액
매출액 × 판관비율 8.23%(최근 4분기 중위)</t>
      </text>
    </comment>
    <comment ref="AB22" authorId="0" shapeId="0">
      <text>
        <t>모델값 역산(implied): v / 매출액
매출액 × 판관비율 8.23%(최근 4분기 중위)</t>
      </text>
    </comment>
    <comment ref="AC22" authorId="0" shapeId="0">
      <text>
        <t>모델값 역산(implied): v / 매출액
매출액 × 판관비율 8.23%(최근 4분기 중위)</t>
      </text>
    </comment>
    <comment ref="AD22" authorId="0" shapeId="0">
      <text>
        <t>모델값 역산(implied): v / 매출액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v / 전년동기 − 1
최근 8분기 OPM 중위 15.7% 유지(클립 −20~40%)</t>
      </text>
    </comment>
    <comment ref="T24" authorId="0" shapeId="0">
      <text>
        <t>모델값 역산(implied): v / 전년동기 − 1
최근 8분기 OPM 중위 15.7% 유지(클립 −20~40%)</t>
      </text>
    </comment>
    <comment ref="V24" authorId="0" shapeId="0">
      <text>
        <t>모델값 역산(implied): v / 전년동기 − 1
최근 8분기 OPM 중위 15.7% 유지(클립 −20~40%)</t>
      </text>
    </comment>
    <comment ref="W24" authorId="0" shapeId="0">
      <text>
        <t>모델값 역산(implied): v / 전년동기 − 1
최근 8분기 OPM 중위 15.7% 유지(클립 −20~40%)</t>
      </text>
    </comment>
    <comment ref="X24" authorId="0" shapeId="0">
      <text>
        <t>모델값 역산(implied): v / 전년동기 − 1
최근 8분기 OPM 중위 15.7% 유지(클립 −20~40%)</t>
      </text>
    </comment>
    <comment ref="Y24" authorId="0" shapeId="0">
      <text>
        <t>모델값 역산(implied): v / 전년동기 − 1
최근 8분기 OPM 중위 15.7% 유지(클립 −20~40%)</t>
      </text>
    </comment>
    <comment ref="AA24" authorId="0" shapeId="0">
      <text>
        <t>모델값 역산(implied): v / 전년동기 − 1
최근 8분기 OPM 중위 15.7% 유지(클립 −20~40%)</t>
      </text>
    </comment>
    <comment ref="AB24" authorId="0" shapeId="0">
      <text>
        <t>모델값 역산(implied): v / 전년동기 − 1
최근 8분기 OPM 중위 15.7% 유지(클립 −20~40%)</t>
      </text>
    </comment>
    <comment ref="AC24" authorId="0" shapeId="0">
      <text>
        <t>모델값 역산(implied): v / 전년동기 − 1
최근 8분기 OPM 중위 15.7% 유지(클립 −20~40%)</t>
      </text>
    </comment>
    <comment ref="AD24" authorId="0" shapeId="0">
      <text>
        <t>모델값 역산(implied): v / 전년동기 − 1
최근 8분기 OPM 중위 15.7% 유지(클립 −20~40%)</t>
      </text>
    </comment>
    <comment ref="S25" authorId="0" shapeId="0">
      <text>
        <t>모델값 역산(implied): 모델 v 그대로
이자손익 + 외환손익 0 + 파생상품손익 0 + 기타금융손익 +0.00억(잔차 실측 3분기 &lt; 4 → 0) (항등식); 이자손익 = 이자발생자산 138억 × 2.32%(주석 이자수익 ÷ 평균 이자발생자산(2025Q3~2026Q2)) − 총차입금 478억 × 1.50%(주석 이자비용 ÷ 평균 총차입금(2025Q1~2026Q2)) (연율) ÷ 4; 환율 효과는 환관련손익 행 별도</t>
      </text>
    </comment>
    <comment ref="T25" authorId="0" shapeId="0">
      <text>
        <t>모델값 역산(implied): 모델 v 그대로
이자손익 + 외환손익 0 + 파생상품손익 0 + 기타금융손익 +0.00억(잔차 실측 3분기 &lt; 4 → 0) (항등식); 이자손익 = 이자발생자산 173억 × 2.32%(주석 이자수익 ÷ 평균 이자발생자산(2025Q3~2026Q2)) − 총차입금 478억 × 1.50%(주석 이자비용 ÷ 평균 총차입금(2025Q1~2026Q2)) (연율) ÷ 4; 환율 효과는 환관련손익 행 별도</t>
      </text>
    </comment>
    <comment ref="V25" authorId="0" shapeId="0">
      <text>
        <t>모델값 역산(implied): 모델 v 그대로
이자손익 + 외환손익 0 + 파생상품손익 0 + 기타금융손익 +0.00억(잔차 실측 3분기 &lt; 4 → 0) (항등식); 이자손익 = 이자발생자산 214억 × 2.32%(주석 이자수익 ÷ 평균 이자발생자산(2025Q3~2026Q2)) − 총차입금 478억 × 1.50%(주석 이자비용 ÷ 평균 총차입금(2025Q1~2026Q2)) (연율) ÷ 4; 환율 효과는 환관련손익 행 별도</t>
      </text>
    </comment>
    <comment ref="W25" authorId="0" shapeId="0">
      <text>
        <t>모델값 역산(implied): 모델 v 그대로
이자손익 + 외환손익 0 + 파생상품손익 0 + 기타금융손익 +0.00억(잔차 실측 3분기 &lt; 4 → 0) (항등식); 이자손익 = 이자발생자산 263억 × 2.32%(주석 이자수익 ÷ 평균 이자발생자산(2025Q3~2026Q2)) − 총차입금 478억 × 1.50%(주석 이자비용 ÷ 평균 총차입금(2025Q1~2026Q2)) (연율) ÷ 4; 환율 효과는 환관련손익 행 별도</t>
      </text>
    </comment>
    <comment ref="X25" authorId="0" shapeId="0">
      <text>
        <t>모델값 역산(implied): 모델 v 그대로
이자손익 + 외환손익 0 + 파생상품손익 0 + 기타금융손익 +0.00억(잔차 실측 3분기 &lt; 4 → 0) (항등식); 이자손익 = 이자발생자산 316억 × 2.32%(주석 이자수익 ÷ 평균 이자발생자산(2025Q3~2026Q2)) − 총차입금 478억 × 1.50%(주석 이자비용 ÷ 평균 총차입금(2025Q1~2026Q2)) (연율) ÷ 4; 환율 효과는 환관련손익 행 별도</t>
      </text>
    </comment>
    <comment ref="Y25" authorId="0" shapeId="0">
      <text>
        <t>모델값 역산(implied): 모델 v 그대로
이자손익 + 외환손익 0 + 파생상품손익 0 + 기타금융손익 +0.00억(잔차 실측 3분기 &lt; 4 → 0) (항등식); 이자손익 = 이자발생자산 361억 × 2.32%(주석 이자수익 ÷ 평균 이자발생자산(2025Q3~2026Q2)) − 총차입금 478억 × 1.50%(주석 이자비용 ÷ 평균 총차입금(2025Q1~2026Q2)) (연율) ÷ 4; 환율 효과는 환관련손익 행 별도</t>
      </text>
    </comment>
    <comment ref="AA25" authorId="0" shapeId="0">
      <text>
        <t>모델값 역산(implied): 모델 v 그대로
이자손익 + 외환손익 0 + 파생상품손익 0 + 기타금융손익 +0.00억(잔차 실측 3분기 &lt; 4 → 0) (항등식); 이자손익 = 이자발생자산 412억 × 2.32%(주석 이자수익 ÷ 평균 이자발생자산(2025Q3~2026Q2)) − 총차입금 478억 × 1.50%(주석 이자비용 ÷ 평균 총차입금(2025Q1~2026Q2)) (연율) ÷ 4; 환율 효과는 환관련손익 행 별도</t>
      </text>
    </comment>
    <comment ref="AB25" authorId="0" shapeId="0">
      <text>
        <t>모델값 역산(implied): 모델 v 그대로
이자손익 + 외환손익 0 + 파생상품손익 0 + 기타금융손익 +0.00억(잔차 실측 3분기 &lt; 4 → 0) (항등식); 이자손익 = 이자발생자산 475억 × 2.32%(주석 이자수익 ÷ 평균 이자발생자산(2025Q3~2026Q2)) − 총차입금 478억 × 1.50%(주석 이자비용 ÷ 평균 총차입금(2025Q1~2026Q2)) (연율) ÷ 4; 환율 효과는 환관련손익 행 별도</t>
      </text>
    </comment>
    <comment ref="AC25" authorId="0" shapeId="0">
      <text>
        <t>모델값 역산(implied): 모델 v 그대로
이자손익 + 외환손익 0 + 파생상품손익 0 + 기타금융손익 +0.00억(잔차 실측 3분기 &lt; 4 → 0) (항등식); 이자손익 = 이자발생자산 542억 × 2.32%(주석 이자수익 ÷ 평균 이자발생자산(2025Q3~2026Q2)) − 총차입금 478억 × 1.50%(주석 이자비용 ÷ 평균 총차입금(2025Q1~2026Q2))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3분기 &lt; 4 → 0) (항등식); 이자손익 = 이자발생자산 594억 × 2.32%(주석 이자수익 ÷ 평균 이자발생자산(2025Q3~2026Q2)) − 총차입금 478억 × 1.50%(주석 이자비용 ÷ 평균 총차입금(2025Q1~2026Q2)) (연율) ÷ 4; 환율 효과는 환관련손익 행 별도</t>
      </text>
    </comment>
    <comment ref="S26" authorId="0" shapeId="0">
      <text>
        <t>모델값 역산(implied): 모델 v 그대로
이자발생자산 138억 × 2.32%(주석 이자수익 ÷ 평균 이자발생자산(2025Q3~2026Q2)) − 총차입금 478억 × 1.50%(주석 이자비용 ÷ 평균 총차입금(2025Q1~2026Q2)) (연율) ÷ 4</t>
      </text>
    </comment>
    <comment ref="T26" authorId="0" shapeId="0">
      <text>
        <t>모델값 역산(implied): 모델 v 그대로
이자발생자산 173억 × 2.32%(주석 이자수익 ÷ 평균 이자발생자산(2025Q3~2026Q2)) − 총차입금 478억 × 1.50%(주석 이자비용 ÷ 평균 총차입금(2025Q1~2026Q2)) (연율) ÷ 4</t>
      </text>
    </comment>
    <comment ref="V26" authorId="0" shapeId="0">
      <text>
        <t>모델값 역산(implied): 모델 v 그대로
이자발생자산 214억 × 2.32%(주석 이자수익 ÷ 평균 이자발생자산(2025Q3~2026Q2)) − 총차입금 478억 × 1.50%(주석 이자비용 ÷ 평균 총차입금(2025Q1~2026Q2)) (연율) ÷ 4</t>
      </text>
    </comment>
    <comment ref="W26" authorId="0" shapeId="0">
      <text>
        <t>모델값 역산(implied): 모델 v 그대로
이자발생자산 263억 × 2.32%(주석 이자수익 ÷ 평균 이자발생자산(2025Q3~2026Q2)) − 총차입금 478억 × 1.50%(주석 이자비용 ÷ 평균 총차입금(2025Q1~2026Q2)) (연율) ÷ 4</t>
      </text>
    </comment>
    <comment ref="X26" authorId="0" shapeId="0">
      <text>
        <t>모델값 역산(implied): 모델 v 그대로
이자발생자산 316억 × 2.32%(주석 이자수익 ÷ 평균 이자발생자산(2025Q3~2026Q2)) − 총차입금 478억 × 1.50%(주석 이자비용 ÷ 평균 총차입금(2025Q1~2026Q2)) (연율) ÷ 4</t>
      </text>
    </comment>
    <comment ref="Y26" authorId="0" shapeId="0">
      <text>
        <t>모델값 역산(implied): 모델 v 그대로
이자발생자산 361억 × 2.32%(주석 이자수익 ÷ 평균 이자발생자산(2025Q3~2026Q2)) − 총차입금 478억 × 1.50%(주석 이자비용 ÷ 평균 총차입금(2025Q1~2026Q2)) (연율) ÷ 4</t>
      </text>
    </comment>
    <comment ref="AA26" authorId="0" shapeId="0">
      <text>
        <t>모델값 역산(implied): 모델 v 그대로
이자발생자산 412억 × 2.32%(주석 이자수익 ÷ 평균 이자발생자산(2025Q3~2026Q2)) − 총차입금 478억 × 1.50%(주석 이자비용 ÷ 평균 총차입금(2025Q1~2026Q2)) (연율) ÷ 4</t>
      </text>
    </comment>
    <comment ref="AB26" authorId="0" shapeId="0">
      <text>
        <t>모델값 역산(implied): 모델 v 그대로
이자발생자산 475억 × 2.32%(주석 이자수익 ÷ 평균 이자발생자산(2025Q3~2026Q2)) − 총차입금 478억 × 1.50%(주석 이자비용 ÷ 평균 총차입금(2025Q1~2026Q2)) (연율) ÷ 4</t>
      </text>
    </comment>
    <comment ref="AC26" authorId="0" shapeId="0">
      <text>
        <t>모델값 역산(implied): 모델 v 그대로
이자발생자산 542억 × 2.32%(주석 이자수익 ÷ 평균 이자발생자산(2025Q3~2026Q2)) − 총차입금 478억 × 1.50%(주석 이자비용 ÷ 평균 총차입금(2025Q1~2026Q2)) (연율) ÷ 4</t>
      </text>
    </comment>
    <comment ref="AD26" authorId="0" shapeId="0">
      <text>
        <t>모델값 역산(implied): 모델 v 그대로
이자발생자산 594억 × 2.32%(주석 이자수익 ÷ 평균 이자발생자산(2025Q3~2026Q2)) − 총차입금 478억 × 1.50%(주석 이자비용 ÷ 평균 총차입금(2025Q1~2026Q2)) (연율) ÷ 4</t>
      </text>
    </comment>
    <comment ref="S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T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W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S28" authorId="0" shapeId="0">
      <text>
        <t>모델값 역산(implied): 모델 v 그대로
파생상품 평가·거래손익 0 가정</t>
      </text>
    </comment>
    <comment ref="T28" authorId="0" shapeId="0">
      <text>
        <t>모델값 역산(implied): 모델 v 그대로
파생상품 평가·거래손익 0 가정</t>
      </text>
    </comment>
    <comment ref="V28" authorId="0" shapeId="0">
      <text>
        <t>모델값 역산(implied): 모델 v 그대로
파생상품 평가·거래손익 0 가정</t>
      </text>
    </comment>
    <comment ref="W28" authorId="0" shapeId="0">
      <text>
        <t>모델값 역산(implied): 모델 v 그대로
파생상품 평가·거래손익 0 가정</t>
      </text>
    </comment>
    <comment ref="X28" authorId="0" shapeId="0">
      <text>
        <t>모델값 역산(implied): 모델 v 그대로
파생상품 평가·거래손익 0 가정</t>
      </text>
    </comment>
    <comment ref="Y28" authorId="0" shapeId="0">
      <text>
        <t>모델값 역산(implied): 모델 v 그대로
파생상품 평가·거래손익 0 가정</t>
      </text>
    </comment>
    <comment ref="AA28" authorId="0" shapeId="0">
      <text>
        <t>모델값 역산(implied): 모델 v 그대로
파생상품 평가·거래손익 0 가정</t>
      </text>
    </comment>
    <comment ref="AB28" authorId="0" shapeId="0">
      <text>
        <t>모델값 역산(implied): 모델 v 그대로
파생상품 평가·거래손익 0 가정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S29" authorId="0" shapeId="0">
      <text>
        <t>모델값 역산(implied): v / 전년동기 − 1
잔차 실측 3분기 &lt; 4 → 0</t>
      </text>
    </comment>
    <comment ref="W29" authorId="0" shapeId="0">
      <text>
        <t>모델값 역산(implied): v / 전년동기 − 1
잔차 실측 3분기 &lt; 4 → 0</t>
      </text>
    </comment>
    <comment ref="S30" authorId="0" shapeId="0">
      <text>
        <t>모델값 역산(implied): 모델 v 그대로
일회성 미가정 → 0</t>
      </text>
    </comment>
    <comment ref="T30" authorId="0" shapeId="0">
      <text>
        <t>모델값 역산(implied): 모델 v 그대로
일회성 미가정 → 0</t>
      </text>
    </comment>
    <comment ref="V30" authorId="0" shapeId="0">
      <text>
        <t>모델값 역산(implied): 모델 v 그대로
일회성 미가정 → 0</t>
      </text>
    </comment>
    <comment ref="W30" authorId="0" shapeId="0">
      <text>
        <t>모델값 역산(implied): 모델 v 그대로
일회성 미가정 → 0</t>
      </text>
    </comment>
    <comment ref="X30" authorId="0" shapeId="0">
      <text>
        <t>모델값 역산(implied): 모델 v 그대로
일회성 미가정 → 0</t>
      </text>
    </comment>
    <comment ref="Y30" authorId="0" shapeId="0">
      <text>
        <t>모델값 역산(implied): 모델 v 그대로
일회성 미가정 → 0</t>
      </text>
    </comment>
    <comment ref="AA30" authorId="0" shapeId="0">
      <text>
        <t>모델값 역산(implied): 모델 v 그대로
일회성 미가정 → 0</t>
      </text>
    </comment>
    <comment ref="AB30" authorId="0" shapeId="0">
      <text>
        <t>모델값 역산(implied): 모델 v 그대로
일회성 미가정 → 0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S31" authorId="0" shapeId="0">
      <text>
        <t>모델값 역산(implied): v / 세전이익
max(세전, 0) × 세율 5.0%(최근 11분기 유효세율 32.5% 가 5~27% 밖 → 클립 대신 최근 8분기 중 세전 &gt; 0 인 7분기(2024Q3~2026Q2)의 법인세/세전 중위 5.0%)</t>
      </text>
    </comment>
    <comment ref="T31" authorId="0" shapeId="0">
      <text>
        <t>모델값 역산(implied): v / 세전이익
max(세전, 0) × 세율 5.0%(최근 11분기 유효세율 32.5% 가 5~27% 밖 → 클립 대신 최근 8분기 중 세전 &gt; 0 인 7분기(2024Q3~2026Q2)의 법인세/세전 중위 5.0%)</t>
      </text>
    </comment>
    <comment ref="V31" authorId="0" shapeId="0">
      <text>
        <t>모델값 역산(implied): v / 세전이익
max(세전, 0) × 세율 5.0%(최근 11분기 유효세율 32.5% 가 5~27% 밖 → 클립 대신 최근 8분기 중 세전 &gt; 0 인 7분기(2024Q3~2026Q2)의 법인세/세전 중위 5.0%)</t>
      </text>
    </comment>
    <comment ref="W31" authorId="0" shapeId="0">
      <text>
        <t>모델값 역산(implied): v / 세전이익
max(세전, 0) × 세율 5.0%(최근 11분기 유효세율 32.5% 가 5~27% 밖 → 클립 대신 최근 8분기 중 세전 &gt; 0 인 7분기(2024Q3~2026Q2)의 법인세/세전 중위 5.0%)</t>
      </text>
    </comment>
    <comment ref="X31" authorId="0" shapeId="0">
      <text>
        <t>모델값 역산(implied): v / 세전이익
max(세전, 0) × 세율 5.0%(최근 11분기 유효세율 32.5% 가 5~27% 밖 → 클립 대신 최근 8분기 중 세전 &gt; 0 인 7분기(2024Q3~2026Q2)의 법인세/세전 중위 5.0%)</t>
      </text>
    </comment>
    <comment ref="Y31" authorId="0" shapeId="0">
      <text>
        <t>모델값 역산(implied): v / 세전이익
max(세전, 0) × 세율 5.0%(최근 11분기 유효세율 32.5% 가 5~27% 밖 → 클립 대신 최근 8분기 중 세전 &gt; 0 인 7분기(2024Q3~2026Q2)의 법인세/세전 중위 5.0%)</t>
      </text>
    </comment>
    <comment ref="AA31" authorId="0" shapeId="0">
      <text>
        <t>모델값 역산(implied): v / 세전이익
max(세전, 0) × 세율 5.0%(최근 11분기 유효세율 32.5% 가 5~27% 밖 → 클립 대신 최근 8분기 중 세전 &gt; 0 인 7분기(2024Q3~2026Q2)의 법인세/세전 중위 5.0%)</t>
      </text>
    </comment>
    <comment ref="AB31" authorId="0" shapeId="0">
      <text>
        <t>모델값 역산(implied): v / 세전이익
max(세전, 0) × 세율 5.0%(최근 11분기 유효세율 32.5% 가 5~27% 밖 → 클립 대신 최근 8분기 중 세전 &gt; 0 인 7분기(2024Q3~2026Q2)의 법인세/세전 중위 5.0%)</t>
      </text>
    </comment>
    <comment ref="AC31" authorId="0" shapeId="0">
      <text>
        <t>모델값 역산(implied): v / 세전이익
max(세전, 0) × 세율 5.0%(최근 11분기 유효세율 32.5% 가 5~27% 밖 → 클립 대신 최근 8분기 중 세전 &gt; 0 인 7분기(2024Q3~2026Q2)의 법인세/세전 중위 5.0%)</t>
      </text>
    </comment>
    <comment ref="AD31" authorId="0" shapeId="0">
      <text>
        <t>모델값 역산(implied): v / 세전이익
max(세전, 0) × 세율 5.0%(최근 11분기 유효세율 32.5% 가 5~27% 밖 → 클립 대신 최근 8분기 중 세전 &gt; 0 인 7분기(2024Q3~2026Q2)의 법인세/세전 중위 5.0%)</t>
      </text>
    </comment>
    <comment ref="S32" authorId="0" shapeId="0">
      <text>
        <t>모델값 역산(implied): v / 당기순이익
당기순이익 × (1 − 비지배 비중 0.0%, 최근 8분기 실측)</t>
      </text>
    </comment>
    <comment ref="T32" authorId="0" shapeId="0">
      <text>
        <t>모델값 역산(implied): v / 당기순이익
당기순이익 × (1 − 비지배 비중 0.0%, 최근 8분기 실측)</t>
      </text>
    </comment>
    <comment ref="V32" authorId="0" shapeId="0">
      <text>
        <t>모델값 역산(implied): v / 당기순이익
당기순이익 × (1 − 비지배 비중 0.0%, 최근 8분기 실측)</t>
      </text>
    </comment>
    <comment ref="W32" authorId="0" shapeId="0">
      <text>
        <t>모델값 역산(implied): v / 당기순이익
당기순이익 × (1 − 비지배 비중 0.0%, 최근 8분기 실측)</t>
      </text>
    </comment>
    <comment ref="X32" authorId="0" shapeId="0">
      <text>
        <t>모델값 역산(implied): v / 당기순이익
당기순이익 × (1 − 비지배 비중 0.0%, 최근 8분기 실측)</t>
      </text>
    </comment>
    <comment ref="Y32" authorId="0" shapeId="0">
      <text>
        <t>모델값 역산(implied): v / 당기순이익
당기순이익 × (1 − 비지배 비중 0.0%, 최근 8분기 실측)</t>
      </text>
    </comment>
    <comment ref="AA32" authorId="0" shapeId="0">
      <text>
        <t>모델값 역산(implied): v / 당기순이익
당기순이익 × (1 − 비지배 비중 0.0%, 최근 8분기 실측)</t>
      </text>
    </comment>
    <comment ref="AB32" authorId="0" shapeId="0">
      <text>
        <t>모델값 역산(implied): v / 당기순이익
당기순이익 × (1 − 비지배 비중 0.0%, 최근 8분기 실측)</t>
      </text>
    </comment>
    <comment ref="AC32" authorId="0" shapeId="0">
      <text>
        <t>모델값 역산(implied): v / 당기순이익
당기순이익 × (1 − 비지배 비중 0.0%, 최근 8분기 실측)</t>
      </text>
    </comment>
    <comment ref="AD32" authorId="0" shapeId="0">
      <text>
        <t>모델값 역산(implied): v / 당기순이익
당기순이익 × (1 − 비지배 비중 0.0%, 최근 8분기 실측)</t>
      </text>
    </comment>
    <comment ref="S33" authorId="0" shapeId="0">
      <text>
        <t>모델값 역산(implied): v / 전년동기 − 1
최근 4분기 감가상각비 중위 유지</t>
      </text>
    </comment>
    <comment ref="T33" authorId="0" shapeId="0">
      <text>
        <t>모델값 역산(implied): v / 전년동기 − 1
최근 4분기 감가상각비 중위 유지</t>
      </text>
    </comment>
    <comment ref="V33" authorId="0" shapeId="0">
      <text>
        <t>모델값 역산(implied): v / 전년동기 − 1
최근 4분기 감가상각비 중위 유지</t>
      </text>
    </comment>
    <comment ref="W33" authorId="0" shapeId="0">
      <text>
        <t>모델값 역산(implied): v / 전년동기 − 1
최근 4분기 감가상각비 중위 유지</t>
      </text>
    </comment>
    <comment ref="X33" authorId="0" shapeId="0">
      <text>
        <t>모델값 역산(implied): v / 전년동기 − 1
최근 4분기 감가상각비 중위 유지</t>
      </text>
    </comment>
    <comment ref="Y33" authorId="0" shapeId="0">
      <text>
        <t>모델값 역산(implied): v / 전년동기 − 1
최근 4분기 감가상각비 중위 유지</t>
      </text>
    </comment>
    <comment ref="AA33" authorId="0" shapeId="0">
      <text>
        <t>모델값 역산(implied): v / 전년동기 − 1
최근 4분기 감가상각비 중위 유지</t>
      </text>
    </comment>
    <comment ref="AB33" authorId="0" shapeId="0">
      <text>
        <t>모델값 역산(implied): v / 전년동기 − 1
최근 4분기 감가상각비 중위 유지</t>
      </text>
    </comment>
    <comment ref="AC33" authorId="0" shapeId="0">
      <text>
        <t>모델값 역산(implied): v / 전년동기 − 1
최근 4분기 감가상각비 중위 유지</t>
      </text>
    </comment>
    <comment ref="AD33" authorId="0" shapeId="0">
      <text>
        <t>모델값 역산(implied): v / 전년동기 − 1
최근 4분기 감가상각비 중위 유지</t>
      </text>
    </comment>
    <comment ref="S34" authorId="0" shapeId="0">
      <text>
        <t>모델값 역산(implied): v / 전년동기 − 1
영업이익 + 감가상각비</t>
      </text>
    </comment>
    <comment ref="T34" authorId="0" shapeId="0">
      <text>
        <t>모델값 역산(implied): v / 전년동기 − 1
영업이익 + 감가상각비</t>
      </text>
    </comment>
    <comment ref="V34" authorId="0" shapeId="0">
      <text>
        <t>모델값 역산(implied): v / 전년동기 − 1
영업이익 + 감가상각비</t>
      </text>
    </comment>
    <comment ref="W34" authorId="0" shapeId="0">
      <text>
        <t>모델값 역산(implied): v / 전년동기 − 1
영업이익 + 감가상각비</t>
      </text>
    </comment>
    <comment ref="X34" authorId="0" shapeId="0">
      <text>
        <t>모델값 역산(implied): v / 전년동기 − 1
영업이익 + 감가상각비</t>
      </text>
    </comment>
    <comment ref="Y34" authorId="0" shapeId="0">
      <text>
        <t>모델값 역산(implied): v / 전년동기 − 1
영업이익 + 감가상각비</t>
      </text>
    </comment>
    <comment ref="AA34" authorId="0" shapeId="0">
      <text>
        <t>모델값 역산(implied): v / 전년동기 − 1
영업이익 + 감가상각비</t>
      </text>
    </comment>
    <comment ref="AB34" authorId="0" shapeId="0">
      <text>
        <t>모델값 역산(implied): v / 전년동기 − 1
영업이익 + 감가상각비</t>
      </text>
    </comment>
    <comment ref="AC34" authorId="0" shapeId="0">
      <text>
        <t>모델값 역산(implied): v / 전년동기 − 1
영업이익 + 감가상각비</t>
      </text>
    </comment>
    <comment ref="AD34" authorId="0" shapeId="0">
      <text>
        <t>모델값 역산(implied): v / 전년동기 − 1
영업이익 + 감가상각비</t>
      </text>
    </comment>
    <comment ref="S35" authorId="0" shapeId="0">
      <text>
        <t>모델값 역산(implied): v / 전분기 − 1
마지막 실적 유지(가정)</t>
      </text>
    </comment>
    <comment ref="T35" authorId="0" shapeId="0">
      <text>
        <t>모델값 역산(implied): v / 전분기 − 1
마지막 실적 유지(가정)</t>
      </text>
    </comment>
    <comment ref="V35" authorId="0" shapeId="0">
      <text>
        <t>모델값 역산(implied): v / 전분기 − 1
마지막 실적 유지(가정)</t>
      </text>
    </comment>
    <comment ref="W35" authorId="0" shapeId="0">
      <text>
        <t>모델값 역산(implied): v / 전분기 − 1
마지막 실적 유지(가정)</t>
      </text>
    </comment>
    <comment ref="X35" authorId="0" shapeId="0">
      <text>
        <t>모델값 역산(implied): v / 전분기 − 1
마지막 실적 유지(가정)</t>
      </text>
    </comment>
    <comment ref="Y35" authorId="0" shapeId="0">
      <text>
        <t>모델값 역산(implied): v / 전분기 − 1
마지막 실적 유지(가정)</t>
      </text>
    </comment>
    <comment ref="AA35" authorId="0" shapeId="0">
      <text>
        <t>모델값 역산(implied): v / 전분기 − 1
마지막 실적 유지(가정)</t>
      </text>
    </comment>
    <comment ref="AB35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S36" authorId="0" shapeId="0">
      <text>
        <t>모델값 역산(implied): 전분기 + 당기순이익 − v
전분기 + 당기순이익 − 배당(Q2 지급 가정)</t>
      </text>
    </comment>
    <comment ref="T36" authorId="0" shapeId="0">
      <text>
        <t>모델값 역산(implied): 전분기 + 당기순이익 − v
전분기 + 당기순이익 − 배당(Q2 지급 가정)</t>
      </text>
    </comment>
    <comment ref="V36" authorId="0" shapeId="0">
      <text>
        <t>모델값 역산(implied): 전분기 + 당기순이익 − v
전분기 + 당기순이익 − 배당(Q2 지급 가정)</t>
      </text>
    </comment>
    <comment ref="W36" authorId="0" shapeId="0">
      <text>
        <t>모델값 역산(implied): 전분기 + 당기순이익 − v
전분기 + 당기순이익 − 배당(Q2 지급 가정)</t>
      </text>
    </comment>
    <comment ref="X36" authorId="0" shapeId="0">
      <text>
        <t>모델값 역산(implied): 전분기 + 당기순이익 − v
전분기 + 당기순이익 − 배당(Q2 지급 가정)</t>
      </text>
    </comment>
    <comment ref="Y36" authorId="0" shapeId="0">
      <text>
        <t>모델값 역산(implied): 전분기 + 당기순이익 − v
전분기 + 당기순이익 − 배당(Q2 지급 가정)</t>
      </text>
    </comment>
    <comment ref="AA36" authorId="0" shapeId="0">
      <text>
        <t>모델값 역산(implied): 전분기 + 당기순이익 − v
전분기 + 당기순이익 − 배당(Q2 지급 가정)</t>
      </text>
    </comment>
    <comment ref="AB36" authorId="0" shapeId="0">
      <text>
        <t>모델값 역산(implied): 전분기 + 당기순이익 − v
전분기 + 당기순이익 − 배당(Q2 지급 가정)</t>
      </text>
    </comment>
    <comment ref="AC36" authorId="0" shapeId="0">
      <text>
        <t>모델값 역산(implied): 전분기 + 당기순이익 − v
전분기 + 당기순이익 − 배당(Q2 지급 가정)</t>
      </text>
    </comment>
    <comment ref="AD36" authorId="0" shapeId="0">
      <text>
        <t>모델값 역산(implied): 전분기 + 당기순이익 − v
전분기 + 당기순이익 − 배당(Q2 지급 가정)</t>
      </text>
    </comment>
    <comment ref="S37" authorId="0" shapeId="0">
      <text>
        <t>모델값 역산(implied): 전분기 + 지배주주순이익 − v
전분기 + 지배주주순이익 − 배당</t>
      </text>
    </comment>
    <comment ref="T37" authorId="0" shapeId="0">
      <text>
        <t>모델값 역산(implied): 전분기 + 지배주주순이익 − v
전분기 + 지배주주순이익 − 배당</t>
      </text>
    </comment>
    <comment ref="V37" authorId="0" shapeId="0">
      <text>
        <t>모델값 역산(implied): 전분기 + 지배주주순이익 − v
전분기 + 지배주주순이익 − 배당</t>
      </text>
    </comment>
    <comment ref="W37" authorId="0" shapeId="0">
      <text>
        <t>모델값 역산(implied): 전분기 + 지배주주순이익 − v
전분기 + 지배주주순이익 − 배당</t>
      </text>
    </comment>
    <comment ref="X37" authorId="0" shapeId="0">
      <text>
        <t>모델값 역산(implied): 전분기 + 지배주주순이익 − v
전분기 + 지배주주순이익 − 배당</t>
      </text>
    </comment>
    <comment ref="Y37" authorId="0" shapeId="0">
      <text>
        <t>모델값 역산(implied): 전분기 + 지배주주순이익 − v
전분기 + 지배주주순이익 − 배당</t>
      </text>
    </comment>
    <comment ref="AA37" authorId="0" shapeId="0">
      <text>
        <t>모델값 역산(implied): 전분기 + 지배주주순이익 − v
전분기 + 지배주주순이익 − 배당</t>
      </text>
    </comment>
    <comment ref="AB37" authorId="0" shapeId="0">
      <text>
        <t>모델값 역산(implied): 전분기 + 지배주주순이익 − v
전분기 + 지배주주순이익 − 배당</t>
      </text>
    </comment>
    <comment ref="AC37" authorId="0" shapeId="0">
      <text>
        <t>모델값 역산(implied): 전분기 + 지배주주순이익 − v
전분기 + 지배주주순이익 − 배당</t>
      </text>
    </comment>
    <comment ref="AD37" authorId="0" shapeId="0">
      <text>
        <t>모델값 역산(implied): 전분기 + 지배주주순이익 − v
전분기 + 지배주주순이익 − 배당</t>
      </text>
    </comment>
    <comment ref="S38" authorId="0" shapeId="0">
      <text>
        <t>모델값 역산(implied): v / 전분기 − 1
마지막 실적 유지(가정)</t>
      </text>
    </comment>
    <comment ref="T38" authorId="0" shapeId="0">
      <text>
        <t>모델값 역산(implied): v / 전분기 − 1
마지막 실적 유지(가정)</t>
      </text>
    </comment>
    <comment ref="V38" authorId="0" shapeId="0">
      <text>
        <t>모델값 역산(implied): v / 전분기 − 1
마지막 실적 유지(가정)</t>
      </text>
    </comment>
    <comment ref="W38" authorId="0" shapeId="0">
      <text>
        <t>모델값 역산(implied): v / 전분기 − 1
마지막 실적 유지(가정)</t>
      </text>
    </comment>
    <comment ref="X38" authorId="0" shapeId="0">
      <text>
        <t>모델값 역산(implied): v / 전분기 − 1
마지막 실적 유지(가정)</t>
      </text>
    </comment>
    <comment ref="Y38" authorId="0" shapeId="0">
      <text>
        <t>모델값 역산(implied): v / 전분기 − 1
마지막 실적 유지(가정)</t>
      </text>
    </comment>
    <comment ref="AA38" authorId="0" shapeId="0">
      <text>
        <t>모델값 역산(implied): v / 전분기 − 1
마지막 실적 유지(가정)</t>
      </text>
    </comment>
    <comment ref="AB38" authorId="0" shapeId="0">
      <text>
        <t>모델값 역산(implied): v / 전분기 − 1
마지막 실적 유지(가정)</t>
      </text>
    </comment>
    <comment ref="AC38" authorId="0" shapeId="0">
      <text>
        <t>모델값 역산(implied): v / 전분기 − 1
마지막 실적 유지(가정)</t>
      </text>
    </comment>
    <comment ref="AD38" authorId="0" shapeId="0">
      <text>
        <t>모델값 역산(implied): v / 전분기 − 1
마지막 실적 유지(가정)</t>
      </text>
    </comment>
    <comment ref="S39" authorId="0" shapeId="0">
      <text>
        <t>모델값 역산(implied): v / 전분기 − 1
전분기 − (순이익 − 배당): 순이익 = 순현금 증가 가정(CAPEX≈감가, 운전자본 불변)</t>
      </text>
    </comment>
    <comment ref="T39" authorId="0" shapeId="0">
      <text>
        <t>모델값 역산(implied): v / 전분기 − 1
전분기 − (순이익 − 배당): 순이익 = 순현금 증가 가정(CAPEX≈감가, 운전자본 불변)</t>
      </text>
    </comment>
    <comment ref="V39" authorId="0" shapeId="0">
      <text>
        <t>모델값 역산(implied): v / 전분기 − 1
전분기 − (순이익 − 배당): 순이익 = 순현금 증가 가정(CAPEX≈감가, 운전자본 불변)</t>
      </text>
    </comment>
    <comment ref="W39" authorId="0" shapeId="0">
      <text>
        <t>모델값 역산(implied): v / 전분기 − 1
전분기 − (순이익 − 배당): 순이익 = 순현금 증가 가정(CAPEX≈감가, 운전자본 불변)</t>
      </text>
    </comment>
    <comment ref="X39" authorId="0" shapeId="0">
      <text>
        <t>모델값 역산(implied): v / 전분기 − 1
전분기 − (순이익 − 배당): 순이익 = 순현금 증가 가정(CAPEX≈감가, 운전자본 불변)</t>
      </text>
    </comment>
    <comment ref="Y39" authorId="0" shapeId="0">
      <text>
        <t>모델값 역산(implied): v / 전분기 − 1
전분기 − (순이익 − 배당): 순이익 = 순현금 증가 가정(CAPEX≈감가, 운전자본 불변)</t>
      </text>
    </comment>
    <comment ref="AA39" authorId="0" shapeId="0">
      <text>
        <t>모델값 역산(implied): v / 전분기 − 1
전분기 − (순이익 − 배당): 순이익 = 순현금 증가 가정(CAPEX≈감가, 운전자본 불변)</t>
      </text>
    </comment>
    <comment ref="AB39" authorId="0" shapeId="0">
      <text>
        <t>모델값 역산(implied): v / 전분기 − 1
전분기 − (순이익 − 배당): 순이익 = 순현금 증가 가정(CAPEX≈감가, 운전자본 불변)</t>
      </text>
    </comment>
    <comment ref="AC39" authorId="0" shapeId="0">
      <text>
        <t>모델값 역산(implied): v / 전분기 − 1
전분기 − (순이익 − 배당): 순이익 = 순현금 증가 가정(CAPEX≈감가, 운전자본 불변)</t>
      </text>
    </comment>
    <comment ref="AD39" authorId="0" shapeId="0">
      <text>
        <t>모델값 역산(implied): v / 전분기 − 1
전분기 − (순이익 − 배당): 순이익 = 순현금 증가 가정(CAPEX≈감가, 운전자본 불변)</t>
      </text>
    </comment>
    <comment ref="S40" authorId="0" shapeId="0">
      <text>
        <t>모델값 역산(implied): v / 전분기 − 1
전분기 + (순이익 − 배당) — 순차입금 롤과 같은 가정</t>
      </text>
    </comment>
    <comment ref="T40" authorId="0" shapeId="0">
      <text>
        <t>모델값 역산(implied): v / 전분기 − 1
전분기 + (순이익 − 배당) — 순차입금 롤과 같은 가정</t>
      </text>
    </comment>
    <comment ref="V40" authorId="0" shapeId="0">
      <text>
        <t>모델값 역산(implied): v / 전분기 − 1
전분기 + (순이익 − 배당) — 순차입금 롤과 같은 가정</t>
      </text>
    </comment>
    <comment ref="W40" authorId="0" shapeId="0">
      <text>
        <t>모델값 역산(implied): v / 전분기 − 1
전분기 + (순이익 − 배당) — 순차입금 롤과 같은 가정</t>
      </text>
    </comment>
    <comment ref="X40" authorId="0" shapeId="0">
      <text>
        <t>모델값 역산(implied): v / 전분기 − 1
전분기 + (순이익 − 배당) — 순차입금 롤과 같은 가정</t>
      </text>
    </comment>
    <comment ref="Y40" authorId="0" shapeId="0">
      <text>
        <t>모델값 역산(implied): v / 전분기 − 1
전분기 + (순이익 − 배당) — 순차입금 롤과 같은 가정</t>
      </text>
    </comment>
    <comment ref="AA40" authorId="0" shapeId="0">
      <text>
        <t>모델값 역산(implied): v / 전분기 − 1
전분기 + (순이익 − 배당) — 순차입금 롤과 같은 가정</t>
      </text>
    </comment>
    <comment ref="AB40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전분기 + (순이익 − 배당) — 순차입금 롤과 같은 가정</t>
      </text>
    </comment>
    <comment ref="AD40" authorId="0" shapeId="0">
      <text>
        <t>모델값 역산(implied): v / 전분기 − 1
전분기 + (순이익 − 배당) — 순차입금 롤과 같은 가정</t>
      </text>
    </comment>
    <comment ref="S44" authorId="0" shapeId="0">
      <text>
        <t>모델값 역산(implied): v / 전분기 − 1
유통주식수 유지 — fin.shares.common_outstanding(2026Q2)</t>
      </text>
    </comment>
    <comment ref="T44" authorId="0" shapeId="0">
      <text>
        <t>모델값 역산(implied): v / 전분기 − 1
유통주식수 유지 — fin.shares.common_outstanding(2026Q2)</t>
      </text>
    </comment>
    <comment ref="V44" authorId="0" shapeId="0">
      <text>
        <t>모델값 역산(implied): v / 전분기 − 1
유통주식수 유지 — fin.shares.common_outstanding(2026Q2)</t>
      </text>
    </comment>
    <comment ref="W44" authorId="0" shapeId="0">
      <text>
        <t>모델값 역산(implied): v / 전분기 − 1
유통주식수 유지 — fin.shares.common_outstanding(2026Q2)</t>
      </text>
    </comment>
    <comment ref="X44" authorId="0" shapeId="0">
      <text>
        <t>모델값 역산(implied): v / 전분기 − 1
유통주식수 유지 — fin.shares.common_outstanding(2026Q2)</t>
      </text>
    </comment>
    <comment ref="Y44" authorId="0" shapeId="0">
      <text>
        <t>모델값 역산(implied): v / 전분기 − 1
유통주식수 유지 — fin.shares.common_outstanding(2026Q2)</t>
      </text>
    </comment>
    <comment ref="AA44" authorId="0" shapeId="0">
      <text>
        <t>모델값 역산(implied): v / 전분기 − 1
유통주식수 유지 — fin.shares.common_outstanding(2026Q2)</t>
      </text>
    </comment>
    <comment ref="AB44" authorId="0" shapeId="0">
      <text>
        <t>모델값 역산(implied): v / 전분기 − 1
유통주식수 유지 — fin.shares.common_outstanding(2026Q2)</t>
      </text>
    </comment>
    <comment ref="AC44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전분기 − 1
유통주식수 유지 — fin.shares.common_outstanding(2026Q2)</t>
      </text>
    </comment>
    <comment ref="S46" authorId="0" shapeId="0">
      <text>
        <t>모델값 역산(implied): v / 전년동기 − 1
현재 종가 ÷ TTM EPS(추정 포함)</t>
      </text>
    </comment>
    <comment ref="T46" authorId="0" shapeId="0">
      <text>
        <t>모델값 역산(implied): v / 전년동기 − 1
현재 종가 ÷ TTM EPS(추정 포함)</t>
      </text>
    </comment>
    <comment ref="V46" authorId="0" shapeId="0">
      <text>
        <t>모델값 역산(implied): v / 전년동기 − 1
현재 종가 ÷ TTM EPS(추정 포함)</t>
      </text>
    </comment>
    <comment ref="W46" authorId="0" shapeId="0">
      <text>
        <t>모델값 역산(implied): v / 전년동기 − 1
현재 종가 ÷ TTM EPS(추정 포함)</t>
      </text>
    </comment>
    <comment ref="X46" authorId="0" shapeId="0">
      <text>
        <t>모델값 역산(implied): v / 전년동기 − 1
현재 종가 ÷ TTM EPS(추정 포함)</t>
      </text>
    </comment>
    <comment ref="Y46" authorId="0" shapeId="0">
      <text>
        <t>모델값 역산(implied): v / 전년동기 − 1
현재 종가 ÷ TTM EPS(추정 포함)</t>
      </text>
    </comment>
    <comment ref="AA46" authorId="0" shapeId="0">
      <text>
        <t>모델값 역산(implied): v / 전년동기 − 1
현재 종가 ÷ TTM EPS(추정 포함)</t>
      </text>
    </comment>
    <comment ref="AB46" authorId="0" shapeId="0">
      <text>
        <t>모델값 역산(implied): v / 전년동기 − 1
현재 종가 ÷ TTM EPS(추정 포함)</t>
      </text>
    </comment>
    <comment ref="AC46" authorId="0" shapeId="0">
      <text>
        <t>모델값 역산(implied): v / 전년동기 − 1
현재 종가 ÷ TTM EPS(추정 포함)</t>
      </text>
    </comment>
    <comment ref="AD46" authorId="0" shapeId="0">
      <text>
        <t>모델값 역산(implied): v / 전년동기 − 1
현재 종가 ÷ TTM EPS(추정 포함)</t>
      </text>
    </comment>
    <comment ref="S47" authorId="0" shapeId="0">
      <text>
        <t>모델값 역산(implied): v / 전년동기 − 1
현재 종가 ÷ BPS(추정 포함)</t>
      </text>
    </comment>
    <comment ref="T47" authorId="0" shapeId="0">
      <text>
        <t>모델값 역산(implied): v / 전년동기 − 1
현재 종가 ÷ BPS(추정 포함)</t>
      </text>
    </comment>
    <comment ref="V47" authorId="0" shapeId="0">
      <text>
        <t>모델값 역산(implied): v / 전년동기 − 1
현재 종가 ÷ BPS(추정 포함)</t>
      </text>
    </comment>
    <comment ref="W47" authorId="0" shapeId="0">
      <text>
        <t>모델값 역산(implied): v / 전년동기 − 1
현재 종가 ÷ BPS(추정 포함)</t>
      </text>
    </comment>
    <comment ref="X47" authorId="0" shapeId="0">
      <text>
        <t>모델값 역산(implied): v / 전년동기 − 1
현재 종가 ÷ BPS(추정 포함)</t>
      </text>
    </comment>
    <comment ref="Y47" authorId="0" shapeId="0">
      <text>
        <t>모델값 역산(implied): v / 전년동기 − 1
현재 종가 ÷ BPS(추정 포함)</t>
      </text>
    </comment>
    <comment ref="AA47" authorId="0" shapeId="0">
      <text>
        <t>모델값 역산(implied): v / 전년동기 − 1
현재 종가 ÷ BPS(추정 포함)</t>
      </text>
    </comment>
    <comment ref="AB47" authorId="0" shapeId="0">
      <text>
        <t>모델값 역산(implied): v / 전년동기 − 1
현재 종가 ÷ BPS(추정 포함)</t>
      </text>
    </comment>
    <comment ref="AC47" authorId="0" shapeId="0">
      <text>
        <t>모델값 역산(implied): v / 전년동기 − 1
현재 종가 ÷ BPS(추정 포함)</t>
      </text>
    </comment>
    <comment ref="AD47" authorId="0" shapeId="0">
      <text>
        <t>모델값 역산(implied): v / 전년동기 − 1
현재 종가 ÷ BPS(추정 포함)</t>
      </text>
    </comment>
    <comment ref="S48" authorId="0" shapeId="0">
      <text>
        <t>모델값 역산(implied): v / 매출액
= 매출액 추정(부문 미분리)</t>
      </text>
    </comment>
    <comment ref="T48" authorId="0" shapeId="0">
      <text>
        <t>모델값 역산(implied): v / 매출액
= 매출액 추정(부문 미분리)</t>
      </text>
    </comment>
    <comment ref="V48" authorId="0" shapeId="0">
      <text>
        <t>모델값 역산(implied): v / 매출액
= 매출액 추정(부문 미분리)</t>
      </text>
    </comment>
    <comment ref="W48" authorId="0" shapeId="0">
      <text>
        <t>모델값 역산(implied): v / 매출액
= 매출액 추정(부문 미분리)</t>
      </text>
    </comment>
    <comment ref="X48" authorId="0" shapeId="0">
      <text>
        <t>모델값 역산(implied): v / 매출액
= 매출액 추정(부문 미분리)</t>
      </text>
    </comment>
    <comment ref="Y48" authorId="0" shapeId="0">
      <text>
        <t>모델값 역산(implied): v / 매출액
= 매출액 추정(부문 미분리)</t>
      </text>
    </comment>
    <comment ref="AA48" authorId="0" shapeId="0">
      <text>
        <t>모델값 역산(implied): v / 매출액
= 매출액 추정(부문 미분리)</t>
      </text>
    </comment>
    <comment ref="AB48" authorId="0" shapeId="0">
      <text>
        <t>모델값 역산(implied): v / 매출액
= 매출액 추정(부문 미분리)</t>
      </text>
    </comment>
    <comment ref="AC48" authorId="0" shapeId="0">
      <text>
        <t>모델값 역산(implied): v / 매출액
= 매출액 추정(부문 미분리)</t>
      </text>
    </comment>
    <comment ref="AD48" authorId="0" shapeId="0">
      <text>
        <t>모델값 역산(implied): v / 매출액
= 매출액 추정(부문 미분리)</t>
      </text>
    </comment>
    <comment ref="S49" authorId="0" shapeId="0">
      <text>
        <t>모델값 역산(implied): v / 매출전사
= 매출액 × OPM(부문 미분리)</t>
      </text>
    </comment>
    <comment ref="T49" authorId="0" shapeId="0">
      <text>
        <t>모델값 역산(implied): v / 매출전사
= 매출액 × OPM(부문 미분리)</t>
      </text>
    </comment>
    <comment ref="V49" authorId="0" shapeId="0">
      <text>
        <t>모델값 역산(implied): v / 매출전사
= 매출액 × OPM(부문 미분리)</t>
      </text>
    </comment>
    <comment ref="W49" authorId="0" shapeId="0">
      <text>
        <t>모델값 역산(implied): v / 매출전사
= 매출액 × OPM(부문 미분리)</t>
      </text>
    </comment>
    <comment ref="X49" authorId="0" shapeId="0">
      <text>
        <t>모델값 역산(implied): v / 매출전사
= 매출액 × OPM(부문 미분리)</t>
      </text>
    </comment>
    <comment ref="Y49" authorId="0" shapeId="0">
      <text>
        <t>모델값 역산(implied): v / 매출전사
= 매출액 × OPM(부문 미분리)</t>
      </text>
    </comment>
    <comment ref="AA49" authorId="0" shapeId="0">
      <text>
        <t>모델값 역산(implied): v / 매출전사
= 매출액 × OPM(부문 미분리)</t>
      </text>
    </comment>
    <comment ref="AB49" authorId="0" shapeId="0">
      <text>
        <t>모델값 역산(implied): v / 매출전사
= 매출액 × OPM(부문 미분리)</t>
      </text>
    </comment>
    <comment ref="AC49" authorId="0" shapeId="0">
      <text>
        <t>모델값 역산(implied): v / 매출전사
= 매출액 × OPM(부문 미분리)</t>
      </text>
    </comment>
    <comment ref="AD49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추정: 최근 8분기 OPM 중위 15.7% 유지(클립 −20~40%)
[yoy]</t>
      </text>
    </comment>
    <comment ref="T10" authorId="0" shapeId="0">
      <text>
        <t>추정: 최근 8분기 OPM 중위 15.7% 유지(클립 −20~40%)
[yoy]</t>
      </text>
    </comment>
    <comment ref="V10" authorId="0" shapeId="0">
      <text>
        <t>추정: 최근 8분기 OPM 중위 15.7% 유지(클립 −20~40%)
[yoy]</t>
      </text>
    </comment>
    <comment ref="W10" authorId="0" shapeId="0">
      <text>
        <t>추정: 최근 8분기 OPM 중위 15.7% 유지(클립 −20~40%)
[yoy]</t>
      </text>
    </comment>
    <comment ref="X10" authorId="0" shapeId="0">
      <text>
        <t>추정: 최근 8분기 OPM 중위 15.7% 유지(클립 −20~40%)
[yoy]</t>
      </text>
    </comment>
    <comment ref="Y10" authorId="0" shapeId="0">
      <text>
        <t>추정: 최근 8분기 OPM 중위 15.7% 유지(클립 −20~40%)
[yoy]</t>
      </text>
    </comment>
    <comment ref="AA10" authorId="0" shapeId="0">
      <text>
        <t>추정: 최근 8분기 OPM 중위 15.7% 유지(클립 −20~40%)
[yoy]</t>
      </text>
    </comment>
    <comment ref="AB10" authorId="0" shapeId="0">
      <text>
        <t>추정: 최근 8분기 OPM 중위 15.7% 유지(클립 −20~40%)
[yoy]</t>
      </text>
    </comment>
    <comment ref="AC10" authorId="0" shapeId="0">
      <text>
        <t>추정: 최근 8분기 OPM 중위 15.7% 유지(클립 −20~40%)
[yoy]</t>
      </text>
    </comment>
    <comment ref="AD10" authorId="0" shapeId="0">
      <text>
        <t>추정: 최근 8분기 OPM 중위 15.7% 유지(클립 −20~40%)
[yoy]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1.50%(주석 이자비용 ÷ 평균 총차입금(2025Q1~2026Q2)) (연율) ÷ 4; 환율 효과는 환관련손익 행 별도
[abs]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173억 × 2.32%(주석 이자수익 ÷ 평균 이자발생자산(2025Q3~2026Q2)) − 총차입금 478억 × 1.50%(주석 이자비용 ÷ 평균 총차입금(2025Q1~2026Q2)) (연율) ÷ 4; 환율 효과는 환관련손익 행 별도
[abs]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214억 × 2.32%(주석 이자수익 ÷ 평균 이자발생자산(2025Q3~2026Q2)) − 총차입금 478억 × 1.50%(주석 이자비용 ÷ 평균 총차입금(2025Q1~2026Q2)) (연율) ÷ 4; 환율 효과는 환관련손익 행 별도
[abs]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263억 × 2.32%(주석 이자수익 ÷ 평균 이자발생자산(2025Q3~2026Q2)) − 총차입금 478억 × 1.50%(주석 이자비용 ÷ 평균 총차입금(2025Q1~2026Q2)) (연율) ÷ 4; 환율 효과는 환관련손익 행 별도
[abs]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316억 × 2.32%(주석 이자수익 ÷ 평균 이자발생자산(2025Q3~2026Q2)) − 총차입금 478억 × 1.50%(주석 이자비용 ÷ 평균 총차입금(2025Q1~2026Q2)) (연율) ÷ 4; 환율 효과는 환관련손익 행 별도
[abs]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361억 × 2.32%(주석 이자수익 ÷ 평균 이자발생자산(2025Q3~2026Q2)) − 총차입금 478억 × 1.50%(주석 이자비용 ÷ 평균 총차입금(2025Q1~2026Q2)) (연율) ÷ 4; 환율 효과는 환관련손익 행 별도
[abs]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412억 × 2.32%(주석 이자수익 ÷ 평균 이자발생자산(2025Q3~2026Q2)) − 총차입금 478억 × 1.50%(주석 이자비용 ÷ 평균 총차입금(2025Q1~2026Q2)) (연율) ÷ 4; 환율 효과는 환관련손익 행 별도
[abs]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475억 × 2.32%(주석 이자수익 ÷ 평균 이자발생자산(2025Q3~2026Q2)) − 총차입금 478억 × 1.50%(주석 이자비용 ÷ 평균 총차입금(2025Q1~2026Q2)) (연율) ÷ 4; 환율 효과는 환관련손익 행 별도
[abs]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542억 × 2.32%(주석 이자수익 ÷ 평균 이자발생자산(2025Q3~2026Q2)) − 총차입금 478억 × 1.50%(주석 이자비용 ÷ 평균 총차입금(2025Q1~2026Q2))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594억 × 2.32%(주석 이자수익 ÷ 평균 이자발생자산(2025Q3~2026Q2)) − 총차입금 478억 × 1.50%(주석 이자비용 ÷ 평균 총차입금(2025Q1~2026Q2)) (연율) ÷ 4; 환율 효과는 환관련손익 행 별도
[abs]</t>
      </text>
    </comment>
    <comment ref="S12" authorId="0" shapeId="0">
      <text>
        <t>추정: 이자발생자산 138억 × 2.32%(주석 이자수익 ÷ 평균 이자발생자산(2025Q3~2026Q2)) − 총차입금 478억 × 1.50%(주석 이자비용 ÷ 평균 총차입금(2025Q1~2026Q2)) (연율) ÷ 4
[abs]</t>
      </text>
    </comment>
    <comment ref="T12" authorId="0" shapeId="0">
      <text>
        <t>추정: 이자발생자산 173억 × 2.32%(주석 이자수익 ÷ 평균 이자발생자산(2025Q3~2026Q2)) − 총차입금 478억 × 1.50%(주석 이자비용 ÷ 평균 총차입금(2025Q1~2026Q2)) (연율) ÷ 4
[abs]</t>
      </text>
    </comment>
    <comment ref="V12" authorId="0" shapeId="0">
      <text>
        <t>추정: 이자발생자산 214억 × 2.32%(주석 이자수익 ÷ 평균 이자발생자산(2025Q3~2026Q2)) − 총차입금 478억 × 1.50%(주석 이자비용 ÷ 평균 총차입금(2025Q1~2026Q2)) (연율) ÷ 4
[abs]</t>
      </text>
    </comment>
    <comment ref="W12" authorId="0" shapeId="0">
      <text>
        <t>추정: 이자발생자산 263억 × 2.32%(주석 이자수익 ÷ 평균 이자발생자산(2025Q3~2026Q2)) − 총차입금 478억 × 1.50%(주석 이자비용 ÷ 평균 총차입금(2025Q1~2026Q2)) (연율) ÷ 4
[abs]</t>
      </text>
    </comment>
    <comment ref="X12" authorId="0" shapeId="0">
      <text>
        <t>추정: 이자발생자산 316억 × 2.32%(주석 이자수익 ÷ 평균 이자발생자산(2025Q3~2026Q2)) − 총차입금 478억 × 1.50%(주석 이자비용 ÷ 평균 총차입금(2025Q1~2026Q2)) (연율) ÷ 4
[abs]</t>
      </text>
    </comment>
    <comment ref="Y12" authorId="0" shapeId="0">
      <text>
        <t>추정: 이자발생자산 361억 × 2.32%(주석 이자수익 ÷ 평균 이자발생자산(2025Q3~2026Q2)) − 총차입금 478억 × 1.50%(주석 이자비용 ÷ 평균 총차입금(2025Q1~2026Q2)) (연율) ÷ 4
[abs]</t>
      </text>
    </comment>
    <comment ref="AA12" authorId="0" shapeId="0">
      <text>
        <t>추정: 이자발생자산 412억 × 2.32%(주석 이자수익 ÷ 평균 이자발생자산(2025Q3~2026Q2)) − 총차입금 478억 × 1.50%(주석 이자비용 ÷ 평균 총차입금(2025Q1~2026Q2)) (연율) ÷ 4
[abs]</t>
      </text>
    </comment>
    <comment ref="AB12" authorId="0" shapeId="0">
      <text>
        <t>추정: 이자발생자산 475억 × 2.32%(주석 이자수익 ÷ 평균 이자발생자산(2025Q3~2026Q2)) − 총차입금 478억 × 1.50%(주석 이자비용 ÷ 평균 총차입금(2025Q1~2026Q2)) (연율) ÷ 4
[abs]</t>
      </text>
    </comment>
    <comment ref="AC12" authorId="0" shapeId="0">
      <text>
        <t>추정: 이자발생자산 542억 × 2.32%(주석 이자수익 ÷ 평균 이자발생자산(2025Q3~2026Q2)) − 총차입금 478억 × 1.50%(주석 이자비용 ÷ 평균 총차입금(2025Q1~2026Q2)) (연율) ÷ 4
[abs]</t>
      </text>
    </comment>
    <comment ref="AD12" authorId="0" shapeId="0">
      <text>
        <t>추정: 이자발생자산 594억 × 2.32%(주석 이자수익 ÷ 평균 이자발생자산(2025Q3~2026Q2)) − 총차입금 478억 × 1.50%(주석 이자비용 ÷ 평균 총차입금(2025Q1~2026Q2)) (연율) ÷ 4
[abs]</t>
      </text>
    </comment>
    <comment ref="E13" authorId="0" shapeId="0">
      <text>
        <t>실측(계정 매핑 없음 — 모델값 직접) — fin.sep.is.외환차익 − fin.sep.is.외환차손 + fin.sep.is.외화환산이익 − fin.sep.is.외화환산손실</t>
      </text>
    </comment>
    <comment ref="H13" authorId="0" shapeId="0">
      <text>
        <t>실측(계정 매핑 없음 — 모델값 직접) — fin.sep.is.외환차익 − fin.sep.is.외환차손 + fin.sep.is.외화환산이익 − fin.sep.is.외화환산손실</t>
      </text>
    </comment>
    <comment ref="I13" authorId="0" shapeId="0">
      <text>
        <t>실측(계정 매핑 없음 — 모델값 직접) — fin.sep.is.외환차익 − fin.sep.is.외환차손 + fin.sep.is.외화환산이익 − fin.sep.is.외화환산손실</t>
      </text>
    </comment>
    <comment ref="L13" authorId="0" shapeId="0">
      <text>
        <t>실측(계정 매핑 없음 — 모델값 직접) — fin.sep.is.외환차익 − fin.sep.is.외환차손 + fin.sep.is.외화환산이익 − fin.sep.is.외화환산손실</t>
      </text>
    </comment>
    <comment ref="M13" authorId="0" shapeId="0">
      <text>
        <t>실측(계정 매핑 없음 — 모델값 직접) — fin.sep.is.외환차익 − fin.sep.is.외환차손 + fin.sep.is.외화환산이익 − fin.sep.is.외화환산손실</t>
      </text>
    </comment>
    <comment ref="N13" authorId="0" shapeId="0">
      <text>
        <t>실측(계정 매핑 없음 — 모델값 직접) — fin.sep.is.외환차익 − fin.sep.is.외환차손 + fin.sep.is.외화환산이익 − fin.sep.is.외화환산손실</t>
      </text>
    </comment>
    <comment ref="O13" authorId="0" shapeId="0">
      <text>
        <t>실측(계정 매핑 없음 — 모델값 직접) — fin.sep.is.외환차익 − fin.sep.is.외환차손 + fin.sep.is.외화환산이익 − fin.sep.is.외화환산손실</t>
      </text>
    </comment>
    <comment ref="R13" authorId="0" shapeId="0">
      <text>
        <t>실측(계정 매핑 없음 — 모델값 직접) — fin.sep.is.외환차익 − fin.sep.is.외환차손 + fin.sep.is.외화환산이익 − fin.sep.is.외화환산손실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V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X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Y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A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B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D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M14" authorId="0" shapeId="0">
      <text>
        <t>실측(계정 매핑 없음 — 모델값 직접) — fin.sep.is.파생상품이익 − fin.sep.is.파생상품손실</t>
      </text>
    </comment>
    <comment ref="N14" authorId="0" shapeId="0">
      <text>
        <t>실측(계정 매핑 없음 — 모델값 직접) — fin.sep.is.파생상품이익 − fin.sep.is.파생상품손실</t>
      </text>
    </comment>
    <comment ref="O14" authorId="0" shapeId="0">
      <text>
        <t>실측(계정 매핑 없음 — 모델값 직접) — fin.sep.is.파생상품이익 − fin.sep.is.파생상품손실</t>
      </text>
    </comment>
    <comment ref="Q14" authorId="0" shapeId="0">
      <text>
        <t>실측(계정 매핑 없음 — 모델값 직접) — fin.sep.is.파생상품이익 − fin.sep.is.파생상품손실</t>
      </text>
    </comment>
    <comment ref="R14" authorId="0" shapeId="0">
      <text>
        <t>실측(계정 매핑 없음 — 모델값 직접) — fin.sep.is.파생상품이익 − fin.sep.is.파생상품손실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M15" authorId="0" shapeId="0">
      <text>
        <t>실측(계정 매핑 없음 — 모델값 직접) — fin.sep.is.금융손익 − 이자손익 − 외환손익 − 파생상품손익(잔차)</t>
      </text>
    </comment>
    <comment ref="N15" authorId="0" shapeId="0">
      <text>
        <t>실측(계정 매핑 없음 — 모델값 직접) — fin.sep.is.금융손익 − 이자손익 − 외환손익 − 파생상품손익(잔차)</t>
      </text>
    </comment>
    <comment ref="R15" authorId="0" shapeId="0">
      <text>
        <t>실측(계정 매핑 없음 — 모델값 직접) — fin.sep.is.금융손익 − 이자손익 − 외환손익 − 파생상품손익(잔차)</t>
      </text>
    </comment>
    <comment ref="S15" authorId="0" shapeId="0">
      <text>
        <t>추정: 잔차 실측 3분기 &lt; 4 → 0
[yoy]</t>
      </text>
    </comment>
    <comment ref="T15" authorId="0" shapeId="0">
      <text>
        <t>추정(가정 셀 참조 불가 — 기준값 없음, 모델값 직접): 잔차 실측 3분기 &lt; 4 → 0</t>
      </text>
    </comment>
    <comment ref="V15" authorId="0" shapeId="0">
      <text>
        <t>추정(가정 셀 참조 불가 — 기준값 없음, 모델값 직접): 잔차 실측 3분기 &lt; 4 → 0</t>
      </text>
    </comment>
    <comment ref="W15" authorId="0" shapeId="0">
      <text>
        <t>추정: 잔차 실측 3분기 &lt; 4 → 0
[yoy]</t>
      </text>
    </comment>
    <comment ref="X15" authorId="0" shapeId="0">
      <text>
        <t>추정(가정 셀 참조 불가 — 기준값 없음, 모델값 직접): 잔차 실측 3분기 &lt; 4 → 0</t>
      </text>
    </comment>
    <comment ref="Y15" authorId="0" shapeId="0">
      <text>
        <t>추정(가정 셀 참조 불가 — 기준값 없음, 모델값 직접): 잔차 실측 3분기 &lt; 4 → 0</t>
      </text>
    </comment>
    <comment ref="AA15" authorId="0" shapeId="0">
      <text>
        <t>추정(가정 셀 참조 불가 — 기준값 없음, 모델값 직접): 잔차 실측 3분기 &lt; 4 → 0</t>
      </text>
    </comment>
    <comment ref="AB15" authorId="0" shapeId="0">
      <text>
        <t>추정(가정 셀 참조 불가 — 기준값 없음, 모델값 직접): 잔차 실측 3분기 &lt; 4 → 0</t>
      </text>
    </comment>
    <comment ref="AC15" authorId="0" shapeId="0">
      <text>
        <t>추정(가정 셀 참조 불가 — 기준값 없음, 모델값 직접): 잔차 실측 3분기 &lt; 4 → 0</t>
      </text>
    </comment>
    <comment ref="AD15" authorId="0" shapeId="0">
      <text>
        <t>추정(가정 셀 참조 불가 — 기준값 없음, 모델값 직접): 잔차 실측 3분기 &lt; 4 → 0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[ratio]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[ratio]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[ratio]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[ratio]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[ratio]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[ratio]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[ratio]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[ratio]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[ratio]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[ratio]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[yoy]</t>
      </text>
    </comment>
    <comment ref="T21" authorId="0" shapeId="0">
      <text>
        <t>추정: 최근 4분기 감가상각비 중위 유지
[yoy]</t>
      </text>
    </comment>
    <comment ref="V21" authorId="0" shapeId="0">
      <text>
        <t>추정: 최근 4분기 감가상각비 중위 유지
[yoy]</t>
      </text>
    </comment>
    <comment ref="W21" authorId="0" shapeId="0">
      <text>
        <t>추정: 최근 4분기 감가상각비 중위 유지
[yoy]</t>
      </text>
    </comment>
    <comment ref="X21" authorId="0" shapeId="0">
      <text>
        <t>추정: 최근 4분기 감가상각비 중위 유지
[yoy]</t>
      </text>
    </comment>
    <comment ref="Y21" authorId="0" shapeId="0">
      <text>
        <t>추정: 최근 4분기 감가상각비 중위 유지
[yoy]</t>
      </text>
    </comment>
    <comment ref="AA21" authorId="0" shapeId="0">
      <text>
        <t>추정: 최근 4분기 감가상각비 중위 유지
[yoy]</t>
      </text>
    </comment>
    <comment ref="AB21" authorId="0" shapeId="0">
      <text>
        <t>추정: 최근 4분기 감가상각비 중위 유지
[yoy]</t>
      </text>
    </comment>
    <comment ref="AC21" authorId="0" shapeId="0">
      <text>
        <t>추정: 최근 4분기 감가상각비 중위 유지
[yoy]</t>
      </text>
    </comment>
    <comment ref="AD21" authorId="0" shapeId="0">
      <text>
        <t>추정: 최근 4분기 감가상각비 중위 유지
[yoy]</t>
      </text>
    </comment>
    <comment ref="E22" authorId="0" shapeId="0">
      <text>
        <t>실측(계정 매핑 없음 — 모델값 직접) — 영업이익 + 감가상각비(CF)</t>
      </text>
    </comment>
    <comment ref="G22" authorId="0" shapeId="0">
      <text>
        <t>실측(계정 매핑 없음 — 모델값 직접) — 영업이익 + 감가상각비(CF)</t>
      </text>
    </comment>
    <comment ref="H22" authorId="0" shapeId="0">
      <text>
        <t>실측(계정 매핑 없음 — 모델값 직접) — 영업이익 + 감가상각비(CF)</t>
      </text>
    </comment>
    <comment ref="I22" authorId="0" shapeId="0">
      <text>
        <t>실측(계정 매핑 없음 — 모델값 직접) — 영업이익 + 감가상각비(CF)</t>
      </text>
    </comment>
    <comment ref="J22" authorId="0" shapeId="0">
      <text>
        <t>실측(계정 매핑 없음 — 모델값 직접) — 영업이익 + 감가상각비(CF)</t>
      </text>
    </comment>
    <comment ref="L22" authorId="0" shapeId="0">
      <text>
        <t>실측(계정 매핑 없음 — 모델값 직접) — 영업이익 + 감가상각비(CF)</t>
      </text>
    </comment>
    <comment ref="M22" authorId="0" shapeId="0">
      <text>
        <t>실측(계정 매핑 없음 — 모델값 직접) — 영업이익 + 감가상각비(CF)</t>
      </text>
    </comment>
    <comment ref="N22" authorId="0" shapeId="0">
      <text>
        <t>실측(계정 매핑 없음 — 모델값 직접) — 영업이익 + 감가상각비(CF)</t>
      </text>
    </comment>
    <comment ref="O22" authorId="0" shapeId="0">
      <text>
        <t>실측(계정 매핑 없음 — 모델값 직접) — 영업이익 + 감가상각비(CF)</t>
      </text>
    </comment>
    <comment ref="Q22" authorId="0" shapeId="0">
      <text>
        <t>실측(계정 매핑 없음 — 모델값 직접) — 영업이익 + 감가상각비(CF)</t>
      </text>
    </comment>
    <comment ref="R22" authorId="0" shapeId="0">
      <text>
        <t>실측(계정 매핑 없음 — 모델값 직접) — 영업이익 + 감가상각비(CF)</t>
      </text>
    </comment>
    <comment ref="S22" authorId="0" shapeId="0">
      <text>
        <t>추정: 영업이익 + 감가상각비
[yoy]</t>
      </text>
    </comment>
    <comment ref="T22" authorId="0" shapeId="0">
      <text>
        <t>추정: 영업이익 + 감가상각비
[yoy]</t>
      </text>
    </comment>
    <comment ref="V22" authorId="0" shapeId="0">
      <text>
        <t>추정: 영업이익 + 감가상각비
[yoy]</t>
      </text>
    </comment>
    <comment ref="W22" authorId="0" shapeId="0">
      <text>
        <t>추정: 영업이익 + 감가상각비
[yoy]</t>
      </text>
    </comment>
    <comment ref="X22" authorId="0" shapeId="0">
      <text>
        <t>추정: 영업이익 + 감가상각비
[yoy]</t>
      </text>
    </comment>
    <comment ref="Y22" authorId="0" shapeId="0">
      <text>
        <t>추정: 영업이익 + 감가상각비
[yoy]</t>
      </text>
    </comment>
    <comment ref="AA22" authorId="0" shapeId="0">
      <text>
        <t>추정: 영업이익 + 감가상각비
[yoy]</t>
      </text>
    </comment>
    <comment ref="AB22" authorId="0" shapeId="0">
      <text>
        <t>추정: 영업이익 + 감가상각비
[yoy]</t>
      </text>
    </comment>
    <comment ref="AC22" authorId="0" shapeId="0">
      <text>
        <t>추정: 영업이익 + 감가상각비
[yoy]</t>
      </text>
    </comment>
    <comment ref="AD22" authorId="0" shapeId="0">
      <text>
        <t>추정: 영업이익 + 감가상각비
[yoy]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(순이익 − 배당): 순이익 = 순현금 증가 가정(CAPEX≈감가, 운전자본 불변)
[qoq]</t>
      </text>
    </comment>
    <comment ref="T28" authorId="0" shapeId="0">
      <text>
        <t>추정: 전분기 − (순이익 − 배당): 순이익 = 순현금 증가 가정(CAPEX≈감가, 운전자본 불변)
[qoq]</t>
      </text>
    </comment>
    <comment ref="V28" authorId="0" shapeId="0">
      <text>
        <t>추정: 전분기 − (순이익 − 배당): 순이익 = 순현금 증가 가정(CAPEX≈감가, 운전자본 불변)
[qoq]</t>
      </text>
    </comment>
    <comment ref="W28" authorId="0" shapeId="0">
      <text>
        <t>추정: 전분기 − (순이익 − 배당): 순이익 = 순현금 증가 가정(CAPEX≈감가, 운전자본 불변)
[qoq]</t>
      </text>
    </comment>
    <comment ref="X28" authorId="0" shapeId="0">
      <text>
        <t>추정: 전분기 − (순이익 − 배당): 순이익 = 순현금 증가 가정(CAPEX≈감가, 운전자본 불변)
[qoq]</t>
      </text>
    </comment>
    <comment ref="Y28" authorId="0" shapeId="0">
      <text>
        <t>추정: 전분기 − (순이익 − 배당): 순이익 = 순현금 증가 가정(CAPEX≈감가, 운전자본 불변)
[qoq]</t>
      </text>
    </comment>
    <comment ref="AA28" authorId="0" shapeId="0">
      <text>
        <t>추정: 전분기 − (순이익 − 배당): 순이익 = 순현금 증가 가정(CAPEX≈감가, 운전자본 불변)
[qoq]</t>
      </text>
    </comment>
    <comment ref="AB28" authorId="0" shapeId="0">
      <text>
        <t>추정: 전분기 − (순이익 − 배당): 순이익 = 순현금 증가 가정(CAPEX≈감가, 운전자본 불변)
[qoq]</t>
      </text>
    </comment>
    <comment ref="AC28" authorId="0" shapeId="0">
      <text>
        <t>추정: 전분기 − (순이익 − 배당): 순이익 = 순현금 증가 가정(CAPEX≈감가, 운전자본 불변)
[qoq]</t>
      </text>
    </comment>
    <comment ref="AD28" authorId="0" shapeId="0">
      <text>
        <t>추정: 전분기 − (순이익 − 배당): 순이익 = 순현금 증가 가정(CAPEX≈감가, 운전자본 불변)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(순이익 − 배당) — 순차입금 롤과 같은 가정
[qoq]</t>
      </text>
    </comment>
    <comment ref="T29" authorId="0" shapeId="0">
      <text>
        <t>추정: 전분기 + (순이익 − 배당) — 순차입금 롤과 같은 가정
[qoq]</t>
      </text>
    </comment>
    <comment ref="V29" authorId="0" shapeId="0">
      <text>
        <t>추정: 전분기 + (순이익 − 배당) — 순차입금 롤과 같은 가정
[qoq]</t>
      </text>
    </comment>
    <comment ref="W29" authorId="0" shapeId="0">
      <text>
        <t>추정: 전분기 + (순이익 − 배당) — 순차입금 롤과 같은 가정
[qoq]</t>
      </text>
    </comment>
    <comment ref="X29" authorId="0" shapeId="0">
      <text>
        <t>추정: 전분기 + (순이익 − 배당) — 순차입금 롤과 같은 가정
[qoq]</t>
      </text>
    </comment>
    <comment ref="Y29" authorId="0" shapeId="0">
      <text>
        <t>추정: 전분기 + (순이익 − 배당) — 순차입금 롤과 같은 가정
[qoq]</t>
      </text>
    </comment>
    <comment ref="AA29" authorId="0" shapeId="0">
      <text>
        <t>추정: 전분기 + (순이익 − 배당) — 순차입금 롤과 같은 가정
[qoq]</t>
      </text>
    </comment>
    <comment ref="AB29" authorId="0" shapeId="0">
      <text>
        <t>추정: 전분기 + (순이익 − 배당) — 순차입금 롤과 같은 가정
[qoq]</t>
      </text>
    </comment>
    <comment ref="AC29" authorId="0" shapeId="0">
      <text>
        <t>추정: 전분기 + (순이익 − 배당) — 순차입금 롤과 같은 가정
[qoq]</t>
      </text>
    </comment>
    <comment ref="AD29" authorId="0" shapeId="0">
      <text>
        <t>추정: 전분기 + (순이익 − 배당) — 순차입금 롤과 같은 가정
[qoq]</t>
      </text>
    </comment>
    <comment ref="F30" authorId="0" shapeId="0">
      <text>
        <t>연간 실측(BS 시트에 2023.12A 없음 — 모델 a 값 직접)</t>
      </text>
    </comment>
    <comment ref="E32" authorId="0" shapeId="0">
      <text>
        <t>실측(계정 매핑 없음 — 모델값 직접) — fin.sep.cf.영업활동으로인한현금흐름</t>
      </text>
    </comment>
    <comment ref="G32" authorId="0" shapeId="0">
      <text>
        <t>실측(계정 매핑 없음 — 모델값 직접) — fin.sep.cf.영업활동으로인한현금흐름</t>
      </text>
    </comment>
    <comment ref="H32" authorId="0" shapeId="0">
      <text>
        <t>실측(계정 매핑 없음 — 모델값 직접) — fin.sep.cf.영업활동으로인한현금흐름</t>
      </text>
    </comment>
    <comment ref="I32" authorId="0" shapeId="0">
      <text>
        <t>실측(계정 매핑 없음 — 모델값 직접) — fin.sep.cf.영업활동으로인한현금흐름</t>
      </text>
    </comment>
    <comment ref="J32" authorId="0" shapeId="0">
      <text>
        <t>실측(계정 매핑 없음 — 모델값 직접) — fin.sep.cf.영업활동으로인한현금흐름</t>
      </text>
    </comment>
    <comment ref="L32" authorId="0" shapeId="0">
      <text>
        <t>실측(계정 매핑 없음 — 모델값 직접) — fin.sep.cf.영업활동으로인한현금흐름</t>
      </text>
    </comment>
    <comment ref="M32" authorId="0" shapeId="0">
      <text>
        <t>실측(계정 매핑 없음 — 모델값 직접) — fin.sep.cf.영업활동으로인한현금흐름</t>
      </text>
    </comment>
    <comment ref="N32" authorId="0" shapeId="0">
      <text>
        <t>실측(계정 매핑 없음 — 모델값 직접) — fin.sep.cf.영업활동으로인한현금흐름</t>
      </text>
    </comment>
    <comment ref="O32" authorId="0" shapeId="0">
      <text>
        <t>실측(계정 매핑 없음 — 모델값 직접) — fin.sep.cf.영업활동으로인한현금흐름</t>
      </text>
    </comment>
    <comment ref="Q32" authorId="0" shapeId="0">
      <text>
        <t>실측(계정 매핑 없음 — 모델값 직접) — fin.sep.cf.영업활동으로인한현금흐름</t>
      </text>
    </comment>
    <comment ref="R32" authorId="0" shapeId="0">
      <text>
        <t>실측(계정 매핑 없음 — 모델값 직접) — fin.sep.cf.영업활동으로인한현금흐름</t>
      </text>
    </comment>
    <comment ref="E33" authorId="0" shapeId="0">
      <text>
        <t>실측(계정 매핑 없음 — 모델값 직접) — fin.shares.common_outstanding</t>
      </text>
    </comment>
    <comment ref="G33" authorId="0" shapeId="0">
      <text>
        <t>실측(계정 매핑 없음 — 모델값 직접) — fin.shares.common_outstanding</t>
      </text>
    </comment>
    <comment ref="H33" authorId="0" shapeId="0">
      <text>
        <t>실측(계정 매핑 없음 — 모델값 직접) — fin.shares.common_outstanding</t>
      </text>
    </comment>
    <comment ref="I33" authorId="0" shapeId="0">
      <text>
        <t>실측(계정 매핑 없음 — 모델값 직접) — fin.shares.common_outstanding</t>
      </text>
    </comment>
    <comment ref="J33" authorId="0" shapeId="0">
      <text>
        <t>실측(계정 매핑 없음 — 모델값 직접) — fin.shares.common_outstanding</t>
      </text>
    </comment>
    <comment ref="L33" authorId="0" shapeId="0">
      <text>
        <t>실측(계정 매핑 없음 — 모델값 직접) — fin.shares.common_outstanding</t>
      </text>
    </comment>
    <comment ref="M33" authorId="0" shapeId="0">
      <text>
        <t>실측(계정 매핑 없음 — 모델값 직접) — fin.shares.common_outstanding</t>
      </text>
    </comment>
    <comment ref="N33" authorId="0" shapeId="0">
      <text>
        <t>실측(계정 매핑 없음 — 모델값 직접) — fin.shares.common_outstanding</t>
      </text>
    </comment>
    <comment ref="O33" authorId="0" shapeId="0">
      <text>
        <t>실측(계정 매핑 없음 — 모델값 직접) — fin.shares.common_outstanding</t>
      </text>
    </comment>
    <comment ref="Q33" authorId="0" shapeId="0">
      <text>
        <t>실측(계정 매핑 없음 — 모델값 직접) — fin.shares.common_outstanding</t>
      </text>
    </comment>
    <comment ref="R33" authorId="0" shapeId="0">
      <text>
        <t>실측(계정 매핑 없음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 — 모델값 직접) — fin.dividend.dps_common(연간, Q4 에 표기)</t>
      </text>
    </comment>
    <comment ref="O36" authorId="0" shapeId="0">
      <text>
        <t>실측(계정 매핑 없음 — 모델값 직접) — fin.dividend.dps_common(연간, Q4 에 표기)</t>
      </text>
    </comment>
    <comment ref="T36" authorId="0" shapeId="0">
      <text>
        <t>추정(가정 셀 참조 불가 — 기준값 없음, 모델값 직접): 직전 결산 DPS 0원 유지</t>
      </text>
    </comment>
    <comment ref="Y36" authorId="0" shapeId="0">
      <text>
        <t>추정(가정 셀 참조 불가 — 기준값 없음, 모델값 직접): 직전 결산 DPS 0원 유지</t>
      </text>
    </comment>
    <comment ref="AD36" authorId="0" shapeId="0">
      <text>
        <t>추정(가정 셀 참조 불가 — 기준값 없음, 모델값 직접): 직전 결산 DPS 0원 유지</t>
      </text>
    </comment>
    <comment ref="I37" authorId="0" shapeId="0">
      <text>
        <t>실측(계정 매핑 없음 — 모델값 직접) — 토스 일봉 분기 평균 ÷ TTM EPS</t>
      </text>
    </comment>
    <comment ref="J37" authorId="0" shapeId="0">
      <text>
        <t>실측(계정 매핑 없음 — 모델값 직접) — 토스 일봉 분기 평균 ÷ TTM EPS</t>
      </text>
    </comment>
    <comment ref="L37" authorId="0" shapeId="0">
      <text>
        <t>실측(계정 매핑 없음 — 모델값 직접) — 토스 일봉 분기 평균 ÷ TTM EPS</t>
      </text>
    </comment>
    <comment ref="M37" authorId="0" shapeId="0">
      <text>
        <t>실측(계정 매핑 없음 — 모델값 직접) — 토스 일봉 분기 평균 ÷ TTM EPS</t>
      </text>
    </comment>
    <comment ref="N37" authorId="0" shapeId="0">
      <text>
        <t>실측(계정 매핑 없음 — 모델값 직접) — 토스 일봉 분기 평균 ÷ TTM EPS</t>
      </text>
    </comment>
    <comment ref="O37" authorId="0" shapeId="0">
      <text>
        <t>실측(계정 매핑 없음 — 모델값 직접) — 토스 일봉 분기 평균 ÷ TTM EPS</t>
      </text>
    </comment>
    <comment ref="Q37" authorId="0" shapeId="0">
      <text>
        <t>실측(계정 매핑 없음 — 모델값 직접) — 토스 일봉 분기 평균 ÷ TTM EPS</t>
      </text>
    </comment>
    <comment ref="R37" authorId="0" shapeId="0">
      <text>
        <t>실측(계정 매핑 없음 — 모델값 직접) — 토스 일봉 분기 평균 ÷ TTM EPS</t>
      </text>
    </comment>
    <comment ref="S37" authorId="0" shapeId="0">
      <text>
        <t>추정: 현재 종가 ÷ TTM EPS(추정 포함)
[yoy]</t>
      </text>
    </comment>
    <comment ref="T37" authorId="0" shapeId="0">
      <text>
        <t>추정: 현재 종가 ÷ TTM EPS(추정 포함)
[yoy]</t>
      </text>
    </comment>
    <comment ref="V37" authorId="0" shapeId="0">
      <text>
        <t>추정: 현재 종가 ÷ TTM EPS(추정 포함)
[yoy]</t>
      </text>
    </comment>
    <comment ref="W37" authorId="0" shapeId="0">
      <text>
        <t>추정: 현재 종가 ÷ TTM EPS(추정 포함)
[yoy]</t>
      </text>
    </comment>
    <comment ref="X37" authorId="0" shapeId="0">
      <text>
        <t>추정: 현재 종가 ÷ TTM EPS(추정 포함)
[yoy]</t>
      </text>
    </comment>
    <comment ref="Y37" authorId="0" shapeId="0">
      <text>
        <t>추정: 현재 종가 ÷ TTM EPS(추정 포함)
[yoy]</t>
      </text>
    </comment>
    <comment ref="AA37" authorId="0" shapeId="0">
      <text>
        <t>추정: 현재 종가 ÷ TTM EPS(추정 포함)
[yoy]</t>
      </text>
    </comment>
    <comment ref="AB37" authorId="0" shapeId="0">
      <text>
        <t>추정: 현재 종가 ÷ TTM EPS(추정 포함)
[yoy]</t>
      </text>
    </comment>
    <comment ref="AC37" authorId="0" shapeId="0">
      <text>
        <t>추정: 현재 종가 ÷ TTM EPS(추정 포함)
[yoy]</t>
      </text>
    </comment>
    <comment ref="AD37" authorId="0" shapeId="0">
      <text>
        <t>추정: 현재 종가 ÷ TTM EPS(추정 포함)
[yoy]</t>
      </text>
    </comment>
    <comment ref="E38" authorId="0" shapeId="0">
      <text>
        <t>실측(계정 매핑 없음 — 모델값 직접) — 토스 일봉 분기 평균 ÷ BPS</t>
      </text>
    </comment>
    <comment ref="F38" authorId="0" shapeId="0">
      <text>
        <t>연간(actual) — 분기 미완 연도, 모델 a 값 직접</t>
      </text>
    </comment>
    <comment ref="G38" authorId="0" shapeId="0">
      <text>
        <t>실측(계정 매핑 없음 — 모델값 직접) — 토스 일봉 분기 평균 ÷ BPS</t>
      </text>
    </comment>
    <comment ref="H38" authorId="0" shapeId="0">
      <text>
        <t>실측(계정 매핑 없음 — 모델값 직접) — 토스 일봉 분기 평균 ÷ BPS</t>
      </text>
    </comment>
    <comment ref="I38" authorId="0" shapeId="0">
      <text>
        <t>실측(계정 매핑 없음 — 모델값 직접) — 토스 일봉 분기 평균 ÷ BPS</t>
      </text>
    </comment>
    <comment ref="J38" authorId="0" shapeId="0">
      <text>
        <t>실측(계정 매핑 없음 — 모델값 직접) — 토스 일봉 분기 평균 ÷ BPS</t>
      </text>
    </comment>
    <comment ref="L38" authorId="0" shapeId="0">
      <text>
        <t>실측(계정 매핑 없음 — 모델값 직접) — 토스 일봉 분기 평균 ÷ BPS</t>
      </text>
    </comment>
    <comment ref="M38" authorId="0" shapeId="0">
      <text>
        <t>실측(계정 매핑 없음 — 모델값 직접) — 토스 일봉 분기 평균 ÷ BPS</t>
      </text>
    </comment>
    <comment ref="N38" authorId="0" shapeId="0">
      <text>
        <t>실측(계정 매핑 없음 — 모델값 직접) — 토스 일봉 분기 평균 ÷ BPS</t>
      </text>
    </comment>
    <comment ref="O38" authorId="0" shapeId="0">
      <text>
        <t>실측(계정 매핑 없음 — 모델값 직접) — 토스 일봉 분기 평균 ÷ BPS</t>
      </text>
    </comment>
    <comment ref="Q38" authorId="0" shapeId="0">
      <text>
        <t>실측(계정 매핑 없음 — 모델값 직접) — 토스 일봉 분기 평균 ÷ BPS</t>
      </text>
    </comment>
    <comment ref="R38" authorId="0" shapeId="0">
      <text>
        <t>실측(계정 매핑 없음 — 모델값 직접) — 토스 일봉 분기 평균 ÷ BPS</t>
      </text>
    </comment>
    <comment ref="S38" authorId="0" shapeId="0">
      <text>
        <t>추정: 현재 종가 ÷ BPS(추정 포함)
[yoy]</t>
      </text>
    </comment>
    <comment ref="T38" authorId="0" shapeId="0">
      <text>
        <t>추정: 현재 종가 ÷ BPS(추정 포함)
[yoy]</t>
      </text>
    </comment>
    <comment ref="V38" authorId="0" shapeId="0">
      <text>
        <t>추정: 현재 종가 ÷ BPS(추정 포함)
[yoy]</t>
      </text>
    </comment>
    <comment ref="W38" authorId="0" shapeId="0">
      <text>
        <t>추정: 현재 종가 ÷ BPS(추정 포함)
[yoy]</t>
      </text>
    </comment>
    <comment ref="X38" authorId="0" shapeId="0">
      <text>
        <t>추정: 현재 종가 ÷ BPS(추정 포함)
[yoy]</t>
      </text>
    </comment>
    <comment ref="Y38" authorId="0" shapeId="0">
      <text>
        <t>추정: 현재 종가 ÷ BPS(추정 포함)
[yoy]</t>
      </text>
    </comment>
    <comment ref="AA38" authorId="0" shapeId="0">
      <text>
        <t>추정: 현재 종가 ÷ BPS(추정 포함)
[yoy]</t>
      </text>
    </comment>
    <comment ref="AB38" authorId="0" shapeId="0">
      <text>
        <t>추정: 현재 종가 ÷ BPS(추정 포함)
[yoy]</t>
      </text>
    </comment>
    <comment ref="AC38" authorId="0" shapeId="0">
      <text>
        <t>추정: 현재 종가 ÷ BPS(추정 포함)
[yoy]</t>
      </text>
    </comment>
    <comment ref="AD38" authorId="0" shapeId="0">
      <text>
        <t>추정: 현재 종가 ÷ BPS(추정 포함)
[yoy]</t>
      </text>
    </comment>
    <comment ref="E39" authorId="0" shapeId="0">
      <text>
        <t>실측(계정 매핑 없음 — 모델값 직접) — = 매출액(부문 미분리)</t>
      </text>
    </comment>
    <comment ref="G39" authorId="0" shapeId="0">
      <text>
        <t>실측(계정 매핑 없음 — 모델값 직접) — = 매출액(부문 미분리)</t>
      </text>
    </comment>
    <comment ref="H39" authorId="0" shapeId="0">
      <text>
        <t>실측(계정 매핑 없음 — 모델값 직접) — = 매출액(부문 미분리)</t>
      </text>
    </comment>
    <comment ref="I39" authorId="0" shapeId="0">
      <text>
        <t>실측(계정 매핑 없음 — 모델값 직접) — = 매출액(부문 미분리)</t>
      </text>
    </comment>
    <comment ref="J39" authorId="0" shapeId="0">
      <text>
        <t>실측(계정 매핑 없음 — 모델값 직접) — = 매출액(부문 미분리)</t>
      </text>
    </comment>
    <comment ref="L39" authorId="0" shapeId="0">
      <text>
        <t>실측(계정 매핑 없음 — 모델값 직접) — = 매출액(부문 미분리)</t>
      </text>
    </comment>
    <comment ref="M39" authorId="0" shapeId="0">
      <text>
        <t>실측(계정 매핑 없음 — 모델값 직접) — = 매출액(부문 미분리)</t>
      </text>
    </comment>
    <comment ref="N39" authorId="0" shapeId="0">
      <text>
        <t>실측(계정 매핑 없음 — 모델값 직접) — = 매출액(부문 미분리)</t>
      </text>
    </comment>
    <comment ref="O39" authorId="0" shapeId="0">
      <text>
        <t>실측(계정 매핑 없음 — 모델값 직접) — = 매출액(부문 미분리)</t>
      </text>
    </comment>
    <comment ref="Q39" authorId="0" shapeId="0">
      <text>
        <t>실측(계정 매핑 없음 — 모델값 직접) — = 매출액(부문 미분리)</t>
      </text>
    </comment>
    <comment ref="R39" authorId="0" shapeId="0">
      <text>
        <t>실측(계정 매핑 없음 — 모델값 직접) — = 매출액(부문 미분리)</t>
      </text>
    </comment>
    <comment ref="S39" authorId="0" shapeId="0">
      <text>
        <t>추정: = 매출액 추정(부문 미분리)
[ratio]</t>
      </text>
    </comment>
    <comment ref="T39" authorId="0" shapeId="0">
      <text>
        <t>추정: = 매출액 추정(부문 미분리)
[ratio]</t>
      </text>
    </comment>
    <comment ref="V39" authorId="0" shapeId="0">
      <text>
        <t>추정: = 매출액 추정(부문 미분리)
[ratio]</t>
      </text>
    </comment>
    <comment ref="W39" authorId="0" shapeId="0">
      <text>
        <t>추정: = 매출액 추정(부문 미분리)
[ratio]</t>
      </text>
    </comment>
    <comment ref="X39" authorId="0" shapeId="0">
      <text>
        <t>추정: = 매출액 추정(부문 미분리)
[ratio]</t>
      </text>
    </comment>
    <comment ref="Y39" authorId="0" shapeId="0">
      <text>
        <t>추정: = 매출액 추정(부문 미분리)
[ratio]</t>
      </text>
    </comment>
    <comment ref="AA39" authorId="0" shapeId="0">
      <text>
        <t>추정: = 매출액 추정(부문 미분리)
[ratio]</t>
      </text>
    </comment>
    <comment ref="AB39" authorId="0" shapeId="0">
      <text>
        <t>추정: = 매출액 추정(부문 미분리)
[ratio]</t>
      </text>
    </comment>
    <comment ref="AC39" authorId="0" shapeId="0">
      <text>
        <t>추정: = 매출액 추정(부문 미분리)
[ratio]</t>
      </text>
    </comment>
    <comment ref="AD39" authorId="0" shapeId="0">
      <text>
        <t>추정: = 매출액 추정(부문 미분리)
[ratio]</t>
      </text>
    </comment>
    <comment ref="E40" authorId="0" shapeId="0">
      <text>
        <t>실측(계정 매핑 없음 — 모델값 직접) — = 영업이익(부문 미분리)</t>
      </text>
    </comment>
    <comment ref="G40" authorId="0" shapeId="0">
      <text>
        <t>실측(계정 매핑 없음 — 모델값 직접) — = 영업이익(부문 미분리)</t>
      </text>
    </comment>
    <comment ref="H40" authorId="0" shapeId="0">
      <text>
        <t>실측(계정 매핑 없음 — 모델값 직접) — = 영업이익(부문 미분리)</t>
      </text>
    </comment>
    <comment ref="I40" authorId="0" shapeId="0">
      <text>
        <t>실측(계정 매핑 없음 — 모델값 직접) — = 영업이익(부문 미분리)</t>
      </text>
    </comment>
    <comment ref="J40" authorId="0" shapeId="0">
      <text>
        <t>실측(계정 매핑 없음 — 모델값 직접) — = 영업이익(부문 미분리)</t>
      </text>
    </comment>
    <comment ref="L40" authorId="0" shapeId="0">
      <text>
        <t>실측(계정 매핑 없음 — 모델값 직접) — = 영업이익(부문 미분리)</t>
      </text>
    </comment>
    <comment ref="M40" authorId="0" shapeId="0">
      <text>
        <t>실측(계정 매핑 없음 — 모델값 직접) — = 영업이익(부문 미분리)</t>
      </text>
    </comment>
    <comment ref="N40" authorId="0" shapeId="0">
      <text>
        <t>실측(계정 매핑 없음 — 모델값 직접) — = 영업이익(부문 미분리)</t>
      </text>
    </comment>
    <comment ref="O40" authorId="0" shapeId="0">
      <text>
        <t>실측(계정 매핑 없음 — 모델값 직접) — = 영업이익(부문 미분리)</t>
      </text>
    </comment>
    <comment ref="Q40" authorId="0" shapeId="0">
      <text>
        <t>실측(계정 매핑 없음 — 모델값 직접) — = 영업이익(부문 미분리)</t>
      </text>
    </comment>
    <comment ref="R40" authorId="0" shapeId="0">
      <text>
        <t>실측(계정 매핑 없음 — 모델값 직접) — = 영업이익(부문 미분리)</t>
      </text>
    </comment>
    <comment ref="S40" authorId="0" shapeId="0">
      <text>
        <t>추정: = 매출액 × OPM(부문 미분리)
[ratio]</t>
      </text>
    </comment>
    <comment ref="T40" authorId="0" shapeId="0">
      <text>
        <t>추정: = 매출액 × OPM(부문 미분리)
[ratio]</t>
      </text>
    </comment>
    <comment ref="V40" authorId="0" shapeId="0">
      <text>
        <t>추정: = 매출액 × OPM(부문 미분리)
[ratio]</t>
      </text>
    </comment>
    <comment ref="W40" authorId="0" shapeId="0">
      <text>
        <t>추정: = 매출액 × OPM(부문 미분리)
[ratio]</t>
      </text>
    </comment>
    <comment ref="X40" authorId="0" shapeId="0">
      <text>
        <t>추정: = 매출액 × OPM(부문 미분리)
[ratio]</t>
      </text>
    </comment>
    <comment ref="Y40" authorId="0" shapeId="0">
      <text>
        <t>추정: = 매출액 × OPM(부문 미분리)
[ratio]</t>
      </text>
    </comment>
    <comment ref="AA40" authorId="0" shapeId="0">
      <text>
        <t>추정: = 매출액 × OPM(부문 미분리)
[ratio]</t>
      </text>
    </comment>
    <comment ref="AB40" authorId="0" shapeId="0">
      <text>
        <t>추정: = 매출액 × OPM(부문 미분리)
[ratio]</t>
      </text>
    </comment>
    <comment ref="AC40" authorId="0" shapeId="0">
      <text>
        <t>추정: = 매출액 × OPM(부문 미분리)
[ratio]</t>
      </text>
    </comment>
    <comment ref="AD40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assets/models/452280.json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+94%)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1355.4</v>
      </c>
      <c r="U6" s="17" t="n">
        <v>1461.31</v>
      </c>
      <c r="V6" s="16" t="n">
        <v>1355.4</v>
      </c>
      <c r="W6" s="16" t="n">
        <v>1355.4</v>
      </c>
      <c r="X6" s="16" t="n">
        <v>1355.4</v>
      </c>
      <c r="Y6" s="16" t="n">
        <v>1355.4</v>
      </c>
      <c r="Z6" s="11" t="n"/>
      <c r="AA6" s="16" t="n">
        <v>1355.4</v>
      </c>
      <c r="AB6" s="16" t="n">
        <v>1355.4</v>
      </c>
      <c r="AC6" s="16" t="n">
        <v>1355.4</v>
      </c>
      <c r="AD6" s="16" t="n">
        <v>1355.4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1355.4</v>
      </c>
      <c r="U7" s="17" t="n">
        <v>1355.4</v>
      </c>
      <c r="V7" s="16" t="n">
        <v>1355.4</v>
      </c>
      <c r="W7" s="16" t="n">
        <v>1355.4</v>
      </c>
      <c r="X7" s="16" t="n">
        <v>1355.4</v>
      </c>
      <c r="Y7" s="16" t="n">
        <v>1355.4</v>
      </c>
      <c r="Z7" s="11" t="n"/>
      <c r="AA7" s="16" t="n">
        <v>1355.4</v>
      </c>
      <c r="AB7" s="16" t="n">
        <v>1355.4</v>
      </c>
      <c r="AC7" s="16" t="n">
        <v>1355.4</v>
      </c>
      <c r="AD7" s="16" t="n">
        <v>1355.4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863.3099999999999</v>
      </c>
      <c r="U8" s="17" t="n">
        <v>921.71</v>
      </c>
      <c r="V8" s="16" t="n">
        <v>863.3099999999999</v>
      </c>
      <c r="W8" s="16" t="n">
        <v>863.3099999999999</v>
      </c>
      <c r="X8" s="16" t="n">
        <v>863.3099999999999</v>
      </c>
      <c r="Y8" s="16" t="n">
        <v>863.3099999999999</v>
      </c>
      <c r="Z8" s="11" t="n"/>
      <c r="AA8" s="16" t="n">
        <v>863.3099999999999</v>
      </c>
      <c r="AB8" s="16" t="n">
        <v>863.3099999999999</v>
      </c>
      <c r="AC8" s="16" t="n">
        <v>863.3099999999999</v>
      </c>
      <c r="AD8" s="16" t="n">
        <v>863.3099999999999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863.3099999999999</v>
      </c>
      <c r="U9" s="17" t="n">
        <v>863.3099999999999</v>
      </c>
      <c r="V9" s="16" t="n">
        <v>863.3099999999999</v>
      </c>
      <c r="W9" s="16" t="n">
        <v>863.3099999999999</v>
      </c>
      <c r="X9" s="16" t="n">
        <v>863.3099999999999</v>
      </c>
      <c r="Y9" s="16" t="n">
        <v>863.3099999999999</v>
      </c>
      <c r="Z9" s="11" t="n"/>
      <c r="AA9" s="16" t="n">
        <v>863.3099999999999</v>
      </c>
      <c r="AB9" s="16" t="n">
        <v>863.3099999999999</v>
      </c>
      <c r="AC9" s="16" t="n">
        <v>863.3099999999999</v>
      </c>
      <c r="AD9" s="16" t="n">
        <v>863.3099999999999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1539.06</v>
      </c>
      <c r="U10" s="17" t="n">
        <v>1696.56</v>
      </c>
      <c r="V10" s="16" t="n">
        <v>1539.06</v>
      </c>
      <c r="W10" s="16" t="n">
        <v>1539.06</v>
      </c>
      <c r="X10" s="16" t="n">
        <v>1539.06</v>
      </c>
      <c r="Y10" s="16" t="n">
        <v>1539.06</v>
      </c>
      <c r="Z10" s="11" t="n"/>
      <c r="AA10" s="16" t="n">
        <v>1539.06</v>
      </c>
      <c r="AB10" s="16" t="n">
        <v>1539.06</v>
      </c>
      <c r="AC10" s="16" t="n">
        <v>1539.06</v>
      </c>
      <c r="AD10" s="16" t="n">
        <v>1539.06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1539.06</v>
      </c>
      <c r="U11" s="17" t="n">
        <v>1539.06</v>
      </c>
      <c r="V11" s="16" t="n">
        <v>1539.06</v>
      </c>
      <c r="W11" s="16" t="n">
        <v>1539.06</v>
      </c>
      <c r="X11" s="16" t="n">
        <v>1539.06</v>
      </c>
      <c r="Y11" s="16" t="n">
        <v>1539.06</v>
      </c>
      <c r="Z11" s="11" t="n"/>
      <c r="AA11" s="16" t="n">
        <v>1539.06</v>
      </c>
      <c r="AB11" s="16" t="n">
        <v>1539.06</v>
      </c>
      <c r="AC11" s="16" t="n">
        <v>1539.06</v>
      </c>
      <c r="AD11" s="16" t="n">
        <v>1539.06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202.16</v>
      </c>
      <c r="U12" s="17" t="n">
        <v>214.23</v>
      </c>
      <c r="V12" s="16" t="n">
        <v>202.16</v>
      </c>
      <c r="W12" s="16" t="n">
        <v>202.16</v>
      </c>
      <c r="X12" s="16" t="n">
        <v>202.16</v>
      </c>
      <c r="Y12" s="16" t="n">
        <v>202.16</v>
      </c>
      <c r="Z12" s="11" t="n"/>
      <c r="AA12" s="16" t="n">
        <v>202.16</v>
      </c>
      <c r="AB12" s="16" t="n">
        <v>202.16</v>
      </c>
      <c r="AC12" s="16" t="n">
        <v>202.16</v>
      </c>
      <c r="AD12" s="16" t="n">
        <v>202.16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202.16</v>
      </c>
      <c r="U13" s="17" t="n">
        <v>202.16</v>
      </c>
      <c r="V13" s="16" t="n">
        <v>202.16</v>
      </c>
      <c r="W13" s="16" t="n">
        <v>202.16</v>
      </c>
      <c r="X13" s="16" t="n">
        <v>202.16</v>
      </c>
      <c r="Y13" s="16" t="n">
        <v>202.16</v>
      </c>
      <c r="Z13" s="11" t="n"/>
      <c r="AA13" s="16" t="n">
        <v>202.16</v>
      </c>
      <c r="AB13" s="16" t="n">
        <v>202.16</v>
      </c>
      <c r="AC13" s="16" t="n">
        <v>202.16</v>
      </c>
      <c r="AD13" s="16" t="n">
        <v>202.16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</v>
      </c>
      <c r="T21" s="24" t="n">
        <v>0.49998</v>
      </c>
      <c r="U21" s="25" t="n"/>
      <c r="V21" s="24" t="n">
        <v>0.500005</v>
      </c>
      <c r="W21" s="24" t="n">
        <v>0.49999</v>
      </c>
      <c r="X21" s="24" t="n">
        <v>0.249979</v>
      </c>
      <c r="Y21" s="24" t="n">
        <v>0.250009</v>
      </c>
      <c r="Z21" s="25" t="n"/>
      <c r="AA21" s="24" t="n">
        <v>0.25</v>
      </c>
      <c r="AB21" s="24" t="n">
        <v>0.250007</v>
      </c>
      <c r="AC21" s="24" t="n">
        <v>0.125004</v>
      </c>
      <c r="AD21" s="24" t="n">
        <v>0.125004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4" t="n">
        <v>0.082325</v>
      </c>
      <c r="T22" s="24" t="n">
        <v>0.082347</v>
      </c>
      <c r="U22" s="25">
        <f>IFERROR(subQ!U8/subQ!U5,"")</f>
        <v/>
      </c>
      <c r="V22" s="24" t="n">
        <v>0.082331</v>
      </c>
      <c r="W22" s="24" t="n">
        <v>0.08233</v>
      </c>
      <c r="X22" s="24" t="n">
        <v>0.082326</v>
      </c>
      <c r="Y22" s="24" t="n">
        <v>0.082331</v>
      </c>
      <c r="Z22" s="25">
        <f>IFERROR(subQ!Z8/subQ!Z5,"")</f>
        <v/>
      </c>
      <c r="AA22" s="24" t="n">
        <v>0.082331</v>
      </c>
      <c r="AB22" s="24" t="n">
        <v>0.08233</v>
      </c>
      <c r="AC22" s="24" t="n">
        <v>0.082341</v>
      </c>
      <c r="AD22" s="24" t="n">
        <v>0.082325</v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</v>
      </c>
      <c r="T23" s="24" t="n">
        <v>0.15669</v>
      </c>
      <c r="U23" s="25">
        <f>IFERROR(subQ!U9/subQ!U5,"")</f>
        <v/>
      </c>
      <c r="V23" s="24" t="n">
        <v>0.156678</v>
      </c>
      <c r="W23" s="24" t="n">
        <v>0.156681</v>
      </c>
      <c r="X23" s="24" t="n">
        <v>0.156683</v>
      </c>
      <c r="Y23" s="24" t="n">
        <v>0.156696</v>
      </c>
      <c r="Z23" s="25">
        <f>IFERROR(subQ!Z9/subQ!Z5,"")</f>
        <v/>
      </c>
      <c r="AA23" s="24" t="n">
        <v>0.156702</v>
      </c>
      <c r="AB23" s="24" t="n">
        <v>0.156697</v>
      </c>
      <c r="AC23" s="24" t="n">
        <v>0.15669</v>
      </c>
      <c r="AD23" s="24" t="n">
        <v>0.156693</v>
      </c>
      <c r="AE23" s="25">
        <f>IFERROR(subQ!AE9/subQ!AE5,"")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3">
        <f>IFERROR(subQ!R42/subQ!M42-1,"")</f>
        <v/>
      </c>
      <c r="S24" s="24" t="n">
        <v>-0.021237</v>
      </c>
      <c r="T24" s="24" t="n">
        <v>0.022179</v>
      </c>
      <c r="U24" s="25" t="n"/>
      <c r="V24" s="24" t="n">
        <v>-0.434908</v>
      </c>
      <c r="W24" s="24" t="n">
        <v>-0.338819</v>
      </c>
      <c r="X24" s="24" t="n">
        <v>0</v>
      </c>
      <c r="Y24" s="24" t="n">
        <v>0</v>
      </c>
      <c r="Z24" s="25" t="n"/>
      <c r="AA24" s="24" t="n">
        <v>0</v>
      </c>
      <c r="AB24" s="24" t="n">
        <v>0</v>
      </c>
      <c r="AC24" s="24" t="n">
        <v>0</v>
      </c>
      <c r="AD24" s="24" t="n">
        <v>0</v>
      </c>
      <c r="AE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8">
        <f>subQ!R11</f>
        <v/>
      </c>
      <c r="S25" s="29" t="n">
        <v>-0.99</v>
      </c>
      <c r="T25" s="29" t="n">
        <v>-0.79</v>
      </c>
      <c r="U25" s="30">
        <f>subQ!U11</f>
        <v/>
      </c>
      <c r="V25" s="29" t="n">
        <v>-0.5600000000000001</v>
      </c>
      <c r="W25" s="29" t="n">
        <v>-0.27</v>
      </c>
      <c r="X25" s="29" t="n">
        <v>0.03</v>
      </c>
      <c r="Y25" s="29" t="n">
        <v>0.3</v>
      </c>
      <c r="Z25" s="30">
        <f>subQ!Z11</f>
        <v/>
      </c>
      <c r="AA25" s="29" t="n">
        <v>0.6</v>
      </c>
      <c r="AB25" s="29" t="n">
        <v>0.96</v>
      </c>
      <c r="AC25" s="29" t="n">
        <v>1.35</v>
      </c>
      <c r="AD25" s="29" t="n">
        <v>1.65</v>
      </c>
      <c r="AE25" s="30">
        <f>subQ!AE11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8">
        <f>subQ!R12</f>
        <v/>
      </c>
      <c r="S26" s="29" t="n">
        <v>-0.99</v>
      </c>
      <c r="T26" s="29" t="n">
        <v>-0.79</v>
      </c>
      <c r="U26" s="30">
        <f>subQ!U12</f>
        <v/>
      </c>
      <c r="V26" s="29" t="n">
        <v>-0.5600000000000001</v>
      </c>
      <c r="W26" s="29" t="n">
        <v>-0.27</v>
      </c>
      <c r="X26" s="29" t="n">
        <v>0.03</v>
      </c>
      <c r="Y26" s="29" t="n">
        <v>0.3</v>
      </c>
      <c r="Z26" s="30">
        <f>subQ!Z12</f>
        <v/>
      </c>
      <c r="AA26" s="29" t="n">
        <v>0.6</v>
      </c>
      <c r="AB26" s="29" t="n">
        <v>0.96</v>
      </c>
      <c r="AC26" s="29" t="n">
        <v>1.35</v>
      </c>
      <c r="AD26" s="29" t="n">
        <v>1.65</v>
      </c>
      <c r="AE26" s="30">
        <f>subQ!AE12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3">
        <f>IFERROR(subQ!R13/subQ!M13-1,"")</f>
        <v/>
      </c>
      <c r="S27" s="24" t="n">
        <v>-1</v>
      </c>
      <c r="T27" s="24" t="n">
        <v>-1</v>
      </c>
      <c r="U27" s="25" t="n"/>
      <c r="V27" s="31" t="n"/>
      <c r="W27" s="24" t="n">
        <v>-1</v>
      </c>
      <c r="X27" s="31" t="n"/>
      <c r="Y27" s="31" t="n"/>
      <c r="Z27" s="25" t="n"/>
      <c r="AA27" s="31" t="n"/>
      <c r="AB27" s="31" t="n"/>
      <c r="AC27" s="31" t="n"/>
      <c r="AD27" s="31" t="n"/>
      <c r="AE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8">
        <f>subQ!R14</f>
        <v/>
      </c>
      <c r="S28" s="29" t="n">
        <v>0</v>
      </c>
      <c r="T28" s="29" t="n">
        <v>0</v>
      </c>
      <c r="U28" s="30">
        <f>subQ!U14</f>
        <v/>
      </c>
      <c r="V28" s="29" t="n">
        <v>0</v>
      </c>
      <c r="W28" s="29" t="n">
        <v>0</v>
      </c>
      <c r="X28" s="29" t="n">
        <v>0</v>
      </c>
      <c r="Y28" s="29" t="n">
        <v>0</v>
      </c>
      <c r="Z28" s="30">
        <f>subQ!Z14</f>
        <v/>
      </c>
      <c r="AA28" s="29" t="n">
        <v>0</v>
      </c>
      <c r="AB28" s="29" t="n">
        <v>0</v>
      </c>
      <c r="AC28" s="29" t="n">
        <v>0</v>
      </c>
      <c r="AD28" s="29" t="n">
        <v>0</v>
      </c>
      <c r="AE28" s="30">
        <f>subQ!AE14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3">
        <f>IFERROR(subQ!R15/subQ!M15-1,"")</f>
        <v/>
      </c>
      <c r="S29" s="24" t="n">
        <v>-1</v>
      </c>
      <c r="T29" s="31" t="n"/>
      <c r="U29" s="25" t="n"/>
      <c r="V29" s="31" t="n"/>
      <c r="W29" s="24" t="n">
        <v>-1</v>
      </c>
      <c r="X29" s="31" t="n"/>
      <c r="Y29" s="31" t="n"/>
      <c r="Z29" s="25" t="n"/>
      <c r="AA29" s="31" t="n"/>
      <c r="AB29" s="31" t="n"/>
      <c r="AC29" s="31" t="n"/>
      <c r="AD29" s="31" t="n"/>
      <c r="AE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8">
        <f>subQ!R16</f>
        <v/>
      </c>
      <c r="S30" s="29" t="n">
        <v>0</v>
      </c>
      <c r="T30" s="29" t="n">
        <v>0</v>
      </c>
      <c r="U30" s="30">
        <f>subQ!U16</f>
        <v/>
      </c>
      <c r="V30" s="29" t="n">
        <v>0</v>
      </c>
      <c r="W30" s="29" t="n">
        <v>0</v>
      </c>
      <c r="X30" s="29" t="n">
        <v>0</v>
      </c>
      <c r="Y30" s="29" t="n">
        <v>0</v>
      </c>
      <c r="Z30" s="30">
        <f>subQ!Z16</f>
        <v/>
      </c>
      <c r="AA30" s="29" t="n">
        <v>0</v>
      </c>
      <c r="AB30" s="29" t="n">
        <v>0</v>
      </c>
      <c r="AC30" s="29" t="n">
        <v>0</v>
      </c>
      <c r="AD30" s="29" t="n">
        <v>0</v>
      </c>
      <c r="AE30" s="30">
        <f>subQ!AE16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2">
        <f>IFERROR(subQ!F18/subQ!F17,"")</f>
        <v/>
      </c>
      <c r="G31" s="21">
        <f>IFERROR(subQ!G18/subQ!G17,"")</f>
        <v/>
      </c>
      <c r="H31" s="21">
        <f>IFERROR(subQ!H18/subQ!H17,"")</f>
        <v/>
      </c>
      <c r="I31" s="21">
        <f>IFERROR(subQ!I18/subQ!I17,"")</f>
        <v/>
      </c>
      <c r="J31" s="21">
        <f>IFERROR(subQ!J18/subQ!J17,"")</f>
        <v/>
      </c>
      <c r="K31" s="22">
        <f>IFERROR(subQ!K18/subQ!K17,"")</f>
        <v/>
      </c>
      <c r="L31" s="21">
        <f>IFERROR(subQ!L18/subQ!L17,"")</f>
        <v/>
      </c>
      <c r="M31" s="21">
        <f>IFERROR(subQ!M18/subQ!M17,"")</f>
        <v/>
      </c>
      <c r="N31" s="21">
        <f>IFERROR(subQ!N18/subQ!N17,"")</f>
        <v/>
      </c>
      <c r="O31" s="21">
        <f>IFERROR(subQ!O18/subQ!O17,"")</f>
        <v/>
      </c>
      <c r="P31" s="22">
        <f>IFERROR(subQ!P18/subQ!P17,"")</f>
        <v/>
      </c>
      <c r="Q31" s="21">
        <f>IFERROR(subQ!Q18/subQ!Q17,"")</f>
        <v/>
      </c>
      <c r="R31" s="23">
        <f>IFERROR(subQ!R18/subQ!R17,"")</f>
        <v/>
      </c>
      <c r="S31" s="24" t="n">
        <v>0.050445</v>
      </c>
      <c r="T31" s="24" t="n">
        <v>0.050377</v>
      </c>
      <c r="U31" s="25">
        <f>IFERROR(subQ!U18/subQ!U17,"")</f>
        <v/>
      </c>
      <c r="V31" s="24" t="n">
        <v>0.050336</v>
      </c>
      <c r="W31" s="24" t="n">
        <v>0.050452</v>
      </c>
      <c r="X31" s="24" t="n">
        <v>0.050399</v>
      </c>
      <c r="Y31" s="24" t="n">
        <v>0.050377</v>
      </c>
      <c r="Z31" s="25">
        <f>IFERROR(subQ!Z18/subQ!Z17,"")</f>
        <v/>
      </c>
      <c r="AA31" s="24" t="n">
        <v>0.050339</v>
      </c>
      <c r="AB31" s="24" t="n">
        <v>0.050405</v>
      </c>
      <c r="AC31" s="24" t="n">
        <v>0.050474</v>
      </c>
      <c r="AD31" s="24" t="n">
        <v>0.0504</v>
      </c>
      <c r="AE31" s="25">
        <f>IFERROR(subQ!AE18/subQ!AE17,"")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2">
        <f>IFERROR(subQ!F20/subQ!F19,"")</f>
        <v/>
      </c>
      <c r="G32" s="21">
        <f>IFERROR(subQ!G20/subQ!G19,"")</f>
        <v/>
      </c>
      <c r="H32" s="21">
        <f>IFERROR(subQ!H20/subQ!H19,"")</f>
        <v/>
      </c>
      <c r="I32" s="21">
        <f>IFERROR(subQ!I20/subQ!I19,"")</f>
        <v/>
      </c>
      <c r="J32" s="21">
        <f>IFERROR(subQ!J20/subQ!J19,"")</f>
        <v/>
      </c>
      <c r="K32" s="22">
        <f>IFERROR(subQ!K20/subQ!K19,"")</f>
        <v/>
      </c>
      <c r="L32" s="21">
        <f>IFERROR(subQ!L20/subQ!L19,"")</f>
        <v/>
      </c>
      <c r="M32" s="21">
        <f>IFERROR(subQ!M20/subQ!M19,"")</f>
        <v/>
      </c>
      <c r="N32" s="21">
        <f>IFERROR(subQ!N20/subQ!N19,"")</f>
        <v/>
      </c>
      <c r="O32" s="21">
        <f>IFERROR(subQ!O20/subQ!O19,"")</f>
        <v/>
      </c>
      <c r="P32" s="22">
        <f>IFERROR(subQ!P20/subQ!P19,"")</f>
        <v/>
      </c>
      <c r="Q32" s="21">
        <f>IFERROR(subQ!Q20/subQ!Q19,"")</f>
        <v/>
      </c>
      <c r="R32" s="23">
        <f>IFERROR(subQ!R20/subQ!R19,"")</f>
        <v/>
      </c>
      <c r="S32" s="24" t="n">
        <v>1</v>
      </c>
      <c r="T32" s="24" t="n">
        <v>1</v>
      </c>
      <c r="U32" s="25">
        <f>IFERROR(subQ!U20/subQ!U19,"")</f>
        <v/>
      </c>
      <c r="V32" s="24" t="n">
        <v>1</v>
      </c>
      <c r="W32" s="24" t="n">
        <v>1</v>
      </c>
      <c r="X32" s="24" t="n">
        <v>1</v>
      </c>
      <c r="Y32" s="24" t="n">
        <v>1</v>
      </c>
      <c r="Z32" s="25">
        <f>IFERROR(subQ!Z20/subQ!Z19,"")</f>
        <v/>
      </c>
      <c r="AA32" s="24" t="n">
        <v>1</v>
      </c>
      <c r="AB32" s="24" t="n">
        <v>1</v>
      </c>
      <c r="AC32" s="24" t="n">
        <v>1</v>
      </c>
      <c r="AD32" s="24" t="n">
        <v>1</v>
      </c>
      <c r="AE32" s="25">
        <f>IFERROR(subQ!AE20/subQ!AE19,"")</f>
        <v/>
      </c>
    </row>
    <row r="33">
      <c r="A33" s="12" t="inlineStr">
        <is>
          <t>drv:감가상각비</t>
        </is>
      </c>
      <c r="B33" s="2" t="inlineStr">
        <is>
          <t>yoy</t>
        </is>
      </c>
      <c r="C33" t="inlineStr">
        <is>
          <t>감가상각비 YoY</t>
        </is>
      </c>
      <c r="E33" s="21" t="n"/>
      <c r="F33" s="22" t="n"/>
      <c r="G33" s="21" t="n"/>
      <c r="H33" s="21" t="n"/>
      <c r="I33" s="21" t="n"/>
      <c r="J33" s="21">
        <f>IFERROR(subQ!J21/subQ!E21-1,"")</f>
        <v/>
      </c>
      <c r="K33" s="22" t="n"/>
      <c r="L33" s="21">
        <f>IFERROR(subQ!L21/subQ!G21-1,"")</f>
        <v/>
      </c>
      <c r="M33" s="21">
        <f>IFERROR(subQ!M21/subQ!H21-1,"")</f>
        <v/>
      </c>
      <c r="N33" s="21">
        <f>IFERROR(subQ!N21/subQ!I21-1,"")</f>
        <v/>
      </c>
      <c r="O33" s="21">
        <f>IFERROR(subQ!O21/subQ!J21-1,"")</f>
        <v/>
      </c>
      <c r="P33" s="22" t="n"/>
      <c r="Q33" s="21">
        <f>IFERROR(subQ!Q21/subQ!L21-1,"")</f>
        <v/>
      </c>
      <c r="R33" s="23">
        <f>IFERROR(subQ!R21/subQ!M21-1,"")</f>
        <v/>
      </c>
      <c r="S33" s="24" t="n">
        <v>-0.006846</v>
      </c>
      <c r="T33" s="24" t="n">
        <v>0.009875999999999999</v>
      </c>
      <c r="U33" s="25" t="n"/>
      <c r="V33" s="24" t="n">
        <v>0.006979</v>
      </c>
      <c r="W33" s="24" t="n">
        <v>-0.220306</v>
      </c>
      <c r="X33" s="24" t="n">
        <v>0</v>
      </c>
      <c r="Y33" s="24" t="n">
        <v>0</v>
      </c>
      <c r="Z33" s="25" t="n"/>
      <c r="AA33" s="24" t="n">
        <v>0</v>
      </c>
      <c r="AB33" s="24" t="n">
        <v>0</v>
      </c>
      <c r="AC33" s="24" t="n">
        <v>0</v>
      </c>
      <c r="AD33" s="24" t="n">
        <v>0</v>
      </c>
      <c r="AE33" s="25" t="n"/>
    </row>
    <row r="34">
      <c r="A34" s="12" t="inlineStr">
        <is>
          <t>drv:EBITDA</t>
        </is>
      </c>
      <c r="B34" s="2" t="inlineStr">
        <is>
          <t>yoy</t>
        </is>
      </c>
      <c r="C34" t="inlineStr">
        <is>
          <t>EBITDA YoY</t>
        </is>
      </c>
      <c r="E34" s="21" t="n"/>
      <c r="F34" s="22" t="n"/>
      <c r="G34" s="21" t="n"/>
      <c r="H34" s="21" t="n"/>
      <c r="I34" s="21" t="n"/>
      <c r="J34" s="21">
        <f>IFERROR(subQ!J22/subQ!E22-1,"")</f>
        <v/>
      </c>
      <c r="K34" s="22" t="n"/>
      <c r="L34" s="21">
        <f>IFERROR(subQ!L22/subQ!G22-1,"")</f>
        <v/>
      </c>
      <c r="M34" s="21">
        <f>IFERROR(subQ!M22/subQ!H22-1,"")</f>
        <v/>
      </c>
      <c r="N34" s="21">
        <f>IFERROR(subQ!N22/subQ!I22-1,"")</f>
        <v/>
      </c>
      <c r="O34" s="21">
        <f>IFERROR(subQ!O22/subQ!J22-1,"")</f>
        <v/>
      </c>
      <c r="P34" s="22" t="n"/>
      <c r="Q34" s="21">
        <f>IFERROR(subQ!Q22/subQ!L22-1,"")</f>
        <v/>
      </c>
      <c r="R34" s="23">
        <f>IFERROR(subQ!R22/subQ!M22-1,"")</f>
        <v/>
      </c>
      <c r="S34" s="24" t="n">
        <v>0.385669</v>
      </c>
      <c r="T34" s="24" t="n">
        <v>0.449271</v>
      </c>
      <c r="U34" s="25" t="n"/>
      <c r="V34" s="24" t="n">
        <v>-0.139638</v>
      </c>
      <c r="W34" s="24" t="n">
        <v>-0.031741</v>
      </c>
      <c r="X34" s="24" t="n">
        <v>0.21857</v>
      </c>
      <c r="Y34" s="24" t="n">
        <v>0.222131</v>
      </c>
      <c r="Z34" s="25" t="n"/>
      <c r="AA34" s="24" t="n">
        <v>0.22674</v>
      </c>
      <c r="AB34" s="24" t="n">
        <v>0.227832</v>
      </c>
      <c r="AC34" s="24" t="n">
        <v>0.112222</v>
      </c>
      <c r="AD34" s="24" t="n">
        <v>0.113556</v>
      </c>
      <c r="AE34" s="25" t="n"/>
    </row>
    <row r="35">
      <c r="A35" s="12" t="inlineStr">
        <is>
          <t>drv:부채총계</t>
        </is>
      </c>
      <c r="B35" s="2" t="inlineStr">
        <is>
          <t>qoq</t>
        </is>
      </c>
      <c r="C35" t="inlineStr">
        <is>
          <t>부채총계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3">
        <f>IFERROR(subQ!R24/subQ!Q24-1,"")</f>
        <v/>
      </c>
      <c r="S35" s="24" t="n">
        <v>2e-06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drv:자본총계</t>
        </is>
      </c>
      <c r="B36" s="2" t="inlineStr">
        <is>
          <t>roll</t>
        </is>
      </c>
      <c r="C36" t="inlineStr">
        <is>
          <t>자본총계 기타변동(배당 등, 억원)</t>
        </is>
      </c>
      <c r="E36" s="26" t="n"/>
      <c r="F36" s="27" t="n"/>
      <c r="G36" s="26">
        <f>IFERROR(subQ!E25+subQ!G19-subQ!G25,"")</f>
        <v/>
      </c>
      <c r="H36" s="26">
        <f>IFERROR(subQ!G25+subQ!H19-subQ!H25,"")</f>
        <v/>
      </c>
      <c r="I36" s="26">
        <f>IFERROR(subQ!H25+subQ!I19-subQ!I25,"")</f>
        <v/>
      </c>
      <c r="J36" s="26">
        <f>IFERROR(subQ!I25+subQ!J19-subQ!J25,"")</f>
        <v/>
      </c>
      <c r="K36" s="27" t="n"/>
      <c r="L36" s="26">
        <f>IFERROR(subQ!J25+subQ!L19-subQ!L25,"")</f>
        <v/>
      </c>
      <c r="M36" s="26">
        <f>IFERROR(subQ!L25+subQ!M19-subQ!M25,"")</f>
        <v/>
      </c>
      <c r="N36" s="26">
        <f>IFERROR(subQ!M25+subQ!N19-subQ!N25,"")</f>
        <v/>
      </c>
      <c r="O36" s="26">
        <f>IFERROR(subQ!N25+subQ!O19-subQ!O25,"")</f>
        <v/>
      </c>
      <c r="P36" s="27" t="n"/>
      <c r="Q36" s="26">
        <f>IFERROR(subQ!O25+subQ!Q19-subQ!Q25,"")</f>
        <v/>
      </c>
      <c r="R36" s="28">
        <f>IFERROR(subQ!Q25+subQ!R19-subQ!R25,"")</f>
        <v/>
      </c>
      <c r="S36" s="29" t="n">
        <v>-0.0076</v>
      </c>
      <c r="T36" s="29" t="n">
        <v>0</v>
      </c>
      <c r="U36" s="30" t="n"/>
      <c r="V36" s="29" t="n">
        <v>0</v>
      </c>
      <c r="W36" s="29" t="n">
        <v>0</v>
      </c>
      <c r="X36" s="29" t="n">
        <v>0.01</v>
      </c>
      <c r="Y36" s="29" t="n">
        <v>-0.01</v>
      </c>
      <c r="Z36" s="30" t="n"/>
      <c r="AA36" s="29" t="n">
        <v>0</v>
      </c>
      <c r="AB36" s="29" t="n">
        <v>-0</v>
      </c>
      <c r="AC36" s="29" t="n">
        <v>0</v>
      </c>
      <c r="AD36" s="29" t="n">
        <v>0</v>
      </c>
      <c r="AE36" s="30" t="n"/>
    </row>
    <row r="37">
      <c r="A37" s="12" t="inlineStr">
        <is>
          <t>drv:지배주주지분</t>
        </is>
      </c>
      <c r="B37" s="2" t="inlineStr">
        <is>
          <t>roll</t>
        </is>
      </c>
      <c r="C37" t="inlineStr">
        <is>
          <t>지배주주지분 기타변동(배당 등, 억원)</t>
        </is>
      </c>
      <c r="E37" s="26" t="n"/>
      <c r="F37" s="27" t="n"/>
      <c r="G37" s="26">
        <f>IFERROR(subQ!E26+subQ!G20-subQ!G26,"")</f>
        <v/>
      </c>
      <c r="H37" s="26">
        <f>IFERROR(subQ!G26+subQ!H20-subQ!H26,"")</f>
        <v/>
      </c>
      <c r="I37" s="26">
        <f>IFERROR(subQ!H26+subQ!I20-subQ!I26,"")</f>
        <v/>
      </c>
      <c r="J37" s="26">
        <f>IFERROR(subQ!I26+subQ!J20-subQ!J26,"")</f>
        <v/>
      </c>
      <c r="K37" s="27" t="n"/>
      <c r="L37" s="26">
        <f>IFERROR(subQ!J26+subQ!L20-subQ!L26,"")</f>
        <v/>
      </c>
      <c r="M37" s="26">
        <f>IFERROR(subQ!L26+subQ!M20-subQ!M26,"")</f>
        <v/>
      </c>
      <c r="N37" s="26">
        <f>IFERROR(subQ!M26+subQ!N20-subQ!N26,"")</f>
        <v/>
      </c>
      <c r="O37" s="26">
        <f>IFERROR(subQ!N26+subQ!O20-subQ!O26,"")</f>
        <v/>
      </c>
      <c r="P37" s="27" t="n"/>
      <c r="Q37" s="26">
        <f>IFERROR(subQ!O26+subQ!Q20-subQ!Q26,"")</f>
        <v/>
      </c>
      <c r="R37" s="28">
        <f>IFERROR(subQ!Q26+subQ!R20-subQ!R26,"")</f>
        <v/>
      </c>
      <c r="S37" s="29" t="n">
        <v>-0.0076</v>
      </c>
      <c r="T37" s="29" t="n">
        <v>0</v>
      </c>
      <c r="U37" s="30" t="n"/>
      <c r="V37" s="29" t="n">
        <v>0</v>
      </c>
      <c r="W37" s="29" t="n">
        <v>0</v>
      </c>
      <c r="X37" s="29" t="n">
        <v>0.01</v>
      </c>
      <c r="Y37" s="29" t="n">
        <v>-0.01</v>
      </c>
      <c r="Z37" s="30" t="n"/>
      <c r="AA37" s="29" t="n">
        <v>0</v>
      </c>
      <c r="AB37" s="29" t="n">
        <v>-0</v>
      </c>
      <c r="AC37" s="29" t="n">
        <v>0</v>
      </c>
      <c r="AD37" s="29" t="n">
        <v>0</v>
      </c>
      <c r="AE37" s="30" t="n"/>
    </row>
    <row r="38">
      <c r="A38" s="12" t="inlineStr">
        <is>
          <t>drv:총차입금</t>
        </is>
      </c>
      <c r="B38" s="2" t="inlineStr">
        <is>
          <t>qoq</t>
        </is>
      </c>
      <c r="C38" t="inlineStr">
        <is>
          <t>총차입금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3">
        <f>IFERROR(subQ!R27/subQ!Q27-1,"")</f>
        <v/>
      </c>
      <c r="S38" s="24" t="n">
        <v>3e-06</v>
      </c>
      <c r="T38" s="24" t="n">
        <v>0</v>
      </c>
      <c r="U38" s="25" t="n"/>
      <c r="V38" s="24" t="n">
        <v>0</v>
      </c>
      <c r="W38" s="24" t="n">
        <v>0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drv:순차입금</t>
        </is>
      </c>
      <c r="B39" s="2" t="inlineStr">
        <is>
          <t>qoq</t>
        </is>
      </c>
      <c r="C39" t="inlineStr">
        <is>
          <t>순차입금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3">
        <f>IFERROR(subQ!R28/subQ!Q28-1,"")</f>
        <v/>
      </c>
      <c r="S39" s="24" t="n">
        <v>-0.102767</v>
      </c>
      <c r="T39" s="24" t="n">
        <v>-0.131264</v>
      </c>
      <c r="U39" s="25" t="n"/>
      <c r="V39" s="24" t="n">
        <v>-0.185145</v>
      </c>
      <c r="W39" s="24" t="n">
        <v>-0.241416</v>
      </c>
      <c r="X39" s="24" t="n">
        <v>-0.27395</v>
      </c>
      <c r="Y39" s="24" t="n">
        <v>-0.431063</v>
      </c>
      <c r="Z39" s="25" t="n"/>
      <c r="AA39" s="24" t="n">
        <v>-0.924307</v>
      </c>
      <c r="AB39" s="24" t="n">
        <v>-12.96124</v>
      </c>
      <c r="AC39" s="24" t="n">
        <v>0.844297</v>
      </c>
      <c r="AD39" s="24" t="n">
        <v>0.521392</v>
      </c>
      <c r="AE39" s="25" t="n"/>
    </row>
    <row r="40">
      <c r="A40" s="12" t="inlineStr">
        <is>
          <t>drv:이자발생자산</t>
        </is>
      </c>
      <c r="B40" s="2" t="inlineStr">
        <is>
          <t>qoq</t>
        </is>
      </c>
      <c r="C40" t="inlineStr">
        <is>
          <t>이자발생자산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3">
        <f>IFERROR(subQ!R29/subQ!Q29-1,"")</f>
        <v/>
      </c>
      <c r="S40" s="24" t="n">
        <v>0.255024</v>
      </c>
      <c r="T40" s="24" t="n">
        <v>0.232883</v>
      </c>
      <c r="U40" s="25" t="n"/>
      <c r="V40" s="24" t="n">
        <v>0.231457</v>
      </c>
      <c r="W40" s="24" t="n">
        <v>0.199703</v>
      </c>
      <c r="X40" s="24" t="n">
        <v>0.143292</v>
      </c>
      <c r="Y40" s="24" t="n">
        <v>0.143186</v>
      </c>
      <c r="Z40" s="25" t="n"/>
      <c r="AA40" s="24" t="n">
        <v>0.1528</v>
      </c>
      <c r="AB40" s="24" t="n">
        <v>0.140687</v>
      </c>
      <c r="AC40" s="24" t="n">
        <v>0.096098</v>
      </c>
      <c r="AD40" s="24" t="n">
        <v>0.099854</v>
      </c>
      <c r="AE40" s="25" t="n"/>
    </row>
    <row r="41">
      <c r="A41" s="12" t="inlineStr">
        <is>
          <t>drv:현금및현금성자산</t>
        </is>
      </c>
      <c r="B41" s="2" t="inlineStr">
        <is>
          <t>qoq</t>
        </is>
      </c>
      <c r="C41" t="inlineStr">
        <is>
          <t>현금및현금성자산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3">
        <f>IFERROR(subQ!R30/subQ!Q30-1,"")</f>
        <v/>
      </c>
      <c r="S41" s="31" t="n"/>
      <c r="T41" s="31" t="n"/>
      <c r="U41" s="25" t="n"/>
      <c r="V41" s="31" t="n"/>
      <c r="W41" s="31" t="n"/>
      <c r="X41" s="31" t="n"/>
      <c r="Y41" s="31" t="n"/>
      <c r="Z41" s="25" t="n"/>
      <c r="AA41" s="31" t="n"/>
      <c r="AB41" s="31" t="n"/>
      <c r="AC41" s="31" t="n"/>
      <c r="AD41" s="31" t="n"/>
      <c r="AE41" s="25" t="n"/>
    </row>
    <row r="42">
      <c r="A42" s="12" t="inlineStr">
        <is>
          <t>drv:CAPEX</t>
        </is>
      </c>
      <c r="B42" s="2" t="inlineStr">
        <is>
          <t>yoy</t>
        </is>
      </c>
      <c r="C42" t="inlineStr">
        <is>
          <t>CAPEX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3">
        <f>IFERROR(subQ!R31/subQ!M31-1,"")</f>
        <v/>
      </c>
      <c r="S42" s="31" t="n"/>
      <c r="T42" s="31" t="n"/>
      <c r="U42" s="25" t="n"/>
      <c r="V42" s="31" t="n"/>
      <c r="W42" s="31" t="n"/>
      <c r="X42" s="31" t="n"/>
      <c r="Y42" s="31" t="n"/>
      <c r="Z42" s="25" t="n"/>
      <c r="AA42" s="31" t="n"/>
      <c r="AB42" s="31" t="n"/>
      <c r="AC42" s="31" t="n"/>
      <c r="AD42" s="31" t="n"/>
      <c r="AE42" s="25" t="n"/>
    </row>
    <row r="43">
      <c r="A43" s="12" t="inlineStr">
        <is>
          <t>drv:영업활동현금흐름</t>
        </is>
      </c>
      <c r="B43" s="2" t="inlineStr">
        <is>
          <t>yoy</t>
        </is>
      </c>
      <c r="C43" t="inlineStr">
        <is>
          <t>영업활동현금흐름 YoY</t>
        </is>
      </c>
      <c r="E43" s="21" t="n"/>
      <c r="F43" s="22" t="n"/>
      <c r="G43" s="21" t="n"/>
      <c r="H43" s="21" t="n"/>
      <c r="I43" s="21" t="n"/>
      <c r="J43" s="21">
        <f>IFERROR(subQ!J32/subQ!E32-1,"")</f>
        <v/>
      </c>
      <c r="K43" s="22" t="n"/>
      <c r="L43" s="21">
        <f>IFERROR(subQ!L32/subQ!G32-1,"")</f>
        <v/>
      </c>
      <c r="M43" s="21">
        <f>IFERROR(subQ!M32/subQ!H32-1,"")</f>
        <v/>
      </c>
      <c r="N43" s="21">
        <f>IFERROR(subQ!N32/subQ!I32-1,"")</f>
        <v/>
      </c>
      <c r="O43" s="21">
        <f>IFERROR(subQ!O32/subQ!J32-1,"")</f>
        <v/>
      </c>
      <c r="P43" s="22" t="n"/>
      <c r="Q43" s="21">
        <f>IFERROR(subQ!Q32/subQ!L32-1,"")</f>
        <v/>
      </c>
      <c r="R43" s="23">
        <f>IFERROR(subQ!R32/subQ!M32-1,"")</f>
        <v/>
      </c>
      <c r="S43" s="31" t="n"/>
      <c r="T43" s="31" t="n"/>
      <c r="U43" s="25" t="n"/>
      <c r="V43" s="31" t="n"/>
      <c r="W43" s="31" t="n"/>
      <c r="X43" s="31" t="n"/>
      <c r="Y43" s="31" t="n"/>
      <c r="Z43" s="25" t="n"/>
      <c r="AA43" s="31" t="n"/>
      <c r="AB43" s="31" t="n"/>
      <c r="AC43" s="31" t="n"/>
      <c r="AD43" s="31" t="n"/>
      <c r="AE43" s="25" t="n"/>
    </row>
    <row r="44">
      <c r="A44" s="12" t="inlineStr">
        <is>
          <t>drv:주식수</t>
        </is>
      </c>
      <c r="B44" s="2" t="inlineStr">
        <is>
          <t>qoq</t>
        </is>
      </c>
      <c r="C44" t="inlineStr">
        <is>
          <t>주식수 QoQ</t>
        </is>
      </c>
      <c r="E44" s="21" t="n"/>
      <c r="F44" s="22" t="n"/>
      <c r="G44" s="21">
        <f>IFERROR(subQ!G33/subQ!E33-1,"")</f>
        <v/>
      </c>
      <c r="H44" s="21">
        <f>IFERROR(subQ!H33/subQ!G33-1,"")</f>
        <v/>
      </c>
      <c r="I44" s="21">
        <f>IFERROR(subQ!I33/subQ!H33-1,"")</f>
        <v/>
      </c>
      <c r="J44" s="21">
        <f>IFERROR(subQ!J33/subQ!I33-1,"")</f>
        <v/>
      </c>
      <c r="K44" s="22" t="n"/>
      <c r="L44" s="21">
        <f>IFERROR(subQ!L33/subQ!J33-1,"")</f>
        <v/>
      </c>
      <c r="M44" s="21">
        <f>IFERROR(subQ!M33/subQ!L33-1,"")</f>
        <v/>
      </c>
      <c r="N44" s="21">
        <f>IFERROR(subQ!N33/subQ!M33-1,"")</f>
        <v/>
      </c>
      <c r="O44" s="21">
        <f>IFERROR(subQ!O33/subQ!N33-1,"")</f>
        <v/>
      </c>
      <c r="P44" s="22" t="n"/>
      <c r="Q44" s="21">
        <f>IFERROR(subQ!Q33/subQ!O33-1,"")</f>
        <v/>
      </c>
      <c r="R44" s="23">
        <f>IFERROR(subQ!R33/subQ!Q33-1,"")</f>
        <v/>
      </c>
      <c r="S44" s="24" t="n">
        <v>0</v>
      </c>
      <c r="T44" s="24" t="n">
        <v>0</v>
      </c>
      <c r="U44" s="25" t="n"/>
      <c r="V44" s="24" t="n">
        <v>0</v>
      </c>
      <c r="W44" s="24" t="n">
        <v>0</v>
      </c>
      <c r="X44" s="24" t="n">
        <v>0</v>
      </c>
      <c r="Y44" s="24" t="n">
        <v>0</v>
      </c>
      <c r="Z44" s="25" t="n"/>
      <c r="AA44" s="24" t="n">
        <v>0</v>
      </c>
      <c r="AB44" s="24" t="n">
        <v>0</v>
      </c>
      <c r="AC44" s="24" t="n">
        <v>0</v>
      </c>
      <c r="AD44" s="24" t="n">
        <v>0</v>
      </c>
      <c r="AE44" s="25" t="n"/>
    </row>
    <row r="45">
      <c r="A45" s="12" t="inlineStr">
        <is>
          <t>drv:DPS</t>
        </is>
      </c>
      <c r="B45" s="2" t="inlineStr">
        <is>
          <t>yoy</t>
        </is>
      </c>
      <c r="C45" t="inlineStr">
        <is>
          <t>DPS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3">
        <f>IFERROR(subQ!R36/subQ!M36-1,"")</f>
        <v/>
      </c>
      <c r="S45" s="31" t="n"/>
      <c r="T45" s="31" t="n"/>
      <c r="U45" s="25" t="n"/>
      <c r="V45" s="31" t="n"/>
      <c r="W45" s="31" t="n"/>
      <c r="X45" s="31" t="n"/>
      <c r="Y45" s="31" t="n"/>
      <c r="Z45" s="25" t="n"/>
      <c r="AA45" s="31" t="n"/>
      <c r="AB45" s="31" t="n"/>
      <c r="AC45" s="31" t="n"/>
      <c r="AD45" s="31" t="n"/>
      <c r="AE45" s="25" t="n"/>
    </row>
    <row r="46">
      <c r="A46" s="12" t="inlineStr">
        <is>
          <t>drv:PER</t>
        </is>
      </c>
      <c r="B46" s="2" t="inlineStr">
        <is>
          <t>yoy</t>
        </is>
      </c>
      <c r="C46" t="inlineStr">
        <is>
          <t>PER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3">
        <f>IFERROR(subQ!R37/subQ!M37-1,"")</f>
        <v/>
      </c>
      <c r="S46" s="24" t="n">
        <v>30.168727</v>
      </c>
      <c r="T46" s="24" t="n">
        <v>1.906467</v>
      </c>
      <c r="U46" s="25" t="n"/>
      <c r="V46" s="24" t="n">
        <v>-0.781373</v>
      </c>
      <c r="W46" s="24" t="n">
        <v>-0.998151</v>
      </c>
      <c r="X46" s="24" t="n">
        <v>-0.969807</v>
      </c>
      <c r="Y46" s="24" t="n">
        <v>-0.775653</v>
      </c>
      <c r="Z46" s="25" t="n"/>
      <c r="AA46" s="24" t="n">
        <v>-0.315758</v>
      </c>
      <c r="AB46" s="24" t="n">
        <v>-0.216691</v>
      </c>
      <c r="AC46" s="24" t="n">
        <v>-0.197836</v>
      </c>
      <c r="AD46" s="24" t="n">
        <v>-0.17623</v>
      </c>
      <c r="AE46" s="25" t="n"/>
    </row>
    <row r="47">
      <c r="A47" s="12" t="inlineStr">
        <is>
          <t>drv:PBR</t>
        </is>
      </c>
      <c r="B47" s="2" t="inlineStr">
        <is>
          <t>yoy</t>
        </is>
      </c>
      <c r="C47" t="inlineStr">
        <is>
          <t>PBR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3">
        <f>IFERROR(subQ!R38/subQ!M38-1,"")</f>
        <v/>
      </c>
      <c r="S47" s="24" t="n">
        <v>0.208738</v>
      </c>
      <c r="T47" s="24" t="n">
        <v>-0.02449</v>
      </c>
      <c r="U47" s="25" t="n"/>
      <c r="V47" s="24" t="n">
        <v>-0.033898</v>
      </c>
      <c r="W47" s="24" t="n">
        <v>-0.469438</v>
      </c>
      <c r="X47" s="24" t="n">
        <v>-0.160643</v>
      </c>
      <c r="Y47" s="24" t="n">
        <v>-0.16318</v>
      </c>
      <c r="Z47" s="25" t="n"/>
      <c r="AA47" s="24" t="n">
        <v>-0.166667</v>
      </c>
      <c r="AB47" s="24" t="n">
        <v>-0.165899</v>
      </c>
      <c r="AC47" s="24" t="n">
        <v>-0.167464</v>
      </c>
      <c r="AD47" s="24" t="n">
        <v>-0.165</v>
      </c>
      <c r="AE47" s="25" t="n"/>
    </row>
    <row r="48">
      <c r="A48" s="12" t="inlineStr">
        <is>
          <t>drv:매출전사</t>
        </is>
      </c>
      <c r="B48" s="2" t="inlineStr">
        <is>
          <t>ratio</t>
        </is>
      </c>
      <c r="C48" t="inlineStr">
        <is>
          <t>매출전사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3">
        <f>IFERROR(subQ!R39/subQ!R5,"")</f>
        <v/>
      </c>
      <c r="S48" s="24" t="n">
        <v>1</v>
      </c>
      <c r="T48" s="24" t="n">
        <v>1</v>
      </c>
      <c r="U48" s="25">
        <f>IFERROR(subQ!U39/subQ!U5,"")</f>
        <v/>
      </c>
      <c r="V48" s="24" t="n">
        <v>1</v>
      </c>
      <c r="W48" s="24" t="n">
        <v>1</v>
      </c>
      <c r="X48" s="24" t="n">
        <v>1</v>
      </c>
      <c r="Y48" s="24" t="n">
        <v>1</v>
      </c>
      <c r="Z48" s="25">
        <f>IFERROR(subQ!Z39/subQ!Z5,"")</f>
        <v/>
      </c>
      <c r="AA48" s="24" t="n">
        <v>1</v>
      </c>
      <c r="AB48" s="24" t="n">
        <v>1</v>
      </c>
      <c r="AC48" s="24" t="n">
        <v>1</v>
      </c>
      <c r="AD48" s="24" t="n">
        <v>1</v>
      </c>
      <c r="AE48" s="25">
        <f>IFERROR(subQ!AE39/subQ!AE5,"")</f>
        <v/>
      </c>
    </row>
    <row r="49">
      <c r="A49" s="12" t="inlineStr">
        <is>
          <t>drv:OP전사</t>
        </is>
      </c>
      <c r="B49" s="2" t="inlineStr">
        <is>
          <t>ratio</t>
        </is>
      </c>
      <c r="C49" t="inlineStr">
        <is>
          <t>OP전사 마진(/매출전사)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3">
        <f>IFERROR(subQ!R40/subQ!R39,"")</f>
        <v/>
      </c>
      <c r="S49" s="24" t="n">
        <v>0.156705</v>
      </c>
      <c r="T49" s="24" t="n">
        <v>0.15669</v>
      </c>
      <c r="U49" s="25">
        <f>IFERROR(subQ!U40/subQ!U39,"")</f>
        <v/>
      </c>
      <c r="V49" s="24" t="n">
        <v>0.156678</v>
      </c>
      <c r="W49" s="24" t="n">
        <v>0.156681</v>
      </c>
      <c r="X49" s="24" t="n">
        <v>0.156683</v>
      </c>
      <c r="Y49" s="24" t="n">
        <v>0.156696</v>
      </c>
      <c r="Z49" s="25">
        <f>IFERROR(subQ!Z40/subQ!Z39,"")</f>
        <v/>
      </c>
      <c r="AA49" s="24" t="n">
        <v>0.156702</v>
      </c>
      <c r="AB49" s="24" t="n">
        <v>0.156697</v>
      </c>
      <c r="AC49" s="24" t="n">
        <v>0.15669</v>
      </c>
      <c r="AD49" s="24" t="n">
        <v>0.156693</v>
      </c>
      <c r="AE49" s="25">
        <f>IFERROR(subQ!AE40/subQ!AE39,"")</f>
        <v/>
      </c>
    </row>
    <row r="50"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B51" s="1" t="inlineStr">
        <is>
          <t>3. 밸류에이션·스칼라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12600</v>
      </c>
      <c r="E52" s="2" t="inlineStr">
        <is>
          <t>원 — aikstockdata(금융위 T+1)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10</v>
      </c>
      <c r="E55" s="2" t="inlineStr">
        <is>
          <t>PER 밴드 하단(배) — sector_default(레퍼런스 TP_PE PB 예시 10/15/20배; 과거 PER 중위 31.9배가 캡 5~30 밖 — 턴어라운드 초기 TTM EPS 왜곡)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15</v>
      </c>
      <c r="E56" s="2" t="inlineStr">
        <is>
          <t>PER 밴드 중단(배)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20</v>
      </c>
      <c r="E57" s="2" t="inlineStr">
        <is>
          <t>PER 밴드 상단(배)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0.0504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0.0823</v>
      </c>
      <c r="E60" s="2" t="inlineStr">
        <is>
          <t>판관비율 가정(참고)</t>
        </is>
      </c>
      <c r="F60" s="9" t="n"/>
      <c r="K60" s="9" t="n"/>
      <c r="P60" s="9" t="n"/>
      <c r="R60" s="5" t="n"/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>
        <v>0</v>
      </c>
      <c r="E61" s="2" t="inlineStr">
        <is>
          <t>배당성향 가정(참고)</t>
        </is>
      </c>
      <c r="F61" s="9" t="n"/>
      <c r="K61" s="9" t="n"/>
      <c r="P61" s="9" t="n"/>
      <c r="R61" s="5" t="n"/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R62" s="5" t="n"/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4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4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4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4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4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4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4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4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4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4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4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4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4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4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4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4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4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4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4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4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4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4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4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4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4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4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4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4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4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4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4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4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4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4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4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4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4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4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4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4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4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4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4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4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4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4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4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4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4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4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4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4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4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4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4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4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4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4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4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4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4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4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4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4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4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4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4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4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4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4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4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4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4" t="n">
        <v>7130</v>
      </c>
      <c r="G29" s="18" t="n">
        <v>7170</v>
      </c>
      <c r="H29" s="18" t="n">
        <v>7210</v>
      </c>
      <c r="I29" s="18" t="n">
        <v>610</v>
      </c>
      <c r="J29" s="18" t="n">
        <v>6200</v>
      </c>
      <c r="K29" s="34" t="n">
        <v>6200</v>
      </c>
      <c r="L29" s="18" t="n">
        <v>6200</v>
      </c>
      <c r="M29" s="18" t="n">
        <v>0</v>
      </c>
      <c r="O29" s="18" t="n">
        <v>31760.11</v>
      </c>
      <c r="P29" s="34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4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4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4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4" t="n">
        <v>530</v>
      </c>
      <c r="G31" s="18" t="n">
        <v>570</v>
      </c>
      <c r="H31" s="18" t="n">
        <v>610</v>
      </c>
      <c r="I31" s="18" t="n">
        <v>610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4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4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4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4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4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4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4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4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4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4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4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4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4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4" t="n">
        <v>28025.59</v>
      </c>
      <c r="L36" s="18" t="n">
        <v>28550.59</v>
      </c>
      <c r="M36" s="18" t="n">
        <v>28607.98</v>
      </c>
      <c r="O36" s="18" t="n">
        <v>28644.45</v>
      </c>
      <c r="P36" s="34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4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4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4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4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4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4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4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4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4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4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4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4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4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4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4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4" t="n">
        <v>9195.540000000001</v>
      </c>
      <c r="G42" s="18" t="n">
        <v>9176.84</v>
      </c>
      <c r="H42" s="18" t="n">
        <v>9296.52</v>
      </c>
      <c r="I42" s="18" t="n">
        <v>2565.32</v>
      </c>
      <c r="J42" s="18" t="n">
        <v>13414.72</v>
      </c>
      <c r="K42" s="34" t="n">
        <v>13414.72</v>
      </c>
      <c r="L42" s="18" t="n">
        <v>32794.8</v>
      </c>
      <c r="M42" s="18" t="n">
        <v>29318.2</v>
      </c>
      <c r="N42" s="18" t="n">
        <v>19177.32</v>
      </c>
      <c r="O42" s="18" t="n">
        <v>52387</v>
      </c>
      <c r="P42" s="34" t="n">
        <v>52387</v>
      </c>
      <c r="Q42" s="18" t="n">
        <v>49820.62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4" t="n">
        <v>1946.59</v>
      </c>
      <c r="G43" s="18" t="n">
        <v>1230.16</v>
      </c>
      <c r="H43" s="18" t="n">
        <v>1535.72</v>
      </c>
      <c r="I43" s="18" t="n">
        <v>-3297.42</v>
      </c>
      <c r="J43" s="18" t="n">
        <v>4823.3</v>
      </c>
      <c r="K43" s="34" t="n">
        <v>4823.3</v>
      </c>
      <c r="L43" s="18" t="n">
        <v>25966.84</v>
      </c>
      <c r="M43" s="18" t="n">
        <v>13513.92</v>
      </c>
      <c r="N43" s="18" t="n">
        <v>12589.49</v>
      </c>
      <c r="O43" s="18" t="n">
        <v>30231.27</v>
      </c>
      <c r="P43" s="34" t="n">
        <v>30231.27</v>
      </c>
      <c r="Q43" s="18" t="n">
        <v>35756.93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4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4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4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4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4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4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4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4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4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4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4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4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4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4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4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4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4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4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4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4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4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4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4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4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4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4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4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4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4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4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4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4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4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4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4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4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4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4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4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4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4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4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4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4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4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4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4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4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4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4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4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4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4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4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4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4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4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4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4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4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4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4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4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4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4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4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4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4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4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4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4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4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4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4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4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4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4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4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4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4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4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4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4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5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5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5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5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5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5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5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5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5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5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</v>
      </c>
      <c r="F10" s="34" t="n"/>
      <c r="G10" s="18" t="n">
        <v>0.1158</v>
      </c>
      <c r="H10" s="18" t="n">
        <v>0.1331</v>
      </c>
      <c r="I10" s="18" t="n">
        <v>0.0704</v>
      </c>
      <c r="J10" s="18" t="n">
        <v>0.082</v>
      </c>
      <c r="K10" s="34">
        <f>SUM(G10:J10)</f>
        <v/>
      </c>
      <c r="L10" s="18" t="n">
        <v>0.1283</v>
      </c>
      <c r="M10" s="18" t="n">
        <v>0.1712</v>
      </c>
      <c r="N10" s="18" t="n">
        <v>0.1601</v>
      </c>
      <c r="O10" s="18" t="n">
        <v>0.1533</v>
      </c>
      <c r="P10" s="34">
        <f>SUM(L10:O10)</f>
        <v/>
      </c>
      <c r="Q10" s="18" t="n">
        <v>0.2773</v>
      </c>
      <c r="R10" s="19" t="n">
        <v>0.237</v>
      </c>
      <c r="S10" s="20">
        <f>IFERROR(N10*(1+변수!S24),"")</f>
        <v/>
      </c>
      <c r="T10" s="20">
        <f>IFERROR(O10*(1+변수!T24),"")</f>
        <v/>
      </c>
      <c r="U10" s="35">
        <f>SUM(Q10:T10)</f>
        <v/>
      </c>
      <c r="V10" s="20">
        <f>IFERROR(Q10*(1+변수!V24),"")</f>
        <v/>
      </c>
      <c r="W10" s="20">
        <f>IFERROR(R10*(1+변수!W24),"")</f>
        <v/>
      </c>
      <c r="X10" s="20">
        <f>IFERROR(S10*(1+변수!X24),"")</f>
        <v/>
      </c>
      <c r="Y10" s="20">
        <f>IFERROR(T10*(1+변수!Y24),"")</f>
        <v/>
      </c>
      <c r="Z10" s="35">
        <f>SUM(V10:Y10)</f>
        <v/>
      </c>
      <c r="AA10" s="20">
        <f>IFERROR(V10*(1+변수!AA24),"")</f>
        <v/>
      </c>
      <c r="AB10" s="20">
        <f>IFERROR(W10*(1+변수!AB24),"")</f>
        <v/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변수!S25</f>
        <v/>
      </c>
      <c r="T11" s="20">
        <f>변수!T25</f>
        <v/>
      </c>
      <c r="U11" s="35">
        <f>SUM(Q11:T11)</f>
        <v/>
      </c>
      <c r="V11" s="20">
        <f>변수!V25</f>
        <v/>
      </c>
      <c r="W11" s="20">
        <f>변수!W25</f>
        <v/>
      </c>
      <c r="X11" s="20">
        <f>변수!X25</f>
        <v/>
      </c>
      <c r="Y11" s="20">
        <f>변수!Y25</f>
        <v/>
      </c>
      <c r="Z11" s="35">
        <f>SUM(V11:Y11)</f>
        <v/>
      </c>
      <c r="AA11" s="20">
        <f>변수!AA25</f>
        <v/>
      </c>
      <c r="AB11" s="20">
        <f>변수!AB25</f>
        <v/>
      </c>
      <c r="AC11" s="20">
        <f>변수!AC25</f>
        <v/>
      </c>
      <c r="AD11" s="20">
        <f>변수!AD25</f>
        <v/>
      </c>
      <c r="AE11" s="35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4">
        <f>SUM(L12:O12)</f>
        <v/>
      </c>
      <c r="Q12" s="18" t="n"/>
      <c r="R12" s="19">
        <f>IFERROR(VLOOKUP($D12,BS별도,MATCH(R$1,BS별도H,0),0)/100,"")</f>
        <v/>
      </c>
      <c r="S12" s="20">
        <f>변수!S26</f>
        <v/>
      </c>
      <c r="T12" s="20">
        <f>변수!T26</f>
        <v/>
      </c>
      <c r="U12" s="35">
        <f>SUM(Q12:T12)</f>
        <v/>
      </c>
      <c r="V12" s="20">
        <f>변수!V26</f>
        <v/>
      </c>
      <c r="W12" s="20">
        <f>변수!W26</f>
        <v/>
      </c>
      <c r="X12" s="20">
        <f>변수!X26</f>
        <v/>
      </c>
      <c r="Y12" s="20">
        <f>변수!Y26</f>
        <v/>
      </c>
      <c r="Z12" s="35">
        <f>SUM(V12:Y12)</f>
        <v/>
      </c>
      <c r="AA12" s="20">
        <f>변수!AA26</f>
        <v/>
      </c>
      <c r="AB12" s="20">
        <f>변수!AB26</f>
        <v/>
      </c>
      <c r="AC12" s="20">
        <f>변수!AC26</f>
        <v/>
      </c>
      <c r="AD12" s="20">
        <f>변수!AD26</f>
        <v/>
      </c>
      <c r="AE12" s="35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>
        <v>-0.95</v>
      </c>
      <c r="F13" s="34" t="n"/>
      <c r="G13" s="18" t="n"/>
      <c r="H13" s="18" t="n">
        <v>1.21</v>
      </c>
      <c r="I13" s="18" t="n">
        <v>-2.28</v>
      </c>
      <c r="J13" s="18" t="n"/>
      <c r="K13" s="34">
        <f>SUM(G13:J13)</f>
        <v/>
      </c>
      <c r="L13" s="18" t="n">
        <v>0.07000000000000001</v>
      </c>
      <c r="M13" s="18" t="n">
        <v>-3.73</v>
      </c>
      <c r="N13" s="18" t="n">
        <v>1.57</v>
      </c>
      <c r="O13" s="18" t="n">
        <v>0.66</v>
      </c>
      <c r="P13" s="34">
        <f>SUM(L13:O13)</f>
        <v/>
      </c>
      <c r="Q13" s="18" t="n"/>
      <c r="R13" s="19" t="n">
        <v>1.67</v>
      </c>
      <c r="S13" s="20">
        <f>IFERROR(N13*(1+변수!S27),"")</f>
        <v/>
      </c>
      <c r="T13" s="20">
        <f>IFERROR(O13*(1+변수!T27),"")</f>
        <v/>
      </c>
      <c r="U13" s="35">
        <f>SUM(Q13:T13)</f>
        <v/>
      </c>
      <c r="V13" s="20" t="n">
        <v>0</v>
      </c>
      <c r="W13" s="20">
        <f>IFERROR(R13*(1+변수!W27),"")</f>
        <v/>
      </c>
      <c r="X13" s="20" t="n">
        <v>0</v>
      </c>
      <c r="Y13" s="20" t="n">
        <v>0</v>
      </c>
      <c r="Z13" s="35">
        <f>SUM(V13:Y13)</f>
        <v/>
      </c>
      <c r="AA13" s="20" t="n">
        <v>0</v>
      </c>
      <c r="AB13" s="20" t="n">
        <v>0</v>
      </c>
      <c r="AC13" s="20" t="n">
        <v>0</v>
      </c>
      <c r="AD13" s="20" t="n">
        <v>0</v>
      </c>
      <c r="AE13" s="35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>
        <v>34.93</v>
      </c>
      <c r="N14" s="18" t="n">
        <v>-1.17</v>
      </c>
      <c r="O14" s="18" t="n">
        <v>-24.83</v>
      </c>
      <c r="P14" s="34">
        <f>SUM(L14:O14)</f>
        <v/>
      </c>
      <c r="Q14" s="18" t="n">
        <v>-120.77</v>
      </c>
      <c r="R14" s="19" t="n">
        <v>8.23</v>
      </c>
      <c r="S14" s="20">
        <f>변수!S28</f>
        <v/>
      </c>
      <c r="T14" s="20">
        <f>변수!T28</f>
        <v/>
      </c>
      <c r="U14" s="35">
        <f>SUM(Q14:T14)</f>
        <v/>
      </c>
      <c r="V14" s="20">
        <f>변수!V28</f>
        <v/>
      </c>
      <c r="W14" s="20">
        <f>변수!W28</f>
        <v/>
      </c>
      <c r="X14" s="20">
        <f>변수!X28</f>
        <v/>
      </c>
      <c r="Y14" s="20">
        <f>변수!Y28</f>
        <v/>
      </c>
      <c r="Z14" s="35">
        <f>SUM(V14:Y14)</f>
        <v/>
      </c>
      <c r="AA14" s="20">
        <f>변수!AA28</f>
        <v/>
      </c>
      <c r="AB14" s="20">
        <f>변수!AB28</f>
        <v/>
      </c>
      <c r="AC14" s="20">
        <f>변수!AC28</f>
        <v/>
      </c>
      <c r="AD14" s="20">
        <f>변수!AD28</f>
        <v/>
      </c>
      <c r="AE14" s="35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>
        <v>1.05</v>
      </c>
      <c r="N15" s="18" t="n">
        <v>0.01</v>
      </c>
      <c r="O15" s="18" t="n"/>
      <c r="P15" s="34">
        <f>SUM(L15:O15)</f>
        <v/>
      </c>
      <c r="Q15" s="18" t="n"/>
      <c r="R15" s="19" t="n">
        <v>-16.12</v>
      </c>
      <c r="S15" s="20">
        <f>IFERROR(N15*(1+변수!S29),"")</f>
        <v/>
      </c>
      <c r="T15" s="20" t="n">
        <v>0</v>
      </c>
      <c r="U15" s="35">
        <f>SUM(Q15:T15)</f>
        <v/>
      </c>
      <c r="V15" s="20" t="n">
        <v>0</v>
      </c>
      <c r="W15" s="20">
        <f>IFERROR(R15*(1+변수!W29),"")</f>
        <v/>
      </c>
      <c r="X15" s="20" t="n">
        <v>0</v>
      </c>
      <c r="Y15" s="20" t="n">
        <v>0</v>
      </c>
      <c r="Z15" s="35">
        <f>SUM(V15:Y15)</f>
        <v/>
      </c>
      <c r="AA15" s="20" t="n">
        <v>0</v>
      </c>
      <c r="AB15" s="20" t="n">
        <v>0</v>
      </c>
      <c r="AC15" s="20" t="n">
        <v>0</v>
      </c>
      <c r="AD15" s="20" t="n">
        <v>0</v>
      </c>
      <c r="AE15" s="35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변수!S30</f>
        <v/>
      </c>
      <c r="T16" s="20">
        <f>변수!T30</f>
        <v/>
      </c>
      <c r="U16" s="35">
        <f>SUM(Q16:T16)</f>
        <v/>
      </c>
      <c r="V16" s="20">
        <f>변수!V30</f>
        <v/>
      </c>
      <c r="W16" s="20">
        <f>변수!W30</f>
        <v/>
      </c>
      <c r="X16" s="20">
        <f>변수!X30</f>
        <v/>
      </c>
      <c r="Y16" s="20">
        <f>변수!Y30</f>
        <v/>
      </c>
      <c r="Z16" s="35">
        <f>SUM(V16:Y16)</f>
        <v/>
      </c>
      <c r="AA16" s="20">
        <f>변수!AA30</f>
        <v/>
      </c>
      <c r="AB16" s="20">
        <f>변수!AB30</f>
        <v/>
      </c>
      <c r="AC16" s="20">
        <f>변수!AC30</f>
        <v/>
      </c>
      <c r="AD16" s="20">
        <f>변수!AD30</f>
        <v/>
      </c>
      <c r="AE16" s="35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5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5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5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4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IFERROR(S17*변수!S31,"")</f>
        <v/>
      </c>
      <c r="T18" s="20">
        <f>IFERROR(T17*변수!T31,"")</f>
        <v/>
      </c>
      <c r="U18" s="35">
        <f>SUM(Q18:T18)</f>
        <v/>
      </c>
      <c r="V18" s="20">
        <f>IFERROR(V17*변수!V31,"")</f>
        <v/>
      </c>
      <c r="W18" s="20">
        <f>IFERROR(W17*변수!W31,"")</f>
        <v/>
      </c>
      <c r="X18" s="20">
        <f>IFERROR(X17*변수!X31,"")</f>
        <v/>
      </c>
      <c r="Y18" s="20">
        <f>IFERROR(Y17*변수!Y31,"")</f>
        <v/>
      </c>
      <c r="Z18" s="35">
        <f>SUM(V18:Y18)</f>
        <v/>
      </c>
      <c r="AA18" s="20">
        <f>IFERROR(AA17*변수!AA31,"")</f>
        <v/>
      </c>
      <c r="AB18" s="20">
        <f>IFERROR(AB17*변수!AB31,"")</f>
        <v/>
      </c>
      <c r="AC18" s="20">
        <f>IFERROR(AC17*변수!AC31,"")</f>
        <v/>
      </c>
      <c r="AD18" s="20">
        <f>IFERROR(AD17*변수!AD31,"")</f>
        <v/>
      </c>
      <c r="AE18" s="35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4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5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5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5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4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IFERROR(S19*변수!S32,"")</f>
        <v/>
      </c>
      <c r="T20" s="20">
        <f>IFERROR(T19*변수!T32,"")</f>
        <v/>
      </c>
      <c r="U20" s="35">
        <f>SUM(Q20:T20)</f>
        <v/>
      </c>
      <c r="V20" s="20">
        <f>IFERROR(V19*변수!V32,"")</f>
        <v/>
      </c>
      <c r="W20" s="20">
        <f>IFERROR(W19*변수!W32,"")</f>
        <v/>
      </c>
      <c r="X20" s="20">
        <f>IFERROR(X19*변수!X32,"")</f>
        <v/>
      </c>
      <c r="Y20" s="20">
        <f>IFERROR(Y19*변수!Y32,"")</f>
        <v/>
      </c>
      <c r="Z20" s="35">
        <f>SUM(V20:Y20)</f>
        <v/>
      </c>
      <c r="AA20" s="20">
        <f>IFERROR(AA19*변수!AA32,"")</f>
        <v/>
      </c>
      <c r="AB20" s="20">
        <f>IFERROR(AB19*변수!AB32,"")</f>
        <v/>
      </c>
      <c r="AC20" s="20">
        <f>IFERROR(AC19*변수!AC32,"")</f>
        <v/>
      </c>
      <c r="AD20" s="20">
        <f>IFERROR(AD19*변수!AD32,"")</f>
        <v/>
      </c>
      <c r="AE20" s="35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4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IFERROR(N21*(1+변수!S33),"")</f>
        <v/>
      </c>
      <c r="T21" s="20">
        <f>IFERROR(O21*(1+변수!T33),"")</f>
        <v/>
      </c>
      <c r="U21" s="35">
        <f>SUM(Q21:T21)</f>
        <v/>
      </c>
      <c r="V21" s="20">
        <f>IFERROR(Q21*(1+변수!V33),"")</f>
        <v/>
      </c>
      <c r="W21" s="20">
        <f>IFERROR(R21*(1+변수!W33),"")</f>
        <v/>
      </c>
      <c r="X21" s="20">
        <f>IFERROR(S21*(1+변수!X33),"")</f>
        <v/>
      </c>
      <c r="Y21" s="20">
        <f>IFERROR(T21*(1+변수!Y33),"")</f>
        <v/>
      </c>
      <c r="Z21" s="35">
        <f>SUM(V21:Y21)</f>
        <v/>
      </c>
      <c r="AA21" s="20">
        <f>IFERROR(V21*(1+변수!AA33),"")</f>
        <v/>
      </c>
      <c r="AB21" s="20">
        <f>IFERROR(W21*(1+변수!AB33),"")</f>
        <v/>
      </c>
      <c r="AC21" s="20">
        <f>IFERROR(X21*(1+변수!AC33),"")</f>
        <v/>
      </c>
      <c r="AD21" s="20">
        <f>IFERROR(Y21*(1+변수!AD33),"")</f>
        <v/>
      </c>
      <c r="AE21" s="35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4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4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4">
        <f>SUM(L22:O22)</f>
        <v/>
      </c>
      <c r="Q22" s="18" t="n">
        <v>67.45999999999999</v>
      </c>
      <c r="R22" s="19" t="n">
        <v>63.01</v>
      </c>
      <c r="S22" s="20">
        <f>IFERROR(N22*(1+변수!S34),"")</f>
        <v/>
      </c>
      <c r="T22" s="20">
        <f>IFERROR(O22*(1+변수!T34),"")</f>
        <v/>
      </c>
      <c r="U22" s="35">
        <f>SUM(Q22:T22)</f>
        <v/>
      </c>
      <c r="V22" s="20">
        <f>IFERROR(Q22*(1+변수!V34),"")</f>
        <v/>
      </c>
      <c r="W22" s="20">
        <f>IFERROR(R22*(1+변수!W34),"")</f>
        <v/>
      </c>
      <c r="X22" s="20">
        <f>IFERROR(S22*(1+변수!X34),"")</f>
        <v/>
      </c>
      <c r="Y22" s="20">
        <f>IFERROR(T22*(1+변수!Y34),"")</f>
        <v/>
      </c>
      <c r="Z22" s="35">
        <f>SUM(V22:Y22)</f>
        <v/>
      </c>
      <c r="AA22" s="20">
        <f>IFERROR(V22*(1+변수!AA34),"")</f>
        <v/>
      </c>
      <c r="AB22" s="20">
        <f>IFERROR(W22*(1+변수!AB34),"")</f>
        <v/>
      </c>
      <c r="AC22" s="20">
        <f>IFERROR(X22*(1+변수!AC34),"")</f>
        <v/>
      </c>
      <c r="AD22" s="20">
        <f>IFERROR(Y22*(1+변수!AD34),"")</f>
        <v/>
      </c>
      <c r="AE22" s="35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4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5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5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5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4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IFERROR(R24*(1+변수!S35),"")</f>
        <v/>
      </c>
      <c r="T24" s="20">
        <f>IFERROR(S24*(1+변수!T35),"")</f>
        <v/>
      </c>
      <c r="U24" s="35">
        <f>T24</f>
        <v/>
      </c>
      <c r="V24" s="20">
        <f>IFERROR(T24*(1+변수!V35),"")</f>
        <v/>
      </c>
      <c r="W24" s="20">
        <f>IFERROR(V24*(1+변수!W35),"")</f>
        <v/>
      </c>
      <c r="X24" s="20">
        <f>IFERROR(W24*(1+변수!X35),"")</f>
        <v/>
      </c>
      <c r="Y24" s="20">
        <f>IFERROR(X24*(1+변수!Y35),"")</f>
        <v/>
      </c>
      <c r="Z24" s="35">
        <f>Y24</f>
        <v/>
      </c>
      <c r="AA24" s="20">
        <f>IFERROR(Y24*(1+변수!AA35),"")</f>
        <v/>
      </c>
      <c r="AB24" s="20">
        <f>IFERROR(AA24*(1+변수!AB35),"")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4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IFERROR(R25+S19-변수!S36,"")</f>
        <v/>
      </c>
      <c r="T25" s="20">
        <f>IFERROR(S25+T19-변수!T36,"")</f>
        <v/>
      </c>
      <c r="U25" s="35">
        <f>T25</f>
        <v/>
      </c>
      <c r="V25" s="20">
        <f>IFERROR(T25+V19-변수!V36,"")</f>
        <v/>
      </c>
      <c r="W25" s="20">
        <f>IFERROR(V25+W19-변수!W36,"")</f>
        <v/>
      </c>
      <c r="X25" s="20">
        <f>IFERROR(W25+X19-변수!X36,"")</f>
        <v/>
      </c>
      <c r="Y25" s="20">
        <f>IFERROR(X25+Y19-변수!Y36,"")</f>
        <v/>
      </c>
      <c r="Z25" s="35">
        <f>Y25</f>
        <v/>
      </c>
      <c r="AA25" s="20">
        <f>IFERROR(Y25+AA19-변수!AA36,"")</f>
        <v/>
      </c>
      <c r="AB25" s="20">
        <f>IFERROR(AA25+AB19-변수!AB36,"")</f>
        <v/>
      </c>
      <c r="AC25" s="20">
        <f>IFERROR(AB25+AC19-변수!AC36,"")</f>
        <v/>
      </c>
      <c r="AD25" s="20">
        <f>IFERROR(AC25+AD19-변수!AD36,"")</f>
        <v/>
      </c>
      <c r="AE25" s="35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4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IFERROR(R26+S20-변수!S37,"")</f>
        <v/>
      </c>
      <c r="T26" s="20">
        <f>IFERROR(S26+T20-변수!T37,"")</f>
        <v/>
      </c>
      <c r="U26" s="35">
        <f>T26</f>
        <v/>
      </c>
      <c r="V26" s="20">
        <f>IFERROR(T26+V20-변수!V37,"")</f>
        <v/>
      </c>
      <c r="W26" s="20">
        <f>IFERROR(V26+W20-변수!W37,"")</f>
        <v/>
      </c>
      <c r="X26" s="20">
        <f>IFERROR(W26+X20-변수!X37,"")</f>
        <v/>
      </c>
      <c r="Y26" s="20">
        <f>IFERROR(X26+Y20-변수!Y37,"")</f>
        <v/>
      </c>
      <c r="Z26" s="35">
        <f>Y26</f>
        <v/>
      </c>
      <c r="AA26" s="20">
        <f>IFERROR(Y26+AA20-변수!AA37,"")</f>
        <v/>
      </c>
      <c r="AB26" s="20">
        <f>IFERROR(AA26+AB20-변수!AB37,"")</f>
        <v/>
      </c>
      <c r="AC26" s="20">
        <f>IFERROR(AB26+AC20-변수!AC37,"")</f>
        <v/>
      </c>
      <c r="AD26" s="20">
        <f>IFERROR(AC26+AD20-변수!AD37,"")</f>
        <v/>
      </c>
      <c r="AE26" s="35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4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IFERROR(R27*(1+변수!S38),"")</f>
        <v/>
      </c>
      <c r="T27" s="20">
        <f>IFERROR(S27*(1+변수!T38),"")</f>
        <v/>
      </c>
      <c r="U27" s="35">
        <f>T27</f>
        <v/>
      </c>
      <c r="V27" s="20">
        <f>IFERROR(T27*(1+변수!V38),"")</f>
        <v/>
      </c>
      <c r="W27" s="20">
        <f>IFERROR(V27*(1+변수!W38),"")</f>
        <v/>
      </c>
      <c r="X27" s="20">
        <f>IFERROR(W27*(1+변수!X38),"")</f>
        <v/>
      </c>
      <c r="Y27" s="20">
        <f>IFERROR(X27*(1+변수!Y38),"")</f>
        <v/>
      </c>
      <c r="Z27" s="35">
        <f>Y27</f>
        <v/>
      </c>
      <c r="AA27" s="20">
        <f>IFERROR(Y27*(1+변수!AA38),"")</f>
        <v/>
      </c>
      <c r="AB27" s="20">
        <f>IFERROR(AA27*(1+변수!AB38),"")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4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4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4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IFERROR(R28*(1+변수!S39),"")</f>
        <v/>
      </c>
      <c r="T28" s="20">
        <f>IFERROR(S28*(1+변수!T39),"")</f>
        <v/>
      </c>
      <c r="U28" s="35">
        <f>T28</f>
        <v/>
      </c>
      <c r="V28" s="20">
        <f>IFERROR(T28*(1+변수!V39),"")</f>
        <v/>
      </c>
      <c r="W28" s="20">
        <f>IFERROR(V28*(1+변수!W39),"")</f>
        <v/>
      </c>
      <c r="X28" s="20">
        <f>IFERROR(W28*(1+변수!X39),"")</f>
        <v/>
      </c>
      <c r="Y28" s="20">
        <f>IFERROR(X28*(1+변수!Y39),"")</f>
        <v/>
      </c>
      <c r="Z28" s="35">
        <f>Y28</f>
        <v/>
      </c>
      <c r="AA28" s="20">
        <f>IFERROR(Y28*(1+변수!AA39),"")</f>
        <v/>
      </c>
      <c r="AB28" s="20">
        <f>IFERROR(AA28*(1+변수!AB39),"")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4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4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4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IFERROR(R29*(1+변수!S40),"")</f>
        <v/>
      </c>
      <c r="T29" s="20">
        <f>IFERROR(S29*(1+변수!T40),"")</f>
        <v/>
      </c>
      <c r="U29" s="35">
        <f>T29</f>
        <v/>
      </c>
      <c r="V29" s="20">
        <f>IFERROR(T29*(1+변수!V40),"")</f>
        <v/>
      </c>
      <c r="W29" s="20">
        <f>IFERROR(V29*(1+변수!W40),"")</f>
        <v/>
      </c>
      <c r="X29" s="20">
        <f>IFERROR(W29*(1+변수!X40),"")</f>
        <v/>
      </c>
      <c r="Y29" s="20">
        <f>IFERROR(X29*(1+변수!Y40),"")</f>
        <v/>
      </c>
      <c r="Z29" s="35">
        <f>Y29</f>
        <v/>
      </c>
      <c r="AA29" s="20">
        <f>IFERROR(Y29*(1+변수!AA40),"")</f>
        <v/>
      </c>
      <c r="AB29" s="20">
        <f>IFERROR(AA29*(1+변수!AB40),"")</f>
        <v/>
      </c>
      <c r="AC29" s="20">
        <f>IFERROR(AB29*(1+변수!AC40),"")</f>
        <v/>
      </c>
      <c r="AD29" s="20">
        <f>IFERROR(AC29*(1+변수!AD40),"")</f>
        <v/>
      </c>
      <c r="AE29" s="35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4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4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4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5">
        <f>T30</f>
        <v/>
      </c>
      <c r="V30" s="20" t="n"/>
      <c r="W30" s="20" t="n"/>
      <c r="X30" s="20" t="n"/>
      <c r="Y30" s="20" t="n"/>
      <c r="Z30" s="35">
        <f>Y30</f>
        <v/>
      </c>
      <c r="AA30" s="20" t="n"/>
      <c r="AB30" s="20" t="n"/>
      <c r="AC30" s="20" t="n"/>
      <c r="AD30" s="20" t="n"/>
      <c r="AE30" s="35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4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4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4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 t="n"/>
      <c r="T31" s="20" t="n"/>
      <c r="U31" s="35">
        <f>SUM(Q31:T31)</f>
        <v/>
      </c>
      <c r="V31" s="20" t="n"/>
      <c r="W31" s="20" t="n"/>
      <c r="X31" s="20" t="n"/>
      <c r="Y31" s="20" t="n"/>
      <c r="Z31" s="35">
        <f>SUM(V31:Y31)</f>
        <v/>
      </c>
      <c r="AA31" s="20" t="n"/>
      <c r="AB31" s="20" t="n"/>
      <c r="AC31" s="20" t="n"/>
      <c r="AD31" s="20" t="n"/>
      <c r="AE31" s="35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영업활동현금흐름</t>
        </is>
      </c>
      <c r="E32" s="18" t="n">
        <v>53.72</v>
      </c>
      <c r="F32" s="34" t="n"/>
      <c r="G32" s="18" t="n">
        <v>8.81</v>
      </c>
      <c r="H32" s="18" t="n">
        <v>5.09</v>
      </c>
      <c r="I32" s="18" t="n">
        <v>-9.69</v>
      </c>
      <c r="J32" s="18" t="n">
        <v>17.82</v>
      </c>
      <c r="K32" s="34">
        <f>SUM(G32:J32)</f>
        <v/>
      </c>
      <c r="L32" s="18" t="n">
        <v>11.1</v>
      </c>
      <c r="M32" s="18" t="n">
        <v>2.81</v>
      </c>
      <c r="N32" s="18" t="n">
        <v>1.3</v>
      </c>
      <c r="O32" s="18" t="n">
        <v>-0.92</v>
      </c>
      <c r="P32" s="34">
        <f>SUM(L32:O32)</f>
        <v/>
      </c>
      <c r="Q32" s="18" t="n">
        <v>10.26</v>
      </c>
      <c r="R32" s="19" t="n">
        <v>43.96</v>
      </c>
      <c r="S32" s="20" t="n"/>
      <c r="T32" s="20" t="n"/>
      <c r="U32" s="35">
        <f>SUM(Q32:T32)</f>
        <v/>
      </c>
      <c r="V32" s="20" t="n"/>
      <c r="W32" s="20" t="n"/>
      <c r="X32" s="20" t="n"/>
      <c r="Y32" s="20" t="n"/>
      <c r="Z32" s="35">
        <f>SUM(V32:Y32)</f>
        <v/>
      </c>
      <c r="AA32" s="20" t="n"/>
      <c r="AB32" s="20" t="n"/>
      <c r="AC32" s="20" t="n"/>
      <c r="AD32" s="20" t="n"/>
      <c r="AE32" s="35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17.003</v>
      </c>
      <c r="F33" s="27">
        <f>E33</f>
        <v/>
      </c>
      <c r="G33" s="26" t="n">
        <v>17.003</v>
      </c>
      <c r="H33" s="26" t="n">
        <v>17.003</v>
      </c>
      <c r="I33" s="26" t="n">
        <v>17.003</v>
      </c>
      <c r="J33" s="26" t="n">
        <v>17.137</v>
      </c>
      <c r="K33" s="27">
        <f>J33</f>
        <v/>
      </c>
      <c r="L33" s="26" t="n">
        <v>17.252</v>
      </c>
      <c r="M33" s="26" t="n">
        <v>17.266</v>
      </c>
      <c r="N33" s="26" t="n">
        <v>17.274</v>
      </c>
      <c r="O33" s="26" t="n">
        <v>17.274</v>
      </c>
      <c r="P33" s="27">
        <f>O33</f>
        <v/>
      </c>
      <c r="Q33" s="26" t="n">
        <v>19.246</v>
      </c>
      <c r="R33" s="28" t="n">
        <v>19.248</v>
      </c>
      <c r="S33" s="36">
        <f>IFERROR(R33*(1+변수!S44),"")</f>
        <v/>
      </c>
      <c r="T33" s="36">
        <f>IFERROR(S33*(1+변수!T44),"")</f>
        <v/>
      </c>
      <c r="U33" s="30">
        <f>T33</f>
        <v/>
      </c>
      <c r="V33" s="36">
        <f>IFERROR(T33*(1+변수!V44),"")</f>
        <v/>
      </c>
      <c r="W33" s="36">
        <f>IFERROR(V33*(1+변수!W44),"")</f>
        <v/>
      </c>
      <c r="X33" s="36">
        <f>IFERROR(W33*(1+변수!X44),"")</f>
        <v/>
      </c>
      <c r="Y33" s="36">
        <f>IFERROR(X33*(1+변수!Y44),"")</f>
        <v/>
      </c>
      <c r="Z33" s="30">
        <f>Y33</f>
        <v/>
      </c>
      <c r="AA33" s="36">
        <f>IFERROR(Y33*(1+변수!AA44),"")</f>
        <v/>
      </c>
      <c r="AB33" s="36">
        <f>IFERROR(AA33*(1+변수!AB44),"")</f>
        <v/>
      </c>
      <c r="AC33" s="36">
        <f>IFERROR(AB33*(1+변수!AC44),"")</f>
        <v/>
      </c>
      <c r="AD33" s="36">
        <f>IFERROR(AC33*(1+변수!AD44),"")</f>
        <v/>
      </c>
      <c r="AE33" s="30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4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4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4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5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5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5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4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4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4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5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5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5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4" t="n">
        <v>0</v>
      </c>
      <c r="G36" s="18" t="n"/>
      <c r="H36" s="18" t="n"/>
      <c r="I36" s="18" t="n"/>
      <c r="J36" s="18" t="n">
        <v>0</v>
      </c>
      <c r="K36" s="34">
        <f>SUM(G36:J36)</f>
        <v/>
      </c>
      <c r="L36" s="18" t="n"/>
      <c r="M36" s="18" t="n"/>
      <c r="N36" s="18" t="n"/>
      <c r="O36" s="18" t="n">
        <v>0</v>
      </c>
      <c r="P36" s="34">
        <f>SUM(L36:O36)</f>
        <v/>
      </c>
      <c r="Q36" s="18" t="n"/>
      <c r="R36" s="19" t="n"/>
      <c r="S36" s="20" t="n"/>
      <c r="T36" s="20" t="n">
        <v>0</v>
      </c>
      <c r="U36" s="35">
        <f>SUM(Q36:T36)</f>
        <v/>
      </c>
      <c r="V36" s="20" t="n"/>
      <c r="W36" s="20" t="n"/>
      <c r="X36" s="20" t="n"/>
      <c r="Y36" s="20" t="n">
        <v>0</v>
      </c>
      <c r="Z36" s="35">
        <f>SUM(V36:Y36)</f>
        <v/>
      </c>
      <c r="AA36" s="20" t="n"/>
      <c r="AB36" s="20" t="n"/>
      <c r="AC36" s="20" t="n"/>
      <c r="AD36" s="20" t="n">
        <v>0</v>
      </c>
      <c r="AE36" s="35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8" t="n"/>
      <c r="F37" s="34" t="n"/>
      <c r="G37" s="18" t="n"/>
      <c r="H37" s="18" t="n"/>
      <c r="I37" s="18" t="n">
        <v>62.41</v>
      </c>
      <c r="J37" s="18" t="n">
        <v>34.82</v>
      </c>
      <c r="K37" s="34">
        <f>SUM(G37:J37)</f>
        <v/>
      </c>
      <c r="L37" s="18" t="n">
        <v>28.96</v>
      </c>
      <c r="M37" s="18" t="n">
        <v>15.55</v>
      </c>
      <c r="N37" s="18" t="n">
        <v>13.75</v>
      </c>
      <c r="O37" s="18" t="n">
        <v>18.71</v>
      </c>
      <c r="P37" s="34">
        <f>SUM(L37:O37)</f>
        <v/>
      </c>
      <c r="Q37" s="18" t="n">
        <v>76.34</v>
      </c>
      <c r="R37" s="19" t="n">
        <v>7388.59</v>
      </c>
      <c r="S37" s="20">
        <f>IFERROR(N37*(1+변수!S46),"")</f>
        <v/>
      </c>
      <c r="T37" s="20">
        <f>IFERROR(O37*(1+변수!T46),"")</f>
        <v/>
      </c>
      <c r="U37" s="35">
        <f>SUM(Q37:T37)</f>
        <v/>
      </c>
      <c r="V37" s="20">
        <f>IFERROR(Q37*(1+변수!V46),"")</f>
        <v/>
      </c>
      <c r="W37" s="20">
        <f>IFERROR(R37*(1+변수!W46),"")</f>
        <v/>
      </c>
      <c r="X37" s="20">
        <f>IFERROR(S37*(1+변수!X46),"")</f>
        <v/>
      </c>
      <c r="Y37" s="20">
        <f>IFERROR(T37*(1+변수!Y46),"")</f>
        <v/>
      </c>
      <c r="Z37" s="35">
        <f>SUM(V37:Y37)</f>
        <v/>
      </c>
      <c r="AA37" s="20">
        <f>IFERROR(V37*(1+변수!AA46),"")</f>
        <v/>
      </c>
      <c r="AB37" s="20">
        <f>IFERROR(W37*(1+변수!AB46),"")</f>
        <v/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8" t="n">
        <v>3.37</v>
      </c>
      <c r="F38" s="34" t="n">
        <v>2.87</v>
      </c>
      <c r="G38" s="18" t="n">
        <v>2.3</v>
      </c>
      <c r="H38" s="18" t="n">
        <v>2.65</v>
      </c>
      <c r="I38" s="18" t="n">
        <v>3.44</v>
      </c>
      <c r="J38" s="18" t="n">
        <v>2.47</v>
      </c>
      <c r="K38" s="34">
        <f>SUM(G38:J38)</f>
        <v/>
      </c>
      <c r="L38" s="18" t="n">
        <v>2.1</v>
      </c>
      <c r="M38" s="18" t="n">
        <v>1.85</v>
      </c>
      <c r="N38" s="18" t="n">
        <v>2.06</v>
      </c>
      <c r="O38" s="18" t="n">
        <v>2.45</v>
      </c>
      <c r="P38" s="34">
        <f>SUM(L38:O38)</f>
        <v/>
      </c>
      <c r="Q38" s="18" t="n">
        <v>2.36</v>
      </c>
      <c r="R38" s="19" t="n">
        <v>4.09</v>
      </c>
      <c r="S38" s="20">
        <f>IFERROR(N38*(1+변수!S47),"")</f>
        <v/>
      </c>
      <c r="T38" s="20">
        <f>IFERROR(O38*(1+변수!T47),"")</f>
        <v/>
      </c>
      <c r="U38" s="35">
        <f>SUM(Q38:T38)</f>
        <v/>
      </c>
      <c r="V38" s="20">
        <f>IFERROR(Q38*(1+변수!V47),"")</f>
        <v/>
      </c>
      <c r="W38" s="20">
        <f>IFERROR(R38*(1+변수!W47),"")</f>
        <v/>
      </c>
      <c r="X38" s="20">
        <f>IFERROR(S38*(1+변수!X47),"")</f>
        <v/>
      </c>
      <c r="Y38" s="20">
        <f>IFERROR(T38*(1+변수!Y47),"")</f>
        <v/>
      </c>
      <c r="Z38" s="35">
        <f>SUM(V38:Y38)</f>
        <v/>
      </c>
      <c r="AA38" s="20">
        <f>IFERROR(V38*(1+변수!AA47),"")</f>
        <v/>
      </c>
      <c r="AB38" s="20">
        <f>IFERROR(W38*(1+변수!AB47),"")</f>
        <v/>
      </c>
      <c r="AC38" s="20">
        <f>IFERROR(X38*(1+변수!AC47),"")</f>
        <v/>
      </c>
      <c r="AD38" s="20">
        <f>IFERROR(Y38*(1+변수!AD47),"")</f>
        <v/>
      </c>
      <c r="AE38" s="35">
        <f>SUM(AA38:AD38)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4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4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4">
        <f>SUM(L39:O39)</f>
        <v/>
      </c>
      <c r="Q39" s="18" t="n">
        <v>223.81</v>
      </c>
      <c r="R39" s="19" t="n">
        <v>236.45</v>
      </c>
      <c r="S39" s="20">
        <f>IFERROR(S5*변수!S48,"")</f>
        <v/>
      </c>
      <c r="T39" s="20">
        <f>IFERROR(T5*변수!T48,"")</f>
        <v/>
      </c>
      <c r="U39" s="35">
        <f>SUM(Q39:T39)</f>
        <v/>
      </c>
      <c r="V39" s="20">
        <f>IFERROR(V5*변수!V48,"")</f>
        <v/>
      </c>
      <c r="W39" s="20">
        <f>IFERROR(W5*변수!W48,"")</f>
        <v/>
      </c>
      <c r="X39" s="20">
        <f>IFERROR(X5*변수!X48,"")</f>
        <v/>
      </c>
      <c r="Y39" s="20">
        <f>IFERROR(Y5*변수!Y48,"")</f>
        <v/>
      </c>
      <c r="Z39" s="35">
        <f>SUM(V39:Y39)</f>
        <v/>
      </c>
      <c r="AA39" s="20">
        <f>IFERROR(AA5*변수!AA48,"")</f>
        <v/>
      </c>
      <c r="AB39" s="20">
        <f>IFERROR(AB5*변수!AB48,"")</f>
        <v/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4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4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4">
        <f>SUM(L40:O40)</f>
        <v/>
      </c>
      <c r="Q40" s="18" t="n">
        <v>62.05</v>
      </c>
      <c r="R40" s="19" t="n">
        <v>56.03</v>
      </c>
      <c r="S40" s="20">
        <f>IFERROR(S39*변수!S49,"")</f>
        <v/>
      </c>
      <c r="T40" s="20">
        <f>IFERROR(T39*변수!T49,"")</f>
        <v/>
      </c>
      <c r="U40" s="35">
        <f>SUM(Q40:T40)</f>
        <v/>
      </c>
      <c r="V40" s="20">
        <f>IFERROR(V39*변수!V49,"")</f>
        <v/>
      </c>
      <c r="W40" s="20">
        <f>IFERROR(W39*변수!W49,"")</f>
        <v/>
      </c>
      <c r="X40" s="20">
        <f>IFERROR(X39*변수!X49,"")</f>
        <v/>
      </c>
      <c r="Y40" s="20">
        <f>IFERROR(Y39*변수!Y49,"")</f>
        <v/>
      </c>
      <c r="Z40" s="35">
        <f>SUM(V40:Y40)</f>
        <v/>
      </c>
      <c r="AA40" s="20">
        <f>IFERROR(AA39*변수!AA49,"")</f>
        <v/>
      </c>
      <c r="AB40" s="20">
        <f>IFERROR(AB39*변수!AB49,"")</f>
        <v/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3">
        <f>IFERROR(R9/R5,"")</f>
        <v/>
      </c>
      <c r="S42" s="31">
        <f>IFERROR(S9/S5,"")</f>
        <v/>
      </c>
      <c r="T42" s="31">
        <f>IFERROR(T9/T5,"")</f>
        <v/>
      </c>
      <c r="U42" s="25">
        <f>IFERROR(U9/U5,"")</f>
        <v/>
      </c>
      <c r="V42" s="31">
        <f>IFERROR(V9/V5,"")</f>
        <v/>
      </c>
      <c r="W42" s="31">
        <f>IFERROR(W9/W5,"")</f>
        <v/>
      </c>
      <c r="X42" s="31">
        <f>IFERROR(X9/X5,"")</f>
        <v/>
      </c>
      <c r="Y42" s="31">
        <f>IFERROR(Y9/Y5,"")</f>
        <v/>
      </c>
      <c r="Z42" s="25">
        <f>IFERROR(Z9/Z5,"")</f>
        <v/>
      </c>
      <c r="AA42" s="31">
        <f>IFERROR(AA9/AA5,"")</f>
        <v/>
      </c>
      <c r="AB42" s="31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3">
        <f>IFERROR(R20/R5,"")</f>
        <v/>
      </c>
      <c r="S43" s="31">
        <f>IFERROR(S20/S5,"")</f>
        <v/>
      </c>
      <c r="T43" s="31">
        <f>IFERROR(T20/T5,"")</f>
        <v/>
      </c>
      <c r="U43" s="25">
        <f>IFERROR(U20/U5,"")</f>
        <v/>
      </c>
      <c r="V43" s="31">
        <f>IFERROR(V20/V5,"")</f>
        <v/>
      </c>
      <c r="W43" s="31">
        <f>IFERROR(W20/W5,"")</f>
        <v/>
      </c>
      <c r="X43" s="31">
        <f>IFERROR(X20/X5,"")</f>
        <v/>
      </c>
      <c r="Y43" s="31">
        <f>IFERROR(Y20/Y5,"")</f>
        <v/>
      </c>
      <c r="Z43" s="25">
        <f>IFERROR(Z20/Z5,"")</f>
        <v/>
      </c>
      <c r="AA43" s="31">
        <f>IFERROR(AA20/AA5,"")</f>
        <v/>
      </c>
      <c r="AB43" s="31">
        <f>IFERROR(AB20/AB5,"")</f>
        <v/>
      </c>
      <c r="AC43" s="31">
        <f>IFERROR(AC20/AC5,"")</f>
        <v/>
      </c>
      <c r="AD43" s="31">
        <f>IFERROR(AD20/AD5,"")</f>
        <v/>
      </c>
      <c r="AE43" s="25">
        <f>IFERROR(AE20/AE5,"")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3">
        <f>IFERROR(R6/R5,"")</f>
        <v/>
      </c>
      <c r="S44" s="31">
        <f>IFERROR(S6/S5,"")</f>
        <v/>
      </c>
      <c r="T44" s="31">
        <f>IFERROR(T6/T5,"")</f>
        <v/>
      </c>
      <c r="U44" s="25">
        <f>IFERROR(U6/U5,"")</f>
        <v/>
      </c>
      <c r="V44" s="31">
        <f>IFERROR(V6/V5,"")</f>
        <v/>
      </c>
      <c r="W44" s="31">
        <f>IFERROR(W6/W5,"")</f>
        <v/>
      </c>
      <c r="X44" s="31">
        <f>IFERROR(X6/X5,"")</f>
        <v/>
      </c>
      <c r="Y44" s="31">
        <f>IFERROR(Y6/Y5,"")</f>
        <v/>
      </c>
      <c r="Z44" s="25">
        <f>IFERROR(Z6/Z5,"")</f>
        <v/>
      </c>
      <c r="AA44" s="31">
        <f>IFERROR(AA6/AA5,"")</f>
        <v/>
      </c>
      <c r="AB44" s="31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3">
        <f>IFERROR(R8/R5,"")</f>
        <v/>
      </c>
      <c r="S45" s="31">
        <f>IFERROR(S8/S5,"")</f>
        <v/>
      </c>
      <c r="T45" s="31">
        <f>IFERROR(T8/T5,"")</f>
        <v/>
      </c>
      <c r="U45" s="25">
        <f>IFERROR(U8/U5,"")</f>
        <v/>
      </c>
      <c r="V45" s="31">
        <f>IFERROR(V8/V5,"")</f>
        <v/>
      </c>
      <c r="W45" s="31">
        <f>IFERROR(W8/W5,"")</f>
        <v/>
      </c>
      <c r="X45" s="31">
        <f>IFERROR(X8/X5,"")</f>
        <v/>
      </c>
      <c r="Y45" s="31">
        <f>IFERROR(Y8/Y5,"")</f>
        <v/>
      </c>
      <c r="Z45" s="25">
        <f>IFERROR(Z8/Z5,"")</f>
        <v/>
      </c>
      <c r="AA45" s="31">
        <f>IFERROR(AA8/AA5,"")</f>
        <v/>
      </c>
      <c r="AB45" s="31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7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O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39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0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1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1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1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1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1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2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1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1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1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1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1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1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1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1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1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1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1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1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1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1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1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1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1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1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1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1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1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1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43">
        <f>IFERROR(VLOOKUP($A33,subQ,MATCH(O$1,SUBQH,0),0),"")</f>
        <v/>
      </c>
      <c r="P33" s="36">
        <f>IFERROR(VLOOKUP($A33,subQ,MATCH(P$1,SUBQH,0),0),"")</f>
        <v/>
      </c>
      <c r="Q33" s="36">
        <f>IFERROR(VLOOKUP($A33,subQ,MATCH(Q$1,SUBQH,0),0),"")</f>
        <v/>
      </c>
      <c r="R33" s="36">
        <f>IFERROR(VLOOKUP($A33,subQ,MATCH(R$1,SUBQH,0),0),"")</f>
        <v/>
      </c>
      <c r="S33" s="36">
        <f>IFERROR(VLOOKUP($A33,subQ,MATCH(S$1,SUBQH,0),0),"")</f>
        <v/>
      </c>
      <c r="T33" s="36">
        <f>IFERROR(VLOOKUP($A33,subQ,MATCH(T$1,SUBQH,0),0),"")</f>
        <v/>
      </c>
      <c r="U33" s="36">
        <f>IFERROR(VLOOKUP($A33,subQ,MATCH(U$1,SUBQH,0),0),"")</f>
        <v/>
      </c>
      <c r="V33" s="36">
        <f>IFERROR(VLOOKUP($A33,subQ,MATCH(V$1,SUBQH,0),0),"")</f>
        <v/>
      </c>
      <c r="W33" s="36">
        <f>IFERROR(VLOOKUP($A33,subQ,MATCH(W$1,SUBQH,0),0),"")</f>
        <v/>
      </c>
      <c r="X33" s="36">
        <f>IFERROR(VLOOKUP($A33,subQ,MATCH(X$1,SUBQH,0),0),"")</f>
        <v/>
      </c>
      <c r="Y33" s="36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1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1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1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41">
        <f>IFERROR(VLOOKUP($A37,subQ,MATCH(O$1,SUBQH,0),0),"")</f>
        <v/>
      </c>
      <c r="P37" s="20">
        <f>IFERROR(VLOOKUP($A37,subQ,MATCH(P$1,SUBQH,0),0),"")</f>
        <v/>
      </c>
      <c r="Q37" s="20">
        <f>IFERROR(VLOOKUP($A37,subQ,MATCH(Q$1,SUBQH,0),0),"")</f>
        <v/>
      </c>
      <c r="R37" s="20">
        <f>IFERROR(VLOOKUP($A37,subQ,MATCH(R$1,SUBQH,0),0),"")</f>
        <v/>
      </c>
      <c r="S37" s="20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41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1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1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2">
        <f>IFERROR(VLOOKUP($A41,subQ,MATCH(O$1,SUBQH,0),0),"")</f>
        <v/>
      </c>
      <c r="P41" s="31">
        <f>IFERROR(VLOOKUP($A41,subQ,MATCH(P$1,SUBQH,0),0),"")</f>
        <v/>
      </c>
      <c r="Q41" s="31">
        <f>IFERROR(VLOOKUP($A41,subQ,MATCH(Q$1,SUBQH,0),0),"")</f>
        <v/>
      </c>
      <c r="R41" s="31">
        <f>IFERROR(VLOOKUP($A41,subQ,MATCH(R$1,SUBQH,0),0),"")</f>
        <v/>
      </c>
      <c r="S41" s="31">
        <f>IFERROR(VLOOKUP($A41,subQ,MATCH(S$1,SUBQH,0),0),"")</f>
        <v/>
      </c>
      <c r="T41" s="31">
        <f>IFERROR(VLOOKUP($A41,subQ,MATCH(T$1,SUBQH,0),0),"")</f>
        <v/>
      </c>
      <c r="U41" s="31">
        <f>IFERROR(VLOOKUP($A41,subQ,MATCH(U$1,SUBQH,0),0),"")</f>
        <v/>
      </c>
      <c r="V41" s="31">
        <f>IFERROR(VLOOKUP($A41,subQ,MATCH(V$1,SUBQH,0),0),"")</f>
        <v/>
      </c>
      <c r="W41" s="31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42">
        <f>IFERROR(VLOOKUP($A42,subQ,MATCH(O$1,SUBQH,0),0),"")</f>
        <v/>
      </c>
      <c r="P42" s="31">
        <f>IFERROR(VLOOKUP($A42,subQ,MATCH(P$1,SUBQH,0),0),"")</f>
        <v/>
      </c>
      <c r="Q42" s="31">
        <f>IFERROR(VLOOKUP($A42,subQ,MATCH(Q$1,SUBQH,0),0),"")</f>
        <v/>
      </c>
      <c r="R42" s="31">
        <f>IFERROR(VLOOKUP($A42,subQ,MATCH(R$1,SUBQH,0),0),"")</f>
        <v/>
      </c>
      <c r="S42" s="31">
        <f>IFERROR(VLOOKUP($A42,subQ,MATCH(S$1,SUBQH,0),0),"")</f>
        <v/>
      </c>
      <c r="T42" s="31">
        <f>IFERROR(VLOOKUP($A42,subQ,MATCH(T$1,SUBQH,0),0),"")</f>
        <v/>
      </c>
      <c r="U42" s="31">
        <f>IFERROR(VLOOKUP($A42,subQ,MATCH(U$1,SUBQH,0),0),"")</f>
        <v/>
      </c>
      <c r="V42" s="31">
        <f>IFERROR(VLOOKUP($A42,subQ,MATCH(V$1,SUBQH,0),0),"")</f>
        <v/>
      </c>
      <c r="W42" s="31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42">
        <f>IFERROR(O5/K5-1,"")</f>
        <v/>
      </c>
      <c r="P43" s="31">
        <f>IFERROR(P5/L5-1,"")</f>
        <v/>
      </c>
      <c r="Q43" s="31">
        <f>IFERROR(Q5/M5-1,"")</f>
        <v/>
      </c>
      <c r="R43" s="31">
        <f>IFERROR(R5/N5-1,"")</f>
        <v/>
      </c>
      <c r="S43" s="31">
        <f>IFERROR(S5/O5-1,"")</f>
        <v/>
      </c>
      <c r="T43" s="31">
        <f>IFERROR(T5/P5-1,"")</f>
        <v/>
      </c>
      <c r="U43" s="31">
        <f>IFERROR(U5/Q5-1,"")</f>
        <v/>
      </c>
      <c r="V43" s="31">
        <f>IFERROR(V5/R5-1,"")</f>
        <v/>
      </c>
      <c r="W43" s="31">
        <f>IFERROR(W5/S5-1,"")</f>
        <v/>
      </c>
      <c r="X43" s="31">
        <f>IFERROR(X5/T5-1,"")</f>
        <v/>
      </c>
      <c r="Y43" s="31">
        <f>IFERROR(Y5/U5-1,"")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42">
        <f>IFERROR(O9/K9-1,"")</f>
        <v/>
      </c>
      <c r="P44" s="31">
        <f>IFERROR(P9/L9-1,"")</f>
        <v/>
      </c>
      <c r="Q44" s="31">
        <f>IFERROR(Q9/M9-1,"")</f>
        <v/>
      </c>
      <c r="R44" s="31">
        <f>IFERROR(R9/N9-1,"")</f>
        <v/>
      </c>
      <c r="S44" s="31">
        <f>IFERROR(S9/O9-1,"")</f>
        <v/>
      </c>
      <c r="T44" s="31">
        <f>IFERROR(T9/P9-1,"")</f>
        <v/>
      </c>
      <c r="U44" s="31">
        <f>IFERROR(U9/Q9-1,"")</f>
        <v/>
      </c>
      <c r="V44" s="31">
        <f>IFERROR(V9/R9-1,"")</f>
        <v/>
      </c>
      <c r="W44" s="31">
        <f>IFERROR(W9/S9-1,"")</f>
        <v/>
      </c>
      <c r="X44" s="31">
        <f>IFERROR(X9/T9-1,"")</f>
        <v/>
      </c>
      <c r="Y44" s="31">
        <f>IFERROR(Y9/U9-1,"")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42">
        <f>IFERROR(O20/K20-1,"")</f>
        <v/>
      </c>
      <c r="P45" s="31">
        <f>IFERROR(P20/L20-1,"")</f>
        <v/>
      </c>
      <c r="Q45" s="31">
        <f>IFERROR(Q20/M20-1,"")</f>
        <v/>
      </c>
      <c r="R45" s="31">
        <f>IFERROR(R20/N20-1,"")</f>
        <v/>
      </c>
      <c r="S45" s="31">
        <f>IFERROR(S20/O20-1,"")</f>
        <v/>
      </c>
      <c r="T45" s="31">
        <f>IFERROR(T20/P20-1,"")</f>
        <v/>
      </c>
      <c r="U45" s="31">
        <f>IFERROR(U20/Q20-1,"")</f>
        <v/>
      </c>
      <c r="V45" s="31">
        <f>IFERROR(V20/R20-1,"")</f>
        <v/>
      </c>
      <c r="W45" s="31">
        <f>IFERROR(W20/S20-1,"")</f>
        <v/>
      </c>
      <c r="X45" s="31">
        <f>IFERROR(X20/T20-1,"")</f>
        <v/>
      </c>
      <c r="Y45" s="31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37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변수!D52</f>
        <v/>
      </c>
      <c r="G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39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0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1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1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1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1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1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2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1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1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1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1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1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1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1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1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1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1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1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1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1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1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1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1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1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1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1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1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1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1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43">
        <f>IFERROR(VLOOKUP($A33,subQ,MATCH(G$1,SUBQH,0),0),"")</f>
        <v/>
      </c>
      <c r="H33" s="36">
        <f>IFERROR(VLOOKUP($A33,subQ,MATCH(H$1,SUBQH,0),0),"")</f>
        <v/>
      </c>
      <c r="I33" s="36">
        <f>IFERROR(VLOOKUP($A33,subQ,MATCH(I$1,SUBQH,0),0),"")</f>
        <v/>
      </c>
      <c r="J33" s="36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1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1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1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41">
        <f>IFERROR(VLOOKUP($A37,subQ,MATCH(G$1,SUBQH,0),0),"")</f>
        <v/>
      </c>
      <c r="H37" s="20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41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1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1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2">
        <f>IFERROR(VLOOKUP($A41,subQ,MATCH(G$1,SUBQH,0),0),"")</f>
        <v/>
      </c>
      <c r="H41" s="31">
        <f>IFERROR(VLOOKUP($A41,subQ,MATCH(H$1,SUBQH,0),0),"")</f>
        <v/>
      </c>
      <c r="I41" s="31">
        <f>IFERROR(VLOOKUP($A41,subQ,MATCH(I$1,SUBQH,0),0),"")</f>
        <v/>
      </c>
      <c r="J41" s="31">
        <f>IFERROR(VLOOKUP($A41,subQ,MATCH(J$1,SUBQH,0),0),"")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42">
        <f>IFERROR(VLOOKUP($A42,subQ,MATCH(G$1,SUBQH,0),0),"")</f>
        <v/>
      </c>
      <c r="H42" s="31">
        <f>IFERROR(VLOOKUP($A42,subQ,MATCH(H$1,SUBQH,0),0),"")</f>
        <v/>
      </c>
      <c r="I42" s="31">
        <f>IFERROR(VLOOKUP($A42,subQ,MATCH(I$1,SUBQH,0),0),"")</f>
        <v/>
      </c>
      <c r="J42" s="31">
        <f>IFERROR(VLOOKUP($A42,subQ,MATCH(J$1,SUBQH,0),0),"")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42">
        <f>IFERROR(G5/F5-1,"")</f>
        <v/>
      </c>
      <c r="H43" s="31">
        <f>IFERROR(H5/G5-1,"")</f>
        <v/>
      </c>
      <c r="I43" s="31">
        <f>IFERROR(I5/H5-1,"")</f>
        <v/>
      </c>
      <c r="J43" s="31">
        <f>IFERROR(J5/I5-1,"")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42">
        <f>IFERROR(G9/F9-1,"")</f>
        <v/>
      </c>
      <c r="H44" s="31">
        <f>IFERROR(H9/G9-1,"")</f>
        <v/>
      </c>
      <c r="I44" s="31">
        <f>IFERROR(I9/H9-1,"")</f>
        <v/>
      </c>
      <c r="J44" s="31">
        <f>IFERROR(J9/I9-1,"")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42">
        <f>IFERROR(G20/F20-1,"")</f>
        <v/>
      </c>
      <c r="H45" s="31">
        <f>IFERROR(H20/G20-1,"")</f>
        <v/>
      </c>
      <c r="I45" s="31">
        <f>IFERROR(I20/H20-1,"")</f>
        <v/>
      </c>
      <c r="J45" s="31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922.1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13.66</v>
      </c>
    </row>
    <row r="32">
      <c r="C32" s="2" t="inlineStr">
        <is>
          <t>pbr_now</t>
        </is>
      </c>
      <c r="D32" t="n">
        <v>2.58</v>
      </c>
    </row>
    <row r="33">
      <c r="C33" s="2" t="inlineStr">
        <is>
          <t>roe_fwd</t>
        </is>
      </c>
      <c r="D33" t="n">
        <v>0.189</v>
      </c>
    </row>
    <row r="34">
      <c r="C34" s="2" t="inlineStr">
        <is>
          <t>fair_pbr</t>
        </is>
      </c>
      <c r="D34" t="n">
        <v>2.1</v>
      </c>
    </row>
    <row r="35">
      <c r="C35" s="2" t="inlineStr">
        <is>
          <t>fair_value_pbr</t>
        </is>
      </c>
      <c r="D35" t="n">
        <v>10200</v>
      </c>
    </row>
    <row r="36">
      <c r="C36" s="2" t="inlineStr">
        <is>
          <t>ev_ebitda</t>
        </is>
      </c>
      <c r="D36" t="n">
        <v>13.1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