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BS별도!$C$5:$AE$83</definedName>
    <definedName name="SUBQH">subQ!$A$1:$AE$1</definedName>
    <definedName name="subQ">subQ!$A$5:$AE$41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S15" authorId="0" shapeId="0">
      <text>
        <t>분기 진행 중(partial) — aikstockdata/토스 일봉</t>
      </text>
    </comment>
    <comment ref="S16" authorId="0" shapeId="0">
      <text>
        <t>분기 진행 중(partial) — aikstockdata/토스 일봉</t>
      </text>
    </comment>
    <comment ref="S17" authorId="0" shapeId="0">
      <text>
        <t>분기 진행 중(partial) — aikstockdata/토스 일봉</t>
      </text>
    </comment>
    <comment ref="S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모델값 역산(implied): v / 매출액
매출액 × 판관비율 8.23%(최근 4분기 중위)</t>
      </text>
    </comment>
    <comment ref="T22" authorId="0" shapeId="0">
      <text>
        <t>모델값 역산(implied): v / 매출액
매출액 × 판관비율 8.23%(최근 4분기 중위)</t>
      </text>
    </comment>
    <comment ref="V22" authorId="0" shapeId="0">
      <text>
        <t>모델값 역산(implied): v / 매출액
매출액 × 판관비율 8.23%(최근 4분기 중위)</t>
      </text>
    </comment>
    <comment ref="W22" authorId="0" shapeId="0">
      <text>
        <t>모델값 역산(implied): v / 매출액
매출액 × 판관비율 8.23%(최근 4분기 중위)</t>
      </text>
    </comment>
    <comment ref="X22" authorId="0" shapeId="0">
      <text>
        <t>모델값 역산(implied): v / 매출액
매출액 × 판관비율 8.23%(최근 4분기 중위)</t>
      </text>
    </comment>
    <comment ref="Y22" authorId="0" shapeId="0">
      <text>
        <t>모델값 역산(implied): v / 매출액
매출액 × 판관비율 8.23%(최근 4분기 중위)</t>
      </text>
    </comment>
    <comment ref="AA22" authorId="0" shapeId="0">
      <text>
        <t>모델값 역산(implied): v / 매출액
매출액 × 판관비율 8.23%(최근 4분기 중위)</t>
      </text>
    </comment>
    <comment ref="AB22" authorId="0" shapeId="0">
      <text>
        <t>모델값 역산(implied): v / 매출액
매출액 × 판관비율 8.23%(최근 4분기 중위)</t>
      </text>
    </comment>
    <comment ref="AC22" authorId="0" shapeId="0">
      <text>
        <t>모델값 역산(implied): v / 매출액
매출액 × 판관비율 8.23%(최근 4분기 중위)</t>
      </text>
    </comment>
    <comment ref="AD22" authorId="0" shapeId="0">
      <text>
        <t>모델값 역산(implied): v / 매출액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v / 전년동기 − 1
최근 8분기 OPM 중위 15.7% 유지(클립 −20~40%)</t>
      </text>
    </comment>
    <comment ref="T24" authorId="0" shapeId="0">
      <text>
        <t>모델값 역산(implied): v / 전년동기 − 1
최근 8분기 OPM 중위 15.7% 유지(클립 −20~40%)</t>
      </text>
    </comment>
    <comment ref="V24" authorId="0" shapeId="0">
      <text>
        <t>모델값 역산(implied): v / 전년동기 − 1
최근 8분기 OPM 중위 15.7% 유지(클립 −20~40%)</t>
      </text>
    </comment>
    <comment ref="W24" authorId="0" shapeId="0">
      <text>
        <t>모델값 역산(implied): v / 전년동기 − 1
최근 8분기 OPM 중위 15.7% 유지(클립 −20~40%)</t>
      </text>
    </comment>
    <comment ref="X24" authorId="0" shapeId="0">
      <text>
        <t>모델값 역산(implied): v / 전년동기 − 1
최근 8분기 OPM 중위 15.7% 유지(클립 −20~40%)</t>
      </text>
    </comment>
    <comment ref="Y24" authorId="0" shapeId="0">
      <text>
        <t>모델값 역산(implied): v / 전년동기 − 1
최근 8분기 OPM 중위 15.7% 유지(클립 −20~40%)</t>
      </text>
    </comment>
    <comment ref="AA24" authorId="0" shapeId="0">
      <text>
        <t>모델값 역산(implied): v / 전년동기 − 1
최근 8분기 OPM 중위 15.7% 유지(클립 −20~40%)</t>
      </text>
    </comment>
    <comment ref="AB24" authorId="0" shapeId="0">
      <text>
        <t>모델값 역산(implied): v / 전년동기 − 1
최근 8분기 OPM 중위 15.7% 유지(클립 −20~40%)</t>
      </text>
    </comment>
    <comment ref="AC24" authorId="0" shapeId="0">
      <text>
        <t>모델값 역산(implied): v / 전년동기 − 1
최근 8분기 OPM 중위 15.7% 유지(클립 −20~40%)</t>
      </text>
    </comment>
    <comment ref="AD24" authorId="0" shapeId="0">
      <text>
        <t>모델값 역산(implied): v / 전년동기 − 1
최근 8분기 OPM 중위 15.7% 유지(클립 −20~40%)</t>
      </text>
    </comment>
    <comment ref="S25" authorId="0" shapeId="0">
      <text>
        <t>모델값 역산(implied): 모델 v 그대로
이자손익 = 이자발생자산 138억 × 3.35% − 총차입금 146억 × 4.30% (연율, CF 실측) ÷ 4; 환·평가손익 0 가정</t>
      </text>
    </comment>
    <comment ref="T25" authorId="0" shapeId="0">
      <text>
        <t>모델값 역산(implied): 모델 v 그대로
이자손익 = 이자발생자산 166억 × 3.35% − 총차입금 146억 × 4.30% (연율, CF 실측) ÷ 4; 환·평가손익 0 가정</t>
      </text>
    </comment>
    <comment ref="V25" authorId="0" shapeId="0">
      <text>
        <t>모델값 역산(implied): 모델 v 그대로
이자손익 = 이자발생자산 197억 × 3.35% − 총차입금 146억 × 4.30% (연율, CF 실측) ÷ 4; 환·평가손익 0 가정</t>
      </text>
    </comment>
    <comment ref="W25" authorId="0" shapeId="0">
      <text>
        <t>모델값 역산(implied): 모델 v 그대로
이자손익 = 이자발생자산 235억 × 3.35% − 총차입금 146억 × 4.30% (연율, CF 실측) ÷ 4; 환·평가손익 0 가정</t>
      </text>
    </comment>
    <comment ref="X25" authorId="0" shapeId="0">
      <text>
        <t>모델값 역산(implied): 모델 v 그대로
이자손익 = 이자발생자산 276억 × 3.35% − 총차입금 146억 × 4.30% (연율, CF 실측) ÷ 4; 환·평가손익 0 가정</t>
      </text>
    </comment>
    <comment ref="Y25" authorId="0" shapeId="0">
      <text>
        <t>모델값 역산(implied): 모델 v 그대로
이자손익 = 이자발생자산 312억 × 3.35% − 총차입금 146억 × 4.30% (연율, CF 실측) ÷ 4; 환·평가손익 0 가정</t>
      </text>
    </comment>
    <comment ref="AA25" authorId="0" shapeId="0">
      <text>
        <t>모델값 역산(implied): 모델 v 그대로
이자손익 = 이자발생자산 352억 × 3.35% − 총차입금 146억 × 4.30% (연율, CF 실측) ÷ 4; 환·평가손익 0 가정</t>
      </text>
    </comment>
    <comment ref="AB25" authorId="0" shapeId="0">
      <text>
        <t>모델값 역산(implied): 모델 v 그대로
이자손익 = 이자발생자산 401억 × 3.35% − 총차입금 146억 × 4.30% (연율, CF 실측) ÷ 4; 환·평가손익 0 가정</t>
      </text>
    </comment>
    <comment ref="AC25" authorId="0" shapeId="0">
      <text>
        <t>모델값 역산(implied): 모델 v 그대로
이자손익 = 이자발생자산 453억 × 3.35% − 총차입금 146억 × 4.30% (연율, CF 실측) ÷ 4; 환·평가손익 0 가정</t>
      </text>
    </comment>
    <comment ref="AD25" authorId="0" shapeId="0">
      <text>
        <t>모델값 역산(implied): 모델 v 그대로
이자손익 = 이자발생자산 493억 × 3.35% − 총차입금 146억 × 4.30% (연율, CF 실측) ÷ 4; 환·평가손익 0 가정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W26" authorId="0" shapeId="0">
      <text>
        <t>모델값 역산(implied): 모델 v 그대로
일회성 미가정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S27" authorId="0" shapeId="0">
      <text>
        <t>모델값 역산(implied): v / 세전이익
max(세전, 0) × 세율 27.0%(최근 11분기 유효세율 32.5% → 5~27% 클립)</t>
      </text>
    </comment>
    <comment ref="T27" authorId="0" shapeId="0">
      <text>
        <t>모델값 역산(implied): v / 세전이익
max(세전, 0) × 세율 27.0%(최근 11분기 유효세율 32.5% → 5~27% 클립)</t>
      </text>
    </comment>
    <comment ref="V27" authorId="0" shapeId="0">
      <text>
        <t>모델값 역산(implied): v / 세전이익
max(세전, 0) × 세율 27.0%(최근 11분기 유효세율 32.5% → 5~27% 클립)</t>
      </text>
    </comment>
    <comment ref="W27" authorId="0" shapeId="0">
      <text>
        <t>모델값 역산(implied): v / 세전이익
max(세전, 0) × 세율 27.0%(최근 11분기 유효세율 32.5% → 5~27% 클립)</t>
      </text>
    </comment>
    <comment ref="X27" authorId="0" shapeId="0">
      <text>
        <t>모델값 역산(implied): v / 세전이익
max(세전, 0) × 세율 27.0%(최근 11분기 유효세율 32.5% → 5~27% 클립)</t>
      </text>
    </comment>
    <comment ref="Y27" authorId="0" shapeId="0">
      <text>
        <t>모델값 역산(implied): v / 세전이익
max(세전, 0) × 세율 27.0%(최근 11분기 유효세율 32.5% → 5~27% 클립)</t>
      </text>
    </comment>
    <comment ref="AA27" authorId="0" shapeId="0">
      <text>
        <t>모델값 역산(implied): v / 세전이익
max(세전, 0) × 세율 27.0%(최근 11분기 유효세율 32.5% → 5~27% 클립)</t>
      </text>
    </comment>
    <comment ref="AB27" authorId="0" shapeId="0">
      <text>
        <t>모델값 역산(implied): v / 세전이익
max(세전, 0) × 세율 27.0%(최근 11분기 유효세율 32.5% → 5~27% 클립)</t>
      </text>
    </comment>
    <comment ref="AC27" authorId="0" shapeId="0">
      <text>
        <t>모델값 역산(implied): v / 세전이익
max(세전, 0) × 세율 27.0%(최근 11분기 유효세율 32.5% → 5~27% 클립)</t>
      </text>
    </comment>
    <comment ref="AD27" authorId="0" shapeId="0">
      <text>
        <t>모델값 역산(implied): v / 세전이익
max(세전, 0) × 세율 27.0%(최근 11분기 유효세율 32.5% → 5~27% 클립)</t>
      </text>
    </comment>
    <comment ref="S28" authorId="0" shapeId="0">
      <text>
        <t>모델값 역산(implied): v / 당기순이익
당기순이익 × (1 − 비지배 비중 0.0%, 최근 8분기 실측)</t>
      </text>
    </comment>
    <comment ref="T28" authorId="0" shapeId="0">
      <text>
        <t>모델값 역산(implied): v / 당기순이익
당기순이익 × (1 − 비지배 비중 0.0%, 최근 8분기 실측)</t>
      </text>
    </comment>
    <comment ref="V28" authorId="0" shapeId="0">
      <text>
        <t>모델값 역산(implied): v / 당기순이익
당기순이익 × (1 − 비지배 비중 0.0%, 최근 8분기 실측)</t>
      </text>
    </comment>
    <comment ref="W28" authorId="0" shapeId="0">
      <text>
        <t>모델값 역산(implied): v / 당기순이익
당기순이익 × (1 − 비지배 비중 0.0%, 최근 8분기 실측)</t>
      </text>
    </comment>
    <comment ref="X28" authorId="0" shapeId="0">
      <text>
        <t>모델값 역산(implied): v / 당기순이익
당기순이익 × (1 − 비지배 비중 0.0%, 최근 8분기 실측)</t>
      </text>
    </comment>
    <comment ref="Y28" authorId="0" shapeId="0">
      <text>
        <t>모델값 역산(implied): v / 당기순이익
당기순이익 × (1 − 비지배 비중 0.0%, 최근 8분기 실측)</t>
      </text>
    </comment>
    <comment ref="AA28" authorId="0" shapeId="0">
      <text>
        <t>모델값 역산(implied): v / 당기순이익
당기순이익 × (1 − 비지배 비중 0.0%, 최근 8분기 실측)</t>
      </text>
    </comment>
    <comment ref="AB28" authorId="0" shapeId="0">
      <text>
        <t>모델값 역산(implied): v / 당기순이익
당기순이익 × (1 − 비지배 비중 0.0%, 최근 8분기 실측)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S29" authorId="0" shapeId="0">
      <text>
        <t>모델값 역산(implied): v / 전년동기 − 1
최근 4분기 감가상각비 중위 유지</t>
      </text>
    </comment>
    <comment ref="T29" authorId="0" shapeId="0">
      <text>
        <t>모델값 역산(implied): v / 전년동기 − 1
최근 4분기 감가상각비 중위 유지</t>
      </text>
    </comment>
    <comment ref="V29" authorId="0" shapeId="0">
      <text>
        <t>모델값 역산(implied): v / 전년동기 − 1
최근 4분기 감가상각비 중위 유지</t>
      </text>
    </comment>
    <comment ref="W29" authorId="0" shapeId="0">
      <text>
        <t>모델값 역산(implied): v / 전년동기 − 1
최근 4분기 감가상각비 중위 유지</t>
      </text>
    </comment>
    <comment ref="X29" authorId="0" shapeId="0">
      <text>
        <t>모델값 역산(implied): v / 전년동기 − 1
최근 4분기 감가상각비 중위 유지</t>
      </text>
    </comment>
    <comment ref="Y29" authorId="0" shapeId="0">
      <text>
        <t>모델값 역산(implied): v / 전년동기 − 1
최근 4분기 감가상각비 중위 유지</t>
      </text>
    </comment>
    <comment ref="AA29" authorId="0" shapeId="0">
      <text>
        <t>모델값 역산(implied): v / 전년동기 − 1
최근 4분기 감가상각비 중위 유지</t>
      </text>
    </comment>
    <comment ref="AB29" authorId="0" shapeId="0">
      <text>
        <t>모델값 역산(implied): v / 전년동기 − 1
최근 4분기 감가상각비 중위 유지</t>
      </text>
    </comment>
    <comment ref="AC29" authorId="0" shapeId="0">
      <text>
        <t>모델값 역산(implied): v / 전년동기 − 1
최근 4분기 감가상각비 중위 유지</t>
      </text>
    </comment>
    <comment ref="AD29" authorId="0" shapeId="0">
      <text>
        <t>모델값 역산(implied): v / 전년동기 − 1
최근 4분기 감가상각비 중위 유지</t>
      </text>
    </comment>
    <comment ref="S30" authorId="0" shapeId="0">
      <text>
        <t>모델값 역산(implied): v / 전년동기 − 1
영업이익 + 감가상각비</t>
      </text>
    </comment>
    <comment ref="T30" authorId="0" shapeId="0">
      <text>
        <t>모델값 역산(implied): v / 전년동기 − 1
영업이익 + 감가상각비</t>
      </text>
    </comment>
    <comment ref="V30" authorId="0" shapeId="0">
      <text>
        <t>모델값 역산(implied): v / 전년동기 − 1
영업이익 + 감가상각비</t>
      </text>
    </comment>
    <comment ref="W30" authorId="0" shapeId="0">
      <text>
        <t>모델값 역산(implied): v / 전년동기 − 1
영업이익 + 감가상각비</t>
      </text>
    </comment>
    <comment ref="X30" authorId="0" shapeId="0">
      <text>
        <t>모델값 역산(implied): v / 전년동기 − 1
영업이익 + 감가상각비</t>
      </text>
    </comment>
    <comment ref="Y30" authorId="0" shapeId="0">
      <text>
        <t>모델값 역산(implied): v / 전년동기 − 1
영업이익 + 감가상각비</t>
      </text>
    </comment>
    <comment ref="AA30" authorId="0" shapeId="0">
      <text>
        <t>모델값 역산(implied): v / 전년동기 − 1
영업이익 + 감가상각비</t>
      </text>
    </comment>
    <comment ref="AB30" authorId="0" shapeId="0">
      <text>
        <t>모델값 역산(implied): v / 전년동기 − 1
영업이익 + 감가상각비</t>
      </text>
    </comment>
    <comment ref="AC30" authorId="0" shapeId="0">
      <text>
        <t>모델값 역산(implied): v / 전년동기 − 1
영업이익 + 감가상각비</t>
      </text>
    </comment>
    <comment ref="AD30" authorId="0" shapeId="0">
      <text>
        <t>모델값 역산(implied): v / 전년동기 − 1
영업이익 + 감가상각비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 + 당기순이익 − v
전분기 + 당기순이익 − 배당(Q2 지급 가정)</t>
      </text>
    </comment>
    <comment ref="T32" authorId="0" shapeId="0">
      <text>
        <t>모델값 역산(implied): 전분기 + 당기순이익 − v
전분기 + 당기순이익 − 배당(Q2 지급 가정)</t>
      </text>
    </comment>
    <comment ref="V32" authorId="0" shapeId="0">
      <text>
        <t>모델값 역산(implied): 전분기 + 당기순이익 − v
전분기 + 당기순이익 − 배당(Q2 지급 가정)</t>
      </text>
    </comment>
    <comment ref="W32" authorId="0" shapeId="0">
      <text>
        <t>모델값 역산(implied): 전분기 + 당기순이익 − v
전분기 + 당기순이익 − 배당(Q2 지급 가정)</t>
      </text>
    </comment>
    <comment ref="X32" authorId="0" shapeId="0">
      <text>
        <t>모델값 역산(implied): 전분기 + 당기순이익 − v
전분기 + 당기순이익 − 배당(Q2 지급 가정)</t>
      </text>
    </comment>
    <comment ref="Y32" authorId="0" shapeId="0">
      <text>
        <t>모델값 역산(implied): 전분기 + 당기순이익 − v
전분기 + 당기순이익 − 배당(Q2 지급 가정)</t>
      </text>
    </comment>
    <comment ref="AA32" authorId="0" shapeId="0">
      <text>
        <t>모델값 역산(implied): 전분기 + 당기순이익 − v
전분기 + 당기순이익 − 배당(Q2 지급 가정)</t>
      </text>
    </comment>
    <comment ref="AB32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S33" authorId="0" shapeId="0">
      <text>
        <t>모델값 역산(implied): 전분기 + 지배주주순이익 − v
전분기 + 지배주주순이익 − 배당</t>
      </text>
    </comment>
    <comment ref="T33" authorId="0" shapeId="0">
      <text>
        <t>모델값 역산(implied): 전분기 + 지배주주순이익 − v
전분기 + 지배주주순이익 − 배당</t>
      </text>
    </comment>
    <comment ref="V33" authorId="0" shapeId="0">
      <text>
        <t>모델값 역산(implied): 전분기 + 지배주주순이익 − v
전분기 + 지배주주순이익 − 배당</t>
      </text>
    </comment>
    <comment ref="W33" authorId="0" shapeId="0">
      <text>
        <t>모델값 역산(implied): 전분기 + 지배주주순이익 − v
전분기 + 지배주주순이익 − 배당</t>
      </text>
    </comment>
    <comment ref="X33" authorId="0" shapeId="0">
      <text>
        <t>모델값 역산(implied): 전분기 + 지배주주순이익 − v
전분기 + 지배주주순이익 − 배당</t>
      </text>
    </comment>
    <comment ref="Y33" authorId="0" shapeId="0">
      <text>
        <t>모델값 역산(implied): 전분기 + 지배주주순이익 − v
전분기 + 지배주주순이익 − 배당</t>
      </text>
    </comment>
    <comment ref="AA33" authorId="0" shapeId="0">
      <text>
        <t>모델값 역산(implied): 전분기 + 지배주주순이익 − v
전분기 + 지배주주순이익 − 배당</t>
      </text>
    </comment>
    <comment ref="AB33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(순이익 − 배당): 순이익 = 순현금 증가 가정(CAPEX≈감가, 운전자본 불변)</t>
      </text>
    </comment>
    <comment ref="T35" authorId="0" shapeId="0">
      <text>
        <t>모델값 역산(implied): v / 전분기 − 1
전분기 − (순이익 − 배당): 순이익 = 순현금 증가 가정(CAPEX≈감가, 운전자본 불변)</t>
      </text>
    </comment>
    <comment ref="V35" authorId="0" shapeId="0">
      <text>
        <t>모델값 역산(implied): v / 전분기 − 1
전분기 − (순이익 − 배당): 순이익 = 순현금 증가 가정(CAPEX≈감가, 운전자본 불변)</t>
      </text>
    </comment>
    <comment ref="W35" authorId="0" shapeId="0">
      <text>
        <t>모델값 역산(implied): v / 전분기 − 1
전분기 − (순이익 − 배당): 순이익 = 순현금 증가 가정(CAPEX≈감가, 운전자본 불변)</t>
      </text>
    </comment>
    <comment ref="X35" authorId="0" shapeId="0">
      <text>
        <t>모델값 역산(implied): v / 전분기 − 1
전분기 − (순이익 − 배당): 순이익 = 순현금 증가 가정(CAPEX≈감가, 운전자본 불변)</t>
      </text>
    </comment>
    <comment ref="Y35" authorId="0" shapeId="0">
      <text>
        <t>모델값 역산(implied): v / 전분기 − 1
전분기 − (순이익 − 배당): 순이익 = 순현금 증가 가정(CAPEX≈감가, 운전자본 불변)</t>
      </text>
    </comment>
    <comment ref="AA35" authorId="0" shapeId="0">
      <text>
        <t>모델값 역산(implied): v / 전분기 − 1
전분기 − (순이익 − 배당): 순이익 = 순현금 증가 가정(CAPEX≈감가, 운전자본 불변)</t>
      </text>
    </comment>
    <comment ref="AB35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S36" authorId="0" shapeId="0">
      <text>
        <t>모델값 역산(implied): v / 전분기 − 1
전분기 + (순이익 − 배당) — 순차입금 롤과 같은 가정</t>
      </text>
    </comment>
    <comment ref="T36" authorId="0" shapeId="0">
      <text>
        <t>모델값 역산(implied): v / 전분기 − 1
전분기 + (순이익 − 배당) — 순차입금 롤과 같은 가정</t>
      </text>
    </comment>
    <comment ref="V36" authorId="0" shapeId="0">
      <text>
        <t>모델값 역산(implied): v / 전분기 − 1
전분기 + (순이익 − 배당) — 순차입금 롤과 같은 가정</t>
      </text>
    </comment>
    <comment ref="W36" authorId="0" shapeId="0">
      <text>
        <t>모델값 역산(implied): v / 전분기 − 1
전분기 + (순이익 − 배당) — 순차입금 롤과 같은 가정</t>
      </text>
    </comment>
    <comment ref="X36" authorId="0" shapeId="0">
      <text>
        <t>모델값 역산(implied): v / 전분기 − 1
전분기 + (순이익 − 배당) — 순차입금 롤과 같은 가정</t>
      </text>
    </comment>
    <comment ref="Y36" authorId="0" shapeId="0">
      <text>
        <t>모델값 역산(implied): v / 전분기 − 1
전분기 + (순이익 − 배당) — 순차입금 롤과 같은 가정</t>
      </text>
    </comment>
    <comment ref="AA36" authorId="0" shapeId="0">
      <text>
        <t>모델값 역산(implied): v / 전분기 − 1
전분기 + (순이익 − 배당) — 순차입금 롤과 같은 가정</t>
      </text>
    </comment>
    <comment ref="AB36" authorId="0" shapeId="0">
      <text>
        <t>모델값 역산(implied): v / 전분기 − 1
전분기 + (순이익 − 배당) — 순차입금 롤과 같은 가정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2" authorId="0" shapeId="0">
      <text>
        <t>모델값 역산(implied): v / 전년동기 − 1
현재 종가 ÷ TTM EPS(추정 포함)</t>
      </text>
    </comment>
    <comment ref="V42" authorId="0" shapeId="0">
      <text>
        <t>모델값 역산(implied): v / 전년동기 − 1
현재 종가 ÷ TTM EPS(추정 포함)</t>
      </text>
    </comment>
    <comment ref="W42" authorId="0" shapeId="0">
      <text>
        <t>모델값 역산(implied): v / 전년동기 − 1
현재 종가 ÷ TTM EPS(추정 포함)</t>
      </text>
    </comment>
    <comment ref="Y42" authorId="0" shapeId="0">
      <text>
        <t>모델값 역산(implied): v / 전년동기 − 1
현재 종가 ÷ TTM EPS(추정 포함)</t>
      </text>
    </comment>
    <comment ref="AA42" authorId="0" shapeId="0">
      <text>
        <t>모델값 역산(implied): v / 전년동기 − 1
현재 종가 ÷ TTM EPS(추정 포함)</t>
      </text>
    </comment>
    <comment ref="AB42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S43" authorId="0" shapeId="0">
      <text>
        <t>모델값 역산(implied): v / 전년동기 − 1
현재 종가 ÷ BPS(추정 포함)</t>
      </text>
    </comment>
    <comment ref="T43" authorId="0" shapeId="0">
      <text>
        <t>모델값 역산(implied): v / 전년동기 − 1
현재 종가 ÷ BPS(추정 포함)</t>
      </text>
    </comment>
    <comment ref="V43" authorId="0" shapeId="0">
      <text>
        <t>모델값 역산(implied): v / 전년동기 − 1
현재 종가 ÷ BPS(추정 포함)</t>
      </text>
    </comment>
    <comment ref="W43" authorId="0" shapeId="0">
      <text>
        <t>모델값 역산(implied): v / 전년동기 − 1
현재 종가 ÷ BPS(추정 포함)</t>
      </text>
    </comment>
    <comment ref="X43" authorId="0" shapeId="0">
      <text>
        <t>모델값 역산(implied): v / 전년동기 − 1
현재 종가 ÷ BPS(추정 포함)</t>
      </text>
    </comment>
    <comment ref="Y43" authorId="0" shapeId="0">
      <text>
        <t>모델값 역산(implied): v / 전년동기 − 1
현재 종가 ÷ BPS(추정 포함)</t>
      </text>
    </comment>
    <comment ref="AA43" authorId="0" shapeId="0">
      <text>
        <t>모델값 역산(implied): v / 전년동기 − 1
현재 종가 ÷ BPS(추정 포함)</t>
      </text>
    </comment>
    <comment ref="AB43" authorId="0" shapeId="0">
      <text>
        <t>모델값 역산(implied): v / 전년동기 − 1
현재 종가 ÷ BPS(추정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S44" authorId="0" shapeId="0">
      <text>
        <t>모델값 역산(implied): v / 매출액
= 매출액 추정(부문 미분리)</t>
      </text>
    </comment>
    <comment ref="T44" authorId="0" shapeId="0">
      <text>
        <t>모델값 역산(implied): v / 매출액
= 매출액 추정(부문 미분리)</t>
      </text>
    </comment>
    <comment ref="V44" authorId="0" shapeId="0">
      <text>
        <t>모델값 역산(implied): v / 매출액
= 매출액 추정(부문 미분리)</t>
      </text>
    </comment>
    <comment ref="W44" authorId="0" shapeId="0">
      <text>
        <t>모델값 역산(implied): v / 매출액
= 매출액 추정(부문 미분리)</t>
      </text>
    </comment>
    <comment ref="X44" authorId="0" shapeId="0">
      <text>
        <t>모델값 역산(implied): v / 매출액
= 매출액 추정(부문 미분리)</t>
      </text>
    </comment>
    <comment ref="Y44" authorId="0" shapeId="0">
      <text>
        <t>모델값 역산(implied): v / 매출액
= 매출액 추정(부문 미분리)</t>
      </text>
    </comment>
    <comment ref="AA44" authorId="0" shapeId="0">
      <text>
        <t>모델값 역산(implied): v / 매출액
= 매출액 추정(부문 미분리)</t>
      </text>
    </comment>
    <comment ref="AB44" authorId="0" shapeId="0">
      <text>
        <t>모델값 역산(implied): v / 매출액
= 매출액 추정(부문 미분리)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S45" authorId="0" shapeId="0">
      <text>
        <t>모델값 역산(implied): v / 매출전사
= 매출액 × OPM(부문 미분리)</t>
      </text>
    </comment>
    <comment ref="T45" authorId="0" shapeId="0">
      <text>
        <t>모델값 역산(implied): v / 매출전사
= 매출액 × OPM(부문 미분리)</t>
      </text>
    </comment>
    <comment ref="V45" authorId="0" shapeId="0">
      <text>
        <t>모델값 역산(implied): v / 매출전사
= 매출액 × OPM(부문 미분리)</t>
      </text>
    </comment>
    <comment ref="W45" authorId="0" shapeId="0">
      <text>
        <t>모델값 역산(implied): v / 매출전사
= 매출액 × OPM(부문 미분리)</t>
      </text>
    </comment>
    <comment ref="X45" authorId="0" shapeId="0">
      <text>
        <t>모델값 역산(implied): v / 매출전사
= 매출액 × OPM(부문 미분리)</t>
      </text>
    </comment>
    <comment ref="Y45" authorId="0" shapeId="0">
      <text>
        <t>모델값 역산(implied): v / 매출전사
= 매출액 × OPM(부문 미분리)</t>
      </text>
    </comment>
    <comment ref="AA45" authorId="0" shapeId="0">
      <text>
        <t>모델값 역산(implied): v / 매출전사
= 매출액 × OPM(부문 미분리)</t>
      </text>
    </comment>
    <comment ref="AB45" authorId="0" shapeId="0">
      <text>
        <t>모델값 역산(implied): v / 매출전사
= 매출액 × OPM(부문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추정: 최근 8분기 OPM 중위 15.7% 유지(클립 −20~40%)
[yoy]</t>
      </text>
    </comment>
    <comment ref="T10" authorId="0" shapeId="0">
      <text>
        <t>추정: 최근 8분기 OPM 중위 15.7% 유지(클립 −20~40%)
[yoy]</t>
      </text>
    </comment>
    <comment ref="V10" authorId="0" shapeId="0">
      <text>
        <t>추정: 최근 8분기 OPM 중위 15.7% 유지(클립 −20~40%)
[yoy]</t>
      </text>
    </comment>
    <comment ref="W10" authorId="0" shapeId="0">
      <text>
        <t>추정: 최근 8분기 OPM 중위 15.7% 유지(클립 −20~40%)
[yoy]</t>
      </text>
    </comment>
    <comment ref="X10" authorId="0" shapeId="0">
      <text>
        <t>추정: 최근 8분기 OPM 중위 15.7% 유지(클립 −20~40%)
[yoy]</t>
      </text>
    </comment>
    <comment ref="Y10" authorId="0" shapeId="0">
      <text>
        <t>추정: 최근 8분기 OPM 중위 15.7% 유지(클립 −20~40%)
[yoy]</t>
      </text>
    </comment>
    <comment ref="AA10" authorId="0" shapeId="0">
      <text>
        <t>추정: 최근 8분기 OPM 중위 15.7% 유지(클립 −20~40%)
[yoy]</t>
      </text>
    </comment>
    <comment ref="AB10" authorId="0" shapeId="0">
      <text>
        <t>추정: 최근 8분기 OPM 중위 15.7% 유지(클립 −20~40%)
[yoy]</t>
      </text>
    </comment>
    <comment ref="AC10" authorId="0" shapeId="0">
      <text>
        <t>추정: 최근 8분기 OPM 중위 15.7% 유지(클립 −20~40%)
[yoy]</t>
      </text>
    </comment>
    <comment ref="AD10" authorId="0" shapeId="0">
      <text>
        <t>추정: 최근 8분기 OPM 중위 15.7% 유지(클립 −20~40%)
[yoy]</t>
      </text>
    </comment>
    <comment ref="S11" authorId="0" shapeId="0">
      <text>
        <t>추정: 이자손익 = 이자발생자산 138억 × 3.35% − 총차입금 146억 × 4.30% (연율, CF 실측) ÷ 4; 환·평가손익 0 가정
[abs]</t>
      </text>
    </comment>
    <comment ref="T11" authorId="0" shapeId="0">
      <text>
        <t>추정: 이자손익 = 이자발생자산 166억 × 3.35% − 총차입금 146억 × 4.30% (연율, CF 실측) ÷ 4; 환·평가손익 0 가정
[abs]</t>
      </text>
    </comment>
    <comment ref="V11" authorId="0" shapeId="0">
      <text>
        <t>추정: 이자손익 = 이자발생자산 197억 × 3.35% − 총차입금 146억 × 4.30% (연율, CF 실측) ÷ 4; 환·평가손익 0 가정
[abs]</t>
      </text>
    </comment>
    <comment ref="W11" authorId="0" shapeId="0">
      <text>
        <t>추정: 이자손익 = 이자발생자산 235억 × 3.35% − 총차입금 146억 × 4.30% (연율, CF 실측) ÷ 4; 환·평가손익 0 가정
[abs]</t>
      </text>
    </comment>
    <comment ref="X11" authorId="0" shapeId="0">
      <text>
        <t>추정: 이자손익 = 이자발생자산 276억 × 3.35% − 총차입금 146억 × 4.30% (연율, CF 실측) ÷ 4; 환·평가손익 0 가정
[abs]</t>
      </text>
    </comment>
    <comment ref="Y11" authorId="0" shapeId="0">
      <text>
        <t>추정: 이자손익 = 이자발생자산 312억 × 3.35% − 총차입금 146억 × 4.30% (연율, CF 실측) ÷ 4; 환·평가손익 0 가정
[abs]</t>
      </text>
    </comment>
    <comment ref="AA11" authorId="0" shapeId="0">
      <text>
        <t>추정: 이자손익 = 이자발생자산 352억 × 3.35% − 총차입금 146억 × 4.30% (연율, CF 실측) ÷ 4; 환·평가손익 0 가정
[abs]</t>
      </text>
    </comment>
    <comment ref="AB11" authorId="0" shapeId="0">
      <text>
        <t>추정: 이자손익 = 이자발생자산 401억 × 3.35% − 총차입금 146억 × 4.30% (연율, CF 실측) ÷ 4; 환·평가손익 0 가정
[abs]</t>
      </text>
    </comment>
    <comment ref="AC11" authorId="0" shapeId="0">
      <text>
        <t>추정: 이자손익 = 이자발생자산 453억 × 3.35% − 총차입금 146억 × 4.30% (연율, CF 실측) ÷ 4; 환·평가손익 0 가정
[abs]</t>
      </text>
    </comment>
    <comment ref="AD11" authorId="0" shapeId="0">
      <text>
        <t>추정: 이자손익 = 이자발생자산 493억 × 3.35% − 총차입금 146억 × 4.30% (연율, CF 실측) ÷ 4; 환·평가손익 0 가정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W12" authorId="0" shapeId="0">
      <text>
        <t>추정: 일회성 미가정 → 0
[abs]</t>
      </text>
    </comment>
    <comment ref="X12" authorId="0" shapeId="0">
      <text>
        <t>추정: 일회성 미가정 → 0
[abs]</t>
      </text>
    </comment>
    <comment ref="Y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AB12" authorId="0" shapeId="0">
      <text>
        <t>추정: 일회성 미가정 → 0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S13" authorId="0" shapeId="0">
      <text>
        <t>추정: 영업이익 + 금융손익 + 기타영업외 + 지분법 + 환관련(항등식)
[identity]</t>
      </text>
    </comment>
    <comment ref="T13" authorId="0" shapeId="0">
      <text>
        <t>추정: 영업이익 + 금융손익 + 기타영업외 + 지분법 + 환관련(항등식)
[identity]</t>
      </text>
    </comment>
    <comment ref="V13" authorId="0" shapeId="0">
      <text>
        <t>추정: 영업이익 + 금융손익 + 기타영업외 + 지분법 + 환관련(항등식)
[identity]</t>
      </text>
    </comment>
    <comment ref="W13" authorId="0" shapeId="0">
      <text>
        <t>추정: 영업이익 + 금융손익 + 기타영업외 + 지분법 + 환관련(항등식)
[identity]</t>
      </text>
    </comment>
    <comment ref="X13" authorId="0" shapeId="0">
      <text>
        <t>추정: 영업이익 + 금융손익 + 기타영업외 + 지분법 + 환관련(항등식)
[identity]</t>
      </text>
    </comment>
    <comment ref="Y13" authorId="0" shapeId="0">
      <text>
        <t>추정: 영업이익 + 금융손익 + 기타영업외 + 지분법 + 환관련(항등식)
[identity]</t>
      </text>
    </comment>
    <comment ref="AA13" authorId="0" shapeId="0">
      <text>
        <t>추정: 영업이익 + 금융손익 + 기타영업외 + 지분법 + 환관련(항등식)
[identity]</t>
      </text>
    </comment>
    <comment ref="AB13" authorId="0" shapeId="0">
      <text>
        <t>추정: 영업이익 + 금융손익 + 기타영업외 + 지분법 + 환관련(항등식)
[identity]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S14" authorId="0" shapeId="0">
      <text>
        <t>추정: max(세전, 0) × 세율 27.0%(최근 11분기 유효세율 32.5% → 5~27% 클립)
[ratio]</t>
      </text>
    </comment>
    <comment ref="T14" authorId="0" shapeId="0">
      <text>
        <t>추정: max(세전, 0) × 세율 27.0%(최근 11분기 유효세율 32.5% → 5~27% 클립)
[ratio]</t>
      </text>
    </comment>
    <comment ref="V14" authorId="0" shapeId="0">
      <text>
        <t>추정: max(세전, 0) × 세율 27.0%(최근 11분기 유효세율 32.5% → 5~27% 클립)
[ratio]</t>
      </text>
    </comment>
    <comment ref="W14" authorId="0" shapeId="0">
      <text>
        <t>추정: max(세전, 0) × 세율 27.0%(최근 11분기 유효세율 32.5% → 5~27% 클립)
[ratio]</t>
      </text>
    </comment>
    <comment ref="X14" authorId="0" shapeId="0">
      <text>
        <t>추정: max(세전, 0) × 세율 27.0%(최근 11분기 유효세율 32.5% → 5~27% 클립)
[ratio]</t>
      </text>
    </comment>
    <comment ref="Y14" authorId="0" shapeId="0">
      <text>
        <t>추정: max(세전, 0) × 세율 27.0%(최근 11분기 유효세율 32.5% → 5~27% 클립)
[ratio]</t>
      </text>
    </comment>
    <comment ref="AA14" authorId="0" shapeId="0">
      <text>
        <t>추정: max(세전, 0) × 세율 27.0%(최근 11분기 유효세율 32.5% → 5~27% 클립)
[ratio]</t>
      </text>
    </comment>
    <comment ref="AB14" authorId="0" shapeId="0">
      <text>
        <t>추정: max(세전, 0) × 세율 27.0%(최근 11분기 유효세율 32.5% → 5~27% 클립)
[ratio]</t>
      </text>
    </comment>
    <comment ref="AC14" authorId="0" shapeId="0">
      <text>
        <t>추정: max(세전, 0) × 세율 27.0%(최근 11분기 유효세율 32.5% → 5~27% 클립)
[ratio]</t>
      </text>
    </comment>
    <comment ref="AD14" authorId="0" shapeId="0">
      <text>
        <t>추정: max(세전, 0) × 세율 27.0%(최근 11분기 유효세율 32.5% → 5~27% 클립)
[ratio]</t>
      </text>
    </comment>
    <comment ref="S15" authorId="0" shapeId="0">
      <text>
        <t>추정: 세전이익 − 법인세비용(항등식)
[identity]</t>
      </text>
    </comment>
    <comment ref="T15" authorId="0" shapeId="0">
      <text>
        <t>추정: 세전이익 − 법인세비용(항등식)
[identity]</t>
      </text>
    </comment>
    <comment ref="V15" authorId="0" shapeId="0">
      <text>
        <t>추정: 세전이익 − 법인세비용(항등식)
[identity]</t>
      </text>
    </comment>
    <comment ref="W15" authorId="0" shapeId="0">
      <text>
        <t>추정: 세전이익 − 법인세비용(항등식)
[identity]</t>
      </text>
    </comment>
    <comment ref="X15" authorId="0" shapeId="0">
      <text>
        <t>추정: 세전이익 − 법인세비용(항등식)
[identity]</t>
      </text>
    </comment>
    <comment ref="Y15" authorId="0" shapeId="0">
      <text>
        <t>추정: 세전이익 − 법인세비용(항등식)
[identity]</t>
      </text>
    </comment>
    <comment ref="AA15" authorId="0" shapeId="0">
      <text>
        <t>추정: 세전이익 − 법인세비용(항등식)
[identity]</t>
      </text>
    </comment>
    <comment ref="AB15" authorId="0" shapeId="0">
      <text>
        <t>추정: 세전이익 − 법인세비용(항등식)
[identity]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S16" authorId="0" shapeId="0">
      <text>
        <t>추정: 당기순이익 × (1 − 비지배 비중 0.0%, 최근 8분기 실측)
[ratio]</t>
      </text>
    </comment>
    <comment ref="T16" authorId="0" shapeId="0">
      <text>
        <t>추정: 당기순이익 × (1 − 비지배 비중 0.0%, 최근 8분기 실측)
[ratio]</t>
      </text>
    </comment>
    <comment ref="V16" authorId="0" shapeId="0">
      <text>
        <t>추정: 당기순이익 × (1 − 비지배 비중 0.0%, 최근 8분기 실측)
[ratio]</t>
      </text>
    </comment>
    <comment ref="W16" authorId="0" shapeId="0">
      <text>
        <t>추정: 당기순이익 × (1 − 비지배 비중 0.0%, 최근 8분기 실측)
[ratio]</t>
      </text>
    </comment>
    <comment ref="X16" authorId="0" shapeId="0">
      <text>
        <t>추정: 당기순이익 × (1 − 비지배 비중 0.0%, 최근 8분기 실측)
[ratio]</t>
      </text>
    </comment>
    <comment ref="Y16" authorId="0" shapeId="0">
      <text>
        <t>추정: 당기순이익 × (1 − 비지배 비중 0.0%, 최근 8분기 실측)
[ratio]</t>
      </text>
    </comment>
    <comment ref="AA16" authorId="0" shapeId="0">
      <text>
        <t>추정: 당기순이익 × (1 − 비지배 비중 0.0%, 최근 8분기 실측)
[ratio]</t>
      </text>
    </comment>
    <comment ref="AB16" authorId="0" shapeId="0">
      <text>
        <t>추정: 당기순이익 × (1 − 비지배 비중 0.0%, 최근 8분기 실측)
[ratio]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S17" authorId="0" shapeId="0">
      <text>
        <t>추정: 최근 4분기 감가상각비 중위 유지
[yoy]</t>
      </text>
    </comment>
    <comment ref="T17" authorId="0" shapeId="0">
      <text>
        <t>추정: 최근 4분기 감가상각비 중위 유지
[yoy]</t>
      </text>
    </comment>
    <comment ref="V17" authorId="0" shapeId="0">
      <text>
        <t>추정: 최근 4분기 감가상각비 중위 유지
[yoy]</t>
      </text>
    </comment>
    <comment ref="W17" authorId="0" shapeId="0">
      <text>
        <t>추정: 최근 4분기 감가상각비 중위 유지
[yoy]</t>
      </text>
    </comment>
    <comment ref="X17" authorId="0" shapeId="0">
      <text>
        <t>추정: 최근 4분기 감가상각비 중위 유지
[yoy]</t>
      </text>
    </comment>
    <comment ref="Y17" authorId="0" shapeId="0">
      <text>
        <t>추정: 최근 4분기 감가상각비 중위 유지
[yoy]</t>
      </text>
    </comment>
    <comment ref="AA17" authorId="0" shapeId="0">
      <text>
        <t>추정: 최근 4분기 감가상각비 중위 유지
[yoy]</t>
      </text>
    </comment>
    <comment ref="AB17" authorId="0" shapeId="0">
      <text>
        <t>추정: 최근 4분기 감가상각비 중위 유지
[yoy]</t>
      </text>
    </comment>
    <comment ref="AC17" authorId="0" shapeId="0">
      <text>
        <t>추정: 최근 4분기 감가상각비 중위 유지
[yoy]</t>
      </text>
    </comment>
    <comment ref="AD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N18" authorId="0" shapeId="0">
      <text>
        <t>실측(계정 매핑 없음 — 모델값 직접) — 영업이익 + 감가상각비(CF)</t>
      </text>
    </comment>
    <comment ref="O18" authorId="0" shapeId="0">
      <text>
        <t>실측(계정 매핑 없음 — 모델값 직접) — 영업이익 + 감가상각비(CF)</t>
      </text>
    </comment>
    <comment ref="Q18" authorId="0" shapeId="0">
      <text>
        <t>실측(계정 매핑 없음 — 모델값 직접) — 영업이익 + 감가상각비(CF)</t>
      </text>
    </comment>
    <comment ref="R18" authorId="0" shapeId="0">
      <text>
        <t>실측(계정 매핑 없음 — 모델값 직접) — 영업이익 + 감가상각비(CF)</t>
      </text>
    </comment>
    <comment ref="S18" authorId="0" shapeId="0">
      <text>
        <t>추정: 영업이익 + 감가상각비
[yoy]</t>
      </text>
    </comment>
    <comment ref="T18" authorId="0" shapeId="0">
      <text>
        <t>추정: 영업이익 + 감가상각비
[yoy]</t>
      </text>
    </comment>
    <comment ref="V18" authorId="0" shapeId="0">
      <text>
        <t>추정: 영업이익 + 감가상각비
[yoy]</t>
      </text>
    </comment>
    <comment ref="W18" authorId="0" shapeId="0">
      <text>
        <t>추정: 영업이익 + 감가상각비
[yoy]</t>
      </text>
    </comment>
    <comment ref="X18" authorId="0" shapeId="0">
      <text>
        <t>추정: 영업이익 + 감가상각비
[yoy]</t>
      </text>
    </comment>
    <comment ref="Y18" authorId="0" shapeId="0">
      <text>
        <t>추정: 영업이익 + 감가상각비
[yoy]</t>
      </text>
    </comment>
    <comment ref="AA18" authorId="0" shapeId="0">
      <text>
        <t>추정: 영업이익 + 감가상각비
[yoy]</t>
      </text>
    </comment>
    <comment ref="AB18" authorId="0" shapeId="0">
      <text>
        <t>추정: 영업이익 + 감가상각비
[yoy]</t>
      </text>
    </comment>
    <comment ref="AC18" authorId="0" shapeId="0">
      <text>
        <t>추정: 영업이익 + 감가상각비
[yoy]</t>
      </text>
    </comment>
    <comment ref="AD18" authorId="0" shapeId="0">
      <text>
        <t>추정: 영업이익 + 감가상각비
[yoy]</t>
      </text>
    </comment>
    <comment ref="F19" authorId="0" shapeId="0">
      <text>
        <t>연간 실측(BS 시트에 2023.12A 없음 — 모델 a 값 직접)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F20" authorId="0" shapeId="0">
      <text>
        <t>연간 실측(BS 시트에 2023.12A 없음 — 모델 a 값 직접)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F21" authorId="0" shapeId="0">
      <text>
        <t>연간 실측(BS 시트에 2023.12A 없음 — 모델 a 값 직접)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F22" authorId="0" shapeId="0">
      <text>
        <t>연간 실측(BS 시트에 2023.12A 없음 — 모델 a 값 직접)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전분기 − (순이익 − 배당): 순이익 = 순현금 증가 가정(CAPEX≈감가, 운전자본 불변)
[qoq]</t>
      </text>
    </comment>
    <comment ref="T24" authorId="0" shapeId="0">
      <text>
        <t>추정: 전분기 − (순이익 − 배당): 순이익 = 순현금 증가 가정(CAPEX≈감가, 운전자본 불변)
[qoq]</t>
      </text>
    </comment>
    <comment ref="V24" authorId="0" shapeId="0">
      <text>
        <t>추정: 전분기 − (순이익 − 배당): 순이익 = 순현금 증가 가정(CAPEX≈감가, 운전자본 불변)
[qoq]</t>
      </text>
    </comment>
    <comment ref="W24" authorId="0" shapeId="0">
      <text>
        <t>추정: 전분기 − (순이익 − 배당): 순이익 = 순현금 증가 가정(CAPEX≈감가, 운전자본 불변)
[qoq]</t>
      </text>
    </comment>
    <comment ref="X24" authorId="0" shapeId="0">
      <text>
        <t>추정: 전분기 − (순이익 − 배당): 순이익 = 순현금 증가 가정(CAPEX≈감가, 운전자본 불변)
[qoq]</t>
      </text>
    </comment>
    <comment ref="Y24" authorId="0" shapeId="0">
      <text>
        <t>추정: 전분기 − (순이익 − 배당): 순이익 = 순현금 증가 가정(CAPEX≈감가, 운전자본 불변)
[qoq]</t>
      </text>
    </comment>
    <comment ref="AA24" authorId="0" shapeId="0">
      <text>
        <t>추정: 전분기 − (순이익 − 배당): 순이익 = 순현금 증가 가정(CAPEX≈감가, 운전자본 불변)
[qoq]</t>
      </text>
    </comment>
    <comment ref="AB24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(순이익 − 배당) — 순차입금 롤과 같은 가정
[qoq]</t>
      </text>
    </comment>
    <comment ref="T25" authorId="0" shapeId="0">
      <text>
        <t>추정: 전분기 + (순이익 − 배당) — 순차입금 롤과 같은 가정
[qoq]</t>
      </text>
    </comment>
    <comment ref="V25" authorId="0" shapeId="0">
      <text>
        <t>추정: 전분기 + (순이익 − 배당) — 순차입금 롤과 같은 가정
[qoq]</t>
      </text>
    </comment>
    <comment ref="W25" authorId="0" shapeId="0">
      <text>
        <t>추정: 전분기 + (순이익 − 배당) — 순차입금 롤과 같은 가정
[qoq]</t>
      </text>
    </comment>
    <comment ref="X25" authorId="0" shapeId="0">
      <text>
        <t>추정: 전분기 + (순이익 − 배당) — 순차입금 롤과 같은 가정
[qoq]</t>
      </text>
    </comment>
    <comment ref="Y25" authorId="0" shapeId="0">
      <text>
        <t>추정: 전분기 + (순이익 − 배당) — 순차입금 롤과 같은 가정
[qoq]</t>
      </text>
    </comment>
    <comment ref="AA25" authorId="0" shapeId="0">
      <text>
        <t>추정: 전분기 + (순이익 − 배당) — 순차입금 롤과 같은 가정
[qoq]</t>
      </text>
    </comment>
    <comment ref="AB25" authorId="0" shapeId="0">
      <text>
        <t>추정: 전분기 + (순이익 − 배당) — 순차입금 롤과 같은 가정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F26" authorId="0" shapeId="0">
      <text>
        <t>연간 실측(BS 시트에 2023.12A 없음 — 모델 a 값 직접)</t>
      </text>
    </comment>
    <comment ref="E28" authorId="0" shapeId="0">
      <text>
        <t>실측(계정 매핑 없음 — 모델값 직접) — fin.sep.cf.영업활동으로인한현금흐름</t>
      </text>
    </comment>
    <comment ref="G28" authorId="0" shapeId="0">
      <text>
        <t>실측(계정 매핑 없음 — 모델값 직접) — fin.sep.cf.영업활동으로인한현금흐름</t>
      </text>
    </comment>
    <comment ref="H28" authorId="0" shapeId="0">
      <text>
        <t>실측(계정 매핑 없음 — 모델값 직접) — fin.sep.cf.영업활동으로인한현금흐름</t>
      </text>
    </comment>
    <comment ref="I28" authorId="0" shapeId="0">
      <text>
        <t>실측(계정 매핑 없음 — 모델값 직접) — fin.sep.cf.영업활동으로인한현금흐름</t>
      </text>
    </comment>
    <comment ref="J28" authorId="0" shapeId="0">
      <text>
        <t>실측(계정 매핑 없음 — 모델값 직접) — fin.sep.cf.영업활동으로인한현금흐름</t>
      </text>
    </comment>
    <comment ref="L28" authorId="0" shapeId="0">
      <text>
        <t>실측(계정 매핑 없음 — 모델값 직접) — fin.sep.cf.영업활동으로인한현금흐름</t>
      </text>
    </comment>
    <comment ref="M28" authorId="0" shapeId="0">
      <text>
        <t>실측(계정 매핑 없음 — 모델값 직접) — fin.sep.cf.영업활동으로인한현금흐름</t>
      </text>
    </comment>
    <comment ref="N28" authorId="0" shapeId="0">
      <text>
        <t>실측(계정 매핑 없음 — 모델값 직접) — fin.sep.cf.영업활동으로인한현금흐름</t>
      </text>
    </comment>
    <comment ref="O28" authorId="0" shapeId="0">
      <text>
        <t>실측(계정 매핑 없음 — 모델값 직접) — fin.sep.cf.영업활동으로인한현금흐름</t>
      </text>
    </comment>
    <comment ref="Q28" authorId="0" shapeId="0">
      <text>
        <t>실측(계정 매핑 없음 — 모델값 직접) — fin.sep.cf.영업활동으로인한현금흐름</t>
      </text>
    </comment>
    <comment ref="R28" authorId="0" shapeId="0">
      <text>
        <t>실측(계정 매핑 없음 — 모델값 직접) — fin.sep.cf.영업활동으로인한현금흐름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추정(가정 셀 참조 불가 — 기준값 없음, 모델값 직접): 직전 결산 DPS 0원 유지</t>
      </text>
    </comment>
    <comment ref="Y32" authorId="0" shapeId="0">
      <text>
        <t>추정(가정 셀 참조 불가 — 기준값 없음, 모델값 직접): 직전 결산 DPS 0원 유지</t>
      </text>
    </comment>
    <comment ref="AD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T33" authorId="0" shapeId="0">
      <text>
        <t>추정: 현재 종가 ÷ TTM EPS(추정 포함)
[yoy]</t>
      </text>
    </comment>
    <comment ref="V33" authorId="0" shapeId="0">
      <text>
        <t>추정: 현재 종가 ÷ TTM EPS(추정 포함)
[yoy]</t>
      </text>
    </comment>
    <comment ref="W33" authorId="0" shapeId="0">
      <text>
        <t>추정: 현재 종가 ÷ TTM EPS(추정 포함)
[yoy]</t>
      </text>
    </comment>
    <comment ref="X33" authorId="0" shapeId="0">
      <text>
        <t>추정(가정 셀 참조 불가 — 기준값 없음, 모델값 직접): 현재 종가 ÷ TTM EPS(추정 포함)</t>
      </text>
    </comment>
    <comment ref="Y33" authorId="0" shapeId="0">
      <text>
        <t>추정: 현재 종가 ÷ TTM EPS(추정 포함)
[yoy]</t>
      </text>
    </comment>
    <comment ref="AA33" authorId="0" shapeId="0">
      <text>
        <t>추정: 현재 종가 ÷ TTM EPS(추정 포함)
[yoy]</t>
      </text>
    </comment>
    <comment ref="AB33" authorId="0" shapeId="0">
      <text>
        <t>추정: 현재 종가 ÷ TTM EPS(추정 포함)
[yoy]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추정: 현재 종가 ÷ BPS(추정 포함)
[yoy]</t>
      </text>
    </comment>
    <comment ref="T34" authorId="0" shapeId="0">
      <text>
        <t>추정: 현재 종가 ÷ BPS(추정 포함)
[yoy]</t>
      </text>
    </comment>
    <comment ref="V34" authorId="0" shapeId="0">
      <text>
        <t>추정: 현재 종가 ÷ BPS(추정 포함)
[yoy]</t>
      </text>
    </comment>
    <comment ref="W34" authorId="0" shapeId="0">
      <text>
        <t>추정: 현재 종가 ÷ BPS(추정 포함)
[yoy]</t>
      </text>
    </comment>
    <comment ref="X34" authorId="0" shapeId="0">
      <text>
        <t>추정: 현재 종가 ÷ BPS(추정 포함)
[yoy]</t>
      </text>
    </comment>
    <comment ref="Y34" authorId="0" shapeId="0">
      <text>
        <t>추정: 현재 종가 ÷ BPS(추정 포함)
[yoy]</t>
      </text>
    </comment>
    <comment ref="AA34" authorId="0" shapeId="0">
      <text>
        <t>추정: 현재 종가 ÷ BPS(추정 포함)
[yoy]</t>
      </text>
    </comment>
    <comment ref="AB34" authorId="0" shapeId="0">
      <text>
        <t>추정: 현재 종가 ÷ BPS(추정 포함)
[yoy]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추정: = 매출액 추정(부문 미분리)
[ratio]</t>
      </text>
    </comment>
    <comment ref="T35" authorId="0" shapeId="0">
      <text>
        <t>추정: = 매출액 추정(부문 미분리)
[ratio]</t>
      </text>
    </comment>
    <comment ref="V35" authorId="0" shapeId="0">
      <text>
        <t>추정: = 매출액 추정(부문 미분리)
[ratio]</t>
      </text>
    </comment>
    <comment ref="W35" authorId="0" shapeId="0">
      <text>
        <t>추정: = 매출액 추정(부문 미분리)
[ratio]</t>
      </text>
    </comment>
    <comment ref="X35" authorId="0" shapeId="0">
      <text>
        <t>추정: = 매출액 추정(부문 미분리)
[ratio]</t>
      </text>
    </comment>
    <comment ref="Y35" authorId="0" shapeId="0">
      <text>
        <t>추정: = 매출액 추정(부문 미분리)
[ratio]</t>
      </text>
    </comment>
    <comment ref="AA35" authorId="0" shapeId="0">
      <text>
        <t>추정: = 매출액 추정(부문 미분리)
[ratio]</t>
      </text>
    </comment>
    <comment ref="AB35" authorId="0" shapeId="0">
      <text>
        <t>추정: = 매출액 추정(부문 미분리)
[ratio]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추정: = 매출액 × OPM(부문 미분리)
[ratio]</t>
      </text>
    </comment>
    <comment ref="T36" authorId="0" shapeId="0">
      <text>
        <t>추정: = 매출액 × OPM(부문 미분리)
[ratio]</t>
      </text>
    </comment>
    <comment ref="V36" authorId="0" shapeId="0">
      <text>
        <t>추정: = 매출액 × OPM(부문 미분리)
[ratio]</t>
      </text>
    </comment>
    <comment ref="W36" authorId="0" shapeId="0">
      <text>
        <t>추정: = 매출액 × OPM(부문 미분리)
[ratio]</t>
      </text>
    </comment>
    <comment ref="X36" authorId="0" shapeId="0">
      <text>
        <t>추정: = 매출액 × OPM(부문 미분리)
[ratio]</t>
      </text>
    </comment>
    <comment ref="Y36" authorId="0" shapeId="0">
      <text>
        <t>추정: = 매출액 × OPM(부문 미분리)
[ratio]</t>
      </text>
    </comment>
    <comment ref="AA36" authorId="0" shapeId="0">
      <text>
        <t>추정: = 매출액 × OPM(부문 미분리)
[ratio]</t>
      </text>
    </comment>
    <comment ref="AB36" authorId="0" shapeId="0">
      <text>
        <t>추정: = 매출액 × OPM(부문 미분리)
[ratio]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assets/models/452280.json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</t>
        </is>
      </c>
    </row>
    <row r="22">
      <c r="A22" t="inlineStr">
        <is>
          <t>백테스트: {"freeze": "2025Q2", "horizon": 4, "revenue_wape_pct": 35.3, "op_wape_pct": 65.0,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1419.72</v>
      </c>
      <c r="T6" s="16" t="n">
        <v>1353.36</v>
      </c>
      <c r="U6" s="17" t="n">
        <v>1461.87</v>
      </c>
      <c r="V6" s="16" t="n">
        <v>1353.36</v>
      </c>
      <c r="W6" s="16" t="n">
        <v>1353.36</v>
      </c>
      <c r="X6" s="16" t="n">
        <v>1353.36</v>
      </c>
      <c r="Y6" s="16" t="n">
        <v>1353.36</v>
      </c>
      <c r="Z6" s="11" t="n"/>
      <c r="AA6" s="16" t="n">
        <v>1353.36</v>
      </c>
      <c r="AB6" s="16" t="n">
        <v>1353.36</v>
      </c>
      <c r="AC6" s="16" t="n">
        <v>1353.36</v>
      </c>
      <c r="AD6" s="16" t="n">
        <v>1353.36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1353.36</v>
      </c>
      <c r="T7" s="16" t="n">
        <v>1353.36</v>
      </c>
      <c r="U7" s="17" t="n">
        <v>1353.36</v>
      </c>
      <c r="V7" s="16" t="n">
        <v>1353.36</v>
      </c>
      <c r="W7" s="16" t="n">
        <v>1353.36</v>
      </c>
      <c r="X7" s="16" t="n">
        <v>1353.36</v>
      </c>
      <c r="Y7" s="16" t="n">
        <v>1353.36</v>
      </c>
      <c r="Z7" s="11" t="n"/>
      <c r="AA7" s="16" t="n">
        <v>1353.36</v>
      </c>
      <c r="AB7" s="16" t="n">
        <v>1353.36</v>
      </c>
      <c r="AC7" s="16" t="n">
        <v>1353.36</v>
      </c>
      <c r="AD7" s="16" t="n">
        <v>1353.36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890.83</v>
      </c>
      <c r="T8" s="16" t="n">
        <v>861.35</v>
      </c>
      <c r="U8" s="17" t="n">
        <v>922.02</v>
      </c>
      <c r="V8" s="16" t="n">
        <v>861.35</v>
      </c>
      <c r="W8" s="16" t="n">
        <v>861.35</v>
      </c>
      <c r="X8" s="16" t="n">
        <v>861.35</v>
      </c>
      <c r="Y8" s="16" t="n">
        <v>861.35</v>
      </c>
      <c r="Z8" s="11" t="n"/>
      <c r="AA8" s="16" t="n">
        <v>861.35</v>
      </c>
      <c r="AB8" s="16" t="n">
        <v>861.35</v>
      </c>
      <c r="AC8" s="16" t="n">
        <v>861.35</v>
      </c>
      <c r="AD8" s="16" t="n">
        <v>861.35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861.35</v>
      </c>
      <c r="T9" s="16" t="n">
        <v>861.35</v>
      </c>
      <c r="U9" s="17" t="n">
        <v>861.35</v>
      </c>
      <c r="V9" s="16" t="n">
        <v>861.35</v>
      </c>
      <c r="W9" s="16" t="n">
        <v>861.35</v>
      </c>
      <c r="X9" s="16" t="n">
        <v>861.35</v>
      </c>
      <c r="Y9" s="16" t="n">
        <v>861.35</v>
      </c>
      <c r="Z9" s="11" t="n"/>
      <c r="AA9" s="16" t="n">
        <v>861.35</v>
      </c>
      <c r="AB9" s="16" t="n">
        <v>861.35</v>
      </c>
      <c r="AC9" s="16" t="n">
        <v>861.35</v>
      </c>
      <c r="AD9" s="16" t="n">
        <v>861.35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1633.4</v>
      </c>
      <c r="T10" s="16" t="n">
        <v>1536.74</v>
      </c>
      <c r="U10" s="17" t="n">
        <v>1697.39</v>
      </c>
      <c r="V10" s="16" t="n">
        <v>1536.74</v>
      </c>
      <c r="W10" s="16" t="n">
        <v>1536.74</v>
      </c>
      <c r="X10" s="16" t="n">
        <v>1536.74</v>
      </c>
      <c r="Y10" s="16" t="n">
        <v>1536.74</v>
      </c>
      <c r="Z10" s="11" t="n"/>
      <c r="AA10" s="16" t="n">
        <v>1536.74</v>
      </c>
      <c r="AB10" s="16" t="n">
        <v>1536.74</v>
      </c>
      <c r="AC10" s="16" t="n">
        <v>1536.74</v>
      </c>
      <c r="AD10" s="16" t="n">
        <v>1536.74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1536.74</v>
      </c>
      <c r="T11" s="16" t="n">
        <v>1536.74</v>
      </c>
      <c r="U11" s="17" t="n">
        <v>1536.74</v>
      </c>
      <c r="V11" s="16" t="n">
        <v>1536.74</v>
      </c>
      <c r="W11" s="16" t="n">
        <v>1536.74</v>
      </c>
      <c r="X11" s="16" t="n">
        <v>1536.74</v>
      </c>
      <c r="Y11" s="16" t="n">
        <v>1536.74</v>
      </c>
      <c r="Z11" s="11" t="n"/>
      <c r="AA11" s="16" t="n">
        <v>1536.74</v>
      </c>
      <c r="AB11" s="16" t="n">
        <v>1536.74</v>
      </c>
      <c r="AC11" s="16" t="n">
        <v>1536.74</v>
      </c>
      <c r="AD11" s="16" t="n">
        <v>1536.74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210.55</v>
      </c>
      <c r="T12" s="16" t="n">
        <v>201.89</v>
      </c>
      <c r="U12" s="17" t="n">
        <v>214.29</v>
      </c>
      <c r="V12" s="16" t="n">
        <v>201.89</v>
      </c>
      <c r="W12" s="16" t="n">
        <v>201.89</v>
      </c>
      <c r="X12" s="16" t="n">
        <v>201.89</v>
      </c>
      <c r="Y12" s="16" t="n">
        <v>201.89</v>
      </c>
      <c r="Z12" s="11" t="n"/>
      <c r="AA12" s="16" t="n">
        <v>201.89</v>
      </c>
      <c r="AB12" s="16" t="n">
        <v>201.89</v>
      </c>
      <c r="AC12" s="16" t="n">
        <v>201.89</v>
      </c>
      <c r="AD12" s="16" t="n">
        <v>201.89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201.89</v>
      </c>
      <c r="T13" s="16" t="n">
        <v>201.89</v>
      </c>
      <c r="U13" s="17" t="n">
        <v>201.89</v>
      </c>
      <c r="V13" s="16" t="n">
        <v>201.89</v>
      </c>
      <c r="W13" s="16" t="n">
        <v>201.89</v>
      </c>
      <c r="X13" s="16" t="n">
        <v>201.89</v>
      </c>
      <c r="Y13" s="16" t="n">
        <v>201.89</v>
      </c>
      <c r="Z13" s="11" t="n"/>
      <c r="AA13" s="16" t="n">
        <v>201.89</v>
      </c>
      <c r="AB13" s="16" t="n">
        <v>201.89</v>
      </c>
      <c r="AC13" s="16" t="n">
        <v>201.89</v>
      </c>
      <c r="AD13" s="16" t="n">
        <v>201.89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</v>
      </c>
      <c r="T21" s="24" t="n">
        <v>0.49998</v>
      </c>
      <c r="U21" s="25" t="n"/>
      <c r="V21" s="24" t="n">
        <v>0.500005</v>
      </c>
      <c r="W21" s="24" t="n">
        <v>0.49999</v>
      </c>
      <c r="X21" s="24" t="n">
        <v>0.249979</v>
      </c>
      <c r="Y21" s="24" t="n">
        <v>0.250009</v>
      </c>
      <c r="Z21" s="25" t="n"/>
      <c r="AA21" s="24" t="n">
        <v>0.25</v>
      </c>
      <c r="AB21" s="24" t="n">
        <v>0.250007</v>
      </c>
      <c r="AC21" s="24" t="n">
        <v>0.125004</v>
      </c>
      <c r="AD21" s="24" t="n">
        <v>0.125004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4" t="n">
        <v>0.082325</v>
      </c>
      <c r="T22" s="24" t="n">
        <v>0.082347</v>
      </c>
      <c r="U22" s="25">
        <f>IFERROR(subQ!U8/subQ!U5,"")</f>
        <v/>
      </c>
      <c r="V22" s="24" t="n">
        <v>0.082331</v>
      </c>
      <c r="W22" s="24" t="n">
        <v>0.08233</v>
      </c>
      <c r="X22" s="24" t="n">
        <v>0.082326</v>
      </c>
      <c r="Y22" s="24" t="n">
        <v>0.082331</v>
      </c>
      <c r="Z22" s="25">
        <f>IFERROR(subQ!Z8/subQ!Z5,"")</f>
        <v/>
      </c>
      <c r="AA22" s="24" t="n">
        <v>0.082331</v>
      </c>
      <c r="AB22" s="24" t="n">
        <v>0.08233</v>
      </c>
      <c r="AC22" s="24" t="n">
        <v>0.082341</v>
      </c>
      <c r="AD22" s="24" t="n">
        <v>0.082325</v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</v>
      </c>
      <c r="T23" s="24" t="n">
        <v>0.15669</v>
      </c>
      <c r="U23" s="25">
        <f>IFERROR(subQ!U9/subQ!U5,"")</f>
        <v/>
      </c>
      <c r="V23" s="24" t="n">
        <v>0.156678</v>
      </c>
      <c r="W23" s="24" t="n">
        <v>0.156681</v>
      </c>
      <c r="X23" s="24" t="n">
        <v>0.156683</v>
      </c>
      <c r="Y23" s="24" t="n">
        <v>0.156696</v>
      </c>
      <c r="Z23" s="25">
        <f>IFERROR(subQ!Z9/subQ!Z5,"")</f>
        <v/>
      </c>
      <c r="AA23" s="24" t="n">
        <v>0.156702</v>
      </c>
      <c r="AB23" s="24" t="n">
        <v>0.156697</v>
      </c>
      <c r="AC23" s="24" t="n">
        <v>0.15669</v>
      </c>
      <c r="AD23" s="24" t="n">
        <v>0.156693</v>
      </c>
      <c r="AE23" s="25">
        <f>IFERROR(subQ!AE9/subQ!AE5,"")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3">
        <f>IFERROR(subQ!R38/subQ!M38-1,"")</f>
        <v/>
      </c>
      <c r="S24" s="24" t="n">
        <v>-0.021237</v>
      </c>
      <c r="T24" s="24" t="n">
        <v>0.022179</v>
      </c>
      <c r="U24" s="25" t="n"/>
      <c r="V24" s="24" t="n">
        <v>-0.434908</v>
      </c>
      <c r="W24" s="24" t="n">
        <v>-0.338819</v>
      </c>
      <c r="X24" s="24" t="n">
        <v>0</v>
      </c>
      <c r="Y24" s="24" t="n">
        <v>0</v>
      </c>
      <c r="Z24" s="25" t="n"/>
      <c r="AA24" s="24" t="n">
        <v>0</v>
      </c>
      <c r="AB24" s="24" t="n">
        <v>0</v>
      </c>
      <c r="AC24" s="24" t="n">
        <v>0</v>
      </c>
      <c r="AD24" s="24" t="n">
        <v>0</v>
      </c>
      <c r="AE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8">
        <f>subQ!R11</f>
        <v/>
      </c>
      <c r="S25" s="29" t="n">
        <v>-0.42</v>
      </c>
      <c r="T25" s="29" t="n">
        <v>-0.19</v>
      </c>
      <c r="U25" s="30">
        <f>subQ!U11</f>
        <v/>
      </c>
      <c r="V25" s="29" t="n">
        <v>0.08</v>
      </c>
      <c r="W25" s="29" t="n">
        <v>0.4</v>
      </c>
      <c r="X25" s="29" t="n">
        <v>0.74</v>
      </c>
      <c r="Y25" s="29" t="n">
        <v>1.03</v>
      </c>
      <c r="Z25" s="30">
        <f>subQ!Z11</f>
        <v/>
      </c>
      <c r="AA25" s="29" t="n">
        <v>1.37</v>
      </c>
      <c r="AB25" s="29" t="n">
        <v>1.78</v>
      </c>
      <c r="AC25" s="29" t="n">
        <v>2.22</v>
      </c>
      <c r="AD25" s="29" t="n">
        <v>2.56</v>
      </c>
      <c r="AE25" s="30">
        <f>subQ!AE11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8">
        <f>subQ!R12</f>
        <v/>
      </c>
      <c r="S26" s="29" t="n">
        <v>0</v>
      </c>
      <c r="T26" s="29" t="n">
        <v>0</v>
      </c>
      <c r="U26" s="30">
        <f>subQ!U12</f>
        <v/>
      </c>
      <c r="V26" s="29" t="n">
        <v>0</v>
      </c>
      <c r="W26" s="29" t="n">
        <v>0</v>
      </c>
      <c r="X26" s="29" t="n">
        <v>0</v>
      </c>
      <c r="Y26" s="29" t="n">
        <v>0</v>
      </c>
      <c r="Z26" s="30">
        <f>subQ!Z12</f>
        <v/>
      </c>
      <c r="AA26" s="29" t="n">
        <v>0</v>
      </c>
      <c r="AB26" s="29" t="n">
        <v>0</v>
      </c>
      <c r="AC26" s="29" t="n">
        <v>0</v>
      </c>
      <c r="AD26" s="29" t="n">
        <v>0</v>
      </c>
      <c r="AE26" s="30">
        <f>subQ!AE12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3">
        <f>IFERROR(subQ!R14/subQ!R13,"")</f>
        <v/>
      </c>
      <c r="S27" s="24" t="n">
        <v>0.27012</v>
      </c>
      <c r="T27" s="24" t="n">
        <v>0.269963</v>
      </c>
      <c r="U27" s="25">
        <f>IFERROR(subQ!U14/subQ!U13,"")</f>
        <v/>
      </c>
      <c r="V27" s="24" t="n">
        <v>0.269932</v>
      </c>
      <c r="W27" s="24" t="n">
        <v>0.269966</v>
      </c>
      <c r="X27" s="24" t="n">
        <v>0.270075</v>
      </c>
      <c r="Y27" s="24" t="n">
        <v>0.269956</v>
      </c>
      <c r="Z27" s="25">
        <f>IFERROR(subQ!Z14/subQ!Z13,"")</f>
        <v/>
      </c>
      <c r="AA27" s="24" t="n">
        <v>0.269924</v>
      </c>
      <c r="AB27" s="24" t="n">
        <v>0.270035</v>
      </c>
      <c r="AC27" s="24" t="n">
        <v>0.269955</v>
      </c>
      <c r="AD27" s="24" t="n">
        <v>0.269989</v>
      </c>
      <c r="AE27" s="25">
        <f>IFERROR(subQ!AE14/subQ!AE13,"")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3">
        <f>IFERROR(subQ!R16/subQ!R15,"")</f>
        <v/>
      </c>
      <c r="S28" s="24" t="n">
        <v>1</v>
      </c>
      <c r="T28" s="24" t="n">
        <v>1</v>
      </c>
      <c r="U28" s="25">
        <f>IFERROR(subQ!U16/subQ!U15,"")</f>
        <v/>
      </c>
      <c r="V28" s="24" t="n">
        <v>1</v>
      </c>
      <c r="W28" s="24" t="n">
        <v>1</v>
      </c>
      <c r="X28" s="24" t="n">
        <v>1</v>
      </c>
      <c r="Y28" s="24" t="n">
        <v>1</v>
      </c>
      <c r="Z28" s="25">
        <f>IFERROR(subQ!Z16/subQ!Z15,"")</f>
        <v/>
      </c>
      <c r="AA28" s="24" t="n">
        <v>1</v>
      </c>
      <c r="AB28" s="24" t="n">
        <v>1</v>
      </c>
      <c r="AC28" s="24" t="n">
        <v>1</v>
      </c>
      <c r="AD28" s="24" t="n">
        <v>1</v>
      </c>
      <c r="AE28" s="25">
        <f>IFERROR(subQ!AE16/subQ!AE15,"")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3">
        <f>IFERROR(subQ!R17/subQ!M17-1,"")</f>
        <v/>
      </c>
      <c r="S29" s="24" t="n">
        <v>-0.006846</v>
      </c>
      <c r="T29" s="24" t="n">
        <v>0.009875999999999999</v>
      </c>
      <c r="U29" s="25" t="n"/>
      <c r="V29" s="24" t="n">
        <v>0.006979</v>
      </c>
      <c r="W29" s="24" t="n">
        <v>-0.220306</v>
      </c>
      <c r="X29" s="24" t="n">
        <v>0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3">
        <f>IFERROR(subQ!R18/subQ!M18-1,"")</f>
        <v/>
      </c>
      <c r="S30" s="24" t="n">
        <v>0.385669</v>
      </c>
      <c r="T30" s="24" t="n">
        <v>0.449271</v>
      </c>
      <c r="U30" s="25" t="n"/>
      <c r="V30" s="24" t="n">
        <v>-0.139638</v>
      </c>
      <c r="W30" s="24" t="n">
        <v>-0.031741</v>
      </c>
      <c r="X30" s="24" t="n">
        <v>0.21857</v>
      </c>
      <c r="Y30" s="24" t="n">
        <v>0.222131</v>
      </c>
      <c r="Z30" s="25" t="n"/>
      <c r="AA30" s="24" t="n">
        <v>0.22674</v>
      </c>
      <c r="AB30" s="24" t="n">
        <v>0.227832</v>
      </c>
      <c r="AC30" s="24" t="n">
        <v>0.112222</v>
      </c>
      <c r="AD30" s="24" t="n">
        <v>0.113556</v>
      </c>
      <c r="AE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3">
        <f>IFERROR(subQ!R20/subQ!Q20-1,"")</f>
        <v/>
      </c>
      <c r="S31" s="24" t="n">
        <v>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8">
        <f>IFERROR(subQ!Q21+subQ!R15-subQ!R21,"")</f>
        <v/>
      </c>
      <c r="S32" s="29" t="n">
        <v>-0.0076</v>
      </c>
      <c r="T32" s="29" t="n">
        <v>0</v>
      </c>
      <c r="U32" s="30" t="n"/>
      <c r="V32" s="29" t="n">
        <v>0.01</v>
      </c>
      <c r="W32" s="29" t="n">
        <v>-0</v>
      </c>
      <c r="X32" s="29" t="n">
        <v>0</v>
      </c>
      <c r="Y32" s="29" t="n">
        <v>0</v>
      </c>
      <c r="Z32" s="30" t="n"/>
      <c r="AA32" s="29" t="n">
        <v>0</v>
      </c>
      <c r="AB32" s="29" t="n">
        <v>0</v>
      </c>
      <c r="AC32" s="29" t="n">
        <v>0</v>
      </c>
      <c r="AD32" s="29" t="n">
        <v>0</v>
      </c>
      <c r="AE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8">
        <f>IFERROR(subQ!Q22+subQ!R16-subQ!R22,"")</f>
        <v/>
      </c>
      <c r="S33" s="29" t="n">
        <v>-0.0076</v>
      </c>
      <c r="T33" s="29" t="n">
        <v>0</v>
      </c>
      <c r="U33" s="30" t="n"/>
      <c r="V33" s="29" t="n">
        <v>0.01</v>
      </c>
      <c r="W33" s="29" t="n">
        <v>-0</v>
      </c>
      <c r="X33" s="29" t="n">
        <v>0</v>
      </c>
      <c r="Y33" s="29" t="n">
        <v>0</v>
      </c>
      <c r="Z33" s="30" t="n"/>
      <c r="AA33" s="29" t="n">
        <v>0</v>
      </c>
      <c r="AB33" s="29" t="n">
        <v>0</v>
      </c>
      <c r="AC33" s="29" t="n">
        <v>0</v>
      </c>
      <c r="AD33" s="29" t="n">
        <v>0</v>
      </c>
      <c r="AE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3">
        <f>IFERROR(subQ!R23/subQ!Q23-1,"")</f>
        <v/>
      </c>
      <c r="S34" s="24" t="n">
        <v>3.3e-05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3">
        <f>IFERROR(subQ!R24/subQ!Q24-1,"")</f>
        <v/>
      </c>
      <c r="S35" s="24" t="n">
        <v>-2.45714</v>
      </c>
      <c r="T35" s="24" t="n">
        <v>1.929448</v>
      </c>
      <c r="U35" s="25" t="n"/>
      <c r="V35" s="24" t="n">
        <v>0.805236</v>
      </c>
      <c r="W35" s="24" t="n">
        <v>0.474014</v>
      </c>
      <c r="X35" s="24" t="n">
        <v>0.277664</v>
      </c>
      <c r="Y35" s="24" t="n">
        <v>0.247875</v>
      </c>
      <c r="Z35" s="25" t="n"/>
      <c r="AA35" s="24" t="n">
        <v>0.24188</v>
      </c>
      <c r="AB35" s="24" t="n">
        <v>0.206773</v>
      </c>
      <c r="AC35" s="24" t="n">
        <v>0.134025</v>
      </c>
      <c r="AD35" s="24" t="n">
        <v>0.134451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3">
        <f>IFERROR(subQ!R25/subQ!Q25-1,"")</f>
        <v/>
      </c>
      <c r="S36" s="24" t="n">
        <v>0.19909</v>
      </c>
      <c r="T36" s="24" t="n">
        <v>0.190091</v>
      </c>
      <c r="U36" s="25" t="n"/>
      <c r="V36" s="24" t="n">
        <v>0.195217</v>
      </c>
      <c r="W36" s="24" t="n">
        <v>0.17357</v>
      </c>
      <c r="X36" s="24" t="n">
        <v>0.127701</v>
      </c>
      <c r="Y36" s="24" t="n">
        <v>0.129161</v>
      </c>
      <c r="Z36" s="25" t="n"/>
      <c r="AA36" s="24" t="n">
        <v>0.139288</v>
      </c>
      <c r="AB36" s="24" t="n">
        <v>0.129769</v>
      </c>
      <c r="AC36" s="24" t="n">
        <v>0.08988500000000001</v>
      </c>
      <c r="AD36" s="24" t="n">
        <v>0.09379899999999999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3">
        <f>IFERROR(subQ!R26/subQ!Q26-1,"")</f>
        <v/>
      </c>
      <c r="S37" s="31" t="n"/>
      <c r="T37" s="31" t="n"/>
      <c r="U37" s="25" t="n"/>
      <c r="V37" s="31" t="n"/>
      <c r="W37" s="31" t="n"/>
      <c r="X37" s="31" t="n"/>
      <c r="Y37" s="31" t="n"/>
      <c r="Z37" s="25" t="n"/>
      <c r="AA37" s="31" t="n"/>
      <c r="AB37" s="31" t="n"/>
      <c r="AC37" s="31" t="n"/>
      <c r="AD37" s="31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3">
        <f>IFERROR(subQ!R27/subQ!M27-1,"")</f>
        <v/>
      </c>
      <c r="S38" s="31" t="n"/>
      <c r="T38" s="31" t="n"/>
      <c r="U38" s="25" t="n"/>
      <c r="V38" s="31" t="n"/>
      <c r="W38" s="31" t="n"/>
      <c r="X38" s="31" t="n"/>
      <c r="Y38" s="31" t="n"/>
      <c r="Z38" s="25" t="n"/>
      <c r="AA38" s="31" t="n"/>
      <c r="AB38" s="31" t="n"/>
      <c r="AC38" s="31" t="n"/>
      <c r="AD38" s="31" t="n"/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3">
        <f>IFERROR(subQ!R28/subQ!M28-1,"")</f>
        <v/>
      </c>
      <c r="S39" s="31" t="n"/>
      <c r="T39" s="31" t="n"/>
      <c r="U39" s="25" t="n"/>
      <c r="V39" s="31" t="n"/>
      <c r="W39" s="31" t="n"/>
      <c r="X39" s="31" t="n"/>
      <c r="Y39" s="31" t="n"/>
      <c r="Z39" s="25" t="n"/>
      <c r="AA39" s="31" t="n"/>
      <c r="AB39" s="31" t="n"/>
      <c r="AC39" s="31" t="n"/>
      <c r="AD39" s="31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3">
        <f>IFERROR(subQ!R29/subQ!Q29-1,"")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3">
        <f>IFERROR(subQ!R32/subQ!M32-1,"")</f>
        <v/>
      </c>
      <c r="S41" s="31" t="n"/>
      <c r="T41" s="31" t="n"/>
      <c r="U41" s="25" t="n"/>
      <c r="V41" s="31" t="n"/>
      <c r="W41" s="31" t="n"/>
      <c r="X41" s="31" t="n"/>
      <c r="Y41" s="31" t="n"/>
      <c r="Z41" s="25" t="n"/>
      <c r="AA41" s="31" t="n"/>
      <c r="AB41" s="31" t="n"/>
      <c r="AC41" s="31" t="n"/>
      <c r="AD41" s="31" t="n"/>
      <c r="AE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3">
        <f>IFERROR(subQ!R33/subQ!M33-1,"")</f>
        <v/>
      </c>
      <c r="S42" s="31" t="n"/>
      <c r="T42" s="24" t="n">
        <v>3.631748</v>
      </c>
      <c r="U42" s="25" t="n"/>
      <c r="V42" s="24" t="n">
        <v>-0.730024</v>
      </c>
      <c r="W42" s="24" t="n">
        <v>-0.997626</v>
      </c>
      <c r="X42" s="31" t="n"/>
      <c r="Y42" s="24" t="n">
        <v>-0.819294</v>
      </c>
      <c r="Z42" s="25" t="n"/>
      <c r="AA42" s="24" t="n">
        <v>-0.288695</v>
      </c>
      <c r="AB42" s="24" t="n">
        <v>-0.216648</v>
      </c>
      <c r="AC42" s="24" t="n">
        <v>-0.197471</v>
      </c>
      <c r="AD42" s="24" t="n">
        <v>-0.176245</v>
      </c>
      <c r="AE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3">
        <f>IFERROR(subQ!R34/subQ!M34-1,"")</f>
        <v/>
      </c>
      <c r="S43" s="24" t="n">
        <v>0.218447</v>
      </c>
      <c r="T43" s="24" t="n">
        <v>-0.008163</v>
      </c>
      <c r="U43" s="25" t="n"/>
      <c r="V43" s="24" t="n">
        <v>-0.008475</v>
      </c>
      <c r="W43" s="24" t="n">
        <v>-0.449878</v>
      </c>
      <c r="X43" s="24" t="n">
        <v>-0.131474</v>
      </c>
      <c r="Y43" s="24" t="n">
        <v>-0.135802</v>
      </c>
      <c r="Z43" s="25" t="n"/>
      <c r="AA43" s="24" t="n">
        <v>-0.136752</v>
      </c>
      <c r="AB43" s="24" t="n">
        <v>-0.142222</v>
      </c>
      <c r="AC43" s="24" t="n">
        <v>-0.142202</v>
      </c>
      <c r="AD43" s="24" t="n">
        <v>-0.138095</v>
      </c>
      <c r="AE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3">
        <f>IFERROR(subQ!R35/subQ!R5,"")</f>
        <v/>
      </c>
      <c r="S44" s="24" t="n">
        <v>1</v>
      </c>
      <c r="T44" s="24" t="n">
        <v>1</v>
      </c>
      <c r="U44" s="25">
        <f>IFERROR(subQ!U35/subQ!U5,"")</f>
        <v/>
      </c>
      <c r="V44" s="24" t="n">
        <v>1</v>
      </c>
      <c r="W44" s="24" t="n">
        <v>1</v>
      </c>
      <c r="X44" s="24" t="n">
        <v>1</v>
      </c>
      <c r="Y44" s="24" t="n">
        <v>1</v>
      </c>
      <c r="Z44" s="25">
        <f>IFERROR(subQ!Z35/subQ!Z5,"")</f>
        <v/>
      </c>
      <c r="AA44" s="24" t="n">
        <v>1</v>
      </c>
      <c r="AB44" s="24" t="n">
        <v>1</v>
      </c>
      <c r="AC44" s="24" t="n">
        <v>1</v>
      </c>
      <c r="AD44" s="24" t="n">
        <v>1</v>
      </c>
      <c r="AE44" s="25">
        <f>IFERROR(subQ!AE35/subQ!AE5,"")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3">
        <f>IFERROR(subQ!R36/subQ!R35,"")</f>
        <v/>
      </c>
      <c r="S45" s="24" t="n">
        <v>0.156705</v>
      </c>
      <c r="T45" s="24" t="n">
        <v>0.15669</v>
      </c>
      <c r="U45" s="25">
        <f>IFERROR(subQ!U36/subQ!U35,"")</f>
        <v/>
      </c>
      <c r="V45" s="24" t="n">
        <v>0.156678</v>
      </c>
      <c r="W45" s="24" t="n">
        <v>0.156681</v>
      </c>
      <c r="X45" s="24" t="n">
        <v>0.156683</v>
      </c>
      <c r="Y45" s="24" t="n">
        <v>0.156696</v>
      </c>
      <c r="Z45" s="25">
        <f>IFERROR(subQ!Z36/subQ!Z35,"")</f>
        <v/>
      </c>
      <c r="AA45" s="24" t="n">
        <v>0.156702</v>
      </c>
      <c r="AB45" s="24" t="n">
        <v>0.156697</v>
      </c>
      <c r="AC45" s="24" t="n">
        <v>0.15669</v>
      </c>
      <c r="AD45" s="24" t="n">
        <v>0.156693</v>
      </c>
      <c r="AE45" s="25">
        <f>IFERROR(subQ!AE36/subQ!AE35,"")</f>
        <v/>
      </c>
    </row>
    <row r="46"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B47" s="1" t="inlineStr">
        <is>
          <t>3. 밸류에이션·스칼라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12600</v>
      </c>
      <c r="E48" s="2" t="inlineStr">
        <is>
          <t>원 — aikstockdata(금융위 T+1)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31.9배가 캡 5~30 밖 — 턴어라운드 초기 TTM EPS 왜곡)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0.27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0.0823</v>
      </c>
      <c r="E56" s="2" t="inlineStr">
        <is>
          <t>판관비율 가정(참고)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4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4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4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4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4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4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4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4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4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4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4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4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4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4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4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4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4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4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4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4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4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4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4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4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4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4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4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4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4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4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4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4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4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4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4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4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4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4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4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4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4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4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4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4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4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4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4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4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4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4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4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4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4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4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4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4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4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4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4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4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4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4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4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4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4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4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4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4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4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4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4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4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4" t="n">
        <v>7130</v>
      </c>
      <c r="G29" s="18" t="n">
        <v>7170</v>
      </c>
      <c r="H29" s="18" t="n">
        <v>7210</v>
      </c>
      <c r="I29" s="18" t="n">
        <v>610</v>
      </c>
      <c r="J29" s="18" t="n">
        <v>6200</v>
      </c>
      <c r="K29" s="34" t="n">
        <v>6200</v>
      </c>
      <c r="L29" s="18" t="n">
        <v>6200</v>
      </c>
      <c r="M29" s="18" t="n">
        <v>0</v>
      </c>
      <c r="P29" s="9" t="n"/>
      <c r="R29" s="5" t="n"/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4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4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4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4" t="n">
        <v>530</v>
      </c>
      <c r="G31" s="18" t="n">
        <v>570</v>
      </c>
      <c r="H31" s="18" t="n">
        <v>610</v>
      </c>
      <c r="I31" s="18" t="n">
        <v>610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4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4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4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4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4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4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4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4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4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4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4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4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4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4" t="n">
        <v>28025.59</v>
      </c>
      <c r="L36" s="18" t="n">
        <v>28550.59</v>
      </c>
      <c r="M36" s="18" t="n">
        <v>28607.98</v>
      </c>
      <c r="O36" s="18" t="n">
        <v>28644.45</v>
      </c>
      <c r="P36" s="34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4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4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4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4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4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4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4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4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4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4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4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4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4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4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4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4" t="n">
        <v>9195.540000000001</v>
      </c>
      <c r="G42" s="18" t="n">
        <v>9176.84</v>
      </c>
      <c r="H42" s="18" t="n">
        <v>9296.52</v>
      </c>
      <c r="I42" s="18" t="n">
        <v>2565.32</v>
      </c>
      <c r="J42" s="18" t="n">
        <v>13414.72</v>
      </c>
      <c r="K42" s="34" t="n">
        <v>13414.72</v>
      </c>
      <c r="L42" s="18" t="n">
        <v>32794.8</v>
      </c>
      <c r="M42" s="18" t="n">
        <v>29318.2</v>
      </c>
      <c r="N42" s="18" t="n">
        <v>19177.32</v>
      </c>
      <c r="O42" s="18" t="n">
        <v>20626.89</v>
      </c>
      <c r="P42" s="34" t="n">
        <v>20626.89</v>
      </c>
      <c r="Q42" s="18" t="n">
        <v>18216.01</v>
      </c>
      <c r="R42" s="19" t="n">
        <v>14644.52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4" t="n">
        <v>1946.59</v>
      </c>
      <c r="G43" s="18" t="n">
        <v>1230.16</v>
      </c>
      <c r="H43" s="18" t="n">
        <v>1535.72</v>
      </c>
      <c r="I43" s="18" t="n">
        <v>-3297.42</v>
      </c>
      <c r="J43" s="18" t="n">
        <v>4823.3</v>
      </c>
      <c r="K43" s="34" t="n">
        <v>4823.3</v>
      </c>
      <c r="L43" s="18" t="n">
        <v>25966.84</v>
      </c>
      <c r="M43" s="18" t="n">
        <v>13513.92</v>
      </c>
      <c r="N43" s="18" t="n">
        <v>12589.49</v>
      </c>
      <c r="O43" s="18" t="n">
        <v>-1528.84</v>
      </c>
      <c r="P43" s="34" t="n">
        <v>-1528.84</v>
      </c>
      <c r="Q43" s="18" t="n">
        <v>4152.32</v>
      </c>
      <c r="R43" s="19" t="n">
        <v>1118.63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4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4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4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4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4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4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4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4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4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4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4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4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4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4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4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4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4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4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4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4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4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4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4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4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4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4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4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4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4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4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4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4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4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4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4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4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4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4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4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4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4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영업활동으로인한현금흐름</t>
        </is>
      </c>
      <c r="E67" s="18" t="n">
        <v>5371.93</v>
      </c>
      <c r="F67" s="9" t="n"/>
      <c r="G67" s="18" t="n">
        <v>880.76</v>
      </c>
      <c r="H67" s="18" t="n">
        <v>509.35</v>
      </c>
      <c r="I67" s="18" t="n">
        <v>-968.6799999999999</v>
      </c>
      <c r="J67" s="18" t="n">
        <v>1781.89</v>
      </c>
      <c r="K67" s="34" t="n">
        <v>2203.32</v>
      </c>
      <c r="L67" s="18" t="n">
        <v>1109.51</v>
      </c>
      <c r="M67" s="18" t="n">
        <v>281.19</v>
      </c>
      <c r="N67" s="18" t="n">
        <v>129.69</v>
      </c>
      <c r="O67" s="18" t="n">
        <v>-92.40000000000001</v>
      </c>
      <c r="P67" s="34" t="n">
        <v>1427.99</v>
      </c>
      <c r="Q67" s="18" t="n">
        <v>1025.69</v>
      </c>
      <c r="R67" s="19" t="n">
        <v>4395.66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감가상각비</t>
        </is>
      </c>
      <c r="E68" s="18" t="n">
        <v>586.9</v>
      </c>
      <c r="F68" s="9" t="n"/>
      <c r="G68" s="18" t="n">
        <v>565.9400000000001</v>
      </c>
      <c r="H68" s="18" t="n">
        <v>568.1900000000001</v>
      </c>
      <c r="I68" s="18" t="n">
        <v>585.04</v>
      </c>
      <c r="J68" s="18" t="n">
        <v>580.98</v>
      </c>
      <c r="K68" s="34" t="n">
        <v>2300.15</v>
      </c>
      <c r="L68" s="18" t="n">
        <v>566.04</v>
      </c>
      <c r="M68" s="18" t="n">
        <v>560.7</v>
      </c>
      <c r="N68" s="18" t="n">
        <v>547.75</v>
      </c>
      <c r="O68" s="18" t="n">
        <v>538.6799999999999</v>
      </c>
      <c r="P68" s="34" t="n">
        <v>2213.17</v>
      </c>
      <c r="Q68" s="18" t="n">
        <v>540.23</v>
      </c>
      <c r="R68" s="19" t="n">
        <v>697.71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무형자산상각비</t>
        </is>
      </c>
      <c r="E69" s="18" t="n">
        <v>4.56</v>
      </c>
      <c r="F69" s="9" t="n"/>
      <c r="G69" s="18" t="n">
        <v>4.07</v>
      </c>
      <c r="H69" s="18" t="n">
        <v>4.03</v>
      </c>
      <c r="I69" s="18" t="n">
        <v>4.93</v>
      </c>
      <c r="J69" s="18" t="n">
        <v>5.82</v>
      </c>
      <c r="K69" s="34" t="n">
        <v>18.85</v>
      </c>
      <c r="L69" s="18" t="n">
        <v>4.93</v>
      </c>
      <c r="M69" s="18" t="n">
        <v>5.3</v>
      </c>
      <c r="N69" s="18" t="n">
        <v>5.31</v>
      </c>
      <c r="O69" s="18" t="n">
        <v>5.31</v>
      </c>
      <c r="P69" s="34" t="n">
        <v>20.85</v>
      </c>
      <c r="Q69" s="18" t="n">
        <v>5.5</v>
      </c>
      <c r="R69" s="19" t="n">
        <v>5.69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95.42</v>
      </c>
      <c r="F70" s="9" t="n"/>
      <c r="G70" s="18" t="n">
        <v>46.91</v>
      </c>
      <c r="H70" s="18" t="n">
        <v>49.16</v>
      </c>
      <c r="I70" s="18" t="n">
        <v>51.42</v>
      </c>
      <c r="J70" s="18" t="n">
        <v>58.89</v>
      </c>
      <c r="K70" s="34" t="n">
        <v>206.38</v>
      </c>
      <c r="L70" s="18" t="n">
        <v>50.12</v>
      </c>
      <c r="M70" s="18" t="n">
        <v>64.45999999999999</v>
      </c>
      <c r="N70" s="18" t="n">
        <v>222.18</v>
      </c>
      <c r="O70" s="18" t="n">
        <v>106.43</v>
      </c>
      <c r="P70" s="34" t="n">
        <v>443.19</v>
      </c>
      <c r="Q70" s="18" t="n">
        <v>36.58</v>
      </c>
      <c r="R70" s="19" t="n">
        <v>130.25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이자지급(CF)</t>
        </is>
      </c>
      <c r="E71" s="18" t="n">
        <v>-499.54</v>
      </c>
      <c r="F71" s="9" t="n"/>
      <c r="G71" s="18" t="n">
        <v>-92.33</v>
      </c>
      <c r="H71" s="18" t="n">
        <v>-93.42</v>
      </c>
      <c r="I71" s="18" t="n">
        <v>-90.18000000000001</v>
      </c>
      <c r="J71" s="18" t="n">
        <v>-197.56</v>
      </c>
      <c r="K71" s="34" t="n">
        <v>-473.49</v>
      </c>
      <c r="L71" s="18" t="n">
        <v>-485.67</v>
      </c>
      <c r="M71" s="18" t="n">
        <v>245.45</v>
      </c>
      <c r="N71" s="18" t="n">
        <v>-114.92</v>
      </c>
      <c r="O71" s="18" t="n">
        <v>-192.39</v>
      </c>
      <c r="P71" s="34" t="n">
        <v>-547.53</v>
      </c>
      <c r="Q71" s="18" t="n">
        <v>-217.77</v>
      </c>
      <c r="R71" s="19" t="n">
        <v>-255.56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법인세납부(CF)</t>
        </is>
      </c>
      <c r="E72" s="18" t="n">
        <v>-14.73</v>
      </c>
      <c r="F72" s="9" t="n"/>
      <c r="G72" s="18" t="n">
        <v>0</v>
      </c>
      <c r="H72" s="18" t="n">
        <v>-317.07</v>
      </c>
      <c r="I72" s="18" t="n">
        <v>-329.42</v>
      </c>
      <c r="J72" s="18" t="n">
        <v>-14.5</v>
      </c>
      <c r="K72" s="34" t="n">
        <v>-660.99</v>
      </c>
      <c r="L72" s="18" t="n">
        <v>-253.62</v>
      </c>
      <c r="M72" s="18" t="n">
        <v>-346.16</v>
      </c>
      <c r="N72" s="18" t="n">
        <v>-386.64</v>
      </c>
      <c r="O72" s="18" t="n">
        <v>-44.91</v>
      </c>
      <c r="P72" s="34" t="n">
        <v>-1031.33</v>
      </c>
      <c r="Q72" s="18" t="n">
        <v>-190.36</v>
      </c>
      <c r="R72" s="19" t="n">
        <v>-557.89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투자활동으로인한현금흐름</t>
        </is>
      </c>
      <c r="E73" s="18" t="n">
        <v>-5206.49</v>
      </c>
      <c r="F73" s="9" t="n"/>
      <c r="G73" s="18" t="n">
        <v>-1451.33</v>
      </c>
      <c r="H73" s="18" t="n">
        <v>687.5</v>
      </c>
      <c r="I73" s="18" t="n">
        <v>-370.6</v>
      </c>
      <c r="J73" s="18" t="n">
        <v>-3684.39</v>
      </c>
      <c r="K73" s="34" t="n">
        <v>-4818.82</v>
      </c>
      <c r="L73" s="18" t="n">
        <v>-24055.79</v>
      </c>
      <c r="M73" s="18" t="n">
        <v>-2991.95</v>
      </c>
      <c r="N73" s="18" t="n">
        <v>-164.82</v>
      </c>
      <c r="O73" s="18" t="n">
        <v>-7494.85</v>
      </c>
      <c r="P73" s="34" t="n">
        <v>-34707.41</v>
      </c>
      <c r="Q73" s="18" t="n">
        <v>-17413.94</v>
      </c>
      <c r="R73" s="19" t="n">
        <v>1753.85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유형자산의감소</t>
        </is>
      </c>
      <c r="E74" s="18" t="n">
        <v>0</v>
      </c>
      <c r="F74" s="9" t="n"/>
      <c r="G74" s="18" t="n">
        <v>0</v>
      </c>
      <c r="H74" s="18" t="n">
        <v>1.18</v>
      </c>
      <c r="I74" s="18" t="n">
        <v>0</v>
      </c>
      <c r="J74" s="18" t="n">
        <v>57</v>
      </c>
      <c r="K74" s="34" t="n">
        <v>58.18</v>
      </c>
      <c r="L74" s="18" t="n">
        <v>1.2</v>
      </c>
      <c r="M74" s="18" t="n">
        <v>0</v>
      </c>
      <c r="N74" s="18" t="n">
        <v>0</v>
      </c>
      <c r="O74" s="18" t="n">
        <v>0</v>
      </c>
      <c r="P74" s="34" t="n">
        <v>1.2</v>
      </c>
      <c r="Q74" s="18" t="n">
        <v>0</v>
      </c>
      <c r="R74" s="19" t="n">
        <v>0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유형자산의증가</t>
        </is>
      </c>
      <c r="E75" s="18" t="n">
        <v>5288.06</v>
      </c>
      <c r="F75" s="9" t="n"/>
      <c r="G75" s="18" t="n">
        <v>166.07</v>
      </c>
      <c r="H75" s="18" t="n">
        <v>546.22</v>
      </c>
      <c r="I75" s="18" t="n">
        <v>408</v>
      </c>
      <c r="J75" s="18" t="n">
        <v>3760.97</v>
      </c>
      <c r="K75" s="34" t="n">
        <v>4881.26</v>
      </c>
      <c r="L75" s="18" t="n">
        <v>6886.75</v>
      </c>
      <c r="M75" s="18" t="n">
        <v>7420.45</v>
      </c>
      <c r="N75" s="18" t="n">
        <v>9209.440000000001</v>
      </c>
      <c r="O75" s="18" t="n">
        <v>10569.73</v>
      </c>
      <c r="P75" s="34" t="n">
        <v>34086.37</v>
      </c>
      <c r="Q75" s="18" t="n">
        <v>9361.98</v>
      </c>
      <c r="R75" s="19" t="n">
        <v>6186.32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CAPEX</t>
        </is>
      </c>
      <c r="E76" s="18" t="n">
        <v>5288.06</v>
      </c>
      <c r="F76" s="9" t="n"/>
      <c r="G76" s="18" t="n">
        <v>166.07</v>
      </c>
      <c r="H76" s="18" t="n">
        <v>546.22</v>
      </c>
      <c r="I76" s="18" t="n">
        <v>426</v>
      </c>
      <c r="J76" s="18" t="n">
        <v>3799.79</v>
      </c>
      <c r="K76" s="34" t="n">
        <v>4938.08</v>
      </c>
      <c r="L76" s="18" t="n">
        <v>6909.75</v>
      </c>
      <c r="M76" s="18" t="n">
        <v>8131.96</v>
      </c>
      <c r="N76" s="18" t="n">
        <v>9209.440000000001</v>
      </c>
      <c r="O76" s="18" t="n">
        <v>10569.73</v>
      </c>
      <c r="P76" s="34" t="n">
        <v>34820.88</v>
      </c>
      <c r="Q76" s="18" t="n">
        <v>9365.690000000001</v>
      </c>
      <c r="R76" s="19" t="n">
        <v>6190.69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무형자산의증가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18</v>
      </c>
      <c r="J77" s="18" t="n">
        <v>38.82</v>
      </c>
      <c r="K77" s="34" t="n">
        <v>56.82</v>
      </c>
      <c r="L77" s="18" t="n">
        <v>23</v>
      </c>
      <c r="M77" s="18" t="n">
        <v>711.51</v>
      </c>
      <c r="N77" s="18" t="n">
        <v>0</v>
      </c>
      <c r="O77" s="18" t="n">
        <v>0</v>
      </c>
      <c r="P77" s="34" t="n">
        <v>734.51</v>
      </c>
      <c r="Q77" s="18" t="n">
        <v>3.71</v>
      </c>
      <c r="R77" s="19" t="n">
        <v>4.37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재무활동으로인한현금흐름</t>
        </is>
      </c>
      <c r="E78" s="18" t="n">
        <v>4453.73</v>
      </c>
      <c r="F78" s="9" t="n"/>
      <c r="G78" s="18" t="n">
        <v>-74.88</v>
      </c>
      <c r="H78" s="18" t="n">
        <v>-39.55</v>
      </c>
      <c r="I78" s="18" t="n">
        <v>-556.5</v>
      </c>
      <c r="J78" s="18" t="n">
        <v>4628.89</v>
      </c>
      <c r="K78" s="34" t="n">
        <v>3957.96</v>
      </c>
      <c r="L78" s="18" t="n">
        <v>21182.82</v>
      </c>
      <c r="M78" s="18" t="n">
        <v>-487.81</v>
      </c>
      <c r="N78" s="18" t="n">
        <v>-106.68</v>
      </c>
      <c r="O78" s="18" t="n">
        <v>26282.58</v>
      </c>
      <c r="P78" s="34" t="n">
        <v>46870.91</v>
      </c>
      <c r="Q78" s="18" t="n">
        <v>223.78</v>
      </c>
      <c r="R78" s="19" t="n">
        <v>1381.74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차입금의증가</t>
        </is>
      </c>
      <c r="E79" s="18" t="n">
        <v>2600</v>
      </c>
      <c r="F79" s="9" t="n"/>
      <c r="G79" s="18" t="n">
        <v>0</v>
      </c>
      <c r="H79" s="18" t="n">
        <v>0</v>
      </c>
      <c r="I79" s="18" t="n">
        <v>0</v>
      </c>
      <c r="J79" s="18" t="n">
        <v>6000</v>
      </c>
      <c r="K79" s="34" t="n">
        <v>6000</v>
      </c>
      <c r="P79" s="9" t="n"/>
      <c r="Q79" s="18" t="n">
        <v>0</v>
      </c>
      <c r="R79" s="19" t="n">
        <v>8425.219999999999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차입금의감소</t>
        </is>
      </c>
      <c r="E80" s="18" t="n">
        <v>27600</v>
      </c>
      <c r="F80" s="9" t="n"/>
      <c r="I80" s="18" t="n">
        <v>450</v>
      </c>
      <c r="J80" s="18" t="n">
        <v>1400</v>
      </c>
      <c r="K80" s="9" t="n"/>
      <c r="N80" s="18" t="n">
        <v>50</v>
      </c>
      <c r="O80" s="18" t="n">
        <v>10800</v>
      </c>
      <c r="P80" s="9" t="n"/>
      <c r="Q80" s="18" t="n">
        <v>0</v>
      </c>
      <c r="R80" s="19" t="n">
        <v>166.67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리스부채의상환</t>
        </is>
      </c>
      <c r="E81" s="18" t="n">
        <v>106.41</v>
      </c>
      <c r="F81" s="9" t="n"/>
      <c r="G81" s="18" t="n">
        <v>89.68000000000001</v>
      </c>
      <c r="H81" s="18" t="n">
        <v>79.55</v>
      </c>
      <c r="I81" s="18" t="n">
        <v>106.5</v>
      </c>
      <c r="J81" s="18" t="n">
        <v>106.51</v>
      </c>
      <c r="K81" s="34" t="n">
        <v>382.24</v>
      </c>
      <c r="L81" s="18" t="n">
        <v>105.84</v>
      </c>
      <c r="M81" s="18" t="n">
        <v>104.71</v>
      </c>
      <c r="N81" s="18" t="n">
        <v>95.09999999999999</v>
      </c>
      <c r="O81" s="18" t="n">
        <v>89.92</v>
      </c>
      <c r="P81" s="34" t="n">
        <v>395.57</v>
      </c>
      <c r="Q81" s="18" t="n">
        <v>92.18000000000001</v>
      </c>
      <c r="R81" s="19" t="n">
        <v>67.95999999999999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현금및현금성자산의증감</t>
        </is>
      </c>
      <c r="E82" s="18" t="n">
        <v>4619.16</v>
      </c>
      <c r="F82" s="9" t="n"/>
      <c r="G82" s="18" t="n">
        <v>-645.45</v>
      </c>
      <c r="H82" s="18" t="n">
        <v>1157.3</v>
      </c>
      <c r="I82" s="18" t="n">
        <v>-1895.78</v>
      </c>
      <c r="J82" s="18" t="n">
        <v>2726.39</v>
      </c>
      <c r="K82" s="34" t="n">
        <v>1342.46</v>
      </c>
      <c r="L82" s="18" t="n">
        <v>-1763.46</v>
      </c>
      <c r="M82" s="18" t="n">
        <v>-3198.58</v>
      </c>
      <c r="N82" s="18" t="n">
        <v>-141.8</v>
      </c>
      <c r="O82" s="18" t="n">
        <v>18695.33</v>
      </c>
      <c r="P82" s="34" t="n">
        <v>13591.49</v>
      </c>
      <c r="Q82" s="18" t="n">
        <v>-16164.47</v>
      </c>
      <c r="R82" s="5" t="n"/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기말현금및현금성자산</t>
        </is>
      </c>
      <c r="E83" s="18" t="n">
        <v>4618.93</v>
      </c>
      <c r="F83" s="9" t="n"/>
      <c r="G83" s="18" t="n">
        <v>6603.65</v>
      </c>
      <c r="H83" s="18" t="n">
        <v>1157.15</v>
      </c>
      <c r="I83" s="18" t="n">
        <v>-1898.06</v>
      </c>
      <c r="J83" s="18" t="n">
        <v>2728.68</v>
      </c>
      <c r="K83" s="34" t="n">
        <v>8591.42</v>
      </c>
      <c r="L83" s="18" t="n">
        <v>6827.96</v>
      </c>
      <c r="M83" s="18" t="n">
        <v>-3198.58</v>
      </c>
      <c r="N83" s="18" t="n">
        <v>-141.04</v>
      </c>
      <c r="O83" s="18" t="n">
        <v>18657.35</v>
      </c>
      <c r="P83" s="34" t="n">
        <v>22145.69</v>
      </c>
      <c r="Q83" s="18" t="n">
        <v>6013.5</v>
      </c>
      <c r="R83" s="19" t="n">
        <v>7512.39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5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5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5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5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5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5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5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5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5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5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</v>
      </c>
      <c r="F10" s="34" t="n"/>
      <c r="G10" s="18" t="n">
        <v>0.1158</v>
      </c>
      <c r="H10" s="18" t="n">
        <v>0.1331</v>
      </c>
      <c r="I10" s="18" t="n">
        <v>0.0704</v>
      </c>
      <c r="J10" s="18" t="n">
        <v>0.082</v>
      </c>
      <c r="K10" s="34">
        <f>SUM(G10:J10)</f>
        <v/>
      </c>
      <c r="L10" s="18" t="n">
        <v>0.1283</v>
      </c>
      <c r="M10" s="18" t="n">
        <v>0.1712</v>
      </c>
      <c r="N10" s="18" t="n">
        <v>0.1601</v>
      </c>
      <c r="O10" s="18" t="n">
        <v>0.1533</v>
      </c>
      <c r="P10" s="34">
        <f>SUM(L10:O10)</f>
        <v/>
      </c>
      <c r="Q10" s="18" t="n">
        <v>0.2773</v>
      </c>
      <c r="R10" s="19" t="n">
        <v>0.237</v>
      </c>
      <c r="S10" s="20">
        <f>IFERROR(N10*(1+변수!S24),"")</f>
        <v/>
      </c>
      <c r="T10" s="20">
        <f>IFERROR(O10*(1+변수!T24),"")</f>
        <v/>
      </c>
      <c r="U10" s="35">
        <f>SUM(Q10:T10)</f>
        <v/>
      </c>
      <c r="V10" s="20">
        <f>IFERROR(Q10*(1+변수!V24),"")</f>
        <v/>
      </c>
      <c r="W10" s="20">
        <f>IFERROR(R10*(1+변수!W24),"")</f>
        <v/>
      </c>
      <c r="X10" s="20">
        <f>IFERROR(S10*(1+변수!X24),"")</f>
        <v/>
      </c>
      <c r="Y10" s="20">
        <f>IFERROR(T10*(1+변수!Y24),"")</f>
        <v/>
      </c>
      <c r="Z10" s="35">
        <f>SUM(V10:Y10)</f>
        <v/>
      </c>
      <c r="AA10" s="20">
        <f>IFERROR(V10*(1+변수!AA24),"")</f>
        <v/>
      </c>
      <c r="AB10" s="20">
        <f>IFERROR(W10*(1+변수!AB24),"")</f>
        <v/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변수!S25</f>
        <v/>
      </c>
      <c r="T11" s="20">
        <f>변수!T25</f>
        <v/>
      </c>
      <c r="U11" s="35">
        <f>SUM(Q11:T11)</f>
        <v/>
      </c>
      <c r="V11" s="20">
        <f>변수!V25</f>
        <v/>
      </c>
      <c r="W11" s="20">
        <f>변수!W25</f>
        <v/>
      </c>
      <c r="X11" s="20">
        <f>변수!X25</f>
        <v/>
      </c>
      <c r="Y11" s="20">
        <f>변수!Y25</f>
        <v/>
      </c>
      <c r="Z11" s="35">
        <f>SUM(V11:Y11)</f>
        <v/>
      </c>
      <c r="AA11" s="20">
        <f>변수!AA25</f>
        <v/>
      </c>
      <c r="AB11" s="20">
        <f>변수!AB25</f>
        <v/>
      </c>
      <c r="AC11" s="20">
        <f>변수!AC25</f>
        <v/>
      </c>
      <c r="AD11" s="20">
        <f>변수!AD25</f>
        <v/>
      </c>
      <c r="AE11" s="35">
        <f>SUM(AA11:AD11)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9">
        <f>IFERROR(VLOOKUP($D12,BS별도,MATCH(R$1,BS별도H,0),0)/100,"")</f>
        <v/>
      </c>
      <c r="S12" s="20">
        <f>변수!S26</f>
        <v/>
      </c>
      <c r="T12" s="20">
        <f>변수!T26</f>
        <v/>
      </c>
      <c r="U12" s="35">
        <f>SUM(Q12:T12)</f>
        <v/>
      </c>
      <c r="V12" s="20">
        <f>변수!V26</f>
        <v/>
      </c>
      <c r="W12" s="20">
        <f>변수!W26</f>
        <v/>
      </c>
      <c r="X12" s="20">
        <f>변수!X26</f>
        <v/>
      </c>
      <c r="Y12" s="20">
        <f>변수!Y26</f>
        <v/>
      </c>
      <c r="Z12" s="35">
        <f>SUM(V12:Y12)</f>
        <v/>
      </c>
      <c r="AA12" s="20">
        <f>변수!AA26</f>
        <v/>
      </c>
      <c r="AB12" s="20">
        <f>변수!AB26</f>
        <v/>
      </c>
      <c r="AC12" s="20">
        <f>변수!AC26</f>
        <v/>
      </c>
      <c r="AD12" s="20">
        <f>변수!AD26</f>
        <v/>
      </c>
      <c r="AE12" s="35">
        <f>SUM(AA12:AD12)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9">
        <f>IFERROR(VLOOKUP($D13,BS별도,MATCH(R$1,BS별도H,0),0)/100,"")</f>
        <v/>
      </c>
      <c r="S13" s="20">
        <f>IFERROR(S9+S11+S12,"")</f>
        <v/>
      </c>
      <c r="T13" s="20">
        <f>IFERROR(T9+T11+T12,"")</f>
        <v/>
      </c>
      <c r="U13" s="35">
        <f>SUM(Q13:T13)</f>
        <v/>
      </c>
      <c r="V13" s="20">
        <f>IFERROR(V9+V11+V12,"")</f>
        <v/>
      </c>
      <c r="W13" s="20">
        <f>IFERROR(W9+W11+W12,"")</f>
        <v/>
      </c>
      <c r="X13" s="20">
        <f>IFERROR(X9+X11+X12,"")</f>
        <v/>
      </c>
      <c r="Y13" s="20">
        <f>IFERROR(Y9+Y11+Y12,"")</f>
        <v/>
      </c>
      <c r="Z13" s="35">
        <f>SUM(V13:Y13)</f>
        <v/>
      </c>
      <c r="AA13" s="20">
        <f>IFERROR(AA9+AA11+AA12,"")</f>
        <v/>
      </c>
      <c r="AB13" s="20">
        <f>IFERROR(AB9+AB11+AB12,"")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9">
        <f>IFERROR(VLOOKUP($D14,BS별도,MATCH(R$1,BS별도H,0),0)/100,"")</f>
        <v/>
      </c>
      <c r="S14" s="20">
        <f>IFERROR(S13*변수!S27,"")</f>
        <v/>
      </c>
      <c r="T14" s="20">
        <f>IFERROR(T13*변수!T27,"")</f>
        <v/>
      </c>
      <c r="U14" s="35">
        <f>SUM(Q14:T14)</f>
        <v/>
      </c>
      <c r="V14" s="20">
        <f>IFERROR(V13*변수!V27,"")</f>
        <v/>
      </c>
      <c r="W14" s="20">
        <f>IFERROR(W13*변수!W27,"")</f>
        <v/>
      </c>
      <c r="X14" s="20">
        <f>IFERROR(X13*변수!X27,"")</f>
        <v/>
      </c>
      <c r="Y14" s="20">
        <f>IFERROR(Y13*변수!Y27,"")</f>
        <v/>
      </c>
      <c r="Z14" s="35">
        <f>SUM(V14:Y14)</f>
        <v/>
      </c>
      <c r="AA14" s="20">
        <f>IFERROR(AA13*변수!AA27,"")</f>
        <v/>
      </c>
      <c r="AB14" s="20">
        <f>IFERROR(AB13*변수!AB27,"")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9">
        <f>IFERROR(VLOOKUP($D15,BS별도,MATCH(R$1,BS별도H,0),0)/100,"")</f>
        <v/>
      </c>
      <c r="S15" s="20">
        <f>IFERROR(S13-S14,"")</f>
        <v/>
      </c>
      <c r="T15" s="20">
        <f>IFERROR(T13-T14,"")</f>
        <v/>
      </c>
      <c r="U15" s="35">
        <f>SUM(Q15:T15)</f>
        <v/>
      </c>
      <c r="V15" s="20">
        <f>IFERROR(V13-V14,"")</f>
        <v/>
      </c>
      <c r="W15" s="20">
        <f>IFERROR(W13-W14,"")</f>
        <v/>
      </c>
      <c r="X15" s="20">
        <f>IFERROR(X13-X14,"")</f>
        <v/>
      </c>
      <c r="Y15" s="20">
        <f>IFERROR(Y13-Y14,"")</f>
        <v/>
      </c>
      <c r="Z15" s="35">
        <f>SUM(V15:Y15)</f>
        <v/>
      </c>
      <c r="AA15" s="20">
        <f>IFERROR(AA13-AA14,"")</f>
        <v/>
      </c>
      <c r="AB15" s="20">
        <f>IFERROR(AB13-AB14,"")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IFERROR(S15*변수!S28,"")</f>
        <v/>
      </c>
      <c r="T16" s="20">
        <f>IFERROR(T15*변수!T28,"")</f>
        <v/>
      </c>
      <c r="U16" s="35">
        <f>SUM(Q16:T16)</f>
        <v/>
      </c>
      <c r="V16" s="20">
        <f>IFERROR(V15*변수!V28,"")</f>
        <v/>
      </c>
      <c r="W16" s="20">
        <f>IFERROR(W15*변수!W28,"")</f>
        <v/>
      </c>
      <c r="X16" s="20">
        <f>IFERROR(X15*변수!X28,"")</f>
        <v/>
      </c>
      <c r="Y16" s="20">
        <f>IFERROR(Y15*변수!Y28,"")</f>
        <v/>
      </c>
      <c r="Z16" s="35">
        <f>SUM(V16:Y16)</f>
        <v/>
      </c>
      <c r="AA16" s="20">
        <f>IFERROR(AA15*변수!AA28,"")</f>
        <v/>
      </c>
      <c r="AB16" s="20">
        <f>IFERROR(AB15*변수!AB28,"")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IFERROR(N17*(1+변수!S29),"")</f>
        <v/>
      </c>
      <c r="T17" s="20">
        <f>IFERROR(O17*(1+변수!T29),"")</f>
        <v/>
      </c>
      <c r="U17" s="35">
        <f>SUM(Q17:T17)</f>
        <v/>
      </c>
      <c r="V17" s="20">
        <f>IFERROR(Q17*(1+변수!V29),"")</f>
        <v/>
      </c>
      <c r="W17" s="20">
        <f>IFERROR(R17*(1+변수!W29),"")</f>
        <v/>
      </c>
      <c r="X17" s="20">
        <f>IFERROR(S17*(1+변수!X29),"")</f>
        <v/>
      </c>
      <c r="Y17" s="20">
        <f>IFERROR(T17*(1+변수!Y29),"")</f>
        <v/>
      </c>
      <c r="Z17" s="35">
        <f>SUM(V17:Y17)</f>
        <v/>
      </c>
      <c r="AA17" s="20">
        <f>IFERROR(V17*(1+변수!AA29),"")</f>
        <v/>
      </c>
      <c r="AB17" s="20">
        <f>IFERROR(W17*(1+변수!AB29),"")</f>
        <v/>
      </c>
      <c r="AC17" s="20">
        <f>IFERROR(X17*(1+변수!AC29),"")</f>
        <v/>
      </c>
      <c r="AD17" s="20">
        <f>IFERROR(Y17*(1+변수!AD29),"")</f>
        <v/>
      </c>
      <c r="AE17" s="35">
        <f>SUM(AA17:AD17)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10.37</v>
      </c>
      <c r="F18" s="34" t="n"/>
      <c r="G18" s="18" t="n">
        <v>19.41</v>
      </c>
      <c r="H18" s="18" t="n">
        <v>23.16</v>
      </c>
      <c r="I18" s="18" t="n">
        <v>13.74</v>
      </c>
      <c r="J18" s="18" t="n">
        <v>15.93</v>
      </c>
      <c r="K18" s="34">
        <f>SUM(G18:J18)</f>
        <v/>
      </c>
      <c r="L18" s="18" t="n">
        <v>22.48</v>
      </c>
      <c r="M18" s="18" t="n">
        <v>32.14</v>
      </c>
      <c r="N18" s="18" t="n">
        <v>31.4</v>
      </c>
      <c r="O18" s="18" t="n">
        <v>33.61</v>
      </c>
      <c r="P18" s="34">
        <f>SUM(L18:O18)</f>
        <v/>
      </c>
      <c r="Q18" s="18" t="n">
        <v>67.45999999999999</v>
      </c>
      <c r="R18" s="19" t="n">
        <v>63.01</v>
      </c>
      <c r="S18" s="20">
        <f>IFERROR(N18*(1+변수!S30),"")</f>
        <v/>
      </c>
      <c r="T18" s="20">
        <f>IFERROR(O18*(1+변수!T30),"")</f>
        <v/>
      </c>
      <c r="U18" s="35">
        <f>SUM(Q18:T18)</f>
        <v/>
      </c>
      <c r="V18" s="20">
        <f>IFERROR(Q18*(1+변수!V30),"")</f>
        <v/>
      </c>
      <c r="W18" s="20">
        <f>IFERROR(R18*(1+변수!W30),"")</f>
        <v/>
      </c>
      <c r="X18" s="20">
        <f>IFERROR(S18*(1+변수!X30),"")</f>
        <v/>
      </c>
      <c r="Y18" s="20">
        <f>IFERROR(T18*(1+변수!Y30),"")</f>
        <v/>
      </c>
      <c r="Z18" s="35">
        <f>SUM(V18:Y18)</f>
        <v/>
      </c>
      <c r="AA18" s="20">
        <f>IFERROR(V18*(1+변수!AA30),"")</f>
        <v/>
      </c>
      <c r="AB18" s="20">
        <f>IFERROR(W18*(1+변수!AB30),"")</f>
        <v/>
      </c>
      <c r="AC18" s="20">
        <f>IFERROR(X18*(1+변수!AC30),"")</f>
        <v/>
      </c>
      <c r="AD18" s="20">
        <f>IFERROR(Y18*(1+변수!AD30),"")</f>
        <v/>
      </c>
      <c r="AE18" s="35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4" t="n">
        <v>721.4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IFERROR(S20+S21,"")</f>
        <v/>
      </c>
      <c r="T19" s="20">
        <f>IFERROR(T20+T21,"")</f>
        <v/>
      </c>
      <c r="U19" s="35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5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4" t="n">
        <v>172.23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IFERROR(R20*(1+변수!S31),"")</f>
        <v/>
      </c>
      <c r="T20" s="20">
        <f>IFERROR(S20*(1+변수!T31),"")</f>
        <v/>
      </c>
      <c r="U20" s="35">
        <f>T20</f>
        <v/>
      </c>
      <c r="V20" s="20">
        <f>IFERROR(T20*(1+변수!V31),"")</f>
        <v/>
      </c>
      <c r="W20" s="20">
        <f>IFERROR(V20*(1+변수!W31),"")</f>
        <v/>
      </c>
      <c r="X20" s="20">
        <f>IFERROR(W20*(1+변수!X31),"")</f>
        <v/>
      </c>
      <c r="Y20" s="20">
        <f>IFERROR(X20*(1+변수!Y31),"")</f>
        <v/>
      </c>
      <c r="Z20" s="35">
        <f>Y20</f>
        <v/>
      </c>
      <c r="AA20" s="20">
        <f>IFERROR(Y20*(1+변수!AA31),"")</f>
        <v/>
      </c>
      <c r="AB20" s="20">
        <f>IFERROR(AA20*(1+변수!AB31),"")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4" t="n">
        <v>549.17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IFERROR(R21+S15-변수!S32,"")</f>
        <v/>
      </c>
      <c r="T21" s="20">
        <f>IFERROR(S21+T15-변수!T32,"")</f>
        <v/>
      </c>
      <c r="U21" s="35">
        <f>T21</f>
        <v/>
      </c>
      <c r="V21" s="20">
        <f>IFERROR(T21+V15-변수!V32,"")</f>
        <v/>
      </c>
      <c r="W21" s="20">
        <f>IFERROR(V21+W15-변수!W32,"")</f>
        <v/>
      </c>
      <c r="X21" s="20">
        <f>IFERROR(W21+X15-변수!X32,"")</f>
        <v/>
      </c>
      <c r="Y21" s="20">
        <f>IFERROR(X21+Y15-변수!Y32,"")</f>
        <v/>
      </c>
      <c r="Z21" s="35">
        <f>Y21</f>
        <v/>
      </c>
      <c r="AA21" s="20">
        <f>IFERROR(Y21+AA15-변수!AA32,"")</f>
        <v/>
      </c>
      <c r="AB21" s="20">
        <f>IFERROR(AA21+AB15-변수!AB32,"")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4" t="n">
        <v>549.17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9">
        <f>IFERROR(VLOOKUP($D22,BS별도,MATCH(R$1,BS별도H,0),0)/100,"")</f>
        <v/>
      </c>
      <c r="S22" s="20">
        <f>IFERROR(R22+S16-변수!S33,"")</f>
        <v/>
      </c>
      <c r="T22" s="20">
        <f>IFERROR(S22+T16-변수!T33,"")</f>
        <v/>
      </c>
      <c r="U22" s="35">
        <f>T22</f>
        <v/>
      </c>
      <c r="V22" s="20">
        <f>IFERROR(T22+V16-변수!V33,"")</f>
        <v/>
      </c>
      <c r="W22" s="20">
        <f>IFERROR(V22+W16-변수!W33,"")</f>
        <v/>
      </c>
      <c r="X22" s="20">
        <f>IFERROR(W22+X16-변수!X33,"")</f>
        <v/>
      </c>
      <c r="Y22" s="20">
        <f>IFERROR(X22+Y16-변수!Y33,"")</f>
        <v/>
      </c>
      <c r="Z22" s="35">
        <f>Y22</f>
        <v/>
      </c>
      <c r="AA22" s="20">
        <f>IFERROR(Y22+AA16-변수!AA33,"")</f>
        <v/>
      </c>
      <c r="AB22" s="20">
        <f>IFERROR(AA22+AB16-변수!AB33,"")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4" t="n">
        <v>91.95999999999999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IFERROR(R23*(1+변수!S34),"")</f>
        <v/>
      </c>
      <c r="T23" s="20">
        <f>IFERROR(S23*(1+변수!T34),"")</f>
        <v/>
      </c>
      <c r="U23" s="35">
        <f>T23</f>
        <v/>
      </c>
      <c r="V23" s="20">
        <f>IFERROR(T23*(1+변수!V34),"")</f>
        <v/>
      </c>
      <c r="W23" s="20">
        <f>IFERROR(V23*(1+변수!W34),"")</f>
        <v/>
      </c>
      <c r="X23" s="20">
        <f>IFERROR(W23*(1+변수!X34),"")</f>
        <v/>
      </c>
      <c r="Y23" s="20">
        <f>IFERROR(X23*(1+변수!Y34),"")</f>
        <v/>
      </c>
      <c r="Z23" s="35">
        <f>Y23</f>
        <v/>
      </c>
      <c r="AA23" s="20">
        <f>IFERROR(Y23*(1+변수!AA34),"")</f>
        <v/>
      </c>
      <c r="AB23" s="20">
        <f>IFERROR(AA23*(1+변수!AB34),"")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4" t="n">
        <v>19.47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IFERROR(R24*(1+변수!S35),"")</f>
        <v/>
      </c>
      <c r="T24" s="20">
        <f>IFERROR(S24*(1+변수!T35),"")</f>
        <v/>
      </c>
      <c r="U24" s="35">
        <f>T24</f>
        <v/>
      </c>
      <c r="V24" s="20">
        <f>IFERROR(T24*(1+변수!V35),"")</f>
        <v/>
      </c>
      <c r="W24" s="20">
        <f>IFERROR(V24*(1+변수!W35),"")</f>
        <v/>
      </c>
      <c r="X24" s="20">
        <f>IFERROR(W24*(1+변수!X35),"")</f>
        <v/>
      </c>
      <c r="Y24" s="20">
        <f>IFERROR(X24*(1+변수!Y35),"")</f>
        <v/>
      </c>
      <c r="Z24" s="35">
        <f>Y24</f>
        <v/>
      </c>
      <c r="AA24" s="20">
        <f>IFERROR(Y24*(1+변수!AA35),"")</f>
        <v/>
      </c>
      <c r="AB24" s="20">
        <f>IFERROR(AA24*(1+변수!AB35),"")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4" t="n">
        <v>73.26000000000001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IFERROR(R25*(1+변수!S36),"")</f>
        <v/>
      </c>
      <c r="T25" s="20">
        <f>IFERROR(S25*(1+변수!T36),"")</f>
        <v/>
      </c>
      <c r="U25" s="35">
        <f>T25</f>
        <v/>
      </c>
      <c r="V25" s="20">
        <f>IFERROR(T25*(1+변수!V36),"")</f>
        <v/>
      </c>
      <c r="W25" s="20">
        <f>IFERROR(V25*(1+변수!W36),"")</f>
        <v/>
      </c>
      <c r="X25" s="20">
        <f>IFERROR(W25*(1+변수!X36),"")</f>
        <v/>
      </c>
      <c r="Y25" s="20">
        <f>IFERROR(X25*(1+변수!Y36),"")</f>
        <v/>
      </c>
      <c r="Z25" s="35">
        <f>Y25</f>
        <v/>
      </c>
      <c r="AA25" s="20">
        <f>IFERROR(Y25*(1+변수!AA36),"")</f>
        <v/>
      </c>
      <c r="AB25" s="20">
        <f>IFERROR(AA25*(1+변수!AB36),"")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4" t="n">
        <v>72.48999999999999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 t="n"/>
      <c r="T26" s="20" t="n"/>
      <c r="U26" s="35">
        <f>T26</f>
        <v/>
      </c>
      <c r="V26" s="20" t="n"/>
      <c r="W26" s="20" t="n"/>
      <c r="X26" s="20" t="n"/>
      <c r="Y26" s="20" t="n"/>
      <c r="Z26" s="35">
        <f>Y26</f>
        <v/>
      </c>
      <c r="AA26" s="20" t="n"/>
      <c r="AB26" s="20" t="n"/>
      <c r="AC26" s="20" t="n"/>
      <c r="AD26" s="20" t="n"/>
      <c r="AE26" s="35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4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SUM(L27:O27)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 t="n"/>
      <c r="T27" s="20" t="n"/>
      <c r="U27" s="35">
        <f>SUM(Q27:T27)</f>
        <v/>
      </c>
      <c r="V27" s="20" t="n"/>
      <c r="W27" s="20" t="n"/>
      <c r="X27" s="20" t="n"/>
      <c r="Y27" s="20" t="n"/>
      <c r="Z27" s="35">
        <f>SUM(V27:Y27)</f>
        <v/>
      </c>
      <c r="AA27" s="20" t="n"/>
      <c r="AB27" s="20" t="n"/>
      <c r="AC27" s="20" t="n"/>
      <c r="AD27" s="20" t="n"/>
      <c r="AE27" s="35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53.72</v>
      </c>
      <c r="F28" s="34" t="n"/>
      <c r="G28" s="18" t="n">
        <v>8.81</v>
      </c>
      <c r="H28" s="18" t="n">
        <v>5.09</v>
      </c>
      <c r="I28" s="18" t="n">
        <v>-9.69</v>
      </c>
      <c r="J28" s="18" t="n">
        <v>17.82</v>
      </c>
      <c r="K28" s="34">
        <f>SUM(G28:J28)</f>
        <v/>
      </c>
      <c r="L28" s="18" t="n">
        <v>11.1</v>
      </c>
      <c r="M28" s="18" t="n">
        <v>2.81</v>
      </c>
      <c r="N28" s="18" t="n">
        <v>1.3</v>
      </c>
      <c r="O28" s="18" t="n">
        <v>-0.92</v>
      </c>
      <c r="P28" s="34">
        <f>SUM(L28:O28)</f>
        <v/>
      </c>
      <c r="Q28" s="18" t="n">
        <v>10.26</v>
      </c>
      <c r="R28" s="19" t="n">
        <v>43.96</v>
      </c>
      <c r="S28" s="20" t="n"/>
      <c r="T28" s="20" t="n"/>
      <c r="U28" s="35">
        <f>SUM(Q28:T28)</f>
        <v/>
      </c>
      <c r="V28" s="20" t="n"/>
      <c r="W28" s="20" t="n"/>
      <c r="X28" s="20" t="n"/>
      <c r="Y28" s="20" t="n"/>
      <c r="Z28" s="35">
        <f>SUM(V28:Y28)</f>
        <v/>
      </c>
      <c r="AA28" s="20" t="n"/>
      <c r="AB28" s="20" t="n"/>
      <c r="AC28" s="20" t="n"/>
      <c r="AD28" s="20" t="n"/>
      <c r="AE28" s="35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17.003</v>
      </c>
      <c r="F29" s="27">
        <f>E29</f>
        <v/>
      </c>
      <c r="G29" s="26" t="n">
        <v>17.003</v>
      </c>
      <c r="H29" s="26" t="n">
        <v>17.003</v>
      </c>
      <c r="I29" s="26" t="n">
        <v>17.003</v>
      </c>
      <c r="J29" s="26" t="n">
        <v>17.137</v>
      </c>
      <c r="K29" s="27">
        <f>J29</f>
        <v/>
      </c>
      <c r="L29" s="26" t="n">
        <v>17.252</v>
      </c>
      <c r="M29" s="26" t="n">
        <v>17.266</v>
      </c>
      <c r="N29" s="26" t="n">
        <v>17.274</v>
      </c>
      <c r="O29" s="26" t="n">
        <v>17.274</v>
      </c>
      <c r="P29" s="27">
        <f>O29</f>
        <v/>
      </c>
      <c r="Q29" s="26" t="n">
        <v>19.246</v>
      </c>
      <c r="R29" s="28" t="n">
        <v>19.248</v>
      </c>
      <c r="S29" s="36">
        <f>IFERROR(R29*(1+변수!S40),"")</f>
        <v/>
      </c>
      <c r="T29" s="36">
        <f>IFERROR(S29*(1+변수!T40),"")</f>
        <v/>
      </c>
      <c r="U29" s="30">
        <f>T29</f>
        <v/>
      </c>
      <c r="V29" s="36">
        <f>IFERROR(T29*(1+변수!V40),"")</f>
        <v/>
      </c>
      <c r="W29" s="36">
        <f>IFERROR(V29*(1+변수!W40),"")</f>
        <v/>
      </c>
      <c r="X29" s="36">
        <f>IFERROR(W29*(1+변수!X40),"")</f>
        <v/>
      </c>
      <c r="Y29" s="36">
        <f>IFERROR(X29*(1+변수!Y40),"")</f>
        <v/>
      </c>
      <c r="Z29" s="30">
        <f>Y29</f>
        <v/>
      </c>
      <c r="AA29" s="36">
        <f>IFERROR(Y29*(1+변수!AA40),"")</f>
        <v/>
      </c>
      <c r="AB29" s="36">
        <f>IFERROR(AA29*(1+변수!AB40),"")</f>
        <v/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9">
        <f>IFERROR(R16*100/R29,"")</f>
        <v/>
      </c>
      <c r="S30" s="20">
        <f>IFERROR(S16*100/S29,"")</f>
        <v/>
      </c>
      <c r="T30" s="20">
        <f>IFERROR(T16*100/T29,"")</f>
        <v/>
      </c>
      <c r="U30" s="35">
        <f>SUM(Q30:T30)</f>
        <v/>
      </c>
      <c r="V30" s="20">
        <f>IFERROR(V16*100/V29,"")</f>
        <v/>
      </c>
      <c r="W30" s="20">
        <f>IFERROR(W16*100/W29,"")</f>
        <v/>
      </c>
      <c r="X30" s="20">
        <f>IFERROR(X16*100/X29,"")</f>
        <v/>
      </c>
      <c r="Y30" s="20">
        <f>IFERROR(Y16*100/Y29,"")</f>
        <v/>
      </c>
      <c r="Z30" s="35">
        <f>SUM(V30:Y30)</f>
        <v/>
      </c>
      <c r="AA30" s="20">
        <f>IFERROR(AA16*100/AA29,"")</f>
        <v/>
      </c>
      <c r="AB30" s="20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5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5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9" t="n"/>
      <c r="S32" s="20" t="n"/>
      <c r="T32" s="20" t="n">
        <v>0</v>
      </c>
      <c r="U32" s="35">
        <f>SUM(Q32:T32)</f>
        <v/>
      </c>
      <c r="V32" s="20" t="n"/>
      <c r="W32" s="20" t="n"/>
      <c r="X32" s="20" t="n"/>
      <c r="Y32" s="20" t="n">
        <v>0</v>
      </c>
      <c r="Z32" s="35">
        <f>SUM(V32:Y32)</f>
        <v/>
      </c>
      <c r="AA32" s="20" t="n"/>
      <c r="AB32" s="20" t="n"/>
      <c r="AC32" s="20" t="n"/>
      <c r="AD32" s="20" t="n">
        <v>0</v>
      </c>
      <c r="AE32" s="35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62.41</v>
      </c>
      <c r="J33" s="18" t="n">
        <v>34.82</v>
      </c>
      <c r="K33" s="34">
        <f>SUM(G33:J33)</f>
        <v/>
      </c>
      <c r="L33" s="18" t="n">
        <v>28.96</v>
      </c>
      <c r="M33" s="18" t="n">
        <v>15.55</v>
      </c>
      <c r="N33" s="18" t="n">
        <v>13.75</v>
      </c>
      <c r="O33" s="18" t="n">
        <v>18.71</v>
      </c>
      <c r="P33" s="34">
        <f>SUM(L33:O33)</f>
        <v/>
      </c>
      <c r="Q33" s="18" t="n">
        <v>76.34</v>
      </c>
      <c r="R33" s="19" t="n">
        <v>7388.59</v>
      </c>
      <c r="S33" s="20" t="n"/>
      <c r="T33" s="20">
        <f>IFERROR(O33*(1+변수!T42),"")</f>
        <v/>
      </c>
      <c r="U33" s="35">
        <f>SUM(Q33:T33)</f>
        <v/>
      </c>
      <c r="V33" s="20">
        <f>IFERROR(Q33*(1+변수!V42),"")</f>
        <v/>
      </c>
      <c r="W33" s="20">
        <f>IFERROR(R33*(1+변수!W42),"")</f>
        <v/>
      </c>
      <c r="X33" s="20" t="n">
        <v>16.61</v>
      </c>
      <c r="Y33" s="20">
        <f>IFERROR(T33*(1+변수!Y42),"")</f>
        <v/>
      </c>
      <c r="Z33" s="35">
        <f>SUM(V33:Y33)</f>
        <v/>
      </c>
      <c r="AA33" s="20">
        <f>IFERROR(V33*(1+변수!AA42),"")</f>
        <v/>
      </c>
      <c r="AB33" s="20">
        <f>IFERROR(W33*(1+변수!AB42),"")</f>
        <v/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3.37</v>
      </c>
      <c r="F34" s="34" t="n">
        <v>2.87</v>
      </c>
      <c r="G34" s="18" t="n">
        <v>2.3</v>
      </c>
      <c r="H34" s="18" t="n">
        <v>2.65</v>
      </c>
      <c r="I34" s="18" t="n">
        <v>3.44</v>
      </c>
      <c r="J34" s="18" t="n">
        <v>2.47</v>
      </c>
      <c r="K34" s="34">
        <f>SUM(G34:J34)</f>
        <v/>
      </c>
      <c r="L34" s="18" t="n">
        <v>2.1</v>
      </c>
      <c r="M34" s="18" t="n">
        <v>1.85</v>
      </c>
      <c r="N34" s="18" t="n">
        <v>2.06</v>
      </c>
      <c r="O34" s="18" t="n">
        <v>2.45</v>
      </c>
      <c r="P34" s="34">
        <f>SUM(L34:O34)</f>
        <v/>
      </c>
      <c r="Q34" s="18" t="n">
        <v>2.36</v>
      </c>
      <c r="R34" s="19" t="n">
        <v>4.09</v>
      </c>
      <c r="S34" s="20">
        <f>IFERROR(N34*(1+변수!S43),"")</f>
        <v/>
      </c>
      <c r="T34" s="20">
        <f>IFERROR(O34*(1+변수!T43),"")</f>
        <v/>
      </c>
      <c r="U34" s="35">
        <f>SUM(Q34:T34)</f>
        <v/>
      </c>
      <c r="V34" s="20">
        <f>IFERROR(Q34*(1+변수!V43),"")</f>
        <v/>
      </c>
      <c r="W34" s="20">
        <f>IFERROR(R34*(1+변수!W43),"")</f>
        <v/>
      </c>
      <c r="X34" s="20">
        <f>IFERROR(S34*(1+변수!X43),"")</f>
        <v/>
      </c>
      <c r="Y34" s="20">
        <f>IFERROR(T34*(1+변수!Y43),"")</f>
        <v/>
      </c>
      <c r="Z34" s="35">
        <f>SUM(V34:Y34)</f>
        <v/>
      </c>
      <c r="AA34" s="20">
        <f>IFERROR(V34*(1+변수!AA43),"")</f>
        <v/>
      </c>
      <c r="AB34" s="20">
        <f>IFERROR(W34*(1+변수!AB43),"")</f>
        <v/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112.71</v>
      </c>
      <c r="F35" s="34" t="n"/>
      <c r="G35" s="18" t="n">
        <v>118.74</v>
      </c>
      <c r="H35" s="18" t="n">
        <v>131.3</v>
      </c>
      <c r="I35" s="18" t="n">
        <v>112</v>
      </c>
      <c r="J35" s="18" t="n">
        <v>123.37</v>
      </c>
      <c r="K35" s="34">
        <f>SUM(G35:J35)</f>
        <v/>
      </c>
      <c r="L35" s="18" t="n">
        <v>131.11</v>
      </c>
      <c r="M35" s="18" t="n">
        <v>154.99</v>
      </c>
      <c r="N35" s="18" t="n">
        <v>161.96</v>
      </c>
      <c r="O35" s="18" t="n">
        <v>184.1</v>
      </c>
      <c r="P35" s="34">
        <f>SUM(L35:O35)</f>
        <v/>
      </c>
      <c r="Q35" s="18" t="n">
        <v>223.81</v>
      </c>
      <c r="R35" s="19" t="n">
        <v>236.45</v>
      </c>
      <c r="S35" s="20">
        <f>IFERROR(S5*변수!S44,"")</f>
        <v/>
      </c>
      <c r="T35" s="20">
        <f>IFERROR(T5*변수!T44,"")</f>
        <v/>
      </c>
      <c r="U35" s="35">
        <f>SUM(Q35:T35)</f>
        <v/>
      </c>
      <c r="V35" s="20">
        <f>IFERROR(V5*변수!V44,"")</f>
        <v/>
      </c>
      <c r="W35" s="20">
        <f>IFERROR(W5*변수!W44,"")</f>
        <v/>
      </c>
      <c r="X35" s="20">
        <f>IFERROR(X5*변수!X44,"")</f>
        <v/>
      </c>
      <c r="Y35" s="20">
        <f>IFERROR(Y5*변수!Y44,"")</f>
        <v/>
      </c>
      <c r="Z35" s="35">
        <f>SUM(V35:Y35)</f>
        <v/>
      </c>
      <c r="AA35" s="20">
        <f>IFERROR(AA5*변수!AA44,"")</f>
        <v/>
      </c>
      <c r="AB35" s="20">
        <f>IFERROR(AB5*변수!AB44,"")</f>
        <v/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4.51</v>
      </c>
      <c r="F36" s="34" t="n"/>
      <c r="G36" s="18" t="n">
        <v>13.75</v>
      </c>
      <c r="H36" s="18" t="n">
        <v>17.48</v>
      </c>
      <c r="I36" s="18" t="n">
        <v>7.89</v>
      </c>
      <c r="J36" s="18" t="n">
        <v>10.12</v>
      </c>
      <c r="K36" s="34">
        <f>SUM(G36:J36)</f>
        <v/>
      </c>
      <c r="L36" s="18" t="n">
        <v>16.82</v>
      </c>
      <c r="M36" s="18" t="n">
        <v>26.53</v>
      </c>
      <c r="N36" s="18" t="n">
        <v>25.93</v>
      </c>
      <c r="O36" s="18" t="n">
        <v>28.23</v>
      </c>
      <c r="P36" s="34">
        <f>SUM(L36:O36)</f>
        <v/>
      </c>
      <c r="Q36" s="18" t="n">
        <v>62.05</v>
      </c>
      <c r="R36" s="19" t="n">
        <v>56.03</v>
      </c>
      <c r="S36" s="20">
        <f>IFERROR(S35*변수!S45,"")</f>
        <v/>
      </c>
      <c r="T36" s="20">
        <f>IFERROR(T35*변수!T45,"")</f>
        <v/>
      </c>
      <c r="U36" s="35">
        <f>SUM(Q36:T36)</f>
        <v/>
      </c>
      <c r="V36" s="20">
        <f>IFERROR(V35*변수!V45,"")</f>
        <v/>
      </c>
      <c r="W36" s="20">
        <f>IFERROR(W35*변수!W45,"")</f>
        <v/>
      </c>
      <c r="X36" s="20">
        <f>IFERROR(X35*변수!X45,"")</f>
        <v/>
      </c>
      <c r="Y36" s="20">
        <f>IFERROR(Y35*변수!Y45,"")</f>
        <v/>
      </c>
      <c r="Z36" s="35">
        <f>SUM(V36:Y36)</f>
        <v/>
      </c>
      <c r="AA36" s="20">
        <f>IFERROR(AA35*변수!AA45,"")</f>
        <v/>
      </c>
      <c r="AB36" s="20">
        <f>IFERROR(AB35*변수!AB45,"")</f>
        <v/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3">
        <f>IFERROR(R9/R5,"")</f>
        <v/>
      </c>
      <c r="S38" s="31">
        <f>IFERROR(S9/S5,"")</f>
        <v/>
      </c>
      <c r="T38" s="31">
        <f>IFERROR(T9/T5,"")</f>
        <v/>
      </c>
      <c r="U38" s="25">
        <f>IFERROR(U9/U5,"")</f>
        <v/>
      </c>
      <c r="V38" s="31">
        <f>IFERROR(V9/V5,"")</f>
        <v/>
      </c>
      <c r="W38" s="31">
        <f>IFERROR(W9/W5,"")</f>
        <v/>
      </c>
      <c r="X38" s="31">
        <f>IFERROR(X9/X5,"")</f>
        <v/>
      </c>
      <c r="Y38" s="31">
        <f>IFERROR(Y9/Y5,"")</f>
        <v/>
      </c>
      <c r="Z38" s="25">
        <f>IFERROR(Z9/Z5,"")</f>
        <v/>
      </c>
      <c r="AA38" s="31">
        <f>IFERROR(AA9/AA5,"")</f>
        <v/>
      </c>
      <c r="AB38" s="31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3">
        <f>IFERROR(R16/R5,"")</f>
        <v/>
      </c>
      <c r="S39" s="31">
        <f>IFERROR(S16/S5,"")</f>
        <v/>
      </c>
      <c r="T39" s="31">
        <f>IFERROR(T16/T5,"")</f>
        <v/>
      </c>
      <c r="U39" s="25">
        <f>IFERROR(U16/U5,"")</f>
        <v/>
      </c>
      <c r="V39" s="31">
        <f>IFERROR(V16/V5,"")</f>
        <v/>
      </c>
      <c r="W39" s="31">
        <f>IFERROR(W16/W5,"")</f>
        <v/>
      </c>
      <c r="X39" s="31">
        <f>IFERROR(X16/X5,"")</f>
        <v/>
      </c>
      <c r="Y39" s="31">
        <f>IFERROR(Y16/Y5,"")</f>
        <v/>
      </c>
      <c r="Z39" s="25">
        <f>IFERROR(Z16/Z5,"")</f>
        <v/>
      </c>
      <c r="AA39" s="31">
        <f>IFERROR(AA16/AA5,"")</f>
        <v/>
      </c>
      <c r="AB39" s="31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3">
        <f>IFERROR(R6/R5,"")</f>
        <v/>
      </c>
      <c r="S40" s="31">
        <f>IFERROR(S6/S5,"")</f>
        <v/>
      </c>
      <c r="T40" s="31">
        <f>IFERROR(T6/T5,"")</f>
        <v/>
      </c>
      <c r="U40" s="25">
        <f>IFERROR(U6/U5,"")</f>
        <v/>
      </c>
      <c r="V40" s="31">
        <f>IFERROR(V6/V5,"")</f>
        <v/>
      </c>
      <c r="W40" s="31">
        <f>IFERROR(W6/W5,"")</f>
        <v/>
      </c>
      <c r="X40" s="31">
        <f>IFERROR(X6/X5,"")</f>
        <v/>
      </c>
      <c r="Y40" s="31">
        <f>IFERROR(Y6/Y5,"")</f>
        <v/>
      </c>
      <c r="Z40" s="25">
        <f>IFERROR(Z6/Z5,"")</f>
        <v/>
      </c>
      <c r="AA40" s="31">
        <f>IFERROR(AA6/AA5,"")</f>
        <v/>
      </c>
      <c r="AB40" s="31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3">
        <f>IFERROR(R8/R5,"")</f>
        <v/>
      </c>
      <c r="S41" s="31">
        <f>IFERROR(S8/S5,"")</f>
        <v/>
      </c>
      <c r="T41" s="31">
        <f>IFERROR(T8/T5,"")</f>
        <v/>
      </c>
      <c r="U41" s="25">
        <f>IFERROR(U8/U5,"")</f>
        <v/>
      </c>
      <c r="V41" s="31">
        <f>IFERROR(V8/V5,"")</f>
        <v/>
      </c>
      <c r="W41" s="31">
        <f>IFERROR(W8/W5,"")</f>
        <v/>
      </c>
      <c r="X41" s="31">
        <f>IFERROR(X8/X5,"")</f>
        <v/>
      </c>
      <c r="Y41" s="31">
        <f>IFERROR(Y8/Y5,"")</f>
        <v/>
      </c>
      <c r="Z41" s="25">
        <f>IFERROR(Z8/Z5,"")</f>
        <v/>
      </c>
      <c r="AA41" s="31">
        <f>IFERROR(AA8/AA5,"")</f>
        <v/>
      </c>
      <c r="AB41" s="31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7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O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39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0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1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1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1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1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1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2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1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1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1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1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1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1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1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1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1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1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1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1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1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1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1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1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1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1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43">
        <f>IFERROR(VLOOKUP($A29,subQ,MATCH(O$1,SUBQH,0),0),"")</f>
        <v/>
      </c>
      <c r="P29" s="36">
        <f>IFERROR(VLOOKUP($A29,subQ,MATCH(P$1,SUBQH,0),0),"")</f>
        <v/>
      </c>
      <c r="Q29" s="36">
        <f>IFERROR(VLOOKUP($A29,subQ,MATCH(Q$1,SUBQH,0),0),"")</f>
        <v/>
      </c>
      <c r="R29" s="36">
        <f>IFERROR(VLOOKUP($A29,subQ,MATCH(R$1,SUBQH,0),0),"")</f>
        <v/>
      </c>
      <c r="S29" s="36">
        <f>IFERROR(VLOOKUP($A29,subQ,MATCH(S$1,SUBQH,0),0),"")</f>
        <v/>
      </c>
      <c r="T29" s="36">
        <f>IFERROR(VLOOKUP($A29,subQ,MATCH(T$1,SUBQH,0),0),"")</f>
        <v/>
      </c>
      <c r="U29" s="36">
        <f>IFERROR(VLOOKUP($A29,subQ,MATCH(U$1,SUBQH,0),0),"")</f>
        <v/>
      </c>
      <c r="V29" s="36">
        <f>IFERROR(VLOOKUP($A29,subQ,MATCH(V$1,SUBQH,0),0),"")</f>
        <v/>
      </c>
      <c r="W29" s="36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1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1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1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41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1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1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1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2">
        <f>IFERROR(VLOOKUP($A37,subQ,MATCH(O$1,SUBQH,0),0),"")</f>
        <v/>
      </c>
      <c r="P37" s="31">
        <f>IFERROR(VLOOKUP($A37,subQ,MATCH(P$1,SUBQH,0),0),"")</f>
        <v/>
      </c>
      <c r="Q37" s="31">
        <f>IFERROR(VLOOKUP($A37,subQ,MATCH(Q$1,SUBQH,0),0),"")</f>
        <v/>
      </c>
      <c r="R37" s="31">
        <f>IFERROR(VLOOKUP($A37,subQ,MATCH(R$1,SUBQH,0),0),"")</f>
        <v/>
      </c>
      <c r="S37" s="31">
        <f>IFERROR(VLOOKUP($A37,subQ,MATCH(S$1,SUBQH,0),0),"")</f>
        <v/>
      </c>
      <c r="T37" s="31">
        <f>IFERROR(VLOOKUP($A37,subQ,MATCH(T$1,SUBQH,0),0),"")</f>
        <v/>
      </c>
      <c r="U37" s="31">
        <f>IFERROR(VLOOKUP($A37,subQ,MATCH(U$1,SUBQH,0),0),"")</f>
        <v/>
      </c>
      <c r="V37" s="31">
        <f>IFERROR(VLOOKUP($A37,subQ,MATCH(V$1,SUBQH,0),0),"")</f>
        <v/>
      </c>
      <c r="W37" s="31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42">
        <f>IFERROR(VLOOKUP($A38,subQ,MATCH(O$1,SUBQH,0),0),"")</f>
        <v/>
      </c>
      <c r="P38" s="31">
        <f>IFERROR(VLOOKUP($A38,subQ,MATCH(P$1,SUBQH,0),0),"")</f>
        <v/>
      </c>
      <c r="Q38" s="31">
        <f>IFERROR(VLOOKUP($A38,subQ,MATCH(Q$1,SUBQH,0),0),"")</f>
        <v/>
      </c>
      <c r="R38" s="31">
        <f>IFERROR(VLOOKUP($A38,subQ,MATCH(R$1,SUBQH,0),0),"")</f>
        <v/>
      </c>
      <c r="S38" s="31">
        <f>IFERROR(VLOOKUP($A38,subQ,MATCH(S$1,SUBQH,0),0),"")</f>
        <v/>
      </c>
      <c r="T38" s="31">
        <f>IFERROR(VLOOKUP($A38,subQ,MATCH(T$1,SUBQH,0),0),"")</f>
        <v/>
      </c>
      <c r="U38" s="31">
        <f>IFERROR(VLOOKUP($A38,subQ,MATCH(U$1,SUBQH,0),0),"")</f>
        <v/>
      </c>
      <c r="V38" s="31">
        <f>IFERROR(VLOOKUP($A38,subQ,MATCH(V$1,SUBQH,0),0),"")</f>
        <v/>
      </c>
      <c r="W38" s="31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42">
        <f>IFERROR(O5/K5-1,"")</f>
        <v/>
      </c>
      <c r="P39" s="31">
        <f>IFERROR(P5/L5-1,"")</f>
        <v/>
      </c>
      <c r="Q39" s="31">
        <f>IFERROR(Q5/M5-1,"")</f>
        <v/>
      </c>
      <c r="R39" s="31">
        <f>IFERROR(R5/N5-1,"")</f>
        <v/>
      </c>
      <c r="S39" s="31">
        <f>IFERROR(S5/O5-1,"")</f>
        <v/>
      </c>
      <c r="T39" s="31">
        <f>IFERROR(T5/P5-1,"")</f>
        <v/>
      </c>
      <c r="U39" s="31">
        <f>IFERROR(U5/Q5-1,"")</f>
        <v/>
      </c>
      <c r="V39" s="31">
        <f>IFERROR(V5/R5-1,"")</f>
        <v/>
      </c>
      <c r="W39" s="31">
        <f>IFERROR(W5/S5-1,"")</f>
        <v/>
      </c>
      <c r="X39" s="31">
        <f>IFERROR(X5/T5-1,"")</f>
        <v/>
      </c>
      <c r="Y39" s="31">
        <f>IFERROR(Y5/U5-1,"")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42">
        <f>IFERROR(O9/K9-1,"")</f>
        <v/>
      </c>
      <c r="P40" s="31">
        <f>IFERROR(P9/L9-1,"")</f>
        <v/>
      </c>
      <c r="Q40" s="31">
        <f>IFERROR(Q9/M9-1,"")</f>
        <v/>
      </c>
      <c r="R40" s="31">
        <f>IFERROR(R9/N9-1,"")</f>
        <v/>
      </c>
      <c r="S40" s="31">
        <f>IFERROR(S9/O9-1,"")</f>
        <v/>
      </c>
      <c r="T40" s="31">
        <f>IFERROR(T9/P9-1,"")</f>
        <v/>
      </c>
      <c r="U40" s="31">
        <f>IFERROR(U9/Q9-1,"")</f>
        <v/>
      </c>
      <c r="V40" s="31">
        <f>IFERROR(V9/R9-1,"")</f>
        <v/>
      </c>
      <c r="W40" s="31">
        <f>IFERROR(W9/S9-1,"")</f>
        <v/>
      </c>
      <c r="X40" s="31">
        <f>IFERROR(X9/T9-1,"")</f>
        <v/>
      </c>
      <c r="Y40" s="31">
        <f>IFERROR(Y9/U9-1,"")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42">
        <f>IFERROR(O16/K16-1,"")</f>
        <v/>
      </c>
      <c r="P41" s="31">
        <f>IFERROR(P16/L16-1,"")</f>
        <v/>
      </c>
      <c r="Q41" s="31">
        <f>IFERROR(Q16/M16-1,"")</f>
        <v/>
      </c>
      <c r="R41" s="31">
        <f>IFERROR(R16/N16-1,"")</f>
        <v/>
      </c>
      <c r="S41" s="31">
        <f>IFERROR(S16/O16-1,"")</f>
        <v/>
      </c>
      <c r="T41" s="31">
        <f>IFERROR(T16/P16-1,"")</f>
        <v/>
      </c>
      <c r="U41" s="31">
        <f>IFERROR(U16/Q16-1,"")</f>
        <v/>
      </c>
      <c r="V41" s="31">
        <f>IFERROR(V16/R16-1,"")</f>
        <v/>
      </c>
      <c r="W41" s="31">
        <f>IFERROR(W16/S16-1,"")</f>
        <v/>
      </c>
      <c r="X41" s="31">
        <f>IFERROR(X16/T16-1,"")</f>
        <v/>
      </c>
      <c r="Y41" s="31">
        <f>IFERROR(Y16/U16-1,"")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37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변수!D48</f>
        <v/>
      </c>
      <c r="G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39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0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1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1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1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1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1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2">
        <f>IFERROR(VLOOKUP($A10,subQ,MATCH(G$1,SUBQH,0),0),"")</f>
        <v/>
      </c>
      <c r="H10" s="31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1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1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1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1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1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1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1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1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1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1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1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1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1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1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1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1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1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1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43">
        <f>IFERROR(VLOOKUP($A29,subQ,MATCH(G$1,SUBQH,0),0),"")</f>
        <v/>
      </c>
      <c r="H29" s="36">
        <f>IFERROR(VLOOKUP($A29,subQ,MATCH(H$1,SUBQH,0),0),"")</f>
        <v/>
      </c>
      <c r="I29" s="36">
        <f>IFERROR(VLOOKUP($A29,subQ,MATCH(I$1,SUBQH,0),0),"")</f>
        <v/>
      </c>
      <c r="J29" s="36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1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1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1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41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1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1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1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2">
        <f>IFERROR(VLOOKUP($A37,subQ,MATCH(G$1,SUBQH,0),0),"")</f>
        <v/>
      </c>
      <c r="H37" s="31">
        <f>IFERROR(VLOOKUP($A37,subQ,MATCH(H$1,SUBQH,0),0),"")</f>
        <v/>
      </c>
      <c r="I37" s="31">
        <f>IFERROR(VLOOKUP($A37,subQ,MATCH(I$1,SUBQH,0),0),"")</f>
        <v/>
      </c>
      <c r="J37" s="31">
        <f>IFERROR(VLOOKUP($A37,subQ,MATCH(J$1,SUBQH,0),0),"")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42">
        <f>IFERROR(VLOOKUP($A38,subQ,MATCH(G$1,SUBQH,0),0),"")</f>
        <v/>
      </c>
      <c r="H38" s="31">
        <f>IFERROR(VLOOKUP($A38,subQ,MATCH(H$1,SUBQH,0),0),"")</f>
        <v/>
      </c>
      <c r="I38" s="31">
        <f>IFERROR(VLOOKUP($A38,subQ,MATCH(I$1,SUBQH,0),0),"")</f>
        <v/>
      </c>
      <c r="J38" s="31">
        <f>IFERROR(VLOOKUP($A38,subQ,MATCH(J$1,SUBQH,0),0),"")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42">
        <f>IFERROR(G5/F5-1,"")</f>
        <v/>
      </c>
      <c r="H39" s="31">
        <f>IFERROR(H5/G5-1,"")</f>
        <v/>
      </c>
      <c r="I39" s="31">
        <f>IFERROR(I5/H5-1,"")</f>
        <v/>
      </c>
      <c r="J39" s="31">
        <f>IFERROR(J5/I5-1,"")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42">
        <f>IFERROR(G9/F9-1,"")</f>
        <v/>
      </c>
      <c r="H40" s="31">
        <f>IFERROR(H9/G9-1,"")</f>
        <v/>
      </c>
      <c r="I40" s="31">
        <f>IFERROR(I9/H9-1,"")</f>
        <v/>
      </c>
      <c r="J40" s="31">
        <f>IFERROR(J9/I9-1,"")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42">
        <f>IFERROR(G16/F16-1,"")</f>
        <v/>
      </c>
      <c r="H41" s="31">
        <f>IFERROR(H16/G16-1,"")</f>
        <v/>
      </c>
      <c r="I41" s="31">
        <f>IFERROR(I16/H16-1,"")</f>
        <v/>
      </c>
      <c r="J41" s="31">
        <f>IFERROR(J16/I16-1,"")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718.3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17.54</v>
      </c>
    </row>
    <row r="32">
      <c r="C32" s="2" t="inlineStr">
        <is>
          <t>pbr_now</t>
        </is>
      </c>
      <c r="D32" t="n">
        <v>2.58</v>
      </c>
    </row>
    <row r="33">
      <c r="C33" s="2" t="inlineStr">
        <is>
          <t>roe_fwd</t>
        </is>
      </c>
      <c r="D33" t="n">
        <v>0.1472</v>
      </c>
    </row>
    <row r="34">
      <c r="C34" s="2" t="inlineStr">
        <is>
          <t>fair_pbr</t>
        </is>
      </c>
      <c r="D34" t="n">
        <v>1.64</v>
      </c>
    </row>
    <row r="35">
      <c r="C35" s="2" t="inlineStr">
        <is>
          <t>fair_value_pbr</t>
        </is>
      </c>
      <c r="D35" t="n">
        <v>8000</v>
      </c>
    </row>
    <row r="36">
      <c r="C36" s="2" t="inlineStr">
        <is>
          <t>ev_ebitda</t>
        </is>
      </c>
      <c r="D36" t="n">
        <v>11.53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