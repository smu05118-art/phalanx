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BS연결!$C$5:$AO$106</definedName>
    <definedName name="BS별도H">BS별도!$C$1:$AO$1</definedName>
    <definedName name="BS별도">BS별도!$C$5:$AO$93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이동합(t−0) 181936억 × 비례계수 0.0046 × 계절비중 Q3 0.246(계절비중 — 최근 3개 연도(2026, 2025, 2024) 분기/연간 비중 평균; 격자 lag0~4×창8/12/19×수준·YoY·4Q합 중 최대 r=0.83, n=8, 창 8)</t>
      </text>
    </comment>
    <comment ref="AD21" authorId="0" shapeId="0">
      <text>
        <t>모델값 역산(implied): v / 전년동기 − 1
고객지수 4분기 이동합(t−0) 193158억 × 비례계수 0.0046 × 계절비중 Q4 0.276(계절비중 — 최근 3개 연도(2026, 2025, 2024) 분기/연간 비중 평균; 격자 lag0~4×창8/12/19×수준·YoY·4Q합 중 최대 r=0.83, n=8, 창 8)</t>
      </text>
    </comment>
    <comment ref="AF21" authorId="0" shapeId="0">
      <text>
        <t>모델값 역산(implied): v / 전년동기 − 1
고객지수 4분기 이동합(t−0) 201294억 × 비례계수 0.0046 × 계절비중 Q1 0.240(계절비중 — 최근 3개 연도(2026, 2025, 2024) 분기/연간 비중 평균; 격자 lag0~4×창8/12/19×수준·YoY·4Q합 중 최대 r=0.83, n=8, 창 8)</t>
      </text>
    </comment>
    <comment ref="AG21" authorId="0" shapeId="0">
      <text>
        <t>모델값 역산(implied): v / 전년동기 − 1
고객지수 4분기 이동합(t−0) 208134억 × 비례계수 0.0046 × 계절비중 Q2 0.237(계절비중 — 최근 3개 연도(2026, 2025, 2024) 분기/연간 비중 평균; 격자 lag0~4×창8/12/19×수준·YoY·4Q합 중 최대 r=0.83, n=8, 창 8)</t>
      </text>
    </comment>
    <comment ref="AH21" authorId="0" shapeId="0">
      <text>
        <t>모델값 역산(implied): v / 전년동기 − 1
고객지수 4분기 이동합(t−0) 215801억 × 비례계수 0.0046 × 계절비중 Q3 0.246(계절비중 — 최근 3개 연도(2026, 2025, 2024) 분기/연간 비중 평균; 격자 lag0~4×창8/12/19×수준·YoY·4Q합 중 최대 r=0.83, n=8, 창 8)</t>
      </text>
    </comment>
    <comment ref="AI21" authorId="0" shapeId="0">
      <text>
        <t>모델값 역산(implied): v / 전년동기 − 1
고객지수 4분기 이동합(t−0) 225943억 × 비례계수 0.0046 × 계절비중 Q4 0.276(계절비중 — 최근 3개 연도(2026, 2025, 2024) 분기/연간 비중 평균; 격자 lag0~4×창8/12/19×수준·YoY·4Q합 중 최대 r=0.83, n=8, 창 8)</t>
      </text>
    </comment>
    <comment ref="AK21" authorId="0" shapeId="0">
      <text>
        <t>모델값 역산(implied): v / 전년동기 − 1
고객지수 4분기 이동합(t−0) 237998억 × 비례계수 0.0046 × 계절비중 Q1 0.240(계절비중 — 최근 3개 연도(2026, 2025, 2024) 분기/연간 비중 평균; 격자 lag0~4×창8/12/19×수준·YoY·4Q합 중 최대 r=0.83, n=8, 창 8)</t>
      </text>
    </comment>
    <comment ref="AL21" authorId="0" shapeId="0">
      <text>
        <t>모델값 역산(implied): v / 전년동기 − 1
고객지수 4분기 이동합(t−0) 251465억 × 비례계수 0.0046 × 계절비중 Q2 0.237(계절비중 — 최근 3개 연도(2026, 2025, 2024) 분기/연간 비중 평균; 격자 lag0~4×창8/12/19×수준·YoY·4Q합 중 최대 r=0.83, n=8, 창 8)</t>
      </text>
    </comment>
    <comment ref="AM21" authorId="0" shapeId="0">
      <text>
        <t>모델값 역산(implied): v / 전년동기 − 1
고객지수 4분기 이동합(t−0) 265794억 × 비례계수 0.0046 × 계절비중 Q3 0.246(계절비중 — 최근 3개 연도(2026, 2025, 2024) 분기/연간 비중 평균; 격자 lag0~4×창8/12/19×수준·YoY·4Q합 중 최대 r=0.83, n=8, 창 8)</t>
      </text>
    </comment>
    <comment ref="AN21" authorId="0" shapeId="0">
      <text>
        <t>모델값 역산(implied): v / 전년동기 − 1
고객지수 4분기 이동합(t−0) 278287억 × 비례계수 0.0046 × 계절비중 Q4 0.276(계절비중 — 최근 3개 연도(2026, 2025, 2024) 분기/연간 비중 평균; 격자 lag0~4×창8/12/19×수준·YoY·4Q합 중 최대 r=0.83, n=8, 창 8)</t>
      </text>
    </comment>
    <comment ref="AC22" authorId="0" shapeId="0">
      <text>
        <t>3절 스칼라 '판관비율' 참조 — 숫자로 덮어쓰면 이 분기만 바뀐다
매출액 × 판관비율 12.97%(최근 4분기 중위)</t>
      </text>
    </comment>
    <comment ref="AD22" authorId="0" shapeId="0">
      <text>
        <t>3절 스칼라 '판관비율' 참조 — 숫자로 덮어쓰면 이 분기만 바뀐다
매출액 × 판관비율 12.97%(최근 4분기 중위)</t>
      </text>
    </comment>
    <comment ref="AF22" authorId="0" shapeId="0">
      <text>
        <t>3절 스칼라 '판관비율' 참조 — 숫자로 덮어쓰면 이 분기만 바뀐다
매출액 × 판관비율 12.97%(최근 4분기 중위)</t>
      </text>
    </comment>
    <comment ref="AG22" authorId="0" shapeId="0">
      <text>
        <t>3절 스칼라 '판관비율' 참조 — 숫자로 덮어쓰면 이 분기만 바뀐다
매출액 × 판관비율 12.97%(최근 4분기 중위)</t>
      </text>
    </comment>
    <comment ref="AH22" authorId="0" shapeId="0">
      <text>
        <t>3절 스칼라 '판관비율' 참조 — 숫자로 덮어쓰면 이 분기만 바뀐다
매출액 × 판관비율 12.97%(최근 4분기 중위)</t>
      </text>
    </comment>
    <comment ref="AI22" authorId="0" shapeId="0">
      <text>
        <t>3절 스칼라 '판관비율' 참조 — 숫자로 덮어쓰면 이 분기만 바뀐다
매출액 × 판관비율 12.97%(최근 4분기 중위)</t>
      </text>
    </comment>
    <comment ref="AK22" authorId="0" shapeId="0">
      <text>
        <t>3절 스칼라 '판관비율' 참조 — 숫자로 덮어쓰면 이 분기만 바뀐다
매출액 × 판관비율 12.97%(최근 4분기 중위)</t>
      </text>
    </comment>
    <comment ref="AL22" authorId="0" shapeId="0">
      <text>
        <t>3절 스칼라 '판관비율' 참조 — 숫자로 덮어쓰면 이 분기만 바뀐다
매출액 × 판관비율 12.97%(최근 4분기 중위)</t>
      </text>
    </comment>
    <comment ref="AM22" authorId="0" shapeId="0">
      <text>
        <t>3절 스칼라 '판관비율' 참조 — 숫자로 덮어쓰면 이 분기만 바뀐다
매출액 × 판관비율 12.97%(최근 4분기 중위)</t>
      </text>
    </comment>
    <comment ref="AN22" authorId="0" shapeId="0">
      <text>
        <t>3절 스칼라 '판관비율' 참조 — 숫자로 덮어쓰면 이 분기만 바뀐다
매출액 × 판관비율 12.97%(최근 4분기 중위)</t>
      </text>
    </comment>
    <comment ref="AC23" authorId="0" shapeId="0">
      <text>
        <t>모델값 역산(implied): v / 매출액
매출액 × OPM(최근 8분기 OPM 중위 0.1% 유지)</t>
      </text>
    </comment>
    <comment ref="AD23" authorId="0" shapeId="0">
      <text>
        <t>모델값 역산(implied): v / 매출액
매출액 × OPM(최근 8분기 OPM 중위 0.1% 유지)</t>
      </text>
    </comment>
    <comment ref="AF23" authorId="0" shapeId="0">
      <text>
        <t>모델값 역산(implied): v / 매출액
매출액 × OPM(최근 8분기 OPM 중위 0.1% 유지)</t>
      </text>
    </comment>
    <comment ref="AG23" authorId="0" shapeId="0">
      <text>
        <t>모델값 역산(implied): v / 매출액
매출액 × OPM(최근 8분기 OPM 중위 0.1% 유지)</t>
      </text>
    </comment>
    <comment ref="AH23" authorId="0" shapeId="0">
      <text>
        <t>모델값 역산(implied): v / 매출액
매출액 × OPM(최근 8분기 OPM 중위 0.1% 유지)</t>
      </text>
    </comment>
    <comment ref="AI23" authorId="0" shapeId="0">
      <text>
        <t>모델값 역산(implied): v / 매출액
매출액 × OPM(최근 8분기 OPM 중위 0.1% 유지)</t>
      </text>
    </comment>
    <comment ref="AK23" authorId="0" shapeId="0">
      <text>
        <t>모델값 역산(implied): v / 매출액
매출액 × OPM(최근 8분기 OPM 중위 0.1% 유지)</t>
      </text>
    </comment>
    <comment ref="AL23" authorId="0" shapeId="0">
      <text>
        <t>모델값 역산(implied): v / 매출액
매출액 × OPM(최근 8분기 OPM 중위 0.1% 유지)</t>
      </text>
    </comment>
    <comment ref="AM23" authorId="0" shapeId="0">
      <text>
        <t>모델값 역산(implied): v / 매출액
매출액 × OPM(최근 8분기 OPM 중위 0.1% 유지)</t>
      </text>
    </comment>
    <comment ref="AN23" authorId="0" shapeId="0">
      <text>
        <t>모델값 역산(implied): v / 매출액
매출액 × OPM(최근 8분기 OPM 중위 0.1%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3분기 &lt; 4 → 0</t>
      </text>
    </comment>
    <comment ref="AD26" authorId="0" shapeId="0">
      <text>
        <t>모델값 역산(implied): 모델 v 그대로
잔차 실측 3분기 &lt; 4 → 0</t>
      </text>
    </comment>
    <comment ref="AF26" authorId="0" shapeId="0">
      <text>
        <t>모델값 역산(implied): 모델 v 그대로
잔차 실측 3분기 &lt; 4 → 0</t>
      </text>
    </comment>
    <comment ref="AG26" authorId="0" shapeId="0">
      <text>
        <t>모델값 역산(implied): 모델 v 그대로
잔차 실측 3분기 &lt; 4 → 0</t>
      </text>
    </comment>
    <comment ref="AH26" authorId="0" shapeId="0">
      <text>
        <t>모델값 역산(implied): 모델 v 그대로
잔차 실측 3분기 &lt; 4 → 0</t>
      </text>
    </comment>
    <comment ref="AI26" authorId="0" shapeId="0">
      <text>
        <t>모델값 역산(implied): 모델 v 그대로
잔차 실측 3분기 &lt; 4 → 0</t>
      </text>
    </comment>
    <comment ref="AK26" authorId="0" shapeId="0">
      <text>
        <t>모델값 역산(implied): 모델 v 그대로
잔차 실측 3분기 &lt; 4 → 0</t>
      </text>
    </comment>
    <comment ref="AL26" authorId="0" shapeId="0">
      <text>
        <t>모델값 역산(implied): 모델 v 그대로
잔차 실측 3분기 &lt; 4 → 0</t>
      </text>
    </comment>
    <comment ref="AM26" authorId="0" shapeId="0">
      <text>
        <t>모델값 역산(implied): 모델 v 그대로
잔차 실측 3분기 &lt; 4 → 0</t>
      </text>
    </comment>
    <comment ref="AN26" authorId="0" shapeId="0">
      <text>
        <t>모델값 역산(implied): 모델 v 그대로
잔차 실측 3분기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D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F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G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H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I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K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L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M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N28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0" authorId="0" shapeId="0">
      <text>
        <t>모델값 역산(implied): 모델 v 그대로
최근 4분기 감가상각비 중위 유지</t>
      </text>
    </comment>
    <comment ref="AD30" authorId="0" shapeId="0">
      <text>
        <t>모델값 역산(implied): 모델 v 그대로
최근 4분기 감가상각비 중위 유지</t>
      </text>
    </comment>
    <comment ref="AF30" authorId="0" shapeId="0">
      <text>
        <t>모델값 역산(implied): 모델 v 그대로
최근 4분기 감가상각비 중위 유지</t>
      </text>
    </comment>
    <comment ref="AG30" authorId="0" shapeId="0">
      <text>
        <t>모델값 역산(implied): 모델 v 그대로
최근 4분기 감가상각비 중위 유지</t>
      </text>
    </comment>
    <comment ref="AH30" authorId="0" shapeId="0">
      <text>
        <t>모델값 역산(implied): 모델 v 그대로
최근 4분기 감가상각비 중위 유지</t>
      </text>
    </comment>
    <comment ref="AI30" authorId="0" shapeId="0">
      <text>
        <t>모델값 역산(implied): 모델 v 그대로
최근 4분기 감가상각비 중위 유지</t>
      </text>
    </comment>
    <comment ref="AK30" authorId="0" shapeId="0">
      <text>
        <t>모델값 역산(implied): 모델 v 그대로
최근 4분기 감가상각비 중위 유지</t>
      </text>
    </comment>
    <comment ref="AL30" authorId="0" shapeId="0">
      <text>
        <t>모델값 역산(implied): 모델 v 그대로
최근 4분기 감가상각비 중위 유지</t>
      </text>
    </comment>
    <comment ref="AM30" authorId="0" shapeId="0">
      <text>
        <t>모델값 역산(implied): 모델 v 그대로
최근 4분기 감가상각비 중위 유지</t>
      </text>
    </comment>
    <comment ref="AN30" authorId="0" shapeId="0">
      <text>
        <t>모델값 역산(implied): 모델 v 그대로
최근 4분기 감가상각비 중위 유지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D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F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G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H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I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K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L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M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N35" authorId="0" shapeId="0">
      <text>
        <t>모델값 역산(implied): v / 전분기 − 1
전분기 − FCF 근사[순이익 + 감가상각비 3억 − CAPEX 2억(각 최근 4분기 중위) − 배당]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4분기(2025Q3~2026Q2) CAPEX 중위 유지 — 순차입금 롤에 반영(FCF 근사)</t>
      </text>
    </comment>
    <comment ref="AD38" authorId="0" shapeId="0">
      <text>
        <t>모델값 역산(implied): v / 전년동기 − 1
최근 4분기(2025Q3~2026Q2) CAPEX 중위 유지 — 순차입금 롤에 반영(FCF 근사)</t>
      </text>
    </comment>
    <comment ref="AF38" authorId="0" shapeId="0">
      <text>
        <t>모델값 역산(implied): v / 전년동기 − 1
최근 4분기(2025Q3~2026Q2) CAPEX 중위 유지 — 순차입금 롤에 반영(FCF 근사)</t>
      </text>
    </comment>
    <comment ref="AG38" authorId="0" shapeId="0">
      <text>
        <t>모델값 역산(implied): v / 전년동기 − 1
최근 4분기(2025Q3~2026Q2) CAPEX 중위 유지 — 순차입금 롤에 반영(FCF 근사)</t>
      </text>
    </comment>
    <comment ref="AH38" authorId="0" shapeId="0">
      <text>
        <t>모델값 역산(implied): v / 전년동기 − 1
최근 4분기(2025Q3~2026Q2) CAPEX 중위 유지 — 순차입금 롤에 반영(FCF 근사)</t>
      </text>
    </comment>
    <comment ref="AI38" authorId="0" shapeId="0">
      <text>
        <t>모델값 역산(implied): v / 전년동기 − 1
최근 4분기(2025Q3~2026Q2) CAPEX 중위 유지 — 순차입금 롤에 반영(FCF 근사)</t>
      </text>
    </comment>
    <comment ref="AK38" authorId="0" shapeId="0">
      <text>
        <t>모델값 역산(implied): v / 전년동기 − 1
최근 4분기(2025Q3~2026Q2) CAPEX 중위 유지 — 순차입금 롤에 반영(FCF 근사)</t>
      </text>
    </comment>
    <comment ref="AL38" authorId="0" shapeId="0">
      <text>
        <t>모델값 역산(implied): v / 전년동기 − 1
최근 4분기(2025Q3~2026Q2) CAPEX 중위 유지 — 순차입금 롤에 반영(FCF 근사)</t>
      </text>
    </comment>
    <comment ref="AM38" authorId="0" shapeId="0">
      <text>
        <t>모델값 역산(implied): v / 전년동기 − 1
최근 4분기(2025Q3~2026Q2) CAPEX 중위 유지 — 순차입금 롤에 반영(FCF 근사)</t>
      </text>
    </comment>
    <comment ref="AN38" authorId="0" shapeId="0">
      <text>
        <t>모델값 역산(implied): v / 전년동기 − 1
최근 4분기(2025Q3~2026Q2) CAPEX 중위 유지 — 순차입금 롤에 반영(FCF 근사)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0원 유지</t>
      </text>
    </comment>
    <comment ref="AI41" authorId="0" shapeId="0">
      <text>
        <t>모델값 역산(implied): 모델 v 그대로
직전 결산 DPS 0원 유지</t>
      </text>
    </comment>
    <comment ref="AN41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이동합(t−0) 181936억 × 비례계수 0.0046 × 계절비중 Q3 0.246(계절비중 — 최근 3개 연도(2026, 2025, 2024) 분기/연간 비중 평균; 격자 lag0~4×창8/12/19×수준·YoY·4Q합 중 최대 r=0.83, n=8, 창 8)
[yoy]</t>
      </text>
    </comment>
    <comment ref="AD5" authorId="0" shapeId="0">
      <text>
        <t>추정: 고객지수 4분기 이동합(t−0) 193158억 × 비례계수 0.0046 × 계절비중 Q4 0.276(계절비중 — 최근 3개 연도(2026, 2025, 2024) 분기/연간 비중 평균; 격자 lag0~4×창8/12/19×수준·YoY·4Q합 중 최대 r=0.83, n=8, 창 8)
[yoy]</t>
      </text>
    </comment>
    <comment ref="AF5" authorId="0" shapeId="0">
      <text>
        <t>추정: 고객지수 4분기 이동합(t−0) 201294억 × 비례계수 0.0046 × 계절비중 Q1 0.240(계절비중 — 최근 3개 연도(2026, 2025, 2024) 분기/연간 비중 평균; 격자 lag0~4×창8/12/19×수준·YoY·4Q합 중 최대 r=0.83, n=8, 창 8)
[yoy]</t>
      </text>
    </comment>
    <comment ref="AG5" authorId="0" shapeId="0">
      <text>
        <t>추정: 고객지수 4분기 이동합(t−0) 208134억 × 비례계수 0.0046 × 계절비중 Q2 0.237(계절비중 — 최근 3개 연도(2026, 2025, 2024) 분기/연간 비중 평균; 격자 lag0~4×창8/12/19×수준·YoY·4Q합 중 최대 r=0.83, n=8, 창 8)
[yoy]</t>
      </text>
    </comment>
    <comment ref="AH5" authorId="0" shapeId="0">
      <text>
        <t>추정: 고객지수 4분기 이동합(t−0) 215801억 × 비례계수 0.0046 × 계절비중 Q3 0.246(계절비중 — 최근 3개 연도(2026, 2025, 2024) 분기/연간 비중 평균; 격자 lag0~4×창8/12/19×수준·YoY·4Q합 중 최대 r=0.83, n=8, 창 8)
[yoy]</t>
      </text>
    </comment>
    <comment ref="AI5" authorId="0" shapeId="0">
      <text>
        <t>추정: 고객지수 4분기 이동합(t−0) 225943억 × 비례계수 0.0046 × 계절비중 Q4 0.276(계절비중 — 최근 3개 연도(2026, 2025, 2024) 분기/연간 비중 평균; 격자 lag0~4×창8/12/19×수준·YoY·4Q합 중 최대 r=0.83, n=8, 창 8)
[yoy]</t>
      </text>
    </comment>
    <comment ref="AK5" authorId="0" shapeId="0">
      <text>
        <t>추정: 고객지수 4분기 이동합(t−0) 237998억 × 비례계수 0.0046 × 계절비중 Q1 0.240(계절비중 — 최근 3개 연도(2026, 2025, 2024) 분기/연간 비중 평균; 격자 lag0~4×창8/12/19×수준·YoY·4Q합 중 최대 r=0.83, n=8, 창 8)
[yoy]</t>
      </text>
    </comment>
    <comment ref="AL5" authorId="0" shapeId="0">
      <text>
        <t>추정: 고객지수 4분기 이동합(t−0) 251465억 × 비례계수 0.0046 × 계절비중 Q2 0.237(계절비중 — 최근 3개 연도(2026, 2025, 2024) 분기/연간 비중 평균; 격자 lag0~4×창8/12/19×수준·YoY·4Q합 중 최대 r=0.83, n=8, 창 8)
[yoy]</t>
      </text>
    </comment>
    <comment ref="AM5" authorId="0" shapeId="0">
      <text>
        <t>추정: 고객지수 4분기 이동합(t−0) 265794억 × 비례계수 0.0046 × 계절비중 Q3 0.246(계절비중 — 최근 3개 연도(2026, 2025, 2024) 분기/연간 비중 평균; 격자 lag0~4×창8/12/19×수준·YoY·4Q합 중 최대 r=0.83, n=8, 창 8)
[yoy]</t>
      </text>
    </comment>
    <comment ref="AN5" authorId="0" shapeId="0">
      <text>
        <t>추정: 고객지수 4분기 이동합(t−0) 278287억 × 비례계수 0.0046 × 계절비중 Q4 0.276(계절비중 — 최근 3개 연도(2026, 2025, 2024) 분기/연간 비중 평균; 격자 lag0~4×창8/12/19×수준·YoY·4Q합 중 최대 r=0.83,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12.97%(최근 4분기 중위)
[ratio]</t>
      </text>
    </comment>
    <comment ref="AD8" authorId="0" shapeId="0">
      <text>
        <t>추정: 매출액 × 판관비율 12.97%(최근 4분기 중위)
[ratio]</t>
      </text>
    </comment>
    <comment ref="AF8" authorId="0" shapeId="0">
      <text>
        <t>추정: 매출액 × 판관비율 12.97%(최근 4분기 중위)
[ratio]</t>
      </text>
    </comment>
    <comment ref="AG8" authorId="0" shapeId="0">
      <text>
        <t>추정: 매출액 × 판관비율 12.97%(최근 4분기 중위)
[ratio]</t>
      </text>
    </comment>
    <comment ref="AH8" authorId="0" shapeId="0">
      <text>
        <t>추정: 매출액 × 판관비율 12.97%(최근 4분기 중위)
[ratio]</t>
      </text>
    </comment>
    <comment ref="AI8" authorId="0" shapeId="0">
      <text>
        <t>추정: 매출액 × 판관비율 12.97%(최근 4분기 중위)
[ratio]</t>
      </text>
    </comment>
    <comment ref="AK8" authorId="0" shapeId="0">
      <text>
        <t>추정: 매출액 × 판관비율 12.97%(최근 4분기 중위)
[ratio]</t>
      </text>
    </comment>
    <comment ref="AL8" authorId="0" shapeId="0">
      <text>
        <t>추정: 매출액 × 판관비율 12.97%(최근 4분기 중위)
[ratio]</t>
      </text>
    </comment>
    <comment ref="AM8" authorId="0" shapeId="0">
      <text>
        <t>추정: 매출액 × 판관비율 12.97%(최근 4분기 중위)
[ratio]</t>
      </text>
    </comment>
    <comment ref="AN8" authorId="0" shapeId="0">
      <text>
        <t>추정: 매출액 × 판관비율 12.97%(최근 4분기 중위)
[ratio]</t>
      </text>
    </comment>
    <comment ref="AC9" authorId="0" shapeId="0">
      <text>
        <t>추정: 매출액 × OPM(최근 8분기 OPM 중위 0.1% 유지)
[ratio]</t>
      </text>
    </comment>
    <comment ref="AD9" authorId="0" shapeId="0">
      <text>
        <t>추정: 매출액 × OPM(최근 8분기 OPM 중위 0.1% 유지)
[ratio]</t>
      </text>
    </comment>
    <comment ref="AF9" authorId="0" shapeId="0">
      <text>
        <t>추정: 매출액 × OPM(최근 8분기 OPM 중위 0.1% 유지)
[ratio]</t>
      </text>
    </comment>
    <comment ref="AG9" authorId="0" shapeId="0">
      <text>
        <t>추정: 매출액 × OPM(최근 8분기 OPM 중위 0.1% 유지)
[ratio]</t>
      </text>
    </comment>
    <comment ref="AH9" authorId="0" shapeId="0">
      <text>
        <t>추정: 매출액 × OPM(최근 8분기 OPM 중위 0.1% 유지)
[ratio]</t>
      </text>
    </comment>
    <comment ref="AI9" authorId="0" shapeId="0">
      <text>
        <t>추정: 매출액 × OPM(최근 8분기 OPM 중위 0.1% 유지)
[ratio]</t>
      </text>
    </comment>
    <comment ref="AK9" authorId="0" shapeId="0">
      <text>
        <t>추정: 매출액 × OPM(최근 8분기 OPM 중위 0.1% 유지)
[ratio]</t>
      </text>
    </comment>
    <comment ref="AL9" authorId="0" shapeId="0">
      <text>
        <t>추정: 매출액 × OPM(최근 8분기 OPM 중위 0.1% 유지)
[ratio]</t>
      </text>
    </comment>
    <comment ref="AM9" authorId="0" shapeId="0">
      <text>
        <t>추정: 매출액 × OPM(최근 8분기 OPM 중위 0.1% 유지)
[ratio]</t>
      </text>
    </comment>
    <comment ref="AN9" authorId="0" shapeId="0">
      <text>
        <t>추정: 매출액 × OPM(최근 8분기 OPM 중위 0.1% 유지)
[ratio]</t>
      </text>
    </comment>
    <comment ref="AC10" authorId="0" shapeId="0">
      <text>
        <t>추정: 최근 8분기 OPM 중위 0.1% 유지
[divide]</t>
      </text>
    </comment>
    <comment ref="AD10" authorId="0" shapeId="0">
      <text>
        <t>추정: 최근 8분기 OPM 중위 0.1% 유지
[divide]</t>
      </text>
    </comment>
    <comment ref="AF10" authorId="0" shapeId="0">
      <text>
        <t>추정: 최근 8분기 OPM 중위 0.1% 유지
[divide]</t>
      </text>
    </comment>
    <comment ref="AG10" authorId="0" shapeId="0">
      <text>
        <t>추정: 최근 8분기 OPM 중위 0.1% 유지
[divide]</t>
      </text>
    </comment>
    <comment ref="AH10" authorId="0" shapeId="0">
      <text>
        <t>추정: 최근 8분기 OPM 중위 0.1% 유지
[divide]</t>
      </text>
    </comment>
    <comment ref="AI10" authorId="0" shapeId="0">
      <text>
        <t>추정: 최근 8분기 OPM 중위 0.1% 유지
[divide]</t>
      </text>
    </comment>
    <comment ref="AK10" authorId="0" shapeId="0">
      <text>
        <t>추정: 최근 8분기 OPM 중위 0.1% 유지
[divide]</t>
      </text>
    </comment>
    <comment ref="AL10" authorId="0" shapeId="0">
      <text>
        <t>추정: 최근 8분기 OPM 중위 0.1% 유지
[divide]</t>
      </text>
    </comment>
    <comment ref="AM10" authorId="0" shapeId="0">
      <text>
        <t>추정: 최근 8분기 OPM 중위 0.1% 유지
[divide]</t>
      </text>
    </comment>
    <comment ref="AN10" authorId="0" shapeId="0">
      <text>
        <t>추정: 최근 8분기 OPM 중위 0.1% 유지
[divide]</t>
      </text>
    </comment>
    <comment ref="AC11" authorId="0" shapeId="0">
      <text>
        <t>추정: 이자손익 + 외환손익 0 + 파생상품손익 0 + 기타금융손익 +0.00억(잔차 실측 3분기 &lt; 4 → 0) (항등식); 이자손익 = 이자발생자산 165억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3분기 &lt; 4 → 0) (항등식); 이자손익 = 이자발생자산 159억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3분기 &lt; 4 → 0) (항등식); 이자손익 = 이자발생자산 154억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3분기 &lt; 4 → 0) (항등식); 이자손익 = 이자발생자산 148억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3분기 &lt; 4 → 0) (항등식); 이자손익 = 이자발생자산 142억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3분기 &lt; 4 → 0) (항등식); 이자손익 = 이자발생자산 136억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3분기 &lt; 4 → 0) (항등식); 이자손익 = 이자발생자산 130억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3분기 &lt; 4 → 0) (항등식); 이자손익 = 이자발생자산 124억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3분기 &lt; 4 → 0) (항등식); 이자손익 = 이자발생자산 118억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3분기 &lt; 4 → 0) (항등식); 이자손익 = 이자발생자산 112억 × 1.36%(주석 이자수익 ÷ 평균 이자발생자산(2025Q3~2026Q2)) − 총차입금 729억 × 4.18%(주석 이자비용 ÷ 평균 총차입금(2025Q3~2026Q2)) (연율) ÷ 4; 환율 효과는 환관련손익 행 별도
[identity]</t>
      </text>
    </comment>
    <comment ref="AC12" authorId="0" shapeId="0">
      <text>
        <t>추정: 이자발생자산 165억 × 1.36%(주석 이자수익 ÷ 평균 이자발생자산(2025Q3~2026Q2)) − 총차입금 729억 × 4.18%(주석 이자비용 ÷ 평균 총차입금(2025Q3~2026Q2)) (연율) ÷ 4
[interest]</t>
      </text>
    </comment>
    <comment ref="AD12" authorId="0" shapeId="0">
      <text>
        <t>추정: 이자발생자산 159억 × 1.36%(주석 이자수익 ÷ 평균 이자발생자산(2025Q3~2026Q2)) − 총차입금 729억 × 4.18%(주석 이자비용 ÷ 평균 총차입금(2025Q3~2026Q2)) (연율) ÷ 4
[interest]</t>
      </text>
    </comment>
    <comment ref="AF12" authorId="0" shapeId="0">
      <text>
        <t>추정: 이자발생자산 154억 × 1.36%(주석 이자수익 ÷ 평균 이자발생자산(2025Q3~2026Q2)) − 총차입금 729억 × 4.18%(주석 이자비용 ÷ 평균 총차입금(2025Q3~2026Q2)) (연율) ÷ 4
[interest]</t>
      </text>
    </comment>
    <comment ref="AG12" authorId="0" shapeId="0">
      <text>
        <t>추정: 이자발생자산 148억 × 1.36%(주석 이자수익 ÷ 평균 이자발생자산(2025Q3~2026Q2)) − 총차입금 729억 × 4.18%(주석 이자비용 ÷ 평균 총차입금(2025Q3~2026Q2)) (연율) ÷ 4
[interest]</t>
      </text>
    </comment>
    <comment ref="AH12" authorId="0" shapeId="0">
      <text>
        <t>추정: 이자발생자산 142억 × 1.36%(주석 이자수익 ÷ 평균 이자발생자산(2025Q3~2026Q2)) − 총차입금 729억 × 4.18%(주석 이자비용 ÷ 평균 총차입금(2025Q3~2026Q2)) (연율) ÷ 4
[interest]</t>
      </text>
    </comment>
    <comment ref="AI12" authorId="0" shapeId="0">
      <text>
        <t>추정: 이자발생자산 136억 × 1.36%(주석 이자수익 ÷ 평균 이자발생자산(2025Q3~2026Q2)) − 총차입금 729억 × 4.18%(주석 이자비용 ÷ 평균 총차입금(2025Q3~2026Q2)) (연율) ÷ 4
[interest]</t>
      </text>
    </comment>
    <comment ref="AK12" authorId="0" shapeId="0">
      <text>
        <t>추정: 이자발생자산 130억 × 1.36%(주석 이자수익 ÷ 평균 이자발생자산(2025Q3~2026Q2)) − 총차입금 729억 × 4.18%(주석 이자비용 ÷ 평균 총차입금(2025Q3~2026Q2)) (연율) ÷ 4
[interest]</t>
      </text>
    </comment>
    <comment ref="AL12" authorId="0" shapeId="0">
      <text>
        <t>추정: 이자발생자산 124억 × 1.36%(주석 이자수익 ÷ 평균 이자발생자산(2025Q3~2026Q2)) − 총차입금 729억 × 4.18%(주석 이자비용 ÷ 평균 총차입금(2025Q3~2026Q2)) (연율) ÷ 4
[interest]</t>
      </text>
    </comment>
    <comment ref="AM12" authorId="0" shapeId="0">
      <text>
        <t>추정: 이자발생자산 118억 × 1.36%(주석 이자수익 ÷ 평균 이자발생자산(2025Q3~2026Q2)) − 총차입금 729억 × 4.18%(주석 이자비용 ÷ 평균 총차입금(2025Q3~2026Q2)) (연율) ÷ 4
[interest]</t>
      </text>
    </comment>
    <comment ref="AN12" authorId="0" shapeId="0">
      <text>
        <t>추정: 이자발생자산 112억 × 1.36%(주석 이자수익 ÷ 평균 이자발생자산(2025Q3~2026Q2)) − 총차입금 729억 × 4.18%(주석 이자비용 ÷ 평균 총차입금(2025Q3~2026Q2)) (연율) ÷ 4
[interest]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3분기 &lt; 4 → 0
[abs]</t>
      </text>
    </comment>
    <comment ref="AD15" authorId="0" shapeId="0">
      <text>
        <t>추정: 잔차 실측 3분기 &lt; 4 → 0
[abs]</t>
      </text>
    </comment>
    <comment ref="AF15" authorId="0" shapeId="0">
      <text>
        <t>추정: 잔차 실측 3분기 &lt; 4 → 0
[abs]</t>
      </text>
    </comment>
    <comment ref="AG15" authorId="0" shapeId="0">
      <text>
        <t>추정: 잔차 실측 3분기 &lt; 4 → 0
[abs]</t>
      </text>
    </comment>
    <comment ref="AH15" authorId="0" shapeId="0">
      <text>
        <t>추정: 잔차 실측 3분기 &lt; 4 → 0
[abs]</t>
      </text>
    </comment>
    <comment ref="AI15" authorId="0" shapeId="0">
      <text>
        <t>추정: 잔차 실측 3분기 &lt; 4 → 0
[abs]</t>
      </text>
    </comment>
    <comment ref="AK15" authorId="0" shapeId="0">
      <text>
        <t>추정: 잔차 실측 3분기 &lt; 4 → 0
[abs]</t>
      </text>
    </comment>
    <comment ref="AL15" authorId="0" shapeId="0">
      <text>
        <t>추정: 잔차 실측 3분기 &lt; 4 → 0
[abs]</t>
      </text>
    </comment>
    <comment ref="AM15" authorId="0" shapeId="0">
      <text>
        <t>추정: 잔차 실측 3분기 &lt; 4 → 0
[abs]</t>
      </text>
    </comment>
    <comment ref="AN15" authorId="0" shapeId="0">
      <text>
        <t>추정: 잔차 실측 3분기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22.0%(최근 12분기 세전 합 ≤ 0; 세전 &gt; 0 분기 중위 0.0% 도 5~27% 밖 → 법정세율 근사 22% 가정)
[ratio]</t>
      </text>
    </comment>
    <comment ref="AD18" authorId="0" shapeId="0">
      <text>
        <t>추정: max(세전, 0) × 세율 22.0%(최근 12분기 세전 합 ≤ 0; 세전 &gt; 0 분기 중위 0.0% 도 5~27% 밖 → 법정세율 근사 22% 가정)
[ratio]</t>
      </text>
    </comment>
    <comment ref="AF18" authorId="0" shapeId="0">
      <text>
        <t>추정: max(세전, 0) × 세율 22.0%(최근 12분기 세전 합 ≤ 0; 세전 &gt; 0 분기 중위 0.0% 도 5~27% 밖 → 법정세율 근사 22% 가정)
[ratio]</t>
      </text>
    </comment>
    <comment ref="AG18" authorId="0" shapeId="0">
      <text>
        <t>추정: max(세전, 0) × 세율 22.0%(최근 12분기 세전 합 ≤ 0; 세전 &gt; 0 분기 중위 0.0% 도 5~27% 밖 → 법정세율 근사 22% 가정)
[ratio]</t>
      </text>
    </comment>
    <comment ref="AH18" authorId="0" shapeId="0">
      <text>
        <t>추정: max(세전, 0) × 세율 22.0%(최근 12분기 세전 합 ≤ 0; 세전 &gt; 0 분기 중위 0.0% 도 5~27% 밖 → 법정세율 근사 22% 가정)
[ratio]</t>
      </text>
    </comment>
    <comment ref="AI18" authorId="0" shapeId="0">
      <text>
        <t>추정: max(세전, 0) × 세율 22.0%(최근 12분기 세전 합 ≤ 0; 세전 &gt; 0 분기 중위 0.0% 도 5~27% 밖 → 법정세율 근사 22% 가정)
[ratio]</t>
      </text>
    </comment>
    <comment ref="AK18" authorId="0" shapeId="0">
      <text>
        <t>추정: max(세전, 0) × 세율 22.0%(최근 12분기 세전 합 ≤ 0; 세전 &gt; 0 분기 중위 0.0% 도 5~27% 밖 → 법정세율 근사 22% 가정)
[ratio]</t>
      </text>
    </comment>
    <comment ref="AL18" authorId="0" shapeId="0">
      <text>
        <t>추정: max(세전, 0) × 세율 22.0%(최근 12분기 세전 합 ≤ 0; 세전 &gt; 0 분기 중위 0.0% 도 5~27% 밖 → 법정세율 근사 22% 가정)
[ratio]</t>
      </text>
    </comment>
    <comment ref="AM18" authorId="0" shapeId="0">
      <text>
        <t>추정: max(세전, 0) × 세율 22.0%(최근 12분기 세전 합 ≤ 0; 세전 &gt; 0 분기 중위 0.0% 도 5~27% 밖 → 법정세율 근사 22% 가정)
[ratio]</t>
      </text>
    </comment>
    <comment ref="AN18" authorId="0" shapeId="0">
      <text>
        <t>추정: max(세전, 0) × 세율 22.0%(최근 12분기 세전 합 ≤ 0; 세전 &gt; 0 분기 중위 0.0% 도 5~27% 밖 → 법정세율 근사 22% 가정)
[ratio]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S20" authorId="0" shapeId="0">
      <text>
        <t>실측(BS연결 시트에 (지배주주지분)당기순이익 2024.09 값 없음 — 모델값 직접) — fin.cons.is.당기순이익 − fin.cons.is.(비지배주주지분)당기순이익(파생)</t>
      </text>
    </comment>
    <comment ref="T20" authorId="0" shapeId="0">
      <text>
        <t>실측(BS연결 시트에 (지배주주지분)당기순이익 2024.12 값 없음 — 모델값 직접) — fin.cons.is.당기순이익 − fin.cons.is.(비지배주주지분)당기순이익(파생)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1" authorId="0" shapeId="0">
      <text>
        <t>추정: 최근 4분기 감가상각비 중위 유지
[abs]</t>
      </text>
    </comment>
    <comment ref="AD21" authorId="0" shapeId="0">
      <text>
        <t>추정: 최근 4분기 감가상각비 중위 유지
[abs]</t>
      </text>
    </comment>
    <comment ref="AF21" authorId="0" shapeId="0">
      <text>
        <t>추정: 최근 4분기 감가상각비 중위 유지
[abs]</t>
      </text>
    </comment>
    <comment ref="AG21" authorId="0" shapeId="0">
      <text>
        <t>추정: 최근 4분기 감가상각비 중위 유지
[abs]</t>
      </text>
    </comment>
    <comment ref="AH21" authorId="0" shapeId="0">
      <text>
        <t>추정: 최근 4분기 감가상각비 중위 유지
[abs]</t>
      </text>
    </comment>
    <comment ref="AI21" authorId="0" shapeId="0">
      <text>
        <t>추정: 최근 4분기 감가상각비 중위 유지
[abs]</t>
      </text>
    </comment>
    <comment ref="AK21" authorId="0" shapeId="0">
      <text>
        <t>추정: 최근 4분기 감가상각비 중위 유지
[abs]</t>
      </text>
    </comment>
    <comment ref="AL21" authorId="0" shapeId="0">
      <text>
        <t>추정: 최근 4분기 감가상각비 중위 유지
[abs]</t>
      </text>
    </comment>
    <comment ref="AM21" authorId="0" shapeId="0">
      <text>
        <t>추정: 최근 4분기 감가상각비 중위 유지
[abs]</t>
      </text>
    </comment>
    <comment ref="AN21" authorId="0" shapeId="0">
      <text>
        <t>추정: 최근 4분기 감가상각비 중위 유지
[abs]</t>
      </text>
    </comment>
    <comment ref="E22" authorId="0" shapeId="0">
      <text>
        <t>실측(계정 매핑 없음(파생·부문·시세 행) — 모델값 직접) — 영업이익 + 감가상각비(CF)</t>
      </text>
    </comment>
    <comment ref="G22" authorId="0" shapeId="0">
      <text>
        <t>실측(계정 매핑 없음(파생·부문·시세 행) — 모델값 직접) — 영업이익 + 감가상각비(CF)</t>
      </text>
    </comment>
    <comment ref="H22" authorId="0" shapeId="0">
      <text>
        <t>실측(계정 매핑 없음(파생·부문·시세 행) — 모델값 직접) — 영업이익 + 감가상각비(CF)</t>
      </text>
    </comment>
    <comment ref="I22" authorId="0" shapeId="0">
      <text>
        <t>실측(계정 매핑 없음(파생·부문·시세 행) — 모델값 직접) — 영업이익 + 감가상각비(CF)</t>
      </text>
    </comment>
    <comment ref="J22" authorId="0" shapeId="0">
      <text>
        <t>실측(계정 매핑 없음(파생·부문·시세 행) — 모델값 직접) — 영업이익 + 감가상각비(CF)</t>
      </text>
    </comment>
    <comment ref="L22" authorId="0" shapeId="0">
      <text>
        <t>실측(계정 매핑 없음(파생·부문·시세 행) — 모델값 직접) — 영업이익 + 감가상각비(CF)</t>
      </text>
    </comment>
    <comment ref="M22" authorId="0" shapeId="0">
      <text>
        <t>실측(계정 매핑 없음(파생·부문·시세 행) — 모델값 직접) — 영업이익 + 감가상각비(CF)</t>
      </text>
    </comment>
    <comment ref="AC22" authorId="0" shapeId="0">
      <text>
        <t>추정: 영업이익 + 감가상각비
[identity]</t>
      </text>
    </comment>
    <comment ref="AD22" authorId="0" shapeId="0">
      <text>
        <t>추정: 영업이익 + 감가상각비
[identity]</t>
      </text>
    </comment>
    <comment ref="AF22" authorId="0" shapeId="0">
      <text>
        <t>추정: 영업이익 + 감가상각비
[identity]</t>
      </text>
    </comment>
    <comment ref="AG22" authorId="0" shapeId="0">
      <text>
        <t>추정: 영업이익 + 감가상각비
[identity]</t>
      </text>
    </comment>
    <comment ref="AH22" authorId="0" shapeId="0">
      <text>
        <t>추정: 영업이익 + 감가상각비
[identity]</t>
      </text>
    </comment>
    <comment ref="AI22" authorId="0" shapeId="0">
      <text>
        <t>추정: 영업이익 + 감가상각비
[identity]</t>
      </text>
    </comment>
    <comment ref="AK22" authorId="0" shapeId="0">
      <text>
        <t>추정: 영업이익 + 감가상각비
[identity]</t>
      </text>
    </comment>
    <comment ref="AL22" authorId="0" shapeId="0">
      <text>
        <t>추정: 영업이익 + 감가상각비
[identity]</t>
      </text>
    </comment>
    <comment ref="AM22" authorId="0" shapeId="0">
      <text>
        <t>추정: 영업이익 + 감가상각비
[identity]</t>
      </text>
    </comment>
    <comment ref="AN22" authorId="0" shapeId="0">
      <text>
        <t>추정: 영업이익 + 감가상각비
[identity]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AF26" authorId="0" shapeId="0">
      <text>
        <t>추정: 전분기 + 지배주주순이익 − 배당
[roll]</t>
      </text>
    </comment>
    <comment ref="AG26" authorId="0" shapeId="0">
      <text>
        <t>추정: 전분기 + 지배주주순이익 − 배당
[roll]</t>
      </text>
    </comment>
    <comment ref="AH26" authorId="0" shapeId="0">
      <text>
        <t>추정: 전분기 + 지배주주순이익 − 배당
[roll]</t>
      </text>
    </comment>
    <comment ref="AI26" authorId="0" shapeId="0">
      <text>
        <t>추정: 전분기 + 지배주주순이익 − 배당
[roll]</t>
      </text>
    </comment>
    <comment ref="AK26" authorId="0" shapeId="0">
      <text>
        <t>추정: 전분기 + 지배주주순이익 − 배당
[roll]</t>
      </text>
    </comment>
    <comment ref="AL26" authorId="0" shapeId="0">
      <text>
        <t>추정: 전분기 + 지배주주순이익 − 배당
[roll]</t>
      </text>
    </comment>
    <comment ref="AM26" authorId="0" shapeId="0">
      <text>
        <t>추정: 전분기 + 지배주주순이익 − 배당
[roll]</t>
      </text>
    </comment>
    <comment ref="AN26" authorId="0" shapeId="0">
      <text>
        <t>추정: 전분기 + 지배주주순이익 − 배당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D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F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G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H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I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K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L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M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N28" authorId="0" shapeId="0">
      <text>
        <t>추정: 전분기 − FCF 근사[순이익 + 감가상각비 3억 − CAPEX 2억(각 최근 4분기 중위) − 배당]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4분기(2025Q3~2026Q2) CAPEX 중위 유지 — 순차입금 롤에 반영(FCF 근사)
[yoy]</t>
      </text>
    </comment>
    <comment ref="AD31" authorId="0" shapeId="0">
      <text>
        <t>추정: 최근 4분기(2025Q3~2026Q2) CAPEX 중위 유지 — 순차입금 롤에 반영(FCF 근사)
[yoy]</t>
      </text>
    </comment>
    <comment ref="AF31" authorId="0" shapeId="0">
      <text>
        <t>추정: 최근 4분기(2025Q3~2026Q2) CAPEX 중위 유지 — 순차입금 롤에 반영(FCF 근사)
[yoy]</t>
      </text>
    </comment>
    <comment ref="AG31" authorId="0" shapeId="0">
      <text>
        <t>추정: 최근 4분기(2025Q3~2026Q2) CAPEX 중위 유지 — 순차입금 롤에 반영(FCF 근사)
[yoy]</t>
      </text>
    </comment>
    <comment ref="AH31" authorId="0" shapeId="0">
      <text>
        <t>추정: 최근 4분기(2025Q3~2026Q2) CAPEX 중위 유지 — 순차입금 롤에 반영(FCF 근사)
[yoy]</t>
      </text>
    </comment>
    <comment ref="AI31" authorId="0" shapeId="0">
      <text>
        <t>추정: 최근 4분기(2025Q3~2026Q2) CAPEX 중위 유지 — 순차입금 롤에 반영(FCF 근사)
[yoy]</t>
      </text>
    </comment>
    <comment ref="AK31" authorId="0" shapeId="0">
      <text>
        <t>추정: 최근 4분기(2025Q3~2026Q2) CAPEX 중위 유지 — 순차입금 롤에 반영(FCF 근사)
[yoy]</t>
      </text>
    </comment>
    <comment ref="AL31" authorId="0" shapeId="0">
      <text>
        <t>추정: 최근 4분기(2025Q3~2026Q2) CAPEX 중위 유지 — 순차입금 롤에 반영(FCF 근사)
[yoy]</t>
      </text>
    </comment>
    <comment ref="AM31" authorId="0" shapeId="0">
      <text>
        <t>추정: 최근 4분기(2025Q3~2026Q2) CAPEX 중위 유지 — 순차입금 롤에 반영(FCF 근사)
[yoy]</t>
      </text>
    </comment>
    <comment ref="AN31" authorId="0" shapeId="0">
      <text>
        <t>추정: 최근 4분기(2025Q3~2026Q2) CAPEX 중위 유지 — 순차입금 롤에 반영(FCF 근사)
[yoy]</t>
      </text>
    </comment>
    <comment ref="E33" authorId="0" shapeId="0">
      <text>
        <t>추정(실적 구간 갭필): fin.shares.common_outstanding 159,155,279주 × 1/5(환산 — 2025Q4 1/5 병합; IAS 33.64 비교표시·수정주가 이력과 정합)</t>
      </text>
    </comment>
    <comment ref="G33" authorId="0" shapeId="0">
      <text>
        <t>추정(실적 구간 갭필): fin.shares.common_outstanding 159,155,279주 × 1/5(환산 — 2025Q4 1/5 병합; IAS 33.64 비교표시·수정주가 이력과 정합)</t>
      </text>
    </comment>
    <comment ref="H33" authorId="0" shapeId="0">
      <text>
        <t>추정(실적 구간 갭필): fin.shares.common_outstanding 159,155,279주 × 1/5(환산 — 2025Q4 1/5 병합; IAS 33.64 비교표시·수정주가 이력과 정합)</t>
      </text>
    </comment>
    <comment ref="I33" authorId="0" shapeId="0">
      <text>
        <t>추정(실적 구간 갭필): fin.shares.common_outstanding 159,155,279주 × 1/5(환산 — 2025Q4 1/5 병합; IAS 33.64 비교표시·수정주가 이력과 정합)</t>
      </text>
    </comment>
    <comment ref="J33" authorId="0" shapeId="0">
      <text>
        <t>추정(실적 구간 갭필): fin.shares.common_outstanding 159,155,279주 × 1/5(환산 — 2025Q4 1/5 병합; IAS 33.64 비교표시·수정주가 이력과 정합)</t>
      </text>
    </comment>
    <comment ref="L33" authorId="0" shapeId="0">
      <text>
        <t>추정(실적 구간 갭필): fin.shares.common_outstanding 159,155,279주 × 1/5(환산 — 2025Q4 1/5 병합; IAS 33.64 비교표시·수정주가 이력과 정합)</t>
      </text>
    </comment>
    <comment ref="M33" authorId="0" shapeId="0">
      <text>
        <t>추정(실적 구간 갭필): fin.shares.common_outstanding 159,155,279주 × 1/5(환산 — 2025Q4 1/5 병합; IAS 33.64 비교표시·수정주가 이력과 정합)</t>
      </text>
    </comment>
    <comment ref="N33" authorId="0" shapeId="0">
      <text>
        <t>추정(실적 구간 갭필): fin.shares.common_outstanding 159,155,279주 × 1/5(환산 — 2025Q4 1/5 병합; IAS 33.64 비교표시·수정주가 이력과 정합)</t>
      </text>
    </comment>
    <comment ref="O33" authorId="0" shapeId="0">
      <text>
        <t>추정(실적 구간 갭필): fin.shares.common_outstanding 159,155,279주 × 1/5(환산 — 2025Q4 1/5 병합; IAS 33.64 비교표시·수정주가 이력과 정합)</t>
      </text>
    </comment>
    <comment ref="Q33" authorId="0" shapeId="0">
      <text>
        <t>추정(실적 구간 갭필): fin.shares.common_outstanding 159,155,279주 × 1/5(환산 — 2025Q4 1/5 병합; IAS 33.64 비교표시·수정주가 이력과 정합)</t>
      </text>
    </comment>
    <comment ref="R33" authorId="0" shapeId="0">
      <text>
        <t>추정(실적 구간 갭필): fin.shares.common_outstanding 159,155,279주 × 1/5(환산 — 2025Q4 1/5 병합; IAS 33.64 비교표시·수정주가 이력과 정합)</t>
      </text>
    </comment>
    <comment ref="S33" authorId="0" shapeId="0">
      <text>
        <t>추정(실적 구간 갭필): fin.shares.common_outstanding 159,155,279주 × 1/5(환산 — 2025Q4 1/5 병합; IAS 33.64 비교표시·수정주가 이력과 정합)</t>
      </text>
    </comment>
    <comment ref="T33" authorId="0" shapeId="0">
      <text>
        <t>추정(실적 구간 갭필): fin.shares.common_outstanding 159,155,279주 × 1/5(환산 — 2025Q4 1/5 병합; IAS 33.64 비교표시·수정주가 이력과 정합)</t>
      </text>
    </comment>
    <comment ref="V33" authorId="0" shapeId="0">
      <text>
        <t>추정(실적 구간 갭필): fin.shares.common_outstanding 159,155,279주 × 1/5(환산 — 2025Q4 1/5 병합; IAS 33.64 비교표시·수정주가 이력과 정합)</t>
      </text>
    </comment>
    <comment ref="W33" authorId="0" shapeId="0">
      <text>
        <t>추정(실적 구간 갭필): fin.shares.common_outstanding 175,565,535주 × 1/5(환산 — 2025Q4 1/5 병합; IAS 33.64 비교표시·수정주가 이력과 정합)</t>
      </text>
    </comment>
    <comment ref="X33" authorId="0" shapeId="0">
      <text>
        <t>추정(실적 구간 갭필): fin.shares.common_outstanding 179,668,081주 × 1/5(환산 — 2025Q4 1/5 병합; IAS 33.64 비교표시·수정주가 이력과 정합)</t>
      </text>
    </comment>
    <comment ref="Y33" authorId="0" shapeId="0">
      <text>
        <t>실측(계정 매핑 없음(파생·부문·시세 행) — 모델값 직접) — fin.shares.common_outstanding</t>
      </text>
    </comment>
    <comment ref="AA33" authorId="0" shapeId="0">
      <text>
        <t>실측(계정 매핑 없음(파생·부문·시세 행) — 모델값 직접) — fin.shares.common_outstanding</t>
      </text>
    </comment>
    <comment ref="AB33" authorId="0" shapeId="0">
      <text>
        <t>실측(계정 매핑 없음(파생·부문·시세 행) — 모델값 직접) — fin.shares.common_outstanding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AF33" authorId="0" shapeId="0">
      <text>
        <t>추정: 유통주식수 유지 — fin.shares.common_outstanding(2026Q2)
[qoq]</t>
      </text>
    </comment>
    <comment ref="AG33" authorId="0" shapeId="0">
      <text>
        <t>추정: 유통주식수 유지 — fin.shares.common_outstanding(2026Q2)
[qoq]</t>
      </text>
    </comment>
    <comment ref="AH33" authorId="0" shapeId="0">
      <text>
        <t>추정: 유통주식수 유지 — fin.shares.common_outstanding(2026Q2)
[qoq]</t>
      </text>
    </comment>
    <comment ref="AI33" authorId="0" shapeId="0">
      <text>
        <t>추정: 유통주식수 유지 — fin.shares.common_outstanding(2026Q2)
[qoq]</t>
      </text>
    </comment>
    <comment ref="AK33" authorId="0" shapeId="0">
      <text>
        <t>추정: 유통주식수 유지 — fin.shares.common_outstanding(2026Q2)
[qoq]</t>
      </text>
    </comment>
    <comment ref="AL33" authorId="0" shapeId="0">
      <text>
        <t>추정: 유통주식수 유지 — fin.shares.common_outstanding(2026Q2)
[qoq]</t>
      </text>
    </comment>
    <comment ref="AM33" authorId="0" shapeId="0">
      <text>
        <t>추정: 유통주식수 유지 — fin.shares.common_outstanding(2026Q2)
[qoq]</t>
      </text>
    </comment>
    <comment ref="AN33" authorId="0" shapeId="0">
      <text>
        <t>추정: 유통주식수 유지 — fin.shares.common_outstanding(2026Q2)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0원 유지
[abs]</t>
      </text>
    </comment>
    <comment ref="AI36" authorId="0" shapeId="0">
      <text>
        <t>추정: 직전 결산 DPS 0원 유지
[abs]</t>
      </text>
    </comment>
    <comment ref="AN36" authorId="0" shapeId="0">
      <text>
        <t>추정: 직전 결산 DPS 0원 유지
[abs]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대창솔루션(096350)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12.97%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1.34% / 부채 4.18% — 이자손익 = (전분기 이자발생자산 × 자산이자율 − 전분기 총차입금 × 부채이자율)/4, 최소자승 역산(모델 assumptions [0.0136, 0.0418]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8">
      <c r="A28" t="inlineStr">
        <is>
          <t>· 밸류에이션 — PER 밴드 10.0/15.0/20.0배(sector_default(레퍼런스 TP_PE PB 예시 10/15/20배; 과거 PER 중위 105.0배가 3~40 밖(턴어라운드 왜곡)))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assets/models/096350.json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지배주주순이익 face 누락 분기는 당기순이익 − 비지배 로 파생: 2024Q3, 2024Q4 / 주식수 사건 환산: 2025Q4 1/5 병합(eps_reported 교차검증 confirmed) → 사건 전 실적 16분기의 주식수·EPS·BPS·DPS 를 비율 환산(IAS 33.64; 셀 kind estimate, basis 에 원주식수·비율)</t>
        </is>
      </c>
    </row>
    <row r="34">
      <c r="A34" t="inlineStr">
        <is>
          <t>백테스트: {"freeze": "2025Q2", "horizon": 4, "revenue_wape_pct": 37.4, "op_wape_pct": 99.6,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109.34, "rev_act": 171.56, "op_pred": 0.07, "op_act": 11.72}, {"q": "2025Q4", "rev_pred": 149.49, "rev_act": 177.73, "op_pred": 0.09, "op_act": 1.71}, {"q": "2026Q1", "rev_pred": 87.38, "rev_act": 212.48, "op_pred": 0.05, "op_act": 14.82}, {"q": "2026Q2", "rev_pred": 123.68, "rev_act": 188.86, "op_pred": 0.08, "op_act": -1.36}]}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1342.11</v>
      </c>
      <c r="AE6" s="17" t="n">
        <v>1454.27</v>
      </c>
      <c r="AF6" s="16" t="n">
        <v>1332.1</v>
      </c>
      <c r="AG6" s="16" t="n">
        <v>1332.1</v>
      </c>
      <c r="AH6" s="16" t="n">
        <v>1332.1</v>
      </c>
      <c r="AI6" s="16" t="n">
        <v>1332.1</v>
      </c>
      <c r="AJ6" s="11" t="n"/>
      <c r="AK6" s="16" t="n">
        <v>1332.1</v>
      </c>
      <c r="AL6" s="16" t="n">
        <v>1332.1</v>
      </c>
      <c r="AM6" s="16" t="n">
        <v>1332.1</v>
      </c>
      <c r="AN6" s="16" t="n">
        <v>1332.1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1332.1</v>
      </c>
      <c r="AE7" s="17" t="n">
        <v>1332.1</v>
      </c>
      <c r="AF7" s="16" t="n">
        <v>1332.1</v>
      </c>
      <c r="AG7" s="16" t="n">
        <v>1332.1</v>
      </c>
      <c r="AH7" s="16" t="n">
        <v>1332.1</v>
      </c>
      <c r="AI7" s="16" t="n">
        <v>1332.1</v>
      </c>
      <c r="AJ7" s="11" t="n"/>
      <c r="AK7" s="16" t="n">
        <v>1332.1</v>
      </c>
      <c r="AL7" s="16" t="n">
        <v>1332.1</v>
      </c>
      <c r="AM7" s="16" t="n">
        <v>1332.1</v>
      </c>
      <c r="AN7" s="16" t="n">
        <v>1332.1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848.59</v>
      </c>
      <c r="AE8" s="17" t="n">
        <v>917.39</v>
      </c>
      <c r="AF8" s="16" t="n">
        <v>842.99</v>
      </c>
      <c r="AG8" s="16" t="n">
        <v>842.99</v>
      </c>
      <c r="AH8" s="16" t="n">
        <v>842.99</v>
      </c>
      <c r="AI8" s="16" t="n">
        <v>842.99</v>
      </c>
      <c r="AJ8" s="11" t="n"/>
      <c r="AK8" s="16" t="n">
        <v>842.99</v>
      </c>
      <c r="AL8" s="16" t="n">
        <v>842.99</v>
      </c>
      <c r="AM8" s="16" t="n">
        <v>842.99</v>
      </c>
      <c r="AN8" s="16" t="n">
        <v>842.99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842.99</v>
      </c>
      <c r="AE9" s="17" t="n">
        <v>842.99</v>
      </c>
      <c r="AF9" s="16" t="n">
        <v>842.99</v>
      </c>
      <c r="AG9" s="16" t="n">
        <v>842.99</v>
      </c>
      <c r="AH9" s="16" t="n">
        <v>842.99</v>
      </c>
      <c r="AI9" s="16" t="n">
        <v>842.99</v>
      </c>
      <c r="AJ9" s="11" t="n"/>
      <c r="AK9" s="16" t="n">
        <v>842.99</v>
      </c>
      <c r="AL9" s="16" t="n">
        <v>842.99</v>
      </c>
      <c r="AM9" s="16" t="n">
        <v>842.99</v>
      </c>
      <c r="AN9" s="16" t="n">
        <v>842.99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1505.3</v>
      </c>
      <c r="AE10" s="17" t="n">
        <v>1685.25</v>
      </c>
      <c r="AF10" s="16" t="n">
        <v>1499.02</v>
      </c>
      <c r="AG10" s="16" t="n">
        <v>1499.02</v>
      </c>
      <c r="AH10" s="16" t="n">
        <v>1499.02</v>
      </c>
      <c r="AI10" s="16" t="n">
        <v>1499.02</v>
      </c>
      <c r="AJ10" s="11" t="n"/>
      <c r="AK10" s="16" t="n">
        <v>1499.02</v>
      </c>
      <c r="AL10" s="16" t="n">
        <v>1499.02</v>
      </c>
      <c r="AM10" s="16" t="n">
        <v>1499.02</v>
      </c>
      <c r="AN10" s="16" t="n">
        <v>1499.02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1499.02</v>
      </c>
      <c r="AE11" s="17" t="n">
        <v>1499.02</v>
      </c>
      <c r="AF11" s="16" t="n">
        <v>1499.02</v>
      </c>
      <c r="AG11" s="16" t="n">
        <v>1499.02</v>
      </c>
      <c r="AH11" s="16" t="n">
        <v>1499.02</v>
      </c>
      <c r="AI11" s="16" t="n">
        <v>1499.02</v>
      </c>
      <c r="AJ11" s="11" t="n"/>
      <c r="AK11" s="16" t="n">
        <v>1499.02</v>
      </c>
      <c r="AL11" s="16" t="n">
        <v>1499.02</v>
      </c>
      <c r="AM11" s="16" t="n">
        <v>1499.02</v>
      </c>
      <c r="AN11" s="16" t="n">
        <v>1499.02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200.38</v>
      </c>
      <c r="AE12" s="17" t="n">
        <v>213.41</v>
      </c>
      <c r="AF12" s="16" t="n">
        <v>199.23</v>
      </c>
      <c r="AG12" s="16" t="n">
        <v>199.23</v>
      </c>
      <c r="AH12" s="16" t="n">
        <v>199.23</v>
      </c>
      <c r="AI12" s="16" t="n">
        <v>199.23</v>
      </c>
      <c r="AJ12" s="11" t="n"/>
      <c r="AK12" s="16" t="n">
        <v>199.23</v>
      </c>
      <c r="AL12" s="16" t="n">
        <v>199.23</v>
      </c>
      <c r="AM12" s="16" t="n">
        <v>199.23</v>
      </c>
      <c r="AN12" s="16" t="n">
        <v>199.23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199.23</v>
      </c>
      <c r="AE13" s="17" t="n">
        <v>199.23</v>
      </c>
      <c r="AF13" s="16" t="n">
        <v>199.23</v>
      </c>
      <c r="AG13" s="16" t="n">
        <v>199.23</v>
      </c>
      <c r="AH13" s="16" t="n">
        <v>199.23</v>
      </c>
      <c r="AI13" s="16" t="n">
        <v>199.23</v>
      </c>
      <c r="AJ13" s="11" t="n"/>
      <c r="AK13" s="16" t="n">
        <v>199.23</v>
      </c>
      <c r="AL13" s="16" t="n">
        <v>199.23</v>
      </c>
      <c r="AM13" s="16" t="n">
        <v>199.23</v>
      </c>
      <c r="AN13" s="16" t="n">
        <v>199.23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2490</v>
      </c>
      <c r="F15" s="9" t="n"/>
      <c r="G15" s="18" t="n">
        <v>2460</v>
      </c>
      <c r="H15" s="18" t="n">
        <v>2050</v>
      </c>
      <c r="I15" s="18" t="n">
        <v>1465</v>
      </c>
      <c r="J15" s="18" t="n">
        <v>1520</v>
      </c>
      <c r="K15" s="9" t="n"/>
      <c r="L15" s="18" t="n">
        <v>1470</v>
      </c>
      <c r="M15" s="18" t="n">
        <v>3390</v>
      </c>
      <c r="N15" s="18" t="n">
        <v>2830</v>
      </c>
      <c r="O15" s="18" t="n">
        <v>2180</v>
      </c>
      <c r="P15" s="9" t="n"/>
      <c r="Q15" s="18" t="n">
        <v>2370</v>
      </c>
      <c r="R15" s="18" t="n">
        <v>2105</v>
      </c>
      <c r="S15" s="18" t="n">
        <v>1935</v>
      </c>
      <c r="T15" s="18" t="n">
        <v>1540</v>
      </c>
      <c r="U15" s="9" t="n"/>
      <c r="V15" s="18" t="n">
        <v>1650</v>
      </c>
      <c r="W15" s="18" t="n">
        <v>2825</v>
      </c>
      <c r="X15" s="18" t="n">
        <v>2260</v>
      </c>
      <c r="Y15" s="18" t="n">
        <v>2335</v>
      </c>
      <c r="Z15" s="9" t="n"/>
      <c r="AA15" s="18" t="n">
        <v>3115</v>
      </c>
      <c r="AB15" s="19" t="n">
        <v>1658</v>
      </c>
      <c r="AC15" s="20" t="n">
        <v>1859</v>
      </c>
      <c r="AD15" s="20" t="n">
        <v>1772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3275</v>
      </c>
      <c r="F16" s="9" t="n"/>
      <c r="G16" s="18" t="n">
        <v>2725</v>
      </c>
      <c r="H16" s="18" t="n">
        <v>2880</v>
      </c>
      <c r="I16" s="18" t="n">
        <v>2400</v>
      </c>
      <c r="J16" s="18" t="n">
        <v>2395</v>
      </c>
      <c r="K16" s="9" t="n"/>
      <c r="L16" s="18" t="n">
        <v>1835</v>
      </c>
      <c r="M16" s="18" t="n">
        <v>4030</v>
      </c>
      <c r="N16" s="18" t="n">
        <v>4015</v>
      </c>
      <c r="O16" s="18" t="n">
        <v>2870</v>
      </c>
      <c r="P16" s="9" t="n"/>
      <c r="Q16" s="18" t="n">
        <v>2700</v>
      </c>
      <c r="R16" s="18" t="n">
        <v>2600</v>
      </c>
      <c r="S16" s="18" t="n">
        <v>2190</v>
      </c>
      <c r="T16" s="18" t="n">
        <v>1985</v>
      </c>
      <c r="U16" s="9" t="n"/>
      <c r="V16" s="18" t="n">
        <v>2185</v>
      </c>
      <c r="W16" s="18" t="n">
        <v>3355</v>
      </c>
      <c r="X16" s="18" t="n">
        <v>3020</v>
      </c>
      <c r="Y16" s="18" t="n">
        <v>3170</v>
      </c>
      <c r="Z16" s="9" t="n"/>
      <c r="AA16" s="18" t="n">
        <v>4180</v>
      </c>
      <c r="AB16" s="19" t="n">
        <v>3355</v>
      </c>
      <c r="AC16" s="20" t="n">
        <v>2345</v>
      </c>
      <c r="AD16" s="20" t="n">
        <v>1932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2255</v>
      </c>
      <c r="F17" s="9" t="n"/>
      <c r="G17" s="18" t="n">
        <v>1995</v>
      </c>
      <c r="H17" s="18" t="n">
        <v>1940</v>
      </c>
      <c r="I17" s="18" t="n">
        <v>1365</v>
      </c>
      <c r="J17" s="18" t="n">
        <v>1045</v>
      </c>
      <c r="K17" s="9" t="n"/>
      <c r="L17" s="18" t="n">
        <v>1305</v>
      </c>
      <c r="M17" s="18" t="n">
        <v>1425</v>
      </c>
      <c r="N17" s="18" t="n">
        <v>2690</v>
      </c>
      <c r="O17" s="18" t="n">
        <v>1990</v>
      </c>
      <c r="P17" s="9" t="n"/>
      <c r="Q17" s="18" t="n">
        <v>2000</v>
      </c>
      <c r="R17" s="18" t="n">
        <v>2040</v>
      </c>
      <c r="S17" s="18" t="n">
        <v>1600</v>
      </c>
      <c r="T17" s="18" t="n">
        <v>1460</v>
      </c>
      <c r="U17" s="9" t="n"/>
      <c r="V17" s="18" t="n">
        <v>1530</v>
      </c>
      <c r="W17" s="18" t="n">
        <v>1580</v>
      </c>
      <c r="X17" s="18" t="n">
        <v>2010</v>
      </c>
      <c r="Y17" s="18" t="n">
        <v>1976</v>
      </c>
      <c r="Z17" s="9" t="n"/>
      <c r="AA17" s="18" t="n">
        <v>1800</v>
      </c>
      <c r="AB17" s="19" t="n">
        <v>1554</v>
      </c>
      <c r="AC17" s="20" t="n">
        <v>1348</v>
      </c>
      <c r="AD17" s="20" t="n">
        <v>1562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2643.4</v>
      </c>
      <c r="F18" s="9" t="n"/>
      <c r="G18" s="18" t="n">
        <v>2334.7</v>
      </c>
      <c r="H18" s="18" t="n">
        <v>2440.5</v>
      </c>
      <c r="I18" s="18" t="n">
        <v>1978.6</v>
      </c>
      <c r="J18" s="18" t="n">
        <v>1571.3</v>
      </c>
      <c r="K18" s="9" t="n"/>
      <c r="L18" s="18" t="n">
        <v>1520.3</v>
      </c>
      <c r="M18" s="18" t="n">
        <v>2171.1</v>
      </c>
      <c r="N18" s="18" t="n">
        <v>3187.4</v>
      </c>
      <c r="O18" s="18" t="n">
        <v>2338</v>
      </c>
      <c r="P18" s="9" t="n"/>
      <c r="Q18" s="18" t="n">
        <v>2297.1</v>
      </c>
      <c r="R18" s="18" t="n">
        <v>2261.4</v>
      </c>
      <c r="S18" s="18" t="n">
        <v>1929.6</v>
      </c>
      <c r="T18" s="18" t="n">
        <v>1731.6</v>
      </c>
      <c r="U18" s="9" t="n"/>
      <c r="V18" s="18" t="n">
        <v>1700.9</v>
      </c>
      <c r="W18" s="18" t="n">
        <v>1980.9</v>
      </c>
      <c r="X18" s="18" t="n">
        <v>2279</v>
      </c>
      <c r="Y18" s="18" t="n">
        <v>2250.2</v>
      </c>
      <c r="Z18" s="9" t="n"/>
      <c r="AA18" s="18" t="n">
        <v>2469.6</v>
      </c>
      <c r="AB18" s="19" t="n">
        <v>2517.8</v>
      </c>
      <c r="AC18" s="20" t="n">
        <v>1800.6</v>
      </c>
      <c r="AD18" s="20" t="n">
        <v>1808.2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0.200541631</v>
      </c>
      <c r="AD21" s="24" t="n">
        <v>0.381975355</v>
      </c>
      <c r="AE21" s="25" t="n"/>
      <c r="AF21" s="24" t="n">
        <v>0.047034422</v>
      </c>
      <c r="AG21" s="24" t="n">
        <v>0.202590929</v>
      </c>
      <c r="AH21" s="24" t="n">
        <v>0.186104098</v>
      </c>
      <c r="AI21" s="24" t="n">
        <v>0.169733735</v>
      </c>
      <c r="AJ21" s="25" t="n"/>
      <c r="AK21" s="24" t="n">
        <v>0.182316717</v>
      </c>
      <c r="AL21" s="24" t="n">
        <v>0.208171892</v>
      </c>
      <c r="AM21" s="24" t="n">
        <v>0.231691842</v>
      </c>
      <c r="AN21" s="24" t="n">
        <v>0.231666145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0.001213828</v>
      </c>
      <c r="AD23" s="24" t="n">
        <v>0.001221399</v>
      </c>
      <c r="AE23" s="25">
        <f>IFERROR(subQ!AE9/subQ!AE5,"")</f>
        <v/>
      </c>
      <c r="AF23" s="24" t="n">
        <v>0.001213647</v>
      </c>
      <c r="AG23" s="24" t="n">
        <v>0.001232828</v>
      </c>
      <c r="AH23" s="24" t="n">
        <v>0.001228049</v>
      </c>
      <c r="AI23" s="24" t="n">
        <v>0.001218196</v>
      </c>
      <c r="AJ23" s="25">
        <f>IFERROR(subQ!AJ9/subQ!AJ5,"")</f>
        <v/>
      </c>
      <c r="AK23" s="24" t="n">
        <v>0.001216591</v>
      </c>
      <c r="AL23" s="24" t="n">
        <v>0.001239067</v>
      </c>
      <c r="AM23" s="24" t="n">
        <v>0.001229685</v>
      </c>
      <c r="AN23" s="24" t="n">
        <v>0.001215136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ratio</t>
        </is>
      </c>
      <c r="C28" t="inlineStr">
        <is>
          <t>법인세율(/세전)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4" t="n">
        <v>-0</v>
      </c>
      <c r="AD28" s="24" t="n">
        <v>-0</v>
      </c>
      <c r="AE28" s="25">
        <f>IFERROR(subQ!AE18/subQ!AE17,"")</f>
        <v/>
      </c>
      <c r="AF28" s="24" t="n">
        <v>-0</v>
      </c>
      <c r="AG28" s="24" t="n">
        <v>-0</v>
      </c>
      <c r="AH28" s="24" t="n">
        <v>-0</v>
      </c>
      <c r="AI28" s="24" t="n">
        <v>-0</v>
      </c>
      <c r="AJ28" s="25">
        <f>IFERROR(subQ!AJ18/subQ!AJ17,"")</f>
        <v/>
      </c>
      <c r="AK28" s="24" t="n">
        <v>-0</v>
      </c>
      <c r="AL28" s="24" t="n">
        <v>-0</v>
      </c>
      <c r="AM28" s="24" t="n">
        <v>-0</v>
      </c>
      <c r="AN28" s="24" t="n">
        <v>-0</v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$D$53</f>
        <v/>
      </c>
      <c r="AD29" s="26">
        <f>$D$53</f>
        <v/>
      </c>
      <c r="AE29" s="25">
        <f>IFERROR(subQ!AE20/subQ!AE19,"")</f>
        <v/>
      </c>
      <c r="AF29" s="26">
        <f>$D$53</f>
        <v/>
      </c>
      <c r="AG29" s="26">
        <f>$D$53</f>
        <v/>
      </c>
      <c r="AH29" s="26">
        <f>$D$53</f>
        <v/>
      </c>
      <c r="AI29" s="26">
        <f>$D$53</f>
        <v/>
      </c>
      <c r="AJ29" s="25">
        <f>IFERROR(subQ!AJ20/subQ!AJ19,"")</f>
        <v/>
      </c>
      <c r="AK29" s="26">
        <f>$D$53</f>
        <v/>
      </c>
      <c r="AL29" s="26">
        <f>$D$53</f>
        <v/>
      </c>
      <c r="AM29" s="26">
        <f>$D$53</f>
        <v/>
      </c>
      <c r="AN29" s="26">
        <f>$D$53</f>
        <v/>
      </c>
      <c r="AO29" s="25">
        <f>IFERROR(subQ!AO20/subQ!AO19,"")</f>
        <v/>
      </c>
    </row>
    <row r="30">
      <c r="A30" s="12" t="inlineStr">
        <is>
          <t>drv:감가상각비</t>
        </is>
      </c>
      <c r="B30" s="2" t="inlineStr">
        <is>
          <t>abs</t>
        </is>
      </c>
      <c r="C30" t="inlineStr">
        <is>
          <t>감가상각비 (가정, 억원)</t>
        </is>
      </c>
      <c r="E30" s="27">
        <f>subQ!E21</f>
        <v/>
      </c>
      <c r="F30" s="28">
        <f>subQ!F21</f>
        <v/>
      </c>
      <c r="G30" s="27">
        <f>subQ!G21</f>
        <v/>
      </c>
      <c r="H30" s="27">
        <f>subQ!H21</f>
        <v/>
      </c>
      <c r="I30" s="27">
        <f>subQ!I21</f>
        <v/>
      </c>
      <c r="J30" s="27">
        <f>subQ!J21</f>
        <v/>
      </c>
      <c r="K30" s="28">
        <f>subQ!K21</f>
        <v/>
      </c>
      <c r="L30" s="27">
        <f>subQ!L21</f>
        <v/>
      </c>
      <c r="M30" s="27">
        <f>subQ!M21</f>
        <v/>
      </c>
      <c r="N30" s="27">
        <f>subQ!N21</f>
        <v/>
      </c>
      <c r="O30" s="27">
        <f>subQ!O21</f>
        <v/>
      </c>
      <c r="P30" s="28">
        <f>subQ!P21</f>
        <v/>
      </c>
      <c r="Q30" s="27">
        <f>subQ!Q21</f>
        <v/>
      </c>
      <c r="R30" s="27">
        <f>subQ!R21</f>
        <v/>
      </c>
      <c r="S30" s="27">
        <f>subQ!S21</f>
        <v/>
      </c>
      <c r="T30" s="27">
        <f>subQ!T21</f>
        <v/>
      </c>
      <c r="U30" s="28">
        <f>subQ!U21</f>
        <v/>
      </c>
      <c r="V30" s="27">
        <f>subQ!V21</f>
        <v/>
      </c>
      <c r="W30" s="27">
        <f>subQ!W21</f>
        <v/>
      </c>
      <c r="X30" s="27">
        <f>subQ!X21</f>
        <v/>
      </c>
      <c r="Y30" s="27">
        <f>subQ!Y21</f>
        <v/>
      </c>
      <c r="Z30" s="28">
        <f>subQ!Z21</f>
        <v/>
      </c>
      <c r="AA30" s="27">
        <f>subQ!AA21</f>
        <v/>
      </c>
      <c r="AB30" s="29">
        <f>subQ!AB21</f>
        <v/>
      </c>
      <c r="AC30" s="30" t="n">
        <v>2.55</v>
      </c>
      <c r="AD30" s="30" t="n">
        <v>2.55</v>
      </c>
      <c r="AE30" s="31">
        <f>subQ!AE21</f>
        <v/>
      </c>
      <c r="AF30" s="30" t="n">
        <v>2.55</v>
      </c>
      <c r="AG30" s="30" t="n">
        <v>2.55</v>
      </c>
      <c r="AH30" s="30" t="n">
        <v>2.55</v>
      </c>
      <c r="AI30" s="30" t="n">
        <v>2.55</v>
      </c>
      <c r="AJ30" s="31">
        <f>subQ!AJ21</f>
        <v/>
      </c>
      <c r="AK30" s="30" t="n">
        <v>2.55</v>
      </c>
      <c r="AL30" s="30" t="n">
        <v>2.55</v>
      </c>
      <c r="AM30" s="30" t="n">
        <v>2.55</v>
      </c>
      <c r="AN30" s="30" t="n">
        <v>2.55</v>
      </c>
      <c r="AO30" s="31">
        <f>subQ!AO21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IFERROR(subQ!G24/subQ!E24-1,"")</f>
        <v/>
      </c>
      <c r="H31" s="21">
        <f>IFERROR(subQ!H24/subQ!G24-1,"")</f>
        <v/>
      </c>
      <c r="I31" s="21">
        <f>IFERROR(subQ!I24/subQ!H24-1,"")</f>
        <v/>
      </c>
      <c r="J31" s="21">
        <f>IFERROR(subQ!J24/subQ!I24-1,"")</f>
        <v/>
      </c>
      <c r="K31" s="22" t="n"/>
      <c r="L31" s="21">
        <f>IFERROR(subQ!L24/subQ!J24-1,"")</f>
        <v/>
      </c>
      <c r="M31" s="21">
        <f>IFERROR(subQ!M24/subQ!L24-1,"")</f>
        <v/>
      </c>
      <c r="N31" s="21">
        <f>IFERROR(subQ!N24/subQ!M24-1,"")</f>
        <v/>
      </c>
      <c r="O31" s="21">
        <f>IFERROR(subQ!O24/subQ!N24-1,"")</f>
        <v/>
      </c>
      <c r="P31" s="22" t="n"/>
      <c r="Q31" s="21">
        <f>IFERROR(subQ!Q24/subQ!O24-1,"")</f>
        <v/>
      </c>
      <c r="R31" s="21">
        <f>IFERROR(subQ!R24/subQ!Q24-1,"")</f>
        <v/>
      </c>
      <c r="S31" s="21">
        <f>IFERROR(subQ!S24/subQ!R24-1,"")</f>
        <v/>
      </c>
      <c r="T31" s="21">
        <f>IFERROR(subQ!T24/subQ!S24-1,"")</f>
        <v/>
      </c>
      <c r="U31" s="22" t="n"/>
      <c r="V31" s="21">
        <f>IFERROR(subQ!V24/subQ!T24-1,"")</f>
        <v/>
      </c>
      <c r="W31" s="21">
        <f>IFERROR(subQ!W24/subQ!V24-1,"")</f>
        <v/>
      </c>
      <c r="X31" s="21">
        <f>IFERROR(subQ!X24/subQ!W24-1,"")</f>
        <v/>
      </c>
      <c r="Y31" s="21">
        <f>IFERROR(subQ!Y24/subQ!X24-1,"")</f>
        <v/>
      </c>
      <c r="Z31" s="22" t="n"/>
      <c r="AA31" s="21">
        <f>IFERROR(subQ!AA24/subQ!Y24-1,"")</f>
        <v/>
      </c>
      <c r="AB31" s="23">
        <f>IFERROR(subQ!AB24/subQ!AA24-1,"")</f>
        <v/>
      </c>
      <c r="AC31" s="24" t="n">
        <v>-5.27e-07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IFERROR(subQ!E25+subQ!G19-subQ!G25,"")</f>
        <v/>
      </c>
      <c r="H32" s="27">
        <f>IFERROR(subQ!G25+subQ!H19-subQ!H25,"")</f>
        <v/>
      </c>
      <c r="I32" s="27">
        <f>IFERROR(subQ!H25+subQ!I19-subQ!I25,"")</f>
        <v/>
      </c>
      <c r="J32" s="27">
        <f>IFERROR(subQ!I25+subQ!J19-subQ!J25,"")</f>
        <v/>
      </c>
      <c r="K32" s="28" t="n"/>
      <c r="L32" s="27">
        <f>IFERROR(subQ!J25+subQ!L19-subQ!L25,"")</f>
        <v/>
      </c>
      <c r="M32" s="27">
        <f>IFERROR(subQ!L25+subQ!M19-subQ!M25,"")</f>
        <v/>
      </c>
      <c r="N32" s="27">
        <f>IFERROR(subQ!M25+subQ!N19-subQ!N25,"")</f>
        <v/>
      </c>
      <c r="O32" s="27">
        <f>IFERROR(subQ!N25+subQ!O19-subQ!O25,"")</f>
        <v/>
      </c>
      <c r="P32" s="28" t="n"/>
      <c r="Q32" s="27">
        <f>IFERROR(subQ!O25+subQ!Q19-subQ!Q25,"")</f>
        <v/>
      </c>
      <c r="R32" s="27">
        <f>IFERROR(subQ!Q25+subQ!R19-subQ!R25,"")</f>
        <v/>
      </c>
      <c r="S32" s="27">
        <f>IFERROR(subQ!R25+subQ!S19-subQ!S25,"")</f>
        <v/>
      </c>
      <c r="T32" s="27">
        <f>IFERROR(subQ!S25+subQ!T19-subQ!T25,"")</f>
        <v/>
      </c>
      <c r="U32" s="28" t="n"/>
      <c r="V32" s="27">
        <f>IFERROR(subQ!T25+subQ!V19-subQ!V25,"")</f>
        <v/>
      </c>
      <c r="W32" s="27">
        <f>IFERROR(subQ!V25+subQ!W19-subQ!W25,"")</f>
        <v/>
      </c>
      <c r="X32" s="27">
        <f>IFERROR(subQ!W25+subQ!X19-subQ!X25,"")</f>
        <v/>
      </c>
      <c r="Y32" s="27">
        <f>IFERROR(subQ!X25+subQ!Y19-subQ!Y25,"")</f>
        <v/>
      </c>
      <c r="Z32" s="28" t="n"/>
      <c r="AA32" s="27">
        <f>IFERROR(subQ!Y25+subQ!AA19-subQ!AA25,"")</f>
        <v/>
      </c>
      <c r="AB32" s="29">
        <f>IFERROR(subQ!AA25+subQ!AB19-subQ!AB25,"")</f>
        <v/>
      </c>
      <c r="AC32" s="30" t="n">
        <v>0.003104454</v>
      </c>
      <c r="AD32" s="30" t="n">
        <v>-8.7193e-05</v>
      </c>
      <c r="AE32" s="31" t="n"/>
      <c r="AF32" s="30" t="n">
        <v>-0.009884698000000001</v>
      </c>
      <c r="AG32" s="30" t="n">
        <v>0.010116286</v>
      </c>
      <c r="AH32" s="30" t="n">
        <v>8.4064e-05</v>
      </c>
      <c r="AI32" s="30" t="n">
        <v>5.1448e-05</v>
      </c>
      <c r="AJ32" s="31" t="n"/>
      <c r="AK32" s="30" t="n">
        <v>0.000119734</v>
      </c>
      <c r="AL32" s="30" t="n">
        <v>2.026e-05</v>
      </c>
      <c r="AM32" s="30" t="n">
        <v>0.009920666999999999</v>
      </c>
      <c r="AN32" s="30" t="n">
        <v>-0.000145049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IFERROR(subQ!E26+subQ!G20-subQ!G26,"")</f>
        <v/>
      </c>
      <c r="H33" s="27">
        <f>IFERROR(subQ!G26+subQ!H20-subQ!H26,"")</f>
        <v/>
      </c>
      <c r="I33" s="27">
        <f>IFERROR(subQ!H26+subQ!I20-subQ!I26,"")</f>
        <v/>
      </c>
      <c r="J33" s="27">
        <f>IFERROR(subQ!I26+subQ!J20-subQ!J26,"")</f>
        <v/>
      </c>
      <c r="K33" s="28" t="n"/>
      <c r="L33" s="27">
        <f>IFERROR(subQ!J26+subQ!L20-subQ!L26,"")</f>
        <v/>
      </c>
      <c r="M33" s="27">
        <f>IFERROR(subQ!L26+subQ!M20-subQ!M26,"")</f>
        <v/>
      </c>
      <c r="N33" s="27">
        <f>IFERROR(subQ!M26+subQ!N20-subQ!N26,"")</f>
        <v/>
      </c>
      <c r="O33" s="27">
        <f>IFERROR(subQ!N26+subQ!O20-subQ!O26,"")</f>
        <v/>
      </c>
      <c r="P33" s="28" t="n"/>
      <c r="Q33" s="27">
        <f>IFERROR(subQ!O26+subQ!Q20-subQ!Q26,"")</f>
        <v/>
      </c>
      <c r="R33" s="27">
        <f>IFERROR(subQ!Q26+subQ!R20-subQ!R26,"")</f>
        <v/>
      </c>
      <c r="S33" s="27">
        <f>IFERROR(subQ!R26+subQ!S20-subQ!S26,"")</f>
        <v/>
      </c>
      <c r="T33" s="27">
        <f>IFERROR(subQ!S26+subQ!T20-subQ!T26,"")</f>
        <v/>
      </c>
      <c r="U33" s="28" t="n"/>
      <c r="V33" s="27">
        <f>IFERROR(subQ!T26+subQ!V20-subQ!V26,"")</f>
        <v/>
      </c>
      <c r="W33" s="27">
        <f>IFERROR(subQ!V26+subQ!W20-subQ!W26,"")</f>
        <v/>
      </c>
      <c r="X33" s="27">
        <f>IFERROR(subQ!W26+subQ!X20-subQ!X26,"")</f>
        <v/>
      </c>
      <c r="Y33" s="27">
        <f>IFERROR(subQ!X26+subQ!Y20-subQ!Y26,"")</f>
        <v/>
      </c>
      <c r="Z33" s="28" t="n"/>
      <c r="AA33" s="27">
        <f>IFERROR(subQ!Y26+subQ!AA20-subQ!AA26,"")</f>
        <v/>
      </c>
      <c r="AB33" s="29">
        <f>IFERROR(subQ!AA26+subQ!AB20-subQ!AB26,"")</f>
        <v/>
      </c>
      <c r="AC33" s="30" t="n">
        <v>0.000504454</v>
      </c>
      <c r="AD33" s="30" t="n">
        <v>-8.7193e-05</v>
      </c>
      <c r="AE33" s="31" t="n"/>
      <c r="AF33" s="30" t="n">
        <v>0.000115302</v>
      </c>
      <c r="AG33" s="30" t="n">
        <v>0.000116286</v>
      </c>
      <c r="AH33" s="30" t="n">
        <v>8.4064e-05</v>
      </c>
      <c r="AI33" s="30" t="n">
        <v>5.1448e-05</v>
      </c>
      <c r="AJ33" s="31" t="n"/>
      <c r="AK33" s="30" t="n">
        <v>0.000119734</v>
      </c>
      <c r="AL33" s="30" t="n">
        <v>0.01002026</v>
      </c>
      <c r="AM33" s="30" t="n">
        <v>-7.933299999999999e-05</v>
      </c>
      <c r="AN33" s="30" t="n">
        <v>-0.000145049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1">
        <f>IFERROR(subQ!R27/subQ!Q27-1,"")</f>
        <v/>
      </c>
      <c r="S34" s="21">
        <f>IFERROR(subQ!S27/subQ!R27-1,"")</f>
        <v/>
      </c>
      <c r="T34" s="21">
        <f>IFERROR(subQ!T27/subQ!S27-1,"")</f>
        <v/>
      </c>
      <c r="U34" s="22" t="n"/>
      <c r="V34" s="21">
        <f>IFERROR(subQ!V27/subQ!T27-1,"")</f>
        <v/>
      </c>
      <c r="W34" s="21">
        <f>IFERROR(subQ!W27/subQ!V27-1,"")</f>
        <v/>
      </c>
      <c r="X34" s="21">
        <f>IFERROR(subQ!X27/subQ!W27-1,"")</f>
        <v/>
      </c>
      <c r="Y34" s="21">
        <f>IFERROR(subQ!Y27/subQ!X27-1,"")</f>
        <v/>
      </c>
      <c r="Z34" s="22" t="n"/>
      <c r="AA34" s="21">
        <f>IFERROR(subQ!AA27/subQ!Y27-1,"")</f>
        <v/>
      </c>
      <c r="AB34" s="23">
        <f>IFERROR(subQ!AB27/subQ!AA27-1,"")</f>
        <v/>
      </c>
      <c r="AC34" s="24" t="n">
        <v>-5.486e-06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24" t="n">
        <v>0.010491073</v>
      </c>
      <c r="AD35" s="24" t="n">
        <v>0.010336505</v>
      </c>
      <c r="AE35" s="25" t="n"/>
      <c r="AF35" s="24" t="n">
        <v>0.010299998</v>
      </c>
      <c r="AG35" s="24" t="n">
        <v>0.010246393</v>
      </c>
      <c r="AH35" s="24" t="n">
        <v>0.010125509</v>
      </c>
      <c r="AI35" s="24" t="n">
        <v>0.009956848000000001</v>
      </c>
      <c r="AJ35" s="25" t="n"/>
      <c r="AK35" s="24" t="n">
        <v>0.009958437000000001</v>
      </c>
      <c r="AL35" s="24" t="n">
        <v>0.009860245</v>
      </c>
      <c r="AM35" s="24" t="n">
        <v>0.009763969000000001</v>
      </c>
      <c r="AN35" s="24" t="n">
        <v>0.009572699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IFERROR(subQ!G29/subQ!E29-1,"")</f>
        <v/>
      </c>
      <c r="H36" s="21">
        <f>IFERROR(subQ!H29/subQ!G29-1,"")</f>
        <v/>
      </c>
      <c r="I36" s="21">
        <f>IFERROR(subQ!I29/subQ!H29-1,"")</f>
        <v/>
      </c>
      <c r="J36" s="21">
        <f>IFERROR(subQ!J29/subQ!I29-1,"")</f>
        <v/>
      </c>
      <c r="K36" s="22" t="n"/>
      <c r="L36" s="21">
        <f>IFERROR(subQ!L29/subQ!J29-1,"")</f>
        <v/>
      </c>
      <c r="M36" s="21">
        <f>IFERROR(subQ!M29/subQ!L29-1,"")</f>
        <v/>
      </c>
      <c r="N36" s="21">
        <f>IFERROR(subQ!N29/subQ!M29-1,"")</f>
        <v/>
      </c>
      <c r="O36" s="21">
        <f>IFERROR(subQ!O29/subQ!N29-1,"")</f>
        <v/>
      </c>
      <c r="P36" s="22" t="n"/>
      <c r="Q36" s="21">
        <f>IFERROR(subQ!Q29/subQ!O29-1,"")</f>
        <v/>
      </c>
      <c r="R36" s="21">
        <f>IFERROR(subQ!R29/subQ!Q29-1,"")</f>
        <v/>
      </c>
      <c r="S36" s="21">
        <f>IFERROR(subQ!S29/subQ!R29-1,"")</f>
        <v/>
      </c>
      <c r="T36" s="21">
        <f>IFERROR(subQ!T29/subQ!S29-1,"")</f>
        <v/>
      </c>
      <c r="U36" s="22" t="n"/>
      <c r="V36" s="21">
        <f>IFERROR(subQ!V29/subQ!T29-1,"")</f>
        <v/>
      </c>
      <c r="W36" s="21">
        <f>IFERROR(subQ!W29/subQ!V29-1,"")</f>
        <v/>
      </c>
      <c r="X36" s="21">
        <f>IFERROR(subQ!X29/subQ!W29-1,"")</f>
        <v/>
      </c>
      <c r="Y36" s="21">
        <f>IFERROR(subQ!Y29/subQ!X29-1,"")</f>
        <v/>
      </c>
      <c r="Z36" s="22" t="n"/>
      <c r="AA36" s="21">
        <f>IFERROR(subQ!AA29/subQ!Y29-1,"")</f>
        <v/>
      </c>
      <c r="AB36" s="23">
        <f>IFERROR(subQ!AB29/subQ!AA29-1,"")</f>
        <v/>
      </c>
      <c r="AC36" s="24" t="n">
        <v>-0.035924541</v>
      </c>
      <c r="AD36" s="24" t="n">
        <v>-0.037009158</v>
      </c>
      <c r="AE36" s="25" t="n"/>
      <c r="AF36" s="24" t="n">
        <v>-0.038822303</v>
      </c>
      <c r="AG36" s="24" t="n">
        <v>-0.040458119</v>
      </c>
      <c r="AH36" s="24" t="n">
        <v>-0.042163995</v>
      </c>
      <c r="AI36" s="24" t="n">
        <v>-0.04379885</v>
      </c>
      <c r="AJ36" s="25" t="n"/>
      <c r="AK36" s="24" t="n">
        <v>-0.046190623</v>
      </c>
      <c r="AL36" s="24" t="n">
        <v>-0.04842752</v>
      </c>
      <c r="AM36" s="24" t="n">
        <v>-0.050807137</v>
      </c>
      <c r="AN36" s="24" t="n">
        <v>-0.053168636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IFERROR(subQ!G30/subQ!E30-1,"")</f>
        <v/>
      </c>
      <c r="H37" s="21">
        <f>IFERROR(subQ!H30/subQ!G30-1,"")</f>
        <v/>
      </c>
      <c r="I37" s="21">
        <f>IFERROR(subQ!I30/subQ!H30-1,"")</f>
        <v/>
      </c>
      <c r="J37" s="21">
        <f>IFERROR(subQ!J30/subQ!I30-1,"")</f>
        <v/>
      </c>
      <c r="K37" s="22" t="n"/>
      <c r="L37" s="21">
        <f>IFERROR(subQ!L30/subQ!J30-1,"")</f>
        <v/>
      </c>
      <c r="M37" s="21">
        <f>IFERROR(subQ!M30/subQ!L30-1,"")</f>
        <v/>
      </c>
      <c r="N37" s="21">
        <f>IFERROR(subQ!N30/subQ!M30-1,"")</f>
        <v/>
      </c>
      <c r="O37" s="21">
        <f>IFERROR(subQ!O30/subQ!N30-1,"")</f>
        <v/>
      </c>
      <c r="P37" s="22" t="n"/>
      <c r="Q37" s="21">
        <f>IFERROR(subQ!Q30/subQ!O30-1,"")</f>
        <v/>
      </c>
      <c r="R37" s="21">
        <f>IFERROR(subQ!R30/subQ!Q30-1,"")</f>
        <v/>
      </c>
      <c r="S37" s="21">
        <f>IFERROR(subQ!S30/subQ!R30-1,"")</f>
        <v/>
      </c>
      <c r="T37" s="21">
        <f>IFERROR(subQ!T30/subQ!S30-1,"")</f>
        <v/>
      </c>
      <c r="U37" s="22" t="n"/>
      <c r="V37" s="21">
        <f>IFERROR(subQ!V30/subQ!T30-1,"")</f>
        <v/>
      </c>
      <c r="W37" s="21">
        <f>IFERROR(subQ!W30/subQ!V30-1,"")</f>
        <v/>
      </c>
      <c r="X37" s="21">
        <f>IFERROR(subQ!X30/subQ!W30-1,"")</f>
        <v/>
      </c>
      <c r="Y37" s="21">
        <f>IFERROR(subQ!Y30/subQ!X30-1,"")</f>
        <v/>
      </c>
      <c r="Z37" s="22" t="n"/>
      <c r="AA37" s="21">
        <f>IFERROR(subQ!AA30/subQ!Y30-1,"")</f>
        <v/>
      </c>
      <c r="AB37" s="23">
        <f>IFERROR(subQ!AB30/subQ!AA30-1,"")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IFERROR(subQ!J31/subQ!E31-1,"")</f>
        <v/>
      </c>
      <c r="K38" s="22" t="n"/>
      <c r="L38" s="21">
        <f>IFERROR(subQ!L31/subQ!G31-1,"")</f>
        <v/>
      </c>
      <c r="M38" s="21">
        <f>IFERROR(subQ!M31/subQ!H31-1,"")</f>
        <v/>
      </c>
      <c r="N38" s="21">
        <f>IFERROR(subQ!N31/subQ!I31-1,"")</f>
        <v/>
      </c>
      <c r="O38" s="21">
        <f>IFERROR(subQ!O31/subQ!J31-1,"")</f>
        <v/>
      </c>
      <c r="P38" s="22" t="n"/>
      <c r="Q38" s="21">
        <f>IFERROR(subQ!Q31/subQ!L31-1,"")</f>
        <v/>
      </c>
      <c r="R38" s="21">
        <f>IFERROR(subQ!R31/subQ!M31-1,"")</f>
        <v/>
      </c>
      <c r="S38" s="21">
        <f>IFERROR(subQ!S31/subQ!N31-1,"")</f>
        <v/>
      </c>
      <c r="T38" s="21">
        <f>IFERROR(subQ!T31/subQ!O31-1,"")</f>
        <v/>
      </c>
      <c r="U38" s="22" t="n"/>
      <c r="V38" s="21">
        <f>IFERROR(subQ!V31/subQ!Q31-1,"")</f>
        <v/>
      </c>
      <c r="W38" s="21">
        <f>IFERROR(subQ!W31/subQ!R31-1,"")</f>
        <v/>
      </c>
      <c r="X38" s="21">
        <f>IFERROR(subQ!X31/subQ!S31-1,"")</f>
        <v/>
      </c>
      <c r="Y38" s="21">
        <f>IFERROR(subQ!Y31/subQ!T31-1,"")</f>
        <v/>
      </c>
      <c r="Z38" s="22" t="n"/>
      <c r="AA38" s="21">
        <f>IFERROR(subQ!AA31/subQ!V31-1,"")</f>
        <v/>
      </c>
      <c r="AB38" s="23">
        <f>IFERROR(subQ!AB31/subQ!W31-1,"")</f>
        <v/>
      </c>
      <c r="AC38" s="24" t="n">
        <v>0.933479112</v>
      </c>
      <c r="AD38" s="24" t="n">
        <v>-0.662603177</v>
      </c>
      <c r="AE38" s="25" t="n"/>
      <c r="AF38" s="24" t="n">
        <v>0.088717517</v>
      </c>
      <c r="AG38" s="24" t="n">
        <v>-0.074635087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IFERROR(subQ!J32/subQ!E32-1,"")</f>
        <v/>
      </c>
      <c r="K39" s="22" t="n"/>
      <c r="L39" s="21">
        <f>IFERROR(subQ!L32/subQ!G32-1,"")</f>
        <v/>
      </c>
      <c r="M39" s="21">
        <f>IFERROR(subQ!M32/subQ!H32-1,"")</f>
        <v/>
      </c>
      <c r="N39" s="21">
        <f>IFERROR(subQ!N32/subQ!I32-1,"")</f>
        <v/>
      </c>
      <c r="O39" s="21">
        <f>IFERROR(subQ!O32/subQ!J32-1,"")</f>
        <v/>
      </c>
      <c r="P39" s="22" t="n"/>
      <c r="Q39" s="21">
        <f>IFERROR(subQ!Q32/subQ!L32-1,"")</f>
        <v/>
      </c>
      <c r="R39" s="21">
        <f>IFERROR(subQ!R32/subQ!M32-1,"")</f>
        <v/>
      </c>
      <c r="S39" s="21">
        <f>IFERROR(subQ!S32/subQ!N32-1,"")</f>
        <v/>
      </c>
      <c r="T39" s="21">
        <f>IFERROR(subQ!T32/subQ!O32-1,"")</f>
        <v/>
      </c>
      <c r="U39" s="22" t="n"/>
      <c r="V39" s="21">
        <f>IFERROR(subQ!V32/subQ!Q32-1,"")</f>
        <v/>
      </c>
      <c r="W39" s="21">
        <f>IFERROR(subQ!W32/subQ!R32-1,"")</f>
        <v/>
      </c>
      <c r="X39" s="21">
        <f>IFERROR(subQ!X32/subQ!S32-1,"")</f>
        <v/>
      </c>
      <c r="Y39" s="21">
        <f>IFERROR(subQ!Y32/subQ!T32-1,"")</f>
        <v/>
      </c>
      <c r="Z39" s="22" t="n"/>
      <c r="AA39" s="21">
        <f>IFERROR(subQ!AA32/subQ!V32-1,"")</f>
        <v/>
      </c>
      <c r="AB39" s="23">
        <f>IFERROR(subQ!AB32/subQ!W32-1,"")</f>
        <v/>
      </c>
      <c r="AC39" s="32" t="n"/>
      <c r="AD39" s="32" t="n"/>
      <c r="AE39" s="25" t="n"/>
      <c r="AF39" s="32" t="n"/>
      <c r="AG39" s="32" t="n"/>
      <c r="AH39" s="32" t="n"/>
      <c r="AI39" s="32" t="n"/>
      <c r="AJ39" s="25" t="n"/>
      <c r="AK39" s="32" t="n"/>
      <c r="AL39" s="32" t="n"/>
      <c r="AM39" s="32" t="n"/>
      <c r="AN39" s="32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IFERROR(subQ!G33/subQ!E33-1,"")</f>
        <v/>
      </c>
      <c r="H40" s="21">
        <f>IFERROR(subQ!H33/subQ!G33-1,"")</f>
        <v/>
      </c>
      <c r="I40" s="21">
        <f>IFERROR(subQ!I33/subQ!H33-1,"")</f>
        <v/>
      </c>
      <c r="J40" s="21">
        <f>IFERROR(subQ!J33/subQ!I33-1,"")</f>
        <v/>
      </c>
      <c r="K40" s="22" t="n"/>
      <c r="L40" s="21">
        <f>IFERROR(subQ!L33/subQ!J33-1,"")</f>
        <v/>
      </c>
      <c r="M40" s="21">
        <f>IFERROR(subQ!M33/subQ!L33-1,"")</f>
        <v/>
      </c>
      <c r="N40" s="21">
        <f>IFERROR(subQ!N33/subQ!M33-1,"")</f>
        <v/>
      </c>
      <c r="O40" s="21">
        <f>IFERROR(subQ!O33/subQ!N33-1,"")</f>
        <v/>
      </c>
      <c r="P40" s="22" t="n"/>
      <c r="Q40" s="21">
        <f>IFERROR(subQ!Q33/subQ!O33-1,"")</f>
        <v/>
      </c>
      <c r="R40" s="21">
        <f>IFERROR(subQ!R33/subQ!Q33-1,"")</f>
        <v/>
      </c>
      <c r="S40" s="21">
        <f>IFERROR(subQ!S33/subQ!R33-1,"")</f>
        <v/>
      </c>
      <c r="T40" s="21">
        <f>IFERROR(subQ!T33/subQ!S33-1,"")</f>
        <v/>
      </c>
      <c r="U40" s="22" t="n"/>
      <c r="V40" s="21">
        <f>IFERROR(subQ!V33/subQ!T33-1,"")</f>
        <v/>
      </c>
      <c r="W40" s="21">
        <f>IFERROR(subQ!W33/subQ!V33-1,"")</f>
        <v/>
      </c>
      <c r="X40" s="21">
        <f>IFERROR(subQ!X33/subQ!W33-1,"")</f>
        <v/>
      </c>
      <c r="Y40" s="21">
        <f>IFERROR(subQ!Y33/subQ!X33-1,"")</f>
        <v/>
      </c>
      <c r="Z40" s="22" t="n"/>
      <c r="AA40" s="21">
        <f>IFERROR(subQ!AA33/subQ!Y33-1,"")</f>
        <v/>
      </c>
      <c r="AB40" s="23">
        <f>IFERROR(subQ!AB33/subQ!AA33-1,"")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subQ!E36</f>
        <v/>
      </c>
      <c r="F41" s="28">
        <f>subQ!F36</f>
        <v/>
      </c>
      <c r="G41" s="27">
        <f>subQ!G36</f>
        <v/>
      </c>
      <c r="H41" s="27">
        <f>subQ!H36</f>
        <v/>
      </c>
      <c r="I41" s="27">
        <f>subQ!I36</f>
        <v/>
      </c>
      <c r="J41" s="27">
        <f>subQ!J36</f>
        <v/>
      </c>
      <c r="K41" s="28">
        <f>subQ!K36</f>
        <v/>
      </c>
      <c r="L41" s="27">
        <f>subQ!L36</f>
        <v/>
      </c>
      <c r="M41" s="27">
        <f>subQ!M36</f>
        <v/>
      </c>
      <c r="N41" s="27">
        <f>subQ!N36</f>
        <v/>
      </c>
      <c r="O41" s="27">
        <f>subQ!O36</f>
        <v/>
      </c>
      <c r="P41" s="28">
        <f>subQ!P36</f>
        <v/>
      </c>
      <c r="Q41" s="27">
        <f>subQ!Q36</f>
        <v/>
      </c>
      <c r="R41" s="27">
        <f>subQ!R36</f>
        <v/>
      </c>
      <c r="S41" s="27">
        <f>subQ!S36</f>
        <v/>
      </c>
      <c r="T41" s="27">
        <f>subQ!T36</f>
        <v/>
      </c>
      <c r="U41" s="28">
        <f>subQ!U36</f>
        <v/>
      </c>
      <c r="V41" s="27">
        <f>subQ!V36</f>
        <v/>
      </c>
      <c r="W41" s="27">
        <f>subQ!W36</f>
        <v/>
      </c>
      <c r="X41" s="27">
        <f>subQ!X36</f>
        <v/>
      </c>
      <c r="Y41" s="27">
        <f>subQ!Y36</f>
        <v/>
      </c>
      <c r="Z41" s="28">
        <f>subQ!Z36</f>
        <v/>
      </c>
      <c r="AA41" s="27">
        <f>subQ!AA36</f>
        <v/>
      </c>
      <c r="AB41" s="29">
        <f>subQ!AB36</f>
        <v/>
      </c>
      <c r="AC41" s="33" t="n"/>
      <c r="AD41" s="30" t="n">
        <v>0</v>
      </c>
      <c r="AE41" s="31">
        <f>subQ!AE36</f>
        <v/>
      </c>
      <c r="AF41" s="33" t="n"/>
      <c r="AG41" s="33" t="n"/>
      <c r="AH41" s="33" t="n"/>
      <c r="AI41" s="30" t="n">
        <v>0</v>
      </c>
      <c r="AJ41" s="31">
        <f>subQ!AJ36</f>
        <v/>
      </c>
      <c r="AK41" s="33" t="n"/>
      <c r="AL41" s="33" t="n"/>
      <c r="AM41" s="33" t="n"/>
      <c r="AN41" s="30" t="n">
        <v>0</v>
      </c>
      <c r="AO41" s="31">
        <f>subQ!AO36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1772</v>
      </c>
      <c r="E44" s="2" t="inlineStr">
        <is>
          <t>원 — 네이버 정규장 종가(aik 확정종가 대조 · aik 1,648원)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20261019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10</v>
      </c>
      <c r="E47" s="2" t="inlineStr">
        <is>
          <t>PER 밴드 하단(배) — sector_default(레퍼런스 TP_PE PB 예시 10/15/20배; 과거 PER 중위 105.0배가 3~40 밖(턴어라운드 왜곡))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15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20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0.22</v>
      </c>
      <c r="E51" s="2" t="inlineStr">
        <is>
          <t>참고(연결 안 됨: MAX(세전,0)×단일 세율로 재현 불가(지주 자회사 합산 등) → 분기별 역산) — 모델 assumptions 값 · 최근 12분기 세전 합 ≤ 0; 세전 &gt; 0 분기 중위 0.0% 도 5~27% 밖 → 법정세율 근사 22% 가정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0.1296781665244423</v>
      </c>
      <c r="E52" s="2" t="inlineStr">
        <is>
          <t>연결 — 판관비 = 매출액 × 판관비율(역산, 재현 오차 ≤ 0.05억 · 모델 assumptions 0.1297)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0.01342205540426368</v>
      </c>
      <c r="E54" s="2" t="inlineStr">
        <is>
          <t>연결 — 이자손익 = (전분기 이자발생자산 × 자산이자율 − 전분기 총차입금 × 부채이자율)/4(역산, 재현 오차 ≤ 0.05억 · 모델 assumptions 0.0136)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0.04177651543000138</v>
      </c>
      <c r="E55" s="2" t="inlineStr">
        <is>
          <t>연결 — 같은 수식의 부채 쪽(총차입금 행이 없으면 0)(역산, 재현 오차 ≤ 0.05억 · 모델 assumptions 0.0418)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/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대창솔루션(연)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24556.46</v>
      </c>
      <c r="F5" s="37" t="n">
        <v>24556.46</v>
      </c>
      <c r="G5" s="18" t="n">
        <v>25107.33</v>
      </c>
      <c r="H5" s="18" t="n">
        <v>25596.04</v>
      </c>
      <c r="I5" s="18" t="n">
        <v>26728.68</v>
      </c>
      <c r="J5" s="18" t="n">
        <v>32748.23</v>
      </c>
      <c r="K5" s="37" t="n">
        <v>32748.23</v>
      </c>
      <c r="L5" s="18" t="n">
        <v>33105.99</v>
      </c>
      <c r="M5" s="18" t="n">
        <v>34157.52</v>
      </c>
      <c r="N5" s="18" t="n">
        <v>35131.96</v>
      </c>
      <c r="O5" s="18" t="n">
        <v>33319.96</v>
      </c>
      <c r="P5" s="37" t="n">
        <v>33319.96</v>
      </c>
      <c r="Q5" s="18" t="n">
        <v>39015.31</v>
      </c>
      <c r="R5" s="18" t="n">
        <v>40092.91</v>
      </c>
      <c r="S5" s="18" t="n">
        <v>37252.08</v>
      </c>
      <c r="T5" s="18" t="n">
        <v>40739.03</v>
      </c>
      <c r="U5" s="37" t="n">
        <v>40739.03</v>
      </c>
      <c r="V5" s="18" t="n">
        <v>41302.78</v>
      </c>
      <c r="W5" s="18" t="n">
        <v>43434.69</v>
      </c>
      <c r="X5" s="18" t="n">
        <v>47226.64</v>
      </c>
      <c r="Y5" s="18" t="n">
        <v>47475.46</v>
      </c>
      <c r="Z5" s="37" t="n">
        <v>47475.46</v>
      </c>
      <c r="AA5" s="18" t="n">
        <v>52752.53</v>
      </c>
      <c r="AB5" s="19" t="n">
        <v>55269.5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5428.9</v>
      </c>
      <c r="F6" s="37" t="n">
        <v>5428.9</v>
      </c>
      <c r="G6" s="18" t="n">
        <v>726.75</v>
      </c>
      <c r="H6" s="18" t="n">
        <v>416.23</v>
      </c>
      <c r="I6" s="18" t="n">
        <v>1551.7</v>
      </c>
      <c r="J6" s="18" t="n">
        <v>1405.13</v>
      </c>
      <c r="K6" s="37" t="n">
        <v>1405.13</v>
      </c>
      <c r="L6" s="18" t="n">
        <v>2859.69</v>
      </c>
      <c r="M6" s="18" t="n">
        <v>2956.34</v>
      </c>
      <c r="N6" s="18" t="n">
        <v>2641.36</v>
      </c>
      <c r="O6" s="18" t="n">
        <v>6154.52</v>
      </c>
      <c r="P6" s="37" t="n">
        <v>6154.52</v>
      </c>
      <c r="Q6" s="18" t="n">
        <v>10783.2</v>
      </c>
      <c r="R6" s="18" t="n">
        <v>9059.809999999999</v>
      </c>
      <c r="S6" s="18" t="n">
        <v>8414.059999999999</v>
      </c>
      <c r="T6" s="18" t="n">
        <v>13311.7</v>
      </c>
      <c r="U6" s="37" t="n">
        <v>13311.7</v>
      </c>
      <c r="V6" s="18" t="n">
        <v>11889.63</v>
      </c>
      <c r="W6" s="18" t="n">
        <v>11018.06</v>
      </c>
      <c r="X6" s="18" t="n">
        <v>15450.44</v>
      </c>
      <c r="Y6" s="18" t="n">
        <v>9331.879999999999</v>
      </c>
      <c r="Z6" s="37" t="n">
        <v>9331.879999999999</v>
      </c>
      <c r="AA6" s="18" t="n">
        <v>11124.41</v>
      </c>
      <c r="AB6" s="19" t="n">
        <v>13491.59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1072.61</v>
      </c>
      <c r="F7" s="37" t="n">
        <v>1072.61</v>
      </c>
      <c r="G7" s="18" t="n">
        <v>1120.61</v>
      </c>
      <c r="H7" s="18" t="n">
        <v>1120.61</v>
      </c>
      <c r="I7" s="18" t="n">
        <v>1045.15</v>
      </c>
      <c r="J7" s="18" t="n">
        <v>1600.25</v>
      </c>
      <c r="K7" s="37" t="n">
        <v>1600.25</v>
      </c>
      <c r="L7" s="18" t="n">
        <v>1591.69</v>
      </c>
      <c r="M7" s="18" t="n">
        <v>2650.21</v>
      </c>
      <c r="N7" s="18" t="n">
        <v>2033.27</v>
      </c>
      <c r="O7" s="18" t="n">
        <v>1907.66</v>
      </c>
      <c r="P7" s="37" t="n">
        <v>1907.66</v>
      </c>
      <c r="Q7" s="18" t="n">
        <v>2072.66</v>
      </c>
      <c r="R7" s="18" t="n">
        <v>1916.3</v>
      </c>
      <c r="S7" s="18" t="n">
        <v>1916.3</v>
      </c>
      <c r="T7" s="18" t="n">
        <v>2217.4</v>
      </c>
      <c r="U7" s="37" t="n">
        <v>2217.4</v>
      </c>
      <c r="V7" s="18" t="n">
        <v>1069.4</v>
      </c>
      <c r="W7" s="18" t="n">
        <v>744.8200000000001</v>
      </c>
      <c r="X7" s="18" t="n">
        <v>745.8200000000001</v>
      </c>
      <c r="Y7" s="18" t="n">
        <v>2832.42</v>
      </c>
      <c r="Z7" s="37" t="n">
        <v>2832.42</v>
      </c>
      <c r="AA7" s="18" t="n">
        <v>2835.42</v>
      </c>
      <c r="AB7" s="19" t="n">
        <v>2838.42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1072.61</v>
      </c>
      <c r="F8" s="37" t="n">
        <v>1072.61</v>
      </c>
      <c r="G8" s="18" t="n">
        <v>1120.61</v>
      </c>
      <c r="H8" s="18" t="n">
        <v>1120.61</v>
      </c>
      <c r="I8" s="18" t="n">
        <v>1045.15</v>
      </c>
      <c r="J8" s="18" t="n">
        <v>1600.25</v>
      </c>
      <c r="K8" s="37" t="n">
        <v>1600.25</v>
      </c>
      <c r="L8" s="18" t="n">
        <v>1591.69</v>
      </c>
      <c r="M8" s="18" t="n">
        <v>2650.21</v>
      </c>
      <c r="N8" s="18" t="n">
        <v>2033.27</v>
      </c>
      <c r="O8" s="18" t="n">
        <v>2154.7</v>
      </c>
      <c r="P8" s="37" t="n">
        <v>2154.7</v>
      </c>
      <c r="Q8" s="18" t="n">
        <v>2985.95</v>
      </c>
      <c r="R8" s="18" t="n">
        <v>3115.78</v>
      </c>
      <c r="S8" s="18" t="n">
        <v>3115.78</v>
      </c>
      <c r="T8" s="18" t="n">
        <v>2278.13</v>
      </c>
      <c r="U8" s="37" t="n">
        <v>2278.13</v>
      </c>
      <c r="V8" s="18" t="n">
        <v>1130.13</v>
      </c>
      <c r="W8" s="18" t="n">
        <v>1473.54</v>
      </c>
      <c r="X8" s="18" t="n">
        <v>748.39</v>
      </c>
      <c r="Y8" s="18" t="n">
        <v>2988.9</v>
      </c>
      <c r="Z8" s="37" t="n">
        <v>2988.9</v>
      </c>
      <c r="AA8" s="18" t="n">
        <v>2835.42</v>
      </c>
      <c r="AB8" s="19" t="n">
        <v>2838.42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6911.78</v>
      </c>
      <c r="F9" s="37" t="n">
        <v>6911.78</v>
      </c>
      <c r="G9" s="18" t="n">
        <v>8909.25</v>
      </c>
      <c r="H9" s="18" t="n">
        <v>10023.11</v>
      </c>
      <c r="I9" s="18" t="n">
        <v>7712.26</v>
      </c>
      <c r="J9" s="18" t="n">
        <v>13901.61</v>
      </c>
      <c r="K9" s="37" t="n">
        <v>13901.61</v>
      </c>
      <c r="L9" s="18" t="n">
        <v>11008.88</v>
      </c>
      <c r="M9" s="18" t="n">
        <v>9582.27</v>
      </c>
      <c r="N9" s="18" t="n">
        <v>10768.44</v>
      </c>
      <c r="O9" s="18" t="n">
        <v>10251.21</v>
      </c>
      <c r="P9" s="37" t="n">
        <v>10251.21</v>
      </c>
      <c r="Q9" s="18" t="n">
        <v>9947.950000000001</v>
      </c>
      <c r="R9" s="18" t="n">
        <v>13154.73</v>
      </c>
      <c r="S9" s="18" t="n">
        <v>10109.55</v>
      </c>
      <c r="T9" s="18" t="n">
        <v>10924.39</v>
      </c>
      <c r="U9" s="37" t="n">
        <v>10924.39</v>
      </c>
      <c r="V9" s="18" t="n">
        <v>9493.35</v>
      </c>
      <c r="W9" s="18" t="n">
        <v>11565.88</v>
      </c>
      <c r="X9" s="18" t="n">
        <v>9805.719999999999</v>
      </c>
      <c r="Y9" s="18" t="n">
        <v>11937.03</v>
      </c>
      <c r="Z9" s="37" t="n">
        <v>11937.03</v>
      </c>
      <c r="AA9" s="18" t="n">
        <v>15256.88</v>
      </c>
      <c r="AB9" s="19" t="n">
        <v>15939.69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1251.92</v>
      </c>
      <c r="F10" s="37" t="n">
        <v>1251.92</v>
      </c>
      <c r="G10" s="18" t="n">
        <v>3435.05</v>
      </c>
      <c r="H10" s="18" t="n">
        <v>2702.96</v>
      </c>
      <c r="I10" s="18" t="n">
        <v>2898.46</v>
      </c>
      <c r="J10" s="18" t="n">
        <v>2540.01</v>
      </c>
      <c r="K10" s="37" t="n">
        <v>2540.01</v>
      </c>
      <c r="L10" s="18" t="n">
        <v>3657.64</v>
      </c>
      <c r="M10" s="18" t="n">
        <v>3707.98</v>
      </c>
      <c r="N10" s="18" t="n">
        <v>2710.81</v>
      </c>
      <c r="O10" s="18" t="n">
        <v>1748.47</v>
      </c>
      <c r="P10" s="37" t="n">
        <v>1748.47</v>
      </c>
      <c r="Q10" s="18" t="n">
        <v>3592.18</v>
      </c>
      <c r="R10" s="18" t="n">
        <v>2036.5</v>
      </c>
      <c r="S10" s="18" t="n">
        <v>3175.35</v>
      </c>
      <c r="T10" s="18" t="n">
        <v>2410.3</v>
      </c>
      <c r="U10" s="37" t="n">
        <v>2410.3</v>
      </c>
      <c r="V10" s="18" t="n">
        <v>3224.68</v>
      </c>
      <c r="W10" s="18" t="n">
        <v>2636.35</v>
      </c>
      <c r="X10" s="18" t="n">
        <v>2207.72</v>
      </c>
      <c r="Y10" s="18" t="n">
        <v>3023.37</v>
      </c>
      <c r="Z10" s="37" t="n">
        <v>3023.37</v>
      </c>
      <c r="AA10" s="18" t="n">
        <v>3399.35</v>
      </c>
      <c r="AB10" s="19" t="n">
        <v>2265.57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68.20999999999999</v>
      </c>
      <c r="F11" s="37" t="n">
        <v>68.20999999999999</v>
      </c>
      <c r="G11" s="18" t="n">
        <v>68.73</v>
      </c>
      <c r="H11" s="18" t="n">
        <v>63.1</v>
      </c>
      <c r="I11" s="18" t="n">
        <v>1.38</v>
      </c>
      <c r="J11" s="18" t="n">
        <v>3.2</v>
      </c>
      <c r="K11" s="37" t="n">
        <v>3.2</v>
      </c>
      <c r="L11" s="18" t="n">
        <v>4.16</v>
      </c>
      <c r="M11" s="18" t="n">
        <v>2.3</v>
      </c>
      <c r="N11" s="18" t="n">
        <v>3.36</v>
      </c>
      <c r="O11" s="18" t="n">
        <v>10.69</v>
      </c>
      <c r="P11" s="37" t="n">
        <v>10.69</v>
      </c>
      <c r="Q11" s="18" t="n">
        <v>11.04</v>
      </c>
      <c r="R11" s="18" t="n">
        <v>3.85</v>
      </c>
      <c r="S11" s="18" t="n">
        <v>4.58</v>
      </c>
      <c r="T11" s="18" t="n">
        <v>15.26</v>
      </c>
      <c r="U11" s="37" t="n">
        <v>15.26</v>
      </c>
      <c r="V11" s="18" t="n">
        <v>17.11</v>
      </c>
      <c r="W11" s="18" t="n">
        <v>4.92</v>
      </c>
      <c r="X11" s="18" t="n">
        <v>64.08</v>
      </c>
      <c r="Y11" s="18" t="n">
        <v>64.73</v>
      </c>
      <c r="Z11" s="37" t="n">
        <v>64.73</v>
      </c>
      <c r="AA11" s="18" t="n">
        <v>65.61</v>
      </c>
      <c r="AB11" s="19" t="n">
        <v>6.03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9250.280000000001</v>
      </c>
      <c r="F12" s="37" t="n">
        <v>9250.280000000001</v>
      </c>
      <c r="G12" s="18" t="n">
        <v>9707.440000000001</v>
      </c>
      <c r="H12" s="18" t="n">
        <v>10073.92</v>
      </c>
      <c r="I12" s="18" t="n">
        <v>12175.74</v>
      </c>
      <c r="J12" s="18" t="n">
        <v>12497.23</v>
      </c>
      <c r="K12" s="37" t="n">
        <v>12497.23</v>
      </c>
      <c r="L12" s="18" t="n">
        <v>12566.15</v>
      </c>
      <c r="M12" s="18" t="n">
        <v>13858.95</v>
      </c>
      <c r="N12" s="18" t="n">
        <v>15521.72</v>
      </c>
      <c r="O12" s="18" t="n">
        <v>12362.97</v>
      </c>
      <c r="P12" s="37" t="n">
        <v>12362.97</v>
      </c>
      <c r="Q12" s="18" t="n">
        <v>11200.3</v>
      </c>
      <c r="R12" s="18" t="n">
        <v>12261.6</v>
      </c>
      <c r="S12" s="18" t="n">
        <v>11967.29</v>
      </c>
      <c r="T12" s="18" t="n">
        <v>10649.6</v>
      </c>
      <c r="U12" s="37" t="n">
        <v>10649.6</v>
      </c>
      <c r="V12" s="18" t="n">
        <v>14349.12</v>
      </c>
      <c r="W12" s="18" t="n">
        <v>15757.27</v>
      </c>
      <c r="X12" s="18" t="n">
        <v>16874.57</v>
      </c>
      <c r="Y12" s="18" t="n">
        <v>16671.53</v>
      </c>
      <c r="Z12" s="37" t="n">
        <v>16671.53</v>
      </c>
      <c r="AA12" s="18" t="n">
        <v>17831.5</v>
      </c>
      <c r="AB12" s="19" t="n">
        <v>19118.1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572.77</v>
      </c>
      <c r="F13" s="37" t="n">
        <v>572.77</v>
      </c>
      <c r="G13" s="18" t="n">
        <v>1139.5</v>
      </c>
      <c r="H13" s="18" t="n">
        <v>1196.12</v>
      </c>
      <c r="I13" s="18" t="n">
        <v>1344.01</v>
      </c>
      <c r="J13" s="18" t="n">
        <v>800.79</v>
      </c>
      <c r="K13" s="37" t="n">
        <v>800.79</v>
      </c>
      <c r="L13" s="18" t="n">
        <v>1417.77</v>
      </c>
      <c r="M13" s="18" t="n">
        <v>1399.49</v>
      </c>
      <c r="N13" s="18" t="n">
        <v>1453</v>
      </c>
      <c r="O13" s="18" t="n">
        <v>637.4</v>
      </c>
      <c r="P13" s="37" t="n">
        <v>637.4</v>
      </c>
      <c r="Q13" s="18" t="n">
        <v>494.69</v>
      </c>
      <c r="R13" s="18" t="n">
        <v>460.63</v>
      </c>
      <c r="S13" s="18" t="n">
        <v>465.47</v>
      </c>
      <c r="T13" s="18" t="n">
        <v>1149.65</v>
      </c>
      <c r="U13" s="37" t="n">
        <v>1149.65</v>
      </c>
      <c r="V13" s="18" t="n">
        <v>1198.77</v>
      </c>
      <c r="W13" s="18" t="n">
        <v>978.66</v>
      </c>
      <c r="X13" s="18" t="n">
        <v>2075.72</v>
      </c>
      <c r="Y13" s="18" t="n">
        <v>3458.02</v>
      </c>
      <c r="Z13" s="37" t="n">
        <v>3458.02</v>
      </c>
      <c r="AA13" s="18" t="n">
        <v>2239.36</v>
      </c>
      <c r="AB13" s="19" t="n">
        <v>1610.1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95002.14999999999</v>
      </c>
      <c r="F14" s="37" t="n">
        <v>95002.14999999999</v>
      </c>
      <c r="G14" s="18" t="n">
        <v>94917.05</v>
      </c>
      <c r="H14" s="18" t="n">
        <v>92615.34</v>
      </c>
      <c r="I14" s="18" t="n">
        <v>92892.73</v>
      </c>
      <c r="J14" s="18" t="n">
        <v>91430.13</v>
      </c>
      <c r="K14" s="37" t="n">
        <v>91430.13</v>
      </c>
      <c r="L14" s="18" t="n">
        <v>91280.59</v>
      </c>
      <c r="M14" s="18" t="n">
        <v>91667.57000000001</v>
      </c>
      <c r="N14" s="18" t="n">
        <v>91849.63</v>
      </c>
      <c r="O14" s="18" t="n">
        <v>95501.62</v>
      </c>
      <c r="P14" s="37" t="n">
        <v>95501.62</v>
      </c>
      <c r="Q14" s="18" t="n">
        <v>95312.52</v>
      </c>
      <c r="R14" s="18" t="n">
        <v>95416.67</v>
      </c>
      <c r="S14" s="18" t="n">
        <v>95313.98</v>
      </c>
      <c r="T14" s="18" t="n">
        <v>94689.52</v>
      </c>
      <c r="U14" s="37" t="n">
        <v>94689.52</v>
      </c>
      <c r="V14" s="18" t="n">
        <v>94687.14</v>
      </c>
      <c r="W14" s="18" t="n">
        <v>94336.73</v>
      </c>
      <c r="X14" s="18" t="n">
        <v>94130.47</v>
      </c>
      <c r="Y14" s="18" t="n">
        <v>94357.73</v>
      </c>
      <c r="Z14" s="37" t="n">
        <v>94357.73</v>
      </c>
      <c r="AA14" s="18" t="n">
        <v>94393.23</v>
      </c>
      <c r="AB14" s="19" t="n">
        <v>94157.89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2845.82</v>
      </c>
      <c r="F15" s="37" t="n">
        <v>2845.82</v>
      </c>
      <c r="G15" s="18" t="n">
        <v>2988.61</v>
      </c>
      <c r="H15" s="18" t="n">
        <v>1241.54</v>
      </c>
      <c r="I15" s="18" t="n">
        <v>1539.12</v>
      </c>
      <c r="J15" s="18" t="n">
        <v>120.31</v>
      </c>
      <c r="K15" s="37" t="n">
        <v>120.31</v>
      </c>
      <c r="L15" s="18" t="n">
        <v>115.78</v>
      </c>
      <c r="M15" s="18" t="n">
        <v>123.14</v>
      </c>
      <c r="N15" s="18" t="n">
        <v>24.53</v>
      </c>
      <c r="O15" s="18" t="n">
        <v>80.04000000000001</v>
      </c>
      <c r="P15" s="37" t="n">
        <v>80.04000000000001</v>
      </c>
      <c r="Q15" s="18" t="n">
        <v>80.04000000000001</v>
      </c>
      <c r="R15" s="18" t="n">
        <v>24.04</v>
      </c>
      <c r="S15" s="18" t="n">
        <v>63.79</v>
      </c>
      <c r="T15" s="18" t="n">
        <v>377.46</v>
      </c>
      <c r="U15" s="37" t="n">
        <v>377.46</v>
      </c>
      <c r="V15" s="18" t="n">
        <v>407.46</v>
      </c>
      <c r="W15" s="18" t="n">
        <v>287.64</v>
      </c>
      <c r="X15" s="18" t="n">
        <v>297.64</v>
      </c>
      <c r="Y15" s="18" t="n">
        <v>204.04</v>
      </c>
      <c r="Z15" s="37" t="n">
        <v>204.04</v>
      </c>
      <c r="AA15" s="18" t="n">
        <v>204.04</v>
      </c>
      <c r="AB15" s="19" t="n">
        <v>206.04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2845.82</v>
      </c>
      <c r="F16" s="37" t="n">
        <v>2845.82</v>
      </c>
      <c r="G16" s="18" t="n">
        <v>2988.61</v>
      </c>
      <c r="H16" s="18" t="n">
        <v>1241.54</v>
      </c>
      <c r="I16" s="18" t="n">
        <v>1539.12</v>
      </c>
      <c r="J16" s="18" t="n">
        <v>120.31</v>
      </c>
      <c r="K16" s="37" t="n">
        <v>120.31</v>
      </c>
      <c r="L16" s="18" t="n">
        <v>115.78</v>
      </c>
      <c r="M16" s="18" t="n">
        <v>123.14</v>
      </c>
      <c r="N16" s="18" t="n">
        <v>24.53</v>
      </c>
      <c r="O16" s="18" t="n">
        <v>80.04000000000001</v>
      </c>
      <c r="P16" s="37" t="n">
        <v>80.04000000000001</v>
      </c>
      <c r="Q16" s="18" t="n">
        <v>80.04000000000001</v>
      </c>
      <c r="R16" s="18" t="n">
        <v>24.04</v>
      </c>
      <c r="S16" s="18" t="n">
        <v>63.79</v>
      </c>
      <c r="T16" s="18" t="n">
        <v>377.46</v>
      </c>
      <c r="U16" s="37" t="n">
        <v>377.46</v>
      </c>
      <c r="V16" s="18" t="n">
        <v>407.46</v>
      </c>
      <c r="W16" s="18" t="n">
        <v>287.64</v>
      </c>
      <c r="X16" s="18" t="n">
        <v>297.64</v>
      </c>
      <c r="Y16" s="18" t="n">
        <v>204.04</v>
      </c>
      <c r="Z16" s="37" t="n">
        <v>204.04</v>
      </c>
      <c r="AA16" s="18" t="n">
        <v>204.04</v>
      </c>
      <c r="AB16" s="19" t="n">
        <v>206.04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88774.38</v>
      </c>
      <c r="F17" s="37" t="n">
        <v>88774.38</v>
      </c>
      <c r="G17" s="18" t="n">
        <v>88505.35000000001</v>
      </c>
      <c r="H17" s="18" t="n">
        <v>88250.16</v>
      </c>
      <c r="I17" s="18" t="n">
        <v>88118.94</v>
      </c>
      <c r="J17" s="18" t="n">
        <v>87889.34</v>
      </c>
      <c r="K17" s="37" t="n">
        <v>87889.34</v>
      </c>
      <c r="L17" s="18" t="n">
        <v>87795.73</v>
      </c>
      <c r="M17" s="18" t="n">
        <v>87634.21000000001</v>
      </c>
      <c r="N17" s="18" t="n">
        <v>87708.14999999999</v>
      </c>
      <c r="O17" s="18" t="n">
        <v>92055.05</v>
      </c>
      <c r="P17" s="37" t="n">
        <v>92055.05</v>
      </c>
      <c r="Q17" s="18" t="n">
        <v>91902.94</v>
      </c>
      <c r="R17" s="18" t="n">
        <v>91716.85000000001</v>
      </c>
      <c r="S17" s="18" t="n">
        <v>91722.78999999999</v>
      </c>
      <c r="T17" s="18" t="n">
        <v>91431.00999999999</v>
      </c>
      <c r="U17" s="37" t="n">
        <v>91431.00999999999</v>
      </c>
      <c r="V17" s="18" t="n">
        <v>91360.24000000001</v>
      </c>
      <c r="W17" s="18" t="n">
        <v>91058.60000000001</v>
      </c>
      <c r="X17" s="18" t="n">
        <v>90868.96000000001</v>
      </c>
      <c r="Y17" s="18" t="n">
        <v>91091.17</v>
      </c>
      <c r="Z17" s="37" t="n">
        <v>91091.17</v>
      </c>
      <c r="AA17" s="18" t="n">
        <v>91074.67</v>
      </c>
      <c r="AB17" s="19" t="n">
        <v>90732.37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사용권자산</t>
        </is>
      </c>
      <c r="E18" s="18" t="n">
        <v>110.63</v>
      </c>
      <c r="F18" s="37" t="n">
        <v>110.63</v>
      </c>
      <c r="G18" s="18" t="n">
        <v>110.63</v>
      </c>
      <c r="H18" s="18" t="n">
        <v>49.06</v>
      </c>
      <c r="I18" s="18" t="n">
        <v>49.06</v>
      </c>
      <c r="J18" s="18" t="n">
        <v>211.69</v>
      </c>
      <c r="K18" s="37" t="n">
        <v>211.69</v>
      </c>
      <c r="L18" s="18" t="n">
        <v>211.69</v>
      </c>
      <c r="M18" s="18" t="n">
        <v>166.37</v>
      </c>
      <c r="N18" s="18" t="n">
        <v>166.37</v>
      </c>
      <c r="O18" s="18" t="n">
        <v>151.9</v>
      </c>
      <c r="P18" s="37" t="n">
        <v>151.9</v>
      </c>
      <c r="Q18" s="18" t="n">
        <v>151.9</v>
      </c>
      <c r="R18" s="18" t="n">
        <v>115.86</v>
      </c>
      <c r="S18" s="18" t="n">
        <v>120.08</v>
      </c>
      <c r="T18" s="18" t="n">
        <v>101.67</v>
      </c>
      <c r="U18" s="37" t="n">
        <v>101.67</v>
      </c>
      <c r="V18" s="18" t="n">
        <v>101.67</v>
      </c>
      <c r="W18" s="18" t="n">
        <v>70.06999999999999</v>
      </c>
      <c r="X18" s="18" t="n">
        <v>70.06999999999999</v>
      </c>
      <c r="Y18" s="18" t="n">
        <v>168.01</v>
      </c>
      <c r="Z18" s="37" t="n">
        <v>168.01</v>
      </c>
      <c r="AA18" s="18" t="n">
        <v>159.63</v>
      </c>
      <c r="AB18" s="19" t="n">
        <v>103.27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196.46</v>
      </c>
      <c r="F19" s="37" t="n">
        <v>196.46</v>
      </c>
      <c r="G19" s="18" t="n">
        <v>206.95</v>
      </c>
      <c r="H19" s="18" t="n">
        <v>236.82</v>
      </c>
      <c r="I19" s="18" t="n">
        <v>354.21</v>
      </c>
      <c r="J19" s="18" t="n">
        <v>460.24</v>
      </c>
      <c r="K19" s="37" t="n">
        <v>460.24</v>
      </c>
      <c r="L19" s="18" t="n">
        <v>428.7</v>
      </c>
      <c r="M19" s="18" t="n">
        <v>859.35</v>
      </c>
      <c r="N19" s="18" t="n">
        <v>923.98</v>
      </c>
      <c r="O19" s="18" t="n">
        <v>790.73</v>
      </c>
      <c r="P19" s="37" t="n">
        <v>790.73</v>
      </c>
      <c r="Q19" s="18" t="n">
        <v>731.37</v>
      </c>
      <c r="R19" s="18" t="n">
        <v>1064.78</v>
      </c>
      <c r="S19" s="18" t="n">
        <v>896.86</v>
      </c>
      <c r="T19" s="18" t="n">
        <v>331.38</v>
      </c>
      <c r="U19" s="37" t="n">
        <v>331.38</v>
      </c>
      <c r="V19" s="18" t="n">
        <v>326.89</v>
      </c>
      <c r="W19" s="18" t="n">
        <v>368.36</v>
      </c>
      <c r="X19" s="18" t="n">
        <v>371.97</v>
      </c>
      <c r="Y19" s="18" t="n">
        <v>462.08</v>
      </c>
      <c r="Z19" s="37" t="n">
        <v>462.08</v>
      </c>
      <c r="AA19" s="18" t="n">
        <v>462.63</v>
      </c>
      <c r="AB19" s="19" t="n">
        <v>399.07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941.1900000000001</v>
      </c>
      <c r="F20" s="37" t="n">
        <v>941.1900000000001</v>
      </c>
      <c r="G20" s="18" t="n">
        <v>937.8200000000001</v>
      </c>
      <c r="H20" s="18" t="n">
        <v>594.9</v>
      </c>
      <c r="I20" s="18" t="n">
        <v>591.54</v>
      </c>
      <c r="J20" s="18" t="n">
        <v>591.27</v>
      </c>
      <c r="K20" s="37" t="n">
        <v>591.27</v>
      </c>
      <c r="L20" s="18" t="n">
        <v>591</v>
      </c>
      <c r="M20" s="18" t="n">
        <v>617.86</v>
      </c>
      <c r="N20" s="18" t="n">
        <v>622.8099999999999</v>
      </c>
      <c r="O20" s="18" t="n">
        <v>620.77</v>
      </c>
      <c r="P20" s="37" t="n">
        <v>620.77</v>
      </c>
      <c r="Q20" s="18" t="n">
        <v>625.4</v>
      </c>
      <c r="R20" s="18" t="n">
        <v>623</v>
      </c>
      <c r="S20" s="18" t="n">
        <v>620.6</v>
      </c>
      <c r="T20" s="18" t="n">
        <v>526.22</v>
      </c>
      <c r="U20" s="37" t="n">
        <v>526.22</v>
      </c>
      <c r="V20" s="18" t="n">
        <v>526.22</v>
      </c>
      <c r="W20" s="18" t="n">
        <v>526.2</v>
      </c>
      <c r="X20" s="18" t="n">
        <v>525.42</v>
      </c>
      <c r="Y20" s="18" t="n">
        <v>522.6900000000001</v>
      </c>
      <c r="Z20" s="37" t="n">
        <v>522.6900000000001</v>
      </c>
      <c r="AA20" s="18" t="n">
        <v>530.58</v>
      </c>
      <c r="AB20" s="19" t="n">
        <v>668.21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119558.61</v>
      </c>
      <c r="F21" s="37" t="n">
        <v>119558.61</v>
      </c>
      <c r="G21" s="18" t="n">
        <v>120024.38</v>
      </c>
      <c r="H21" s="18" t="n">
        <v>118211.38</v>
      </c>
      <c r="I21" s="18" t="n">
        <v>119621.41</v>
      </c>
      <c r="J21" s="18" t="n">
        <v>124178.35</v>
      </c>
      <c r="K21" s="37" t="n">
        <v>124178.35</v>
      </c>
      <c r="L21" s="18" t="n">
        <v>124386.58</v>
      </c>
      <c r="M21" s="18" t="n">
        <v>125825.1</v>
      </c>
      <c r="N21" s="18" t="n">
        <v>126981.6</v>
      </c>
      <c r="O21" s="18" t="n">
        <v>128821.58</v>
      </c>
      <c r="P21" s="37" t="n">
        <v>128821.58</v>
      </c>
      <c r="Q21" s="18" t="n">
        <v>134327.84</v>
      </c>
      <c r="R21" s="18" t="n">
        <v>135509.58</v>
      </c>
      <c r="S21" s="18" t="n">
        <v>132566.05</v>
      </c>
      <c r="T21" s="18" t="n">
        <v>135428.55</v>
      </c>
      <c r="U21" s="37" t="n">
        <v>135428.55</v>
      </c>
      <c r="V21" s="18" t="n">
        <v>135989.92</v>
      </c>
      <c r="W21" s="18" t="n">
        <v>137771.43</v>
      </c>
      <c r="X21" s="18" t="n">
        <v>141357.11</v>
      </c>
      <c r="Y21" s="18" t="n">
        <v>141833.19</v>
      </c>
      <c r="Z21" s="37" t="n">
        <v>141833.19</v>
      </c>
      <c r="AA21" s="18" t="n">
        <v>147145.76</v>
      </c>
      <c r="AB21" s="19" t="n">
        <v>149427.4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63474.64</v>
      </c>
      <c r="F22" s="37" t="n">
        <v>63474.64</v>
      </c>
      <c r="G22" s="18" t="n">
        <v>66800.82000000001</v>
      </c>
      <c r="H22" s="18" t="n">
        <v>67435.98</v>
      </c>
      <c r="I22" s="18" t="n">
        <v>67584.37</v>
      </c>
      <c r="J22" s="18" t="n">
        <v>80830.49000000001</v>
      </c>
      <c r="K22" s="37" t="n">
        <v>80830.49000000001</v>
      </c>
      <c r="L22" s="18" t="n">
        <v>77541.03</v>
      </c>
      <c r="M22" s="18" t="n">
        <v>77541.73</v>
      </c>
      <c r="N22" s="18" t="n">
        <v>74224.10000000001</v>
      </c>
      <c r="O22" s="18" t="n">
        <v>66860.17</v>
      </c>
      <c r="P22" s="37" t="n">
        <v>66860.17</v>
      </c>
      <c r="Q22" s="18" t="n">
        <v>65699.81</v>
      </c>
      <c r="R22" s="18" t="n">
        <v>65395.54</v>
      </c>
      <c r="S22" s="18" t="n">
        <v>62553.99</v>
      </c>
      <c r="T22" s="18" t="n">
        <v>72788.39999999999</v>
      </c>
      <c r="U22" s="37" t="n">
        <v>72788.39999999999</v>
      </c>
      <c r="V22" s="18" t="n">
        <v>73092.25999999999</v>
      </c>
      <c r="W22" s="18" t="n">
        <v>74122.07000000001</v>
      </c>
      <c r="X22" s="18" t="n">
        <v>75062.50999999999</v>
      </c>
      <c r="Y22" s="18" t="n">
        <v>62459.8</v>
      </c>
      <c r="Z22" s="37" t="n">
        <v>62459.8</v>
      </c>
      <c r="AA22" s="18" t="n">
        <v>58652.54</v>
      </c>
      <c r="AB22" s="19" t="n">
        <v>60515.48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계약부채</t>
        </is>
      </c>
      <c r="E23" s="18" t="n">
        <v>346.45</v>
      </c>
      <c r="F23" s="37" t="n">
        <v>346.45</v>
      </c>
      <c r="G23" s="18" t="n">
        <v>63.39</v>
      </c>
      <c r="H23" s="18" t="n">
        <v>530.36</v>
      </c>
      <c r="I23" s="18" t="n">
        <v>75.08</v>
      </c>
      <c r="J23" s="18" t="n">
        <v>1697.88</v>
      </c>
      <c r="K23" s="37" t="n">
        <v>1697.88</v>
      </c>
      <c r="L23" s="18" t="n">
        <v>1251.8</v>
      </c>
      <c r="M23" s="18" t="n">
        <v>5224.09</v>
      </c>
      <c r="N23" s="18" t="n">
        <v>4517.09</v>
      </c>
      <c r="O23" s="18" t="n">
        <v>3658.75</v>
      </c>
      <c r="P23" s="37" t="n">
        <v>3658.75</v>
      </c>
      <c r="Q23" s="18" t="n">
        <v>1544.27</v>
      </c>
      <c r="R23" s="18" t="n">
        <v>514.29</v>
      </c>
      <c r="S23" s="18" t="n">
        <v>762.83</v>
      </c>
      <c r="T23" s="18" t="n">
        <v>1350.75</v>
      </c>
      <c r="U23" s="37" t="n">
        <v>1350.75</v>
      </c>
      <c r="V23" s="18" t="n">
        <v>2242.66</v>
      </c>
      <c r="W23" s="18" t="n">
        <v>3965.07</v>
      </c>
      <c r="X23" s="18" t="n">
        <v>4720.65</v>
      </c>
      <c r="Y23" s="18" t="n">
        <v>6846.07</v>
      </c>
      <c r="Z23" s="37" t="n">
        <v>6846.07</v>
      </c>
      <c r="AA23" s="18" t="n">
        <v>5942.69</v>
      </c>
      <c r="AB23" s="19" t="n">
        <v>10001.19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51332.92</v>
      </c>
      <c r="F24" s="37" t="n">
        <v>51332.92</v>
      </c>
      <c r="G24" s="18" t="n">
        <v>52448.56</v>
      </c>
      <c r="H24" s="18" t="n">
        <v>51972.01</v>
      </c>
      <c r="I24" s="18" t="n">
        <v>49745.6</v>
      </c>
      <c r="J24" s="18" t="n">
        <v>54192.86</v>
      </c>
      <c r="K24" s="37" t="n">
        <v>54192.86</v>
      </c>
      <c r="L24" s="18" t="n">
        <v>51504.29</v>
      </c>
      <c r="M24" s="18" t="n">
        <v>42180.76</v>
      </c>
      <c r="N24" s="18" t="n">
        <v>46438.65</v>
      </c>
      <c r="O24" s="18" t="n">
        <v>46265.1</v>
      </c>
      <c r="P24" s="37" t="n">
        <v>46265.1</v>
      </c>
      <c r="Q24" s="18" t="n">
        <v>40887.99</v>
      </c>
      <c r="R24" s="18" t="n">
        <v>42834.43</v>
      </c>
      <c r="S24" s="18" t="n">
        <v>41256.15</v>
      </c>
      <c r="T24" s="18" t="n">
        <v>40752.57</v>
      </c>
      <c r="U24" s="37" t="n">
        <v>40752.57</v>
      </c>
      <c r="V24" s="18" t="n">
        <v>39253.75</v>
      </c>
      <c r="W24" s="18" t="n">
        <v>43128.31</v>
      </c>
      <c r="X24" s="18" t="n">
        <v>42633.48</v>
      </c>
      <c r="Y24" s="18" t="n">
        <v>29850.99</v>
      </c>
      <c r="Z24" s="37" t="n">
        <v>29850.99</v>
      </c>
      <c r="AA24" s="18" t="n">
        <v>26648.23</v>
      </c>
      <c r="AB24" s="19" t="n">
        <v>22793.98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단기금융부채(face)</t>
        </is>
      </c>
      <c r="E25" s="18" t="n">
        <v>51332.92</v>
      </c>
      <c r="F25" s="37" t="n">
        <v>51332.92</v>
      </c>
      <c r="G25" s="18" t="n">
        <v>52448.56</v>
      </c>
      <c r="H25" s="18" t="n">
        <v>51972.01</v>
      </c>
      <c r="I25" s="18" t="n">
        <v>49745.6</v>
      </c>
      <c r="J25" s="18" t="n">
        <v>54192.86</v>
      </c>
      <c r="K25" s="37" t="n">
        <v>54192.86</v>
      </c>
      <c r="L25" s="18" t="n">
        <v>51504.29</v>
      </c>
      <c r="N25" s="18" t="n">
        <v>46438.65</v>
      </c>
      <c r="O25" s="18" t="n">
        <v>46265.1</v>
      </c>
      <c r="P25" s="37" t="n">
        <v>46265.1</v>
      </c>
      <c r="Q25" s="18" t="n">
        <v>40887.99</v>
      </c>
      <c r="R25" s="18" t="n">
        <v>42834.43</v>
      </c>
      <c r="S25" s="18" t="n">
        <v>41256.15</v>
      </c>
      <c r="T25" s="18" t="n">
        <v>40752.57</v>
      </c>
      <c r="U25" s="37" t="n">
        <v>40752.57</v>
      </c>
      <c r="V25" s="18" t="n">
        <v>39253.75</v>
      </c>
      <c r="W25" s="18" t="n">
        <v>43128.31</v>
      </c>
      <c r="X25" s="18" t="n">
        <v>42633.48</v>
      </c>
      <c r="Y25" s="18" t="n">
        <v>29850.99</v>
      </c>
      <c r="Z25" s="37" t="n">
        <v>29850.99</v>
      </c>
      <c r="AA25" s="18" t="n">
        <v>26648.23</v>
      </c>
      <c r="AB25" s="19" t="n">
        <v>22793.98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단기충당부채</t>
        </is>
      </c>
      <c r="E26" s="18" t="n">
        <v>109.59</v>
      </c>
      <c r="F26" s="37" t="n">
        <v>109.59</v>
      </c>
      <c r="G26" s="18" t="n">
        <v>110.9</v>
      </c>
      <c r="H26" s="18" t="n">
        <v>112.31</v>
      </c>
      <c r="I26" s="18" t="n">
        <v>110.86</v>
      </c>
      <c r="J26" s="18" t="n">
        <v>114.19</v>
      </c>
      <c r="K26" s="37" t="n">
        <v>114.19</v>
      </c>
      <c r="L26" s="18" t="n">
        <v>129.35</v>
      </c>
      <c r="M26" s="18" t="n">
        <v>140.55</v>
      </c>
      <c r="N26" s="18" t="n">
        <v>139.76</v>
      </c>
      <c r="O26" s="18" t="n">
        <v>113.78</v>
      </c>
      <c r="P26" s="37" t="n">
        <v>113.78</v>
      </c>
      <c r="Q26" s="18" t="n">
        <v>94.64</v>
      </c>
      <c r="R26" s="18" t="n">
        <v>95.11</v>
      </c>
      <c r="S26" s="18" t="n">
        <v>92.98999999999999</v>
      </c>
      <c r="T26" s="18" t="n">
        <v>100.57</v>
      </c>
      <c r="U26" s="37" t="n">
        <v>100.57</v>
      </c>
      <c r="V26" s="18" t="n">
        <v>113.38</v>
      </c>
      <c r="W26" s="18" t="n">
        <v>140.35</v>
      </c>
      <c r="X26" s="18" t="n">
        <v>152.82</v>
      </c>
      <c r="Y26" s="18" t="n">
        <v>270.49</v>
      </c>
      <c r="Z26" s="37" t="n">
        <v>270.49</v>
      </c>
      <c r="AA26" s="18" t="n">
        <v>424.21</v>
      </c>
      <c r="AB26" s="19" t="n">
        <v>423.09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기타유동금융부채</t>
        </is>
      </c>
      <c r="E27" s="18" t="n">
        <v>3244.45</v>
      </c>
      <c r="F27" s="37" t="n">
        <v>3244.45</v>
      </c>
      <c r="G27" s="18" t="n">
        <v>4142.7</v>
      </c>
      <c r="H27" s="18" t="n">
        <v>2868.12</v>
      </c>
      <c r="I27" s="18" t="n">
        <v>2536.4</v>
      </c>
      <c r="J27" s="18" t="n">
        <v>4350.92</v>
      </c>
      <c r="K27" s="37" t="n">
        <v>4350.92</v>
      </c>
      <c r="L27" s="18" t="n">
        <v>3438.54</v>
      </c>
      <c r="M27" s="18" t="n">
        <v>3765.69</v>
      </c>
      <c r="N27" s="18" t="n">
        <v>5272</v>
      </c>
      <c r="O27" s="18" t="n">
        <v>3243.43</v>
      </c>
      <c r="P27" s="37" t="n">
        <v>3243.43</v>
      </c>
      <c r="Q27" s="18" t="n">
        <v>3458.77</v>
      </c>
      <c r="R27" s="18" t="n">
        <v>3320.74</v>
      </c>
      <c r="S27" s="18" t="n">
        <v>2426.72</v>
      </c>
      <c r="T27" s="18" t="n">
        <v>3399.62</v>
      </c>
      <c r="U27" s="37" t="n">
        <v>3399.62</v>
      </c>
      <c r="V27" s="18" t="n">
        <v>2871.38</v>
      </c>
      <c r="W27" s="18" t="n">
        <v>2949.69</v>
      </c>
      <c r="X27" s="18" t="n">
        <v>4209.74</v>
      </c>
      <c r="Y27" s="18" t="n">
        <v>3835.66</v>
      </c>
      <c r="Z27" s="37" t="n">
        <v>3835.66</v>
      </c>
      <c r="AA27" s="18" t="n">
        <v>3171.59</v>
      </c>
      <c r="AB27" s="19" t="n">
        <v>3870.1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3303.28</v>
      </c>
      <c r="F28" s="37" t="n">
        <v>3303.28</v>
      </c>
      <c r="G28" s="18" t="n">
        <v>4201.53</v>
      </c>
      <c r="H28" s="18" t="n">
        <v>2888.73</v>
      </c>
      <c r="I28" s="18" t="n">
        <v>2557.01</v>
      </c>
      <c r="J28" s="18" t="n">
        <v>4413.71</v>
      </c>
      <c r="K28" s="37" t="n">
        <v>4413.71</v>
      </c>
      <c r="L28" s="18" t="n">
        <v>3501.33</v>
      </c>
      <c r="M28" s="18" t="n">
        <v>3826.35</v>
      </c>
      <c r="N28" s="18" t="n">
        <v>5332.66</v>
      </c>
      <c r="O28" s="18" t="n">
        <v>7335.62</v>
      </c>
      <c r="P28" s="37" t="n">
        <v>7335.62</v>
      </c>
      <c r="Q28" s="18" t="n">
        <v>14812.56</v>
      </c>
      <c r="R28" s="18" t="n">
        <v>12118.3</v>
      </c>
      <c r="S28" s="18" t="n">
        <v>11223.98</v>
      </c>
      <c r="T28" s="18" t="n">
        <v>8350.93</v>
      </c>
      <c r="U28" s="37" t="n">
        <v>8350.93</v>
      </c>
      <c r="V28" s="18" t="n">
        <v>7822.69</v>
      </c>
      <c r="W28" s="18" t="n">
        <v>6539.55</v>
      </c>
      <c r="X28" s="18" t="n">
        <v>6350.99</v>
      </c>
      <c r="Y28" s="18" t="n">
        <v>6640.13</v>
      </c>
      <c r="Z28" s="37" t="n">
        <v>6640.13</v>
      </c>
      <c r="AA28" s="18" t="n">
        <v>5362.9</v>
      </c>
      <c r="AB28" s="19" t="n">
        <v>6251.13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기타유동부채</t>
        </is>
      </c>
      <c r="E29" s="18" t="n">
        <v>1502.21</v>
      </c>
      <c r="F29" s="37" t="n">
        <v>1502.21</v>
      </c>
      <c r="G29" s="18" t="n">
        <v>1623.16</v>
      </c>
      <c r="H29" s="18" t="n">
        <v>2982.48</v>
      </c>
      <c r="I29" s="18" t="n">
        <v>6820.91</v>
      </c>
      <c r="J29" s="18" t="n">
        <v>11000.85</v>
      </c>
      <c r="K29" s="37" t="n">
        <v>11000.85</v>
      </c>
      <c r="L29" s="18" t="n">
        <v>11155.01</v>
      </c>
      <c r="M29" s="18" t="n">
        <v>8996.440000000001</v>
      </c>
      <c r="N29" s="18" t="n">
        <v>7797.03</v>
      </c>
      <c r="O29" s="18" t="n">
        <v>1997.42</v>
      </c>
      <c r="P29" s="37" t="n">
        <v>1997.42</v>
      </c>
      <c r="Q29" s="18" t="n">
        <v>1769.84</v>
      </c>
      <c r="R29" s="18" t="n">
        <v>2097.24</v>
      </c>
      <c r="S29" s="18" t="n">
        <v>2412.67</v>
      </c>
      <c r="T29" s="18" t="n">
        <v>1215.93</v>
      </c>
      <c r="U29" s="37" t="n">
        <v>1215.93</v>
      </c>
      <c r="V29" s="18" t="n">
        <v>1957.73</v>
      </c>
      <c r="W29" s="18" t="n">
        <v>999.66</v>
      </c>
      <c r="X29" s="18" t="n">
        <v>743.96</v>
      </c>
      <c r="Y29" s="18" t="n">
        <v>542.61</v>
      </c>
      <c r="Z29" s="37" t="n">
        <v>542.61</v>
      </c>
      <c r="AA29" s="18" t="n">
        <v>707.22</v>
      </c>
      <c r="AB29" s="19" t="n">
        <v>2242.44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유동리스부채</t>
        </is>
      </c>
      <c r="E30" s="18" t="n">
        <v>58.83</v>
      </c>
      <c r="F30" s="37" t="n">
        <v>58.83</v>
      </c>
      <c r="G30" s="18" t="n">
        <v>58.83</v>
      </c>
      <c r="H30" s="18" t="n">
        <v>20.61</v>
      </c>
      <c r="I30" s="18" t="n">
        <v>20.61</v>
      </c>
      <c r="J30" s="18" t="n">
        <v>62.79</v>
      </c>
      <c r="K30" s="37" t="n">
        <v>62.79</v>
      </c>
      <c r="L30" s="18" t="n">
        <v>62.79</v>
      </c>
      <c r="M30" s="18" t="n">
        <v>60.66</v>
      </c>
      <c r="N30" s="18" t="n">
        <v>60.66</v>
      </c>
      <c r="O30" s="18" t="n">
        <v>66.63</v>
      </c>
      <c r="P30" s="37" t="n">
        <v>66.63</v>
      </c>
      <c r="Q30" s="18" t="n">
        <v>66.63</v>
      </c>
      <c r="R30" s="18" t="n">
        <v>62.7</v>
      </c>
      <c r="S30" s="18" t="n">
        <v>62.4</v>
      </c>
      <c r="T30" s="18" t="n">
        <v>59.64</v>
      </c>
      <c r="U30" s="37" t="n">
        <v>59.64</v>
      </c>
      <c r="V30" s="18" t="n">
        <v>59.64</v>
      </c>
      <c r="W30" s="18" t="n">
        <v>57.31</v>
      </c>
      <c r="X30" s="18" t="n">
        <v>57.31</v>
      </c>
      <c r="Y30" s="18" t="n">
        <v>66.2</v>
      </c>
      <c r="Z30" s="37" t="n">
        <v>66.2</v>
      </c>
      <c r="AA30" s="18" t="n">
        <v>58.38</v>
      </c>
      <c r="AB30" s="19" t="n">
        <v>37.07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리스부채</t>
        </is>
      </c>
      <c r="E31" s="18" t="n">
        <v>108.97</v>
      </c>
      <c r="F31" s="37" t="n">
        <v>108.97</v>
      </c>
      <c r="G31" s="18" t="n">
        <v>108.97</v>
      </c>
      <c r="H31" s="18" t="n">
        <v>48.19</v>
      </c>
      <c r="I31" s="18" t="n">
        <v>48.19</v>
      </c>
      <c r="J31" s="18" t="n">
        <v>205.37</v>
      </c>
      <c r="K31" s="37" t="n">
        <v>205.37</v>
      </c>
      <c r="L31" s="18" t="n">
        <v>205.37</v>
      </c>
      <c r="M31" s="18" t="n">
        <v>162.68</v>
      </c>
      <c r="N31" s="18" t="n">
        <v>162.68</v>
      </c>
      <c r="O31" s="18" t="n">
        <v>150.73</v>
      </c>
      <c r="P31" s="37" t="n">
        <v>150.73</v>
      </c>
      <c r="Q31" s="18" t="n">
        <v>150.73</v>
      </c>
      <c r="R31" s="18" t="n">
        <v>115.99</v>
      </c>
      <c r="S31" s="18" t="n">
        <v>120.09</v>
      </c>
      <c r="T31" s="18" t="n">
        <v>101.1</v>
      </c>
      <c r="U31" s="37" t="n">
        <v>101.1</v>
      </c>
      <c r="V31" s="18" t="n">
        <v>101.1</v>
      </c>
      <c r="W31" s="18" t="n">
        <v>70.08</v>
      </c>
      <c r="X31" s="18" t="n">
        <v>70.08</v>
      </c>
      <c r="Y31" s="18" t="n">
        <v>166.95</v>
      </c>
      <c r="Z31" s="37" t="n">
        <v>166.95</v>
      </c>
      <c r="AA31" s="18" t="n">
        <v>159.13</v>
      </c>
      <c r="AB31" s="19" t="n">
        <v>105.63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19232.54</v>
      </c>
      <c r="F32" s="37" t="n">
        <v>19232.54</v>
      </c>
      <c r="G32" s="18" t="n">
        <v>18521.63</v>
      </c>
      <c r="H32" s="18" t="n">
        <v>18257.56</v>
      </c>
      <c r="I32" s="18" t="n">
        <v>21361.99</v>
      </c>
      <c r="J32" s="18" t="n">
        <v>14406.7</v>
      </c>
      <c r="K32" s="37" t="n">
        <v>14406.7</v>
      </c>
      <c r="L32" s="18" t="n">
        <v>16448.86</v>
      </c>
      <c r="M32" s="18" t="n">
        <v>16529.91</v>
      </c>
      <c r="N32" s="18" t="n">
        <v>20206.43</v>
      </c>
      <c r="O32" s="18" t="n">
        <v>26199.09</v>
      </c>
      <c r="P32" s="37" t="n">
        <v>26199.09</v>
      </c>
      <c r="Q32" s="18" t="n">
        <v>32410.84</v>
      </c>
      <c r="R32" s="18" t="n">
        <v>32482.39</v>
      </c>
      <c r="S32" s="18" t="n">
        <v>33895.31</v>
      </c>
      <c r="T32" s="18" t="n">
        <v>29803.9</v>
      </c>
      <c r="U32" s="37" t="n">
        <v>29803.9</v>
      </c>
      <c r="V32" s="18" t="n">
        <v>31847.4</v>
      </c>
      <c r="W32" s="18" t="n">
        <v>28803.96</v>
      </c>
      <c r="X32" s="18" t="n">
        <v>29175.87</v>
      </c>
      <c r="Y32" s="18" t="n">
        <v>43370.69</v>
      </c>
      <c r="Z32" s="37" t="n">
        <v>43370.69</v>
      </c>
      <c r="AA32" s="18" t="n">
        <v>51469.09</v>
      </c>
      <c r="AB32" s="19" t="n">
        <v>53368.58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장기차입금</t>
        </is>
      </c>
      <c r="E33" s="18" t="n">
        <v>9378.889999999999</v>
      </c>
      <c r="F33" s="37" t="n">
        <v>9378.889999999999</v>
      </c>
      <c r="G33" s="18" t="n">
        <v>8701.68</v>
      </c>
      <c r="H33" s="18" t="n">
        <v>8350.040000000001</v>
      </c>
      <c r="I33" s="18" t="n">
        <v>11341.84</v>
      </c>
      <c r="J33" s="18" t="n">
        <v>4815.38</v>
      </c>
      <c r="K33" s="37" t="n">
        <v>4815.38</v>
      </c>
      <c r="L33" s="18" t="n">
        <v>6828.81</v>
      </c>
      <c r="M33" s="18" t="n">
        <v>6879.59</v>
      </c>
      <c r="N33" s="18" t="n">
        <v>10437.41</v>
      </c>
      <c r="O33" s="18" t="n">
        <v>10090.68</v>
      </c>
      <c r="P33" s="37" t="n">
        <v>10090.68</v>
      </c>
      <c r="Q33" s="18" t="n">
        <v>11803.64</v>
      </c>
      <c r="R33" s="18" t="n">
        <v>11608.29</v>
      </c>
      <c r="S33" s="18" t="n">
        <v>13138.43</v>
      </c>
      <c r="T33" s="18" t="n">
        <v>18409.27</v>
      </c>
      <c r="U33" s="37" t="n">
        <v>18409.27</v>
      </c>
      <c r="V33" s="18" t="n">
        <v>20251.36</v>
      </c>
      <c r="W33" s="18" t="n">
        <v>17157.01</v>
      </c>
      <c r="X33" s="18" t="n">
        <v>16932.57</v>
      </c>
      <c r="Y33" s="18" t="n">
        <v>30870</v>
      </c>
      <c r="Z33" s="37" t="n">
        <v>30870</v>
      </c>
      <c r="AA33" s="18" t="n">
        <v>38870</v>
      </c>
      <c r="AB33" s="19" t="n">
        <v>41720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2632.13</v>
      </c>
      <c r="F34" s="37" t="n">
        <v>2632.13</v>
      </c>
      <c r="G34" s="18" t="n">
        <v>2762.22</v>
      </c>
      <c r="H34" s="18" t="n">
        <v>2831.3</v>
      </c>
      <c r="I34" s="18" t="n">
        <v>2926.69</v>
      </c>
      <c r="J34" s="18" t="n">
        <v>2573.94</v>
      </c>
      <c r="K34" s="37" t="n">
        <v>2573.94</v>
      </c>
      <c r="L34" s="18" t="n">
        <v>2652.66</v>
      </c>
      <c r="M34" s="18" t="n">
        <v>2642.67</v>
      </c>
      <c r="N34" s="18" t="n">
        <v>2703.26</v>
      </c>
      <c r="O34" s="18" t="n">
        <v>3272.71</v>
      </c>
      <c r="P34" s="37" t="n">
        <v>3272.71</v>
      </c>
      <c r="Q34" s="18" t="n">
        <v>3309.65</v>
      </c>
      <c r="R34" s="18" t="n">
        <v>3400.14</v>
      </c>
      <c r="S34" s="18" t="n">
        <v>3300.73</v>
      </c>
      <c r="T34" s="18" t="n">
        <v>2729.14</v>
      </c>
      <c r="U34" s="37" t="n">
        <v>2729.14</v>
      </c>
      <c r="V34" s="18" t="n">
        <v>2901.24</v>
      </c>
      <c r="W34" s="18" t="n">
        <v>2955.03</v>
      </c>
      <c r="X34" s="18" t="n">
        <v>3091.18</v>
      </c>
      <c r="Y34" s="18" t="n">
        <v>2888.72</v>
      </c>
      <c r="Z34" s="37" t="n">
        <v>2888.72</v>
      </c>
      <c r="AA34" s="18" t="n">
        <v>2959.22</v>
      </c>
      <c r="AB34" s="19" t="n">
        <v>2010.52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이연법인세부채</t>
        </is>
      </c>
      <c r="E35" s="18" t="n">
        <v>6160.52</v>
      </c>
      <c r="F35" s="37" t="n">
        <v>6160.52</v>
      </c>
      <c r="G35" s="18" t="n">
        <v>6160.52</v>
      </c>
      <c r="H35" s="18" t="n">
        <v>6160.52</v>
      </c>
      <c r="I35" s="18" t="n">
        <v>6160.52</v>
      </c>
      <c r="J35" s="18" t="n">
        <v>5880.5</v>
      </c>
      <c r="K35" s="37" t="n">
        <v>5880.5</v>
      </c>
      <c r="L35" s="18" t="n">
        <v>5880.5</v>
      </c>
      <c r="M35" s="18" t="n">
        <v>5880.5</v>
      </c>
      <c r="N35" s="18" t="n">
        <v>5880.5</v>
      </c>
      <c r="O35" s="18" t="n">
        <v>6848.58</v>
      </c>
      <c r="P35" s="37" t="n">
        <v>6848.58</v>
      </c>
      <c r="Q35" s="18" t="n">
        <v>6848.58</v>
      </c>
      <c r="R35" s="18" t="n">
        <v>6848.58</v>
      </c>
      <c r="S35" s="18" t="n">
        <v>6848.58</v>
      </c>
      <c r="T35" s="18" t="n">
        <v>6848.58</v>
      </c>
      <c r="U35" s="37" t="n">
        <v>6848.58</v>
      </c>
      <c r="V35" s="18" t="n">
        <v>6848.58</v>
      </c>
      <c r="W35" s="18" t="n">
        <v>6848.58</v>
      </c>
      <c r="X35" s="18" t="n">
        <v>6848.58</v>
      </c>
      <c r="Y35" s="18" t="n">
        <v>7187.47</v>
      </c>
      <c r="Z35" s="37" t="n">
        <v>7187.47</v>
      </c>
      <c r="AA35" s="18" t="n">
        <v>7187.47</v>
      </c>
      <c r="AB35" s="19" t="n">
        <v>7187.47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기타비유동금융부채</t>
        </is>
      </c>
      <c r="E36" s="18" t="n">
        <v>640.54</v>
      </c>
      <c r="F36" s="37" t="n">
        <v>640.54</v>
      </c>
      <c r="G36" s="18" t="n">
        <v>476.75</v>
      </c>
      <c r="H36" s="18" t="n">
        <v>517.8</v>
      </c>
      <c r="I36" s="18" t="n">
        <v>535.03</v>
      </c>
      <c r="J36" s="18" t="n">
        <v>876.8200000000001</v>
      </c>
      <c r="K36" s="37" t="n">
        <v>876.8200000000001</v>
      </c>
      <c r="L36" s="18" t="n">
        <v>826.8200000000001</v>
      </c>
      <c r="M36" s="18" t="n">
        <v>907.64</v>
      </c>
      <c r="N36" s="18" t="n">
        <v>965.74</v>
      </c>
      <c r="O36" s="18" t="n">
        <v>1052.92</v>
      </c>
      <c r="P36" s="37" t="n">
        <v>1052.92</v>
      </c>
      <c r="Q36" s="18" t="n">
        <v>1083.06</v>
      </c>
      <c r="R36" s="18" t="n">
        <v>1141.5</v>
      </c>
      <c r="S36" s="18" t="n">
        <v>911.51</v>
      </c>
      <c r="T36" s="18" t="n">
        <v>975.46</v>
      </c>
      <c r="U36" s="37" t="n">
        <v>975.46</v>
      </c>
      <c r="V36" s="18" t="n">
        <v>1004.77</v>
      </c>
      <c r="W36" s="18" t="n">
        <v>1030.57</v>
      </c>
      <c r="X36" s="18" t="n">
        <v>1090.77</v>
      </c>
      <c r="Y36" s="18" t="n">
        <v>1123.74</v>
      </c>
      <c r="Z36" s="37" t="n">
        <v>1123.74</v>
      </c>
      <c r="AA36" s="18" t="n">
        <v>1151.65</v>
      </c>
      <c r="AB36" s="19" t="n">
        <v>1182.03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943.52</v>
      </c>
      <c r="F37" s="37" t="n">
        <v>943.52</v>
      </c>
      <c r="G37" s="18" t="n">
        <v>779.73</v>
      </c>
      <c r="H37" s="18" t="n">
        <v>798.22</v>
      </c>
      <c r="I37" s="18" t="n">
        <v>815.45</v>
      </c>
      <c r="J37" s="18" t="n">
        <v>1019.4</v>
      </c>
      <c r="K37" s="37" t="n">
        <v>1019.4</v>
      </c>
      <c r="L37" s="18" t="n">
        <v>969.4</v>
      </c>
      <c r="M37" s="18" t="n">
        <v>1009.66</v>
      </c>
      <c r="N37" s="18" t="n">
        <v>1067.76</v>
      </c>
      <c r="O37" s="18" t="n">
        <v>1137.02</v>
      </c>
      <c r="P37" s="37" t="n">
        <v>1137.02</v>
      </c>
      <c r="Q37" s="18" t="n">
        <v>1167.16</v>
      </c>
      <c r="R37" s="18" t="n">
        <v>1194.79</v>
      </c>
      <c r="S37" s="18" t="n">
        <v>969.2</v>
      </c>
      <c r="T37" s="18" t="n">
        <v>1016.92</v>
      </c>
      <c r="U37" s="37" t="n">
        <v>1016.92</v>
      </c>
      <c r="V37" s="18" t="n">
        <v>1046.23</v>
      </c>
      <c r="W37" s="18" t="n">
        <v>1043.34</v>
      </c>
      <c r="X37" s="18" t="n">
        <v>1103.54</v>
      </c>
      <c r="Y37" s="18" t="n">
        <v>1224.49</v>
      </c>
      <c r="Z37" s="37" t="n">
        <v>1224.49</v>
      </c>
      <c r="AA37" s="18" t="n">
        <v>1252.4</v>
      </c>
      <c r="AB37" s="19" t="n">
        <v>1250.59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기타비유동부채</t>
        </is>
      </c>
      <c r="E38" s="18" t="n">
        <v>117.48</v>
      </c>
      <c r="F38" s="37" t="n">
        <v>117.48</v>
      </c>
      <c r="G38" s="18" t="n">
        <v>117.48</v>
      </c>
      <c r="H38" s="18" t="n">
        <v>117.48</v>
      </c>
      <c r="I38" s="18" t="n">
        <v>117.48</v>
      </c>
      <c r="J38" s="18" t="n">
        <v>117.48</v>
      </c>
      <c r="K38" s="37" t="n">
        <v>117.48</v>
      </c>
      <c r="L38" s="18" t="n">
        <v>117.48</v>
      </c>
      <c r="M38" s="18" t="n">
        <v>117.48</v>
      </c>
      <c r="N38" s="18" t="n">
        <v>117.48</v>
      </c>
      <c r="O38" s="18" t="n">
        <v>1417.48</v>
      </c>
      <c r="P38" s="37" t="n">
        <v>1417.48</v>
      </c>
      <c r="Q38" s="18" t="n">
        <v>1417.48</v>
      </c>
      <c r="R38" s="18" t="n">
        <v>917.48</v>
      </c>
      <c r="S38" s="18" t="n">
        <v>800</v>
      </c>
      <c r="T38" s="18" t="n">
        <v>800</v>
      </c>
      <c r="U38" s="37" t="n">
        <v>800</v>
      </c>
      <c r="V38" s="18" t="n">
        <v>800</v>
      </c>
      <c r="W38" s="18" t="n">
        <v>800</v>
      </c>
      <c r="X38" s="18" t="n">
        <v>1200</v>
      </c>
      <c r="Y38" s="18" t="n">
        <v>1200</v>
      </c>
      <c r="Z38" s="37" t="n">
        <v>1200</v>
      </c>
      <c r="AA38" s="18" t="n">
        <v>1200</v>
      </c>
      <c r="AB38" s="19" t="n">
        <v>1200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비유동리스부채</t>
        </is>
      </c>
      <c r="E39" s="18" t="n">
        <v>50.14</v>
      </c>
      <c r="F39" s="37" t="n">
        <v>50.14</v>
      </c>
      <c r="G39" s="18" t="n">
        <v>50.14</v>
      </c>
      <c r="H39" s="18" t="n">
        <v>27.58</v>
      </c>
      <c r="I39" s="18" t="n">
        <v>27.58</v>
      </c>
      <c r="J39" s="18" t="n">
        <v>142.58</v>
      </c>
      <c r="K39" s="37" t="n">
        <v>142.58</v>
      </c>
      <c r="L39" s="18" t="n">
        <v>142.58</v>
      </c>
      <c r="M39" s="18" t="n">
        <v>102.02</v>
      </c>
      <c r="N39" s="18" t="n">
        <v>102.02</v>
      </c>
      <c r="O39" s="18" t="n">
        <v>84.09999999999999</v>
      </c>
      <c r="P39" s="37" t="n">
        <v>84.09999999999999</v>
      </c>
      <c r="Q39" s="18" t="n">
        <v>84.09999999999999</v>
      </c>
      <c r="R39" s="18" t="n">
        <v>53.29</v>
      </c>
      <c r="S39" s="18" t="n">
        <v>57.69</v>
      </c>
      <c r="T39" s="18" t="n">
        <v>41.46</v>
      </c>
      <c r="U39" s="37" t="n">
        <v>41.46</v>
      </c>
      <c r="V39" s="18" t="n">
        <v>41.46</v>
      </c>
      <c r="W39" s="18" t="n">
        <v>12.77</v>
      </c>
      <c r="X39" s="18" t="n">
        <v>12.77</v>
      </c>
      <c r="Y39" s="18" t="n">
        <v>100.75</v>
      </c>
      <c r="Z39" s="37" t="n">
        <v>100.75</v>
      </c>
      <c r="AA39" s="18" t="n">
        <v>100.75</v>
      </c>
      <c r="AB39" s="19" t="n">
        <v>68.56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장기파생상품부채</t>
        </is>
      </c>
      <c r="E40" s="18" t="n">
        <v>252.84</v>
      </c>
      <c r="F40" s="37" t="n">
        <v>252.84</v>
      </c>
      <c r="G40" s="18" t="n">
        <v>252.84</v>
      </c>
      <c r="H40" s="18" t="n">
        <v>252.84</v>
      </c>
      <c r="I40" s="18" t="n">
        <v>252.84</v>
      </c>
      <c r="J40" s="18" t="n">
        <v>0</v>
      </c>
      <c r="K40" s="37" t="n">
        <v>0</v>
      </c>
      <c r="L40" s="18" t="n">
        <v>0</v>
      </c>
      <c r="O40" s="18" t="n">
        <v>0</v>
      </c>
      <c r="P40" s="37" t="n">
        <v>0</v>
      </c>
      <c r="T40" s="18" t="n">
        <v>0</v>
      </c>
      <c r="U40" s="37" t="n">
        <v>0</v>
      </c>
      <c r="V40" s="18" t="n">
        <v>0</v>
      </c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부채총계</t>
        </is>
      </c>
      <c r="E41" s="18" t="n">
        <v>82707.19</v>
      </c>
      <c r="F41" s="37" t="n">
        <v>82707.19</v>
      </c>
      <c r="G41" s="18" t="n">
        <v>85322.46000000001</v>
      </c>
      <c r="H41" s="18" t="n">
        <v>85693.53999999999</v>
      </c>
      <c r="I41" s="18" t="n">
        <v>88946.36</v>
      </c>
      <c r="J41" s="18" t="n">
        <v>95237.19</v>
      </c>
      <c r="K41" s="37" t="n">
        <v>95237.19</v>
      </c>
      <c r="L41" s="18" t="n">
        <v>93989.89</v>
      </c>
      <c r="M41" s="18" t="n">
        <v>94071.64</v>
      </c>
      <c r="N41" s="18" t="n">
        <v>94430.52</v>
      </c>
      <c r="O41" s="18" t="n">
        <v>93059.25999999999</v>
      </c>
      <c r="P41" s="37" t="n">
        <v>93059.25999999999</v>
      </c>
      <c r="Q41" s="18" t="n">
        <v>98110.64999999999</v>
      </c>
      <c r="R41" s="18" t="n">
        <v>97877.92999999999</v>
      </c>
      <c r="S41" s="18" t="n">
        <v>96449.3</v>
      </c>
      <c r="T41" s="18" t="n">
        <v>102592.31</v>
      </c>
      <c r="U41" s="37" t="n">
        <v>102592.31</v>
      </c>
      <c r="V41" s="18" t="n">
        <v>104939.66</v>
      </c>
      <c r="W41" s="18" t="n">
        <v>102926.03</v>
      </c>
      <c r="X41" s="18" t="n">
        <v>104238.37</v>
      </c>
      <c r="Y41" s="18" t="n">
        <v>105830.49</v>
      </c>
      <c r="Z41" s="37" t="n">
        <v>105830.49</v>
      </c>
      <c r="AA41" s="18" t="n">
        <v>110121.63</v>
      </c>
      <c r="AB41" s="19" t="n">
        <v>113884.06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지배주주지분</t>
        </is>
      </c>
      <c r="E42" s="18" t="n">
        <v>33482.84</v>
      </c>
      <c r="F42" s="37" t="n">
        <v>33482.84</v>
      </c>
      <c r="G42" s="18" t="n">
        <v>31628.7</v>
      </c>
      <c r="H42" s="18" t="n">
        <v>29813.69</v>
      </c>
      <c r="I42" s="18" t="n">
        <v>28119.57</v>
      </c>
      <c r="J42" s="18" t="n">
        <v>26364.39</v>
      </c>
      <c r="K42" s="37" t="n">
        <v>26364.39</v>
      </c>
      <c r="L42" s="18" t="n">
        <v>27653.41</v>
      </c>
      <c r="M42" s="18" t="n">
        <v>28952.89</v>
      </c>
      <c r="N42" s="18" t="n">
        <v>28731.43</v>
      </c>
      <c r="O42" s="18" t="n">
        <v>30125.66</v>
      </c>
      <c r="P42" s="37" t="n">
        <v>30125.66</v>
      </c>
      <c r="Q42" s="18" t="n">
        <v>30514.6</v>
      </c>
      <c r="R42" s="18" t="n">
        <v>31545.53</v>
      </c>
      <c r="S42" s="18" t="n">
        <v>30393.07</v>
      </c>
      <c r="T42" s="18" t="n">
        <v>26838.75</v>
      </c>
      <c r="U42" s="37" t="n">
        <v>26838.75</v>
      </c>
      <c r="V42" s="18" t="n">
        <v>25563.18</v>
      </c>
      <c r="W42" s="18" t="n">
        <v>30000.5</v>
      </c>
      <c r="X42" s="18" t="n">
        <v>31932.96</v>
      </c>
      <c r="Y42" s="18" t="n">
        <v>31339.35</v>
      </c>
      <c r="Z42" s="37" t="n">
        <v>31339.35</v>
      </c>
      <c r="AA42" s="18" t="n">
        <v>32128.31</v>
      </c>
      <c r="AB42" s="19" t="n">
        <v>31682.07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자본금</t>
        </is>
      </c>
      <c r="E43" s="18" t="n">
        <v>62161.14</v>
      </c>
      <c r="F43" s="37" t="n">
        <v>62161.14</v>
      </c>
      <c r="G43" s="18" t="n">
        <v>62161.14</v>
      </c>
      <c r="H43" s="18" t="n">
        <v>62161.14</v>
      </c>
      <c r="I43" s="18" t="n">
        <v>62161.14</v>
      </c>
      <c r="J43" s="18" t="n">
        <v>62161.14</v>
      </c>
      <c r="K43" s="37" t="n">
        <v>62161.14</v>
      </c>
      <c r="L43" s="18" t="n">
        <v>62161.14</v>
      </c>
      <c r="M43" s="18" t="n">
        <v>62161.14</v>
      </c>
      <c r="N43" s="18" t="n">
        <v>62161.14</v>
      </c>
      <c r="O43" s="18" t="n">
        <v>62161.14</v>
      </c>
      <c r="P43" s="37" t="n">
        <v>62161.14</v>
      </c>
      <c r="Q43" s="18" t="n">
        <v>62161.14</v>
      </c>
      <c r="R43" s="18" t="n">
        <v>62161.14</v>
      </c>
      <c r="S43" s="18" t="n">
        <v>62161.14</v>
      </c>
      <c r="T43" s="18" t="n">
        <v>62161.14</v>
      </c>
      <c r="U43" s="37" t="n">
        <v>62161.14</v>
      </c>
      <c r="V43" s="18" t="n">
        <v>62161.14</v>
      </c>
      <c r="W43" s="18" t="n">
        <v>71804.96000000001</v>
      </c>
      <c r="X43" s="18" t="n">
        <v>73412.66</v>
      </c>
      <c r="Y43" s="18" t="n">
        <v>73412.66</v>
      </c>
      <c r="Z43" s="37" t="n">
        <v>73412.66</v>
      </c>
      <c r="AA43" s="18" t="n">
        <v>73412.66</v>
      </c>
      <c r="AB43" s="19" t="n">
        <v>73412.66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보통주자본금</t>
        </is>
      </c>
      <c r="E44" s="18" t="n">
        <v>16376.1</v>
      </c>
      <c r="F44" s="37" t="n">
        <v>16376.1</v>
      </c>
      <c r="G44" s="18" t="n">
        <v>16376.1</v>
      </c>
      <c r="H44" s="18" t="n">
        <v>16376.1</v>
      </c>
      <c r="I44" s="18" t="n">
        <v>16376.1</v>
      </c>
      <c r="J44" s="18" t="n">
        <v>16376.1</v>
      </c>
      <c r="K44" s="37" t="n">
        <v>16376.1</v>
      </c>
      <c r="L44" s="18" t="n">
        <v>16376.1</v>
      </c>
      <c r="M44" s="18" t="n">
        <v>16376.1</v>
      </c>
      <c r="N44" s="18" t="n">
        <v>16376.1</v>
      </c>
      <c r="O44" s="18" t="n">
        <v>16376.1</v>
      </c>
      <c r="P44" s="37" t="n">
        <v>16376.1</v>
      </c>
      <c r="Q44" s="18" t="n">
        <v>16376.1</v>
      </c>
      <c r="R44" s="18" t="n">
        <v>16376.1</v>
      </c>
      <c r="S44" s="18" t="n">
        <v>16376.1</v>
      </c>
      <c r="T44" s="18" t="n">
        <v>16376.1</v>
      </c>
      <c r="U44" s="37" t="n">
        <v>16376.1</v>
      </c>
      <c r="V44" s="18" t="n">
        <v>16376.1</v>
      </c>
      <c r="W44" s="18" t="n">
        <v>18017.13</v>
      </c>
      <c r="X44" s="18" t="n">
        <v>18427.38</v>
      </c>
      <c r="Y44" s="18" t="n">
        <v>18427.38</v>
      </c>
      <c r="Z44" s="37" t="n">
        <v>18427.38</v>
      </c>
      <c r="AA44" s="18" t="n">
        <v>18427.38</v>
      </c>
      <c r="AB44" s="19" t="n">
        <v>18427.38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자본잉여금</t>
        </is>
      </c>
      <c r="E45" s="18" t="n">
        <v>45785.04</v>
      </c>
      <c r="F45" s="37" t="n">
        <v>45785.04</v>
      </c>
      <c r="G45" s="18" t="n">
        <v>45785.04</v>
      </c>
      <c r="H45" s="18" t="n">
        <v>45785.04</v>
      </c>
      <c r="I45" s="18" t="n">
        <v>45785.04</v>
      </c>
      <c r="J45" s="18" t="n">
        <v>45785.04</v>
      </c>
      <c r="K45" s="37" t="n">
        <v>45785.04</v>
      </c>
      <c r="L45" s="18" t="n">
        <v>45785.04</v>
      </c>
      <c r="M45" s="18" t="n">
        <v>45785.04</v>
      </c>
      <c r="N45" s="18" t="n">
        <v>45785.04</v>
      </c>
      <c r="O45" s="18" t="n">
        <v>45785.04</v>
      </c>
      <c r="P45" s="37" t="n">
        <v>45785.04</v>
      </c>
      <c r="Q45" s="18" t="n">
        <v>45785.04</v>
      </c>
      <c r="R45" s="18" t="n">
        <v>45785.04</v>
      </c>
      <c r="S45" s="18" t="n">
        <v>45785.04</v>
      </c>
      <c r="T45" s="18" t="n">
        <v>45785.04</v>
      </c>
      <c r="U45" s="37" t="n">
        <v>45785.04</v>
      </c>
      <c r="V45" s="18" t="n">
        <v>45785.04</v>
      </c>
      <c r="W45" s="18" t="n">
        <v>53787.83</v>
      </c>
      <c r="X45" s="18" t="n">
        <v>54985.27</v>
      </c>
      <c r="Y45" s="18" t="n">
        <v>54985.27</v>
      </c>
      <c r="Z45" s="37" t="n">
        <v>54985.27</v>
      </c>
      <c r="AA45" s="18" t="n">
        <v>54985.27</v>
      </c>
      <c r="AB45" s="19" t="n">
        <v>54985.27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이익잉여금</t>
        </is>
      </c>
      <c r="E46" s="18" t="n">
        <v>-39726.59</v>
      </c>
      <c r="F46" s="37" t="n">
        <v>-39726.59</v>
      </c>
      <c r="G46" s="18" t="n">
        <v>-41692.51</v>
      </c>
      <c r="H46" s="18" t="n">
        <v>-42120.45</v>
      </c>
      <c r="I46" s="18" t="n">
        <v>-43807.91</v>
      </c>
      <c r="J46" s="18" t="n">
        <v>-45013.72</v>
      </c>
      <c r="K46" s="37" t="n">
        <v>-45013.72</v>
      </c>
      <c r="L46" s="18" t="n">
        <v>-43720.17</v>
      </c>
      <c r="M46" s="18" t="n">
        <v>-42428.06</v>
      </c>
      <c r="N46" s="18" t="n">
        <v>-42578.49</v>
      </c>
      <c r="O46" s="18" t="n">
        <v>-43175.28</v>
      </c>
      <c r="P46" s="37" t="n">
        <v>-43175.28</v>
      </c>
      <c r="Q46" s="18" t="n">
        <v>-42788.67</v>
      </c>
      <c r="R46" s="18" t="n">
        <v>-41786.77</v>
      </c>
      <c r="S46" s="18" t="n">
        <v>-42914.49</v>
      </c>
      <c r="T46" s="18" t="n">
        <v>-46469.31</v>
      </c>
      <c r="U46" s="37" t="n">
        <v>-46469.31</v>
      </c>
      <c r="V46" s="18" t="n">
        <v>-47745.01</v>
      </c>
      <c r="W46" s="18" t="n">
        <v>-52976.75</v>
      </c>
      <c r="X46" s="18" t="n">
        <v>-52676.73</v>
      </c>
      <c r="Y46" s="18" t="n">
        <v>-52969.67</v>
      </c>
      <c r="Z46" s="37" t="n">
        <v>-52969.67</v>
      </c>
      <c r="AA46" s="18" t="n">
        <v>-52161.79</v>
      </c>
      <c r="AB46" s="19" t="n">
        <v>-52594.9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기타포괄이익누계액</t>
        </is>
      </c>
      <c r="E47" s="18" t="n">
        <v>934.99</v>
      </c>
      <c r="F47" s="37" t="n">
        <v>934.99</v>
      </c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기타자본</t>
        </is>
      </c>
      <c r="E48" s="18" t="n">
        <v>10113.3</v>
      </c>
      <c r="F48" s="37" t="n">
        <v>10113.3</v>
      </c>
      <c r="G48" s="18" t="n">
        <v>11160.07</v>
      </c>
      <c r="H48" s="18" t="n">
        <v>9773</v>
      </c>
      <c r="I48" s="18" t="n">
        <v>9766.34</v>
      </c>
      <c r="J48" s="18" t="n">
        <v>9216.969999999999</v>
      </c>
      <c r="K48" s="37" t="n">
        <v>9216.969999999999</v>
      </c>
      <c r="L48" s="18" t="n">
        <v>9212.440000000001</v>
      </c>
      <c r="M48" s="18" t="n">
        <v>9219.809999999999</v>
      </c>
      <c r="N48" s="18" t="n">
        <v>9148.780000000001</v>
      </c>
      <c r="O48" s="18" t="n">
        <v>11139.8</v>
      </c>
      <c r="P48" s="37" t="n">
        <v>11139.8</v>
      </c>
      <c r="Q48" s="18" t="n">
        <v>11142.14</v>
      </c>
      <c r="R48" s="18" t="n">
        <v>11171.17</v>
      </c>
      <c r="S48" s="18" t="n">
        <v>11146.42</v>
      </c>
      <c r="T48" s="18" t="n">
        <v>11146.92</v>
      </c>
      <c r="U48" s="37" t="n">
        <v>11146.92</v>
      </c>
      <c r="V48" s="18" t="n">
        <v>11147.05</v>
      </c>
      <c r="W48" s="18" t="n">
        <v>11172.3</v>
      </c>
      <c r="X48" s="18" t="n">
        <v>11197.03</v>
      </c>
      <c r="Y48" s="18" t="n">
        <v>10896.37</v>
      </c>
      <c r="Z48" s="37" t="n">
        <v>10896.37</v>
      </c>
      <c r="AA48" s="18" t="n">
        <v>10877.45</v>
      </c>
      <c r="AB48" s="19" t="n">
        <v>10864.32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비지배주주지분</t>
        </is>
      </c>
      <c r="E49" s="18" t="n">
        <v>3368.58</v>
      </c>
      <c r="F49" s="37" t="n">
        <v>3368.58</v>
      </c>
      <c r="G49" s="18" t="n">
        <v>3073.23</v>
      </c>
      <c r="H49" s="18" t="n">
        <v>2704.15</v>
      </c>
      <c r="I49" s="18" t="n">
        <v>2555.48</v>
      </c>
      <c r="J49" s="18" t="n">
        <v>2576.77</v>
      </c>
      <c r="K49" s="37" t="n">
        <v>2576.77</v>
      </c>
      <c r="L49" s="18" t="n">
        <v>2743.29</v>
      </c>
      <c r="M49" s="18" t="n">
        <v>2800.57</v>
      </c>
      <c r="N49" s="18" t="n">
        <v>3819.64</v>
      </c>
      <c r="O49" s="18" t="n">
        <v>5636.66</v>
      </c>
      <c r="P49" s="37" t="n">
        <v>5636.66</v>
      </c>
      <c r="Q49" s="18" t="n">
        <v>5702.58</v>
      </c>
      <c r="R49" s="18" t="n">
        <v>6086.11</v>
      </c>
      <c r="S49" s="18" t="n">
        <v>5723.68</v>
      </c>
      <c r="T49" s="18" t="n">
        <v>5997.49</v>
      </c>
      <c r="U49" s="37" t="n">
        <v>5997.49</v>
      </c>
      <c r="V49" s="18" t="n">
        <v>5487.08</v>
      </c>
      <c r="W49" s="18" t="n">
        <v>4844.9</v>
      </c>
      <c r="X49" s="18" t="n">
        <v>5185.77</v>
      </c>
      <c r="Y49" s="18" t="n">
        <v>4663.34</v>
      </c>
      <c r="Z49" s="37" t="n">
        <v>4663.34</v>
      </c>
      <c r="AA49" s="18" t="n">
        <v>4895.82</v>
      </c>
      <c r="AB49" s="19" t="n">
        <v>3861.26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자본총계</t>
        </is>
      </c>
      <c r="E50" s="18" t="n">
        <v>36851.42</v>
      </c>
      <c r="F50" s="37" t="n">
        <v>36851.42</v>
      </c>
      <c r="G50" s="18" t="n">
        <v>34701.92</v>
      </c>
      <c r="H50" s="18" t="n">
        <v>32517.84</v>
      </c>
      <c r="I50" s="18" t="n">
        <v>30675.05</v>
      </c>
      <c r="J50" s="18" t="n">
        <v>28941.16</v>
      </c>
      <c r="K50" s="37" t="n">
        <v>28941.16</v>
      </c>
      <c r="L50" s="18" t="n">
        <v>30396.69</v>
      </c>
      <c r="M50" s="18" t="n">
        <v>31753.46</v>
      </c>
      <c r="N50" s="18" t="n">
        <v>32551.07</v>
      </c>
      <c r="O50" s="18" t="n">
        <v>35762.32</v>
      </c>
      <c r="P50" s="37" t="n">
        <v>35762.32</v>
      </c>
      <c r="Q50" s="18" t="n">
        <v>36217.18</v>
      </c>
      <c r="R50" s="18" t="n">
        <v>37631.65</v>
      </c>
      <c r="S50" s="18" t="n">
        <v>36116.75</v>
      </c>
      <c r="T50" s="18" t="n">
        <v>32836.24</v>
      </c>
      <c r="U50" s="37" t="n">
        <v>32836.24</v>
      </c>
      <c r="V50" s="18" t="n">
        <v>31050.26</v>
      </c>
      <c r="W50" s="18" t="n">
        <v>34845.4</v>
      </c>
      <c r="X50" s="18" t="n">
        <v>37118.73</v>
      </c>
      <c r="Y50" s="18" t="n">
        <v>36002.69</v>
      </c>
      <c r="Z50" s="37" t="n">
        <v>36002.69</v>
      </c>
      <c r="AA50" s="18" t="n">
        <v>37024.13</v>
      </c>
      <c r="AB50" s="19" t="n">
        <v>35543.33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부채와자본총계</t>
        </is>
      </c>
      <c r="E51" s="18" t="n">
        <v>119558.61</v>
      </c>
      <c r="F51" s="37" t="n">
        <v>119558.61</v>
      </c>
      <c r="G51" s="18" t="n">
        <v>120024.38</v>
      </c>
      <c r="H51" s="18" t="n">
        <v>118211.38</v>
      </c>
      <c r="I51" s="18" t="n">
        <v>119621.41</v>
      </c>
      <c r="J51" s="18" t="n">
        <v>124178.35</v>
      </c>
      <c r="K51" s="37" t="n">
        <v>124178.35</v>
      </c>
      <c r="L51" s="18" t="n">
        <v>124386.58</v>
      </c>
      <c r="M51" s="18" t="n">
        <v>125825.1</v>
      </c>
      <c r="N51" s="18" t="n">
        <v>126981.6</v>
      </c>
      <c r="O51" s="18" t="n">
        <v>128821.58</v>
      </c>
      <c r="P51" s="37" t="n">
        <v>128821.58</v>
      </c>
      <c r="Q51" s="18" t="n">
        <v>134327.84</v>
      </c>
      <c r="R51" s="18" t="n">
        <v>135509.58</v>
      </c>
      <c r="S51" s="18" t="n">
        <v>132566.05</v>
      </c>
      <c r="T51" s="18" t="n">
        <v>135428.55</v>
      </c>
      <c r="U51" s="37" t="n">
        <v>135428.55</v>
      </c>
      <c r="V51" s="18" t="n">
        <v>135989.92</v>
      </c>
      <c r="W51" s="18" t="n">
        <v>137771.43</v>
      </c>
      <c r="X51" s="18" t="n">
        <v>141357.11</v>
      </c>
      <c r="Y51" s="18" t="n">
        <v>141833.19</v>
      </c>
      <c r="Z51" s="37" t="n">
        <v>141833.19</v>
      </c>
      <c r="AA51" s="18" t="n">
        <v>147145.76</v>
      </c>
      <c r="AB51" s="19" t="n">
        <v>149427.4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총차입금</t>
        </is>
      </c>
      <c r="E52" s="18" t="n">
        <v>60711.81</v>
      </c>
      <c r="F52" s="37" t="n">
        <v>60711.81</v>
      </c>
      <c r="G52" s="18" t="n">
        <v>61150.24</v>
      </c>
      <c r="H52" s="18" t="n">
        <v>60322.05</v>
      </c>
      <c r="I52" s="18" t="n">
        <v>61087.44</v>
      </c>
      <c r="J52" s="18" t="n">
        <v>59008.24</v>
      </c>
      <c r="K52" s="37" t="n">
        <v>59008.24</v>
      </c>
      <c r="L52" s="18" t="n">
        <v>58333.1</v>
      </c>
      <c r="M52" s="18" t="n">
        <v>99422.78999999999</v>
      </c>
      <c r="N52" s="18" t="n">
        <v>56876.06</v>
      </c>
      <c r="O52" s="18" t="n">
        <v>59788.41</v>
      </c>
      <c r="P52" s="37" t="n">
        <v>59788.41</v>
      </c>
      <c r="Q52" s="18" t="n">
        <v>60555.96</v>
      </c>
      <c r="R52" s="18" t="n">
        <v>62955.82</v>
      </c>
      <c r="S52" s="18" t="n">
        <v>63232.95</v>
      </c>
      <c r="T52" s="18" t="n">
        <v>72456.00999999999</v>
      </c>
      <c r="U52" s="37" t="n">
        <v>72456.00999999999</v>
      </c>
      <c r="V52" s="18" t="n">
        <v>73081.47</v>
      </c>
      <c r="W52" s="18" t="n">
        <v>70948.64</v>
      </c>
      <c r="X52" s="18" t="n">
        <v>69638.31</v>
      </c>
      <c r="Y52" s="18" t="n">
        <v>70934.14</v>
      </c>
      <c r="Z52" s="37" t="n">
        <v>70934.14</v>
      </c>
      <c r="AA52" s="18" t="n">
        <v>73473.59</v>
      </c>
      <c r="AB52" s="19" t="n">
        <v>72912.39999999999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순차입금</t>
        </is>
      </c>
      <c r="E53" s="18" t="n">
        <v>54210.3</v>
      </c>
      <c r="F53" s="37" t="n">
        <v>54210.3</v>
      </c>
      <c r="G53" s="18" t="n">
        <v>59302.88</v>
      </c>
      <c r="H53" s="18" t="n">
        <v>58785.21</v>
      </c>
      <c r="I53" s="18" t="n">
        <v>58490.59</v>
      </c>
      <c r="J53" s="18" t="n">
        <v>56002.86</v>
      </c>
      <c r="K53" s="37" t="n">
        <v>56002.86</v>
      </c>
      <c r="L53" s="18" t="n">
        <v>53881.72</v>
      </c>
      <c r="M53" s="18" t="n">
        <v>93816.24000000001</v>
      </c>
      <c r="N53" s="18" t="n">
        <v>52201.43</v>
      </c>
      <c r="O53" s="18" t="n">
        <v>51479.19</v>
      </c>
      <c r="P53" s="37" t="n">
        <v>51479.19</v>
      </c>
      <c r="Q53" s="18" t="n">
        <v>46786.81</v>
      </c>
      <c r="R53" s="18" t="n">
        <v>50780.23</v>
      </c>
      <c r="S53" s="18" t="n">
        <v>51703.11</v>
      </c>
      <c r="T53" s="18" t="n">
        <v>56866.18</v>
      </c>
      <c r="U53" s="37" t="n">
        <v>56866.18</v>
      </c>
      <c r="V53" s="18" t="n">
        <v>60061.71</v>
      </c>
      <c r="W53" s="18" t="n">
        <v>58457.04</v>
      </c>
      <c r="X53" s="18" t="n">
        <v>53439.48</v>
      </c>
      <c r="Y53" s="18" t="n">
        <v>58613.36</v>
      </c>
      <c r="Z53" s="37" t="n">
        <v>58613.36</v>
      </c>
      <c r="AA53" s="18" t="n">
        <v>59513.76</v>
      </c>
      <c r="AB53" s="19" t="n">
        <v>56582.39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이자발생자산</t>
        </is>
      </c>
      <c r="E54" s="18" t="n">
        <v>9347.33</v>
      </c>
      <c r="F54" s="37" t="n">
        <v>9347.33</v>
      </c>
      <c r="G54" s="18" t="n">
        <v>4835.97</v>
      </c>
      <c r="H54" s="18" t="n">
        <v>2778.38</v>
      </c>
      <c r="I54" s="18" t="n">
        <v>4135.97</v>
      </c>
      <c r="J54" s="18" t="n">
        <v>3125.69</v>
      </c>
      <c r="K54" s="37" t="n">
        <v>3125.69</v>
      </c>
      <c r="L54" s="18" t="n">
        <v>4567.16</v>
      </c>
      <c r="M54" s="18" t="n">
        <v>5729.69</v>
      </c>
      <c r="N54" s="18" t="n">
        <v>4699.16</v>
      </c>
      <c r="O54" s="18" t="n">
        <v>8389.26</v>
      </c>
      <c r="P54" s="37" t="n">
        <v>8389.26</v>
      </c>
      <c r="Q54" s="18" t="n">
        <v>13849.19</v>
      </c>
      <c r="R54" s="18" t="n">
        <v>12199.63</v>
      </c>
      <c r="S54" s="18" t="n">
        <v>11593.63</v>
      </c>
      <c r="T54" s="18" t="n">
        <v>15967.29</v>
      </c>
      <c r="U54" s="37" t="n">
        <v>15967.29</v>
      </c>
      <c r="V54" s="18" t="n">
        <v>13427.22</v>
      </c>
      <c r="W54" s="18" t="n">
        <v>12779.24</v>
      </c>
      <c r="X54" s="18" t="n">
        <v>16496.47</v>
      </c>
      <c r="Y54" s="18" t="n">
        <v>12524.82</v>
      </c>
      <c r="Z54" s="37" t="n">
        <v>12524.82</v>
      </c>
      <c r="AA54" s="18" t="n">
        <v>14163.87</v>
      </c>
      <c r="AB54" s="19" t="n">
        <v>16536.05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단기투자자산(공정가치)</t>
        </is>
      </c>
      <c r="F55" s="9" t="n"/>
      <c r="G55" s="18" t="n">
        <v>0</v>
      </c>
      <c r="H55" s="18" t="n">
        <v>0</v>
      </c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종속기업및관계기업투자</t>
        </is>
      </c>
      <c r="F56" s="9" t="n"/>
      <c r="G56" s="18" t="n">
        <v>0</v>
      </c>
      <c r="H56" s="18" t="n">
        <v>0</v>
      </c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유동성장기부채</t>
        </is>
      </c>
      <c r="F57" s="9" t="n"/>
      <c r="K57" s="9" t="n"/>
      <c r="M57" s="18" t="n">
        <v>50362.44</v>
      </c>
      <c r="O57" s="18" t="n">
        <v>0</v>
      </c>
      <c r="P57" s="37" t="n">
        <v>0</v>
      </c>
      <c r="T57" s="18" t="n">
        <v>13294.17</v>
      </c>
      <c r="U57" s="37" t="n">
        <v>13294.17</v>
      </c>
      <c r="V57" s="18" t="n">
        <v>13576.36</v>
      </c>
      <c r="W57" s="18" t="n">
        <v>10663.32</v>
      </c>
      <c r="X57" s="18" t="n">
        <v>10072.26</v>
      </c>
      <c r="Y57" s="18" t="n">
        <v>10213.15</v>
      </c>
      <c r="Z57" s="37" t="n">
        <v>10213.15</v>
      </c>
      <c r="AA57" s="18" t="n">
        <v>7955.36</v>
      </c>
      <c r="AB57" s="19" t="n">
        <v>8398.42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유동파생상품자산</t>
        </is>
      </c>
      <c r="F58" s="9" t="n"/>
      <c r="K58" s="9" t="n"/>
      <c r="O58" s="18" t="n">
        <v>247.04</v>
      </c>
      <c r="P58" s="37" t="n">
        <v>247.04</v>
      </c>
      <c r="Q58" s="18" t="n">
        <v>913.29</v>
      </c>
      <c r="R58" s="18" t="n">
        <v>1199.48</v>
      </c>
      <c r="S58" s="18" t="n">
        <v>1199.48</v>
      </c>
      <c r="T58" s="18" t="n">
        <v>60.73</v>
      </c>
      <c r="U58" s="37" t="n">
        <v>60.73</v>
      </c>
      <c r="V58" s="18" t="n">
        <v>60.73</v>
      </c>
      <c r="W58" s="18" t="n">
        <v>728.72</v>
      </c>
      <c r="X58" s="18" t="n">
        <v>2.57</v>
      </c>
      <c r="Y58" s="18" t="n">
        <v>156.48</v>
      </c>
      <c r="Z58" s="37" t="n">
        <v>156.48</v>
      </c>
      <c r="AA58" s="18" t="n">
        <v>0</v>
      </c>
      <c r="AB58" s="19" t="n">
        <v>0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단기파생상품부채</t>
        </is>
      </c>
      <c r="F59" s="9" t="n"/>
      <c r="K59" s="9" t="n"/>
      <c r="O59" s="18" t="n">
        <v>4025.56</v>
      </c>
      <c r="P59" s="37" t="n">
        <v>4025.56</v>
      </c>
      <c r="Q59" s="18" t="n">
        <v>11287.16</v>
      </c>
      <c r="R59" s="18" t="n">
        <v>8734.860000000001</v>
      </c>
      <c r="S59" s="18" t="n">
        <v>8734.860000000001</v>
      </c>
      <c r="T59" s="18" t="n">
        <v>4891.67</v>
      </c>
      <c r="U59" s="37" t="n">
        <v>4891.67</v>
      </c>
      <c r="V59" s="18" t="n">
        <v>4891.67</v>
      </c>
      <c r="W59" s="18" t="n">
        <v>3532.55</v>
      </c>
      <c r="X59" s="18" t="n">
        <v>2083.94</v>
      </c>
      <c r="Y59" s="18" t="n">
        <v>2738.27</v>
      </c>
      <c r="Z59" s="37" t="n">
        <v>2738.27</v>
      </c>
      <c r="AA59" s="18" t="n">
        <v>2132.93</v>
      </c>
      <c r="AB59" s="19" t="n">
        <v>2343.96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사채</t>
        </is>
      </c>
      <c r="F60" s="9" t="n"/>
      <c r="K60" s="9" t="n"/>
      <c r="O60" s="18" t="n">
        <v>3432.63</v>
      </c>
      <c r="P60" s="37" t="n">
        <v>3432.63</v>
      </c>
      <c r="Q60" s="18" t="n">
        <v>7864.33</v>
      </c>
      <c r="R60" s="18" t="n">
        <v>8513.1</v>
      </c>
      <c r="S60" s="18" t="n">
        <v>8838.370000000001</v>
      </c>
      <c r="T60" s="18" t="n">
        <v>0</v>
      </c>
      <c r="U60" s="37" t="n">
        <v>0</v>
      </c>
      <c r="V60" s="18" t="n">
        <v>0</v>
      </c>
      <c r="Y60" s="18" t="n">
        <v>0</v>
      </c>
      <c r="Z60" s="37" t="n">
        <v>0</v>
      </c>
      <c r="AA60" s="18" t="n">
        <v>0</v>
      </c>
      <c r="AB60" s="19" t="n">
        <v>0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18" t="n">
        <v>14534.94</v>
      </c>
      <c r="F61" s="9" t="n"/>
      <c r="G61" s="18" t="n">
        <v>12500.03</v>
      </c>
      <c r="H61" s="18" t="n">
        <v>11730.6</v>
      </c>
      <c r="I61" s="18" t="n">
        <v>12798.42</v>
      </c>
      <c r="J61" s="18" t="n">
        <v>15727.04</v>
      </c>
      <c r="K61" s="37" t="n">
        <v>52756.09</v>
      </c>
      <c r="L61" s="18" t="n">
        <v>19766.41</v>
      </c>
      <c r="M61" s="18" t="n">
        <v>17099.02</v>
      </c>
      <c r="N61" s="18" t="n">
        <v>17302.73</v>
      </c>
      <c r="O61" s="18" t="n">
        <v>17546.94</v>
      </c>
      <c r="P61" s="37" t="n">
        <v>71715.10000000001</v>
      </c>
      <c r="Q61" s="18" t="n">
        <v>16739.95</v>
      </c>
      <c r="R61" s="18" t="n">
        <v>14064.24</v>
      </c>
      <c r="S61" s="18" t="n">
        <v>12924.18</v>
      </c>
      <c r="T61" s="18" t="n">
        <v>17670.18</v>
      </c>
      <c r="U61" s="37" t="n">
        <v>61398.55</v>
      </c>
      <c r="V61" s="18" t="n">
        <v>10329.01</v>
      </c>
      <c r="W61" s="18" t="n">
        <v>14619.54</v>
      </c>
      <c r="X61" s="18" t="n">
        <v>17155.59</v>
      </c>
      <c r="Y61" s="18" t="n">
        <v>17773.11</v>
      </c>
      <c r="Z61" s="37" t="n">
        <v>59877.25</v>
      </c>
      <c r="AA61" s="18" t="n">
        <v>21247.63</v>
      </c>
      <c r="AB61" s="19" t="n">
        <v>18885.89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18" t="n">
        <v>17624.61</v>
      </c>
      <c r="F62" s="9" t="n"/>
      <c r="G62" s="18" t="n">
        <v>12307.05</v>
      </c>
      <c r="H62" s="18" t="n">
        <v>11747.91</v>
      </c>
      <c r="I62" s="18" t="n">
        <v>12346.46</v>
      </c>
      <c r="J62" s="18" t="n">
        <v>14109.24</v>
      </c>
      <c r="K62" s="37" t="n">
        <v>50510.66</v>
      </c>
      <c r="L62" s="18" t="n">
        <v>15726.9</v>
      </c>
      <c r="M62" s="18" t="n">
        <v>12811.42</v>
      </c>
      <c r="N62" s="18" t="n">
        <v>14536.99</v>
      </c>
      <c r="O62" s="18" t="n">
        <v>14740</v>
      </c>
      <c r="P62" s="37" t="n">
        <v>57815.31</v>
      </c>
      <c r="Q62" s="18" t="n">
        <v>13914.53</v>
      </c>
      <c r="R62" s="18" t="n">
        <v>11754.49</v>
      </c>
      <c r="S62" s="18" t="n">
        <v>11711.29</v>
      </c>
      <c r="T62" s="18" t="n">
        <v>14912.22</v>
      </c>
      <c r="U62" s="37" t="n">
        <v>52292.53</v>
      </c>
      <c r="V62" s="18" t="n">
        <v>9301.85</v>
      </c>
      <c r="W62" s="18" t="n">
        <v>12404.24</v>
      </c>
      <c r="X62" s="18" t="n">
        <v>13302.11</v>
      </c>
      <c r="Y62" s="18" t="n">
        <v>15165.92</v>
      </c>
      <c r="Z62" s="37" t="n">
        <v>50174.12</v>
      </c>
      <c r="AA62" s="18" t="n">
        <v>17167.26</v>
      </c>
      <c r="AB62" s="19" t="n">
        <v>17669.18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18" t="n">
        <v>-3089.67</v>
      </c>
      <c r="F63" s="9" t="n"/>
      <c r="G63" s="18" t="n">
        <v>192.98</v>
      </c>
      <c r="H63" s="18" t="n">
        <v>-17.31</v>
      </c>
      <c r="I63" s="18" t="n">
        <v>451.97</v>
      </c>
      <c r="J63" s="18" t="n">
        <v>1617.8</v>
      </c>
      <c r="K63" s="37" t="n">
        <v>2245.44</v>
      </c>
      <c r="L63" s="18" t="n">
        <v>4039.51</v>
      </c>
      <c r="M63" s="18" t="n">
        <v>4287.6</v>
      </c>
      <c r="N63" s="18" t="n">
        <v>2765.74</v>
      </c>
      <c r="O63" s="18" t="n">
        <v>2806.94</v>
      </c>
      <c r="P63" s="37" t="n">
        <v>13899.79</v>
      </c>
      <c r="Q63" s="18" t="n">
        <v>2825.42</v>
      </c>
      <c r="R63" s="18" t="n">
        <v>2309.75</v>
      </c>
      <c r="S63" s="18" t="n">
        <v>1212.89</v>
      </c>
      <c r="T63" s="18" t="n">
        <v>2757.96</v>
      </c>
      <c r="U63" s="37" t="n">
        <v>9106.02</v>
      </c>
      <c r="V63" s="18" t="n">
        <v>1027.16</v>
      </c>
      <c r="W63" s="18" t="n">
        <v>2215.3</v>
      </c>
      <c r="X63" s="18" t="n">
        <v>3853.48</v>
      </c>
      <c r="Y63" s="18" t="n">
        <v>2607.19</v>
      </c>
      <c r="Z63" s="37" t="n">
        <v>9703.129999999999</v>
      </c>
      <c r="AA63" s="18" t="n">
        <v>4080.37</v>
      </c>
      <c r="AB63" s="19" t="n">
        <v>1216.71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18" t="n">
        <v>2297.32</v>
      </c>
      <c r="F64" s="9" t="n"/>
      <c r="G64" s="18" t="n">
        <v>1826.59</v>
      </c>
      <c r="H64" s="18" t="n">
        <v>1586.19</v>
      </c>
      <c r="I64" s="18" t="n">
        <v>1755.76</v>
      </c>
      <c r="J64" s="18" t="n">
        <v>1818.32</v>
      </c>
      <c r="K64" s="37" t="n">
        <v>6986.86</v>
      </c>
      <c r="L64" s="18" t="n">
        <v>1855.03</v>
      </c>
      <c r="M64" s="18" t="n">
        <v>2020.1</v>
      </c>
      <c r="N64" s="18" t="n">
        <v>2024.52</v>
      </c>
      <c r="O64" s="18" t="n">
        <v>2403.65</v>
      </c>
      <c r="P64" s="37" t="n">
        <v>8303.299999999999</v>
      </c>
      <c r="Q64" s="18" t="n">
        <v>1867.24</v>
      </c>
      <c r="R64" s="18" t="n">
        <v>2463.15</v>
      </c>
      <c r="S64" s="18" t="n">
        <v>1795.51</v>
      </c>
      <c r="T64" s="18" t="n">
        <v>2543.36</v>
      </c>
      <c r="U64" s="37" t="n">
        <v>8669.26</v>
      </c>
      <c r="V64" s="18" t="n">
        <v>2194.59</v>
      </c>
      <c r="W64" s="18" t="n">
        <v>2535.3</v>
      </c>
      <c r="X64" s="18" t="n">
        <v>2681.08</v>
      </c>
      <c r="Y64" s="18" t="n">
        <v>2435.91</v>
      </c>
      <c r="Z64" s="37" t="n">
        <v>9846.879999999999</v>
      </c>
      <c r="AA64" s="18" t="n">
        <v>2598.33</v>
      </c>
      <c r="AB64" s="19" t="n">
        <v>1352.6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18" t="n">
        <v>-5386.99</v>
      </c>
      <c r="F65" s="9" t="n"/>
      <c r="G65" s="18" t="n">
        <v>-1633.61</v>
      </c>
      <c r="H65" s="18" t="n">
        <v>-1603.5</v>
      </c>
      <c r="I65" s="18" t="n">
        <v>-1303.79</v>
      </c>
      <c r="J65" s="18" t="n">
        <v>-200.52</v>
      </c>
      <c r="K65" s="37" t="n">
        <v>-4741.42</v>
      </c>
      <c r="L65" s="18" t="n">
        <v>2184.48</v>
      </c>
      <c r="M65" s="18" t="n">
        <v>2267.5</v>
      </c>
      <c r="N65" s="18" t="n">
        <v>741.22</v>
      </c>
      <c r="O65" s="18" t="n">
        <v>403.29</v>
      </c>
      <c r="P65" s="37" t="n">
        <v>5596.49</v>
      </c>
      <c r="Q65" s="18" t="n">
        <v>958.1799999999999</v>
      </c>
      <c r="R65" s="18" t="n">
        <v>-153.39</v>
      </c>
      <c r="S65" s="18" t="n">
        <v>-582.62</v>
      </c>
      <c r="T65" s="18" t="n">
        <v>214.6</v>
      </c>
      <c r="U65" s="37" t="n">
        <v>436.77</v>
      </c>
      <c r="V65" s="18" t="n">
        <v>-1167.43</v>
      </c>
      <c r="W65" s="18" t="n">
        <v>-320</v>
      </c>
      <c r="X65" s="18" t="n">
        <v>1172.4</v>
      </c>
      <c r="Y65" s="18" t="n">
        <v>171.28</v>
      </c>
      <c r="Z65" s="37" t="n">
        <v>-143.75</v>
      </c>
      <c r="AA65" s="18" t="n">
        <v>1482.04</v>
      </c>
      <c r="AB65" s="19" t="n">
        <v>-135.88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기타영업외수익</t>
        </is>
      </c>
      <c r="E66" s="18" t="n">
        <v>257.34</v>
      </c>
      <c r="F66" s="9" t="n"/>
      <c r="G66" s="18" t="n">
        <v>60.59</v>
      </c>
      <c r="H66" s="18" t="n">
        <v>422.84</v>
      </c>
      <c r="I66" s="18" t="n">
        <v>235.49</v>
      </c>
      <c r="J66" s="18" t="n">
        <v>-22.82</v>
      </c>
      <c r="K66" s="37" t="n">
        <v>696.1</v>
      </c>
      <c r="L66" s="18" t="n">
        <v>294.87</v>
      </c>
      <c r="M66" s="18" t="n">
        <v>69.31999999999999</v>
      </c>
      <c r="N66" s="18" t="n">
        <v>62.94</v>
      </c>
      <c r="O66" s="18" t="n">
        <v>367.07</v>
      </c>
      <c r="P66" s="37" t="n">
        <v>794.2</v>
      </c>
      <c r="Q66" s="18" t="n">
        <v>579.73</v>
      </c>
      <c r="R66" s="18" t="n">
        <v>101.24</v>
      </c>
      <c r="S66" s="18" t="n">
        <v>53.61</v>
      </c>
      <c r="T66" s="18" t="n">
        <v>-96.48</v>
      </c>
      <c r="U66" s="37" t="n">
        <v>638.1</v>
      </c>
      <c r="V66" s="18" t="n">
        <v>93.08</v>
      </c>
      <c r="W66" s="18" t="n">
        <v>65.78</v>
      </c>
      <c r="X66" s="18" t="n">
        <v>319.32</v>
      </c>
      <c r="Y66" s="18" t="n">
        <v>301.15</v>
      </c>
      <c r="Z66" s="37" t="n">
        <v>779.33</v>
      </c>
      <c r="AA66" s="18" t="n">
        <v>242.22</v>
      </c>
      <c r="AB66" s="19" t="n">
        <v>146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기타영업외비용</t>
        </is>
      </c>
      <c r="E67" s="18" t="n">
        <v>4487.68</v>
      </c>
      <c r="F67" s="9" t="n"/>
      <c r="G67" s="18" t="n">
        <v>52.76</v>
      </c>
      <c r="H67" s="18" t="n">
        <v>93.41</v>
      </c>
      <c r="I67" s="18" t="n">
        <v>67.66</v>
      </c>
      <c r="J67" s="18" t="n">
        <v>438.95</v>
      </c>
      <c r="K67" s="37" t="n">
        <v>652.78</v>
      </c>
      <c r="L67" s="18" t="n">
        <v>164.36</v>
      </c>
      <c r="M67" s="18" t="n">
        <v>155.99</v>
      </c>
      <c r="N67" s="18" t="n">
        <v>49.41</v>
      </c>
      <c r="O67" s="18" t="n">
        <v>752.87</v>
      </c>
      <c r="P67" s="37" t="n">
        <v>1122.63</v>
      </c>
      <c r="Q67" s="18" t="n">
        <v>223.52</v>
      </c>
      <c r="R67" s="18" t="n">
        <v>51.34</v>
      </c>
      <c r="S67" s="18" t="n">
        <v>-41.68</v>
      </c>
      <c r="T67" s="18" t="n">
        <v>655.47</v>
      </c>
      <c r="U67" s="37" t="n">
        <v>888.65</v>
      </c>
      <c r="V67" s="18" t="n">
        <v>53.44</v>
      </c>
      <c r="W67" s="18" t="n">
        <v>232.25</v>
      </c>
      <c r="X67" s="18" t="n">
        <v>59.04</v>
      </c>
      <c r="Y67" s="18" t="n">
        <v>70.09999999999999</v>
      </c>
      <c r="Z67" s="37" t="n">
        <v>414.83</v>
      </c>
      <c r="AA67" s="18" t="n">
        <v>104.75</v>
      </c>
      <c r="AB67" s="19" t="n">
        <v>103.96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금융수익</t>
        </is>
      </c>
      <c r="E68" s="18" t="n">
        <v>28.13</v>
      </c>
      <c r="F68" s="9" t="n"/>
      <c r="G68" s="18" t="n">
        <v>45.74</v>
      </c>
      <c r="H68" s="18" t="n">
        <v>35.16</v>
      </c>
      <c r="I68" s="18" t="n">
        <v>46.22</v>
      </c>
      <c r="J68" s="18" t="n">
        <v>296.48</v>
      </c>
      <c r="K68" s="37" t="n">
        <v>423.6</v>
      </c>
      <c r="L68" s="18" t="n">
        <v>24.42</v>
      </c>
      <c r="M68" s="18" t="n">
        <v>37.73</v>
      </c>
      <c r="N68" s="18" t="n">
        <v>76.97</v>
      </c>
      <c r="O68" s="18" t="n">
        <v>1179</v>
      </c>
      <c r="P68" s="37" t="n">
        <v>1318.12</v>
      </c>
      <c r="Q68" s="18" t="n">
        <v>15.33</v>
      </c>
      <c r="R68" s="18" t="n">
        <v>3026.96</v>
      </c>
      <c r="S68" s="18" t="n">
        <v>99.93000000000001</v>
      </c>
      <c r="T68" s="18" t="n">
        <v>-817.8200000000001</v>
      </c>
      <c r="U68" s="37" t="n">
        <v>2324.4</v>
      </c>
      <c r="V68" s="18" t="n">
        <v>171.8</v>
      </c>
      <c r="W68" s="18" t="n">
        <v>1716.55</v>
      </c>
      <c r="X68" s="18" t="n">
        <v>516.65</v>
      </c>
      <c r="Y68" s="18" t="n">
        <v>-476.91</v>
      </c>
      <c r="Z68" s="37" t="n">
        <v>1928.09</v>
      </c>
      <c r="AA68" s="18" t="n">
        <v>70.25</v>
      </c>
      <c r="AB68" s="19" t="n">
        <v>388.24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금융비용</t>
        </is>
      </c>
      <c r="E69" s="18" t="n">
        <v>745.47</v>
      </c>
      <c r="F69" s="9" t="n"/>
      <c r="G69" s="18" t="n">
        <v>679.83</v>
      </c>
      <c r="H69" s="18" t="n">
        <v>717.98</v>
      </c>
      <c r="I69" s="18" t="n">
        <v>744.96</v>
      </c>
      <c r="J69" s="18" t="n">
        <v>892.75</v>
      </c>
      <c r="K69" s="37" t="n">
        <v>3035.52</v>
      </c>
      <c r="L69" s="18" t="n">
        <v>876.98</v>
      </c>
      <c r="M69" s="18" t="n">
        <v>866.79</v>
      </c>
      <c r="N69" s="18" t="n">
        <v>880.53</v>
      </c>
      <c r="O69" s="18" t="n">
        <v>1160.98</v>
      </c>
      <c r="P69" s="37" t="n">
        <v>3785.28</v>
      </c>
      <c r="Q69" s="18" t="n">
        <v>875.22</v>
      </c>
      <c r="R69" s="18" t="n">
        <v>1536.06</v>
      </c>
      <c r="S69" s="18" t="n">
        <v>1100.78</v>
      </c>
      <c r="T69" s="18" t="n">
        <v>1709.02</v>
      </c>
      <c r="U69" s="37" t="n">
        <v>5221.08</v>
      </c>
      <c r="V69" s="18" t="n">
        <v>830.12</v>
      </c>
      <c r="W69" s="18" t="n">
        <v>7104</v>
      </c>
      <c r="X69" s="18" t="n">
        <v>1308.44</v>
      </c>
      <c r="Y69" s="18" t="n">
        <v>682.37</v>
      </c>
      <c r="Z69" s="37" t="n">
        <v>9924.93</v>
      </c>
      <c r="AA69" s="18" t="n">
        <v>649.42</v>
      </c>
      <c r="AB69" s="19" t="n">
        <v>1437.12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18" t="n">
        <v>-10634.67</v>
      </c>
      <c r="F70" s="9" t="n"/>
      <c r="G70" s="18" t="n">
        <v>-2259.86</v>
      </c>
      <c r="H70" s="18" t="n">
        <v>-1956.9</v>
      </c>
      <c r="I70" s="18" t="n">
        <v>-1834.71</v>
      </c>
      <c r="J70" s="18" t="n">
        <v>-1775.63</v>
      </c>
      <c r="K70" s="37" t="n">
        <v>-7827.1</v>
      </c>
      <c r="L70" s="18" t="n">
        <v>1462.43</v>
      </c>
      <c r="M70" s="18" t="n">
        <v>1351.76</v>
      </c>
      <c r="N70" s="18" t="n">
        <v>-48.81</v>
      </c>
      <c r="O70" s="18" t="n">
        <v>35.51</v>
      </c>
      <c r="P70" s="37" t="n">
        <v>2800.89</v>
      </c>
      <c r="Q70" s="18" t="n">
        <v>454.5</v>
      </c>
      <c r="R70" s="18" t="n">
        <v>1387.4</v>
      </c>
      <c r="S70" s="18" t="n">
        <v>-1488.18</v>
      </c>
      <c r="T70" s="18" t="n">
        <v>-3064.22</v>
      </c>
      <c r="U70" s="37" t="n">
        <v>-2710.5</v>
      </c>
      <c r="V70" s="18" t="n">
        <v>-1786.1</v>
      </c>
      <c r="W70" s="18" t="n">
        <v>-5873.93</v>
      </c>
      <c r="X70" s="18" t="n">
        <v>640.89</v>
      </c>
      <c r="Y70" s="18" t="n">
        <v>-756.9299999999999</v>
      </c>
      <c r="Z70" s="37" t="n">
        <v>-7776.07</v>
      </c>
      <c r="AA70" s="18" t="n">
        <v>1040.35</v>
      </c>
      <c r="AB70" s="19" t="n">
        <v>-1142.73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-10634.67</v>
      </c>
      <c r="F71" s="9" t="n"/>
      <c r="G71" s="18" t="n">
        <v>-2259.86</v>
      </c>
      <c r="H71" s="18" t="n">
        <v>-1956.9</v>
      </c>
      <c r="I71" s="18" t="n">
        <v>-1834.71</v>
      </c>
      <c r="J71" s="18" t="n">
        <v>-1775.63</v>
      </c>
      <c r="K71" s="37" t="n">
        <v>-7827.1</v>
      </c>
      <c r="L71" s="18" t="n">
        <v>1462.43</v>
      </c>
      <c r="M71" s="18" t="n">
        <v>1351.76</v>
      </c>
      <c r="N71" s="18" t="n">
        <v>-48.81</v>
      </c>
      <c r="O71" s="18" t="n">
        <v>35.51</v>
      </c>
      <c r="P71" s="37" t="n">
        <v>2800.89</v>
      </c>
      <c r="Q71" s="18" t="n">
        <v>454.5</v>
      </c>
      <c r="R71" s="18" t="n">
        <v>1387.4</v>
      </c>
      <c r="S71" s="18" t="n">
        <v>-1488.18</v>
      </c>
      <c r="T71" s="18" t="n">
        <v>-3064.22</v>
      </c>
      <c r="U71" s="37" t="n">
        <v>-2710.5</v>
      </c>
      <c r="V71" s="18" t="n">
        <v>-1786.1</v>
      </c>
      <c r="W71" s="18" t="n">
        <v>-5873.93</v>
      </c>
      <c r="X71" s="18" t="n">
        <v>640.89</v>
      </c>
      <c r="Y71" s="18" t="n">
        <v>-756.9299999999999</v>
      </c>
      <c r="Z71" s="37" t="n">
        <v>-7776.07</v>
      </c>
      <c r="AA71" s="18" t="n">
        <v>1040.35</v>
      </c>
      <c r="AB71" s="19" t="n">
        <v>-1142.73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(지배주주지분)당기순이익</t>
        </is>
      </c>
      <c r="E72" s="18" t="n">
        <v>-9322.51</v>
      </c>
      <c r="F72" s="9" t="n"/>
      <c r="G72" s="18" t="n">
        <v>-1965.07</v>
      </c>
      <c r="H72" s="18" t="n">
        <v>-1588.38</v>
      </c>
      <c r="I72" s="18" t="n">
        <v>-1686.6</v>
      </c>
      <c r="J72" s="18" t="n">
        <v>-1747.09</v>
      </c>
      <c r="K72" s="37" t="n">
        <v>-6987.14</v>
      </c>
      <c r="L72" s="18" t="n">
        <v>1294.98</v>
      </c>
      <c r="M72" s="18" t="n">
        <v>1293.55</v>
      </c>
      <c r="N72" s="18" t="n">
        <v>-149</v>
      </c>
      <c r="O72" s="18" t="n">
        <v>-102.87</v>
      </c>
      <c r="P72" s="37" t="n">
        <v>2336.66</v>
      </c>
      <c r="Q72" s="18" t="n">
        <v>387.67</v>
      </c>
      <c r="R72" s="18" t="n">
        <v>1002.96</v>
      </c>
      <c r="U72" s="9" t="n"/>
      <c r="V72" s="18" t="n">
        <v>-1275.7</v>
      </c>
      <c r="W72" s="18" t="n">
        <v>-5231.74</v>
      </c>
      <c r="X72" s="18" t="n">
        <v>300.02</v>
      </c>
      <c r="Y72" s="18" t="n">
        <v>-336.35</v>
      </c>
      <c r="Z72" s="37" t="n">
        <v>-6543.77</v>
      </c>
      <c r="AA72" s="18" t="n">
        <v>807.87</v>
      </c>
      <c r="AB72" s="19" t="n">
        <v>-258.23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(비지배주주지분)당기순이익</t>
        </is>
      </c>
      <c r="E73" s="18" t="n">
        <v>-1312.15</v>
      </c>
      <c r="F73" s="9" t="n"/>
      <c r="G73" s="18" t="n">
        <v>-294.8</v>
      </c>
      <c r="H73" s="18" t="n">
        <v>-368.52</v>
      </c>
      <c r="I73" s="18" t="n">
        <v>-148.11</v>
      </c>
      <c r="J73" s="18" t="n">
        <v>-28.54</v>
      </c>
      <c r="K73" s="37" t="n">
        <v>-839.97</v>
      </c>
      <c r="L73" s="18" t="n">
        <v>167.44</v>
      </c>
      <c r="M73" s="18" t="n">
        <v>58.21</v>
      </c>
      <c r="N73" s="18" t="n">
        <v>100.2</v>
      </c>
      <c r="O73" s="18" t="n">
        <v>138.39</v>
      </c>
      <c r="P73" s="37" t="n">
        <v>464.24</v>
      </c>
      <c r="Q73" s="18" t="n">
        <v>66.83</v>
      </c>
      <c r="R73" s="18" t="n">
        <v>384.44</v>
      </c>
      <c r="S73" s="18" t="n">
        <v>-361.52</v>
      </c>
      <c r="T73" s="18" t="n">
        <v>286.5</v>
      </c>
      <c r="U73" s="37" t="n">
        <v>376.25</v>
      </c>
      <c r="V73" s="18" t="n">
        <v>-510.41</v>
      </c>
      <c r="W73" s="18" t="n">
        <v>-642.1799999999999</v>
      </c>
      <c r="X73" s="18" t="n">
        <v>340.87</v>
      </c>
      <c r="Y73" s="18" t="n">
        <v>-420.59</v>
      </c>
      <c r="Z73" s="37" t="n">
        <v>-1232.31</v>
      </c>
      <c r="AA73" s="18" t="n">
        <v>232.48</v>
      </c>
      <c r="AB73" s="19" t="n">
        <v>-884.5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총포괄손익</t>
        </is>
      </c>
      <c r="E74" s="18" t="n">
        <v>-6023.73</v>
      </c>
      <c r="F74" s="9" t="n"/>
      <c r="G74" s="18" t="n">
        <v>-2149.5</v>
      </c>
      <c r="H74" s="18" t="n">
        <v>-2184.09</v>
      </c>
      <c r="I74" s="18" t="n">
        <v>-1836.13</v>
      </c>
      <c r="J74" s="18" t="n">
        <v>-1740.55</v>
      </c>
      <c r="K74" s="37" t="n">
        <v>-7910.27</v>
      </c>
      <c r="L74" s="18" t="n">
        <v>1455.53</v>
      </c>
      <c r="M74" s="18" t="n">
        <v>1356.76</v>
      </c>
      <c r="N74" s="18" t="n">
        <v>-52.39</v>
      </c>
      <c r="O74" s="18" t="n">
        <v>3211.25</v>
      </c>
      <c r="P74" s="37" t="n">
        <v>5971.15</v>
      </c>
      <c r="Q74" s="18" t="n">
        <v>454.86</v>
      </c>
      <c r="R74" s="18" t="n">
        <v>1414.46</v>
      </c>
      <c r="S74" s="18" t="n">
        <v>-1514.9</v>
      </c>
      <c r="T74" s="18" t="n">
        <v>-3280.52</v>
      </c>
      <c r="U74" s="37" t="n">
        <v>-2926.1</v>
      </c>
      <c r="V74" s="18" t="n">
        <v>-1785.98</v>
      </c>
      <c r="W74" s="18" t="n">
        <v>-5848.68</v>
      </c>
      <c r="X74" s="18" t="n">
        <v>665.63</v>
      </c>
      <c r="Y74" s="18" t="n">
        <v>-1105.24</v>
      </c>
      <c r="Z74" s="37" t="n">
        <v>-8074.27</v>
      </c>
      <c r="AA74" s="18" t="n">
        <v>1021.44</v>
      </c>
      <c r="AB74" s="19" t="n">
        <v>-1480.8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금융손익</t>
        </is>
      </c>
      <c r="E75" s="18" t="n">
        <v>-717.34</v>
      </c>
      <c r="F75" s="9" t="n"/>
      <c r="G75" s="18" t="n">
        <v>-634.09</v>
      </c>
      <c r="H75" s="18" t="n">
        <v>-682.8200000000001</v>
      </c>
      <c r="I75" s="18" t="n">
        <v>-698.74</v>
      </c>
      <c r="J75" s="18" t="n">
        <v>-596.27</v>
      </c>
      <c r="K75" s="37" t="n">
        <v>-2611.92</v>
      </c>
      <c r="L75" s="18" t="n">
        <v>-852.5599999999999</v>
      </c>
      <c r="M75" s="18" t="n">
        <v>-829.0599999999999</v>
      </c>
      <c r="N75" s="18" t="n">
        <v>-803.5599999999999</v>
      </c>
      <c r="O75" s="18" t="n">
        <v>18.02</v>
      </c>
      <c r="P75" s="37" t="n">
        <v>-2467.16</v>
      </c>
      <c r="Q75" s="18" t="n">
        <v>-859.89</v>
      </c>
      <c r="R75" s="18" t="n">
        <v>1490.9</v>
      </c>
      <c r="S75" s="18" t="n">
        <v>-1000.85</v>
      </c>
      <c r="T75" s="18" t="n">
        <v>-2526.84</v>
      </c>
      <c r="U75" s="37" t="n">
        <v>-2896.68</v>
      </c>
      <c r="V75" s="18" t="n">
        <v>-658.3200000000001</v>
      </c>
      <c r="W75" s="18" t="n">
        <v>-5387.45</v>
      </c>
      <c r="X75" s="18" t="n">
        <v>-791.79</v>
      </c>
      <c r="Y75" s="18" t="n">
        <v>-1159.28</v>
      </c>
      <c r="Z75" s="37" t="n">
        <v>-7996.84</v>
      </c>
      <c r="AA75" s="18" t="n">
        <v>-579.17</v>
      </c>
      <c r="AB75" s="19" t="n">
        <v>-1048.88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기타영업외손익</t>
        </is>
      </c>
      <c r="E76" s="18" t="n">
        <v>-4230.34</v>
      </c>
      <c r="F76" s="9" t="n"/>
      <c r="G76" s="18" t="n">
        <v>7.83</v>
      </c>
      <c r="H76" s="18" t="n">
        <v>329.43</v>
      </c>
      <c r="I76" s="18" t="n">
        <v>167.83</v>
      </c>
      <c r="J76" s="18" t="n">
        <v>-461.77</v>
      </c>
      <c r="K76" s="37" t="n">
        <v>43.32</v>
      </c>
      <c r="L76" s="18" t="n">
        <v>130.51</v>
      </c>
      <c r="M76" s="18" t="n">
        <v>-86.67</v>
      </c>
      <c r="N76" s="18" t="n">
        <v>13.53</v>
      </c>
      <c r="O76" s="18" t="n">
        <v>-385.8</v>
      </c>
      <c r="P76" s="37" t="n">
        <v>-328.43</v>
      </c>
      <c r="Q76" s="18" t="n">
        <v>356.21</v>
      </c>
      <c r="R76" s="18" t="n">
        <v>49.9</v>
      </c>
      <c r="S76" s="18" t="n">
        <v>95.29000000000001</v>
      </c>
      <c r="T76" s="18" t="n">
        <v>-751.95</v>
      </c>
      <c r="U76" s="37" t="n">
        <v>-250.55</v>
      </c>
      <c r="V76" s="18" t="n">
        <v>39.64</v>
      </c>
      <c r="W76" s="18" t="n">
        <v>-166.47</v>
      </c>
      <c r="X76" s="18" t="n">
        <v>260.28</v>
      </c>
      <c r="Y76" s="18" t="n">
        <v>231.05</v>
      </c>
      <c r="Z76" s="37" t="n">
        <v>364.5</v>
      </c>
      <c r="AA76" s="18" t="n">
        <v>137.47</v>
      </c>
      <c r="AB76" s="19" t="n">
        <v>42.04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계속사업이익</t>
        </is>
      </c>
      <c r="E77" s="18" t="n">
        <v>-10634.67</v>
      </c>
      <c r="F77" s="9" t="n"/>
      <c r="G77" s="18" t="n">
        <v>-2259.86</v>
      </c>
      <c r="H77" s="18" t="n">
        <v>-1956.9</v>
      </c>
      <c r="I77" s="18" t="n">
        <v>-1834.71</v>
      </c>
      <c r="J77" s="18" t="n">
        <v>-1775.63</v>
      </c>
      <c r="K77" s="37" t="n">
        <v>-7827.1</v>
      </c>
      <c r="L77" s="18" t="n">
        <v>1462.43</v>
      </c>
      <c r="M77" s="18" t="n">
        <v>1351.76</v>
      </c>
      <c r="N77" s="18" t="n">
        <v>-48.81</v>
      </c>
      <c r="O77" s="18" t="n">
        <v>35.51</v>
      </c>
      <c r="P77" s="37" t="n">
        <v>2800.89</v>
      </c>
      <c r="Q77" s="18" t="n">
        <v>454.5</v>
      </c>
      <c r="R77" s="18" t="n">
        <v>1387.4</v>
      </c>
      <c r="S77" s="18" t="n">
        <v>-1488.18</v>
      </c>
      <c r="T77" s="18" t="n">
        <v>-3064.22</v>
      </c>
      <c r="U77" s="37" t="n">
        <v>-2710.5</v>
      </c>
      <c r="V77" s="18" t="n">
        <v>-1786.1</v>
      </c>
      <c r="W77" s="18" t="n">
        <v>-5873.93</v>
      </c>
      <c r="X77" s="18" t="n">
        <v>640.89</v>
      </c>
      <c r="Y77" s="18" t="n">
        <v>-756.9299999999999</v>
      </c>
      <c r="Z77" s="37" t="n">
        <v>-7776.07</v>
      </c>
      <c r="AA77" s="18" t="n">
        <v>1040.35</v>
      </c>
      <c r="AB77" s="19" t="n">
        <v>-1142.73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법인세비용</t>
        </is>
      </c>
      <c r="F78" s="9" t="n"/>
      <c r="G78" s="18" t="n">
        <v>0</v>
      </c>
      <c r="I78" s="18" t="n">
        <v>0</v>
      </c>
      <c r="J78" s="18" t="n">
        <v>0</v>
      </c>
      <c r="K78" s="9" t="n"/>
      <c r="L78" s="18" t="n">
        <v>0</v>
      </c>
      <c r="M78" s="18" t="n">
        <v>0</v>
      </c>
      <c r="N78" s="18" t="n">
        <v>0</v>
      </c>
      <c r="O78" s="18" t="n">
        <v>0</v>
      </c>
      <c r="P78" s="37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37" t="n">
        <v>0</v>
      </c>
      <c r="V78" s="18" t="n">
        <v>0</v>
      </c>
      <c r="W78" s="18" t="n">
        <v>0</v>
      </c>
      <c r="X78" s="18" t="n">
        <v>0</v>
      </c>
      <c r="Y78" s="18" t="n">
        <v>0</v>
      </c>
      <c r="Z78" s="37" t="n">
        <v>0</v>
      </c>
      <c r="AA78" s="18" t="n">
        <v>0</v>
      </c>
      <c r="AB78" s="19" t="n">
        <v>0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이자수익</t>
        </is>
      </c>
      <c r="F79" s="9" t="n"/>
      <c r="G79" s="18" t="n">
        <v>29.22</v>
      </c>
      <c r="H79" s="18" t="n">
        <v>30.45</v>
      </c>
      <c r="I79" s="18" t="n">
        <v>29.37</v>
      </c>
      <c r="J79" s="18" t="n">
        <v>58.16</v>
      </c>
      <c r="K79" s="37" t="n">
        <v>147.2</v>
      </c>
      <c r="L79" s="18" t="n">
        <v>21.79</v>
      </c>
      <c r="M79" s="18" t="n">
        <v>30.87</v>
      </c>
      <c r="N79" s="18" t="n">
        <v>48.41</v>
      </c>
      <c r="O79" s="18" t="n">
        <v>54.11</v>
      </c>
      <c r="P79" s="37" t="n">
        <v>155.18</v>
      </c>
      <c r="Q79" s="18" t="n">
        <v>8.25</v>
      </c>
      <c r="R79" s="18" t="n">
        <v>7.1</v>
      </c>
      <c r="S79" s="18" t="n">
        <v>22.93</v>
      </c>
      <c r="T79" s="18" t="n">
        <v>66.69</v>
      </c>
      <c r="U79" s="37" t="n">
        <v>104.97</v>
      </c>
      <c r="V79" s="18" t="n">
        <v>7.39</v>
      </c>
      <c r="W79" s="18" t="n">
        <v>44.25</v>
      </c>
      <c r="X79" s="18" t="n">
        <v>108.29</v>
      </c>
      <c r="Y79" s="18" t="n">
        <v>-2.64</v>
      </c>
      <c r="Z79" s="37" t="n">
        <v>157.29</v>
      </c>
      <c r="AA79" s="18" t="n">
        <v>33.98</v>
      </c>
      <c r="AB79" s="19" t="n">
        <v>57.55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배당금수익</t>
        </is>
      </c>
      <c r="F80" s="9" t="n"/>
      <c r="G80" s="18" t="n">
        <v>14.74</v>
      </c>
      <c r="H80" s="18" t="n">
        <v>0</v>
      </c>
      <c r="I80" s="18" t="n">
        <v>0</v>
      </c>
      <c r="J80" s="18" t="n">
        <v>0</v>
      </c>
      <c r="K80" s="37" t="n">
        <v>14.74</v>
      </c>
      <c r="M80" s="18" t="n">
        <v>6.7</v>
      </c>
      <c r="N80" s="18" t="n">
        <v>35.14</v>
      </c>
      <c r="O80" s="18" t="n">
        <v>0</v>
      </c>
      <c r="P80" s="9" t="n"/>
      <c r="R80" s="18" t="n">
        <v>113.34</v>
      </c>
      <c r="S80" s="18" t="n">
        <v>81.2</v>
      </c>
      <c r="T80" s="18" t="n">
        <v>0</v>
      </c>
      <c r="U80" s="9" t="n"/>
      <c r="V80" s="18" t="n">
        <v>161</v>
      </c>
      <c r="W80" s="18" t="n">
        <v>15.2</v>
      </c>
      <c r="X80" s="18" t="n">
        <v>0</v>
      </c>
      <c r="Y80" s="18" t="n">
        <v>120.4</v>
      </c>
      <c r="Z80" s="37" t="n">
        <v>296.6</v>
      </c>
      <c r="AB80" s="19" t="n">
        <v>182.2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이자비용</t>
        </is>
      </c>
      <c r="F81" s="9" t="n"/>
      <c r="G81" s="18" t="n">
        <v>677.95</v>
      </c>
      <c r="H81" s="18" t="n">
        <v>716.74</v>
      </c>
      <c r="I81" s="18" t="n">
        <v>744.54</v>
      </c>
      <c r="J81" s="18" t="n">
        <v>856.08</v>
      </c>
      <c r="K81" s="37" t="n">
        <v>2995.31</v>
      </c>
      <c r="L81" s="18" t="n">
        <v>875.61</v>
      </c>
      <c r="M81" s="18" t="n">
        <v>858.4</v>
      </c>
      <c r="N81" s="18" t="n">
        <v>878.9400000000001</v>
      </c>
      <c r="O81" s="18" t="n">
        <v>1020.25</v>
      </c>
      <c r="P81" s="37" t="n">
        <v>3633.2</v>
      </c>
      <c r="Q81" s="18" t="n">
        <v>871.54</v>
      </c>
      <c r="R81" s="18" t="n">
        <v>1476.73</v>
      </c>
      <c r="S81" s="18" t="n">
        <v>1091.19</v>
      </c>
      <c r="T81" s="18" t="n">
        <v>1398.26</v>
      </c>
      <c r="U81" s="37" t="n">
        <v>4837.72</v>
      </c>
      <c r="V81" s="18" t="n">
        <v>830.12</v>
      </c>
      <c r="W81" s="18" t="n">
        <v>1522.14</v>
      </c>
      <c r="X81" s="18" t="n">
        <v>324.01</v>
      </c>
      <c r="Y81" s="18" t="n">
        <v>806.59</v>
      </c>
      <c r="Z81" s="37" t="n">
        <v>3482.86</v>
      </c>
      <c r="AA81" s="18" t="n">
        <v>644.47</v>
      </c>
      <c r="AB81" s="19" t="n">
        <v>1224.09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외환차익</t>
        </is>
      </c>
      <c r="F82" s="9" t="n"/>
      <c r="G82" s="18" t="n">
        <v>1.78</v>
      </c>
      <c r="H82" s="18" t="n">
        <v>2.94</v>
      </c>
      <c r="I82" s="18" t="n">
        <v>11.36</v>
      </c>
      <c r="J82" s="18" t="n">
        <v>-9.57</v>
      </c>
      <c r="K82" s="37" t="n">
        <v>6.51</v>
      </c>
      <c r="L82" s="18" t="n">
        <v>1.04</v>
      </c>
      <c r="M82" s="18" t="n">
        <v>0.34</v>
      </c>
      <c r="N82" s="18" t="n">
        <v>-4.98</v>
      </c>
      <c r="O82" s="18" t="n">
        <v>2.62</v>
      </c>
      <c r="P82" s="37" t="n">
        <v>-0.98</v>
      </c>
      <c r="Q82" s="18" t="n">
        <v>0.49</v>
      </c>
      <c r="R82" s="18" t="n">
        <v>0.22</v>
      </c>
      <c r="S82" s="18" t="n">
        <v>0</v>
      </c>
      <c r="T82" s="18" t="n">
        <v>0.23</v>
      </c>
      <c r="U82" s="37" t="n">
        <v>0.9399999999999999</v>
      </c>
      <c r="W82" s="18" t="n">
        <v>67.86</v>
      </c>
      <c r="X82" s="18" t="n">
        <v>0.98</v>
      </c>
      <c r="Y82" s="18" t="n">
        <v>48.28</v>
      </c>
      <c r="Z82" s="9" t="n"/>
      <c r="AA82" s="18" t="n">
        <v>32.79</v>
      </c>
      <c r="AB82" s="19" t="n">
        <v>3.43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외화환산손실</t>
        </is>
      </c>
      <c r="F83" s="9" t="n"/>
      <c r="G83" s="18" t="n">
        <v>1.87</v>
      </c>
      <c r="H83" s="18" t="n">
        <v>-1.18</v>
      </c>
      <c r="I83" s="18" t="n">
        <v>-0.7</v>
      </c>
      <c r="K83" s="9" t="n"/>
      <c r="M83" s="18" t="n">
        <v>0.84</v>
      </c>
      <c r="N83" s="18" t="n">
        <v>0.19</v>
      </c>
      <c r="O83" s="18" t="n">
        <v>2.33</v>
      </c>
      <c r="P83" s="9" t="n"/>
      <c r="Q83" s="18" t="n">
        <v>3.67</v>
      </c>
      <c r="R83" s="18" t="n">
        <v>0.9</v>
      </c>
      <c r="S83" s="18" t="n">
        <v>9.59</v>
      </c>
      <c r="T83" s="18" t="n">
        <v>-7.95</v>
      </c>
      <c r="U83" s="37" t="n">
        <v>6.21</v>
      </c>
      <c r="Z83" s="9" t="n"/>
      <c r="AA83" s="18" t="n">
        <v>-4.95</v>
      </c>
      <c r="AB83" s="19" t="n">
        <v>4.95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이자손익</t>
        </is>
      </c>
      <c r="F84" s="9" t="n"/>
      <c r="G84" s="18" t="n">
        <v>-648.73</v>
      </c>
      <c r="H84" s="18" t="n">
        <v>-686.29</v>
      </c>
      <c r="I84" s="18" t="n">
        <v>-715.17</v>
      </c>
      <c r="J84" s="18" t="n">
        <v>-797.92</v>
      </c>
      <c r="K84" s="37" t="n">
        <v>-2848.11</v>
      </c>
      <c r="L84" s="18" t="n">
        <v>-853.8200000000001</v>
      </c>
      <c r="M84" s="18" t="n">
        <v>-827.53</v>
      </c>
      <c r="N84" s="18" t="n">
        <v>-830.53</v>
      </c>
      <c r="O84" s="18" t="n">
        <v>-966.14</v>
      </c>
      <c r="P84" s="37" t="n">
        <v>-3478.02</v>
      </c>
      <c r="Q84" s="18" t="n">
        <v>-863.29</v>
      </c>
      <c r="R84" s="18" t="n">
        <v>-1469.63</v>
      </c>
      <c r="S84" s="18" t="n">
        <v>-1068.26</v>
      </c>
      <c r="T84" s="18" t="n">
        <v>-1331.57</v>
      </c>
      <c r="U84" s="37" t="n">
        <v>-4732.75</v>
      </c>
      <c r="V84" s="18" t="n">
        <v>-822.73</v>
      </c>
      <c r="W84" s="18" t="n">
        <v>-1477.89</v>
      </c>
      <c r="X84" s="18" t="n">
        <v>-215.72</v>
      </c>
      <c r="Y84" s="18" t="n">
        <v>-809.23</v>
      </c>
      <c r="Z84" s="37" t="n">
        <v>-3325.57</v>
      </c>
      <c r="AA84" s="18" t="n">
        <v>-610.49</v>
      </c>
      <c r="AB84" s="19" t="n">
        <v>-1166.54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외환차손</t>
        </is>
      </c>
      <c r="F85" s="9" t="n"/>
      <c r="H85" s="18" t="n">
        <v>2.42</v>
      </c>
      <c r="I85" s="18" t="n">
        <v>1.12</v>
      </c>
      <c r="J85" s="18" t="n">
        <v>32.92</v>
      </c>
      <c r="K85" s="9" t="n"/>
      <c r="L85" s="18" t="n">
        <v>1.37</v>
      </c>
      <c r="M85" s="18" t="n">
        <v>7.55</v>
      </c>
      <c r="N85" s="18" t="n">
        <v>1.4</v>
      </c>
      <c r="O85" s="18" t="n">
        <v>0.53</v>
      </c>
      <c r="P85" s="37" t="n">
        <v>10.85</v>
      </c>
      <c r="R85" s="18" t="n">
        <v>1.26</v>
      </c>
      <c r="S85" s="18" t="n">
        <v>0</v>
      </c>
      <c r="T85" s="18" t="n">
        <v>0</v>
      </c>
      <c r="U85" s="9" t="n"/>
      <c r="W85" s="18" t="n">
        <v>20.27</v>
      </c>
      <c r="X85" s="18" t="n">
        <v>1.61</v>
      </c>
      <c r="Y85" s="18" t="n">
        <v>5.73</v>
      </c>
      <c r="Z85" s="9" t="n"/>
      <c r="AA85" s="18" t="n">
        <v>2.77</v>
      </c>
      <c r="AB85" s="19" t="n">
        <v>1.69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외화환산이익</t>
        </is>
      </c>
      <c r="F86" s="9" t="n"/>
      <c r="H86" s="18" t="n">
        <v>0.64</v>
      </c>
      <c r="I86" s="18" t="n">
        <v>5.5</v>
      </c>
      <c r="K86" s="9" t="n"/>
      <c r="L86" s="18" t="n">
        <v>1.59</v>
      </c>
      <c r="M86" s="18" t="n">
        <v>-1.38</v>
      </c>
      <c r="N86" s="18" t="n">
        <v>-1.38</v>
      </c>
      <c r="P86" s="9" t="n"/>
      <c r="Q86" s="18" t="n">
        <v>6.59</v>
      </c>
      <c r="R86" s="18" t="n">
        <v>9.449999999999999</v>
      </c>
      <c r="S86" s="18" t="n">
        <v>-4.19</v>
      </c>
      <c r="T86" s="18" t="n">
        <v>47.34</v>
      </c>
      <c r="U86" s="37" t="n">
        <v>59.19</v>
      </c>
      <c r="Z86" s="9" t="n"/>
      <c r="AB86" s="19" t="n">
        <v>104.28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파생상품이익</t>
        </is>
      </c>
      <c r="F87" s="9" t="n"/>
      <c r="K87" s="9" t="n"/>
      <c r="P87" s="9" t="n"/>
      <c r="R87" s="18" t="n">
        <v>2895.66</v>
      </c>
      <c r="S87" s="18" t="n">
        <v>2895.66</v>
      </c>
      <c r="T87" s="18" t="n">
        <v>-942.02</v>
      </c>
      <c r="U87" s="9" t="n"/>
      <c r="W87" s="18" t="n">
        <v>1585.89</v>
      </c>
      <c r="X87" s="18" t="n">
        <v>1853.27</v>
      </c>
      <c r="Y87" s="18" t="n">
        <v>-646.64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파생상품손실</t>
        </is>
      </c>
      <c r="F88" s="9" t="n"/>
      <c r="K88" s="9" t="n"/>
      <c r="P88" s="9" t="n"/>
      <c r="R88" s="18" t="n">
        <v>57.17</v>
      </c>
      <c r="S88" s="18" t="n">
        <v>57.17</v>
      </c>
      <c r="T88" s="18" t="n">
        <v>318.04</v>
      </c>
      <c r="U88" s="9" t="n"/>
      <c r="W88" s="18" t="n">
        <v>5561.59</v>
      </c>
      <c r="X88" s="18" t="n">
        <v>1840.41</v>
      </c>
      <c r="Y88" s="18" t="n">
        <v>-146.22</v>
      </c>
      <c r="Z88" s="9" t="n"/>
      <c r="AB88" s="19" t="n">
        <v>211.04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영업활동으로인한현금흐름</t>
        </is>
      </c>
      <c r="E89" s="18" t="n">
        <v>1204.04</v>
      </c>
      <c r="F89" s="9" t="n"/>
      <c r="G89" s="18" t="n">
        <v>-3916.87</v>
      </c>
      <c r="H89" s="18" t="n">
        <v>-1857.46</v>
      </c>
      <c r="I89" s="18" t="n">
        <v>712.87</v>
      </c>
      <c r="J89" s="18" t="n">
        <v>2108.14</v>
      </c>
      <c r="K89" s="37" t="n">
        <v>-2953.32</v>
      </c>
      <c r="L89" s="18" t="n">
        <v>1738.04</v>
      </c>
      <c r="M89" s="18" t="n">
        <v>2891.62</v>
      </c>
      <c r="N89" s="18" t="n">
        <v>631.15</v>
      </c>
      <c r="O89" s="18" t="n">
        <v>-5824.89</v>
      </c>
      <c r="P89" s="37" t="n">
        <v>-564.08</v>
      </c>
      <c r="Q89" s="18" t="n">
        <v>-3168.15</v>
      </c>
      <c r="R89" s="18" t="n">
        <v>-3013.06</v>
      </c>
      <c r="S89" s="18" t="n">
        <v>-897.4400000000001</v>
      </c>
      <c r="T89" s="18" t="n">
        <v>769.01</v>
      </c>
      <c r="U89" s="37" t="n">
        <v>-6309.64</v>
      </c>
      <c r="V89" s="18" t="n">
        <v>-2764.95</v>
      </c>
      <c r="W89" s="18" t="n">
        <v>-2011.11</v>
      </c>
      <c r="X89" s="18" t="n">
        <v>5045.41</v>
      </c>
      <c r="Y89" s="18" t="n">
        <v>-4762.46</v>
      </c>
      <c r="Z89" s="37" t="n">
        <v>-4493.11</v>
      </c>
      <c r="AA89" s="18" t="n">
        <v>-86.09999999999999</v>
      </c>
      <c r="AB89" s="19" t="n">
        <v>3483.46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감가상각비</t>
        </is>
      </c>
      <c r="E90" s="18" t="n">
        <v>452.45</v>
      </c>
      <c r="F90" s="9" t="n"/>
      <c r="G90" s="18" t="n">
        <v>269.04</v>
      </c>
      <c r="H90" s="18" t="n">
        <v>299.44</v>
      </c>
      <c r="I90" s="18" t="n">
        <v>237.14</v>
      </c>
      <c r="J90" s="18" t="n">
        <v>273.15</v>
      </c>
      <c r="K90" s="37" t="n">
        <v>1078.77</v>
      </c>
      <c r="L90" s="18" t="n">
        <v>234.26</v>
      </c>
      <c r="M90" s="18" t="n">
        <v>278.7</v>
      </c>
      <c r="P90" s="9" t="n"/>
      <c r="U90" s="9" t="n"/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무형자산상각비</t>
        </is>
      </c>
      <c r="E91" s="18" t="n">
        <v>24.79</v>
      </c>
      <c r="F91" s="9" t="n"/>
      <c r="G91" s="18" t="n">
        <v>3.36</v>
      </c>
      <c r="H91" s="18" t="n">
        <v>3.37</v>
      </c>
      <c r="I91" s="18" t="n">
        <v>3.36</v>
      </c>
      <c r="J91" s="18" t="n">
        <v>0.27</v>
      </c>
      <c r="K91" s="37" t="n">
        <v>10.36</v>
      </c>
      <c r="L91" s="18" t="n">
        <v>0.27</v>
      </c>
      <c r="M91" s="18" t="n">
        <v>1.7</v>
      </c>
      <c r="P91" s="9" t="n"/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배당금수취(CF)</t>
        </is>
      </c>
      <c r="E92" s="18" t="n">
        <v>0</v>
      </c>
      <c r="F92" s="9" t="n"/>
      <c r="G92" s="18" t="n">
        <v>14.74</v>
      </c>
      <c r="H92" s="18" t="n">
        <v>0</v>
      </c>
      <c r="I92" s="18" t="n">
        <v>0</v>
      </c>
      <c r="J92" s="18" t="n">
        <v>0</v>
      </c>
      <c r="K92" s="37" t="n">
        <v>14.74</v>
      </c>
      <c r="L92" s="18" t="n">
        <v>0</v>
      </c>
      <c r="M92" s="18" t="n">
        <v>6.7</v>
      </c>
      <c r="N92" s="18" t="n">
        <v>50.4</v>
      </c>
      <c r="O92" s="18" t="n">
        <v>0</v>
      </c>
      <c r="P92" s="37" t="n">
        <v>57.1</v>
      </c>
      <c r="Q92" s="18" t="n">
        <v>0</v>
      </c>
      <c r="R92" s="18" t="n">
        <v>113.34</v>
      </c>
      <c r="S92" s="18" t="n">
        <v>81.2</v>
      </c>
      <c r="T92" s="18" t="n">
        <v>0</v>
      </c>
      <c r="U92" s="37" t="n">
        <v>194.54</v>
      </c>
      <c r="V92" s="18" t="n">
        <v>161</v>
      </c>
      <c r="W92" s="18" t="n">
        <v>15.2</v>
      </c>
      <c r="X92" s="18" t="n">
        <v>0</v>
      </c>
      <c r="Y92" s="18" t="n">
        <v>120.4</v>
      </c>
      <c r="Z92" s="37" t="n">
        <v>296.6</v>
      </c>
      <c r="AA92" s="18" t="n">
        <v>0</v>
      </c>
      <c r="AB92" s="19" t="n">
        <v>182.2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법인세납부(CF)</t>
        </is>
      </c>
      <c r="E93" s="18" t="n">
        <v>-0.83</v>
      </c>
      <c r="F93" s="9" t="n"/>
      <c r="G93" s="18" t="n">
        <v>-0.52</v>
      </c>
      <c r="H93" s="18" t="n">
        <v>5.63</v>
      </c>
      <c r="I93" s="18" t="n">
        <v>61.72</v>
      </c>
      <c r="J93" s="18" t="n">
        <v>-1.82</v>
      </c>
      <c r="K93" s="37" t="n">
        <v>65.01000000000001</v>
      </c>
      <c r="L93" s="18" t="n">
        <v>-0.97</v>
      </c>
      <c r="M93" s="18" t="n">
        <v>1.87</v>
      </c>
      <c r="N93" s="18" t="n">
        <v>-1.07</v>
      </c>
      <c r="O93" s="18" t="n">
        <v>-7.32</v>
      </c>
      <c r="P93" s="37" t="n">
        <v>-7.49</v>
      </c>
      <c r="Q93" s="18" t="n">
        <v>-0.35</v>
      </c>
      <c r="R93" s="18" t="n">
        <v>7.19</v>
      </c>
      <c r="S93" s="18" t="n">
        <v>-0.73</v>
      </c>
      <c r="T93" s="18" t="n">
        <v>-10.68</v>
      </c>
      <c r="U93" s="37" t="n">
        <v>-4.57</v>
      </c>
      <c r="V93" s="18" t="n">
        <v>-1.85</v>
      </c>
      <c r="W93" s="18" t="n">
        <v>12.19</v>
      </c>
      <c r="X93" s="18" t="n">
        <v>-59.16</v>
      </c>
      <c r="Y93" s="18" t="n">
        <v>-0.65</v>
      </c>
      <c r="Z93" s="37" t="n">
        <v>-49.47</v>
      </c>
      <c r="AA93" s="18" t="n">
        <v>-0.88</v>
      </c>
      <c r="AB93" s="19" t="n">
        <v>59.58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투자활동으로인한현금흐름</t>
        </is>
      </c>
      <c r="E94" s="18" t="n">
        <v>1469.41</v>
      </c>
      <c r="F94" s="9" t="n"/>
      <c r="G94" s="18" t="n">
        <v>-1151.52</v>
      </c>
      <c r="H94" s="18" t="n">
        <v>2441.13</v>
      </c>
      <c r="I94" s="18" t="n">
        <v>-349.97</v>
      </c>
      <c r="J94" s="18" t="n">
        <v>-146.34</v>
      </c>
      <c r="K94" s="37" t="n">
        <v>793.3</v>
      </c>
      <c r="L94" s="18" t="n">
        <v>390.06</v>
      </c>
      <c r="M94" s="18" t="n">
        <v>-1714.7</v>
      </c>
      <c r="N94" s="18" t="n">
        <v>-1408.6</v>
      </c>
      <c r="O94" s="18" t="n">
        <v>1727.97</v>
      </c>
      <c r="P94" s="37" t="n">
        <v>-1005.27</v>
      </c>
      <c r="Q94" s="18" t="n">
        <v>425.48</v>
      </c>
      <c r="R94" s="18" t="n">
        <v>-492.97</v>
      </c>
      <c r="S94" s="18" t="n">
        <v>540.1900000000001</v>
      </c>
      <c r="T94" s="18" t="n">
        <v>-722.91</v>
      </c>
      <c r="U94" s="37" t="n">
        <v>-250.21</v>
      </c>
      <c r="V94" s="18" t="n">
        <v>971.0599999999999</v>
      </c>
      <c r="W94" s="18" t="n">
        <v>398.57</v>
      </c>
      <c r="X94" s="18" t="n">
        <v>62.12</v>
      </c>
      <c r="Y94" s="18" t="n">
        <v>-2480.92</v>
      </c>
      <c r="Z94" s="37" t="n">
        <v>-1049.17</v>
      </c>
      <c r="AA94" s="18" t="n">
        <v>-229.4</v>
      </c>
      <c r="AB94" s="19" t="n">
        <v>-204.39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유형자산의감소</t>
        </is>
      </c>
      <c r="E95" s="18" t="n">
        <v>0</v>
      </c>
      <c r="F95" s="9" t="n"/>
      <c r="G95" s="18" t="n">
        <v>0</v>
      </c>
      <c r="H95" s="18" t="n">
        <v>0</v>
      </c>
      <c r="I95" s="18" t="n">
        <v>5</v>
      </c>
      <c r="J95" s="18" t="n">
        <v>158.07</v>
      </c>
      <c r="K95" s="37" t="n">
        <v>163.07</v>
      </c>
      <c r="L95" s="18" t="n">
        <v>4.5</v>
      </c>
      <c r="M95" s="18" t="n">
        <v>0</v>
      </c>
      <c r="N95" s="18" t="n">
        <v>0</v>
      </c>
      <c r="O95" s="18" t="n">
        <v>1</v>
      </c>
      <c r="P95" s="37" t="n">
        <v>5.5</v>
      </c>
      <c r="Q95" s="18" t="n">
        <v>9.27</v>
      </c>
      <c r="R95" s="18" t="n">
        <v>3.82</v>
      </c>
      <c r="S95" s="18" t="n">
        <v>0.64</v>
      </c>
      <c r="T95" s="18" t="n">
        <v>9</v>
      </c>
      <c r="U95" s="37" t="n">
        <v>22.73</v>
      </c>
      <c r="V95" s="18" t="n">
        <v>0</v>
      </c>
      <c r="W95" s="18" t="n">
        <v>0</v>
      </c>
      <c r="X95" s="18" t="n">
        <v>0</v>
      </c>
      <c r="Y95" s="18" t="n">
        <v>1</v>
      </c>
      <c r="Z95" s="37" t="n">
        <v>1</v>
      </c>
      <c r="AA95" s="18" t="n">
        <v>25.91</v>
      </c>
      <c r="AB95" s="19" t="n">
        <v>11.16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유형자산의증가</t>
        </is>
      </c>
      <c r="E96" s="18" t="n">
        <v>31.93</v>
      </c>
      <c r="F96" s="9" t="n"/>
      <c r="G96" s="18" t="n">
        <v>0</v>
      </c>
      <c r="H96" s="18" t="n">
        <v>0</v>
      </c>
      <c r="I96" s="18" t="n">
        <v>115.01</v>
      </c>
      <c r="K96" s="9" t="n"/>
      <c r="L96" s="18" t="n">
        <v>140.98</v>
      </c>
      <c r="M96" s="18" t="n">
        <v>56.42</v>
      </c>
      <c r="N96" s="18" t="n">
        <v>326.86</v>
      </c>
      <c r="P96" s="9" t="n"/>
      <c r="Q96" s="18" t="n">
        <v>96.36</v>
      </c>
      <c r="R96" s="18" t="n">
        <v>68.15000000000001</v>
      </c>
      <c r="S96" s="18" t="n">
        <v>76.8</v>
      </c>
      <c r="T96" s="18" t="n">
        <v>153.62</v>
      </c>
      <c r="U96" s="37" t="n">
        <v>394.93</v>
      </c>
      <c r="V96" s="18" t="n">
        <v>113.19</v>
      </c>
      <c r="W96" s="18" t="n">
        <v>42.76</v>
      </c>
      <c r="X96" s="18" t="n">
        <v>84.98999999999999</v>
      </c>
      <c r="Y96" s="18" t="n">
        <v>497.93</v>
      </c>
      <c r="Z96" s="37" t="n">
        <v>738.87</v>
      </c>
      <c r="AA96" s="18" t="n">
        <v>146.42</v>
      </c>
      <c r="AB96" s="19" t="n">
        <v>38.01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CAPEX</t>
        </is>
      </c>
      <c r="E97" s="18" t="n">
        <v>31.93</v>
      </c>
      <c r="F97" s="9" t="n"/>
      <c r="G97" s="18" t="n">
        <v>0</v>
      </c>
      <c r="H97" s="18" t="n">
        <v>0</v>
      </c>
      <c r="I97" s="18" t="n">
        <v>115.01</v>
      </c>
      <c r="J97" s="18" t="n">
        <v>71.09</v>
      </c>
      <c r="K97" s="37" t="n">
        <v>186.1</v>
      </c>
      <c r="L97" s="18" t="n">
        <v>140.98</v>
      </c>
      <c r="M97" s="18" t="n">
        <v>84.98</v>
      </c>
      <c r="N97" s="18" t="n">
        <v>333.86</v>
      </c>
      <c r="O97" s="18" t="n">
        <v>0</v>
      </c>
      <c r="P97" s="37" t="n">
        <v>559.8200000000001</v>
      </c>
      <c r="Q97" s="18" t="n">
        <v>103.39</v>
      </c>
      <c r="R97" s="18" t="n">
        <v>68.15000000000001</v>
      </c>
      <c r="S97" s="18" t="n">
        <v>76.8</v>
      </c>
      <c r="T97" s="18" t="n">
        <v>153.62</v>
      </c>
      <c r="U97" s="37" t="n">
        <v>401.96</v>
      </c>
      <c r="V97" s="18" t="n">
        <v>113.19</v>
      </c>
      <c r="W97" s="18" t="n">
        <v>47.62</v>
      </c>
      <c r="X97" s="18" t="n">
        <v>86.89</v>
      </c>
      <c r="Y97" s="18" t="n">
        <v>497.93</v>
      </c>
      <c r="Z97" s="37" t="n">
        <v>745.63</v>
      </c>
      <c r="AA97" s="18" t="n">
        <v>154.31</v>
      </c>
      <c r="AB97" s="19" t="n">
        <v>181.55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무형자산의증가</t>
        </is>
      </c>
      <c r="E98" s="18" t="n">
        <v>0</v>
      </c>
      <c r="F98" s="9" t="n"/>
      <c r="G98" s="18" t="n">
        <v>0</v>
      </c>
      <c r="H98" s="18" t="n">
        <v>0</v>
      </c>
      <c r="I98" s="18" t="n">
        <v>0</v>
      </c>
      <c r="J98" s="18" t="n">
        <v>186.1</v>
      </c>
      <c r="K98" s="37" t="n">
        <v>186.1</v>
      </c>
      <c r="L98" s="18" t="n">
        <v>0</v>
      </c>
      <c r="M98" s="18" t="n">
        <v>28.56</v>
      </c>
      <c r="N98" s="18" t="n">
        <v>7</v>
      </c>
      <c r="O98" s="18" t="n">
        <v>0</v>
      </c>
      <c r="P98" s="37" t="n">
        <v>35.56</v>
      </c>
      <c r="Q98" s="18" t="n">
        <v>7.03</v>
      </c>
      <c r="R98" s="18" t="n">
        <v>0</v>
      </c>
      <c r="S98" s="18" t="n">
        <v>0</v>
      </c>
      <c r="T98" s="18" t="n">
        <v>0</v>
      </c>
      <c r="U98" s="37" t="n">
        <v>7.03</v>
      </c>
      <c r="V98" s="18" t="n">
        <v>0</v>
      </c>
      <c r="W98" s="18" t="n">
        <v>4.86</v>
      </c>
      <c r="X98" s="18" t="n">
        <v>1.9</v>
      </c>
      <c r="Y98" s="18" t="n">
        <v>0</v>
      </c>
      <c r="Z98" s="37" t="n">
        <v>6.76</v>
      </c>
      <c r="AA98" s="18" t="n">
        <v>7.89</v>
      </c>
      <c r="AB98" s="19" t="n">
        <v>143.54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재무활동으로인한현금흐름</t>
        </is>
      </c>
      <c r="E99" s="18" t="n">
        <v>987.34</v>
      </c>
      <c r="F99" s="9" t="n"/>
      <c r="G99" s="18" t="n">
        <v>368.12</v>
      </c>
      <c r="H99" s="18" t="n">
        <v>-896.01</v>
      </c>
      <c r="I99" s="18" t="n">
        <v>766.37</v>
      </c>
      <c r="J99" s="18" t="n">
        <v>-2098.48</v>
      </c>
      <c r="K99" s="37" t="n">
        <v>-1860</v>
      </c>
      <c r="L99" s="18" t="n">
        <v>-675.13</v>
      </c>
      <c r="M99" s="18" t="n">
        <v>-1078.06</v>
      </c>
      <c r="N99" s="18" t="n">
        <v>462.88</v>
      </c>
      <c r="O99" s="18" t="n">
        <v>7612.41</v>
      </c>
      <c r="P99" s="37" t="n">
        <v>6322.1</v>
      </c>
      <c r="Q99" s="18" t="n">
        <v>7368.43</v>
      </c>
      <c r="R99" s="18" t="n">
        <v>1774.11</v>
      </c>
      <c r="S99" s="18" t="n">
        <v>-274.73</v>
      </c>
      <c r="T99" s="18" t="n">
        <v>4796.25</v>
      </c>
      <c r="U99" s="37" t="n">
        <v>13664.06</v>
      </c>
      <c r="V99" s="18" t="n">
        <v>371.83</v>
      </c>
      <c r="W99" s="18" t="n">
        <v>740.96</v>
      </c>
      <c r="X99" s="18" t="n">
        <v>-675.15</v>
      </c>
      <c r="Y99" s="18" t="n">
        <v>1140.75</v>
      </c>
      <c r="Z99" s="37" t="n">
        <v>1578.39</v>
      </c>
      <c r="AA99" s="18" t="n">
        <v>2103.08</v>
      </c>
      <c r="AB99" s="19" t="n">
        <v>-1011.22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차입금의증가</t>
        </is>
      </c>
      <c r="E100" s="18" t="n">
        <v>13319.53</v>
      </c>
      <c r="F100" s="9" t="n"/>
      <c r="G100" s="18" t="n">
        <v>3076.73</v>
      </c>
      <c r="H100" s="18" t="n">
        <v>5262.22</v>
      </c>
      <c r="I100" s="18" t="n">
        <v>4795.35</v>
      </c>
      <c r="J100" s="18" t="n">
        <v>9761.99</v>
      </c>
      <c r="K100" s="37" t="n">
        <v>22896.29</v>
      </c>
      <c r="L100" s="18" t="n">
        <v>4857.9</v>
      </c>
      <c r="M100" s="18" t="n">
        <v>9017.889999999999</v>
      </c>
      <c r="N100" s="18" t="n">
        <v>5959.07</v>
      </c>
      <c r="O100" s="18" t="n">
        <v>15328.77</v>
      </c>
      <c r="P100" s="37" t="n">
        <v>35163.63</v>
      </c>
      <c r="Q100" s="18" t="n">
        <v>3384.66</v>
      </c>
      <c r="R100" s="18" t="n">
        <v>4175.78</v>
      </c>
      <c r="S100" s="18" t="n">
        <v>3287.3</v>
      </c>
      <c r="T100" s="18" t="n">
        <v>5697.99</v>
      </c>
      <c r="U100" s="37" t="n">
        <v>16545.73</v>
      </c>
      <c r="V100" s="18" t="n">
        <v>12615.32</v>
      </c>
      <c r="W100" s="18" t="n">
        <v>6953.04</v>
      </c>
      <c r="X100" s="18" t="n">
        <v>5826.85</v>
      </c>
      <c r="Y100" s="18" t="n">
        <v>22486.54</v>
      </c>
      <c r="Z100" s="37" t="n">
        <v>47881.75</v>
      </c>
      <c r="AA100" s="18" t="n">
        <v>9610.82</v>
      </c>
      <c r="AB100" s="19" t="n">
        <v>10978.74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차입금의감소</t>
        </is>
      </c>
      <c r="E101" s="18" t="n">
        <v>12302.26</v>
      </c>
      <c r="F101" s="9" t="n"/>
      <c r="G101" s="18" t="n">
        <v>2708.62</v>
      </c>
      <c r="H101" s="18" t="n">
        <v>6114.67</v>
      </c>
      <c r="I101" s="18" t="n">
        <v>4029.94</v>
      </c>
      <c r="J101" s="18" t="n">
        <v>11841.2</v>
      </c>
      <c r="K101" s="37" t="n">
        <v>24694.43</v>
      </c>
      <c r="L101" s="18" t="n">
        <v>5533.03</v>
      </c>
      <c r="M101" s="18" t="n">
        <v>10108.95</v>
      </c>
      <c r="N101" s="18" t="n">
        <v>5475.05</v>
      </c>
      <c r="O101" s="18" t="n">
        <v>15849.05</v>
      </c>
      <c r="P101" s="37" t="n">
        <v>36966.08</v>
      </c>
      <c r="Q101" s="18" t="n">
        <v>7048.8</v>
      </c>
      <c r="R101" s="18" t="n">
        <v>2424.7</v>
      </c>
      <c r="S101" s="18" t="n">
        <v>3335.44</v>
      </c>
      <c r="T101" s="18" t="n">
        <v>930.73</v>
      </c>
      <c r="U101" s="37" t="n">
        <v>13739.67</v>
      </c>
      <c r="V101" s="18" t="n">
        <v>12272.05</v>
      </c>
      <c r="W101" s="18" t="n">
        <v>6172.82</v>
      </c>
      <c r="X101" s="18" t="n">
        <v>6546.13</v>
      </c>
      <c r="Y101" s="18" t="n">
        <v>21331.6</v>
      </c>
      <c r="Z101" s="37" t="n">
        <v>46322.6</v>
      </c>
      <c r="AA101" s="18" t="n">
        <v>4813.58</v>
      </c>
      <c r="AB101" s="19" t="n">
        <v>11982.99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리스부채의상환</t>
        </is>
      </c>
      <c r="E102" s="18" t="n">
        <v>29.94</v>
      </c>
      <c r="F102" s="9" t="n"/>
      <c r="G102" s="18" t="n">
        <v>0</v>
      </c>
      <c r="H102" s="18" t="n">
        <v>43.56</v>
      </c>
      <c r="I102" s="18" t="n">
        <v>-0.98</v>
      </c>
      <c r="J102" s="18" t="n">
        <v>19.28</v>
      </c>
      <c r="K102" s="37" t="n">
        <v>61.86</v>
      </c>
      <c r="L102" s="18" t="n">
        <v>0</v>
      </c>
      <c r="M102" s="18" t="n">
        <v>23.74</v>
      </c>
      <c r="O102" s="18" t="n">
        <v>47.87</v>
      </c>
      <c r="P102" s="9" t="n"/>
      <c r="T102" s="18" t="n">
        <v>37.77</v>
      </c>
      <c r="U102" s="9" t="n"/>
      <c r="X102" s="18" t="n">
        <v>0</v>
      </c>
      <c r="Y102" s="18" t="n">
        <v>38.28</v>
      </c>
      <c r="Z102" s="9" t="n"/>
      <c r="AA102" s="18" t="n">
        <v>8.85</v>
      </c>
      <c r="AB102" s="19" t="n">
        <v>36.6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현금및현금성자산의증감</t>
        </is>
      </c>
      <c r="E103" s="18" t="n">
        <v>3660.82</v>
      </c>
      <c r="F103" s="9" t="n"/>
      <c r="G103" s="18" t="n">
        <v>-4702.15</v>
      </c>
      <c r="H103" s="18" t="n">
        <v>-310.51</v>
      </c>
      <c r="I103" s="18" t="n">
        <v>1135.46</v>
      </c>
      <c r="J103" s="18" t="n">
        <v>-146.57</v>
      </c>
      <c r="K103" s="37" t="n">
        <v>-4023.77</v>
      </c>
      <c r="L103" s="18" t="n">
        <v>1454.56</v>
      </c>
      <c r="M103" s="18" t="n">
        <v>96.65000000000001</v>
      </c>
      <c r="N103" s="18" t="n">
        <v>-314.98</v>
      </c>
      <c r="O103" s="18" t="n">
        <v>3513.16</v>
      </c>
      <c r="P103" s="37" t="n">
        <v>4749.39</v>
      </c>
      <c r="Q103" s="18" t="n">
        <v>4628.68</v>
      </c>
      <c r="R103" s="18" t="n">
        <v>-1723.39</v>
      </c>
      <c r="S103" s="18" t="n">
        <v>-645.75</v>
      </c>
      <c r="T103" s="18" t="n">
        <v>4897.64</v>
      </c>
      <c r="U103" s="37" t="n">
        <v>7157.18</v>
      </c>
      <c r="V103" s="18" t="n">
        <v>-1422.06</v>
      </c>
      <c r="W103" s="18" t="n">
        <v>-871.5700000000001</v>
      </c>
      <c r="X103" s="18" t="n">
        <v>4432.37</v>
      </c>
      <c r="Y103" s="18" t="n">
        <v>-6118.55</v>
      </c>
      <c r="Z103" s="37" t="n">
        <v>-3979.81</v>
      </c>
      <c r="AA103" s="18" t="n">
        <v>1792.53</v>
      </c>
      <c r="AB103" s="19" t="n">
        <v>2367.18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기말현금및현금성자산</t>
        </is>
      </c>
      <c r="E104" s="18" t="n">
        <v>3660.82</v>
      </c>
      <c r="F104" s="9" t="n"/>
      <c r="G104" s="18" t="n">
        <v>726.75</v>
      </c>
      <c r="H104" s="18" t="n">
        <v>-310.52</v>
      </c>
      <c r="I104" s="18" t="n">
        <v>1135.47</v>
      </c>
      <c r="J104" s="18" t="n">
        <v>-146.57</v>
      </c>
      <c r="K104" s="37" t="n">
        <v>1405.13</v>
      </c>
      <c r="L104" s="18" t="n">
        <v>2859.69</v>
      </c>
      <c r="M104" s="18" t="n">
        <v>96.65000000000001</v>
      </c>
      <c r="N104" s="18" t="n">
        <v>-314.98</v>
      </c>
      <c r="O104" s="18" t="n">
        <v>3513.16</v>
      </c>
      <c r="P104" s="37" t="n">
        <v>6154.52</v>
      </c>
      <c r="Q104" s="18" t="n">
        <v>10783.2</v>
      </c>
      <c r="R104" s="18" t="n">
        <v>-1723.39</v>
      </c>
      <c r="S104" s="18" t="n">
        <v>-645.75</v>
      </c>
      <c r="T104" s="18" t="n">
        <v>4897.64</v>
      </c>
      <c r="U104" s="37" t="n">
        <v>13311.7</v>
      </c>
      <c r="V104" s="18" t="n">
        <v>11889.63</v>
      </c>
      <c r="W104" s="18" t="n">
        <v>-871.5700000000001</v>
      </c>
      <c r="X104" s="18" t="n">
        <v>4432.38</v>
      </c>
      <c r="Y104" s="18" t="n">
        <v>-6118.56</v>
      </c>
      <c r="Z104" s="37" t="n">
        <v>9331.879999999999</v>
      </c>
      <c r="AA104" s="18" t="n">
        <v>11124.41</v>
      </c>
      <c r="AB104" s="19" t="n">
        <v>2367.18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무형자산의감소</t>
        </is>
      </c>
      <c r="F105" s="9" t="n"/>
      <c r="I105" s="18" t="n">
        <v>0</v>
      </c>
      <c r="K105" s="9" t="n"/>
      <c r="N105" s="18" t="n">
        <v>0</v>
      </c>
      <c r="P105" s="9" t="n"/>
      <c r="U105" s="9" t="n"/>
      <c r="Z105" s="9" t="n"/>
      <c r="AB105" s="5" t="n"/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이자수취(CF)</t>
        </is>
      </c>
      <c r="F106" s="9" t="n"/>
      <c r="K106" s="9" t="n"/>
      <c r="O106" s="18" t="n">
        <v>26.06</v>
      </c>
      <c r="P106" s="9" t="n"/>
      <c r="Q106" s="18" t="n">
        <v>-82.92</v>
      </c>
      <c r="R106" s="18" t="n">
        <v>115.91</v>
      </c>
      <c r="S106" s="18" t="n">
        <v>17.54</v>
      </c>
      <c r="T106" s="18" t="n">
        <v>72.89</v>
      </c>
      <c r="U106" s="37" t="n">
        <v>123.42</v>
      </c>
      <c r="V106" s="18" t="n">
        <v>12.94</v>
      </c>
      <c r="W106" s="18" t="n">
        <v>37.21</v>
      </c>
      <c r="X106" s="18" t="n">
        <v>228.3</v>
      </c>
      <c r="Y106" s="18" t="n">
        <v>-2.68</v>
      </c>
      <c r="Z106" s="37" t="n">
        <v>275.77</v>
      </c>
      <c r="AA106" s="18" t="n">
        <v>6.19</v>
      </c>
      <c r="AB106" s="19" t="n">
        <v>30.85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대창솔루션(별)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18677.58</v>
      </c>
      <c r="F5" s="37" t="n">
        <v>18677.58</v>
      </c>
      <c r="G5" s="18" t="n">
        <v>18202.69</v>
      </c>
      <c r="H5" s="18" t="n">
        <v>18248.66</v>
      </c>
      <c r="I5" s="18" t="n">
        <v>18928.89</v>
      </c>
      <c r="J5" s="18" t="n">
        <v>19963.15</v>
      </c>
      <c r="K5" s="37" t="n">
        <v>19963.15</v>
      </c>
      <c r="L5" s="18" t="n">
        <v>20970.85</v>
      </c>
      <c r="M5" s="18" t="n">
        <v>20032.28</v>
      </c>
      <c r="N5" s="18" t="n">
        <v>21634.07</v>
      </c>
      <c r="O5" s="18" t="n">
        <v>24290.13</v>
      </c>
      <c r="P5" s="37" t="n">
        <v>24290.13</v>
      </c>
      <c r="Q5" s="18" t="n">
        <v>19836.79</v>
      </c>
      <c r="R5" s="18" t="n">
        <v>21608.09</v>
      </c>
      <c r="S5" s="18" t="n">
        <v>20945.45</v>
      </c>
      <c r="T5" s="18" t="n">
        <v>21373.36</v>
      </c>
      <c r="U5" s="37" t="n">
        <v>21373.36</v>
      </c>
      <c r="V5" s="18" t="n">
        <v>24151.67</v>
      </c>
      <c r="W5" s="18" t="n">
        <v>26697.05</v>
      </c>
      <c r="X5" s="18" t="n">
        <v>27654.31</v>
      </c>
      <c r="Y5" s="18" t="n">
        <v>29473.65</v>
      </c>
      <c r="Z5" s="37" t="n">
        <v>29473.65</v>
      </c>
      <c r="AA5" s="18" t="n">
        <v>32899.96</v>
      </c>
      <c r="AB5" s="19" t="n">
        <v>37546.4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113.94</v>
      </c>
      <c r="F6" s="37" t="n">
        <v>113.94</v>
      </c>
      <c r="G6" s="18" t="n">
        <v>329.76</v>
      </c>
      <c r="H6" s="18" t="n">
        <v>261.9</v>
      </c>
      <c r="I6" s="18" t="n">
        <v>665.05</v>
      </c>
      <c r="J6" s="18" t="n">
        <v>1176.05</v>
      </c>
      <c r="K6" s="37" t="n">
        <v>1176.05</v>
      </c>
      <c r="L6" s="18" t="n">
        <v>123.5</v>
      </c>
      <c r="M6" s="18" t="n">
        <v>95.03</v>
      </c>
      <c r="N6" s="18" t="n">
        <v>955.15</v>
      </c>
      <c r="O6" s="18" t="n">
        <v>3398.27</v>
      </c>
      <c r="P6" s="37" t="n">
        <v>3398.27</v>
      </c>
      <c r="Q6" s="18" t="n">
        <v>226.09</v>
      </c>
      <c r="R6" s="18" t="n">
        <v>2446.43</v>
      </c>
      <c r="S6" s="18" t="n">
        <v>1485.81</v>
      </c>
      <c r="T6" s="18" t="n">
        <v>2970.44</v>
      </c>
      <c r="U6" s="37" t="n">
        <v>2970.44</v>
      </c>
      <c r="V6" s="18" t="n">
        <v>1748.68</v>
      </c>
      <c r="W6" s="18" t="n">
        <v>1859.65</v>
      </c>
      <c r="X6" s="18" t="n">
        <v>2788.58</v>
      </c>
      <c r="Y6" s="18" t="n">
        <v>45.69</v>
      </c>
      <c r="Z6" s="37" t="n">
        <v>45.69</v>
      </c>
      <c r="AA6" s="18" t="n">
        <v>1053.7</v>
      </c>
      <c r="AB6" s="19" t="n">
        <v>6655.07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963.85</v>
      </c>
      <c r="F7" s="37" t="n">
        <v>963.85</v>
      </c>
      <c r="G7" s="18" t="n">
        <v>1011.85</v>
      </c>
      <c r="H7" s="18" t="n">
        <v>1011.85</v>
      </c>
      <c r="I7" s="18" t="n">
        <v>1011.85</v>
      </c>
      <c r="J7" s="18" t="n">
        <v>1081.85</v>
      </c>
      <c r="K7" s="37" t="n">
        <v>1081.85</v>
      </c>
      <c r="L7" s="18" t="n">
        <v>720.85</v>
      </c>
      <c r="M7" s="18" t="n">
        <v>726.36</v>
      </c>
      <c r="N7" s="18" t="n">
        <v>726.36</v>
      </c>
      <c r="O7" s="18" t="n">
        <v>726.36</v>
      </c>
      <c r="P7" s="37" t="n">
        <v>726.36</v>
      </c>
      <c r="Q7" s="18" t="n">
        <v>726.36</v>
      </c>
      <c r="R7" s="18" t="n">
        <v>570</v>
      </c>
      <c r="S7" s="18" t="n">
        <v>570</v>
      </c>
      <c r="T7" s="18" t="n">
        <v>570</v>
      </c>
      <c r="U7" s="37" t="n">
        <v>570</v>
      </c>
      <c r="V7" s="18" t="n">
        <v>570</v>
      </c>
      <c r="W7" s="18" t="n">
        <v>570</v>
      </c>
      <c r="X7" s="18" t="n">
        <v>571</v>
      </c>
      <c r="Y7" s="18" t="n">
        <v>574</v>
      </c>
      <c r="Z7" s="37" t="n">
        <v>574</v>
      </c>
      <c r="AA7" s="18" t="n">
        <v>577</v>
      </c>
      <c r="AB7" s="19" t="n">
        <v>580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963.85</v>
      </c>
      <c r="F8" s="37" t="n">
        <v>963.85</v>
      </c>
      <c r="G8" s="18" t="n">
        <v>1011.85</v>
      </c>
      <c r="H8" s="18" t="n">
        <v>1011.85</v>
      </c>
      <c r="I8" s="18" t="n">
        <v>1011.85</v>
      </c>
      <c r="J8" s="18" t="n">
        <v>1081.85</v>
      </c>
      <c r="K8" s="37" t="n">
        <v>1081.85</v>
      </c>
      <c r="L8" s="18" t="n">
        <v>720.85</v>
      </c>
      <c r="M8" s="18" t="n">
        <v>726.36</v>
      </c>
      <c r="N8" s="18" t="n">
        <v>726.36</v>
      </c>
      <c r="O8" s="18" t="n">
        <v>973.4</v>
      </c>
      <c r="P8" s="37" t="n">
        <v>973.4</v>
      </c>
      <c r="Q8" s="18" t="n">
        <v>973.4</v>
      </c>
      <c r="R8" s="18" t="n">
        <v>1160.39</v>
      </c>
      <c r="S8" s="18" t="n">
        <v>1160.39</v>
      </c>
      <c r="T8" s="18" t="n">
        <v>627.4400000000001</v>
      </c>
      <c r="U8" s="37" t="n">
        <v>627.4400000000001</v>
      </c>
      <c r="V8" s="18" t="n">
        <v>627.4400000000001</v>
      </c>
      <c r="W8" s="18" t="n">
        <v>1296.15</v>
      </c>
      <c r="X8" s="18" t="n">
        <v>571</v>
      </c>
      <c r="Y8" s="18" t="n">
        <v>2408.84</v>
      </c>
      <c r="Z8" s="37" t="n">
        <v>2408.84</v>
      </c>
      <c r="AA8" s="18" t="n">
        <v>577</v>
      </c>
      <c r="AB8" s="19" t="n">
        <v>580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8074.28</v>
      </c>
      <c r="F9" s="37" t="n">
        <v>8074.28</v>
      </c>
      <c r="G9" s="18" t="n">
        <v>7342.91</v>
      </c>
      <c r="H9" s="18" t="n">
        <v>7950.46</v>
      </c>
      <c r="I9" s="18" t="n">
        <v>6722.98</v>
      </c>
      <c r="J9" s="18" t="n">
        <v>7205.56</v>
      </c>
      <c r="K9" s="37" t="n">
        <v>7205.56</v>
      </c>
      <c r="L9" s="18" t="n">
        <v>8671.49</v>
      </c>
      <c r="M9" s="18" t="n">
        <v>7259.96</v>
      </c>
      <c r="N9" s="18" t="n">
        <v>5561.68</v>
      </c>
      <c r="O9" s="18" t="n">
        <v>8503.209999999999</v>
      </c>
      <c r="P9" s="37" t="n">
        <v>8503.209999999999</v>
      </c>
      <c r="Q9" s="18" t="n">
        <v>8167.23</v>
      </c>
      <c r="R9" s="18" t="n">
        <v>6741.54</v>
      </c>
      <c r="S9" s="18" t="n">
        <v>7510.49</v>
      </c>
      <c r="T9" s="18" t="n">
        <v>7281.81</v>
      </c>
      <c r="U9" s="37" t="n">
        <v>7281.81</v>
      </c>
      <c r="V9" s="18" t="n">
        <v>6771.1</v>
      </c>
      <c r="W9" s="18" t="n">
        <v>7711.25</v>
      </c>
      <c r="X9" s="18" t="n">
        <v>7050.66</v>
      </c>
      <c r="Y9" s="18" t="n">
        <v>10590.19</v>
      </c>
      <c r="Z9" s="37" t="n">
        <v>10590.19</v>
      </c>
      <c r="AA9" s="18" t="n">
        <v>12739.95</v>
      </c>
      <c r="AB9" s="19" t="n">
        <v>11708.56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단기투자자산(공정가치)</t>
        </is>
      </c>
      <c r="E10" s="18" t="n">
        <v>540</v>
      </c>
      <c r="F10" s="37" t="n">
        <v>540</v>
      </c>
      <c r="G10" s="18" t="n">
        <v>540</v>
      </c>
      <c r="H10" s="18" t="n">
        <v>0</v>
      </c>
      <c r="I10" s="18" t="n">
        <v>0</v>
      </c>
      <c r="J10" s="18" t="n">
        <v>0</v>
      </c>
      <c r="K10" s="37" t="n">
        <v>0</v>
      </c>
      <c r="L10" s="18" t="n">
        <v>0</v>
      </c>
      <c r="O10" s="18" t="n">
        <v>0</v>
      </c>
      <c r="P10" s="37" t="n">
        <v>0</v>
      </c>
      <c r="Q10" s="18" t="n">
        <v>0</v>
      </c>
      <c r="T10" s="18" t="n">
        <v>0</v>
      </c>
      <c r="U10" s="37" t="n">
        <v>0</v>
      </c>
      <c r="V10" s="18" t="n">
        <v>0</v>
      </c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67.91</v>
      </c>
      <c r="F11" s="37" t="n">
        <v>67.91</v>
      </c>
      <c r="G11" s="18" t="n">
        <v>68.39</v>
      </c>
      <c r="H11" s="18" t="n">
        <v>62.5</v>
      </c>
      <c r="I11" s="18" t="n">
        <v>0.76</v>
      </c>
      <c r="J11" s="18" t="n">
        <v>2.43</v>
      </c>
      <c r="K11" s="37" t="n">
        <v>2.43</v>
      </c>
      <c r="L11" s="18" t="n">
        <v>2.43</v>
      </c>
      <c r="M11" s="18" t="n">
        <v>1</v>
      </c>
      <c r="N11" s="18" t="n">
        <v>1</v>
      </c>
      <c r="O11" s="18" t="n">
        <v>3.91</v>
      </c>
      <c r="P11" s="37" t="n">
        <v>3.91</v>
      </c>
      <c r="Q11" s="18" t="n">
        <v>3.91</v>
      </c>
      <c r="R11" s="18" t="n">
        <v>1.97</v>
      </c>
      <c r="S11" s="18" t="n">
        <v>1.97</v>
      </c>
      <c r="T11" s="18" t="n">
        <v>4.33</v>
      </c>
      <c r="U11" s="37" t="n">
        <v>4.33</v>
      </c>
      <c r="V11" s="18" t="n">
        <v>4.33</v>
      </c>
      <c r="W11" s="18" t="n">
        <v>1.34</v>
      </c>
      <c r="X11" s="18" t="n">
        <v>59.89</v>
      </c>
      <c r="Y11" s="18" t="n">
        <v>0</v>
      </c>
      <c r="Z11" s="37" t="n">
        <v>0</v>
      </c>
      <c r="AA11" s="18" t="n">
        <v>60.35</v>
      </c>
      <c r="AB11" s="19" t="n">
        <v>5.03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8406.530000000001</v>
      </c>
      <c r="F12" s="37" t="n">
        <v>8406.530000000001</v>
      </c>
      <c r="G12" s="18" t="n">
        <v>7889.06</v>
      </c>
      <c r="H12" s="18" t="n">
        <v>7993.33</v>
      </c>
      <c r="I12" s="18" t="n">
        <v>9336.389999999999</v>
      </c>
      <c r="J12" s="18" t="n">
        <v>9808.07</v>
      </c>
      <c r="K12" s="37" t="n">
        <v>9808.07</v>
      </c>
      <c r="L12" s="18" t="n">
        <v>10142.22</v>
      </c>
      <c r="M12" s="18" t="n">
        <v>10637.54</v>
      </c>
      <c r="N12" s="18" t="n">
        <v>13134.02</v>
      </c>
      <c r="O12" s="18" t="n">
        <v>10826.21</v>
      </c>
      <c r="P12" s="37" t="n">
        <v>10826.21</v>
      </c>
      <c r="Q12" s="18" t="n">
        <v>10034.62</v>
      </c>
      <c r="R12" s="18" t="n">
        <v>10898.72</v>
      </c>
      <c r="S12" s="18" t="n">
        <v>10389.95</v>
      </c>
      <c r="T12" s="18" t="n">
        <v>9696.68</v>
      </c>
      <c r="U12" s="37" t="n">
        <v>9696.68</v>
      </c>
      <c r="V12" s="18" t="n">
        <v>14019.08</v>
      </c>
      <c r="W12" s="18" t="n">
        <v>15226.78</v>
      </c>
      <c r="X12" s="18" t="n">
        <v>16687.53</v>
      </c>
      <c r="Y12" s="18" t="n">
        <v>59.89</v>
      </c>
      <c r="Z12" s="37" t="n">
        <v>59.89</v>
      </c>
      <c r="AA12" s="18" t="n">
        <v>17164.38</v>
      </c>
      <c r="AB12" s="19" t="n">
        <v>17301.55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511.07</v>
      </c>
      <c r="F13" s="37" t="n">
        <v>511.07</v>
      </c>
      <c r="G13" s="18" t="n">
        <v>1020.71</v>
      </c>
      <c r="H13" s="18" t="n">
        <v>968.61</v>
      </c>
      <c r="I13" s="18" t="n">
        <v>1191.85</v>
      </c>
      <c r="J13" s="18" t="n">
        <v>689.2</v>
      </c>
      <c r="K13" s="37" t="n">
        <v>689.2</v>
      </c>
      <c r="L13" s="18" t="n">
        <v>1310.36</v>
      </c>
      <c r="M13" s="18" t="n">
        <v>1312.37</v>
      </c>
      <c r="N13" s="18" t="n">
        <v>1255.85</v>
      </c>
      <c r="O13" s="18" t="n">
        <v>585.13</v>
      </c>
      <c r="P13" s="37" t="n">
        <v>585.13</v>
      </c>
      <c r="Q13" s="18" t="n">
        <v>431.53</v>
      </c>
      <c r="R13" s="18" t="n">
        <v>359.04</v>
      </c>
      <c r="S13" s="18" t="n">
        <v>396.82</v>
      </c>
      <c r="T13" s="18" t="n">
        <v>792.66</v>
      </c>
      <c r="U13" s="37" t="n">
        <v>792.66</v>
      </c>
      <c r="V13" s="18" t="n">
        <v>981.05</v>
      </c>
      <c r="W13" s="18" t="n">
        <v>601.88</v>
      </c>
      <c r="X13" s="18" t="n">
        <v>496.66</v>
      </c>
      <c r="Y13" s="18" t="n">
        <v>16369.04</v>
      </c>
      <c r="Z13" s="37" t="n">
        <v>16369.04</v>
      </c>
      <c r="AA13" s="18" t="n">
        <v>1304.58</v>
      </c>
      <c r="AB13" s="19" t="n">
        <v>1296.19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76723.96000000001</v>
      </c>
      <c r="F14" s="37" t="n">
        <v>76723.96000000001</v>
      </c>
      <c r="G14" s="18" t="n">
        <v>76693.25</v>
      </c>
      <c r="H14" s="18" t="n">
        <v>73701.87</v>
      </c>
      <c r="I14" s="18" t="n">
        <v>73730.03</v>
      </c>
      <c r="J14" s="18" t="n">
        <v>72627.62</v>
      </c>
      <c r="K14" s="37" t="n">
        <v>72627.62</v>
      </c>
      <c r="L14" s="18" t="n">
        <v>72425.27</v>
      </c>
      <c r="M14" s="18" t="n">
        <v>72239.42</v>
      </c>
      <c r="N14" s="18" t="n">
        <v>72334.97</v>
      </c>
      <c r="O14" s="18" t="n">
        <v>71397.78999999999</v>
      </c>
      <c r="P14" s="37" t="n">
        <v>71397.78999999999</v>
      </c>
      <c r="Q14" s="18" t="n">
        <v>71215.75999999999</v>
      </c>
      <c r="R14" s="18" t="n">
        <v>71027.22</v>
      </c>
      <c r="S14" s="18" t="n">
        <v>70967.96000000001</v>
      </c>
      <c r="T14" s="18" t="n">
        <v>70627.25999999999</v>
      </c>
      <c r="U14" s="37" t="n">
        <v>70627.25999999999</v>
      </c>
      <c r="V14" s="18" t="n">
        <v>70527.99000000001</v>
      </c>
      <c r="W14" s="18" t="n">
        <v>70415.42</v>
      </c>
      <c r="X14" s="18" t="n">
        <v>70248.67</v>
      </c>
      <c r="Y14" s="18" t="n">
        <v>70292.53</v>
      </c>
      <c r="Z14" s="37" t="n">
        <v>70292.53</v>
      </c>
      <c r="AA14" s="18" t="n">
        <v>70171.67</v>
      </c>
      <c r="AB14" s="19" t="n">
        <v>70151.14999999999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2178.8</v>
      </c>
      <c r="F15" s="37" t="n">
        <v>2178.8</v>
      </c>
      <c r="G15" s="18" t="n">
        <v>2321.59</v>
      </c>
      <c r="H15" s="18" t="n">
        <v>574.52</v>
      </c>
      <c r="I15" s="18" t="n">
        <v>597.86</v>
      </c>
      <c r="J15" s="18" t="n">
        <v>108.57</v>
      </c>
      <c r="K15" s="37" t="n">
        <v>108.57</v>
      </c>
      <c r="L15" s="18" t="n">
        <v>104.04</v>
      </c>
      <c r="M15" s="18" t="n">
        <v>111.4</v>
      </c>
      <c r="N15" s="18" t="n">
        <v>136.8</v>
      </c>
      <c r="O15" s="18" t="n">
        <v>135.79</v>
      </c>
      <c r="P15" s="37" t="n">
        <v>135.79</v>
      </c>
      <c r="Q15" s="18" t="n">
        <v>135.79</v>
      </c>
      <c r="R15" s="18" t="n">
        <v>135.79</v>
      </c>
      <c r="S15" s="18" t="n">
        <v>135.79</v>
      </c>
      <c r="T15" s="18" t="n">
        <v>335.79</v>
      </c>
      <c r="U15" s="37" t="n">
        <v>335.79</v>
      </c>
      <c r="V15" s="18" t="n">
        <v>335.79</v>
      </c>
      <c r="W15" s="18" t="n">
        <v>335.79</v>
      </c>
      <c r="X15" s="18" t="n">
        <v>345.79</v>
      </c>
      <c r="Y15" s="18" t="n">
        <v>354.52</v>
      </c>
      <c r="Z15" s="37" t="n">
        <v>354.52</v>
      </c>
      <c r="AA15" s="18" t="n">
        <v>413.2</v>
      </c>
      <c r="AB15" s="19" t="n">
        <v>444.04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4531.32</v>
      </c>
      <c r="F16" s="37" t="n">
        <v>4531.32</v>
      </c>
      <c r="G16" s="18" t="n">
        <v>4674.11</v>
      </c>
      <c r="H16" s="18" t="n">
        <v>2226.24</v>
      </c>
      <c r="I16" s="18" t="n">
        <v>2249.58</v>
      </c>
      <c r="J16" s="18" t="n">
        <v>1314.25</v>
      </c>
      <c r="K16" s="37" t="n">
        <v>1314.25</v>
      </c>
      <c r="L16" s="18" t="n">
        <v>1309.72</v>
      </c>
      <c r="M16" s="18" t="n">
        <v>1317.08</v>
      </c>
      <c r="N16" s="18" t="n">
        <v>1342.48</v>
      </c>
      <c r="O16" s="18" t="n">
        <v>1341.47</v>
      </c>
      <c r="P16" s="37" t="n">
        <v>1341.47</v>
      </c>
      <c r="Q16" s="18" t="n">
        <v>1341.47</v>
      </c>
      <c r="R16" s="18" t="n">
        <v>1341.47</v>
      </c>
      <c r="S16" s="18" t="n">
        <v>1341.47</v>
      </c>
      <c r="T16" s="18" t="n">
        <v>1541.47</v>
      </c>
      <c r="U16" s="37" t="n">
        <v>1541.47</v>
      </c>
      <c r="V16" s="18" t="n">
        <v>1541.47</v>
      </c>
      <c r="W16" s="18" t="n">
        <v>1541.47</v>
      </c>
      <c r="X16" s="18" t="n">
        <v>1551.47</v>
      </c>
      <c r="Y16" s="18" t="n">
        <v>1560.2</v>
      </c>
      <c r="Z16" s="37" t="n">
        <v>1560.2</v>
      </c>
      <c r="AA16" s="18" t="n">
        <v>1618.88</v>
      </c>
      <c r="AB16" s="19" t="n">
        <v>1649.72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2352.52</v>
      </c>
      <c r="F17" s="37" t="n">
        <v>2352.52</v>
      </c>
      <c r="G17" s="18" t="n">
        <v>2352.52</v>
      </c>
      <c r="H17" s="18" t="n">
        <v>1651.72</v>
      </c>
      <c r="I17" s="18" t="n">
        <v>1651.72</v>
      </c>
      <c r="J17" s="18" t="n">
        <v>1205.68</v>
      </c>
      <c r="K17" s="37" t="n">
        <v>1205.68</v>
      </c>
      <c r="L17" s="18" t="n">
        <v>1205.68</v>
      </c>
      <c r="M17" s="18" t="n">
        <v>1205.68</v>
      </c>
      <c r="N17" s="18" t="n">
        <v>1205.68</v>
      </c>
      <c r="O17" s="18" t="n">
        <v>1205.68</v>
      </c>
      <c r="P17" s="37" t="n">
        <v>1205.68</v>
      </c>
      <c r="Q17" s="18" t="n">
        <v>1205.68</v>
      </c>
      <c r="R17" s="18" t="n">
        <v>1205.68</v>
      </c>
      <c r="S17" s="18" t="n">
        <v>1205.68</v>
      </c>
      <c r="T17" s="18" t="n">
        <v>1205.68</v>
      </c>
      <c r="U17" s="37" t="n">
        <v>1205.68</v>
      </c>
      <c r="V17" s="18" t="n">
        <v>1205.68</v>
      </c>
      <c r="W17" s="18" t="n">
        <v>1205.68</v>
      </c>
      <c r="X17" s="18" t="n">
        <v>1205.68</v>
      </c>
      <c r="Y17" s="18" t="n">
        <v>1205.68</v>
      </c>
      <c r="Z17" s="37" t="n">
        <v>1205.68</v>
      </c>
      <c r="AA17" s="18" t="n">
        <v>1205.68</v>
      </c>
      <c r="AB17" s="19" t="n">
        <v>1205.68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69666.69</v>
      </c>
      <c r="F18" s="37" t="n">
        <v>69666.69</v>
      </c>
      <c r="G18" s="18" t="n">
        <v>69494.67999999999</v>
      </c>
      <c r="H18" s="18" t="n">
        <v>69320.75</v>
      </c>
      <c r="I18" s="18" t="n">
        <v>69224.57000000001</v>
      </c>
      <c r="J18" s="18" t="n">
        <v>69045.78999999999</v>
      </c>
      <c r="K18" s="37" t="n">
        <v>69045.78999999999</v>
      </c>
      <c r="L18" s="18" t="n">
        <v>68899.60000000001</v>
      </c>
      <c r="M18" s="18" t="n">
        <v>68720.06</v>
      </c>
      <c r="N18" s="18" t="n">
        <v>68768.75999999999</v>
      </c>
      <c r="O18" s="18" t="n">
        <v>68571.86</v>
      </c>
      <c r="P18" s="37" t="n">
        <v>68571.86</v>
      </c>
      <c r="Q18" s="18" t="n">
        <v>68416.85000000001</v>
      </c>
      <c r="R18" s="18" t="n">
        <v>68229.25</v>
      </c>
      <c r="S18" s="18" t="n">
        <v>68228.39999999999</v>
      </c>
      <c r="T18" s="18" t="n">
        <v>67844.67</v>
      </c>
      <c r="U18" s="37" t="n">
        <v>67844.67</v>
      </c>
      <c r="V18" s="18" t="n">
        <v>67749.77</v>
      </c>
      <c r="W18" s="18" t="n">
        <v>67596.16</v>
      </c>
      <c r="X18" s="18" t="n">
        <v>67401.06</v>
      </c>
      <c r="Y18" s="18" t="n">
        <v>67493.95</v>
      </c>
      <c r="Z18" s="37" t="n">
        <v>67493.95</v>
      </c>
      <c r="AA18" s="18" t="n">
        <v>67324.39</v>
      </c>
      <c r="AB18" s="19" t="n">
        <v>67248.14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162.78</v>
      </c>
      <c r="F19" s="37" t="n">
        <v>162.78</v>
      </c>
      <c r="G19" s="18" t="n">
        <v>162.78</v>
      </c>
      <c r="H19" s="18" t="n">
        <v>72.88</v>
      </c>
      <c r="I19" s="18" t="n">
        <v>72.88</v>
      </c>
      <c r="J19" s="18" t="n">
        <v>485.82</v>
      </c>
      <c r="K19" s="37" t="n">
        <v>485.82</v>
      </c>
      <c r="L19" s="18" t="n">
        <v>485.82</v>
      </c>
      <c r="M19" s="18" t="n">
        <v>412.86</v>
      </c>
      <c r="N19" s="18" t="n">
        <v>412.86</v>
      </c>
      <c r="O19" s="18" t="n">
        <v>352.71</v>
      </c>
      <c r="P19" s="37" t="n">
        <v>352.71</v>
      </c>
      <c r="Q19" s="18" t="n">
        <v>352.71</v>
      </c>
      <c r="R19" s="18" t="n">
        <v>293.09</v>
      </c>
      <c r="S19" s="18" t="n">
        <v>293.09</v>
      </c>
      <c r="T19" s="18" t="n">
        <v>264.16</v>
      </c>
      <c r="U19" s="37" t="n">
        <v>264.16</v>
      </c>
      <c r="V19" s="18" t="n">
        <v>264.16</v>
      </c>
      <c r="W19" s="18" t="n">
        <v>204.92</v>
      </c>
      <c r="X19" s="18" t="n">
        <v>204.92</v>
      </c>
      <c r="Y19" s="18" t="n">
        <v>147.49</v>
      </c>
      <c r="Z19" s="37" t="n">
        <v>147.49</v>
      </c>
      <c r="AA19" s="18" t="n">
        <v>147.49</v>
      </c>
      <c r="AB19" s="19" t="n">
        <v>148.04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248.61</v>
      </c>
      <c r="F20" s="37" t="n">
        <v>248.61</v>
      </c>
      <c r="G20" s="18" t="n">
        <v>259.1</v>
      </c>
      <c r="H20" s="18" t="n">
        <v>230.89</v>
      </c>
      <c r="I20" s="18" t="n">
        <v>331.9</v>
      </c>
      <c r="J20" s="18" t="n">
        <v>709.39</v>
      </c>
      <c r="K20" s="37" t="n">
        <v>709.39</v>
      </c>
      <c r="L20" s="18" t="n">
        <v>685.34</v>
      </c>
      <c r="M20" s="18" t="n">
        <v>672.5</v>
      </c>
      <c r="N20" s="18" t="n">
        <v>691.5599999999999</v>
      </c>
      <c r="O20" s="18" t="n">
        <v>655.6799999999999</v>
      </c>
      <c r="P20" s="37" t="n">
        <v>655.6799999999999</v>
      </c>
      <c r="Q20" s="18" t="n">
        <v>626.3200000000001</v>
      </c>
      <c r="R20" s="18" t="n">
        <v>594.55</v>
      </c>
      <c r="S20" s="18" t="n">
        <v>560.89</v>
      </c>
      <c r="T20" s="18" t="n">
        <v>493.87</v>
      </c>
      <c r="U20" s="37" t="n">
        <v>493.87</v>
      </c>
      <c r="V20" s="18" t="n">
        <v>489.38</v>
      </c>
      <c r="W20" s="18" t="n">
        <v>503.21</v>
      </c>
      <c r="X20" s="18" t="n">
        <v>506.82</v>
      </c>
      <c r="Y20" s="18" t="n">
        <v>441.56</v>
      </c>
      <c r="Z20" s="37" t="n">
        <v>441.56</v>
      </c>
      <c r="AA20" s="18" t="n">
        <v>450.49</v>
      </c>
      <c r="AB20" s="19" t="n">
        <v>443.84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927.59</v>
      </c>
      <c r="F21" s="37" t="n">
        <v>927.59</v>
      </c>
      <c r="G21" s="18" t="n">
        <v>927.59</v>
      </c>
      <c r="H21" s="18" t="n">
        <v>588.03</v>
      </c>
      <c r="I21" s="18" t="n">
        <v>588.03</v>
      </c>
      <c r="J21" s="18" t="n">
        <v>588.03</v>
      </c>
      <c r="K21" s="37" t="n">
        <v>588.03</v>
      </c>
      <c r="L21" s="18" t="n">
        <v>588.03</v>
      </c>
      <c r="M21" s="18" t="n">
        <v>588.03</v>
      </c>
      <c r="N21" s="18" t="n">
        <v>588.03</v>
      </c>
      <c r="O21" s="18" t="n">
        <v>588.03</v>
      </c>
      <c r="P21" s="37" t="n">
        <v>588.03</v>
      </c>
      <c r="Q21" s="18" t="n">
        <v>588.03</v>
      </c>
      <c r="R21" s="18" t="n">
        <v>588.03</v>
      </c>
      <c r="S21" s="18" t="n">
        <v>588.03</v>
      </c>
      <c r="T21" s="18" t="n">
        <v>496.05</v>
      </c>
      <c r="U21" s="37" t="n">
        <v>496.05</v>
      </c>
      <c r="V21" s="18" t="n">
        <v>496.05</v>
      </c>
      <c r="W21" s="18" t="n">
        <v>496.05</v>
      </c>
      <c r="X21" s="18" t="n">
        <v>496.05</v>
      </c>
      <c r="Y21" s="18" t="n">
        <v>496.05</v>
      </c>
      <c r="Z21" s="37" t="n">
        <v>496.05</v>
      </c>
      <c r="AA21" s="18" t="n">
        <v>496.05</v>
      </c>
      <c r="AB21" s="19" t="n">
        <v>496.05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95401.53999999999</v>
      </c>
      <c r="F22" s="37" t="n">
        <v>95401.53999999999</v>
      </c>
      <c r="G22" s="18" t="n">
        <v>94895.94</v>
      </c>
      <c r="H22" s="18" t="n">
        <v>91950.52</v>
      </c>
      <c r="I22" s="18" t="n">
        <v>92658.92</v>
      </c>
      <c r="J22" s="18" t="n">
        <v>92590.75999999999</v>
      </c>
      <c r="K22" s="37" t="n">
        <v>92590.75999999999</v>
      </c>
      <c r="L22" s="18" t="n">
        <v>93396.12</v>
      </c>
      <c r="M22" s="18" t="n">
        <v>92271.69</v>
      </c>
      <c r="N22" s="18" t="n">
        <v>93969.03999999999</v>
      </c>
      <c r="O22" s="18" t="n">
        <v>95687.92999999999</v>
      </c>
      <c r="P22" s="37" t="n">
        <v>95687.92999999999</v>
      </c>
      <c r="Q22" s="18" t="n">
        <v>91052.55</v>
      </c>
      <c r="R22" s="18" t="n">
        <v>92635.3</v>
      </c>
      <c r="S22" s="18" t="n">
        <v>91913.41</v>
      </c>
      <c r="T22" s="18" t="n">
        <v>92000.63</v>
      </c>
      <c r="U22" s="37" t="n">
        <v>92000.63</v>
      </c>
      <c r="V22" s="18" t="n">
        <v>94679.66</v>
      </c>
      <c r="W22" s="18" t="n">
        <v>97112.47</v>
      </c>
      <c r="X22" s="18" t="n">
        <v>97902.98</v>
      </c>
      <c r="Y22" s="18" t="n">
        <v>99766.17999999999</v>
      </c>
      <c r="Z22" s="37" t="n">
        <v>99766.17999999999</v>
      </c>
      <c r="AA22" s="18" t="n">
        <v>103071.63</v>
      </c>
      <c r="AB22" s="19" t="n">
        <v>107697.56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44590.87</v>
      </c>
      <c r="F23" s="37" t="n">
        <v>44590.87</v>
      </c>
      <c r="G23" s="18" t="n">
        <v>46258.07</v>
      </c>
      <c r="H23" s="18" t="n">
        <v>45970.78</v>
      </c>
      <c r="I23" s="18" t="n">
        <v>48428.28</v>
      </c>
      <c r="J23" s="18" t="n">
        <v>56074.91</v>
      </c>
      <c r="K23" s="37" t="n">
        <v>56074.91</v>
      </c>
      <c r="L23" s="18" t="n">
        <v>53820.48</v>
      </c>
      <c r="M23" s="18" t="n">
        <v>51284.82</v>
      </c>
      <c r="N23" s="18" t="n">
        <v>49647.65</v>
      </c>
      <c r="O23" s="18" t="n">
        <v>47057.97</v>
      </c>
      <c r="P23" s="37" t="n">
        <v>47057.97</v>
      </c>
      <c r="Q23" s="18" t="n">
        <v>40333.88</v>
      </c>
      <c r="R23" s="18" t="n">
        <v>41635.69</v>
      </c>
      <c r="S23" s="18" t="n">
        <v>41001.14</v>
      </c>
      <c r="T23" s="18" t="n">
        <v>45488.58</v>
      </c>
      <c r="U23" s="37" t="n">
        <v>45488.58</v>
      </c>
      <c r="V23" s="18" t="n">
        <v>48938.23</v>
      </c>
      <c r="W23" s="18" t="n">
        <v>49256.61</v>
      </c>
      <c r="X23" s="18" t="n">
        <v>48118.83</v>
      </c>
      <c r="Y23" s="18" t="n">
        <v>35931.76</v>
      </c>
      <c r="Z23" s="37" t="n">
        <v>35931.76</v>
      </c>
      <c r="AA23" s="18" t="n">
        <v>36547.24</v>
      </c>
      <c r="AB23" s="19" t="n">
        <v>38913.43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4019.73</v>
      </c>
      <c r="F24" s="37" t="n">
        <v>4019.73</v>
      </c>
      <c r="G24" s="18" t="n">
        <v>4230.26</v>
      </c>
      <c r="H24" s="18" t="n">
        <v>4842.75</v>
      </c>
      <c r="I24" s="18" t="n">
        <v>5589.47</v>
      </c>
      <c r="J24" s="18" t="n">
        <v>5904.65</v>
      </c>
      <c r="K24" s="37" t="n">
        <v>5904.65</v>
      </c>
      <c r="L24" s="18" t="n">
        <v>6383.76</v>
      </c>
      <c r="M24" s="18" t="n">
        <v>7322.66</v>
      </c>
      <c r="N24" s="18" t="n">
        <v>7282.27</v>
      </c>
      <c r="O24" s="18" t="n">
        <v>6116.64</v>
      </c>
      <c r="P24" s="37" t="n">
        <v>6116.64</v>
      </c>
      <c r="Q24" s="18" t="n">
        <v>5422.96</v>
      </c>
      <c r="R24" s="18" t="n">
        <v>6141.1</v>
      </c>
      <c r="S24" s="18" t="n">
        <v>5942.16</v>
      </c>
      <c r="T24" s="18" t="n">
        <v>6102.27</v>
      </c>
      <c r="U24" s="37" t="n">
        <v>6102.27</v>
      </c>
      <c r="V24" s="18" t="n">
        <v>7042.85</v>
      </c>
      <c r="W24" s="18" t="n">
        <v>7497.71</v>
      </c>
      <c r="X24" s="18" t="n">
        <v>7102.87</v>
      </c>
      <c r="Y24" s="18" t="n">
        <v>6261.64</v>
      </c>
      <c r="Z24" s="37" t="n">
        <v>6261.64</v>
      </c>
      <c r="AA24" s="18" t="n">
        <v>8636.469999999999</v>
      </c>
      <c r="AB24" s="19" t="n">
        <v>8712.549999999999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37957.05</v>
      </c>
      <c r="F25" s="37" t="n">
        <v>37957.05</v>
      </c>
      <c r="G25" s="18" t="n">
        <v>39126.71</v>
      </c>
      <c r="H25" s="18" t="n">
        <v>37978.65</v>
      </c>
      <c r="I25" s="18" t="n">
        <v>36879.24</v>
      </c>
      <c r="J25" s="18" t="n">
        <v>40443</v>
      </c>
      <c r="K25" s="37" t="n">
        <v>40443</v>
      </c>
      <c r="L25" s="18" t="n">
        <v>37802.33</v>
      </c>
      <c r="M25" s="18" t="n">
        <v>29525.9</v>
      </c>
      <c r="N25" s="18" t="n">
        <v>33707.73</v>
      </c>
      <c r="O25" s="18" t="n">
        <v>33463.14</v>
      </c>
      <c r="P25" s="37" t="n">
        <v>33463.14</v>
      </c>
      <c r="Q25" s="18" t="n">
        <v>28465.55</v>
      </c>
      <c r="R25" s="18" t="n">
        <v>30472.86</v>
      </c>
      <c r="S25" s="18" t="n">
        <v>29790.74</v>
      </c>
      <c r="T25" s="18" t="n">
        <v>29137.02</v>
      </c>
      <c r="U25" s="37" t="n">
        <v>29137.02</v>
      </c>
      <c r="V25" s="18" t="n">
        <v>29807.75</v>
      </c>
      <c r="W25" s="18" t="n">
        <v>34098.31</v>
      </c>
      <c r="X25" s="18" t="n">
        <v>34003.48</v>
      </c>
      <c r="Y25" s="18" t="n">
        <v>21220.99</v>
      </c>
      <c r="Z25" s="37" t="n">
        <v>21220.99</v>
      </c>
      <c r="AA25" s="18" t="n">
        <v>20318.23</v>
      </c>
      <c r="AB25" s="19" t="n">
        <v>16793.98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단기금융부채(face)</t>
        </is>
      </c>
      <c r="E26" s="18" t="n">
        <v>37957.05</v>
      </c>
      <c r="F26" s="37" t="n">
        <v>37957.05</v>
      </c>
      <c r="G26" s="18" t="n">
        <v>39126.71</v>
      </c>
      <c r="H26" s="18" t="n">
        <v>37978.65</v>
      </c>
      <c r="I26" s="18" t="n">
        <v>36879.24</v>
      </c>
      <c r="J26" s="18" t="n">
        <v>40443</v>
      </c>
      <c r="K26" s="37" t="n">
        <v>40443</v>
      </c>
      <c r="L26" s="18" t="n">
        <v>37802.33</v>
      </c>
      <c r="N26" s="18" t="n">
        <v>33707.73</v>
      </c>
      <c r="O26" s="18" t="n">
        <v>33463.14</v>
      </c>
      <c r="P26" s="37" t="n">
        <v>33463.14</v>
      </c>
      <c r="Q26" s="18" t="n">
        <v>28465.55</v>
      </c>
      <c r="R26" s="18" t="n">
        <v>30472.86</v>
      </c>
      <c r="S26" s="18" t="n">
        <v>29790.74</v>
      </c>
      <c r="T26" s="18" t="n">
        <v>29137.02</v>
      </c>
      <c r="U26" s="37" t="n">
        <v>29137.02</v>
      </c>
      <c r="V26" s="18" t="n">
        <v>29807.75</v>
      </c>
      <c r="W26" s="18" t="n">
        <v>34098.31</v>
      </c>
      <c r="X26" s="18" t="n">
        <v>34003.48</v>
      </c>
      <c r="Y26" s="18" t="n">
        <v>21220.99</v>
      </c>
      <c r="Z26" s="37" t="n">
        <v>21220.99</v>
      </c>
      <c r="AA26" s="18" t="n">
        <v>20318.23</v>
      </c>
      <c r="AB26" s="19" t="n">
        <v>16793.98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단기충당부채</t>
        </is>
      </c>
      <c r="E27" s="18" t="n">
        <v>109.59</v>
      </c>
      <c r="F27" s="37" t="n">
        <v>109.59</v>
      </c>
      <c r="G27" s="18" t="n">
        <v>110.9</v>
      </c>
      <c r="H27" s="18" t="n">
        <v>112.31</v>
      </c>
      <c r="I27" s="18" t="n">
        <v>110.86</v>
      </c>
      <c r="J27" s="18" t="n">
        <v>114.19</v>
      </c>
      <c r="K27" s="37" t="n">
        <v>114.19</v>
      </c>
      <c r="L27" s="18" t="n">
        <v>129.35</v>
      </c>
      <c r="M27" s="18" t="n">
        <v>140.55</v>
      </c>
      <c r="N27" s="18" t="n">
        <v>139.76</v>
      </c>
      <c r="O27" s="18" t="n">
        <v>113.78</v>
      </c>
      <c r="P27" s="37" t="n">
        <v>113.78</v>
      </c>
      <c r="Q27" s="18" t="n">
        <v>94.64</v>
      </c>
      <c r="R27" s="18" t="n">
        <v>95.11</v>
      </c>
      <c r="S27" s="18" t="n">
        <v>92.98999999999999</v>
      </c>
      <c r="T27" s="18" t="n">
        <v>100.57</v>
      </c>
      <c r="U27" s="37" t="n">
        <v>100.57</v>
      </c>
      <c r="V27" s="18" t="n">
        <v>2104.99</v>
      </c>
      <c r="W27" s="18" t="n">
        <v>140.35</v>
      </c>
      <c r="X27" s="18" t="n">
        <v>152.82</v>
      </c>
      <c r="Y27" s="18" t="n">
        <v>2871.87</v>
      </c>
      <c r="Z27" s="37" t="n">
        <v>2871.87</v>
      </c>
      <c r="AA27" s="18" t="n">
        <v>424.21</v>
      </c>
      <c r="AB27" s="19" t="n">
        <v>423.09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기타유동금융부채</t>
        </is>
      </c>
      <c r="E28" s="18" t="n">
        <v>1572.83</v>
      </c>
      <c r="F28" s="37" t="n">
        <v>1572.83</v>
      </c>
      <c r="G28" s="18" t="n">
        <v>2504.43</v>
      </c>
      <c r="H28" s="18" t="n">
        <v>1635.19</v>
      </c>
      <c r="I28" s="18" t="n">
        <v>1624.62</v>
      </c>
      <c r="J28" s="18" t="n">
        <v>2806.7</v>
      </c>
      <c r="K28" s="37" t="n">
        <v>2806.7</v>
      </c>
      <c r="L28" s="18" t="n">
        <v>2135.69</v>
      </c>
      <c r="M28" s="18" t="n">
        <v>2077.03</v>
      </c>
      <c r="N28" s="18" t="n">
        <v>4315.38</v>
      </c>
      <c r="O28" s="18" t="n">
        <v>2394.22</v>
      </c>
      <c r="P28" s="37" t="n">
        <v>2394.22</v>
      </c>
      <c r="Q28" s="18" t="n">
        <v>1953.7</v>
      </c>
      <c r="R28" s="18" t="n">
        <v>1975.32</v>
      </c>
      <c r="S28" s="18" t="n">
        <v>1780.87</v>
      </c>
      <c r="T28" s="18" t="n">
        <v>2242.18</v>
      </c>
      <c r="U28" s="37" t="n">
        <v>2242.18</v>
      </c>
      <c r="V28" s="18" t="n">
        <v>2916.14</v>
      </c>
      <c r="W28" s="18" t="n">
        <v>2139.37</v>
      </c>
      <c r="X28" s="18" t="n">
        <v>2943.16</v>
      </c>
      <c r="Y28" s="18" t="n">
        <v>5214.62</v>
      </c>
      <c r="Z28" s="37" t="n">
        <v>5214.62</v>
      </c>
      <c r="AA28" s="18" t="n">
        <v>2315.25</v>
      </c>
      <c r="AB28" s="19" t="n">
        <v>3208.87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</t>
        </is>
      </c>
      <c r="E29" s="18" t="n">
        <v>1687.55</v>
      </c>
      <c r="F29" s="37" t="n">
        <v>1687.55</v>
      </c>
      <c r="G29" s="18" t="n">
        <v>2619.15</v>
      </c>
      <c r="H29" s="18" t="n">
        <v>1681.47</v>
      </c>
      <c r="I29" s="18" t="n">
        <v>1670.9</v>
      </c>
      <c r="J29" s="18" t="n">
        <v>2918.41</v>
      </c>
      <c r="K29" s="37" t="n">
        <v>2918.41</v>
      </c>
      <c r="L29" s="18" t="n">
        <v>2247.4</v>
      </c>
      <c r="M29" s="18" t="n">
        <v>2187.96</v>
      </c>
      <c r="N29" s="18" t="n">
        <v>4426.31</v>
      </c>
      <c r="O29" s="18" t="n">
        <v>6529.73</v>
      </c>
      <c r="P29" s="37" t="n">
        <v>6529.73</v>
      </c>
      <c r="Q29" s="18" t="n">
        <v>6089.21</v>
      </c>
      <c r="R29" s="18" t="n">
        <v>4752.54</v>
      </c>
      <c r="S29" s="18" t="n">
        <v>4558.09</v>
      </c>
      <c r="T29" s="18" t="n">
        <v>5024.8</v>
      </c>
      <c r="U29" s="37" t="n">
        <v>5024.8</v>
      </c>
      <c r="V29" s="18" t="n">
        <v>9755.059999999999</v>
      </c>
      <c r="W29" s="18" t="n">
        <v>3701.37</v>
      </c>
      <c r="X29" s="18" t="n">
        <v>3056.55</v>
      </c>
      <c r="Y29" s="18" t="n">
        <v>5214.62</v>
      </c>
      <c r="Z29" s="37" t="n">
        <v>5214.62</v>
      </c>
      <c r="AA29" s="18" t="n">
        <v>2407.4</v>
      </c>
      <c r="AB29" s="19" t="n">
        <v>3307.91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기타유동부채</t>
        </is>
      </c>
      <c r="E30" s="18" t="n">
        <v>816.95</v>
      </c>
      <c r="F30" s="37" t="n">
        <v>816.95</v>
      </c>
      <c r="G30" s="18" t="n">
        <v>171.06</v>
      </c>
      <c r="H30" s="18" t="n">
        <v>1355.59</v>
      </c>
      <c r="I30" s="18" t="n">
        <v>4177.82</v>
      </c>
      <c r="J30" s="18" t="n">
        <v>6694.66</v>
      </c>
      <c r="K30" s="37" t="n">
        <v>6694.66</v>
      </c>
      <c r="L30" s="18" t="n">
        <v>7257.64</v>
      </c>
      <c r="M30" s="18" t="n">
        <v>4876.02</v>
      </c>
      <c r="N30" s="18" t="n">
        <v>4091.58</v>
      </c>
      <c r="O30" s="18" t="n">
        <v>834.6900000000001</v>
      </c>
      <c r="P30" s="37" t="n">
        <v>834.6900000000001</v>
      </c>
      <c r="Q30" s="18" t="n">
        <v>261.52</v>
      </c>
      <c r="R30" s="18" t="n">
        <v>174.07</v>
      </c>
      <c r="S30" s="18" t="n">
        <v>617.16</v>
      </c>
      <c r="T30" s="18" t="n">
        <v>985.51</v>
      </c>
      <c r="U30" s="37" t="n">
        <v>985.51</v>
      </c>
      <c r="V30" s="18" t="n">
        <v>114.21</v>
      </c>
      <c r="W30" s="18" t="n">
        <v>2907.4</v>
      </c>
      <c r="X30" s="18" t="n">
        <v>3803.11</v>
      </c>
      <c r="Y30" s="18" t="n">
        <v>92.15000000000001</v>
      </c>
      <c r="Z30" s="37" t="n">
        <v>92.15000000000001</v>
      </c>
      <c r="AA30" s="18" t="n">
        <v>4760.93</v>
      </c>
      <c r="AB30" s="19" t="n">
        <v>9675.9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유동리스부채</t>
        </is>
      </c>
      <c r="E31" s="18" t="n">
        <v>114.72</v>
      </c>
      <c r="F31" s="37" t="n">
        <v>114.72</v>
      </c>
      <c r="G31" s="18" t="n">
        <v>114.72</v>
      </c>
      <c r="H31" s="18" t="n">
        <v>46.28</v>
      </c>
      <c r="I31" s="18" t="n">
        <v>46.28</v>
      </c>
      <c r="J31" s="18" t="n">
        <v>111.71</v>
      </c>
      <c r="K31" s="37" t="n">
        <v>111.71</v>
      </c>
      <c r="L31" s="18" t="n">
        <v>111.71</v>
      </c>
      <c r="M31" s="18" t="n">
        <v>110.93</v>
      </c>
      <c r="N31" s="18" t="n">
        <v>110.93</v>
      </c>
      <c r="O31" s="18" t="n">
        <v>109.95</v>
      </c>
      <c r="P31" s="37" t="n">
        <v>109.95</v>
      </c>
      <c r="Q31" s="18" t="n">
        <v>109.95</v>
      </c>
      <c r="R31" s="18" t="n">
        <v>107.15</v>
      </c>
      <c r="S31" s="18" t="n">
        <v>107.15</v>
      </c>
      <c r="T31" s="18" t="n">
        <v>114.21</v>
      </c>
      <c r="U31" s="37" t="n">
        <v>114.21</v>
      </c>
      <c r="V31" s="18" t="n">
        <v>4170.51</v>
      </c>
      <c r="W31" s="18" t="n">
        <v>113.39</v>
      </c>
      <c r="X31" s="18" t="n">
        <v>113.39</v>
      </c>
      <c r="Y31" s="18" t="n">
        <v>0</v>
      </c>
      <c r="Z31" s="37" t="n">
        <v>0</v>
      </c>
      <c r="AA31" s="18" t="n">
        <v>92.15000000000001</v>
      </c>
      <c r="AB31" s="19" t="n">
        <v>99.04000000000001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리스부채</t>
        </is>
      </c>
      <c r="E32" s="18" t="n">
        <v>164.86</v>
      </c>
      <c r="F32" s="37" t="n">
        <v>164.86</v>
      </c>
      <c r="G32" s="18" t="n">
        <v>164.86</v>
      </c>
      <c r="H32" s="18" t="n">
        <v>73.86</v>
      </c>
      <c r="I32" s="18" t="n">
        <v>73.86</v>
      </c>
      <c r="J32" s="18" t="n">
        <v>473.83</v>
      </c>
      <c r="K32" s="37" t="n">
        <v>473.83</v>
      </c>
      <c r="L32" s="18" t="n">
        <v>473.83</v>
      </c>
      <c r="M32" s="18" t="n">
        <v>407</v>
      </c>
      <c r="N32" s="18" t="n">
        <v>407</v>
      </c>
      <c r="O32" s="18" t="n">
        <v>352.19</v>
      </c>
      <c r="P32" s="37" t="n">
        <v>352.19</v>
      </c>
      <c r="Q32" s="18" t="n">
        <v>352.19</v>
      </c>
      <c r="R32" s="18" t="n">
        <v>296.07</v>
      </c>
      <c r="S32" s="18" t="n">
        <v>296.07</v>
      </c>
      <c r="T32" s="18" t="n">
        <v>268.97</v>
      </c>
      <c r="U32" s="37" t="n">
        <v>268.97</v>
      </c>
      <c r="V32" s="18" t="n">
        <v>4325.27</v>
      </c>
      <c r="W32" s="18" t="n">
        <v>211.04</v>
      </c>
      <c r="X32" s="18" t="n">
        <v>211.04</v>
      </c>
      <c r="Y32" s="18" t="n">
        <v>62.72</v>
      </c>
      <c r="Z32" s="37" t="n">
        <v>62.72</v>
      </c>
      <c r="AA32" s="18" t="n">
        <v>154.87</v>
      </c>
      <c r="AB32" s="19" t="n">
        <v>154.11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15806.65</v>
      </c>
      <c r="F33" s="37" t="n">
        <v>15806.65</v>
      </c>
      <c r="G33" s="18" t="n">
        <v>15029.39</v>
      </c>
      <c r="H33" s="18" t="n">
        <v>14313.79</v>
      </c>
      <c r="I33" s="18" t="n">
        <v>14032.17</v>
      </c>
      <c r="J33" s="18" t="n">
        <v>8547.91</v>
      </c>
      <c r="K33" s="37" t="n">
        <v>8547.91</v>
      </c>
      <c r="L33" s="18" t="n">
        <v>10575.24</v>
      </c>
      <c r="M33" s="18" t="n">
        <v>10774.28</v>
      </c>
      <c r="N33" s="18" t="n">
        <v>14414.99</v>
      </c>
      <c r="O33" s="18" t="n">
        <v>19441.82</v>
      </c>
      <c r="P33" s="37" t="n">
        <v>19441.82</v>
      </c>
      <c r="Q33" s="18" t="n">
        <v>21217.18</v>
      </c>
      <c r="R33" s="18" t="n">
        <v>20914.62</v>
      </c>
      <c r="S33" s="18" t="n">
        <v>21558.47</v>
      </c>
      <c r="T33" s="18" t="n">
        <v>21032.05</v>
      </c>
      <c r="U33" s="37" t="n">
        <v>21032.05</v>
      </c>
      <c r="V33" s="18" t="n">
        <v>20943.53</v>
      </c>
      <c r="W33" s="18" t="n">
        <v>17874.09</v>
      </c>
      <c r="X33" s="18" t="n">
        <v>18265.98</v>
      </c>
      <c r="Y33" s="18" t="n">
        <v>32302.5</v>
      </c>
      <c r="Z33" s="37" t="n">
        <v>32302.5</v>
      </c>
      <c r="AA33" s="18" t="n">
        <v>34473.21</v>
      </c>
      <c r="AB33" s="19" t="n">
        <v>35975.53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8406.879999999999</v>
      </c>
      <c r="F34" s="37" t="n">
        <v>8406.879999999999</v>
      </c>
      <c r="G34" s="18" t="n">
        <v>7684.35</v>
      </c>
      <c r="H34" s="18" t="n">
        <v>6917.44</v>
      </c>
      <c r="I34" s="18" t="n">
        <v>6534.23</v>
      </c>
      <c r="J34" s="18" t="n">
        <v>882.76</v>
      </c>
      <c r="K34" s="37" t="n">
        <v>882.76</v>
      </c>
      <c r="L34" s="18" t="n">
        <v>2921.18</v>
      </c>
      <c r="M34" s="18" t="n">
        <v>2996.95</v>
      </c>
      <c r="N34" s="18" t="n">
        <v>6579.76</v>
      </c>
      <c r="O34" s="18" t="n">
        <v>6258.02</v>
      </c>
      <c r="P34" s="37" t="n">
        <v>6258.02</v>
      </c>
      <c r="Q34" s="18" t="n">
        <v>11447.32</v>
      </c>
      <c r="R34" s="18" t="n">
        <v>7792.29</v>
      </c>
      <c r="S34" s="18" t="n">
        <v>8850.6</v>
      </c>
      <c r="T34" s="18" t="n">
        <v>11600.33</v>
      </c>
      <c r="U34" s="37" t="n">
        <v>11600.33</v>
      </c>
      <c r="V34" s="18" t="n">
        <v>11311.36</v>
      </c>
      <c r="W34" s="18" t="n">
        <v>8217.01</v>
      </c>
      <c r="X34" s="18" t="n">
        <v>7992.57</v>
      </c>
      <c r="Y34" s="18" t="n">
        <v>21930</v>
      </c>
      <c r="Z34" s="37" t="n">
        <v>21930</v>
      </c>
      <c r="AA34" s="18" t="n">
        <v>23930</v>
      </c>
      <c r="AB34" s="19" t="n">
        <v>26780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확정급여부채</t>
        </is>
      </c>
      <c r="E35" s="18" t="n">
        <v>2085.99</v>
      </c>
      <c r="F35" s="37" t="n">
        <v>2085.99</v>
      </c>
      <c r="G35" s="18" t="n">
        <v>2195.05</v>
      </c>
      <c r="H35" s="18" t="n">
        <v>2227.88</v>
      </c>
      <c r="I35" s="18" t="n">
        <v>2312.22</v>
      </c>
      <c r="J35" s="18" t="n">
        <v>2007.92</v>
      </c>
      <c r="K35" s="37" t="n">
        <v>2007.92</v>
      </c>
      <c r="L35" s="18" t="n">
        <v>2046.82</v>
      </c>
      <c r="M35" s="18" t="n">
        <v>2155.31</v>
      </c>
      <c r="N35" s="18" t="n">
        <v>2155.1</v>
      </c>
      <c r="O35" s="18" t="n">
        <v>2737.71</v>
      </c>
      <c r="P35" s="37" t="n">
        <v>2737.71</v>
      </c>
      <c r="Q35" s="18" t="n">
        <v>2726.26</v>
      </c>
      <c r="R35" s="18" t="n">
        <v>2810.74</v>
      </c>
      <c r="S35" s="18" t="n">
        <v>2711.75</v>
      </c>
      <c r="T35" s="18" t="n">
        <v>3200.69</v>
      </c>
      <c r="U35" s="37" t="n">
        <v>3200.69</v>
      </c>
      <c r="V35" s="18" t="n">
        <v>3371.83</v>
      </c>
      <c r="W35" s="18" t="n">
        <v>3428.04</v>
      </c>
      <c r="X35" s="18" t="n">
        <v>3584.17</v>
      </c>
      <c r="Y35" s="18" t="n">
        <v>3480.42</v>
      </c>
      <c r="Z35" s="37" t="n">
        <v>3480.42</v>
      </c>
      <c r="AA35" s="18" t="n">
        <v>3623.23</v>
      </c>
      <c r="AB35" s="19" t="n">
        <v>2252.82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이연법인세부채</t>
        </is>
      </c>
      <c r="E36" s="18" t="n">
        <v>4505.62</v>
      </c>
      <c r="F36" s="37" t="n">
        <v>4505.62</v>
      </c>
      <c r="G36" s="18" t="n">
        <v>4505.62</v>
      </c>
      <c r="H36" s="18" t="n">
        <v>4505.62</v>
      </c>
      <c r="I36" s="18" t="n">
        <v>4505.62</v>
      </c>
      <c r="J36" s="18" t="n">
        <v>4300.82</v>
      </c>
      <c r="K36" s="37" t="n">
        <v>4300.82</v>
      </c>
      <c r="L36" s="18" t="n">
        <v>4300.82</v>
      </c>
      <c r="M36" s="18" t="n">
        <v>4300.82</v>
      </c>
      <c r="N36" s="18" t="n">
        <v>4300.82</v>
      </c>
      <c r="O36" s="18" t="n">
        <v>4300.82</v>
      </c>
      <c r="P36" s="37" t="n">
        <v>4300.82</v>
      </c>
      <c r="Q36" s="18" t="n">
        <v>4300.82</v>
      </c>
      <c r="R36" s="18" t="n">
        <v>4300.82</v>
      </c>
      <c r="S36" s="18" t="n">
        <v>4300.82</v>
      </c>
      <c r="T36" s="18" t="n">
        <v>4300.82</v>
      </c>
      <c r="U36" s="37" t="n">
        <v>4300.82</v>
      </c>
      <c r="V36" s="18" t="n">
        <v>4300.82</v>
      </c>
      <c r="W36" s="18" t="n">
        <v>4300.82</v>
      </c>
      <c r="X36" s="18" t="n">
        <v>4300.82</v>
      </c>
      <c r="Y36" s="18" t="n">
        <v>4505.62</v>
      </c>
      <c r="Z36" s="37" t="n">
        <v>4505.62</v>
      </c>
      <c r="AA36" s="18" t="n">
        <v>4505.62</v>
      </c>
      <c r="AB36" s="19" t="n">
        <v>4505.62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기타비유동금융부채</t>
        </is>
      </c>
      <c r="E37" s="18" t="n">
        <v>640.54</v>
      </c>
      <c r="F37" s="37" t="n">
        <v>640.54</v>
      </c>
      <c r="G37" s="18" t="n">
        <v>476.75</v>
      </c>
      <c r="H37" s="18" t="n">
        <v>517.8</v>
      </c>
      <c r="I37" s="18" t="n">
        <v>535.03</v>
      </c>
      <c r="J37" s="18" t="n">
        <v>876.8200000000001</v>
      </c>
      <c r="K37" s="37" t="n">
        <v>876.8200000000001</v>
      </c>
      <c r="L37" s="18" t="n">
        <v>826.8200000000001</v>
      </c>
      <c r="M37" s="18" t="n">
        <v>907.64</v>
      </c>
      <c r="N37" s="18" t="n">
        <v>965.74</v>
      </c>
      <c r="O37" s="18" t="n">
        <v>1052.92</v>
      </c>
      <c r="P37" s="37" t="n">
        <v>1052.92</v>
      </c>
      <c r="Q37" s="18" t="n">
        <v>1083.06</v>
      </c>
      <c r="R37" s="18" t="n">
        <v>1141.5</v>
      </c>
      <c r="S37" s="18" t="n">
        <v>911.51</v>
      </c>
      <c r="T37" s="18" t="n">
        <v>975.46</v>
      </c>
      <c r="U37" s="37" t="n">
        <v>975.46</v>
      </c>
      <c r="V37" s="18" t="n">
        <v>1004.77</v>
      </c>
      <c r="W37" s="18" t="n">
        <v>1030.57</v>
      </c>
      <c r="X37" s="18" t="n">
        <v>1090.77</v>
      </c>
      <c r="Y37" s="18" t="n">
        <v>1123.74</v>
      </c>
      <c r="Z37" s="37" t="n">
        <v>1123.74</v>
      </c>
      <c r="AA37" s="18" t="n">
        <v>1151.65</v>
      </c>
      <c r="AB37" s="19" t="n">
        <v>1182.03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장기금융부채</t>
        </is>
      </c>
      <c r="E38" s="18" t="n">
        <v>690.6799999999999</v>
      </c>
      <c r="F38" s="37" t="n">
        <v>690.6799999999999</v>
      </c>
      <c r="G38" s="18" t="n">
        <v>526.89</v>
      </c>
      <c r="H38" s="18" t="n">
        <v>545.38</v>
      </c>
      <c r="I38" s="18" t="n">
        <v>562.61</v>
      </c>
      <c r="J38" s="18" t="n">
        <v>1238.94</v>
      </c>
      <c r="K38" s="37" t="n">
        <v>1238.94</v>
      </c>
      <c r="L38" s="18" t="n">
        <v>1188.94</v>
      </c>
      <c r="M38" s="18" t="n">
        <v>1203.71</v>
      </c>
      <c r="N38" s="18" t="n">
        <v>1261.81</v>
      </c>
      <c r="O38" s="18" t="n">
        <v>1295.16</v>
      </c>
      <c r="P38" s="37" t="n">
        <v>1295.16</v>
      </c>
      <c r="Q38" s="18" t="n">
        <v>1325.3</v>
      </c>
      <c r="R38" s="18" t="n">
        <v>1330.42</v>
      </c>
      <c r="S38" s="18" t="n">
        <v>1100.43</v>
      </c>
      <c r="T38" s="18" t="n">
        <v>1130.22</v>
      </c>
      <c r="U38" s="37" t="n">
        <v>1130.22</v>
      </c>
      <c r="V38" s="18" t="n">
        <v>1159.53</v>
      </c>
      <c r="W38" s="18" t="n">
        <v>1128.22</v>
      </c>
      <c r="X38" s="18" t="n">
        <v>1188.42</v>
      </c>
      <c r="Y38" s="18" t="n">
        <v>1186.46</v>
      </c>
      <c r="Z38" s="37" t="n">
        <v>1186.46</v>
      </c>
      <c r="AA38" s="18" t="n">
        <v>1214.37</v>
      </c>
      <c r="AB38" s="19" t="n">
        <v>1237.1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기타비유동부채</t>
        </is>
      </c>
      <c r="E39" s="18" t="n">
        <v>117.48</v>
      </c>
      <c r="F39" s="37" t="n">
        <v>117.48</v>
      </c>
      <c r="G39" s="18" t="n">
        <v>117.48</v>
      </c>
      <c r="H39" s="18" t="n">
        <v>117.48</v>
      </c>
      <c r="I39" s="18" t="n">
        <v>117.48</v>
      </c>
      <c r="J39" s="18" t="n">
        <v>117.48</v>
      </c>
      <c r="K39" s="37" t="n">
        <v>117.48</v>
      </c>
      <c r="L39" s="18" t="n">
        <v>117.48</v>
      </c>
      <c r="M39" s="18" t="n">
        <v>117.48</v>
      </c>
      <c r="N39" s="18" t="n">
        <v>117.48</v>
      </c>
      <c r="O39" s="18" t="n">
        <v>1417.48</v>
      </c>
      <c r="P39" s="37" t="n">
        <v>1417.48</v>
      </c>
      <c r="Q39" s="18" t="n">
        <v>1417.48</v>
      </c>
      <c r="R39" s="18" t="n">
        <v>917.48</v>
      </c>
      <c r="S39" s="18" t="n">
        <v>800</v>
      </c>
      <c r="T39" s="18" t="n">
        <v>800</v>
      </c>
      <c r="U39" s="37" t="n">
        <v>800</v>
      </c>
      <c r="V39" s="18" t="n">
        <v>800</v>
      </c>
      <c r="W39" s="18" t="n">
        <v>800</v>
      </c>
      <c r="X39" s="18" t="n">
        <v>1200</v>
      </c>
      <c r="Y39" s="18" t="n">
        <v>1200</v>
      </c>
      <c r="Z39" s="37" t="n">
        <v>1200</v>
      </c>
      <c r="AA39" s="18" t="n">
        <v>1200</v>
      </c>
      <c r="AB39" s="19" t="n">
        <v>1200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비유동리스부채</t>
        </is>
      </c>
      <c r="E40" s="18" t="n">
        <v>50.14</v>
      </c>
      <c r="F40" s="37" t="n">
        <v>50.14</v>
      </c>
      <c r="G40" s="18" t="n">
        <v>50.14</v>
      </c>
      <c r="H40" s="18" t="n">
        <v>27.58</v>
      </c>
      <c r="I40" s="18" t="n">
        <v>27.58</v>
      </c>
      <c r="J40" s="18" t="n">
        <v>362.12</v>
      </c>
      <c r="K40" s="37" t="n">
        <v>362.12</v>
      </c>
      <c r="L40" s="18" t="n">
        <v>362.12</v>
      </c>
      <c r="M40" s="18" t="n">
        <v>296.07</v>
      </c>
      <c r="N40" s="18" t="n">
        <v>296.07</v>
      </c>
      <c r="O40" s="18" t="n">
        <v>242.24</v>
      </c>
      <c r="P40" s="37" t="n">
        <v>242.24</v>
      </c>
      <c r="Q40" s="18" t="n">
        <v>242.24</v>
      </c>
      <c r="R40" s="18" t="n">
        <v>188.92</v>
      </c>
      <c r="S40" s="18" t="n">
        <v>188.92</v>
      </c>
      <c r="T40" s="18" t="n">
        <v>154.76</v>
      </c>
      <c r="U40" s="37" t="n">
        <v>154.76</v>
      </c>
      <c r="V40" s="18" t="n">
        <v>154.76</v>
      </c>
      <c r="W40" s="18" t="n">
        <v>97.65000000000001</v>
      </c>
      <c r="X40" s="18" t="n">
        <v>97.65000000000001</v>
      </c>
      <c r="Y40" s="18" t="n">
        <v>62.72</v>
      </c>
      <c r="Z40" s="37" t="n">
        <v>62.72</v>
      </c>
      <c r="AA40" s="18" t="n">
        <v>62.72</v>
      </c>
      <c r="AB40" s="19" t="n">
        <v>55.07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부채총계</t>
        </is>
      </c>
      <c r="E41" s="18" t="n">
        <v>60397.53</v>
      </c>
      <c r="F41" s="37" t="n">
        <v>60397.53</v>
      </c>
      <c r="G41" s="18" t="n">
        <v>61287.46</v>
      </c>
      <c r="H41" s="18" t="n">
        <v>60284.57</v>
      </c>
      <c r="I41" s="18" t="n">
        <v>62460.45</v>
      </c>
      <c r="J41" s="18" t="n">
        <v>64622.82</v>
      </c>
      <c r="K41" s="37" t="n">
        <v>64622.82</v>
      </c>
      <c r="L41" s="18" t="n">
        <v>64395.72</v>
      </c>
      <c r="M41" s="18" t="n">
        <v>62059.09</v>
      </c>
      <c r="N41" s="18" t="n">
        <v>64062.63</v>
      </c>
      <c r="O41" s="18" t="n">
        <v>66499.78999999999</v>
      </c>
      <c r="P41" s="37" t="n">
        <v>66499.78999999999</v>
      </c>
      <c r="Q41" s="18" t="n">
        <v>61551.06</v>
      </c>
      <c r="R41" s="18" t="n">
        <v>62550.31</v>
      </c>
      <c r="S41" s="18" t="n">
        <v>62559.6</v>
      </c>
      <c r="T41" s="18" t="n">
        <v>66520.64</v>
      </c>
      <c r="U41" s="37" t="n">
        <v>66520.64</v>
      </c>
      <c r="V41" s="18" t="n">
        <v>69881.75999999999</v>
      </c>
      <c r="W41" s="18" t="n">
        <v>67130.7</v>
      </c>
      <c r="X41" s="18" t="n">
        <v>66384.81</v>
      </c>
      <c r="Y41" s="18" t="n">
        <v>68234.27</v>
      </c>
      <c r="Z41" s="37" t="n">
        <v>68234.27</v>
      </c>
      <c r="AA41" s="18" t="n">
        <v>71020.46000000001</v>
      </c>
      <c r="AB41" s="19" t="n">
        <v>74888.96000000001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자본금</t>
        </is>
      </c>
      <c r="E42" s="18" t="n">
        <v>62161.14</v>
      </c>
      <c r="F42" s="37" t="n">
        <v>62161.14</v>
      </c>
      <c r="G42" s="18" t="n">
        <v>62161.14</v>
      </c>
      <c r="H42" s="18" t="n">
        <v>62161.14</v>
      </c>
      <c r="I42" s="18" t="n">
        <v>62161.14</v>
      </c>
      <c r="J42" s="18" t="n">
        <v>62161.14</v>
      </c>
      <c r="K42" s="37" t="n">
        <v>62161.14</v>
      </c>
      <c r="L42" s="18" t="n">
        <v>62161.14</v>
      </c>
      <c r="M42" s="18" t="n">
        <v>62161.14</v>
      </c>
      <c r="N42" s="18" t="n">
        <v>62161.14</v>
      </c>
      <c r="O42" s="18" t="n">
        <v>62161.14</v>
      </c>
      <c r="P42" s="37" t="n">
        <v>62161.14</v>
      </c>
      <c r="Q42" s="18" t="n">
        <v>62161.14</v>
      </c>
      <c r="R42" s="18" t="n">
        <v>62161.14</v>
      </c>
      <c r="S42" s="18" t="n">
        <v>62161.14</v>
      </c>
      <c r="T42" s="18" t="n">
        <v>62161.14</v>
      </c>
      <c r="U42" s="37" t="n">
        <v>62161.14</v>
      </c>
      <c r="V42" s="18" t="n">
        <v>62161.14</v>
      </c>
      <c r="W42" s="18" t="n">
        <v>71804.96000000001</v>
      </c>
      <c r="X42" s="18" t="n">
        <v>73412.66</v>
      </c>
      <c r="Y42" s="18" t="n">
        <v>73412.66</v>
      </c>
      <c r="Z42" s="37" t="n">
        <v>73412.66</v>
      </c>
      <c r="AA42" s="18" t="n">
        <v>73412.66</v>
      </c>
      <c r="AB42" s="19" t="n">
        <v>73412.66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보통주자본금</t>
        </is>
      </c>
      <c r="E43" s="18" t="n">
        <v>16376.1</v>
      </c>
      <c r="F43" s="37" t="n">
        <v>16376.1</v>
      </c>
      <c r="G43" s="18" t="n">
        <v>16376.1</v>
      </c>
      <c r="H43" s="18" t="n">
        <v>16376.1</v>
      </c>
      <c r="I43" s="18" t="n">
        <v>16376.1</v>
      </c>
      <c r="J43" s="18" t="n">
        <v>16376.1</v>
      </c>
      <c r="K43" s="37" t="n">
        <v>16376.1</v>
      </c>
      <c r="L43" s="18" t="n">
        <v>16376.1</v>
      </c>
      <c r="M43" s="18" t="n">
        <v>16376.1</v>
      </c>
      <c r="N43" s="18" t="n">
        <v>16376.1</v>
      </c>
      <c r="O43" s="18" t="n">
        <v>16376.1</v>
      </c>
      <c r="P43" s="37" t="n">
        <v>16376.1</v>
      </c>
      <c r="Q43" s="18" t="n">
        <v>16376.1</v>
      </c>
      <c r="R43" s="18" t="n">
        <v>16376.1</v>
      </c>
      <c r="S43" s="18" t="n">
        <v>16376.1</v>
      </c>
      <c r="T43" s="18" t="n">
        <v>16376.1</v>
      </c>
      <c r="U43" s="37" t="n">
        <v>16376.1</v>
      </c>
      <c r="V43" s="18" t="n">
        <v>16376.1</v>
      </c>
      <c r="W43" s="18" t="n">
        <v>18017.13</v>
      </c>
      <c r="X43" s="18" t="n">
        <v>18427.38</v>
      </c>
      <c r="Y43" s="18" t="n">
        <v>18427.38</v>
      </c>
      <c r="Z43" s="37" t="n">
        <v>18427.38</v>
      </c>
      <c r="AA43" s="18" t="n">
        <v>18427.38</v>
      </c>
      <c r="AB43" s="19" t="n">
        <v>18427.38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자본잉여금</t>
        </is>
      </c>
      <c r="E44" s="18" t="n">
        <v>45785.04</v>
      </c>
      <c r="F44" s="37" t="n">
        <v>45785.04</v>
      </c>
      <c r="G44" s="18" t="n">
        <v>45785.04</v>
      </c>
      <c r="H44" s="18" t="n">
        <v>45785.04</v>
      </c>
      <c r="I44" s="18" t="n">
        <v>45785.04</v>
      </c>
      <c r="J44" s="18" t="n">
        <v>45785.04</v>
      </c>
      <c r="K44" s="37" t="n">
        <v>45785.04</v>
      </c>
      <c r="L44" s="18" t="n">
        <v>45785.04</v>
      </c>
      <c r="M44" s="18" t="n">
        <v>45785.04</v>
      </c>
      <c r="N44" s="18" t="n">
        <v>45785.04</v>
      </c>
      <c r="O44" s="18" t="n">
        <v>45785.04</v>
      </c>
      <c r="P44" s="37" t="n">
        <v>45785.04</v>
      </c>
      <c r="Q44" s="18" t="n">
        <v>45785.04</v>
      </c>
      <c r="R44" s="18" t="n">
        <v>45785.04</v>
      </c>
      <c r="S44" s="18" t="n">
        <v>45785.04</v>
      </c>
      <c r="T44" s="18" t="n">
        <v>45785.04</v>
      </c>
      <c r="U44" s="37" t="n">
        <v>45785.04</v>
      </c>
      <c r="V44" s="18" t="n">
        <v>45785.04</v>
      </c>
      <c r="W44" s="18" t="n">
        <v>53787.83</v>
      </c>
      <c r="X44" s="18" t="n">
        <v>54985.27</v>
      </c>
      <c r="Y44" s="18" t="n">
        <v>54985.27</v>
      </c>
      <c r="Z44" s="37" t="n">
        <v>54985.27</v>
      </c>
      <c r="AA44" s="18" t="n">
        <v>54985.27</v>
      </c>
      <c r="AB44" s="19" t="n">
        <v>54985.27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이익잉여금</t>
        </is>
      </c>
      <c r="E45" s="18" t="n">
        <v>-38729.09</v>
      </c>
      <c r="F45" s="37" t="n">
        <v>-38729.09</v>
      </c>
      <c r="G45" s="18" t="n">
        <v>-40236.41</v>
      </c>
      <c r="H45" s="18" t="n">
        <v>-40791.86</v>
      </c>
      <c r="I45" s="18" t="n">
        <v>-42252.69</v>
      </c>
      <c r="J45" s="18" t="n">
        <v>-44477.25</v>
      </c>
      <c r="K45" s="37" t="n">
        <v>-44477.25</v>
      </c>
      <c r="L45" s="18" t="n">
        <v>-43440.27</v>
      </c>
      <c r="M45" s="18" t="n">
        <v>-42235.43</v>
      </c>
      <c r="N45" s="18" t="n">
        <v>-42540.41</v>
      </c>
      <c r="O45" s="18" t="n">
        <v>-43261.03</v>
      </c>
      <c r="P45" s="37" t="n">
        <v>-43261.03</v>
      </c>
      <c r="Q45" s="18" t="n">
        <v>-42950.01</v>
      </c>
      <c r="R45" s="18" t="n">
        <v>-42395.53</v>
      </c>
      <c r="S45" s="18" t="n">
        <v>-43101.97</v>
      </c>
      <c r="T45" s="18" t="n">
        <v>-46976.29</v>
      </c>
      <c r="U45" s="37" t="n">
        <v>-46976.29</v>
      </c>
      <c r="V45" s="18" t="n">
        <v>10295.27</v>
      </c>
      <c r="W45" s="18" t="n">
        <v>-52143.71</v>
      </c>
      <c r="X45" s="18" t="n">
        <v>-52239.74</v>
      </c>
      <c r="Y45" s="18" t="n">
        <v>-52014.91</v>
      </c>
      <c r="Z45" s="37" t="n">
        <v>-52014.91</v>
      </c>
      <c r="AA45" s="18" t="n">
        <v>-51476.73</v>
      </c>
      <c r="AB45" s="19" t="n">
        <v>-50705.7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기타포괄이익누계액</t>
        </is>
      </c>
      <c r="E46" s="18" t="n">
        <v>934.99</v>
      </c>
      <c r="F46" s="37" t="n">
        <v>934.99</v>
      </c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10636.98</v>
      </c>
      <c r="F47" s="37" t="n">
        <v>10636.98</v>
      </c>
      <c r="G47" s="18" t="n">
        <v>11683.75</v>
      </c>
      <c r="H47" s="18" t="n">
        <v>10296.68</v>
      </c>
      <c r="I47" s="18" t="n">
        <v>10290.02</v>
      </c>
      <c r="J47" s="18" t="n">
        <v>10284.06</v>
      </c>
      <c r="K47" s="37" t="n">
        <v>10284.06</v>
      </c>
      <c r="L47" s="18" t="n">
        <v>10279.53</v>
      </c>
      <c r="M47" s="18" t="n">
        <v>10286.89</v>
      </c>
      <c r="N47" s="18" t="n">
        <v>10285.68</v>
      </c>
      <c r="O47" s="18" t="n">
        <v>10288.03</v>
      </c>
      <c r="P47" s="37" t="n">
        <v>10288.03</v>
      </c>
      <c r="Q47" s="18" t="n">
        <v>10290.36</v>
      </c>
      <c r="R47" s="18" t="n">
        <v>10319.39</v>
      </c>
      <c r="S47" s="18" t="n">
        <v>10294.64</v>
      </c>
      <c r="T47" s="18" t="n">
        <v>10295.15</v>
      </c>
      <c r="U47" s="37" t="n">
        <v>10295.15</v>
      </c>
      <c r="V47" s="18" t="n">
        <v>-47658.51</v>
      </c>
      <c r="W47" s="18" t="n">
        <v>10320.52</v>
      </c>
      <c r="X47" s="18" t="n">
        <v>10345.26</v>
      </c>
      <c r="Y47" s="18" t="n">
        <v>10134.17</v>
      </c>
      <c r="Z47" s="37" t="n">
        <v>10134.17</v>
      </c>
      <c r="AA47" s="18" t="n">
        <v>10115.25</v>
      </c>
      <c r="AB47" s="19" t="n">
        <v>10101.64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자본총계</t>
        </is>
      </c>
      <c r="E48" s="18" t="n">
        <v>35004.02</v>
      </c>
      <c r="F48" s="37" t="n">
        <v>35004.02</v>
      </c>
      <c r="G48" s="18" t="n">
        <v>33608.48</v>
      </c>
      <c r="H48" s="18" t="n">
        <v>31665.96</v>
      </c>
      <c r="I48" s="18" t="n">
        <v>30198.47</v>
      </c>
      <c r="J48" s="18" t="n">
        <v>27967.95</v>
      </c>
      <c r="K48" s="37" t="n">
        <v>27967.95</v>
      </c>
      <c r="L48" s="18" t="n">
        <v>29000.39</v>
      </c>
      <c r="M48" s="18" t="n">
        <v>30212.6</v>
      </c>
      <c r="N48" s="18" t="n">
        <v>29906.4</v>
      </c>
      <c r="O48" s="18" t="n">
        <v>29188.13</v>
      </c>
      <c r="P48" s="37" t="n">
        <v>29188.13</v>
      </c>
      <c r="Q48" s="18" t="n">
        <v>29501.49</v>
      </c>
      <c r="R48" s="18" t="n">
        <v>30084.99</v>
      </c>
      <c r="S48" s="18" t="n">
        <v>29353.81</v>
      </c>
      <c r="T48" s="18" t="n">
        <v>25479.99</v>
      </c>
      <c r="U48" s="37" t="n">
        <v>25479.99</v>
      </c>
      <c r="V48" s="18" t="n">
        <v>24797.9</v>
      </c>
      <c r="W48" s="18" t="n">
        <v>29981.77</v>
      </c>
      <c r="X48" s="18" t="n">
        <v>31518.17</v>
      </c>
      <c r="Y48" s="18" t="n">
        <v>31531.92</v>
      </c>
      <c r="Z48" s="37" t="n">
        <v>31531.92</v>
      </c>
      <c r="AA48" s="18" t="n">
        <v>32051.17</v>
      </c>
      <c r="AB48" s="19" t="n">
        <v>32808.59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부채와자본총계</t>
        </is>
      </c>
      <c r="E49" s="18" t="n">
        <v>95401.53999999999</v>
      </c>
      <c r="F49" s="37" t="n">
        <v>95401.53999999999</v>
      </c>
      <c r="G49" s="18" t="n">
        <v>94895.94</v>
      </c>
      <c r="H49" s="18" t="n">
        <v>91950.52</v>
      </c>
      <c r="I49" s="18" t="n">
        <v>92658.92</v>
      </c>
      <c r="J49" s="18" t="n">
        <v>92590.75999999999</v>
      </c>
      <c r="K49" s="37" t="n">
        <v>92590.75999999999</v>
      </c>
      <c r="L49" s="18" t="n">
        <v>93396.12</v>
      </c>
      <c r="M49" s="18" t="n">
        <v>92271.69</v>
      </c>
      <c r="N49" s="18" t="n">
        <v>93969.03999999999</v>
      </c>
      <c r="O49" s="18" t="n">
        <v>95687.92999999999</v>
      </c>
      <c r="P49" s="37" t="n">
        <v>95687.92999999999</v>
      </c>
      <c r="Q49" s="18" t="n">
        <v>91052.55</v>
      </c>
      <c r="R49" s="18" t="n">
        <v>92635.3</v>
      </c>
      <c r="S49" s="18" t="n">
        <v>91913.41</v>
      </c>
      <c r="T49" s="18" t="n">
        <v>92000.63</v>
      </c>
      <c r="U49" s="37" t="n">
        <v>92000.63</v>
      </c>
      <c r="V49" s="18" t="n">
        <v>94679.66</v>
      </c>
      <c r="W49" s="18" t="n">
        <v>97112.47</v>
      </c>
      <c r="X49" s="18" t="n">
        <v>97902.98</v>
      </c>
      <c r="Y49" s="18" t="n">
        <v>99766.17999999999</v>
      </c>
      <c r="Z49" s="37" t="n">
        <v>99766.17999999999</v>
      </c>
      <c r="AA49" s="18" t="n">
        <v>103071.63</v>
      </c>
      <c r="AB49" s="19" t="n">
        <v>107697.56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지배주주지분</t>
        </is>
      </c>
      <c r="E50" s="18" t="n">
        <v>35004.02</v>
      </c>
      <c r="F50" s="37" t="n">
        <v>35004.02</v>
      </c>
      <c r="G50" s="18" t="n">
        <v>33608.48</v>
      </c>
      <c r="H50" s="18" t="n">
        <v>31665.96</v>
      </c>
      <c r="I50" s="18" t="n">
        <v>30198.47</v>
      </c>
      <c r="J50" s="18" t="n">
        <v>27967.95</v>
      </c>
      <c r="K50" s="37" t="n">
        <v>27967.95</v>
      </c>
      <c r="L50" s="18" t="n">
        <v>29000.39</v>
      </c>
      <c r="M50" s="18" t="n">
        <v>30212.6</v>
      </c>
      <c r="N50" s="18" t="n">
        <v>29906.4</v>
      </c>
      <c r="O50" s="18" t="n">
        <v>29188.13</v>
      </c>
      <c r="P50" s="37" t="n">
        <v>29188.13</v>
      </c>
      <c r="Q50" s="18" t="n">
        <v>29501.49</v>
      </c>
      <c r="R50" s="18" t="n">
        <v>30084.99</v>
      </c>
      <c r="S50" s="18" t="n">
        <v>29353.81</v>
      </c>
      <c r="T50" s="18" t="n">
        <v>25479.99</v>
      </c>
      <c r="U50" s="37" t="n">
        <v>25479.99</v>
      </c>
      <c r="V50" s="18" t="n">
        <v>24797.9</v>
      </c>
      <c r="W50" s="18" t="n">
        <v>29981.77</v>
      </c>
      <c r="X50" s="18" t="n">
        <v>31518.17</v>
      </c>
      <c r="Y50" s="18" t="n">
        <v>31531.92</v>
      </c>
      <c r="Z50" s="37" t="n">
        <v>31531.92</v>
      </c>
      <c r="AA50" s="18" t="n">
        <v>32051.17</v>
      </c>
      <c r="AB50" s="19" t="n">
        <v>32808.59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46363.93</v>
      </c>
      <c r="F51" s="37" t="n">
        <v>46363.93</v>
      </c>
      <c r="G51" s="18" t="n">
        <v>46811.06</v>
      </c>
      <c r="H51" s="18" t="n">
        <v>44896.09</v>
      </c>
      <c r="I51" s="18" t="n">
        <v>43413.47</v>
      </c>
      <c r="J51" s="18" t="n">
        <v>41325.76</v>
      </c>
      <c r="K51" s="37" t="n">
        <v>41325.76</v>
      </c>
      <c r="L51" s="18" t="n">
        <v>40723.51</v>
      </c>
      <c r="M51" s="18" t="n">
        <v>39754.58</v>
      </c>
      <c r="N51" s="18" t="n">
        <v>40287.49</v>
      </c>
      <c r="O51" s="18" t="n">
        <v>43153.79</v>
      </c>
      <c r="P51" s="37" t="n">
        <v>43153.79</v>
      </c>
      <c r="Q51" s="18" t="n">
        <v>39912.87</v>
      </c>
      <c r="R51" s="18" t="n">
        <v>42028.01</v>
      </c>
      <c r="S51" s="18" t="n">
        <v>42436.21</v>
      </c>
      <c r="T51" s="18" t="n">
        <v>44875.77</v>
      </c>
      <c r="U51" s="37" t="n">
        <v>44875.77</v>
      </c>
      <c r="V51" s="18" t="n">
        <v>41232.49</v>
      </c>
      <c r="W51" s="18" t="n">
        <v>43226.78</v>
      </c>
      <c r="X51" s="18" t="n">
        <v>41996.05</v>
      </c>
      <c r="Y51" s="18" t="n">
        <v>43421.48</v>
      </c>
      <c r="Z51" s="37" t="n">
        <v>43421.48</v>
      </c>
      <c r="AA51" s="18" t="n">
        <v>44248.23</v>
      </c>
      <c r="AB51" s="19" t="n">
        <v>43573.98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45286.14</v>
      </c>
      <c r="F52" s="37" t="n">
        <v>45286.14</v>
      </c>
      <c r="G52" s="18" t="n">
        <v>45469.45</v>
      </c>
      <c r="H52" s="18" t="n">
        <v>43622.34</v>
      </c>
      <c r="I52" s="18" t="n">
        <v>41736.57</v>
      </c>
      <c r="J52" s="18" t="n">
        <v>39067.86</v>
      </c>
      <c r="K52" s="37" t="n">
        <v>39067.86</v>
      </c>
      <c r="L52" s="18" t="n">
        <v>39879.16</v>
      </c>
      <c r="M52" s="18" t="n">
        <v>38933.19</v>
      </c>
      <c r="N52" s="18" t="n">
        <v>38605.98</v>
      </c>
      <c r="O52" s="18" t="n">
        <v>38782.12</v>
      </c>
      <c r="P52" s="37" t="n">
        <v>38782.12</v>
      </c>
      <c r="Q52" s="18" t="n">
        <v>38713.38</v>
      </c>
      <c r="R52" s="18" t="n">
        <v>38421.19</v>
      </c>
      <c r="S52" s="18" t="n">
        <v>39790.01</v>
      </c>
      <c r="T52" s="18" t="n">
        <v>41277.89</v>
      </c>
      <c r="U52" s="37" t="n">
        <v>41277.89</v>
      </c>
      <c r="V52" s="18" t="n">
        <v>38856.37</v>
      </c>
      <c r="W52" s="18" t="n">
        <v>40070.98</v>
      </c>
      <c r="X52" s="18" t="n">
        <v>38636.47</v>
      </c>
      <c r="Y52" s="18" t="n">
        <v>40966.95</v>
      </c>
      <c r="Z52" s="37" t="n">
        <v>40966.95</v>
      </c>
      <c r="AA52" s="18" t="n">
        <v>42617.53</v>
      </c>
      <c r="AB52" s="19" t="n">
        <v>36338.91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3256.59</v>
      </c>
      <c r="F53" s="37" t="n">
        <v>3256.59</v>
      </c>
      <c r="G53" s="18" t="n">
        <v>3663.2</v>
      </c>
      <c r="H53" s="18" t="n">
        <v>1848.27</v>
      </c>
      <c r="I53" s="18" t="n">
        <v>2274.76</v>
      </c>
      <c r="J53" s="18" t="n">
        <v>2366.47</v>
      </c>
      <c r="K53" s="37" t="n">
        <v>2366.47</v>
      </c>
      <c r="L53" s="18" t="n">
        <v>948.39</v>
      </c>
      <c r="M53" s="18" t="n">
        <v>932.79</v>
      </c>
      <c r="N53" s="18" t="n">
        <v>1818.31</v>
      </c>
      <c r="O53" s="18" t="n">
        <v>4507.46</v>
      </c>
      <c r="P53" s="37" t="n">
        <v>4507.46</v>
      </c>
      <c r="Q53" s="18" t="n">
        <v>1335.28</v>
      </c>
      <c r="R53" s="18" t="n">
        <v>3742.61</v>
      </c>
      <c r="S53" s="18" t="n">
        <v>2781.99</v>
      </c>
      <c r="T53" s="18" t="n">
        <v>3933.67</v>
      </c>
      <c r="U53" s="37" t="n">
        <v>3933.67</v>
      </c>
      <c r="V53" s="18" t="n">
        <v>2711.91</v>
      </c>
      <c r="W53" s="18" t="n">
        <v>3491.59</v>
      </c>
      <c r="X53" s="18" t="n">
        <v>3705.37</v>
      </c>
      <c r="Y53" s="18" t="n">
        <v>2809.05</v>
      </c>
      <c r="Z53" s="37" t="n">
        <v>2809.05</v>
      </c>
      <c r="AA53" s="18" t="n">
        <v>2043.9</v>
      </c>
      <c r="AB53" s="19" t="n">
        <v>7679.11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유동성장기부채</t>
        </is>
      </c>
      <c r="F54" s="9" t="n"/>
      <c r="K54" s="9" t="n"/>
      <c r="M54" s="18" t="n">
        <v>7231.73</v>
      </c>
      <c r="P54" s="9" t="n"/>
      <c r="T54" s="18" t="n">
        <v>4138.42</v>
      </c>
      <c r="U54" s="37" t="n">
        <v>4138.42</v>
      </c>
      <c r="V54" s="18" t="n">
        <v>113.38</v>
      </c>
      <c r="W54" s="18" t="n">
        <v>911.46</v>
      </c>
      <c r="X54" s="18" t="n">
        <v>0</v>
      </c>
      <c r="Y54" s="18" t="n">
        <v>270.49</v>
      </c>
      <c r="Z54" s="37" t="n">
        <v>270.49</v>
      </c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유동파생상품자산</t>
        </is>
      </c>
      <c r="F55" s="9" t="n"/>
      <c r="K55" s="9" t="n"/>
      <c r="O55" s="18" t="n">
        <v>247.04</v>
      </c>
      <c r="P55" s="37" t="n">
        <v>247.04</v>
      </c>
      <c r="Q55" s="18" t="n">
        <v>247.04</v>
      </c>
      <c r="R55" s="18" t="n">
        <v>590.39</v>
      </c>
      <c r="S55" s="18" t="n">
        <v>590.39</v>
      </c>
      <c r="T55" s="18" t="n">
        <v>57.44</v>
      </c>
      <c r="U55" s="37" t="n">
        <v>57.44</v>
      </c>
      <c r="V55" s="18" t="n">
        <v>57.44</v>
      </c>
      <c r="W55" s="18" t="n">
        <v>726.15</v>
      </c>
      <c r="X55" s="18" t="n">
        <v>0</v>
      </c>
      <c r="Y55" s="18" t="n">
        <v>1834.84</v>
      </c>
      <c r="Z55" s="37" t="n">
        <v>1834.84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단기파생상품부채</t>
        </is>
      </c>
      <c r="F56" s="9" t="n"/>
      <c r="K56" s="9" t="n"/>
      <c r="O56" s="18" t="n">
        <v>4025.56</v>
      </c>
      <c r="P56" s="37" t="n">
        <v>4025.56</v>
      </c>
      <c r="Q56" s="18" t="n">
        <v>4025.56</v>
      </c>
      <c r="R56" s="18" t="n">
        <v>2670.07</v>
      </c>
      <c r="S56" s="18" t="n">
        <v>2670.07</v>
      </c>
      <c r="T56" s="18" t="n">
        <v>2668.41</v>
      </c>
      <c r="U56" s="37" t="n">
        <v>2668.41</v>
      </c>
      <c r="V56" s="18" t="n">
        <v>2668.41</v>
      </c>
      <c r="W56" s="18" t="n">
        <v>1448.61</v>
      </c>
      <c r="X56" s="18" t="n">
        <v>0</v>
      </c>
      <c r="Y56" s="18" t="n">
        <v>0</v>
      </c>
      <c r="Z56" s="37" t="n">
        <v>0</v>
      </c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사채</t>
        </is>
      </c>
      <c r="F57" s="9" t="n"/>
      <c r="K57" s="9" t="n"/>
      <c r="O57" s="18" t="n">
        <v>3432.63</v>
      </c>
      <c r="P57" s="37" t="n">
        <v>3432.63</v>
      </c>
      <c r="R57" s="18" t="n">
        <v>3762.86</v>
      </c>
      <c r="S57" s="18" t="n">
        <v>3794.87</v>
      </c>
      <c r="T57" s="18" t="n">
        <v>0</v>
      </c>
      <c r="U57" s="37" t="n">
        <v>0</v>
      </c>
      <c r="V57" s="18" t="n">
        <v>0</v>
      </c>
      <c r="Y57" s="18" t="n">
        <v>0</v>
      </c>
      <c r="Z57" s="37" t="n">
        <v>0</v>
      </c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장기금융부채(face)</t>
        </is>
      </c>
      <c r="F58" s="9" t="n"/>
      <c r="K58" s="9" t="n"/>
      <c r="P58" s="9" t="n"/>
      <c r="T58" s="18" t="n">
        <v>11600.33</v>
      </c>
      <c r="U58" s="37" t="n">
        <v>11600.33</v>
      </c>
      <c r="V58" s="18" t="n">
        <v>11311.36</v>
      </c>
      <c r="W58" s="18" t="n">
        <v>8217.01</v>
      </c>
      <c r="X58" s="18" t="n">
        <v>7992.57</v>
      </c>
      <c r="Y58" s="18" t="n">
        <v>21930</v>
      </c>
      <c r="Z58" s="37" t="n">
        <v>21930</v>
      </c>
      <c r="AA58" s="18" t="n">
        <v>23930</v>
      </c>
      <c r="AB58" s="19" t="n">
        <v>26780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매출액(수익)</t>
        </is>
      </c>
      <c r="E59" s="18" t="n">
        <v>8943.52</v>
      </c>
      <c r="F59" s="9" t="n"/>
      <c r="G59" s="18" t="n">
        <v>7750.2</v>
      </c>
      <c r="H59" s="18" t="n">
        <v>8389.389999999999</v>
      </c>
      <c r="I59" s="18" t="n">
        <v>8493.41</v>
      </c>
      <c r="J59" s="18" t="n">
        <v>9528.67</v>
      </c>
      <c r="K59" s="37" t="n">
        <v>34161.67</v>
      </c>
      <c r="L59" s="18" t="n">
        <v>12146</v>
      </c>
      <c r="M59" s="18" t="n">
        <v>13229.35</v>
      </c>
      <c r="N59" s="18" t="n">
        <v>8963.379999999999</v>
      </c>
      <c r="O59" s="18" t="n">
        <v>12374.66</v>
      </c>
      <c r="P59" s="37" t="n">
        <v>46713.39</v>
      </c>
      <c r="Q59" s="18" t="n">
        <v>11308.63</v>
      </c>
      <c r="R59" s="18" t="n">
        <v>9539.040000000001</v>
      </c>
      <c r="S59" s="18" t="n">
        <v>9634.620000000001</v>
      </c>
      <c r="T59" s="18" t="n">
        <v>10787.12</v>
      </c>
      <c r="U59" s="37" t="n">
        <v>41269.41</v>
      </c>
      <c r="V59" s="18" t="n">
        <v>6995.8</v>
      </c>
      <c r="W59" s="18" t="n">
        <v>12308.84</v>
      </c>
      <c r="X59" s="18" t="n">
        <v>10624.17</v>
      </c>
      <c r="Y59" s="18" t="n">
        <v>13688.86</v>
      </c>
      <c r="Z59" s="37" t="n">
        <v>43617.67</v>
      </c>
      <c r="AA59" s="18" t="n">
        <v>14536.88</v>
      </c>
      <c r="AB59" s="19" t="n">
        <v>15059.41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매출원가</t>
        </is>
      </c>
      <c r="E60" s="18" t="n">
        <v>9850.09</v>
      </c>
      <c r="F60" s="9" t="n"/>
      <c r="G60" s="18" t="n">
        <v>7505.65</v>
      </c>
      <c r="H60" s="18" t="n">
        <v>8142.07</v>
      </c>
      <c r="I60" s="18" t="n">
        <v>8440.120000000001</v>
      </c>
      <c r="J60" s="18" t="n">
        <v>8674.15</v>
      </c>
      <c r="K60" s="37" t="n">
        <v>32761.99</v>
      </c>
      <c r="L60" s="18" t="n">
        <v>9477.870000000001</v>
      </c>
      <c r="M60" s="18" t="n">
        <v>10279.92</v>
      </c>
      <c r="N60" s="18" t="n">
        <v>7446.4</v>
      </c>
      <c r="O60" s="18" t="n">
        <v>11061.74</v>
      </c>
      <c r="P60" s="37" t="n">
        <v>38265.93</v>
      </c>
      <c r="Q60" s="18" t="n">
        <v>9258.49</v>
      </c>
      <c r="R60" s="18" t="n">
        <v>8493.299999999999</v>
      </c>
      <c r="S60" s="18" t="n">
        <v>9012.690000000001</v>
      </c>
      <c r="T60" s="18" t="n">
        <v>11146.15</v>
      </c>
      <c r="U60" s="37" t="n">
        <v>37910.63</v>
      </c>
      <c r="V60" s="18" t="n">
        <v>6307.81</v>
      </c>
      <c r="W60" s="18" t="n">
        <v>10014.3</v>
      </c>
      <c r="X60" s="18" t="n">
        <v>8969.799999999999</v>
      </c>
      <c r="Y60" s="18" t="n">
        <v>11706.33</v>
      </c>
      <c r="Z60" s="37" t="n">
        <v>36998.24</v>
      </c>
      <c r="AA60" s="18" t="n">
        <v>11738.24</v>
      </c>
      <c r="AB60" s="19" t="n">
        <v>13506.46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매출총이익</t>
        </is>
      </c>
      <c r="E61" s="18" t="n">
        <v>-906.58</v>
      </c>
      <c r="F61" s="9" t="n"/>
      <c r="G61" s="18" t="n">
        <v>244.55</v>
      </c>
      <c r="H61" s="18" t="n">
        <v>247.33</v>
      </c>
      <c r="I61" s="18" t="n">
        <v>53.29</v>
      </c>
      <c r="J61" s="18" t="n">
        <v>854.52</v>
      </c>
      <c r="K61" s="37" t="n">
        <v>1399.69</v>
      </c>
      <c r="L61" s="18" t="n">
        <v>2668.13</v>
      </c>
      <c r="M61" s="18" t="n">
        <v>2949.43</v>
      </c>
      <c r="N61" s="18" t="n">
        <v>1516.98</v>
      </c>
      <c r="O61" s="18" t="n">
        <v>1312.91</v>
      </c>
      <c r="P61" s="37" t="n">
        <v>8447.450000000001</v>
      </c>
      <c r="Q61" s="18" t="n">
        <v>2050.14</v>
      </c>
      <c r="R61" s="18" t="n">
        <v>1045.74</v>
      </c>
      <c r="S61" s="18" t="n">
        <v>621.9299999999999</v>
      </c>
      <c r="T61" s="18" t="n">
        <v>-359.03</v>
      </c>
      <c r="U61" s="37" t="n">
        <v>3358.78</v>
      </c>
      <c r="V61" s="18" t="n">
        <v>687.99</v>
      </c>
      <c r="W61" s="18" t="n">
        <v>2294.54</v>
      </c>
      <c r="X61" s="18" t="n">
        <v>1654.37</v>
      </c>
      <c r="Y61" s="18" t="n">
        <v>1982.51</v>
      </c>
      <c r="Z61" s="37" t="n">
        <v>6619.41</v>
      </c>
      <c r="AA61" s="18" t="n">
        <v>2798.64</v>
      </c>
      <c r="AB61" s="19" t="n">
        <v>1552.95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판관비</t>
        </is>
      </c>
      <c r="E62" s="18" t="n">
        <v>1308.87</v>
      </c>
      <c r="F62" s="9" t="n"/>
      <c r="G62" s="18" t="n">
        <v>1356.16</v>
      </c>
      <c r="H62" s="18" t="n">
        <v>1086.53</v>
      </c>
      <c r="I62" s="18" t="n">
        <v>1160.55</v>
      </c>
      <c r="J62" s="18" t="n">
        <v>1059.09</v>
      </c>
      <c r="K62" s="37" t="n">
        <v>4662.33</v>
      </c>
      <c r="L62" s="18" t="n">
        <v>1205.94</v>
      </c>
      <c r="M62" s="18" t="n">
        <v>1112.67</v>
      </c>
      <c r="N62" s="18" t="n">
        <v>1290.3</v>
      </c>
      <c r="O62" s="18" t="n">
        <v>1429.78</v>
      </c>
      <c r="P62" s="37" t="n">
        <v>5038.69</v>
      </c>
      <c r="Q62" s="18" t="n">
        <v>1237.99</v>
      </c>
      <c r="R62" s="18" t="n">
        <v>1484.43</v>
      </c>
      <c r="S62" s="18" t="n">
        <v>942.1799999999999</v>
      </c>
      <c r="T62" s="18" t="n">
        <v>1455.44</v>
      </c>
      <c r="U62" s="37" t="n">
        <v>5120.04</v>
      </c>
      <c r="V62" s="18" t="n">
        <v>1146.46</v>
      </c>
      <c r="W62" s="18" t="n">
        <v>1491.42</v>
      </c>
      <c r="X62" s="18" t="n">
        <v>1538.1</v>
      </c>
      <c r="Y62" s="18" t="n">
        <v>1711.84</v>
      </c>
      <c r="Z62" s="37" t="n">
        <v>5887.82</v>
      </c>
      <c r="AA62" s="18" t="n">
        <v>1900.22</v>
      </c>
      <c r="AB62" s="19" t="n">
        <v>542.0700000000001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영업이익</t>
        </is>
      </c>
      <c r="E63" s="18" t="n">
        <v>-2215.45</v>
      </c>
      <c r="F63" s="9" t="n"/>
      <c r="G63" s="18" t="n">
        <v>-1111.61</v>
      </c>
      <c r="H63" s="18" t="n">
        <v>-839.2</v>
      </c>
      <c r="I63" s="18" t="n">
        <v>-1107.26</v>
      </c>
      <c r="J63" s="18" t="n">
        <v>-204.57</v>
      </c>
      <c r="K63" s="37" t="n">
        <v>-3262.64</v>
      </c>
      <c r="L63" s="18" t="n">
        <v>1462.19</v>
      </c>
      <c r="M63" s="18" t="n">
        <v>1836.76</v>
      </c>
      <c r="N63" s="18" t="n">
        <v>226.67</v>
      </c>
      <c r="O63" s="18" t="n">
        <v>-116.87</v>
      </c>
      <c r="P63" s="37" t="n">
        <v>3408.75</v>
      </c>
      <c r="Q63" s="18" t="n">
        <v>812.14</v>
      </c>
      <c r="R63" s="18" t="n">
        <v>-438.7</v>
      </c>
      <c r="S63" s="18" t="n">
        <v>-320.25</v>
      </c>
      <c r="T63" s="18" t="n">
        <v>-1814.48</v>
      </c>
      <c r="U63" s="37" t="n">
        <v>-1761.29</v>
      </c>
      <c r="V63" s="18" t="n">
        <v>-458.47</v>
      </c>
      <c r="W63" s="18" t="n">
        <v>803.13</v>
      </c>
      <c r="X63" s="18" t="n">
        <v>116.27</v>
      </c>
      <c r="Y63" s="18" t="n">
        <v>270.67</v>
      </c>
      <c r="Z63" s="37" t="n">
        <v>731.6</v>
      </c>
      <c r="AA63" s="18" t="n">
        <v>898.42</v>
      </c>
      <c r="AB63" s="19" t="n">
        <v>1010.88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-375.62</v>
      </c>
      <c r="F64" s="9" t="n"/>
      <c r="G64" s="18" t="n">
        <v>51.22</v>
      </c>
      <c r="H64" s="18" t="n">
        <v>378.16</v>
      </c>
      <c r="I64" s="18" t="n">
        <v>177.27</v>
      </c>
      <c r="J64" s="18" t="n">
        <v>-23.84</v>
      </c>
      <c r="K64" s="37" t="n">
        <v>582.8099999999999</v>
      </c>
      <c r="L64" s="18" t="n">
        <v>286.7</v>
      </c>
      <c r="M64" s="18" t="n">
        <v>675.92</v>
      </c>
      <c r="N64" s="18" t="n">
        <v>30.25</v>
      </c>
      <c r="O64" s="18" t="n">
        <v>340.32</v>
      </c>
      <c r="P64" s="37" t="n">
        <v>1333.19</v>
      </c>
      <c r="Q64" s="18" t="n">
        <v>177.32</v>
      </c>
      <c r="R64" s="18" t="n">
        <v>98.58</v>
      </c>
      <c r="S64" s="18" t="n">
        <v>27.75</v>
      </c>
      <c r="T64" s="18" t="n">
        <v>176.21</v>
      </c>
      <c r="U64" s="37" t="n">
        <v>479.86</v>
      </c>
      <c r="V64" s="18" t="n">
        <v>90.86</v>
      </c>
      <c r="W64" s="18" t="n">
        <v>59.59</v>
      </c>
      <c r="X64" s="18" t="n">
        <v>78.75</v>
      </c>
      <c r="Y64" s="18" t="n">
        <v>339.32</v>
      </c>
      <c r="Z64" s="37" t="n">
        <v>568.52</v>
      </c>
      <c r="AA64" s="18" t="n">
        <v>207.51</v>
      </c>
      <c r="AB64" s="19" t="n">
        <v>89.23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4794.83</v>
      </c>
      <c r="F65" s="9" t="n"/>
      <c r="G65" s="18" t="n">
        <v>44.65</v>
      </c>
      <c r="H65" s="18" t="n">
        <v>775.8200000000001</v>
      </c>
      <c r="I65" s="18" t="n">
        <v>69.5</v>
      </c>
      <c r="J65" s="18" t="n">
        <v>871.23</v>
      </c>
      <c r="K65" s="37" t="n">
        <v>1761.2</v>
      </c>
      <c r="L65" s="18" t="n">
        <v>163.25</v>
      </c>
      <c r="M65" s="18" t="n">
        <v>748.49</v>
      </c>
      <c r="N65" s="18" t="n">
        <v>49.56</v>
      </c>
      <c r="O65" s="18" t="n">
        <v>717.52</v>
      </c>
      <c r="P65" s="37" t="n">
        <v>1678.82</v>
      </c>
      <c r="Q65" s="18" t="n">
        <v>97.26000000000001</v>
      </c>
      <c r="R65" s="18" t="n">
        <v>44.13</v>
      </c>
      <c r="S65" s="18" t="n">
        <v>-35.14</v>
      </c>
      <c r="T65" s="18" t="n">
        <v>505.04</v>
      </c>
      <c r="U65" s="37" t="n">
        <v>611.29</v>
      </c>
      <c r="V65" s="18" t="n">
        <v>52.33</v>
      </c>
      <c r="W65" s="18" t="n">
        <v>228.55</v>
      </c>
      <c r="X65" s="18" t="n">
        <v>-27.05</v>
      </c>
      <c r="Y65" s="18" t="n">
        <v>51.06</v>
      </c>
      <c r="Z65" s="37" t="n">
        <v>304.89</v>
      </c>
      <c r="AA65" s="18" t="n">
        <v>84.37</v>
      </c>
      <c r="AB65" s="19" t="n">
        <v>72.02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금융수익</t>
        </is>
      </c>
      <c r="E66" s="18" t="n">
        <v>24.56</v>
      </c>
      <c r="F66" s="9" t="n"/>
      <c r="G66" s="18" t="n">
        <v>36.95</v>
      </c>
      <c r="H66" s="18" t="n">
        <v>31.35</v>
      </c>
      <c r="I66" s="18" t="n">
        <v>34.97</v>
      </c>
      <c r="J66" s="18" t="n">
        <v>50.97</v>
      </c>
      <c r="K66" s="37" t="n">
        <v>154.24</v>
      </c>
      <c r="L66" s="18" t="n">
        <v>17.38</v>
      </c>
      <c r="M66" s="18" t="n">
        <v>16.49</v>
      </c>
      <c r="N66" s="18" t="n">
        <v>70.15000000000001</v>
      </c>
      <c r="O66" s="18" t="n">
        <v>1114.21</v>
      </c>
      <c r="P66" s="37" t="n">
        <v>1218.23</v>
      </c>
      <c r="Q66" s="18" t="n">
        <v>5.45</v>
      </c>
      <c r="R66" s="18" t="n">
        <v>1806.08</v>
      </c>
      <c r="S66" s="18" t="n">
        <v>88.89</v>
      </c>
      <c r="T66" s="18" t="n">
        <v>-331.41</v>
      </c>
      <c r="U66" s="37" t="n">
        <v>1569.01</v>
      </c>
      <c r="V66" s="18" t="n">
        <v>166.69</v>
      </c>
      <c r="W66" s="18" t="n">
        <v>1454.21</v>
      </c>
      <c r="X66" s="18" t="n">
        <v>498.32</v>
      </c>
      <c r="Y66" s="18" t="n">
        <v>-672.92</v>
      </c>
      <c r="Z66" s="37" t="n">
        <v>1446.3</v>
      </c>
      <c r="AA66" s="18" t="n">
        <v>30.96</v>
      </c>
      <c r="AB66" s="19" t="n">
        <v>273.01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금융비용</t>
        </is>
      </c>
      <c r="E67" s="18" t="n">
        <v>424.68</v>
      </c>
      <c r="F67" s="9" t="n"/>
      <c r="G67" s="18" t="n">
        <v>439.23</v>
      </c>
      <c r="H67" s="18" t="n">
        <v>511.24</v>
      </c>
      <c r="I67" s="18" t="n">
        <v>496.31</v>
      </c>
      <c r="J67" s="18" t="n">
        <v>578.9299999999999</v>
      </c>
      <c r="K67" s="37" t="n">
        <v>2025.71</v>
      </c>
      <c r="L67" s="18" t="n">
        <v>566.04</v>
      </c>
      <c r="M67" s="18" t="n">
        <v>575.84</v>
      </c>
      <c r="N67" s="18" t="n">
        <v>582.5</v>
      </c>
      <c r="O67" s="18" t="n">
        <v>884.67</v>
      </c>
      <c r="P67" s="37" t="n">
        <v>2609.05</v>
      </c>
      <c r="Q67" s="18" t="n">
        <v>586.62</v>
      </c>
      <c r="R67" s="18" t="n">
        <v>867.36</v>
      </c>
      <c r="S67" s="18" t="n">
        <v>537.96</v>
      </c>
      <c r="T67" s="18" t="n">
        <v>1210.25</v>
      </c>
      <c r="U67" s="37" t="n">
        <v>3202.19</v>
      </c>
      <c r="V67" s="18" t="n">
        <v>428.97</v>
      </c>
      <c r="W67" s="18" t="n">
        <v>6573.58</v>
      </c>
      <c r="X67" s="18" t="n">
        <v>816.4299999999999</v>
      </c>
      <c r="Y67" s="18" t="n">
        <v>-266.64</v>
      </c>
      <c r="Z67" s="37" t="n">
        <v>7552.34</v>
      </c>
      <c r="AA67" s="18" t="n">
        <v>514.34</v>
      </c>
      <c r="AB67" s="19" t="n">
        <v>530.0700000000001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법인세비용차감전계속사업이익</t>
        </is>
      </c>
      <c r="E68" s="18" t="n">
        <v>-7480.84</v>
      </c>
      <c r="F68" s="9" t="n"/>
      <c r="G68" s="18" t="n">
        <v>-1507.32</v>
      </c>
      <c r="H68" s="18" t="n">
        <v>-1716.75</v>
      </c>
      <c r="I68" s="18" t="n">
        <v>-1460.83</v>
      </c>
      <c r="J68" s="18" t="n">
        <v>-2734.66</v>
      </c>
      <c r="K68" s="37" t="n">
        <v>-7419.56</v>
      </c>
      <c r="L68" s="18" t="n">
        <v>1036.98</v>
      </c>
      <c r="M68" s="18" t="n">
        <v>1204.84</v>
      </c>
      <c r="N68" s="18" t="n">
        <v>-304.98</v>
      </c>
      <c r="O68" s="18" t="n">
        <v>-264.53</v>
      </c>
      <c r="P68" s="37" t="n">
        <v>1672.31</v>
      </c>
      <c r="Q68" s="18" t="n">
        <v>311.02</v>
      </c>
      <c r="R68" s="18" t="n">
        <v>554.47</v>
      </c>
      <c r="S68" s="18" t="n">
        <v>-706.4400000000001</v>
      </c>
      <c r="T68" s="18" t="n">
        <v>-3684.97</v>
      </c>
      <c r="U68" s="37" t="n">
        <v>-3525.92</v>
      </c>
      <c r="V68" s="18" t="n">
        <v>-682.22</v>
      </c>
      <c r="W68" s="18" t="n">
        <v>-4485.19</v>
      </c>
      <c r="X68" s="18" t="n">
        <v>-96.04000000000001</v>
      </c>
      <c r="Y68" s="18" t="n">
        <v>152.65</v>
      </c>
      <c r="Z68" s="37" t="n">
        <v>-5110.8</v>
      </c>
      <c r="AA68" s="18" t="n">
        <v>538.17</v>
      </c>
      <c r="AB68" s="19" t="n">
        <v>771.03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-7480.84</v>
      </c>
      <c r="F69" s="9" t="n"/>
      <c r="G69" s="18" t="n">
        <v>-1507.32</v>
      </c>
      <c r="H69" s="18" t="n">
        <v>-1716.75</v>
      </c>
      <c r="I69" s="18" t="n">
        <v>-1460.83</v>
      </c>
      <c r="J69" s="18" t="n">
        <v>-2734.66</v>
      </c>
      <c r="K69" s="37" t="n">
        <v>-7419.56</v>
      </c>
      <c r="L69" s="18" t="n">
        <v>1036.98</v>
      </c>
      <c r="M69" s="18" t="n">
        <v>1204.84</v>
      </c>
      <c r="N69" s="18" t="n">
        <v>-304.98</v>
      </c>
      <c r="O69" s="18" t="n">
        <v>-264.53</v>
      </c>
      <c r="P69" s="37" t="n">
        <v>1672.31</v>
      </c>
      <c r="Q69" s="18" t="n">
        <v>311.02</v>
      </c>
      <c r="R69" s="18" t="n">
        <v>554.47</v>
      </c>
      <c r="S69" s="18" t="n">
        <v>-706.4400000000001</v>
      </c>
      <c r="T69" s="18" t="n">
        <v>-3684.97</v>
      </c>
      <c r="U69" s="37" t="n">
        <v>-3525.92</v>
      </c>
      <c r="V69" s="18" t="n">
        <v>-682.22</v>
      </c>
      <c r="W69" s="18" t="n">
        <v>-4485.19</v>
      </c>
      <c r="X69" s="18" t="n">
        <v>-96.04000000000001</v>
      </c>
      <c r="Y69" s="18" t="n">
        <v>152.65</v>
      </c>
      <c r="Z69" s="37" t="n">
        <v>-5110.8</v>
      </c>
      <c r="AA69" s="18" t="n">
        <v>538.17</v>
      </c>
      <c r="AB69" s="19" t="n">
        <v>771.03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-2879.28</v>
      </c>
      <c r="F70" s="9" t="n"/>
      <c r="G70" s="18" t="n">
        <v>-1395.54</v>
      </c>
      <c r="H70" s="18" t="n">
        <v>-1942.52</v>
      </c>
      <c r="I70" s="18" t="n">
        <v>-1467.49</v>
      </c>
      <c r="J70" s="18" t="n">
        <v>-2230.52</v>
      </c>
      <c r="K70" s="37" t="n">
        <v>-7036.07</v>
      </c>
      <c r="L70" s="18" t="n">
        <v>1032.45</v>
      </c>
      <c r="M70" s="18" t="n">
        <v>1212.21</v>
      </c>
      <c r="N70" s="18" t="n">
        <v>-306.2</v>
      </c>
      <c r="O70" s="18" t="n">
        <v>-718.27</v>
      </c>
      <c r="P70" s="37" t="n">
        <v>1220.19</v>
      </c>
      <c r="Q70" s="18" t="n">
        <v>313.35</v>
      </c>
      <c r="R70" s="18" t="n">
        <v>583.5</v>
      </c>
      <c r="S70" s="18" t="n">
        <v>-731.1900000000001</v>
      </c>
      <c r="T70" s="18" t="n">
        <v>-3873.81</v>
      </c>
      <c r="U70" s="37" t="n">
        <v>-3708.15</v>
      </c>
      <c r="V70" s="18" t="n">
        <v>-682.1</v>
      </c>
      <c r="W70" s="18" t="n">
        <v>-4459.95</v>
      </c>
      <c r="X70" s="18" t="n">
        <v>-71.3</v>
      </c>
      <c r="Y70" s="18" t="n">
        <v>24.54</v>
      </c>
      <c r="Z70" s="37" t="n">
        <v>-5188.81</v>
      </c>
      <c r="AA70" s="18" t="n">
        <v>519.26</v>
      </c>
      <c r="AB70" s="19" t="n">
        <v>757.42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금융손익</t>
        </is>
      </c>
      <c r="E71" s="18" t="n">
        <v>-400.12</v>
      </c>
      <c r="F71" s="9" t="n"/>
      <c r="G71" s="18" t="n">
        <v>-402.28</v>
      </c>
      <c r="H71" s="18" t="n">
        <v>-479.89</v>
      </c>
      <c r="I71" s="18" t="n">
        <v>-461.34</v>
      </c>
      <c r="J71" s="18" t="n">
        <v>-527.96</v>
      </c>
      <c r="K71" s="37" t="n">
        <v>-1871.47</v>
      </c>
      <c r="L71" s="18" t="n">
        <v>-548.66</v>
      </c>
      <c r="M71" s="18" t="n">
        <v>-559.35</v>
      </c>
      <c r="N71" s="18" t="n">
        <v>-512.35</v>
      </c>
      <c r="O71" s="18" t="n">
        <v>229.54</v>
      </c>
      <c r="P71" s="37" t="n">
        <v>-1390.82</v>
      </c>
      <c r="Q71" s="18" t="n">
        <v>-581.17</v>
      </c>
      <c r="R71" s="18" t="n">
        <v>938.72</v>
      </c>
      <c r="S71" s="18" t="n">
        <v>-449.07</v>
      </c>
      <c r="T71" s="18" t="n">
        <v>-1541.66</v>
      </c>
      <c r="U71" s="37" t="n">
        <v>-1633.18</v>
      </c>
      <c r="V71" s="18" t="n">
        <v>-262.28</v>
      </c>
      <c r="W71" s="18" t="n">
        <v>-5119.37</v>
      </c>
      <c r="X71" s="18" t="n">
        <v>-318.11</v>
      </c>
      <c r="Y71" s="18" t="n">
        <v>-406.28</v>
      </c>
      <c r="Z71" s="37" t="n">
        <v>-6106.04</v>
      </c>
      <c r="AA71" s="18" t="n">
        <v>-483.38</v>
      </c>
      <c r="AB71" s="19" t="n">
        <v>-257.06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기타영업외손익</t>
        </is>
      </c>
      <c r="E72" s="18" t="n">
        <v>-5170.45</v>
      </c>
      <c r="F72" s="9" t="n"/>
      <c r="G72" s="18" t="n">
        <v>6.57</v>
      </c>
      <c r="H72" s="18" t="n">
        <v>-397.66</v>
      </c>
      <c r="I72" s="18" t="n">
        <v>107.77</v>
      </c>
      <c r="J72" s="18" t="n">
        <v>-895.0700000000001</v>
      </c>
      <c r="K72" s="37" t="n">
        <v>-1178.39</v>
      </c>
      <c r="L72" s="18" t="n">
        <v>123.45</v>
      </c>
      <c r="M72" s="18" t="n">
        <v>-72.56999999999999</v>
      </c>
      <c r="N72" s="18" t="n">
        <v>-19.31</v>
      </c>
      <c r="O72" s="18" t="n">
        <v>-377.2</v>
      </c>
      <c r="P72" s="37" t="n">
        <v>-345.63</v>
      </c>
      <c r="Q72" s="18" t="n">
        <v>80.06</v>
      </c>
      <c r="R72" s="18" t="n">
        <v>54.45</v>
      </c>
      <c r="S72" s="18" t="n">
        <v>62.89</v>
      </c>
      <c r="T72" s="18" t="n">
        <v>-328.83</v>
      </c>
      <c r="U72" s="37" t="n">
        <v>-131.43</v>
      </c>
      <c r="V72" s="18" t="n">
        <v>38.53</v>
      </c>
      <c r="W72" s="18" t="n">
        <v>-168.96</v>
      </c>
      <c r="X72" s="18" t="n">
        <v>105.8</v>
      </c>
      <c r="Y72" s="18" t="n">
        <v>288.26</v>
      </c>
      <c r="Z72" s="37" t="n">
        <v>263.63</v>
      </c>
      <c r="AA72" s="18" t="n">
        <v>123.14</v>
      </c>
      <c r="AB72" s="19" t="n">
        <v>17.21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(지배주주지분)당기순이익</t>
        </is>
      </c>
      <c r="E73" s="18" t="n">
        <v>-7480.84</v>
      </c>
      <c r="F73" s="9" t="n"/>
      <c r="G73" s="18" t="n">
        <v>-1507.32</v>
      </c>
      <c r="H73" s="18" t="n">
        <v>-1716.75</v>
      </c>
      <c r="I73" s="18" t="n">
        <v>-1460.83</v>
      </c>
      <c r="J73" s="18" t="n">
        <v>-2734.66</v>
      </c>
      <c r="K73" s="37" t="n">
        <v>-7419.56</v>
      </c>
      <c r="L73" s="18" t="n">
        <v>1036.98</v>
      </c>
      <c r="M73" s="18" t="n">
        <v>1204.84</v>
      </c>
      <c r="N73" s="18" t="n">
        <v>-304.98</v>
      </c>
      <c r="O73" s="18" t="n">
        <v>-264.53</v>
      </c>
      <c r="P73" s="37" t="n">
        <v>1672.31</v>
      </c>
      <c r="Q73" s="18" t="n">
        <v>311.02</v>
      </c>
      <c r="R73" s="18" t="n">
        <v>554.47</v>
      </c>
      <c r="S73" s="18" t="n">
        <v>-706.4400000000001</v>
      </c>
      <c r="T73" s="18" t="n">
        <v>-3684.97</v>
      </c>
      <c r="U73" s="37" t="n">
        <v>-3525.92</v>
      </c>
      <c r="V73" s="18" t="n">
        <v>-682.22</v>
      </c>
      <c r="W73" s="18" t="n">
        <v>-4485.19</v>
      </c>
      <c r="X73" s="18" t="n">
        <v>-96.04000000000001</v>
      </c>
      <c r="Y73" s="18" t="n">
        <v>152.65</v>
      </c>
      <c r="Z73" s="37" t="n">
        <v>-5110.8</v>
      </c>
      <c r="AA73" s="18" t="n">
        <v>538.17</v>
      </c>
      <c r="AB73" s="19" t="n">
        <v>771.03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계속사업이익</t>
        </is>
      </c>
      <c r="E74" s="18" t="n">
        <v>-7480.84</v>
      </c>
      <c r="F74" s="9" t="n"/>
      <c r="G74" s="18" t="n">
        <v>-1507.32</v>
      </c>
      <c r="H74" s="18" t="n">
        <v>-1716.75</v>
      </c>
      <c r="I74" s="18" t="n">
        <v>-1460.83</v>
      </c>
      <c r="J74" s="18" t="n">
        <v>-2734.66</v>
      </c>
      <c r="K74" s="37" t="n">
        <v>-7419.56</v>
      </c>
      <c r="L74" s="18" t="n">
        <v>1036.98</v>
      </c>
      <c r="M74" s="18" t="n">
        <v>1204.84</v>
      </c>
      <c r="N74" s="18" t="n">
        <v>-304.98</v>
      </c>
      <c r="O74" s="18" t="n">
        <v>-264.53</v>
      </c>
      <c r="P74" s="37" t="n">
        <v>1672.31</v>
      </c>
      <c r="Q74" s="18" t="n">
        <v>311.02</v>
      </c>
      <c r="R74" s="18" t="n">
        <v>554.47</v>
      </c>
      <c r="S74" s="18" t="n">
        <v>-706.4400000000001</v>
      </c>
      <c r="T74" s="18" t="n">
        <v>-3684.97</v>
      </c>
      <c r="U74" s="37" t="n">
        <v>-3525.92</v>
      </c>
      <c r="V74" s="18" t="n">
        <v>-682.22</v>
      </c>
      <c r="W74" s="18" t="n">
        <v>-4485.19</v>
      </c>
      <c r="X74" s="18" t="n">
        <v>-96.04000000000001</v>
      </c>
      <c r="Y74" s="18" t="n">
        <v>152.65</v>
      </c>
      <c r="Z74" s="37" t="n">
        <v>-5110.8</v>
      </c>
      <c r="AA74" s="18" t="n">
        <v>538.17</v>
      </c>
      <c r="AB74" s="19" t="n">
        <v>771.03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법인세비용</t>
        </is>
      </c>
      <c r="F75" s="9" t="n"/>
      <c r="G75" s="18" t="n">
        <v>0</v>
      </c>
      <c r="H75" s="18" t="n">
        <v>0</v>
      </c>
      <c r="I75" s="18" t="n">
        <v>0</v>
      </c>
      <c r="J75" s="18" t="n">
        <v>0</v>
      </c>
      <c r="K75" s="37" t="n">
        <v>0</v>
      </c>
      <c r="L75" s="18" t="n">
        <v>0</v>
      </c>
      <c r="M75" s="18" t="n">
        <v>0</v>
      </c>
      <c r="N75" s="18" t="n">
        <v>0</v>
      </c>
      <c r="O75" s="18" t="n">
        <v>0</v>
      </c>
      <c r="P75" s="37" t="n">
        <v>0</v>
      </c>
      <c r="Q75" s="18" t="n">
        <v>0</v>
      </c>
      <c r="R75" s="18" t="n">
        <v>0</v>
      </c>
      <c r="S75" s="18" t="n">
        <v>0</v>
      </c>
      <c r="T75" s="18" t="n">
        <v>0</v>
      </c>
      <c r="U75" s="37" t="n">
        <v>0</v>
      </c>
      <c r="X75" s="18" t="n">
        <v>0</v>
      </c>
      <c r="Y75" s="18" t="n">
        <v>0</v>
      </c>
      <c r="Z75" s="9" t="n"/>
      <c r="AA75" s="18" t="n">
        <v>0</v>
      </c>
      <c r="AB75" s="19" t="n">
        <v>0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영업활동으로인한현금흐름</t>
        </is>
      </c>
      <c r="E76" s="18" t="n">
        <v>655.23</v>
      </c>
      <c r="F76" s="9" t="n"/>
      <c r="G76" s="18" t="n">
        <v>-2423.91</v>
      </c>
      <c r="H76" s="18" t="n">
        <v>-237.42</v>
      </c>
      <c r="I76" s="18" t="n">
        <v>2008.12</v>
      </c>
      <c r="J76" s="18" t="n">
        <v>1761.05</v>
      </c>
      <c r="K76" s="37" t="n">
        <v>1107.84</v>
      </c>
      <c r="L76" s="18" t="n">
        <v>-858.89</v>
      </c>
      <c r="M76" s="18" t="n">
        <v>1425.19</v>
      </c>
      <c r="N76" s="18" t="n">
        <v>620.21</v>
      </c>
      <c r="O76" s="18" t="n">
        <v>-5743.67</v>
      </c>
      <c r="P76" s="37" t="n">
        <v>-4557.16</v>
      </c>
      <c r="Q76" s="18" t="n">
        <v>-609.55</v>
      </c>
      <c r="R76" s="18" t="n">
        <v>211.93</v>
      </c>
      <c r="S76" s="18" t="n">
        <v>-1107.45</v>
      </c>
      <c r="T76" s="18" t="n">
        <v>-471.27</v>
      </c>
      <c r="U76" s="37" t="n">
        <v>-1976.34</v>
      </c>
      <c r="V76" s="18" t="n">
        <v>-1554.8</v>
      </c>
      <c r="W76" s="18" t="n">
        <v>-1009.43</v>
      </c>
      <c r="X76" s="18" t="n">
        <v>1135.01</v>
      </c>
      <c r="Y76" s="18" t="n">
        <v>-3570.01</v>
      </c>
      <c r="Z76" s="37" t="n">
        <v>-4999.23</v>
      </c>
      <c r="AA76" s="18" t="n">
        <v>-46.25</v>
      </c>
      <c r="AB76" s="19" t="n">
        <v>6436.89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감가상각비</t>
        </is>
      </c>
      <c r="E77" s="18" t="n">
        <v>352.32</v>
      </c>
      <c r="F77" s="9" t="n"/>
      <c r="G77" s="18" t="n">
        <v>172.01</v>
      </c>
      <c r="H77" s="18" t="n">
        <v>246.52</v>
      </c>
      <c r="I77" s="18" t="n">
        <v>177.1</v>
      </c>
      <c r="J77" s="18" t="n">
        <v>243.68</v>
      </c>
      <c r="K77" s="37" t="n">
        <v>839.3099999999999</v>
      </c>
      <c r="L77" s="18" t="n">
        <v>176.17</v>
      </c>
      <c r="M77" s="18" t="n">
        <v>240.37</v>
      </c>
      <c r="P77" s="9" t="n"/>
      <c r="U77" s="9" t="n"/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무형자산상각비</t>
        </is>
      </c>
      <c r="E78" s="18" t="n">
        <v>21.39</v>
      </c>
      <c r="F78" s="9" t="n"/>
      <c r="G78" s="18" t="n">
        <v>0</v>
      </c>
      <c r="H78" s="18" t="n">
        <v>0</v>
      </c>
      <c r="I78" s="18" t="n">
        <v>0</v>
      </c>
      <c r="K78" s="9" t="n"/>
      <c r="L78" s="18" t="n">
        <v>0</v>
      </c>
      <c r="P78" s="9" t="n"/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법인세납부(CF)</t>
        </is>
      </c>
      <c r="E79" s="18" t="n">
        <v>-0.67</v>
      </c>
      <c r="F79" s="9" t="n"/>
      <c r="G79" s="18" t="n">
        <v>-0.48</v>
      </c>
      <c r="H79" s="18" t="n">
        <v>5.89</v>
      </c>
      <c r="I79" s="18" t="n">
        <v>61.74</v>
      </c>
      <c r="J79" s="18" t="n">
        <v>-1.67</v>
      </c>
      <c r="K79" s="37" t="n">
        <v>65.48</v>
      </c>
      <c r="L79" s="18" t="n">
        <v>0</v>
      </c>
      <c r="M79" s="18" t="n">
        <v>1.43</v>
      </c>
      <c r="N79" s="18" t="n">
        <v>0</v>
      </c>
      <c r="O79" s="18" t="n">
        <v>-2.91</v>
      </c>
      <c r="P79" s="37" t="n">
        <v>-1.48</v>
      </c>
      <c r="Q79" s="18" t="n">
        <v>0</v>
      </c>
      <c r="R79" s="18" t="n">
        <v>1.94</v>
      </c>
      <c r="S79" s="18" t="n">
        <v>0</v>
      </c>
      <c r="T79" s="18" t="n">
        <v>-2.36</v>
      </c>
      <c r="U79" s="37" t="n">
        <v>-0.42</v>
      </c>
      <c r="V79" s="18" t="n">
        <v>0</v>
      </c>
      <c r="W79" s="18" t="n">
        <v>3</v>
      </c>
      <c r="X79" s="18" t="n">
        <v>-58.55</v>
      </c>
      <c r="Y79" s="18" t="n">
        <v>0</v>
      </c>
      <c r="Z79" s="37" t="n">
        <v>-55.55</v>
      </c>
      <c r="AA79" s="18" t="n">
        <v>-0.47</v>
      </c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투자활동으로인한현금흐름</t>
        </is>
      </c>
      <c r="E80" s="18" t="n">
        <v>-1594</v>
      </c>
      <c r="F80" s="9" t="n"/>
      <c r="G80" s="18" t="n">
        <v>2194.48</v>
      </c>
      <c r="H80" s="18" t="n">
        <v>2157.13</v>
      </c>
      <c r="I80" s="18" t="n">
        <v>-129.18</v>
      </c>
      <c r="J80" s="18" t="n">
        <v>895.46</v>
      </c>
      <c r="K80" s="37" t="n">
        <v>5117.89</v>
      </c>
      <c r="L80" s="18" t="n">
        <v>407</v>
      </c>
      <c r="M80" s="18" t="n">
        <v>-464.12</v>
      </c>
      <c r="N80" s="18" t="n">
        <v>-257.1</v>
      </c>
      <c r="O80" s="18" t="n">
        <v>-25.2</v>
      </c>
      <c r="P80" s="37" t="n">
        <v>-339.42</v>
      </c>
      <c r="Q80" s="18" t="n">
        <v>676.4299999999999</v>
      </c>
      <c r="R80" s="18" t="n">
        <v>203.33</v>
      </c>
      <c r="S80" s="18" t="n">
        <v>3.65</v>
      </c>
      <c r="T80" s="18" t="n">
        <v>-159.42</v>
      </c>
      <c r="U80" s="37" t="n">
        <v>723.99</v>
      </c>
      <c r="V80" s="18" t="n">
        <v>-77.28</v>
      </c>
      <c r="W80" s="18" t="n">
        <v>-36.57</v>
      </c>
      <c r="X80" s="18" t="n">
        <v>72.73999999999999</v>
      </c>
      <c r="Y80" s="18" t="n">
        <v>-285.82</v>
      </c>
      <c r="Z80" s="37" t="n">
        <v>-326.93</v>
      </c>
      <c r="AA80" s="18" t="n">
        <v>-75.09</v>
      </c>
      <c r="AB80" s="19" t="n">
        <v>-187.04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유형자산의감소</t>
        </is>
      </c>
      <c r="E81" s="18" t="n">
        <v>0</v>
      </c>
      <c r="F81" s="9" t="n"/>
      <c r="G81" s="18" t="n">
        <v>0</v>
      </c>
      <c r="H81" s="18" t="n">
        <v>0</v>
      </c>
      <c r="I81" s="18" t="n">
        <v>5</v>
      </c>
      <c r="J81" s="18" t="n">
        <v>0</v>
      </c>
      <c r="K81" s="37" t="n">
        <v>5</v>
      </c>
      <c r="L81" s="18" t="n">
        <v>0</v>
      </c>
      <c r="O81" s="18" t="n">
        <v>0</v>
      </c>
      <c r="P81" s="9" t="n"/>
      <c r="Q81" s="18" t="n">
        <v>9</v>
      </c>
      <c r="R81" s="18" t="n">
        <v>3.82</v>
      </c>
      <c r="S81" s="18" t="n">
        <v>0</v>
      </c>
      <c r="T81" s="18" t="n">
        <v>0</v>
      </c>
      <c r="U81" s="37" t="n">
        <v>12.82</v>
      </c>
      <c r="V81" s="18" t="n">
        <v>12.82</v>
      </c>
      <c r="W81" s="18" t="n">
        <v>0</v>
      </c>
      <c r="X81" s="18" t="n">
        <v>0</v>
      </c>
      <c r="Z81" s="9" t="n"/>
      <c r="AA81" s="18" t="n">
        <v>25.91</v>
      </c>
      <c r="AB81" s="19" t="n">
        <v>11.16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유형자산의증가</t>
        </is>
      </c>
      <c r="E82" s="18" t="n">
        <v>12.93</v>
      </c>
      <c r="F82" s="9" t="n"/>
      <c r="G82" s="18" t="n">
        <v>0</v>
      </c>
      <c r="H82" s="18" t="n">
        <v>0</v>
      </c>
      <c r="I82" s="18" t="n">
        <v>90.01000000000001</v>
      </c>
      <c r="J82" s="18" t="n">
        <v>0.14</v>
      </c>
      <c r="K82" s="37" t="n">
        <v>90.15000000000001</v>
      </c>
      <c r="L82" s="18" t="n">
        <v>0</v>
      </c>
      <c r="M82" s="18" t="n">
        <v>2.4</v>
      </c>
      <c r="N82" s="18" t="n">
        <v>264.08</v>
      </c>
      <c r="P82" s="9" t="n"/>
      <c r="Q82" s="18" t="n">
        <v>32.57</v>
      </c>
      <c r="R82" s="18" t="n">
        <v>0.85</v>
      </c>
      <c r="S82" s="18" t="n">
        <v>-0.85</v>
      </c>
      <c r="T82" s="18" t="n">
        <v>0</v>
      </c>
      <c r="U82" s="37" t="n">
        <v>32.57</v>
      </c>
      <c r="V82" s="18" t="n">
        <v>95.7</v>
      </c>
      <c r="W82" s="18" t="n">
        <v>39.36</v>
      </c>
      <c r="X82" s="18" t="n">
        <v>0.66</v>
      </c>
      <c r="Y82" s="18" t="n">
        <v>289</v>
      </c>
      <c r="Z82" s="37" t="n">
        <v>424.72</v>
      </c>
      <c r="AA82" s="18" t="n">
        <v>0</v>
      </c>
      <c r="AB82" s="19" t="n">
        <v>126.2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CAPEX</t>
        </is>
      </c>
      <c r="E83" s="18" t="n">
        <v>12.93</v>
      </c>
      <c r="F83" s="9" t="n"/>
      <c r="G83" s="18" t="n">
        <v>0</v>
      </c>
      <c r="H83" s="18" t="n">
        <v>0</v>
      </c>
      <c r="I83" s="18" t="n">
        <v>90.01000000000001</v>
      </c>
      <c r="J83" s="18" t="n">
        <v>0.14</v>
      </c>
      <c r="K83" s="37" t="n">
        <v>90.15000000000001</v>
      </c>
      <c r="L83" s="18" t="n">
        <v>0</v>
      </c>
      <c r="M83" s="18" t="n">
        <v>2.4</v>
      </c>
      <c r="N83" s="18" t="n">
        <v>264.08</v>
      </c>
      <c r="P83" s="9" t="n"/>
      <c r="Q83" s="18" t="n">
        <v>32.57</v>
      </c>
      <c r="R83" s="18" t="n">
        <v>0.85</v>
      </c>
      <c r="S83" s="18" t="n">
        <v>-0.85</v>
      </c>
      <c r="T83" s="18" t="n">
        <v>0</v>
      </c>
      <c r="U83" s="37" t="n">
        <v>32.57</v>
      </c>
      <c r="V83" s="18" t="n">
        <v>95.7</v>
      </c>
      <c r="W83" s="18" t="n">
        <v>39.36</v>
      </c>
      <c r="X83" s="18" t="n">
        <v>0.66</v>
      </c>
      <c r="Y83" s="18" t="n">
        <v>289</v>
      </c>
      <c r="Z83" s="37" t="n">
        <v>424.72</v>
      </c>
      <c r="AA83" s="18" t="n">
        <v>0</v>
      </c>
      <c r="AB83" s="19" t="n">
        <v>126.2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재무활동으로인한현금흐름</t>
        </is>
      </c>
      <c r="E84" s="18" t="n">
        <v>877.46</v>
      </c>
      <c r="F84" s="9" t="n"/>
      <c r="G84" s="18" t="n">
        <v>447.12</v>
      </c>
      <c r="H84" s="18" t="n">
        <v>-1988.75</v>
      </c>
      <c r="I84" s="18" t="n">
        <v>-1482.61</v>
      </c>
      <c r="J84" s="18" t="n">
        <v>-2135.64</v>
      </c>
      <c r="K84" s="37" t="n">
        <v>-5159.88</v>
      </c>
      <c r="L84" s="18" t="n">
        <v>-602.25</v>
      </c>
      <c r="M84" s="18" t="n">
        <v>-987.12</v>
      </c>
      <c r="N84" s="18" t="n">
        <v>496.17</v>
      </c>
      <c r="O84" s="18" t="n">
        <v>8212</v>
      </c>
      <c r="P84" s="37" t="n">
        <v>7118.8</v>
      </c>
      <c r="Q84" s="18" t="n">
        <v>-3235.4</v>
      </c>
      <c r="R84" s="18" t="n">
        <v>1805.32</v>
      </c>
      <c r="S84" s="18" t="n">
        <v>145.51</v>
      </c>
      <c r="T84" s="18" t="n">
        <v>2114.14</v>
      </c>
      <c r="U84" s="37" t="n">
        <v>829.5700000000001</v>
      </c>
      <c r="V84" s="18" t="n">
        <v>410.31</v>
      </c>
      <c r="W84" s="18" t="n">
        <v>1156.96</v>
      </c>
      <c r="X84" s="18" t="n">
        <v>-278.81</v>
      </c>
      <c r="Y84" s="18" t="n">
        <v>1117.9</v>
      </c>
      <c r="Z84" s="37" t="n">
        <v>2406.36</v>
      </c>
      <c r="AA84" s="18" t="n">
        <v>1124.39</v>
      </c>
      <c r="AB84" s="19" t="n">
        <v>-717.87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차입금의증가</t>
        </is>
      </c>
      <c r="E85" s="18" t="n">
        <v>11944.36</v>
      </c>
      <c r="F85" s="9" t="n"/>
      <c r="G85" s="18" t="n">
        <v>2638.64</v>
      </c>
      <c r="H85" s="18" t="n">
        <v>3250.63</v>
      </c>
      <c r="I85" s="18" t="n">
        <v>1489.5</v>
      </c>
      <c r="J85" s="18" t="n">
        <v>9481.190000000001</v>
      </c>
      <c r="K85" s="37" t="n">
        <v>16859.96</v>
      </c>
      <c r="L85" s="18" t="n">
        <v>3297.7</v>
      </c>
      <c r="M85" s="18" t="n">
        <v>8686.879999999999</v>
      </c>
      <c r="N85" s="18" t="n">
        <v>5731.12</v>
      </c>
      <c r="P85" s="9" t="n"/>
      <c r="Q85" s="18" t="n">
        <v>3215.64</v>
      </c>
      <c r="R85" s="18" t="n">
        <v>3558.57</v>
      </c>
      <c r="T85" s="18" t="n">
        <v>6909</v>
      </c>
      <c r="U85" s="9" t="n"/>
      <c r="V85" s="18" t="n">
        <v>1445.32</v>
      </c>
      <c r="W85" s="18" t="n">
        <v>6653.04</v>
      </c>
      <c r="X85" s="18" t="n">
        <v>5826.85</v>
      </c>
      <c r="Y85" s="18" t="n">
        <v>22486.54</v>
      </c>
      <c r="Z85" s="37" t="n">
        <v>36411.75</v>
      </c>
      <c r="AA85" s="18" t="n">
        <v>5910.82</v>
      </c>
      <c r="AB85" s="19" t="n">
        <v>4978.74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차입금의감소</t>
        </is>
      </c>
      <c r="E86" s="18" t="n">
        <v>11021.37</v>
      </c>
      <c r="F86" s="9" t="n"/>
      <c r="G86" s="18" t="n">
        <v>2191.52</v>
      </c>
      <c r="H86" s="18" t="n">
        <v>5165.6</v>
      </c>
      <c r="I86" s="18" t="n">
        <v>2972.11</v>
      </c>
      <c r="J86" s="18" t="n">
        <v>11568.91</v>
      </c>
      <c r="K86" s="37" t="n">
        <v>21898.14</v>
      </c>
      <c r="L86" s="18" t="n">
        <v>3899.95</v>
      </c>
      <c r="M86" s="18" t="n">
        <v>9655.799999999999</v>
      </c>
      <c r="N86" s="18" t="n">
        <v>5198.21</v>
      </c>
      <c r="P86" s="9" t="n"/>
      <c r="Q86" s="18" t="n">
        <v>6483.61</v>
      </c>
      <c r="R86" s="18" t="n">
        <v>1746.61</v>
      </c>
      <c r="T86" s="18" t="n">
        <v>4812.98</v>
      </c>
      <c r="U86" s="9" t="n"/>
      <c r="V86" s="18" t="n">
        <v>1063.56</v>
      </c>
      <c r="W86" s="18" t="n">
        <v>5456.82</v>
      </c>
      <c r="X86" s="18" t="n">
        <v>6146.13</v>
      </c>
      <c r="Y86" s="18" t="n">
        <v>21331.6</v>
      </c>
      <c r="Z86" s="37" t="n">
        <v>33998.11</v>
      </c>
      <c r="AA86" s="18" t="n">
        <v>4813.58</v>
      </c>
      <c r="AB86" s="19" t="n">
        <v>5652.99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리스부채의상환</t>
        </is>
      </c>
      <c r="E87" s="18" t="n">
        <v>45.54</v>
      </c>
      <c r="F87" s="9" t="n"/>
      <c r="G87" s="18" t="n">
        <v>0</v>
      </c>
      <c r="H87" s="18" t="n">
        <v>73.78</v>
      </c>
      <c r="I87" s="18" t="n">
        <v>0</v>
      </c>
      <c r="J87" s="18" t="n">
        <v>47.92</v>
      </c>
      <c r="K87" s="37" t="n">
        <v>121.7</v>
      </c>
      <c r="L87" s="18" t="n">
        <v>0</v>
      </c>
      <c r="M87" s="18" t="n">
        <v>54.94</v>
      </c>
      <c r="N87" s="18" t="n">
        <v>0</v>
      </c>
      <c r="O87" s="18" t="n">
        <v>54.81</v>
      </c>
      <c r="P87" s="37" t="n">
        <v>109.75</v>
      </c>
      <c r="S87" s="18" t="n">
        <v>0</v>
      </c>
      <c r="T87" s="18" t="n">
        <v>48.61</v>
      </c>
      <c r="U87" s="9" t="n"/>
      <c r="X87" s="18" t="n">
        <v>0</v>
      </c>
      <c r="Y87" s="18" t="n">
        <v>61.13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현금및현금성자산의증감</t>
        </is>
      </c>
      <c r="E88" s="18" t="n">
        <v>-61.29</v>
      </c>
      <c r="F88" s="9" t="n"/>
      <c r="G88" s="18" t="n">
        <v>215.82</v>
      </c>
      <c r="H88" s="18" t="n">
        <v>-67.86</v>
      </c>
      <c r="I88" s="18" t="n">
        <v>403.15</v>
      </c>
      <c r="J88" s="18" t="n">
        <v>511</v>
      </c>
      <c r="K88" s="37" t="n">
        <v>1062.11</v>
      </c>
      <c r="L88" s="18" t="n">
        <v>-1052.55</v>
      </c>
      <c r="M88" s="18" t="n">
        <v>-28.47</v>
      </c>
      <c r="N88" s="18" t="n">
        <v>860.12</v>
      </c>
      <c r="O88" s="18" t="n">
        <v>2443.12</v>
      </c>
      <c r="P88" s="37" t="n">
        <v>2222.22</v>
      </c>
      <c r="Q88" s="18" t="n">
        <v>-3172.18</v>
      </c>
      <c r="R88" s="18" t="n">
        <v>2220.34</v>
      </c>
      <c r="S88" s="18" t="n">
        <v>-960.62</v>
      </c>
      <c r="T88" s="18" t="n">
        <v>1484.63</v>
      </c>
      <c r="U88" s="37" t="n">
        <v>-427.83</v>
      </c>
      <c r="V88" s="18" t="n">
        <v>-1221.77</v>
      </c>
      <c r="W88" s="18" t="n">
        <v>110.97</v>
      </c>
      <c r="X88" s="18" t="n">
        <v>928.9299999999999</v>
      </c>
      <c r="Y88" s="18" t="n">
        <v>-2742.88</v>
      </c>
      <c r="Z88" s="37" t="n">
        <v>-2924.75</v>
      </c>
      <c r="AA88" s="18" t="n">
        <v>1008.01</v>
      </c>
      <c r="AB88" s="19" t="n">
        <v>5601.37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기말현금및현금성자산</t>
        </is>
      </c>
      <c r="E89" s="18" t="n">
        <v>-61.29</v>
      </c>
      <c r="F89" s="9" t="n"/>
      <c r="G89" s="18" t="n">
        <v>329.76</v>
      </c>
      <c r="H89" s="18" t="n">
        <v>-67.86</v>
      </c>
      <c r="I89" s="18" t="n">
        <v>403.15</v>
      </c>
      <c r="J89" s="18" t="n">
        <v>511</v>
      </c>
      <c r="K89" s="37" t="n">
        <v>1176.05</v>
      </c>
      <c r="L89" s="18" t="n">
        <v>123.5</v>
      </c>
      <c r="M89" s="18" t="n">
        <v>-28.47</v>
      </c>
      <c r="N89" s="18" t="n">
        <v>860.12</v>
      </c>
      <c r="O89" s="18" t="n">
        <v>2443.12</v>
      </c>
      <c r="P89" s="37" t="n">
        <v>3398.27</v>
      </c>
      <c r="Q89" s="18" t="n">
        <v>226.09</v>
      </c>
      <c r="R89" s="18" t="n">
        <v>2220.34</v>
      </c>
      <c r="S89" s="18" t="n">
        <v>-960.62</v>
      </c>
      <c r="T89" s="18" t="n">
        <v>1484.63</v>
      </c>
      <c r="U89" s="37" t="n">
        <v>2970.44</v>
      </c>
      <c r="V89" s="18" t="n">
        <v>1748.68</v>
      </c>
      <c r="W89" s="18" t="n">
        <v>110.97</v>
      </c>
      <c r="X89" s="18" t="n">
        <v>928.9299999999999</v>
      </c>
      <c r="Y89" s="18" t="n">
        <v>-2742.89</v>
      </c>
      <c r="Z89" s="37" t="n">
        <v>45.69</v>
      </c>
      <c r="AA89" s="18" t="n">
        <v>1053.7</v>
      </c>
      <c r="AB89" s="19" t="n">
        <v>5601.37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배당금수취(CF)</t>
        </is>
      </c>
      <c r="F90" s="9" t="n"/>
      <c r="G90" s="18" t="n">
        <v>0</v>
      </c>
      <c r="H90" s="18" t="n">
        <v>0</v>
      </c>
      <c r="I90" s="18" t="n">
        <v>0</v>
      </c>
      <c r="J90" s="18" t="n">
        <v>0</v>
      </c>
      <c r="K90" s="37" t="n">
        <v>0</v>
      </c>
      <c r="L90" s="18" t="n">
        <v>0</v>
      </c>
      <c r="P90" s="9" t="n"/>
      <c r="U90" s="9" t="n"/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F91" s="9" t="n"/>
      <c r="G91" s="18" t="n">
        <v>0</v>
      </c>
      <c r="H91" s="18" t="n">
        <v>0</v>
      </c>
      <c r="K91" s="9" t="n"/>
      <c r="P91" s="9" t="n"/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무형자산의감소</t>
        </is>
      </c>
      <c r="F92" s="9" t="n"/>
      <c r="I92" s="18" t="n">
        <v>0</v>
      </c>
      <c r="J92" s="18" t="n">
        <v>0</v>
      </c>
      <c r="K92" s="9" t="n"/>
      <c r="L92" s="18" t="n">
        <v>0</v>
      </c>
      <c r="M92" s="18" t="n">
        <v>0</v>
      </c>
      <c r="N92" s="18" t="n">
        <v>0</v>
      </c>
      <c r="O92" s="18" t="n">
        <v>0</v>
      </c>
      <c r="P92" s="37" t="n">
        <v>0</v>
      </c>
      <c r="U92" s="9" t="n"/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이자수취(CF)</t>
        </is>
      </c>
      <c r="F93" s="9" t="n"/>
      <c r="K93" s="9" t="n"/>
      <c r="O93" s="18" t="n">
        <v>25.21</v>
      </c>
      <c r="P93" s="9" t="n"/>
      <c r="Q93" s="18" t="n">
        <v>2.79</v>
      </c>
      <c r="R93" s="18" t="n">
        <v>15.12</v>
      </c>
      <c r="S93" s="18" t="n">
        <v>2.12</v>
      </c>
      <c r="T93" s="18" t="n">
        <v>17.25</v>
      </c>
      <c r="U93" s="37" t="n">
        <v>37.28</v>
      </c>
      <c r="V93" s="18" t="n">
        <v>0.93</v>
      </c>
      <c r="W93" s="18" t="n">
        <v>7.8</v>
      </c>
      <c r="X93" s="18" t="n">
        <v>213.92</v>
      </c>
      <c r="Y93" s="18" t="n">
        <v>17.64</v>
      </c>
      <c r="Z93" s="37" t="n">
        <v>240.29</v>
      </c>
      <c r="AA93" s="18" t="n">
        <v>3.48</v>
      </c>
      <c r="AB93" s="19" t="n">
        <v>28.61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SUM(L7:O7)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SUM(V7:Y7)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SUM(G9:J9)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IFERROR((AB29*변수!$D$54-AB27*변수!$D$55)/4,"")</f>
        <v/>
      </c>
      <c r="AD12" s="20">
        <f>IFERROR((AC29*변수!$D$54-AC27*변수!$D$55)/4,"")</f>
        <v/>
      </c>
      <c r="AE12" s="38">
        <f>SUM(AA12:AD12)</f>
        <v/>
      </c>
      <c r="AF12" s="20">
        <f>IFERROR((AD29*변수!$D$54-AD27*변수!$D$55)/4,"")</f>
        <v/>
      </c>
      <c r="AG12" s="20">
        <f>IFERROR((AF29*변수!$D$54-AF27*변수!$D$55)/4,"")</f>
        <v/>
      </c>
      <c r="AH12" s="20">
        <f>IFERROR((AG29*변수!$D$54-AG27*변수!$D$55)/4,"")</f>
        <v/>
      </c>
      <c r="AI12" s="20">
        <f>IFERROR((AH29*변수!$D$54-AH27*변수!$D$55)/4,"")</f>
        <v/>
      </c>
      <c r="AJ12" s="38">
        <f>SUM(AF12:AI12)</f>
        <v/>
      </c>
      <c r="AK12" s="20">
        <f>IFERROR((AI29*변수!$D$54-AI27*변수!$D$55)/4,"")</f>
        <v/>
      </c>
      <c r="AL12" s="20">
        <f>IFERROR((AK29*변수!$D$54-AK27*변수!$D$55)/4,"")</f>
        <v/>
      </c>
      <c r="AM12" s="20">
        <f>IFERROR((AL29*변수!$D$54-AL27*변수!$D$55)/4,"")</f>
        <v/>
      </c>
      <c r="AN12" s="20">
        <f>IFERROR((AM29*변수!$D$54-AM27*변수!$D$55)/4,"")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 t="n"/>
      <c r="K13" s="37">
        <f>SUM(G13:J13)</f>
        <v/>
      </c>
      <c r="L13" s="18" t="n"/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 t="n"/>
      <c r="P13" s="37">
        <f>SUM(L13:O13)</f>
        <v/>
      </c>
      <c r="Q13" s="18" t="n"/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 t="n"/>
      <c r="W13" s="18" t="n"/>
      <c r="X13" s="18" t="n"/>
      <c r="Y13" s="18" t="n"/>
      <c r="Z13" s="37">
        <f>SUM(V13:Y13)</f>
        <v/>
      </c>
      <c r="AA13" s="18" t="n"/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 t="n"/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 t="n"/>
      <c r="AB14" s="19" t="n"/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>
        <f>IFERROR(R11-R12-R13-R14,"")</f>
        <v/>
      </c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 t="n"/>
      <c r="F18" s="37" t="n"/>
      <c r="G18" s="18">
        <f>IFERROR(VLOOKUP($D18,BS연결,MATCH(G$1,BS연결H,0),0)/100,"")</f>
        <v/>
      </c>
      <c r="H18" s="18" t="n"/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SUM(G18:J18)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IFERROR(AC17*변수!AC28,"")</f>
        <v/>
      </c>
      <c r="AD18" s="20">
        <f>IFERROR(AD17*변수!AD28,"")</f>
        <v/>
      </c>
      <c r="AE18" s="38">
        <f>SUM(AA18:AD18)</f>
        <v/>
      </c>
      <c r="AF18" s="20">
        <f>IFERROR(AF17*변수!AF28,"")</f>
        <v/>
      </c>
      <c r="AG18" s="20">
        <f>IFERROR(AG17*변수!AG28,"")</f>
        <v/>
      </c>
      <c r="AH18" s="20">
        <f>IFERROR(AH17*변수!AH28,"")</f>
        <v/>
      </c>
      <c r="AI18" s="20">
        <f>IFERROR(AI17*변수!AI28,"")</f>
        <v/>
      </c>
      <c r="AJ18" s="38">
        <f>SUM(AF18:AI18)</f>
        <v/>
      </c>
      <c r="AK18" s="20">
        <f>IFERROR(AK17*변수!AK28,"")</f>
        <v/>
      </c>
      <c r="AL18" s="20">
        <f>IFERROR(AL17*변수!AL28,"")</f>
        <v/>
      </c>
      <c r="AM18" s="20">
        <f>IFERROR(AM17*변수!AM28,"")</f>
        <v/>
      </c>
      <c r="AN18" s="20">
        <f>IFERROR(AN17*변수!AN28,"")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 t="n">
        <v>-11.27</v>
      </c>
      <c r="T20" s="18" t="n">
        <v>-33.51</v>
      </c>
      <c r="U20" s="37">
        <f>SUM(Q20:T20)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감가상각비</t>
        </is>
      </c>
      <c r="B21" t="inlineStr">
        <is>
          <t>손익</t>
        </is>
      </c>
      <c r="C21" t="inlineStr">
        <is>
          <t>억원</t>
        </is>
      </c>
      <c r="D21" t="inlineStr">
        <is>
          <t>감가상각비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 t="n"/>
      <c r="O21" s="18" t="n"/>
      <c r="P21" s="37">
        <f>SUM(L21:O21)</f>
        <v/>
      </c>
      <c r="Q21" s="18" t="n"/>
      <c r="R21" s="18" t="n"/>
      <c r="S21" s="18" t="n"/>
      <c r="T21" s="18" t="n"/>
      <c r="U21" s="37">
        <f>SUM(Q21:T21)</f>
        <v/>
      </c>
      <c r="V21" s="18" t="n"/>
      <c r="W21" s="18" t="n"/>
      <c r="X21" s="18" t="n"/>
      <c r="Y21" s="18" t="n"/>
      <c r="Z21" s="37">
        <f>SUM(V21:Y21)</f>
        <v/>
      </c>
      <c r="AA21" s="18" t="n"/>
      <c r="AB21" s="19" t="n"/>
      <c r="AC21" s="20">
        <f>변수!AC30</f>
        <v/>
      </c>
      <c r="AD21" s="20">
        <f>변수!AD30</f>
        <v/>
      </c>
      <c r="AE21" s="38">
        <f>SUM(AA21:AD21)</f>
        <v/>
      </c>
      <c r="AF21" s="20">
        <f>변수!AF30</f>
        <v/>
      </c>
      <c r="AG21" s="20">
        <f>변수!AG30</f>
        <v/>
      </c>
      <c r="AH21" s="20">
        <f>변수!AH30</f>
        <v/>
      </c>
      <c r="AI21" s="20">
        <f>변수!AI30</f>
        <v/>
      </c>
      <c r="AJ21" s="38">
        <f>SUM(AF21:AI21)</f>
        <v/>
      </c>
      <c r="AK21" s="20">
        <f>변수!AK30</f>
        <v/>
      </c>
      <c r="AL21" s="20">
        <f>변수!AL30</f>
        <v/>
      </c>
      <c r="AM21" s="20">
        <f>변수!AM30</f>
        <v/>
      </c>
      <c r="AN21" s="20">
        <f>변수!AN30</f>
        <v/>
      </c>
      <c r="AO21" s="38">
        <f>SUM(AK21:AN21)</f>
        <v/>
      </c>
    </row>
    <row r="22">
      <c r="A22" s="12" t="inlineStr">
        <is>
          <t>EBITDA</t>
        </is>
      </c>
      <c r="B22" t="inlineStr">
        <is>
          <t>손익</t>
        </is>
      </c>
      <c r="C22" t="inlineStr">
        <is>
          <t>억원</t>
        </is>
      </c>
      <c r="D22" t="inlineStr">
        <is>
          <t>EBITDA</t>
        </is>
      </c>
      <c r="E22" s="18" t="n">
        <v>-49.35</v>
      </c>
      <c r="F22" s="37" t="n"/>
      <c r="G22" s="18" t="n">
        <v>-13.65</v>
      </c>
      <c r="H22" s="18" t="n">
        <v>-13.04</v>
      </c>
      <c r="I22" s="18" t="n">
        <v>-10.67</v>
      </c>
      <c r="J22" s="18" t="n">
        <v>0.73</v>
      </c>
      <c r="K22" s="37">
        <f>SUM(G22:J22)</f>
        <v/>
      </c>
      <c r="L22" s="18" t="n">
        <v>24.19</v>
      </c>
      <c r="M22" s="18" t="n">
        <v>25.46</v>
      </c>
      <c r="N22" s="18" t="n"/>
      <c r="O22" s="18" t="n"/>
      <c r="P22" s="37">
        <f>SUM(L22:O22)</f>
        <v/>
      </c>
      <c r="Q22" s="18" t="n"/>
      <c r="R22" s="18" t="n"/>
      <c r="S22" s="18" t="n"/>
      <c r="T22" s="18" t="n"/>
      <c r="U22" s="37">
        <f>SUM(Q22:T22)</f>
        <v/>
      </c>
      <c r="V22" s="18" t="n"/>
      <c r="W22" s="18" t="n"/>
      <c r="X22" s="18" t="n"/>
      <c r="Y22" s="18" t="n"/>
      <c r="Z22" s="37">
        <f>SUM(V22:Y22)</f>
        <v/>
      </c>
      <c r="AA22" s="18" t="n"/>
      <c r="AB22" s="19" t="n"/>
      <c r="AC22" s="20">
        <f>IFERROR(AC9+AC21,"")</f>
        <v/>
      </c>
      <c r="AD22" s="20">
        <f>IFERROR(AD9+AD21,"")</f>
        <v/>
      </c>
      <c r="AE22" s="38">
        <f>SUM(AA22:AD22)</f>
        <v/>
      </c>
      <c r="AF22" s="20">
        <f>IFERROR(AF9+AF21,"")</f>
        <v/>
      </c>
      <c r="AG22" s="20">
        <f>IFERROR(AG9+AG21,"")</f>
        <v/>
      </c>
      <c r="AH22" s="20">
        <f>IFERROR(AH9+AH21,"")</f>
        <v/>
      </c>
      <c r="AI22" s="20">
        <f>IFERROR(AI9+AI21,"")</f>
        <v/>
      </c>
      <c r="AJ22" s="38">
        <f>SUM(AF22:AI22)</f>
        <v/>
      </c>
      <c r="AK22" s="20">
        <f>IFERROR(AK9+AK21,"")</f>
        <v/>
      </c>
      <c r="AL22" s="20">
        <f>IFERROR(AL9+AL21,"")</f>
        <v/>
      </c>
      <c r="AM22" s="20">
        <f>IFERROR(AM9+AM21,"")</f>
        <v/>
      </c>
      <c r="AN22" s="20">
        <f>IFERROR(AN9+AN21,"")</f>
        <v/>
      </c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IFERROR(AB24*(1+변수!AC31),"")</f>
        <v/>
      </c>
      <c r="AD24" s="20">
        <f>IFERROR(AC24*(1+변수!AD31),"")</f>
        <v/>
      </c>
      <c r="AE24" s="38">
        <f>AD24</f>
        <v/>
      </c>
      <c r="AF24" s="20">
        <f>IFERROR(AD24*(1+변수!AF31),"")</f>
        <v/>
      </c>
      <c r="AG24" s="20">
        <f>IFERROR(AF24*(1+변수!AG31),"")</f>
        <v/>
      </c>
      <c r="AH24" s="20">
        <f>IFERROR(AG24*(1+변수!AH31),"")</f>
        <v/>
      </c>
      <c r="AI24" s="20">
        <f>IFERROR(AH24*(1+변수!AI31),"")</f>
        <v/>
      </c>
      <c r="AJ24" s="38">
        <f>AI24</f>
        <v/>
      </c>
      <c r="AK24" s="20">
        <f>IFERROR(AI24*(1+변수!AK31),"")</f>
        <v/>
      </c>
      <c r="AL24" s="20">
        <f>IFERROR(AK24*(1+변수!AL31),"")</f>
        <v/>
      </c>
      <c r="AM24" s="20">
        <f>IFERROR(AL24*(1+변수!AM31),"")</f>
        <v/>
      </c>
      <c r="AN24" s="20">
        <f>IFERROR(AM24*(1+변수!AN31),"")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IFERROR(AB25+AC19-변수!AC32,"")</f>
        <v/>
      </c>
      <c r="AD25" s="20">
        <f>IFERROR(AC25+AD19-변수!AD32,"")</f>
        <v/>
      </c>
      <c r="AE25" s="38">
        <f>AD25</f>
        <v/>
      </c>
      <c r="AF25" s="20">
        <f>IFERROR(AD25+AF19-변수!AF32,"")</f>
        <v/>
      </c>
      <c r="AG25" s="20">
        <f>IFERROR(AF25+AG19-변수!AG32,"")</f>
        <v/>
      </c>
      <c r="AH25" s="20">
        <f>IFERROR(AG25+AH19-변수!AH32,"")</f>
        <v/>
      </c>
      <c r="AI25" s="20">
        <f>IFERROR(AH25+AI19-변수!AI32,"")</f>
        <v/>
      </c>
      <c r="AJ25" s="38">
        <f>AI25</f>
        <v/>
      </c>
      <c r="AK25" s="20">
        <f>IFERROR(AI25+AK19-변수!AK32,"")</f>
        <v/>
      </c>
      <c r="AL25" s="20">
        <f>IFERROR(AK25+AL19-변수!AL32,"")</f>
        <v/>
      </c>
      <c r="AM25" s="20">
        <f>IFERROR(AL25+AM19-변수!AM32,"")</f>
        <v/>
      </c>
      <c r="AN25" s="20">
        <f>IFERROR(AM25+AN19-변수!AN32,"")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IFERROR(AB26+AC20-변수!AC33,"")</f>
        <v/>
      </c>
      <c r="AD26" s="20">
        <f>IFERROR(AC26+AD20-변수!AD33,"")</f>
        <v/>
      </c>
      <c r="AE26" s="38">
        <f>AD26</f>
        <v/>
      </c>
      <c r="AF26" s="20">
        <f>IFERROR(AD26+AF20-변수!AF33,"")</f>
        <v/>
      </c>
      <c r="AG26" s="20">
        <f>IFERROR(AF26+AG20-변수!AG33,"")</f>
        <v/>
      </c>
      <c r="AH26" s="20">
        <f>IFERROR(AG26+AH20-변수!AH33,"")</f>
        <v/>
      </c>
      <c r="AI26" s="20">
        <f>IFERROR(AH26+AI20-변수!AI33,"")</f>
        <v/>
      </c>
      <c r="AJ26" s="38">
        <f>AI26</f>
        <v/>
      </c>
      <c r="AK26" s="20">
        <f>IFERROR(AI26+AK20-변수!AK33,"")</f>
        <v/>
      </c>
      <c r="AL26" s="20">
        <f>IFERROR(AK26+AL20-변수!AL33,"")</f>
        <v/>
      </c>
      <c r="AM26" s="20">
        <f>IFERROR(AL26+AM20-변수!AM33,"")</f>
        <v/>
      </c>
      <c r="AN26" s="20">
        <f>IFERROR(AM26+AN20-변수!AN33,"")</f>
        <v/>
      </c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  <c r="AF27" s="20">
        <f>IFERROR(AD27*(1+변수!AF34),"")</f>
        <v/>
      </c>
      <c r="AG27" s="20">
        <f>IFERROR(AF27*(1+변수!AG34),"")</f>
        <v/>
      </c>
      <c r="AH27" s="20">
        <f>IFERROR(AG27*(1+변수!AH34),"")</f>
        <v/>
      </c>
      <c r="AI27" s="20">
        <f>IFERROR(AH27*(1+변수!AI34),"")</f>
        <v/>
      </c>
      <c r="AJ27" s="38">
        <f>AI27</f>
        <v/>
      </c>
      <c r="AK27" s="20">
        <f>IFERROR(AI27*(1+변수!AK34),"")</f>
        <v/>
      </c>
      <c r="AL27" s="20">
        <f>IFERROR(AK27*(1+변수!AL34),"")</f>
        <v/>
      </c>
      <c r="AM27" s="20">
        <f>IFERROR(AL27*(1+변수!AM34),"")</f>
        <v/>
      </c>
      <c r="AN27" s="20">
        <f>IFERROR(AM27*(1+변수!AN34),"")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IFERROR(AB28*(1+변수!AC35),"")</f>
        <v/>
      </c>
      <c r="AD28" s="20">
        <f>IFERROR(AC28*(1+변수!AD35),"")</f>
        <v/>
      </c>
      <c r="AE28" s="38">
        <f>AD28</f>
        <v/>
      </c>
      <c r="AF28" s="20">
        <f>IFERROR(AD28*(1+변수!AF35),"")</f>
        <v/>
      </c>
      <c r="AG28" s="20">
        <f>IFERROR(AF28*(1+변수!AG35),"")</f>
        <v/>
      </c>
      <c r="AH28" s="20">
        <f>IFERROR(AG28*(1+변수!AH35),"")</f>
        <v/>
      </c>
      <c r="AI28" s="20">
        <f>IFERROR(AH28*(1+변수!AI35),"")</f>
        <v/>
      </c>
      <c r="AJ28" s="38">
        <f>AI28</f>
        <v/>
      </c>
      <c r="AK28" s="20">
        <f>IFERROR(AI28*(1+변수!AK35),"")</f>
        <v/>
      </c>
      <c r="AL28" s="20">
        <f>IFERROR(AK28*(1+변수!AL35),"")</f>
        <v/>
      </c>
      <c r="AM28" s="20">
        <f>IFERROR(AL28*(1+변수!AM35),"")</f>
        <v/>
      </c>
      <c r="AN28" s="20">
        <f>IFERROR(AM28*(1+변수!AN35),"")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IFERROR(AB29*(1+변수!AC36),"")</f>
        <v/>
      </c>
      <c r="AD29" s="20">
        <f>IFERROR(AC29*(1+변수!AD36),"")</f>
        <v/>
      </c>
      <c r="AE29" s="38">
        <f>AD29</f>
        <v/>
      </c>
      <c r="AF29" s="20">
        <f>IFERROR(AD29*(1+변수!AF36),"")</f>
        <v/>
      </c>
      <c r="AG29" s="20">
        <f>IFERROR(AF29*(1+변수!AG36),"")</f>
        <v/>
      </c>
      <c r="AH29" s="20">
        <f>IFERROR(AG29*(1+변수!AH36),"")</f>
        <v/>
      </c>
      <c r="AI29" s="20">
        <f>IFERROR(AH29*(1+변수!AI36),"")</f>
        <v/>
      </c>
      <c r="AJ29" s="38">
        <f>AI29</f>
        <v/>
      </c>
      <c r="AK29" s="20">
        <f>IFERROR(AI29*(1+변수!AK36),"")</f>
        <v/>
      </c>
      <c r="AL29" s="20">
        <f>IFERROR(AK29*(1+변수!AL36),"")</f>
        <v/>
      </c>
      <c r="AM29" s="20">
        <f>IFERROR(AL29*(1+변수!AM36),"")</f>
        <v/>
      </c>
      <c r="AN29" s="20">
        <f>IFERROR(AM29*(1+변수!AN36),"")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IFERROR(X31*(1+변수!AC38),"")</f>
        <v/>
      </c>
      <c r="AD31" s="20">
        <f>IFERROR(Y31*(1+변수!AD38),"")</f>
        <v/>
      </c>
      <c r="AE31" s="38">
        <f>SUM(AA31:AD31)</f>
        <v/>
      </c>
      <c r="AF31" s="20">
        <f>IFERROR(AA31*(1+변수!AF38),"")</f>
        <v/>
      </c>
      <c r="AG31" s="20">
        <f>IFERROR(AB31*(1+변수!AG38),"")</f>
        <v/>
      </c>
      <c r="AH31" s="20">
        <f>IFERROR(AC31*(1+변수!AH38),"")</f>
        <v/>
      </c>
      <c r="AI31" s="20">
        <f>IFERROR(AD31*(1+변수!AI38),"")</f>
        <v/>
      </c>
      <c r="AJ31" s="38">
        <f>SUM(AF31:AI31)</f>
        <v/>
      </c>
      <c r="AK31" s="20">
        <f>IFERROR(AF31*(1+변수!AK38),"")</f>
        <v/>
      </c>
      <c r="AL31" s="20">
        <f>IFERROR(AG31*(1+변수!AL38),"")</f>
        <v/>
      </c>
      <c r="AM31" s="20">
        <f>IFERROR(AH31*(1+변수!AM38),"")</f>
        <v/>
      </c>
      <c r="AN31" s="20">
        <f>IFERROR(AI31*(1+변수!AN38),"")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33" t="n">
        <v>31.8310558</v>
      </c>
      <c r="F33" s="28">
        <f>E33</f>
        <v/>
      </c>
      <c r="G33" s="33" t="n">
        <v>31.8310558</v>
      </c>
      <c r="H33" s="33" t="n">
        <v>31.8310558</v>
      </c>
      <c r="I33" s="33" t="n">
        <v>31.8310558</v>
      </c>
      <c r="J33" s="33" t="n">
        <v>31.8310558</v>
      </c>
      <c r="K33" s="28">
        <f>J33</f>
        <v/>
      </c>
      <c r="L33" s="33" t="n">
        <v>31.8310558</v>
      </c>
      <c r="M33" s="33" t="n">
        <v>31.8310558</v>
      </c>
      <c r="N33" s="33" t="n">
        <v>31.8310558</v>
      </c>
      <c r="O33" s="33" t="n">
        <v>31.8310558</v>
      </c>
      <c r="P33" s="28">
        <f>O33</f>
        <v/>
      </c>
      <c r="Q33" s="33" t="n">
        <v>31.8310558</v>
      </c>
      <c r="R33" s="33" t="n">
        <v>31.8310558</v>
      </c>
      <c r="S33" s="33" t="n">
        <v>31.8310558</v>
      </c>
      <c r="T33" s="33" t="n">
        <v>31.8310558</v>
      </c>
      <c r="U33" s="28">
        <f>T33</f>
        <v/>
      </c>
      <c r="V33" s="33" t="n">
        <v>31.8310558</v>
      </c>
      <c r="W33" s="33" t="n">
        <v>35.113107</v>
      </c>
      <c r="X33" s="33" t="n">
        <v>35.9336162</v>
      </c>
      <c r="Y33" s="27" t="n">
        <v>35.93</v>
      </c>
      <c r="Z33" s="28">
        <f>Y33</f>
        <v/>
      </c>
      <c r="AA33" s="27" t="n">
        <v>35.93</v>
      </c>
      <c r="AB33" s="29" t="n">
        <v>35.93</v>
      </c>
      <c r="AC33" s="33">
        <f>IFERROR(AB33*(1+변수!AC40),"")</f>
        <v/>
      </c>
      <c r="AD33" s="33">
        <f>IFERROR(AC33*(1+변수!AD40),"")</f>
        <v/>
      </c>
      <c r="AE33" s="31">
        <f>AD33</f>
        <v/>
      </c>
      <c r="AF33" s="33">
        <f>IFERROR(AD33*(1+변수!AF40),"")</f>
        <v/>
      </c>
      <c r="AG33" s="33">
        <f>IFERROR(AF33*(1+변수!AG40),"")</f>
        <v/>
      </c>
      <c r="AH33" s="33">
        <f>IFERROR(AG33*(1+변수!AH40),"")</f>
        <v/>
      </c>
      <c r="AI33" s="33">
        <f>IFERROR(AH33*(1+변수!AI40),"")</f>
        <v/>
      </c>
      <c r="AJ33" s="31">
        <f>AI33</f>
        <v/>
      </c>
      <c r="AK33" s="33">
        <f>IFERROR(AI33*(1+변수!AK40),"")</f>
        <v/>
      </c>
      <c r="AL33" s="33">
        <f>IFERROR(AK33*(1+변수!AL40),"")</f>
        <v/>
      </c>
      <c r="AM33" s="33">
        <f>IFERROR(AL33*(1+변수!AM40),"")</f>
        <v/>
      </c>
      <c r="AN33" s="33">
        <f>IFERROR(AM33*(1+변수!AN40),"")</f>
        <v/>
      </c>
      <c r="AO33" s="31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IFERROR(E20*100/E33,"")</f>
        <v/>
      </c>
      <c r="F34" s="37" t="n"/>
      <c r="G34" s="18">
        <f>IFERROR(G20*100/G33,"")</f>
        <v/>
      </c>
      <c r="H34" s="18">
        <f>IFERROR(H20*100/H33,"")</f>
        <v/>
      </c>
      <c r="I34" s="18">
        <f>IFERROR(I20*100/I33,"")</f>
        <v/>
      </c>
      <c r="J34" s="18">
        <f>IFERROR(J20*100/J33,"")</f>
        <v/>
      </c>
      <c r="K34" s="37">
        <f>SUM(G34:J34)</f>
        <v/>
      </c>
      <c r="L34" s="18">
        <f>IFERROR(L20*100/L33,"")</f>
        <v/>
      </c>
      <c r="M34" s="18">
        <f>IFERROR(M20*100/M33,"")</f>
        <v/>
      </c>
      <c r="N34" s="18">
        <f>IFERROR(N20*100/N33,"")</f>
        <v/>
      </c>
      <c r="O34" s="18">
        <f>IFERROR(O20*100/O33,"")</f>
        <v/>
      </c>
      <c r="P34" s="37">
        <f>SUM(L34:O34)</f>
        <v/>
      </c>
      <c r="Q34" s="18">
        <f>IFERROR(Q20*100/Q33,"")</f>
        <v/>
      </c>
      <c r="R34" s="18">
        <f>IFERROR(R20*100/R33,"")</f>
        <v/>
      </c>
      <c r="S34" s="18">
        <f>IFERROR(S20*100/S33,"")</f>
        <v/>
      </c>
      <c r="T34" s="18">
        <f>IFERROR(T20*100/T33,"")</f>
        <v/>
      </c>
      <c r="U34" s="37">
        <f>SUM(Q34:T34)</f>
        <v/>
      </c>
      <c r="V34" s="18">
        <f>IFERROR(V20*100/V33,"")</f>
        <v/>
      </c>
      <c r="W34" s="18">
        <f>IFERROR(W20*100/W33,"")</f>
        <v/>
      </c>
      <c r="X34" s="18">
        <f>IFERROR(X20*100/X33,"")</f>
        <v/>
      </c>
      <c r="Y34" s="18">
        <f>IFERROR(Y20*100/Y33,"")</f>
        <v/>
      </c>
      <c r="Z34" s="37">
        <f>SUM(V34:Y34)</f>
        <v/>
      </c>
      <c r="AA34" s="18">
        <f>IFERROR(AA20*100/AA33,"")</f>
        <v/>
      </c>
      <c r="AB34" s="19">
        <f>IFERROR(AB20*100/AB33,"")</f>
        <v/>
      </c>
      <c r="AC34" s="20">
        <f>IFERROR(AC20*100/AC33,"")</f>
        <v/>
      </c>
      <c r="AD34" s="20">
        <f>IFERROR(AD20*100/AD33,"")</f>
        <v/>
      </c>
      <c r="AE34" s="38">
        <f>SUM(AA34:AD34)</f>
        <v/>
      </c>
      <c r="AF34" s="20">
        <f>IFERROR(AF20*100/AF33,"")</f>
        <v/>
      </c>
      <c r="AG34" s="20">
        <f>IFERROR(AG20*100/AG33,"")</f>
        <v/>
      </c>
      <c r="AH34" s="20">
        <f>IFERROR(AH20*100/AH33,"")</f>
        <v/>
      </c>
      <c r="AI34" s="20">
        <f>IFERROR(AI20*100/AI33,"")</f>
        <v/>
      </c>
      <c r="AJ34" s="38">
        <f>SUM(AF34:AI34)</f>
        <v/>
      </c>
      <c r="AK34" s="20">
        <f>IFERROR(AK20*100/AK33,"")</f>
        <v/>
      </c>
      <c r="AL34" s="20">
        <f>IFERROR(AL20*100/AL33,"")</f>
        <v/>
      </c>
      <c r="AM34" s="20">
        <f>IFERROR(AM20*100/AM33,"")</f>
        <v/>
      </c>
      <c r="AN34" s="20">
        <f>IFERROR(AN20*100/AN33,"")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IFERROR(E26*100/E33,"")</f>
        <v/>
      </c>
      <c r="F35" s="37">
        <f>E35</f>
        <v/>
      </c>
      <c r="G35" s="18">
        <f>IFERROR(G26*100/G33,"")</f>
        <v/>
      </c>
      <c r="H35" s="18">
        <f>IFERROR(H26*100/H33,"")</f>
        <v/>
      </c>
      <c r="I35" s="18">
        <f>IFERROR(I26*100/I33,"")</f>
        <v/>
      </c>
      <c r="J35" s="18">
        <f>IFERROR(J26*100/J33,"")</f>
        <v/>
      </c>
      <c r="K35" s="37">
        <f>J35</f>
        <v/>
      </c>
      <c r="L35" s="18">
        <f>IFERROR(L26*100/L33,"")</f>
        <v/>
      </c>
      <c r="M35" s="18">
        <f>IFERROR(M26*100/M33,"")</f>
        <v/>
      </c>
      <c r="N35" s="18">
        <f>IFERROR(N26*100/N33,"")</f>
        <v/>
      </c>
      <c r="O35" s="18">
        <f>IFERROR(O26*100/O33,"")</f>
        <v/>
      </c>
      <c r="P35" s="37">
        <f>O35</f>
        <v/>
      </c>
      <c r="Q35" s="18">
        <f>IFERROR(Q26*100/Q33,"")</f>
        <v/>
      </c>
      <c r="R35" s="18">
        <f>IFERROR(R26*100/R33,"")</f>
        <v/>
      </c>
      <c r="S35" s="18">
        <f>IFERROR(S26*100/S33,"")</f>
        <v/>
      </c>
      <c r="T35" s="18">
        <f>IFERROR(T26*100/T33,"")</f>
        <v/>
      </c>
      <c r="U35" s="37">
        <f>T35</f>
        <v/>
      </c>
      <c r="V35" s="18">
        <f>IFERROR(V26*100/V33,"")</f>
        <v/>
      </c>
      <c r="W35" s="18">
        <f>IFERROR(W26*100/W33,"")</f>
        <v/>
      </c>
      <c r="X35" s="18">
        <f>IFERROR(X26*100/X33,"")</f>
        <v/>
      </c>
      <c r="Y35" s="18">
        <f>IFERROR(Y26*100/Y33,"")</f>
        <v/>
      </c>
      <c r="Z35" s="37">
        <f>Y35</f>
        <v/>
      </c>
      <c r="AA35" s="18">
        <f>IFERROR(AA26*100/AA33,"")</f>
        <v/>
      </c>
      <c r="AB35" s="19">
        <f>IFERROR(AB26*100/AB33,"")</f>
        <v/>
      </c>
      <c r="AC35" s="20">
        <f>IFERROR(AC26*100/AC33,"")</f>
        <v/>
      </c>
      <c r="AD35" s="20">
        <f>IFERROR(AD26*100/AD33,"")</f>
        <v/>
      </c>
      <c r="AE35" s="38">
        <f>AD35</f>
        <v/>
      </c>
      <c r="AF35" s="20">
        <f>IFERROR(AF26*100/AF33,"")</f>
        <v/>
      </c>
      <c r="AG35" s="20">
        <f>IFERROR(AG26*100/AG33,"")</f>
        <v/>
      </c>
      <c r="AH35" s="20">
        <f>IFERROR(AH26*100/AH33,"")</f>
        <v/>
      </c>
      <c r="AI35" s="20">
        <f>IFERROR(AI26*100/AI33,"")</f>
        <v/>
      </c>
      <c r="AJ35" s="38">
        <f>AI35</f>
        <v/>
      </c>
      <c r="AK35" s="20">
        <f>IFERROR(AK26*100/AK33,"")</f>
        <v/>
      </c>
      <c r="AL35" s="20">
        <f>IFERROR(AL26*100/AL33,"")</f>
        <v/>
      </c>
      <c r="AM35" s="20">
        <f>IFERROR(AM26*100/AM33,"")</f>
        <v/>
      </c>
      <c r="AN35" s="20">
        <f>IFERROR(AN26*100/AN33,"")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0</v>
      </c>
      <c r="K36" s="37">
        <f>SUM(G36:J36)</f>
        <v/>
      </c>
      <c r="L36" s="18" t="n"/>
      <c r="M36" s="18" t="n"/>
      <c r="N36" s="18" t="n"/>
      <c r="O36" s="18" t="n">
        <v>0</v>
      </c>
      <c r="P36" s="37">
        <f>SUM(L36:O36)</f>
        <v/>
      </c>
      <c r="Q36" s="18" t="n"/>
      <c r="R36" s="18" t="n"/>
      <c r="S36" s="18" t="n"/>
      <c r="T36" s="18" t="n">
        <v>0</v>
      </c>
      <c r="U36" s="37">
        <f>SUM(Q36:T36)</f>
        <v/>
      </c>
      <c r="V36" s="18" t="n"/>
      <c r="W36" s="18" t="n"/>
      <c r="X36" s="18" t="n"/>
      <c r="Y36" s="18" t="n">
        <v>0</v>
      </c>
      <c r="Z36" s="37">
        <f>SUM(V36:Y36)</f>
        <v/>
      </c>
      <c r="AA36" s="18" t="n"/>
      <c r="AB36" s="19" t="n"/>
      <c r="AC36" s="20" t="n"/>
      <c r="AD36" s="20">
        <f>변수!AD41</f>
        <v/>
      </c>
      <c r="AE36" s="38">
        <f>SUM(AA36:AD36)</f>
        <v/>
      </c>
      <c r="AF36" s="20" t="n"/>
      <c r="AG36" s="20" t="n"/>
      <c r="AH36" s="20" t="n"/>
      <c r="AI36" s="20">
        <f>변수!AI41</f>
        <v/>
      </c>
      <c r="AJ36" s="38">
        <f>SUM(AF36:AI36)</f>
        <v/>
      </c>
      <c r="AK36" s="20" t="n"/>
      <c r="AL36" s="20" t="n"/>
      <c r="AM36" s="20" t="n"/>
      <c r="AN36" s="20">
        <f>변수!AN41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 t="n"/>
      <c r="J37" s="13" t="n"/>
      <c r="K37" s="14">
        <f>J37</f>
        <v/>
      </c>
      <c r="L37" s="13" t="n"/>
      <c r="M37" s="13" t="n"/>
      <c r="N37" s="13">
        <f>IFERROR(변수!N18/(J34+L34+M34+N34),"")</f>
        <v/>
      </c>
      <c r="O37" s="13">
        <f>IFERROR(변수!O18/(L34+M34+N34+O34),"")</f>
        <v/>
      </c>
      <c r="P37" s="14">
        <f>O37</f>
        <v/>
      </c>
      <c r="Q37" s="13">
        <f>IFERROR(변수!Q18/(M34+N34+O34+Q34),"")</f>
        <v/>
      </c>
      <c r="R37" s="13">
        <f>IFERROR(변수!R18/(N34+O34+Q34+R34),"")</f>
        <v/>
      </c>
      <c r="S37" s="13">
        <f>IFERROR(변수!S18/(O34+Q34+R34+S34),"")</f>
        <v/>
      </c>
      <c r="T37" s="13" t="n"/>
      <c r="U37" s="14">
        <f>T37</f>
        <v/>
      </c>
      <c r="V37" s="13" t="n"/>
      <c r="W37" s="13" t="n"/>
      <c r="X37" s="13" t="n"/>
      <c r="Y37" s="13" t="n"/>
      <c r="Z37" s="14">
        <f>Y37</f>
        <v/>
      </c>
      <c r="AA37" s="13" t="n"/>
      <c r="AB37" s="15">
        <f>IFERROR(변수!AB18/(X34+Y34+AA34+AB34),"")</f>
        <v/>
      </c>
      <c r="AC37" s="39" t="n"/>
      <c r="AD37" s="39" t="n"/>
      <c r="AE37" s="40">
        <f>AD37</f>
        <v/>
      </c>
      <c r="AF37" s="39" t="n"/>
      <c r="AG37" s="39" t="n"/>
      <c r="AH37" s="39" t="n"/>
      <c r="AI37" s="39" t="n"/>
      <c r="AJ37" s="40">
        <f>AI37</f>
        <v/>
      </c>
      <c r="AK37" s="39" t="n"/>
      <c r="AL37" s="39" t="n"/>
      <c r="AM37" s="39" t="n"/>
      <c r="AN37" s="39" t="n"/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>
        <f>IFERROR(변수!S18/S35,"")</f>
        <v/>
      </c>
      <c r="T38" s="13">
        <f>IFERROR(변수!T18/T35,"")</f>
        <v/>
      </c>
      <c r="U38" s="14">
        <f>T38</f>
        <v/>
      </c>
      <c r="V38" s="13">
        <f>IFERROR(변수!V18/V35,"")</f>
        <v/>
      </c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IFERROR(변수!$D$44/AC35,"")</f>
        <v/>
      </c>
      <c r="AD38" s="39">
        <f>IFERROR(변수!$D$44/AD35,"")</f>
        <v/>
      </c>
      <c r="AE38" s="40">
        <f>AD38</f>
        <v/>
      </c>
      <c r="AF38" s="39">
        <f>IFERROR(변수!$D$44/AF35,"")</f>
        <v/>
      </c>
      <c r="AG38" s="39">
        <f>IFERROR(변수!$D$44/AG35,"")</f>
        <v/>
      </c>
      <c r="AH38" s="39">
        <f>IFERROR(변수!$D$44/AH35,"")</f>
        <v/>
      </c>
      <c r="AI38" s="39">
        <f>IFERROR(변수!$D$44/AI35,"")</f>
        <v/>
      </c>
      <c r="AJ38" s="40">
        <f>AI38</f>
        <v/>
      </c>
      <c r="AK38" s="39">
        <f>IFERROR(변수!$D$44/AK35,"")</f>
        <v/>
      </c>
      <c r="AL38" s="39">
        <f>IFERROR(변수!$D$44/AL35,"")</f>
        <v/>
      </c>
      <c r="AM38" s="39">
        <f>IFERROR(변수!$D$44/AM35,"")</f>
        <v/>
      </c>
      <c r="AN38" s="39">
        <f>IFERROR(변수!$D$44/AN35,"")</f>
        <v/>
      </c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145.35</v>
      </c>
      <c r="F39" s="37" t="n"/>
      <c r="G39" s="18" t="n">
        <v>125</v>
      </c>
      <c r="H39" s="18" t="n">
        <v>117.31</v>
      </c>
      <c r="I39" s="18" t="n">
        <v>127.98</v>
      </c>
      <c r="J39" s="18" t="n">
        <v>157.27</v>
      </c>
      <c r="K39" s="37">
        <f>SUM(G39:J39)</f>
        <v/>
      </c>
      <c r="L39" s="18" t="n">
        <v>197.66</v>
      </c>
      <c r="M39" s="18" t="n">
        <v>170.99</v>
      </c>
      <c r="N39" s="18" t="n">
        <v>173.03</v>
      </c>
      <c r="O39" s="18" t="n">
        <v>175.47</v>
      </c>
      <c r="P39" s="37">
        <f>SUM(L39:O39)</f>
        <v/>
      </c>
      <c r="Q39" s="18" t="n">
        <v>167.4</v>
      </c>
      <c r="R39" s="18" t="n">
        <v>140.64</v>
      </c>
      <c r="S39" s="18" t="n">
        <v>129.24</v>
      </c>
      <c r="T39" s="18" t="n">
        <v>176.7</v>
      </c>
      <c r="U39" s="37">
        <f>SUM(Q39:T39)</f>
        <v/>
      </c>
      <c r="V39" s="18" t="n">
        <v>103.29</v>
      </c>
      <c r="W39" s="18" t="n">
        <v>146.2</v>
      </c>
      <c r="X39" s="18" t="n">
        <v>171.56</v>
      </c>
      <c r="Y39" s="18" t="n">
        <v>177.73</v>
      </c>
      <c r="Z39" s="37">
        <f>SUM(V39:Y39)</f>
        <v/>
      </c>
      <c r="AA39" s="18" t="n">
        <v>212.48</v>
      </c>
      <c r="AB39" s="19" t="n">
        <v>188.86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-53.87</v>
      </c>
      <c r="F40" s="37" t="n"/>
      <c r="G40" s="18" t="n">
        <v>-16.34</v>
      </c>
      <c r="H40" s="18" t="n">
        <v>-16.04</v>
      </c>
      <c r="I40" s="18" t="n">
        <v>-13.04</v>
      </c>
      <c r="J40" s="18" t="n">
        <v>-2.01</v>
      </c>
      <c r="K40" s="37">
        <f>SUM(G40:J40)</f>
        <v/>
      </c>
      <c r="L40" s="18" t="n">
        <v>21.84</v>
      </c>
      <c r="M40" s="18" t="n">
        <v>22.68</v>
      </c>
      <c r="N40" s="18" t="n">
        <v>7.41</v>
      </c>
      <c r="O40" s="18" t="n">
        <v>4.03</v>
      </c>
      <c r="P40" s="37">
        <f>SUM(L40:O40)</f>
        <v/>
      </c>
      <c r="Q40" s="18" t="n">
        <v>9.58</v>
      </c>
      <c r="R40" s="18" t="n">
        <v>-1.53</v>
      </c>
      <c r="S40" s="18" t="n">
        <v>-5.83</v>
      </c>
      <c r="T40" s="18" t="n">
        <v>2.15</v>
      </c>
      <c r="U40" s="37">
        <f>SUM(Q40:T40)</f>
        <v/>
      </c>
      <c r="V40" s="18" t="n">
        <v>-11.67</v>
      </c>
      <c r="W40" s="18" t="n">
        <v>-3.2</v>
      </c>
      <c r="X40" s="18" t="n">
        <v>11.72</v>
      </c>
      <c r="Y40" s="18" t="n">
        <v>1.71</v>
      </c>
      <c r="Z40" s="37">
        <f>SUM(V40:Y40)</f>
        <v/>
      </c>
      <c r="AA40" s="18" t="n">
        <v>14.82</v>
      </c>
      <c r="AB40" s="19" t="n">
        <v>-1.36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IFERROR(E20/E5,"")</f>
        <v/>
      </c>
      <c r="F42" s="22">
        <f>IFERROR(F20/F5,"")</f>
        <v/>
      </c>
      <c r="G42" s="21">
        <f>IFERROR(G20/G5,"")</f>
        <v/>
      </c>
      <c r="H42" s="21">
        <f>IFERROR(H20/H5,"")</f>
        <v/>
      </c>
      <c r="I42" s="21">
        <f>IFERROR(I20/I5,"")</f>
        <v/>
      </c>
      <c r="J42" s="21">
        <f>IFERROR(J20/J5,"")</f>
        <v/>
      </c>
      <c r="K42" s="22">
        <f>IFERROR(K20/K5,"")</f>
        <v/>
      </c>
      <c r="L42" s="21">
        <f>IFERROR(L20/L5,"")</f>
        <v/>
      </c>
      <c r="M42" s="21">
        <f>IFERROR(M20/M5,"")</f>
        <v/>
      </c>
      <c r="N42" s="21">
        <f>IFERROR(N20/N5,"")</f>
        <v/>
      </c>
      <c r="O42" s="21">
        <f>IFERROR(O20/O5,"")</f>
        <v/>
      </c>
      <c r="P42" s="22">
        <f>IFERROR(P20/P5,"")</f>
        <v/>
      </c>
      <c r="Q42" s="21">
        <f>IFERROR(Q20/Q5,"")</f>
        <v/>
      </c>
      <c r="R42" s="21">
        <f>IFERROR(R20/R5,"")</f>
        <v/>
      </c>
      <c r="S42" s="21">
        <f>IFERROR(S20/S5,"")</f>
        <v/>
      </c>
      <c r="T42" s="21">
        <f>IFERROR(T20/T5,"")</f>
        <v/>
      </c>
      <c r="U42" s="22">
        <f>IFERROR(U20/U5,"")</f>
        <v/>
      </c>
      <c r="V42" s="21">
        <f>IFERROR(V20/V5,"")</f>
        <v/>
      </c>
      <c r="W42" s="21">
        <f>IFERROR(W20/W5,"")</f>
        <v/>
      </c>
      <c r="X42" s="21">
        <f>IFERROR(X20/X5,"")</f>
        <v/>
      </c>
      <c r="Y42" s="21">
        <f>IFERROR(Y20/Y5,"")</f>
        <v/>
      </c>
      <c r="Z42" s="22">
        <f>IFERROR(Z20/Z5,"")</f>
        <v/>
      </c>
      <c r="AA42" s="21">
        <f>IFERROR(AA20/AA5,"")</f>
        <v/>
      </c>
      <c r="AB42" s="23">
        <f>IFERROR(AB20/AB5,"")</f>
        <v/>
      </c>
      <c r="AC42" s="32">
        <f>IFERROR(AC20/AC5,"")</f>
        <v/>
      </c>
      <c r="AD42" s="32">
        <f>IFERROR(AD20/AD5,"")</f>
        <v/>
      </c>
      <c r="AE42" s="25">
        <f>IFERROR(AE20/AE5,"")</f>
        <v/>
      </c>
      <c r="AF42" s="32">
        <f>IFERROR(AF20/AF5,"")</f>
        <v/>
      </c>
      <c r="AG42" s="32">
        <f>IFERROR(AG20/AG5,"")</f>
        <v/>
      </c>
      <c r="AH42" s="32">
        <f>IFERROR(AH20/AH5,"")</f>
        <v/>
      </c>
      <c r="AI42" s="32">
        <f>IFERROR(AI20/AI5,"")</f>
        <v/>
      </c>
      <c r="AJ42" s="25">
        <f>IFERROR(AJ20/AJ5,"")</f>
        <v/>
      </c>
      <c r="AK42" s="32">
        <f>IFERROR(AK20/AK5,"")</f>
        <v/>
      </c>
      <c r="AL42" s="32">
        <f>IFERROR(AL20/AL5,"")</f>
        <v/>
      </c>
      <c r="AM42" s="32">
        <f>IFERROR(AM20/AM5,"")</f>
        <v/>
      </c>
      <c r="AN42" s="32">
        <f>IFERROR(AN20/AN5,"")</f>
        <v/>
      </c>
      <c r="AO42" s="25">
        <f>IFERROR(AO20/AO5,"")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2">
        <f>IFERROR(AC6/AC5,"")</f>
        <v/>
      </c>
      <c r="AD43" s="32">
        <f>IFERROR(AD6/AD5,"")</f>
        <v/>
      </c>
      <c r="AE43" s="25">
        <f>IFERROR(AE6/AE5,"")</f>
        <v/>
      </c>
      <c r="AF43" s="32">
        <f>IFERROR(AF6/AF5,"")</f>
        <v/>
      </c>
      <c r="AG43" s="32">
        <f>IFERROR(AG6/AG5,"")</f>
        <v/>
      </c>
      <c r="AH43" s="32">
        <f>IFERROR(AH6/AH5,"")</f>
        <v/>
      </c>
      <c r="AI43" s="32">
        <f>IFERROR(AI6/AI5,"")</f>
        <v/>
      </c>
      <c r="AJ43" s="25">
        <f>IFERROR(AJ6/AJ5,"")</f>
        <v/>
      </c>
      <c r="AK43" s="32">
        <f>IFERROR(AK6/AK5,"")</f>
        <v/>
      </c>
      <c r="AL43" s="32">
        <f>IFERROR(AL6/AL5,"")</f>
        <v/>
      </c>
      <c r="AM43" s="32">
        <f>IFERROR(AM6/AM5,"")</f>
        <v/>
      </c>
      <c r="AN43" s="32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2">
        <f>IFERROR(AC8/AC5,"")</f>
        <v/>
      </c>
      <c r="AD44" s="32">
        <f>IFERROR(AD8/AD5,"")</f>
        <v/>
      </c>
      <c r="AE44" s="25">
        <f>IFERROR(AE8/AE5,"")</f>
        <v/>
      </c>
      <c r="AF44" s="32">
        <f>IFERROR(AF8/AF5,"")</f>
        <v/>
      </c>
      <c r="AG44" s="32">
        <f>IFERROR(AG8/AG5,"")</f>
        <v/>
      </c>
      <c r="AH44" s="32">
        <f>IFERROR(AH8/AH5,"")</f>
        <v/>
      </c>
      <c r="AI44" s="32">
        <f>IFERROR(AI8/AI5,"")</f>
        <v/>
      </c>
      <c r="AJ44" s="25">
        <f>IFERROR(AJ8/AJ5,"")</f>
        <v/>
      </c>
      <c r="AK44" s="32">
        <f>IFERROR(AK8/AK5,"")</f>
        <v/>
      </c>
      <c r="AL44" s="32">
        <f>IFERROR(AL8/AL5,"")</f>
        <v/>
      </c>
      <c r="AM44" s="32">
        <f>IFERROR(AM8/AM5,"")</f>
        <v/>
      </c>
      <c r="AN44" s="32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감가상각비</t>
        </is>
      </c>
      <c r="D21" t="inlineStr">
        <is>
          <t>감가상각비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EBITDA</t>
        </is>
      </c>
      <c r="D22" t="inlineStr">
        <is>
          <t>EBITDA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27">
        <f>IFERROR(VLOOKUP($A33,subQ,MATCH(O$1,SUBQH,0),0),"")</f>
        <v/>
      </c>
      <c r="P33" s="27">
        <f>IFERROR(VLOOKUP($A33,subQ,MATCH(P$1,SUBQH,0),0),"")</f>
        <v/>
      </c>
      <c r="Q33" s="27">
        <f>IFERROR(VLOOKUP($A33,subQ,MATCH(Q$1,SUBQH,0),0),"")</f>
        <v/>
      </c>
      <c r="R33" s="27">
        <f>IFERROR(VLOOKUP($A33,subQ,MATCH(R$1,SUBQH,0),0),"")</f>
        <v/>
      </c>
      <c r="S33" s="27">
        <f>IFERROR(VLOOKUP($A33,subQ,MATCH(S$1,SUBQH,0),0),"")</f>
        <v/>
      </c>
      <c r="T33" s="27">
        <f>IFERROR(VLOOKUP($A33,subQ,MATCH(T$1,SUBQH,0),0),"")</f>
        <v/>
      </c>
      <c r="U33" s="27">
        <f>IFERROR(VLOOKUP($A33,subQ,MATCH(U$1,SUBQH,0),0),"")</f>
        <v/>
      </c>
      <c r="V33" s="27">
        <f>IFERROR(VLOOKUP($A33,subQ,MATCH(V$1,SUBQH,0),0),"")</f>
        <v/>
      </c>
      <c r="W33" s="47">
        <f>IFERROR(VLOOKUP($A33,subQ,MATCH(W$1,SUBQH,0),0),"")</f>
        <v/>
      </c>
      <c r="X33" s="33">
        <f>IFERROR(VLOOKUP($A33,subQ,MATCH(X$1,SUBQH,0),0),"")</f>
        <v/>
      </c>
      <c r="Y33" s="33">
        <f>IFERROR(VLOOKUP($A33,subQ,MATCH(Y$1,SUBQH,0),0),"")</f>
        <v/>
      </c>
      <c r="Z33" s="33">
        <f>IFERROR(VLOOKUP($A33,subQ,MATCH(Z$1,SUBQH,0),0),"")</f>
        <v/>
      </c>
      <c r="AA33" s="33">
        <f>IFERROR(VLOOKUP($A33,subQ,MATCH(AA$1,SUBQH,0),0),"")</f>
        <v/>
      </c>
      <c r="AB33" s="33">
        <f>IFERROR(VLOOKUP($A33,subQ,MATCH(AB$1,SUBQH,0),0),"")</f>
        <v/>
      </c>
      <c r="AC33" s="33">
        <f>IFERROR(VLOOKUP($A33,subQ,MATCH(AC$1,SUBQH,0),0),"")</f>
        <v/>
      </c>
      <c r="AD33" s="33">
        <f>IFERROR(VLOOKUP($A33,subQ,MATCH(AD$1,SUBQH,0),0),"")</f>
        <v/>
      </c>
      <c r="AE33" s="33">
        <f>IFERROR(VLOOKUP($A33,subQ,MATCH(AE$1,SUBQH,0),0),"")</f>
        <v/>
      </c>
      <c r="AF33" s="33">
        <f>IFERROR(VLOOKUP($A33,subQ,MATCH(AF$1,SUBQH,0),0),"")</f>
        <v/>
      </c>
      <c r="AG33" s="33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2">
        <f>IFERROR(VLOOKUP($A41,subQ,MATCH(X$1,SUBQH,0),0),"")</f>
        <v/>
      </c>
      <c r="Y41" s="32">
        <f>IFERROR(VLOOKUP($A41,subQ,MATCH(Y$1,SUBQH,0),0),"")</f>
        <v/>
      </c>
      <c r="Z41" s="32">
        <f>IFERROR(VLOOKUP($A41,subQ,MATCH(Z$1,SUBQH,0),0),"")</f>
        <v/>
      </c>
      <c r="AA41" s="32">
        <f>IFERROR(VLOOKUP($A41,subQ,MATCH(AA$1,SUBQH,0),0),"")</f>
        <v/>
      </c>
      <c r="AB41" s="32">
        <f>IFERROR(VLOOKUP($A41,subQ,MATCH(AB$1,SUBQH,0),0),"")</f>
        <v/>
      </c>
      <c r="AC41" s="32">
        <f>IFERROR(VLOOKUP($A41,subQ,MATCH(AC$1,SUBQH,0),0),"")</f>
        <v/>
      </c>
      <c r="AD41" s="32">
        <f>IFERROR(VLOOKUP($A41,subQ,MATCH(AD$1,SUBQH,0),0),"")</f>
        <v/>
      </c>
      <c r="AE41" s="32">
        <f>IFERROR(VLOOKUP($A41,subQ,MATCH(AE$1,SUBQH,0),0),"")</f>
        <v/>
      </c>
      <c r="AF41" s="32">
        <f>IFERROR(VLOOKUP($A41,subQ,MATCH(AF$1,SUBQH,0),0),"")</f>
        <v/>
      </c>
      <c r="AG41" s="32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2">
        <f>IFERROR(X5/T5-1,"")</f>
        <v/>
      </c>
      <c r="Y42" s="32">
        <f>IFERROR(Y5/U5-1,"")</f>
        <v/>
      </c>
      <c r="Z42" s="32">
        <f>IFERROR(Z5/V5-1,"")</f>
        <v/>
      </c>
      <c r="AA42" s="32">
        <f>IFERROR(AA5/W5-1,"")</f>
        <v/>
      </c>
      <c r="AB42" s="32">
        <f>IFERROR(AB5/X5-1,"")</f>
        <v/>
      </c>
      <c r="AC42" s="32">
        <f>IFERROR(AC5/Y5-1,"")</f>
        <v/>
      </c>
      <c r="AD42" s="32">
        <f>IFERROR(AD5/Z5-1,"")</f>
        <v/>
      </c>
      <c r="AE42" s="32">
        <f>IFERROR(AE5/AA5-1,"")</f>
        <v/>
      </c>
      <c r="AF42" s="32">
        <f>IFERROR(AF5/AB5-1,"")</f>
        <v/>
      </c>
      <c r="AG42" s="32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2">
        <f>IFERROR(X9/T9-1,"")</f>
        <v/>
      </c>
      <c r="Y43" s="32">
        <f>IFERROR(Y9/U9-1,"")</f>
        <v/>
      </c>
      <c r="Z43" s="32">
        <f>IFERROR(Z9/V9-1,"")</f>
        <v/>
      </c>
      <c r="AA43" s="32">
        <f>IFERROR(AA9/W9-1,"")</f>
        <v/>
      </c>
      <c r="AB43" s="32">
        <f>IFERROR(AB9/X9-1,"")</f>
        <v/>
      </c>
      <c r="AC43" s="32">
        <f>IFERROR(AC9/Y9-1,"")</f>
        <v/>
      </c>
      <c r="AD43" s="32">
        <f>IFERROR(AD9/Z9-1,"")</f>
        <v/>
      </c>
      <c r="AE43" s="32">
        <f>IFERROR(AE9/AA9-1,"")</f>
        <v/>
      </c>
      <c r="AF43" s="32">
        <f>IFERROR(AF9/AB9-1,"")</f>
        <v/>
      </c>
      <c r="AG43" s="32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IFERROR(I20/E20-1,"")</f>
        <v/>
      </c>
      <c r="J44" s="21">
        <f>IFERROR(J20/F20-1,"")</f>
        <v/>
      </c>
      <c r="K44" s="21">
        <f>IFERROR(K20/G20-1,"")</f>
        <v/>
      </c>
      <c r="L44" s="21">
        <f>IFERROR(L20/H20-1,"")</f>
        <v/>
      </c>
      <c r="M44" s="21">
        <f>IFERROR(M20/I20-1,"")</f>
        <v/>
      </c>
      <c r="N44" s="21">
        <f>IFERROR(N20/J20-1,"")</f>
        <v/>
      </c>
      <c r="O44" s="21">
        <f>IFERROR(O20/K20-1,"")</f>
        <v/>
      </c>
      <c r="P44" s="21">
        <f>IFERROR(P20/L20-1,"")</f>
        <v/>
      </c>
      <c r="Q44" s="21">
        <f>IFERROR(Q20/M20-1,"")</f>
        <v/>
      </c>
      <c r="R44" s="21">
        <f>IFERROR(R20/N20-1,"")</f>
        <v/>
      </c>
      <c r="S44" s="21">
        <f>IFERROR(S20/O20-1,"")</f>
        <v/>
      </c>
      <c r="T44" s="21">
        <f>IFERROR(T20/P20-1,"")</f>
        <v/>
      </c>
      <c r="U44" s="21">
        <f>IFERROR(U20/Q20-1,"")</f>
        <v/>
      </c>
      <c r="V44" s="21">
        <f>IFERROR(V20/R20-1,"")</f>
        <v/>
      </c>
      <c r="W44" s="46">
        <f>IFERROR(W20/S20-1,"")</f>
        <v/>
      </c>
      <c r="X44" s="32">
        <f>IFERROR(X20/T20-1,"")</f>
        <v/>
      </c>
      <c r="Y44" s="32">
        <f>IFERROR(Y20/U20-1,"")</f>
        <v/>
      </c>
      <c r="Z44" s="32">
        <f>IFERROR(Z20/V20-1,"")</f>
        <v/>
      </c>
      <c r="AA44" s="32">
        <f>IFERROR(AA20/W20-1,"")</f>
        <v/>
      </c>
      <c r="AB44" s="32">
        <f>IFERROR(AB20/X20-1,"")</f>
        <v/>
      </c>
      <c r="AC44" s="32">
        <f>IFERROR(AC20/Y20-1,"")</f>
        <v/>
      </c>
      <c r="AD44" s="32">
        <f>IFERROR(AD20/Z20-1,"")</f>
        <v/>
      </c>
      <c r="AE44" s="32">
        <f>IFERROR(AE20/AA20-1,"")</f>
        <v/>
      </c>
      <c r="AF44" s="32">
        <f>IFERROR(AF20/AB20-1,"")</f>
        <v/>
      </c>
      <c r="AG44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감가상각비</t>
        </is>
      </c>
      <c r="D21" t="inlineStr">
        <is>
          <t>감가상각비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EBITDA</t>
        </is>
      </c>
      <c r="D22" t="inlineStr">
        <is>
          <t>EBITDA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47">
        <f>IFERROR(VLOOKUP($A33,subQ,MATCH(I$1,SUBQH,0),0),"")</f>
        <v/>
      </c>
      <c r="J33" s="33">
        <f>IFERROR(VLOOKUP($A33,subQ,MATCH(J$1,SUBQH,0),0),"")</f>
        <v/>
      </c>
      <c r="K33" s="33">
        <f>IFERROR(VLOOKUP($A33,subQ,MATCH(K$1,SUBQH,0),0),"")</f>
        <v/>
      </c>
      <c r="L33" s="33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2">
        <f>IFERROR(VLOOKUP($A41,subQ,MATCH(J$1,SUBQH,0),0),"")</f>
        <v/>
      </c>
      <c r="K41" s="32">
        <f>IFERROR(VLOOKUP($A41,subQ,MATCH(K$1,SUBQH,0),0),"")</f>
        <v/>
      </c>
      <c r="L41" s="32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2">
        <f>IFERROR(J5/I5-1,"")</f>
        <v/>
      </c>
      <c r="K42" s="32">
        <f>IFERROR(K5/J5-1,"")</f>
        <v/>
      </c>
      <c r="L42" s="32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2">
        <f>IFERROR(J9/I9-1,"")</f>
        <v/>
      </c>
      <c r="K43" s="32">
        <f>IFERROR(K9/J9-1,"")</f>
        <v/>
      </c>
      <c r="L43" s="32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IFERROR(F20/E20-1,"")</f>
        <v/>
      </c>
      <c r="G44" s="21">
        <f>IFERROR(G20/F20-1,"")</f>
        <v/>
      </c>
      <c r="H44" s="21">
        <f>IFERROR(H20/G20-1,"")</f>
        <v/>
      </c>
      <c r="I44" s="46">
        <f>IFERROR(I20/H20-1,"")</f>
        <v/>
      </c>
      <c r="J44" s="32">
        <f>IFERROR(J20/I20-1,"")</f>
        <v/>
      </c>
      <c r="K44" s="32">
        <f>IFERROR(K20/J20-1,"")</f>
        <v/>
      </c>
      <c r="L44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-75.8</v>
      </c>
    </row>
    <row r="30">
      <c r="C30" s="2" t="inlineStr">
        <is>
          <t>bps_latest</t>
        </is>
      </c>
      <c r="D30" t="n">
        <v>881.8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2.01</v>
      </c>
    </row>
    <row r="33">
      <c r="C33" s="2" t="inlineStr">
        <is>
          <t>roe_fwd</t>
        </is>
      </c>
      <c r="D33" t="n">
        <v>-0.08599999999999999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  <c r="D36" t="n">
        <v>106.42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