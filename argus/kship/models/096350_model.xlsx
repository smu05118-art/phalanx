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181135억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190609억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197985억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204883억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213991억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226893억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240932억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255582억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270314억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282467억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모델값 역산(implied): v / 매출액
매출액 × 판관비율 12.97%(최근 4분기 중위)</t>
      </text>
    </comment>
    <comment ref="AD22" authorId="0" shapeId="0">
      <text>
        <t>모델값 역산(implied): v / 매출액
매출액 × 판관비율 12.97%(최근 4분기 중위)</t>
      </text>
    </comment>
    <comment ref="AF22" authorId="0" shapeId="0">
      <text>
        <t>모델값 역산(implied): v / 매출액
매출액 × 판관비율 12.97%(최근 4분기 중위)</t>
      </text>
    </comment>
    <comment ref="AG22" authorId="0" shapeId="0">
      <text>
        <t>모델값 역산(implied): v / 매출액
매출액 × 판관비율 12.97%(최근 4분기 중위)</t>
      </text>
    </comment>
    <comment ref="AH22" authorId="0" shapeId="0">
      <text>
        <t>모델값 역산(implied): v / 매출액
매출액 × 판관비율 12.97%(최근 4분기 중위)</t>
      </text>
    </comment>
    <comment ref="AI22" authorId="0" shapeId="0">
      <text>
        <t>모델값 역산(implied): v / 매출액
매출액 × 판관비율 12.97%(최근 4분기 중위)</t>
      </text>
    </comment>
    <comment ref="AK22" authorId="0" shapeId="0">
      <text>
        <t>모델값 역산(implied): v / 매출액
매출액 × 판관비율 12.97%(최근 4분기 중위)</t>
      </text>
    </comment>
    <comment ref="AL22" authorId="0" shapeId="0">
      <text>
        <t>모델값 역산(implied): v / 매출액
매출액 × 판관비율 12.97%(최근 4분기 중위)</t>
      </text>
    </comment>
    <comment ref="AM22" authorId="0" shapeId="0">
      <text>
        <t>모델값 역산(implied): v / 매출액
매출액 × 판관비율 12.97%(최근 4분기 중위)</t>
      </text>
    </comment>
    <comment ref="AN22" authorId="0" shapeId="0">
      <text>
        <t>모델값 역산(implied): v / 매출액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v / 전년동기 − 1
최근 8분기 OPM 중위 0.1% 유지</t>
      </text>
    </comment>
    <comment ref="AD24" authorId="0" shapeId="0">
      <text>
        <t>모델값 역산(implied): v / 전년동기 − 1
최근 8분기 OPM 중위 0.1% 유지</t>
      </text>
    </comment>
    <comment ref="AF24" authorId="0" shapeId="0">
      <text>
        <t>모델값 역산(implied): v / 전년동기 − 1
최근 8분기 OPM 중위 0.1% 유지</t>
      </text>
    </comment>
    <comment ref="AG24" authorId="0" shapeId="0">
      <text>
        <t>모델값 역산(implied): v / 전년동기 − 1
최근 8분기 OPM 중위 0.1% 유지</t>
      </text>
    </comment>
    <comment ref="AH24" authorId="0" shapeId="0">
      <text>
        <t>모델값 역산(implied): v / 전년동기 − 1
최근 8분기 OPM 중위 0.1% 유지</t>
      </text>
    </comment>
    <comment ref="AI24" authorId="0" shapeId="0">
      <text>
        <t>모델값 역산(implied): v / 전년동기 − 1
최근 8분기 OPM 중위 0.1% 유지</t>
      </text>
    </comment>
    <comment ref="AK24" authorId="0" shapeId="0">
      <text>
        <t>모델값 역산(implied): v / 전년동기 − 1
최근 8분기 OPM 중위 0.1% 유지</t>
      </text>
    </comment>
    <comment ref="AL24" authorId="0" shapeId="0">
      <text>
        <t>모델값 역산(implied): v / 전년동기 − 1
최근 8분기 OPM 중위 0.1% 유지</t>
      </text>
    </comment>
    <comment ref="AM24" authorId="0" shapeId="0">
      <text>
        <t>모델값 역산(implied): v / 전년동기 − 1
최근 8분기 OPM 중위 0.1% 유지</t>
      </text>
    </comment>
    <comment ref="AN24" authorId="0" shapeId="0">
      <text>
        <t>모델값 역산(implied): v / 전년동기 − 1
최근 8분기 OPM 중위 0.1% 유지</t>
      </text>
    </comment>
    <comment ref="AC25" authorId="0" shapeId="0">
      <text>
        <t>모델값 역산(implied): 모델 v 그대로
이자손익 + 외환손익 0 + 파생상품손익 0 + 기타금융손익 +0.00억(잔차 실측 3분기 &lt; 4 → 0) (항등식); 이자손익 = 이자발생자산 165억 × 1.36%(주석 이자수익 ÷ 평균 이자발생자산(2025Q3~2026Q2)) − 총차입금 815억 × 3.81%(주석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3분기 &lt; 4 → 0) (항등식); 이자손익 = 이자발생자산 158억 × 1.36%(주석 이자수익 ÷ 평균 이자발생자산(2025Q3~2026Q2)) − 총차입금 815억 × 3.81%(주석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3분기 &lt; 4 → 0) (항등식); 이자손익 = 이자발생자산 151억 × 1.36%(주석 이자수익 ÷ 평균 이자발생자산(2025Q3~2026Q2)) − 총차입금 815억 × 3.81%(주석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3분기 &lt; 4 → 0) (항등식); 이자손익 = 이자발생자산 145억 × 1.36%(주석 이자수익 ÷ 평균 이자발생자산(2025Q3~2026Q2)) − 총차입금 815억 × 3.81%(주석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3분기 &lt; 4 → 0) (항등식); 이자손익 = 이자발생자산 138억 × 1.36%(주석 이자수익 ÷ 평균 이자발생자산(2025Q3~2026Q2)) − 총차입금 815억 × 3.81%(주석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3분기 &lt; 4 → 0) (항등식); 이자손익 = 이자발생자산 131억 × 1.36%(주석 이자수익 ÷ 평균 이자발생자산(2025Q3~2026Q2)) − 총차입금 815억 × 3.81%(주석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3분기 &lt; 4 → 0) (항등식); 이자손익 = 이자발생자산 124억 × 1.36%(주석 이자수익 ÷ 평균 이자발생자산(2025Q3~2026Q2)) − 총차입금 815억 × 3.81%(주석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3분기 &lt; 4 → 0) (항등식); 이자손익 = 이자발생자산 117억 × 1.36%(주석 이자수익 ÷ 평균 이자발생자산(2025Q3~2026Q2)) − 총차입금 815억 × 3.81%(주석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3분기 &lt; 4 → 0) (항등식); 이자손익 = 이자발생자산 110억 × 1.36%(주석 이자수익 ÷ 평균 이자발생자산(2025Q3~2026Q2)) − 총차입금 815억 × 3.81%(주석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3분기 &lt; 4 → 0) (항등식); 이자손익 = 이자발생자산 103억 × 1.36%(주석 이자수익 ÷ 평균 이자발생자산(2025Q3~2026Q2)) − 총차입금 815억 × 3.81%(주석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165억 × 1.36%(주석 이자수익 ÷ 평균 이자발생자산(2025Q3~2026Q2)) − 총차입금 815억 × 3.81%(주석 이자비용 ÷ 평균 총차입금(2025Q3~2026Q2)) (연율) ÷ 4</t>
      </text>
    </comment>
    <comment ref="AD26" authorId="0" shapeId="0">
      <text>
        <t>모델값 역산(implied): 모델 v 그대로
이자발생자산 158억 × 1.36%(주석 이자수익 ÷ 평균 이자발생자산(2025Q3~2026Q2)) − 총차입금 815억 × 3.81%(주석 이자비용 ÷ 평균 총차입금(2025Q3~2026Q2)) (연율) ÷ 4</t>
      </text>
    </comment>
    <comment ref="AF26" authorId="0" shapeId="0">
      <text>
        <t>모델값 역산(implied): 모델 v 그대로
이자발생자산 151억 × 1.36%(주석 이자수익 ÷ 평균 이자발생자산(2025Q3~2026Q2)) − 총차입금 815억 × 3.81%(주석 이자비용 ÷ 평균 총차입금(2025Q3~2026Q2)) (연율) ÷ 4</t>
      </text>
    </comment>
    <comment ref="AG26" authorId="0" shapeId="0">
      <text>
        <t>모델값 역산(implied): 모델 v 그대로
이자발생자산 145억 × 1.36%(주석 이자수익 ÷ 평균 이자발생자산(2025Q3~2026Q2)) − 총차입금 815억 × 3.81%(주석 이자비용 ÷ 평균 총차입금(2025Q3~2026Q2)) (연율) ÷ 4</t>
      </text>
    </comment>
    <comment ref="AH26" authorId="0" shapeId="0">
      <text>
        <t>모델값 역산(implied): 모델 v 그대로
이자발생자산 138억 × 1.36%(주석 이자수익 ÷ 평균 이자발생자산(2025Q3~2026Q2)) − 총차입금 815억 × 3.81%(주석 이자비용 ÷ 평균 총차입금(2025Q3~2026Q2)) (연율) ÷ 4</t>
      </text>
    </comment>
    <comment ref="AI26" authorId="0" shapeId="0">
      <text>
        <t>모델값 역산(implied): 모델 v 그대로
이자발생자산 131억 × 1.36%(주석 이자수익 ÷ 평균 이자발생자산(2025Q3~2026Q2)) − 총차입금 815억 × 3.81%(주석 이자비용 ÷ 평균 총차입금(2025Q3~2026Q2)) (연율) ÷ 4</t>
      </text>
    </comment>
    <comment ref="AK26" authorId="0" shapeId="0">
      <text>
        <t>모델값 역산(implied): 모델 v 그대로
이자발생자산 124억 × 1.36%(주석 이자수익 ÷ 평균 이자발생자산(2025Q3~2026Q2)) − 총차입금 815억 × 3.81%(주석 이자비용 ÷ 평균 총차입금(2025Q3~2026Q2)) (연율) ÷ 4</t>
      </text>
    </comment>
    <comment ref="AL26" authorId="0" shapeId="0">
      <text>
        <t>모델값 역산(implied): 모델 v 그대로
이자발생자산 117억 × 1.36%(주석 이자수익 ÷ 평균 이자발생자산(2025Q3~2026Q2)) − 총차입금 815억 × 3.81%(주석 이자비용 ÷ 평균 총차입금(2025Q3~2026Q2)) (연율) ÷ 4</t>
      </text>
    </comment>
    <comment ref="AM26" authorId="0" shapeId="0">
      <text>
        <t>모델값 역산(implied): 모델 v 그대로
이자발생자산 110억 × 1.36%(주석 이자수익 ÷ 평균 이자발생자산(2025Q3~2026Q2)) − 총차입금 815억 × 3.81%(주석 이자비용 ÷ 평균 총차입금(2025Q3~2026Q2)) (연율) ÷ 4</t>
      </text>
    </comment>
    <comment ref="AN26" authorId="0" shapeId="0">
      <text>
        <t>모델값 역산(implied): 모델 v 그대로
이자발생자산 103억 × 1.36%(주석 이자수익 ÷ 평균 이자발생자산(2025Q3~2026Q2)) − 총차입금 815억 × 3.81%(주석 이자비용 ÷ 평균 총차입금(2025Q3~2026Q2)) (연율) ÷ 4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31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31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31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31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31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31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31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31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31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32" authorId="0" shapeId="0">
      <text>
        <t>모델값 역산(implied): v / 당기순이익
당기순이익 × (1 − 비지배 비중 0.0%, 최근 8분기 실측)</t>
      </text>
    </comment>
    <comment ref="AD32" authorId="0" shapeId="0">
      <text>
        <t>모델값 역산(implied): v / 당기순이익
당기순이익 × (1 − 비지배 비중 0.0%, 최근 8분기 실측)</t>
      </text>
    </comment>
    <comment ref="AF32" authorId="0" shapeId="0">
      <text>
        <t>모델값 역산(implied): v / 당기순이익
당기순이익 × (1 − 비지배 비중 0.0%, 최근 8분기 실측)</t>
      </text>
    </comment>
    <comment ref="AG32" authorId="0" shapeId="0">
      <text>
        <t>모델값 역산(implied): v / 당기순이익
당기순이익 × (1 − 비지배 비중 0.0%, 최근 8분기 실측)</t>
      </text>
    </comment>
    <comment ref="AH32" authorId="0" shapeId="0">
      <text>
        <t>모델값 역산(implied): v / 당기순이익
당기순이익 × (1 − 비지배 비중 0.0%, 최근 8분기 실측)</t>
      </text>
    </comment>
    <comment ref="AI32" authorId="0" shapeId="0">
      <text>
        <t>모델값 역산(implied): v / 당기순이익
당기순이익 × (1 − 비지배 비중 0.0%, 최근 8분기 실측)</t>
      </text>
    </comment>
    <comment ref="AK32" authorId="0" shapeId="0">
      <text>
        <t>모델값 역산(implied): v / 당기순이익
당기순이익 × (1 − 비지배 비중 0.0%, 최근 8분기 실측)</t>
      </text>
    </comment>
    <comment ref="AL32" authorId="0" shapeId="0">
      <text>
        <t>모델값 역산(implied): v / 당기순이익
당기순이익 × (1 − 비지배 비중 0.0%, 최근 8분기 실측)</t>
      </text>
    </comment>
    <comment ref="AM32" authorId="0" shapeId="0">
      <text>
        <t>모델값 역산(implied): v / 당기순이익
당기순이익 × (1 − 비지배 비중 0.0%, 최근 8분기 실측)</t>
      </text>
    </comment>
    <comment ref="AN32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전년동기 − 1
최근 4분기 감가상각비 중위 유지</t>
      </text>
    </comment>
    <comment ref="AI33" authorId="0" shapeId="0">
      <text>
        <t>모델값 역산(implied): v / 전년동기 − 1
최근 4분기 감가상각비 중위 유지</t>
      </text>
    </comment>
    <comment ref="AK33" authorId="0" shapeId="0">
      <text>
        <t>모델값 역산(implied): v / 전년동기 − 1
최근 4분기 감가상각비 중위 유지</t>
      </text>
    </comment>
    <comment ref="AL33" authorId="0" shapeId="0">
      <text>
        <t>모델값 역산(implied): v / 전년동기 − 1
최근 4분기 감가상각비 중위 유지</t>
      </text>
    </comment>
    <comment ref="AM33" authorId="0" shapeId="0">
      <text>
        <t>모델값 역산(implied): v / 전년동기 − 1
최근 4분기 감가상각비 중위 유지</t>
      </text>
    </comment>
    <comment ref="AN33" authorId="0" shapeId="0">
      <text>
        <t>모델값 역산(implied): v / 전년동기 − 1
최근 4분기 감가상각비 중위 유지</t>
      </text>
    </comment>
    <comment ref="AH34" authorId="0" shapeId="0">
      <text>
        <t>모델값 역산(implied): v / 전년동기 − 1
영업이익 + 감가상각비</t>
      </text>
    </comment>
    <comment ref="AI34" authorId="0" shapeId="0">
      <text>
        <t>모델값 역산(implied): v / 전년동기 − 1
영업이익 + 감가상각비</t>
      </text>
    </comment>
    <comment ref="AK34" authorId="0" shapeId="0">
      <text>
        <t>모델값 역산(implied): v / 전년동기 − 1
영업이익 + 감가상각비</t>
      </text>
    </comment>
    <comment ref="AL34" authorId="0" shapeId="0">
      <text>
        <t>모델값 역산(implied): v / 전년동기 − 1
영업이익 + 감가상각비</t>
      </text>
    </comment>
    <comment ref="AM34" authorId="0" shapeId="0">
      <text>
        <t>모델값 역산(implied): v / 전년동기 − 1
영업이익 + 감가상각비</t>
      </text>
    </comment>
    <comment ref="AN34" authorId="0" shapeId="0">
      <text>
        <t>모델값 역산(implied): v / 전년동기 − 1
영업이익 + 감가상각비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전분기 + 당기순이익 − v
전분기 + 당기순이익 − 배당(Q2 지급 가정)</t>
      </text>
    </comment>
    <comment ref="AD36" authorId="0" shapeId="0">
      <text>
        <t>모델값 역산(implied): 전분기 + 당기순이익 − v
전분기 + 당기순이익 − 배당(Q2 지급 가정)</t>
      </text>
    </comment>
    <comment ref="AF36" authorId="0" shapeId="0">
      <text>
        <t>모델값 역산(implied): 전분기 + 당기순이익 − v
전분기 + 당기순이익 − 배당(Q2 지급 가정)</t>
      </text>
    </comment>
    <comment ref="AG36" authorId="0" shapeId="0">
      <text>
        <t>모델값 역산(implied): 전분기 + 당기순이익 − v
전분기 + 당기순이익 − 배당(Q2 지급 가정)</t>
      </text>
    </comment>
    <comment ref="AH36" authorId="0" shapeId="0">
      <text>
        <t>모델값 역산(implied): 전분기 + 당기순이익 − v
전분기 + 당기순이익 − 배당(Q2 지급 가정)</t>
      </text>
    </comment>
    <comment ref="AI36" authorId="0" shapeId="0">
      <text>
        <t>모델값 역산(implied): 전분기 + 당기순이익 − v
전분기 + 당기순이익 − 배당(Q2 지급 가정)</t>
      </text>
    </comment>
    <comment ref="AK36" authorId="0" shapeId="0">
      <text>
        <t>모델값 역산(implied): 전분기 + 당기순이익 − v
전분기 + 당기순이익 − 배당(Q2 지급 가정)</t>
      </text>
    </comment>
    <comment ref="AL36" authorId="0" shapeId="0">
      <text>
        <t>모델값 역산(implied): 전분기 + 당기순이익 − v
전분기 + 당기순이익 − 배당(Q2 지급 가정)</t>
      </text>
    </comment>
    <comment ref="AM36" authorId="0" shapeId="0">
      <text>
        <t>모델값 역산(implied): 전분기 + 당기순이익 − v
전분기 + 당기순이익 − 배당(Q2 지급 가정)</t>
      </text>
    </comment>
    <comment ref="AN36" authorId="0" shapeId="0">
      <text>
        <t>모델값 역산(implied): 전분기 + 당기순이익 − v
전분기 + 당기순이익 − 배당(Q2 지급 가정)</t>
      </text>
    </comment>
    <comment ref="AC37" authorId="0" shapeId="0">
      <text>
        <t>모델값 역산(implied): 전분기 + 지배주주순이익 − v
전분기 + 지배주주순이익 − 배당</t>
      </text>
    </comment>
    <comment ref="AD37" authorId="0" shapeId="0">
      <text>
        <t>모델값 역산(implied): 전분기 + 지배주주순이익 − v
전분기 + 지배주주순이익 − 배당</t>
      </text>
    </comment>
    <comment ref="AF37" authorId="0" shapeId="0">
      <text>
        <t>모델값 역산(implied): 전분기 + 지배주주순이익 − v
전분기 + 지배주주순이익 − 배당</t>
      </text>
    </comment>
    <comment ref="AG37" authorId="0" shapeId="0">
      <text>
        <t>모델값 역산(implied): 전분기 + 지배주주순이익 − v
전분기 + 지배주주순이익 − 배당</t>
      </text>
    </comment>
    <comment ref="AH37" authorId="0" shapeId="0">
      <text>
        <t>모델값 역산(implied): 전분기 + 지배주주순이익 − v
전분기 + 지배주주순이익 − 배당</t>
      </text>
    </comment>
    <comment ref="AI37" authorId="0" shapeId="0">
      <text>
        <t>모델값 역산(implied): 전분기 + 지배주주순이익 − v
전분기 + 지배주주순이익 − 배당</t>
      </text>
    </comment>
    <comment ref="AK37" authorId="0" shapeId="0">
      <text>
        <t>모델값 역산(implied): 전분기 + 지배주주순이익 − v
전분기 + 지배주주순이익 − 배당</t>
      </text>
    </comment>
    <comment ref="AL37" authorId="0" shapeId="0">
      <text>
        <t>모델값 역산(implied): 전분기 + 지배주주순이익 − v
전분기 + 지배주주순이익 − 배당</t>
      </text>
    </comment>
    <comment ref="AM37" authorId="0" shapeId="0">
      <text>
        <t>모델값 역산(implied): 전분기 + 지배주주순이익 − v
전분기 + 지배주주순이익 − 배당</t>
      </text>
    </comment>
    <comment ref="AN37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마지막 실적 유지(가정)</t>
      </text>
    </comment>
    <comment ref="AD38" authorId="0" shapeId="0">
      <text>
        <t>모델값 역산(implied): v / 전분기 − 1
마지막 실적 유지(가정)</t>
      </text>
    </comment>
    <comment ref="AF38" authorId="0" shapeId="0">
      <text>
        <t>모델값 역산(implied): v / 전분기 − 1
마지막 실적 유지(가정)</t>
      </text>
    </comment>
    <comment ref="AG38" authorId="0" shapeId="0">
      <text>
        <t>모델값 역산(implied): v / 전분기 − 1
마지막 실적 유지(가정)</t>
      </text>
    </comment>
    <comment ref="AH38" authorId="0" shapeId="0">
      <text>
        <t>모델값 역산(implied): v / 전분기 − 1
마지막 실적 유지(가정)</t>
      </text>
    </comment>
    <comment ref="AI38" authorId="0" shapeId="0">
      <text>
        <t>모델값 역산(implied): v / 전분기 − 1
마지막 실적 유지(가정)</t>
      </text>
    </comment>
    <comment ref="AK38" authorId="0" shapeId="0">
      <text>
        <t>모델값 역산(implied): v / 전분기 − 1
마지막 실적 유지(가정)</t>
      </text>
    </comment>
    <comment ref="AL38" authorId="0" shapeId="0">
      <text>
        <t>모델값 역산(implied): v / 전분기 − 1
마지막 실적 유지(가정)</t>
      </text>
    </comment>
    <comment ref="AM38" authorId="0" shapeId="0">
      <text>
        <t>모델값 역산(implied): v / 전분기 − 1
마지막 실적 유지(가정)</t>
      </text>
    </comment>
    <comment ref="AN38" authorId="0" shapeId="0">
      <text>
        <t>모델값 역산(implied): v / 전분기 − 1
마지막 실적 유지(가정)</t>
      </text>
    </comment>
    <comment ref="AC39" authorId="0" shapeId="0">
      <text>
        <t>모델값 역산(implied): v / 전분기 − 1
전분기 − (순이익 − 배당): 순이익 = 순현금 증가 가정(CAPEX≈감가, 운전자본 불변)</t>
      </text>
    </comment>
    <comment ref="AD39" authorId="0" shapeId="0">
      <text>
        <t>모델값 역산(implied): v / 전분기 − 1
전분기 − (순이익 − 배당): 순이익 = 순현금 증가 가정(CAPEX≈감가, 운전자본 불변)</t>
      </text>
    </comment>
    <comment ref="AF39" authorId="0" shapeId="0">
      <text>
        <t>모델값 역산(implied): v / 전분기 − 1
전분기 − (순이익 − 배당): 순이익 = 순현금 증가 가정(CAPEX≈감가, 운전자본 불변)</t>
      </text>
    </comment>
    <comment ref="AG39" authorId="0" shapeId="0">
      <text>
        <t>모델값 역산(implied): v / 전분기 − 1
전분기 − (순이익 − 배당): 순이익 = 순현금 증가 가정(CAPEX≈감가, 운전자본 불변)</t>
      </text>
    </comment>
    <comment ref="AH39" authorId="0" shapeId="0">
      <text>
        <t>모델값 역산(implied): v / 전분기 − 1
전분기 − (순이익 − 배당): 순이익 = 순현금 증가 가정(CAPEX≈감가, 운전자본 불변)</t>
      </text>
    </comment>
    <comment ref="AI39" authorId="0" shapeId="0">
      <text>
        <t>모델값 역산(implied): v / 전분기 − 1
전분기 − (순이익 − 배당): 순이익 = 순현금 증가 가정(CAPEX≈감가, 운전자본 불변)</t>
      </text>
    </comment>
    <comment ref="AK39" authorId="0" shapeId="0">
      <text>
        <t>모델값 역산(implied): v / 전분기 − 1
전분기 − (순이익 − 배당): 순이익 = 순현금 증가 가정(CAPEX≈감가, 운전자본 불변)</t>
      </text>
    </comment>
    <comment ref="AL39" authorId="0" shapeId="0">
      <text>
        <t>모델값 역산(implied): v / 전분기 − 1
전분기 − (순이익 − 배당): 순이익 = 순현금 증가 가정(CAPEX≈감가, 운전자본 불변)</t>
      </text>
    </comment>
    <comment ref="AM39" authorId="0" shapeId="0">
      <text>
        <t>모델값 역산(implied): v / 전분기 − 1
전분기 − (순이익 − 배당): 순이익 = 순현금 증가 가정(CAPEX≈감가, 운전자본 불변)</t>
      </text>
    </comment>
    <comment ref="AN39" authorId="0" shapeId="0">
      <text>
        <t>모델값 역산(implied): v / 전분기 − 1
전분기 − (순이익 − 배당): 순이익 = 순현금 증가 가정(CAPEX≈감가, 운전자본 불변)</t>
      </text>
    </comment>
    <comment ref="AC40" authorId="0" shapeId="0">
      <text>
        <t>모델값 역산(implied): v / 전분기 − 1
전분기 + (순이익 − 배당) — 순차입금 롤과 같은 가정</t>
      </text>
    </comment>
    <comment ref="AD40" authorId="0" shapeId="0">
      <text>
        <t>모델값 역산(implied): v / 전분기 − 1
전분기 + (순이익 − 배당) — 순차입금 롤과 같은 가정</t>
      </text>
    </comment>
    <comment ref="AF40" authorId="0" shapeId="0">
      <text>
        <t>모델값 역산(implied): v / 전분기 − 1
전분기 + (순이익 − 배당) — 순차입금 롤과 같은 가정</t>
      </text>
    </comment>
    <comment ref="AG40" authorId="0" shapeId="0">
      <text>
        <t>모델값 역산(implied): v / 전분기 − 1
전분기 + (순이익 − 배당) — 순차입금 롤과 같은 가정</t>
      </text>
    </comment>
    <comment ref="AH40" authorId="0" shapeId="0">
      <text>
        <t>모델값 역산(implied): v / 전분기 − 1
전분기 + (순이익 − 배당) — 순차입금 롤과 같은 가정</t>
      </text>
    </comment>
    <comment ref="AI40" authorId="0" shapeId="0">
      <text>
        <t>모델값 역산(implied): v / 전분기 − 1
전분기 + (순이익 − 배당) — 순차입금 롤과 같은 가정</t>
      </text>
    </comment>
    <comment ref="AK40" authorId="0" shapeId="0">
      <text>
        <t>모델값 역산(implied): v / 전분기 − 1
전분기 + (순이익 − 배당) — 순차입금 롤과 같은 가정</t>
      </text>
    </comment>
    <comment ref="AL40" authorId="0" shapeId="0">
      <text>
        <t>모델값 역산(implied): v / 전분기 − 1
전분기 + (순이익 − 배당) — 순차입금 롤과 같은 가정</t>
      </text>
    </comment>
    <comment ref="AM40" authorId="0" shapeId="0">
      <text>
        <t>모델값 역산(implied): v / 전분기 − 1
전분기 + (순이익 − 배당) — 순차입금 롤과 같은 가정</t>
      </text>
    </comment>
    <comment ref="AN40" authorId="0" shapeId="0">
      <text>
        <t>모델값 역산(implied): v / 전분기 − 1
전분기 + (순이익 − 배당) — 순차입금 롤과 같은 가정</t>
      </text>
    </comment>
    <comment ref="AC44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전분기 − 1
유통주식수 유지 — fin.shares.common_outstanding(2026Q2)</t>
      </text>
    </comment>
    <comment ref="AF44" authorId="0" shapeId="0">
      <text>
        <t>모델값 역산(implied): v / 전분기 − 1
유통주식수 유지 — fin.shares.common_outstanding(2026Q2)</t>
      </text>
    </comment>
    <comment ref="AG44" authorId="0" shapeId="0">
      <text>
        <t>모델값 역산(implied): v / 전분기 − 1
유통주식수 유지 — fin.shares.common_outstanding(2026Q2)</t>
      </text>
    </comment>
    <comment ref="AH44" authorId="0" shapeId="0">
      <text>
        <t>모델값 역산(implied): v / 전분기 − 1
유통주식수 유지 — fin.shares.common_outstanding(2026Q2)</t>
      </text>
    </comment>
    <comment ref="AI44" authorId="0" shapeId="0">
      <text>
        <t>모델값 역산(implied): v / 전분기 − 1
유통주식수 유지 — fin.shares.common_outstanding(2026Q2)</t>
      </text>
    </comment>
    <comment ref="AK44" authorId="0" shapeId="0">
      <text>
        <t>모델값 역산(implied): v / 전분기 − 1
유통주식수 유지 — fin.shares.common_outstanding(2026Q2)</t>
      </text>
    </comment>
    <comment ref="AL44" authorId="0" shapeId="0">
      <text>
        <t>모델값 역산(implied): v / 전분기 − 1
유통주식수 유지 — fin.shares.common_outstanding(2026Q2)</t>
      </text>
    </comment>
    <comment ref="AM44" authorId="0" shapeId="0">
      <text>
        <t>모델값 역산(implied): v / 전분기 − 1
유통주식수 유지 — fin.shares.common_outstanding(2026Q2)</t>
      </text>
    </comment>
    <comment ref="AN44" authorId="0" shapeId="0">
      <text>
        <t>모델값 역산(implied): v / 전분기 − 1
유통주식수 유지 — fin.shares.common_outstanding(2026Q2)</t>
      </text>
    </comment>
    <comment ref="AC47" authorId="0" shapeId="0">
      <text>
        <t>모델값 역산(implied): v / 전년동기 − 1
현재 종가 ÷ BPS(추정 포함)</t>
      </text>
    </comment>
    <comment ref="AD47" authorId="0" shapeId="0">
      <text>
        <t>모델값 역산(implied): v / 전년동기 − 1
현재 종가 ÷ BPS(추정 포함)</t>
      </text>
    </comment>
    <comment ref="AF47" authorId="0" shapeId="0">
      <text>
        <t>모델값 역산(implied): v / 전년동기 − 1
현재 종가 ÷ BPS(추정 포함)</t>
      </text>
    </comment>
    <comment ref="AG47" authorId="0" shapeId="0">
      <text>
        <t>모델값 역산(implied): v / 전년동기 − 1
현재 종가 ÷ BPS(추정 포함)</t>
      </text>
    </comment>
    <comment ref="AH47" authorId="0" shapeId="0">
      <text>
        <t>모델값 역산(implied): v / 전년동기 − 1
현재 종가 ÷ BPS(추정 포함)</t>
      </text>
    </comment>
    <comment ref="AI47" authorId="0" shapeId="0">
      <text>
        <t>모델값 역산(implied): v / 전년동기 − 1
현재 종가 ÷ BPS(추정 포함)</t>
      </text>
    </comment>
    <comment ref="AK47" authorId="0" shapeId="0">
      <text>
        <t>모델값 역산(implied): v / 전년동기 − 1
현재 종가 ÷ BPS(추정 포함)</t>
      </text>
    </comment>
    <comment ref="AL47" authorId="0" shapeId="0">
      <text>
        <t>모델값 역산(implied): v / 전년동기 − 1
현재 종가 ÷ BPS(추정 포함)</t>
      </text>
    </comment>
    <comment ref="AM47" authorId="0" shapeId="0">
      <text>
        <t>모델값 역산(implied): v / 전년동기 − 1
현재 종가 ÷ BPS(추정 포함)</t>
      </text>
    </comment>
    <comment ref="AN47" authorId="0" shapeId="0">
      <text>
        <t>모델값 역산(implied): v / 전년동기 − 1
현재 종가 ÷ BPS(추정 포함)</t>
      </text>
    </comment>
    <comment ref="AC48" authorId="0" shapeId="0">
      <text>
        <t>모델값 역산(implied): v / 매출액
= 매출액 추정(부문 미분리)</t>
      </text>
    </comment>
    <comment ref="AD48" authorId="0" shapeId="0">
      <text>
        <t>모델값 역산(implied): v / 매출액
= 매출액 추정(부문 미분리)</t>
      </text>
    </comment>
    <comment ref="AF48" authorId="0" shapeId="0">
      <text>
        <t>모델값 역산(implied): v / 매출액
= 매출액 추정(부문 미분리)</t>
      </text>
    </comment>
    <comment ref="AG48" authorId="0" shapeId="0">
      <text>
        <t>모델값 역산(implied): v / 매출액
= 매출액 추정(부문 미분리)</t>
      </text>
    </comment>
    <comment ref="AH48" authorId="0" shapeId="0">
      <text>
        <t>모델값 역산(implied): v / 매출액
= 매출액 추정(부문 미분리)</t>
      </text>
    </comment>
    <comment ref="AI48" authorId="0" shapeId="0">
      <text>
        <t>모델값 역산(implied): v / 매출액
= 매출액 추정(부문 미분리)</t>
      </text>
    </comment>
    <comment ref="AK48" authorId="0" shapeId="0">
      <text>
        <t>모델값 역산(implied): v / 매출액
= 매출액 추정(부문 미분리)</t>
      </text>
    </comment>
    <comment ref="AL48" authorId="0" shapeId="0">
      <text>
        <t>모델값 역산(implied): v / 매출액
= 매출액 추정(부문 미분리)</t>
      </text>
    </comment>
    <comment ref="AM48" authorId="0" shapeId="0">
      <text>
        <t>모델값 역산(implied): v / 매출액
= 매출액 추정(부문 미분리)</t>
      </text>
    </comment>
    <comment ref="AN48" authorId="0" shapeId="0">
      <text>
        <t>모델값 역산(implied): v / 매출액
= 매출액 추정(부문 미분리)</t>
      </text>
    </comment>
    <comment ref="AC49" authorId="0" shapeId="0">
      <text>
        <t>모델값 역산(implied): v / 매출전사
= 매출액 × OPM(부문 미분리)</t>
      </text>
    </comment>
    <comment ref="AD49" authorId="0" shapeId="0">
      <text>
        <t>모델값 역산(implied): v / 매출전사
= 매출액 × OPM(부문 미분리)</t>
      </text>
    </comment>
    <comment ref="AF49" authorId="0" shapeId="0">
      <text>
        <t>모델값 역산(implied): v / 매출전사
= 매출액 × OPM(부문 미분리)</t>
      </text>
    </comment>
    <comment ref="AG49" authorId="0" shapeId="0">
      <text>
        <t>모델값 역산(implied): v / 매출전사
= 매출액 × OPM(부문 미분리)</t>
      </text>
    </comment>
    <comment ref="AH49" authorId="0" shapeId="0">
      <text>
        <t>모델값 역산(implied): v / 매출전사
= 매출액 × OPM(부문 미분리)</t>
      </text>
    </comment>
    <comment ref="AI49" authorId="0" shapeId="0">
      <text>
        <t>모델값 역산(implied): v / 매출전사
= 매출액 × OPM(부문 미분리)</t>
      </text>
    </comment>
    <comment ref="AK49" authorId="0" shapeId="0">
      <text>
        <t>모델값 역산(implied): v / 매출전사
= 매출액 × OPM(부문 미분리)</t>
      </text>
    </comment>
    <comment ref="AL49" authorId="0" shapeId="0">
      <text>
        <t>모델값 역산(implied): v / 매출전사
= 매출액 × OPM(부문 미분리)</t>
      </text>
    </comment>
    <comment ref="AM49" authorId="0" shapeId="0">
      <text>
        <t>모델값 역산(implied): v / 매출전사
= 매출액 × OPM(부문 미분리)</t>
      </text>
    </comment>
    <comment ref="AN49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181135억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190609억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197985억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204883억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213991억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226893억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240932억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255582억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270314억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282467억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0.1% 유지
[yoy]</t>
      </text>
    </comment>
    <comment ref="AD10" authorId="0" shapeId="0">
      <text>
        <t>추정: 최근 8분기 OPM 중위 0.1% 유지
[yoy]</t>
      </text>
    </comment>
    <comment ref="AF10" authorId="0" shapeId="0">
      <text>
        <t>추정: 최근 8분기 OPM 중위 0.1% 유지
[yoy]</t>
      </text>
    </comment>
    <comment ref="AG10" authorId="0" shapeId="0">
      <text>
        <t>추정: 최근 8분기 OPM 중위 0.1% 유지
[yoy]</t>
      </text>
    </comment>
    <comment ref="AH10" authorId="0" shapeId="0">
      <text>
        <t>추정: 최근 8분기 OPM 중위 0.1% 유지
[yoy]</t>
      </text>
    </comment>
    <comment ref="AI10" authorId="0" shapeId="0">
      <text>
        <t>추정: 최근 8분기 OPM 중위 0.1% 유지
[yoy]</t>
      </text>
    </comment>
    <comment ref="AK10" authorId="0" shapeId="0">
      <text>
        <t>추정: 최근 8분기 OPM 중위 0.1% 유지
[yoy]</t>
      </text>
    </comment>
    <comment ref="AL10" authorId="0" shapeId="0">
      <text>
        <t>추정: 최근 8분기 OPM 중위 0.1% 유지
[yoy]</t>
      </text>
    </comment>
    <comment ref="AM10" authorId="0" shapeId="0">
      <text>
        <t>추정: 최근 8분기 OPM 중위 0.1% 유지
[yoy]</t>
      </text>
    </comment>
    <comment ref="AN10" authorId="0" shapeId="0">
      <text>
        <t>추정: 최근 8분기 OPM 중위 0.1% 유지
[yoy]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815억 × 3.81%(주석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158억 × 1.36%(주석 이자수익 ÷ 평균 이자발생자산(2025Q3~2026Q2)) − 총차입금 815억 × 3.81%(주석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151억 × 1.36%(주석 이자수익 ÷ 평균 이자발생자산(2025Q3~2026Q2)) − 총차입금 815억 × 3.81%(주석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145억 × 1.36%(주석 이자수익 ÷ 평균 이자발생자산(2025Q3~2026Q2)) − 총차입금 815억 × 3.81%(주석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138억 × 1.36%(주석 이자수익 ÷ 평균 이자발생자산(2025Q3~2026Q2)) − 총차입금 815억 × 3.81%(주석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131억 × 1.36%(주석 이자수익 ÷ 평균 이자발생자산(2025Q3~2026Q2)) − 총차입금 815억 × 3.81%(주석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815억 × 3.81%(주석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117억 × 1.36%(주석 이자수익 ÷ 평균 이자발생자산(2025Q3~2026Q2)) − 총차입금 815억 × 3.81%(주석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110억 × 1.36%(주석 이자수익 ÷ 평균 이자발생자산(2025Q3~2026Q2)) − 총차입금 815억 × 3.81%(주석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103억 × 1.36%(주석 이자수익 ÷ 평균 이자발생자산(2025Q3~2026Q2)) − 총차입금 815억 × 3.81%(주석 이자비용 ÷ 평균 총차입금(2025Q3~2026Q2)) (연율) ÷ 4; 환율 효과는 환관련손익 행 별도
[abs]</t>
      </text>
    </comment>
    <comment ref="AC12" authorId="0" shapeId="0">
      <text>
        <t>추정: 이자발생자산 165억 × 1.36%(주석 이자수익 ÷ 평균 이자발생자산(2025Q3~2026Q2)) − 총차입금 815억 × 3.81%(주석 이자비용 ÷ 평균 총차입금(2025Q3~2026Q2)) (연율) ÷ 4
[abs]</t>
      </text>
    </comment>
    <comment ref="AD12" authorId="0" shapeId="0">
      <text>
        <t>추정: 이자발생자산 158억 × 1.36%(주석 이자수익 ÷ 평균 이자발생자산(2025Q3~2026Q2)) − 총차입금 815억 × 3.81%(주석 이자비용 ÷ 평균 총차입금(2025Q3~2026Q2)) (연율) ÷ 4
[abs]</t>
      </text>
    </comment>
    <comment ref="AF12" authorId="0" shapeId="0">
      <text>
        <t>추정: 이자발생자산 151억 × 1.36%(주석 이자수익 ÷ 평균 이자발생자산(2025Q3~2026Q2)) − 총차입금 815억 × 3.81%(주석 이자비용 ÷ 평균 총차입금(2025Q3~2026Q2)) (연율) ÷ 4
[abs]</t>
      </text>
    </comment>
    <comment ref="AG12" authorId="0" shapeId="0">
      <text>
        <t>추정: 이자발생자산 145억 × 1.36%(주석 이자수익 ÷ 평균 이자발생자산(2025Q3~2026Q2)) − 총차입금 815억 × 3.81%(주석 이자비용 ÷ 평균 총차입금(2025Q3~2026Q2)) (연율) ÷ 4
[abs]</t>
      </text>
    </comment>
    <comment ref="AH12" authorId="0" shapeId="0">
      <text>
        <t>추정: 이자발생자산 138억 × 1.36%(주석 이자수익 ÷ 평균 이자발생자산(2025Q3~2026Q2)) − 총차입금 815억 × 3.81%(주석 이자비용 ÷ 평균 총차입금(2025Q3~2026Q2)) (연율) ÷ 4
[abs]</t>
      </text>
    </comment>
    <comment ref="AI12" authorId="0" shapeId="0">
      <text>
        <t>추정: 이자발생자산 131억 × 1.36%(주석 이자수익 ÷ 평균 이자발생자산(2025Q3~2026Q2)) − 총차입금 815억 × 3.81%(주석 이자비용 ÷ 평균 총차입금(2025Q3~2026Q2)) (연율) ÷ 4
[abs]</t>
      </text>
    </comment>
    <comment ref="AK12" authorId="0" shapeId="0">
      <text>
        <t>추정: 이자발생자산 124억 × 1.36%(주석 이자수익 ÷ 평균 이자발생자산(2025Q3~2026Q2)) − 총차입금 815억 × 3.81%(주석 이자비용 ÷ 평균 총차입금(2025Q3~2026Q2)) (연율) ÷ 4
[abs]</t>
      </text>
    </comment>
    <comment ref="AL12" authorId="0" shapeId="0">
      <text>
        <t>추정: 이자발생자산 117억 × 1.36%(주석 이자수익 ÷ 평균 이자발생자산(2025Q3~2026Q2)) − 총차입금 815억 × 3.81%(주석 이자비용 ÷ 평균 총차입금(2025Q3~2026Q2)) (연율) ÷ 4
[abs]</t>
      </text>
    </comment>
    <comment ref="AM12" authorId="0" shapeId="0">
      <text>
        <t>추정: 이자발생자산 110억 × 1.36%(주석 이자수익 ÷ 평균 이자발생자산(2025Q3~2026Q2)) − 총차입금 815억 × 3.81%(주석 이자비용 ÷ 평균 총차입금(2025Q3~2026Q2)) (연율) ÷ 4
[abs]</t>
      </text>
    </comment>
    <comment ref="AN12" authorId="0" shapeId="0">
      <text>
        <t>추정: 이자발생자산 103억 × 1.36%(주석 이자수익 ÷ 평균 이자발생자산(2025Q3~2026Q2)) − 총차입금 815억 × 3.81%(주석 이자비용 ÷ 평균 총차입금(2025Q3~2026Q2)) (연율) ÷ 4
[abs]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D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R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T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R15" authorId="0" shapeId="0">
      <text>
        <t>실측(계정 매핑 없음 — 모델값 직접) — fin.cons.is.금융손익 − 이자손익 − 외환손익 − 파생상품손익(잔차)</t>
      </text>
    </comment>
    <comment ref="S15" authorId="0" shapeId="0">
      <text>
        <t>실측(계정 매핑 없음 — 모델값 직접) — fin.cons.is.금융손익 − 이자손익 − 외환손익 − 파생상품손익(잔차)</t>
      </text>
    </comment>
    <comment ref="T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추정(가정 셀 참조 불가 — 기준값 없음, 모델값 직접): 잔차 실측 3분기 &lt; 4 → 0</t>
      </text>
    </comment>
    <comment ref="AD15" authorId="0" shapeId="0">
      <text>
        <t>추정(가정 셀 참조 불가 — 기준값 없음, 모델값 직접): 잔차 실측 3분기 &lt; 4 → 0</t>
      </text>
    </comment>
    <comment ref="AF15" authorId="0" shapeId="0">
      <text>
        <t>추정(가정 셀 참조 불가 — 기준값 없음, 모델값 직접): 잔차 실측 3분기 &lt; 4 → 0</t>
      </text>
    </comment>
    <comment ref="AG15" authorId="0" shapeId="0">
      <text>
        <t>추정(가정 셀 참조 불가 — 기준값 없음, 모델값 직접): 잔차 실측 3분기 &lt; 4 → 0</t>
      </text>
    </comment>
    <comment ref="AH15" authorId="0" shapeId="0">
      <text>
        <t>추정(가정 셀 참조 불가 — 기준값 없음, 모델값 직접): 잔차 실측 3분기 &lt; 4 → 0</t>
      </text>
    </comment>
    <comment ref="AI15" authorId="0" shapeId="0">
      <text>
        <t>추정(가정 셀 참조 불가 — 기준값 없음, 모델값 직접): 잔차 실측 3분기 &lt; 4 → 0</t>
      </text>
    </comment>
    <comment ref="AK15" authorId="0" shapeId="0">
      <text>
        <t>추정(가정 셀 참조 불가 — 기준값 없음, 모델값 직접): 잔차 실측 3분기 &lt; 4 → 0</t>
      </text>
    </comment>
    <comment ref="AL15" authorId="0" shapeId="0">
      <text>
        <t>추정(가정 셀 참조 불가 — 기준값 없음, 모델값 직접): 잔차 실측 3분기 &lt; 4 → 0</t>
      </text>
    </comment>
    <comment ref="AM15" authorId="0" shapeId="0">
      <text>
        <t>추정(가정 셀 참조 불가 — 기준값 없음, 모델값 직접): 잔차 실측 3분기 &lt; 4 → 0</t>
      </text>
    </comment>
    <comment ref="AN15" authorId="0" shapeId="0">
      <text>
        <t>추정(가정 셀 참조 불가 — 기준값 없음, 모델값 직접): 잔차 실측 3분기 &lt; 4 → 0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fin.cons.is.(지배주주지분)당기순이익</t>
      </text>
    </comment>
    <comment ref="T20" authorId="0" shapeId="0">
      <text>
        <t>실측(BS연결 시트에 (지배주주지분)당기순이익 2024.12 값 없음 — 모델값 직접) — fin.cons.is.(지배주주지분)당기순이익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추정(가정 셀 참조 불가 — 기준값 없음, 모델값 직접): 최근 4분기 감가상각비 중위 유지</t>
      </text>
    </comment>
    <comment ref="AD21" authorId="0" shapeId="0">
      <text>
        <t>추정(가정 셀 참조 불가 — 기준값 없음, 모델값 직접): 최근 4분기 감가상각비 중위 유지</t>
      </text>
    </comment>
    <comment ref="AF21" authorId="0" shapeId="0">
      <text>
        <t>추정(가정 셀 참조 불가 — 기준값 없음, 모델값 직접): 최근 4분기 감가상각비 중위 유지</t>
      </text>
    </comment>
    <comment ref="AG21" authorId="0" shapeId="0">
      <text>
        <t>추정(가정 셀 참조 불가 — 기준값 없음, 모델값 직접): 최근 4분기 감가상각비 중위 유지</t>
      </text>
    </comment>
    <comment ref="AH21" authorId="0" shapeId="0">
      <text>
        <t>추정: 최근 4분기 감가상각비 중위 유지
[yoy]</t>
      </text>
    </comment>
    <comment ref="AI21" authorId="0" shapeId="0">
      <text>
        <t>추정: 최근 4분기 감가상각비 중위 유지
[yoy]</t>
      </text>
    </comment>
    <comment ref="AK21" authorId="0" shapeId="0">
      <text>
        <t>추정: 최근 4분기 감가상각비 중위 유지
[yoy]</t>
      </text>
    </comment>
    <comment ref="AL21" authorId="0" shapeId="0">
      <text>
        <t>추정: 최근 4분기 감가상각비 중위 유지
[yoy]</t>
      </text>
    </comment>
    <comment ref="AM21" authorId="0" shapeId="0">
      <text>
        <t>추정: 최근 4분기 감가상각비 중위 유지
[yoy]</t>
      </text>
    </comment>
    <comment ref="AN21" authorId="0" shapeId="0">
      <text>
        <t>추정: 최근 4분기 감가상각비 중위 유지
[yoy]</t>
      </text>
    </comment>
    <comment ref="E22" authorId="0" shapeId="0">
      <text>
        <t>실측(계정 매핑 없음 — 모델값 직접) — 영업이익 + 감가상각비(CF)</t>
      </text>
    </comment>
    <comment ref="G22" authorId="0" shapeId="0">
      <text>
        <t>실측(계정 매핑 없음 — 모델값 직접) — 영업이익 + 감가상각비(CF)</t>
      </text>
    </comment>
    <comment ref="H22" authorId="0" shapeId="0">
      <text>
        <t>실측(계정 매핑 없음 — 모델값 직접) — 영업이익 + 감가상각비(CF)</t>
      </text>
    </comment>
    <comment ref="I22" authorId="0" shapeId="0">
      <text>
        <t>실측(계정 매핑 없음 — 모델값 직접) — 영업이익 + 감가상각비(CF)</t>
      </text>
    </comment>
    <comment ref="J22" authorId="0" shapeId="0">
      <text>
        <t>실측(계정 매핑 없음 — 모델값 직접) — 영업이익 + 감가상각비(CF)</t>
      </text>
    </comment>
    <comment ref="L22" authorId="0" shapeId="0">
      <text>
        <t>실측(계정 매핑 없음 — 모델값 직접) — 영업이익 + 감가상각비(CF)</t>
      </text>
    </comment>
    <comment ref="M22" authorId="0" shapeId="0">
      <text>
        <t>실측(계정 매핑 없음 — 모델값 직접) — 영업이익 + 감가상각비(CF)</t>
      </text>
    </comment>
    <comment ref="AC22" authorId="0" shapeId="0">
      <text>
        <t>추정(가정 셀 참조 불가 — 기준값 없음, 모델값 직접): 영업이익 + 감가상각비</t>
      </text>
    </comment>
    <comment ref="AD22" authorId="0" shapeId="0">
      <text>
        <t>추정(가정 셀 참조 불가 — 기준값 없음, 모델값 직접): 영업이익 + 감가상각비</t>
      </text>
    </comment>
    <comment ref="AF22" authorId="0" shapeId="0">
      <text>
        <t>추정(가정 셀 참조 불가 — 기준값 없음, 모델값 직접): 영업이익 + 감가상각비</t>
      </text>
    </comment>
    <comment ref="AG22" authorId="0" shapeId="0">
      <text>
        <t>추정(가정 셀 참조 불가 — 기준값 없음, 모델값 직접): 영업이익 + 감가상각비</t>
      </text>
    </comment>
    <comment ref="AH22" authorId="0" shapeId="0">
      <text>
        <t>추정: 영업이익 + 감가상각비
[yoy]</t>
      </text>
    </comment>
    <comment ref="AI22" authorId="0" shapeId="0">
      <text>
        <t>추정: 영업이익 + 감가상각비
[yoy]</t>
      </text>
    </comment>
    <comment ref="AK22" authorId="0" shapeId="0">
      <text>
        <t>추정: 영업이익 + 감가상각비
[yoy]</t>
      </text>
    </comment>
    <comment ref="AL22" authorId="0" shapeId="0">
      <text>
        <t>추정: 영업이익 + 감가상각비
[yoy]</t>
      </text>
    </comment>
    <comment ref="AM22" authorId="0" shapeId="0">
      <text>
        <t>추정: 영업이익 + 감가상각비
[yoy]</t>
      </text>
    </comment>
    <comment ref="AN22" authorId="0" shapeId="0">
      <text>
        <t>추정: 영업이익 + 감가상각비
[yoy]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(순이익 − 배당): 순이익 = 순현금 증가 가정(CAPEX≈감가, 운전자본 불변)
[qoq]</t>
      </text>
    </comment>
    <comment ref="AD28" authorId="0" shapeId="0">
      <text>
        <t>추정: 전분기 − (순이익 − 배당): 순이익 = 순현금 증가 가정(CAPEX≈감가, 운전자본 불변)
[qoq]</t>
      </text>
    </comment>
    <comment ref="AF28" authorId="0" shapeId="0">
      <text>
        <t>추정: 전분기 − (순이익 − 배당): 순이익 = 순현금 증가 가정(CAPEX≈감가, 운전자본 불변)
[qoq]</t>
      </text>
    </comment>
    <comment ref="AG28" authorId="0" shapeId="0">
      <text>
        <t>추정: 전분기 − (순이익 − 배당): 순이익 = 순현금 증가 가정(CAPEX≈감가, 운전자본 불변)
[qoq]</t>
      </text>
    </comment>
    <comment ref="AH28" authorId="0" shapeId="0">
      <text>
        <t>추정: 전분기 − (순이익 − 배당): 순이익 = 순현금 증가 가정(CAPEX≈감가, 운전자본 불변)
[qoq]</t>
      </text>
    </comment>
    <comment ref="AI28" authorId="0" shapeId="0">
      <text>
        <t>추정: 전분기 − (순이익 − 배당): 순이익 = 순현금 증가 가정(CAPEX≈감가, 운전자본 불변)
[qoq]</t>
      </text>
    </comment>
    <comment ref="AK28" authorId="0" shapeId="0">
      <text>
        <t>추정: 전분기 − (순이익 − 배당): 순이익 = 순현금 증가 가정(CAPEX≈감가, 운전자본 불변)
[qoq]</t>
      </text>
    </comment>
    <comment ref="AL28" authorId="0" shapeId="0">
      <text>
        <t>추정: 전분기 − (순이익 − 배당): 순이익 = 순현금 증가 가정(CAPEX≈감가, 운전자본 불변)
[qoq]</t>
      </text>
    </comment>
    <comment ref="AM28" authorId="0" shapeId="0">
      <text>
        <t>추정: 전분기 − (순이익 − 배당): 순이익 = 순현금 증가 가정(CAPEX≈감가, 운전자본 불변)
[qoq]</t>
      </text>
    </comment>
    <comment ref="AN28" authorId="0" shapeId="0">
      <text>
        <t>추정: 전분기 − (순이익 − 배당): 순이익 = 순현금 증가 가정(CAPEX≈감가, 운전자본 불변)
[qoq]</t>
      </text>
    </comment>
    <comment ref="AC29" authorId="0" shapeId="0">
      <text>
        <t>추정: 전분기 + (순이익 − 배당) — 순차입금 롤과 같은 가정
[qoq]</t>
      </text>
    </comment>
    <comment ref="AD29" authorId="0" shapeId="0">
      <text>
        <t>추정: 전분기 + (순이익 − 배당) — 순차입금 롤과 같은 가정
[qoq]</t>
      </text>
    </comment>
    <comment ref="AF29" authorId="0" shapeId="0">
      <text>
        <t>추정: 전분기 + (순이익 − 배당) — 순차입금 롤과 같은 가정
[qoq]</t>
      </text>
    </comment>
    <comment ref="AG29" authorId="0" shapeId="0">
      <text>
        <t>추정: 전분기 + (순이익 − 배당) — 순차입금 롤과 같은 가정
[qoq]</t>
      </text>
    </comment>
    <comment ref="AH29" authorId="0" shapeId="0">
      <text>
        <t>추정: 전분기 + (순이익 − 배당) — 순차입금 롤과 같은 가정
[qoq]</t>
      </text>
    </comment>
    <comment ref="AI29" authorId="0" shapeId="0">
      <text>
        <t>추정: 전분기 + (순이익 − 배당) — 순차입금 롤과 같은 가정
[qoq]</t>
      </text>
    </comment>
    <comment ref="AK29" authorId="0" shapeId="0">
      <text>
        <t>추정: 전분기 + (순이익 − 배당) — 순차입금 롤과 같은 가정
[qoq]</t>
      </text>
    </comment>
    <comment ref="AL29" authorId="0" shapeId="0">
      <text>
        <t>추정: 전분기 + (순이익 − 배당) — 순차입금 롤과 같은 가정
[qoq]</t>
      </text>
    </comment>
    <comment ref="AM29" authorId="0" shapeId="0">
      <text>
        <t>추정: 전분기 + (순이익 − 배당) — 순차입금 롤과 같은 가정
[qoq]</t>
      </text>
    </comment>
    <comment ref="AN29" authorId="0" shapeId="0">
      <text>
        <t>추정: 전분기 + (순이익 − 배당) — 순차입금 롤과 같은 가정
[qoq]</t>
      </text>
    </comment>
    <comment ref="E32" authorId="0" shapeId="0">
      <text>
        <t>실측(계정 매핑 없음 — 모델값 직접) — fin.cons.cf.영업활동으로인한현금흐름</t>
      </text>
    </comment>
    <comment ref="G32" authorId="0" shapeId="0">
      <text>
        <t>실측(계정 매핑 없음 — 모델값 직접) — fin.cons.cf.영업활동으로인한현금흐름</t>
      </text>
    </comment>
    <comment ref="H32" authorId="0" shapeId="0">
      <text>
        <t>실측(계정 매핑 없음 — 모델값 직접) — fin.cons.cf.영업활동으로인한현금흐름</t>
      </text>
    </comment>
    <comment ref="I32" authorId="0" shapeId="0">
      <text>
        <t>실측(계정 매핑 없음 — 모델값 직접) — fin.cons.cf.영업활동으로인한현금흐름</t>
      </text>
    </comment>
    <comment ref="J32" authorId="0" shapeId="0">
      <text>
        <t>실측(계정 매핑 없음 — 모델값 직접) — fin.cons.cf.영업활동으로인한현금흐름</t>
      </text>
    </comment>
    <comment ref="L32" authorId="0" shapeId="0">
      <text>
        <t>실측(계정 매핑 없음 — 모델값 직접) — fin.cons.cf.영업활동으로인한현금흐름</t>
      </text>
    </comment>
    <comment ref="M32" authorId="0" shapeId="0">
      <text>
        <t>실측(계정 매핑 없음 — 모델값 직접) — fin.cons.cf.영업활동으로인한현금흐름</t>
      </text>
    </comment>
    <comment ref="N32" authorId="0" shapeId="0">
      <text>
        <t>실측(계정 매핑 없음 — 모델값 직접) — fin.cons.cf.영업활동으로인한현금흐름</t>
      </text>
    </comment>
    <comment ref="O32" authorId="0" shapeId="0">
      <text>
        <t>실측(계정 매핑 없음 — 모델값 직접) — fin.cons.cf.영업활동으로인한현금흐름</t>
      </text>
    </comment>
    <comment ref="Q32" authorId="0" shapeId="0">
      <text>
        <t>실측(계정 매핑 없음 — 모델값 직접) — fin.cons.cf.영업활동으로인한현금흐름</t>
      </text>
    </comment>
    <comment ref="R32" authorId="0" shapeId="0">
      <text>
        <t>실측(계정 매핑 없음 — 모델값 직접) — fin.cons.cf.영업활동으로인한현금흐름</t>
      </text>
    </comment>
    <comment ref="S32" authorId="0" shapeId="0">
      <text>
        <t>실측(계정 매핑 없음 — 모델값 직접) — fin.cons.cf.영업활동으로인한현금흐름</t>
      </text>
    </comment>
    <comment ref="T32" authorId="0" shapeId="0">
      <text>
        <t>실측(계정 매핑 없음 — 모델값 직접) — fin.cons.cf.영업활동으로인한현금흐름</t>
      </text>
    </comment>
    <comment ref="V32" authorId="0" shapeId="0">
      <text>
        <t>실측(계정 매핑 없음 — 모델값 직접) — fin.cons.cf.영업활동으로인한현금흐름</t>
      </text>
    </comment>
    <comment ref="W32" authorId="0" shapeId="0">
      <text>
        <t>실측(계정 매핑 없음 — 모델값 직접) — fin.cons.cf.영업활동으로인한현금흐름</t>
      </text>
    </comment>
    <comment ref="X32" authorId="0" shapeId="0">
      <text>
        <t>실측(계정 매핑 없음 — 모델값 직접) — fin.cons.cf.영업활동으로인한현금흐름</t>
      </text>
    </comment>
    <comment ref="Y32" authorId="0" shapeId="0">
      <text>
        <t>실측(계정 매핑 없음 — 모델값 직접) — fin.cons.cf.영업활동으로인한현금흐름</t>
      </text>
    </comment>
    <comment ref="AA32" authorId="0" shapeId="0">
      <text>
        <t>실측(계정 매핑 없음 — 모델값 직접) — fin.cons.cf.영업활동으로인한현금흐름</t>
      </text>
    </comment>
    <comment ref="AB32" authorId="0" shapeId="0">
      <text>
        <t>실측(계정 매핑 없음 — 모델값 직접) — fin.cons.cf.영업활동으로인한현금흐름</t>
      </text>
    </comment>
    <comment ref="E33" authorId="0" shapeId="0">
      <text>
        <t>실측(계정 매핑 없음 — 모델값 직접) — fin.shares.common_outstanding</t>
      </text>
    </comment>
    <comment ref="G33" authorId="0" shapeId="0">
      <text>
        <t>실측(계정 매핑 없음 — 모델값 직접) — fin.shares.common_outstanding</t>
      </text>
    </comment>
    <comment ref="H33" authorId="0" shapeId="0">
      <text>
        <t>실측(계정 매핑 없음 — 모델값 직접) — fin.shares.common_outstanding</t>
      </text>
    </comment>
    <comment ref="I33" authorId="0" shapeId="0">
      <text>
        <t>실측(계정 매핑 없음 — 모델값 직접) — fin.shares.common_outstanding</t>
      </text>
    </comment>
    <comment ref="J33" authorId="0" shapeId="0">
      <text>
        <t>실측(계정 매핑 없음 — 모델값 직접) — fin.shares.common_outstanding</t>
      </text>
    </comment>
    <comment ref="L33" authorId="0" shapeId="0">
      <text>
        <t>실측(계정 매핑 없음 — 모델값 직접) — fin.shares.common_outstanding</t>
      </text>
    </comment>
    <comment ref="M33" authorId="0" shapeId="0">
      <text>
        <t>실측(계정 매핑 없음 — 모델값 직접) — fin.shares.common_outstanding</t>
      </text>
    </comment>
    <comment ref="N33" authorId="0" shapeId="0">
      <text>
        <t>실측(계정 매핑 없음 — 모델값 직접) — fin.shares.common_outstanding</t>
      </text>
    </comment>
    <comment ref="O33" authorId="0" shapeId="0">
      <text>
        <t>실측(계정 매핑 없음 — 모델값 직접) — fin.shares.common_outstanding</t>
      </text>
    </comment>
    <comment ref="Q33" authorId="0" shapeId="0">
      <text>
        <t>실측(계정 매핑 없음 — 모델값 직접) — fin.shares.common_outstanding</t>
      </text>
    </comment>
    <comment ref="R33" authorId="0" shapeId="0">
      <text>
        <t>실측(계정 매핑 없음 — 모델값 직접) — fin.shares.common_outstanding</t>
      </text>
    </comment>
    <comment ref="S33" authorId="0" shapeId="0">
      <text>
        <t>실측(계정 매핑 없음 — 모델값 직접) — fin.shares.common_outstanding</t>
      </text>
    </comment>
    <comment ref="T33" authorId="0" shapeId="0">
      <text>
        <t>실측(계정 매핑 없음 — 모델값 직접) — fin.shares.common_outstanding</t>
      </text>
    </comment>
    <comment ref="V33" authorId="0" shapeId="0">
      <text>
        <t>실측(계정 매핑 없음 — 모델값 직접) — fin.shares.common_outstanding</t>
      </text>
    </comment>
    <comment ref="W33" authorId="0" shapeId="0">
      <text>
        <t>실측(계정 매핑 없음 — 모델값 직접) — fin.shares.common_outstanding</t>
      </text>
    </comment>
    <comment ref="X33" authorId="0" shapeId="0">
      <text>
        <t>실측(계정 매핑 없음 — 모델값 직접) — fin.shares.common_outstanding</t>
      </text>
    </comment>
    <comment ref="Y33" authorId="0" shapeId="0">
      <text>
        <t>실측(계정 매핑 없음 — 모델값 직접) — fin.shares.common_outstanding</t>
      </text>
    </comment>
    <comment ref="AA33" authorId="0" shapeId="0">
      <text>
        <t>실측(계정 매핑 없음 — 모델값 직접) — fin.shares.common_outstanding</t>
      </text>
    </comment>
    <comment ref="AB33" authorId="0" shapeId="0">
      <text>
        <t>실측(계정 매핑 없음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 — 모델값 직접) — fin.dividend.dps_common(연간, Q4 에 표기)</t>
      </text>
    </comment>
    <comment ref="O36" authorId="0" shapeId="0">
      <text>
        <t>실측(계정 매핑 없음 — 모델값 직접) — fin.dividend.dps_common(연간, Q4 에 표기)</t>
      </text>
    </comment>
    <comment ref="T36" authorId="0" shapeId="0">
      <text>
        <t>실측(계정 매핑 없음 — 모델값 직접) — fin.dividend.dps_common(연간, Q4 에 표기)</t>
      </text>
    </comment>
    <comment ref="Y36" authorId="0" shapeId="0">
      <text>
        <t>실측(계정 매핑 없음 — 모델값 직접) — fin.dividend.dps_common(연간, Q4 에 표기)</t>
      </text>
    </comment>
    <comment ref="AD36" authorId="0" shapeId="0">
      <text>
        <t>추정(가정 셀 참조 불가 — 기준값 없음, 모델값 직접): 직전 결산 DPS 0원 유지</t>
      </text>
    </comment>
    <comment ref="AI36" authorId="0" shapeId="0">
      <text>
        <t>추정(가정 셀 참조 불가 — 기준값 없음, 모델값 직접): 직전 결산 DPS 0원 유지</t>
      </text>
    </comment>
    <comment ref="AN36" authorId="0" shapeId="0">
      <text>
        <t>추정(가정 셀 참조 불가 — 기준값 없음, 모델값 직접): 직전 결산 DPS 0원 유지</t>
      </text>
    </comment>
    <comment ref="N37" authorId="0" shapeId="0">
      <text>
        <t>실측(계정 매핑 없음 — 모델값 직접) — 토스 일봉 분기 평균 ÷ TTM EPS</t>
      </text>
    </comment>
    <comment ref="O37" authorId="0" shapeId="0">
      <text>
        <t>실측(계정 매핑 없음 — 모델값 직접) — 토스 일봉 분기 평균 ÷ TTM EPS</t>
      </text>
    </comment>
    <comment ref="Q37" authorId="0" shapeId="0">
      <text>
        <t>실측(계정 매핑 없음 — 모델값 직접) — 토스 일봉 분기 평균 ÷ TTM EPS</t>
      </text>
    </comment>
    <comment ref="R37" authorId="0" shapeId="0">
      <text>
        <t>실측(계정 매핑 없음 — 모델값 직접) — 토스 일봉 분기 평균 ÷ TTM EPS</t>
      </text>
    </comment>
    <comment ref="S37" authorId="0" shapeId="0">
      <text>
        <t>실측(계정 매핑 없음 — 모델값 직접) — 토스 일봉 분기 평균 ÷ TTM EPS</t>
      </text>
    </comment>
    <comment ref="AB37" authorId="0" shapeId="0">
      <text>
        <t>실측(계정 매핑 없음 — 모델값 직접) — 토스 일봉 분기 평균 ÷ TTM EPS</t>
      </text>
    </comment>
    <comment ref="E38" authorId="0" shapeId="0">
      <text>
        <t>실측(계정 매핑 없음 — 모델값 직접) — 토스 일봉 분기 평균 ÷ BPS</t>
      </text>
    </comment>
    <comment ref="F38" authorId="0" shapeId="0">
      <text>
        <t>연간(actual) — 분기 미완 연도, 모델 a 값 직접</t>
      </text>
    </comment>
    <comment ref="G38" authorId="0" shapeId="0">
      <text>
        <t>실측(계정 매핑 없음 — 모델값 직접) — 토스 일봉 분기 평균 ÷ BPS</t>
      </text>
    </comment>
    <comment ref="H38" authorId="0" shapeId="0">
      <text>
        <t>실측(계정 매핑 없음 — 모델값 직접) — 토스 일봉 분기 평균 ÷ BPS</t>
      </text>
    </comment>
    <comment ref="I38" authorId="0" shapeId="0">
      <text>
        <t>실측(계정 매핑 없음 — 모델값 직접) — 토스 일봉 분기 평균 ÷ BPS</t>
      </text>
    </comment>
    <comment ref="J38" authorId="0" shapeId="0">
      <text>
        <t>실측(계정 매핑 없음 — 모델값 직접) — 토스 일봉 분기 평균 ÷ BPS</t>
      </text>
    </comment>
    <comment ref="L38" authorId="0" shapeId="0">
      <text>
        <t>실측(계정 매핑 없음 — 모델값 직접) — 토스 일봉 분기 평균 ÷ BPS</t>
      </text>
    </comment>
    <comment ref="M38" authorId="0" shapeId="0">
      <text>
        <t>실측(계정 매핑 없음 — 모델값 직접) — 토스 일봉 분기 평균 ÷ BPS</t>
      </text>
    </comment>
    <comment ref="N38" authorId="0" shapeId="0">
      <text>
        <t>실측(계정 매핑 없음 — 모델값 직접) — 토스 일봉 분기 평균 ÷ BPS</t>
      </text>
    </comment>
    <comment ref="O38" authorId="0" shapeId="0">
      <text>
        <t>실측(계정 매핑 없음 — 모델값 직접) — 토스 일봉 분기 평균 ÷ BPS</t>
      </text>
    </comment>
    <comment ref="Q38" authorId="0" shapeId="0">
      <text>
        <t>실측(계정 매핑 없음 — 모델값 직접) — 토스 일봉 분기 평균 ÷ BPS</t>
      </text>
    </comment>
    <comment ref="R38" authorId="0" shapeId="0">
      <text>
        <t>실측(계정 매핑 없음 — 모델값 직접) — 토스 일봉 분기 평균 ÷ BPS</t>
      </text>
    </comment>
    <comment ref="S38" authorId="0" shapeId="0">
      <text>
        <t>실측(계정 매핑 없음 — 모델값 직접) — 토스 일봉 분기 평균 ÷ BPS</t>
      </text>
    </comment>
    <comment ref="T38" authorId="0" shapeId="0">
      <text>
        <t>실측(계정 매핑 없음 — 모델값 직접) — 토스 일봉 분기 평균 ÷ BPS</t>
      </text>
    </comment>
    <comment ref="V38" authorId="0" shapeId="0">
      <text>
        <t>실측(계정 매핑 없음 — 모델값 직접) — 토스 일봉 분기 평균 ÷ BPS</t>
      </text>
    </comment>
    <comment ref="W38" authorId="0" shapeId="0">
      <text>
        <t>실측(계정 매핑 없음 — 모델값 직접) — 토스 일봉 분기 평균 ÷ BPS</t>
      </text>
    </comment>
    <comment ref="X38" authorId="0" shapeId="0">
      <text>
        <t>실측(계정 매핑 없음 — 모델값 직접) — 토스 일봉 분기 평균 ÷ BPS</t>
      </text>
    </comment>
    <comment ref="Y38" authorId="0" shapeId="0">
      <text>
        <t>실측(계정 매핑 없음 — 모델값 직접) — 토스 일봉 분기 평균 ÷ BPS</t>
      </text>
    </comment>
    <comment ref="AA38" authorId="0" shapeId="0">
      <text>
        <t>실측(계정 매핑 없음 — 모델값 직접) — 토스 일봉 분기 평균 ÷ BPS</t>
      </text>
    </comment>
    <comment ref="AB38" authorId="0" shapeId="0">
      <text>
        <t>실측(계정 매핑 없음 — 모델값 직접) — 토스 일봉 분기 평균 ÷ BPS</t>
      </text>
    </comment>
    <comment ref="AC38" authorId="0" shapeId="0">
      <text>
        <t>추정: 현재 종가 ÷ BPS(추정 포함)
[yoy]</t>
      </text>
    </comment>
    <comment ref="AD38" authorId="0" shapeId="0">
      <text>
        <t>추정: 현재 종가 ÷ BPS(추정 포함)
[yoy]</t>
      </text>
    </comment>
    <comment ref="AF38" authorId="0" shapeId="0">
      <text>
        <t>추정: 현재 종가 ÷ BPS(추정 포함)
[yoy]</t>
      </text>
    </comment>
    <comment ref="AG38" authorId="0" shapeId="0">
      <text>
        <t>추정: 현재 종가 ÷ BPS(추정 포함)
[yoy]</t>
      </text>
    </comment>
    <comment ref="AH38" authorId="0" shapeId="0">
      <text>
        <t>추정: 현재 종가 ÷ BPS(추정 포함)
[yoy]</t>
      </text>
    </comment>
    <comment ref="AI38" authorId="0" shapeId="0">
      <text>
        <t>추정: 현재 종가 ÷ BPS(추정 포함)
[yoy]</t>
      </text>
    </comment>
    <comment ref="AK38" authorId="0" shapeId="0">
      <text>
        <t>추정: 현재 종가 ÷ BPS(추정 포함)
[yoy]</t>
      </text>
    </comment>
    <comment ref="AL38" authorId="0" shapeId="0">
      <text>
        <t>추정: 현재 종가 ÷ BPS(추정 포함)
[yoy]</t>
      </text>
    </comment>
    <comment ref="AM38" authorId="0" shapeId="0">
      <text>
        <t>추정: 현재 종가 ÷ BPS(추정 포함)
[yoy]</t>
      </text>
    </comment>
    <comment ref="AN38" authorId="0" shapeId="0">
      <text>
        <t>추정: 현재 종가 ÷ BPS(추정 포함)
[yoy]</t>
      </text>
    </comment>
    <comment ref="E39" authorId="0" shapeId="0">
      <text>
        <t>실측(계정 매핑 없음 — 모델값 직접) — = 매출액(부문 미분리)</t>
      </text>
    </comment>
    <comment ref="G39" authorId="0" shapeId="0">
      <text>
        <t>실측(계정 매핑 없음 — 모델값 직접) — = 매출액(부문 미분리)</t>
      </text>
    </comment>
    <comment ref="H39" authorId="0" shapeId="0">
      <text>
        <t>실측(계정 매핑 없음 — 모델값 직접) — = 매출액(부문 미분리)</t>
      </text>
    </comment>
    <comment ref="I39" authorId="0" shapeId="0">
      <text>
        <t>실측(계정 매핑 없음 — 모델값 직접) — = 매출액(부문 미분리)</t>
      </text>
    </comment>
    <comment ref="J39" authorId="0" shapeId="0">
      <text>
        <t>실측(계정 매핑 없음 — 모델값 직접) — = 매출액(부문 미분리)</t>
      </text>
    </comment>
    <comment ref="L39" authorId="0" shapeId="0">
      <text>
        <t>실측(계정 매핑 없음 — 모델값 직접) — = 매출액(부문 미분리)</t>
      </text>
    </comment>
    <comment ref="M39" authorId="0" shapeId="0">
      <text>
        <t>실측(계정 매핑 없음 — 모델값 직접) — = 매출액(부문 미분리)</t>
      </text>
    </comment>
    <comment ref="N39" authorId="0" shapeId="0">
      <text>
        <t>실측(계정 매핑 없음 — 모델값 직접) — = 매출액(부문 미분리)</t>
      </text>
    </comment>
    <comment ref="O39" authorId="0" shapeId="0">
      <text>
        <t>실측(계정 매핑 없음 — 모델값 직접) — = 매출액(부문 미분리)</t>
      </text>
    </comment>
    <comment ref="Q39" authorId="0" shapeId="0">
      <text>
        <t>실측(계정 매핑 없음 — 모델값 직접) — = 매출액(부문 미분리)</t>
      </text>
    </comment>
    <comment ref="R39" authorId="0" shapeId="0">
      <text>
        <t>실측(계정 매핑 없음 — 모델값 직접) — = 매출액(부문 미분리)</t>
      </text>
    </comment>
    <comment ref="S39" authorId="0" shapeId="0">
      <text>
        <t>실측(계정 매핑 없음 — 모델값 직접) — = 매출액(부문 미분리)</t>
      </text>
    </comment>
    <comment ref="T39" authorId="0" shapeId="0">
      <text>
        <t>실측(계정 매핑 없음 — 모델값 직접) — = 매출액(부문 미분리)</t>
      </text>
    </comment>
    <comment ref="V39" authorId="0" shapeId="0">
      <text>
        <t>실측(계정 매핑 없음 — 모델값 직접) — = 매출액(부문 미분리)</t>
      </text>
    </comment>
    <comment ref="W39" authorId="0" shapeId="0">
      <text>
        <t>실측(계정 매핑 없음 — 모델값 직접) — = 매출액(부문 미분리)</t>
      </text>
    </comment>
    <comment ref="X39" authorId="0" shapeId="0">
      <text>
        <t>실측(계정 매핑 없음 — 모델값 직접) — = 매출액(부문 미분리)</t>
      </text>
    </comment>
    <comment ref="Y39" authorId="0" shapeId="0">
      <text>
        <t>실측(계정 매핑 없음 — 모델값 직접) — = 매출액(부문 미분리)</t>
      </text>
    </comment>
    <comment ref="AA39" authorId="0" shapeId="0">
      <text>
        <t>실측(계정 매핑 없음 — 모델값 직접) — = 매출액(부문 미분리)</t>
      </text>
    </comment>
    <comment ref="AB39" authorId="0" shapeId="0">
      <text>
        <t>실측(계정 매핑 없음 — 모델값 직접) — = 매출액(부문 미분리)</t>
      </text>
    </comment>
    <comment ref="AC39" authorId="0" shapeId="0">
      <text>
        <t>추정: = 매출액 추정(부문 미분리)
[ratio]</t>
      </text>
    </comment>
    <comment ref="AD39" authorId="0" shapeId="0">
      <text>
        <t>추정: = 매출액 추정(부문 미분리)
[ratio]</t>
      </text>
    </comment>
    <comment ref="AF39" authorId="0" shapeId="0">
      <text>
        <t>추정: = 매출액 추정(부문 미분리)
[ratio]</t>
      </text>
    </comment>
    <comment ref="AG39" authorId="0" shapeId="0">
      <text>
        <t>추정: = 매출액 추정(부문 미분리)
[ratio]</t>
      </text>
    </comment>
    <comment ref="AH39" authorId="0" shapeId="0">
      <text>
        <t>추정: = 매출액 추정(부문 미분리)
[ratio]</t>
      </text>
    </comment>
    <comment ref="AI39" authorId="0" shapeId="0">
      <text>
        <t>추정: = 매출액 추정(부문 미분리)
[ratio]</t>
      </text>
    </comment>
    <comment ref="AK39" authorId="0" shapeId="0">
      <text>
        <t>추정: = 매출액 추정(부문 미분리)
[ratio]</t>
      </text>
    </comment>
    <comment ref="AL39" authorId="0" shapeId="0">
      <text>
        <t>추정: = 매출액 추정(부문 미분리)
[ratio]</t>
      </text>
    </comment>
    <comment ref="AM39" authorId="0" shapeId="0">
      <text>
        <t>추정: = 매출액 추정(부문 미분리)
[ratio]</t>
      </text>
    </comment>
    <comment ref="AN39" authorId="0" shapeId="0">
      <text>
        <t>추정: = 매출액 추정(부문 미분리)
[ratio]</t>
      </text>
    </comment>
    <comment ref="E40" authorId="0" shapeId="0">
      <text>
        <t>실측(계정 매핑 없음 — 모델값 직접) — = 영업이익(부문 미분리)</t>
      </text>
    </comment>
    <comment ref="G40" authorId="0" shapeId="0">
      <text>
        <t>실측(계정 매핑 없음 — 모델값 직접) — = 영업이익(부문 미분리)</t>
      </text>
    </comment>
    <comment ref="H40" authorId="0" shapeId="0">
      <text>
        <t>실측(계정 매핑 없음 — 모델값 직접) — = 영업이익(부문 미분리)</t>
      </text>
    </comment>
    <comment ref="I40" authorId="0" shapeId="0">
      <text>
        <t>실측(계정 매핑 없음 — 모델값 직접) — = 영업이익(부문 미분리)</t>
      </text>
    </comment>
    <comment ref="J40" authorId="0" shapeId="0">
      <text>
        <t>실측(계정 매핑 없음 — 모델값 직접) — = 영업이익(부문 미분리)</t>
      </text>
    </comment>
    <comment ref="L40" authorId="0" shapeId="0">
      <text>
        <t>실측(계정 매핑 없음 — 모델값 직접) — = 영업이익(부문 미분리)</t>
      </text>
    </comment>
    <comment ref="M40" authorId="0" shapeId="0">
      <text>
        <t>실측(계정 매핑 없음 — 모델값 직접) — = 영업이익(부문 미분리)</t>
      </text>
    </comment>
    <comment ref="N40" authorId="0" shapeId="0">
      <text>
        <t>실측(계정 매핑 없음 — 모델값 직접) — = 영업이익(부문 미분리)</t>
      </text>
    </comment>
    <comment ref="O40" authorId="0" shapeId="0">
      <text>
        <t>실측(계정 매핑 없음 — 모델값 직접) — = 영업이익(부문 미분리)</t>
      </text>
    </comment>
    <comment ref="Q40" authorId="0" shapeId="0">
      <text>
        <t>실측(계정 매핑 없음 — 모델값 직접) — = 영업이익(부문 미분리)</t>
      </text>
    </comment>
    <comment ref="R40" authorId="0" shapeId="0">
      <text>
        <t>실측(계정 매핑 없음 — 모델값 직접) — = 영업이익(부문 미분리)</t>
      </text>
    </comment>
    <comment ref="S40" authorId="0" shapeId="0">
      <text>
        <t>실측(계정 매핑 없음 — 모델값 직접) — = 영업이익(부문 미분리)</t>
      </text>
    </comment>
    <comment ref="T40" authorId="0" shapeId="0">
      <text>
        <t>실측(계정 매핑 없음 — 모델값 직접) — = 영업이익(부문 미분리)</t>
      </text>
    </comment>
    <comment ref="V40" authorId="0" shapeId="0">
      <text>
        <t>실측(계정 매핑 없음 — 모델값 직접) — = 영업이익(부문 미분리)</t>
      </text>
    </comment>
    <comment ref="W40" authorId="0" shapeId="0">
      <text>
        <t>실측(계정 매핑 없음 — 모델값 직접) — = 영업이익(부문 미분리)</t>
      </text>
    </comment>
    <comment ref="X40" authorId="0" shapeId="0">
      <text>
        <t>실측(계정 매핑 없음 — 모델값 직접) — = 영업이익(부문 미분리)</t>
      </text>
    </comment>
    <comment ref="Y40" authorId="0" shapeId="0">
      <text>
        <t>실측(계정 매핑 없음 — 모델값 직접) — = 영업이익(부문 미분리)</t>
      </text>
    </comment>
    <comment ref="AA40" authorId="0" shapeId="0">
      <text>
        <t>실측(계정 매핑 없음 — 모델값 직접) — = 영업이익(부문 미분리)</t>
      </text>
    </comment>
    <comment ref="AB40" authorId="0" shapeId="0">
      <text>
        <t>실측(계정 매핑 없음 — 모델값 직접) — = 영업이익(부문 미분리)</t>
      </text>
    </comment>
    <comment ref="AC40" authorId="0" shapeId="0">
      <text>
        <t>추정: = 매출액 × OPM(부문 미분리)
[ratio]</t>
      </text>
    </comment>
    <comment ref="AD40" authorId="0" shapeId="0">
      <text>
        <t>추정: = 매출액 × OPM(부문 미분리)
[ratio]</t>
      </text>
    </comment>
    <comment ref="AF40" authorId="0" shapeId="0">
      <text>
        <t>추정: = 매출액 × OPM(부문 미분리)
[ratio]</t>
      </text>
    </comment>
    <comment ref="AG40" authorId="0" shapeId="0">
      <text>
        <t>추정: = 매출액 × OPM(부문 미분리)
[ratio]</t>
      </text>
    </comment>
    <comment ref="AH40" authorId="0" shapeId="0">
      <text>
        <t>추정: = 매출액 × OPM(부문 미분리)
[ratio]</t>
      </text>
    </comment>
    <comment ref="AI40" authorId="0" shapeId="0">
      <text>
        <t>추정: = 매출액 × OPM(부문 미분리)
[ratio]</t>
      </text>
    </comment>
    <comment ref="AK40" authorId="0" shapeId="0">
      <text>
        <t>추정: = 매출액 × OPM(부문 미분리)
[ratio]</t>
      </text>
    </comment>
    <comment ref="AL40" authorId="0" shapeId="0">
      <text>
        <t>추정: = 매출액 × OPM(부문 미분리)
[ratio]</t>
      </text>
    </comment>
    <comment ref="AM40" authorId="0" shapeId="0">
      <text>
        <t>추정: = 매출액 × OPM(부문 미분리)
[ratio]</t>
      </text>
    </comment>
    <comment ref="AN40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assets/models/096350.json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2024Q3, 2024Q4</t>
        </is>
      </c>
    </row>
    <row r="22">
      <c r="A22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2278.4</v>
      </c>
      <c r="Y18" s="18" t="n">
        <v>2252.4</v>
      </c>
      <c r="Z18" s="9" t="n"/>
      <c r="AA18" s="18" t="n">
        <v>2469.6</v>
      </c>
      <c r="AB18" s="19" t="n">
        <v>2517.8</v>
      </c>
      <c r="AC18" s="20" t="n">
        <v>1800.6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0.195237</v>
      </c>
      <c r="AD21" s="24" t="n">
        <v>0.363746</v>
      </c>
      <c r="AE21" s="25" t="n"/>
      <c r="AF21" s="24" t="n">
        <v>0.029809</v>
      </c>
      <c r="AG21" s="24" t="n">
        <v>0.183794</v>
      </c>
      <c r="AH21" s="24" t="n">
        <v>0.18137</v>
      </c>
      <c r="AI21" s="24" t="n">
        <v>0.190321</v>
      </c>
      <c r="AJ21" s="25" t="n"/>
      <c r="AK21" s="24" t="n">
        <v>0.216901</v>
      </c>
      <c r="AL21" s="24" t="n">
        <v>0.247439</v>
      </c>
      <c r="AM21" s="24" t="n">
        <v>0.26321</v>
      </c>
      <c r="AN21" s="24" t="n">
        <v>0.244948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0.129676</v>
      </c>
      <c r="AD22" s="24" t="n">
        <v>0.129672</v>
      </c>
      <c r="AE22" s="25">
        <f>IFERROR(subQ!AE8/subQ!AE5,"")</f>
        <v/>
      </c>
      <c r="AF22" s="24" t="n">
        <v>0.129656</v>
      </c>
      <c r="AG22" s="24" t="n">
        <v>0.129669</v>
      </c>
      <c r="AH22" s="24" t="n">
        <v>0.129665</v>
      </c>
      <c r="AI22" s="24" t="n">
        <v>0.129666</v>
      </c>
      <c r="AJ22" s="25">
        <f>IFERROR(subQ!AJ8/subQ!AJ5,"")</f>
        <v/>
      </c>
      <c r="AK22" s="24" t="n">
        <v>0.12968</v>
      </c>
      <c r="AL22" s="24" t="n">
        <v>0.129657</v>
      </c>
      <c r="AM22" s="24" t="n">
        <v>0.129673</v>
      </c>
      <c r="AN22" s="24" t="n">
        <v>0.129684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0.001219</v>
      </c>
      <c r="AD23" s="24" t="n">
        <v>0.001238</v>
      </c>
      <c r="AE23" s="25">
        <f>IFERROR(subQ!AE9/subQ!AE5,"")</f>
        <v/>
      </c>
      <c r="AF23" s="24" t="n">
        <v>0.001234</v>
      </c>
      <c r="AG23" s="24" t="n">
        <v>0.001208</v>
      </c>
      <c r="AH23" s="24" t="n">
        <v>0.001238</v>
      </c>
      <c r="AI23" s="24" t="n">
        <v>0.001213</v>
      </c>
      <c r="AJ23" s="25">
        <f>IFERROR(subQ!AJ9/subQ!AJ5,"")</f>
        <v/>
      </c>
      <c r="AK23" s="24" t="n">
        <v>0.001239</v>
      </c>
      <c r="AL23" s="24" t="n">
        <v>0.001219</v>
      </c>
      <c r="AM23" s="24" t="n">
        <v>0.001209</v>
      </c>
      <c r="AN23" s="24" t="n">
        <v>0.001225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-0.98243</v>
      </c>
      <c r="AD24" s="24" t="n">
        <v>-0.875</v>
      </c>
      <c r="AE24" s="25" t="n"/>
      <c r="AF24" s="24" t="n">
        <v>-0.982808</v>
      </c>
      <c r="AG24" s="24" t="n">
        <v>-1.166667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-7.19</v>
      </c>
      <c r="AD25" s="29" t="n">
        <v>-7.22</v>
      </c>
      <c r="AE25" s="30">
        <f>subQ!AE11</f>
        <v/>
      </c>
      <c r="AF25" s="29" t="n">
        <v>-7.24</v>
      </c>
      <c r="AG25" s="29" t="n">
        <v>-7.27</v>
      </c>
      <c r="AH25" s="29" t="n">
        <v>-7.29</v>
      </c>
      <c r="AI25" s="29" t="n">
        <v>-7.31</v>
      </c>
      <c r="AJ25" s="30">
        <f>subQ!AJ11</f>
        <v/>
      </c>
      <c r="AK25" s="29" t="n">
        <v>-7.34</v>
      </c>
      <c r="AL25" s="29" t="n">
        <v>-7.36</v>
      </c>
      <c r="AM25" s="29" t="n">
        <v>-7.38</v>
      </c>
      <c r="AN25" s="29" t="n">
        <v>-7.41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-7.19</v>
      </c>
      <c r="AD26" s="29" t="n">
        <v>-7.22</v>
      </c>
      <c r="AE26" s="30">
        <f>subQ!AE12</f>
        <v/>
      </c>
      <c r="AF26" s="29" t="n">
        <v>-7.24</v>
      </c>
      <c r="AG26" s="29" t="n">
        <v>-7.27</v>
      </c>
      <c r="AH26" s="29" t="n">
        <v>-7.29</v>
      </c>
      <c r="AI26" s="29" t="n">
        <v>-7.31</v>
      </c>
      <c r="AJ26" s="30">
        <f>subQ!AJ12</f>
        <v/>
      </c>
      <c r="AK26" s="29" t="n">
        <v>-7.34</v>
      </c>
      <c r="AL26" s="29" t="n">
        <v>-7.36</v>
      </c>
      <c r="AM26" s="29" t="n">
        <v>-7.38</v>
      </c>
      <c r="AN26" s="29" t="n">
        <v>-7.41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31" t="n"/>
      <c r="AD27" s="31" t="n"/>
      <c r="AE27" s="25" t="n"/>
      <c r="AF27" s="31" t="n"/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2">
        <f>IFERROR(subQ!F18/subQ!F17,"")</f>
        <v/>
      </c>
      <c r="G31" s="21">
        <f>IFERROR(subQ!G18/subQ!G17,"")</f>
        <v/>
      </c>
      <c r="H31" s="21">
        <f>IFERROR(subQ!H18/subQ!H17,"")</f>
        <v/>
      </c>
      <c r="I31" s="21">
        <f>IFERROR(subQ!I18/subQ!I17,"")</f>
        <v/>
      </c>
      <c r="J31" s="21">
        <f>IFERROR(subQ!J18/subQ!J17,"")</f>
        <v/>
      </c>
      <c r="K31" s="22">
        <f>IFERROR(subQ!K18/subQ!K17,"")</f>
        <v/>
      </c>
      <c r="L31" s="21">
        <f>IFERROR(subQ!L18/subQ!L17,"")</f>
        <v/>
      </c>
      <c r="M31" s="21">
        <f>IFERROR(subQ!M18/subQ!M17,"")</f>
        <v/>
      </c>
      <c r="N31" s="21">
        <f>IFERROR(subQ!N18/subQ!N17,"")</f>
        <v/>
      </c>
      <c r="O31" s="21">
        <f>IFERROR(subQ!O18/subQ!O17,"")</f>
        <v/>
      </c>
      <c r="P31" s="22">
        <f>IFERROR(subQ!P18/subQ!P17,"")</f>
        <v/>
      </c>
      <c r="Q31" s="21">
        <f>IFERROR(subQ!Q18/subQ!Q17,"")</f>
        <v/>
      </c>
      <c r="R31" s="21">
        <f>IFERROR(subQ!R18/subQ!R17,"")</f>
        <v/>
      </c>
      <c r="S31" s="21">
        <f>IFERROR(subQ!S18/subQ!S17,"")</f>
        <v/>
      </c>
      <c r="T31" s="21">
        <f>IFERROR(subQ!T18/subQ!T17,"")</f>
        <v/>
      </c>
      <c r="U31" s="22">
        <f>IFERROR(subQ!U18/subQ!U17,"")</f>
        <v/>
      </c>
      <c r="V31" s="21">
        <f>IFERROR(subQ!V18/subQ!V17,"")</f>
        <v/>
      </c>
      <c r="W31" s="21">
        <f>IFERROR(subQ!W18/subQ!W17,"")</f>
        <v/>
      </c>
      <c r="X31" s="21">
        <f>IFERROR(subQ!X18/subQ!X17,"")</f>
        <v/>
      </c>
      <c r="Y31" s="21">
        <f>IFERROR(subQ!Y18/subQ!Y17,"")</f>
        <v/>
      </c>
      <c r="Z31" s="22">
        <f>IFERROR(subQ!Z18/subQ!Z17,"")</f>
        <v/>
      </c>
      <c r="AA31" s="21">
        <f>IFERROR(subQ!AA18/subQ!AA17,"")</f>
        <v/>
      </c>
      <c r="AB31" s="23">
        <f>IFERROR(subQ!AB18/subQ!AB17,"")</f>
        <v/>
      </c>
      <c r="AC31" s="24" t="n">
        <v>-0</v>
      </c>
      <c r="AD31" s="24" t="n">
        <v>-0</v>
      </c>
      <c r="AE31" s="25">
        <f>IFERROR(subQ!AE18/subQ!AE17,"")</f>
        <v/>
      </c>
      <c r="AF31" s="24" t="n">
        <v>-0</v>
      </c>
      <c r="AG31" s="24" t="n">
        <v>-0</v>
      </c>
      <c r="AH31" s="24" t="n">
        <v>-0</v>
      </c>
      <c r="AI31" s="24" t="n">
        <v>-0</v>
      </c>
      <c r="AJ31" s="25">
        <f>IFERROR(subQ!AJ18/subQ!AJ17,"")</f>
        <v/>
      </c>
      <c r="AK31" s="24" t="n">
        <v>-0</v>
      </c>
      <c r="AL31" s="24" t="n">
        <v>-0</v>
      </c>
      <c r="AM31" s="24" t="n">
        <v>-0</v>
      </c>
      <c r="AN31" s="24" t="n">
        <v>-0</v>
      </c>
      <c r="AO31" s="25">
        <f>IFERROR(subQ!AO18/subQ!AO17,"")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2">
        <f>IFERROR(subQ!F20/subQ!F19,"")</f>
        <v/>
      </c>
      <c r="G32" s="21">
        <f>IFERROR(subQ!G20/subQ!G19,"")</f>
        <v/>
      </c>
      <c r="H32" s="21">
        <f>IFERROR(subQ!H20/subQ!H19,"")</f>
        <v/>
      </c>
      <c r="I32" s="21">
        <f>IFERROR(subQ!I20/subQ!I19,"")</f>
        <v/>
      </c>
      <c r="J32" s="21">
        <f>IFERROR(subQ!J20/subQ!J19,"")</f>
        <v/>
      </c>
      <c r="K32" s="22">
        <f>IFERROR(subQ!K20/subQ!K19,"")</f>
        <v/>
      </c>
      <c r="L32" s="21">
        <f>IFERROR(subQ!L20/subQ!L19,"")</f>
        <v/>
      </c>
      <c r="M32" s="21">
        <f>IFERROR(subQ!M20/subQ!M19,"")</f>
        <v/>
      </c>
      <c r="N32" s="21">
        <f>IFERROR(subQ!N20/subQ!N19,"")</f>
        <v/>
      </c>
      <c r="O32" s="21">
        <f>IFERROR(subQ!O20/subQ!O19,"")</f>
        <v/>
      </c>
      <c r="P32" s="22">
        <f>IFERROR(subQ!P20/subQ!P19,"")</f>
        <v/>
      </c>
      <c r="Q32" s="21">
        <f>IFERROR(subQ!Q20/subQ!Q19,"")</f>
        <v/>
      </c>
      <c r="R32" s="21">
        <f>IFERROR(subQ!R20/subQ!R19,"")</f>
        <v/>
      </c>
      <c r="S32" s="21">
        <f>IFERROR(subQ!S20/subQ!S19,"")</f>
        <v/>
      </c>
      <c r="T32" s="21">
        <f>IFERROR(subQ!T20/subQ!T19,"")</f>
        <v/>
      </c>
      <c r="U32" s="22">
        <f>IFERROR(subQ!U20/subQ!U19,"")</f>
        <v/>
      </c>
      <c r="V32" s="21">
        <f>IFERROR(subQ!V20/subQ!V19,"")</f>
        <v/>
      </c>
      <c r="W32" s="21">
        <f>IFERROR(subQ!W20/subQ!W19,"")</f>
        <v/>
      </c>
      <c r="X32" s="21">
        <f>IFERROR(subQ!X20/subQ!X19,"")</f>
        <v/>
      </c>
      <c r="Y32" s="21">
        <f>IFERROR(subQ!Y20/subQ!Y19,"")</f>
        <v/>
      </c>
      <c r="Z32" s="22">
        <f>IFERROR(subQ!Z20/subQ!Z19,"")</f>
        <v/>
      </c>
      <c r="AA32" s="21">
        <f>IFERROR(subQ!AA20/subQ!AA19,"")</f>
        <v/>
      </c>
      <c r="AB32" s="23">
        <f>IFERROR(subQ!AB20/subQ!AB19,"")</f>
        <v/>
      </c>
      <c r="AC32" s="24" t="n">
        <v>1</v>
      </c>
      <c r="AD32" s="24" t="n">
        <v>1</v>
      </c>
      <c r="AE32" s="25">
        <f>IFERROR(subQ!AE20/subQ!AE19,"")</f>
        <v/>
      </c>
      <c r="AF32" s="24" t="n">
        <v>1</v>
      </c>
      <c r="AG32" s="24" t="n">
        <v>1</v>
      </c>
      <c r="AH32" s="24" t="n">
        <v>1</v>
      </c>
      <c r="AI32" s="24" t="n">
        <v>1</v>
      </c>
      <c r="AJ32" s="25">
        <f>IFERROR(subQ!AJ20/subQ!AJ19,"")</f>
        <v/>
      </c>
      <c r="AK32" s="24" t="n">
        <v>1</v>
      </c>
      <c r="AL32" s="24" t="n">
        <v>1</v>
      </c>
      <c r="AM32" s="24" t="n">
        <v>1</v>
      </c>
      <c r="AN32" s="24" t="n">
        <v>1</v>
      </c>
      <c r="AO32" s="25">
        <f>IFERROR(subQ!AO20/subQ!AO19,"")</f>
        <v/>
      </c>
    </row>
    <row r="33">
      <c r="A33" s="12" t="inlineStr">
        <is>
          <t>drv:감가상각비</t>
        </is>
      </c>
      <c r="B33" s="2" t="inlineStr">
        <is>
          <t>yoy</t>
        </is>
      </c>
      <c r="C33" t="inlineStr">
        <is>
          <t>감가상각비 YoY</t>
        </is>
      </c>
      <c r="E33" s="21" t="n"/>
      <c r="F33" s="22" t="n"/>
      <c r="G33" s="21" t="n"/>
      <c r="H33" s="21" t="n"/>
      <c r="I33" s="21" t="n"/>
      <c r="J33" s="21">
        <f>IFERROR(subQ!J21/subQ!E21-1,"")</f>
        <v/>
      </c>
      <c r="K33" s="22" t="n"/>
      <c r="L33" s="21">
        <f>IFERROR(subQ!L21/subQ!G21-1,"")</f>
        <v/>
      </c>
      <c r="M33" s="21">
        <f>IFERROR(subQ!M21/subQ!H21-1,"")</f>
        <v/>
      </c>
      <c r="N33" s="21">
        <f>IFERROR(subQ!N21/subQ!I21-1,"")</f>
        <v/>
      </c>
      <c r="O33" s="21">
        <f>IFERROR(subQ!O21/subQ!J21-1,"")</f>
        <v/>
      </c>
      <c r="P33" s="22" t="n"/>
      <c r="Q33" s="21">
        <f>IFERROR(subQ!Q21/subQ!L21-1,"")</f>
        <v/>
      </c>
      <c r="R33" s="21">
        <f>IFERROR(subQ!R21/subQ!M21-1,"")</f>
        <v/>
      </c>
      <c r="S33" s="21">
        <f>IFERROR(subQ!S21/subQ!N21-1,"")</f>
        <v/>
      </c>
      <c r="T33" s="21">
        <f>IFERROR(subQ!T21/subQ!O21-1,"")</f>
        <v/>
      </c>
      <c r="U33" s="22" t="n"/>
      <c r="V33" s="21">
        <f>IFERROR(subQ!V21/subQ!Q21-1,"")</f>
        <v/>
      </c>
      <c r="W33" s="21">
        <f>IFERROR(subQ!W21/subQ!R21-1,"")</f>
        <v/>
      </c>
      <c r="X33" s="21">
        <f>IFERROR(subQ!X21/subQ!S21-1,"")</f>
        <v/>
      </c>
      <c r="Y33" s="21">
        <f>IFERROR(subQ!Y21/subQ!T21-1,"")</f>
        <v/>
      </c>
      <c r="Z33" s="22" t="n"/>
      <c r="AA33" s="21">
        <f>IFERROR(subQ!AA21/subQ!V21-1,"")</f>
        <v/>
      </c>
      <c r="AB33" s="23">
        <f>IFERROR(subQ!AB21/subQ!W21-1,"")</f>
        <v/>
      </c>
      <c r="AC33" s="31" t="n"/>
      <c r="AD33" s="31" t="n"/>
      <c r="AE33" s="25" t="n"/>
      <c r="AF33" s="31" t="n"/>
      <c r="AG33" s="31" t="n"/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drv:EBITDA</t>
        </is>
      </c>
      <c r="B34" s="2" t="inlineStr">
        <is>
          <t>yoy</t>
        </is>
      </c>
      <c r="C34" t="inlineStr">
        <is>
          <t>EBITDA YoY</t>
        </is>
      </c>
      <c r="E34" s="21" t="n"/>
      <c r="F34" s="22" t="n"/>
      <c r="G34" s="21" t="n"/>
      <c r="H34" s="21" t="n"/>
      <c r="I34" s="21" t="n"/>
      <c r="J34" s="21">
        <f>IFERROR(subQ!J22/subQ!E22-1,"")</f>
        <v/>
      </c>
      <c r="K34" s="22" t="n"/>
      <c r="L34" s="21">
        <f>IFERROR(subQ!L22/subQ!G22-1,"")</f>
        <v/>
      </c>
      <c r="M34" s="21">
        <f>IFERROR(subQ!M22/subQ!H22-1,"")</f>
        <v/>
      </c>
      <c r="N34" s="21">
        <f>IFERROR(subQ!N22/subQ!I22-1,"")</f>
        <v/>
      </c>
      <c r="O34" s="21">
        <f>IFERROR(subQ!O22/subQ!J22-1,"")</f>
        <v/>
      </c>
      <c r="P34" s="22" t="n"/>
      <c r="Q34" s="21">
        <f>IFERROR(subQ!Q22/subQ!L22-1,"")</f>
        <v/>
      </c>
      <c r="R34" s="21">
        <f>IFERROR(subQ!R22/subQ!M22-1,"")</f>
        <v/>
      </c>
      <c r="S34" s="21">
        <f>IFERROR(subQ!S22/subQ!N22-1,"")</f>
        <v/>
      </c>
      <c r="T34" s="21">
        <f>IFERROR(subQ!T22/subQ!O22-1,"")</f>
        <v/>
      </c>
      <c r="U34" s="22" t="n"/>
      <c r="V34" s="21">
        <f>IFERROR(subQ!V22/subQ!Q22-1,"")</f>
        <v/>
      </c>
      <c r="W34" s="21">
        <f>IFERROR(subQ!W22/subQ!R22-1,"")</f>
        <v/>
      </c>
      <c r="X34" s="21">
        <f>IFERROR(subQ!X22/subQ!S22-1,"")</f>
        <v/>
      </c>
      <c r="Y34" s="21">
        <f>IFERROR(subQ!Y22/subQ!T22-1,"")</f>
        <v/>
      </c>
      <c r="Z34" s="22" t="n"/>
      <c r="AA34" s="21">
        <f>IFERROR(subQ!AA22/subQ!V22-1,"")</f>
        <v/>
      </c>
      <c r="AB34" s="23">
        <f>IFERROR(subQ!AB22/subQ!W22-1,"")</f>
        <v/>
      </c>
      <c r="AC34" s="31" t="n"/>
      <c r="AD34" s="31" t="n"/>
      <c r="AE34" s="25" t="n"/>
      <c r="AF34" s="31" t="n"/>
      <c r="AG34" s="31" t="n"/>
      <c r="AH34" s="24" t="n">
        <v>0.017857</v>
      </c>
      <c r="AI34" s="24" t="n">
        <v>0.017544</v>
      </c>
      <c r="AJ34" s="25" t="n"/>
      <c r="AK34" s="24" t="n">
        <v>0.021277</v>
      </c>
      <c r="AL34" s="24" t="n">
        <v>0.024823</v>
      </c>
      <c r="AM34" s="24" t="n">
        <v>0.02807</v>
      </c>
      <c r="AN34" s="24" t="n">
        <v>0.031034</v>
      </c>
      <c r="AO34" s="25" t="n"/>
    </row>
    <row r="35">
      <c r="A35" s="12" t="inlineStr">
        <is>
          <t>drv:부채총계</t>
        </is>
      </c>
      <c r="B35" s="2" t="inlineStr">
        <is>
          <t>qoq</t>
        </is>
      </c>
      <c r="C35" t="inlineStr">
        <is>
          <t>부채총계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-1e-06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drv:자본총계</t>
        </is>
      </c>
      <c r="B36" s="2" t="inlineStr">
        <is>
          <t>roll</t>
        </is>
      </c>
      <c r="C36" t="inlineStr">
        <is>
          <t>자본총계 기타변동(배당 등, 억원)</t>
        </is>
      </c>
      <c r="E36" s="26" t="n"/>
      <c r="F36" s="27" t="n"/>
      <c r="G36" s="26">
        <f>IFERROR(subQ!E25+subQ!G19-subQ!G25,"")</f>
        <v/>
      </c>
      <c r="H36" s="26">
        <f>IFERROR(subQ!G25+subQ!H19-subQ!H25,"")</f>
        <v/>
      </c>
      <c r="I36" s="26">
        <f>IFERROR(subQ!H25+subQ!I19-subQ!I25,"")</f>
        <v/>
      </c>
      <c r="J36" s="26">
        <f>IFERROR(subQ!I25+subQ!J19-subQ!J25,"")</f>
        <v/>
      </c>
      <c r="K36" s="27" t="n"/>
      <c r="L36" s="26">
        <f>IFERROR(subQ!J25+subQ!L19-subQ!L25,"")</f>
        <v/>
      </c>
      <c r="M36" s="26">
        <f>IFERROR(subQ!L25+subQ!M19-subQ!M25,"")</f>
        <v/>
      </c>
      <c r="N36" s="26">
        <f>IFERROR(subQ!M25+subQ!N19-subQ!N25,"")</f>
        <v/>
      </c>
      <c r="O36" s="26">
        <f>IFERROR(subQ!N25+subQ!O19-subQ!O25,"")</f>
        <v/>
      </c>
      <c r="P36" s="27" t="n"/>
      <c r="Q36" s="26">
        <f>IFERROR(subQ!O25+subQ!Q19-subQ!Q25,"")</f>
        <v/>
      </c>
      <c r="R36" s="26">
        <f>IFERROR(subQ!Q25+subQ!R19-subQ!R25,"")</f>
        <v/>
      </c>
      <c r="S36" s="26">
        <f>IFERROR(subQ!R25+subQ!S19-subQ!S25,"")</f>
        <v/>
      </c>
      <c r="T36" s="26">
        <f>IFERROR(subQ!S25+subQ!T19-subQ!T25,"")</f>
        <v/>
      </c>
      <c r="U36" s="27" t="n"/>
      <c r="V36" s="26">
        <f>IFERROR(subQ!T25+subQ!V19-subQ!V25,"")</f>
        <v/>
      </c>
      <c r="W36" s="26">
        <f>IFERROR(subQ!V25+subQ!W19-subQ!W25,"")</f>
        <v/>
      </c>
      <c r="X36" s="26">
        <f>IFERROR(subQ!W25+subQ!X19-subQ!X25,"")</f>
        <v/>
      </c>
      <c r="Y36" s="26">
        <f>IFERROR(subQ!X25+subQ!Y19-subQ!Y25,"")</f>
        <v/>
      </c>
      <c r="Z36" s="27" t="n"/>
      <c r="AA36" s="26">
        <f>IFERROR(subQ!Y25+subQ!AA19-subQ!AA25,"")</f>
        <v/>
      </c>
      <c r="AB36" s="28">
        <f>IFERROR(subQ!AA25+subQ!AB19-subQ!AB25,"")</f>
        <v/>
      </c>
      <c r="AC36" s="29" t="n">
        <v>0.0033</v>
      </c>
      <c r="AD36" s="29" t="n">
        <v>0</v>
      </c>
      <c r="AE36" s="30" t="n"/>
      <c r="AF36" s="29" t="n">
        <v>0.01</v>
      </c>
      <c r="AG36" s="29" t="n">
        <v>-0</v>
      </c>
      <c r="AH36" s="29" t="n">
        <v>0</v>
      </c>
      <c r="AI36" s="29" t="n">
        <v>0.01</v>
      </c>
      <c r="AJ36" s="30" t="n"/>
      <c r="AK36" s="29" t="n">
        <v>0</v>
      </c>
      <c r="AL36" s="29" t="n">
        <v>0</v>
      </c>
      <c r="AM36" s="29" t="n">
        <v>0</v>
      </c>
      <c r="AN36" s="29" t="n">
        <v>0</v>
      </c>
      <c r="AO36" s="30" t="n"/>
    </row>
    <row r="37">
      <c r="A37" s="12" t="inlineStr">
        <is>
          <t>drv:지배주주지분</t>
        </is>
      </c>
      <c r="B37" s="2" t="inlineStr">
        <is>
          <t>roll</t>
        </is>
      </c>
      <c r="C37" t="inlineStr">
        <is>
          <t>지배주주지분 기타변동(배당 등, 억원)</t>
        </is>
      </c>
      <c r="E37" s="26" t="n"/>
      <c r="F37" s="27" t="n"/>
      <c r="G37" s="26">
        <f>IFERROR(subQ!E26+subQ!G20-subQ!G26,"")</f>
        <v/>
      </c>
      <c r="H37" s="26">
        <f>IFERROR(subQ!G26+subQ!H20-subQ!H26,"")</f>
        <v/>
      </c>
      <c r="I37" s="26">
        <f>IFERROR(subQ!H26+subQ!I20-subQ!I26,"")</f>
        <v/>
      </c>
      <c r="J37" s="26">
        <f>IFERROR(subQ!I26+subQ!J20-subQ!J26,"")</f>
        <v/>
      </c>
      <c r="K37" s="27" t="n"/>
      <c r="L37" s="26">
        <f>IFERROR(subQ!J26+subQ!L20-subQ!L26,"")</f>
        <v/>
      </c>
      <c r="M37" s="26">
        <f>IFERROR(subQ!L26+subQ!M20-subQ!M26,"")</f>
        <v/>
      </c>
      <c r="N37" s="26">
        <f>IFERROR(subQ!M26+subQ!N20-subQ!N26,"")</f>
        <v/>
      </c>
      <c r="O37" s="26">
        <f>IFERROR(subQ!N26+subQ!O20-subQ!O26,"")</f>
        <v/>
      </c>
      <c r="P37" s="27" t="n"/>
      <c r="Q37" s="26">
        <f>IFERROR(subQ!O26+subQ!Q20-subQ!Q26,"")</f>
        <v/>
      </c>
      <c r="R37" s="26">
        <f>IFERROR(subQ!Q26+subQ!R20-subQ!R26,"")</f>
        <v/>
      </c>
      <c r="S37" s="26">
        <f>IFERROR(subQ!R26+subQ!S20-subQ!S26,"")</f>
        <v/>
      </c>
      <c r="T37" s="26">
        <f>IFERROR(subQ!S26+subQ!T20-subQ!T26,"")</f>
        <v/>
      </c>
      <c r="U37" s="27" t="n"/>
      <c r="V37" s="26">
        <f>IFERROR(subQ!T26+subQ!V20-subQ!V26,"")</f>
        <v/>
      </c>
      <c r="W37" s="26">
        <f>IFERROR(subQ!V26+subQ!W20-subQ!W26,"")</f>
        <v/>
      </c>
      <c r="X37" s="26">
        <f>IFERROR(subQ!W26+subQ!X20-subQ!X26,"")</f>
        <v/>
      </c>
      <c r="Y37" s="26">
        <f>IFERROR(subQ!X26+subQ!Y20-subQ!Y26,"")</f>
        <v/>
      </c>
      <c r="Z37" s="27" t="n"/>
      <c r="AA37" s="26">
        <f>IFERROR(subQ!Y26+subQ!AA20-subQ!AA26,"")</f>
        <v/>
      </c>
      <c r="AB37" s="28">
        <f>IFERROR(subQ!AA26+subQ!AB20-subQ!AB26,"")</f>
        <v/>
      </c>
      <c r="AC37" s="29" t="n">
        <v>0.0007</v>
      </c>
      <c r="AD37" s="29" t="n">
        <v>0.01</v>
      </c>
      <c r="AE37" s="30" t="n"/>
      <c r="AF37" s="29" t="n">
        <v>-0</v>
      </c>
      <c r="AG37" s="29" t="n">
        <v>0</v>
      </c>
      <c r="AH37" s="29" t="n">
        <v>0.01</v>
      </c>
      <c r="AI37" s="29" t="n">
        <v>0</v>
      </c>
      <c r="AJ37" s="30" t="n"/>
      <c r="AK37" s="29" t="n">
        <v>0</v>
      </c>
      <c r="AL37" s="29" t="n">
        <v>0</v>
      </c>
      <c r="AM37" s="29" t="n">
        <v>0</v>
      </c>
      <c r="AN37" s="29" t="n">
        <v>0</v>
      </c>
      <c r="AO37" s="30" t="n"/>
    </row>
    <row r="38">
      <c r="A38" s="12" t="inlineStr">
        <is>
          <t>drv:총차입금</t>
        </is>
      </c>
      <c r="B38" s="2" t="inlineStr">
        <is>
          <t>qoq</t>
        </is>
      </c>
      <c r="C38" t="inlineStr">
        <is>
          <t>총차입금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4e-06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drv:순차입금</t>
        </is>
      </c>
      <c r="B39" s="2" t="inlineStr">
        <is>
          <t>qoq</t>
        </is>
      </c>
      <c r="C39" t="inlineStr">
        <is>
          <t>순차입금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0.010658</v>
      </c>
      <c r="AD39" s="24" t="n">
        <v>0.01051</v>
      </c>
      <c r="AE39" s="25" t="n"/>
      <c r="AF39" s="24" t="n">
        <v>0.01049</v>
      </c>
      <c r="AG39" s="24" t="n">
        <v>0.010396</v>
      </c>
      <c r="AH39" s="24" t="n">
        <v>0.010289</v>
      </c>
      <c r="AI39" s="24" t="n">
        <v>0.010155</v>
      </c>
      <c r="AJ39" s="25" t="n"/>
      <c r="AK39" s="24" t="n">
        <v>0.010111</v>
      </c>
      <c r="AL39" s="24" t="n">
        <v>0.010024</v>
      </c>
      <c r="AM39" s="24" t="n">
        <v>0.009911</v>
      </c>
      <c r="AN39" s="24" t="n">
        <v>0.009757</v>
      </c>
      <c r="AO39" s="25" t="n"/>
    </row>
    <row r="40">
      <c r="A40" s="12" t="inlineStr">
        <is>
          <t>drv:이자발생자산</t>
        </is>
      </c>
      <c r="B40" s="2" t="inlineStr">
        <is>
          <t>qoq</t>
        </is>
      </c>
      <c r="C40" t="inlineStr">
        <is>
          <t>이자발생자산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-0.041972</v>
      </c>
      <c r="AD40" s="24" t="n">
        <v>-0.043744</v>
      </c>
      <c r="AE40" s="25" t="n"/>
      <c r="AF40" s="24" t="n">
        <v>-0.04601</v>
      </c>
      <c r="AG40" s="24" t="n">
        <v>-0.048367</v>
      </c>
      <c r="AH40" s="24" t="n">
        <v>-0.050898</v>
      </c>
      <c r="AI40" s="24" t="n">
        <v>-0.053321</v>
      </c>
      <c r="AJ40" s="25" t="n"/>
      <c r="AK40" s="24" t="n">
        <v>-0.056729</v>
      </c>
      <c r="AL40" s="24" t="n">
        <v>-0.060226</v>
      </c>
      <c r="AM40" s="24" t="n">
        <v>-0.063995</v>
      </c>
      <c r="AN40" s="24" t="n">
        <v>-0.06798</v>
      </c>
      <c r="AO40" s="25" t="n"/>
    </row>
    <row r="41">
      <c r="A41" s="12" t="inlineStr">
        <is>
          <t>drv:현금및현금성자산</t>
        </is>
      </c>
      <c r="B41" s="2" t="inlineStr">
        <is>
          <t>qoq</t>
        </is>
      </c>
      <c r="C41" t="inlineStr">
        <is>
          <t>현금및현금성자산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drv:CAPEX</t>
        </is>
      </c>
      <c r="B42" s="2" t="inlineStr">
        <is>
          <t>yoy</t>
        </is>
      </c>
      <c r="C42" t="inlineStr">
        <is>
          <t>CAPEX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drv:영업활동현금흐름</t>
        </is>
      </c>
      <c r="B43" s="2" t="inlineStr">
        <is>
          <t>yoy</t>
        </is>
      </c>
      <c r="C43" t="inlineStr">
        <is>
          <t>영업활동현금흐름 YoY</t>
        </is>
      </c>
      <c r="E43" s="21" t="n"/>
      <c r="F43" s="22" t="n"/>
      <c r="G43" s="21" t="n"/>
      <c r="H43" s="21" t="n"/>
      <c r="I43" s="21" t="n"/>
      <c r="J43" s="21">
        <f>IFERROR(subQ!J32/subQ!E32-1,"")</f>
        <v/>
      </c>
      <c r="K43" s="22" t="n"/>
      <c r="L43" s="21">
        <f>IFERROR(subQ!L32/subQ!G32-1,"")</f>
        <v/>
      </c>
      <c r="M43" s="21">
        <f>IFERROR(subQ!M32/subQ!H32-1,"")</f>
        <v/>
      </c>
      <c r="N43" s="21">
        <f>IFERROR(subQ!N32/subQ!I32-1,"")</f>
        <v/>
      </c>
      <c r="O43" s="21">
        <f>IFERROR(subQ!O32/subQ!J32-1,"")</f>
        <v/>
      </c>
      <c r="P43" s="22" t="n"/>
      <c r="Q43" s="21">
        <f>IFERROR(subQ!Q32/subQ!L32-1,"")</f>
        <v/>
      </c>
      <c r="R43" s="21">
        <f>IFERROR(subQ!R32/subQ!M32-1,"")</f>
        <v/>
      </c>
      <c r="S43" s="21">
        <f>IFERROR(subQ!S32/subQ!N32-1,"")</f>
        <v/>
      </c>
      <c r="T43" s="21">
        <f>IFERROR(subQ!T32/subQ!O32-1,"")</f>
        <v/>
      </c>
      <c r="U43" s="22" t="n"/>
      <c r="V43" s="21">
        <f>IFERROR(subQ!V32/subQ!Q32-1,"")</f>
        <v/>
      </c>
      <c r="W43" s="21">
        <f>IFERROR(subQ!W32/subQ!R32-1,"")</f>
        <v/>
      </c>
      <c r="X43" s="21">
        <f>IFERROR(subQ!X32/subQ!S32-1,"")</f>
        <v/>
      </c>
      <c r="Y43" s="21">
        <f>IFERROR(subQ!Y32/subQ!T32-1,"")</f>
        <v/>
      </c>
      <c r="Z43" s="22" t="n"/>
      <c r="AA43" s="21">
        <f>IFERROR(subQ!AA32/subQ!V32-1,"")</f>
        <v/>
      </c>
      <c r="AB43" s="23">
        <f>IFERROR(subQ!AB32/subQ!W32-1,"")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drv:주식수</t>
        </is>
      </c>
      <c r="B44" s="2" t="inlineStr">
        <is>
          <t>qoq</t>
        </is>
      </c>
      <c r="C44" t="inlineStr">
        <is>
          <t>주식수 QoQ</t>
        </is>
      </c>
      <c r="E44" s="21" t="n"/>
      <c r="F44" s="22" t="n"/>
      <c r="G44" s="21">
        <f>IFERROR(subQ!G33/subQ!E33-1,"")</f>
        <v/>
      </c>
      <c r="H44" s="21">
        <f>IFERROR(subQ!H33/subQ!G33-1,"")</f>
        <v/>
      </c>
      <c r="I44" s="21">
        <f>IFERROR(subQ!I33/subQ!H33-1,"")</f>
        <v/>
      </c>
      <c r="J44" s="21">
        <f>IFERROR(subQ!J33/subQ!I33-1,"")</f>
        <v/>
      </c>
      <c r="K44" s="22" t="n"/>
      <c r="L44" s="21">
        <f>IFERROR(subQ!L33/subQ!J33-1,"")</f>
        <v/>
      </c>
      <c r="M44" s="21">
        <f>IFERROR(subQ!M33/subQ!L33-1,"")</f>
        <v/>
      </c>
      <c r="N44" s="21">
        <f>IFERROR(subQ!N33/subQ!M33-1,"")</f>
        <v/>
      </c>
      <c r="O44" s="21">
        <f>IFERROR(subQ!O33/subQ!N33-1,"")</f>
        <v/>
      </c>
      <c r="P44" s="22" t="n"/>
      <c r="Q44" s="21">
        <f>IFERROR(subQ!Q33/subQ!O33-1,"")</f>
        <v/>
      </c>
      <c r="R44" s="21">
        <f>IFERROR(subQ!R33/subQ!Q33-1,"")</f>
        <v/>
      </c>
      <c r="S44" s="21">
        <f>IFERROR(subQ!S33/subQ!R33-1,"")</f>
        <v/>
      </c>
      <c r="T44" s="21">
        <f>IFERROR(subQ!T33/subQ!S33-1,"")</f>
        <v/>
      </c>
      <c r="U44" s="22" t="n"/>
      <c r="V44" s="21">
        <f>IFERROR(subQ!V33/subQ!T33-1,"")</f>
        <v/>
      </c>
      <c r="W44" s="21">
        <f>IFERROR(subQ!W33/subQ!V33-1,"")</f>
        <v/>
      </c>
      <c r="X44" s="21">
        <f>IFERROR(subQ!X33/subQ!W33-1,"")</f>
        <v/>
      </c>
      <c r="Y44" s="21">
        <f>IFERROR(subQ!Y33/subQ!X33-1,"")</f>
        <v/>
      </c>
      <c r="Z44" s="22" t="n"/>
      <c r="AA44" s="21">
        <f>IFERROR(subQ!AA33/subQ!Y33-1,"")</f>
        <v/>
      </c>
      <c r="AB44" s="23">
        <f>IFERROR(subQ!AB33/subQ!AA33-1,"")</f>
        <v/>
      </c>
      <c r="AC44" s="24" t="n">
        <v>0</v>
      </c>
      <c r="AD44" s="24" t="n">
        <v>0</v>
      </c>
      <c r="AE44" s="25" t="n"/>
      <c r="AF44" s="24" t="n">
        <v>0</v>
      </c>
      <c r="AG44" s="24" t="n">
        <v>0</v>
      </c>
      <c r="AH44" s="24" t="n">
        <v>0</v>
      </c>
      <c r="AI44" s="24" t="n">
        <v>0</v>
      </c>
      <c r="AJ44" s="25" t="n"/>
      <c r="AK44" s="24" t="n">
        <v>0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drv:DPS</t>
        </is>
      </c>
      <c r="B45" s="2" t="inlineStr">
        <is>
          <t>yoy</t>
        </is>
      </c>
      <c r="C45" t="inlineStr">
        <is>
          <t>DPS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31" t="n"/>
      <c r="AE45" s="25" t="n"/>
      <c r="AF45" s="31" t="n"/>
      <c r="AG45" s="31" t="n"/>
      <c r="AH45" s="31" t="n"/>
      <c r="AI45" s="31" t="n"/>
      <c r="AJ45" s="25" t="n"/>
      <c r="AK45" s="31" t="n"/>
      <c r="AL45" s="31" t="n"/>
      <c r="AM45" s="31" t="n"/>
      <c r="AN45" s="31" t="n"/>
      <c r="AO45" s="25" t="n"/>
    </row>
    <row r="46">
      <c r="A46" s="12" t="inlineStr">
        <is>
          <t>drv:PER</t>
        </is>
      </c>
      <c r="B46" s="2" t="inlineStr">
        <is>
          <t>yoy</t>
        </is>
      </c>
      <c r="C46" t="inlineStr">
        <is>
          <t>PER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31" t="n"/>
      <c r="AD46" s="31" t="n"/>
      <c r="AE46" s="25" t="n"/>
      <c r="AF46" s="31" t="n"/>
      <c r="AG46" s="31" t="n"/>
      <c r="AH46" s="31" t="n"/>
      <c r="AI46" s="31" t="n"/>
      <c r="AJ46" s="25" t="n"/>
      <c r="AK46" s="31" t="n"/>
      <c r="AL46" s="31" t="n"/>
      <c r="AM46" s="31" t="n"/>
      <c r="AN46" s="31" t="n"/>
      <c r="AO46" s="25" t="n"/>
    </row>
    <row r="47">
      <c r="A47" s="12" t="inlineStr">
        <is>
          <t>drv:PBR</t>
        </is>
      </c>
      <c r="B47" s="2" t="inlineStr">
        <is>
          <t>yoy</t>
        </is>
      </c>
      <c r="C47" t="inlineStr">
        <is>
          <t>PBR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1">
        <f>IFERROR(subQ!R38/subQ!M38-1,"")</f>
        <v/>
      </c>
      <c r="S47" s="21">
        <f>IFERROR(subQ!S38/subQ!N38-1,"")</f>
        <v/>
      </c>
      <c r="T47" s="21">
        <f>IFERROR(subQ!T38/subQ!O38-1,"")</f>
        <v/>
      </c>
      <c r="U47" s="22" t="n"/>
      <c r="V47" s="21">
        <f>IFERROR(subQ!V38/subQ!Q38-1,"")</f>
        <v/>
      </c>
      <c r="W47" s="21">
        <f>IFERROR(subQ!W38/subQ!R38-1,"")</f>
        <v/>
      </c>
      <c r="X47" s="21">
        <f>IFERROR(subQ!X38/subQ!S38-1,"")</f>
        <v/>
      </c>
      <c r="Y47" s="21">
        <f>IFERROR(subQ!Y38/subQ!T38-1,"")</f>
        <v/>
      </c>
      <c r="Z47" s="22" t="n"/>
      <c r="AA47" s="21">
        <f>IFERROR(subQ!AA38/subQ!V38-1,"")</f>
        <v/>
      </c>
      <c r="AB47" s="23">
        <f>IFERROR(subQ!AB38/subQ!W38-1,"")</f>
        <v/>
      </c>
      <c r="AC47" s="24" t="n">
        <v>-0.8299530000000001</v>
      </c>
      <c r="AD47" s="24" t="n">
        <v>-0.135659</v>
      </c>
      <c r="AE47" s="25" t="n"/>
      <c r="AF47" s="24" t="n">
        <v>-0.173913</v>
      </c>
      <c r="AG47" s="24" t="n">
        <v>-0.185315</v>
      </c>
      <c r="AH47" s="24" t="n">
        <v>0.09633</v>
      </c>
      <c r="AI47" s="24" t="n">
        <v>0.09865500000000001</v>
      </c>
      <c r="AJ47" s="25" t="n"/>
      <c r="AK47" s="24" t="n">
        <v>0.105263</v>
      </c>
      <c r="AL47" s="24" t="n">
        <v>0.111588</v>
      </c>
      <c r="AM47" s="24" t="n">
        <v>0.112971</v>
      </c>
      <c r="AN47" s="24" t="n">
        <v>0.114286</v>
      </c>
      <c r="AO47" s="25" t="n"/>
    </row>
    <row r="48">
      <c r="A48" s="12" t="inlineStr">
        <is>
          <t>drv:매출전사</t>
        </is>
      </c>
      <c r="B48" s="2" t="inlineStr">
        <is>
          <t>ratio</t>
        </is>
      </c>
      <c r="C48" t="inlineStr">
        <is>
          <t>매출전사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1</v>
      </c>
      <c r="AD48" s="24" t="n">
        <v>1</v>
      </c>
      <c r="AE48" s="25">
        <f>IFERROR(subQ!AE39/subQ!AE5,"")</f>
        <v/>
      </c>
      <c r="AF48" s="24" t="n">
        <v>1</v>
      </c>
      <c r="AG48" s="24" t="n">
        <v>1</v>
      </c>
      <c r="AH48" s="24" t="n">
        <v>1</v>
      </c>
      <c r="AI48" s="24" t="n">
        <v>1</v>
      </c>
      <c r="AJ48" s="25">
        <f>IFERROR(subQ!AJ39/subQ!AJ5,"")</f>
        <v/>
      </c>
      <c r="AK48" s="24" t="n">
        <v>1</v>
      </c>
      <c r="AL48" s="24" t="n">
        <v>1</v>
      </c>
      <c r="AM48" s="24" t="n">
        <v>1</v>
      </c>
      <c r="AN48" s="24" t="n">
        <v>1</v>
      </c>
      <c r="AO48" s="25">
        <f>IFERROR(subQ!AO39/subQ!AO5,"")</f>
        <v/>
      </c>
    </row>
    <row r="49">
      <c r="A49" s="12" t="inlineStr">
        <is>
          <t>drv:OP전사</t>
        </is>
      </c>
      <c r="B49" s="2" t="inlineStr">
        <is>
          <t>ratio</t>
        </is>
      </c>
      <c r="C49" t="inlineStr">
        <is>
          <t>OP전사 마진(/매출전사)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0.001219</v>
      </c>
      <c r="AD49" s="24" t="n">
        <v>0.001238</v>
      </c>
      <c r="AE49" s="25">
        <f>IFERROR(subQ!AE40/subQ!AE39,"")</f>
        <v/>
      </c>
      <c r="AF49" s="24" t="n">
        <v>0.001234</v>
      </c>
      <c r="AG49" s="24" t="n">
        <v>0.001208</v>
      </c>
      <c r="AH49" s="24" t="n">
        <v>0.001238</v>
      </c>
      <c r="AI49" s="24" t="n">
        <v>0.001213</v>
      </c>
      <c r="AJ49" s="25">
        <f>IFERROR(subQ!AJ40/subQ!AJ39,"")</f>
        <v/>
      </c>
      <c r="AK49" s="24" t="n">
        <v>0.001239</v>
      </c>
      <c r="AL49" s="24" t="n">
        <v>0.001219</v>
      </c>
      <c r="AM49" s="24" t="n">
        <v>0.001209</v>
      </c>
      <c r="AN49" s="24" t="n">
        <v>0.001225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1878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10</v>
      </c>
      <c r="E55" s="2" t="inlineStr">
        <is>
          <t>PER 밴드 하단(배) — sector_default(레퍼런스 TP_PE PB 예시 10/15/20배; 과거 PER 중위 322.7배가 3~40 밖(턴어라운드 왜곡))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15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20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0.22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0.1297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/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4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4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4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4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4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4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4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4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4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4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4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4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4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4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4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4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4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4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4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4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4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4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4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4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4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4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4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4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4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4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4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4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4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4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4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4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4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4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4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4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4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4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4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4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4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4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4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4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4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4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4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4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4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4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4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4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4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4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4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4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4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4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4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4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4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4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4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4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4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4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4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4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4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4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4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4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4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4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4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4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4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4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4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4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4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4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4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4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4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4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4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4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4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4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4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4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4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4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4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4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4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4" t="n">
        <v>54192.86</v>
      </c>
      <c r="L25" s="18" t="n">
        <v>51504.29</v>
      </c>
      <c r="N25" s="18" t="n">
        <v>46438.65</v>
      </c>
      <c r="O25" s="18" t="n">
        <v>46265.1</v>
      </c>
      <c r="P25" s="34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4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4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4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4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4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4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4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4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4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4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4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4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4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4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4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4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4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4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4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4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4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4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4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4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4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4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4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4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4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4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4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4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4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4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4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4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4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4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4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4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4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4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4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4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4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4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4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4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4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4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4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4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117.48</v>
      </c>
      <c r="F36" s="34" t="n">
        <v>117.48</v>
      </c>
      <c r="G36" s="18" t="n">
        <v>117.48</v>
      </c>
      <c r="H36" s="18" t="n">
        <v>117.48</v>
      </c>
      <c r="I36" s="18" t="n">
        <v>117.48</v>
      </c>
      <c r="J36" s="18" t="n">
        <v>117.48</v>
      </c>
      <c r="K36" s="34" t="n">
        <v>117.48</v>
      </c>
      <c r="L36" s="18" t="n">
        <v>117.48</v>
      </c>
      <c r="M36" s="18" t="n">
        <v>117.48</v>
      </c>
      <c r="N36" s="18" t="n">
        <v>117.48</v>
      </c>
      <c r="O36" s="18" t="n">
        <v>1417.48</v>
      </c>
      <c r="P36" s="34" t="n">
        <v>1417.48</v>
      </c>
      <c r="Q36" s="18" t="n">
        <v>1417.48</v>
      </c>
      <c r="R36" s="18" t="n">
        <v>917.48</v>
      </c>
      <c r="S36" s="18" t="n">
        <v>800</v>
      </c>
      <c r="T36" s="18" t="n">
        <v>800</v>
      </c>
      <c r="U36" s="34" t="n">
        <v>800</v>
      </c>
      <c r="V36" s="18" t="n">
        <v>800</v>
      </c>
      <c r="W36" s="18" t="n">
        <v>800</v>
      </c>
      <c r="X36" s="18" t="n">
        <v>1200</v>
      </c>
      <c r="Y36" s="18" t="n">
        <v>1200</v>
      </c>
      <c r="Z36" s="34" t="n">
        <v>1200</v>
      </c>
      <c r="AA36" s="18" t="n">
        <v>1200</v>
      </c>
      <c r="AB36" s="19" t="n">
        <v>1200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50.14</v>
      </c>
      <c r="F37" s="34" t="n">
        <v>50.14</v>
      </c>
      <c r="G37" s="18" t="n">
        <v>50.14</v>
      </c>
      <c r="H37" s="18" t="n">
        <v>27.58</v>
      </c>
      <c r="I37" s="18" t="n">
        <v>27.58</v>
      </c>
      <c r="J37" s="18" t="n">
        <v>142.58</v>
      </c>
      <c r="K37" s="34" t="n">
        <v>142.58</v>
      </c>
      <c r="L37" s="18" t="n">
        <v>142.58</v>
      </c>
      <c r="M37" s="18" t="n">
        <v>102.02</v>
      </c>
      <c r="N37" s="18" t="n">
        <v>102.02</v>
      </c>
      <c r="O37" s="18" t="n">
        <v>84.09999999999999</v>
      </c>
      <c r="P37" s="34" t="n">
        <v>84.09999999999999</v>
      </c>
      <c r="Q37" s="18" t="n">
        <v>84.09999999999999</v>
      </c>
      <c r="R37" s="18" t="n">
        <v>53.29</v>
      </c>
      <c r="S37" s="18" t="n">
        <v>57.69</v>
      </c>
      <c r="T37" s="18" t="n">
        <v>41.46</v>
      </c>
      <c r="U37" s="34" t="n">
        <v>41.46</v>
      </c>
      <c r="V37" s="18" t="n">
        <v>41.46</v>
      </c>
      <c r="W37" s="18" t="n">
        <v>12.77</v>
      </c>
      <c r="X37" s="18" t="n">
        <v>12.77</v>
      </c>
      <c r="Y37" s="18" t="n">
        <v>100.75</v>
      </c>
      <c r="Z37" s="34" t="n">
        <v>100.75</v>
      </c>
      <c r="AA37" s="18" t="n">
        <v>100.75</v>
      </c>
      <c r="AB37" s="19" t="n">
        <v>68.56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302.98</v>
      </c>
      <c r="F38" s="34" t="n">
        <v>302.98</v>
      </c>
      <c r="G38" s="18" t="n">
        <v>302.98</v>
      </c>
      <c r="H38" s="18" t="n">
        <v>280.42</v>
      </c>
      <c r="I38" s="18" t="n">
        <v>280.42</v>
      </c>
      <c r="J38" s="18" t="n">
        <v>142.58</v>
      </c>
      <c r="K38" s="34" t="n">
        <v>142.58</v>
      </c>
      <c r="L38" s="18" t="n">
        <v>142.58</v>
      </c>
      <c r="M38" s="18" t="n">
        <v>102.02</v>
      </c>
      <c r="N38" s="18" t="n">
        <v>102.02</v>
      </c>
      <c r="O38" s="18" t="n">
        <v>84.09999999999999</v>
      </c>
      <c r="P38" s="34" t="n">
        <v>84.09999999999999</v>
      </c>
      <c r="Q38" s="18" t="n">
        <v>84.09999999999999</v>
      </c>
      <c r="R38" s="18" t="n">
        <v>53.29</v>
      </c>
      <c r="S38" s="18" t="n">
        <v>57.69</v>
      </c>
      <c r="T38" s="18" t="n">
        <v>41.46</v>
      </c>
      <c r="U38" s="34" t="n">
        <v>41.46</v>
      </c>
      <c r="V38" s="18" t="n">
        <v>41.46</v>
      </c>
      <c r="W38" s="18" t="n">
        <v>12.77</v>
      </c>
      <c r="X38" s="18" t="n">
        <v>12.77</v>
      </c>
      <c r="Y38" s="18" t="n">
        <v>100.75</v>
      </c>
      <c r="Z38" s="34" t="n">
        <v>100.75</v>
      </c>
      <c r="AA38" s="18" t="n">
        <v>100.75</v>
      </c>
      <c r="AB38" s="19" t="n">
        <v>68.56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252.84</v>
      </c>
      <c r="F39" s="34" t="n">
        <v>252.84</v>
      </c>
      <c r="G39" s="18" t="n">
        <v>252.84</v>
      </c>
      <c r="H39" s="18" t="n">
        <v>252.84</v>
      </c>
      <c r="I39" s="18" t="n">
        <v>252.84</v>
      </c>
      <c r="J39" s="18" t="n">
        <v>0</v>
      </c>
      <c r="K39" s="34" t="n">
        <v>0</v>
      </c>
      <c r="L39" s="18" t="n">
        <v>0</v>
      </c>
      <c r="O39" s="18" t="n">
        <v>0</v>
      </c>
      <c r="P39" s="34" t="n">
        <v>0</v>
      </c>
      <c r="T39" s="18" t="n">
        <v>0</v>
      </c>
      <c r="U39" s="34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82707.19</v>
      </c>
      <c r="F40" s="34" t="n">
        <v>82707.19</v>
      </c>
      <c r="G40" s="18" t="n">
        <v>85322.46000000001</v>
      </c>
      <c r="H40" s="18" t="n">
        <v>85693.53999999999</v>
      </c>
      <c r="I40" s="18" t="n">
        <v>88946.36</v>
      </c>
      <c r="J40" s="18" t="n">
        <v>95237.19</v>
      </c>
      <c r="K40" s="34" t="n">
        <v>95237.19</v>
      </c>
      <c r="L40" s="18" t="n">
        <v>93989.89</v>
      </c>
      <c r="M40" s="18" t="n">
        <v>94071.64</v>
      </c>
      <c r="N40" s="18" t="n">
        <v>94430.52</v>
      </c>
      <c r="O40" s="18" t="n">
        <v>93059.25999999999</v>
      </c>
      <c r="P40" s="34" t="n">
        <v>93059.25999999999</v>
      </c>
      <c r="Q40" s="18" t="n">
        <v>98110.64999999999</v>
      </c>
      <c r="R40" s="18" t="n">
        <v>97877.92999999999</v>
      </c>
      <c r="S40" s="18" t="n">
        <v>96449.3</v>
      </c>
      <c r="T40" s="18" t="n">
        <v>102592.31</v>
      </c>
      <c r="U40" s="34" t="n">
        <v>102592.31</v>
      </c>
      <c r="V40" s="18" t="n">
        <v>104939.66</v>
      </c>
      <c r="W40" s="18" t="n">
        <v>102926.03</v>
      </c>
      <c r="X40" s="18" t="n">
        <v>104238.37</v>
      </c>
      <c r="Y40" s="18" t="n">
        <v>105830.49</v>
      </c>
      <c r="Z40" s="34" t="n">
        <v>105830.49</v>
      </c>
      <c r="AA40" s="18" t="n">
        <v>110121.63</v>
      </c>
      <c r="AB40" s="19" t="n">
        <v>113884.06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33482.84</v>
      </c>
      <c r="F41" s="34" t="n">
        <v>33482.84</v>
      </c>
      <c r="G41" s="18" t="n">
        <v>31628.7</v>
      </c>
      <c r="H41" s="18" t="n">
        <v>29813.69</v>
      </c>
      <c r="I41" s="18" t="n">
        <v>28119.57</v>
      </c>
      <c r="J41" s="18" t="n">
        <v>26364.39</v>
      </c>
      <c r="K41" s="34" t="n">
        <v>26364.39</v>
      </c>
      <c r="L41" s="18" t="n">
        <v>27653.41</v>
      </c>
      <c r="M41" s="18" t="n">
        <v>28952.89</v>
      </c>
      <c r="N41" s="18" t="n">
        <v>28731.43</v>
      </c>
      <c r="O41" s="18" t="n">
        <v>30125.66</v>
      </c>
      <c r="P41" s="34" t="n">
        <v>30125.66</v>
      </c>
      <c r="Q41" s="18" t="n">
        <v>30514.6</v>
      </c>
      <c r="R41" s="18" t="n">
        <v>31545.53</v>
      </c>
      <c r="S41" s="18" t="n">
        <v>30393.07</v>
      </c>
      <c r="T41" s="18" t="n">
        <v>26838.75</v>
      </c>
      <c r="U41" s="34" t="n">
        <v>26838.75</v>
      </c>
      <c r="V41" s="18" t="n">
        <v>25563.18</v>
      </c>
      <c r="W41" s="18" t="n">
        <v>30000.5</v>
      </c>
      <c r="X41" s="18" t="n">
        <v>31932.96</v>
      </c>
      <c r="Y41" s="18" t="n">
        <v>31339.35</v>
      </c>
      <c r="Z41" s="34" t="n">
        <v>31339.35</v>
      </c>
      <c r="AA41" s="18" t="n">
        <v>32128.31</v>
      </c>
      <c r="AB41" s="19" t="n">
        <v>31682.07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4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4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4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4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4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4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4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4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4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4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4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4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4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4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4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-39726.59</v>
      </c>
      <c r="F45" s="34" t="n">
        <v>-39726.59</v>
      </c>
      <c r="G45" s="18" t="n">
        <v>-41692.51</v>
      </c>
      <c r="H45" s="18" t="n">
        <v>-42120.45</v>
      </c>
      <c r="I45" s="18" t="n">
        <v>-43807.91</v>
      </c>
      <c r="J45" s="18" t="n">
        <v>-45013.72</v>
      </c>
      <c r="K45" s="34" t="n">
        <v>-45013.72</v>
      </c>
      <c r="L45" s="18" t="n">
        <v>-43720.17</v>
      </c>
      <c r="M45" s="18" t="n">
        <v>-42428.06</v>
      </c>
      <c r="N45" s="18" t="n">
        <v>-42578.49</v>
      </c>
      <c r="O45" s="18" t="n">
        <v>-43175.28</v>
      </c>
      <c r="P45" s="34" t="n">
        <v>-43175.28</v>
      </c>
      <c r="Q45" s="18" t="n">
        <v>-42788.67</v>
      </c>
      <c r="R45" s="18" t="n">
        <v>-41786.77</v>
      </c>
      <c r="S45" s="18" t="n">
        <v>-42914.49</v>
      </c>
      <c r="T45" s="18" t="n">
        <v>-46469.31</v>
      </c>
      <c r="U45" s="34" t="n">
        <v>-46469.31</v>
      </c>
      <c r="V45" s="18" t="n">
        <v>-47745.01</v>
      </c>
      <c r="W45" s="18" t="n">
        <v>-52976.75</v>
      </c>
      <c r="X45" s="18" t="n">
        <v>-52676.73</v>
      </c>
      <c r="Y45" s="18" t="n">
        <v>-52969.67</v>
      </c>
      <c r="Z45" s="34" t="n">
        <v>-52969.67</v>
      </c>
      <c r="AA45" s="18" t="n">
        <v>-52161.79</v>
      </c>
      <c r="AB45" s="19" t="n">
        <v>-52594.9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4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10113.3</v>
      </c>
      <c r="F47" s="34" t="n">
        <v>10113.3</v>
      </c>
      <c r="G47" s="18" t="n">
        <v>11160.07</v>
      </c>
      <c r="H47" s="18" t="n">
        <v>9773</v>
      </c>
      <c r="I47" s="18" t="n">
        <v>9766.34</v>
      </c>
      <c r="J47" s="18" t="n">
        <v>9216.969999999999</v>
      </c>
      <c r="K47" s="34" t="n">
        <v>9216.969999999999</v>
      </c>
      <c r="L47" s="18" t="n">
        <v>9212.440000000001</v>
      </c>
      <c r="M47" s="18" t="n">
        <v>9219.809999999999</v>
      </c>
      <c r="N47" s="18" t="n">
        <v>9148.780000000001</v>
      </c>
      <c r="O47" s="18" t="n">
        <v>11139.8</v>
      </c>
      <c r="P47" s="34" t="n">
        <v>11139.8</v>
      </c>
      <c r="Q47" s="18" t="n">
        <v>11142.14</v>
      </c>
      <c r="R47" s="18" t="n">
        <v>11171.17</v>
      </c>
      <c r="S47" s="18" t="n">
        <v>11146.42</v>
      </c>
      <c r="T47" s="18" t="n">
        <v>11146.92</v>
      </c>
      <c r="U47" s="34" t="n">
        <v>11146.92</v>
      </c>
      <c r="V47" s="18" t="n">
        <v>11147.05</v>
      </c>
      <c r="W47" s="18" t="n">
        <v>11172.3</v>
      </c>
      <c r="X47" s="18" t="n">
        <v>11197.03</v>
      </c>
      <c r="Y47" s="18" t="n">
        <v>10896.37</v>
      </c>
      <c r="Z47" s="34" t="n">
        <v>10896.37</v>
      </c>
      <c r="AA47" s="18" t="n">
        <v>10877.45</v>
      </c>
      <c r="AB47" s="19" t="n">
        <v>10864.32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3368.58</v>
      </c>
      <c r="F48" s="34" t="n">
        <v>3368.58</v>
      </c>
      <c r="G48" s="18" t="n">
        <v>3073.23</v>
      </c>
      <c r="H48" s="18" t="n">
        <v>2704.15</v>
      </c>
      <c r="I48" s="18" t="n">
        <v>2555.48</v>
      </c>
      <c r="J48" s="18" t="n">
        <v>2576.77</v>
      </c>
      <c r="K48" s="34" t="n">
        <v>2576.77</v>
      </c>
      <c r="L48" s="18" t="n">
        <v>2743.29</v>
      </c>
      <c r="M48" s="18" t="n">
        <v>2800.57</v>
      </c>
      <c r="N48" s="18" t="n">
        <v>3819.64</v>
      </c>
      <c r="O48" s="18" t="n">
        <v>5636.66</v>
      </c>
      <c r="P48" s="34" t="n">
        <v>5636.66</v>
      </c>
      <c r="Q48" s="18" t="n">
        <v>5702.58</v>
      </c>
      <c r="R48" s="18" t="n">
        <v>6086.11</v>
      </c>
      <c r="S48" s="18" t="n">
        <v>5723.68</v>
      </c>
      <c r="T48" s="18" t="n">
        <v>5997.49</v>
      </c>
      <c r="U48" s="34" t="n">
        <v>5997.49</v>
      </c>
      <c r="V48" s="18" t="n">
        <v>5487.08</v>
      </c>
      <c r="W48" s="18" t="n">
        <v>4844.9</v>
      </c>
      <c r="X48" s="18" t="n">
        <v>5185.77</v>
      </c>
      <c r="Y48" s="18" t="n">
        <v>4663.34</v>
      </c>
      <c r="Z48" s="34" t="n">
        <v>4663.34</v>
      </c>
      <c r="AA48" s="18" t="n">
        <v>4895.82</v>
      </c>
      <c r="AB48" s="19" t="n">
        <v>3861.26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36851.42</v>
      </c>
      <c r="F49" s="34" t="n">
        <v>36851.42</v>
      </c>
      <c r="G49" s="18" t="n">
        <v>34701.92</v>
      </c>
      <c r="H49" s="18" t="n">
        <v>32517.84</v>
      </c>
      <c r="I49" s="18" t="n">
        <v>30675.05</v>
      </c>
      <c r="J49" s="18" t="n">
        <v>28941.16</v>
      </c>
      <c r="K49" s="34" t="n">
        <v>28941.16</v>
      </c>
      <c r="L49" s="18" t="n">
        <v>30396.69</v>
      </c>
      <c r="M49" s="18" t="n">
        <v>31753.46</v>
      </c>
      <c r="N49" s="18" t="n">
        <v>32551.07</v>
      </c>
      <c r="O49" s="18" t="n">
        <v>35762.32</v>
      </c>
      <c r="P49" s="34" t="n">
        <v>35762.32</v>
      </c>
      <c r="Q49" s="18" t="n">
        <v>36217.18</v>
      </c>
      <c r="R49" s="18" t="n">
        <v>37631.65</v>
      </c>
      <c r="S49" s="18" t="n">
        <v>36116.75</v>
      </c>
      <c r="T49" s="18" t="n">
        <v>32836.24</v>
      </c>
      <c r="U49" s="34" t="n">
        <v>32836.24</v>
      </c>
      <c r="V49" s="18" t="n">
        <v>31050.26</v>
      </c>
      <c r="W49" s="18" t="n">
        <v>34845.4</v>
      </c>
      <c r="X49" s="18" t="n">
        <v>37118.73</v>
      </c>
      <c r="Y49" s="18" t="n">
        <v>36002.69</v>
      </c>
      <c r="Z49" s="34" t="n">
        <v>36002.69</v>
      </c>
      <c r="AA49" s="18" t="n">
        <v>37024.13</v>
      </c>
      <c r="AB49" s="19" t="n">
        <v>35543.33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119558.61</v>
      </c>
      <c r="F50" s="34" t="n">
        <v>119558.61</v>
      </c>
      <c r="G50" s="18" t="n">
        <v>120024.38</v>
      </c>
      <c r="H50" s="18" t="n">
        <v>118211.38</v>
      </c>
      <c r="I50" s="18" t="n">
        <v>119621.41</v>
      </c>
      <c r="J50" s="18" t="n">
        <v>124178.35</v>
      </c>
      <c r="K50" s="34" t="n">
        <v>124178.35</v>
      </c>
      <c r="L50" s="18" t="n">
        <v>124386.58</v>
      </c>
      <c r="M50" s="18" t="n">
        <v>125825.1</v>
      </c>
      <c r="N50" s="18" t="n">
        <v>126981.6</v>
      </c>
      <c r="O50" s="18" t="n">
        <v>128821.58</v>
      </c>
      <c r="P50" s="34" t="n">
        <v>128821.58</v>
      </c>
      <c r="Q50" s="18" t="n">
        <v>134327.84</v>
      </c>
      <c r="R50" s="18" t="n">
        <v>135509.58</v>
      </c>
      <c r="S50" s="18" t="n">
        <v>132566.05</v>
      </c>
      <c r="T50" s="18" t="n">
        <v>135428.55</v>
      </c>
      <c r="U50" s="34" t="n">
        <v>135428.55</v>
      </c>
      <c r="V50" s="18" t="n">
        <v>135989.92</v>
      </c>
      <c r="W50" s="18" t="n">
        <v>137771.43</v>
      </c>
      <c r="X50" s="18" t="n">
        <v>141357.11</v>
      </c>
      <c r="Y50" s="18" t="n">
        <v>141833.19</v>
      </c>
      <c r="Z50" s="34" t="n">
        <v>141833.19</v>
      </c>
      <c r="AA50" s="18" t="n">
        <v>147145.76</v>
      </c>
      <c r="AB50" s="19" t="n">
        <v>149427.4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61467.24</v>
      </c>
      <c r="F51" s="34" t="n">
        <v>61467.24</v>
      </c>
      <c r="G51" s="18" t="n">
        <v>61975.98</v>
      </c>
      <c r="H51" s="18" t="n">
        <v>61172.05</v>
      </c>
      <c r="I51" s="18" t="n">
        <v>61937.44</v>
      </c>
      <c r="J51" s="18" t="n">
        <v>59858.24</v>
      </c>
      <c r="K51" s="34" t="n">
        <v>59858.24</v>
      </c>
      <c r="L51" s="18" t="n">
        <v>59183.1</v>
      </c>
      <c r="M51" s="18" t="n">
        <v>49060.35</v>
      </c>
      <c r="N51" s="18" t="n">
        <v>56876.06</v>
      </c>
      <c r="O51" s="18" t="n">
        <v>59788.41</v>
      </c>
      <c r="P51" s="34" t="n">
        <v>59788.41</v>
      </c>
      <c r="Q51" s="18" t="n">
        <v>60555.96</v>
      </c>
      <c r="R51" s="18" t="n">
        <v>62955.82</v>
      </c>
      <c r="S51" s="18" t="n">
        <v>63232.95</v>
      </c>
      <c r="T51" s="18" t="n">
        <v>72456.00999999999</v>
      </c>
      <c r="U51" s="34" t="n">
        <v>72456.00999999999</v>
      </c>
      <c r="V51" s="18" t="n">
        <v>92081.47</v>
      </c>
      <c r="W51" s="18" t="n">
        <v>83548.64</v>
      </c>
      <c r="X51" s="18" t="n">
        <v>80638.31</v>
      </c>
      <c r="Y51" s="18" t="n">
        <v>70934.14</v>
      </c>
      <c r="Z51" s="34" t="n">
        <v>70934.14</v>
      </c>
      <c r="AA51" s="18" t="n">
        <v>82041.85000000001</v>
      </c>
      <c r="AB51" s="19" t="n">
        <v>81480.66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54965.73</v>
      </c>
      <c r="F52" s="34" t="n">
        <v>54965.73</v>
      </c>
      <c r="G52" s="18" t="n">
        <v>60128.62</v>
      </c>
      <c r="H52" s="18" t="n">
        <v>59635.21</v>
      </c>
      <c r="I52" s="18" t="n">
        <v>59340.59</v>
      </c>
      <c r="J52" s="18" t="n">
        <v>56852.86</v>
      </c>
      <c r="K52" s="34" t="n">
        <v>56852.86</v>
      </c>
      <c r="L52" s="18" t="n">
        <v>54731.72</v>
      </c>
      <c r="M52" s="18" t="n">
        <v>43453.8</v>
      </c>
      <c r="N52" s="18" t="n">
        <v>52201.43</v>
      </c>
      <c r="O52" s="18" t="n">
        <v>51479.19</v>
      </c>
      <c r="P52" s="34" t="n">
        <v>51479.19</v>
      </c>
      <c r="Q52" s="18" t="n">
        <v>46786.81</v>
      </c>
      <c r="R52" s="18" t="n">
        <v>50780.23</v>
      </c>
      <c r="S52" s="18" t="n">
        <v>51703.11</v>
      </c>
      <c r="T52" s="18" t="n">
        <v>56866.18</v>
      </c>
      <c r="U52" s="34" t="n">
        <v>56866.18</v>
      </c>
      <c r="V52" s="18" t="n">
        <v>79061.71000000001</v>
      </c>
      <c r="W52" s="18" t="n">
        <v>71057.03999999999</v>
      </c>
      <c r="X52" s="18" t="n">
        <v>64439.48</v>
      </c>
      <c r="Y52" s="18" t="n">
        <v>58613.36</v>
      </c>
      <c r="Z52" s="34" t="n">
        <v>58613.36</v>
      </c>
      <c r="AA52" s="18" t="n">
        <v>68082.02</v>
      </c>
      <c r="AB52" s="19" t="n">
        <v>65150.65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9347.33</v>
      </c>
      <c r="F53" s="34" t="n">
        <v>9347.33</v>
      </c>
      <c r="G53" s="18" t="n">
        <v>4835.97</v>
      </c>
      <c r="H53" s="18" t="n">
        <v>2778.38</v>
      </c>
      <c r="I53" s="18" t="n">
        <v>4135.97</v>
      </c>
      <c r="J53" s="18" t="n">
        <v>3125.69</v>
      </c>
      <c r="K53" s="34" t="n">
        <v>3125.69</v>
      </c>
      <c r="L53" s="18" t="n">
        <v>4567.16</v>
      </c>
      <c r="M53" s="18" t="n">
        <v>5729.69</v>
      </c>
      <c r="N53" s="18" t="n">
        <v>4699.16</v>
      </c>
      <c r="O53" s="18" t="n">
        <v>8389.26</v>
      </c>
      <c r="P53" s="34" t="n">
        <v>8389.26</v>
      </c>
      <c r="Q53" s="18" t="n">
        <v>13849.19</v>
      </c>
      <c r="R53" s="18" t="n">
        <v>12199.63</v>
      </c>
      <c r="S53" s="18" t="n">
        <v>11593.63</v>
      </c>
      <c r="T53" s="18" t="n">
        <v>15967.29</v>
      </c>
      <c r="U53" s="34" t="n">
        <v>15967.29</v>
      </c>
      <c r="V53" s="18" t="n">
        <v>13427.22</v>
      </c>
      <c r="W53" s="18" t="n">
        <v>12779.24</v>
      </c>
      <c r="X53" s="18" t="n">
        <v>16496.47</v>
      </c>
      <c r="Y53" s="18" t="n">
        <v>12524.82</v>
      </c>
      <c r="Z53" s="34" t="n">
        <v>12524.82</v>
      </c>
      <c r="AA53" s="18" t="n">
        <v>14163.87</v>
      </c>
      <c r="AB53" s="19" t="n">
        <v>16536.05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E54" s="18" t="n">
        <v>755.4299999999999</v>
      </c>
      <c r="F54" s="34" t="n">
        <v>755.4299999999999</v>
      </c>
      <c r="G54" s="18" t="n">
        <v>825.74</v>
      </c>
      <c r="H54" s="18" t="n">
        <v>850</v>
      </c>
      <c r="I54" s="18" t="n">
        <v>850</v>
      </c>
      <c r="J54" s="18" t="n">
        <v>850</v>
      </c>
      <c r="K54" s="34" t="n">
        <v>850</v>
      </c>
      <c r="L54" s="18" t="n">
        <v>850</v>
      </c>
      <c r="O54" s="18" t="n">
        <v>3432.63</v>
      </c>
      <c r="P54" s="34" t="n">
        <v>3432.63</v>
      </c>
      <c r="Q54" s="18" t="n">
        <v>7864.33</v>
      </c>
      <c r="R54" s="18" t="n">
        <v>8513.1</v>
      </c>
      <c r="S54" s="18" t="n">
        <v>8838.370000000001</v>
      </c>
      <c r="U54" s="9" t="n"/>
      <c r="V54" s="18" t="n">
        <v>19000</v>
      </c>
      <c r="W54" s="18" t="n">
        <v>12600</v>
      </c>
      <c r="X54" s="18" t="n">
        <v>11000</v>
      </c>
      <c r="Y54" s="18" t="n">
        <v>0</v>
      </c>
      <c r="Z54" s="34" t="n">
        <v>0</v>
      </c>
      <c r="AA54" s="18" t="n">
        <v>8568.26</v>
      </c>
      <c r="AB54" s="19" t="n">
        <v>8568.26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단기투자자산(공정가치)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유동파생상품자산</t>
        </is>
      </c>
      <c r="F57" s="9" t="n"/>
      <c r="K57" s="9" t="n"/>
      <c r="O57" s="18" t="n">
        <v>247.04</v>
      </c>
      <c r="P57" s="34" t="n">
        <v>247.04</v>
      </c>
      <c r="Q57" s="18" t="n">
        <v>913.29</v>
      </c>
      <c r="R57" s="18" t="n">
        <v>1199.48</v>
      </c>
      <c r="S57" s="18" t="n">
        <v>1199.48</v>
      </c>
      <c r="T57" s="18" t="n">
        <v>60.73</v>
      </c>
      <c r="U57" s="34" t="n">
        <v>60.73</v>
      </c>
      <c r="V57" s="18" t="n">
        <v>60.73</v>
      </c>
      <c r="W57" s="18" t="n">
        <v>728.72</v>
      </c>
      <c r="X57" s="18" t="n">
        <v>2.57</v>
      </c>
      <c r="Y57" s="18" t="n">
        <v>156.48</v>
      </c>
      <c r="Z57" s="34" t="n">
        <v>156.48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F58" s="9" t="n"/>
      <c r="K58" s="9" t="n"/>
      <c r="O58" s="18" t="n">
        <v>0</v>
      </c>
      <c r="P58" s="34" t="n">
        <v>0</v>
      </c>
      <c r="T58" s="18" t="n">
        <v>13294.17</v>
      </c>
      <c r="U58" s="34" t="n">
        <v>13294.17</v>
      </c>
      <c r="V58" s="18" t="n">
        <v>13576.36</v>
      </c>
      <c r="W58" s="18" t="n">
        <v>10663.32</v>
      </c>
      <c r="X58" s="18" t="n">
        <v>10072.26</v>
      </c>
      <c r="Y58" s="18" t="n">
        <v>10213.15</v>
      </c>
      <c r="Z58" s="34" t="n">
        <v>10213.15</v>
      </c>
      <c r="AA58" s="18" t="n">
        <v>7955.36</v>
      </c>
      <c r="AB58" s="19" t="n">
        <v>8398.42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O59" s="18" t="n">
        <v>4025.56</v>
      </c>
      <c r="P59" s="34" t="n">
        <v>4025.56</v>
      </c>
      <c r="Q59" s="18" t="n">
        <v>11287.16</v>
      </c>
      <c r="R59" s="18" t="n">
        <v>8734.860000000001</v>
      </c>
      <c r="S59" s="18" t="n">
        <v>8734.860000000001</v>
      </c>
      <c r="T59" s="18" t="n">
        <v>4891.67</v>
      </c>
      <c r="U59" s="34" t="n">
        <v>4891.67</v>
      </c>
      <c r="V59" s="18" t="n">
        <v>4891.67</v>
      </c>
      <c r="W59" s="18" t="n">
        <v>3532.55</v>
      </c>
      <c r="X59" s="18" t="n">
        <v>2083.94</v>
      </c>
      <c r="Y59" s="18" t="n">
        <v>2738.27</v>
      </c>
      <c r="Z59" s="34" t="n">
        <v>2738.27</v>
      </c>
      <c r="AA59" s="18" t="n">
        <v>2132.93</v>
      </c>
      <c r="AB59" s="19" t="n">
        <v>2343.96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14534.94</v>
      </c>
      <c r="F60" s="9" t="n"/>
      <c r="G60" s="18" t="n">
        <v>12500.03</v>
      </c>
      <c r="H60" s="18" t="n">
        <v>11730.6</v>
      </c>
      <c r="I60" s="18" t="n">
        <v>12798.42</v>
      </c>
      <c r="J60" s="18" t="n">
        <v>15727.04</v>
      </c>
      <c r="K60" s="34" t="n">
        <v>52756.09</v>
      </c>
      <c r="L60" s="18" t="n">
        <v>19766.41</v>
      </c>
      <c r="M60" s="18" t="n">
        <v>17099.02</v>
      </c>
      <c r="N60" s="18" t="n">
        <v>17302.73</v>
      </c>
      <c r="O60" s="18" t="n">
        <v>17546.94</v>
      </c>
      <c r="P60" s="34" t="n">
        <v>71715.10000000001</v>
      </c>
      <c r="Q60" s="18" t="n">
        <v>16739.95</v>
      </c>
      <c r="R60" s="18" t="n">
        <v>14064.24</v>
      </c>
      <c r="S60" s="18" t="n">
        <v>12924.18</v>
      </c>
      <c r="T60" s="18" t="n">
        <v>17670.18</v>
      </c>
      <c r="U60" s="34" t="n">
        <v>61398.55</v>
      </c>
      <c r="V60" s="18" t="n">
        <v>10329.01</v>
      </c>
      <c r="W60" s="18" t="n">
        <v>14619.54</v>
      </c>
      <c r="X60" s="18" t="n">
        <v>17155.59</v>
      </c>
      <c r="Y60" s="18" t="n">
        <v>17773.11</v>
      </c>
      <c r="Z60" s="34" t="n">
        <v>59877.25</v>
      </c>
      <c r="AA60" s="18" t="n">
        <v>21247.63</v>
      </c>
      <c r="AB60" s="19" t="n">
        <v>18885.89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17624.61</v>
      </c>
      <c r="F61" s="9" t="n"/>
      <c r="G61" s="18" t="n">
        <v>12307.05</v>
      </c>
      <c r="H61" s="18" t="n">
        <v>11747.91</v>
      </c>
      <c r="I61" s="18" t="n">
        <v>12346.46</v>
      </c>
      <c r="J61" s="18" t="n">
        <v>14109.24</v>
      </c>
      <c r="K61" s="34" t="n">
        <v>50510.66</v>
      </c>
      <c r="L61" s="18" t="n">
        <v>15726.9</v>
      </c>
      <c r="M61" s="18" t="n">
        <v>12811.42</v>
      </c>
      <c r="N61" s="18" t="n">
        <v>14536.99</v>
      </c>
      <c r="O61" s="18" t="n">
        <v>14740</v>
      </c>
      <c r="P61" s="34" t="n">
        <v>57815.31</v>
      </c>
      <c r="Q61" s="18" t="n">
        <v>13914.53</v>
      </c>
      <c r="R61" s="18" t="n">
        <v>11754.49</v>
      </c>
      <c r="S61" s="18" t="n">
        <v>11711.29</v>
      </c>
      <c r="T61" s="18" t="n">
        <v>14912.22</v>
      </c>
      <c r="U61" s="34" t="n">
        <v>52292.53</v>
      </c>
      <c r="V61" s="18" t="n">
        <v>9301.85</v>
      </c>
      <c r="W61" s="18" t="n">
        <v>12404.24</v>
      </c>
      <c r="X61" s="18" t="n">
        <v>13302.11</v>
      </c>
      <c r="Y61" s="18" t="n">
        <v>15165.92</v>
      </c>
      <c r="Z61" s="34" t="n">
        <v>50174.12</v>
      </c>
      <c r="AA61" s="18" t="n">
        <v>17167.26</v>
      </c>
      <c r="AB61" s="19" t="n">
        <v>17669.18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-3089.67</v>
      </c>
      <c r="F62" s="9" t="n"/>
      <c r="G62" s="18" t="n">
        <v>192.98</v>
      </c>
      <c r="H62" s="18" t="n">
        <v>-17.31</v>
      </c>
      <c r="I62" s="18" t="n">
        <v>451.97</v>
      </c>
      <c r="J62" s="18" t="n">
        <v>1617.8</v>
      </c>
      <c r="K62" s="34" t="n">
        <v>2245.44</v>
      </c>
      <c r="L62" s="18" t="n">
        <v>4039.51</v>
      </c>
      <c r="M62" s="18" t="n">
        <v>4287.6</v>
      </c>
      <c r="N62" s="18" t="n">
        <v>2765.74</v>
      </c>
      <c r="O62" s="18" t="n">
        <v>2806.94</v>
      </c>
      <c r="P62" s="34" t="n">
        <v>13899.79</v>
      </c>
      <c r="Q62" s="18" t="n">
        <v>2825.42</v>
      </c>
      <c r="R62" s="18" t="n">
        <v>2309.75</v>
      </c>
      <c r="S62" s="18" t="n">
        <v>1212.89</v>
      </c>
      <c r="T62" s="18" t="n">
        <v>2757.96</v>
      </c>
      <c r="U62" s="34" t="n">
        <v>9106.02</v>
      </c>
      <c r="V62" s="18" t="n">
        <v>1027.16</v>
      </c>
      <c r="W62" s="18" t="n">
        <v>2215.3</v>
      </c>
      <c r="X62" s="18" t="n">
        <v>3853.48</v>
      </c>
      <c r="Y62" s="18" t="n">
        <v>2607.19</v>
      </c>
      <c r="Z62" s="34" t="n">
        <v>9703.129999999999</v>
      </c>
      <c r="AA62" s="18" t="n">
        <v>4080.37</v>
      </c>
      <c r="AB62" s="19" t="n">
        <v>1216.71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2297.32</v>
      </c>
      <c r="F63" s="9" t="n"/>
      <c r="G63" s="18" t="n">
        <v>1826.59</v>
      </c>
      <c r="H63" s="18" t="n">
        <v>1586.19</v>
      </c>
      <c r="I63" s="18" t="n">
        <v>1755.76</v>
      </c>
      <c r="J63" s="18" t="n">
        <v>1818.32</v>
      </c>
      <c r="K63" s="34" t="n">
        <v>6986.86</v>
      </c>
      <c r="L63" s="18" t="n">
        <v>1855.03</v>
      </c>
      <c r="M63" s="18" t="n">
        <v>2020.1</v>
      </c>
      <c r="N63" s="18" t="n">
        <v>2024.52</v>
      </c>
      <c r="O63" s="18" t="n">
        <v>2403.65</v>
      </c>
      <c r="P63" s="34" t="n">
        <v>8303.299999999999</v>
      </c>
      <c r="Q63" s="18" t="n">
        <v>1867.24</v>
      </c>
      <c r="R63" s="18" t="n">
        <v>2463.15</v>
      </c>
      <c r="S63" s="18" t="n">
        <v>1795.51</v>
      </c>
      <c r="T63" s="18" t="n">
        <v>2543.36</v>
      </c>
      <c r="U63" s="34" t="n">
        <v>8669.26</v>
      </c>
      <c r="V63" s="18" t="n">
        <v>2194.59</v>
      </c>
      <c r="W63" s="18" t="n">
        <v>2535.3</v>
      </c>
      <c r="X63" s="18" t="n">
        <v>2681.08</v>
      </c>
      <c r="Y63" s="18" t="n">
        <v>2435.91</v>
      </c>
      <c r="Z63" s="34" t="n">
        <v>9846.879999999999</v>
      </c>
      <c r="AA63" s="18" t="n">
        <v>2598.33</v>
      </c>
      <c r="AB63" s="19" t="n">
        <v>1352.6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-5386.99</v>
      </c>
      <c r="F64" s="9" t="n"/>
      <c r="G64" s="18" t="n">
        <v>-1633.61</v>
      </c>
      <c r="H64" s="18" t="n">
        <v>-1603.5</v>
      </c>
      <c r="I64" s="18" t="n">
        <v>-1303.79</v>
      </c>
      <c r="J64" s="18" t="n">
        <v>-200.52</v>
      </c>
      <c r="K64" s="34" t="n">
        <v>-4741.42</v>
      </c>
      <c r="L64" s="18" t="n">
        <v>2184.48</v>
      </c>
      <c r="M64" s="18" t="n">
        <v>2267.5</v>
      </c>
      <c r="N64" s="18" t="n">
        <v>741.22</v>
      </c>
      <c r="O64" s="18" t="n">
        <v>403.29</v>
      </c>
      <c r="P64" s="34" t="n">
        <v>5596.49</v>
      </c>
      <c r="Q64" s="18" t="n">
        <v>958.1799999999999</v>
      </c>
      <c r="R64" s="18" t="n">
        <v>-153.39</v>
      </c>
      <c r="S64" s="18" t="n">
        <v>-582.62</v>
      </c>
      <c r="T64" s="18" t="n">
        <v>214.6</v>
      </c>
      <c r="U64" s="34" t="n">
        <v>436.77</v>
      </c>
      <c r="V64" s="18" t="n">
        <v>-1167.43</v>
      </c>
      <c r="W64" s="18" t="n">
        <v>-320</v>
      </c>
      <c r="X64" s="18" t="n">
        <v>1172.4</v>
      </c>
      <c r="Y64" s="18" t="n">
        <v>171.28</v>
      </c>
      <c r="Z64" s="34" t="n">
        <v>-143.75</v>
      </c>
      <c r="AA64" s="18" t="n">
        <v>1482.04</v>
      </c>
      <c r="AB64" s="19" t="n">
        <v>-135.88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257.34</v>
      </c>
      <c r="F65" s="9" t="n"/>
      <c r="G65" s="18" t="n">
        <v>60.59</v>
      </c>
      <c r="H65" s="18" t="n">
        <v>422.84</v>
      </c>
      <c r="I65" s="18" t="n">
        <v>235.49</v>
      </c>
      <c r="J65" s="18" t="n">
        <v>-22.82</v>
      </c>
      <c r="K65" s="34" t="n">
        <v>696.1</v>
      </c>
      <c r="L65" s="18" t="n">
        <v>294.87</v>
      </c>
      <c r="M65" s="18" t="n">
        <v>69.31999999999999</v>
      </c>
      <c r="N65" s="18" t="n">
        <v>62.94</v>
      </c>
      <c r="O65" s="18" t="n">
        <v>367.07</v>
      </c>
      <c r="P65" s="34" t="n">
        <v>794.2</v>
      </c>
      <c r="Q65" s="18" t="n">
        <v>579.73</v>
      </c>
      <c r="R65" s="18" t="n">
        <v>101.24</v>
      </c>
      <c r="S65" s="18" t="n">
        <v>53.61</v>
      </c>
      <c r="T65" s="18" t="n">
        <v>-96.48</v>
      </c>
      <c r="U65" s="34" t="n">
        <v>638.1</v>
      </c>
      <c r="V65" s="18" t="n">
        <v>93.08</v>
      </c>
      <c r="W65" s="18" t="n">
        <v>65.78</v>
      </c>
      <c r="X65" s="18" t="n">
        <v>319.32</v>
      </c>
      <c r="Y65" s="18" t="n">
        <v>301.15</v>
      </c>
      <c r="Z65" s="34" t="n">
        <v>779.33</v>
      </c>
      <c r="AA65" s="18" t="n">
        <v>242.22</v>
      </c>
      <c r="AB65" s="19" t="n">
        <v>146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4487.68</v>
      </c>
      <c r="F66" s="9" t="n"/>
      <c r="G66" s="18" t="n">
        <v>52.76</v>
      </c>
      <c r="H66" s="18" t="n">
        <v>93.41</v>
      </c>
      <c r="I66" s="18" t="n">
        <v>67.66</v>
      </c>
      <c r="J66" s="18" t="n">
        <v>438.95</v>
      </c>
      <c r="K66" s="34" t="n">
        <v>652.78</v>
      </c>
      <c r="L66" s="18" t="n">
        <v>164.36</v>
      </c>
      <c r="M66" s="18" t="n">
        <v>155.99</v>
      </c>
      <c r="N66" s="18" t="n">
        <v>49.41</v>
      </c>
      <c r="O66" s="18" t="n">
        <v>752.87</v>
      </c>
      <c r="P66" s="34" t="n">
        <v>1122.63</v>
      </c>
      <c r="Q66" s="18" t="n">
        <v>223.52</v>
      </c>
      <c r="R66" s="18" t="n">
        <v>51.34</v>
      </c>
      <c r="S66" s="18" t="n">
        <v>-41.68</v>
      </c>
      <c r="T66" s="18" t="n">
        <v>655.47</v>
      </c>
      <c r="U66" s="34" t="n">
        <v>888.65</v>
      </c>
      <c r="V66" s="18" t="n">
        <v>53.44</v>
      </c>
      <c r="W66" s="18" t="n">
        <v>232.25</v>
      </c>
      <c r="X66" s="18" t="n">
        <v>59.04</v>
      </c>
      <c r="Y66" s="18" t="n">
        <v>70.09999999999999</v>
      </c>
      <c r="Z66" s="34" t="n">
        <v>414.83</v>
      </c>
      <c r="AA66" s="18" t="n">
        <v>104.75</v>
      </c>
      <c r="AB66" s="19" t="n">
        <v>103.96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28.13</v>
      </c>
      <c r="F67" s="9" t="n"/>
      <c r="G67" s="18" t="n">
        <v>45.74</v>
      </c>
      <c r="H67" s="18" t="n">
        <v>35.16</v>
      </c>
      <c r="I67" s="18" t="n">
        <v>46.22</v>
      </c>
      <c r="J67" s="18" t="n">
        <v>296.48</v>
      </c>
      <c r="K67" s="34" t="n">
        <v>423.6</v>
      </c>
      <c r="L67" s="18" t="n">
        <v>24.42</v>
      </c>
      <c r="M67" s="18" t="n">
        <v>37.73</v>
      </c>
      <c r="N67" s="18" t="n">
        <v>76.97</v>
      </c>
      <c r="O67" s="18" t="n">
        <v>1179</v>
      </c>
      <c r="P67" s="34" t="n">
        <v>1318.12</v>
      </c>
      <c r="Q67" s="18" t="n">
        <v>15.33</v>
      </c>
      <c r="R67" s="18" t="n">
        <v>3026.96</v>
      </c>
      <c r="S67" s="18" t="n">
        <v>99.93000000000001</v>
      </c>
      <c r="T67" s="18" t="n">
        <v>-817.8200000000001</v>
      </c>
      <c r="U67" s="34" t="n">
        <v>2324.4</v>
      </c>
      <c r="V67" s="18" t="n">
        <v>171.8</v>
      </c>
      <c r="W67" s="18" t="n">
        <v>1716.55</v>
      </c>
      <c r="X67" s="18" t="n">
        <v>516.65</v>
      </c>
      <c r="Y67" s="18" t="n">
        <v>-476.91</v>
      </c>
      <c r="Z67" s="34" t="n">
        <v>1928.09</v>
      </c>
      <c r="AA67" s="18" t="n">
        <v>70.25</v>
      </c>
      <c r="AB67" s="19" t="n">
        <v>388.24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745.47</v>
      </c>
      <c r="F68" s="9" t="n"/>
      <c r="G68" s="18" t="n">
        <v>679.83</v>
      </c>
      <c r="H68" s="18" t="n">
        <v>717.98</v>
      </c>
      <c r="I68" s="18" t="n">
        <v>744.96</v>
      </c>
      <c r="J68" s="18" t="n">
        <v>892.75</v>
      </c>
      <c r="K68" s="34" t="n">
        <v>3035.52</v>
      </c>
      <c r="L68" s="18" t="n">
        <v>876.98</v>
      </c>
      <c r="M68" s="18" t="n">
        <v>866.79</v>
      </c>
      <c r="N68" s="18" t="n">
        <v>880.53</v>
      </c>
      <c r="O68" s="18" t="n">
        <v>1160.98</v>
      </c>
      <c r="P68" s="34" t="n">
        <v>3785.28</v>
      </c>
      <c r="Q68" s="18" t="n">
        <v>875.22</v>
      </c>
      <c r="R68" s="18" t="n">
        <v>1536.06</v>
      </c>
      <c r="S68" s="18" t="n">
        <v>1100.78</v>
      </c>
      <c r="T68" s="18" t="n">
        <v>1709.02</v>
      </c>
      <c r="U68" s="34" t="n">
        <v>5221.08</v>
      </c>
      <c r="V68" s="18" t="n">
        <v>830.12</v>
      </c>
      <c r="W68" s="18" t="n">
        <v>7104</v>
      </c>
      <c r="X68" s="18" t="n">
        <v>1308.44</v>
      </c>
      <c r="Y68" s="18" t="n">
        <v>682.37</v>
      </c>
      <c r="Z68" s="34" t="n">
        <v>9924.93</v>
      </c>
      <c r="AA68" s="18" t="n">
        <v>649.42</v>
      </c>
      <c r="AB68" s="19" t="n">
        <v>1437.12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-10634.67</v>
      </c>
      <c r="F69" s="9" t="n"/>
      <c r="G69" s="18" t="n">
        <v>-2259.86</v>
      </c>
      <c r="H69" s="18" t="n">
        <v>-1956.9</v>
      </c>
      <c r="I69" s="18" t="n">
        <v>-1834.71</v>
      </c>
      <c r="J69" s="18" t="n">
        <v>-1775.63</v>
      </c>
      <c r="K69" s="34" t="n">
        <v>-7827.1</v>
      </c>
      <c r="L69" s="18" t="n">
        <v>1462.43</v>
      </c>
      <c r="M69" s="18" t="n">
        <v>1351.76</v>
      </c>
      <c r="N69" s="18" t="n">
        <v>-48.81</v>
      </c>
      <c r="O69" s="18" t="n">
        <v>35.51</v>
      </c>
      <c r="P69" s="34" t="n">
        <v>2800.89</v>
      </c>
      <c r="Q69" s="18" t="n">
        <v>454.5</v>
      </c>
      <c r="R69" s="18" t="n">
        <v>1387.4</v>
      </c>
      <c r="S69" s="18" t="n">
        <v>-1488.18</v>
      </c>
      <c r="T69" s="18" t="n">
        <v>-3064.22</v>
      </c>
      <c r="U69" s="34" t="n">
        <v>-2710.5</v>
      </c>
      <c r="V69" s="18" t="n">
        <v>-1786.1</v>
      </c>
      <c r="W69" s="18" t="n">
        <v>-5873.93</v>
      </c>
      <c r="X69" s="18" t="n">
        <v>640.89</v>
      </c>
      <c r="Y69" s="18" t="n">
        <v>-756.9299999999999</v>
      </c>
      <c r="Z69" s="34" t="n">
        <v>-7776.07</v>
      </c>
      <c r="AA69" s="18" t="n">
        <v>1040.35</v>
      </c>
      <c r="AB69" s="19" t="n">
        <v>-1142.73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4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4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4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4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-9322.51</v>
      </c>
      <c r="F71" s="9" t="n"/>
      <c r="G71" s="18" t="n">
        <v>-1965.07</v>
      </c>
      <c r="H71" s="18" t="n">
        <v>-1588.38</v>
      </c>
      <c r="I71" s="18" t="n">
        <v>-1686.6</v>
      </c>
      <c r="J71" s="18" t="n">
        <v>-1747.09</v>
      </c>
      <c r="K71" s="34" t="n">
        <v>-6987.14</v>
      </c>
      <c r="L71" s="18" t="n">
        <v>1294.98</v>
      </c>
      <c r="M71" s="18" t="n">
        <v>1293.55</v>
      </c>
      <c r="N71" s="18" t="n">
        <v>-149</v>
      </c>
      <c r="O71" s="18" t="n">
        <v>-102.87</v>
      </c>
      <c r="P71" s="34" t="n">
        <v>2336.66</v>
      </c>
      <c r="Q71" s="18" t="n">
        <v>387.67</v>
      </c>
      <c r="R71" s="18" t="n">
        <v>1002.96</v>
      </c>
      <c r="U71" s="9" t="n"/>
      <c r="V71" s="18" t="n">
        <v>-1275.7</v>
      </c>
      <c r="W71" s="18" t="n">
        <v>-5231.74</v>
      </c>
      <c r="X71" s="18" t="n">
        <v>300.02</v>
      </c>
      <c r="Y71" s="18" t="n">
        <v>-336.35</v>
      </c>
      <c r="Z71" s="34" t="n">
        <v>-6543.77</v>
      </c>
      <c r="AA71" s="18" t="n">
        <v>807.87</v>
      </c>
      <c r="AB71" s="19" t="n">
        <v>-258.23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-1312.15</v>
      </c>
      <c r="F72" s="9" t="n"/>
      <c r="G72" s="18" t="n">
        <v>-294.8</v>
      </c>
      <c r="H72" s="18" t="n">
        <v>-368.52</v>
      </c>
      <c r="I72" s="18" t="n">
        <v>-148.11</v>
      </c>
      <c r="J72" s="18" t="n">
        <v>-28.54</v>
      </c>
      <c r="K72" s="34" t="n">
        <v>-839.97</v>
      </c>
      <c r="L72" s="18" t="n">
        <v>167.44</v>
      </c>
      <c r="M72" s="18" t="n">
        <v>58.21</v>
      </c>
      <c r="N72" s="18" t="n">
        <v>100.2</v>
      </c>
      <c r="O72" s="18" t="n">
        <v>138.39</v>
      </c>
      <c r="P72" s="34" t="n">
        <v>464.24</v>
      </c>
      <c r="Q72" s="18" t="n">
        <v>66.83</v>
      </c>
      <c r="R72" s="18" t="n">
        <v>384.44</v>
      </c>
      <c r="S72" s="18" t="n">
        <v>-361.52</v>
      </c>
      <c r="T72" s="18" t="n">
        <v>286.5</v>
      </c>
      <c r="U72" s="34" t="n">
        <v>376.25</v>
      </c>
      <c r="V72" s="18" t="n">
        <v>-510.41</v>
      </c>
      <c r="W72" s="18" t="n">
        <v>-642.1799999999999</v>
      </c>
      <c r="X72" s="18" t="n">
        <v>340.87</v>
      </c>
      <c r="Y72" s="18" t="n">
        <v>-420.59</v>
      </c>
      <c r="Z72" s="34" t="n">
        <v>-1232.31</v>
      </c>
      <c r="AA72" s="18" t="n">
        <v>232.48</v>
      </c>
      <c r="AB72" s="19" t="n">
        <v>-884.5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-6023.73</v>
      </c>
      <c r="F73" s="9" t="n"/>
      <c r="G73" s="18" t="n">
        <v>-2149.5</v>
      </c>
      <c r="H73" s="18" t="n">
        <v>-2184.09</v>
      </c>
      <c r="I73" s="18" t="n">
        <v>-1836.13</v>
      </c>
      <c r="J73" s="18" t="n">
        <v>-1740.55</v>
      </c>
      <c r="K73" s="34" t="n">
        <v>-7910.27</v>
      </c>
      <c r="L73" s="18" t="n">
        <v>1455.53</v>
      </c>
      <c r="M73" s="18" t="n">
        <v>1356.76</v>
      </c>
      <c r="N73" s="18" t="n">
        <v>-52.39</v>
      </c>
      <c r="O73" s="18" t="n">
        <v>3211.25</v>
      </c>
      <c r="P73" s="34" t="n">
        <v>5971.15</v>
      </c>
      <c r="Q73" s="18" t="n">
        <v>454.86</v>
      </c>
      <c r="R73" s="18" t="n">
        <v>1414.46</v>
      </c>
      <c r="S73" s="18" t="n">
        <v>-1514.9</v>
      </c>
      <c r="T73" s="18" t="n">
        <v>-3280.52</v>
      </c>
      <c r="U73" s="34" t="n">
        <v>-2926.1</v>
      </c>
      <c r="V73" s="18" t="n">
        <v>-1785.98</v>
      </c>
      <c r="W73" s="18" t="n">
        <v>-5848.68</v>
      </c>
      <c r="X73" s="18" t="n">
        <v>665.63</v>
      </c>
      <c r="Y73" s="18" t="n">
        <v>-1105.24</v>
      </c>
      <c r="Z73" s="34" t="n">
        <v>-8074.27</v>
      </c>
      <c r="AA73" s="18" t="n">
        <v>1021.44</v>
      </c>
      <c r="AB73" s="19" t="n">
        <v>-1480.8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-717.34</v>
      </c>
      <c r="F74" s="9" t="n"/>
      <c r="G74" s="18" t="n">
        <v>-634.09</v>
      </c>
      <c r="H74" s="18" t="n">
        <v>-682.8200000000001</v>
      </c>
      <c r="I74" s="18" t="n">
        <v>-698.74</v>
      </c>
      <c r="J74" s="18" t="n">
        <v>-596.27</v>
      </c>
      <c r="K74" s="34" t="n">
        <v>-2611.92</v>
      </c>
      <c r="L74" s="18" t="n">
        <v>-852.5599999999999</v>
      </c>
      <c r="M74" s="18" t="n">
        <v>-829.0599999999999</v>
      </c>
      <c r="N74" s="18" t="n">
        <v>-803.5599999999999</v>
      </c>
      <c r="O74" s="18" t="n">
        <v>18.02</v>
      </c>
      <c r="P74" s="34" t="n">
        <v>-2467.16</v>
      </c>
      <c r="Q74" s="18" t="n">
        <v>-859.89</v>
      </c>
      <c r="R74" s="18" t="n">
        <v>1490.9</v>
      </c>
      <c r="S74" s="18" t="n">
        <v>-1000.85</v>
      </c>
      <c r="T74" s="18" t="n">
        <v>-2526.84</v>
      </c>
      <c r="U74" s="34" t="n">
        <v>-2896.68</v>
      </c>
      <c r="V74" s="18" t="n">
        <v>-658.3200000000001</v>
      </c>
      <c r="W74" s="18" t="n">
        <v>-5387.45</v>
      </c>
      <c r="X74" s="18" t="n">
        <v>-791.79</v>
      </c>
      <c r="Y74" s="18" t="n">
        <v>-1159.28</v>
      </c>
      <c r="Z74" s="34" t="n">
        <v>-7996.84</v>
      </c>
      <c r="AA74" s="18" t="n">
        <v>-579.17</v>
      </c>
      <c r="AB74" s="19" t="n">
        <v>-1048.88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-4230.34</v>
      </c>
      <c r="F75" s="9" t="n"/>
      <c r="G75" s="18" t="n">
        <v>7.83</v>
      </c>
      <c r="H75" s="18" t="n">
        <v>329.43</v>
      </c>
      <c r="I75" s="18" t="n">
        <v>167.83</v>
      </c>
      <c r="J75" s="18" t="n">
        <v>-461.77</v>
      </c>
      <c r="K75" s="34" t="n">
        <v>43.32</v>
      </c>
      <c r="L75" s="18" t="n">
        <v>130.51</v>
      </c>
      <c r="M75" s="18" t="n">
        <v>-86.67</v>
      </c>
      <c r="N75" s="18" t="n">
        <v>13.53</v>
      </c>
      <c r="O75" s="18" t="n">
        <v>-385.8</v>
      </c>
      <c r="P75" s="34" t="n">
        <v>-328.43</v>
      </c>
      <c r="Q75" s="18" t="n">
        <v>356.21</v>
      </c>
      <c r="R75" s="18" t="n">
        <v>49.9</v>
      </c>
      <c r="S75" s="18" t="n">
        <v>95.29000000000001</v>
      </c>
      <c r="T75" s="18" t="n">
        <v>-751.95</v>
      </c>
      <c r="U75" s="34" t="n">
        <v>-250.55</v>
      </c>
      <c r="V75" s="18" t="n">
        <v>39.64</v>
      </c>
      <c r="W75" s="18" t="n">
        <v>-166.47</v>
      </c>
      <c r="X75" s="18" t="n">
        <v>260.28</v>
      </c>
      <c r="Y75" s="18" t="n">
        <v>231.05</v>
      </c>
      <c r="Z75" s="34" t="n">
        <v>364.5</v>
      </c>
      <c r="AA75" s="18" t="n">
        <v>137.47</v>
      </c>
      <c r="AB75" s="19" t="n">
        <v>42.04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-10634.67</v>
      </c>
      <c r="F76" s="9" t="n"/>
      <c r="G76" s="18" t="n">
        <v>-2259.86</v>
      </c>
      <c r="H76" s="18" t="n">
        <v>-1956.9</v>
      </c>
      <c r="I76" s="18" t="n">
        <v>-1834.71</v>
      </c>
      <c r="J76" s="18" t="n">
        <v>-1775.63</v>
      </c>
      <c r="K76" s="34" t="n">
        <v>-7827.1</v>
      </c>
      <c r="L76" s="18" t="n">
        <v>1462.43</v>
      </c>
      <c r="M76" s="18" t="n">
        <v>1351.76</v>
      </c>
      <c r="N76" s="18" t="n">
        <v>-48.81</v>
      </c>
      <c r="O76" s="18" t="n">
        <v>35.51</v>
      </c>
      <c r="P76" s="34" t="n">
        <v>2800.89</v>
      </c>
      <c r="Q76" s="18" t="n">
        <v>454.5</v>
      </c>
      <c r="R76" s="18" t="n">
        <v>1387.4</v>
      </c>
      <c r="S76" s="18" t="n">
        <v>-1488.18</v>
      </c>
      <c r="T76" s="18" t="n">
        <v>-3064.22</v>
      </c>
      <c r="U76" s="34" t="n">
        <v>-2710.5</v>
      </c>
      <c r="V76" s="18" t="n">
        <v>-1786.1</v>
      </c>
      <c r="W76" s="18" t="n">
        <v>-5873.93</v>
      </c>
      <c r="X76" s="18" t="n">
        <v>640.89</v>
      </c>
      <c r="Y76" s="18" t="n">
        <v>-756.9299999999999</v>
      </c>
      <c r="Z76" s="34" t="n">
        <v>-7776.07</v>
      </c>
      <c r="AA76" s="18" t="n">
        <v>1040.35</v>
      </c>
      <c r="AB76" s="19" t="n">
        <v>-1142.73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F77" s="9" t="n"/>
      <c r="G77" s="18" t="n">
        <v>0</v>
      </c>
      <c r="I77" s="18" t="n">
        <v>0</v>
      </c>
      <c r="J77" s="18" t="n">
        <v>0</v>
      </c>
      <c r="K77" s="9" t="n"/>
      <c r="L77" s="18" t="n">
        <v>0</v>
      </c>
      <c r="M77" s="18" t="n">
        <v>0</v>
      </c>
      <c r="N77" s="18" t="n">
        <v>0</v>
      </c>
      <c r="O77" s="18" t="n">
        <v>0</v>
      </c>
      <c r="P77" s="34" t="n">
        <v>0</v>
      </c>
      <c r="Q77" s="18" t="n">
        <v>0</v>
      </c>
      <c r="R77" s="18" t="n">
        <v>0</v>
      </c>
      <c r="S77" s="18" t="n">
        <v>0</v>
      </c>
      <c r="T77" s="18" t="n">
        <v>0</v>
      </c>
      <c r="U77" s="34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34" t="n">
        <v>0</v>
      </c>
      <c r="AA77" s="18" t="n">
        <v>0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29.22</v>
      </c>
      <c r="H78" s="18" t="n">
        <v>30.45</v>
      </c>
      <c r="I78" s="18" t="n">
        <v>29.37</v>
      </c>
      <c r="J78" s="18" t="n">
        <v>58.16</v>
      </c>
      <c r="K78" s="34" t="n">
        <v>147.2</v>
      </c>
      <c r="L78" s="18" t="n">
        <v>21.79</v>
      </c>
      <c r="M78" s="18" t="n">
        <v>30.87</v>
      </c>
      <c r="N78" s="18" t="n">
        <v>48.41</v>
      </c>
      <c r="O78" s="18" t="n">
        <v>54.11</v>
      </c>
      <c r="P78" s="34" t="n">
        <v>155.18</v>
      </c>
      <c r="Q78" s="18" t="n">
        <v>8.25</v>
      </c>
      <c r="R78" s="18" t="n">
        <v>7.1</v>
      </c>
      <c r="S78" s="18" t="n">
        <v>22.93</v>
      </c>
      <c r="T78" s="18" t="n">
        <v>66.69</v>
      </c>
      <c r="U78" s="34" t="n">
        <v>104.97</v>
      </c>
      <c r="V78" s="18" t="n">
        <v>7.39</v>
      </c>
      <c r="W78" s="18" t="n">
        <v>44.25</v>
      </c>
      <c r="X78" s="18" t="n">
        <v>108.29</v>
      </c>
      <c r="Y78" s="18" t="n">
        <v>-2.64</v>
      </c>
      <c r="Z78" s="34" t="n">
        <v>157.29</v>
      </c>
      <c r="AA78" s="18" t="n">
        <v>33.98</v>
      </c>
      <c r="AB78" s="19" t="n">
        <v>57.55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배당금수익</t>
        </is>
      </c>
      <c r="F79" s="9" t="n"/>
      <c r="G79" s="18" t="n">
        <v>14.74</v>
      </c>
      <c r="H79" s="18" t="n">
        <v>0</v>
      </c>
      <c r="I79" s="18" t="n">
        <v>0</v>
      </c>
      <c r="J79" s="18" t="n">
        <v>0</v>
      </c>
      <c r="K79" s="34" t="n">
        <v>14.74</v>
      </c>
      <c r="M79" s="18" t="n">
        <v>6.7</v>
      </c>
      <c r="N79" s="18" t="n">
        <v>35.14</v>
      </c>
      <c r="O79" s="18" t="n">
        <v>0</v>
      </c>
      <c r="P79" s="9" t="n"/>
      <c r="R79" s="18" t="n">
        <v>113.34</v>
      </c>
      <c r="S79" s="18" t="n">
        <v>81.2</v>
      </c>
      <c r="T79" s="18" t="n">
        <v>0</v>
      </c>
      <c r="U79" s="9" t="n"/>
      <c r="V79" s="18" t="n">
        <v>161</v>
      </c>
      <c r="W79" s="18" t="n">
        <v>15.2</v>
      </c>
      <c r="X79" s="18" t="n">
        <v>0</v>
      </c>
      <c r="Y79" s="18" t="n">
        <v>120.4</v>
      </c>
      <c r="Z79" s="34" t="n">
        <v>296.6</v>
      </c>
      <c r="AB79" s="19" t="n">
        <v>182.2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677.95</v>
      </c>
      <c r="H80" s="18" t="n">
        <v>716.74</v>
      </c>
      <c r="I80" s="18" t="n">
        <v>744.54</v>
      </c>
      <c r="J80" s="18" t="n">
        <v>856.08</v>
      </c>
      <c r="K80" s="34" t="n">
        <v>2995.31</v>
      </c>
      <c r="L80" s="18" t="n">
        <v>875.61</v>
      </c>
      <c r="M80" s="18" t="n">
        <v>858.4</v>
      </c>
      <c r="N80" s="18" t="n">
        <v>878.9400000000001</v>
      </c>
      <c r="O80" s="18" t="n">
        <v>1020.25</v>
      </c>
      <c r="P80" s="34" t="n">
        <v>3633.2</v>
      </c>
      <c r="Q80" s="18" t="n">
        <v>871.54</v>
      </c>
      <c r="R80" s="18" t="n">
        <v>1476.73</v>
      </c>
      <c r="S80" s="18" t="n">
        <v>1091.19</v>
      </c>
      <c r="T80" s="18" t="n">
        <v>1398.26</v>
      </c>
      <c r="U80" s="34" t="n">
        <v>4837.72</v>
      </c>
      <c r="V80" s="18" t="n">
        <v>830.12</v>
      </c>
      <c r="W80" s="18" t="n">
        <v>1522.14</v>
      </c>
      <c r="X80" s="18" t="n">
        <v>324.01</v>
      </c>
      <c r="Y80" s="18" t="n">
        <v>806.59</v>
      </c>
      <c r="Z80" s="34" t="n">
        <v>3482.86</v>
      </c>
      <c r="AA80" s="18" t="n">
        <v>644.47</v>
      </c>
      <c r="AB80" s="19" t="n">
        <v>1224.09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1.78</v>
      </c>
      <c r="H81" s="18" t="n">
        <v>2.94</v>
      </c>
      <c r="I81" s="18" t="n">
        <v>11.36</v>
      </c>
      <c r="J81" s="18" t="n">
        <v>-9.57</v>
      </c>
      <c r="K81" s="34" t="n">
        <v>6.51</v>
      </c>
      <c r="L81" s="18" t="n">
        <v>1.04</v>
      </c>
      <c r="M81" s="18" t="n">
        <v>0.34</v>
      </c>
      <c r="N81" s="18" t="n">
        <v>-4.98</v>
      </c>
      <c r="O81" s="18" t="n">
        <v>2.62</v>
      </c>
      <c r="P81" s="34" t="n">
        <v>-0.98</v>
      </c>
      <c r="Q81" s="18" t="n">
        <v>0.49</v>
      </c>
      <c r="R81" s="18" t="n">
        <v>0.22</v>
      </c>
      <c r="S81" s="18" t="n">
        <v>0</v>
      </c>
      <c r="T81" s="18" t="n">
        <v>0.23</v>
      </c>
      <c r="U81" s="34" t="n">
        <v>0.9399999999999999</v>
      </c>
      <c r="W81" s="18" t="n">
        <v>67.86</v>
      </c>
      <c r="X81" s="18" t="n">
        <v>0.98</v>
      </c>
      <c r="Y81" s="18" t="n">
        <v>48.28</v>
      </c>
      <c r="Z81" s="9" t="n"/>
      <c r="AA81" s="18" t="n">
        <v>32.79</v>
      </c>
      <c r="AB81" s="19" t="n">
        <v>3.43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1.87</v>
      </c>
      <c r="H82" s="18" t="n">
        <v>-1.18</v>
      </c>
      <c r="I82" s="18" t="n">
        <v>-0.7</v>
      </c>
      <c r="K82" s="9" t="n"/>
      <c r="M82" s="18" t="n">
        <v>0.84</v>
      </c>
      <c r="N82" s="18" t="n">
        <v>0.19</v>
      </c>
      <c r="O82" s="18" t="n">
        <v>2.33</v>
      </c>
      <c r="P82" s="9" t="n"/>
      <c r="Q82" s="18" t="n">
        <v>3.67</v>
      </c>
      <c r="R82" s="18" t="n">
        <v>0.9</v>
      </c>
      <c r="S82" s="18" t="n">
        <v>9.59</v>
      </c>
      <c r="T82" s="18" t="n">
        <v>-7.95</v>
      </c>
      <c r="U82" s="34" t="n">
        <v>6.21</v>
      </c>
      <c r="Z82" s="9" t="n"/>
      <c r="AA82" s="18" t="n">
        <v>-4.95</v>
      </c>
      <c r="AB82" s="19" t="n">
        <v>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-648.73</v>
      </c>
      <c r="H83" s="18" t="n">
        <v>-686.29</v>
      </c>
      <c r="I83" s="18" t="n">
        <v>-715.17</v>
      </c>
      <c r="J83" s="18" t="n">
        <v>-797.92</v>
      </c>
      <c r="K83" s="34" t="n">
        <v>-2848.11</v>
      </c>
      <c r="L83" s="18" t="n">
        <v>-853.8200000000001</v>
      </c>
      <c r="M83" s="18" t="n">
        <v>-827.53</v>
      </c>
      <c r="N83" s="18" t="n">
        <v>-830.53</v>
      </c>
      <c r="O83" s="18" t="n">
        <v>-966.14</v>
      </c>
      <c r="P83" s="34" t="n">
        <v>-3478.02</v>
      </c>
      <c r="Q83" s="18" t="n">
        <v>-863.29</v>
      </c>
      <c r="R83" s="18" t="n">
        <v>-1469.63</v>
      </c>
      <c r="S83" s="18" t="n">
        <v>-1068.26</v>
      </c>
      <c r="T83" s="18" t="n">
        <v>-1331.57</v>
      </c>
      <c r="U83" s="34" t="n">
        <v>-4732.75</v>
      </c>
      <c r="V83" s="18" t="n">
        <v>-822.73</v>
      </c>
      <c r="W83" s="18" t="n">
        <v>-1477.89</v>
      </c>
      <c r="X83" s="18" t="n">
        <v>-215.72</v>
      </c>
      <c r="Y83" s="18" t="n">
        <v>-809.23</v>
      </c>
      <c r="Z83" s="34" t="n">
        <v>-3325.57</v>
      </c>
      <c r="AA83" s="18" t="n">
        <v>-610.49</v>
      </c>
      <c r="AB83" s="19" t="n">
        <v>-1166.54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2.42</v>
      </c>
      <c r="I84" s="18" t="n">
        <v>1.12</v>
      </c>
      <c r="J84" s="18" t="n">
        <v>32.92</v>
      </c>
      <c r="K84" s="9" t="n"/>
      <c r="L84" s="18" t="n">
        <v>1.37</v>
      </c>
      <c r="M84" s="18" t="n">
        <v>7.55</v>
      </c>
      <c r="N84" s="18" t="n">
        <v>1.4</v>
      </c>
      <c r="O84" s="18" t="n">
        <v>0.53</v>
      </c>
      <c r="P84" s="34" t="n">
        <v>10.85</v>
      </c>
      <c r="R84" s="18" t="n">
        <v>1.26</v>
      </c>
      <c r="S84" s="18" t="n">
        <v>0</v>
      </c>
      <c r="T84" s="18" t="n">
        <v>0</v>
      </c>
      <c r="U84" s="9" t="n"/>
      <c r="W84" s="18" t="n">
        <v>20.27</v>
      </c>
      <c r="X84" s="18" t="n">
        <v>1.61</v>
      </c>
      <c r="Y84" s="18" t="n">
        <v>5.73</v>
      </c>
      <c r="Z84" s="9" t="n"/>
      <c r="AA84" s="18" t="n">
        <v>2.77</v>
      </c>
      <c r="AB84" s="19" t="n">
        <v>1.69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외화환산이익</t>
        </is>
      </c>
      <c r="F85" s="9" t="n"/>
      <c r="H85" s="18" t="n">
        <v>0.64</v>
      </c>
      <c r="I85" s="18" t="n">
        <v>5.5</v>
      </c>
      <c r="K85" s="9" t="n"/>
      <c r="L85" s="18" t="n">
        <v>1.59</v>
      </c>
      <c r="M85" s="18" t="n">
        <v>-1.38</v>
      </c>
      <c r="N85" s="18" t="n">
        <v>-1.38</v>
      </c>
      <c r="P85" s="9" t="n"/>
      <c r="Q85" s="18" t="n">
        <v>6.59</v>
      </c>
      <c r="R85" s="18" t="n">
        <v>9.449999999999999</v>
      </c>
      <c r="S85" s="18" t="n">
        <v>-4.19</v>
      </c>
      <c r="T85" s="18" t="n">
        <v>47.34</v>
      </c>
      <c r="U85" s="34" t="n">
        <v>59.19</v>
      </c>
      <c r="Z85" s="9" t="n"/>
      <c r="AB85" s="19" t="n">
        <v>104.28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K86" s="9" t="n"/>
      <c r="P86" s="9" t="n"/>
      <c r="R86" s="18" t="n">
        <v>2895.66</v>
      </c>
      <c r="S86" s="18" t="n">
        <v>2895.66</v>
      </c>
      <c r="T86" s="18" t="n">
        <v>-942.02</v>
      </c>
      <c r="U86" s="9" t="n"/>
      <c r="W86" s="18" t="n">
        <v>1585.89</v>
      </c>
      <c r="X86" s="18" t="n">
        <v>1853.27</v>
      </c>
      <c r="Y86" s="18" t="n">
        <v>-646.64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K87" s="9" t="n"/>
      <c r="P87" s="9" t="n"/>
      <c r="R87" s="18" t="n">
        <v>57.17</v>
      </c>
      <c r="S87" s="18" t="n">
        <v>57.17</v>
      </c>
      <c r="T87" s="18" t="n">
        <v>318.04</v>
      </c>
      <c r="U87" s="9" t="n"/>
      <c r="W87" s="18" t="n">
        <v>5561.59</v>
      </c>
      <c r="X87" s="18" t="n">
        <v>1840.41</v>
      </c>
      <c r="Y87" s="18" t="n">
        <v>-146.22</v>
      </c>
      <c r="Z87" s="9" t="n"/>
      <c r="AB87" s="19" t="n">
        <v>211.04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1204.04</v>
      </c>
      <c r="F88" s="9" t="n"/>
      <c r="G88" s="18" t="n">
        <v>-3916.87</v>
      </c>
      <c r="H88" s="18" t="n">
        <v>-1857.46</v>
      </c>
      <c r="I88" s="18" t="n">
        <v>712.87</v>
      </c>
      <c r="J88" s="18" t="n">
        <v>2108.14</v>
      </c>
      <c r="K88" s="34" t="n">
        <v>-2953.32</v>
      </c>
      <c r="L88" s="18" t="n">
        <v>1738.04</v>
      </c>
      <c r="M88" s="18" t="n">
        <v>2891.62</v>
      </c>
      <c r="N88" s="18" t="n">
        <v>631.15</v>
      </c>
      <c r="O88" s="18" t="n">
        <v>-5824.89</v>
      </c>
      <c r="P88" s="34" t="n">
        <v>-564.08</v>
      </c>
      <c r="Q88" s="18" t="n">
        <v>-3168.15</v>
      </c>
      <c r="R88" s="18" t="n">
        <v>-3013.06</v>
      </c>
      <c r="S88" s="18" t="n">
        <v>-897.4400000000001</v>
      </c>
      <c r="T88" s="18" t="n">
        <v>769.01</v>
      </c>
      <c r="U88" s="34" t="n">
        <v>-6309.64</v>
      </c>
      <c r="V88" s="18" t="n">
        <v>-2764.95</v>
      </c>
      <c r="W88" s="18" t="n">
        <v>-2011.11</v>
      </c>
      <c r="X88" s="18" t="n">
        <v>5045.41</v>
      </c>
      <c r="Y88" s="18" t="n">
        <v>-4762.46</v>
      </c>
      <c r="Z88" s="34" t="n">
        <v>-4493.11</v>
      </c>
      <c r="AA88" s="18" t="n">
        <v>-86.09999999999999</v>
      </c>
      <c r="AB88" s="19" t="n">
        <v>3483.46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감가상각비</t>
        </is>
      </c>
      <c r="E89" s="18" t="n">
        <v>452.45</v>
      </c>
      <c r="F89" s="9" t="n"/>
      <c r="G89" s="18" t="n">
        <v>269.04</v>
      </c>
      <c r="H89" s="18" t="n">
        <v>299.44</v>
      </c>
      <c r="I89" s="18" t="n">
        <v>237.14</v>
      </c>
      <c r="J89" s="18" t="n">
        <v>273.15</v>
      </c>
      <c r="K89" s="34" t="n">
        <v>1078.77</v>
      </c>
      <c r="L89" s="18" t="n">
        <v>234.26</v>
      </c>
      <c r="M89" s="18" t="n">
        <v>278.7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무형자산상각비</t>
        </is>
      </c>
      <c r="E90" s="18" t="n">
        <v>24.79</v>
      </c>
      <c r="F90" s="9" t="n"/>
      <c r="G90" s="18" t="n">
        <v>3.36</v>
      </c>
      <c r="H90" s="18" t="n">
        <v>3.37</v>
      </c>
      <c r="I90" s="18" t="n">
        <v>3.36</v>
      </c>
      <c r="J90" s="18" t="n">
        <v>0.27</v>
      </c>
      <c r="K90" s="34" t="n">
        <v>10.36</v>
      </c>
      <c r="L90" s="18" t="n">
        <v>0.27</v>
      </c>
      <c r="M90" s="18" t="n">
        <v>1.7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배당금수취(CF)</t>
        </is>
      </c>
      <c r="E91" s="18" t="n">
        <v>0</v>
      </c>
      <c r="F91" s="9" t="n"/>
      <c r="G91" s="18" t="n">
        <v>14.74</v>
      </c>
      <c r="H91" s="18" t="n">
        <v>0</v>
      </c>
      <c r="I91" s="18" t="n">
        <v>0</v>
      </c>
      <c r="J91" s="18" t="n">
        <v>0</v>
      </c>
      <c r="K91" s="34" t="n">
        <v>14.74</v>
      </c>
      <c r="L91" s="18" t="n">
        <v>0</v>
      </c>
      <c r="M91" s="18" t="n">
        <v>6.7</v>
      </c>
      <c r="N91" s="18" t="n">
        <v>50.4</v>
      </c>
      <c r="O91" s="18" t="n">
        <v>0</v>
      </c>
      <c r="P91" s="34" t="n">
        <v>57.1</v>
      </c>
      <c r="Q91" s="18" t="n">
        <v>0</v>
      </c>
      <c r="R91" s="18" t="n">
        <v>113.34</v>
      </c>
      <c r="S91" s="18" t="n">
        <v>81.2</v>
      </c>
      <c r="T91" s="18" t="n">
        <v>0</v>
      </c>
      <c r="U91" s="34" t="n">
        <v>194.54</v>
      </c>
      <c r="V91" s="18" t="n">
        <v>161</v>
      </c>
      <c r="W91" s="18" t="n">
        <v>15.2</v>
      </c>
      <c r="X91" s="18" t="n">
        <v>0</v>
      </c>
      <c r="Y91" s="18" t="n">
        <v>120.4</v>
      </c>
      <c r="Z91" s="34" t="n">
        <v>296.6</v>
      </c>
      <c r="AA91" s="18" t="n">
        <v>0</v>
      </c>
      <c r="AB91" s="19" t="n">
        <v>182.2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법인세납부(CF)</t>
        </is>
      </c>
      <c r="E92" s="18" t="n">
        <v>-0.83</v>
      </c>
      <c r="F92" s="9" t="n"/>
      <c r="G92" s="18" t="n">
        <v>-0.52</v>
      </c>
      <c r="H92" s="18" t="n">
        <v>5.63</v>
      </c>
      <c r="I92" s="18" t="n">
        <v>61.72</v>
      </c>
      <c r="J92" s="18" t="n">
        <v>-1.82</v>
      </c>
      <c r="K92" s="34" t="n">
        <v>65.01000000000001</v>
      </c>
      <c r="L92" s="18" t="n">
        <v>-0.97</v>
      </c>
      <c r="M92" s="18" t="n">
        <v>1.87</v>
      </c>
      <c r="N92" s="18" t="n">
        <v>-1.07</v>
      </c>
      <c r="O92" s="18" t="n">
        <v>-7.32</v>
      </c>
      <c r="P92" s="34" t="n">
        <v>-7.49</v>
      </c>
      <c r="Q92" s="18" t="n">
        <v>-0.35</v>
      </c>
      <c r="R92" s="18" t="n">
        <v>7.19</v>
      </c>
      <c r="S92" s="18" t="n">
        <v>-0.73</v>
      </c>
      <c r="T92" s="18" t="n">
        <v>-10.68</v>
      </c>
      <c r="U92" s="34" t="n">
        <v>-4.57</v>
      </c>
      <c r="V92" s="18" t="n">
        <v>-1.85</v>
      </c>
      <c r="W92" s="18" t="n">
        <v>12.19</v>
      </c>
      <c r="X92" s="18" t="n">
        <v>-59.16</v>
      </c>
      <c r="Y92" s="18" t="n">
        <v>-0.65</v>
      </c>
      <c r="Z92" s="34" t="n">
        <v>-49.47</v>
      </c>
      <c r="AA92" s="18" t="n">
        <v>-0.88</v>
      </c>
      <c r="AB92" s="19" t="n">
        <v>59.58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투자활동으로인한현금흐름</t>
        </is>
      </c>
      <c r="E93" s="18" t="n">
        <v>1469.41</v>
      </c>
      <c r="F93" s="9" t="n"/>
      <c r="G93" s="18" t="n">
        <v>-1151.52</v>
      </c>
      <c r="H93" s="18" t="n">
        <v>2441.13</v>
      </c>
      <c r="I93" s="18" t="n">
        <v>-349.97</v>
      </c>
      <c r="J93" s="18" t="n">
        <v>-146.34</v>
      </c>
      <c r="K93" s="34" t="n">
        <v>793.3</v>
      </c>
      <c r="L93" s="18" t="n">
        <v>390.06</v>
      </c>
      <c r="M93" s="18" t="n">
        <v>-1714.7</v>
      </c>
      <c r="N93" s="18" t="n">
        <v>-1408.6</v>
      </c>
      <c r="O93" s="18" t="n">
        <v>1727.97</v>
      </c>
      <c r="P93" s="34" t="n">
        <v>-1005.27</v>
      </c>
      <c r="Q93" s="18" t="n">
        <v>425.48</v>
      </c>
      <c r="R93" s="18" t="n">
        <v>-492.97</v>
      </c>
      <c r="S93" s="18" t="n">
        <v>540.1900000000001</v>
      </c>
      <c r="T93" s="18" t="n">
        <v>-722.91</v>
      </c>
      <c r="U93" s="34" t="n">
        <v>-250.21</v>
      </c>
      <c r="V93" s="18" t="n">
        <v>971.0599999999999</v>
      </c>
      <c r="W93" s="18" t="n">
        <v>398.57</v>
      </c>
      <c r="X93" s="18" t="n">
        <v>62.12</v>
      </c>
      <c r="Y93" s="18" t="n">
        <v>-2480.92</v>
      </c>
      <c r="Z93" s="34" t="n">
        <v>-1049.17</v>
      </c>
      <c r="AA93" s="18" t="n">
        <v>-229.4</v>
      </c>
      <c r="AB93" s="19" t="n">
        <v>-204.39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5</v>
      </c>
      <c r="J94" s="18" t="n">
        <v>158.07</v>
      </c>
      <c r="K94" s="34" t="n">
        <v>163.07</v>
      </c>
      <c r="L94" s="18" t="n">
        <v>4.5</v>
      </c>
      <c r="M94" s="18" t="n">
        <v>0</v>
      </c>
      <c r="N94" s="18" t="n">
        <v>0</v>
      </c>
      <c r="O94" s="18" t="n">
        <v>1</v>
      </c>
      <c r="P94" s="34" t="n">
        <v>5.5</v>
      </c>
      <c r="Q94" s="18" t="n">
        <v>9.27</v>
      </c>
      <c r="R94" s="18" t="n">
        <v>3.82</v>
      </c>
      <c r="S94" s="18" t="n">
        <v>0.64</v>
      </c>
      <c r="T94" s="18" t="n">
        <v>9</v>
      </c>
      <c r="U94" s="34" t="n">
        <v>22.73</v>
      </c>
      <c r="V94" s="18" t="n">
        <v>0</v>
      </c>
      <c r="W94" s="18" t="n">
        <v>0</v>
      </c>
      <c r="X94" s="18" t="n">
        <v>0</v>
      </c>
      <c r="Y94" s="18" t="n">
        <v>1</v>
      </c>
      <c r="Z94" s="34" t="n">
        <v>1</v>
      </c>
      <c r="AA94" s="18" t="n">
        <v>25.91</v>
      </c>
      <c r="AB94" s="19" t="n">
        <v>11.16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유형자산의증가</t>
        </is>
      </c>
      <c r="E95" s="18" t="n">
        <v>31.93</v>
      </c>
      <c r="F95" s="9" t="n"/>
      <c r="G95" s="18" t="n">
        <v>0</v>
      </c>
      <c r="H95" s="18" t="n">
        <v>0</v>
      </c>
      <c r="I95" s="18" t="n">
        <v>115.01</v>
      </c>
      <c r="K95" s="9" t="n"/>
      <c r="L95" s="18" t="n">
        <v>140.98</v>
      </c>
      <c r="M95" s="18" t="n">
        <v>56.42</v>
      </c>
      <c r="N95" s="18" t="n">
        <v>326.86</v>
      </c>
      <c r="P95" s="9" t="n"/>
      <c r="Q95" s="18" t="n">
        <v>96.36</v>
      </c>
      <c r="R95" s="18" t="n">
        <v>68.15000000000001</v>
      </c>
      <c r="S95" s="18" t="n">
        <v>76.8</v>
      </c>
      <c r="T95" s="18" t="n">
        <v>153.62</v>
      </c>
      <c r="U95" s="34" t="n">
        <v>394.93</v>
      </c>
      <c r="V95" s="18" t="n">
        <v>113.19</v>
      </c>
      <c r="W95" s="18" t="n">
        <v>42.76</v>
      </c>
      <c r="X95" s="18" t="n">
        <v>84.98999999999999</v>
      </c>
      <c r="Y95" s="18" t="n">
        <v>497.93</v>
      </c>
      <c r="Z95" s="34" t="n">
        <v>738.87</v>
      </c>
      <c r="AA95" s="18" t="n">
        <v>146.42</v>
      </c>
      <c r="AB95" s="19" t="n">
        <v>38.01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CAPEX</t>
        </is>
      </c>
      <c r="E96" s="18" t="n">
        <v>31.93</v>
      </c>
      <c r="F96" s="9" t="n"/>
      <c r="G96" s="18" t="n">
        <v>0</v>
      </c>
      <c r="H96" s="18" t="n">
        <v>0</v>
      </c>
      <c r="I96" s="18" t="n">
        <v>115.01</v>
      </c>
      <c r="J96" s="18" t="n">
        <v>71.09</v>
      </c>
      <c r="K96" s="34" t="n">
        <v>186.1</v>
      </c>
      <c r="L96" s="18" t="n">
        <v>140.98</v>
      </c>
      <c r="M96" s="18" t="n">
        <v>84.98</v>
      </c>
      <c r="N96" s="18" t="n">
        <v>333.86</v>
      </c>
      <c r="O96" s="18" t="n">
        <v>0</v>
      </c>
      <c r="P96" s="34" t="n">
        <v>559.8200000000001</v>
      </c>
      <c r="Q96" s="18" t="n">
        <v>103.39</v>
      </c>
      <c r="R96" s="18" t="n">
        <v>68.15000000000001</v>
      </c>
      <c r="S96" s="18" t="n">
        <v>76.8</v>
      </c>
      <c r="T96" s="18" t="n">
        <v>153.62</v>
      </c>
      <c r="U96" s="34" t="n">
        <v>401.96</v>
      </c>
      <c r="V96" s="18" t="n">
        <v>113.19</v>
      </c>
      <c r="W96" s="18" t="n">
        <v>47.62</v>
      </c>
      <c r="X96" s="18" t="n">
        <v>86.89</v>
      </c>
      <c r="Y96" s="18" t="n">
        <v>497.93</v>
      </c>
      <c r="Z96" s="34" t="n">
        <v>745.63</v>
      </c>
      <c r="AA96" s="18" t="n">
        <v>154.31</v>
      </c>
      <c r="AB96" s="19" t="n">
        <v>181.55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186.1</v>
      </c>
      <c r="K97" s="34" t="n">
        <v>186.1</v>
      </c>
      <c r="L97" s="18" t="n">
        <v>0</v>
      </c>
      <c r="M97" s="18" t="n">
        <v>28.56</v>
      </c>
      <c r="N97" s="18" t="n">
        <v>7</v>
      </c>
      <c r="O97" s="18" t="n">
        <v>0</v>
      </c>
      <c r="P97" s="34" t="n">
        <v>35.56</v>
      </c>
      <c r="Q97" s="18" t="n">
        <v>7.03</v>
      </c>
      <c r="R97" s="18" t="n">
        <v>0</v>
      </c>
      <c r="S97" s="18" t="n">
        <v>0</v>
      </c>
      <c r="T97" s="18" t="n">
        <v>0</v>
      </c>
      <c r="U97" s="34" t="n">
        <v>7.03</v>
      </c>
      <c r="V97" s="18" t="n">
        <v>0</v>
      </c>
      <c r="W97" s="18" t="n">
        <v>4.86</v>
      </c>
      <c r="X97" s="18" t="n">
        <v>1.9</v>
      </c>
      <c r="Y97" s="18" t="n">
        <v>0</v>
      </c>
      <c r="Z97" s="34" t="n">
        <v>6.76</v>
      </c>
      <c r="AA97" s="18" t="n">
        <v>7.89</v>
      </c>
      <c r="AB97" s="19" t="n">
        <v>143.54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987.34</v>
      </c>
      <c r="F98" s="9" t="n"/>
      <c r="G98" s="18" t="n">
        <v>368.12</v>
      </c>
      <c r="H98" s="18" t="n">
        <v>-896.01</v>
      </c>
      <c r="I98" s="18" t="n">
        <v>766.37</v>
      </c>
      <c r="J98" s="18" t="n">
        <v>-2098.48</v>
      </c>
      <c r="K98" s="34" t="n">
        <v>-1860</v>
      </c>
      <c r="L98" s="18" t="n">
        <v>-675.13</v>
      </c>
      <c r="M98" s="18" t="n">
        <v>-1078.06</v>
      </c>
      <c r="N98" s="18" t="n">
        <v>462.88</v>
      </c>
      <c r="O98" s="18" t="n">
        <v>7612.41</v>
      </c>
      <c r="P98" s="34" t="n">
        <v>6322.1</v>
      </c>
      <c r="Q98" s="18" t="n">
        <v>7368.43</v>
      </c>
      <c r="R98" s="18" t="n">
        <v>1774.11</v>
      </c>
      <c r="S98" s="18" t="n">
        <v>-274.73</v>
      </c>
      <c r="T98" s="18" t="n">
        <v>4796.25</v>
      </c>
      <c r="U98" s="34" t="n">
        <v>13664.06</v>
      </c>
      <c r="V98" s="18" t="n">
        <v>371.83</v>
      </c>
      <c r="W98" s="18" t="n">
        <v>740.96</v>
      </c>
      <c r="X98" s="18" t="n">
        <v>-675.15</v>
      </c>
      <c r="Y98" s="18" t="n">
        <v>1140.75</v>
      </c>
      <c r="Z98" s="34" t="n">
        <v>1578.39</v>
      </c>
      <c r="AA98" s="18" t="n">
        <v>2103.08</v>
      </c>
      <c r="AB98" s="19" t="n">
        <v>-1011.22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E99" s="18" t="n">
        <v>13319.53</v>
      </c>
      <c r="F99" s="9" t="n"/>
      <c r="G99" s="18" t="n">
        <v>3076.73</v>
      </c>
      <c r="H99" s="18" t="n">
        <v>5262.22</v>
      </c>
      <c r="I99" s="18" t="n">
        <v>4795.35</v>
      </c>
      <c r="J99" s="18" t="n">
        <v>9761.99</v>
      </c>
      <c r="K99" s="34" t="n">
        <v>22896.29</v>
      </c>
      <c r="L99" s="18" t="n">
        <v>4857.9</v>
      </c>
      <c r="M99" s="18" t="n">
        <v>9017.889999999999</v>
      </c>
      <c r="N99" s="18" t="n">
        <v>5959.07</v>
      </c>
      <c r="O99" s="18" t="n">
        <v>15328.77</v>
      </c>
      <c r="P99" s="34" t="n">
        <v>35163.63</v>
      </c>
      <c r="Q99" s="18" t="n">
        <v>3384.66</v>
      </c>
      <c r="R99" s="18" t="n">
        <v>4175.78</v>
      </c>
      <c r="S99" s="18" t="n">
        <v>3287.3</v>
      </c>
      <c r="T99" s="18" t="n">
        <v>5697.99</v>
      </c>
      <c r="U99" s="34" t="n">
        <v>16545.73</v>
      </c>
      <c r="V99" s="18" t="n">
        <v>12615.32</v>
      </c>
      <c r="W99" s="18" t="n">
        <v>6953.04</v>
      </c>
      <c r="X99" s="18" t="n">
        <v>5826.85</v>
      </c>
      <c r="Y99" s="18" t="n">
        <v>22486.54</v>
      </c>
      <c r="Z99" s="34" t="n">
        <v>47881.75</v>
      </c>
      <c r="AA99" s="18" t="n">
        <v>9610.82</v>
      </c>
      <c r="AB99" s="19" t="n">
        <v>10978.74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E100" s="18" t="n">
        <v>12302.26</v>
      </c>
      <c r="F100" s="9" t="n"/>
      <c r="G100" s="18" t="n">
        <v>2708.62</v>
      </c>
      <c r="H100" s="18" t="n">
        <v>6114.67</v>
      </c>
      <c r="I100" s="18" t="n">
        <v>4029.94</v>
      </c>
      <c r="J100" s="18" t="n">
        <v>11841.2</v>
      </c>
      <c r="K100" s="34" t="n">
        <v>24694.43</v>
      </c>
      <c r="L100" s="18" t="n">
        <v>5533.03</v>
      </c>
      <c r="M100" s="18" t="n">
        <v>10108.95</v>
      </c>
      <c r="N100" s="18" t="n">
        <v>5475.05</v>
      </c>
      <c r="O100" s="18" t="n">
        <v>15849.05</v>
      </c>
      <c r="P100" s="34" t="n">
        <v>36966.08</v>
      </c>
      <c r="Q100" s="18" t="n">
        <v>7048.8</v>
      </c>
      <c r="R100" s="18" t="n">
        <v>2424.7</v>
      </c>
      <c r="S100" s="18" t="n">
        <v>3335.44</v>
      </c>
      <c r="T100" s="18" t="n">
        <v>930.73</v>
      </c>
      <c r="U100" s="34" t="n">
        <v>13739.67</v>
      </c>
      <c r="V100" s="18" t="n">
        <v>12272.05</v>
      </c>
      <c r="W100" s="18" t="n">
        <v>6172.82</v>
      </c>
      <c r="X100" s="18" t="n">
        <v>6546.13</v>
      </c>
      <c r="Y100" s="18" t="n">
        <v>21331.6</v>
      </c>
      <c r="Z100" s="34" t="n">
        <v>46322.6</v>
      </c>
      <c r="AA100" s="18" t="n">
        <v>4813.58</v>
      </c>
      <c r="AB100" s="19" t="n">
        <v>11982.99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29.94</v>
      </c>
      <c r="F101" s="9" t="n"/>
      <c r="G101" s="18" t="n">
        <v>0</v>
      </c>
      <c r="H101" s="18" t="n">
        <v>43.56</v>
      </c>
      <c r="I101" s="18" t="n">
        <v>-0.98</v>
      </c>
      <c r="J101" s="18" t="n">
        <v>19.28</v>
      </c>
      <c r="K101" s="34" t="n">
        <v>61.86</v>
      </c>
      <c r="L101" s="18" t="n">
        <v>0</v>
      </c>
      <c r="M101" s="18" t="n">
        <v>23.74</v>
      </c>
      <c r="O101" s="18" t="n">
        <v>47.87</v>
      </c>
      <c r="P101" s="9" t="n"/>
      <c r="T101" s="18" t="n">
        <v>37.77</v>
      </c>
      <c r="U101" s="9" t="n"/>
      <c r="X101" s="18" t="n">
        <v>0</v>
      </c>
      <c r="Y101" s="18" t="n">
        <v>38.28</v>
      </c>
      <c r="Z101" s="9" t="n"/>
      <c r="AA101" s="18" t="n">
        <v>8.85</v>
      </c>
      <c r="AB101" s="19" t="n">
        <v>36.6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3660.82</v>
      </c>
      <c r="F102" s="9" t="n"/>
      <c r="G102" s="18" t="n">
        <v>-4702.15</v>
      </c>
      <c r="H102" s="18" t="n">
        <v>-310.51</v>
      </c>
      <c r="I102" s="18" t="n">
        <v>1135.46</v>
      </c>
      <c r="J102" s="18" t="n">
        <v>-146.57</v>
      </c>
      <c r="K102" s="34" t="n">
        <v>-4023.77</v>
      </c>
      <c r="L102" s="18" t="n">
        <v>1454.56</v>
      </c>
      <c r="M102" s="18" t="n">
        <v>96.65000000000001</v>
      </c>
      <c r="N102" s="18" t="n">
        <v>-314.98</v>
      </c>
      <c r="O102" s="18" t="n">
        <v>3513.16</v>
      </c>
      <c r="P102" s="34" t="n">
        <v>4749.39</v>
      </c>
      <c r="Q102" s="18" t="n">
        <v>4628.68</v>
      </c>
      <c r="R102" s="18" t="n">
        <v>-1723.39</v>
      </c>
      <c r="S102" s="18" t="n">
        <v>-645.75</v>
      </c>
      <c r="T102" s="18" t="n">
        <v>4897.64</v>
      </c>
      <c r="U102" s="34" t="n">
        <v>7157.18</v>
      </c>
      <c r="V102" s="18" t="n">
        <v>-1422.06</v>
      </c>
      <c r="W102" s="18" t="n">
        <v>-871.5700000000001</v>
      </c>
      <c r="X102" s="18" t="n">
        <v>4432.37</v>
      </c>
      <c r="Y102" s="18" t="n">
        <v>-6118.55</v>
      </c>
      <c r="Z102" s="34" t="n">
        <v>-3979.81</v>
      </c>
      <c r="AA102" s="18" t="n">
        <v>1792.53</v>
      </c>
      <c r="AB102" s="19" t="n">
        <v>2367.18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3660.82</v>
      </c>
      <c r="F103" s="9" t="n"/>
      <c r="G103" s="18" t="n">
        <v>726.75</v>
      </c>
      <c r="H103" s="18" t="n">
        <v>-310.52</v>
      </c>
      <c r="I103" s="18" t="n">
        <v>1135.47</v>
      </c>
      <c r="J103" s="18" t="n">
        <v>-146.57</v>
      </c>
      <c r="K103" s="34" t="n">
        <v>1405.13</v>
      </c>
      <c r="L103" s="18" t="n">
        <v>2859.69</v>
      </c>
      <c r="M103" s="18" t="n">
        <v>96.65000000000001</v>
      </c>
      <c r="N103" s="18" t="n">
        <v>-314.98</v>
      </c>
      <c r="O103" s="18" t="n">
        <v>3513.16</v>
      </c>
      <c r="P103" s="34" t="n">
        <v>6154.52</v>
      </c>
      <c r="Q103" s="18" t="n">
        <v>10783.2</v>
      </c>
      <c r="R103" s="18" t="n">
        <v>-1723.39</v>
      </c>
      <c r="S103" s="18" t="n">
        <v>-645.75</v>
      </c>
      <c r="T103" s="18" t="n">
        <v>4897.64</v>
      </c>
      <c r="U103" s="34" t="n">
        <v>13311.7</v>
      </c>
      <c r="V103" s="18" t="n">
        <v>11889.63</v>
      </c>
      <c r="W103" s="18" t="n">
        <v>-871.5700000000001</v>
      </c>
      <c r="X103" s="18" t="n">
        <v>4432.38</v>
      </c>
      <c r="Y103" s="18" t="n">
        <v>-6118.56</v>
      </c>
      <c r="Z103" s="34" t="n">
        <v>9331.879999999999</v>
      </c>
      <c r="AA103" s="18" t="n">
        <v>11124.41</v>
      </c>
      <c r="AB103" s="19" t="n">
        <v>2367.18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I104" s="18" t="n">
        <v>0</v>
      </c>
      <c r="K104" s="9" t="n"/>
      <c r="N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26.06</v>
      </c>
      <c r="P105" s="9" t="n"/>
      <c r="Q105" s="18" t="n">
        <v>-82.92</v>
      </c>
      <c r="R105" s="18" t="n">
        <v>115.91</v>
      </c>
      <c r="S105" s="18" t="n">
        <v>17.54</v>
      </c>
      <c r="T105" s="18" t="n">
        <v>72.89</v>
      </c>
      <c r="U105" s="34" t="n">
        <v>123.42</v>
      </c>
      <c r="V105" s="18" t="n">
        <v>12.94</v>
      </c>
      <c r="W105" s="18" t="n">
        <v>37.21</v>
      </c>
      <c r="X105" s="18" t="n">
        <v>228.3</v>
      </c>
      <c r="Y105" s="18" t="n">
        <v>-2.68</v>
      </c>
      <c r="Z105" s="34" t="n">
        <v>275.77</v>
      </c>
      <c r="AA105" s="18" t="n">
        <v>6.19</v>
      </c>
      <c r="AB105" s="19" t="n">
        <v>30.85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4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4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4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4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4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4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4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4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4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4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4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4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4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4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4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4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4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4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4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4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4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4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4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4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4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4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4" t="n">
        <v>0</v>
      </c>
      <c r="L10" s="18" t="n">
        <v>0</v>
      </c>
      <c r="O10" s="18" t="n">
        <v>0</v>
      </c>
      <c r="P10" s="34" t="n">
        <v>0</v>
      </c>
      <c r="Q10" s="18" t="n">
        <v>0</v>
      </c>
      <c r="T10" s="18" t="n">
        <v>0</v>
      </c>
      <c r="U10" s="34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4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4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4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4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4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4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4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4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4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4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4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4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4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4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4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4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4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4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4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4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4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4" t="n">
        <v>108.57</v>
      </c>
      <c r="L15" s="18" t="n">
        <v>104.04</v>
      </c>
      <c r="M15" s="18" t="n">
        <v>111.4</v>
      </c>
      <c r="N15" s="18" t="n">
        <v>3.05</v>
      </c>
      <c r="O15" s="18" t="n">
        <v>2.04</v>
      </c>
      <c r="P15" s="34" t="n">
        <v>2.04</v>
      </c>
      <c r="Q15" s="18" t="n">
        <v>2.04</v>
      </c>
      <c r="R15" s="18" t="n">
        <v>2.04</v>
      </c>
      <c r="S15" s="18" t="n">
        <v>135.79</v>
      </c>
      <c r="T15" s="18" t="n">
        <v>202.04</v>
      </c>
      <c r="U15" s="34" t="n">
        <v>202.04</v>
      </c>
      <c r="V15" s="18" t="n">
        <v>202.04</v>
      </c>
      <c r="W15" s="18" t="n">
        <v>202.04</v>
      </c>
      <c r="X15" s="18" t="n">
        <v>212.04</v>
      </c>
      <c r="Y15" s="18" t="n">
        <v>202.04</v>
      </c>
      <c r="Z15" s="34" t="n">
        <v>202.04</v>
      </c>
      <c r="AA15" s="18" t="n">
        <v>202.04</v>
      </c>
      <c r="AB15" s="19" t="n">
        <v>204.04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4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4" t="n">
        <v>1314.25</v>
      </c>
      <c r="L16" s="18" t="n">
        <v>1309.72</v>
      </c>
      <c r="M16" s="18" t="n">
        <v>1317.08</v>
      </c>
      <c r="N16" s="18" t="n">
        <v>1208.73</v>
      </c>
      <c r="O16" s="18" t="n">
        <v>1207.72</v>
      </c>
      <c r="P16" s="34" t="n">
        <v>1207.72</v>
      </c>
      <c r="Q16" s="18" t="n">
        <v>1207.72</v>
      </c>
      <c r="R16" s="18" t="n">
        <v>1207.72</v>
      </c>
      <c r="S16" s="18" t="n">
        <v>1341.47</v>
      </c>
      <c r="T16" s="18" t="n">
        <v>1407.72</v>
      </c>
      <c r="U16" s="34" t="n">
        <v>1407.72</v>
      </c>
      <c r="V16" s="18" t="n">
        <v>1407.72</v>
      </c>
      <c r="W16" s="18" t="n">
        <v>1407.72</v>
      </c>
      <c r="X16" s="18" t="n">
        <v>1417.72</v>
      </c>
      <c r="Y16" s="18" t="n">
        <v>1407.72</v>
      </c>
      <c r="Z16" s="34" t="n">
        <v>1407.72</v>
      </c>
      <c r="AA16" s="18" t="n">
        <v>1407.72</v>
      </c>
      <c r="AB16" s="19" t="n">
        <v>1409.72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4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4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4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4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4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4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4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4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4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4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4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4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4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4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4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4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4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4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4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4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4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4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4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4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4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4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4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4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4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4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4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4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4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4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4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4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4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4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4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4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4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4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4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4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4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4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4" t="n">
        <v>40443</v>
      </c>
      <c r="L26" s="18" t="n">
        <v>37802.33</v>
      </c>
      <c r="N26" s="18" t="n">
        <v>33707.73</v>
      </c>
      <c r="O26" s="18" t="n">
        <v>33463.14</v>
      </c>
      <c r="P26" s="34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4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4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4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4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4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4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4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4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4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4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4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4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4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4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4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4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4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4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4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4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4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4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4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4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4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4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4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4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4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4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4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4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4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4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4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4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4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4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4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4" t="n">
        <v>6258.02</v>
      </c>
      <c r="Q34" s="18" t="n">
        <v>11447.32</v>
      </c>
      <c r="R34" s="18" t="n">
        <v>7792.29</v>
      </c>
      <c r="S34" s="18" t="n">
        <v>8850.6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4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4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4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4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4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4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4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4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4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4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117.48</v>
      </c>
      <c r="F37" s="34" t="n">
        <v>117.48</v>
      </c>
      <c r="G37" s="18" t="n">
        <v>117.48</v>
      </c>
      <c r="H37" s="18" t="n">
        <v>117.48</v>
      </c>
      <c r="I37" s="18" t="n">
        <v>117.48</v>
      </c>
      <c r="J37" s="18" t="n">
        <v>117.48</v>
      </c>
      <c r="K37" s="34" t="n">
        <v>117.48</v>
      </c>
      <c r="L37" s="18" t="n">
        <v>117.48</v>
      </c>
      <c r="M37" s="18" t="n">
        <v>117.48</v>
      </c>
      <c r="N37" s="18" t="n">
        <v>117.48</v>
      </c>
      <c r="O37" s="18" t="n">
        <v>1417.48</v>
      </c>
      <c r="P37" s="34" t="n">
        <v>1417.48</v>
      </c>
      <c r="Q37" s="18" t="n">
        <v>1417.48</v>
      </c>
      <c r="R37" s="18" t="n">
        <v>917.48</v>
      </c>
      <c r="S37" s="18" t="n">
        <v>800</v>
      </c>
      <c r="T37" s="18" t="n">
        <v>800</v>
      </c>
      <c r="U37" s="34" t="n">
        <v>800</v>
      </c>
      <c r="V37" s="18" t="n">
        <v>800</v>
      </c>
      <c r="W37" s="18" t="n">
        <v>800</v>
      </c>
      <c r="X37" s="18" t="n">
        <v>1200</v>
      </c>
      <c r="Y37" s="18" t="n">
        <v>1200</v>
      </c>
      <c r="Z37" s="34" t="n">
        <v>1200</v>
      </c>
      <c r="AA37" s="18" t="n">
        <v>1200</v>
      </c>
      <c r="AB37" s="19" t="n">
        <v>1200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50.14</v>
      </c>
      <c r="F38" s="34" t="n">
        <v>50.14</v>
      </c>
      <c r="G38" s="18" t="n">
        <v>50.14</v>
      </c>
      <c r="H38" s="18" t="n">
        <v>27.58</v>
      </c>
      <c r="I38" s="18" t="n">
        <v>27.58</v>
      </c>
      <c r="J38" s="18" t="n">
        <v>362.12</v>
      </c>
      <c r="K38" s="34" t="n">
        <v>362.12</v>
      </c>
      <c r="L38" s="18" t="n">
        <v>362.12</v>
      </c>
      <c r="M38" s="18" t="n">
        <v>296.07</v>
      </c>
      <c r="N38" s="18" t="n">
        <v>296.07</v>
      </c>
      <c r="O38" s="18" t="n">
        <v>242.24</v>
      </c>
      <c r="P38" s="34" t="n">
        <v>242.24</v>
      </c>
      <c r="Q38" s="18" t="n">
        <v>242.24</v>
      </c>
      <c r="R38" s="18" t="n">
        <v>188.92</v>
      </c>
      <c r="S38" s="18" t="n">
        <v>188.92</v>
      </c>
      <c r="T38" s="18" t="n">
        <v>154.76</v>
      </c>
      <c r="U38" s="34" t="n">
        <v>154.76</v>
      </c>
      <c r="V38" s="18" t="n">
        <v>154.76</v>
      </c>
      <c r="W38" s="18" t="n">
        <v>97.65000000000001</v>
      </c>
      <c r="X38" s="18" t="n">
        <v>97.65000000000001</v>
      </c>
      <c r="Y38" s="18" t="n">
        <v>62.72</v>
      </c>
      <c r="Z38" s="34" t="n">
        <v>62.72</v>
      </c>
      <c r="AA38" s="18" t="n">
        <v>62.72</v>
      </c>
      <c r="AB38" s="19" t="n">
        <v>55.07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50.14</v>
      </c>
      <c r="F39" s="34" t="n">
        <v>50.14</v>
      </c>
      <c r="G39" s="18" t="n">
        <v>50.14</v>
      </c>
      <c r="H39" s="18" t="n">
        <v>27.58</v>
      </c>
      <c r="I39" s="18" t="n">
        <v>27.58</v>
      </c>
      <c r="J39" s="18" t="n">
        <v>362.12</v>
      </c>
      <c r="K39" s="34" t="n">
        <v>362.12</v>
      </c>
      <c r="L39" s="18" t="n">
        <v>362.12</v>
      </c>
      <c r="M39" s="18" t="n">
        <v>296.07</v>
      </c>
      <c r="N39" s="18" t="n">
        <v>296.07</v>
      </c>
      <c r="O39" s="18" t="n">
        <v>242.24</v>
      </c>
      <c r="P39" s="34" t="n">
        <v>242.24</v>
      </c>
      <c r="Q39" s="18" t="n">
        <v>242.24</v>
      </c>
      <c r="R39" s="18" t="n">
        <v>188.92</v>
      </c>
      <c r="S39" s="18" t="n">
        <v>188.92</v>
      </c>
      <c r="T39" s="18" t="n">
        <v>154.76</v>
      </c>
      <c r="U39" s="34" t="n">
        <v>154.76</v>
      </c>
      <c r="V39" s="18" t="n">
        <v>154.76</v>
      </c>
      <c r="W39" s="18" t="n">
        <v>97.65000000000001</v>
      </c>
      <c r="X39" s="18" t="n">
        <v>97.65000000000001</v>
      </c>
      <c r="Y39" s="18" t="n">
        <v>62.72</v>
      </c>
      <c r="Z39" s="34" t="n">
        <v>62.72</v>
      </c>
      <c r="AA39" s="18" t="n">
        <v>62.72</v>
      </c>
      <c r="AB39" s="19" t="n">
        <v>55.07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60397.53</v>
      </c>
      <c r="F40" s="34" t="n">
        <v>60397.53</v>
      </c>
      <c r="G40" s="18" t="n">
        <v>61287.46</v>
      </c>
      <c r="H40" s="18" t="n">
        <v>60284.57</v>
      </c>
      <c r="I40" s="18" t="n">
        <v>62460.45</v>
      </c>
      <c r="J40" s="18" t="n">
        <v>64622.82</v>
      </c>
      <c r="K40" s="34" t="n">
        <v>64622.82</v>
      </c>
      <c r="L40" s="18" t="n">
        <v>64395.72</v>
      </c>
      <c r="M40" s="18" t="n">
        <v>62059.09</v>
      </c>
      <c r="N40" s="18" t="n">
        <v>64062.63</v>
      </c>
      <c r="O40" s="18" t="n">
        <v>66499.78999999999</v>
      </c>
      <c r="P40" s="34" t="n">
        <v>66499.78999999999</v>
      </c>
      <c r="Q40" s="18" t="n">
        <v>61551.06</v>
      </c>
      <c r="R40" s="18" t="n">
        <v>62550.31</v>
      </c>
      <c r="S40" s="18" t="n">
        <v>62559.6</v>
      </c>
      <c r="T40" s="18" t="n">
        <v>66520.64</v>
      </c>
      <c r="U40" s="34" t="n">
        <v>66520.64</v>
      </c>
      <c r="V40" s="18" t="n">
        <v>69881.75999999999</v>
      </c>
      <c r="W40" s="18" t="n">
        <v>67130.7</v>
      </c>
      <c r="X40" s="18" t="n">
        <v>66384.81</v>
      </c>
      <c r="Y40" s="18" t="n">
        <v>68234.27</v>
      </c>
      <c r="Z40" s="34" t="n">
        <v>68234.27</v>
      </c>
      <c r="AA40" s="18" t="n">
        <v>71020.46000000001</v>
      </c>
      <c r="AB40" s="19" t="n">
        <v>74888.96000000001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62161.14</v>
      </c>
      <c r="F41" s="34" t="n">
        <v>62161.14</v>
      </c>
      <c r="G41" s="18" t="n">
        <v>62161.14</v>
      </c>
      <c r="H41" s="18" t="n">
        <v>62161.14</v>
      </c>
      <c r="I41" s="18" t="n">
        <v>62161.14</v>
      </c>
      <c r="J41" s="18" t="n">
        <v>62161.14</v>
      </c>
      <c r="K41" s="34" t="n">
        <v>62161.14</v>
      </c>
      <c r="L41" s="18" t="n">
        <v>62161.14</v>
      </c>
      <c r="M41" s="18" t="n">
        <v>62161.14</v>
      </c>
      <c r="N41" s="18" t="n">
        <v>62161.14</v>
      </c>
      <c r="O41" s="18" t="n">
        <v>62161.14</v>
      </c>
      <c r="P41" s="34" t="n">
        <v>62161.14</v>
      </c>
      <c r="Q41" s="18" t="n">
        <v>62161.14</v>
      </c>
      <c r="R41" s="18" t="n">
        <v>62161.14</v>
      </c>
      <c r="S41" s="18" t="n">
        <v>62161.14</v>
      </c>
      <c r="T41" s="18" t="n">
        <v>62161.14</v>
      </c>
      <c r="U41" s="34" t="n">
        <v>62161.14</v>
      </c>
      <c r="V41" s="18" t="n">
        <v>62161.14</v>
      </c>
      <c r="W41" s="18" t="n">
        <v>71804.96000000001</v>
      </c>
      <c r="X41" s="18" t="n">
        <v>73412.66</v>
      </c>
      <c r="Y41" s="18" t="n">
        <v>73412.66</v>
      </c>
      <c r="Z41" s="34" t="n">
        <v>73412.66</v>
      </c>
      <c r="AA41" s="18" t="n">
        <v>73412.66</v>
      </c>
      <c r="AB41" s="19" t="n">
        <v>73412.66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보통주자본금</t>
        </is>
      </c>
      <c r="E42" s="18" t="n">
        <v>16376.1</v>
      </c>
      <c r="F42" s="34" t="n">
        <v>16376.1</v>
      </c>
      <c r="G42" s="18" t="n">
        <v>16376.1</v>
      </c>
      <c r="H42" s="18" t="n">
        <v>16376.1</v>
      </c>
      <c r="I42" s="18" t="n">
        <v>16376.1</v>
      </c>
      <c r="J42" s="18" t="n">
        <v>16376.1</v>
      </c>
      <c r="K42" s="34" t="n">
        <v>16376.1</v>
      </c>
      <c r="L42" s="18" t="n">
        <v>16376.1</v>
      </c>
      <c r="M42" s="18" t="n">
        <v>16376.1</v>
      </c>
      <c r="N42" s="18" t="n">
        <v>16376.1</v>
      </c>
      <c r="O42" s="18" t="n">
        <v>16376.1</v>
      </c>
      <c r="P42" s="34" t="n">
        <v>16376.1</v>
      </c>
      <c r="Q42" s="18" t="n">
        <v>16376.1</v>
      </c>
      <c r="R42" s="18" t="n">
        <v>16376.1</v>
      </c>
      <c r="S42" s="18" t="n">
        <v>16376.1</v>
      </c>
      <c r="T42" s="18" t="n">
        <v>16376.1</v>
      </c>
      <c r="U42" s="34" t="n">
        <v>16376.1</v>
      </c>
      <c r="V42" s="18" t="n">
        <v>16376.1</v>
      </c>
      <c r="W42" s="18" t="n">
        <v>18017.13</v>
      </c>
      <c r="X42" s="18" t="n">
        <v>18427.38</v>
      </c>
      <c r="Y42" s="18" t="n">
        <v>18427.38</v>
      </c>
      <c r="Z42" s="34" t="n">
        <v>18427.38</v>
      </c>
      <c r="AA42" s="18" t="n">
        <v>18427.38</v>
      </c>
      <c r="AB42" s="19" t="n">
        <v>18427.38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45785.04</v>
      </c>
      <c r="F43" s="34" t="n">
        <v>45785.04</v>
      </c>
      <c r="G43" s="18" t="n">
        <v>45785.04</v>
      </c>
      <c r="H43" s="18" t="n">
        <v>45785.04</v>
      </c>
      <c r="I43" s="18" t="n">
        <v>45785.04</v>
      </c>
      <c r="J43" s="18" t="n">
        <v>45785.04</v>
      </c>
      <c r="K43" s="34" t="n">
        <v>45785.04</v>
      </c>
      <c r="L43" s="18" t="n">
        <v>45785.04</v>
      </c>
      <c r="M43" s="18" t="n">
        <v>45785.04</v>
      </c>
      <c r="N43" s="18" t="n">
        <v>45785.04</v>
      </c>
      <c r="O43" s="18" t="n">
        <v>45785.04</v>
      </c>
      <c r="P43" s="34" t="n">
        <v>45785.04</v>
      </c>
      <c r="Q43" s="18" t="n">
        <v>45785.04</v>
      </c>
      <c r="R43" s="18" t="n">
        <v>45785.04</v>
      </c>
      <c r="S43" s="18" t="n">
        <v>45785.04</v>
      </c>
      <c r="T43" s="18" t="n">
        <v>45785.04</v>
      </c>
      <c r="U43" s="34" t="n">
        <v>45785.04</v>
      </c>
      <c r="V43" s="18" t="n">
        <v>45785.04</v>
      </c>
      <c r="W43" s="18" t="n">
        <v>53787.83</v>
      </c>
      <c r="X43" s="18" t="n">
        <v>54985.27</v>
      </c>
      <c r="Y43" s="18" t="n">
        <v>54985.27</v>
      </c>
      <c r="Z43" s="34" t="n">
        <v>54985.27</v>
      </c>
      <c r="AA43" s="18" t="n">
        <v>54985.27</v>
      </c>
      <c r="AB43" s="19" t="n">
        <v>54985.27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-38729.09</v>
      </c>
      <c r="F44" s="34" t="n">
        <v>-38729.09</v>
      </c>
      <c r="G44" s="18" t="n">
        <v>-40236.41</v>
      </c>
      <c r="H44" s="18" t="n">
        <v>-40791.86</v>
      </c>
      <c r="I44" s="18" t="n">
        <v>-42252.69</v>
      </c>
      <c r="J44" s="18" t="n">
        <v>-44477.25</v>
      </c>
      <c r="K44" s="34" t="n">
        <v>-44477.25</v>
      </c>
      <c r="L44" s="18" t="n">
        <v>-43440.27</v>
      </c>
      <c r="M44" s="18" t="n">
        <v>-42235.43</v>
      </c>
      <c r="N44" s="18" t="n">
        <v>-42540.41</v>
      </c>
      <c r="O44" s="18" t="n">
        <v>-43261.03</v>
      </c>
      <c r="P44" s="34" t="n">
        <v>-43261.03</v>
      </c>
      <c r="Q44" s="18" t="n">
        <v>-42950.01</v>
      </c>
      <c r="R44" s="18" t="n">
        <v>-42395.53</v>
      </c>
      <c r="S44" s="18" t="n">
        <v>-43101.97</v>
      </c>
      <c r="T44" s="18" t="n">
        <v>-46976.29</v>
      </c>
      <c r="U44" s="34" t="n">
        <v>-46976.29</v>
      </c>
      <c r="V44" s="18" t="n">
        <v>10295.27</v>
      </c>
      <c r="W44" s="18" t="n">
        <v>-52143.71</v>
      </c>
      <c r="X44" s="18" t="n">
        <v>-52239.74</v>
      </c>
      <c r="Y44" s="18" t="n">
        <v>-52014.91</v>
      </c>
      <c r="Z44" s="34" t="n">
        <v>-52014.91</v>
      </c>
      <c r="AA44" s="18" t="n">
        <v>-51476.73</v>
      </c>
      <c r="AB44" s="19" t="n">
        <v>-50705.7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934.99</v>
      </c>
      <c r="F45" s="34" t="n">
        <v>934.99</v>
      </c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10636.98</v>
      </c>
      <c r="F46" s="34" t="n">
        <v>10636.98</v>
      </c>
      <c r="G46" s="18" t="n">
        <v>11683.75</v>
      </c>
      <c r="H46" s="18" t="n">
        <v>10296.68</v>
      </c>
      <c r="I46" s="18" t="n">
        <v>10290.02</v>
      </c>
      <c r="J46" s="18" t="n">
        <v>10284.06</v>
      </c>
      <c r="K46" s="34" t="n">
        <v>10284.06</v>
      </c>
      <c r="L46" s="18" t="n">
        <v>10279.53</v>
      </c>
      <c r="M46" s="18" t="n">
        <v>10286.89</v>
      </c>
      <c r="N46" s="18" t="n">
        <v>10285.68</v>
      </c>
      <c r="O46" s="18" t="n">
        <v>10288.03</v>
      </c>
      <c r="P46" s="34" t="n">
        <v>10288.03</v>
      </c>
      <c r="Q46" s="18" t="n">
        <v>10290.36</v>
      </c>
      <c r="R46" s="18" t="n">
        <v>10319.39</v>
      </c>
      <c r="S46" s="18" t="n">
        <v>10294.64</v>
      </c>
      <c r="T46" s="18" t="n">
        <v>10295.15</v>
      </c>
      <c r="U46" s="34" t="n">
        <v>10295.15</v>
      </c>
      <c r="V46" s="18" t="n">
        <v>-47658.51</v>
      </c>
      <c r="W46" s="18" t="n">
        <v>10320.52</v>
      </c>
      <c r="X46" s="18" t="n">
        <v>10345.26</v>
      </c>
      <c r="Y46" s="18" t="n">
        <v>10134.17</v>
      </c>
      <c r="Z46" s="34" t="n">
        <v>10134.17</v>
      </c>
      <c r="AA46" s="18" t="n">
        <v>10115.25</v>
      </c>
      <c r="AB46" s="19" t="n">
        <v>10101.64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35004.02</v>
      </c>
      <c r="F47" s="34" t="n">
        <v>35004.02</v>
      </c>
      <c r="G47" s="18" t="n">
        <v>33608.48</v>
      </c>
      <c r="H47" s="18" t="n">
        <v>31665.96</v>
      </c>
      <c r="I47" s="18" t="n">
        <v>30198.47</v>
      </c>
      <c r="J47" s="18" t="n">
        <v>27967.95</v>
      </c>
      <c r="K47" s="34" t="n">
        <v>27967.95</v>
      </c>
      <c r="L47" s="18" t="n">
        <v>29000.39</v>
      </c>
      <c r="M47" s="18" t="n">
        <v>30212.6</v>
      </c>
      <c r="N47" s="18" t="n">
        <v>29906.4</v>
      </c>
      <c r="O47" s="18" t="n">
        <v>29188.13</v>
      </c>
      <c r="P47" s="34" t="n">
        <v>29188.13</v>
      </c>
      <c r="Q47" s="18" t="n">
        <v>29501.49</v>
      </c>
      <c r="R47" s="18" t="n">
        <v>30084.99</v>
      </c>
      <c r="S47" s="18" t="n">
        <v>29353.81</v>
      </c>
      <c r="T47" s="18" t="n">
        <v>25479.99</v>
      </c>
      <c r="U47" s="34" t="n">
        <v>25479.99</v>
      </c>
      <c r="V47" s="18" t="n">
        <v>24797.9</v>
      </c>
      <c r="W47" s="18" t="n">
        <v>29981.77</v>
      </c>
      <c r="X47" s="18" t="n">
        <v>31518.17</v>
      </c>
      <c r="Y47" s="18" t="n">
        <v>31531.92</v>
      </c>
      <c r="Z47" s="34" t="n">
        <v>31531.92</v>
      </c>
      <c r="AA47" s="18" t="n">
        <v>32051.17</v>
      </c>
      <c r="AB47" s="19" t="n">
        <v>32808.59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95401.53999999999</v>
      </c>
      <c r="F48" s="34" t="n">
        <v>95401.53999999999</v>
      </c>
      <c r="G48" s="18" t="n">
        <v>94895.94</v>
      </c>
      <c r="H48" s="18" t="n">
        <v>91950.52</v>
      </c>
      <c r="I48" s="18" t="n">
        <v>92658.92</v>
      </c>
      <c r="J48" s="18" t="n">
        <v>92590.75999999999</v>
      </c>
      <c r="K48" s="34" t="n">
        <v>92590.75999999999</v>
      </c>
      <c r="L48" s="18" t="n">
        <v>93396.12</v>
      </c>
      <c r="M48" s="18" t="n">
        <v>92271.69</v>
      </c>
      <c r="N48" s="18" t="n">
        <v>93969.03999999999</v>
      </c>
      <c r="O48" s="18" t="n">
        <v>95687.92999999999</v>
      </c>
      <c r="P48" s="34" t="n">
        <v>95687.92999999999</v>
      </c>
      <c r="Q48" s="18" t="n">
        <v>91052.55</v>
      </c>
      <c r="R48" s="18" t="n">
        <v>92635.3</v>
      </c>
      <c r="S48" s="18" t="n">
        <v>91913.41</v>
      </c>
      <c r="T48" s="18" t="n">
        <v>92000.63</v>
      </c>
      <c r="U48" s="34" t="n">
        <v>92000.63</v>
      </c>
      <c r="V48" s="18" t="n">
        <v>94679.66</v>
      </c>
      <c r="W48" s="18" t="n">
        <v>97112.47</v>
      </c>
      <c r="X48" s="18" t="n">
        <v>97902.98</v>
      </c>
      <c r="Y48" s="18" t="n">
        <v>99766.17999999999</v>
      </c>
      <c r="Z48" s="34" t="n">
        <v>99766.17999999999</v>
      </c>
      <c r="AA48" s="18" t="n">
        <v>103071.63</v>
      </c>
      <c r="AB48" s="19" t="n">
        <v>107697.56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35004.02</v>
      </c>
      <c r="F49" s="34" t="n">
        <v>35004.02</v>
      </c>
      <c r="G49" s="18" t="n">
        <v>33608.48</v>
      </c>
      <c r="H49" s="18" t="n">
        <v>31665.96</v>
      </c>
      <c r="I49" s="18" t="n">
        <v>30198.47</v>
      </c>
      <c r="J49" s="18" t="n">
        <v>27967.95</v>
      </c>
      <c r="K49" s="34" t="n">
        <v>27967.95</v>
      </c>
      <c r="L49" s="18" t="n">
        <v>29000.39</v>
      </c>
      <c r="M49" s="18" t="n">
        <v>30212.6</v>
      </c>
      <c r="N49" s="18" t="n">
        <v>29906.4</v>
      </c>
      <c r="O49" s="18" t="n">
        <v>29188.13</v>
      </c>
      <c r="P49" s="34" t="n">
        <v>29188.13</v>
      </c>
      <c r="Q49" s="18" t="n">
        <v>29501.49</v>
      </c>
      <c r="R49" s="18" t="n">
        <v>30084.99</v>
      </c>
      <c r="S49" s="18" t="n">
        <v>29353.81</v>
      </c>
      <c r="T49" s="18" t="n">
        <v>25479.99</v>
      </c>
      <c r="U49" s="34" t="n">
        <v>25479.99</v>
      </c>
      <c r="V49" s="18" t="n">
        <v>24797.9</v>
      </c>
      <c r="W49" s="18" t="n">
        <v>29981.77</v>
      </c>
      <c r="X49" s="18" t="n">
        <v>31518.17</v>
      </c>
      <c r="Y49" s="18" t="n">
        <v>31531.92</v>
      </c>
      <c r="Z49" s="34" t="n">
        <v>31531.92</v>
      </c>
      <c r="AA49" s="18" t="n">
        <v>32051.17</v>
      </c>
      <c r="AB49" s="19" t="n">
        <v>32808.59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46363.93</v>
      </c>
      <c r="F50" s="34" t="n">
        <v>46363.93</v>
      </c>
      <c r="G50" s="18" t="n">
        <v>46811.06</v>
      </c>
      <c r="H50" s="18" t="n">
        <v>44896.09</v>
      </c>
      <c r="I50" s="18" t="n">
        <v>43413.47</v>
      </c>
      <c r="J50" s="18" t="n">
        <v>41325.76</v>
      </c>
      <c r="K50" s="34" t="n">
        <v>41325.76</v>
      </c>
      <c r="L50" s="18" t="n">
        <v>40723.51</v>
      </c>
      <c r="M50" s="18" t="n">
        <v>32522.85</v>
      </c>
      <c r="N50" s="18" t="n">
        <v>40287.49</v>
      </c>
      <c r="O50" s="18" t="n">
        <v>43153.79</v>
      </c>
      <c r="P50" s="34" t="n">
        <v>43153.79</v>
      </c>
      <c r="Q50" s="18" t="n">
        <v>39912.87</v>
      </c>
      <c r="R50" s="18" t="n">
        <v>42028.01</v>
      </c>
      <c r="S50" s="18" t="n">
        <v>42436.21</v>
      </c>
      <c r="T50" s="18" t="n">
        <v>33275.44</v>
      </c>
      <c r="U50" s="34" t="n">
        <v>33275.44</v>
      </c>
      <c r="V50" s="18" t="n">
        <v>29921.13</v>
      </c>
      <c r="W50" s="18" t="n">
        <v>35009.77</v>
      </c>
      <c r="X50" s="18" t="n">
        <v>34003.48</v>
      </c>
      <c r="Y50" s="18" t="n">
        <v>21491.48</v>
      </c>
      <c r="Z50" s="34" t="n">
        <v>21491.48</v>
      </c>
      <c r="AA50" s="18" t="n">
        <v>20318.23</v>
      </c>
      <c r="AB50" s="19" t="n">
        <v>16793.98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45286.14</v>
      </c>
      <c r="F51" s="34" t="n">
        <v>45286.14</v>
      </c>
      <c r="G51" s="18" t="n">
        <v>45469.45</v>
      </c>
      <c r="H51" s="18" t="n">
        <v>43622.34</v>
      </c>
      <c r="I51" s="18" t="n">
        <v>41736.57</v>
      </c>
      <c r="J51" s="18" t="n">
        <v>39067.86</v>
      </c>
      <c r="K51" s="34" t="n">
        <v>39067.86</v>
      </c>
      <c r="L51" s="18" t="n">
        <v>39879.16</v>
      </c>
      <c r="M51" s="18" t="n">
        <v>31701.46</v>
      </c>
      <c r="N51" s="18" t="n">
        <v>38605.98</v>
      </c>
      <c r="O51" s="18" t="n">
        <v>38782.12</v>
      </c>
      <c r="P51" s="34" t="n">
        <v>38782.12</v>
      </c>
      <c r="Q51" s="18" t="n">
        <v>38713.38</v>
      </c>
      <c r="R51" s="18" t="n">
        <v>38421.19</v>
      </c>
      <c r="S51" s="18" t="n">
        <v>39790.01</v>
      </c>
      <c r="T51" s="18" t="n">
        <v>29677.56</v>
      </c>
      <c r="U51" s="34" t="n">
        <v>29677.56</v>
      </c>
      <c r="V51" s="18" t="n">
        <v>27545.01</v>
      </c>
      <c r="W51" s="18" t="n">
        <v>31853.97</v>
      </c>
      <c r="X51" s="18" t="n">
        <v>30643.9</v>
      </c>
      <c r="Y51" s="18" t="n">
        <v>19036.95</v>
      </c>
      <c r="Z51" s="34" t="n">
        <v>19036.95</v>
      </c>
      <c r="AA51" s="18" t="n">
        <v>18687.53</v>
      </c>
      <c r="AB51" s="19" t="n">
        <v>9558.91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3256.59</v>
      </c>
      <c r="F52" s="34" t="n">
        <v>3256.59</v>
      </c>
      <c r="G52" s="18" t="n">
        <v>3663.2</v>
      </c>
      <c r="H52" s="18" t="n">
        <v>1848.27</v>
      </c>
      <c r="I52" s="18" t="n">
        <v>2274.76</v>
      </c>
      <c r="J52" s="18" t="n">
        <v>2366.47</v>
      </c>
      <c r="K52" s="34" t="n">
        <v>2366.47</v>
      </c>
      <c r="L52" s="18" t="n">
        <v>948.39</v>
      </c>
      <c r="M52" s="18" t="n">
        <v>932.79</v>
      </c>
      <c r="N52" s="18" t="n">
        <v>1684.56</v>
      </c>
      <c r="O52" s="18" t="n">
        <v>4373.71</v>
      </c>
      <c r="P52" s="34" t="n">
        <v>4373.71</v>
      </c>
      <c r="Q52" s="18" t="n">
        <v>1201.53</v>
      </c>
      <c r="R52" s="18" t="n">
        <v>3608.86</v>
      </c>
      <c r="S52" s="18" t="n">
        <v>2781.99</v>
      </c>
      <c r="T52" s="18" t="n">
        <v>3799.92</v>
      </c>
      <c r="U52" s="34" t="n">
        <v>3799.92</v>
      </c>
      <c r="V52" s="18" t="n">
        <v>2578.16</v>
      </c>
      <c r="W52" s="18" t="n">
        <v>3357.84</v>
      </c>
      <c r="X52" s="18" t="n">
        <v>3571.62</v>
      </c>
      <c r="Y52" s="18" t="n">
        <v>2656.57</v>
      </c>
      <c r="Z52" s="34" t="n">
        <v>2656.57</v>
      </c>
      <c r="AA52" s="18" t="n">
        <v>1832.74</v>
      </c>
      <c r="AB52" s="19" t="n">
        <v>7439.11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K53" s="9" t="n"/>
      <c r="O53" s="18" t="n">
        <v>247.04</v>
      </c>
      <c r="P53" s="34" t="n">
        <v>247.04</v>
      </c>
      <c r="Q53" s="18" t="n">
        <v>247.04</v>
      </c>
      <c r="R53" s="18" t="n">
        <v>590.39</v>
      </c>
      <c r="S53" s="18" t="n">
        <v>590.39</v>
      </c>
      <c r="T53" s="18" t="n">
        <v>57.44</v>
      </c>
      <c r="U53" s="34" t="n">
        <v>57.44</v>
      </c>
      <c r="V53" s="18" t="n">
        <v>57.44</v>
      </c>
      <c r="W53" s="18" t="n">
        <v>726.15</v>
      </c>
      <c r="X53" s="18" t="n">
        <v>0</v>
      </c>
      <c r="Y53" s="18" t="n">
        <v>1834.84</v>
      </c>
      <c r="Z53" s="34" t="n">
        <v>1834.84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단기파생상품부채</t>
        </is>
      </c>
      <c r="F54" s="9" t="n"/>
      <c r="K54" s="9" t="n"/>
      <c r="O54" s="18" t="n">
        <v>4025.56</v>
      </c>
      <c r="P54" s="34" t="n">
        <v>4025.56</v>
      </c>
      <c r="Q54" s="18" t="n">
        <v>4025.56</v>
      </c>
      <c r="R54" s="18" t="n">
        <v>2670.07</v>
      </c>
      <c r="S54" s="18" t="n">
        <v>2670.07</v>
      </c>
      <c r="T54" s="18" t="n">
        <v>2668.41</v>
      </c>
      <c r="U54" s="34" t="n">
        <v>2668.41</v>
      </c>
      <c r="V54" s="18" t="n">
        <v>2668.41</v>
      </c>
      <c r="W54" s="18" t="n">
        <v>1448.61</v>
      </c>
      <c r="X54" s="18" t="n">
        <v>0</v>
      </c>
      <c r="Y54" s="18" t="n">
        <v>0</v>
      </c>
      <c r="Z54" s="34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O55" s="18" t="n">
        <v>3432.63</v>
      </c>
      <c r="P55" s="34" t="n">
        <v>3432.63</v>
      </c>
      <c r="R55" s="18" t="n">
        <v>3762.86</v>
      </c>
      <c r="S55" s="18" t="n">
        <v>3794.87</v>
      </c>
      <c r="U55" s="9" t="n"/>
      <c r="Y55" s="18" t="n">
        <v>0</v>
      </c>
      <c r="Z55" s="34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F56" s="9" t="n"/>
      <c r="K56" s="9" t="n"/>
      <c r="P56" s="9" t="n"/>
      <c r="T56" s="18" t="n">
        <v>4138.42</v>
      </c>
      <c r="U56" s="34" t="n">
        <v>4138.42</v>
      </c>
      <c r="V56" s="18" t="n">
        <v>113.38</v>
      </c>
      <c r="W56" s="18" t="n">
        <v>911.46</v>
      </c>
      <c r="X56" s="18" t="n">
        <v>0</v>
      </c>
      <c r="Y56" s="18" t="n">
        <v>270.49</v>
      </c>
      <c r="Z56" s="34" t="n">
        <v>270.49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8943.52</v>
      </c>
      <c r="F57" s="9" t="n"/>
      <c r="G57" s="18" t="n">
        <v>7750.2</v>
      </c>
      <c r="H57" s="18" t="n">
        <v>8389.389999999999</v>
      </c>
      <c r="I57" s="18" t="n">
        <v>8493.41</v>
      </c>
      <c r="J57" s="18" t="n">
        <v>9528.67</v>
      </c>
      <c r="K57" s="34" t="n">
        <v>34161.67</v>
      </c>
      <c r="L57" s="18" t="n">
        <v>12146</v>
      </c>
      <c r="M57" s="18" t="n">
        <v>13229.35</v>
      </c>
      <c r="N57" s="18" t="n">
        <v>8963.379999999999</v>
      </c>
      <c r="O57" s="18" t="n">
        <v>12374.66</v>
      </c>
      <c r="P57" s="34" t="n">
        <v>46713.39</v>
      </c>
      <c r="Q57" s="18" t="n">
        <v>11308.63</v>
      </c>
      <c r="R57" s="18" t="n">
        <v>9539.040000000001</v>
      </c>
      <c r="S57" s="18" t="n">
        <v>9634.620000000001</v>
      </c>
      <c r="T57" s="18" t="n">
        <v>10787.12</v>
      </c>
      <c r="U57" s="34" t="n">
        <v>41269.41</v>
      </c>
      <c r="V57" s="18" t="n">
        <v>6995.8</v>
      </c>
      <c r="W57" s="18" t="n">
        <v>12308.84</v>
      </c>
      <c r="X57" s="18" t="n">
        <v>10624.17</v>
      </c>
      <c r="Y57" s="18" t="n">
        <v>13688.86</v>
      </c>
      <c r="Z57" s="34" t="n">
        <v>43617.67</v>
      </c>
      <c r="AA57" s="18" t="n">
        <v>14536.88</v>
      </c>
      <c r="AB57" s="19" t="n">
        <v>15059.41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9850.09</v>
      </c>
      <c r="F58" s="9" t="n"/>
      <c r="G58" s="18" t="n">
        <v>7505.65</v>
      </c>
      <c r="H58" s="18" t="n">
        <v>8142.07</v>
      </c>
      <c r="I58" s="18" t="n">
        <v>8440.120000000001</v>
      </c>
      <c r="J58" s="18" t="n">
        <v>8674.15</v>
      </c>
      <c r="K58" s="34" t="n">
        <v>32761.99</v>
      </c>
      <c r="L58" s="18" t="n">
        <v>9477.870000000001</v>
      </c>
      <c r="M58" s="18" t="n">
        <v>10279.92</v>
      </c>
      <c r="N58" s="18" t="n">
        <v>7446.4</v>
      </c>
      <c r="O58" s="18" t="n">
        <v>11061.74</v>
      </c>
      <c r="P58" s="34" t="n">
        <v>38265.93</v>
      </c>
      <c r="Q58" s="18" t="n">
        <v>9258.49</v>
      </c>
      <c r="R58" s="18" t="n">
        <v>8493.299999999999</v>
      </c>
      <c r="S58" s="18" t="n">
        <v>9012.690000000001</v>
      </c>
      <c r="T58" s="18" t="n">
        <v>11146.15</v>
      </c>
      <c r="U58" s="34" t="n">
        <v>37910.63</v>
      </c>
      <c r="V58" s="18" t="n">
        <v>6307.81</v>
      </c>
      <c r="W58" s="18" t="n">
        <v>10014.3</v>
      </c>
      <c r="X58" s="18" t="n">
        <v>8969.799999999999</v>
      </c>
      <c r="Y58" s="18" t="n">
        <v>11706.33</v>
      </c>
      <c r="Z58" s="34" t="n">
        <v>36998.24</v>
      </c>
      <c r="AA58" s="18" t="n">
        <v>11738.24</v>
      </c>
      <c r="AB58" s="19" t="n">
        <v>13506.46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-906.58</v>
      </c>
      <c r="F59" s="9" t="n"/>
      <c r="G59" s="18" t="n">
        <v>244.55</v>
      </c>
      <c r="H59" s="18" t="n">
        <v>247.33</v>
      </c>
      <c r="I59" s="18" t="n">
        <v>53.29</v>
      </c>
      <c r="J59" s="18" t="n">
        <v>854.52</v>
      </c>
      <c r="K59" s="34" t="n">
        <v>1399.69</v>
      </c>
      <c r="L59" s="18" t="n">
        <v>2668.13</v>
      </c>
      <c r="M59" s="18" t="n">
        <v>2949.43</v>
      </c>
      <c r="N59" s="18" t="n">
        <v>1516.98</v>
      </c>
      <c r="O59" s="18" t="n">
        <v>1312.91</v>
      </c>
      <c r="P59" s="34" t="n">
        <v>8447.450000000001</v>
      </c>
      <c r="Q59" s="18" t="n">
        <v>2050.14</v>
      </c>
      <c r="R59" s="18" t="n">
        <v>1045.74</v>
      </c>
      <c r="S59" s="18" t="n">
        <v>621.9299999999999</v>
      </c>
      <c r="T59" s="18" t="n">
        <v>-359.03</v>
      </c>
      <c r="U59" s="34" t="n">
        <v>3358.78</v>
      </c>
      <c r="V59" s="18" t="n">
        <v>687.99</v>
      </c>
      <c r="W59" s="18" t="n">
        <v>2294.54</v>
      </c>
      <c r="X59" s="18" t="n">
        <v>1654.37</v>
      </c>
      <c r="Y59" s="18" t="n">
        <v>1982.51</v>
      </c>
      <c r="Z59" s="34" t="n">
        <v>6619.41</v>
      </c>
      <c r="AA59" s="18" t="n">
        <v>2798.64</v>
      </c>
      <c r="AB59" s="19" t="n">
        <v>1552.95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1308.87</v>
      </c>
      <c r="F60" s="9" t="n"/>
      <c r="G60" s="18" t="n">
        <v>1356.16</v>
      </c>
      <c r="H60" s="18" t="n">
        <v>1086.53</v>
      </c>
      <c r="I60" s="18" t="n">
        <v>1160.55</v>
      </c>
      <c r="J60" s="18" t="n">
        <v>1059.09</v>
      </c>
      <c r="K60" s="34" t="n">
        <v>4662.33</v>
      </c>
      <c r="L60" s="18" t="n">
        <v>1205.94</v>
      </c>
      <c r="M60" s="18" t="n">
        <v>1112.67</v>
      </c>
      <c r="N60" s="18" t="n">
        <v>1290.3</v>
      </c>
      <c r="O60" s="18" t="n">
        <v>1429.78</v>
      </c>
      <c r="P60" s="34" t="n">
        <v>5038.69</v>
      </c>
      <c r="Q60" s="18" t="n">
        <v>1237.99</v>
      </c>
      <c r="R60" s="18" t="n">
        <v>1484.43</v>
      </c>
      <c r="S60" s="18" t="n">
        <v>942.1799999999999</v>
      </c>
      <c r="T60" s="18" t="n">
        <v>1455.44</v>
      </c>
      <c r="U60" s="34" t="n">
        <v>5120.04</v>
      </c>
      <c r="V60" s="18" t="n">
        <v>1146.46</v>
      </c>
      <c r="W60" s="18" t="n">
        <v>1491.42</v>
      </c>
      <c r="X60" s="18" t="n">
        <v>1538.1</v>
      </c>
      <c r="Y60" s="18" t="n">
        <v>1711.84</v>
      </c>
      <c r="Z60" s="34" t="n">
        <v>5887.82</v>
      </c>
      <c r="AA60" s="18" t="n">
        <v>1900.22</v>
      </c>
      <c r="AB60" s="19" t="n">
        <v>542.0700000000001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-2215.45</v>
      </c>
      <c r="F61" s="9" t="n"/>
      <c r="G61" s="18" t="n">
        <v>-1111.61</v>
      </c>
      <c r="H61" s="18" t="n">
        <v>-839.2</v>
      </c>
      <c r="I61" s="18" t="n">
        <v>-1107.26</v>
      </c>
      <c r="J61" s="18" t="n">
        <v>-204.57</v>
      </c>
      <c r="K61" s="34" t="n">
        <v>-3262.64</v>
      </c>
      <c r="L61" s="18" t="n">
        <v>1462.19</v>
      </c>
      <c r="M61" s="18" t="n">
        <v>1836.76</v>
      </c>
      <c r="N61" s="18" t="n">
        <v>226.67</v>
      </c>
      <c r="O61" s="18" t="n">
        <v>-116.87</v>
      </c>
      <c r="P61" s="34" t="n">
        <v>3408.75</v>
      </c>
      <c r="Q61" s="18" t="n">
        <v>812.14</v>
      </c>
      <c r="R61" s="18" t="n">
        <v>-438.7</v>
      </c>
      <c r="S61" s="18" t="n">
        <v>-320.25</v>
      </c>
      <c r="T61" s="18" t="n">
        <v>-1814.48</v>
      </c>
      <c r="U61" s="34" t="n">
        <v>-1761.29</v>
      </c>
      <c r="V61" s="18" t="n">
        <v>-458.47</v>
      </c>
      <c r="W61" s="18" t="n">
        <v>803.13</v>
      </c>
      <c r="X61" s="18" t="n">
        <v>116.27</v>
      </c>
      <c r="Y61" s="18" t="n">
        <v>270.67</v>
      </c>
      <c r="Z61" s="34" t="n">
        <v>731.6</v>
      </c>
      <c r="AA61" s="18" t="n">
        <v>898.42</v>
      </c>
      <c r="AB61" s="19" t="n">
        <v>1010.88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-375.62</v>
      </c>
      <c r="F62" s="9" t="n"/>
      <c r="G62" s="18" t="n">
        <v>51.22</v>
      </c>
      <c r="H62" s="18" t="n">
        <v>378.16</v>
      </c>
      <c r="I62" s="18" t="n">
        <v>177.27</v>
      </c>
      <c r="J62" s="18" t="n">
        <v>-23.84</v>
      </c>
      <c r="K62" s="34" t="n">
        <v>582.8099999999999</v>
      </c>
      <c r="L62" s="18" t="n">
        <v>286.7</v>
      </c>
      <c r="M62" s="18" t="n">
        <v>675.92</v>
      </c>
      <c r="N62" s="18" t="n">
        <v>30.25</v>
      </c>
      <c r="O62" s="18" t="n">
        <v>340.32</v>
      </c>
      <c r="P62" s="34" t="n">
        <v>1333.19</v>
      </c>
      <c r="Q62" s="18" t="n">
        <v>177.32</v>
      </c>
      <c r="R62" s="18" t="n">
        <v>98.58</v>
      </c>
      <c r="S62" s="18" t="n">
        <v>27.75</v>
      </c>
      <c r="T62" s="18" t="n">
        <v>176.21</v>
      </c>
      <c r="U62" s="34" t="n">
        <v>479.86</v>
      </c>
      <c r="V62" s="18" t="n">
        <v>90.86</v>
      </c>
      <c r="W62" s="18" t="n">
        <v>59.59</v>
      </c>
      <c r="X62" s="18" t="n">
        <v>78.75</v>
      </c>
      <c r="Y62" s="18" t="n">
        <v>339.32</v>
      </c>
      <c r="Z62" s="34" t="n">
        <v>568.52</v>
      </c>
      <c r="AA62" s="18" t="n">
        <v>207.51</v>
      </c>
      <c r="AB62" s="19" t="n">
        <v>89.23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4794.83</v>
      </c>
      <c r="F63" s="9" t="n"/>
      <c r="G63" s="18" t="n">
        <v>44.65</v>
      </c>
      <c r="H63" s="18" t="n">
        <v>775.8200000000001</v>
      </c>
      <c r="I63" s="18" t="n">
        <v>69.5</v>
      </c>
      <c r="J63" s="18" t="n">
        <v>871.23</v>
      </c>
      <c r="K63" s="34" t="n">
        <v>1761.2</v>
      </c>
      <c r="L63" s="18" t="n">
        <v>163.25</v>
      </c>
      <c r="M63" s="18" t="n">
        <v>748.49</v>
      </c>
      <c r="N63" s="18" t="n">
        <v>49.56</v>
      </c>
      <c r="O63" s="18" t="n">
        <v>717.52</v>
      </c>
      <c r="P63" s="34" t="n">
        <v>1678.82</v>
      </c>
      <c r="Q63" s="18" t="n">
        <v>97.26000000000001</v>
      </c>
      <c r="R63" s="18" t="n">
        <v>44.13</v>
      </c>
      <c r="S63" s="18" t="n">
        <v>-35.14</v>
      </c>
      <c r="T63" s="18" t="n">
        <v>505.04</v>
      </c>
      <c r="U63" s="34" t="n">
        <v>611.29</v>
      </c>
      <c r="V63" s="18" t="n">
        <v>52.33</v>
      </c>
      <c r="W63" s="18" t="n">
        <v>228.55</v>
      </c>
      <c r="X63" s="18" t="n">
        <v>-27.05</v>
      </c>
      <c r="Y63" s="18" t="n">
        <v>51.06</v>
      </c>
      <c r="Z63" s="34" t="n">
        <v>304.89</v>
      </c>
      <c r="AA63" s="18" t="n">
        <v>84.37</v>
      </c>
      <c r="AB63" s="19" t="n">
        <v>72.02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24.56</v>
      </c>
      <c r="F64" s="9" t="n"/>
      <c r="G64" s="18" t="n">
        <v>36.95</v>
      </c>
      <c r="H64" s="18" t="n">
        <v>31.35</v>
      </c>
      <c r="I64" s="18" t="n">
        <v>34.97</v>
      </c>
      <c r="J64" s="18" t="n">
        <v>50.97</v>
      </c>
      <c r="K64" s="34" t="n">
        <v>154.24</v>
      </c>
      <c r="L64" s="18" t="n">
        <v>17.38</v>
      </c>
      <c r="M64" s="18" t="n">
        <v>16.49</v>
      </c>
      <c r="N64" s="18" t="n">
        <v>70.15000000000001</v>
      </c>
      <c r="O64" s="18" t="n">
        <v>1114.21</v>
      </c>
      <c r="P64" s="34" t="n">
        <v>1218.23</v>
      </c>
      <c r="Q64" s="18" t="n">
        <v>5.45</v>
      </c>
      <c r="R64" s="18" t="n">
        <v>1806.08</v>
      </c>
      <c r="S64" s="18" t="n">
        <v>88.89</v>
      </c>
      <c r="T64" s="18" t="n">
        <v>-331.41</v>
      </c>
      <c r="U64" s="34" t="n">
        <v>1569.01</v>
      </c>
      <c r="V64" s="18" t="n">
        <v>166.69</v>
      </c>
      <c r="W64" s="18" t="n">
        <v>1454.21</v>
      </c>
      <c r="X64" s="18" t="n">
        <v>498.32</v>
      </c>
      <c r="Y64" s="18" t="n">
        <v>-672.92</v>
      </c>
      <c r="Z64" s="34" t="n">
        <v>1446.3</v>
      </c>
      <c r="AA64" s="18" t="n">
        <v>30.96</v>
      </c>
      <c r="AB64" s="19" t="n">
        <v>273.01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424.68</v>
      </c>
      <c r="F65" s="9" t="n"/>
      <c r="G65" s="18" t="n">
        <v>439.23</v>
      </c>
      <c r="H65" s="18" t="n">
        <v>511.24</v>
      </c>
      <c r="I65" s="18" t="n">
        <v>496.31</v>
      </c>
      <c r="J65" s="18" t="n">
        <v>578.9299999999999</v>
      </c>
      <c r="K65" s="34" t="n">
        <v>2025.71</v>
      </c>
      <c r="L65" s="18" t="n">
        <v>566.04</v>
      </c>
      <c r="M65" s="18" t="n">
        <v>575.84</v>
      </c>
      <c r="N65" s="18" t="n">
        <v>582.5</v>
      </c>
      <c r="O65" s="18" t="n">
        <v>884.67</v>
      </c>
      <c r="P65" s="34" t="n">
        <v>2609.05</v>
      </c>
      <c r="Q65" s="18" t="n">
        <v>586.62</v>
      </c>
      <c r="R65" s="18" t="n">
        <v>867.36</v>
      </c>
      <c r="S65" s="18" t="n">
        <v>537.96</v>
      </c>
      <c r="T65" s="18" t="n">
        <v>1210.25</v>
      </c>
      <c r="U65" s="34" t="n">
        <v>3202.19</v>
      </c>
      <c r="V65" s="18" t="n">
        <v>428.97</v>
      </c>
      <c r="W65" s="18" t="n">
        <v>6573.58</v>
      </c>
      <c r="X65" s="18" t="n">
        <v>816.4299999999999</v>
      </c>
      <c r="Y65" s="18" t="n">
        <v>-266.64</v>
      </c>
      <c r="Z65" s="34" t="n">
        <v>7552.34</v>
      </c>
      <c r="AA65" s="18" t="n">
        <v>514.34</v>
      </c>
      <c r="AB65" s="19" t="n">
        <v>530.0700000000001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-7480.84</v>
      </c>
      <c r="F66" s="9" t="n"/>
      <c r="G66" s="18" t="n">
        <v>-1507.32</v>
      </c>
      <c r="H66" s="18" t="n">
        <v>-1716.75</v>
      </c>
      <c r="I66" s="18" t="n">
        <v>-1460.83</v>
      </c>
      <c r="J66" s="18" t="n">
        <v>-2734.66</v>
      </c>
      <c r="K66" s="34" t="n">
        <v>-7419.56</v>
      </c>
      <c r="L66" s="18" t="n">
        <v>1036.98</v>
      </c>
      <c r="M66" s="18" t="n">
        <v>1204.84</v>
      </c>
      <c r="N66" s="18" t="n">
        <v>-304.98</v>
      </c>
      <c r="O66" s="18" t="n">
        <v>-264.53</v>
      </c>
      <c r="P66" s="34" t="n">
        <v>1672.31</v>
      </c>
      <c r="Q66" s="18" t="n">
        <v>311.02</v>
      </c>
      <c r="R66" s="18" t="n">
        <v>554.47</v>
      </c>
      <c r="S66" s="18" t="n">
        <v>-706.4400000000001</v>
      </c>
      <c r="T66" s="18" t="n">
        <v>-3684.97</v>
      </c>
      <c r="U66" s="34" t="n">
        <v>-3525.92</v>
      </c>
      <c r="V66" s="18" t="n">
        <v>-682.22</v>
      </c>
      <c r="W66" s="18" t="n">
        <v>-4485.19</v>
      </c>
      <c r="X66" s="18" t="n">
        <v>-96.04000000000001</v>
      </c>
      <c r="Y66" s="18" t="n">
        <v>152.65</v>
      </c>
      <c r="Z66" s="34" t="n">
        <v>-5110.8</v>
      </c>
      <c r="AA66" s="18" t="n">
        <v>538.17</v>
      </c>
      <c r="AB66" s="19" t="n">
        <v>771.03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-7480.84</v>
      </c>
      <c r="F67" s="9" t="n"/>
      <c r="G67" s="18" t="n">
        <v>-1507.32</v>
      </c>
      <c r="H67" s="18" t="n">
        <v>-1716.75</v>
      </c>
      <c r="I67" s="18" t="n">
        <v>-1460.83</v>
      </c>
      <c r="J67" s="18" t="n">
        <v>-2734.66</v>
      </c>
      <c r="K67" s="34" t="n">
        <v>-7419.56</v>
      </c>
      <c r="L67" s="18" t="n">
        <v>1036.98</v>
      </c>
      <c r="M67" s="18" t="n">
        <v>1204.84</v>
      </c>
      <c r="N67" s="18" t="n">
        <v>-304.98</v>
      </c>
      <c r="O67" s="18" t="n">
        <v>-264.53</v>
      </c>
      <c r="P67" s="34" t="n">
        <v>1672.31</v>
      </c>
      <c r="Q67" s="18" t="n">
        <v>311.02</v>
      </c>
      <c r="R67" s="18" t="n">
        <v>554.47</v>
      </c>
      <c r="S67" s="18" t="n">
        <v>-706.4400000000001</v>
      </c>
      <c r="T67" s="18" t="n">
        <v>-3684.97</v>
      </c>
      <c r="U67" s="34" t="n">
        <v>-3525.92</v>
      </c>
      <c r="V67" s="18" t="n">
        <v>-682.22</v>
      </c>
      <c r="W67" s="18" t="n">
        <v>-4485.19</v>
      </c>
      <c r="X67" s="18" t="n">
        <v>-96.04000000000001</v>
      </c>
      <c r="Y67" s="18" t="n">
        <v>152.65</v>
      </c>
      <c r="Z67" s="34" t="n">
        <v>-5110.8</v>
      </c>
      <c r="AA67" s="18" t="n">
        <v>538.17</v>
      </c>
      <c r="AB67" s="19" t="n">
        <v>771.03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-2879.28</v>
      </c>
      <c r="F68" s="9" t="n"/>
      <c r="G68" s="18" t="n">
        <v>-1395.54</v>
      </c>
      <c r="H68" s="18" t="n">
        <v>-1942.52</v>
      </c>
      <c r="I68" s="18" t="n">
        <v>-1467.49</v>
      </c>
      <c r="J68" s="18" t="n">
        <v>-2230.52</v>
      </c>
      <c r="K68" s="34" t="n">
        <v>-7036.07</v>
      </c>
      <c r="L68" s="18" t="n">
        <v>1032.45</v>
      </c>
      <c r="M68" s="18" t="n">
        <v>1212.21</v>
      </c>
      <c r="N68" s="18" t="n">
        <v>-306.2</v>
      </c>
      <c r="O68" s="18" t="n">
        <v>-718.27</v>
      </c>
      <c r="P68" s="34" t="n">
        <v>1220.19</v>
      </c>
      <c r="Q68" s="18" t="n">
        <v>313.35</v>
      </c>
      <c r="R68" s="18" t="n">
        <v>583.5</v>
      </c>
      <c r="S68" s="18" t="n">
        <v>-731.1900000000001</v>
      </c>
      <c r="T68" s="18" t="n">
        <v>-3873.81</v>
      </c>
      <c r="U68" s="34" t="n">
        <v>-3708.15</v>
      </c>
      <c r="V68" s="18" t="n">
        <v>-682.1</v>
      </c>
      <c r="W68" s="18" t="n">
        <v>-4459.95</v>
      </c>
      <c r="X68" s="18" t="n">
        <v>-71.3</v>
      </c>
      <c r="Y68" s="18" t="n">
        <v>24.54</v>
      </c>
      <c r="Z68" s="34" t="n">
        <v>-5188.81</v>
      </c>
      <c r="AA68" s="18" t="n">
        <v>519.26</v>
      </c>
      <c r="AB68" s="19" t="n">
        <v>757.42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-400.12</v>
      </c>
      <c r="F69" s="9" t="n"/>
      <c r="G69" s="18" t="n">
        <v>-402.28</v>
      </c>
      <c r="H69" s="18" t="n">
        <v>-479.89</v>
      </c>
      <c r="I69" s="18" t="n">
        <v>-461.34</v>
      </c>
      <c r="J69" s="18" t="n">
        <v>-527.96</v>
      </c>
      <c r="K69" s="34" t="n">
        <v>-1871.47</v>
      </c>
      <c r="L69" s="18" t="n">
        <v>-548.66</v>
      </c>
      <c r="M69" s="18" t="n">
        <v>-559.35</v>
      </c>
      <c r="N69" s="18" t="n">
        <v>-512.35</v>
      </c>
      <c r="O69" s="18" t="n">
        <v>229.54</v>
      </c>
      <c r="P69" s="34" t="n">
        <v>-1390.82</v>
      </c>
      <c r="Q69" s="18" t="n">
        <v>-581.17</v>
      </c>
      <c r="R69" s="18" t="n">
        <v>938.72</v>
      </c>
      <c r="S69" s="18" t="n">
        <v>-449.07</v>
      </c>
      <c r="T69" s="18" t="n">
        <v>-1541.66</v>
      </c>
      <c r="U69" s="34" t="n">
        <v>-1633.18</v>
      </c>
      <c r="V69" s="18" t="n">
        <v>-262.28</v>
      </c>
      <c r="W69" s="18" t="n">
        <v>-5119.37</v>
      </c>
      <c r="X69" s="18" t="n">
        <v>-318.11</v>
      </c>
      <c r="Y69" s="18" t="n">
        <v>-406.28</v>
      </c>
      <c r="Z69" s="34" t="n">
        <v>-6106.04</v>
      </c>
      <c r="AA69" s="18" t="n">
        <v>-483.38</v>
      </c>
      <c r="AB69" s="19" t="n">
        <v>-257.06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-5170.45</v>
      </c>
      <c r="F70" s="9" t="n"/>
      <c r="G70" s="18" t="n">
        <v>6.57</v>
      </c>
      <c r="H70" s="18" t="n">
        <v>-397.66</v>
      </c>
      <c r="I70" s="18" t="n">
        <v>107.77</v>
      </c>
      <c r="J70" s="18" t="n">
        <v>-895.0700000000001</v>
      </c>
      <c r="K70" s="34" t="n">
        <v>-1178.39</v>
      </c>
      <c r="L70" s="18" t="n">
        <v>123.45</v>
      </c>
      <c r="M70" s="18" t="n">
        <v>-72.56999999999999</v>
      </c>
      <c r="N70" s="18" t="n">
        <v>-19.31</v>
      </c>
      <c r="O70" s="18" t="n">
        <v>-377.2</v>
      </c>
      <c r="P70" s="34" t="n">
        <v>-345.63</v>
      </c>
      <c r="Q70" s="18" t="n">
        <v>80.06</v>
      </c>
      <c r="R70" s="18" t="n">
        <v>54.45</v>
      </c>
      <c r="S70" s="18" t="n">
        <v>62.89</v>
      </c>
      <c r="T70" s="18" t="n">
        <v>-328.83</v>
      </c>
      <c r="U70" s="34" t="n">
        <v>-131.43</v>
      </c>
      <c r="V70" s="18" t="n">
        <v>38.53</v>
      </c>
      <c r="W70" s="18" t="n">
        <v>-168.96</v>
      </c>
      <c r="X70" s="18" t="n">
        <v>105.8</v>
      </c>
      <c r="Y70" s="18" t="n">
        <v>288.26</v>
      </c>
      <c r="Z70" s="34" t="n">
        <v>263.63</v>
      </c>
      <c r="AA70" s="18" t="n">
        <v>123.14</v>
      </c>
      <c r="AB70" s="19" t="n">
        <v>17.21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-7480.84</v>
      </c>
      <c r="F71" s="9" t="n"/>
      <c r="G71" s="18" t="n">
        <v>-1507.32</v>
      </c>
      <c r="H71" s="18" t="n">
        <v>-1716.75</v>
      </c>
      <c r="I71" s="18" t="n">
        <v>-1460.83</v>
      </c>
      <c r="J71" s="18" t="n">
        <v>-2734.66</v>
      </c>
      <c r="K71" s="34" t="n">
        <v>-7419.56</v>
      </c>
      <c r="L71" s="18" t="n">
        <v>1036.98</v>
      </c>
      <c r="M71" s="18" t="n">
        <v>1204.84</v>
      </c>
      <c r="N71" s="18" t="n">
        <v>-304.98</v>
      </c>
      <c r="O71" s="18" t="n">
        <v>-264.53</v>
      </c>
      <c r="P71" s="34" t="n">
        <v>1672.31</v>
      </c>
      <c r="Q71" s="18" t="n">
        <v>311.02</v>
      </c>
      <c r="R71" s="18" t="n">
        <v>554.47</v>
      </c>
      <c r="S71" s="18" t="n">
        <v>-706.4400000000001</v>
      </c>
      <c r="T71" s="18" t="n">
        <v>-3684.97</v>
      </c>
      <c r="U71" s="34" t="n">
        <v>-3525.92</v>
      </c>
      <c r="V71" s="18" t="n">
        <v>-682.22</v>
      </c>
      <c r="W71" s="18" t="n">
        <v>-4485.19</v>
      </c>
      <c r="X71" s="18" t="n">
        <v>-96.04000000000001</v>
      </c>
      <c r="Y71" s="18" t="n">
        <v>152.65</v>
      </c>
      <c r="Z71" s="34" t="n">
        <v>-5110.8</v>
      </c>
      <c r="AA71" s="18" t="n">
        <v>538.17</v>
      </c>
      <c r="AB71" s="19" t="n">
        <v>771.03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-7480.84</v>
      </c>
      <c r="F72" s="9" t="n"/>
      <c r="G72" s="18" t="n">
        <v>-1507.32</v>
      </c>
      <c r="H72" s="18" t="n">
        <v>-1716.75</v>
      </c>
      <c r="I72" s="18" t="n">
        <v>-1460.83</v>
      </c>
      <c r="J72" s="18" t="n">
        <v>-2734.66</v>
      </c>
      <c r="K72" s="34" t="n">
        <v>-7419.56</v>
      </c>
      <c r="L72" s="18" t="n">
        <v>1036.98</v>
      </c>
      <c r="M72" s="18" t="n">
        <v>1204.84</v>
      </c>
      <c r="N72" s="18" t="n">
        <v>-304.98</v>
      </c>
      <c r="O72" s="18" t="n">
        <v>-264.53</v>
      </c>
      <c r="P72" s="34" t="n">
        <v>1672.31</v>
      </c>
      <c r="Q72" s="18" t="n">
        <v>311.02</v>
      </c>
      <c r="R72" s="18" t="n">
        <v>554.47</v>
      </c>
      <c r="S72" s="18" t="n">
        <v>-706.4400000000001</v>
      </c>
      <c r="T72" s="18" t="n">
        <v>-3684.97</v>
      </c>
      <c r="U72" s="34" t="n">
        <v>-3525.92</v>
      </c>
      <c r="V72" s="18" t="n">
        <v>-682.22</v>
      </c>
      <c r="W72" s="18" t="n">
        <v>-4485.19</v>
      </c>
      <c r="X72" s="18" t="n">
        <v>-96.04000000000001</v>
      </c>
      <c r="Y72" s="18" t="n">
        <v>152.65</v>
      </c>
      <c r="Z72" s="34" t="n">
        <v>-5110.8</v>
      </c>
      <c r="AA72" s="18" t="n">
        <v>538.17</v>
      </c>
      <c r="AB72" s="19" t="n">
        <v>771.03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4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4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4" t="n">
        <v>0</v>
      </c>
      <c r="X73" s="18" t="n">
        <v>0</v>
      </c>
      <c r="Y73" s="18" t="n">
        <v>0</v>
      </c>
      <c r="Z73" s="9" t="n"/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655.23</v>
      </c>
      <c r="F74" s="9" t="n"/>
      <c r="G74" s="18" t="n">
        <v>-2423.91</v>
      </c>
      <c r="H74" s="18" t="n">
        <v>-237.42</v>
      </c>
      <c r="I74" s="18" t="n">
        <v>2008.12</v>
      </c>
      <c r="J74" s="18" t="n">
        <v>1761.05</v>
      </c>
      <c r="K74" s="34" t="n">
        <v>1107.84</v>
      </c>
      <c r="L74" s="18" t="n">
        <v>-858.89</v>
      </c>
      <c r="M74" s="18" t="n">
        <v>1425.19</v>
      </c>
      <c r="N74" s="18" t="n">
        <v>620.21</v>
      </c>
      <c r="O74" s="18" t="n">
        <v>-5743.67</v>
      </c>
      <c r="P74" s="34" t="n">
        <v>-4557.16</v>
      </c>
      <c r="Q74" s="18" t="n">
        <v>-609.55</v>
      </c>
      <c r="R74" s="18" t="n">
        <v>211.93</v>
      </c>
      <c r="S74" s="18" t="n">
        <v>-1107.45</v>
      </c>
      <c r="T74" s="18" t="n">
        <v>-471.27</v>
      </c>
      <c r="U74" s="34" t="n">
        <v>-1976.34</v>
      </c>
      <c r="V74" s="18" t="n">
        <v>-1554.8</v>
      </c>
      <c r="W74" s="18" t="n">
        <v>-1009.43</v>
      </c>
      <c r="X74" s="18" t="n">
        <v>1135.01</v>
      </c>
      <c r="Y74" s="18" t="n">
        <v>-3570.01</v>
      </c>
      <c r="Z74" s="34" t="n">
        <v>-4999.23</v>
      </c>
      <c r="AA74" s="18" t="n">
        <v>-46.25</v>
      </c>
      <c r="AB74" s="19" t="n">
        <v>6436.89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감가상각비</t>
        </is>
      </c>
      <c r="E75" s="18" t="n">
        <v>352.32</v>
      </c>
      <c r="F75" s="9" t="n"/>
      <c r="G75" s="18" t="n">
        <v>172.01</v>
      </c>
      <c r="H75" s="18" t="n">
        <v>246.52</v>
      </c>
      <c r="I75" s="18" t="n">
        <v>177.1</v>
      </c>
      <c r="J75" s="18" t="n">
        <v>243.68</v>
      </c>
      <c r="K75" s="34" t="n">
        <v>839.3099999999999</v>
      </c>
      <c r="L75" s="18" t="n">
        <v>176.17</v>
      </c>
      <c r="M75" s="18" t="n">
        <v>240.37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무형자산상각비</t>
        </is>
      </c>
      <c r="E76" s="18" t="n">
        <v>21.39</v>
      </c>
      <c r="F76" s="9" t="n"/>
      <c r="G76" s="18" t="n">
        <v>0</v>
      </c>
      <c r="H76" s="18" t="n">
        <v>0</v>
      </c>
      <c r="I76" s="18" t="n">
        <v>0</v>
      </c>
      <c r="K76" s="9" t="n"/>
      <c r="L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-0.67</v>
      </c>
      <c r="F77" s="9" t="n"/>
      <c r="G77" s="18" t="n">
        <v>-0.48</v>
      </c>
      <c r="H77" s="18" t="n">
        <v>5.89</v>
      </c>
      <c r="I77" s="18" t="n">
        <v>61.74</v>
      </c>
      <c r="J77" s="18" t="n">
        <v>-1.67</v>
      </c>
      <c r="K77" s="34" t="n">
        <v>65.48</v>
      </c>
      <c r="L77" s="18" t="n">
        <v>0</v>
      </c>
      <c r="M77" s="18" t="n">
        <v>1.43</v>
      </c>
      <c r="N77" s="18" t="n">
        <v>0</v>
      </c>
      <c r="O77" s="18" t="n">
        <v>-2.91</v>
      </c>
      <c r="P77" s="34" t="n">
        <v>-1.48</v>
      </c>
      <c r="Q77" s="18" t="n">
        <v>0</v>
      </c>
      <c r="R77" s="18" t="n">
        <v>1.94</v>
      </c>
      <c r="S77" s="18" t="n">
        <v>0</v>
      </c>
      <c r="T77" s="18" t="n">
        <v>-2.36</v>
      </c>
      <c r="U77" s="34" t="n">
        <v>-0.42</v>
      </c>
      <c r="V77" s="18" t="n">
        <v>0</v>
      </c>
      <c r="W77" s="18" t="n">
        <v>3</v>
      </c>
      <c r="X77" s="18" t="n">
        <v>-58.55</v>
      </c>
      <c r="Y77" s="18" t="n">
        <v>0</v>
      </c>
      <c r="Z77" s="34" t="n">
        <v>-55.55</v>
      </c>
      <c r="AA77" s="18" t="n">
        <v>-0.47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-1594</v>
      </c>
      <c r="F78" s="9" t="n"/>
      <c r="G78" s="18" t="n">
        <v>2194.48</v>
      </c>
      <c r="H78" s="18" t="n">
        <v>2157.13</v>
      </c>
      <c r="I78" s="18" t="n">
        <v>-129.18</v>
      </c>
      <c r="J78" s="18" t="n">
        <v>895.46</v>
      </c>
      <c r="K78" s="34" t="n">
        <v>5117.89</v>
      </c>
      <c r="L78" s="18" t="n">
        <v>407</v>
      </c>
      <c r="M78" s="18" t="n">
        <v>-464.12</v>
      </c>
      <c r="N78" s="18" t="n">
        <v>-257.1</v>
      </c>
      <c r="O78" s="18" t="n">
        <v>-25.2</v>
      </c>
      <c r="P78" s="34" t="n">
        <v>-339.42</v>
      </c>
      <c r="Q78" s="18" t="n">
        <v>676.4299999999999</v>
      </c>
      <c r="R78" s="18" t="n">
        <v>203.33</v>
      </c>
      <c r="S78" s="18" t="n">
        <v>3.65</v>
      </c>
      <c r="T78" s="18" t="n">
        <v>-159.42</v>
      </c>
      <c r="U78" s="34" t="n">
        <v>723.99</v>
      </c>
      <c r="V78" s="18" t="n">
        <v>-77.28</v>
      </c>
      <c r="W78" s="18" t="n">
        <v>-36.57</v>
      </c>
      <c r="X78" s="18" t="n">
        <v>72.73999999999999</v>
      </c>
      <c r="Y78" s="18" t="n">
        <v>-285.82</v>
      </c>
      <c r="Z78" s="34" t="n">
        <v>-326.93</v>
      </c>
      <c r="AA78" s="18" t="n">
        <v>-75.09</v>
      </c>
      <c r="AB78" s="19" t="n">
        <v>-187.04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0</v>
      </c>
      <c r="H79" s="18" t="n">
        <v>0</v>
      </c>
      <c r="I79" s="18" t="n">
        <v>5</v>
      </c>
      <c r="J79" s="18" t="n">
        <v>0</v>
      </c>
      <c r="K79" s="34" t="n">
        <v>5</v>
      </c>
      <c r="L79" s="18" t="n">
        <v>0</v>
      </c>
      <c r="O79" s="18" t="n">
        <v>0</v>
      </c>
      <c r="P79" s="9" t="n"/>
      <c r="Q79" s="18" t="n">
        <v>9</v>
      </c>
      <c r="R79" s="18" t="n">
        <v>3.82</v>
      </c>
      <c r="S79" s="18" t="n">
        <v>0</v>
      </c>
      <c r="T79" s="18" t="n">
        <v>0</v>
      </c>
      <c r="U79" s="34" t="n">
        <v>12.82</v>
      </c>
      <c r="V79" s="18" t="n">
        <v>12.82</v>
      </c>
      <c r="W79" s="18" t="n">
        <v>0</v>
      </c>
      <c r="X79" s="18" t="n">
        <v>0</v>
      </c>
      <c r="Z79" s="9" t="n"/>
      <c r="AA79" s="18" t="n">
        <v>25.91</v>
      </c>
      <c r="AB79" s="19" t="n">
        <v>11.16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12.93</v>
      </c>
      <c r="F80" s="9" t="n"/>
      <c r="G80" s="18" t="n">
        <v>0</v>
      </c>
      <c r="H80" s="18" t="n">
        <v>0</v>
      </c>
      <c r="I80" s="18" t="n">
        <v>90.01000000000001</v>
      </c>
      <c r="J80" s="18" t="n">
        <v>0.14</v>
      </c>
      <c r="K80" s="34" t="n">
        <v>90.15000000000001</v>
      </c>
      <c r="L80" s="18" t="n">
        <v>0</v>
      </c>
      <c r="M80" s="18" t="n">
        <v>2.4</v>
      </c>
      <c r="N80" s="18" t="n">
        <v>264.08</v>
      </c>
      <c r="P80" s="9" t="n"/>
      <c r="Q80" s="18" t="n">
        <v>32.57</v>
      </c>
      <c r="R80" s="18" t="n">
        <v>0.85</v>
      </c>
      <c r="S80" s="18" t="n">
        <v>-0.85</v>
      </c>
      <c r="T80" s="18" t="n">
        <v>0</v>
      </c>
      <c r="U80" s="34" t="n">
        <v>32.57</v>
      </c>
      <c r="V80" s="18" t="n">
        <v>95.7</v>
      </c>
      <c r="W80" s="18" t="n">
        <v>39.36</v>
      </c>
      <c r="X80" s="18" t="n">
        <v>0.66</v>
      </c>
      <c r="Y80" s="18" t="n">
        <v>289</v>
      </c>
      <c r="Z80" s="34" t="n">
        <v>424.72</v>
      </c>
      <c r="AA80" s="18" t="n">
        <v>0</v>
      </c>
      <c r="AB80" s="19" t="n">
        <v>126.2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12.93</v>
      </c>
      <c r="F81" s="9" t="n"/>
      <c r="G81" s="18" t="n">
        <v>0</v>
      </c>
      <c r="H81" s="18" t="n">
        <v>0</v>
      </c>
      <c r="I81" s="18" t="n">
        <v>90.01000000000001</v>
      </c>
      <c r="J81" s="18" t="n">
        <v>0.14</v>
      </c>
      <c r="K81" s="34" t="n">
        <v>90.15000000000001</v>
      </c>
      <c r="L81" s="18" t="n">
        <v>0</v>
      </c>
      <c r="M81" s="18" t="n">
        <v>2.4</v>
      </c>
      <c r="N81" s="18" t="n">
        <v>264.08</v>
      </c>
      <c r="P81" s="9" t="n"/>
      <c r="Q81" s="18" t="n">
        <v>32.57</v>
      </c>
      <c r="R81" s="18" t="n">
        <v>0.85</v>
      </c>
      <c r="S81" s="18" t="n">
        <v>-0.85</v>
      </c>
      <c r="T81" s="18" t="n">
        <v>0</v>
      </c>
      <c r="U81" s="34" t="n">
        <v>32.57</v>
      </c>
      <c r="V81" s="18" t="n">
        <v>95.7</v>
      </c>
      <c r="W81" s="18" t="n">
        <v>39.36</v>
      </c>
      <c r="X81" s="18" t="n">
        <v>0.66</v>
      </c>
      <c r="Y81" s="18" t="n">
        <v>289</v>
      </c>
      <c r="Z81" s="34" t="n">
        <v>424.72</v>
      </c>
      <c r="AA81" s="18" t="n">
        <v>0</v>
      </c>
      <c r="AB81" s="19" t="n">
        <v>126.2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877.46</v>
      </c>
      <c r="F82" s="9" t="n"/>
      <c r="G82" s="18" t="n">
        <v>447.12</v>
      </c>
      <c r="H82" s="18" t="n">
        <v>-1988.75</v>
      </c>
      <c r="I82" s="18" t="n">
        <v>-1482.61</v>
      </c>
      <c r="J82" s="18" t="n">
        <v>-2135.64</v>
      </c>
      <c r="K82" s="34" t="n">
        <v>-5159.88</v>
      </c>
      <c r="L82" s="18" t="n">
        <v>-602.25</v>
      </c>
      <c r="M82" s="18" t="n">
        <v>-987.12</v>
      </c>
      <c r="N82" s="18" t="n">
        <v>496.17</v>
      </c>
      <c r="O82" s="18" t="n">
        <v>8212</v>
      </c>
      <c r="P82" s="34" t="n">
        <v>7118.8</v>
      </c>
      <c r="Q82" s="18" t="n">
        <v>-3235.4</v>
      </c>
      <c r="R82" s="18" t="n">
        <v>1805.32</v>
      </c>
      <c r="S82" s="18" t="n">
        <v>145.51</v>
      </c>
      <c r="T82" s="18" t="n">
        <v>2114.14</v>
      </c>
      <c r="U82" s="34" t="n">
        <v>829.5700000000001</v>
      </c>
      <c r="V82" s="18" t="n">
        <v>410.31</v>
      </c>
      <c r="W82" s="18" t="n">
        <v>1156.96</v>
      </c>
      <c r="X82" s="18" t="n">
        <v>-278.81</v>
      </c>
      <c r="Y82" s="18" t="n">
        <v>1117.9</v>
      </c>
      <c r="Z82" s="34" t="n">
        <v>2406.36</v>
      </c>
      <c r="AA82" s="18" t="n">
        <v>1124.39</v>
      </c>
      <c r="AB82" s="19" t="n">
        <v>-717.87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차입금의증가</t>
        </is>
      </c>
      <c r="E83" s="18" t="n">
        <v>11944.36</v>
      </c>
      <c r="F83" s="9" t="n"/>
      <c r="G83" s="18" t="n">
        <v>2638.64</v>
      </c>
      <c r="H83" s="18" t="n">
        <v>3250.63</v>
      </c>
      <c r="I83" s="18" t="n">
        <v>1489.5</v>
      </c>
      <c r="J83" s="18" t="n">
        <v>9481.190000000001</v>
      </c>
      <c r="K83" s="34" t="n">
        <v>16859.96</v>
      </c>
      <c r="L83" s="18" t="n">
        <v>3297.7</v>
      </c>
      <c r="M83" s="18" t="n">
        <v>8686.879999999999</v>
      </c>
      <c r="N83" s="18" t="n">
        <v>5731.12</v>
      </c>
      <c r="P83" s="9" t="n"/>
      <c r="Q83" s="18" t="n">
        <v>3215.64</v>
      </c>
      <c r="R83" s="18" t="n">
        <v>3558.57</v>
      </c>
      <c r="T83" s="18" t="n">
        <v>6909</v>
      </c>
      <c r="U83" s="9" t="n"/>
      <c r="V83" s="18" t="n">
        <v>1445.32</v>
      </c>
      <c r="W83" s="18" t="n">
        <v>6653.04</v>
      </c>
      <c r="X83" s="18" t="n">
        <v>5826.85</v>
      </c>
      <c r="Y83" s="18" t="n">
        <v>22486.54</v>
      </c>
      <c r="Z83" s="34" t="n">
        <v>36411.75</v>
      </c>
      <c r="AA83" s="18" t="n">
        <v>5910.82</v>
      </c>
      <c r="AB83" s="19" t="n">
        <v>4978.74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차입금의감소</t>
        </is>
      </c>
      <c r="E84" s="18" t="n">
        <v>11021.37</v>
      </c>
      <c r="F84" s="9" t="n"/>
      <c r="G84" s="18" t="n">
        <v>2191.52</v>
      </c>
      <c r="H84" s="18" t="n">
        <v>5165.6</v>
      </c>
      <c r="I84" s="18" t="n">
        <v>2972.11</v>
      </c>
      <c r="J84" s="18" t="n">
        <v>11568.91</v>
      </c>
      <c r="K84" s="34" t="n">
        <v>21898.14</v>
      </c>
      <c r="L84" s="18" t="n">
        <v>3899.95</v>
      </c>
      <c r="M84" s="18" t="n">
        <v>9655.799999999999</v>
      </c>
      <c r="N84" s="18" t="n">
        <v>5198.21</v>
      </c>
      <c r="P84" s="9" t="n"/>
      <c r="Q84" s="18" t="n">
        <v>6483.61</v>
      </c>
      <c r="R84" s="18" t="n">
        <v>1746.61</v>
      </c>
      <c r="T84" s="18" t="n">
        <v>4812.98</v>
      </c>
      <c r="U84" s="9" t="n"/>
      <c r="V84" s="18" t="n">
        <v>1063.56</v>
      </c>
      <c r="W84" s="18" t="n">
        <v>5456.82</v>
      </c>
      <c r="X84" s="18" t="n">
        <v>6146.13</v>
      </c>
      <c r="Y84" s="18" t="n">
        <v>21331.6</v>
      </c>
      <c r="Z84" s="34" t="n">
        <v>33998.11</v>
      </c>
      <c r="AA84" s="18" t="n">
        <v>4813.58</v>
      </c>
      <c r="AB84" s="19" t="n">
        <v>5652.99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45.54</v>
      </c>
      <c r="F85" s="9" t="n"/>
      <c r="G85" s="18" t="n">
        <v>0</v>
      </c>
      <c r="H85" s="18" t="n">
        <v>73.78</v>
      </c>
      <c r="I85" s="18" t="n">
        <v>0</v>
      </c>
      <c r="J85" s="18" t="n">
        <v>47.92</v>
      </c>
      <c r="K85" s="34" t="n">
        <v>121.7</v>
      </c>
      <c r="L85" s="18" t="n">
        <v>0</v>
      </c>
      <c r="M85" s="18" t="n">
        <v>54.94</v>
      </c>
      <c r="N85" s="18" t="n">
        <v>0</v>
      </c>
      <c r="O85" s="18" t="n">
        <v>54.81</v>
      </c>
      <c r="P85" s="34" t="n">
        <v>109.75</v>
      </c>
      <c r="S85" s="18" t="n">
        <v>0</v>
      </c>
      <c r="T85" s="18" t="n">
        <v>48.61</v>
      </c>
      <c r="U85" s="9" t="n"/>
      <c r="X85" s="18" t="n">
        <v>0</v>
      </c>
      <c r="Y85" s="18" t="n">
        <v>61.13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-61.29</v>
      </c>
      <c r="F86" s="9" t="n"/>
      <c r="G86" s="18" t="n">
        <v>215.82</v>
      </c>
      <c r="H86" s="18" t="n">
        <v>-67.86</v>
      </c>
      <c r="I86" s="18" t="n">
        <v>403.15</v>
      </c>
      <c r="J86" s="18" t="n">
        <v>511</v>
      </c>
      <c r="K86" s="34" t="n">
        <v>1062.11</v>
      </c>
      <c r="L86" s="18" t="n">
        <v>-1052.55</v>
      </c>
      <c r="M86" s="18" t="n">
        <v>-28.47</v>
      </c>
      <c r="N86" s="18" t="n">
        <v>860.12</v>
      </c>
      <c r="O86" s="18" t="n">
        <v>2443.12</v>
      </c>
      <c r="P86" s="34" t="n">
        <v>2222.22</v>
      </c>
      <c r="Q86" s="18" t="n">
        <v>-3172.18</v>
      </c>
      <c r="R86" s="18" t="n">
        <v>2220.34</v>
      </c>
      <c r="S86" s="18" t="n">
        <v>-960.62</v>
      </c>
      <c r="T86" s="18" t="n">
        <v>1484.63</v>
      </c>
      <c r="U86" s="34" t="n">
        <v>-427.83</v>
      </c>
      <c r="V86" s="18" t="n">
        <v>-1221.77</v>
      </c>
      <c r="W86" s="18" t="n">
        <v>110.97</v>
      </c>
      <c r="X86" s="18" t="n">
        <v>928.9299999999999</v>
      </c>
      <c r="Y86" s="18" t="n">
        <v>-2742.88</v>
      </c>
      <c r="Z86" s="34" t="n">
        <v>-2924.75</v>
      </c>
      <c r="AA86" s="18" t="n">
        <v>1008.01</v>
      </c>
      <c r="AB86" s="19" t="n">
        <v>5601.37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-61.29</v>
      </c>
      <c r="F87" s="9" t="n"/>
      <c r="G87" s="18" t="n">
        <v>329.76</v>
      </c>
      <c r="H87" s="18" t="n">
        <v>-67.86</v>
      </c>
      <c r="I87" s="18" t="n">
        <v>403.15</v>
      </c>
      <c r="J87" s="18" t="n">
        <v>511</v>
      </c>
      <c r="K87" s="34" t="n">
        <v>1176.05</v>
      </c>
      <c r="L87" s="18" t="n">
        <v>123.5</v>
      </c>
      <c r="M87" s="18" t="n">
        <v>-28.47</v>
      </c>
      <c r="N87" s="18" t="n">
        <v>860.12</v>
      </c>
      <c r="O87" s="18" t="n">
        <v>2443.12</v>
      </c>
      <c r="P87" s="34" t="n">
        <v>3398.27</v>
      </c>
      <c r="Q87" s="18" t="n">
        <v>226.09</v>
      </c>
      <c r="R87" s="18" t="n">
        <v>2220.34</v>
      </c>
      <c r="S87" s="18" t="n">
        <v>-960.62</v>
      </c>
      <c r="T87" s="18" t="n">
        <v>1484.63</v>
      </c>
      <c r="U87" s="34" t="n">
        <v>2970.44</v>
      </c>
      <c r="V87" s="18" t="n">
        <v>1748.68</v>
      </c>
      <c r="W87" s="18" t="n">
        <v>110.97</v>
      </c>
      <c r="X87" s="18" t="n">
        <v>928.9299999999999</v>
      </c>
      <c r="Y87" s="18" t="n">
        <v>-2742.89</v>
      </c>
      <c r="Z87" s="34" t="n">
        <v>45.69</v>
      </c>
      <c r="AA87" s="18" t="n">
        <v>1053.7</v>
      </c>
      <c r="AB87" s="19" t="n">
        <v>5601.37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G89" s="18" t="n">
        <v>0</v>
      </c>
      <c r="H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F90" s="9" t="n"/>
      <c r="I90" s="18" t="n">
        <v>0</v>
      </c>
      <c r="J90" s="18" t="n">
        <v>0</v>
      </c>
      <c r="K90" s="9" t="n"/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O91" s="18" t="n">
        <v>25.21</v>
      </c>
      <c r="P91" s="9" t="n"/>
      <c r="Q91" s="18" t="n">
        <v>2.79</v>
      </c>
      <c r="R91" s="18" t="n">
        <v>15.12</v>
      </c>
      <c r="S91" s="18" t="n">
        <v>2.12</v>
      </c>
      <c r="T91" s="18" t="n">
        <v>17.25</v>
      </c>
      <c r="U91" s="34" t="n">
        <v>37.28</v>
      </c>
      <c r="V91" s="18" t="n">
        <v>0.93</v>
      </c>
      <c r="W91" s="18" t="n">
        <v>7.8</v>
      </c>
      <c r="X91" s="18" t="n">
        <v>213.92</v>
      </c>
      <c r="Y91" s="18" t="n">
        <v>17.64</v>
      </c>
      <c r="Z91" s="34" t="n">
        <v>240.29</v>
      </c>
      <c r="AA91" s="18" t="n">
        <v>3.48</v>
      </c>
      <c r="AB91" s="19" t="n">
        <v>28.61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-0.3706</v>
      </c>
      <c r="F10" s="34" t="n"/>
      <c r="G10" s="18" t="n">
        <v>-0.1307</v>
      </c>
      <c r="H10" s="18" t="n">
        <v>-0.1367</v>
      </c>
      <c r="I10" s="18" t="n">
        <v>-0.1019</v>
      </c>
      <c r="J10" s="18" t="n">
        <v>-0.0128</v>
      </c>
      <c r="K10" s="34">
        <f>SUM(G10:J10)</f>
        <v/>
      </c>
      <c r="L10" s="18" t="n">
        <v>0.1105</v>
      </c>
      <c r="M10" s="18" t="n">
        <v>0.1326</v>
      </c>
      <c r="N10" s="18" t="n">
        <v>0.0428</v>
      </c>
      <c r="O10" s="18" t="n">
        <v>0.023</v>
      </c>
      <c r="P10" s="34">
        <f>SUM(L10:O10)</f>
        <v/>
      </c>
      <c r="Q10" s="18" t="n">
        <v>0.0572</v>
      </c>
      <c r="R10" s="18" t="n">
        <v>-0.0109</v>
      </c>
      <c r="S10" s="18" t="n">
        <v>-0.0451</v>
      </c>
      <c r="T10" s="18" t="n">
        <v>0.0121</v>
      </c>
      <c r="U10" s="34">
        <f>SUM(Q10:T10)</f>
        <v/>
      </c>
      <c r="V10" s="18" t="n">
        <v>-0.113</v>
      </c>
      <c r="W10" s="18" t="n">
        <v>-0.0219</v>
      </c>
      <c r="X10" s="18" t="n">
        <v>0.0683</v>
      </c>
      <c r="Y10" s="18" t="n">
        <v>0.009599999999999999</v>
      </c>
      <c r="Z10" s="34">
        <f>SUM(V10:Y10)</f>
        <v/>
      </c>
      <c r="AA10" s="18" t="n">
        <v>0.0698</v>
      </c>
      <c r="AB10" s="19" t="n">
        <v>-0.0072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>
        <v>0.02</v>
      </c>
      <c r="I13" s="18" t="n">
        <v>0.16</v>
      </c>
      <c r="J13" s="18" t="n"/>
      <c r="K13" s="34">
        <f>SUM(G13:J13)</f>
        <v/>
      </c>
      <c r="L13" s="18" t="n"/>
      <c r="M13" s="18" t="n">
        <v>-0.09</v>
      </c>
      <c r="N13" s="18" t="n">
        <v>-0.08</v>
      </c>
      <c r="O13" s="18" t="n"/>
      <c r="P13" s="34">
        <f>SUM(L13:O13)</f>
        <v/>
      </c>
      <c r="Q13" s="18" t="n"/>
      <c r="R13" s="18" t="n">
        <v>0.08</v>
      </c>
      <c r="S13" s="18" t="n">
        <v>-0.14</v>
      </c>
      <c r="T13" s="18" t="n">
        <v>0.5600000000000001</v>
      </c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>
        <v>1.01</v>
      </c>
      <c r="AC13" s="20" t="n">
        <v>0</v>
      </c>
      <c r="AD13" s="20" t="n">
        <v>0</v>
      </c>
      <c r="AE13" s="35">
        <f>SUM(AA13:AD13)</f>
        <v/>
      </c>
      <c r="AF13" s="20" t="n">
        <v>0</v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>
        <v>28.38</v>
      </c>
      <c r="S14" s="18" t="n">
        <v>28.38</v>
      </c>
      <c r="T14" s="18" t="n">
        <v>-12.6</v>
      </c>
      <c r="U14" s="34">
        <f>SUM(Q14:T14)</f>
        <v/>
      </c>
      <c r="V14" s="18" t="n"/>
      <c r="W14" s="18" t="n">
        <v>-39.76</v>
      </c>
      <c r="X14" s="18" t="n">
        <v>0.13</v>
      </c>
      <c r="Y14" s="18" t="n">
        <v>-5</v>
      </c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>
        <v>1.15</v>
      </c>
      <c r="S15" s="18" t="n">
        <v>-27.57</v>
      </c>
      <c r="T15" s="18" t="n">
        <v>0.09</v>
      </c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/>
      <c r="AB15" s="19" t="n"/>
      <c r="AC15" s="20" t="n">
        <v>0</v>
      </c>
      <c r="AD15" s="20" t="n">
        <v>0</v>
      </c>
      <c r="AE15" s="35">
        <f>SUM(AA15:AD15)</f>
        <v/>
      </c>
      <c r="AF15" s="20" t="n">
        <v>0</v>
      </c>
      <c r="AG15" s="20" t="n">
        <v>0</v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5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5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5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4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IFERROR(AC17*변수!AC31,"")</f>
        <v/>
      </c>
      <c r="AD18" s="20">
        <f>IFERROR(AD17*변수!AD31,"")</f>
        <v/>
      </c>
      <c r="AE18" s="35">
        <f>SUM(AA18:AD18)</f>
        <v/>
      </c>
      <c r="AF18" s="20">
        <f>IFERROR(AF17*변수!AF31,"")</f>
        <v/>
      </c>
      <c r="AG18" s="20">
        <f>IFERROR(AG17*변수!AG31,"")</f>
        <v/>
      </c>
      <c r="AH18" s="20">
        <f>IFERROR(AH17*변수!AH31,"")</f>
        <v/>
      </c>
      <c r="AI18" s="20">
        <f>IFERROR(AI17*변수!AI31,"")</f>
        <v/>
      </c>
      <c r="AJ18" s="35">
        <f>SUM(AF18:AI18)</f>
        <v/>
      </c>
      <c r="AK18" s="20">
        <f>IFERROR(AK17*변수!AK31,"")</f>
        <v/>
      </c>
      <c r="AL18" s="20">
        <f>IFERROR(AL17*변수!AL31,"")</f>
        <v/>
      </c>
      <c r="AM18" s="20">
        <f>IFERROR(AM17*변수!AM31,"")</f>
        <v/>
      </c>
      <c r="AN18" s="20">
        <f>IFERROR(AN17*변수!AN31,"")</f>
        <v/>
      </c>
      <c r="AO18" s="35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5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5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5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4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IFERROR(AC19*변수!AC32,"")</f>
        <v/>
      </c>
      <c r="AD20" s="20">
        <f>IFERROR(AD19*변수!AD32,"")</f>
        <v/>
      </c>
      <c r="AE20" s="35">
        <f>SUM(AA20:AD20)</f>
        <v/>
      </c>
      <c r="AF20" s="20">
        <f>IFERROR(AF19*변수!AF32,"")</f>
        <v/>
      </c>
      <c r="AG20" s="20">
        <f>IFERROR(AG19*변수!AG32,"")</f>
        <v/>
      </c>
      <c r="AH20" s="20">
        <f>IFERROR(AH19*변수!AH32,"")</f>
        <v/>
      </c>
      <c r="AI20" s="20">
        <f>IFERROR(AI19*변수!AI32,"")</f>
        <v/>
      </c>
      <c r="AJ20" s="35">
        <f>SUM(AF20:AI20)</f>
        <v/>
      </c>
      <c r="AK20" s="20">
        <f>IFERROR(AK19*변수!AK32,"")</f>
        <v/>
      </c>
      <c r="AL20" s="20">
        <f>IFERROR(AL19*변수!AL32,"")</f>
        <v/>
      </c>
      <c r="AM20" s="20">
        <f>IFERROR(AM19*변수!AM32,"")</f>
        <v/>
      </c>
      <c r="AN20" s="20">
        <f>IFERROR(AN19*변수!AN32,"")</f>
        <v/>
      </c>
      <c r="AO20" s="35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4">
        <f>SUM(L21:O21)</f>
        <v/>
      </c>
      <c r="Q21" s="18" t="n"/>
      <c r="R21" s="18" t="n"/>
      <c r="S21" s="18" t="n"/>
      <c r="T21" s="18" t="n"/>
      <c r="U21" s="34">
        <f>SUM(Q21:T21)</f>
        <v/>
      </c>
      <c r="V21" s="18" t="n"/>
      <c r="W21" s="18" t="n"/>
      <c r="X21" s="18" t="n"/>
      <c r="Y21" s="18" t="n"/>
      <c r="Z21" s="34">
        <f>SUM(V21:Y21)</f>
        <v/>
      </c>
      <c r="AA21" s="18" t="n"/>
      <c r="AB21" s="19" t="n"/>
      <c r="AC21" s="20" t="n">
        <v>2.55</v>
      </c>
      <c r="AD21" s="20" t="n">
        <v>2.55</v>
      </c>
      <c r="AE21" s="35">
        <f>SUM(AA21:AD21)</f>
        <v/>
      </c>
      <c r="AF21" s="20" t="n">
        <v>2.55</v>
      </c>
      <c r="AG21" s="20" t="n">
        <v>2.55</v>
      </c>
      <c r="AH21" s="20">
        <f>IFERROR(AC21*(1+변수!AH33),"")</f>
        <v/>
      </c>
      <c r="AI21" s="20">
        <f>IFERROR(AD21*(1+변수!AI33),"")</f>
        <v/>
      </c>
      <c r="AJ21" s="35">
        <f>SUM(AF21:AI21)</f>
        <v/>
      </c>
      <c r="AK21" s="20">
        <f>IFERROR(AF21*(1+변수!AK33),"")</f>
        <v/>
      </c>
      <c r="AL21" s="20">
        <f>IFERROR(AG21*(1+변수!AL33),"")</f>
        <v/>
      </c>
      <c r="AM21" s="20">
        <f>IFERROR(AH21*(1+변수!AM33),"")</f>
        <v/>
      </c>
      <c r="AN21" s="20">
        <f>IFERROR(AI21*(1+변수!AN33),"")</f>
        <v/>
      </c>
      <c r="AO21" s="35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4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4">
        <f>SUM(G22:J22)</f>
        <v/>
      </c>
      <c r="L22" s="18" t="n">
        <v>24.19</v>
      </c>
      <c r="M22" s="18" t="n">
        <v>25.46</v>
      </c>
      <c r="N22" s="18" t="n"/>
      <c r="O22" s="18" t="n"/>
      <c r="P22" s="34">
        <f>SUM(L22:O22)</f>
        <v/>
      </c>
      <c r="Q22" s="18" t="n"/>
      <c r="R22" s="18" t="n"/>
      <c r="S22" s="18" t="n"/>
      <c r="T22" s="18" t="n"/>
      <c r="U22" s="34">
        <f>SUM(Q22:T22)</f>
        <v/>
      </c>
      <c r="V22" s="18" t="n"/>
      <c r="W22" s="18" t="n"/>
      <c r="X22" s="18" t="n"/>
      <c r="Y22" s="18" t="n"/>
      <c r="Z22" s="34">
        <f>SUM(V22:Y22)</f>
        <v/>
      </c>
      <c r="AA22" s="18" t="n"/>
      <c r="AB22" s="19" t="n"/>
      <c r="AC22" s="20" t="n">
        <v>2.8</v>
      </c>
      <c r="AD22" s="20" t="n">
        <v>2.85</v>
      </c>
      <c r="AE22" s="35">
        <f>SUM(AA22:AD22)</f>
        <v/>
      </c>
      <c r="AF22" s="20" t="n">
        <v>2.82</v>
      </c>
      <c r="AG22" s="20" t="n">
        <v>2.82</v>
      </c>
      <c r="AH22" s="20">
        <f>IFERROR(AC22*(1+변수!AH34),"")</f>
        <v/>
      </c>
      <c r="AI22" s="20">
        <f>IFERROR(AD22*(1+변수!AI34),"")</f>
        <v/>
      </c>
      <c r="AJ22" s="35">
        <f>SUM(AF22:AI22)</f>
        <v/>
      </c>
      <c r="AK22" s="20">
        <f>IFERROR(AF22*(1+변수!AK34),"")</f>
        <v/>
      </c>
      <c r="AL22" s="20">
        <f>IFERROR(AG22*(1+변수!AL34),"")</f>
        <v/>
      </c>
      <c r="AM22" s="20">
        <f>IFERROR(AH22*(1+변수!AM34),"")</f>
        <v/>
      </c>
      <c r="AN22" s="20">
        <f>IFERROR(AI22*(1+변수!AN34),"")</f>
        <v/>
      </c>
      <c r="AO22" s="35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5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5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5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IFERROR(AB25+AC19-변수!AC36,"")</f>
        <v/>
      </c>
      <c r="AD25" s="20">
        <f>IFERROR(AC25+AD19-변수!AD36,"")</f>
        <v/>
      </c>
      <c r="AE25" s="35">
        <f>AD25</f>
        <v/>
      </c>
      <c r="AF25" s="20">
        <f>IFERROR(AD25+AF19-변수!AF36,"")</f>
        <v/>
      </c>
      <c r="AG25" s="20">
        <f>IFERROR(AF25+AG19-변수!AG36,"")</f>
        <v/>
      </c>
      <c r="AH25" s="20">
        <f>IFERROR(AG25+AH19-변수!AH36,"")</f>
        <v/>
      </c>
      <c r="AI25" s="20">
        <f>IFERROR(AH25+AI19-변수!AI36,"")</f>
        <v/>
      </c>
      <c r="AJ25" s="35">
        <f>AI25</f>
        <v/>
      </c>
      <c r="AK25" s="20">
        <f>IFERROR(AI25+AK19-변수!AK36,"")</f>
        <v/>
      </c>
      <c r="AL25" s="20">
        <f>IFERROR(AK25+AL19-변수!AL36,"")</f>
        <v/>
      </c>
      <c r="AM25" s="20">
        <f>IFERROR(AL25+AM19-변수!AM36,"")</f>
        <v/>
      </c>
      <c r="AN25" s="20">
        <f>IFERROR(AM25+AN19-변수!AN36,"")</f>
        <v/>
      </c>
      <c r="AO25" s="35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IFERROR(AB26+AC20-변수!AC37,"")</f>
        <v/>
      </c>
      <c r="AD26" s="20">
        <f>IFERROR(AC26+AD20-변수!AD37,"")</f>
        <v/>
      </c>
      <c r="AE26" s="35">
        <f>AD26</f>
        <v/>
      </c>
      <c r="AF26" s="20">
        <f>IFERROR(AD26+AF20-변수!AF37,"")</f>
        <v/>
      </c>
      <c r="AG26" s="20">
        <f>IFERROR(AF26+AG20-변수!AG37,"")</f>
        <v/>
      </c>
      <c r="AH26" s="20">
        <f>IFERROR(AG26+AH20-변수!AH37,"")</f>
        <v/>
      </c>
      <c r="AI26" s="20">
        <f>IFERROR(AH26+AI20-변수!AI37,"")</f>
        <v/>
      </c>
      <c r="AJ26" s="35">
        <f>AI26</f>
        <v/>
      </c>
      <c r="AK26" s="20">
        <f>IFERROR(AI26+AK20-변수!AK37,"")</f>
        <v/>
      </c>
      <c r="AL26" s="20">
        <f>IFERROR(AK26+AL20-변수!AL37,"")</f>
        <v/>
      </c>
      <c r="AM26" s="20">
        <f>IFERROR(AL26+AM20-변수!AM37,"")</f>
        <v/>
      </c>
      <c r="AN26" s="20">
        <f>IFERROR(AM26+AN20-변수!AN37,"")</f>
        <v/>
      </c>
      <c r="AO26" s="35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IFERROR(AB29*(1+변수!AC40),"")</f>
        <v/>
      </c>
      <c r="AD29" s="20">
        <f>IFERROR(AC29*(1+변수!AD40),"")</f>
        <v/>
      </c>
      <c r="AE29" s="35">
        <f>AD29</f>
        <v/>
      </c>
      <c r="AF29" s="20">
        <f>IFERROR(AD29*(1+변수!AF40),"")</f>
        <v/>
      </c>
      <c r="AG29" s="20">
        <f>IFERROR(AF29*(1+변수!AG40),"")</f>
        <v/>
      </c>
      <c r="AH29" s="20">
        <f>IFERROR(AG29*(1+변수!AH40),"")</f>
        <v/>
      </c>
      <c r="AI29" s="20">
        <f>IFERROR(AH29*(1+변수!AI40),"")</f>
        <v/>
      </c>
      <c r="AJ29" s="35">
        <f>AI29</f>
        <v/>
      </c>
      <c r="AK29" s="20">
        <f>IFERROR(AI29*(1+변수!AK40),"")</f>
        <v/>
      </c>
      <c r="AL29" s="20">
        <f>IFERROR(AK29*(1+변수!AL40),"")</f>
        <v/>
      </c>
      <c r="AM29" s="20">
        <f>IFERROR(AL29*(1+변수!AM40),"")</f>
        <v/>
      </c>
      <c r="AN29" s="20">
        <f>IFERROR(AM29*(1+변수!AN40),"")</f>
        <v/>
      </c>
      <c r="AO29" s="35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4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AD30</f>
        <v/>
      </c>
      <c r="AF30" s="20" t="n"/>
      <c r="AG30" s="20" t="n"/>
      <c r="AH30" s="20" t="n"/>
      <c r="AI30" s="20" t="n"/>
      <c r="AJ30" s="35">
        <f>AI30</f>
        <v/>
      </c>
      <c r="AK30" s="20" t="n"/>
      <c r="AL30" s="20" t="n"/>
      <c r="AM30" s="20" t="n"/>
      <c r="AN30" s="20" t="n"/>
      <c r="AO30" s="35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4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4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4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4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4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영업활동현금흐름</t>
        </is>
      </c>
      <c r="E32" s="18" t="n">
        <v>12.04</v>
      </c>
      <c r="F32" s="34" t="n"/>
      <c r="G32" s="18" t="n">
        <v>-39.17</v>
      </c>
      <c r="H32" s="18" t="n">
        <v>-18.57</v>
      </c>
      <c r="I32" s="18" t="n">
        <v>7.13</v>
      </c>
      <c r="J32" s="18" t="n">
        <v>21.08</v>
      </c>
      <c r="K32" s="34">
        <f>SUM(G32:J32)</f>
        <v/>
      </c>
      <c r="L32" s="18" t="n">
        <v>17.38</v>
      </c>
      <c r="M32" s="18" t="n">
        <v>28.92</v>
      </c>
      <c r="N32" s="18" t="n">
        <v>6.31</v>
      </c>
      <c r="O32" s="18" t="n">
        <v>-58.25</v>
      </c>
      <c r="P32" s="34">
        <f>SUM(L32:O32)</f>
        <v/>
      </c>
      <c r="Q32" s="18" t="n">
        <v>-31.68</v>
      </c>
      <c r="R32" s="18" t="n">
        <v>-30.13</v>
      </c>
      <c r="S32" s="18" t="n">
        <v>-8.970000000000001</v>
      </c>
      <c r="T32" s="18" t="n">
        <v>7.69</v>
      </c>
      <c r="U32" s="34">
        <f>SUM(Q32:T32)</f>
        <v/>
      </c>
      <c r="V32" s="18" t="n">
        <v>-27.65</v>
      </c>
      <c r="W32" s="18" t="n">
        <v>-20.11</v>
      </c>
      <c r="X32" s="18" t="n">
        <v>50.45</v>
      </c>
      <c r="Y32" s="18" t="n">
        <v>-47.62</v>
      </c>
      <c r="Z32" s="34">
        <f>SUM(V32:Y32)</f>
        <v/>
      </c>
      <c r="AA32" s="18" t="n">
        <v>-0.86</v>
      </c>
      <c r="AB32" s="19" t="n">
        <v>34.83</v>
      </c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159.155</v>
      </c>
      <c r="F33" s="27">
        <f>E33</f>
        <v/>
      </c>
      <c r="G33" s="26" t="n">
        <v>159.155</v>
      </c>
      <c r="H33" s="26" t="n">
        <v>159.155</v>
      </c>
      <c r="I33" s="26" t="n">
        <v>159.155</v>
      </c>
      <c r="J33" s="26" t="n">
        <v>159.155</v>
      </c>
      <c r="K33" s="27">
        <f>J33</f>
        <v/>
      </c>
      <c r="L33" s="26" t="n">
        <v>159.155</v>
      </c>
      <c r="M33" s="26" t="n">
        <v>159.155</v>
      </c>
      <c r="N33" s="26" t="n">
        <v>159.155</v>
      </c>
      <c r="O33" s="26" t="n">
        <v>159.155</v>
      </c>
      <c r="P33" s="27">
        <f>O33</f>
        <v/>
      </c>
      <c r="Q33" s="26" t="n">
        <v>159.155</v>
      </c>
      <c r="R33" s="26" t="n">
        <v>159.155</v>
      </c>
      <c r="S33" s="26" t="n">
        <v>159.155</v>
      </c>
      <c r="T33" s="26" t="n">
        <v>159.155</v>
      </c>
      <c r="U33" s="27">
        <f>T33</f>
        <v/>
      </c>
      <c r="V33" s="26" t="n">
        <v>159.155</v>
      </c>
      <c r="W33" s="26" t="n">
        <v>175.566</v>
      </c>
      <c r="X33" s="26" t="n">
        <v>179.668</v>
      </c>
      <c r="Y33" s="26" t="n">
        <v>35.93</v>
      </c>
      <c r="Z33" s="27">
        <f>Y33</f>
        <v/>
      </c>
      <c r="AA33" s="26" t="n">
        <v>35.93</v>
      </c>
      <c r="AB33" s="28" t="n">
        <v>35.93</v>
      </c>
      <c r="AC33" s="36">
        <f>IFERROR(AB33*(1+변수!AC44),"")</f>
        <v/>
      </c>
      <c r="AD33" s="36">
        <f>IFERROR(AC33*(1+변수!AD44),"")</f>
        <v/>
      </c>
      <c r="AE33" s="30">
        <f>AD33</f>
        <v/>
      </c>
      <c r="AF33" s="36">
        <f>IFERROR(AD33*(1+변수!AF44),"")</f>
        <v/>
      </c>
      <c r="AG33" s="36">
        <f>IFERROR(AF33*(1+변수!AG44),"")</f>
        <v/>
      </c>
      <c r="AH33" s="36">
        <f>IFERROR(AG33*(1+변수!AH44),"")</f>
        <v/>
      </c>
      <c r="AI33" s="36">
        <f>IFERROR(AH33*(1+변수!AI44),"")</f>
        <v/>
      </c>
      <c r="AJ33" s="30">
        <f>AI33</f>
        <v/>
      </c>
      <c r="AK33" s="36">
        <f>IFERROR(AI33*(1+변수!AK44),"")</f>
        <v/>
      </c>
      <c r="AL33" s="36">
        <f>IFERROR(AK33*(1+변수!AL44),"")</f>
        <v/>
      </c>
      <c r="AM33" s="36">
        <f>IFERROR(AL33*(1+변수!AM44),"")</f>
        <v/>
      </c>
      <c r="AN33" s="36">
        <f>IFERROR(AM33*(1+변수!AN44),"")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4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4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4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4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4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5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5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5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4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4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4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4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4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5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5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5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4" t="n">
        <v>0</v>
      </c>
      <c r="G36" s="18" t="n"/>
      <c r="H36" s="18" t="n"/>
      <c r="I36" s="18" t="n"/>
      <c r="J36" s="18" t="n">
        <v>0</v>
      </c>
      <c r="K36" s="34">
        <f>SUM(G36:J36)</f>
        <v/>
      </c>
      <c r="L36" s="18" t="n"/>
      <c r="M36" s="18" t="n"/>
      <c r="N36" s="18" t="n"/>
      <c r="O36" s="18" t="n">
        <v>0</v>
      </c>
      <c r="P36" s="34">
        <f>SUM(L36:O36)</f>
        <v/>
      </c>
      <c r="Q36" s="18" t="n"/>
      <c r="R36" s="18" t="n"/>
      <c r="S36" s="18" t="n"/>
      <c r="T36" s="18" t="n">
        <v>0</v>
      </c>
      <c r="U36" s="34">
        <f>SUM(Q36:T36)</f>
        <v/>
      </c>
      <c r="V36" s="18" t="n"/>
      <c r="W36" s="18" t="n"/>
      <c r="X36" s="18" t="n"/>
      <c r="Y36" s="18" t="n">
        <v>0</v>
      </c>
      <c r="Z36" s="34">
        <f>SUM(V36:Y36)</f>
        <v/>
      </c>
      <c r="AA36" s="18" t="n"/>
      <c r="AB36" s="19" t="n"/>
      <c r="AC36" s="20" t="n"/>
      <c r="AD36" s="20" t="n">
        <v>0</v>
      </c>
      <c r="AE36" s="35">
        <f>SUM(AA36:AD36)</f>
        <v/>
      </c>
      <c r="AF36" s="20" t="n"/>
      <c r="AG36" s="20" t="n"/>
      <c r="AH36" s="20" t="n"/>
      <c r="AI36" s="20" t="n">
        <v>0</v>
      </c>
      <c r="AJ36" s="35">
        <f>SUM(AF36:AI36)</f>
        <v/>
      </c>
      <c r="AK36" s="20" t="n"/>
      <c r="AL36" s="20" t="n"/>
      <c r="AM36" s="20" t="n"/>
      <c r="AN36" s="20" t="n">
        <v>0</v>
      </c>
      <c r="AO36" s="35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>
        <v>741.26</v>
      </c>
      <c r="O37" s="18" t="n">
        <v>159.05</v>
      </c>
      <c r="P37" s="34">
        <f>SUM(L37:O37)</f>
        <v/>
      </c>
      <c r="Q37" s="18" t="n">
        <v>255.23</v>
      </c>
      <c r="R37" s="18" t="n">
        <v>314.08</v>
      </c>
      <c r="S37" s="18" t="n">
        <v>1929.6</v>
      </c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>
        <v>331.29</v>
      </c>
      <c r="AC37" s="20" t="n"/>
      <c r="AD37" s="20" t="n"/>
      <c r="AE37" s="35">
        <f>SUM(AA37:AD37)</f>
        <v/>
      </c>
      <c r="AF37" s="20" t="n"/>
      <c r="AG37" s="20" t="n"/>
      <c r="AH37" s="20" t="n"/>
      <c r="AI37" s="20" t="n"/>
      <c r="AJ37" s="35">
        <f>SUM(AF37:AI37)</f>
        <v/>
      </c>
      <c r="AK37" s="20" t="n"/>
      <c r="AL37" s="20" t="n"/>
      <c r="AM37" s="20" t="n"/>
      <c r="AN37" s="20" t="n"/>
      <c r="AO37" s="35">
        <f>SUM(AK37:AN37)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8" t="n">
        <v>12.56</v>
      </c>
      <c r="F38" s="34" t="n">
        <v>11.83</v>
      </c>
      <c r="G38" s="18" t="n">
        <v>11.75</v>
      </c>
      <c r="H38" s="18" t="n">
        <v>13.03</v>
      </c>
      <c r="I38" s="18" t="n">
        <v>11.2</v>
      </c>
      <c r="J38" s="18" t="n">
        <v>9.48</v>
      </c>
      <c r="K38" s="34">
        <f>SUM(G38:J38)</f>
        <v/>
      </c>
      <c r="L38" s="18" t="n">
        <v>8.75</v>
      </c>
      <c r="M38" s="18" t="n">
        <v>11.94</v>
      </c>
      <c r="N38" s="18" t="n">
        <v>17.66</v>
      </c>
      <c r="O38" s="18" t="n">
        <v>12.35</v>
      </c>
      <c r="P38" s="34">
        <f>SUM(L38:O38)</f>
        <v/>
      </c>
      <c r="Q38" s="18" t="n">
        <v>11.98</v>
      </c>
      <c r="R38" s="18" t="n">
        <v>11.41</v>
      </c>
      <c r="S38" s="18" t="n">
        <v>10.1</v>
      </c>
      <c r="T38" s="18" t="n">
        <v>10.27</v>
      </c>
      <c r="U38" s="34">
        <f>SUM(Q38:T38)</f>
        <v/>
      </c>
      <c r="V38" s="18" t="n">
        <v>10.59</v>
      </c>
      <c r="W38" s="18" t="n">
        <v>11.59</v>
      </c>
      <c r="X38" s="18" t="n">
        <v>12.82</v>
      </c>
      <c r="Y38" s="18" t="n">
        <v>2.58</v>
      </c>
      <c r="Z38" s="34">
        <f>SUM(V38:Y38)</f>
        <v/>
      </c>
      <c r="AA38" s="18" t="n">
        <v>2.76</v>
      </c>
      <c r="AB38" s="19" t="n">
        <v>2.86</v>
      </c>
      <c r="AC38" s="20">
        <f>IFERROR(X38*(1+변수!AC47),"")</f>
        <v/>
      </c>
      <c r="AD38" s="20">
        <f>IFERROR(Y38*(1+변수!AD47),"")</f>
        <v/>
      </c>
      <c r="AE38" s="35">
        <f>SUM(AA38:AD38)</f>
        <v/>
      </c>
      <c r="AF38" s="20">
        <f>IFERROR(AA38*(1+변수!AF47),"")</f>
        <v/>
      </c>
      <c r="AG38" s="20">
        <f>IFERROR(AB38*(1+변수!AG47),"")</f>
        <v/>
      </c>
      <c r="AH38" s="20">
        <f>IFERROR(AC38*(1+변수!AH47),"")</f>
        <v/>
      </c>
      <c r="AI38" s="20">
        <f>IFERROR(AD38*(1+변수!AI47),"")</f>
        <v/>
      </c>
      <c r="AJ38" s="35">
        <f>SUM(AF38:AI38)</f>
        <v/>
      </c>
      <c r="AK38" s="20">
        <f>IFERROR(AF38*(1+변수!AK47),"")</f>
        <v/>
      </c>
      <c r="AL38" s="20">
        <f>IFERROR(AG38*(1+변수!AL47),"")</f>
        <v/>
      </c>
      <c r="AM38" s="20">
        <f>IFERROR(AH38*(1+변수!AM47),"")</f>
        <v/>
      </c>
      <c r="AN38" s="20">
        <f>IFERROR(AI38*(1+변수!AN47),"")</f>
        <v/>
      </c>
      <c r="AO38" s="35">
        <f>SUM(AK38:AN38)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4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4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4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4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4">
        <f>SUM(V39:Y39)</f>
        <v/>
      </c>
      <c r="AA39" s="18" t="n">
        <v>212.48</v>
      </c>
      <c r="AB39" s="19" t="n">
        <v>188.86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4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4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4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4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4">
        <f>SUM(V40:Y40)</f>
        <v/>
      </c>
      <c r="AA40" s="18" t="n">
        <v>14.82</v>
      </c>
      <c r="AB40" s="19" t="n">
        <v>-1.36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1">
        <f>IFERROR(R20/R5,"")</f>
        <v/>
      </c>
      <c r="S43" s="21">
        <f>IFERROR(S20/S5,"")</f>
        <v/>
      </c>
      <c r="T43" s="21">
        <f>IFERROR(T20/T5,"")</f>
        <v/>
      </c>
      <c r="U43" s="22">
        <f>IFERROR(U20/U5,"")</f>
        <v/>
      </c>
      <c r="V43" s="21">
        <f>IFERROR(V20/V5,"")</f>
        <v/>
      </c>
      <c r="W43" s="21">
        <f>IFERROR(W20/W5,"")</f>
        <v/>
      </c>
      <c r="X43" s="21">
        <f>IFERROR(X20/X5,"")</f>
        <v/>
      </c>
      <c r="Y43" s="21">
        <f>IFERROR(Y20/Y5,"")</f>
        <v/>
      </c>
      <c r="Z43" s="22">
        <f>IFERROR(Z20/Z5,"")</f>
        <v/>
      </c>
      <c r="AA43" s="21">
        <f>IFERROR(AA20/AA5,"")</f>
        <v/>
      </c>
      <c r="AB43" s="23">
        <f>IFERROR(AB20/AB5,"")</f>
        <v/>
      </c>
      <c r="AC43" s="31">
        <f>IFERROR(AC20/AC5,"")</f>
        <v/>
      </c>
      <c r="AD43" s="31">
        <f>IFERROR(AD20/AD5,"")</f>
        <v/>
      </c>
      <c r="AE43" s="25">
        <f>IFERROR(AE20/AE5,"")</f>
        <v/>
      </c>
      <c r="AF43" s="31">
        <f>IFERROR(AF20/AF5,"")</f>
        <v/>
      </c>
      <c r="AG43" s="31">
        <f>IFERROR(AG20/AG5,"")</f>
        <v/>
      </c>
      <c r="AH43" s="31">
        <f>IFERROR(AH20/AH5,"")</f>
        <v/>
      </c>
      <c r="AI43" s="31">
        <f>IFERROR(AI20/AI5,"")</f>
        <v/>
      </c>
      <c r="AJ43" s="25">
        <f>IFERROR(AJ20/AJ5,"")</f>
        <v/>
      </c>
      <c r="AK43" s="31">
        <f>IFERROR(AK20/AK5,"")</f>
        <v/>
      </c>
      <c r="AL43" s="31">
        <f>IFERROR(AL20/AL5,"")</f>
        <v/>
      </c>
      <c r="AM43" s="31">
        <f>IFERROR(AM20/AM5,"")</f>
        <v/>
      </c>
      <c r="AN43" s="31">
        <f>IFERROR(AN20/AN5,"")</f>
        <v/>
      </c>
      <c r="AO43" s="25">
        <f>IFERROR(AO20/AO5,"")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43">
        <f>IFERROR(VLOOKUP($A33,subQ,MATCH(W$1,SUBQH,0),0),"")</f>
        <v/>
      </c>
      <c r="X33" s="36">
        <f>IFERROR(VLOOKUP($A33,subQ,MATCH(X$1,SUBQH,0),0),"")</f>
        <v/>
      </c>
      <c r="Y33" s="36">
        <f>IFERROR(VLOOKUP($A33,subQ,MATCH(Y$1,SUBQH,0),0),"")</f>
        <v/>
      </c>
      <c r="Z33" s="36">
        <f>IFERROR(VLOOKUP($A33,subQ,MATCH(Z$1,SUBQH,0),0),"")</f>
        <v/>
      </c>
      <c r="AA33" s="36">
        <f>IFERROR(VLOOKUP($A33,subQ,MATCH(AA$1,SUBQH,0),0),"")</f>
        <v/>
      </c>
      <c r="AB33" s="36">
        <f>IFERROR(VLOOKUP($A33,subQ,MATCH(AB$1,SUBQH,0),0),"")</f>
        <v/>
      </c>
      <c r="AC33" s="36">
        <f>IFERROR(VLOOKUP($A33,subQ,MATCH(AC$1,SUBQH,0),0),"")</f>
        <v/>
      </c>
      <c r="AD33" s="36">
        <f>IFERROR(VLOOKUP($A33,subQ,MATCH(AD$1,SUBQH,0),0),"")</f>
        <v/>
      </c>
      <c r="AE33" s="36">
        <f>IFERROR(VLOOKUP($A33,subQ,MATCH(AE$1,SUBQH,0),0),"")</f>
        <v/>
      </c>
      <c r="AF33" s="36">
        <f>IFERROR(VLOOKUP($A33,subQ,MATCH(AF$1,SUBQH,0),0),"")</f>
        <v/>
      </c>
      <c r="AG33" s="36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21">
        <f>IFERROR(O20/K20-1,"")</f>
        <v/>
      </c>
      <c r="P45" s="21">
        <f>IFERROR(P20/L20-1,"")</f>
        <v/>
      </c>
      <c r="Q45" s="21">
        <f>IFERROR(Q20/M20-1,"")</f>
        <v/>
      </c>
      <c r="R45" s="21">
        <f>IFERROR(R20/N20-1,"")</f>
        <v/>
      </c>
      <c r="S45" s="21">
        <f>IFERROR(S20/O20-1,"")</f>
        <v/>
      </c>
      <c r="T45" s="21">
        <f>IFERROR(T20/P20-1,"")</f>
        <v/>
      </c>
      <c r="U45" s="21">
        <f>IFERROR(U20/Q20-1,"")</f>
        <v/>
      </c>
      <c r="V45" s="21">
        <f>IFERROR(V20/R20-1,"")</f>
        <v/>
      </c>
      <c r="W45" s="42">
        <f>IFERROR(W20/S20-1,"")</f>
        <v/>
      </c>
      <c r="X45" s="31">
        <f>IFERROR(X20/T20-1,"")</f>
        <v/>
      </c>
      <c r="Y45" s="31">
        <f>IFERROR(Y20/U20-1,"")</f>
        <v/>
      </c>
      <c r="Z45" s="31">
        <f>IFERROR(Z20/V20-1,"")</f>
        <v/>
      </c>
      <c r="AA45" s="31">
        <f>IFERROR(AA20/W20-1,"")</f>
        <v/>
      </c>
      <c r="AB45" s="31">
        <f>IFERROR(AB20/X20-1,"")</f>
        <v/>
      </c>
      <c r="AC45" s="31">
        <f>IFERROR(AC20/Y20-1,"")</f>
        <v/>
      </c>
      <c r="AD45" s="31">
        <f>IFERROR(AD20/Z20-1,"")</f>
        <v/>
      </c>
      <c r="AE45" s="31">
        <f>IFERROR(AE20/AA20-1,"")</f>
        <v/>
      </c>
      <c r="AF45" s="31">
        <f>IFERROR(AF20/AB20-1,"")</f>
        <v/>
      </c>
      <c r="AG45" s="31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43">
        <f>IFERROR(VLOOKUP($A33,subQ,MATCH(I$1,SUBQH,0),0),"")</f>
        <v/>
      </c>
      <c r="J33" s="36">
        <f>IFERROR(VLOOKUP($A33,subQ,MATCH(J$1,SUBQH,0),0),"")</f>
        <v/>
      </c>
      <c r="K33" s="36">
        <f>IFERROR(VLOOKUP($A33,subQ,MATCH(K$1,SUBQH,0),0),"")</f>
        <v/>
      </c>
      <c r="L33" s="36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21">
        <f>IFERROR(G20/F20-1,"")</f>
        <v/>
      </c>
      <c r="H45" s="21">
        <f>IFERROR(H20/G20-1,"")</f>
        <v/>
      </c>
      <c r="I45" s="42">
        <f>IFERROR(I20/H20-1,"")</f>
        <v/>
      </c>
      <c r="J45" s="31">
        <f>IFERROR(J20/I20-1,"")</f>
        <v/>
      </c>
      <c r="K45" s="31">
        <f>IFERROR(K20/J20-1,"")</f>
        <v/>
      </c>
      <c r="L45" s="31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-77.5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-0.08790000000000001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117.47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